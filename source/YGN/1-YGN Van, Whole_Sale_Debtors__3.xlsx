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20.03.2026 Debtors\"/>
    </mc:Choice>
  </mc:AlternateContent>
  <xr:revisionPtr revIDLastSave="0" documentId="13_ncr:1_{E90AD9F3-CCAF-4103-83E2-CB84006CCF52}" xr6:coauthVersionLast="47" xr6:coauthVersionMax="47" xr10:uidLastSave="{00000000-0000-0000-0000-000000000000}"/>
  <bookViews>
    <workbookView xWindow="14295" yWindow="75" windowWidth="14160" windowHeight="15060" tabRatio="580" firstSheet="6" activeTab="6" xr2:uid="{00000000-000D-0000-FFFF-FFFF00000000}"/>
  </bookViews>
  <sheets>
    <sheet name="Ygn 2025 Fllow up sale" sheetId="56" state="hidden" r:id="rId1"/>
    <sheet name="Team Targer Jan2025" sheetId="58" state="hidden" r:id="rId2"/>
    <sheet name="SMM YGN " sheetId="8" state="hidden" r:id="rId3"/>
    <sheet name="Ws + Van Debtor YGN " sheetId="57" state="hidden" r:id="rId4"/>
    <sheet name="WS-2025" sheetId="59" state="hidden" r:id="rId5"/>
    <sheet name="မိုးအောင်" sheetId="17" state="hidden" r:id="rId6"/>
    <sheet name="Ws+ Van Debtor YGN" sheetId="67" r:id="rId7"/>
    <sheet name="သော်တာထွန်း" sheetId="37" state="hidden" r:id="rId8"/>
    <sheet name="ရွှေဧရာ" sheetId="12" state="hidden" r:id="rId9"/>
    <sheet name="မိဘမေတ္တာ" sheetId="38" state="hidden" r:id="rId10"/>
    <sheet name="AAA" sheetId="28" state="hidden" r:id="rId11"/>
    <sheet name="ပေါ်ဦး" sheetId="26" state="hidden" r:id="rId12"/>
    <sheet name="တော်ဝင်" sheetId="13" state="hidden" r:id="rId13"/>
    <sheet name="အောင်ချမ်းသာ " sheetId="14" state="hidden" r:id="rId14"/>
    <sheet name="မမွှေးမွှေး" sheetId="15" state="hidden" r:id="rId15"/>
    <sheet name="ဦးလှဖုန်း" sheetId="16" state="hidden" r:id="rId16"/>
    <sheet name="ရွက်သစ်" sheetId="18" state="hidden" r:id="rId17"/>
    <sheet name="ကိုရွှေသီး" sheetId="19" state="hidden" r:id="rId18"/>
    <sheet name="ကိုဖိုးသက်" sheetId="20" state="hidden" r:id="rId19"/>
    <sheet name="ဦးအိရွှေ" sheetId="21" state="hidden" r:id="rId20"/>
    <sheet name="ပန်းသတင်း" sheetId="22" state="hidden" r:id="rId21"/>
    <sheet name="ကောင်းမွန်" sheetId="23" state="hidden" r:id="rId22"/>
    <sheet name="နေလ" sheetId="24" state="hidden" r:id="rId23"/>
    <sheet name="ရွှေစည်းစိမ်" sheetId="25" state="hidden" r:id="rId24"/>
    <sheet name="မပို့မချို" sheetId="54" state="hidden" r:id="rId25"/>
    <sheet name="ရွှေဇီးကွက်" sheetId="29" state="hidden" r:id="rId26"/>
    <sheet name="မြတ်မွှေး" sheetId="30" state="hidden" r:id="rId27"/>
    <sheet name="ဘဘကြီး" sheetId="31" state="hidden" r:id="rId28"/>
    <sheet name="ဦးတင်အေး" sheetId="32" state="hidden" r:id="rId29"/>
    <sheet name="ရတနာတိုး" sheetId="33" state="hidden" r:id="rId30"/>
    <sheet name="မွန်မလေး" sheetId="34" state="hidden" r:id="rId31"/>
    <sheet name="ရွှေဉယျာဉ်" sheetId="35" state="hidden" r:id="rId32"/>
    <sheet name="ဆွေသဟာ" sheetId="36" state="hidden" r:id="rId33"/>
    <sheet name="ရှယ်ထူး" sheetId="39" state="hidden" r:id="rId34"/>
    <sheet name="မချိုချိုလွင် " sheetId="40" state="hidden" r:id="rId35"/>
    <sheet name="အနွယ်တော်" sheetId="41" state="hidden" r:id="rId36"/>
    <sheet name="ဘောဂ" sheetId="42" state="hidden" r:id="rId37"/>
    <sheet name="ကိုကျော်ဆွေ" sheetId="43" state="hidden" r:id="rId38"/>
    <sheet name="ဒေလီယာ" sheetId="44" state="hidden" r:id="rId39"/>
    <sheet name="သုခအောင်" sheetId="46" state="hidden" r:id="rId40"/>
    <sheet name="မသီတာ" sheetId="45" state="hidden" r:id="rId41"/>
    <sheet name="လမင်းသာ" sheetId="47" state="hidden" r:id="rId42"/>
    <sheet name="ဆင်မင်း" sheetId="48" state="hidden" r:id="rId43"/>
    <sheet name="မာဟန်" sheetId="49" state="hidden" r:id="rId44"/>
    <sheet name="အောင်ပြည့်စုံ" sheetId="50" state="hidden" r:id="rId45"/>
    <sheet name="ဂျက်ကြီး" sheetId="51" state="hidden" r:id="rId46"/>
    <sheet name="မိုးမြင့်ထက်" sheetId="52" state="hidden" r:id="rId47"/>
    <sheet name="Summery" sheetId="53" state="hidden" r:id="rId48"/>
  </sheets>
  <externalReferences>
    <externalReference r:id="rId49"/>
    <externalReference r:id="rId50"/>
  </externalReferences>
  <definedNames>
    <definedName name="_xlnm._FilterDatabase" localSheetId="3" hidden="1">'Ws + Van Debtor YGN '!$H$2:$H$177</definedName>
    <definedName name="_xlnm._FilterDatabase" localSheetId="6" hidden="1">'Ws+ Van Debtor YGN'!$A$2:$S$177</definedName>
    <definedName name="aa" localSheetId="4">#REF!</definedName>
    <definedName name="aa">#REF!</definedName>
    <definedName name="aaa" localSheetId="4">#REF!</definedName>
    <definedName name="aaa">#REF!</definedName>
    <definedName name="asd" localSheetId="4">'[1]Market ( Mar) '!#REF!</definedName>
    <definedName name="asd">'[1]Market ( Mar) '!#REF!</definedName>
    <definedName name="atr" localSheetId="4">#REF!</definedName>
    <definedName name="atr">#REF!</definedName>
    <definedName name="b" localSheetId="4">#REF!</definedName>
    <definedName name="b">#REF!</definedName>
    <definedName name="bb" localSheetId="4">#REF!</definedName>
    <definedName name="bb">#REF!</definedName>
    <definedName name="Beg_Bal" localSheetId="4">#REF!</definedName>
    <definedName name="Beg_Bal">#REF!</definedName>
    <definedName name="Cash_Cr" localSheetId="4">#REF!</definedName>
    <definedName name="Cash_Cr">#REF!</definedName>
    <definedName name="Cash_Dr" localSheetId="4">#REF!</definedName>
    <definedName name="Cash_Dr">#REF!</definedName>
    <definedName name="cc" localSheetId="4">#REF!</definedName>
    <definedName name="cc">#REF!</definedName>
    <definedName name="ccc" localSheetId="4">#REF!</definedName>
    <definedName name="ccc">#REF!</definedName>
    <definedName name="cr" localSheetId="4">#REF!</definedName>
    <definedName name="cr">#REF!</definedName>
    <definedName name="crs" localSheetId="4">#REF!</definedName>
    <definedName name="crs">#REF!</definedName>
    <definedName name="Data" localSheetId="4">#REF!</definedName>
    <definedName name="Data">#REF!</definedName>
    <definedName name="dd" localSheetId="4">#REF!</definedName>
    <definedName name="dd">#REF!</definedName>
    <definedName name="ddd" localSheetId="4">#REF!</definedName>
    <definedName name="ddd">#REF!</definedName>
    <definedName name="dr" localSheetId="4">#REF!</definedName>
    <definedName name="dr">#REF!</definedName>
    <definedName name="drs" localSheetId="4">#REF!</definedName>
    <definedName name="drs">#REF!</definedName>
    <definedName name="End_Bal" localSheetId="4">#REF!</definedName>
    <definedName name="End_Bal">#REF!</definedName>
    <definedName name="Extra_Pay" localSheetId="4">#REF!</definedName>
    <definedName name="Extra_Pay">#REF!</definedName>
    <definedName name="fgf" localSheetId="4">#REF!</definedName>
    <definedName name="fgf">#REF!</definedName>
    <definedName name="fgjhj" localSheetId="4">#REF!</definedName>
    <definedName name="fgjhj">#REF!</definedName>
    <definedName name="Full_Print" localSheetId="4">#REF!</definedName>
    <definedName name="Full_Print">#REF!</definedName>
    <definedName name="Header_Row" localSheetId="4">ROW(#REF!)</definedName>
    <definedName name="Header_Row">ROW(#REF!)</definedName>
    <definedName name="hjj" localSheetId="4">#REF!</definedName>
    <definedName name="hjj">#REF!</definedName>
    <definedName name="hjkjk" localSheetId="4">#REF!</definedName>
    <definedName name="hjkjk">#REF!</definedName>
    <definedName name="hmjhj" localSheetId="4">#REF!</definedName>
    <definedName name="hmjhj">#REF!</definedName>
    <definedName name="Int" localSheetId="4">#REF!</definedName>
    <definedName name="Int">#REF!</definedName>
    <definedName name="Interest_Rate" localSheetId="4">#REF!</definedName>
    <definedName name="Interest_Rate">#REF!</definedName>
    <definedName name="jbkjkl" localSheetId="4">#REF!</definedName>
    <definedName name="jbkjkl">#REF!</definedName>
    <definedName name="kdt" localSheetId="4">#REF!</definedName>
    <definedName name="kdt">#REF!</definedName>
    <definedName name="Last_Row" localSheetId="1">IF('Team Targer Jan2025'!Values_Entered,Header_Row+'Team Targer Jan2025'!Number_of_Payments,Header_Row)</definedName>
    <definedName name="Last_Row" localSheetId="3">IF('Ws + Van Debtor YGN '!Values_Entered,Header_Row+'Ws + Van Debtor YGN '!Number_of_Payments,Header_Row)</definedName>
    <definedName name="Last_Row" localSheetId="4">IF('WS-2025'!Values_Entered,'WS-2025'!Header_Row+'WS-2025'!Number_of_Payments,'WS-2025'!Header_Row)</definedName>
    <definedName name="Last_Row" localSheetId="0">IF('Ygn 2025 Fllow up sale'!Values_Entered,Header_Row+'Ygn 2025 Fllow up sale'!Number_of_Payments,Header_Row)</definedName>
    <definedName name="Last_Row">IF(Values_Entered,Header_Row+Number_of_Payments,Header_Row)</definedName>
    <definedName name="Loan_Amount" localSheetId="4">#REF!</definedName>
    <definedName name="Loan_Amount">#REF!</definedName>
    <definedName name="Loan_Start" localSheetId="4">#REF!</definedName>
    <definedName name="Loan_Start">#REF!</definedName>
    <definedName name="Loan_Years" localSheetId="4">#REF!</definedName>
    <definedName name="Loan_Years">#REF!</definedName>
    <definedName name="LSO" localSheetId="4">#REF!</definedName>
    <definedName name="LSO">#REF!</definedName>
    <definedName name="lsoq" localSheetId="4">#REF!</definedName>
    <definedName name="lsoq">#REF!</definedName>
    <definedName name="mms" localSheetId="4">#REF!</definedName>
    <definedName name="mms">#REF!</definedName>
    <definedName name="neew" localSheetId="4">#REF!</definedName>
    <definedName name="neew">#REF!</definedName>
    <definedName name="New" localSheetId="4">#REF!</definedName>
    <definedName name="New">#REF!</definedName>
    <definedName name="Num_Pmt_Per_Year" localSheetId="4">#REF!</definedName>
    <definedName name="Num_Pmt_Per_Year">#REF!</definedName>
    <definedName name="Number_of_Payments" localSheetId="1">MATCH(0.01,End_Bal,-1)+1</definedName>
    <definedName name="Number_of_Payments" localSheetId="3">MATCH(0.01,End_Bal,-1)+1</definedName>
    <definedName name="Number_of_Payments" localSheetId="4">MATCH(0.01,'WS-2025'!End_Bal,-1)+1</definedName>
    <definedName name="Number_of_Payments" localSheetId="0">MATCH(0.01,End_Bal,-1)+1</definedName>
    <definedName name="Number_of_Payments">MATCH(0.01,End_Bal,-1)+1</definedName>
    <definedName name="Opening_Cr" localSheetId="4">#REF!</definedName>
    <definedName name="Opening_Cr">#REF!</definedName>
    <definedName name="Opening_Dr" localSheetId="4">#REF!</definedName>
    <definedName name="Opening_Dr">#REF!</definedName>
    <definedName name="Pay_Date" localSheetId="4">#REF!</definedName>
    <definedName name="Pay_Date">#REF!</definedName>
    <definedName name="Pay_Num" localSheetId="4">#REF!</definedName>
    <definedName name="Pay_Num">#REF!</definedName>
    <definedName name="Payment_Date" localSheetId="1">DATE(YEAR(Loan_Start),MONTH(Loan_Start)+Payment_Number,DAY(Loan_Start))</definedName>
    <definedName name="Payment_Date" localSheetId="3">DATE(YEAR(Loan_Start),MONTH(Loan_Start)+Payment_Number,DAY(Loan_Start))</definedName>
    <definedName name="Payment_Date" localSheetId="4">DATE(YEAR('WS-2025'!Loan_Start),MONTH('WS-2025'!Loan_Start)+Payment_Number,DAY('WS-2025'!Loan_Start))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rinc" localSheetId="4">#REF!</definedName>
    <definedName name="Princ">#REF!</definedName>
    <definedName name="Print_Area_Reset" localSheetId="1">OFFSET(Full_Print,0,0,'Team Targer Jan2025'!Last_Row)</definedName>
    <definedName name="Print_Area_Reset" localSheetId="3">OFFSET(Full_Print,0,0,'Ws + Van Debtor YGN '!Last_Row)</definedName>
    <definedName name="Print_Area_Reset" localSheetId="4">OFFSET('WS-2025'!Full_Print,0,0,'WS-2025'!Last_Row)</definedName>
    <definedName name="Print_Area_Reset" localSheetId="0">OFFSET(Full_Print,0,0,'Ygn 2025 Fllow up sale'!Last_Row)</definedName>
    <definedName name="Print_Area_Reset">OFFSET(Full_Print,0,0,Last_Row)</definedName>
    <definedName name="s" localSheetId="4">#REF!</definedName>
    <definedName name="s">#REF!</definedName>
    <definedName name="Sched_Pay" localSheetId="4">#REF!</definedName>
    <definedName name="Sched_Pay">#REF!</definedName>
    <definedName name="Scheduled_Extra_Payments" localSheetId="4">#REF!</definedName>
    <definedName name="Scheduled_Extra_Payments">#REF!</definedName>
    <definedName name="Scheduled_Interest_Rate" localSheetId="4">#REF!</definedName>
    <definedName name="Scheduled_Interest_Rate">#REF!</definedName>
    <definedName name="Scheduled_Monthly_Payment" localSheetId="4">#REF!</definedName>
    <definedName name="Scheduled_Monthly_Payment">#REF!</definedName>
    <definedName name="smm" localSheetId="4">#REF!</definedName>
    <definedName name="smm">#REF!</definedName>
    <definedName name="smmm" localSheetId="4">'[1]Market ( Mar) '!#REF!</definedName>
    <definedName name="smmm">'[1]Market ( Mar) '!#REF!</definedName>
    <definedName name="tdk" localSheetId="4">#REF!</definedName>
    <definedName name="tdk">#REF!</definedName>
    <definedName name="Total_Interest" localSheetId="4">#REF!</definedName>
    <definedName name="Total_Interest">#REF!</definedName>
    <definedName name="Total_Pay" localSheetId="4">#REF!</definedName>
    <definedName name="Total_Pay">#REF!</definedName>
    <definedName name="Total_Payment" localSheetId="1">Scheduled_Payment+Extra_Payment</definedName>
    <definedName name="Total_Payment" localSheetId="3">Scheduled_Payment+Extra_Payment</definedName>
    <definedName name="Total_Payment" localSheetId="4">Scheduled_Payment+Extra_Payment</definedName>
    <definedName name="Total_Payment" localSheetId="0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Values_Entered" localSheetId="1">IF(Loan_Amount*Interest_Rate*Loan_Years*Loan_Start&gt;0,1,0)</definedName>
    <definedName name="Values_Entered" localSheetId="3">IF(Loan_Amount*Interest_Rate*Loan_Years*Loan_Start&gt;0,1,0)</definedName>
    <definedName name="Values_Entered" localSheetId="4">IF('WS-2025'!Loan_Amount*'WS-2025'!Interest_Rate*'WS-2025'!Loan_Years*'WS-2025'!Loan_Start&gt;0,1,0)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khfkgf" localSheetId="4">#REF!</definedName>
    <definedName name="vkhfkgf">#REF!</definedName>
    <definedName name="ytu">MATCH(0.01,End_Bal,-1)+1</definedName>
    <definedName name="yyu">IF(Values_Entered,Header_Row+ytu,Header_Row)</definedName>
    <definedName name="zxdas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67" l="1"/>
  <c r="P20" i="67"/>
  <c r="P21" i="67"/>
  <c r="P22" i="67"/>
  <c r="H19" i="67"/>
  <c r="I19" i="67" s="1"/>
  <c r="H20" i="67"/>
  <c r="I20" i="67" s="1"/>
  <c r="H21" i="67"/>
  <c r="I21" i="67" s="1"/>
  <c r="H22" i="67"/>
  <c r="I22" i="67" s="1"/>
  <c r="P106" i="67"/>
  <c r="P107" i="67"/>
  <c r="P108" i="67"/>
  <c r="P109" i="67"/>
  <c r="P110" i="67"/>
  <c r="P111" i="67"/>
  <c r="H106" i="67"/>
  <c r="I106" i="67" s="1"/>
  <c r="H107" i="67"/>
  <c r="I107" i="67" s="1"/>
  <c r="H108" i="67"/>
  <c r="I108" i="67" s="1"/>
  <c r="H109" i="67"/>
  <c r="I109" i="67" s="1"/>
  <c r="H110" i="67"/>
  <c r="I110" i="67" s="1"/>
  <c r="H111" i="67"/>
  <c r="I111" i="67" s="1"/>
  <c r="P36" i="67"/>
  <c r="H36" i="67"/>
  <c r="I36" i="67" s="1"/>
  <c r="P83" i="67"/>
  <c r="P84" i="67"/>
  <c r="P85" i="67"/>
  <c r="P86" i="67"/>
  <c r="H83" i="67"/>
  <c r="I83" i="67" s="1"/>
  <c r="H84" i="67"/>
  <c r="I84" i="67" s="1"/>
  <c r="H85" i="67"/>
  <c r="I85" i="67" s="1"/>
  <c r="H86" i="67"/>
  <c r="I86" i="67" s="1"/>
  <c r="P140" i="67" l="1"/>
  <c r="P141" i="67"/>
  <c r="P142" i="67"/>
  <c r="H140" i="67"/>
  <c r="I140" i="67" s="1"/>
  <c r="H141" i="67"/>
  <c r="I141" i="67" s="1"/>
  <c r="H142" i="67"/>
  <c r="I142" i="67" s="1"/>
  <c r="P112" i="67"/>
  <c r="P113" i="67"/>
  <c r="P114" i="67"/>
  <c r="P115" i="67"/>
  <c r="P116" i="67"/>
  <c r="P117" i="67"/>
  <c r="P118" i="67"/>
  <c r="P119" i="67"/>
  <c r="P120" i="67"/>
  <c r="H112" i="67"/>
  <c r="I112" i="67" s="1"/>
  <c r="H113" i="67"/>
  <c r="I113" i="67" s="1"/>
  <c r="H114" i="67"/>
  <c r="I114" i="67" s="1"/>
  <c r="H115" i="67"/>
  <c r="I115" i="67" s="1"/>
  <c r="H116" i="67"/>
  <c r="I116" i="67" s="1"/>
  <c r="H117" i="67"/>
  <c r="I117" i="67" s="1"/>
  <c r="H118" i="67"/>
  <c r="I118" i="67" s="1"/>
  <c r="H119" i="67"/>
  <c r="I119" i="67" s="1"/>
  <c r="H120" i="67"/>
  <c r="I120" i="67" s="1"/>
  <c r="H121" i="67"/>
  <c r="I121" i="67" s="1"/>
  <c r="P26" i="67"/>
  <c r="P27" i="67"/>
  <c r="P28" i="67"/>
  <c r="P29" i="67"/>
  <c r="P30" i="67"/>
  <c r="P31" i="67"/>
  <c r="P32" i="67"/>
  <c r="P33" i="67"/>
  <c r="P34" i="67"/>
  <c r="P35" i="67"/>
  <c r="H26" i="67"/>
  <c r="I26" i="67" s="1"/>
  <c r="H27" i="67"/>
  <c r="I27" i="67" s="1"/>
  <c r="H28" i="67"/>
  <c r="I28" i="67" s="1"/>
  <c r="H29" i="67"/>
  <c r="I29" i="67" s="1"/>
  <c r="H30" i="67"/>
  <c r="I30" i="67" s="1"/>
  <c r="H31" i="67"/>
  <c r="I31" i="67" s="1"/>
  <c r="H32" i="67"/>
  <c r="I32" i="67" s="1"/>
  <c r="H33" i="67"/>
  <c r="I33" i="67" s="1"/>
  <c r="H34" i="67"/>
  <c r="I34" i="67" s="1"/>
  <c r="H35" i="67"/>
  <c r="I35" i="67" s="1"/>
  <c r="P92" i="67"/>
  <c r="P93" i="67"/>
  <c r="P94" i="67"/>
  <c r="P95" i="67"/>
  <c r="P96" i="67"/>
  <c r="P97" i="67"/>
  <c r="P98" i="67"/>
  <c r="P99" i="67"/>
  <c r="P100" i="67"/>
  <c r="P101" i="67"/>
  <c r="P102" i="67"/>
  <c r="P103" i="67"/>
  <c r="P104" i="67"/>
  <c r="P105" i="67"/>
  <c r="P121" i="67"/>
  <c r="P122" i="67"/>
  <c r="P123" i="67"/>
  <c r="P124" i="67"/>
  <c r="P125" i="67"/>
  <c r="P126" i="67"/>
  <c r="P127" i="67"/>
  <c r="P128" i="67"/>
  <c r="P129" i="67"/>
  <c r="P130" i="67"/>
  <c r="P131" i="67"/>
  <c r="P132" i="67"/>
  <c r="P133" i="67"/>
  <c r="P134" i="67"/>
  <c r="P135" i="67"/>
  <c r="P137" i="67"/>
  <c r="P138" i="67"/>
  <c r="P139" i="67"/>
  <c r="P143" i="67"/>
  <c r="P144" i="67"/>
  <c r="P145" i="67"/>
  <c r="P147" i="67"/>
  <c r="P148" i="67"/>
  <c r="P149" i="67"/>
  <c r="P151" i="67"/>
  <c r="H92" i="67"/>
  <c r="I92" i="67" s="1"/>
  <c r="H93" i="67"/>
  <c r="I93" i="67" s="1"/>
  <c r="H94" i="67"/>
  <c r="I94" i="67" s="1"/>
  <c r="H95" i="67"/>
  <c r="I95" i="67" s="1"/>
  <c r="H96" i="67"/>
  <c r="I96" i="67" s="1"/>
  <c r="H97" i="67"/>
  <c r="I97" i="67" s="1"/>
  <c r="H98" i="67"/>
  <c r="I98" i="67" s="1"/>
  <c r="H99" i="67"/>
  <c r="I99" i="67" s="1"/>
  <c r="H100" i="67"/>
  <c r="I100" i="67" s="1"/>
  <c r="H101" i="67"/>
  <c r="I101" i="67" s="1"/>
  <c r="H102" i="67"/>
  <c r="I102" i="67" s="1"/>
  <c r="H103" i="67"/>
  <c r="I103" i="67" s="1"/>
  <c r="H104" i="67"/>
  <c r="I104" i="67" s="1"/>
  <c r="H105" i="67"/>
  <c r="I105" i="67" s="1"/>
  <c r="H122" i="67"/>
  <c r="I122" i="67" s="1"/>
  <c r="H123" i="67"/>
  <c r="I123" i="67" s="1"/>
  <c r="H124" i="67"/>
  <c r="I124" i="67" s="1"/>
  <c r="P23" i="67"/>
  <c r="H23" i="67"/>
  <c r="I23" i="67" s="1"/>
  <c r="K173" i="67"/>
  <c r="H25" i="67"/>
  <c r="I25" i="67" s="1"/>
  <c r="P25" i="67"/>
  <c r="H125" i="67" l="1"/>
  <c r="I125" i="67" s="1"/>
  <c r="H126" i="67"/>
  <c r="I126" i="67" s="1"/>
  <c r="H127" i="67"/>
  <c r="I127" i="67" s="1"/>
  <c r="H128" i="67"/>
  <c r="I128" i="67" s="1"/>
  <c r="H129" i="67"/>
  <c r="I129" i="67" s="1"/>
  <c r="H130" i="67"/>
  <c r="I130" i="67" s="1"/>
  <c r="H131" i="67"/>
  <c r="I131" i="67" s="1"/>
  <c r="H132" i="67"/>
  <c r="I132" i="67" s="1"/>
  <c r="H133" i="67"/>
  <c r="I133" i="67" s="1"/>
  <c r="H134" i="67"/>
  <c r="I134" i="67" s="1"/>
  <c r="H72" i="67"/>
  <c r="I72" i="67" s="1"/>
  <c r="P8" i="67"/>
  <c r="P9" i="67"/>
  <c r="P10" i="67"/>
  <c r="P11" i="67"/>
  <c r="P12" i="67"/>
  <c r="P13" i="67"/>
  <c r="P14" i="67"/>
  <c r="P15" i="67"/>
  <c r="P16" i="67"/>
  <c r="P17" i="67"/>
  <c r="P18" i="67"/>
  <c r="H8" i="67"/>
  <c r="I8" i="67" s="1"/>
  <c r="H9" i="67"/>
  <c r="I9" i="67" s="1"/>
  <c r="H10" i="67"/>
  <c r="I10" i="67" s="1"/>
  <c r="H11" i="67"/>
  <c r="I11" i="67" s="1"/>
  <c r="H12" i="67"/>
  <c r="I12" i="67" s="1"/>
  <c r="H13" i="67"/>
  <c r="I13" i="67" s="1"/>
  <c r="H14" i="67"/>
  <c r="I14" i="67" s="1"/>
  <c r="H15" i="67"/>
  <c r="I15" i="67" s="1"/>
  <c r="H16" i="67"/>
  <c r="I16" i="67" s="1"/>
  <c r="H17" i="67"/>
  <c r="I17" i="67" s="1"/>
  <c r="H18" i="67"/>
  <c r="I18" i="67" s="1"/>
  <c r="P68" i="67"/>
  <c r="P69" i="67"/>
  <c r="P70" i="67"/>
  <c r="H68" i="67"/>
  <c r="I68" i="67" s="1"/>
  <c r="H69" i="67"/>
  <c r="I69" i="67" s="1"/>
  <c r="H70" i="67"/>
  <c r="I70" i="67" s="1"/>
  <c r="P7" i="67"/>
  <c r="H7" i="67"/>
  <c r="I7" i="67" s="1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H54" i="67"/>
  <c r="I54" i="67" s="1"/>
  <c r="H55" i="67"/>
  <c r="I55" i="67" s="1"/>
  <c r="H56" i="67"/>
  <c r="I56" i="67" s="1"/>
  <c r="H57" i="67"/>
  <c r="I57" i="67" s="1"/>
  <c r="H58" i="67"/>
  <c r="I58" i="67" s="1"/>
  <c r="H59" i="67"/>
  <c r="I59" i="67" s="1"/>
  <c r="H60" i="67"/>
  <c r="I60" i="67" s="1"/>
  <c r="H61" i="67"/>
  <c r="I61" i="67" s="1"/>
  <c r="H62" i="67"/>
  <c r="I62" i="67" s="1"/>
  <c r="H63" i="67"/>
  <c r="I63" i="67" s="1"/>
  <c r="H64" i="67"/>
  <c r="I64" i="67" s="1"/>
  <c r="H65" i="67"/>
  <c r="I65" i="67" s="1"/>
  <c r="H66" i="67"/>
  <c r="I66" i="67" s="1"/>
  <c r="H67" i="67"/>
  <c r="I67" i="67" s="1"/>
  <c r="P77" i="67"/>
  <c r="P78" i="67"/>
  <c r="P79" i="67"/>
  <c r="P80" i="67"/>
  <c r="P81" i="67"/>
  <c r="P82" i="67"/>
  <c r="H77" i="67"/>
  <c r="I77" i="67" s="1"/>
  <c r="H78" i="67"/>
  <c r="I78" i="67" s="1"/>
  <c r="H79" i="67"/>
  <c r="I79" i="67" s="1"/>
  <c r="H80" i="67"/>
  <c r="I80" i="67" s="1"/>
  <c r="H81" i="67"/>
  <c r="I81" i="67" s="1"/>
  <c r="H82" i="67"/>
  <c r="I82" i="67" s="1"/>
  <c r="P76" i="67"/>
  <c r="H76" i="67"/>
  <c r="I76" i="67" s="1"/>
  <c r="P72" i="67"/>
  <c r="P73" i="67"/>
  <c r="P74" i="67"/>
  <c r="P75" i="67"/>
  <c r="H73" i="67"/>
  <c r="I73" i="67" s="1"/>
  <c r="H74" i="67"/>
  <c r="I74" i="67" s="1"/>
  <c r="H75" i="67"/>
  <c r="I75" i="67" s="1"/>
  <c r="P71" i="67" l="1"/>
  <c r="G191" i="67" l="1"/>
  <c r="P87" i="67"/>
  <c r="P88" i="67"/>
  <c r="P89" i="67"/>
  <c r="P90" i="67"/>
  <c r="P91" i="67"/>
  <c r="H87" i="67"/>
  <c r="I87" i="67" s="1"/>
  <c r="H88" i="67"/>
  <c r="I88" i="67" s="1"/>
  <c r="H89" i="67"/>
  <c r="I89" i="67" s="1"/>
  <c r="H90" i="67"/>
  <c r="I90" i="67" s="1"/>
  <c r="H91" i="67"/>
  <c r="I91" i="67" s="1"/>
  <c r="K136" i="67"/>
  <c r="P44" i="67"/>
  <c r="P45" i="67"/>
  <c r="P46" i="67"/>
  <c r="P47" i="67"/>
  <c r="P48" i="67"/>
  <c r="P49" i="67"/>
  <c r="P50" i="67"/>
  <c r="P51" i="67"/>
  <c r="P52" i="67"/>
  <c r="P53" i="67"/>
  <c r="H44" i="67"/>
  <c r="I44" i="67" s="1"/>
  <c r="H45" i="67"/>
  <c r="I45" i="67" s="1"/>
  <c r="H46" i="67"/>
  <c r="I46" i="67" s="1"/>
  <c r="H47" i="67"/>
  <c r="I47" i="67" s="1"/>
  <c r="H48" i="67"/>
  <c r="I48" i="67" s="1"/>
  <c r="H49" i="67"/>
  <c r="I49" i="67" s="1"/>
  <c r="H50" i="67"/>
  <c r="I50" i="67" s="1"/>
  <c r="H51" i="67"/>
  <c r="I51" i="67" s="1"/>
  <c r="H52" i="67"/>
  <c r="I52" i="67" s="1"/>
  <c r="H53" i="67"/>
  <c r="I53" i="67" s="1"/>
  <c r="H71" i="67" l="1"/>
  <c r="I71" i="67" s="1"/>
  <c r="L173" i="67" l="1"/>
  <c r="P171" i="67"/>
  <c r="H171" i="67"/>
  <c r="I171" i="67" s="1"/>
  <c r="M150" i="67"/>
  <c r="L150" i="67"/>
  <c r="K150" i="67"/>
  <c r="H148" i="67"/>
  <c r="I148" i="67" s="1"/>
  <c r="H149" i="67"/>
  <c r="I149" i="67" s="1"/>
  <c r="P150" i="67" l="1"/>
  <c r="P175" i="67"/>
  <c r="H175" i="67"/>
  <c r="I175" i="67" s="1"/>
  <c r="H135" i="67"/>
  <c r="I135" i="67" s="1"/>
  <c r="L176" i="67" l="1"/>
  <c r="M176" i="67"/>
  <c r="K176" i="67"/>
  <c r="P153" i="67" l="1"/>
  <c r="P152" i="67"/>
  <c r="P167" i="67"/>
  <c r="P24" i="67" l="1"/>
  <c r="H24" i="67"/>
  <c r="I24" i="67" s="1"/>
  <c r="H174" i="67" l="1"/>
  <c r="I174" i="67" s="1"/>
  <c r="P174" i="67" l="1"/>
  <c r="P156" i="67" l="1"/>
  <c r="P157" i="67"/>
  <c r="P158" i="67"/>
  <c r="P159" i="67"/>
  <c r="P160" i="67"/>
  <c r="P161" i="67"/>
  <c r="P162" i="67"/>
  <c r="P163" i="67"/>
  <c r="H163" i="67"/>
  <c r="I163" i="67" s="1"/>
  <c r="H156" i="67"/>
  <c r="I156" i="67" s="1"/>
  <c r="H157" i="67"/>
  <c r="I157" i="67" s="1"/>
  <c r="H158" i="67"/>
  <c r="I158" i="67" s="1"/>
  <c r="H159" i="67"/>
  <c r="I159" i="67" s="1"/>
  <c r="H160" i="67"/>
  <c r="I160" i="67" s="1"/>
  <c r="H161" i="67"/>
  <c r="I161" i="67" s="1"/>
  <c r="H162" i="67"/>
  <c r="I162" i="67" s="1"/>
  <c r="H145" i="67"/>
  <c r="I145" i="67" s="1"/>
  <c r="M136" i="67"/>
  <c r="L136" i="67"/>
  <c r="P136" i="67" l="1"/>
  <c r="M146" i="67"/>
  <c r="L146" i="67"/>
  <c r="K146" i="67"/>
  <c r="P38" i="67"/>
  <c r="X45" i="53"/>
  <c r="R45" i="53"/>
  <c r="AD44" i="53"/>
  <c r="N44" i="53"/>
  <c r="H44" i="53"/>
  <c r="U43" i="53"/>
  <c r="AB42" i="53"/>
  <c r="L42" i="53"/>
  <c r="S41" i="53"/>
  <c r="R41" i="53"/>
  <c r="L41" i="53"/>
  <c r="X40" i="53"/>
  <c r="H40" i="53"/>
  <c r="N39" i="53"/>
  <c r="AB37" i="53"/>
  <c r="L37" i="53"/>
  <c r="R36" i="53"/>
  <c r="X35" i="53"/>
  <c r="U33" i="53"/>
  <c r="J32" i="53"/>
  <c r="AH27" i="53"/>
  <c r="R24" i="53"/>
  <c r="Z23" i="53"/>
  <c r="H23" i="53"/>
  <c r="P22" i="53"/>
  <c r="N22" i="53"/>
  <c r="AI21" i="53"/>
  <c r="AH21" i="53"/>
  <c r="AE21" i="53"/>
  <c r="AD21" i="53"/>
  <c r="AC21" i="53"/>
  <c r="AB21" i="53"/>
  <c r="AA21" i="53"/>
  <c r="Z21" i="53"/>
  <c r="Y21" i="53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H21" i="53"/>
  <c r="G21" i="53"/>
  <c r="F21" i="53"/>
  <c r="E21" i="53"/>
  <c r="D21" i="53"/>
  <c r="R20" i="53"/>
  <c r="L20" i="53"/>
  <c r="N18" i="53"/>
  <c r="H18" i="53"/>
  <c r="K16" i="53"/>
  <c r="T15" i="53"/>
  <c r="R15" i="53"/>
  <c r="V12" i="53"/>
  <c r="J11" i="53"/>
  <c r="X10" i="53"/>
  <c r="R10" i="53"/>
  <c r="F9" i="53"/>
  <c r="D7" i="53"/>
  <c r="AC19" i="52"/>
  <c r="AD45" i="53" s="1"/>
  <c r="AA19" i="52"/>
  <c r="AB45" i="53" s="1"/>
  <c r="Y19" i="52"/>
  <c r="Z45" i="53" s="1"/>
  <c r="W19" i="52"/>
  <c r="U19" i="52"/>
  <c r="V45" i="53" s="1"/>
  <c r="S19" i="52"/>
  <c r="T45" i="53" s="1"/>
  <c r="Q19" i="52"/>
  <c r="O19" i="52"/>
  <c r="P45" i="53" s="1"/>
  <c r="M19" i="52"/>
  <c r="N45" i="53" s="1"/>
  <c r="K19" i="52"/>
  <c r="L45" i="53" s="1"/>
  <c r="J19" i="52"/>
  <c r="K45" i="53" s="1"/>
  <c r="I19" i="52"/>
  <c r="J45" i="53" s="1"/>
  <c r="G19" i="52"/>
  <c r="H45" i="53" s="1"/>
  <c r="E19" i="52"/>
  <c r="F45" i="53" s="1"/>
  <c r="C19" i="52"/>
  <c r="D45" i="53" s="1"/>
  <c r="AG18" i="52"/>
  <c r="AG17" i="52"/>
  <c r="AG16" i="52"/>
  <c r="AG15" i="52"/>
  <c r="AG14" i="52"/>
  <c r="AG13" i="52"/>
  <c r="AG12" i="52"/>
  <c r="AG11" i="52"/>
  <c r="Z10" i="52"/>
  <c r="Z19" i="52" s="1"/>
  <c r="AA45" i="53" s="1"/>
  <c r="X10" i="52"/>
  <c r="X19" i="52" s="1"/>
  <c r="Y45" i="53" s="1"/>
  <c r="V10" i="52"/>
  <c r="T10" i="52"/>
  <c r="R10" i="52"/>
  <c r="P10" i="52"/>
  <c r="N10" i="52"/>
  <c r="L10" i="52"/>
  <c r="J10" i="52"/>
  <c r="H10" i="52"/>
  <c r="F10" i="52"/>
  <c r="D10" i="52"/>
  <c r="AE9" i="52"/>
  <c r="AD9" i="52"/>
  <c r="AB9" i="52"/>
  <c r="Z9" i="52"/>
  <c r="X9" i="52"/>
  <c r="V9" i="52"/>
  <c r="T9" i="52"/>
  <c r="R9" i="52"/>
  <c r="P9" i="52"/>
  <c r="N9" i="52"/>
  <c r="L9" i="52"/>
  <c r="J9" i="52"/>
  <c r="H9" i="52"/>
  <c r="F9" i="52"/>
  <c r="D9" i="52"/>
  <c r="AG9" i="52" s="1"/>
  <c r="AE8" i="52"/>
  <c r="AD8" i="52"/>
  <c r="AB8" i="52"/>
  <c r="Z8" i="52"/>
  <c r="X8" i="52"/>
  <c r="V8" i="52"/>
  <c r="T8" i="52"/>
  <c r="R8" i="52"/>
  <c r="P8" i="52"/>
  <c r="N8" i="52"/>
  <c r="L8" i="52"/>
  <c r="J8" i="52"/>
  <c r="H8" i="52"/>
  <c r="F8" i="52"/>
  <c r="D8" i="52"/>
  <c r="AG8" i="52" s="1"/>
  <c r="AE7" i="52"/>
  <c r="AD7" i="52"/>
  <c r="AB7" i="52"/>
  <c r="Z7" i="52"/>
  <c r="X7" i="52"/>
  <c r="V7" i="52"/>
  <c r="T7" i="52"/>
  <c r="R7" i="52"/>
  <c r="AF7" i="52" s="1"/>
  <c r="P7" i="52"/>
  <c r="N7" i="52"/>
  <c r="L7" i="52"/>
  <c r="J7" i="52"/>
  <c r="H7" i="52"/>
  <c r="F7" i="52"/>
  <c r="D7" i="52"/>
  <c r="AG7" i="52" s="1"/>
  <c r="AE6" i="52"/>
  <c r="AE19" i="52" s="1"/>
  <c r="AH45" i="53" s="1"/>
  <c r="AD6" i="52"/>
  <c r="AB6" i="52"/>
  <c r="Z6" i="52"/>
  <c r="X6" i="52"/>
  <c r="V6" i="52"/>
  <c r="V19" i="52" s="1"/>
  <c r="W45" i="53" s="1"/>
  <c r="T6" i="52"/>
  <c r="T19" i="52" s="1"/>
  <c r="U45" i="53" s="1"/>
  <c r="R6" i="52"/>
  <c r="R19" i="52" s="1"/>
  <c r="S45" i="53" s="1"/>
  <c r="P6" i="52"/>
  <c r="P19" i="52" s="1"/>
  <c r="Q45" i="53" s="1"/>
  <c r="N6" i="52"/>
  <c r="L6" i="52"/>
  <c r="J6" i="52"/>
  <c r="H6" i="52"/>
  <c r="F6" i="52"/>
  <c r="F19" i="52" s="1"/>
  <c r="G45" i="53" s="1"/>
  <c r="D6" i="52"/>
  <c r="AG6" i="52" s="1"/>
  <c r="AE1" i="52"/>
  <c r="AC19" i="51"/>
  <c r="AA19" i="51"/>
  <c r="AB44" i="53" s="1"/>
  <c r="Z19" i="51"/>
  <c r="AA44" i="53" s="1"/>
  <c r="Y19" i="51"/>
  <c r="Z44" i="53" s="1"/>
  <c r="W19" i="51"/>
  <c r="X44" i="53" s="1"/>
  <c r="U19" i="51"/>
  <c r="V44" i="53" s="1"/>
  <c r="T19" i="51"/>
  <c r="U44" i="53" s="1"/>
  <c r="S19" i="51"/>
  <c r="T44" i="53" s="1"/>
  <c r="Q19" i="51"/>
  <c r="R44" i="53" s="1"/>
  <c r="O19" i="51"/>
  <c r="P44" i="53" s="1"/>
  <c r="M19" i="51"/>
  <c r="L19" i="51"/>
  <c r="M44" i="53" s="1"/>
  <c r="K19" i="51"/>
  <c r="L44" i="53" s="1"/>
  <c r="I19" i="51"/>
  <c r="J44" i="53" s="1"/>
  <c r="G19" i="51"/>
  <c r="E19" i="51"/>
  <c r="F44" i="53" s="1"/>
  <c r="D19" i="51"/>
  <c r="E44" i="53" s="1"/>
  <c r="C19" i="51"/>
  <c r="D44" i="53" s="1"/>
  <c r="AG18" i="51"/>
  <c r="AG17" i="51"/>
  <c r="AG16" i="51"/>
  <c r="AG15" i="51"/>
  <c r="AG14" i="51"/>
  <c r="AG13" i="51"/>
  <c r="AG12" i="51"/>
  <c r="AG11" i="51"/>
  <c r="X10" i="51"/>
  <c r="V10" i="51"/>
  <c r="T10" i="51"/>
  <c r="R10" i="51"/>
  <c r="P10" i="51"/>
  <c r="N10" i="51"/>
  <c r="L10" i="51"/>
  <c r="J10" i="51"/>
  <c r="J19" i="51" s="1"/>
  <c r="K44" i="53" s="1"/>
  <c r="H10" i="51"/>
  <c r="F10" i="51"/>
  <c r="D10" i="51"/>
  <c r="AE9" i="51"/>
  <c r="AD9" i="51"/>
  <c r="AB9" i="51"/>
  <c r="AB19" i="51" s="1"/>
  <c r="AC44" i="53" s="1"/>
  <c r="Z9" i="51"/>
  <c r="X9" i="51"/>
  <c r="V9" i="51"/>
  <c r="T9" i="51"/>
  <c r="R9" i="51"/>
  <c r="P9" i="51"/>
  <c r="N9" i="51"/>
  <c r="L9" i="51"/>
  <c r="J9" i="51"/>
  <c r="H9" i="51"/>
  <c r="F9" i="51"/>
  <c r="D9" i="51"/>
  <c r="AE8" i="51"/>
  <c r="AD8" i="51"/>
  <c r="AB8" i="51"/>
  <c r="Z8" i="51"/>
  <c r="X8" i="51"/>
  <c r="V8" i="51"/>
  <c r="T8" i="51"/>
  <c r="R8" i="51"/>
  <c r="AF8" i="51" s="1"/>
  <c r="P8" i="51"/>
  <c r="N8" i="51"/>
  <c r="L8" i="51"/>
  <c r="J8" i="51"/>
  <c r="H8" i="51"/>
  <c r="F8" i="51"/>
  <c r="D8" i="51"/>
  <c r="AG8" i="51" s="1"/>
  <c r="AE7" i="51"/>
  <c r="AD7" i="51"/>
  <c r="AB7" i="51"/>
  <c r="Z7" i="51"/>
  <c r="X7" i="51"/>
  <c r="V7" i="51"/>
  <c r="T7" i="51"/>
  <c r="R7" i="51"/>
  <c r="R19" i="51" s="1"/>
  <c r="S44" i="53" s="1"/>
  <c r="P7" i="51"/>
  <c r="N7" i="51"/>
  <c r="L7" i="51"/>
  <c r="J7" i="51"/>
  <c r="H7" i="51"/>
  <c r="F7" i="51"/>
  <c r="D7" i="51"/>
  <c r="AG7" i="51" s="1"/>
  <c r="AE6" i="51"/>
  <c r="AE19" i="51" s="1"/>
  <c r="AD6" i="51"/>
  <c r="AD19" i="51" s="1"/>
  <c r="AE44" i="53" s="1"/>
  <c r="AB6" i="51"/>
  <c r="Z6" i="51"/>
  <c r="X6" i="51"/>
  <c r="X19" i="51" s="1"/>
  <c r="Y44" i="53" s="1"/>
  <c r="V6" i="51"/>
  <c r="V19" i="51" s="1"/>
  <c r="W44" i="53" s="1"/>
  <c r="T6" i="51"/>
  <c r="R6" i="51"/>
  <c r="P6" i="51"/>
  <c r="P19" i="51" s="1"/>
  <c r="Q44" i="53" s="1"/>
  <c r="N6" i="51"/>
  <c r="N19" i="51" s="1"/>
  <c r="O44" i="53" s="1"/>
  <c r="L6" i="51"/>
  <c r="J6" i="51"/>
  <c r="H6" i="51"/>
  <c r="H19" i="51" s="1"/>
  <c r="I44" i="53" s="1"/>
  <c r="F6" i="51"/>
  <c r="F19" i="51" s="1"/>
  <c r="G44" i="53" s="1"/>
  <c r="D6" i="51"/>
  <c r="AG6" i="51" s="1"/>
  <c r="AC19" i="50"/>
  <c r="AD43" i="53" s="1"/>
  <c r="AB19" i="50"/>
  <c r="AC43" i="53" s="1"/>
  <c r="AA19" i="50"/>
  <c r="AB43" i="53" s="1"/>
  <c r="Y19" i="50"/>
  <c r="Z43" i="53" s="1"/>
  <c r="W19" i="50"/>
  <c r="X43" i="53" s="1"/>
  <c r="U19" i="50"/>
  <c r="V43" i="53" s="1"/>
  <c r="S19" i="50"/>
  <c r="T43" i="53" s="1"/>
  <c r="Q19" i="50"/>
  <c r="R43" i="53" s="1"/>
  <c r="O19" i="50"/>
  <c r="P43" i="53" s="1"/>
  <c r="M19" i="50"/>
  <c r="N43" i="53" s="1"/>
  <c r="K19" i="50"/>
  <c r="L43" i="53" s="1"/>
  <c r="I19" i="50"/>
  <c r="J43" i="53" s="1"/>
  <c r="G19" i="50"/>
  <c r="H43" i="53" s="1"/>
  <c r="E19" i="50"/>
  <c r="F43" i="53" s="1"/>
  <c r="D19" i="50"/>
  <c r="E43" i="53" s="1"/>
  <c r="C19" i="50"/>
  <c r="D43" i="53" s="1"/>
  <c r="AG18" i="50"/>
  <c r="AG17" i="50"/>
  <c r="AG16" i="50"/>
  <c r="AG15" i="50"/>
  <c r="AG14" i="50"/>
  <c r="AG13" i="50"/>
  <c r="AG12" i="50"/>
  <c r="AG11" i="50"/>
  <c r="Z10" i="50"/>
  <c r="V10" i="50"/>
  <c r="T10" i="50"/>
  <c r="R10" i="50"/>
  <c r="P10" i="50"/>
  <c r="N10" i="50"/>
  <c r="L10" i="50"/>
  <c r="L19" i="50" s="1"/>
  <c r="M43" i="53" s="1"/>
  <c r="J10" i="50"/>
  <c r="H10" i="50"/>
  <c r="F10" i="50"/>
  <c r="D10" i="50"/>
  <c r="AE9" i="50"/>
  <c r="AD9" i="50"/>
  <c r="AB9" i="50"/>
  <c r="Z9" i="50"/>
  <c r="X9" i="50"/>
  <c r="V9" i="50"/>
  <c r="T9" i="50"/>
  <c r="R9" i="50"/>
  <c r="AF9" i="50" s="1"/>
  <c r="P9" i="50"/>
  <c r="N9" i="50"/>
  <c r="L9" i="50"/>
  <c r="J9" i="50"/>
  <c r="H9" i="50"/>
  <c r="F9" i="50"/>
  <c r="D9" i="50"/>
  <c r="AG9" i="50" s="1"/>
  <c r="AE8" i="50"/>
  <c r="AD8" i="50"/>
  <c r="AB8" i="50"/>
  <c r="Z8" i="50"/>
  <c r="X8" i="50"/>
  <c r="V8" i="50"/>
  <c r="T8" i="50"/>
  <c r="R8" i="50"/>
  <c r="P8" i="50"/>
  <c r="N8" i="50"/>
  <c r="L8" i="50"/>
  <c r="J8" i="50"/>
  <c r="H8" i="50"/>
  <c r="F8" i="50"/>
  <c r="D8" i="50"/>
  <c r="AG8" i="50" s="1"/>
  <c r="AE7" i="50"/>
  <c r="AD7" i="50"/>
  <c r="AB7" i="50"/>
  <c r="Z7" i="50"/>
  <c r="X7" i="50"/>
  <c r="V7" i="50"/>
  <c r="T7" i="50"/>
  <c r="R7" i="50"/>
  <c r="P7" i="50"/>
  <c r="N7" i="50"/>
  <c r="L7" i="50"/>
  <c r="J7" i="50"/>
  <c r="H7" i="50"/>
  <c r="F7" i="50"/>
  <c r="D7" i="50"/>
  <c r="AG7" i="50" s="1"/>
  <c r="AE6" i="50"/>
  <c r="AE19" i="50" s="1"/>
  <c r="AD6" i="50"/>
  <c r="AD19" i="50" s="1"/>
  <c r="AE43" i="53" s="1"/>
  <c r="AB6" i="50"/>
  <c r="Z6" i="50"/>
  <c r="Z19" i="50" s="1"/>
  <c r="AA43" i="53" s="1"/>
  <c r="X6" i="50"/>
  <c r="X19" i="50" s="1"/>
  <c r="Y43" i="53" s="1"/>
  <c r="V6" i="50"/>
  <c r="V19" i="50" s="1"/>
  <c r="W43" i="53" s="1"/>
  <c r="T6" i="50"/>
  <c r="T19" i="50" s="1"/>
  <c r="R6" i="50"/>
  <c r="P6" i="50"/>
  <c r="P19" i="50" s="1"/>
  <c r="Q43" i="53" s="1"/>
  <c r="N6" i="50"/>
  <c r="N19" i="50" s="1"/>
  <c r="O43" i="53" s="1"/>
  <c r="L6" i="50"/>
  <c r="J6" i="50"/>
  <c r="J19" i="50" s="1"/>
  <c r="K43" i="53" s="1"/>
  <c r="H6" i="50"/>
  <c r="H19" i="50" s="1"/>
  <c r="I43" i="53" s="1"/>
  <c r="F6" i="50"/>
  <c r="F19" i="50" s="1"/>
  <c r="G43" i="53" s="1"/>
  <c r="D6" i="50"/>
  <c r="AG6" i="50" s="1"/>
  <c r="AD19" i="49"/>
  <c r="AE42" i="53" s="1"/>
  <c r="AC19" i="49"/>
  <c r="AD42" i="53" s="1"/>
  <c r="AB19" i="49"/>
  <c r="AC42" i="53" s="1"/>
  <c r="AA19" i="49"/>
  <c r="Y19" i="49"/>
  <c r="Z42" i="53" s="1"/>
  <c r="W19" i="49"/>
  <c r="X42" i="53" s="1"/>
  <c r="U19" i="49"/>
  <c r="V42" i="53" s="1"/>
  <c r="S19" i="49"/>
  <c r="T42" i="53" s="1"/>
  <c r="Q19" i="49"/>
  <c r="R42" i="53" s="1"/>
  <c r="O19" i="49"/>
  <c r="P42" i="53" s="1"/>
  <c r="N19" i="49"/>
  <c r="O42" i="53" s="1"/>
  <c r="M19" i="49"/>
  <c r="N42" i="53" s="1"/>
  <c r="L19" i="49"/>
  <c r="M42" i="53" s="1"/>
  <c r="K19" i="49"/>
  <c r="I19" i="49"/>
  <c r="J42" i="53" s="1"/>
  <c r="G19" i="49"/>
  <c r="H42" i="53" s="1"/>
  <c r="E19" i="49"/>
  <c r="F42" i="53" s="1"/>
  <c r="C19" i="49"/>
  <c r="D42" i="53" s="1"/>
  <c r="AG18" i="49"/>
  <c r="AG17" i="49"/>
  <c r="AG16" i="49"/>
  <c r="AG15" i="49"/>
  <c r="AG14" i="49"/>
  <c r="AG13" i="49"/>
  <c r="AG12" i="49"/>
  <c r="AG11" i="49"/>
  <c r="Z10" i="49"/>
  <c r="X10" i="49"/>
  <c r="V10" i="49"/>
  <c r="T10" i="49"/>
  <c r="R10" i="49"/>
  <c r="P10" i="49"/>
  <c r="N10" i="49"/>
  <c r="L10" i="49"/>
  <c r="J10" i="49"/>
  <c r="H10" i="49"/>
  <c r="F10" i="49"/>
  <c r="D10" i="49"/>
  <c r="AE9" i="49"/>
  <c r="AD9" i="49"/>
  <c r="AB9" i="49"/>
  <c r="Z9" i="49"/>
  <c r="X9" i="49"/>
  <c r="V9" i="49"/>
  <c r="T9" i="49"/>
  <c r="R9" i="49"/>
  <c r="P9" i="49"/>
  <c r="N9" i="49"/>
  <c r="L9" i="49"/>
  <c r="J9" i="49"/>
  <c r="H9" i="49"/>
  <c r="F9" i="49"/>
  <c r="D9" i="49"/>
  <c r="AG9" i="49" s="1"/>
  <c r="AE8" i="49"/>
  <c r="AD8" i="49"/>
  <c r="AB8" i="49"/>
  <c r="Z8" i="49"/>
  <c r="X8" i="49"/>
  <c r="V8" i="49"/>
  <c r="V19" i="49" s="1"/>
  <c r="W42" i="53" s="1"/>
  <c r="T8" i="49"/>
  <c r="T19" i="49" s="1"/>
  <c r="U42" i="53" s="1"/>
  <c r="R8" i="49"/>
  <c r="P8" i="49"/>
  <c r="N8" i="49"/>
  <c r="L8" i="49"/>
  <c r="J8" i="49"/>
  <c r="H8" i="49"/>
  <c r="F8" i="49"/>
  <c r="F19" i="49" s="1"/>
  <c r="G42" i="53" s="1"/>
  <c r="D8" i="49"/>
  <c r="AG8" i="49" s="1"/>
  <c r="AE7" i="49"/>
  <c r="AD7" i="49"/>
  <c r="AB7" i="49"/>
  <c r="Z7" i="49"/>
  <c r="X7" i="49"/>
  <c r="V7" i="49"/>
  <c r="T7" i="49"/>
  <c r="R7" i="49"/>
  <c r="P7" i="49"/>
  <c r="N7" i="49"/>
  <c r="L7" i="49"/>
  <c r="J7" i="49"/>
  <c r="H7" i="49"/>
  <c r="F7" i="49"/>
  <c r="D7" i="49"/>
  <c r="AG7" i="49" s="1"/>
  <c r="AE6" i="49"/>
  <c r="AE19" i="49" s="1"/>
  <c r="AD6" i="49"/>
  <c r="AB6" i="49"/>
  <c r="Z6" i="49"/>
  <c r="Z19" i="49" s="1"/>
  <c r="AA42" i="53" s="1"/>
  <c r="X6" i="49"/>
  <c r="X19" i="49" s="1"/>
  <c r="Y42" i="53" s="1"/>
  <c r="V6" i="49"/>
  <c r="T6" i="49"/>
  <c r="R6" i="49"/>
  <c r="P6" i="49"/>
  <c r="P19" i="49" s="1"/>
  <c r="Q42" i="53" s="1"/>
  <c r="N6" i="49"/>
  <c r="L6" i="49"/>
  <c r="J6" i="49"/>
  <c r="J19" i="49" s="1"/>
  <c r="K42" i="53" s="1"/>
  <c r="H6" i="49"/>
  <c r="H19" i="49" s="1"/>
  <c r="I42" i="53" s="1"/>
  <c r="F6" i="49"/>
  <c r="D6" i="49"/>
  <c r="AC20" i="48"/>
  <c r="AD41" i="53" s="1"/>
  <c r="AA20" i="48"/>
  <c r="AB41" i="53" s="1"/>
  <c r="Y20" i="48"/>
  <c r="Z41" i="53" s="1"/>
  <c r="W20" i="48"/>
  <c r="X41" i="53" s="1"/>
  <c r="U20" i="48"/>
  <c r="V41" i="53" s="1"/>
  <c r="S20" i="48"/>
  <c r="T41" i="53" s="1"/>
  <c r="Q20" i="48"/>
  <c r="O20" i="48"/>
  <c r="P41" i="53" s="1"/>
  <c r="M20" i="48"/>
  <c r="N41" i="53" s="1"/>
  <c r="K20" i="48"/>
  <c r="I20" i="48"/>
  <c r="J41" i="53" s="1"/>
  <c r="G20" i="48"/>
  <c r="H41" i="53" s="1"/>
  <c r="E20" i="48"/>
  <c r="F41" i="53" s="1"/>
  <c r="C20" i="48"/>
  <c r="D41" i="53" s="1"/>
  <c r="AG19" i="48"/>
  <c r="AG18" i="48"/>
  <c r="AG17" i="48"/>
  <c r="AG16" i="48"/>
  <c r="AG15" i="48"/>
  <c r="AE14" i="48"/>
  <c r="AD14" i="48"/>
  <c r="AB14" i="48"/>
  <c r="Z14" i="48"/>
  <c r="X14" i="48"/>
  <c r="V14" i="48"/>
  <c r="T14" i="48"/>
  <c r="R14" i="48"/>
  <c r="P14" i="48"/>
  <c r="N14" i="48"/>
  <c r="L14" i="48"/>
  <c r="J14" i="48"/>
  <c r="H14" i="48"/>
  <c r="H20" i="48" s="1"/>
  <c r="I41" i="53" s="1"/>
  <c r="F14" i="48"/>
  <c r="AF14" i="48" s="1"/>
  <c r="D14" i="48"/>
  <c r="AE13" i="48"/>
  <c r="AD13" i="48"/>
  <c r="AB13" i="48"/>
  <c r="Z13" i="48"/>
  <c r="X13" i="48"/>
  <c r="V13" i="48"/>
  <c r="T13" i="48"/>
  <c r="R13" i="48"/>
  <c r="P13" i="48"/>
  <c r="N13" i="48"/>
  <c r="L13" i="48"/>
  <c r="J13" i="48"/>
  <c r="H13" i="48"/>
  <c r="F13" i="48"/>
  <c r="D13" i="48"/>
  <c r="AG13" i="48" s="1"/>
  <c r="AE12" i="48"/>
  <c r="AD12" i="48"/>
  <c r="AB12" i="48"/>
  <c r="Z12" i="48"/>
  <c r="X12" i="48"/>
  <c r="V12" i="48"/>
  <c r="T12" i="48"/>
  <c r="R12" i="48"/>
  <c r="P12" i="48"/>
  <c r="N12" i="48"/>
  <c r="L12" i="48"/>
  <c r="J12" i="48"/>
  <c r="H12" i="48"/>
  <c r="F12" i="48"/>
  <c r="D12" i="48"/>
  <c r="AG12" i="48" s="1"/>
  <c r="AE11" i="48"/>
  <c r="AD11" i="48"/>
  <c r="AB11" i="48"/>
  <c r="Z11" i="48"/>
  <c r="X11" i="48"/>
  <c r="V11" i="48"/>
  <c r="T11" i="48"/>
  <c r="R11" i="48"/>
  <c r="P11" i="48"/>
  <c r="N11" i="48"/>
  <c r="L11" i="48"/>
  <c r="J11" i="48"/>
  <c r="H11" i="48"/>
  <c r="F11" i="48"/>
  <c r="D11" i="48"/>
  <c r="AF10" i="48"/>
  <c r="AE10" i="48"/>
  <c r="F10" i="48"/>
  <c r="AG10" i="48" s="1"/>
  <c r="AE9" i="48"/>
  <c r="AD9" i="48"/>
  <c r="AB9" i="48"/>
  <c r="Z9" i="48"/>
  <c r="X9" i="48"/>
  <c r="V9" i="48"/>
  <c r="T9" i="48"/>
  <c r="R9" i="48"/>
  <c r="P9" i="48"/>
  <c r="N9" i="48"/>
  <c r="L9" i="48"/>
  <c r="J9" i="48"/>
  <c r="H9" i="48"/>
  <c r="F9" i="48"/>
  <c r="D9" i="48"/>
  <c r="AG9" i="48" s="1"/>
  <c r="AE8" i="48"/>
  <c r="AD8" i="48"/>
  <c r="AB8" i="48"/>
  <c r="Z8" i="48"/>
  <c r="X8" i="48"/>
  <c r="V8" i="48"/>
  <c r="T8" i="48"/>
  <c r="R8" i="48"/>
  <c r="P8" i="48"/>
  <c r="N8" i="48"/>
  <c r="L8" i="48"/>
  <c r="J8" i="48"/>
  <c r="H8" i="48"/>
  <c r="F8" i="48"/>
  <c r="D8" i="48"/>
  <c r="AG8" i="48" s="1"/>
  <c r="AE7" i="48"/>
  <c r="AD7" i="48"/>
  <c r="AB7" i="48"/>
  <c r="Z7" i="48"/>
  <c r="X7" i="48"/>
  <c r="V7" i="48"/>
  <c r="T7" i="48"/>
  <c r="R7" i="48"/>
  <c r="P7" i="48"/>
  <c r="N7" i="48"/>
  <c r="L7" i="48"/>
  <c r="J7" i="48"/>
  <c r="H7" i="48"/>
  <c r="F7" i="48"/>
  <c r="D7" i="48"/>
  <c r="AE6" i="48"/>
  <c r="AD6" i="48"/>
  <c r="AD20" i="48" s="1"/>
  <c r="AE41" i="53" s="1"/>
  <c r="AB6" i="48"/>
  <c r="AB20" i="48" s="1"/>
  <c r="AC41" i="53" s="1"/>
  <c r="Z6" i="48"/>
  <c r="X6" i="48"/>
  <c r="V6" i="48"/>
  <c r="T6" i="48"/>
  <c r="T20" i="48" s="1"/>
  <c r="U41" i="53" s="1"/>
  <c r="R6" i="48"/>
  <c r="R20" i="48" s="1"/>
  <c r="P6" i="48"/>
  <c r="N6" i="48"/>
  <c r="N20" i="48" s="1"/>
  <c r="O41" i="53" s="1"/>
  <c r="L6" i="48"/>
  <c r="L20" i="48" s="1"/>
  <c r="M41" i="53" s="1"/>
  <c r="J6" i="48"/>
  <c r="H6" i="48"/>
  <c r="F6" i="48"/>
  <c r="D6" i="48"/>
  <c r="D20" i="48" s="1"/>
  <c r="E41" i="53" s="1"/>
  <c r="AC24" i="47"/>
  <c r="AD40" i="53" s="1"/>
  <c r="AA24" i="47"/>
  <c r="AB40" i="53" s="1"/>
  <c r="Y24" i="47"/>
  <c r="Z40" i="53" s="1"/>
  <c r="W24" i="47"/>
  <c r="U24" i="47"/>
  <c r="V40" i="53" s="1"/>
  <c r="S24" i="47"/>
  <c r="T40" i="53" s="1"/>
  <c r="R24" i="47"/>
  <c r="S40" i="53" s="1"/>
  <c r="Q24" i="47"/>
  <c r="R40" i="53" s="1"/>
  <c r="O24" i="47"/>
  <c r="P40" i="53" s="1"/>
  <c r="M24" i="47"/>
  <c r="N40" i="53" s="1"/>
  <c r="K24" i="47"/>
  <c r="L40" i="53" s="1"/>
  <c r="J24" i="47"/>
  <c r="K40" i="53" s="1"/>
  <c r="I24" i="47"/>
  <c r="J40" i="53" s="1"/>
  <c r="H24" i="47"/>
  <c r="I40" i="53" s="1"/>
  <c r="G24" i="47"/>
  <c r="E24" i="47"/>
  <c r="F40" i="53" s="1"/>
  <c r="C24" i="47"/>
  <c r="D40" i="53" s="1"/>
  <c r="AE23" i="47"/>
  <c r="AD23" i="47"/>
  <c r="AB23" i="47"/>
  <c r="Z23" i="47"/>
  <c r="X23" i="47"/>
  <c r="V23" i="47"/>
  <c r="T23" i="47"/>
  <c r="R23" i="47"/>
  <c r="P23" i="47"/>
  <c r="N23" i="47"/>
  <c r="L23" i="47"/>
  <c r="J23" i="47"/>
  <c r="H23" i="47"/>
  <c r="F23" i="47"/>
  <c r="D23" i="47"/>
  <c r="AG23" i="47" s="1"/>
  <c r="AG22" i="47"/>
  <c r="AF22" i="47"/>
  <c r="AE22" i="47"/>
  <c r="N22" i="47"/>
  <c r="H22" i="47"/>
  <c r="F22" i="47"/>
  <c r="AF21" i="47"/>
  <c r="AE21" i="47"/>
  <c r="N21" i="47"/>
  <c r="AG21" i="47" s="1"/>
  <c r="H21" i="47"/>
  <c r="F21" i="47"/>
  <c r="AE20" i="47"/>
  <c r="P20" i="47"/>
  <c r="N20" i="47"/>
  <c r="J20" i="47"/>
  <c r="H20" i="47"/>
  <c r="F20" i="47"/>
  <c r="D20" i="47"/>
  <c r="AG20" i="47" s="1"/>
  <c r="AE19" i="47"/>
  <c r="AD19" i="47"/>
  <c r="AB19" i="47"/>
  <c r="Z19" i="47"/>
  <c r="X19" i="47"/>
  <c r="V19" i="47"/>
  <c r="T19" i="47"/>
  <c r="R19" i="47"/>
  <c r="P19" i="47"/>
  <c r="N19" i="47"/>
  <c r="L19" i="47"/>
  <c r="J19" i="47"/>
  <c r="H19" i="47"/>
  <c r="F19" i="47"/>
  <c r="D19" i="47"/>
  <c r="AE18" i="47"/>
  <c r="AD18" i="47"/>
  <c r="AB18" i="47"/>
  <c r="Z18" i="47"/>
  <c r="X18" i="47"/>
  <c r="V18" i="47"/>
  <c r="T18" i="47"/>
  <c r="R18" i="47"/>
  <c r="P18" i="47"/>
  <c r="N18" i="47"/>
  <c r="AF18" i="47" s="1"/>
  <c r="L18" i="47"/>
  <c r="J18" i="47"/>
  <c r="H18" i="47"/>
  <c r="F18" i="47"/>
  <c r="D18" i="47"/>
  <c r="AF17" i="47"/>
  <c r="AE17" i="47"/>
  <c r="N17" i="47"/>
  <c r="L17" i="47"/>
  <c r="J17" i="47"/>
  <c r="H17" i="47"/>
  <c r="F17" i="47"/>
  <c r="D17" i="47"/>
  <c r="AG17" i="47" s="1"/>
  <c r="AE16" i="47"/>
  <c r="AD16" i="47"/>
  <c r="AB16" i="47"/>
  <c r="Z16" i="47"/>
  <c r="X16" i="47"/>
  <c r="V16" i="47"/>
  <c r="T16" i="47"/>
  <c r="R16" i="47"/>
  <c r="P16" i="47"/>
  <c r="N16" i="47"/>
  <c r="L16" i="47"/>
  <c r="J16" i="47"/>
  <c r="H16" i="47"/>
  <c r="F16" i="47"/>
  <c r="D16" i="47"/>
  <c r="AG16" i="47" s="1"/>
  <c r="AE15" i="47"/>
  <c r="AD15" i="47"/>
  <c r="AB15" i="47"/>
  <c r="Z15" i="47"/>
  <c r="X15" i="47"/>
  <c r="V15" i="47"/>
  <c r="T15" i="47"/>
  <c r="R15" i="47"/>
  <c r="P15" i="47"/>
  <c r="N15" i="47"/>
  <c r="L15" i="47"/>
  <c r="J15" i="47"/>
  <c r="H15" i="47"/>
  <c r="F15" i="47"/>
  <c r="D15" i="47"/>
  <c r="AF15" i="47" s="1"/>
  <c r="AE14" i="47"/>
  <c r="AD14" i="47"/>
  <c r="AB14" i="47"/>
  <c r="Z14" i="47"/>
  <c r="X14" i="47"/>
  <c r="V14" i="47"/>
  <c r="T14" i="47"/>
  <c r="R14" i="47"/>
  <c r="P14" i="47"/>
  <c r="N14" i="47"/>
  <c r="L14" i="47"/>
  <c r="J14" i="47"/>
  <c r="H14" i="47"/>
  <c r="F14" i="47"/>
  <c r="D14" i="47"/>
  <c r="AG14" i="47" s="1"/>
  <c r="AE13" i="47"/>
  <c r="AD13" i="47"/>
  <c r="AB13" i="47"/>
  <c r="Z13" i="47"/>
  <c r="Z24" i="47" s="1"/>
  <c r="AA40" i="53" s="1"/>
  <c r="X13" i="47"/>
  <c r="V13" i="47"/>
  <c r="T13" i="47"/>
  <c r="R13" i="47"/>
  <c r="P13" i="47"/>
  <c r="N13" i="47"/>
  <c r="L13" i="47"/>
  <c r="J13" i="47"/>
  <c r="H13" i="47"/>
  <c r="F13" i="47"/>
  <c r="D13" i="47"/>
  <c r="AE12" i="47"/>
  <c r="AD12" i="47"/>
  <c r="AB12" i="47"/>
  <c r="Z12" i="47"/>
  <c r="X12" i="47"/>
  <c r="V12" i="47"/>
  <c r="T12" i="47"/>
  <c r="R12" i="47"/>
  <c r="P12" i="47"/>
  <c r="N12" i="47"/>
  <c r="L12" i="47"/>
  <c r="J12" i="47"/>
  <c r="H12" i="47"/>
  <c r="F12" i="47"/>
  <c r="D12" i="47"/>
  <c r="AE11" i="47"/>
  <c r="AD11" i="47"/>
  <c r="AB11" i="47"/>
  <c r="Z11" i="47"/>
  <c r="X11" i="47"/>
  <c r="V11" i="47"/>
  <c r="T11" i="47"/>
  <c r="R11" i="47"/>
  <c r="P11" i="47"/>
  <c r="N11" i="47"/>
  <c r="L11" i="47"/>
  <c r="J11" i="47"/>
  <c r="H11" i="47"/>
  <c r="F11" i="47"/>
  <c r="D11" i="47"/>
  <c r="AE10" i="47"/>
  <c r="AD10" i="47"/>
  <c r="AB10" i="47"/>
  <c r="Z10" i="47"/>
  <c r="X10" i="47"/>
  <c r="V10" i="47"/>
  <c r="T10" i="47"/>
  <c r="R10" i="47"/>
  <c r="P10" i="47"/>
  <c r="N10" i="47"/>
  <c r="AF10" i="47" s="1"/>
  <c r="L10" i="47"/>
  <c r="J10" i="47"/>
  <c r="H10" i="47"/>
  <c r="F10" i="47"/>
  <c r="D10" i="47"/>
  <c r="AE9" i="47"/>
  <c r="AD9" i="47"/>
  <c r="AB9" i="47"/>
  <c r="Z9" i="47"/>
  <c r="X9" i="47"/>
  <c r="V9" i="47"/>
  <c r="T9" i="47"/>
  <c r="R9" i="47"/>
  <c r="P9" i="47"/>
  <c r="P24" i="47" s="1"/>
  <c r="Q40" i="53" s="1"/>
  <c r="N9" i="47"/>
  <c r="L9" i="47"/>
  <c r="J9" i="47"/>
  <c r="H9" i="47"/>
  <c r="F9" i="47"/>
  <c r="D9" i="47"/>
  <c r="AE8" i="47"/>
  <c r="AD8" i="47"/>
  <c r="AB8" i="47"/>
  <c r="Z8" i="47"/>
  <c r="X8" i="47"/>
  <c r="V8" i="47"/>
  <c r="T8" i="47"/>
  <c r="R8" i="47"/>
  <c r="AF8" i="47" s="1"/>
  <c r="P8" i="47"/>
  <c r="N8" i="47"/>
  <c r="L8" i="47"/>
  <c r="J8" i="47"/>
  <c r="H8" i="47"/>
  <c r="F8" i="47"/>
  <c r="D8" i="47"/>
  <c r="AG8" i="47" s="1"/>
  <c r="AG7" i="47"/>
  <c r="AE7" i="47"/>
  <c r="AE24" i="47" s="1"/>
  <c r="AD7" i="47"/>
  <c r="AD24" i="47" s="1"/>
  <c r="AE40" i="53" s="1"/>
  <c r="AB7" i="47"/>
  <c r="Z7" i="47"/>
  <c r="X7" i="47"/>
  <c r="X24" i="47" s="1"/>
  <c r="Y40" i="53" s="1"/>
  <c r="V7" i="47"/>
  <c r="T7" i="47"/>
  <c r="R7" i="47"/>
  <c r="P7" i="47"/>
  <c r="N7" i="47"/>
  <c r="N24" i="47" s="1"/>
  <c r="O40" i="53" s="1"/>
  <c r="L7" i="47"/>
  <c r="J7" i="47"/>
  <c r="H7" i="47"/>
  <c r="F7" i="47"/>
  <c r="D7" i="47"/>
  <c r="AE6" i="47"/>
  <c r="AD6" i="47"/>
  <c r="AB6" i="47"/>
  <c r="Z6" i="47"/>
  <c r="X6" i="47"/>
  <c r="V6" i="47"/>
  <c r="T6" i="47"/>
  <c r="R6" i="47"/>
  <c r="P6" i="47"/>
  <c r="N6" i="47"/>
  <c r="L6" i="47"/>
  <c r="J6" i="47"/>
  <c r="H6" i="47"/>
  <c r="F6" i="47"/>
  <c r="AF6" i="47" s="1"/>
  <c r="D6" i="47"/>
  <c r="AG6" i="47" s="1"/>
  <c r="AE19" i="45"/>
  <c r="AC19" i="45"/>
  <c r="AD38" i="53" s="1"/>
  <c r="AA19" i="45"/>
  <c r="AB38" i="53" s="1"/>
  <c r="Y19" i="45"/>
  <c r="Z38" i="53" s="1"/>
  <c r="W19" i="45"/>
  <c r="X38" i="53" s="1"/>
  <c r="U19" i="45"/>
  <c r="V38" i="53" s="1"/>
  <c r="S19" i="45"/>
  <c r="T38" i="53" s="1"/>
  <c r="Q19" i="45"/>
  <c r="R38" i="53" s="1"/>
  <c r="O19" i="45"/>
  <c r="P38" i="53" s="1"/>
  <c r="M19" i="45"/>
  <c r="N38" i="53" s="1"/>
  <c r="K19" i="45"/>
  <c r="L38" i="53" s="1"/>
  <c r="I19" i="45"/>
  <c r="J38" i="53" s="1"/>
  <c r="G19" i="45"/>
  <c r="H38" i="53" s="1"/>
  <c r="E19" i="45"/>
  <c r="F38" i="53" s="1"/>
  <c r="C19" i="45"/>
  <c r="D38" i="53" s="1"/>
  <c r="AG18" i="45"/>
  <c r="AG17" i="45"/>
  <c r="AG16" i="45"/>
  <c r="P15" i="45"/>
  <c r="AG15" i="45" s="1"/>
  <c r="AE14" i="45"/>
  <c r="R14" i="45"/>
  <c r="P14" i="45"/>
  <c r="N14" i="45"/>
  <c r="J14" i="45"/>
  <c r="AF14" i="45" s="1"/>
  <c r="AF13" i="45"/>
  <c r="AE13" i="45"/>
  <c r="R13" i="45"/>
  <c r="P13" i="45"/>
  <c r="N13" i="45"/>
  <c r="J13" i="45"/>
  <c r="F13" i="45"/>
  <c r="D13" i="45"/>
  <c r="AG13" i="45" s="1"/>
  <c r="AG12" i="45"/>
  <c r="AE12" i="45"/>
  <c r="R12" i="45"/>
  <c r="P12" i="45"/>
  <c r="N12" i="45"/>
  <c r="J12" i="45"/>
  <c r="F12" i="45"/>
  <c r="D12" i="45"/>
  <c r="AE11" i="45"/>
  <c r="R11" i="45"/>
  <c r="P11" i="45"/>
  <c r="N11" i="45"/>
  <c r="J11" i="45"/>
  <c r="F11" i="45"/>
  <c r="D11" i="45"/>
  <c r="AE10" i="45"/>
  <c r="X10" i="45"/>
  <c r="V10" i="45"/>
  <c r="T10" i="45"/>
  <c r="R10" i="45"/>
  <c r="P10" i="45"/>
  <c r="N10" i="45"/>
  <c r="L10" i="45"/>
  <c r="J10" i="45"/>
  <c r="H10" i="45"/>
  <c r="F10" i="45"/>
  <c r="D10" i="45"/>
  <c r="AE9" i="45"/>
  <c r="AD9" i="45"/>
  <c r="AB9" i="45"/>
  <c r="Z9" i="45"/>
  <c r="X9" i="45"/>
  <c r="V9" i="45"/>
  <c r="T9" i="45"/>
  <c r="R9" i="45"/>
  <c r="P9" i="45"/>
  <c r="N9" i="45"/>
  <c r="L9" i="45"/>
  <c r="J9" i="45"/>
  <c r="H9" i="45"/>
  <c r="F9" i="45"/>
  <c r="D9" i="45"/>
  <c r="AE8" i="45"/>
  <c r="AD8" i="45"/>
  <c r="AB8" i="45"/>
  <c r="Z8" i="45"/>
  <c r="X8" i="45"/>
  <c r="V8" i="45"/>
  <c r="V19" i="45" s="1"/>
  <c r="W38" i="53" s="1"/>
  <c r="T8" i="45"/>
  <c r="R8" i="45"/>
  <c r="P8" i="45"/>
  <c r="N8" i="45"/>
  <c r="L8" i="45"/>
  <c r="J8" i="45"/>
  <c r="H8" i="45"/>
  <c r="F8" i="45"/>
  <c r="AF8" i="45" s="1"/>
  <c r="D8" i="45"/>
  <c r="AE7" i="45"/>
  <c r="AD7" i="45"/>
  <c r="AB7" i="45"/>
  <c r="Z7" i="45"/>
  <c r="X7" i="45"/>
  <c r="V7" i="45"/>
  <c r="T7" i="45"/>
  <c r="R7" i="45"/>
  <c r="P7" i="45"/>
  <c r="N7" i="45"/>
  <c r="L7" i="45"/>
  <c r="J7" i="45"/>
  <c r="H7" i="45"/>
  <c r="F7" i="45"/>
  <c r="D7" i="45"/>
  <c r="AE6" i="45"/>
  <c r="AD6" i="45"/>
  <c r="AD19" i="45" s="1"/>
  <c r="AE38" i="53" s="1"/>
  <c r="AB6" i="45"/>
  <c r="Z6" i="45"/>
  <c r="Z19" i="45" s="1"/>
  <c r="AA38" i="53" s="1"/>
  <c r="X6" i="45"/>
  <c r="V6" i="45"/>
  <c r="T6" i="45"/>
  <c r="R6" i="45"/>
  <c r="P6" i="45"/>
  <c r="N6" i="45"/>
  <c r="N19" i="45" s="1"/>
  <c r="O38" i="53" s="1"/>
  <c r="L6" i="45"/>
  <c r="J6" i="45"/>
  <c r="J19" i="45" s="1"/>
  <c r="K38" i="53" s="1"/>
  <c r="H6" i="45"/>
  <c r="F6" i="45"/>
  <c r="D6" i="45"/>
  <c r="AC19" i="46"/>
  <c r="AD39" i="53" s="1"/>
  <c r="AA19" i="46"/>
  <c r="AB39" i="53" s="1"/>
  <c r="Y19" i="46"/>
  <c r="Z39" i="53" s="1"/>
  <c r="X19" i="46"/>
  <c r="Y39" i="53" s="1"/>
  <c r="W19" i="46"/>
  <c r="X39" i="53" s="1"/>
  <c r="U19" i="46"/>
  <c r="V39" i="53" s="1"/>
  <c r="S19" i="46"/>
  <c r="T39" i="53" s="1"/>
  <c r="Q19" i="46"/>
  <c r="R39" i="53" s="1"/>
  <c r="P19" i="46"/>
  <c r="Q39" i="53" s="1"/>
  <c r="O19" i="46"/>
  <c r="P39" i="53" s="1"/>
  <c r="M19" i="46"/>
  <c r="K19" i="46"/>
  <c r="L39" i="53" s="1"/>
  <c r="I19" i="46"/>
  <c r="J39" i="53" s="1"/>
  <c r="H19" i="46"/>
  <c r="I39" i="53" s="1"/>
  <c r="G19" i="46"/>
  <c r="H39" i="53" s="1"/>
  <c r="E19" i="46"/>
  <c r="F39" i="53" s="1"/>
  <c r="C19" i="46"/>
  <c r="D39" i="53" s="1"/>
  <c r="AG18" i="46"/>
  <c r="AG17" i="46"/>
  <c r="AG16" i="46"/>
  <c r="AG15" i="46"/>
  <c r="AG14" i="46"/>
  <c r="AF14" i="46"/>
  <c r="AG13" i="46"/>
  <c r="AF13" i="46"/>
  <c r="AF12" i="46"/>
  <c r="AE12" i="46"/>
  <c r="J12" i="46"/>
  <c r="H12" i="46"/>
  <c r="F12" i="46"/>
  <c r="D12" i="46"/>
  <c r="AE11" i="46"/>
  <c r="AE19" i="46" s="1"/>
  <c r="N11" i="46"/>
  <c r="J11" i="46"/>
  <c r="AG11" i="46" s="1"/>
  <c r="H11" i="46"/>
  <c r="F11" i="46"/>
  <c r="D11" i="46"/>
  <c r="AE10" i="46"/>
  <c r="N10" i="46"/>
  <c r="J10" i="46"/>
  <c r="AG10" i="46" s="1"/>
  <c r="H10" i="46"/>
  <c r="F10" i="46"/>
  <c r="D10" i="46"/>
  <c r="AE9" i="46"/>
  <c r="AD9" i="46"/>
  <c r="N9" i="46"/>
  <c r="L9" i="46"/>
  <c r="J9" i="46"/>
  <c r="H9" i="46"/>
  <c r="F9" i="46"/>
  <c r="AG9" i="46" s="1"/>
  <c r="D9" i="46"/>
  <c r="AE8" i="46"/>
  <c r="AD8" i="46"/>
  <c r="AB8" i="46"/>
  <c r="Z8" i="46"/>
  <c r="X8" i="46"/>
  <c r="V8" i="46"/>
  <c r="T8" i="46"/>
  <c r="R8" i="46"/>
  <c r="P8" i="46"/>
  <c r="N8" i="46"/>
  <c r="L8" i="46"/>
  <c r="J8" i="46"/>
  <c r="H8" i="46"/>
  <c r="F8" i="46"/>
  <c r="D8" i="46"/>
  <c r="AG8" i="46" s="1"/>
  <c r="AE7" i="46"/>
  <c r="AD7" i="46"/>
  <c r="AB7" i="46"/>
  <c r="Z7" i="46"/>
  <c r="X7" i="46"/>
  <c r="V7" i="46"/>
  <c r="T7" i="46"/>
  <c r="R7" i="46"/>
  <c r="AF7" i="46" s="1"/>
  <c r="P7" i="46"/>
  <c r="N7" i="46"/>
  <c r="L7" i="46"/>
  <c r="J7" i="46"/>
  <c r="H7" i="46"/>
  <c r="F7" i="46"/>
  <c r="D7" i="46"/>
  <c r="AG7" i="46" s="1"/>
  <c r="AG6" i="46"/>
  <c r="AE6" i="46"/>
  <c r="AD6" i="46"/>
  <c r="AD19" i="46" s="1"/>
  <c r="AE39" i="53" s="1"/>
  <c r="AB6" i="46"/>
  <c r="AB19" i="46" s="1"/>
  <c r="AC39" i="53" s="1"/>
  <c r="Z6" i="46"/>
  <c r="Z19" i="46" s="1"/>
  <c r="AA39" i="53" s="1"/>
  <c r="X6" i="46"/>
  <c r="V6" i="46"/>
  <c r="V19" i="46" s="1"/>
  <c r="W39" i="53" s="1"/>
  <c r="T6" i="46"/>
  <c r="R6" i="46"/>
  <c r="R19" i="46" s="1"/>
  <c r="S39" i="53" s="1"/>
  <c r="P6" i="46"/>
  <c r="N6" i="46"/>
  <c r="L6" i="46"/>
  <c r="L19" i="46" s="1"/>
  <c r="M39" i="53" s="1"/>
  <c r="J6" i="46"/>
  <c r="H6" i="46"/>
  <c r="F6" i="46"/>
  <c r="F19" i="46" s="1"/>
  <c r="G39" i="53" s="1"/>
  <c r="D6" i="46"/>
  <c r="AC25" i="44"/>
  <c r="AD37" i="53" s="1"/>
  <c r="AA25" i="44"/>
  <c r="Y25" i="44"/>
  <c r="Z37" i="53" s="1"/>
  <c r="W25" i="44"/>
  <c r="X37" i="53" s="1"/>
  <c r="U25" i="44"/>
  <c r="V37" i="53" s="1"/>
  <c r="S25" i="44"/>
  <c r="T37" i="53" s="1"/>
  <c r="Q25" i="44"/>
  <c r="R37" i="53" s="1"/>
  <c r="O25" i="44"/>
  <c r="P37" i="53" s="1"/>
  <c r="M25" i="44"/>
  <c r="N37" i="53" s="1"/>
  <c r="K25" i="44"/>
  <c r="I25" i="44"/>
  <c r="J37" i="53" s="1"/>
  <c r="G25" i="44"/>
  <c r="H37" i="53" s="1"/>
  <c r="E25" i="44"/>
  <c r="F37" i="53" s="1"/>
  <c r="D25" i="44"/>
  <c r="E37" i="53" s="1"/>
  <c r="C25" i="44"/>
  <c r="D37" i="53" s="1"/>
  <c r="AG24" i="44"/>
  <c r="AG23" i="44"/>
  <c r="AE22" i="44"/>
  <c r="J22" i="44"/>
  <c r="F22" i="44"/>
  <c r="D22" i="44"/>
  <c r="AE21" i="44"/>
  <c r="R21" i="44"/>
  <c r="L21" i="44"/>
  <c r="J21" i="44"/>
  <c r="F21" i="44"/>
  <c r="D21" i="44"/>
  <c r="AE20" i="44"/>
  <c r="R20" i="44"/>
  <c r="N20" i="44"/>
  <c r="L20" i="44"/>
  <c r="J20" i="44"/>
  <c r="F20" i="44"/>
  <c r="D20" i="44"/>
  <c r="AE19" i="44"/>
  <c r="R19" i="44"/>
  <c r="N19" i="44"/>
  <c r="L19" i="44"/>
  <c r="J19" i="44"/>
  <c r="H19" i="44"/>
  <c r="F19" i="44"/>
  <c r="D19" i="44"/>
  <c r="AE18" i="44"/>
  <c r="AD18" i="44"/>
  <c r="AB18" i="44"/>
  <c r="Z18" i="44"/>
  <c r="X18" i="44"/>
  <c r="V18" i="44"/>
  <c r="T18" i="44"/>
  <c r="R18" i="44"/>
  <c r="P18" i="44"/>
  <c r="N18" i="44"/>
  <c r="AF18" i="44" s="1"/>
  <c r="L18" i="44"/>
  <c r="J18" i="44"/>
  <c r="H18" i="44"/>
  <c r="F18" i="44"/>
  <c r="D18" i="44"/>
  <c r="AE17" i="44"/>
  <c r="AD17" i="44"/>
  <c r="AB17" i="44"/>
  <c r="Z17" i="44"/>
  <c r="X17" i="44"/>
  <c r="V17" i="44"/>
  <c r="T17" i="44"/>
  <c r="R17" i="44"/>
  <c r="AF17" i="44" s="1"/>
  <c r="P17" i="44"/>
  <c r="N17" i="44"/>
  <c r="L17" i="44"/>
  <c r="J17" i="44"/>
  <c r="H17" i="44"/>
  <c r="F17" i="44"/>
  <c r="D17" i="44"/>
  <c r="AE16" i="44"/>
  <c r="AD16" i="44"/>
  <c r="AB16" i="44"/>
  <c r="Z16" i="44"/>
  <c r="X16" i="44"/>
  <c r="V16" i="44"/>
  <c r="T16" i="44"/>
  <c r="R16" i="44"/>
  <c r="P16" i="44"/>
  <c r="N16" i="44"/>
  <c r="L16" i="44"/>
  <c r="J16" i="44"/>
  <c r="H16" i="44"/>
  <c r="F16" i="44"/>
  <c r="D16" i="44"/>
  <c r="AG16" i="44" s="1"/>
  <c r="AE15" i="44"/>
  <c r="AD15" i="44"/>
  <c r="AB15" i="44"/>
  <c r="Z15" i="44"/>
  <c r="X15" i="44"/>
  <c r="V15" i="44"/>
  <c r="T15" i="44"/>
  <c r="R15" i="44"/>
  <c r="P15" i="44"/>
  <c r="N15" i="44"/>
  <c r="L15" i="44"/>
  <c r="J15" i="44"/>
  <c r="H15" i="44"/>
  <c r="F15" i="44"/>
  <c r="D15" i="44"/>
  <c r="AF15" i="44" s="1"/>
  <c r="AE14" i="44"/>
  <c r="AD14" i="44"/>
  <c r="AB14" i="44"/>
  <c r="Z14" i="44"/>
  <c r="X14" i="44"/>
  <c r="V14" i="44"/>
  <c r="T14" i="44"/>
  <c r="R14" i="44"/>
  <c r="P14" i="44"/>
  <c r="N14" i="44"/>
  <c r="L14" i="44"/>
  <c r="J14" i="44"/>
  <c r="H14" i="44"/>
  <c r="F14" i="44"/>
  <c r="AF14" i="44" s="1"/>
  <c r="D14" i="44"/>
  <c r="AE13" i="44"/>
  <c r="AD13" i="44"/>
  <c r="AB13" i="44"/>
  <c r="Z13" i="44"/>
  <c r="X13" i="44"/>
  <c r="V13" i="44"/>
  <c r="T13" i="44"/>
  <c r="R13" i="44"/>
  <c r="P13" i="44"/>
  <c r="N13" i="44"/>
  <c r="L13" i="44"/>
  <c r="J13" i="44"/>
  <c r="H13" i="44"/>
  <c r="F13" i="44"/>
  <c r="D13" i="44"/>
  <c r="AE12" i="44"/>
  <c r="AD12" i="44"/>
  <c r="AB12" i="44"/>
  <c r="Z12" i="44"/>
  <c r="X12" i="44"/>
  <c r="V12" i="44"/>
  <c r="T12" i="44"/>
  <c r="R12" i="44"/>
  <c r="P12" i="44"/>
  <c r="N12" i="44"/>
  <c r="N25" i="44" s="1"/>
  <c r="O37" i="53" s="1"/>
  <c r="L12" i="44"/>
  <c r="J12" i="44"/>
  <c r="H12" i="44"/>
  <c r="F12" i="44"/>
  <c r="D12" i="44"/>
  <c r="AE11" i="44"/>
  <c r="AD11" i="44"/>
  <c r="AB11" i="44"/>
  <c r="Z11" i="44"/>
  <c r="X11" i="44"/>
  <c r="V11" i="44"/>
  <c r="T11" i="44"/>
  <c r="R11" i="44"/>
  <c r="P11" i="44"/>
  <c r="N11" i="44"/>
  <c r="L11" i="44"/>
  <c r="J11" i="44"/>
  <c r="H11" i="44"/>
  <c r="F11" i="44"/>
  <c r="D11" i="44"/>
  <c r="AE10" i="44"/>
  <c r="AD10" i="44"/>
  <c r="AB10" i="44"/>
  <c r="Z10" i="44"/>
  <c r="X10" i="44"/>
  <c r="V10" i="44"/>
  <c r="T10" i="44"/>
  <c r="R10" i="44"/>
  <c r="P10" i="44"/>
  <c r="AF10" i="44" s="1"/>
  <c r="N10" i="44"/>
  <c r="L10" i="44"/>
  <c r="J10" i="44"/>
  <c r="H10" i="44"/>
  <c r="F10" i="44"/>
  <c r="D10" i="44"/>
  <c r="AE9" i="44"/>
  <c r="AD9" i="44"/>
  <c r="AB9" i="44"/>
  <c r="Z9" i="44"/>
  <c r="X9" i="44"/>
  <c r="V9" i="44"/>
  <c r="T9" i="44"/>
  <c r="R9" i="44"/>
  <c r="AF9" i="44" s="1"/>
  <c r="P9" i="44"/>
  <c r="N9" i="44"/>
  <c r="L9" i="44"/>
  <c r="J9" i="44"/>
  <c r="H9" i="44"/>
  <c r="F9" i="44"/>
  <c r="D9" i="44"/>
  <c r="AG9" i="44" s="1"/>
  <c r="AE8" i="44"/>
  <c r="AD8" i="44"/>
  <c r="AB8" i="44"/>
  <c r="Z8" i="44"/>
  <c r="X8" i="44"/>
  <c r="V8" i="44"/>
  <c r="T8" i="44"/>
  <c r="R8" i="44"/>
  <c r="P8" i="44"/>
  <c r="N8" i="44"/>
  <c r="L8" i="44"/>
  <c r="J8" i="44"/>
  <c r="H8" i="44"/>
  <c r="F8" i="44"/>
  <c r="D8" i="44"/>
  <c r="AG8" i="44" s="1"/>
  <c r="AE7" i="44"/>
  <c r="AD7" i="44"/>
  <c r="AB7" i="44"/>
  <c r="Z7" i="44"/>
  <c r="X7" i="44"/>
  <c r="V7" i="44"/>
  <c r="T7" i="44"/>
  <c r="T25" i="44" s="1"/>
  <c r="U37" i="53" s="1"/>
  <c r="R7" i="44"/>
  <c r="P7" i="44"/>
  <c r="N7" i="44"/>
  <c r="L7" i="44"/>
  <c r="J7" i="44"/>
  <c r="H7" i="44"/>
  <c r="F7" i="44"/>
  <c r="D7" i="44"/>
  <c r="AF7" i="44" s="1"/>
  <c r="AE6" i="44"/>
  <c r="AD6" i="44"/>
  <c r="AB6" i="44"/>
  <c r="Z6" i="44"/>
  <c r="Z25" i="44" s="1"/>
  <c r="AA37" i="53" s="1"/>
  <c r="X6" i="44"/>
  <c r="V6" i="44"/>
  <c r="V25" i="44" s="1"/>
  <c r="W37" i="53" s="1"/>
  <c r="T6" i="44"/>
  <c r="R6" i="44"/>
  <c r="P6" i="44"/>
  <c r="N6" i="44"/>
  <c r="L6" i="44"/>
  <c r="J6" i="44"/>
  <c r="J25" i="44" s="1"/>
  <c r="K37" i="53" s="1"/>
  <c r="H6" i="44"/>
  <c r="F6" i="44"/>
  <c r="D6" i="44"/>
  <c r="AE20" i="43"/>
  <c r="AD20" i="43"/>
  <c r="AE36" i="53" s="1"/>
  <c r="AC20" i="43"/>
  <c r="AD36" i="53" s="1"/>
  <c r="AA20" i="43"/>
  <c r="AB36" i="53" s="1"/>
  <c r="Y20" i="43"/>
  <c r="Z36" i="53" s="1"/>
  <c r="W20" i="43"/>
  <c r="X36" i="53" s="1"/>
  <c r="U20" i="43"/>
  <c r="V36" i="53" s="1"/>
  <c r="S20" i="43"/>
  <c r="T36" i="53" s="1"/>
  <c r="Q20" i="43"/>
  <c r="O20" i="43"/>
  <c r="P36" i="53" s="1"/>
  <c r="N20" i="43"/>
  <c r="O36" i="53" s="1"/>
  <c r="M20" i="43"/>
  <c r="N36" i="53" s="1"/>
  <c r="K20" i="43"/>
  <c r="L36" i="53" s="1"/>
  <c r="I20" i="43"/>
  <c r="J36" i="53" s="1"/>
  <c r="G20" i="43"/>
  <c r="H36" i="53" s="1"/>
  <c r="E20" i="43"/>
  <c r="F36" i="53" s="1"/>
  <c r="C20" i="43"/>
  <c r="D36" i="53" s="1"/>
  <c r="AG19" i="43"/>
  <c r="AG18" i="43"/>
  <c r="AG17" i="43"/>
  <c r="AG16" i="43"/>
  <c r="AG15" i="43"/>
  <c r="AG14" i="43"/>
  <c r="X13" i="43"/>
  <c r="AG13" i="43" s="1"/>
  <c r="AD12" i="43"/>
  <c r="Z12" i="43"/>
  <c r="X12" i="43"/>
  <c r="V12" i="43"/>
  <c r="T12" i="43"/>
  <c r="AE11" i="43"/>
  <c r="AD11" i="43"/>
  <c r="AB11" i="43"/>
  <c r="Z11" i="43"/>
  <c r="X11" i="43"/>
  <c r="V11" i="43"/>
  <c r="T11" i="43"/>
  <c r="R11" i="43"/>
  <c r="P11" i="43"/>
  <c r="N11" i="43"/>
  <c r="J11" i="43"/>
  <c r="F11" i="43"/>
  <c r="D11" i="43"/>
  <c r="AG10" i="43"/>
  <c r="AE10" i="43"/>
  <c r="AD10" i="43"/>
  <c r="AB10" i="43"/>
  <c r="Z10" i="43"/>
  <c r="X10" i="43"/>
  <c r="V10" i="43"/>
  <c r="T10" i="43"/>
  <c r="R10" i="43"/>
  <c r="P10" i="43"/>
  <c r="N10" i="43"/>
  <c r="L10" i="43"/>
  <c r="J10" i="43"/>
  <c r="F10" i="43"/>
  <c r="D10" i="43"/>
  <c r="AF10" i="43" s="1"/>
  <c r="AE9" i="43"/>
  <c r="AD9" i="43"/>
  <c r="AB9" i="43"/>
  <c r="Z9" i="43"/>
  <c r="X9" i="43"/>
  <c r="V9" i="43"/>
  <c r="T9" i="43"/>
  <c r="AG9" i="43" s="1"/>
  <c r="R9" i="43"/>
  <c r="P9" i="43"/>
  <c r="N9" i="43"/>
  <c r="L9" i="43"/>
  <c r="J9" i="43"/>
  <c r="F9" i="43"/>
  <c r="D9" i="43"/>
  <c r="AG8" i="43"/>
  <c r="AE8" i="43"/>
  <c r="AD8" i="43"/>
  <c r="AB8" i="43"/>
  <c r="Z8" i="43"/>
  <c r="X8" i="43"/>
  <c r="V8" i="43"/>
  <c r="T8" i="43"/>
  <c r="R8" i="43"/>
  <c r="P8" i="43"/>
  <c r="N8" i="43"/>
  <c r="L8" i="43"/>
  <c r="J8" i="43"/>
  <c r="H8" i="43"/>
  <c r="F8" i="43"/>
  <c r="D8" i="43"/>
  <c r="AE7" i="43"/>
  <c r="AD7" i="43"/>
  <c r="AB7" i="43"/>
  <c r="Z7" i="43"/>
  <c r="X7" i="43"/>
  <c r="V7" i="43"/>
  <c r="T7" i="43"/>
  <c r="R7" i="43"/>
  <c r="P7" i="43"/>
  <c r="N7" i="43"/>
  <c r="L7" i="43"/>
  <c r="J7" i="43"/>
  <c r="H7" i="43"/>
  <c r="F7" i="43"/>
  <c r="D7" i="43"/>
  <c r="AG7" i="43" s="1"/>
  <c r="AE6" i="43"/>
  <c r="AD6" i="43"/>
  <c r="AB6" i="43"/>
  <c r="AB20" i="43" s="1"/>
  <c r="AC36" i="53" s="1"/>
  <c r="Z6" i="43"/>
  <c r="Z20" i="43" s="1"/>
  <c r="AA36" i="53" s="1"/>
  <c r="X6" i="43"/>
  <c r="V6" i="43"/>
  <c r="T6" i="43"/>
  <c r="R6" i="43"/>
  <c r="R20" i="43" s="1"/>
  <c r="S36" i="53" s="1"/>
  <c r="P6" i="43"/>
  <c r="P20" i="43" s="1"/>
  <c r="Q36" i="53" s="1"/>
  <c r="N6" i="43"/>
  <c r="L6" i="43"/>
  <c r="L20" i="43" s="1"/>
  <c r="M36" i="53" s="1"/>
  <c r="J6" i="43"/>
  <c r="J20" i="43" s="1"/>
  <c r="K36" i="53" s="1"/>
  <c r="H6" i="43"/>
  <c r="F6" i="43"/>
  <c r="D6" i="43"/>
  <c r="AC21" i="42"/>
  <c r="AD35" i="53" s="1"/>
  <c r="AA21" i="42"/>
  <c r="AB35" i="53" s="1"/>
  <c r="Y21" i="42"/>
  <c r="Z35" i="53" s="1"/>
  <c r="W21" i="42"/>
  <c r="V21" i="42"/>
  <c r="W35" i="53" s="1"/>
  <c r="U21" i="42"/>
  <c r="V35" i="53" s="1"/>
  <c r="S21" i="42"/>
  <c r="T35" i="53" s="1"/>
  <c r="Q21" i="42"/>
  <c r="R35" i="53" s="1"/>
  <c r="O21" i="42"/>
  <c r="P35" i="53" s="1"/>
  <c r="M21" i="42"/>
  <c r="N35" i="53" s="1"/>
  <c r="K21" i="42"/>
  <c r="L35" i="53" s="1"/>
  <c r="I21" i="42"/>
  <c r="J35" i="53" s="1"/>
  <c r="H21" i="42"/>
  <c r="I35" i="53" s="1"/>
  <c r="G21" i="42"/>
  <c r="H35" i="53" s="1"/>
  <c r="E21" i="42"/>
  <c r="F35" i="53" s="1"/>
  <c r="C21" i="42"/>
  <c r="D35" i="53" s="1"/>
  <c r="AG20" i="42"/>
  <c r="AG19" i="42"/>
  <c r="AF19" i="42"/>
  <c r="AE19" i="42"/>
  <c r="AG18" i="42"/>
  <c r="AE18" i="42"/>
  <c r="P18" i="42"/>
  <c r="AF18" i="42" s="1"/>
  <c r="AE17" i="42"/>
  <c r="R17" i="42"/>
  <c r="P17" i="42"/>
  <c r="N17" i="42"/>
  <c r="L17" i="42"/>
  <c r="F17" i="42"/>
  <c r="D17" i="42"/>
  <c r="AG17" i="42" s="1"/>
  <c r="AE16" i="42"/>
  <c r="X16" i="42"/>
  <c r="T16" i="42"/>
  <c r="R16" i="42"/>
  <c r="P16" i="42"/>
  <c r="N16" i="42"/>
  <c r="L16" i="42"/>
  <c r="J16" i="42"/>
  <c r="H16" i="42"/>
  <c r="F16" i="42"/>
  <c r="AF16" i="42" s="1"/>
  <c r="D16" i="42"/>
  <c r="AG16" i="42" s="1"/>
  <c r="AE15" i="42"/>
  <c r="X15" i="42"/>
  <c r="T15" i="42"/>
  <c r="R15" i="42"/>
  <c r="P15" i="42"/>
  <c r="N15" i="42"/>
  <c r="L15" i="42"/>
  <c r="J15" i="42"/>
  <c r="H15" i="42"/>
  <c r="F15" i="42"/>
  <c r="D15" i="42"/>
  <c r="AE14" i="42"/>
  <c r="X14" i="42"/>
  <c r="T14" i="42"/>
  <c r="R14" i="42"/>
  <c r="P14" i="42"/>
  <c r="N14" i="42"/>
  <c r="L14" i="42"/>
  <c r="J14" i="42"/>
  <c r="H14" i="42"/>
  <c r="F14" i="42"/>
  <c r="D14" i="42"/>
  <c r="AE13" i="42"/>
  <c r="X13" i="42"/>
  <c r="X21" i="42" s="1"/>
  <c r="Y35" i="53" s="1"/>
  <c r="T13" i="42"/>
  <c r="R13" i="42"/>
  <c r="P13" i="42"/>
  <c r="N13" i="42"/>
  <c r="L13" i="42"/>
  <c r="J13" i="42"/>
  <c r="H13" i="42"/>
  <c r="F13" i="42"/>
  <c r="F21" i="42" s="1"/>
  <c r="G35" i="53" s="1"/>
  <c r="D13" i="42"/>
  <c r="AE12" i="42"/>
  <c r="X12" i="42"/>
  <c r="T12" i="42"/>
  <c r="R12" i="42"/>
  <c r="P12" i="42"/>
  <c r="N12" i="42"/>
  <c r="L12" i="42"/>
  <c r="J12" i="42"/>
  <c r="H12" i="42"/>
  <c r="AF12" i="42" s="1"/>
  <c r="F12" i="42"/>
  <c r="D12" i="42"/>
  <c r="AE11" i="42"/>
  <c r="X11" i="42"/>
  <c r="T11" i="42"/>
  <c r="R11" i="42"/>
  <c r="P11" i="42"/>
  <c r="N11" i="42"/>
  <c r="L11" i="42"/>
  <c r="J11" i="42"/>
  <c r="AG11" i="42" s="1"/>
  <c r="H11" i="42"/>
  <c r="F11" i="42"/>
  <c r="D11" i="42"/>
  <c r="AE10" i="42"/>
  <c r="AD10" i="42"/>
  <c r="AB10" i="42"/>
  <c r="Z10" i="42"/>
  <c r="X10" i="42"/>
  <c r="V10" i="42"/>
  <c r="T10" i="42"/>
  <c r="R10" i="42"/>
  <c r="P10" i="42"/>
  <c r="N10" i="42"/>
  <c r="L10" i="42"/>
  <c r="J10" i="42"/>
  <c r="H10" i="42"/>
  <c r="F10" i="42"/>
  <c r="D10" i="42"/>
  <c r="AG10" i="42" s="1"/>
  <c r="AE9" i="42"/>
  <c r="AD9" i="42"/>
  <c r="AB9" i="42"/>
  <c r="Z9" i="42"/>
  <c r="X9" i="42"/>
  <c r="V9" i="42"/>
  <c r="T9" i="42"/>
  <c r="R9" i="42"/>
  <c r="P9" i="42"/>
  <c r="N9" i="42"/>
  <c r="L9" i="42"/>
  <c r="J9" i="42"/>
  <c r="H9" i="42"/>
  <c r="F9" i="42"/>
  <c r="D9" i="42"/>
  <c r="AE8" i="42"/>
  <c r="AD8" i="42"/>
  <c r="AD21" i="42" s="1"/>
  <c r="AE35" i="53" s="1"/>
  <c r="AB8" i="42"/>
  <c r="Z8" i="42"/>
  <c r="Z21" i="42" s="1"/>
  <c r="AA35" i="53" s="1"/>
  <c r="X8" i="42"/>
  <c r="V8" i="42"/>
  <c r="T8" i="42"/>
  <c r="R8" i="42"/>
  <c r="R21" i="42" s="1"/>
  <c r="S35" i="53" s="1"/>
  <c r="P8" i="42"/>
  <c r="P21" i="42" s="1"/>
  <c r="Q35" i="53" s="1"/>
  <c r="N8" i="42"/>
  <c r="L8" i="42"/>
  <c r="J8" i="42"/>
  <c r="H8" i="42"/>
  <c r="F8" i="42"/>
  <c r="D8" i="42"/>
  <c r="AE7" i="42"/>
  <c r="AD7" i="42"/>
  <c r="AB7" i="42"/>
  <c r="Z7" i="42"/>
  <c r="X7" i="42"/>
  <c r="V7" i="42"/>
  <c r="T7" i="42"/>
  <c r="R7" i="42"/>
  <c r="P7" i="42"/>
  <c r="N7" i="42"/>
  <c r="L7" i="42"/>
  <c r="J7" i="42"/>
  <c r="H7" i="42"/>
  <c r="F7" i="42"/>
  <c r="D7" i="42"/>
  <c r="AE6" i="42"/>
  <c r="AD6" i="42"/>
  <c r="AB6" i="42"/>
  <c r="Z6" i="42"/>
  <c r="X6" i="42"/>
  <c r="V6" i="42"/>
  <c r="T6" i="42"/>
  <c r="R6" i="42"/>
  <c r="AF6" i="42" s="1"/>
  <c r="P6" i="42"/>
  <c r="N6" i="42"/>
  <c r="L6" i="42"/>
  <c r="J6" i="42"/>
  <c r="H6" i="42"/>
  <c r="F6" i="42"/>
  <c r="D6" i="42"/>
  <c r="AG6" i="42" s="1"/>
  <c r="AC19" i="41"/>
  <c r="AD34" i="53" s="1"/>
  <c r="AA19" i="41"/>
  <c r="AB34" i="53" s="1"/>
  <c r="Y19" i="41"/>
  <c r="Z34" i="53" s="1"/>
  <c r="W19" i="41"/>
  <c r="X34" i="53" s="1"/>
  <c r="U19" i="41"/>
  <c r="V34" i="53" s="1"/>
  <c r="T19" i="41"/>
  <c r="U34" i="53" s="1"/>
  <c r="S19" i="41"/>
  <c r="T34" i="53" s="1"/>
  <c r="Q19" i="41"/>
  <c r="R34" i="53" s="1"/>
  <c r="O19" i="41"/>
  <c r="P34" i="53" s="1"/>
  <c r="M19" i="41"/>
  <c r="N34" i="53" s="1"/>
  <c r="K19" i="41"/>
  <c r="L34" i="53" s="1"/>
  <c r="I19" i="41"/>
  <c r="J34" i="53" s="1"/>
  <c r="G19" i="41"/>
  <c r="H34" i="53" s="1"/>
  <c r="E19" i="41"/>
  <c r="F34" i="53" s="1"/>
  <c r="C19" i="41"/>
  <c r="D34" i="53" s="1"/>
  <c r="AG18" i="41"/>
  <c r="AG17" i="41"/>
  <c r="AG16" i="41"/>
  <c r="AG15" i="41"/>
  <c r="AG14" i="41"/>
  <c r="AG13" i="41"/>
  <c r="AD12" i="41"/>
  <c r="AG12" i="41" s="1"/>
  <c r="X12" i="41"/>
  <c r="AD11" i="41"/>
  <c r="AB11" i="41"/>
  <c r="Z11" i="41"/>
  <c r="X11" i="41"/>
  <c r="V11" i="41"/>
  <c r="T11" i="41"/>
  <c r="R11" i="41"/>
  <c r="P11" i="41"/>
  <c r="AE10" i="41"/>
  <c r="AD10" i="41"/>
  <c r="AB10" i="41"/>
  <c r="Z10" i="41"/>
  <c r="X10" i="41"/>
  <c r="V10" i="41"/>
  <c r="T10" i="41"/>
  <c r="R10" i="41"/>
  <c r="P10" i="41"/>
  <c r="N10" i="41"/>
  <c r="J10" i="41"/>
  <c r="H10" i="41"/>
  <c r="F10" i="41"/>
  <c r="D10" i="41"/>
  <c r="AE9" i="41"/>
  <c r="AD9" i="41"/>
  <c r="AB9" i="41"/>
  <c r="Z9" i="41"/>
  <c r="X9" i="41"/>
  <c r="V9" i="41"/>
  <c r="T9" i="41"/>
  <c r="R9" i="41"/>
  <c r="P9" i="41"/>
  <c r="N9" i="41"/>
  <c r="L9" i="41"/>
  <c r="L19" i="41" s="1"/>
  <c r="M34" i="53" s="1"/>
  <c r="J9" i="41"/>
  <c r="H9" i="41"/>
  <c r="F9" i="41"/>
  <c r="AF9" i="41" s="1"/>
  <c r="D9" i="41"/>
  <c r="AG9" i="41" s="1"/>
  <c r="AE8" i="41"/>
  <c r="AD8" i="41"/>
  <c r="AB8" i="41"/>
  <c r="Z8" i="41"/>
  <c r="X8" i="41"/>
  <c r="V8" i="41"/>
  <c r="T8" i="41"/>
  <c r="R8" i="41"/>
  <c r="P8" i="41"/>
  <c r="N8" i="41"/>
  <c r="L8" i="41"/>
  <c r="J8" i="41"/>
  <c r="H8" i="41"/>
  <c r="F8" i="41"/>
  <c r="D8" i="41"/>
  <c r="AG8" i="41" s="1"/>
  <c r="AE7" i="41"/>
  <c r="AD7" i="41"/>
  <c r="AB7" i="41"/>
  <c r="Z7" i="41"/>
  <c r="X7" i="41"/>
  <c r="V7" i="41"/>
  <c r="T7" i="41"/>
  <c r="R7" i="41"/>
  <c r="AF7" i="41" s="1"/>
  <c r="P7" i="41"/>
  <c r="N7" i="41"/>
  <c r="L7" i="41"/>
  <c r="J7" i="41"/>
  <c r="H7" i="41"/>
  <c r="F7" i="41"/>
  <c r="D7" i="41"/>
  <c r="AG6" i="41"/>
  <c r="AE6" i="41"/>
  <c r="AE19" i="41" s="1"/>
  <c r="AH34" i="53" s="1"/>
  <c r="AD6" i="41"/>
  <c r="AB6" i="41"/>
  <c r="Z6" i="41"/>
  <c r="X6" i="41"/>
  <c r="X19" i="41" s="1"/>
  <c r="Y34" i="53" s="1"/>
  <c r="V6" i="41"/>
  <c r="V19" i="41" s="1"/>
  <c r="W34" i="53" s="1"/>
  <c r="T6" i="41"/>
  <c r="R6" i="41"/>
  <c r="P6" i="41"/>
  <c r="P19" i="41" s="1"/>
  <c r="Q34" i="53" s="1"/>
  <c r="N6" i="41"/>
  <c r="L6" i="41"/>
  <c r="J6" i="41"/>
  <c r="H6" i="41"/>
  <c r="H19" i="41" s="1"/>
  <c r="I34" i="53" s="1"/>
  <c r="F6" i="41"/>
  <c r="F19" i="41" s="1"/>
  <c r="G34" i="53" s="1"/>
  <c r="D6" i="41"/>
  <c r="AA1" i="41"/>
  <c r="AC21" i="40"/>
  <c r="AD33" i="53" s="1"/>
  <c r="AA21" i="40"/>
  <c r="AB33" i="53" s="1"/>
  <c r="Y21" i="40"/>
  <c r="Z33" i="53" s="1"/>
  <c r="W21" i="40"/>
  <c r="X33" i="53" s="1"/>
  <c r="U21" i="40"/>
  <c r="V33" i="53" s="1"/>
  <c r="T21" i="40"/>
  <c r="S21" i="40"/>
  <c r="T33" i="53" s="1"/>
  <c r="R21" i="40"/>
  <c r="S33" i="53" s="1"/>
  <c r="Q21" i="40"/>
  <c r="R33" i="53" s="1"/>
  <c r="O21" i="40"/>
  <c r="P33" i="53" s="1"/>
  <c r="M21" i="40"/>
  <c r="N33" i="53" s="1"/>
  <c r="L21" i="40"/>
  <c r="M33" i="53" s="1"/>
  <c r="K21" i="40"/>
  <c r="L33" i="53" s="1"/>
  <c r="I21" i="40"/>
  <c r="J33" i="53" s="1"/>
  <c r="G21" i="40"/>
  <c r="H33" i="53" s="1"/>
  <c r="E21" i="40"/>
  <c r="F33" i="53" s="1"/>
  <c r="D21" i="40"/>
  <c r="E33" i="53" s="1"/>
  <c r="C21" i="40"/>
  <c r="D33" i="53" s="1"/>
  <c r="AG20" i="40"/>
  <c r="AG19" i="40"/>
  <c r="AG18" i="40"/>
  <c r="AG17" i="40"/>
  <c r="AG16" i="40"/>
  <c r="AG15" i="40"/>
  <c r="AG14" i="40"/>
  <c r="AG13" i="40"/>
  <c r="AG12" i="40"/>
  <c r="AG11" i="40"/>
  <c r="AG10" i="40"/>
  <c r="AE9" i="40"/>
  <c r="AD9" i="40"/>
  <c r="AB9" i="40"/>
  <c r="Z9" i="40"/>
  <c r="Z21" i="40" s="1"/>
  <c r="AA33" i="53" s="1"/>
  <c r="X9" i="40"/>
  <c r="V9" i="40"/>
  <c r="T9" i="40"/>
  <c r="R9" i="40"/>
  <c r="P9" i="40"/>
  <c r="N9" i="40"/>
  <c r="L9" i="40"/>
  <c r="J9" i="40"/>
  <c r="J21" i="40" s="1"/>
  <c r="K33" i="53" s="1"/>
  <c r="H9" i="40"/>
  <c r="F9" i="40"/>
  <c r="D9" i="40"/>
  <c r="AE8" i="40"/>
  <c r="AD8" i="40"/>
  <c r="AB8" i="40"/>
  <c r="AB21" i="40" s="1"/>
  <c r="AC33" i="53" s="1"/>
  <c r="Z8" i="40"/>
  <c r="X8" i="40"/>
  <c r="V8" i="40"/>
  <c r="T8" i="40"/>
  <c r="R8" i="40"/>
  <c r="P8" i="40"/>
  <c r="N8" i="40"/>
  <c r="L8" i="40"/>
  <c r="AF8" i="40" s="1"/>
  <c r="J8" i="40"/>
  <c r="H8" i="40"/>
  <c r="F8" i="40"/>
  <c r="D8" i="40"/>
  <c r="AG8" i="40" s="1"/>
  <c r="AE7" i="40"/>
  <c r="AD7" i="40"/>
  <c r="AB7" i="40"/>
  <c r="Z7" i="40"/>
  <c r="X7" i="40"/>
  <c r="V7" i="40"/>
  <c r="T7" i="40"/>
  <c r="R7" i="40"/>
  <c r="P7" i="40"/>
  <c r="N7" i="40"/>
  <c r="AF7" i="40" s="1"/>
  <c r="L7" i="40"/>
  <c r="J7" i="40"/>
  <c r="H7" i="40"/>
  <c r="F7" i="40"/>
  <c r="D7" i="40"/>
  <c r="AG7" i="40" s="1"/>
  <c r="AE6" i="40"/>
  <c r="AD6" i="40"/>
  <c r="AD21" i="40" s="1"/>
  <c r="AE33" i="53" s="1"/>
  <c r="AB6" i="40"/>
  <c r="Z6" i="40"/>
  <c r="X6" i="40"/>
  <c r="X21" i="40" s="1"/>
  <c r="Y33" i="53" s="1"/>
  <c r="V6" i="40"/>
  <c r="V21" i="40" s="1"/>
  <c r="W33" i="53" s="1"/>
  <c r="T6" i="40"/>
  <c r="R6" i="40"/>
  <c r="AF6" i="40" s="1"/>
  <c r="P6" i="40"/>
  <c r="N6" i="40"/>
  <c r="N21" i="40" s="1"/>
  <c r="O33" i="53" s="1"/>
  <c r="L6" i="40"/>
  <c r="J6" i="40"/>
  <c r="H6" i="40"/>
  <c r="H21" i="40" s="1"/>
  <c r="I33" i="53" s="1"/>
  <c r="F6" i="40"/>
  <c r="F21" i="40" s="1"/>
  <c r="G33" i="53" s="1"/>
  <c r="D6" i="40"/>
  <c r="AG6" i="40" s="1"/>
  <c r="AC20" i="39"/>
  <c r="AD32" i="53" s="1"/>
  <c r="AA20" i="39"/>
  <c r="AB32" i="53" s="1"/>
  <c r="Z20" i="39"/>
  <c r="AA32" i="53" s="1"/>
  <c r="Y20" i="39"/>
  <c r="Z32" i="53" s="1"/>
  <c r="W20" i="39"/>
  <c r="X32" i="53" s="1"/>
  <c r="U20" i="39"/>
  <c r="V32" i="53" s="1"/>
  <c r="S20" i="39"/>
  <c r="T32" i="53" s="1"/>
  <c r="Q20" i="39"/>
  <c r="R32" i="53" s="1"/>
  <c r="O20" i="39"/>
  <c r="P32" i="53" s="1"/>
  <c r="M20" i="39"/>
  <c r="N32" i="53" s="1"/>
  <c r="K20" i="39"/>
  <c r="L32" i="53" s="1"/>
  <c r="I20" i="39"/>
  <c r="G20" i="39"/>
  <c r="H32" i="53" s="1"/>
  <c r="E20" i="39"/>
  <c r="F32" i="53" s="1"/>
  <c r="C20" i="39"/>
  <c r="D32" i="53" s="1"/>
  <c r="AG19" i="39"/>
  <c r="AE18" i="39"/>
  <c r="R18" i="39"/>
  <c r="N18" i="39"/>
  <c r="J18" i="39"/>
  <c r="F18" i="39"/>
  <c r="D18" i="39"/>
  <c r="AE17" i="39"/>
  <c r="R17" i="39"/>
  <c r="P17" i="39"/>
  <c r="N17" i="39"/>
  <c r="J17" i="39"/>
  <c r="H17" i="39"/>
  <c r="F17" i="39"/>
  <c r="D17" i="39"/>
  <c r="AE16" i="39"/>
  <c r="AD16" i="39"/>
  <c r="AB16" i="39"/>
  <c r="R16" i="39"/>
  <c r="P16" i="39"/>
  <c r="N16" i="39"/>
  <c r="J16" i="39"/>
  <c r="H16" i="39"/>
  <c r="F16" i="39"/>
  <c r="D16" i="39"/>
  <c r="AE15" i="39"/>
  <c r="AD15" i="39"/>
  <c r="AB15" i="39"/>
  <c r="R15" i="39"/>
  <c r="P15" i="39"/>
  <c r="N15" i="39"/>
  <c r="L15" i="39"/>
  <c r="J15" i="39"/>
  <c r="AG15" i="39" s="1"/>
  <c r="H15" i="39"/>
  <c r="F15" i="39"/>
  <c r="D15" i="39"/>
  <c r="AE14" i="39"/>
  <c r="AD14" i="39"/>
  <c r="AB14" i="39"/>
  <c r="R14" i="39"/>
  <c r="P14" i="39"/>
  <c r="N14" i="39"/>
  <c r="L14" i="39"/>
  <c r="J14" i="39"/>
  <c r="H14" i="39"/>
  <c r="F14" i="39"/>
  <c r="D14" i="39"/>
  <c r="AE13" i="39"/>
  <c r="AD13" i="39"/>
  <c r="AB13" i="39"/>
  <c r="Z13" i="39"/>
  <c r="X13" i="39"/>
  <c r="V13" i="39"/>
  <c r="T13" i="39"/>
  <c r="R13" i="39"/>
  <c r="P13" i="39"/>
  <c r="N13" i="39"/>
  <c r="L13" i="39"/>
  <c r="J13" i="39"/>
  <c r="H13" i="39"/>
  <c r="F13" i="39"/>
  <c r="AF13" i="39" s="1"/>
  <c r="D13" i="39"/>
  <c r="AE12" i="39"/>
  <c r="AD12" i="39"/>
  <c r="AB12" i="39"/>
  <c r="Z12" i="39"/>
  <c r="X12" i="39"/>
  <c r="V12" i="39"/>
  <c r="T12" i="39"/>
  <c r="R12" i="39"/>
  <c r="P12" i="39"/>
  <c r="N12" i="39"/>
  <c r="L12" i="39"/>
  <c r="J12" i="39"/>
  <c r="H12" i="39"/>
  <c r="F12" i="39"/>
  <c r="D12" i="39"/>
  <c r="AE11" i="39"/>
  <c r="AD11" i="39"/>
  <c r="AB11" i="39"/>
  <c r="Z11" i="39"/>
  <c r="X11" i="39"/>
  <c r="V11" i="39"/>
  <c r="T11" i="39"/>
  <c r="R11" i="39"/>
  <c r="P11" i="39"/>
  <c r="N11" i="39"/>
  <c r="L11" i="39"/>
  <c r="J11" i="39"/>
  <c r="AF11" i="39" s="1"/>
  <c r="H11" i="39"/>
  <c r="F11" i="39"/>
  <c r="D11" i="39"/>
  <c r="AE10" i="39"/>
  <c r="AD10" i="39"/>
  <c r="AB10" i="39"/>
  <c r="Z10" i="39"/>
  <c r="X10" i="39"/>
  <c r="V10" i="39"/>
  <c r="T10" i="39"/>
  <c r="R10" i="39"/>
  <c r="P10" i="39"/>
  <c r="N10" i="39"/>
  <c r="L10" i="39"/>
  <c r="J10" i="39"/>
  <c r="H10" i="39"/>
  <c r="F10" i="39"/>
  <c r="D10" i="39"/>
  <c r="AE9" i="39"/>
  <c r="AD9" i="39"/>
  <c r="AB9" i="39"/>
  <c r="Z9" i="39"/>
  <c r="X9" i="39"/>
  <c r="V9" i="39"/>
  <c r="T9" i="39"/>
  <c r="R9" i="39"/>
  <c r="P9" i="39"/>
  <c r="N9" i="39"/>
  <c r="AF9" i="39" s="1"/>
  <c r="L9" i="39"/>
  <c r="J9" i="39"/>
  <c r="H9" i="39"/>
  <c r="F9" i="39"/>
  <c r="D9" i="39"/>
  <c r="AE8" i="39"/>
  <c r="AD8" i="39"/>
  <c r="AB8" i="39"/>
  <c r="Z8" i="39"/>
  <c r="X8" i="39"/>
  <c r="V8" i="39"/>
  <c r="T8" i="39"/>
  <c r="R8" i="39"/>
  <c r="AF8" i="39" s="1"/>
  <c r="P8" i="39"/>
  <c r="N8" i="39"/>
  <c r="L8" i="39"/>
  <c r="J8" i="39"/>
  <c r="H8" i="39"/>
  <c r="F8" i="39"/>
  <c r="D8" i="39"/>
  <c r="AG8" i="39" s="1"/>
  <c r="AE7" i="39"/>
  <c r="AD7" i="39"/>
  <c r="AB7" i="39"/>
  <c r="Z7" i="39"/>
  <c r="X7" i="39"/>
  <c r="V7" i="39"/>
  <c r="T7" i="39"/>
  <c r="R7" i="39"/>
  <c r="P7" i="39"/>
  <c r="N7" i="39"/>
  <c r="L7" i="39"/>
  <c r="J7" i="39"/>
  <c r="H7" i="39"/>
  <c r="F7" i="39"/>
  <c r="D7" i="39"/>
  <c r="AG7" i="39" s="1"/>
  <c r="AE6" i="39"/>
  <c r="AD6" i="39"/>
  <c r="AB6" i="39"/>
  <c r="Z6" i="39"/>
  <c r="X6" i="39"/>
  <c r="X20" i="39" s="1"/>
  <c r="Y32" i="53" s="1"/>
  <c r="V6" i="39"/>
  <c r="T6" i="39"/>
  <c r="T20" i="39" s="1"/>
  <c r="U32" i="53" s="1"/>
  <c r="R6" i="39"/>
  <c r="P6" i="39"/>
  <c r="N6" i="39"/>
  <c r="L6" i="39"/>
  <c r="J6" i="39"/>
  <c r="H6" i="39"/>
  <c r="F6" i="39"/>
  <c r="D6" i="39"/>
  <c r="AF6" i="39" s="1"/>
  <c r="AC21" i="36"/>
  <c r="AD29" i="53" s="1"/>
  <c r="AA21" i="36"/>
  <c r="AB29" i="53" s="1"/>
  <c r="Y21" i="36"/>
  <c r="Z29" i="53" s="1"/>
  <c r="W21" i="36"/>
  <c r="X29" i="53" s="1"/>
  <c r="U21" i="36"/>
  <c r="V29" i="53" s="1"/>
  <c r="S21" i="36"/>
  <c r="T29" i="53" s="1"/>
  <c r="Q21" i="36"/>
  <c r="R29" i="53" s="1"/>
  <c r="O21" i="36"/>
  <c r="P29" i="53" s="1"/>
  <c r="N21" i="36"/>
  <c r="O29" i="53" s="1"/>
  <c r="M21" i="36"/>
  <c r="N29" i="53" s="1"/>
  <c r="L21" i="36"/>
  <c r="M29" i="53" s="1"/>
  <c r="K21" i="36"/>
  <c r="L29" i="53" s="1"/>
  <c r="I21" i="36"/>
  <c r="J29" i="53" s="1"/>
  <c r="G21" i="36"/>
  <c r="H29" i="53" s="1"/>
  <c r="F21" i="36"/>
  <c r="G29" i="53" s="1"/>
  <c r="E21" i="36"/>
  <c r="F29" i="53" s="1"/>
  <c r="C21" i="36"/>
  <c r="D29" i="53" s="1"/>
  <c r="AG20" i="36"/>
  <c r="AG19" i="36"/>
  <c r="AG18" i="36"/>
  <c r="AG17" i="36"/>
  <c r="AG16" i="36"/>
  <c r="AG15" i="36"/>
  <c r="AG14" i="36"/>
  <c r="AG13" i="36"/>
  <c r="AG12" i="36"/>
  <c r="AG11" i="36"/>
  <c r="AE10" i="36"/>
  <c r="AD10" i="36"/>
  <c r="AD21" i="36" s="1"/>
  <c r="AE29" i="53" s="1"/>
  <c r="AB10" i="36"/>
  <c r="AB21" i="36" s="1"/>
  <c r="AC29" i="53" s="1"/>
  <c r="Z10" i="36"/>
  <c r="X10" i="36"/>
  <c r="J10" i="36"/>
  <c r="H10" i="36"/>
  <c r="F10" i="36"/>
  <c r="D10" i="36"/>
  <c r="AE9" i="36"/>
  <c r="AD9" i="36"/>
  <c r="AB9" i="36"/>
  <c r="Z9" i="36"/>
  <c r="X9" i="36"/>
  <c r="V9" i="36"/>
  <c r="T9" i="36"/>
  <c r="R9" i="36"/>
  <c r="AF9" i="36" s="1"/>
  <c r="P9" i="36"/>
  <c r="N9" i="36"/>
  <c r="L9" i="36"/>
  <c r="J9" i="36"/>
  <c r="H9" i="36"/>
  <c r="F9" i="36"/>
  <c r="D9" i="36"/>
  <c r="AG9" i="36" s="1"/>
  <c r="AG8" i="36"/>
  <c r="AE8" i="36"/>
  <c r="J8" i="36"/>
  <c r="H8" i="36"/>
  <c r="F8" i="36"/>
  <c r="D8" i="36"/>
  <c r="AF8" i="36" s="1"/>
  <c r="AE7" i="36"/>
  <c r="AD7" i="36"/>
  <c r="AB7" i="36"/>
  <c r="Z7" i="36"/>
  <c r="Z21" i="36" s="1"/>
  <c r="AA29" i="53" s="1"/>
  <c r="X7" i="36"/>
  <c r="V7" i="36"/>
  <c r="T7" i="36"/>
  <c r="R7" i="36"/>
  <c r="P7" i="36"/>
  <c r="N7" i="36"/>
  <c r="L7" i="36"/>
  <c r="J7" i="36"/>
  <c r="J21" i="36" s="1"/>
  <c r="K29" i="53" s="1"/>
  <c r="H7" i="36"/>
  <c r="F7" i="36"/>
  <c r="D7" i="36"/>
  <c r="AG6" i="36"/>
  <c r="AE6" i="36"/>
  <c r="AE21" i="36" s="1"/>
  <c r="AD6" i="36"/>
  <c r="AB6" i="36"/>
  <c r="Z6" i="36"/>
  <c r="X6" i="36"/>
  <c r="X21" i="36" s="1"/>
  <c r="Y29" i="53" s="1"/>
  <c r="V6" i="36"/>
  <c r="V21" i="36" s="1"/>
  <c r="W29" i="53" s="1"/>
  <c r="T6" i="36"/>
  <c r="R6" i="36"/>
  <c r="P6" i="36"/>
  <c r="P21" i="36" s="1"/>
  <c r="Q29" i="53" s="1"/>
  <c r="N6" i="36"/>
  <c r="L6" i="36"/>
  <c r="J6" i="36"/>
  <c r="H6" i="36"/>
  <c r="H21" i="36" s="1"/>
  <c r="I29" i="53" s="1"/>
  <c r="F6" i="36"/>
  <c r="D6" i="36"/>
  <c r="AD21" i="35"/>
  <c r="AE28" i="53" s="1"/>
  <c r="AC21" i="35"/>
  <c r="AD28" i="53" s="1"/>
  <c r="AB21" i="35"/>
  <c r="AC28" i="53" s="1"/>
  <c r="AA21" i="35"/>
  <c r="AB28" i="53" s="1"/>
  <c r="Y21" i="35"/>
  <c r="Z28" i="53" s="1"/>
  <c r="W21" i="35"/>
  <c r="X28" i="53" s="1"/>
  <c r="V21" i="35"/>
  <c r="W28" i="53" s="1"/>
  <c r="U21" i="35"/>
  <c r="V28" i="53" s="1"/>
  <c r="T21" i="35"/>
  <c r="U28" i="53" s="1"/>
  <c r="S21" i="35"/>
  <c r="T28" i="53" s="1"/>
  <c r="Q21" i="35"/>
  <c r="R28" i="53" s="1"/>
  <c r="O21" i="35"/>
  <c r="P28" i="53" s="1"/>
  <c r="M21" i="35"/>
  <c r="N28" i="53" s="1"/>
  <c r="K21" i="35"/>
  <c r="L28" i="53" s="1"/>
  <c r="I21" i="35"/>
  <c r="J28" i="53" s="1"/>
  <c r="G21" i="35"/>
  <c r="H28" i="53" s="1"/>
  <c r="F21" i="35"/>
  <c r="G28" i="53" s="1"/>
  <c r="E21" i="35"/>
  <c r="F28" i="53" s="1"/>
  <c r="D21" i="35"/>
  <c r="E28" i="53" s="1"/>
  <c r="C21" i="35"/>
  <c r="D28" i="53" s="1"/>
  <c r="AG20" i="35"/>
  <c r="AG19" i="35"/>
  <c r="AG18" i="35"/>
  <c r="T18" i="35"/>
  <c r="AG17" i="35"/>
  <c r="AF17" i="35"/>
  <c r="AE17" i="35"/>
  <c r="T17" i="35"/>
  <c r="L17" i="35"/>
  <c r="J17" i="35"/>
  <c r="H17" i="35"/>
  <c r="D17" i="35"/>
  <c r="AG16" i="35"/>
  <c r="AE16" i="35"/>
  <c r="X16" i="35"/>
  <c r="T16" i="35"/>
  <c r="L16" i="35"/>
  <c r="J16" i="35"/>
  <c r="H16" i="35"/>
  <c r="F16" i="35"/>
  <c r="D16" i="35"/>
  <c r="AF16" i="35" s="1"/>
  <c r="AE15" i="35"/>
  <c r="X15" i="35"/>
  <c r="T15" i="35"/>
  <c r="L15" i="35"/>
  <c r="J15" i="35"/>
  <c r="H15" i="35"/>
  <c r="AG15" i="35" s="1"/>
  <c r="F15" i="35"/>
  <c r="D15" i="35"/>
  <c r="AE14" i="35"/>
  <c r="X14" i="35"/>
  <c r="T14" i="35"/>
  <c r="L14" i="35"/>
  <c r="L21" i="35" s="1"/>
  <c r="M28" i="53" s="1"/>
  <c r="J14" i="35"/>
  <c r="H14" i="35"/>
  <c r="F14" i="35"/>
  <c r="D14" i="35"/>
  <c r="AE13" i="35"/>
  <c r="X13" i="35"/>
  <c r="T13" i="35"/>
  <c r="L13" i="35"/>
  <c r="J13" i="35"/>
  <c r="H13" i="35"/>
  <c r="F13" i="35"/>
  <c r="D13" i="35"/>
  <c r="AE12" i="35"/>
  <c r="AD12" i="35"/>
  <c r="AB12" i="35"/>
  <c r="Z12" i="35"/>
  <c r="X12" i="35"/>
  <c r="V12" i="35"/>
  <c r="T12" i="35"/>
  <c r="R12" i="35"/>
  <c r="AF12" i="35" s="1"/>
  <c r="N12" i="35"/>
  <c r="AG12" i="35" s="1"/>
  <c r="L12" i="35"/>
  <c r="J12" i="35"/>
  <c r="H12" i="35"/>
  <c r="F12" i="35"/>
  <c r="D12" i="35"/>
  <c r="AE11" i="35"/>
  <c r="AD11" i="35"/>
  <c r="AB11" i="35"/>
  <c r="Z11" i="35"/>
  <c r="X11" i="35"/>
  <c r="V11" i="35"/>
  <c r="T11" i="35"/>
  <c r="R11" i="35"/>
  <c r="AF11" i="35" s="1"/>
  <c r="P11" i="35"/>
  <c r="N11" i="35"/>
  <c r="L11" i="35"/>
  <c r="J11" i="35"/>
  <c r="H11" i="35"/>
  <c r="F11" i="35"/>
  <c r="D11" i="35"/>
  <c r="AG11" i="35" s="1"/>
  <c r="AG10" i="35"/>
  <c r="AF10" i="35"/>
  <c r="AE10" i="35"/>
  <c r="J10" i="35"/>
  <c r="F10" i="35"/>
  <c r="D10" i="35"/>
  <c r="AE9" i="35"/>
  <c r="AD9" i="35"/>
  <c r="AB9" i="35"/>
  <c r="Z9" i="35"/>
  <c r="X9" i="35"/>
  <c r="V9" i="35"/>
  <c r="T9" i="35"/>
  <c r="R9" i="35"/>
  <c r="P9" i="35"/>
  <c r="N9" i="35"/>
  <c r="N21" i="35" s="1"/>
  <c r="O28" i="53" s="1"/>
  <c r="L9" i="35"/>
  <c r="J9" i="35"/>
  <c r="H9" i="35"/>
  <c r="F9" i="35"/>
  <c r="D9" i="35"/>
  <c r="AG8" i="35"/>
  <c r="AF8" i="35"/>
  <c r="AE8" i="35"/>
  <c r="J8" i="35"/>
  <c r="F8" i="35"/>
  <c r="D8" i="35"/>
  <c r="AE7" i="35"/>
  <c r="AD7" i="35"/>
  <c r="AB7" i="35"/>
  <c r="Z7" i="35"/>
  <c r="X7" i="35"/>
  <c r="X21" i="35" s="1"/>
  <c r="Y28" i="53" s="1"/>
  <c r="V7" i="35"/>
  <c r="T7" i="35"/>
  <c r="R7" i="35"/>
  <c r="P7" i="35"/>
  <c r="N7" i="35"/>
  <c r="L7" i="35"/>
  <c r="J7" i="35"/>
  <c r="H7" i="35"/>
  <c r="F7" i="35"/>
  <c r="D7" i="35"/>
  <c r="AE6" i="35"/>
  <c r="AE21" i="35" s="1"/>
  <c r="AD6" i="35"/>
  <c r="AB6" i="35"/>
  <c r="Z6" i="35"/>
  <c r="Z21" i="35" s="1"/>
  <c r="AA28" i="53" s="1"/>
  <c r="X6" i="35"/>
  <c r="V6" i="35"/>
  <c r="T6" i="35"/>
  <c r="R6" i="35"/>
  <c r="R21" i="35" s="1"/>
  <c r="S28" i="53" s="1"/>
  <c r="P6" i="35"/>
  <c r="P21" i="35" s="1"/>
  <c r="Q28" i="53" s="1"/>
  <c r="N6" i="35"/>
  <c r="L6" i="35"/>
  <c r="J6" i="35"/>
  <c r="H6" i="35"/>
  <c r="F6" i="35"/>
  <c r="D6" i="35"/>
  <c r="AC1" i="35"/>
  <c r="AG19" i="34"/>
  <c r="AC19" i="34"/>
  <c r="AD27" i="53" s="1"/>
  <c r="AA19" i="34"/>
  <c r="AB27" i="53" s="1"/>
  <c r="Y19" i="34"/>
  <c r="Z27" i="53" s="1"/>
  <c r="W19" i="34"/>
  <c r="X27" i="53" s="1"/>
  <c r="U19" i="34"/>
  <c r="V27" i="53" s="1"/>
  <c r="S19" i="34"/>
  <c r="T27" i="53" s="1"/>
  <c r="Q19" i="34"/>
  <c r="R27" i="53" s="1"/>
  <c r="O19" i="34"/>
  <c r="P27" i="53" s="1"/>
  <c r="M19" i="34"/>
  <c r="N27" i="53" s="1"/>
  <c r="K19" i="34"/>
  <c r="L27" i="53" s="1"/>
  <c r="I19" i="34"/>
  <c r="J27" i="53" s="1"/>
  <c r="G19" i="34"/>
  <c r="H27" i="53" s="1"/>
  <c r="E19" i="34"/>
  <c r="F27" i="53" s="1"/>
  <c r="C19" i="34"/>
  <c r="D27" i="53" s="1"/>
  <c r="AK18" i="34"/>
  <c r="AK17" i="34"/>
  <c r="N16" i="34"/>
  <c r="AK16" i="34" s="1"/>
  <c r="AJ15" i="34"/>
  <c r="AF15" i="34"/>
  <c r="N15" i="34"/>
  <c r="L15" i="34"/>
  <c r="AI14" i="34"/>
  <c r="AF14" i="34"/>
  <c r="N14" i="34"/>
  <c r="L14" i="34"/>
  <c r="F14" i="34"/>
  <c r="AI13" i="34"/>
  <c r="AF13" i="34"/>
  <c r="T13" i="34"/>
  <c r="N13" i="34"/>
  <c r="L13" i="34"/>
  <c r="J13" i="34"/>
  <c r="F13" i="34"/>
  <c r="D13" i="34"/>
  <c r="AK13" i="34" s="1"/>
  <c r="AI12" i="34"/>
  <c r="AF12" i="34"/>
  <c r="T12" i="34"/>
  <c r="R12" i="34"/>
  <c r="N12" i="34"/>
  <c r="L12" i="34"/>
  <c r="J12" i="34"/>
  <c r="H12" i="34"/>
  <c r="F12" i="34"/>
  <c r="D12" i="34"/>
  <c r="AI11" i="34"/>
  <c r="AF11" i="34"/>
  <c r="T11" i="34"/>
  <c r="R11" i="34"/>
  <c r="N11" i="34"/>
  <c r="L11" i="34"/>
  <c r="J11" i="34"/>
  <c r="H11" i="34"/>
  <c r="AK11" i="34" s="1"/>
  <c r="F11" i="34"/>
  <c r="D11" i="34"/>
  <c r="AI10" i="34"/>
  <c r="AF10" i="34"/>
  <c r="T10" i="34"/>
  <c r="R10" i="34"/>
  <c r="N10" i="34"/>
  <c r="L10" i="34"/>
  <c r="J10" i="34"/>
  <c r="H10" i="34"/>
  <c r="F10" i="34"/>
  <c r="D10" i="34"/>
  <c r="AI9" i="34"/>
  <c r="AH9" i="34"/>
  <c r="AF9" i="34"/>
  <c r="AD9" i="34"/>
  <c r="AB9" i="34"/>
  <c r="Z9" i="34"/>
  <c r="X9" i="34"/>
  <c r="V9" i="34"/>
  <c r="T9" i="34"/>
  <c r="R9" i="34"/>
  <c r="N9" i="34"/>
  <c r="L9" i="34"/>
  <c r="J9" i="34"/>
  <c r="H9" i="34"/>
  <c r="F9" i="34"/>
  <c r="D9" i="34"/>
  <c r="AI8" i="34"/>
  <c r="AH8" i="34"/>
  <c r="AF8" i="34"/>
  <c r="AD8" i="34"/>
  <c r="AB8" i="34"/>
  <c r="AB19" i="34" s="1"/>
  <c r="AC27" i="53" s="1"/>
  <c r="Z8" i="34"/>
  <c r="X8" i="34"/>
  <c r="V8" i="34"/>
  <c r="T8" i="34"/>
  <c r="R8" i="34"/>
  <c r="P8" i="34"/>
  <c r="N8" i="34"/>
  <c r="L8" i="34"/>
  <c r="L19" i="34" s="1"/>
  <c r="M27" i="53" s="1"/>
  <c r="J8" i="34"/>
  <c r="H8" i="34"/>
  <c r="F8" i="34"/>
  <c r="D8" i="34"/>
  <c r="AI7" i="34"/>
  <c r="AI19" i="34" s="1"/>
  <c r="AI1" i="34" s="1"/>
  <c r="AH7" i="34"/>
  <c r="AF7" i="34"/>
  <c r="AD7" i="34"/>
  <c r="AB7" i="34"/>
  <c r="Z7" i="34"/>
  <c r="X7" i="34"/>
  <c r="V7" i="34"/>
  <c r="T7" i="34"/>
  <c r="T19" i="34" s="1"/>
  <c r="U27" i="53" s="1"/>
  <c r="R7" i="34"/>
  <c r="P7" i="34"/>
  <c r="N7" i="34"/>
  <c r="L7" i="34"/>
  <c r="J7" i="34"/>
  <c r="H7" i="34"/>
  <c r="F7" i="34"/>
  <c r="D7" i="34"/>
  <c r="AI6" i="34"/>
  <c r="AH6" i="34"/>
  <c r="AH19" i="34" s="1"/>
  <c r="AF6" i="34"/>
  <c r="AD6" i="34"/>
  <c r="AB6" i="34"/>
  <c r="Z6" i="34"/>
  <c r="X6" i="34"/>
  <c r="X19" i="34" s="1"/>
  <c r="Y27" i="53" s="1"/>
  <c r="V6" i="34"/>
  <c r="V19" i="34" s="1"/>
  <c r="W27" i="53" s="1"/>
  <c r="T6" i="34"/>
  <c r="R6" i="34"/>
  <c r="R19" i="34" s="1"/>
  <c r="S27" i="53" s="1"/>
  <c r="P6" i="34"/>
  <c r="N6" i="34"/>
  <c r="L6" i="34"/>
  <c r="J6" i="34"/>
  <c r="H6" i="34"/>
  <c r="F6" i="34"/>
  <c r="D6" i="34"/>
  <c r="AE27" i="33"/>
  <c r="AC27" i="33"/>
  <c r="AD26" i="53" s="1"/>
  <c r="AA27" i="33"/>
  <c r="AB26" i="53" s="1"/>
  <c r="Y27" i="33"/>
  <c r="Z26" i="53" s="1"/>
  <c r="W27" i="33"/>
  <c r="X26" i="53" s="1"/>
  <c r="V27" i="33"/>
  <c r="W26" i="53" s="1"/>
  <c r="U27" i="33"/>
  <c r="V26" i="53" s="1"/>
  <c r="S27" i="33"/>
  <c r="T26" i="53" s="1"/>
  <c r="Q27" i="33"/>
  <c r="R26" i="53" s="1"/>
  <c r="O27" i="33"/>
  <c r="P26" i="53" s="1"/>
  <c r="M27" i="33"/>
  <c r="N26" i="53" s="1"/>
  <c r="K27" i="33"/>
  <c r="L26" i="53" s="1"/>
  <c r="I27" i="33"/>
  <c r="J26" i="53" s="1"/>
  <c r="G27" i="33"/>
  <c r="H26" i="53" s="1"/>
  <c r="E27" i="33"/>
  <c r="F26" i="53" s="1"/>
  <c r="C27" i="33"/>
  <c r="D26" i="53" s="1"/>
  <c r="AE26" i="33"/>
  <c r="L26" i="33"/>
  <c r="F26" i="33"/>
  <c r="D26" i="33"/>
  <c r="AE25" i="33"/>
  <c r="X25" i="33"/>
  <c r="N25" i="33"/>
  <c r="L25" i="33"/>
  <c r="J25" i="33"/>
  <c r="H25" i="33"/>
  <c r="F25" i="33"/>
  <c r="D25" i="33"/>
  <c r="AG25" i="33" s="1"/>
  <c r="AE24" i="33"/>
  <c r="X24" i="33"/>
  <c r="N24" i="33"/>
  <c r="L24" i="33"/>
  <c r="J24" i="33"/>
  <c r="H24" i="33"/>
  <c r="F24" i="33"/>
  <c r="D24" i="33"/>
  <c r="AE23" i="33"/>
  <c r="X23" i="33"/>
  <c r="N23" i="33"/>
  <c r="L23" i="33"/>
  <c r="J23" i="33"/>
  <c r="H23" i="33"/>
  <c r="F23" i="33"/>
  <c r="D23" i="33"/>
  <c r="AG23" i="33" s="1"/>
  <c r="AE22" i="33"/>
  <c r="X22" i="33"/>
  <c r="N22" i="33"/>
  <c r="L22" i="33"/>
  <c r="J22" i="33"/>
  <c r="H22" i="33"/>
  <c r="F22" i="33"/>
  <c r="F27" i="33" s="1"/>
  <c r="G26" i="53" s="1"/>
  <c r="D22" i="33"/>
  <c r="AE21" i="33"/>
  <c r="X21" i="33"/>
  <c r="N21" i="33"/>
  <c r="L21" i="33"/>
  <c r="J21" i="33"/>
  <c r="H21" i="33"/>
  <c r="F21" i="33"/>
  <c r="D21" i="33"/>
  <c r="AE20" i="33"/>
  <c r="X20" i="33"/>
  <c r="N20" i="33"/>
  <c r="J20" i="33"/>
  <c r="H20" i="33"/>
  <c r="F20" i="33"/>
  <c r="AF20" i="33" s="1"/>
  <c r="D20" i="33"/>
  <c r="AG20" i="33" s="1"/>
  <c r="AE19" i="33"/>
  <c r="X19" i="33"/>
  <c r="N19" i="33"/>
  <c r="L19" i="33"/>
  <c r="J19" i="33"/>
  <c r="H19" i="33"/>
  <c r="F19" i="33"/>
  <c r="AG19" i="33" s="1"/>
  <c r="D19" i="33"/>
  <c r="AF19" i="33" s="1"/>
  <c r="AE18" i="33"/>
  <c r="X18" i="33"/>
  <c r="N18" i="33"/>
  <c r="L18" i="33"/>
  <c r="J18" i="33"/>
  <c r="H18" i="33"/>
  <c r="F18" i="33"/>
  <c r="D18" i="33"/>
  <c r="AG18" i="33" s="1"/>
  <c r="AE17" i="33"/>
  <c r="X17" i="33"/>
  <c r="N17" i="33"/>
  <c r="L17" i="33"/>
  <c r="J17" i="33"/>
  <c r="H17" i="33"/>
  <c r="F17" i="33"/>
  <c r="D17" i="33"/>
  <c r="AE16" i="33"/>
  <c r="X16" i="33"/>
  <c r="N16" i="33"/>
  <c r="L16" i="33"/>
  <c r="J16" i="33"/>
  <c r="H16" i="33"/>
  <c r="F16" i="33"/>
  <c r="D16" i="33"/>
  <c r="AE15" i="33"/>
  <c r="AD15" i="33"/>
  <c r="AB15" i="33"/>
  <c r="Z15" i="33"/>
  <c r="X15" i="33"/>
  <c r="V15" i="33"/>
  <c r="T15" i="33"/>
  <c r="R15" i="33"/>
  <c r="P15" i="33"/>
  <c r="N15" i="33"/>
  <c r="L15" i="33"/>
  <c r="J15" i="33"/>
  <c r="H15" i="33"/>
  <c r="F15" i="33"/>
  <c r="D15" i="33"/>
  <c r="AE14" i="33"/>
  <c r="AD14" i="33"/>
  <c r="AB14" i="33"/>
  <c r="Z14" i="33"/>
  <c r="X14" i="33"/>
  <c r="V14" i="33"/>
  <c r="T14" i="33"/>
  <c r="R14" i="33"/>
  <c r="P14" i="33"/>
  <c r="N14" i="33"/>
  <c r="AF14" i="33" s="1"/>
  <c r="L14" i="33"/>
  <c r="J14" i="33"/>
  <c r="H14" i="33"/>
  <c r="F14" i="33"/>
  <c r="D14" i="33"/>
  <c r="AE13" i="33"/>
  <c r="AD13" i="33"/>
  <c r="AB13" i="33"/>
  <c r="Z13" i="33"/>
  <c r="X13" i="33"/>
  <c r="V13" i="33"/>
  <c r="T13" i="33"/>
  <c r="R13" i="33"/>
  <c r="AF13" i="33" s="1"/>
  <c r="P13" i="33"/>
  <c r="N13" i="33"/>
  <c r="L13" i="33"/>
  <c r="J13" i="33"/>
  <c r="H13" i="33"/>
  <c r="F13" i="33"/>
  <c r="D13" i="33"/>
  <c r="AG13" i="33" s="1"/>
  <c r="AE12" i="33"/>
  <c r="AD12" i="33"/>
  <c r="AB12" i="33"/>
  <c r="Z12" i="33"/>
  <c r="X12" i="33"/>
  <c r="V12" i="33"/>
  <c r="T12" i="33"/>
  <c r="R12" i="33"/>
  <c r="P12" i="33"/>
  <c r="N12" i="33"/>
  <c r="L12" i="33"/>
  <c r="J12" i="33"/>
  <c r="H12" i="33"/>
  <c r="F12" i="33"/>
  <c r="D12" i="33"/>
  <c r="AG12" i="33" s="1"/>
  <c r="AE11" i="33"/>
  <c r="AD11" i="33"/>
  <c r="AB11" i="33"/>
  <c r="Z11" i="33"/>
  <c r="X11" i="33"/>
  <c r="V11" i="33"/>
  <c r="T11" i="33"/>
  <c r="R11" i="33"/>
  <c r="P11" i="33"/>
  <c r="N11" i="33"/>
  <c r="L11" i="33"/>
  <c r="J11" i="33"/>
  <c r="H11" i="33"/>
  <c r="F11" i="33"/>
  <c r="D11" i="33"/>
  <c r="AF11" i="33" s="1"/>
  <c r="AE10" i="33"/>
  <c r="AD10" i="33"/>
  <c r="AB10" i="33"/>
  <c r="Z10" i="33"/>
  <c r="X10" i="33"/>
  <c r="V10" i="33"/>
  <c r="T10" i="33"/>
  <c r="R10" i="33"/>
  <c r="P10" i="33"/>
  <c r="N10" i="33"/>
  <c r="L10" i="33"/>
  <c r="J10" i="33"/>
  <c r="H10" i="33"/>
  <c r="F10" i="33"/>
  <c r="D10" i="33"/>
  <c r="AE9" i="33"/>
  <c r="AD9" i="33"/>
  <c r="AB9" i="33"/>
  <c r="Z9" i="33"/>
  <c r="X9" i="33"/>
  <c r="V9" i="33"/>
  <c r="T9" i="33"/>
  <c r="R9" i="33"/>
  <c r="P9" i="33"/>
  <c r="N9" i="33"/>
  <c r="L9" i="33"/>
  <c r="J9" i="33"/>
  <c r="H9" i="33"/>
  <c r="F9" i="33"/>
  <c r="D9" i="33"/>
  <c r="AE8" i="33"/>
  <c r="AD8" i="33"/>
  <c r="AD27" i="33" s="1"/>
  <c r="AE26" i="53" s="1"/>
  <c r="AB8" i="33"/>
  <c r="Z8" i="33"/>
  <c r="Z27" i="33" s="1"/>
  <c r="AA26" i="53" s="1"/>
  <c r="X8" i="33"/>
  <c r="V8" i="33"/>
  <c r="T8" i="33"/>
  <c r="R8" i="33"/>
  <c r="P8" i="33"/>
  <c r="N8" i="33"/>
  <c r="N27" i="33" s="1"/>
  <c r="O26" i="53" s="1"/>
  <c r="L8" i="33"/>
  <c r="J8" i="33"/>
  <c r="J27" i="33" s="1"/>
  <c r="K26" i="53" s="1"/>
  <c r="H8" i="33"/>
  <c r="F8" i="33"/>
  <c r="D8" i="33"/>
  <c r="AE7" i="33"/>
  <c r="AD7" i="33"/>
  <c r="AB7" i="33"/>
  <c r="Z7" i="33"/>
  <c r="X7" i="33"/>
  <c r="V7" i="33"/>
  <c r="T7" i="33"/>
  <c r="R7" i="33"/>
  <c r="P7" i="33"/>
  <c r="N7" i="33"/>
  <c r="L7" i="33"/>
  <c r="J7" i="33"/>
  <c r="H7" i="33"/>
  <c r="F7" i="33"/>
  <c r="D7" i="33"/>
  <c r="AG7" i="33" s="1"/>
  <c r="AE6" i="33"/>
  <c r="AD6" i="33"/>
  <c r="AB6" i="33"/>
  <c r="Z6" i="33"/>
  <c r="X6" i="33"/>
  <c r="V6" i="33"/>
  <c r="T6" i="33"/>
  <c r="R6" i="33"/>
  <c r="P6" i="33"/>
  <c r="N6" i="33"/>
  <c r="AF6" i="33" s="1"/>
  <c r="L6" i="33"/>
  <c r="J6" i="33"/>
  <c r="H6" i="33"/>
  <c r="F6" i="33"/>
  <c r="D6" i="33"/>
  <c r="AG6" i="33" s="1"/>
  <c r="AC24" i="32"/>
  <c r="AD25" i="53" s="1"/>
  <c r="AA24" i="32"/>
  <c r="AB25" i="53" s="1"/>
  <c r="Y24" i="32"/>
  <c r="Z25" i="53" s="1"/>
  <c r="W24" i="32"/>
  <c r="X25" i="53" s="1"/>
  <c r="U24" i="32"/>
  <c r="V25" i="53" s="1"/>
  <c r="S24" i="32"/>
  <c r="T25" i="53" s="1"/>
  <c r="Q24" i="32"/>
  <c r="R25" i="53" s="1"/>
  <c r="O24" i="32"/>
  <c r="P25" i="53" s="1"/>
  <c r="M24" i="32"/>
  <c r="N25" i="53" s="1"/>
  <c r="K24" i="32"/>
  <c r="L25" i="53" s="1"/>
  <c r="I24" i="32"/>
  <c r="J25" i="53" s="1"/>
  <c r="G24" i="32"/>
  <c r="H25" i="53" s="1"/>
  <c r="E24" i="32"/>
  <c r="F25" i="53" s="1"/>
  <c r="C24" i="32"/>
  <c r="D25" i="53" s="1"/>
  <c r="J23" i="32"/>
  <c r="AG23" i="32" s="1"/>
  <c r="AE22" i="32"/>
  <c r="J22" i="32"/>
  <c r="F22" i="32"/>
  <c r="D22" i="32"/>
  <c r="AG21" i="32"/>
  <c r="AF21" i="32"/>
  <c r="AE21" i="32"/>
  <c r="J21" i="32"/>
  <c r="F21" i="32"/>
  <c r="D21" i="32"/>
  <c r="AE20" i="32"/>
  <c r="J20" i="32"/>
  <c r="AF20" i="32" s="1"/>
  <c r="F20" i="32"/>
  <c r="D20" i="32"/>
  <c r="AG20" i="32" s="1"/>
  <c r="AE19" i="32"/>
  <c r="J19" i="32"/>
  <c r="J24" i="32" s="1"/>
  <c r="K25" i="53" s="1"/>
  <c r="H19" i="32"/>
  <c r="F19" i="32"/>
  <c r="D19" i="32"/>
  <c r="AE18" i="32"/>
  <c r="N18" i="32"/>
  <c r="J18" i="32"/>
  <c r="H18" i="32"/>
  <c r="F18" i="32"/>
  <c r="D18" i="32"/>
  <c r="AE17" i="32"/>
  <c r="N17" i="32"/>
  <c r="J17" i="32"/>
  <c r="H17" i="32"/>
  <c r="F17" i="32"/>
  <c r="D17" i="32"/>
  <c r="AE16" i="32"/>
  <c r="N16" i="32"/>
  <c r="J16" i="32"/>
  <c r="H16" i="32"/>
  <c r="F16" i="32"/>
  <c r="D16" i="32"/>
  <c r="AE15" i="32"/>
  <c r="AD15" i="32"/>
  <c r="AB15" i="32"/>
  <c r="Z15" i="32"/>
  <c r="Z24" i="32" s="1"/>
  <c r="AA25" i="53" s="1"/>
  <c r="N15" i="32"/>
  <c r="J15" i="32"/>
  <c r="H15" i="32"/>
  <c r="F15" i="32"/>
  <c r="D15" i="32"/>
  <c r="AE14" i="32"/>
  <c r="AD14" i="32"/>
  <c r="AB14" i="32"/>
  <c r="Z14" i="32"/>
  <c r="X14" i="32"/>
  <c r="N14" i="32"/>
  <c r="L14" i="32"/>
  <c r="J14" i="32"/>
  <c r="H14" i="32"/>
  <c r="F14" i="32"/>
  <c r="AG14" i="32" s="1"/>
  <c r="D14" i="32"/>
  <c r="AE13" i="32"/>
  <c r="AD13" i="32"/>
  <c r="AB13" i="32"/>
  <c r="Z13" i="32"/>
  <c r="X13" i="32"/>
  <c r="V13" i="32"/>
  <c r="T13" i="32"/>
  <c r="R13" i="32"/>
  <c r="P13" i="32"/>
  <c r="N13" i="32"/>
  <c r="L13" i="32"/>
  <c r="J13" i="32"/>
  <c r="H13" i="32"/>
  <c r="F13" i="32"/>
  <c r="D13" i="32"/>
  <c r="AG13" i="32" s="1"/>
  <c r="AE12" i="32"/>
  <c r="AD12" i="32"/>
  <c r="AB12" i="32"/>
  <c r="Z12" i="32"/>
  <c r="X12" i="32"/>
  <c r="V12" i="32"/>
  <c r="T12" i="32"/>
  <c r="R12" i="32"/>
  <c r="P12" i="32"/>
  <c r="N12" i="32"/>
  <c r="L12" i="32"/>
  <c r="J12" i="32"/>
  <c r="AF12" i="32" s="1"/>
  <c r="H12" i="32"/>
  <c r="F12" i="32"/>
  <c r="D12" i="32"/>
  <c r="AG12" i="32" s="1"/>
  <c r="AE11" i="32"/>
  <c r="AD11" i="32"/>
  <c r="AB11" i="32"/>
  <c r="Z11" i="32"/>
  <c r="X11" i="32"/>
  <c r="V11" i="32"/>
  <c r="T11" i="32"/>
  <c r="R11" i="32"/>
  <c r="P11" i="32"/>
  <c r="N11" i="32"/>
  <c r="L11" i="32"/>
  <c r="J11" i="32"/>
  <c r="H11" i="32"/>
  <c r="F11" i="32"/>
  <c r="D11" i="32"/>
  <c r="AE10" i="32"/>
  <c r="AD10" i="32"/>
  <c r="AB10" i="32"/>
  <c r="Z10" i="32"/>
  <c r="X10" i="32"/>
  <c r="V10" i="32"/>
  <c r="T10" i="32"/>
  <c r="R10" i="32"/>
  <c r="P10" i="32"/>
  <c r="AF10" i="32" s="1"/>
  <c r="N10" i="32"/>
  <c r="L10" i="32"/>
  <c r="J10" i="32"/>
  <c r="H10" i="32"/>
  <c r="F10" i="32"/>
  <c r="D10" i="32"/>
  <c r="AE9" i="32"/>
  <c r="AD9" i="32"/>
  <c r="AB9" i="32"/>
  <c r="Z9" i="32"/>
  <c r="X9" i="32"/>
  <c r="V9" i="32"/>
  <c r="T9" i="32"/>
  <c r="R9" i="32"/>
  <c r="R24" i="32" s="1"/>
  <c r="S25" i="53" s="1"/>
  <c r="P9" i="32"/>
  <c r="N9" i="32"/>
  <c r="L9" i="32"/>
  <c r="J9" i="32"/>
  <c r="H9" i="32"/>
  <c r="F9" i="32"/>
  <c r="D9" i="32"/>
  <c r="AG9" i="32" s="1"/>
  <c r="AG8" i="32"/>
  <c r="AE8" i="32"/>
  <c r="AD8" i="32"/>
  <c r="AB8" i="32"/>
  <c r="Z8" i="32"/>
  <c r="X8" i="32"/>
  <c r="X24" i="32" s="1"/>
  <c r="Y25" i="53" s="1"/>
  <c r="V8" i="32"/>
  <c r="V24" i="32" s="1"/>
  <c r="W25" i="53" s="1"/>
  <c r="T8" i="32"/>
  <c r="T24" i="32" s="1"/>
  <c r="U25" i="53" s="1"/>
  <c r="R8" i="32"/>
  <c r="P8" i="32"/>
  <c r="N8" i="32"/>
  <c r="L8" i="32"/>
  <c r="L24" i="32" s="1"/>
  <c r="M25" i="53" s="1"/>
  <c r="J8" i="32"/>
  <c r="H8" i="32"/>
  <c r="H24" i="32" s="1"/>
  <c r="I25" i="53" s="1"/>
  <c r="F8" i="32"/>
  <c r="D8" i="32"/>
  <c r="AE7" i="32"/>
  <c r="AD7" i="32"/>
  <c r="AB7" i="32"/>
  <c r="Z7" i="32"/>
  <c r="X7" i="32"/>
  <c r="V7" i="32"/>
  <c r="T7" i="32"/>
  <c r="R7" i="32"/>
  <c r="P7" i="32"/>
  <c r="N7" i="32"/>
  <c r="L7" i="32"/>
  <c r="J7" i="32"/>
  <c r="H7" i="32"/>
  <c r="F7" i="32"/>
  <c r="D7" i="32"/>
  <c r="AE6" i="32"/>
  <c r="AD6" i="32"/>
  <c r="AB6" i="32"/>
  <c r="Z6" i="32"/>
  <c r="X6" i="32"/>
  <c r="V6" i="32"/>
  <c r="T6" i="32"/>
  <c r="R6" i="32"/>
  <c r="P6" i="32"/>
  <c r="N6" i="32"/>
  <c r="L6" i="32"/>
  <c r="J6" i="32"/>
  <c r="H6" i="32"/>
  <c r="F6" i="32"/>
  <c r="AF6" i="32" s="1"/>
  <c r="D6" i="32"/>
  <c r="AG6" i="32" s="1"/>
  <c r="AE27" i="31"/>
  <c r="AC27" i="31"/>
  <c r="AD24" i="53" s="1"/>
  <c r="AA27" i="31"/>
  <c r="AB24" i="53" s="1"/>
  <c r="Y27" i="31"/>
  <c r="Z24" i="53" s="1"/>
  <c r="W27" i="31"/>
  <c r="X24" i="53" s="1"/>
  <c r="V27" i="31"/>
  <c r="W24" i="53" s="1"/>
  <c r="U27" i="31"/>
  <c r="V24" i="53" s="1"/>
  <c r="S27" i="31"/>
  <c r="T24" i="53" s="1"/>
  <c r="Q27" i="31"/>
  <c r="O27" i="31"/>
  <c r="P24" i="53" s="1"/>
  <c r="M27" i="31"/>
  <c r="N24" i="53" s="1"/>
  <c r="K27" i="31"/>
  <c r="L24" i="53" s="1"/>
  <c r="I27" i="31"/>
  <c r="J24" i="53" s="1"/>
  <c r="G27" i="31"/>
  <c r="H24" i="53" s="1"/>
  <c r="F27" i="31"/>
  <c r="G24" i="53" s="1"/>
  <c r="E27" i="31"/>
  <c r="F24" i="53" s="1"/>
  <c r="C27" i="31"/>
  <c r="D24" i="53" s="1"/>
  <c r="AG26" i="31"/>
  <c r="AG25" i="31"/>
  <c r="AG24" i="31"/>
  <c r="AG23" i="31"/>
  <c r="AG22" i="31"/>
  <c r="AG21" i="31"/>
  <c r="AG20" i="31"/>
  <c r="AG19" i="31"/>
  <c r="AE18" i="31"/>
  <c r="N18" i="31"/>
  <c r="F18" i="31"/>
  <c r="D18" i="31"/>
  <c r="AE17" i="31"/>
  <c r="N17" i="31"/>
  <c r="F17" i="31"/>
  <c r="D17" i="31"/>
  <c r="AG16" i="31"/>
  <c r="AF16" i="31"/>
  <c r="AE16" i="31"/>
  <c r="N16" i="31"/>
  <c r="F16" i="31"/>
  <c r="D16" i="31"/>
  <c r="AE15" i="31"/>
  <c r="N15" i="31"/>
  <c r="AF15" i="31" s="1"/>
  <c r="F15" i="31"/>
  <c r="D15" i="31"/>
  <c r="AG15" i="31" s="1"/>
  <c r="AE14" i="31"/>
  <c r="N14" i="31"/>
  <c r="J14" i="31"/>
  <c r="F14" i="31"/>
  <c r="D14" i="31"/>
  <c r="AE13" i="31"/>
  <c r="N13" i="31"/>
  <c r="J13" i="31"/>
  <c r="F13" i="31"/>
  <c r="D13" i="31"/>
  <c r="AE12" i="31"/>
  <c r="N12" i="31"/>
  <c r="J12" i="31"/>
  <c r="F12" i="31"/>
  <c r="D12" i="31"/>
  <c r="AE11" i="31"/>
  <c r="P11" i="31"/>
  <c r="N11" i="31"/>
  <c r="J11" i="31"/>
  <c r="H11" i="31"/>
  <c r="F11" i="31"/>
  <c r="D11" i="31"/>
  <c r="AF11" i="31" s="1"/>
  <c r="AE10" i="31"/>
  <c r="P10" i="31"/>
  <c r="N10" i="31"/>
  <c r="J10" i="31"/>
  <c r="H10" i="31"/>
  <c r="F10" i="31"/>
  <c r="D10" i="31"/>
  <c r="AE9" i="31"/>
  <c r="AD9" i="31"/>
  <c r="AB9" i="31"/>
  <c r="Z9" i="31"/>
  <c r="X9" i="31"/>
  <c r="V9" i="31"/>
  <c r="T9" i="31"/>
  <c r="R9" i="31"/>
  <c r="P9" i="31"/>
  <c r="N9" i="31"/>
  <c r="L9" i="31"/>
  <c r="J9" i="31"/>
  <c r="H9" i="31"/>
  <c r="F9" i="31"/>
  <c r="D9" i="31"/>
  <c r="AE8" i="31"/>
  <c r="AD8" i="31"/>
  <c r="AB8" i="31"/>
  <c r="Z8" i="31"/>
  <c r="X8" i="31"/>
  <c r="V8" i="31"/>
  <c r="T8" i="31"/>
  <c r="R8" i="31"/>
  <c r="P8" i="31"/>
  <c r="N8" i="31"/>
  <c r="L8" i="31"/>
  <c r="J8" i="31"/>
  <c r="H8" i="31"/>
  <c r="F8" i="31"/>
  <c r="D8" i="31"/>
  <c r="AE7" i="31"/>
  <c r="AD7" i="31"/>
  <c r="AB7" i="31"/>
  <c r="Z7" i="31"/>
  <c r="X7" i="31"/>
  <c r="V7" i="31"/>
  <c r="T7" i="31"/>
  <c r="R7" i="31"/>
  <c r="P7" i="31"/>
  <c r="N7" i="31"/>
  <c r="L7" i="31"/>
  <c r="J7" i="31"/>
  <c r="H7" i="31"/>
  <c r="F7" i="31"/>
  <c r="D7" i="31"/>
  <c r="AG7" i="31" s="1"/>
  <c r="AE6" i="31"/>
  <c r="AD6" i="31"/>
  <c r="AD27" i="31" s="1"/>
  <c r="AE24" i="53" s="1"/>
  <c r="AB6" i="31"/>
  <c r="Z6" i="31"/>
  <c r="X6" i="31"/>
  <c r="X27" i="31" s="1"/>
  <c r="Y24" i="53" s="1"/>
  <c r="V6" i="31"/>
  <c r="T6" i="31"/>
  <c r="T27" i="31" s="1"/>
  <c r="U24" i="53" s="1"/>
  <c r="R6" i="31"/>
  <c r="R27" i="31" s="1"/>
  <c r="S24" i="53" s="1"/>
  <c r="P6" i="31"/>
  <c r="P27" i="31" s="1"/>
  <c r="Q24" i="53" s="1"/>
  <c r="N6" i="31"/>
  <c r="AF6" i="31" s="1"/>
  <c r="L6" i="31"/>
  <c r="J6" i="31"/>
  <c r="H6" i="31"/>
  <c r="H27" i="31" s="1"/>
  <c r="I24" i="53" s="1"/>
  <c r="F6" i="31"/>
  <c r="D6" i="31"/>
  <c r="D27" i="31" s="1"/>
  <c r="AE33" i="30"/>
  <c r="AC33" i="30"/>
  <c r="AD23" i="53" s="1"/>
  <c r="AB33" i="30"/>
  <c r="AC23" i="53" s="1"/>
  <c r="AA33" i="30"/>
  <c r="AB23" i="53" s="1"/>
  <c r="Y33" i="30"/>
  <c r="W33" i="30"/>
  <c r="X23" i="53" s="1"/>
  <c r="U33" i="30"/>
  <c r="V23" i="53" s="1"/>
  <c r="S33" i="30"/>
  <c r="T23" i="53" s="1"/>
  <c r="Q33" i="30"/>
  <c r="R23" i="53" s="1"/>
  <c r="O33" i="30"/>
  <c r="P23" i="53" s="1"/>
  <c r="M33" i="30"/>
  <c r="N23" i="53" s="1"/>
  <c r="K33" i="30"/>
  <c r="L23" i="53" s="1"/>
  <c r="I33" i="30"/>
  <c r="J23" i="53" s="1"/>
  <c r="G33" i="30"/>
  <c r="E33" i="30"/>
  <c r="F23" i="53" s="1"/>
  <c r="C33" i="30"/>
  <c r="D23" i="53" s="1"/>
  <c r="AI32" i="30"/>
  <c r="AI31" i="30"/>
  <c r="AH31" i="30"/>
  <c r="P30" i="30"/>
  <c r="N30" i="30"/>
  <c r="H30" i="30"/>
  <c r="AG29" i="30"/>
  <c r="P29" i="30"/>
  <c r="N29" i="30"/>
  <c r="L29" i="30"/>
  <c r="L33" i="30" s="1"/>
  <c r="M23" i="53" s="1"/>
  <c r="J29" i="30"/>
  <c r="H29" i="30"/>
  <c r="F29" i="30"/>
  <c r="D29" i="30"/>
  <c r="AG28" i="30"/>
  <c r="R28" i="30"/>
  <c r="P28" i="30"/>
  <c r="N28" i="30"/>
  <c r="L28" i="30"/>
  <c r="J28" i="30"/>
  <c r="H28" i="30"/>
  <c r="F28" i="30"/>
  <c r="D28" i="30"/>
  <c r="AG27" i="30"/>
  <c r="R27" i="30"/>
  <c r="P27" i="30"/>
  <c r="N27" i="30"/>
  <c r="L27" i="30"/>
  <c r="J27" i="30"/>
  <c r="H27" i="30"/>
  <c r="F27" i="30"/>
  <c r="D27" i="30"/>
  <c r="AI27" i="30" s="1"/>
  <c r="AG26" i="30"/>
  <c r="AF26" i="30"/>
  <c r="AD26" i="30"/>
  <c r="AB26" i="30"/>
  <c r="Z26" i="30"/>
  <c r="X26" i="30"/>
  <c r="V26" i="30"/>
  <c r="T26" i="30"/>
  <c r="R26" i="30"/>
  <c r="P26" i="30"/>
  <c r="N26" i="30"/>
  <c r="L26" i="30"/>
  <c r="J26" i="30"/>
  <c r="H26" i="30"/>
  <c r="F26" i="30"/>
  <c r="D26" i="30"/>
  <c r="AI26" i="30" s="1"/>
  <c r="AG25" i="30"/>
  <c r="AF25" i="30"/>
  <c r="AD25" i="30"/>
  <c r="AB25" i="30"/>
  <c r="Z25" i="30"/>
  <c r="X25" i="30"/>
  <c r="V25" i="30"/>
  <c r="T25" i="30"/>
  <c r="R25" i="30"/>
  <c r="P25" i="30"/>
  <c r="N25" i="30"/>
  <c r="L25" i="30"/>
  <c r="J25" i="30"/>
  <c r="H25" i="30"/>
  <c r="F25" i="30"/>
  <c r="D25" i="30"/>
  <c r="AI25" i="30" s="1"/>
  <c r="AG24" i="30"/>
  <c r="AF24" i="30"/>
  <c r="AD24" i="30"/>
  <c r="AB24" i="30"/>
  <c r="Z24" i="30"/>
  <c r="X24" i="30"/>
  <c r="V24" i="30"/>
  <c r="T24" i="30"/>
  <c r="R24" i="30"/>
  <c r="P24" i="30"/>
  <c r="N24" i="30"/>
  <c r="L24" i="30"/>
  <c r="J24" i="30"/>
  <c r="H24" i="30"/>
  <c r="F24" i="30"/>
  <c r="D24" i="30"/>
  <c r="AG23" i="30"/>
  <c r="AF23" i="30"/>
  <c r="AD23" i="30"/>
  <c r="AB23" i="30"/>
  <c r="Z23" i="30"/>
  <c r="X23" i="30"/>
  <c r="V23" i="30"/>
  <c r="T23" i="30"/>
  <c r="R23" i="30"/>
  <c r="P23" i="30"/>
  <c r="N23" i="30"/>
  <c r="L23" i="30"/>
  <c r="J23" i="30"/>
  <c r="H23" i="30"/>
  <c r="F23" i="30"/>
  <c r="AI23" i="30" s="1"/>
  <c r="D23" i="30"/>
  <c r="AH23" i="30" s="1"/>
  <c r="AG22" i="30"/>
  <c r="AF22" i="30"/>
  <c r="AD22" i="30"/>
  <c r="AB22" i="30"/>
  <c r="Z22" i="30"/>
  <c r="X22" i="30"/>
  <c r="V22" i="30"/>
  <c r="T22" i="30"/>
  <c r="R22" i="30"/>
  <c r="P22" i="30"/>
  <c r="N22" i="30"/>
  <c r="J22" i="30"/>
  <c r="H22" i="30"/>
  <c r="F22" i="30"/>
  <c r="D22" i="30"/>
  <c r="AG21" i="30"/>
  <c r="AF21" i="30"/>
  <c r="AD21" i="30"/>
  <c r="AB21" i="30"/>
  <c r="Z21" i="30"/>
  <c r="X21" i="30"/>
  <c r="V21" i="30"/>
  <c r="T21" i="30"/>
  <c r="R21" i="30"/>
  <c r="P21" i="30"/>
  <c r="N21" i="30"/>
  <c r="L21" i="30"/>
  <c r="J21" i="30"/>
  <c r="H21" i="30"/>
  <c r="F21" i="30"/>
  <c r="D21" i="30"/>
  <c r="AG20" i="30"/>
  <c r="AF20" i="30"/>
  <c r="AD20" i="30"/>
  <c r="AB20" i="30"/>
  <c r="Z20" i="30"/>
  <c r="X20" i="30"/>
  <c r="V20" i="30"/>
  <c r="T20" i="30"/>
  <c r="R20" i="30"/>
  <c r="P20" i="30"/>
  <c r="N20" i="30"/>
  <c r="L20" i="30"/>
  <c r="J20" i="30"/>
  <c r="H20" i="30"/>
  <c r="F20" i="30"/>
  <c r="D20" i="30"/>
  <c r="AG19" i="30"/>
  <c r="AF19" i="30"/>
  <c r="AD19" i="30"/>
  <c r="AB19" i="30"/>
  <c r="Z19" i="30"/>
  <c r="X19" i="30"/>
  <c r="V19" i="30"/>
  <c r="T19" i="30"/>
  <c r="R19" i="30"/>
  <c r="P19" i="30"/>
  <c r="N19" i="30"/>
  <c r="L19" i="30"/>
  <c r="J19" i="30"/>
  <c r="H19" i="30"/>
  <c r="F19" i="30"/>
  <c r="D19" i="30"/>
  <c r="AI19" i="30" s="1"/>
  <c r="AG18" i="30"/>
  <c r="AF18" i="30"/>
  <c r="AD18" i="30"/>
  <c r="AB18" i="30"/>
  <c r="Z18" i="30"/>
  <c r="X18" i="30"/>
  <c r="V18" i="30"/>
  <c r="T18" i="30"/>
  <c r="R18" i="30"/>
  <c r="P18" i="30"/>
  <c r="N18" i="30"/>
  <c r="L18" i="30"/>
  <c r="J18" i="30"/>
  <c r="H18" i="30"/>
  <c r="F18" i="30"/>
  <c r="AI18" i="30" s="1"/>
  <c r="D18" i="30"/>
  <c r="AG17" i="30"/>
  <c r="L17" i="30"/>
  <c r="F17" i="30"/>
  <c r="D17" i="30"/>
  <c r="AG16" i="30"/>
  <c r="AF16" i="30"/>
  <c r="AD16" i="30"/>
  <c r="AB16" i="30"/>
  <c r="Z16" i="30"/>
  <c r="X16" i="30"/>
  <c r="V16" i="30"/>
  <c r="T16" i="30"/>
  <c r="R16" i="30"/>
  <c r="P16" i="30"/>
  <c r="N16" i="30"/>
  <c r="L16" i="30"/>
  <c r="J16" i="30"/>
  <c r="H16" i="30"/>
  <c r="AI16" i="30" s="1"/>
  <c r="F16" i="30"/>
  <c r="D16" i="30"/>
  <c r="AG15" i="30"/>
  <c r="AF15" i="30"/>
  <c r="AD15" i="30"/>
  <c r="AB15" i="30"/>
  <c r="Z15" i="30"/>
  <c r="X15" i="30"/>
  <c r="V15" i="30"/>
  <c r="T15" i="30"/>
  <c r="R15" i="30"/>
  <c r="P15" i="30"/>
  <c r="N15" i="30"/>
  <c r="L15" i="30"/>
  <c r="J15" i="30"/>
  <c r="H15" i="30"/>
  <c r="F15" i="30"/>
  <c r="D15" i="30"/>
  <c r="AG14" i="30"/>
  <c r="AF14" i="30"/>
  <c r="AD14" i="30"/>
  <c r="AB14" i="30"/>
  <c r="Z14" i="30"/>
  <c r="X14" i="30"/>
  <c r="V14" i="30"/>
  <c r="T14" i="30"/>
  <c r="R14" i="30"/>
  <c r="P14" i="30"/>
  <c r="N14" i="30"/>
  <c r="L14" i="30"/>
  <c r="J14" i="30"/>
  <c r="H14" i="30"/>
  <c r="F14" i="30"/>
  <c r="D14" i="30"/>
  <c r="AG13" i="30"/>
  <c r="AF13" i="30"/>
  <c r="AD13" i="30"/>
  <c r="AB13" i="30"/>
  <c r="Z13" i="30"/>
  <c r="X13" i="30"/>
  <c r="V13" i="30"/>
  <c r="T13" i="30"/>
  <c r="R13" i="30"/>
  <c r="P13" i="30"/>
  <c r="N13" i="30"/>
  <c r="L13" i="30"/>
  <c r="J13" i="30"/>
  <c r="H13" i="30"/>
  <c r="F13" i="30"/>
  <c r="D13" i="30"/>
  <c r="AI13" i="30" s="1"/>
  <c r="AG12" i="30"/>
  <c r="AF12" i="30"/>
  <c r="AD12" i="30"/>
  <c r="AB12" i="30"/>
  <c r="Z12" i="30"/>
  <c r="X12" i="30"/>
  <c r="V12" i="30"/>
  <c r="T12" i="30"/>
  <c r="R12" i="30"/>
  <c r="P12" i="30"/>
  <c r="N12" i="30"/>
  <c r="L12" i="30"/>
  <c r="J12" i="30"/>
  <c r="H12" i="30"/>
  <c r="F12" i="30"/>
  <c r="AI12" i="30" s="1"/>
  <c r="D12" i="30"/>
  <c r="AG11" i="30"/>
  <c r="AF11" i="30"/>
  <c r="AD11" i="30"/>
  <c r="AB11" i="30"/>
  <c r="Z11" i="30"/>
  <c r="X11" i="30"/>
  <c r="V11" i="30"/>
  <c r="T11" i="30"/>
  <c r="R11" i="30"/>
  <c r="P11" i="30"/>
  <c r="N11" i="30"/>
  <c r="L11" i="30"/>
  <c r="J11" i="30"/>
  <c r="H11" i="30"/>
  <c r="F11" i="30"/>
  <c r="D11" i="30"/>
  <c r="AG10" i="30"/>
  <c r="AF10" i="30"/>
  <c r="AD10" i="30"/>
  <c r="AB10" i="30"/>
  <c r="Z10" i="30"/>
  <c r="X10" i="30"/>
  <c r="V10" i="30"/>
  <c r="T10" i="30"/>
  <c r="R10" i="30"/>
  <c r="P10" i="30"/>
  <c r="N10" i="30"/>
  <c r="L10" i="30"/>
  <c r="J10" i="30"/>
  <c r="H10" i="30"/>
  <c r="F10" i="30"/>
  <c r="D10" i="30"/>
  <c r="AG9" i="30"/>
  <c r="AF9" i="30"/>
  <c r="AD9" i="30"/>
  <c r="AB9" i="30"/>
  <c r="Z9" i="30"/>
  <c r="X9" i="30"/>
  <c r="V9" i="30"/>
  <c r="T9" i="30"/>
  <c r="T33" i="30" s="1"/>
  <c r="U23" i="53" s="1"/>
  <c r="R9" i="30"/>
  <c r="P9" i="30"/>
  <c r="N9" i="30"/>
  <c r="L9" i="30"/>
  <c r="J9" i="30"/>
  <c r="H9" i="30"/>
  <c r="F9" i="30"/>
  <c r="AI9" i="30" s="1"/>
  <c r="D9" i="30"/>
  <c r="AG8" i="30"/>
  <c r="AF8" i="30"/>
  <c r="AD8" i="30"/>
  <c r="AB8" i="30"/>
  <c r="Z8" i="30"/>
  <c r="X8" i="30"/>
  <c r="V8" i="30"/>
  <c r="T8" i="30"/>
  <c r="R8" i="30"/>
  <c r="P8" i="30"/>
  <c r="N8" i="30"/>
  <c r="L8" i="30"/>
  <c r="J8" i="30"/>
  <c r="H8" i="30"/>
  <c r="F8" i="30"/>
  <c r="AI8" i="30" s="1"/>
  <c r="D8" i="30"/>
  <c r="AG7" i="30"/>
  <c r="AF7" i="30"/>
  <c r="AD7" i="30"/>
  <c r="AB7" i="30"/>
  <c r="Z7" i="30"/>
  <c r="X7" i="30"/>
  <c r="V7" i="30"/>
  <c r="T7" i="30"/>
  <c r="R7" i="30"/>
  <c r="P7" i="30"/>
  <c r="N7" i="30"/>
  <c r="L7" i="30"/>
  <c r="J7" i="30"/>
  <c r="H7" i="30"/>
  <c r="F7" i="30"/>
  <c r="AI7" i="30" s="1"/>
  <c r="D7" i="30"/>
  <c r="AH7" i="30" s="1"/>
  <c r="AG6" i="30"/>
  <c r="AF6" i="30"/>
  <c r="AD6" i="30"/>
  <c r="AB6" i="30"/>
  <c r="Z6" i="30"/>
  <c r="X6" i="30"/>
  <c r="V6" i="30"/>
  <c r="T6" i="30"/>
  <c r="R6" i="30"/>
  <c r="P6" i="30"/>
  <c r="N6" i="30"/>
  <c r="L6" i="30"/>
  <c r="J6" i="30"/>
  <c r="H6" i="30"/>
  <c r="F6" i="30"/>
  <c r="AI6" i="30" s="1"/>
  <c r="D6" i="30"/>
  <c r="AH6" i="30" s="1"/>
  <c r="AC29" i="29"/>
  <c r="AD22" i="53" s="1"/>
  <c r="AA29" i="29"/>
  <c r="AB22" i="53" s="1"/>
  <c r="Y29" i="29"/>
  <c r="Z22" i="53" s="1"/>
  <c r="W29" i="29"/>
  <c r="X22" i="53" s="1"/>
  <c r="U29" i="29"/>
  <c r="V22" i="53" s="1"/>
  <c r="S29" i="29"/>
  <c r="T22" i="53" s="1"/>
  <c r="Q29" i="29"/>
  <c r="R22" i="53" s="1"/>
  <c r="O29" i="29"/>
  <c r="M29" i="29"/>
  <c r="K29" i="29"/>
  <c r="L22" i="53" s="1"/>
  <c r="I29" i="29"/>
  <c r="J22" i="53" s="1"/>
  <c r="G29" i="29"/>
  <c r="H22" i="53" s="1"/>
  <c r="E29" i="29"/>
  <c r="F22" i="53" s="1"/>
  <c r="C29" i="29"/>
  <c r="D22" i="53" s="1"/>
  <c r="AE28" i="29"/>
  <c r="AD28" i="29"/>
  <c r="AB28" i="29"/>
  <c r="Z28" i="29"/>
  <c r="X28" i="29"/>
  <c r="V28" i="29"/>
  <c r="T28" i="29"/>
  <c r="R28" i="29"/>
  <c r="AF28" i="29" s="1"/>
  <c r="P28" i="29"/>
  <c r="N28" i="29"/>
  <c r="L28" i="29"/>
  <c r="J28" i="29"/>
  <c r="H28" i="29"/>
  <c r="F28" i="29"/>
  <c r="D28" i="29"/>
  <c r="AG27" i="29"/>
  <c r="AE27" i="29"/>
  <c r="AD27" i="29"/>
  <c r="AB27" i="29"/>
  <c r="Z27" i="29"/>
  <c r="X27" i="29"/>
  <c r="V27" i="29"/>
  <c r="T27" i="29"/>
  <c r="R27" i="29"/>
  <c r="P27" i="29"/>
  <c r="N27" i="29"/>
  <c r="L27" i="29"/>
  <c r="J27" i="29"/>
  <c r="H27" i="29"/>
  <c r="F27" i="29"/>
  <c r="D27" i="29"/>
  <c r="AE26" i="29"/>
  <c r="AD26" i="29"/>
  <c r="AB26" i="29"/>
  <c r="Z26" i="29"/>
  <c r="X26" i="29"/>
  <c r="V26" i="29"/>
  <c r="T26" i="29"/>
  <c r="R26" i="29"/>
  <c r="P26" i="29"/>
  <c r="N26" i="29"/>
  <c r="L26" i="29"/>
  <c r="J26" i="29"/>
  <c r="H26" i="29"/>
  <c r="F26" i="29"/>
  <c r="D26" i="29"/>
  <c r="AG26" i="29" s="1"/>
  <c r="AE25" i="29"/>
  <c r="AD25" i="29"/>
  <c r="AB25" i="29"/>
  <c r="Z25" i="29"/>
  <c r="Z29" i="29" s="1"/>
  <c r="AA22" i="53" s="1"/>
  <c r="X25" i="29"/>
  <c r="V25" i="29"/>
  <c r="T25" i="29"/>
  <c r="R25" i="29"/>
  <c r="P25" i="29"/>
  <c r="N25" i="29"/>
  <c r="L25" i="29"/>
  <c r="J25" i="29"/>
  <c r="H25" i="29"/>
  <c r="F25" i="29"/>
  <c r="D25" i="29"/>
  <c r="AE24" i="29"/>
  <c r="AD24" i="29"/>
  <c r="AB24" i="29"/>
  <c r="Z24" i="29"/>
  <c r="X24" i="29"/>
  <c r="V24" i="29"/>
  <c r="T24" i="29"/>
  <c r="R24" i="29"/>
  <c r="P24" i="29"/>
  <c r="N24" i="29"/>
  <c r="L24" i="29"/>
  <c r="J24" i="29"/>
  <c r="H24" i="29"/>
  <c r="F24" i="29"/>
  <c r="D24" i="29"/>
  <c r="AE23" i="29"/>
  <c r="AD23" i="29"/>
  <c r="AB23" i="29"/>
  <c r="Z23" i="29"/>
  <c r="X23" i="29"/>
  <c r="V23" i="29"/>
  <c r="T23" i="29"/>
  <c r="R23" i="29"/>
  <c r="P23" i="29"/>
  <c r="N23" i="29"/>
  <c r="L23" i="29"/>
  <c r="J23" i="29"/>
  <c r="H23" i="29"/>
  <c r="F23" i="29"/>
  <c r="D23" i="29"/>
  <c r="AE22" i="29"/>
  <c r="AD22" i="29"/>
  <c r="AB22" i="29"/>
  <c r="Z22" i="29"/>
  <c r="X22" i="29"/>
  <c r="V22" i="29"/>
  <c r="T22" i="29"/>
  <c r="R22" i="29"/>
  <c r="P22" i="29"/>
  <c r="N22" i="29"/>
  <c r="AF22" i="29" s="1"/>
  <c r="L22" i="29"/>
  <c r="J22" i="29"/>
  <c r="H22" i="29"/>
  <c r="F22" i="29"/>
  <c r="D22" i="29"/>
  <c r="AE21" i="29"/>
  <c r="AD21" i="29"/>
  <c r="AB21" i="29"/>
  <c r="Z21" i="29"/>
  <c r="X21" i="29"/>
  <c r="V21" i="29"/>
  <c r="T21" i="29"/>
  <c r="R21" i="29"/>
  <c r="P21" i="29"/>
  <c r="N21" i="29"/>
  <c r="L21" i="29"/>
  <c r="J21" i="29"/>
  <c r="H21" i="29"/>
  <c r="F21" i="29"/>
  <c r="D21" i="29"/>
  <c r="AG21" i="29" s="1"/>
  <c r="AE20" i="29"/>
  <c r="AD20" i="29"/>
  <c r="AB20" i="29"/>
  <c r="Z20" i="29"/>
  <c r="X20" i="29"/>
  <c r="V20" i="29"/>
  <c r="T20" i="29"/>
  <c r="R20" i="29"/>
  <c r="AF20" i="29" s="1"/>
  <c r="P20" i="29"/>
  <c r="N20" i="29"/>
  <c r="L20" i="29"/>
  <c r="J20" i="29"/>
  <c r="H20" i="29"/>
  <c r="F20" i="29"/>
  <c r="D20" i="29"/>
  <c r="AG20" i="29" s="1"/>
  <c r="AG19" i="29"/>
  <c r="AE19" i="29"/>
  <c r="AD19" i="29"/>
  <c r="AB19" i="29"/>
  <c r="Z19" i="29"/>
  <c r="X19" i="29"/>
  <c r="V19" i="29"/>
  <c r="T19" i="29"/>
  <c r="R19" i="29"/>
  <c r="P19" i="29"/>
  <c r="N19" i="29"/>
  <c r="L19" i="29"/>
  <c r="J19" i="29"/>
  <c r="H19" i="29"/>
  <c r="F19" i="29"/>
  <c r="D19" i="29"/>
  <c r="AE18" i="29"/>
  <c r="AD18" i="29"/>
  <c r="AB18" i="29"/>
  <c r="Z18" i="29"/>
  <c r="X18" i="29"/>
  <c r="V18" i="29"/>
  <c r="T18" i="29"/>
  <c r="R18" i="29"/>
  <c r="P18" i="29"/>
  <c r="N18" i="29"/>
  <c r="L18" i="29"/>
  <c r="J18" i="29"/>
  <c r="H18" i="29"/>
  <c r="F18" i="29"/>
  <c r="D18" i="29"/>
  <c r="AE17" i="29"/>
  <c r="AD17" i="29"/>
  <c r="AB17" i="29"/>
  <c r="Z17" i="29"/>
  <c r="X17" i="29"/>
  <c r="V17" i="29"/>
  <c r="T17" i="29"/>
  <c r="R17" i="29"/>
  <c r="P17" i="29"/>
  <c r="N17" i="29"/>
  <c r="L17" i="29"/>
  <c r="J17" i="29"/>
  <c r="H17" i="29"/>
  <c r="F17" i="29"/>
  <c r="D17" i="29"/>
  <c r="AE16" i="29"/>
  <c r="AD16" i="29"/>
  <c r="AB16" i="29"/>
  <c r="Z16" i="29"/>
  <c r="X16" i="29"/>
  <c r="V16" i="29"/>
  <c r="T16" i="29"/>
  <c r="R16" i="29"/>
  <c r="P16" i="29"/>
  <c r="N16" i="29"/>
  <c r="L16" i="29"/>
  <c r="J16" i="29"/>
  <c r="H16" i="29"/>
  <c r="F16" i="29"/>
  <c r="AF16" i="29" s="1"/>
  <c r="D16" i="29"/>
  <c r="AG16" i="29" s="1"/>
  <c r="AE15" i="29"/>
  <c r="AD15" i="29"/>
  <c r="AB15" i="29"/>
  <c r="Z15" i="29"/>
  <c r="X15" i="29"/>
  <c r="V15" i="29"/>
  <c r="T15" i="29"/>
  <c r="R15" i="29"/>
  <c r="P15" i="29"/>
  <c r="N15" i="29"/>
  <c r="L15" i="29"/>
  <c r="J15" i="29"/>
  <c r="H15" i="29"/>
  <c r="F15" i="29"/>
  <c r="D15" i="29"/>
  <c r="AG15" i="29" s="1"/>
  <c r="AE14" i="29"/>
  <c r="AD14" i="29"/>
  <c r="AB14" i="29"/>
  <c r="Z14" i="29"/>
  <c r="X14" i="29"/>
  <c r="V14" i="29"/>
  <c r="T14" i="29"/>
  <c r="R14" i="29"/>
  <c r="AF14" i="29" s="1"/>
  <c r="P14" i="29"/>
  <c r="N14" i="29"/>
  <c r="L14" i="29"/>
  <c r="J14" i="29"/>
  <c r="H14" i="29"/>
  <c r="F14" i="29"/>
  <c r="D14" i="29"/>
  <c r="AG13" i="29"/>
  <c r="AE13" i="29"/>
  <c r="AD13" i="29"/>
  <c r="AB13" i="29"/>
  <c r="Z13" i="29"/>
  <c r="X13" i="29"/>
  <c r="V13" i="29"/>
  <c r="T13" i="29"/>
  <c r="R13" i="29"/>
  <c r="P13" i="29"/>
  <c r="N13" i="29"/>
  <c r="L13" i="29"/>
  <c r="J13" i="29"/>
  <c r="H13" i="29"/>
  <c r="F13" i="29"/>
  <c r="D13" i="29"/>
  <c r="AF13" i="29" s="1"/>
  <c r="AE12" i="29"/>
  <c r="AD12" i="29"/>
  <c r="AB12" i="29"/>
  <c r="Z12" i="29"/>
  <c r="X12" i="29"/>
  <c r="V12" i="29"/>
  <c r="T12" i="29"/>
  <c r="R12" i="29"/>
  <c r="P12" i="29"/>
  <c r="N12" i="29"/>
  <c r="L12" i="29"/>
  <c r="J12" i="29"/>
  <c r="H12" i="29"/>
  <c r="F12" i="29"/>
  <c r="AF12" i="29" s="1"/>
  <c r="D12" i="29"/>
  <c r="AE11" i="29"/>
  <c r="AD11" i="29"/>
  <c r="AB11" i="29"/>
  <c r="Z11" i="29"/>
  <c r="X11" i="29"/>
  <c r="V11" i="29"/>
  <c r="T11" i="29"/>
  <c r="R11" i="29"/>
  <c r="P11" i="29"/>
  <c r="N11" i="29"/>
  <c r="L11" i="29"/>
  <c r="J11" i="29"/>
  <c r="H11" i="29"/>
  <c r="F11" i="29"/>
  <c r="D11" i="29"/>
  <c r="AE10" i="29"/>
  <c r="AD10" i="29"/>
  <c r="AB10" i="29"/>
  <c r="Z10" i="29"/>
  <c r="X10" i="29"/>
  <c r="V10" i="29"/>
  <c r="T10" i="29"/>
  <c r="R10" i="29"/>
  <c r="P10" i="29"/>
  <c r="N10" i="29"/>
  <c r="L10" i="29"/>
  <c r="J10" i="29"/>
  <c r="H10" i="29"/>
  <c r="F10" i="29"/>
  <c r="AF10" i="29" s="1"/>
  <c r="D10" i="29"/>
  <c r="AE9" i="29"/>
  <c r="AD9" i="29"/>
  <c r="AB9" i="29"/>
  <c r="Z9" i="29"/>
  <c r="X9" i="29"/>
  <c r="V9" i="29"/>
  <c r="T9" i="29"/>
  <c r="R9" i="29"/>
  <c r="P9" i="29"/>
  <c r="N9" i="29"/>
  <c r="L9" i="29"/>
  <c r="J9" i="29"/>
  <c r="H9" i="29"/>
  <c r="F9" i="29"/>
  <c r="D9" i="29"/>
  <c r="AG9" i="29" s="1"/>
  <c r="AE8" i="29"/>
  <c r="AD8" i="29"/>
  <c r="AB8" i="29"/>
  <c r="Z8" i="29"/>
  <c r="X8" i="29"/>
  <c r="V8" i="29"/>
  <c r="T8" i="29"/>
  <c r="R8" i="29"/>
  <c r="P8" i="29"/>
  <c r="N8" i="29"/>
  <c r="L8" i="29"/>
  <c r="J8" i="29"/>
  <c r="H8" i="29"/>
  <c r="F8" i="29"/>
  <c r="D8" i="29"/>
  <c r="AG8" i="29" s="1"/>
  <c r="AE7" i="29"/>
  <c r="AD7" i="29"/>
  <c r="AB7" i="29"/>
  <c r="Z7" i="29"/>
  <c r="X7" i="29"/>
  <c r="V7" i="29"/>
  <c r="T7" i="29"/>
  <c r="R7" i="29"/>
  <c r="P7" i="29"/>
  <c r="N7" i="29"/>
  <c r="L7" i="29"/>
  <c r="J7" i="29"/>
  <c r="H7" i="29"/>
  <c r="F7" i="29"/>
  <c r="D7" i="29"/>
  <c r="AE6" i="29"/>
  <c r="AE29" i="29" s="1"/>
  <c r="AH22" i="53" s="1"/>
  <c r="AD6" i="29"/>
  <c r="AD29" i="29" s="1"/>
  <c r="AE22" i="53" s="1"/>
  <c r="AB6" i="29"/>
  <c r="Z6" i="29"/>
  <c r="X6" i="29"/>
  <c r="V6" i="29"/>
  <c r="T6" i="29"/>
  <c r="R6" i="29"/>
  <c r="P6" i="29"/>
  <c r="P29" i="29" s="1"/>
  <c r="Q22" i="53" s="1"/>
  <c r="N6" i="29"/>
  <c r="L6" i="29"/>
  <c r="J6" i="29"/>
  <c r="H6" i="29"/>
  <c r="F6" i="29"/>
  <c r="D6" i="29"/>
  <c r="AC22" i="54"/>
  <c r="AD20" i="53" s="1"/>
  <c r="AA22" i="54"/>
  <c r="AB20" i="53" s="1"/>
  <c r="Y22" i="54"/>
  <c r="Z20" i="53" s="1"/>
  <c r="W22" i="54"/>
  <c r="X20" i="53" s="1"/>
  <c r="U22" i="54"/>
  <c r="V20" i="53" s="1"/>
  <c r="S22" i="54"/>
  <c r="T20" i="53" s="1"/>
  <c r="R22" i="54"/>
  <c r="S20" i="53" s="1"/>
  <c r="Q22" i="54"/>
  <c r="O22" i="54"/>
  <c r="P20" i="53" s="1"/>
  <c r="M22" i="54"/>
  <c r="N20" i="53" s="1"/>
  <c r="K22" i="54"/>
  <c r="I22" i="54"/>
  <c r="J20" i="53" s="1"/>
  <c r="G22" i="54"/>
  <c r="H20" i="53" s="1"/>
  <c r="E22" i="54"/>
  <c r="F20" i="53" s="1"/>
  <c r="C22" i="54"/>
  <c r="D20" i="53" s="1"/>
  <c r="AG21" i="54"/>
  <c r="J21" i="54"/>
  <c r="J20" i="54"/>
  <c r="AG20" i="54" s="1"/>
  <c r="R19" i="54"/>
  <c r="AG19" i="54" s="1"/>
  <c r="J19" i="54"/>
  <c r="AG18" i="54"/>
  <c r="R18" i="54"/>
  <c r="J18" i="54"/>
  <c r="AE17" i="54"/>
  <c r="R17" i="54"/>
  <c r="AF17" i="54" s="1"/>
  <c r="J17" i="54"/>
  <c r="AG17" i="54" s="1"/>
  <c r="AG16" i="54"/>
  <c r="AF16" i="54"/>
  <c r="AE16" i="54"/>
  <c r="R16" i="54"/>
  <c r="J16" i="54"/>
  <c r="AE15" i="54"/>
  <c r="R15" i="54"/>
  <c r="L15" i="54"/>
  <c r="J15" i="54"/>
  <c r="AE14" i="54"/>
  <c r="R14" i="54"/>
  <c r="L14" i="54"/>
  <c r="J14" i="54"/>
  <c r="AG13" i="54"/>
  <c r="AF13" i="54"/>
  <c r="AE13" i="54"/>
  <c r="R13" i="54"/>
  <c r="N13" i="54"/>
  <c r="L13" i="54"/>
  <c r="J13" i="54"/>
  <c r="AG12" i="54"/>
  <c r="AF12" i="54"/>
  <c r="AE12" i="54"/>
  <c r="R12" i="54"/>
  <c r="P12" i="54"/>
  <c r="N12" i="54"/>
  <c r="L12" i="54"/>
  <c r="J12" i="54"/>
  <c r="AE11" i="54"/>
  <c r="R11" i="54"/>
  <c r="P11" i="54"/>
  <c r="N11" i="54"/>
  <c r="L11" i="54"/>
  <c r="J11" i="54"/>
  <c r="F11" i="54"/>
  <c r="D11" i="54"/>
  <c r="AG11" i="54" s="1"/>
  <c r="AE10" i="54"/>
  <c r="R10" i="54"/>
  <c r="P10" i="54"/>
  <c r="N10" i="54"/>
  <c r="L10" i="54"/>
  <c r="J10" i="54"/>
  <c r="F10" i="54"/>
  <c r="D10" i="54"/>
  <c r="AE9" i="54"/>
  <c r="R9" i="54"/>
  <c r="P9" i="54"/>
  <c r="J9" i="54"/>
  <c r="F9" i="54"/>
  <c r="D9" i="54"/>
  <c r="AE8" i="54"/>
  <c r="AD8" i="54"/>
  <c r="AB8" i="54"/>
  <c r="Z8" i="54"/>
  <c r="X8" i="54"/>
  <c r="V8" i="54"/>
  <c r="T8" i="54"/>
  <c r="R8" i="54"/>
  <c r="P8" i="54"/>
  <c r="N8" i="54"/>
  <c r="L8" i="54"/>
  <c r="J8" i="54"/>
  <c r="H8" i="54"/>
  <c r="F8" i="54"/>
  <c r="D8" i="54"/>
  <c r="AE7" i="54"/>
  <c r="AD7" i="54"/>
  <c r="AB7" i="54"/>
  <c r="Z7" i="54"/>
  <c r="Z22" i="54" s="1"/>
  <c r="AA20" i="53" s="1"/>
  <c r="X7" i="54"/>
  <c r="V7" i="54"/>
  <c r="T7" i="54"/>
  <c r="R7" i="54"/>
  <c r="P7" i="54"/>
  <c r="N7" i="54"/>
  <c r="L7" i="54"/>
  <c r="J7" i="54"/>
  <c r="AF7" i="54" s="1"/>
  <c r="H7" i="54"/>
  <c r="F7" i="54"/>
  <c r="D7" i="54"/>
  <c r="AG7" i="54" s="1"/>
  <c r="AE6" i="54"/>
  <c r="AE22" i="54" s="1"/>
  <c r="AH20" i="53" s="1"/>
  <c r="AD6" i="54"/>
  <c r="AB6" i="54"/>
  <c r="Z6" i="54"/>
  <c r="X6" i="54"/>
  <c r="V6" i="54"/>
  <c r="V22" i="54" s="1"/>
  <c r="W20" i="53" s="1"/>
  <c r="T6" i="54"/>
  <c r="T22" i="54" s="1"/>
  <c r="U20" i="53" s="1"/>
  <c r="R6" i="54"/>
  <c r="P6" i="54"/>
  <c r="N6" i="54"/>
  <c r="L6" i="54"/>
  <c r="J6" i="54"/>
  <c r="H6" i="54"/>
  <c r="F6" i="54"/>
  <c r="D6" i="54"/>
  <c r="AG6" i="54" s="1"/>
  <c r="AC20" i="25"/>
  <c r="AD18" i="53" s="1"/>
  <c r="AA20" i="25"/>
  <c r="AB18" i="53" s="1"/>
  <c r="Z20" i="25"/>
  <c r="AA18" i="53" s="1"/>
  <c r="Y20" i="25"/>
  <c r="Z18" i="53" s="1"/>
  <c r="X20" i="25"/>
  <c r="Y18" i="53" s="1"/>
  <c r="W20" i="25"/>
  <c r="X18" i="53" s="1"/>
  <c r="U20" i="25"/>
  <c r="V18" i="53" s="1"/>
  <c r="S20" i="25"/>
  <c r="T18" i="53" s="1"/>
  <c r="Q20" i="25"/>
  <c r="R18" i="53" s="1"/>
  <c r="O20" i="25"/>
  <c r="P18" i="53" s="1"/>
  <c r="M20" i="25"/>
  <c r="K20" i="25"/>
  <c r="L18" i="53" s="1"/>
  <c r="J20" i="25"/>
  <c r="K18" i="53" s="1"/>
  <c r="I20" i="25"/>
  <c r="J18" i="53" s="1"/>
  <c r="G20" i="25"/>
  <c r="E20" i="25"/>
  <c r="F18" i="53" s="1"/>
  <c r="C20" i="25"/>
  <c r="D18" i="53" s="1"/>
  <c r="AE19" i="25"/>
  <c r="T19" i="25"/>
  <c r="N19" i="25"/>
  <c r="J19" i="25"/>
  <c r="H19" i="25"/>
  <c r="F19" i="25"/>
  <c r="D19" i="25"/>
  <c r="AG19" i="25" s="1"/>
  <c r="AE18" i="25"/>
  <c r="T18" i="25"/>
  <c r="R18" i="25"/>
  <c r="N18" i="25"/>
  <c r="J18" i="25"/>
  <c r="H18" i="25"/>
  <c r="F18" i="25"/>
  <c r="D18" i="25"/>
  <c r="AG18" i="25" s="1"/>
  <c r="AE17" i="25"/>
  <c r="T17" i="25"/>
  <c r="R17" i="25"/>
  <c r="N17" i="25"/>
  <c r="J17" i="25"/>
  <c r="H17" i="25"/>
  <c r="F17" i="25"/>
  <c r="D17" i="25"/>
  <c r="AG17" i="25" s="1"/>
  <c r="AE16" i="25"/>
  <c r="X16" i="25"/>
  <c r="T16" i="25"/>
  <c r="R16" i="25"/>
  <c r="N16" i="25"/>
  <c r="J16" i="25"/>
  <c r="H16" i="25"/>
  <c r="F16" i="25"/>
  <c r="AF16" i="25" s="1"/>
  <c r="D16" i="25"/>
  <c r="AE15" i="25"/>
  <c r="X15" i="25"/>
  <c r="T15" i="25"/>
  <c r="R15" i="25"/>
  <c r="N15" i="25"/>
  <c r="J15" i="25"/>
  <c r="H15" i="25"/>
  <c r="F15" i="25"/>
  <c r="D15" i="25"/>
  <c r="AG15" i="25" s="1"/>
  <c r="AE14" i="25"/>
  <c r="X14" i="25"/>
  <c r="T14" i="25"/>
  <c r="R14" i="25"/>
  <c r="N14" i="25"/>
  <c r="L14" i="25"/>
  <c r="J14" i="25"/>
  <c r="H14" i="25"/>
  <c r="F14" i="25"/>
  <c r="D14" i="25"/>
  <c r="AG14" i="25" s="1"/>
  <c r="AE13" i="25"/>
  <c r="X13" i="25"/>
  <c r="T13" i="25"/>
  <c r="R13" i="25"/>
  <c r="N13" i="25"/>
  <c r="L13" i="25"/>
  <c r="J13" i="25"/>
  <c r="H13" i="25"/>
  <c r="H20" i="25" s="1"/>
  <c r="I18" i="53" s="1"/>
  <c r="F13" i="25"/>
  <c r="D13" i="25"/>
  <c r="AE12" i="25"/>
  <c r="X12" i="25"/>
  <c r="T12" i="25"/>
  <c r="R12" i="25"/>
  <c r="N12" i="25"/>
  <c r="L12" i="25"/>
  <c r="J12" i="25"/>
  <c r="F12" i="25"/>
  <c r="D12" i="25"/>
  <c r="AE11" i="25"/>
  <c r="X11" i="25"/>
  <c r="T11" i="25"/>
  <c r="R11" i="25"/>
  <c r="N11" i="25"/>
  <c r="L11" i="25"/>
  <c r="J11" i="25"/>
  <c r="H11" i="25"/>
  <c r="F11" i="25"/>
  <c r="D11" i="25"/>
  <c r="AE10" i="25"/>
  <c r="X10" i="25"/>
  <c r="T10" i="25"/>
  <c r="R10" i="25"/>
  <c r="N10" i="25"/>
  <c r="L10" i="25"/>
  <c r="J10" i="25"/>
  <c r="AG10" i="25" s="1"/>
  <c r="H10" i="25"/>
  <c r="F10" i="25"/>
  <c r="D10" i="25"/>
  <c r="AF10" i="25" s="1"/>
  <c r="AE9" i="25"/>
  <c r="AD9" i="25"/>
  <c r="AB9" i="25"/>
  <c r="Z9" i="25"/>
  <c r="X9" i="25"/>
  <c r="V9" i="25"/>
  <c r="T9" i="25"/>
  <c r="R9" i="25"/>
  <c r="P9" i="25"/>
  <c r="N9" i="25"/>
  <c r="L9" i="25"/>
  <c r="J9" i="25"/>
  <c r="H9" i="25"/>
  <c r="F9" i="25"/>
  <c r="D9" i="25"/>
  <c r="AE8" i="25"/>
  <c r="AD8" i="25"/>
  <c r="AB8" i="25"/>
  <c r="Z8" i="25"/>
  <c r="X8" i="25"/>
  <c r="V8" i="25"/>
  <c r="T8" i="25"/>
  <c r="R8" i="25"/>
  <c r="P8" i="25"/>
  <c r="P20" i="25" s="1"/>
  <c r="Q18" i="53" s="1"/>
  <c r="N8" i="25"/>
  <c r="L8" i="25"/>
  <c r="J8" i="25"/>
  <c r="H8" i="25"/>
  <c r="F8" i="25"/>
  <c r="D8" i="25"/>
  <c r="AE7" i="25"/>
  <c r="AD7" i="25"/>
  <c r="AB7" i="25"/>
  <c r="Z7" i="25"/>
  <c r="X7" i="25"/>
  <c r="V7" i="25"/>
  <c r="T7" i="25"/>
  <c r="R7" i="25"/>
  <c r="R20" i="25" s="1"/>
  <c r="S18" i="53" s="1"/>
  <c r="P7" i="25"/>
  <c r="N7" i="25"/>
  <c r="L7" i="25"/>
  <c r="J7" i="25"/>
  <c r="H7" i="25"/>
  <c r="F7" i="25"/>
  <c r="D7" i="25"/>
  <c r="AG7" i="25" s="1"/>
  <c r="AG6" i="25"/>
  <c r="AE6" i="25"/>
  <c r="AD6" i="25"/>
  <c r="AD20" i="25" s="1"/>
  <c r="AE18" i="53" s="1"/>
  <c r="AB6" i="25"/>
  <c r="AB20" i="25" s="1"/>
  <c r="AC18" i="53" s="1"/>
  <c r="Z6" i="25"/>
  <c r="X6" i="25"/>
  <c r="V6" i="25"/>
  <c r="V20" i="25" s="1"/>
  <c r="W18" i="53" s="1"/>
  <c r="T6" i="25"/>
  <c r="T20" i="25" s="1"/>
  <c r="U18" i="53" s="1"/>
  <c r="R6" i="25"/>
  <c r="P6" i="25"/>
  <c r="N6" i="25"/>
  <c r="L6" i="25"/>
  <c r="J6" i="25"/>
  <c r="H6" i="25"/>
  <c r="F6" i="25"/>
  <c r="D6" i="25"/>
  <c r="AC19" i="24"/>
  <c r="AD17" i="53" s="1"/>
  <c r="AA19" i="24"/>
  <c r="AB17" i="53" s="1"/>
  <c r="Y19" i="24"/>
  <c r="Z17" i="53" s="1"/>
  <c r="W19" i="24"/>
  <c r="X17" i="53" s="1"/>
  <c r="U19" i="24"/>
  <c r="V17" i="53" s="1"/>
  <c r="T19" i="24"/>
  <c r="U17" i="53" s="1"/>
  <c r="S19" i="24"/>
  <c r="T17" i="53" s="1"/>
  <c r="Q19" i="24"/>
  <c r="R17" i="53" s="1"/>
  <c r="O19" i="24"/>
  <c r="P17" i="53" s="1"/>
  <c r="M19" i="24"/>
  <c r="N17" i="53" s="1"/>
  <c r="K19" i="24"/>
  <c r="L17" i="53" s="1"/>
  <c r="I19" i="24"/>
  <c r="J17" i="53" s="1"/>
  <c r="G19" i="24"/>
  <c r="H17" i="53" s="1"/>
  <c r="E19" i="24"/>
  <c r="F17" i="53" s="1"/>
  <c r="D19" i="24"/>
  <c r="E17" i="53" s="1"/>
  <c r="C19" i="24"/>
  <c r="D17" i="53" s="1"/>
  <c r="AG18" i="24"/>
  <c r="AG17" i="24"/>
  <c r="AG16" i="24"/>
  <c r="AG15" i="24"/>
  <c r="AG14" i="24"/>
  <c r="AG13" i="24"/>
  <c r="AG12" i="24"/>
  <c r="AG11" i="24"/>
  <c r="AG10" i="24"/>
  <c r="AE9" i="24"/>
  <c r="AD9" i="24"/>
  <c r="AB9" i="24"/>
  <c r="Z9" i="24"/>
  <c r="X9" i="24"/>
  <c r="V9" i="24"/>
  <c r="T9" i="24"/>
  <c r="R9" i="24"/>
  <c r="P9" i="24"/>
  <c r="N9" i="24"/>
  <c r="L9" i="24"/>
  <c r="J9" i="24"/>
  <c r="H9" i="24"/>
  <c r="F9" i="24"/>
  <c r="D9" i="24"/>
  <c r="AE8" i="24"/>
  <c r="AD8" i="24"/>
  <c r="AB8" i="24"/>
  <c r="Z8" i="24"/>
  <c r="X8" i="24"/>
  <c r="V8" i="24"/>
  <c r="T8" i="24"/>
  <c r="R8" i="24"/>
  <c r="P8" i="24"/>
  <c r="N8" i="24"/>
  <c r="L8" i="24"/>
  <c r="J8" i="24"/>
  <c r="AF8" i="24" s="1"/>
  <c r="H8" i="24"/>
  <c r="F8" i="24"/>
  <c r="D8" i="24"/>
  <c r="AE7" i="24"/>
  <c r="AD7" i="24"/>
  <c r="AB7" i="24"/>
  <c r="Z7" i="24"/>
  <c r="X7" i="24"/>
  <c r="V7" i="24"/>
  <c r="T7" i="24"/>
  <c r="R7" i="24"/>
  <c r="P7" i="24"/>
  <c r="N7" i="24"/>
  <c r="L7" i="24"/>
  <c r="J7" i="24"/>
  <c r="H7" i="24"/>
  <c r="F7" i="24"/>
  <c r="D7" i="24"/>
  <c r="AE6" i="24"/>
  <c r="AE19" i="24" s="1"/>
  <c r="AH17" i="53" s="1"/>
  <c r="AD6" i="24"/>
  <c r="AD19" i="24" s="1"/>
  <c r="AE17" i="53" s="1"/>
  <c r="AB6" i="24"/>
  <c r="Z6" i="24"/>
  <c r="X6" i="24"/>
  <c r="X19" i="24" s="1"/>
  <c r="Y17" i="53" s="1"/>
  <c r="V6" i="24"/>
  <c r="V19" i="24" s="1"/>
  <c r="W17" i="53" s="1"/>
  <c r="T6" i="24"/>
  <c r="R6" i="24"/>
  <c r="R19" i="24" s="1"/>
  <c r="S17" i="53" s="1"/>
  <c r="P6" i="24"/>
  <c r="P19" i="24" s="1"/>
  <c r="Q17" i="53" s="1"/>
  <c r="N6" i="24"/>
  <c r="N19" i="24" s="1"/>
  <c r="O17" i="53" s="1"/>
  <c r="L6" i="24"/>
  <c r="J6" i="24"/>
  <c r="H6" i="24"/>
  <c r="H19" i="24" s="1"/>
  <c r="I17" i="53" s="1"/>
  <c r="F6" i="24"/>
  <c r="F19" i="24" s="1"/>
  <c r="G17" i="53" s="1"/>
  <c r="D6" i="24"/>
  <c r="Y1" i="24"/>
  <c r="AC19" i="23"/>
  <c r="AD16" i="53" s="1"/>
  <c r="AA19" i="23"/>
  <c r="AB16" i="53" s="1"/>
  <c r="Z19" i="23"/>
  <c r="AA16" i="53" s="1"/>
  <c r="Y19" i="23"/>
  <c r="Z16" i="53" s="1"/>
  <c r="W19" i="23"/>
  <c r="X16" i="53" s="1"/>
  <c r="U19" i="23"/>
  <c r="V16" i="53" s="1"/>
  <c r="S19" i="23"/>
  <c r="T16" i="53" s="1"/>
  <c r="Q19" i="23"/>
  <c r="R16" i="53" s="1"/>
  <c r="O19" i="23"/>
  <c r="P16" i="53" s="1"/>
  <c r="M19" i="23"/>
  <c r="N16" i="53" s="1"/>
  <c r="K19" i="23"/>
  <c r="L16" i="53" s="1"/>
  <c r="I19" i="23"/>
  <c r="J16" i="53" s="1"/>
  <c r="G19" i="23"/>
  <c r="H16" i="53" s="1"/>
  <c r="E19" i="23"/>
  <c r="F16" i="53" s="1"/>
  <c r="C19" i="23"/>
  <c r="D16" i="53" s="1"/>
  <c r="AG18" i="23"/>
  <c r="AG17" i="23"/>
  <c r="AG16" i="23"/>
  <c r="AG15" i="23"/>
  <c r="AG14" i="23"/>
  <c r="AG13" i="23"/>
  <c r="AG12" i="23"/>
  <c r="AG11" i="23"/>
  <c r="AG10" i="23"/>
  <c r="AF10" i="23"/>
  <c r="AE10" i="23"/>
  <c r="L10" i="23"/>
  <c r="J10" i="23"/>
  <c r="F10" i="23"/>
  <c r="D10" i="23"/>
  <c r="AE9" i="23"/>
  <c r="AD9" i="23"/>
  <c r="AB9" i="23"/>
  <c r="Z9" i="23"/>
  <c r="X9" i="23"/>
  <c r="V9" i="23"/>
  <c r="T9" i="23"/>
  <c r="R9" i="23"/>
  <c r="P9" i="23"/>
  <c r="AF9" i="23" s="1"/>
  <c r="N9" i="23"/>
  <c r="L9" i="23"/>
  <c r="J9" i="23"/>
  <c r="H9" i="23"/>
  <c r="F9" i="23"/>
  <c r="D9" i="23"/>
  <c r="AE8" i="23"/>
  <c r="AD8" i="23"/>
  <c r="AB8" i="23"/>
  <c r="Z8" i="23"/>
  <c r="X8" i="23"/>
  <c r="V8" i="23"/>
  <c r="T8" i="23"/>
  <c r="R8" i="23"/>
  <c r="R19" i="23" s="1"/>
  <c r="S16" i="53" s="1"/>
  <c r="P8" i="23"/>
  <c r="N8" i="23"/>
  <c r="L8" i="23"/>
  <c r="J8" i="23"/>
  <c r="H8" i="23"/>
  <c r="F8" i="23"/>
  <c r="D8" i="23"/>
  <c r="AG8" i="23" s="1"/>
  <c r="AG7" i="23"/>
  <c r="AE7" i="23"/>
  <c r="AD7" i="23"/>
  <c r="AB7" i="23"/>
  <c r="Z7" i="23"/>
  <c r="X7" i="23"/>
  <c r="V7" i="23"/>
  <c r="T7" i="23"/>
  <c r="R7" i="23"/>
  <c r="P7" i="23"/>
  <c r="N7" i="23"/>
  <c r="L7" i="23"/>
  <c r="J7" i="23"/>
  <c r="H7" i="23"/>
  <c r="F7" i="23"/>
  <c r="D7" i="23"/>
  <c r="AF7" i="23" s="1"/>
  <c r="AE6" i="23"/>
  <c r="AE19" i="23" s="1"/>
  <c r="AD6" i="23"/>
  <c r="AD19" i="23" s="1"/>
  <c r="AE16" i="53" s="1"/>
  <c r="AB6" i="23"/>
  <c r="AB19" i="23" s="1"/>
  <c r="AC16" i="53" s="1"/>
  <c r="Z6" i="23"/>
  <c r="X6" i="23"/>
  <c r="V6" i="23"/>
  <c r="V19" i="23" s="1"/>
  <c r="W16" i="53" s="1"/>
  <c r="T6" i="23"/>
  <c r="R6" i="23"/>
  <c r="P6" i="23"/>
  <c r="P19" i="23" s="1"/>
  <c r="Q16" i="53" s="1"/>
  <c r="N6" i="23"/>
  <c r="N19" i="23" s="1"/>
  <c r="O16" i="53" s="1"/>
  <c r="L6" i="23"/>
  <c r="L19" i="23" s="1"/>
  <c r="M16" i="53" s="1"/>
  <c r="J6" i="23"/>
  <c r="J19" i="23" s="1"/>
  <c r="H6" i="23"/>
  <c r="F6" i="23"/>
  <c r="D6" i="23"/>
  <c r="AE19" i="22"/>
  <c r="AD19" i="22"/>
  <c r="AE15" i="53" s="1"/>
  <c r="AC19" i="22"/>
  <c r="AD15" i="53" s="1"/>
  <c r="AA19" i="22"/>
  <c r="AB15" i="53" s="1"/>
  <c r="Y19" i="22"/>
  <c r="Z15" i="53" s="1"/>
  <c r="W19" i="22"/>
  <c r="X15" i="53" s="1"/>
  <c r="V19" i="22"/>
  <c r="W15" i="53" s="1"/>
  <c r="U19" i="22"/>
  <c r="V15" i="53" s="1"/>
  <c r="S19" i="22"/>
  <c r="Q19" i="22"/>
  <c r="O19" i="22"/>
  <c r="P15" i="53" s="1"/>
  <c r="M19" i="22"/>
  <c r="N15" i="53" s="1"/>
  <c r="K19" i="22"/>
  <c r="L15" i="53" s="1"/>
  <c r="I19" i="22"/>
  <c r="J15" i="53" s="1"/>
  <c r="G19" i="22"/>
  <c r="H15" i="53" s="1"/>
  <c r="F19" i="22"/>
  <c r="G15" i="53" s="1"/>
  <c r="E19" i="22"/>
  <c r="F15" i="53" s="1"/>
  <c r="C19" i="22"/>
  <c r="D15" i="53" s="1"/>
  <c r="AG18" i="22"/>
  <c r="AG17" i="22"/>
  <c r="AG16" i="22"/>
  <c r="AG15" i="22"/>
  <c r="AG14" i="22"/>
  <c r="AG13" i="22"/>
  <c r="AG12" i="22"/>
  <c r="AG11" i="22"/>
  <c r="AG10" i="22"/>
  <c r="AE9" i="22"/>
  <c r="AD9" i="22"/>
  <c r="AB9" i="22"/>
  <c r="Z9" i="22"/>
  <c r="X9" i="22"/>
  <c r="V9" i="22"/>
  <c r="T9" i="22"/>
  <c r="R9" i="22"/>
  <c r="P9" i="22"/>
  <c r="N9" i="22"/>
  <c r="L9" i="22"/>
  <c r="J9" i="22"/>
  <c r="H9" i="22"/>
  <c r="F9" i="22"/>
  <c r="D9" i="22"/>
  <c r="AG9" i="22" s="1"/>
  <c r="AE8" i="22"/>
  <c r="AD8" i="22"/>
  <c r="AB8" i="22"/>
  <c r="Z8" i="22"/>
  <c r="X8" i="22"/>
  <c r="V8" i="22"/>
  <c r="T8" i="22"/>
  <c r="R8" i="22"/>
  <c r="P8" i="22"/>
  <c r="N8" i="22"/>
  <c r="N19" i="22" s="1"/>
  <c r="O15" i="53" s="1"/>
  <c r="L8" i="22"/>
  <c r="J8" i="22"/>
  <c r="H8" i="22"/>
  <c r="F8" i="22"/>
  <c r="D8" i="22"/>
  <c r="AG8" i="22" s="1"/>
  <c r="AE7" i="22"/>
  <c r="AD7" i="22"/>
  <c r="AB7" i="22"/>
  <c r="Z7" i="22"/>
  <c r="X7" i="22"/>
  <c r="V7" i="22"/>
  <c r="T7" i="22"/>
  <c r="R7" i="22"/>
  <c r="AF7" i="22" s="1"/>
  <c r="P7" i="22"/>
  <c r="N7" i="22"/>
  <c r="L7" i="22"/>
  <c r="J7" i="22"/>
  <c r="H7" i="22"/>
  <c r="F7" i="22"/>
  <c r="D7" i="22"/>
  <c r="AG7" i="22" s="1"/>
  <c r="AE6" i="22"/>
  <c r="AD6" i="22"/>
  <c r="AB6" i="22"/>
  <c r="AB19" i="22" s="1"/>
  <c r="AC15" i="53" s="1"/>
  <c r="Z6" i="22"/>
  <c r="Z19" i="22" s="1"/>
  <c r="AA15" i="53" s="1"/>
  <c r="X6" i="22"/>
  <c r="X19" i="22" s="1"/>
  <c r="Y15" i="53" s="1"/>
  <c r="V6" i="22"/>
  <c r="T6" i="22"/>
  <c r="T19" i="22" s="1"/>
  <c r="U15" i="53" s="1"/>
  <c r="R6" i="22"/>
  <c r="P6" i="22"/>
  <c r="P19" i="22" s="1"/>
  <c r="Q15" i="53" s="1"/>
  <c r="N6" i="22"/>
  <c r="L6" i="22"/>
  <c r="L19" i="22" s="1"/>
  <c r="M15" i="53" s="1"/>
  <c r="J6" i="22"/>
  <c r="J19" i="22" s="1"/>
  <c r="K15" i="53" s="1"/>
  <c r="H6" i="22"/>
  <c r="H19" i="22" s="1"/>
  <c r="I15" i="53" s="1"/>
  <c r="F6" i="22"/>
  <c r="D6" i="22"/>
  <c r="D19" i="22" s="1"/>
  <c r="AC21" i="21"/>
  <c r="AD14" i="53" s="1"/>
  <c r="AA21" i="21"/>
  <c r="AB14" i="53" s="1"/>
  <c r="Y21" i="21"/>
  <c r="Z14" i="53" s="1"/>
  <c r="W21" i="21"/>
  <c r="X14" i="53" s="1"/>
  <c r="U21" i="21"/>
  <c r="V14" i="53" s="1"/>
  <c r="S21" i="21"/>
  <c r="T14" i="53" s="1"/>
  <c r="Q21" i="21"/>
  <c r="R14" i="53" s="1"/>
  <c r="O21" i="21"/>
  <c r="P14" i="53" s="1"/>
  <c r="M21" i="21"/>
  <c r="N14" i="53" s="1"/>
  <c r="K21" i="21"/>
  <c r="L14" i="53" s="1"/>
  <c r="I21" i="21"/>
  <c r="J14" i="53" s="1"/>
  <c r="G21" i="21"/>
  <c r="H14" i="53" s="1"/>
  <c r="E21" i="21"/>
  <c r="F14" i="53" s="1"/>
  <c r="C21" i="21"/>
  <c r="D14" i="53" s="1"/>
  <c r="AG20" i="21"/>
  <c r="AF19" i="21"/>
  <c r="AE19" i="21"/>
  <c r="F19" i="21"/>
  <c r="AG19" i="21" s="1"/>
  <c r="D19" i="21"/>
  <c r="AE18" i="21"/>
  <c r="F18" i="21"/>
  <c r="D18" i="21"/>
  <c r="AG17" i="21"/>
  <c r="AF17" i="21"/>
  <c r="AE17" i="21"/>
  <c r="F17" i="21"/>
  <c r="D17" i="21"/>
  <c r="AE16" i="21"/>
  <c r="F16" i="21"/>
  <c r="D16" i="21"/>
  <c r="AE15" i="21"/>
  <c r="AD15" i="21"/>
  <c r="AB15" i="21"/>
  <c r="Z15" i="21"/>
  <c r="X15" i="21"/>
  <c r="V15" i="21"/>
  <c r="T15" i="21"/>
  <c r="R15" i="21"/>
  <c r="P15" i="21"/>
  <c r="N15" i="21"/>
  <c r="L15" i="21"/>
  <c r="J15" i="21"/>
  <c r="H15" i="21"/>
  <c r="F15" i="21"/>
  <c r="AF15" i="21" s="1"/>
  <c r="D15" i="21"/>
  <c r="AE14" i="21"/>
  <c r="AD14" i="21"/>
  <c r="AB14" i="21"/>
  <c r="Z14" i="21"/>
  <c r="X14" i="21"/>
  <c r="V14" i="21"/>
  <c r="T14" i="21"/>
  <c r="R14" i="21"/>
  <c r="P14" i="21"/>
  <c r="N14" i="21"/>
  <c r="L14" i="21"/>
  <c r="J14" i="21"/>
  <c r="H14" i="21"/>
  <c r="F14" i="21"/>
  <c r="D14" i="21"/>
  <c r="AG14" i="21" s="1"/>
  <c r="AE13" i="21"/>
  <c r="AD13" i="21"/>
  <c r="AB13" i="21"/>
  <c r="Z13" i="21"/>
  <c r="X13" i="21"/>
  <c r="V13" i="21"/>
  <c r="T13" i="21"/>
  <c r="R13" i="21"/>
  <c r="P13" i="21"/>
  <c r="N13" i="21"/>
  <c r="L13" i="21"/>
  <c r="J13" i="21"/>
  <c r="H13" i="21"/>
  <c r="F13" i="21"/>
  <c r="D13" i="21"/>
  <c r="AE12" i="21"/>
  <c r="AD12" i="21"/>
  <c r="AB12" i="21"/>
  <c r="Z12" i="21"/>
  <c r="X12" i="21"/>
  <c r="V12" i="21"/>
  <c r="T12" i="21"/>
  <c r="R12" i="21"/>
  <c r="P12" i="21"/>
  <c r="P21" i="21" s="1"/>
  <c r="Q14" i="53" s="1"/>
  <c r="N12" i="21"/>
  <c r="L12" i="21"/>
  <c r="J12" i="21"/>
  <c r="H12" i="21"/>
  <c r="F12" i="21"/>
  <c r="D12" i="21"/>
  <c r="AE11" i="21"/>
  <c r="AD11" i="21"/>
  <c r="AB11" i="21"/>
  <c r="Z11" i="21"/>
  <c r="X11" i="21"/>
  <c r="V11" i="21"/>
  <c r="T11" i="21"/>
  <c r="R11" i="21"/>
  <c r="P11" i="21"/>
  <c r="N11" i="21"/>
  <c r="L11" i="21"/>
  <c r="J11" i="21"/>
  <c r="H11" i="21"/>
  <c r="F11" i="21"/>
  <c r="D11" i="21"/>
  <c r="AE10" i="21"/>
  <c r="AD10" i="21"/>
  <c r="AB10" i="21"/>
  <c r="Z10" i="21"/>
  <c r="X10" i="21"/>
  <c r="V10" i="21"/>
  <c r="T10" i="21"/>
  <c r="R10" i="21"/>
  <c r="AF10" i="21" s="1"/>
  <c r="P10" i="21"/>
  <c r="N10" i="21"/>
  <c r="L10" i="21"/>
  <c r="J10" i="21"/>
  <c r="H10" i="21"/>
  <c r="F10" i="21"/>
  <c r="D10" i="21"/>
  <c r="AG10" i="21" s="1"/>
  <c r="AE9" i="21"/>
  <c r="AD9" i="21"/>
  <c r="AB9" i="21"/>
  <c r="Z9" i="21"/>
  <c r="X9" i="21"/>
  <c r="V9" i="21"/>
  <c r="T9" i="21"/>
  <c r="R9" i="21"/>
  <c r="P9" i="21"/>
  <c r="N9" i="21"/>
  <c r="L9" i="21"/>
  <c r="J9" i="21"/>
  <c r="H9" i="21"/>
  <c r="F9" i="21"/>
  <c r="D9" i="21"/>
  <c r="AG9" i="21" s="1"/>
  <c r="AE8" i="21"/>
  <c r="AD8" i="21"/>
  <c r="AB8" i="21"/>
  <c r="Z8" i="21"/>
  <c r="X8" i="21"/>
  <c r="V8" i="21"/>
  <c r="T8" i="21"/>
  <c r="R8" i="21"/>
  <c r="P8" i="21"/>
  <c r="N8" i="21"/>
  <c r="L8" i="21"/>
  <c r="J8" i="21"/>
  <c r="H8" i="21"/>
  <c r="F8" i="21"/>
  <c r="D8" i="21"/>
  <c r="AF8" i="21" s="1"/>
  <c r="AE7" i="21"/>
  <c r="AD7" i="21"/>
  <c r="AB7" i="21"/>
  <c r="Z7" i="21"/>
  <c r="X7" i="21"/>
  <c r="V7" i="21"/>
  <c r="T7" i="21"/>
  <c r="R7" i="21"/>
  <c r="P7" i="21"/>
  <c r="N7" i="21"/>
  <c r="L7" i="21"/>
  <c r="J7" i="21"/>
  <c r="H7" i="21"/>
  <c r="F7" i="21"/>
  <c r="D7" i="21"/>
  <c r="AE6" i="21"/>
  <c r="AD6" i="21"/>
  <c r="AB6" i="21"/>
  <c r="AB21" i="21" s="1"/>
  <c r="AC14" i="53" s="1"/>
  <c r="Z6" i="21"/>
  <c r="X6" i="21"/>
  <c r="X21" i="21" s="1"/>
  <c r="Y14" i="53" s="1"/>
  <c r="V6" i="21"/>
  <c r="T6" i="21"/>
  <c r="R6" i="21"/>
  <c r="P6" i="21"/>
  <c r="N6" i="21"/>
  <c r="L6" i="21"/>
  <c r="L21" i="21" s="1"/>
  <c r="M14" i="53" s="1"/>
  <c r="J6" i="21"/>
  <c r="H6" i="21"/>
  <c r="H21" i="21" s="1"/>
  <c r="I14" i="53" s="1"/>
  <c r="F6" i="21"/>
  <c r="D6" i="21"/>
  <c r="AC25" i="20"/>
  <c r="AD13" i="53" s="1"/>
  <c r="AA25" i="20"/>
  <c r="AB13" i="53" s="1"/>
  <c r="Y25" i="20"/>
  <c r="Z13" i="53" s="1"/>
  <c r="W25" i="20"/>
  <c r="X13" i="53" s="1"/>
  <c r="U25" i="20"/>
  <c r="V13" i="53" s="1"/>
  <c r="S25" i="20"/>
  <c r="T13" i="53" s="1"/>
  <c r="Q25" i="20"/>
  <c r="R13" i="53" s="1"/>
  <c r="O25" i="20"/>
  <c r="P13" i="53" s="1"/>
  <c r="M25" i="20"/>
  <c r="N13" i="53" s="1"/>
  <c r="K25" i="20"/>
  <c r="L13" i="53" s="1"/>
  <c r="J25" i="20"/>
  <c r="K13" i="53" s="1"/>
  <c r="I25" i="20"/>
  <c r="J13" i="53" s="1"/>
  <c r="H25" i="20"/>
  <c r="I13" i="53" s="1"/>
  <c r="G25" i="20"/>
  <c r="H13" i="53" s="1"/>
  <c r="E25" i="20"/>
  <c r="F13" i="53" s="1"/>
  <c r="C25" i="20"/>
  <c r="D13" i="53" s="1"/>
  <c r="AG24" i="20"/>
  <c r="AF24" i="20"/>
  <c r="AE24" i="20"/>
  <c r="T24" i="20"/>
  <c r="F24" i="20"/>
  <c r="AE23" i="20"/>
  <c r="AB23" i="20"/>
  <c r="T23" i="20"/>
  <c r="F23" i="20"/>
  <c r="D23" i="20"/>
  <c r="AE22" i="20"/>
  <c r="AB22" i="20"/>
  <c r="T22" i="20"/>
  <c r="L22" i="20"/>
  <c r="J22" i="20"/>
  <c r="F22" i="20"/>
  <c r="D22" i="20"/>
  <c r="AE21" i="20"/>
  <c r="AB21" i="20"/>
  <c r="T21" i="20"/>
  <c r="L21" i="20"/>
  <c r="AF21" i="20" s="1"/>
  <c r="J21" i="20"/>
  <c r="F21" i="20"/>
  <c r="D21" i="20"/>
  <c r="AE20" i="20"/>
  <c r="AB20" i="20"/>
  <c r="T20" i="20"/>
  <c r="L20" i="20"/>
  <c r="J20" i="20"/>
  <c r="F20" i="20"/>
  <c r="D20" i="20"/>
  <c r="AF19" i="20"/>
  <c r="AE19" i="20"/>
  <c r="AB19" i="20"/>
  <c r="T19" i="20"/>
  <c r="L19" i="20"/>
  <c r="J19" i="20"/>
  <c r="F19" i="20"/>
  <c r="D19" i="20"/>
  <c r="AG19" i="20" s="1"/>
  <c r="AE18" i="20"/>
  <c r="AB18" i="20"/>
  <c r="X18" i="20"/>
  <c r="T18" i="20"/>
  <c r="L18" i="20"/>
  <c r="J18" i="20"/>
  <c r="F18" i="20"/>
  <c r="AG18" i="20" s="1"/>
  <c r="D18" i="20"/>
  <c r="AF18" i="20" s="1"/>
  <c r="AE17" i="20"/>
  <c r="AB17" i="20"/>
  <c r="X17" i="20"/>
  <c r="T17" i="20"/>
  <c r="L17" i="20"/>
  <c r="J17" i="20"/>
  <c r="F17" i="20"/>
  <c r="AG17" i="20" s="1"/>
  <c r="D17" i="20"/>
  <c r="AE16" i="20"/>
  <c r="AB16" i="20"/>
  <c r="X16" i="20"/>
  <c r="T16" i="20"/>
  <c r="L16" i="20"/>
  <c r="J16" i="20"/>
  <c r="F16" i="20"/>
  <c r="D16" i="20"/>
  <c r="AE15" i="20"/>
  <c r="AB15" i="20"/>
  <c r="X15" i="20"/>
  <c r="T15" i="20"/>
  <c r="L15" i="20"/>
  <c r="J15" i="20"/>
  <c r="F15" i="20"/>
  <c r="D15" i="20"/>
  <c r="AE14" i="20"/>
  <c r="AD14" i="20"/>
  <c r="AB14" i="20"/>
  <c r="Z14" i="20"/>
  <c r="X14" i="20"/>
  <c r="V14" i="20"/>
  <c r="T14" i="20"/>
  <c r="R14" i="20"/>
  <c r="AF14" i="20" s="1"/>
  <c r="P14" i="20"/>
  <c r="N14" i="20"/>
  <c r="L14" i="20"/>
  <c r="J14" i="20"/>
  <c r="H14" i="20"/>
  <c r="F14" i="20"/>
  <c r="D14" i="20"/>
  <c r="AG14" i="20" s="1"/>
  <c r="AE13" i="20"/>
  <c r="AD13" i="20"/>
  <c r="AB13" i="20"/>
  <c r="Z13" i="20"/>
  <c r="X13" i="20"/>
  <c r="V13" i="20"/>
  <c r="T13" i="20"/>
  <c r="R13" i="20"/>
  <c r="P13" i="20"/>
  <c r="N13" i="20"/>
  <c r="L13" i="20"/>
  <c r="J13" i="20"/>
  <c r="H13" i="20"/>
  <c r="F13" i="20"/>
  <c r="D13" i="20"/>
  <c r="AG13" i="20" s="1"/>
  <c r="AE12" i="20"/>
  <c r="AD12" i="20"/>
  <c r="AB12" i="20"/>
  <c r="Z12" i="20"/>
  <c r="X12" i="20"/>
  <c r="V12" i="20"/>
  <c r="T12" i="20"/>
  <c r="R12" i="20"/>
  <c r="P12" i="20"/>
  <c r="N12" i="20"/>
  <c r="L12" i="20"/>
  <c r="J12" i="20"/>
  <c r="H12" i="20"/>
  <c r="F12" i="20"/>
  <c r="D12" i="20"/>
  <c r="AF12" i="20" s="1"/>
  <c r="AE11" i="20"/>
  <c r="AD11" i="20"/>
  <c r="AB11" i="20"/>
  <c r="Z11" i="20"/>
  <c r="X11" i="20"/>
  <c r="V11" i="20"/>
  <c r="T11" i="20"/>
  <c r="R11" i="20"/>
  <c r="P11" i="20"/>
  <c r="N11" i="20"/>
  <c r="L11" i="20"/>
  <c r="J11" i="20"/>
  <c r="H11" i="20"/>
  <c r="F11" i="20"/>
  <c r="D11" i="20"/>
  <c r="AG11" i="20" s="1"/>
  <c r="AE10" i="20"/>
  <c r="AD10" i="20"/>
  <c r="AB10" i="20"/>
  <c r="Z10" i="20"/>
  <c r="Z25" i="20" s="1"/>
  <c r="AA13" i="53" s="1"/>
  <c r="X10" i="20"/>
  <c r="V10" i="20"/>
  <c r="T10" i="20"/>
  <c r="R10" i="20"/>
  <c r="P10" i="20"/>
  <c r="N10" i="20"/>
  <c r="L10" i="20"/>
  <c r="J10" i="20"/>
  <c r="H10" i="20"/>
  <c r="F10" i="20"/>
  <c r="D10" i="20"/>
  <c r="AE9" i="20"/>
  <c r="AD9" i="20"/>
  <c r="AB9" i="20"/>
  <c r="Z9" i="20"/>
  <c r="X9" i="20"/>
  <c r="V9" i="20"/>
  <c r="T9" i="20"/>
  <c r="R9" i="20"/>
  <c r="P9" i="20"/>
  <c r="N9" i="20"/>
  <c r="L9" i="20"/>
  <c r="J9" i="20"/>
  <c r="H9" i="20"/>
  <c r="F9" i="20"/>
  <c r="D9" i="20"/>
  <c r="AE8" i="20"/>
  <c r="AD8" i="20"/>
  <c r="AB8" i="20"/>
  <c r="AB25" i="20" s="1"/>
  <c r="AC13" i="53" s="1"/>
  <c r="Z8" i="20"/>
  <c r="X8" i="20"/>
  <c r="V8" i="20"/>
  <c r="T8" i="20"/>
  <c r="R8" i="20"/>
  <c r="P8" i="20"/>
  <c r="N8" i="20"/>
  <c r="L8" i="20"/>
  <c r="L25" i="20" s="1"/>
  <c r="M13" i="53" s="1"/>
  <c r="J8" i="20"/>
  <c r="H8" i="20"/>
  <c r="F8" i="20"/>
  <c r="D8" i="20"/>
  <c r="AE7" i="20"/>
  <c r="AD7" i="20"/>
  <c r="AB7" i="20"/>
  <c r="Z7" i="20"/>
  <c r="X7" i="20"/>
  <c r="V7" i="20"/>
  <c r="T7" i="20"/>
  <c r="R7" i="20"/>
  <c r="P7" i="20"/>
  <c r="N7" i="20"/>
  <c r="L7" i="20"/>
  <c r="J7" i="20"/>
  <c r="H7" i="20"/>
  <c r="F7" i="20"/>
  <c r="D7" i="20"/>
  <c r="AE6" i="20"/>
  <c r="AD6" i="20"/>
  <c r="AB6" i="20"/>
  <c r="Z6" i="20"/>
  <c r="X6" i="20"/>
  <c r="V6" i="20"/>
  <c r="T6" i="20"/>
  <c r="R6" i="20"/>
  <c r="P6" i="20"/>
  <c r="N6" i="20"/>
  <c r="L6" i="20"/>
  <c r="J6" i="20"/>
  <c r="H6" i="20"/>
  <c r="F6" i="20"/>
  <c r="D6" i="20"/>
  <c r="AC19" i="19"/>
  <c r="AD12" i="53" s="1"/>
  <c r="AB19" i="19"/>
  <c r="AC12" i="53" s="1"/>
  <c r="AA19" i="19"/>
  <c r="AB12" i="53" s="1"/>
  <c r="Y19" i="19"/>
  <c r="Z12" i="53" s="1"/>
  <c r="W19" i="19"/>
  <c r="X12" i="53" s="1"/>
  <c r="U19" i="19"/>
  <c r="T19" i="19"/>
  <c r="U12" i="53" s="1"/>
  <c r="S19" i="19"/>
  <c r="T12" i="53" s="1"/>
  <c r="R19" i="19"/>
  <c r="S12" i="53" s="1"/>
  <c r="Q19" i="19"/>
  <c r="R12" i="53" s="1"/>
  <c r="O19" i="19"/>
  <c r="P12" i="53" s="1"/>
  <c r="M19" i="19"/>
  <c r="N12" i="53" s="1"/>
  <c r="K19" i="19"/>
  <c r="L12" i="53" s="1"/>
  <c r="J19" i="19"/>
  <c r="K12" i="53" s="1"/>
  <c r="I19" i="19"/>
  <c r="J12" i="53" s="1"/>
  <c r="G19" i="19"/>
  <c r="H12" i="53" s="1"/>
  <c r="E19" i="19"/>
  <c r="F12" i="53" s="1"/>
  <c r="C19" i="19"/>
  <c r="D12" i="53" s="1"/>
  <c r="AG18" i="19"/>
  <c r="N18" i="19"/>
  <c r="L18" i="19"/>
  <c r="J18" i="19"/>
  <c r="H18" i="19"/>
  <c r="AE17" i="19"/>
  <c r="N17" i="19"/>
  <c r="AF17" i="19" s="1"/>
  <c r="L17" i="19"/>
  <c r="J17" i="19"/>
  <c r="H17" i="19"/>
  <c r="F17" i="19"/>
  <c r="D17" i="19"/>
  <c r="AG17" i="19" s="1"/>
  <c r="AF16" i="19"/>
  <c r="AE16" i="19"/>
  <c r="N16" i="19"/>
  <c r="L16" i="19"/>
  <c r="J16" i="19"/>
  <c r="H16" i="19"/>
  <c r="F16" i="19"/>
  <c r="D16" i="19"/>
  <c r="AG16" i="19" s="1"/>
  <c r="AF15" i="19"/>
  <c r="AE15" i="19"/>
  <c r="N15" i="19"/>
  <c r="L15" i="19"/>
  <c r="J15" i="19"/>
  <c r="H15" i="19"/>
  <c r="F15" i="19"/>
  <c r="D15" i="19"/>
  <c r="AG15" i="19" s="1"/>
  <c r="AE14" i="19"/>
  <c r="N14" i="19"/>
  <c r="L14" i="19"/>
  <c r="J14" i="19"/>
  <c r="H14" i="19"/>
  <c r="AG14" i="19" s="1"/>
  <c r="F14" i="19"/>
  <c r="D14" i="19"/>
  <c r="AE13" i="19"/>
  <c r="N13" i="19"/>
  <c r="L13" i="19"/>
  <c r="J13" i="19"/>
  <c r="H13" i="19"/>
  <c r="F13" i="19"/>
  <c r="D13" i="19"/>
  <c r="AE12" i="19"/>
  <c r="N12" i="19"/>
  <c r="L12" i="19"/>
  <c r="J12" i="19"/>
  <c r="H12" i="19"/>
  <c r="F12" i="19"/>
  <c r="D12" i="19"/>
  <c r="AE11" i="19"/>
  <c r="P11" i="19"/>
  <c r="N11" i="19"/>
  <c r="L11" i="19"/>
  <c r="J11" i="19"/>
  <c r="H11" i="19"/>
  <c r="F11" i="19"/>
  <c r="D11" i="19"/>
  <c r="AG11" i="19" s="1"/>
  <c r="AE10" i="19"/>
  <c r="P10" i="19"/>
  <c r="N10" i="19"/>
  <c r="L10" i="19"/>
  <c r="J10" i="19"/>
  <c r="H10" i="19"/>
  <c r="F10" i="19"/>
  <c r="D10" i="19"/>
  <c r="AE9" i="19"/>
  <c r="AD9" i="19"/>
  <c r="AB9" i="19"/>
  <c r="Z9" i="19"/>
  <c r="X9" i="19"/>
  <c r="V9" i="19"/>
  <c r="T9" i="19"/>
  <c r="R9" i="19"/>
  <c r="AF9" i="19" s="1"/>
  <c r="P9" i="19"/>
  <c r="N9" i="19"/>
  <c r="L9" i="19"/>
  <c r="J9" i="19"/>
  <c r="H9" i="19"/>
  <c r="F9" i="19"/>
  <c r="D9" i="19"/>
  <c r="AG9" i="19" s="1"/>
  <c r="AE8" i="19"/>
  <c r="AD8" i="19"/>
  <c r="AB8" i="19"/>
  <c r="Z8" i="19"/>
  <c r="X8" i="19"/>
  <c r="V8" i="19"/>
  <c r="T8" i="19"/>
  <c r="R8" i="19"/>
  <c r="P8" i="19"/>
  <c r="N8" i="19"/>
  <c r="L8" i="19"/>
  <c r="J8" i="19"/>
  <c r="H8" i="19"/>
  <c r="AG8" i="19" s="1"/>
  <c r="F8" i="19"/>
  <c r="D8" i="19"/>
  <c r="AE7" i="19"/>
  <c r="AD7" i="19"/>
  <c r="AD19" i="19" s="1"/>
  <c r="AE12" i="53" s="1"/>
  <c r="AB7" i="19"/>
  <c r="Z7" i="19"/>
  <c r="Z19" i="19" s="1"/>
  <c r="AA12" i="53" s="1"/>
  <c r="X7" i="19"/>
  <c r="V7" i="19"/>
  <c r="V19" i="19" s="1"/>
  <c r="W12" i="53" s="1"/>
  <c r="T7" i="19"/>
  <c r="R7" i="19"/>
  <c r="P7" i="19"/>
  <c r="N7" i="19"/>
  <c r="L7" i="19"/>
  <c r="J7" i="19"/>
  <c r="H7" i="19"/>
  <c r="F7" i="19"/>
  <c r="D7" i="19"/>
  <c r="AE6" i="19"/>
  <c r="AD6" i="19"/>
  <c r="AB6" i="19"/>
  <c r="Z6" i="19"/>
  <c r="X6" i="19"/>
  <c r="V6" i="19"/>
  <c r="T6" i="19"/>
  <c r="R6" i="19"/>
  <c r="P6" i="19"/>
  <c r="N6" i="19"/>
  <c r="L6" i="19"/>
  <c r="L19" i="19" s="1"/>
  <c r="M12" i="53" s="1"/>
  <c r="J6" i="19"/>
  <c r="H6" i="19"/>
  <c r="F6" i="19"/>
  <c r="D6" i="19"/>
  <c r="AD19" i="18"/>
  <c r="AE11" i="53" s="1"/>
  <c r="AC19" i="18"/>
  <c r="AD11" i="53" s="1"/>
  <c r="AA19" i="18"/>
  <c r="AB11" i="53" s="1"/>
  <c r="Y19" i="18"/>
  <c r="Z11" i="53" s="1"/>
  <c r="W19" i="18"/>
  <c r="X11" i="53" s="1"/>
  <c r="U19" i="18"/>
  <c r="V11" i="53" s="1"/>
  <c r="S19" i="18"/>
  <c r="T11" i="53" s="1"/>
  <c r="Q19" i="18"/>
  <c r="R11" i="53" s="1"/>
  <c r="P19" i="18"/>
  <c r="Q11" i="53" s="1"/>
  <c r="O19" i="18"/>
  <c r="P11" i="53" s="1"/>
  <c r="N19" i="18"/>
  <c r="O11" i="53" s="1"/>
  <c r="M19" i="18"/>
  <c r="N11" i="53" s="1"/>
  <c r="K19" i="18"/>
  <c r="L11" i="53" s="1"/>
  <c r="I19" i="18"/>
  <c r="G19" i="18"/>
  <c r="H11" i="53" s="1"/>
  <c r="E19" i="18"/>
  <c r="F11" i="53" s="1"/>
  <c r="C19" i="18"/>
  <c r="D11" i="53" s="1"/>
  <c r="AG18" i="18"/>
  <c r="AG17" i="18"/>
  <c r="AG16" i="18"/>
  <c r="AG15" i="18"/>
  <c r="AG14" i="18"/>
  <c r="AG13" i="18"/>
  <c r="AG12" i="18"/>
  <c r="R11" i="18"/>
  <c r="AG11" i="18" s="1"/>
  <c r="P11" i="18"/>
  <c r="AE10" i="18"/>
  <c r="AE19" i="18" s="1"/>
  <c r="R10" i="18"/>
  <c r="P10" i="18"/>
  <c r="N10" i="18"/>
  <c r="J10" i="18"/>
  <c r="H10" i="18"/>
  <c r="F10" i="18"/>
  <c r="D10" i="18"/>
  <c r="AG10" i="18" s="1"/>
  <c r="AE9" i="18"/>
  <c r="AD9" i="18"/>
  <c r="AB9" i="18"/>
  <c r="Z9" i="18"/>
  <c r="X9" i="18"/>
  <c r="V9" i="18"/>
  <c r="T9" i="18"/>
  <c r="R9" i="18"/>
  <c r="P9" i="18"/>
  <c r="N9" i="18"/>
  <c r="L9" i="18"/>
  <c r="J9" i="18"/>
  <c r="H9" i="18"/>
  <c r="AG9" i="18" s="1"/>
  <c r="F9" i="18"/>
  <c r="D9" i="18"/>
  <c r="AE8" i="18"/>
  <c r="AD8" i="18"/>
  <c r="AB8" i="18"/>
  <c r="Z8" i="18"/>
  <c r="X8" i="18"/>
  <c r="V8" i="18"/>
  <c r="V19" i="18" s="1"/>
  <c r="W11" i="53" s="1"/>
  <c r="T8" i="18"/>
  <c r="R8" i="18"/>
  <c r="P8" i="18"/>
  <c r="N8" i="18"/>
  <c r="L8" i="18"/>
  <c r="J8" i="18"/>
  <c r="H8" i="18"/>
  <c r="F8" i="18"/>
  <c r="D8" i="18"/>
  <c r="AE7" i="18"/>
  <c r="AD7" i="18"/>
  <c r="AB7" i="18"/>
  <c r="Z7" i="18"/>
  <c r="X7" i="18"/>
  <c r="X19" i="18" s="1"/>
  <c r="Y11" i="53" s="1"/>
  <c r="V7" i="18"/>
  <c r="T7" i="18"/>
  <c r="T19" i="18" s="1"/>
  <c r="U11" i="53" s="1"/>
  <c r="R7" i="18"/>
  <c r="P7" i="18"/>
  <c r="N7" i="18"/>
  <c r="L7" i="18"/>
  <c r="J7" i="18"/>
  <c r="H7" i="18"/>
  <c r="H19" i="18" s="1"/>
  <c r="I11" i="53" s="1"/>
  <c r="F7" i="18"/>
  <c r="D7" i="18"/>
  <c r="D19" i="18" s="1"/>
  <c r="AE6" i="18"/>
  <c r="AD6" i="18"/>
  <c r="AB6" i="18"/>
  <c r="AB19" i="18" s="1"/>
  <c r="AC11" i="53" s="1"/>
  <c r="Z6" i="18"/>
  <c r="X6" i="18"/>
  <c r="V6" i="18"/>
  <c r="T6" i="18"/>
  <c r="R6" i="18"/>
  <c r="R19" i="18" s="1"/>
  <c r="S11" i="53" s="1"/>
  <c r="P6" i="18"/>
  <c r="N6" i="18"/>
  <c r="L6" i="18"/>
  <c r="L19" i="18" s="1"/>
  <c r="M11" i="53" s="1"/>
  <c r="J6" i="18"/>
  <c r="H6" i="18"/>
  <c r="F6" i="18"/>
  <c r="D6" i="18"/>
  <c r="AG6" i="18" s="1"/>
  <c r="AC19" i="16"/>
  <c r="AD9" i="53" s="1"/>
  <c r="AA19" i="16"/>
  <c r="AB9" i="53" s="1"/>
  <c r="Y19" i="16"/>
  <c r="Z9" i="53" s="1"/>
  <c r="X19" i="16"/>
  <c r="Y9" i="53" s="1"/>
  <c r="W19" i="16"/>
  <c r="X9" i="53" s="1"/>
  <c r="U19" i="16"/>
  <c r="V9" i="53" s="1"/>
  <c r="S19" i="16"/>
  <c r="T9" i="53" s="1"/>
  <c r="Q19" i="16"/>
  <c r="R9" i="53" s="1"/>
  <c r="O19" i="16"/>
  <c r="P9" i="53" s="1"/>
  <c r="M19" i="16"/>
  <c r="N9" i="53" s="1"/>
  <c r="K19" i="16"/>
  <c r="L9" i="53" s="1"/>
  <c r="I19" i="16"/>
  <c r="J9" i="53" s="1"/>
  <c r="H19" i="16"/>
  <c r="I9" i="53" s="1"/>
  <c r="G19" i="16"/>
  <c r="H9" i="53" s="1"/>
  <c r="E19" i="16"/>
  <c r="C19" i="16"/>
  <c r="D9" i="53" s="1"/>
  <c r="AG18" i="16"/>
  <c r="AG17" i="16"/>
  <c r="AG16" i="16"/>
  <c r="AG15" i="16"/>
  <c r="AE14" i="16"/>
  <c r="F14" i="16"/>
  <c r="AG14" i="16" s="1"/>
  <c r="AE13" i="16"/>
  <c r="V13" i="16"/>
  <c r="L13" i="16"/>
  <c r="F13" i="16"/>
  <c r="AE12" i="16"/>
  <c r="V12" i="16"/>
  <c r="L12" i="16"/>
  <c r="F12" i="16"/>
  <c r="D12" i="16"/>
  <c r="AE11" i="16"/>
  <c r="V11" i="16"/>
  <c r="T11" i="16"/>
  <c r="L11" i="16"/>
  <c r="F11" i="16"/>
  <c r="D11" i="16"/>
  <c r="AE10" i="16"/>
  <c r="V10" i="16"/>
  <c r="T10" i="16"/>
  <c r="L10" i="16"/>
  <c r="J10" i="16"/>
  <c r="F10" i="16"/>
  <c r="AF10" i="16" s="1"/>
  <c r="D10" i="16"/>
  <c r="AE9" i="16"/>
  <c r="AD9" i="16"/>
  <c r="Z9" i="16"/>
  <c r="V9" i="16"/>
  <c r="T9" i="16"/>
  <c r="L9" i="16"/>
  <c r="J9" i="16"/>
  <c r="F9" i="16"/>
  <c r="D9" i="16"/>
  <c r="AG9" i="16" s="1"/>
  <c r="AE8" i="16"/>
  <c r="AD8" i="16"/>
  <c r="AB8" i="16"/>
  <c r="Z8" i="16"/>
  <c r="X8" i="16"/>
  <c r="V8" i="16"/>
  <c r="T8" i="16"/>
  <c r="R8" i="16"/>
  <c r="P8" i="16"/>
  <c r="N8" i="16"/>
  <c r="AF8" i="16" s="1"/>
  <c r="L8" i="16"/>
  <c r="J8" i="16"/>
  <c r="H8" i="16"/>
  <c r="F8" i="16"/>
  <c r="D8" i="16"/>
  <c r="AG8" i="16" s="1"/>
  <c r="AE7" i="16"/>
  <c r="AE19" i="16" s="1"/>
  <c r="AD7" i="16"/>
  <c r="AB7" i="16"/>
  <c r="Z7" i="16"/>
  <c r="X7" i="16"/>
  <c r="V7" i="16"/>
  <c r="T7" i="16"/>
  <c r="R7" i="16"/>
  <c r="P7" i="16"/>
  <c r="AF7" i="16" s="1"/>
  <c r="N7" i="16"/>
  <c r="L7" i="16"/>
  <c r="J7" i="16"/>
  <c r="H7" i="16"/>
  <c r="F7" i="16"/>
  <c r="D7" i="16"/>
  <c r="AG7" i="16" s="1"/>
  <c r="AE6" i="16"/>
  <c r="AD6" i="16"/>
  <c r="AB6" i="16"/>
  <c r="AB19" i="16" s="1"/>
  <c r="AC9" i="53" s="1"/>
  <c r="Z6" i="16"/>
  <c r="Z19" i="16" s="1"/>
  <c r="AA9" i="53" s="1"/>
  <c r="X6" i="16"/>
  <c r="V6" i="16"/>
  <c r="T6" i="16"/>
  <c r="T19" i="16" s="1"/>
  <c r="U9" i="53" s="1"/>
  <c r="R6" i="16"/>
  <c r="R19" i="16" s="1"/>
  <c r="S9" i="53" s="1"/>
  <c r="P6" i="16"/>
  <c r="N6" i="16"/>
  <c r="L6" i="16"/>
  <c r="L19" i="16" s="1"/>
  <c r="M9" i="53" s="1"/>
  <c r="J6" i="16"/>
  <c r="J19" i="16" s="1"/>
  <c r="K9" i="53" s="1"/>
  <c r="H6" i="16"/>
  <c r="F6" i="16"/>
  <c r="D6" i="16"/>
  <c r="AC19" i="15"/>
  <c r="AD8" i="53" s="1"/>
  <c r="AA19" i="15"/>
  <c r="AB8" i="53" s="1"/>
  <c r="Y19" i="15"/>
  <c r="Z8" i="53" s="1"/>
  <c r="W19" i="15"/>
  <c r="X8" i="53" s="1"/>
  <c r="U19" i="15"/>
  <c r="V8" i="53" s="1"/>
  <c r="S19" i="15"/>
  <c r="T8" i="53" s="1"/>
  <c r="Q19" i="15"/>
  <c r="R8" i="53" s="1"/>
  <c r="O19" i="15"/>
  <c r="P8" i="53" s="1"/>
  <c r="M19" i="15"/>
  <c r="N8" i="53" s="1"/>
  <c r="K19" i="15"/>
  <c r="L8" i="53" s="1"/>
  <c r="I19" i="15"/>
  <c r="J8" i="53" s="1"/>
  <c r="G19" i="15"/>
  <c r="H8" i="53" s="1"/>
  <c r="E19" i="15"/>
  <c r="F8" i="53" s="1"/>
  <c r="C19" i="15"/>
  <c r="D8" i="53" s="1"/>
  <c r="AG18" i="15"/>
  <c r="AG17" i="15"/>
  <c r="AG16" i="15"/>
  <c r="AG15" i="15"/>
  <c r="L14" i="15"/>
  <c r="AG14" i="15" s="1"/>
  <c r="AG13" i="15"/>
  <c r="AF13" i="15"/>
  <c r="AE13" i="15"/>
  <c r="L13" i="15"/>
  <c r="AE12" i="15"/>
  <c r="AB12" i="15"/>
  <c r="R12" i="15"/>
  <c r="L12" i="15"/>
  <c r="AE11" i="15"/>
  <c r="AB11" i="15"/>
  <c r="T11" i="15"/>
  <c r="R11" i="15"/>
  <c r="L11" i="15"/>
  <c r="AE10" i="15"/>
  <c r="AB10" i="15"/>
  <c r="T10" i="15"/>
  <c r="R10" i="15"/>
  <c r="L10" i="15"/>
  <c r="D10" i="15"/>
  <c r="AF10" i="15" s="1"/>
  <c r="AE9" i="15"/>
  <c r="AD9" i="15"/>
  <c r="AB9" i="15"/>
  <c r="Z9" i="15"/>
  <c r="X9" i="15"/>
  <c r="V9" i="15"/>
  <c r="T9" i="15"/>
  <c r="T19" i="15" s="1"/>
  <c r="U8" i="53" s="1"/>
  <c r="R9" i="15"/>
  <c r="P9" i="15"/>
  <c r="N9" i="15"/>
  <c r="L9" i="15"/>
  <c r="J9" i="15"/>
  <c r="H9" i="15"/>
  <c r="F9" i="15"/>
  <c r="D9" i="15"/>
  <c r="AG9" i="15" s="1"/>
  <c r="AE8" i="15"/>
  <c r="AD8" i="15"/>
  <c r="AB8" i="15"/>
  <c r="Z8" i="15"/>
  <c r="X8" i="15"/>
  <c r="V8" i="15"/>
  <c r="T8" i="15"/>
  <c r="R8" i="15"/>
  <c r="P8" i="15"/>
  <c r="N8" i="15"/>
  <c r="L8" i="15"/>
  <c r="J8" i="15"/>
  <c r="H8" i="15"/>
  <c r="F8" i="15"/>
  <c r="D8" i="15"/>
  <c r="AE7" i="15"/>
  <c r="AE19" i="15" s="1"/>
  <c r="AD7" i="15"/>
  <c r="AB7" i="15"/>
  <c r="Z7" i="15"/>
  <c r="X7" i="15"/>
  <c r="V7" i="15"/>
  <c r="T7" i="15"/>
  <c r="R7" i="15"/>
  <c r="P7" i="15"/>
  <c r="P19" i="15" s="1"/>
  <c r="Q8" i="53" s="1"/>
  <c r="N7" i="15"/>
  <c r="L7" i="15"/>
  <c r="J7" i="15"/>
  <c r="H7" i="15"/>
  <c r="F7" i="15"/>
  <c r="D7" i="15"/>
  <c r="AE6" i="15"/>
  <c r="AD6" i="15"/>
  <c r="AD19" i="15" s="1"/>
  <c r="AE8" i="53" s="1"/>
  <c r="AB6" i="15"/>
  <c r="AB19" i="15" s="1"/>
  <c r="AC8" i="53" s="1"/>
  <c r="Z6" i="15"/>
  <c r="Z19" i="15" s="1"/>
  <c r="AA8" i="53" s="1"/>
  <c r="X6" i="15"/>
  <c r="V6" i="15"/>
  <c r="V19" i="15" s="1"/>
  <c r="W8" i="53" s="1"/>
  <c r="T6" i="15"/>
  <c r="R6" i="15"/>
  <c r="P6" i="15"/>
  <c r="N6" i="15"/>
  <c r="N19" i="15" s="1"/>
  <c r="O8" i="53" s="1"/>
  <c r="L6" i="15"/>
  <c r="L19" i="15" s="1"/>
  <c r="M8" i="53" s="1"/>
  <c r="J6" i="15"/>
  <c r="H6" i="15"/>
  <c r="F6" i="15"/>
  <c r="F19" i="15" s="1"/>
  <c r="G8" i="53" s="1"/>
  <c r="D6" i="15"/>
  <c r="AE19" i="14"/>
  <c r="AC19" i="14"/>
  <c r="AD7" i="53" s="1"/>
  <c r="AA19" i="14"/>
  <c r="AB7" i="53" s="1"/>
  <c r="Y19" i="14"/>
  <c r="Z7" i="53" s="1"/>
  <c r="X19" i="14"/>
  <c r="Y7" i="53" s="1"/>
  <c r="W19" i="14"/>
  <c r="X7" i="53" s="1"/>
  <c r="U19" i="14"/>
  <c r="V7" i="53" s="1"/>
  <c r="S19" i="14"/>
  <c r="T7" i="53" s="1"/>
  <c r="Q19" i="14"/>
  <c r="R7" i="53" s="1"/>
  <c r="P19" i="14"/>
  <c r="Q7" i="53" s="1"/>
  <c r="O19" i="14"/>
  <c r="P7" i="53" s="1"/>
  <c r="M19" i="14"/>
  <c r="N7" i="53" s="1"/>
  <c r="K19" i="14"/>
  <c r="L7" i="53" s="1"/>
  <c r="I19" i="14"/>
  <c r="J7" i="53" s="1"/>
  <c r="H19" i="14"/>
  <c r="I7" i="53" s="1"/>
  <c r="G19" i="14"/>
  <c r="H7" i="53" s="1"/>
  <c r="E19" i="14"/>
  <c r="F7" i="53" s="1"/>
  <c r="C19" i="14"/>
  <c r="AG18" i="14"/>
  <c r="AG17" i="14"/>
  <c r="AG16" i="14"/>
  <c r="AG15" i="14"/>
  <c r="AG14" i="14"/>
  <c r="AG13" i="14"/>
  <c r="AG12" i="14"/>
  <c r="AG11" i="14"/>
  <c r="AG10" i="14"/>
  <c r="AG9" i="14"/>
  <c r="AF9" i="14"/>
  <c r="AE9" i="14"/>
  <c r="AD9" i="14"/>
  <c r="AB9" i="14"/>
  <c r="AE8" i="14"/>
  <c r="AD8" i="14"/>
  <c r="AB8" i="14"/>
  <c r="Z8" i="14"/>
  <c r="X8" i="14"/>
  <c r="V8" i="14"/>
  <c r="T8" i="14"/>
  <c r="R8" i="14"/>
  <c r="P8" i="14"/>
  <c r="N8" i="14"/>
  <c r="L8" i="14"/>
  <c r="J8" i="14"/>
  <c r="H8" i="14"/>
  <c r="F8" i="14"/>
  <c r="D8" i="14"/>
  <c r="AE7" i="14"/>
  <c r="AD7" i="14"/>
  <c r="AB7" i="14"/>
  <c r="Z7" i="14"/>
  <c r="X7" i="14"/>
  <c r="V7" i="14"/>
  <c r="T7" i="14"/>
  <c r="T19" i="14" s="1"/>
  <c r="U7" i="53" s="1"/>
  <c r="R7" i="14"/>
  <c r="P7" i="14"/>
  <c r="N7" i="14"/>
  <c r="L7" i="14"/>
  <c r="J7" i="14"/>
  <c r="H7" i="14"/>
  <c r="F7" i="14"/>
  <c r="D7" i="14"/>
  <c r="D19" i="14" s="1"/>
  <c r="E7" i="53" s="1"/>
  <c r="AE6" i="14"/>
  <c r="AD6" i="14"/>
  <c r="AD19" i="14" s="1"/>
  <c r="AE7" i="53" s="1"/>
  <c r="AB6" i="14"/>
  <c r="Z6" i="14"/>
  <c r="Z19" i="14" s="1"/>
  <c r="AA7" i="53" s="1"/>
  <c r="X6" i="14"/>
  <c r="V6" i="14"/>
  <c r="V19" i="14" s="1"/>
  <c r="W7" i="53" s="1"/>
  <c r="T6" i="14"/>
  <c r="R6" i="14"/>
  <c r="R19" i="14" s="1"/>
  <c r="S7" i="53" s="1"/>
  <c r="P6" i="14"/>
  <c r="N6" i="14"/>
  <c r="L6" i="14"/>
  <c r="J6" i="14"/>
  <c r="J19" i="14" s="1"/>
  <c r="K7" i="53" s="1"/>
  <c r="H6" i="14"/>
  <c r="F6" i="14"/>
  <c r="F19" i="14" s="1"/>
  <c r="G7" i="53" s="1"/>
  <c r="D6" i="14"/>
  <c r="AE22" i="13"/>
  <c r="AC22" i="13"/>
  <c r="AD6" i="53" s="1"/>
  <c r="AA22" i="13"/>
  <c r="AB6" i="53" s="1"/>
  <c r="Y22" i="13"/>
  <c r="Z6" i="53" s="1"/>
  <c r="W22" i="13"/>
  <c r="X6" i="53" s="1"/>
  <c r="U22" i="13"/>
  <c r="V6" i="53" s="1"/>
  <c r="S22" i="13"/>
  <c r="T6" i="53" s="1"/>
  <c r="Q22" i="13"/>
  <c r="R6" i="53" s="1"/>
  <c r="O22" i="13"/>
  <c r="P6" i="53" s="1"/>
  <c r="M22" i="13"/>
  <c r="N6" i="53" s="1"/>
  <c r="K22" i="13"/>
  <c r="L6" i="53" s="1"/>
  <c r="I22" i="13"/>
  <c r="J6" i="53" s="1"/>
  <c r="G22" i="13"/>
  <c r="H6" i="53" s="1"/>
  <c r="E22" i="13"/>
  <c r="F6" i="53" s="1"/>
  <c r="C22" i="13"/>
  <c r="D6" i="53" s="1"/>
  <c r="AI21" i="13"/>
  <c r="AI20" i="13"/>
  <c r="AI19" i="13"/>
  <c r="AI18" i="13"/>
  <c r="AI17" i="13"/>
  <c r="AH17" i="13"/>
  <c r="AG17" i="13"/>
  <c r="AG16" i="13"/>
  <c r="AF16" i="13"/>
  <c r="AD16" i="13"/>
  <c r="AB16" i="13"/>
  <c r="Z16" i="13"/>
  <c r="X16" i="13"/>
  <c r="V16" i="13"/>
  <c r="T16" i="13"/>
  <c r="R16" i="13"/>
  <c r="P16" i="13"/>
  <c r="N16" i="13"/>
  <c r="L16" i="13"/>
  <c r="J16" i="13"/>
  <c r="H16" i="13"/>
  <c r="F16" i="13"/>
  <c r="D16" i="13"/>
  <c r="AG15" i="13"/>
  <c r="AF15" i="13"/>
  <c r="AD15" i="13"/>
  <c r="AB15" i="13"/>
  <c r="Z15" i="13"/>
  <c r="X15" i="13"/>
  <c r="V15" i="13"/>
  <c r="T15" i="13"/>
  <c r="R15" i="13"/>
  <c r="P15" i="13"/>
  <c r="N15" i="13"/>
  <c r="L15" i="13"/>
  <c r="J15" i="13"/>
  <c r="H15" i="13"/>
  <c r="F15" i="13"/>
  <c r="D15" i="13"/>
  <c r="AG14" i="13"/>
  <c r="AF14" i="13"/>
  <c r="AD14" i="13"/>
  <c r="AB14" i="13"/>
  <c r="Z14" i="13"/>
  <c r="X14" i="13"/>
  <c r="V14" i="13"/>
  <c r="T14" i="13"/>
  <c r="R14" i="13"/>
  <c r="P14" i="13"/>
  <c r="N14" i="13"/>
  <c r="L14" i="13"/>
  <c r="J14" i="13"/>
  <c r="H14" i="13"/>
  <c r="F14" i="13"/>
  <c r="AI14" i="13" s="1"/>
  <c r="D14" i="13"/>
  <c r="AG13" i="13"/>
  <c r="AF13" i="13"/>
  <c r="AD13" i="13"/>
  <c r="AB13" i="13"/>
  <c r="Z13" i="13"/>
  <c r="X13" i="13"/>
  <c r="V13" i="13"/>
  <c r="T13" i="13"/>
  <c r="R13" i="13"/>
  <c r="P13" i="13"/>
  <c r="N13" i="13"/>
  <c r="L13" i="13"/>
  <c r="J13" i="13"/>
  <c r="H13" i="13"/>
  <c r="F13" i="13"/>
  <c r="D13" i="13"/>
  <c r="AI13" i="13" s="1"/>
  <c r="AG12" i="13"/>
  <c r="AF12" i="13"/>
  <c r="AD12" i="13"/>
  <c r="AB12" i="13"/>
  <c r="Z12" i="13"/>
  <c r="X12" i="13"/>
  <c r="V12" i="13"/>
  <c r="T12" i="13"/>
  <c r="R12" i="13"/>
  <c r="P12" i="13"/>
  <c r="N12" i="13"/>
  <c r="L12" i="13"/>
  <c r="J12" i="13"/>
  <c r="H12" i="13"/>
  <c r="F12" i="13"/>
  <c r="AI12" i="13" s="1"/>
  <c r="D12" i="13"/>
  <c r="AG11" i="13"/>
  <c r="AF11" i="13"/>
  <c r="AD11" i="13"/>
  <c r="AB11" i="13"/>
  <c r="Z11" i="13"/>
  <c r="X11" i="13"/>
  <c r="V11" i="13"/>
  <c r="T11" i="13"/>
  <c r="R11" i="13"/>
  <c r="P11" i="13"/>
  <c r="N11" i="13"/>
  <c r="L11" i="13"/>
  <c r="J11" i="13"/>
  <c r="H11" i="13"/>
  <c r="F11" i="13"/>
  <c r="D11" i="13"/>
  <c r="AG10" i="13"/>
  <c r="AF10" i="13"/>
  <c r="AD10" i="13"/>
  <c r="AB10" i="13"/>
  <c r="Z10" i="13"/>
  <c r="X10" i="13"/>
  <c r="V10" i="13"/>
  <c r="T10" i="13"/>
  <c r="R10" i="13"/>
  <c r="P10" i="13"/>
  <c r="N10" i="13"/>
  <c r="L10" i="13"/>
  <c r="J10" i="13"/>
  <c r="H10" i="13"/>
  <c r="F10" i="13"/>
  <c r="D10" i="13"/>
  <c r="AG9" i="13"/>
  <c r="AF9" i="13"/>
  <c r="AD9" i="13"/>
  <c r="AB9" i="13"/>
  <c r="Z9" i="13"/>
  <c r="X9" i="13"/>
  <c r="V9" i="13"/>
  <c r="T9" i="13"/>
  <c r="T22" i="13" s="1"/>
  <c r="U6" i="53" s="1"/>
  <c r="R9" i="13"/>
  <c r="P9" i="13"/>
  <c r="N9" i="13"/>
  <c r="L9" i="13"/>
  <c r="J9" i="13"/>
  <c r="H9" i="13"/>
  <c r="F9" i="13"/>
  <c r="D9" i="13"/>
  <c r="AI8" i="13"/>
  <c r="AG8" i="13"/>
  <c r="AF8" i="13"/>
  <c r="AD8" i="13"/>
  <c r="AB8" i="13"/>
  <c r="Z8" i="13"/>
  <c r="X8" i="13"/>
  <c r="V8" i="13"/>
  <c r="T8" i="13"/>
  <c r="R8" i="13"/>
  <c r="P8" i="13"/>
  <c r="N8" i="13"/>
  <c r="L8" i="13"/>
  <c r="J8" i="13"/>
  <c r="H8" i="13"/>
  <c r="F8" i="13"/>
  <c r="D8" i="13"/>
  <c r="AH8" i="13" s="1"/>
  <c r="AG7" i="13"/>
  <c r="AF7" i="13"/>
  <c r="AD7" i="13"/>
  <c r="AB7" i="13"/>
  <c r="AB22" i="13" s="1"/>
  <c r="AC6" i="53" s="1"/>
  <c r="Z7" i="13"/>
  <c r="X7" i="13"/>
  <c r="V7" i="13"/>
  <c r="T7" i="13"/>
  <c r="R7" i="13"/>
  <c r="P7" i="13"/>
  <c r="N7" i="13"/>
  <c r="L7" i="13"/>
  <c r="L22" i="13" s="1"/>
  <c r="M6" i="53" s="1"/>
  <c r="J7" i="13"/>
  <c r="H7" i="13"/>
  <c r="F7" i="13"/>
  <c r="AI7" i="13" s="1"/>
  <c r="D7" i="13"/>
  <c r="AH7" i="13" s="1"/>
  <c r="AG6" i="13"/>
  <c r="AF6" i="13"/>
  <c r="AD6" i="13"/>
  <c r="AB6" i="13"/>
  <c r="Z6" i="13"/>
  <c r="X6" i="13"/>
  <c r="V6" i="13"/>
  <c r="V22" i="13" s="1"/>
  <c r="W6" i="53" s="1"/>
  <c r="T6" i="13"/>
  <c r="R6" i="13"/>
  <c r="P6" i="13"/>
  <c r="N6" i="13"/>
  <c r="L6" i="13"/>
  <c r="J6" i="13"/>
  <c r="H6" i="13"/>
  <c r="F6" i="13"/>
  <c r="AI6" i="13" s="1"/>
  <c r="D6" i="13"/>
  <c r="AH6" i="13" s="1"/>
  <c r="AC21" i="26"/>
  <c r="AD19" i="53" s="1"/>
  <c r="AA21" i="26"/>
  <c r="AB19" i="53" s="1"/>
  <c r="Y21" i="26"/>
  <c r="Z19" i="53" s="1"/>
  <c r="W21" i="26"/>
  <c r="X19" i="53" s="1"/>
  <c r="U21" i="26"/>
  <c r="V19" i="53" s="1"/>
  <c r="S21" i="26"/>
  <c r="T19" i="53" s="1"/>
  <c r="Q21" i="26"/>
  <c r="R19" i="53" s="1"/>
  <c r="O21" i="26"/>
  <c r="P19" i="53" s="1"/>
  <c r="M21" i="26"/>
  <c r="N19" i="53" s="1"/>
  <c r="K21" i="26"/>
  <c r="L19" i="53" s="1"/>
  <c r="I21" i="26"/>
  <c r="J19" i="53" s="1"/>
  <c r="G21" i="26"/>
  <c r="H19" i="53" s="1"/>
  <c r="E21" i="26"/>
  <c r="F19" i="53" s="1"/>
  <c r="AG20" i="26"/>
  <c r="AG19" i="26"/>
  <c r="J18" i="26"/>
  <c r="AG18" i="26" s="1"/>
  <c r="J17" i="26"/>
  <c r="AG17" i="26" s="1"/>
  <c r="AF16" i="26"/>
  <c r="AE16" i="26"/>
  <c r="T16" i="26"/>
  <c r="N16" i="26"/>
  <c r="L16" i="26"/>
  <c r="J16" i="26"/>
  <c r="F16" i="26"/>
  <c r="D16" i="26"/>
  <c r="AG16" i="26" s="1"/>
  <c r="AE15" i="26"/>
  <c r="T15" i="26"/>
  <c r="N15" i="26"/>
  <c r="L15" i="26"/>
  <c r="J15" i="26"/>
  <c r="F15" i="26"/>
  <c r="D15" i="26"/>
  <c r="AF15" i="26" s="1"/>
  <c r="AE14" i="26"/>
  <c r="T14" i="26"/>
  <c r="N14" i="26"/>
  <c r="L14" i="26"/>
  <c r="J14" i="26"/>
  <c r="F14" i="26"/>
  <c r="AF14" i="26" s="1"/>
  <c r="D14" i="26"/>
  <c r="AG14" i="26" s="1"/>
  <c r="AE13" i="26"/>
  <c r="T13" i="26"/>
  <c r="N13" i="26"/>
  <c r="L13" i="26"/>
  <c r="J13" i="26"/>
  <c r="J21" i="26" s="1"/>
  <c r="K19" i="53" s="1"/>
  <c r="F13" i="26"/>
  <c r="D13" i="26"/>
  <c r="AE12" i="26"/>
  <c r="AD12" i="26"/>
  <c r="AB12" i="26"/>
  <c r="Z12" i="26"/>
  <c r="X12" i="26"/>
  <c r="V12" i="26"/>
  <c r="T12" i="26"/>
  <c r="R12" i="26"/>
  <c r="P12" i="26"/>
  <c r="N12" i="26"/>
  <c r="L12" i="26"/>
  <c r="J12" i="26"/>
  <c r="H12" i="26"/>
  <c r="F12" i="26"/>
  <c r="AF12" i="26" s="1"/>
  <c r="D12" i="26"/>
  <c r="AE11" i="26"/>
  <c r="AD11" i="26"/>
  <c r="AB11" i="26"/>
  <c r="Z11" i="26"/>
  <c r="X11" i="26"/>
  <c r="V11" i="26"/>
  <c r="T11" i="26"/>
  <c r="R11" i="26"/>
  <c r="P11" i="26"/>
  <c r="N11" i="26"/>
  <c r="L11" i="26"/>
  <c r="J11" i="26"/>
  <c r="H11" i="26"/>
  <c r="F11" i="26"/>
  <c r="D11" i="26"/>
  <c r="AG11" i="26" s="1"/>
  <c r="AE10" i="26"/>
  <c r="AD10" i="26"/>
  <c r="AB10" i="26"/>
  <c r="Z10" i="26"/>
  <c r="Z21" i="26" s="1"/>
  <c r="AA19" i="53" s="1"/>
  <c r="X10" i="26"/>
  <c r="V10" i="26"/>
  <c r="T10" i="26"/>
  <c r="R10" i="26"/>
  <c r="P10" i="26"/>
  <c r="N10" i="26"/>
  <c r="L10" i="26"/>
  <c r="J10" i="26"/>
  <c r="H10" i="26"/>
  <c r="F10" i="26"/>
  <c r="D10" i="26"/>
  <c r="AG10" i="26" s="1"/>
  <c r="AE9" i="26"/>
  <c r="AD9" i="26"/>
  <c r="AB9" i="26"/>
  <c r="Z9" i="26"/>
  <c r="X9" i="26"/>
  <c r="V9" i="26"/>
  <c r="T9" i="26"/>
  <c r="R9" i="26"/>
  <c r="P9" i="26"/>
  <c r="N9" i="26"/>
  <c r="L9" i="26"/>
  <c r="J9" i="26"/>
  <c r="H9" i="26"/>
  <c r="F9" i="26"/>
  <c r="D9" i="26"/>
  <c r="AE8" i="26"/>
  <c r="AD8" i="26"/>
  <c r="AD21" i="26" s="1"/>
  <c r="AE19" i="53" s="1"/>
  <c r="AB8" i="26"/>
  <c r="Z8" i="26"/>
  <c r="X8" i="26"/>
  <c r="V8" i="26"/>
  <c r="T8" i="26"/>
  <c r="R8" i="26"/>
  <c r="P8" i="26"/>
  <c r="N8" i="26"/>
  <c r="L8" i="26"/>
  <c r="J8" i="26"/>
  <c r="H8" i="26"/>
  <c r="F8" i="26"/>
  <c r="D8" i="26"/>
  <c r="AG7" i="26"/>
  <c r="AF7" i="26"/>
  <c r="AE7" i="26"/>
  <c r="AD7" i="26"/>
  <c r="AB7" i="26"/>
  <c r="Z7" i="26"/>
  <c r="X7" i="26"/>
  <c r="V7" i="26"/>
  <c r="AE6" i="26"/>
  <c r="AD6" i="26"/>
  <c r="AB6" i="26"/>
  <c r="AB21" i="26" s="1"/>
  <c r="AC19" i="53" s="1"/>
  <c r="Z6" i="26"/>
  <c r="X6" i="26"/>
  <c r="V6" i="26"/>
  <c r="T6" i="26"/>
  <c r="T21" i="26" s="1"/>
  <c r="U19" i="53" s="1"/>
  <c r="R6" i="26"/>
  <c r="R21" i="26" s="1"/>
  <c r="S19" i="53" s="1"/>
  <c r="P6" i="26"/>
  <c r="N6" i="26"/>
  <c r="L6" i="26"/>
  <c r="L21" i="26" s="1"/>
  <c r="M19" i="53" s="1"/>
  <c r="J6" i="26"/>
  <c r="H6" i="26"/>
  <c r="F6" i="26"/>
  <c r="C6" i="26"/>
  <c r="AJ28" i="28"/>
  <c r="AE27" i="28"/>
  <c r="AC27" i="28"/>
  <c r="AA27" i="28"/>
  <c r="Y27" i="28"/>
  <c r="W27" i="28"/>
  <c r="U27" i="28"/>
  <c r="S27" i="28"/>
  <c r="Q27" i="28"/>
  <c r="O27" i="28"/>
  <c r="M27" i="28"/>
  <c r="K27" i="28"/>
  <c r="I27" i="28"/>
  <c r="G27" i="28"/>
  <c r="E27" i="28"/>
  <c r="C27" i="28"/>
  <c r="AJ26" i="28"/>
  <c r="AI26" i="28"/>
  <c r="AI25" i="28"/>
  <c r="AH25" i="28"/>
  <c r="AG25" i="28"/>
  <c r="H25" i="28"/>
  <c r="AG24" i="28"/>
  <c r="L24" i="28"/>
  <c r="J24" i="28"/>
  <c r="H24" i="28"/>
  <c r="AG23" i="28"/>
  <c r="L23" i="28"/>
  <c r="J23" i="28"/>
  <c r="H23" i="28"/>
  <c r="F23" i="28"/>
  <c r="D23" i="28"/>
  <c r="AG22" i="28"/>
  <c r="T22" i="28"/>
  <c r="L22" i="28"/>
  <c r="J22" i="28"/>
  <c r="H22" i="28"/>
  <c r="F22" i="28"/>
  <c r="D22" i="28"/>
  <c r="AG21" i="28"/>
  <c r="V21" i="28"/>
  <c r="T21" i="28"/>
  <c r="L21" i="28"/>
  <c r="J21" i="28"/>
  <c r="H21" i="28"/>
  <c r="F21" i="28"/>
  <c r="D21" i="28"/>
  <c r="AG20" i="28"/>
  <c r="AF20" i="28"/>
  <c r="AF27" i="28" s="1"/>
  <c r="AD20" i="28"/>
  <c r="AB20" i="28"/>
  <c r="Z20" i="28"/>
  <c r="X20" i="28"/>
  <c r="V20" i="28"/>
  <c r="T20" i="28"/>
  <c r="R20" i="28"/>
  <c r="P20" i="28"/>
  <c r="N20" i="28"/>
  <c r="L20" i="28"/>
  <c r="J20" i="28"/>
  <c r="H20" i="28"/>
  <c r="F20" i="28"/>
  <c r="D20" i="28"/>
  <c r="AG19" i="28"/>
  <c r="AF19" i="28"/>
  <c r="AD19" i="28"/>
  <c r="AB19" i="28"/>
  <c r="Z19" i="28"/>
  <c r="X19" i="28"/>
  <c r="V19" i="28"/>
  <c r="T19" i="28"/>
  <c r="R19" i="28"/>
  <c r="P19" i="28"/>
  <c r="N19" i="28"/>
  <c r="L19" i="28"/>
  <c r="J19" i="28"/>
  <c r="H19" i="28"/>
  <c r="F19" i="28"/>
  <c r="D19" i="28"/>
  <c r="AI18" i="28"/>
  <c r="AG18" i="28"/>
  <c r="AF18" i="28"/>
  <c r="AD18" i="28"/>
  <c r="AB18" i="28"/>
  <c r="Z18" i="28"/>
  <c r="X18" i="28"/>
  <c r="V18" i="28"/>
  <c r="T18" i="28"/>
  <c r="R18" i="28"/>
  <c r="P18" i="28"/>
  <c r="N18" i="28"/>
  <c r="L18" i="28"/>
  <c r="J18" i="28"/>
  <c r="H18" i="28"/>
  <c r="F18" i="28"/>
  <c r="D18" i="28"/>
  <c r="AH18" i="28" s="1"/>
  <c r="AG17" i="28"/>
  <c r="AF17" i="28"/>
  <c r="AD17" i="28"/>
  <c r="AB17" i="28"/>
  <c r="Z17" i="28"/>
  <c r="X17" i="28"/>
  <c r="V17" i="28"/>
  <c r="T17" i="28"/>
  <c r="R17" i="28"/>
  <c r="P17" i="28"/>
  <c r="N17" i="28"/>
  <c r="L17" i="28"/>
  <c r="J17" i="28"/>
  <c r="H17" i="28"/>
  <c r="F17" i="28"/>
  <c r="AI17" i="28" s="1"/>
  <c r="D17" i="28"/>
  <c r="AH17" i="28" s="1"/>
  <c r="AG16" i="28"/>
  <c r="AF16" i="28"/>
  <c r="AD16" i="28"/>
  <c r="AB16" i="28"/>
  <c r="Z16" i="28"/>
  <c r="X16" i="28"/>
  <c r="V16" i="28"/>
  <c r="T16" i="28"/>
  <c r="R16" i="28"/>
  <c r="P16" i="28"/>
  <c r="N16" i="28"/>
  <c r="L16" i="28"/>
  <c r="J16" i="28"/>
  <c r="H16" i="28"/>
  <c r="F16" i="28"/>
  <c r="D16" i="28"/>
  <c r="AI15" i="28"/>
  <c r="AG15" i="28"/>
  <c r="AF15" i="28"/>
  <c r="AD15" i="28"/>
  <c r="AB15" i="28"/>
  <c r="Z15" i="28"/>
  <c r="X15" i="28"/>
  <c r="V15" i="28"/>
  <c r="T15" i="28"/>
  <c r="R15" i="28"/>
  <c r="P15" i="28"/>
  <c r="N15" i="28"/>
  <c r="L15" i="28"/>
  <c r="J15" i="28"/>
  <c r="H15" i="28"/>
  <c r="F15" i="28"/>
  <c r="D15" i="28"/>
  <c r="AH15" i="28" s="1"/>
  <c r="AG14" i="28"/>
  <c r="AF14" i="28"/>
  <c r="AD14" i="28"/>
  <c r="AB14" i="28"/>
  <c r="Z14" i="28"/>
  <c r="X14" i="28"/>
  <c r="V14" i="28"/>
  <c r="T14" i="28"/>
  <c r="R14" i="28"/>
  <c r="P14" i="28"/>
  <c r="N14" i="28"/>
  <c r="L14" i="28"/>
  <c r="J14" i="28"/>
  <c r="H14" i="28"/>
  <c r="F14" i="28"/>
  <c r="D14" i="28"/>
  <c r="AG13" i="28"/>
  <c r="AF13" i="28"/>
  <c r="AD13" i="28"/>
  <c r="AB13" i="28"/>
  <c r="Z13" i="28"/>
  <c r="X13" i="28"/>
  <c r="V13" i="28"/>
  <c r="T13" i="28"/>
  <c r="R13" i="28"/>
  <c r="P13" i="28"/>
  <c r="N13" i="28"/>
  <c r="L13" i="28"/>
  <c r="J13" i="28"/>
  <c r="H13" i="28"/>
  <c r="F13" i="28"/>
  <c r="D13" i="28"/>
  <c r="AG12" i="28"/>
  <c r="AF12" i="28"/>
  <c r="AD12" i="28"/>
  <c r="AB12" i="28"/>
  <c r="Z12" i="28"/>
  <c r="X12" i="28"/>
  <c r="V12" i="28"/>
  <c r="T12" i="28"/>
  <c r="R12" i="28"/>
  <c r="P12" i="28"/>
  <c r="P27" i="28" s="1"/>
  <c r="N12" i="28"/>
  <c r="L12" i="28"/>
  <c r="J12" i="28"/>
  <c r="H12" i="28"/>
  <c r="F12" i="28"/>
  <c r="D12" i="28"/>
  <c r="AH12" i="28" s="1"/>
  <c r="AG11" i="28"/>
  <c r="AF11" i="28"/>
  <c r="AD11" i="28"/>
  <c r="AB11" i="28"/>
  <c r="Z11" i="28"/>
  <c r="X11" i="28"/>
  <c r="V11" i="28"/>
  <c r="T11" i="28"/>
  <c r="R11" i="28"/>
  <c r="P11" i="28"/>
  <c r="N11" i="28"/>
  <c r="L11" i="28"/>
  <c r="J11" i="28"/>
  <c r="H11" i="28"/>
  <c r="F11" i="28"/>
  <c r="AI11" i="28" s="1"/>
  <c r="D11" i="28"/>
  <c r="AH11" i="28" s="1"/>
  <c r="AG10" i="28"/>
  <c r="AF10" i="28"/>
  <c r="AD10" i="28"/>
  <c r="AB10" i="28"/>
  <c r="Z10" i="28"/>
  <c r="X10" i="28"/>
  <c r="V10" i="28"/>
  <c r="T10" i="28"/>
  <c r="R10" i="28"/>
  <c r="P10" i="28"/>
  <c r="N10" i="28"/>
  <c r="L10" i="28"/>
  <c r="J10" i="28"/>
  <c r="H10" i="28"/>
  <c r="F10" i="28"/>
  <c r="AI10" i="28" s="1"/>
  <c r="D10" i="28"/>
  <c r="AG9" i="28"/>
  <c r="AF9" i="28"/>
  <c r="AD9" i="28"/>
  <c r="AB9" i="28"/>
  <c r="Z9" i="28"/>
  <c r="X9" i="28"/>
  <c r="V9" i="28"/>
  <c r="T9" i="28"/>
  <c r="R9" i="28"/>
  <c r="AI9" i="28" s="1"/>
  <c r="P9" i="28"/>
  <c r="AG8" i="28"/>
  <c r="AG27" i="28" s="1"/>
  <c r="AF8" i="28"/>
  <c r="AD8" i="28"/>
  <c r="AB8" i="28"/>
  <c r="Z8" i="28"/>
  <c r="X8" i="28"/>
  <c r="V8" i="28"/>
  <c r="T8" i="28"/>
  <c r="R8" i="28"/>
  <c r="P8" i="28"/>
  <c r="N8" i="28"/>
  <c r="L8" i="28"/>
  <c r="J8" i="28"/>
  <c r="H8" i="28"/>
  <c r="F8" i="28"/>
  <c r="AI8" i="28" s="1"/>
  <c r="D8" i="28"/>
  <c r="AG7" i="28"/>
  <c r="AF7" i="28"/>
  <c r="AD7" i="28"/>
  <c r="AB7" i="28"/>
  <c r="Z7" i="28"/>
  <c r="X7" i="28"/>
  <c r="X27" i="28" s="1"/>
  <c r="V7" i="28"/>
  <c r="T7" i="28"/>
  <c r="R7" i="28"/>
  <c r="P7" i="28"/>
  <c r="N7" i="28"/>
  <c r="L7" i="28"/>
  <c r="J7" i="28"/>
  <c r="H7" i="28"/>
  <c r="F7" i="28"/>
  <c r="D7" i="28"/>
  <c r="AG6" i="28"/>
  <c r="AF6" i="28"/>
  <c r="AD6" i="28"/>
  <c r="AB6" i="28"/>
  <c r="Z6" i="28"/>
  <c r="X6" i="28"/>
  <c r="V6" i="28"/>
  <c r="T6" i="28"/>
  <c r="R6" i="28"/>
  <c r="P6" i="28"/>
  <c r="N6" i="28"/>
  <c r="L6" i="28"/>
  <c r="J6" i="28"/>
  <c r="H6" i="28"/>
  <c r="F6" i="28"/>
  <c r="D6" i="28"/>
  <c r="AC2" i="28"/>
  <c r="AD22" i="38"/>
  <c r="AE31" i="53" s="1"/>
  <c r="AC22" i="38"/>
  <c r="AD31" i="53" s="1"/>
  <c r="AA22" i="38"/>
  <c r="AB31" i="53" s="1"/>
  <c r="Y22" i="38"/>
  <c r="Z31" i="53" s="1"/>
  <c r="W22" i="38"/>
  <c r="X31" i="53" s="1"/>
  <c r="U22" i="38"/>
  <c r="V31" i="53" s="1"/>
  <c r="S22" i="38"/>
  <c r="T31" i="53" s="1"/>
  <c r="Q22" i="38"/>
  <c r="R31" i="53" s="1"/>
  <c r="P22" i="38"/>
  <c r="Q31" i="53" s="1"/>
  <c r="O22" i="38"/>
  <c r="P31" i="53" s="1"/>
  <c r="M22" i="38"/>
  <c r="N31" i="53" s="1"/>
  <c r="K22" i="38"/>
  <c r="L31" i="53" s="1"/>
  <c r="I22" i="38"/>
  <c r="J31" i="53" s="1"/>
  <c r="G22" i="38"/>
  <c r="H31" i="53" s="1"/>
  <c r="E22" i="38"/>
  <c r="F31" i="53" s="1"/>
  <c r="C22" i="38"/>
  <c r="D31" i="53" s="1"/>
  <c r="AG21" i="38"/>
  <c r="AG20" i="38"/>
  <c r="AG19" i="38"/>
  <c r="AG18" i="38"/>
  <c r="AF18" i="38"/>
  <c r="AE18" i="38"/>
  <c r="F18" i="38"/>
  <c r="D18" i="38"/>
  <c r="AE17" i="38"/>
  <c r="V17" i="38"/>
  <c r="P17" i="38"/>
  <c r="L17" i="38"/>
  <c r="F17" i="38"/>
  <c r="D17" i="38"/>
  <c r="AF17" i="38" s="1"/>
  <c r="AE16" i="38"/>
  <c r="AB16" i="38"/>
  <c r="V16" i="38"/>
  <c r="P16" i="38"/>
  <c r="L16" i="38"/>
  <c r="H16" i="38"/>
  <c r="F16" i="38"/>
  <c r="AG16" i="38" s="1"/>
  <c r="D16" i="38"/>
  <c r="AF16" i="38" s="1"/>
  <c r="AE15" i="38"/>
  <c r="AB15" i="38"/>
  <c r="V15" i="38"/>
  <c r="P15" i="38"/>
  <c r="L15" i="38"/>
  <c r="H15" i="38"/>
  <c r="F15" i="38"/>
  <c r="D15" i="38"/>
  <c r="AG15" i="38" s="1"/>
  <c r="AE14" i="38"/>
  <c r="AB14" i="38"/>
  <c r="V14" i="38"/>
  <c r="P14" i="38"/>
  <c r="L14" i="38"/>
  <c r="H14" i="38"/>
  <c r="F14" i="38"/>
  <c r="D14" i="38"/>
  <c r="AE13" i="38"/>
  <c r="AB13" i="38"/>
  <c r="V13" i="38"/>
  <c r="P13" i="38"/>
  <c r="L13" i="38"/>
  <c r="H13" i="38"/>
  <c r="F13" i="38"/>
  <c r="D13" i="38"/>
  <c r="AE12" i="38"/>
  <c r="AD12" i="38"/>
  <c r="AB12" i="38"/>
  <c r="Z12" i="38"/>
  <c r="X12" i="38"/>
  <c r="V12" i="38"/>
  <c r="T12" i="38"/>
  <c r="R12" i="38"/>
  <c r="P12" i="38"/>
  <c r="N12" i="38"/>
  <c r="L12" i="38"/>
  <c r="J12" i="38"/>
  <c r="H12" i="38"/>
  <c r="F12" i="38"/>
  <c r="D12" i="38"/>
  <c r="AF11" i="38"/>
  <c r="AE11" i="38"/>
  <c r="AD11" i="38"/>
  <c r="AB11" i="38"/>
  <c r="Z11" i="38"/>
  <c r="X11" i="38"/>
  <c r="AG11" i="38" s="1"/>
  <c r="AE10" i="38"/>
  <c r="AD10" i="38"/>
  <c r="AB10" i="38"/>
  <c r="Z10" i="38"/>
  <c r="X10" i="38"/>
  <c r="V10" i="38"/>
  <c r="T10" i="38"/>
  <c r="R10" i="38"/>
  <c r="P10" i="38"/>
  <c r="N10" i="38"/>
  <c r="L10" i="38"/>
  <c r="J10" i="38"/>
  <c r="H10" i="38"/>
  <c r="F10" i="38"/>
  <c r="D10" i="38"/>
  <c r="AG10" i="38" s="1"/>
  <c r="AE9" i="38"/>
  <c r="AD9" i="38"/>
  <c r="AB9" i="38"/>
  <c r="Z9" i="38"/>
  <c r="X9" i="38"/>
  <c r="V9" i="38"/>
  <c r="T9" i="38"/>
  <c r="R9" i="38"/>
  <c r="AF9" i="38" s="1"/>
  <c r="P9" i="38"/>
  <c r="N9" i="38"/>
  <c r="N22" i="38" s="1"/>
  <c r="O31" i="53" s="1"/>
  <c r="L9" i="38"/>
  <c r="J9" i="38"/>
  <c r="H9" i="38"/>
  <c r="F9" i="38"/>
  <c r="D9" i="38"/>
  <c r="AG9" i="38" s="1"/>
  <c r="AE8" i="38"/>
  <c r="AE22" i="38" s="1"/>
  <c r="AD8" i="38"/>
  <c r="AB8" i="38"/>
  <c r="Z8" i="38"/>
  <c r="X8" i="38"/>
  <c r="V8" i="38"/>
  <c r="T8" i="38"/>
  <c r="R8" i="38"/>
  <c r="P8" i="38"/>
  <c r="N8" i="38"/>
  <c r="L8" i="38"/>
  <c r="J8" i="38"/>
  <c r="H8" i="38"/>
  <c r="F8" i="38"/>
  <c r="D8" i="38"/>
  <c r="AF8" i="38" s="1"/>
  <c r="AE7" i="38"/>
  <c r="AD7" i="38"/>
  <c r="AB7" i="38"/>
  <c r="Z7" i="38"/>
  <c r="Z22" i="38" s="1"/>
  <c r="AA31" i="53" s="1"/>
  <c r="X7" i="38"/>
  <c r="V7" i="38"/>
  <c r="T7" i="38"/>
  <c r="R7" i="38"/>
  <c r="P7" i="38"/>
  <c r="N7" i="38"/>
  <c r="L7" i="38"/>
  <c r="J7" i="38"/>
  <c r="J22" i="38" s="1"/>
  <c r="K31" i="53" s="1"/>
  <c r="H7" i="38"/>
  <c r="F7" i="38"/>
  <c r="AF7" i="38" s="1"/>
  <c r="D7" i="38"/>
  <c r="AG7" i="38" s="1"/>
  <c r="AE6" i="38"/>
  <c r="AD6" i="38"/>
  <c r="AB6" i="38"/>
  <c r="Z6" i="38"/>
  <c r="X6" i="38"/>
  <c r="X22" i="38" s="1"/>
  <c r="Y31" i="53" s="1"/>
  <c r="V6" i="38"/>
  <c r="V22" i="38" s="1"/>
  <c r="W31" i="53" s="1"/>
  <c r="T6" i="38"/>
  <c r="R6" i="38"/>
  <c r="P6" i="38"/>
  <c r="N6" i="38"/>
  <c r="L6" i="38"/>
  <c r="J6" i="38"/>
  <c r="H6" i="38"/>
  <c r="H22" i="38" s="1"/>
  <c r="I31" i="53" s="1"/>
  <c r="F6" i="38"/>
  <c r="AG6" i="38" s="1"/>
  <c r="D6" i="38"/>
  <c r="AE27" i="12"/>
  <c r="AC27" i="12"/>
  <c r="AD5" i="53" s="1"/>
  <c r="AA27" i="12"/>
  <c r="AB5" i="53" s="1"/>
  <c r="Y27" i="12"/>
  <c r="Z5" i="53" s="1"/>
  <c r="W27" i="12"/>
  <c r="X5" i="53" s="1"/>
  <c r="U27" i="12"/>
  <c r="V5" i="53" s="1"/>
  <c r="S27" i="12"/>
  <c r="T5" i="53" s="1"/>
  <c r="R27" i="12"/>
  <c r="S5" i="53" s="1"/>
  <c r="Q27" i="12"/>
  <c r="R5" i="53" s="1"/>
  <c r="R46" i="53" s="1"/>
  <c r="P27" i="12"/>
  <c r="Q5" i="53" s="1"/>
  <c r="O27" i="12"/>
  <c r="P5" i="53" s="1"/>
  <c r="M27" i="12"/>
  <c r="N5" i="53" s="1"/>
  <c r="K27" i="12"/>
  <c r="L5" i="53" s="1"/>
  <c r="I27" i="12"/>
  <c r="J5" i="53" s="1"/>
  <c r="G27" i="12"/>
  <c r="H5" i="53" s="1"/>
  <c r="E27" i="12"/>
  <c r="F5" i="53" s="1"/>
  <c r="C27" i="12"/>
  <c r="D5" i="53" s="1"/>
  <c r="AJ26" i="12"/>
  <c r="AJ28" i="12" s="1"/>
  <c r="AI26" i="12"/>
  <c r="AI25" i="12"/>
  <c r="AG25" i="12"/>
  <c r="H25" i="12"/>
  <c r="AH25" i="12" s="1"/>
  <c r="AG24" i="12"/>
  <c r="L24" i="12"/>
  <c r="J24" i="12"/>
  <c r="H24" i="12"/>
  <c r="AG23" i="12"/>
  <c r="L23" i="12"/>
  <c r="J23" i="12"/>
  <c r="H23" i="12"/>
  <c r="F23" i="12"/>
  <c r="AH23" i="12" s="1"/>
  <c r="D23" i="12"/>
  <c r="AI23" i="12" s="1"/>
  <c r="AG22" i="12"/>
  <c r="T22" i="12"/>
  <c r="L22" i="12"/>
  <c r="J22" i="12"/>
  <c r="H22" i="12"/>
  <c r="F22" i="12"/>
  <c r="D22" i="12"/>
  <c r="AI22" i="12" s="1"/>
  <c r="AG21" i="12"/>
  <c r="V21" i="12"/>
  <c r="T21" i="12"/>
  <c r="L21" i="12"/>
  <c r="J21" i="12"/>
  <c r="H21" i="12"/>
  <c r="F21" i="12"/>
  <c r="D21" i="12"/>
  <c r="AI21" i="12" s="1"/>
  <c r="AG20" i="12"/>
  <c r="AF20" i="12"/>
  <c r="AD20" i="12"/>
  <c r="AB20" i="12"/>
  <c r="Z20" i="12"/>
  <c r="X20" i="12"/>
  <c r="V20" i="12"/>
  <c r="T20" i="12"/>
  <c r="R20" i="12"/>
  <c r="P20" i="12"/>
  <c r="N20" i="12"/>
  <c r="L20" i="12"/>
  <c r="J20" i="12"/>
  <c r="H20" i="12"/>
  <c r="F20" i="12"/>
  <c r="D20" i="12"/>
  <c r="AI20" i="12" s="1"/>
  <c r="AG19" i="12"/>
  <c r="AF19" i="12"/>
  <c r="AD19" i="12"/>
  <c r="AB19" i="12"/>
  <c r="Z19" i="12"/>
  <c r="X19" i="12"/>
  <c r="V19" i="12"/>
  <c r="T19" i="12"/>
  <c r="R19" i="12"/>
  <c r="P19" i="12"/>
  <c r="N19" i="12"/>
  <c r="L19" i="12"/>
  <c r="J19" i="12"/>
  <c r="H19" i="12"/>
  <c r="F19" i="12"/>
  <c r="D19" i="12"/>
  <c r="AI19" i="12" s="1"/>
  <c r="AG18" i="12"/>
  <c r="AF18" i="12"/>
  <c r="AD18" i="12"/>
  <c r="AB18" i="12"/>
  <c r="Z18" i="12"/>
  <c r="X18" i="12"/>
  <c r="V18" i="12"/>
  <c r="T18" i="12"/>
  <c r="R18" i="12"/>
  <c r="P18" i="12"/>
  <c r="N18" i="12"/>
  <c r="L18" i="12"/>
  <c r="J18" i="12"/>
  <c r="H18" i="12"/>
  <c r="F18" i="12"/>
  <c r="D18" i="12"/>
  <c r="AG17" i="12"/>
  <c r="AF17" i="12"/>
  <c r="AD17" i="12"/>
  <c r="AB17" i="12"/>
  <c r="Z17" i="12"/>
  <c r="X17" i="12"/>
  <c r="V17" i="12"/>
  <c r="T17" i="12"/>
  <c r="R17" i="12"/>
  <c r="P17" i="12"/>
  <c r="N17" i="12"/>
  <c r="L17" i="12"/>
  <c r="J17" i="12"/>
  <c r="H17" i="12"/>
  <c r="F17" i="12"/>
  <c r="D17" i="12"/>
  <c r="AG16" i="12"/>
  <c r="AF16" i="12"/>
  <c r="AD16" i="12"/>
  <c r="AB16" i="12"/>
  <c r="Z16" i="12"/>
  <c r="X16" i="12"/>
  <c r="V16" i="12"/>
  <c r="T16" i="12"/>
  <c r="R16" i="12"/>
  <c r="P16" i="12"/>
  <c r="N16" i="12"/>
  <c r="L16" i="12"/>
  <c r="J16" i="12"/>
  <c r="H16" i="12"/>
  <c r="F16" i="12"/>
  <c r="D16" i="12"/>
  <c r="AI16" i="12" s="1"/>
  <c r="AG15" i="12"/>
  <c r="AF15" i="12"/>
  <c r="AD15" i="12"/>
  <c r="AB15" i="12"/>
  <c r="Z15" i="12"/>
  <c r="X15" i="12"/>
  <c r="V15" i="12"/>
  <c r="T15" i="12"/>
  <c r="R15" i="12"/>
  <c r="P15" i="12"/>
  <c r="N15" i="12"/>
  <c r="L15" i="12"/>
  <c r="J15" i="12"/>
  <c r="H15" i="12"/>
  <c r="F15" i="12"/>
  <c r="AI15" i="12" s="1"/>
  <c r="D15" i="12"/>
  <c r="AH15" i="12" s="1"/>
  <c r="AG14" i="12"/>
  <c r="AF14" i="12"/>
  <c r="AD14" i="12"/>
  <c r="AB14" i="12"/>
  <c r="Z14" i="12"/>
  <c r="X14" i="12"/>
  <c r="V14" i="12"/>
  <c r="T14" i="12"/>
  <c r="R14" i="12"/>
  <c r="P14" i="12"/>
  <c r="N14" i="12"/>
  <c r="L14" i="12"/>
  <c r="J14" i="12"/>
  <c r="H14" i="12"/>
  <c r="F14" i="12"/>
  <c r="D14" i="12"/>
  <c r="AG13" i="12"/>
  <c r="AF13" i="12"/>
  <c r="AD13" i="12"/>
  <c r="AB13" i="12"/>
  <c r="Z13" i="12"/>
  <c r="X13" i="12"/>
  <c r="V13" i="12"/>
  <c r="T13" i="12"/>
  <c r="R13" i="12"/>
  <c r="P13" i="12"/>
  <c r="N13" i="12"/>
  <c r="L13" i="12"/>
  <c r="J13" i="12"/>
  <c r="H13" i="12"/>
  <c r="F13" i="12"/>
  <c r="D13" i="12"/>
  <c r="AG12" i="12"/>
  <c r="AF12" i="12"/>
  <c r="AD12" i="12"/>
  <c r="AB12" i="12"/>
  <c r="Z12" i="12"/>
  <c r="X12" i="12"/>
  <c r="V12" i="12"/>
  <c r="T12" i="12"/>
  <c r="R12" i="12"/>
  <c r="P12" i="12"/>
  <c r="N12" i="12"/>
  <c r="L12" i="12"/>
  <c r="J12" i="12"/>
  <c r="H12" i="12"/>
  <c r="F12" i="12"/>
  <c r="D12" i="12"/>
  <c r="AI12" i="12" s="1"/>
  <c r="AG11" i="12"/>
  <c r="AF11" i="12"/>
  <c r="AD11" i="12"/>
  <c r="AB11" i="12"/>
  <c r="Z11" i="12"/>
  <c r="X11" i="12"/>
  <c r="V11" i="12"/>
  <c r="T11" i="12"/>
  <c r="R11" i="12"/>
  <c r="P11" i="12"/>
  <c r="N11" i="12"/>
  <c r="L11" i="12"/>
  <c r="J11" i="12"/>
  <c r="H11" i="12"/>
  <c r="F11" i="12"/>
  <c r="AI11" i="12" s="1"/>
  <c r="D11" i="12"/>
  <c r="AH11" i="12" s="1"/>
  <c r="AG10" i="12"/>
  <c r="AF10" i="12"/>
  <c r="AD10" i="12"/>
  <c r="AB10" i="12"/>
  <c r="Z10" i="12"/>
  <c r="X10" i="12"/>
  <c r="X27" i="12" s="1"/>
  <c r="Y5" i="53" s="1"/>
  <c r="V10" i="12"/>
  <c r="T10" i="12"/>
  <c r="R10" i="12"/>
  <c r="P10" i="12"/>
  <c r="N10" i="12"/>
  <c r="L10" i="12"/>
  <c r="J10" i="12"/>
  <c r="H10" i="12"/>
  <c r="H27" i="12" s="1"/>
  <c r="I5" i="53" s="1"/>
  <c r="F10" i="12"/>
  <c r="D10" i="12"/>
  <c r="AG9" i="12"/>
  <c r="AF9" i="12"/>
  <c r="AD9" i="12"/>
  <c r="AB9" i="12"/>
  <c r="Z9" i="12"/>
  <c r="X9" i="12"/>
  <c r="V9" i="12"/>
  <c r="T9" i="12"/>
  <c r="R9" i="12"/>
  <c r="P9" i="12"/>
  <c r="N9" i="12"/>
  <c r="L9" i="12"/>
  <c r="J9" i="12"/>
  <c r="H9" i="12"/>
  <c r="F9" i="12"/>
  <c r="D9" i="12"/>
  <c r="AI9" i="12" s="1"/>
  <c r="AG8" i="12"/>
  <c r="AG27" i="12" s="1"/>
  <c r="DH6" i="59" s="1"/>
  <c r="AF8" i="12"/>
  <c r="AF27" i="12" s="1"/>
  <c r="AD8" i="12"/>
  <c r="AB8" i="12"/>
  <c r="Z8" i="12"/>
  <c r="X8" i="12"/>
  <c r="V8" i="12"/>
  <c r="T8" i="12"/>
  <c r="R8" i="12"/>
  <c r="P8" i="12"/>
  <c r="N8" i="12"/>
  <c r="L8" i="12"/>
  <c r="J8" i="12"/>
  <c r="H8" i="12"/>
  <c r="F8" i="12"/>
  <c r="D8" i="12"/>
  <c r="AG7" i="12"/>
  <c r="AF7" i="12"/>
  <c r="AD7" i="12"/>
  <c r="AB7" i="12"/>
  <c r="Z7" i="12"/>
  <c r="X7" i="12"/>
  <c r="V7" i="12"/>
  <c r="T7" i="12"/>
  <c r="R7" i="12"/>
  <c r="P7" i="12"/>
  <c r="N7" i="12"/>
  <c r="L7" i="12"/>
  <c r="J7" i="12"/>
  <c r="H7" i="12"/>
  <c r="F7" i="12"/>
  <c r="D7" i="12"/>
  <c r="AG6" i="12"/>
  <c r="AF6" i="12"/>
  <c r="AD6" i="12"/>
  <c r="AD27" i="12" s="1"/>
  <c r="AE5" i="53" s="1"/>
  <c r="AB6" i="12"/>
  <c r="Z6" i="12"/>
  <c r="Z27" i="12" s="1"/>
  <c r="AA5" i="53" s="1"/>
  <c r="X6" i="12"/>
  <c r="V6" i="12"/>
  <c r="T6" i="12"/>
  <c r="R6" i="12"/>
  <c r="P6" i="12"/>
  <c r="N6" i="12"/>
  <c r="N27" i="12" s="1"/>
  <c r="O5" i="53" s="1"/>
  <c r="L6" i="12"/>
  <c r="J6" i="12"/>
  <c r="H6" i="12"/>
  <c r="F6" i="12"/>
  <c r="D6" i="12"/>
  <c r="AD30" i="37"/>
  <c r="AE30" i="53" s="1"/>
  <c r="AC30" i="37"/>
  <c r="AD30" i="53" s="1"/>
  <c r="AA30" i="37"/>
  <c r="AB30" i="53" s="1"/>
  <c r="Y30" i="37"/>
  <c r="Z30" i="53" s="1"/>
  <c r="W30" i="37"/>
  <c r="X30" i="53" s="1"/>
  <c r="U30" i="37"/>
  <c r="V30" i="53" s="1"/>
  <c r="S30" i="37"/>
  <c r="T30" i="53" s="1"/>
  <c r="Q30" i="37"/>
  <c r="R30" i="53" s="1"/>
  <c r="P30" i="37"/>
  <c r="Q30" i="53" s="1"/>
  <c r="O30" i="37"/>
  <c r="P30" i="53" s="1"/>
  <c r="M30" i="37"/>
  <c r="N30" i="53" s="1"/>
  <c r="K30" i="37"/>
  <c r="L30" i="53" s="1"/>
  <c r="I30" i="37"/>
  <c r="J30" i="53" s="1"/>
  <c r="G30" i="37"/>
  <c r="H30" i="53" s="1"/>
  <c r="E30" i="37"/>
  <c r="F30" i="53" s="1"/>
  <c r="C30" i="37"/>
  <c r="D30" i="53" s="1"/>
  <c r="AG29" i="37"/>
  <c r="V29" i="37"/>
  <c r="AG28" i="37"/>
  <c r="AF28" i="37"/>
  <c r="AE28" i="37"/>
  <c r="V28" i="37"/>
  <c r="L28" i="37"/>
  <c r="F28" i="37"/>
  <c r="D28" i="37"/>
  <c r="AE27" i="37"/>
  <c r="V27" i="37"/>
  <c r="AF27" i="37" s="1"/>
  <c r="L27" i="37"/>
  <c r="J27" i="37"/>
  <c r="H27" i="37"/>
  <c r="F27" i="37"/>
  <c r="D27" i="37"/>
  <c r="AE26" i="37"/>
  <c r="V26" i="37"/>
  <c r="N26" i="37"/>
  <c r="L26" i="37"/>
  <c r="J26" i="37"/>
  <c r="H26" i="37"/>
  <c r="F26" i="37"/>
  <c r="AG26" i="37" s="1"/>
  <c r="D26" i="37"/>
  <c r="AF26" i="37" s="1"/>
  <c r="AG25" i="37"/>
  <c r="AE25" i="37"/>
  <c r="V25" i="37"/>
  <c r="N25" i="37"/>
  <c r="L25" i="37"/>
  <c r="J25" i="37"/>
  <c r="H25" i="37"/>
  <c r="F25" i="37"/>
  <c r="D25" i="37"/>
  <c r="AF25" i="37" s="1"/>
  <c r="AE24" i="37"/>
  <c r="V24" i="37"/>
  <c r="N24" i="37"/>
  <c r="L24" i="37"/>
  <c r="J24" i="37"/>
  <c r="H24" i="37"/>
  <c r="F24" i="37"/>
  <c r="D24" i="37"/>
  <c r="AG24" i="37" s="1"/>
  <c r="AE23" i="37"/>
  <c r="AD23" i="37"/>
  <c r="AB23" i="37"/>
  <c r="Z23" i="37"/>
  <c r="X23" i="37"/>
  <c r="V23" i="37"/>
  <c r="T23" i="37"/>
  <c r="R23" i="37"/>
  <c r="P23" i="37"/>
  <c r="N23" i="37"/>
  <c r="L23" i="37"/>
  <c r="J23" i="37"/>
  <c r="H23" i="37"/>
  <c r="F23" i="37"/>
  <c r="D23" i="37"/>
  <c r="AE22" i="37"/>
  <c r="AD22" i="37"/>
  <c r="AB22" i="37"/>
  <c r="Z22" i="37"/>
  <c r="X22" i="37"/>
  <c r="V22" i="37"/>
  <c r="T22" i="37"/>
  <c r="R22" i="37"/>
  <c r="P22" i="37"/>
  <c r="N22" i="37"/>
  <c r="AF22" i="37" s="1"/>
  <c r="L22" i="37"/>
  <c r="J22" i="37"/>
  <c r="H22" i="37"/>
  <c r="F22" i="37"/>
  <c r="D22" i="37"/>
  <c r="AE21" i="37"/>
  <c r="AD21" i="37"/>
  <c r="AB21" i="37"/>
  <c r="Z21" i="37"/>
  <c r="X21" i="37"/>
  <c r="V21" i="37"/>
  <c r="T21" i="37"/>
  <c r="R21" i="37"/>
  <c r="P21" i="37"/>
  <c r="AF21" i="37" s="1"/>
  <c r="N21" i="37"/>
  <c r="L21" i="37"/>
  <c r="J21" i="37"/>
  <c r="H21" i="37"/>
  <c r="F21" i="37"/>
  <c r="D21" i="37"/>
  <c r="AG21" i="37" s="1"/>
  <c r="AE20" i="37"/>
  <c r="AD20" i="37"/>
  <c r="AB20" i="37"/>
  <c r="Z20" i="37"/>
  <c r="X20" i="37"/>
  <c r="V20" i="37"/>
  <c r="T20" i="37"/>
  <c r="R20" i="37"/>
  <c r="AF20" i="37" s="1"/>
  <c r="P20" i="37"/>
  <c r="N20" i="37"/>
  <c r="L20" i="37"/>
  <c r="J20" i="37"/>
  <c r="H20" i="37"/>
  <c r="F20" i="37"/>
  <c r="D20" i="37"/>
  <c r="AG20" i="37" s="1"/>
  <c r="AG19" i="37"/>
  <c r="AE19" i="37"/>
  <c r="AD19" i="37"/>
  <c r="AB19" i="37"/>
  <c r="Z19" i="37"/>
  <c r="X19" i="37"/>
  <c r="V19" i="37"/>
  <c r="T19" i="37"/>
  <c r="R19" i="37"/>
  <c r="P19" i="37"/>
  <c r="N19" i="37"/>
  <c r="L19" i="37"/>
  <c r="J19" i="37"/>
  <c r="H19" i="37"/>
  <c r="F19" i="37"/>
  <c r="D19" i="37"/>
  <c r="AF19" i="37" s="1"/>
  <c r="AE18" i="37"/>
  <c r="AD18" i="37"/>
  <c r="AB18" i="37"/>
  <c r="Z18" i="37"/>
  <c r="X18" i="37"/>
  <c r="V18" i="37"/>
  <c r="T18" i="37"/>
  <c r="R18" i="37"/>
  <c r="P18" i="37"/>
  <c r="N18" i="37"/>
  <c r="L18" i="37"/>
  <c r="J18" i="37"/>
  <c r="H18" i="37"/>
  <c r="F18" i="37"/>
  <c r="D18" i="37"/>
  <c r="AG18" i="37" s="1"/>
  <c r="AE17" i="37"/>
  <c r="AD17" i="37"/>
  <c r="AB17" i="37"/>
  <c r="Z17" i="37"/>
  <c r="X17" i="37"/>
  <c r="V17" i="37"/>
  <c r="T17" i="37"/>
  <c r="R17" i="37"/>
  <c r="P17" i="37"/>
  <c r="N17" i="37"/>
  <c r="L17" i="37"/>
  <c r="J17" i="37"/>
  <c r="H17" i="37"/>
  <c r="AF17" i="37" s="1"/>
  <c r="F17" i="37"/>
  <c r="D17" i="37"/>
  <c r="AE16" i="37"/>
  <c r="AD16" i="37"/>
  <c r="AB16" i="37"/>
  <c r="Z16" i="37"/>
  <c r="X16" i="37"/>
  <c r="V16" i="37"/>
  <c r="T16" i="37"/>
  <c r="R16" i="37"/>
  <c r="P16" i="37"/>
  <c r="N16" i="37"/>
  <c r="L16" i="37"/>
  <c r="J16" i="37"/>
  <c r="H16" i="37"/>
  <c r="F16" i="37"/>
  <c r="D16" i="37"/>
  <c r="AE15" i="37"/>
  <c r="AD15" i="37"/>
  <c r="AB15" i="37"/>
  <c r="Z15" i="37"/>
  <c r="X15" i="37"/>
  <c r="V15" i="37"/>
  <c r="T15" i="37"/>
  <c r="R15" i="37"/>
  <c r="P15" i="37"/>
  <c r="N15" i="37"/>
  <c r="L15" i="37"/>
  <c r="J15" i="37"/>
  <c r="H15" i="37"/>
  <c r="F15" i="37"/>
  <c r="D15" i="37"/>
  <c r="AE14" i="37"/>
  <c r="AD14" i="37"/>
  <c r="AB14" i="37"/>
  <c r="Z14" i="37"/>
  <c r="X14" i="37"/>
  <c r="V14" i="37"/>
  <c r="T14" i="37"/>
  <c r="R14" i="37"/>
  <c r="P14" i="37"/>
  <c r="N14" i="37"/>
  <c r="AF14" i="37" s="1"/>
  <c r="L14" i="37"/>
  <c r="J14" i="37"/>
  <c r="H14" i="37"/>
  <c r="F14" i="37"/>
  <c r="D14" i="37"/>
  <c r="AE13" i="37"/>
  <c r="AD13" i="37"/>
  <c r="AB13" i="37"/>
  <c r="Z13" i="37"/>
  <c r="X13" i="37"/>
  <c r="V13" i="37"/>
  <c r="T13" i="37"/>
  <c r="R13" i="37"/>
  <c r="P13" i="37"/>
  <c r="N13" i="37"/>
  <c r="L13" i="37"/>
  <c r="AE12" i="37"/>
  <c r="AD12" i="37"/>
  <c r="AB12" i="37"/>
  <c r="Z12" i="37"/>
  <c r="X12" i="37"/>
  <c r="V12" i="37"/>
  <c r="T12" i="37"/>
  <c r="R12" i="37"/>
  <c r="P12" i="37"/>
  <c r="N12" i="37"/>
  <c r="L12" i="37"/>
  <c r="J12" i="37"/>
  <c r="H12" i="37"/>
  <c r="F12" i="37"/>
  <c r="D12" i="37"/>
  <c r="AG12" i="37" s="1"/>
  <c r="AE11" i="37"/>
  <c r="AD11" i="37"/>
  <c r="AB11" i="37"/>
  <c r="Z11" i="37"/>
  <c r="X11" i="37"/>
  <c r="V11" i="37"/>
  <c r="T11" i="37"/>
  <c r="R11" i="37"/>
  <c r="P11" i="37"/>
  <c r="N11" i="37"/>
  <c r="L11" i="37"/>
  <c r="J11" i="37"/>
  <c r="H11" i="37"/>
  <c r="F11" i="37"/>
  <c r="D11" i="37"/>
  <c r="AE10" i="37"/>
  <c r="AD10" i="37"/>
  <c r="AB10" i="37"/>
  <c r="Z10" i="37"/>
  <c r="X10" i="37"/>
  <c r="V10" i="37"/>
  <c r="T10" i="37"/>
  <c r="R10" i="37"/>
  <c r="AF10" i="37" s="1"/>
  <c r="P10" i="37"/>
  <c r="N10" i="37"/>
  <c r="L10" i="37"/>
  <c r="J10" i="37"/>
  <c r="H10" i="37"/>
  <c r="F10" i="37"/>
  <c r="D10" i="37"/>
  <c r="AG9" i="37"/>
  <c r="AE9" i="37"/>
  <c r="AD9" i="37"/>
  <c r="AB9" i="37"/>
  <c r="Z9" i="37"/>
  <c r="X9" i="37"/>
  <c r="V9" i="37"/>
  <c r="T9" i="37"/>
  <c r="R9" i="37"/>
  <c r="P9" i="37"/>
  <c r="N9" i="37"/>
  <c r="L9" i="37"/>
  <c r="J9" i="37"/>
  <c r="H9" i="37"/>
  <c r="F9" i="37"/>
  <c r="D9" i="37"/>
  <c r="AF9" i="37" s="1"/>
  <c r="AE8" i="37"/>
  <c r="AD8" i="37"/>
  <c r="AB8" i="37"/>
  <c r="Z8" i="37"/>
  <c r="X8" i="37"/>
  <c r="V8" i="37"/>
  <c r="T8" i="37"/>
  <c r="R8" i="37"/>
  <c r="P8" i="37"/>
  <c r="N8" i="37"/>
  <c r="L8" i="37"/>
  <c r="J8" i="37"/>
  <c r="H8" i="37"/>
  <c r="F8" i="37"/>
  <c r="D8" i="37"/>
  <c r="AE7" i="37"/>
  <c r="AD7" i="37"/>
  <c r="AB7" i="37"/>
  <c r="Z7" i="37"/>
  <c r="X7" i="37"/>
  <c r="X30" i="37" s="1"/>
  <c r="Y30" i="53" s="1"/>
  <c r="V7" i="37"/>
  <c r="T7" i="37"/>
  <c r="R7" i="37"/>
  <c r="P7" i="37"/>
  <c r="N7" i="37"/>
  <c r="L7" i="37"/>
  <c r="J7" i="37"/>
  <c r="H7" i="37"/>
  <c r="H30" i="37" s="1"/>
  <c r="I30" i="53" s="1"/>
  <c r="F7" i="37"/>
  <c r="D7" i="37"/>
  <c r="AE6" i="37"/>
  <c r="AD6" i="37"/>
  <c r="AB6" i="37"/>
  <c r="Z6" i="37"/>
  <c r="X6" i="37"/>
  <c r="V6" i="37"/>
  <c r="T6" i="37"/>
  <c r="R6" i="37"/>
  <c r="P6" i="37"/>
  <c r="N6" i="37"/>
  <c r="L6" i="37"/>
  <c r="J6" i="37"/>
  <c r="H6" i="37"/>
  <c r="F6" i="37"/>
  <c r="AF6" i="37" s="1"/>
  <c r="D6" i="37"/>
  <c r="O177" i="67"/>
  <c r="N177" i="67"/>
  <c r="O173" i="67"/>
  <c r="N173" i="67"/>
  <c r="P172" i="67"/>
  <c r="H172" i="67"/>
  <c r="I172" i="67" s="1"/>
  <c r="P170" i="67"/>
  <c r="H170" i="67"/>
  <c r="I170" i="67" s="1"/>
  <c r="P169" i="67"/>
  <c r="H169" i="67"/>
  <c r="I169" i="67" s="1"/>
  <c r="O168" i="67"/>
  <c r="N168" i="67"/>
  <c r="H168" i="67"/>
  <c r="I168" i="67" s="1"/>
  <c r="H167" i="67"/>
  <c r="I167" i="67" s="1"/>
  <c r="P166" i="67"/>
  <c r="H166" i="67"/>
  <c r="I166" i="67" s="1"/>
  <c r="M165" i="67"/>
  <c r="L165" i="67"/>
  <c r="K165" i="67"/>
  <c r="P164" i="67"/>
  <c r="H164" i="67"/>
  <c r="I164" i="67" s="1"/>
  <c r="P155" i="67"/>
  <c r="H155" i="67"/>
  <c r="I155" i="67" s="1"/>
  <c r="P154" i="67"/>
  <c r="H154" i="67"/>
  <c r="I154" i="67" s="1"/>
  <c r="H153" i="67"/>
  <c r="I153" i="67" s="1"/>
  <c r="H152" i="67"/>
  <c r="I152" i="67" s="1"/>
  <c r="H151" i="67"/>
  <c r="I151" i="67" s="1"/>
  <c r="O150" i="67"/>
  <c r="N150" i="67"/>
  <c r="H147" i="67"/>
  <c r="I147" i="67" s="1"/>
  <c r="H144" i="67"/>
  <c r="I144" i="67" s="1"/>
  <c r="H143" i="67"/>
  <c r="I143" i="67" s="1"/>
  <c r="H139" i="67"/>
  <c r="I139" i="67" s="1"/>
  <c r="H138" i="67"/>
  <c r="I138" i="67" s="1"/>
  <c r="H137" i="67"/>
  <c r="I137" i="67" s="1"/>
  <c r="P43" i="67"/>
  <c r="H43" i="67"/>
  <c r="I43" i="67" s="1"/>
  <c r="P42" i="67"/>
  <c r="H42" i="67"/>
  <c r="I42" i="67" s="1"/>
  <c r="P41" i="67"/>
  <c r="H41" i="67"/>
  <c r="I41" i="67" s="1"/>
  <c r="P40" i="67"/>
  <c r="H40" i="67"/>
  <c r="I40" i="67" s="1"/>
  <c r="P39" i="67"/>
  <c r="H39" i="67"/>
  <c r="I39" i="67" s="1"/>
  <c r="H38" i="67"/>
  <c r="I38" i="67" s="1"/>
  <c r="P37" i="67"/>
  <c r="H37" i="67"/>
  <c r="I37" i="67" s="1"/>
  <c r="P6" i="67"/>
  <c r="H6" i="67"/>
  <c r="I6" i="67" s="1"/>
  <c r="P5" i="67"/>
  <c r="H5" i="67"/>
  <c r="I5" i="67" s="1"/>
  <c r="P4" i="67"/>
  <c r="H4" i="67"/>
  <c r="I4" i="67" s="1"/>
  <c r="P3" i="67"/>
  <c r="H3" i="67"/>
  <c r="I3" i="67" s="1"/>
  <c r="AC27" i="17"/>
  <c r="AD10" i="53" s="1"/>
  <c r="AA27" i="17"/>
  <c r="AB10" i="53" s="1"/>
  <c r="Y27" i="17"/>
  <c r="Z10" i="53" s="1"/>
  <c r="W27" i="17"/>
  <c r="U27" i="17"/>
  <c r="V10" i="53" s="1"/>
  <c r="S27" i="17"/>
  <c r="T10" i="53" s="1"/>
  <c r="Q27" i="17"/>
  <c r="O27" i="17"/>
  <c r="P10" i="53" s="1"/>
  <c r="M27" i="17"/>
  <c r="N10" i="53" s="1"/>
  <c r="L27" i="17"/>
  <c r="M10" i="53" s="1"/>
  <c r="K27" i="17"/>
  <c r="L10" i="53" s="1"/>
  <c r="I27" i="17"/>
  <c r="J10" i="53" s="1"/>
  <c r="G27" i="17"/>
  <c r="H10" i="53" s="1"/>
  <c r="E27" i="17"/>
  <c r="F10" i="53" s="1"/>
  <c r="C27" i="17"/>
  <c r="D10" i="53" s="1"/>
  <c r="AE26" i="17"/>
  <c r="X26" i="17"/>
  <c r="N26" i="17"/>
  <c r="J26" i="17"/>
  <c r="H26" i="17"/>
  <c r="AF26" i="17" s="1"/>
  <c r="F26" i="17"/>
  <c r="D26" i="17"/>
  <c r="AF25" i="17"/>
  <c r="AE25" i="17"/>
  <c r="X25" i="17"/>
  <c r="N25" i="17"/>
  <c r="J25" i="17"/>
  <c r="H25" i="17"/>
  <c r="F25" i="17"/>
  <c r="D25" i="17"/>
  <c r="AG24" i="17"/>
  <c r="AE24" i="17"/>
  <c r="Z24" i="17"/>
  <c r="X24" i="17"/>
  <c r="N24" i="17"/>
  <c r="L24" i="17"/>
  <c r="J24" i="17"/>
  <c r="H24" i="17"/>
  <c r="F24" i="17"/>
  <c r="D24" i="17"/>
  <c r="AF24" i="17" s="1"/>
  <c r="AE23" i="17"/>
  <c r="Z23" i="17"/>
  <c r="X23" i="17"/>
  <c r="T23" i="17"/>
  <c r="R23" i="17"/>
  <c r="N23" i="17"/>
  <c r="L23" i="17"/>
  <c r="AG23" i="17" s="1"/>
  <c r="J23" i="17"/>
  <c r="H23" i="17"/>
  <c r="F23" i="17"/>
  <c r="D23" i="17"/>
  <c r="AE22" i="17"/>
  <c r="AD22" i="17"/>
  <c r="AD27" i="17" s="1"/>
  <c r="AE10" i="53" s="1"/>
  <c r="AB22" i="17"/>
  <c r="AB27" i="17" s="1"/>
  <c r="AC10" i="53" s="1"/>
  <c r="Z22" i="17"/>
  <c r="X22" i="17"/>
  <c r="V22" i="17"/>
  <c r="T22" i="17"/>
  <c r="R22" i="17"/>
  <c r="P22" i="17"/>
  <c r="N22" i="17"/>
  <c r="L22" i="17"/>
  <c r="J22" i="17"/>
  <c r="H22" i="17"/>
  <c r="F22" i="17"/>
  <c r="D22" i="17"/>
  <c r="AG22" i="17" s="1"/>
  <c r="AE21" i="17"/>
  <c r="AD21" i="17"/>
  <c r="AB21" i="17"/>
  <c r="Z21" i="17"/>
  <c r="X21" i="17"/>
  <c r="V21" i="17"/>
  <c r="T21" i="17"/>
  <c r="R21" i="17"/>
  <c r="P21" i="17"/>
  <c r="N21" i="17"/>
  <c r="L21" i="17"/>
  <c r="J21" i="17"/>
  <c r="H21" i="17"/>
  <c r="F21" i="17"/>
  <c r="D21" i="17"/>
  <c r="AE20" i="17"/>
  <c r="AD20" i="17"/>
  <c r="AB20" i="17"/>
  <c r="Z20" i="17"/>
  <c r="X20" i="17"/>
  <c r="V20" i="17"/>
  <c r="T20" i="17"/>
  <c r="R20" i="17"/>
  <c r="AF20" i="17" s="1"/>
  <c r="P20" i="17"/>
  <c r="N20" i="17"/>
  <c r="L20" i="17"/>
  <c r="J20" i="17"/>
  <c r="H20" i="17"/>
  <c r="F20" i="17"/>
  <c r="D20" i="17"/>
  <c r="AG19" i="17"/>
  <c r="AE19" i="17"/>
  <c r="AD19" i="17"/>
  <c r="AB19" i="17"/>
  <c r="Z19" i="17"/>
  <c r="X19" i="17"/>
  <c r="V19" i="17"/>
  <c r="T19" i="17"/>
  <c r="R19" i="17"/>
  <c r="P19" i="17"/>
  <c r="N19" i="17"/>
  <c r="L19" i="17"/>
  <c r="J19" i="17"/>
  <c r="H19" i="17"/>
  <c r="F19" i="17"/>
  <c r="D19" i="17"/>
  <c r="AF19" i="17" s="1"/>
  <c r="AE18" i="17"/>
  <c r="AD18" i="17"/>
  <c r="AB18" i="17"/>
  <c r="Z18" i="17"/>
  <c r="X18" i="17"/>
  <c r="V18" i="17"/>
  <c r="T18" i="17"/>
  <c r="R18" i="17"/>
  <c r="P18" i="17"/>
  <c r="N18" i="17"/>
  <c r="L18" i="17"/>
  <c r="J18" i="17"/>
  <c r="H18" i="17"/>
  <c r="F18" i="17"/>
  <c r="D18" i="17"/>
  <c r="AE17" i="17"/>
  <c r="AD17" i="17"/>
  <c r="AB17" i="17"/>
  <c r="Z17" i="17"/>
  <c r="X17" i="17"/>
  <c r="V17" i="17"/>
  <c r="T17" i="17"/>
  <c r="R17" i="17"/>
  <c r="P17" i="17"/>
  <c r="N17" i="17"/>
  <c r="L17" i="17"/>
  <c r="J17" i="17"/>
  <c r="H17" i="17"/>
  <c r="F17" i="17"/>
  <c r="D17" i="17"/>
  <c r="AE16" i="17"/>
  <c r="AD16" i="17"/>
  <c r="AB16" i="17"/>
  <c r="Z16" i="17"/>
  <c r="X16" i="17"/>
  <c r="V16" i="17"/>
  <c r="T16" i="17"/>
  <c r="R16" i="17"/>
  <c r="AF16" i="17" s="1"/>
  <c r="P16" i="17"/>
  <c r="N16" i="17"/>
  <c r="L16" i="17"/>
  <c r="J16" i="17"/>
  <c r="H16" i="17"/>
  <c r="F16" i="17"/>
  <c r="D16" i="17"/>
  <c r="AE15" i="17"/>
  <c r="AD15" i="17"/>
  <c r="AB15" i="17"/>
  <c r="Z15" i="17"/>
  <c r="X15" i="17"/>
  <c r="V15" i="17"/>
  <c r="T15" i="17"/>
  <c r="R15" i="17"/>
  <c r="P15" i="17"/>
  <c r="N15" i="17"/>
  <c r="L15" i="17"/>
  <c r="J15" i="17"/>
  <c r="H15" i="17"/>
  <c r="F15" i="17"/>
  <c r="D15" i="17"/>
  <c r="AF15" i="17" s="1"/>
  <c r="AE14" i="17"/>
  <c r="AD14" i="17"/>
  <c r="AB14" i="17"/>
  <c r="Z14" i="17"/>
  <c r="X14" i="17"/>
  <c r="V14" i="17"/>
  <c r="T14" i="17"/>
  <c r="AE13" i="17"/>
  <c r="AD13" i="17"/>
  <c r="AB13" i="17"/>
  <c r="Z13" i="17"/>
  <c r="X13" i="17"/>
  <c r="V13" i="17"/>
  <c r="T13" i="17"/>
  <c r="R13" i="17"/>
  <c r="P13" i="17"/>
  <c r="AF13" i="17" s="1"/>
  <c r="N13" i="17"/>
  <c r="L13" i="17"/>
  <c r="J13" i="17"/>
  <c r="H13" i="17"/>
  <c r="F13" i="17"/>
  <c r="D13" i="17"/>
  <c r="AG13" i="17" s="1"/>
  <c r="AE12" i="17"/>
  <c r="AD12" i="17"/>
  <c r="AB12" i="17"/>
  <c r="Z12" i="17"/>
  <c r="X12" i="17"/>
  <c r="V12" i="17"/>
  <c r="T12" i="17"/>
  <c r="R12" i="17"/>
  <c r="AF12" i="17" s="1"/>
  <c r="P12" i="17"/>
  <c r="N12" i="17"/>
  <c r="L12" i="17"/>
  <c r="J12" i="17"/>
  <c r="H12" i="17"/>
  <c r="F12" i="17"/>
  <c r="D12" i="17"/>
  <c r="AG12" i="17" s="1"/>
  <c r="AE11" i="17"/>
  <c r="AD11" i="17"/>
  <c r="AB11" i="17"/>
  <c r="Z11" i="17"/>
  <c r="X11" i="17"/>
  <c r="V11" i="17"/>
  <c r="T11" i="17"/>
  <c r="R11" i="17"/>
  <c r="P11" i="17"/>
  <c r="N11" i="17"/>
  <c r="L11" i="17"/>
  <c r="J11" i="17"/>
  <c r="H11" i="17"/>
  <c r="F11" i="17"/>
  <c r="AG11" i="17" s="1"/>
  <c r="D11" i="17"/>
  <c r="AE10" i="17"/>
  <c r="AD10" i="17"/>
  <c r="AB10" i="17"/>
  <c r="Z10" i="17"/>
  <c r="X10" i="17"/>
  <c r="X27" i="17" s="1"/>
  <c r="Y10" i="53" s="1"/>
  <c r="V10" i="17"/>
  <c r="T10" i="17"/>
  <c r="R10" i="17"/>
  <c r="P10" i="17"/>
  <c r="N10" i="17"/>
  <c r="L10" i="17"/>
  <c r="J10" i="17"/>
  <c r="H10" i="17"/>
  <c r="H27" i="17" s="1"/>
  <c r="I10" i="53" s="1"/>
  <c r="F10" i="17"/>
  <c r="D10" i="17"/>
  <c r="AE9" i="17"/>
  <c r="AD9" i="17"/>
  <c r="AB9" i="17"/>
  <c r="Z9" i="17"/>
  <c r="X9" i="17"/>
  <c r="V9" i="17"/>
  <c r="T9" i="17"/>
  <c r="R9" i="17"/>
  <c r="P9" i="17"/>
  <c r="N9" i="17"/>
  <c r="L9" i="17"/>
  <c r="J9" i="17"/>
  <c r="H9" i="17"/>
  <c r="F9" i="17"/>
  <c r="AF9" i="17" s="1"/>
  <c r="D9" i="17"/>
  <c r="AG9" i="17" s="1"/>
  <c r="AE8" i="17"/>
  <c r="AD8" i="17"/>
  <c r="AB8" i="17"/>
  <c r="Z8" i="17"/>
  <c r="X8" i="17"/>
  <c r="V8" i="17"/>
  <c r="T8" i="17"/>
  <c r="R8" i="17"/>
  <c r="AF8" i="17" s="1"/>
  <c r="P8" i="17"/>
  <c r="N8" i="17"/>
  <c r="L8" i="17"/>
  <c r="J8" i="17"/>
  <c r="H8" i="17"/>
  <c r="F8" i="17"/>
  <c r="D8" i="17"/>
  <c r="AG7" i="17"/>
  <c r="AE7" i="17"/>
  <c r="AD7" i="17"/>
  <c r="AB7" i="17"/>
  <c r="Z7" i="17"/>
  <c r="X7" i="17"/>
  <c r="V7" i="17"/>
  <c r="T7" i="17"/>
  <c r="R7" i="17"/>
  <c r="P7" i="17"/>
  <c r="N7" i="17"/>
  <c r="L7" i="17"/>
  <c r="J7" i="17"/>
  <c r="H7" i="17"/>
  <c r="F7" i="17"/>
  <c r="D7" i="17"/>
  <c r="AF7" i="17" s="1"/>
  <c r="AE6" i="17"/>
  <c r="AD6" i="17"/>
  <c r="AB6" i="17"/>
  <c r="Z6" i="17"/>
  <c r="X6" i="17"/>
  <c r="V6" i="17"/>
  <c r="T6" i="17"/>
  <c r="R6" i="17"/>
  <c r="P6" i="17"/>
  <c r="P27" i="17" s="1"/>
  <c r="Q10" i="53" s="1"/>
  <c r="N6" i="17"/>
  <c r="L6" i="17"/>
  <c r="J6" i="17"/>
  <c r="H6" i="17"/>
  <c r="F6" i="17"/>
  <c r="D6" i="17"/>
  <c r="DL45" i="59"/>
  <c r="DD45" i="59"/>
  <c r="DC45" i="59"/>
  <c r="DB45" i="59"/>
  <c r="DA45" i="59"/>
  <c r="CZ45" i="59"/>
  <c r="CY45" i="59"/>
  <c r="CX45" i="59"/>
  <c r="CW45" i="59"/>
  <c r="CV45" i="59"/>
  <c r="CU45" i="59"/>
  <c r="CT45" i="59"/>
  <c r="CS45" i="59"/>
  <c r="CR45" i="59"/>
  <c r="CQ45" i="59"/>
  <c r="CP45" i="59"/>
  <c r="CO45" i="59"/>
  <c r="CN45" i="59"/>
  <c r="CM45" i="59"/>
  <c r="CL45" i="59"/>
  <c r="CK45" i="59"/>
  <c r="CJ45" i="59"/>
  <c r="CI45" i="59"/>
  <c r="CH45" i="59"/>
  <c r="CG45" i="59"/>
  <c r="CF45" i="59"/>
  <c r="CE45" i="59"/>
  <c r="CD45" i="59"/>
  <c r="CC45" i="59"/>
  <c r="CB45" i="59"/>
  <c r="CA45" i="59"/>
  <c r="BW45" i="59"/>
  <c r="BV45" i="59"/>
  <c r="BU45" i="59"/>
  <c r="BT45" i="59"/>
  <c r="BS45" i="59"/>
  <c r="BR45" i="59"/>
  <c r="BQ45" i="59"/>
  <c r="BP45" i="59"/>
  <c r="BO45" i="59"/>
  <c r="BN45" i="59"/>
  <c r="BM45" i="59"/>
  <c r="BL45" i="59"/>
  <c r="BK45" i="59"/>
  <c r="BJ45" i="59"/>
  <c r="BI45" i="59"/>
  <c r="BH45" i="59"/>
  <c r="BG45" i="59"/>
  <c r="BF45" i="59"/>
  <c r="BE45" i="59"/>
  <c r="BD45" i="59"/>
  <c r="BC45" i="59"/>
  <c r="BB45" i="59"/>
  <c r="BA45" i="59"/>
  <c r="AZ45" i="59"/>
  <c r="AY45" i="59"/>
  <c r="AX45" i="59"/>
  <c r="AW45" i="59"/>
  <c r="AV45" i="59"/>
  <c r="AU45" i="59"/>
  <c r="AT45" i="59"/>
  <c r="AP45" i="59"/>
  <c r="AO45" i="59"/>
  <c r="AN45" i="59"/>
  <c r="AM45" i="59"/>
  <c r="AL45" i="59"/>
  <c r="AK45" i="59"/>
  <c r="AJ45" i="59"/>
  <c r="AI45" i="59"/>
  <c r="AH45" i="59"/>
  <c r="AG45" i="59"/>
  <c r="AF45" i="59"/>
  <c r="AE45" i="59"/>
  <c r="AD45" i="59"/>
  <c r="AC45" i="59"/>
  <c r="AB45" i="59"/>
  <c r="AA45" i="59"/>
  <c r="Z45" i="59"/>
  <c r="Y45" i="59"/>
  <c r="X45" i="59"/>
  <c r="W45" i="59"/>
  <c r="V45" i="59"/>
  <c r="U45" i="59"/>
  <c r="T45" i="59"/>
  <c r="S45" i="59"/>
  <c r="R45" i="59"/>
  <c r="Q45" i="59"/>
  <c r="P45" i="59"/>
  <c r="O45" i="59"/>
  <c r="N45" i="59"/>
  <c r="M45" i="59"/>
  <c r="L45" i="59"/>
  <c r="K45" i="59"/>
  <c r="DL44" i="59"/>
  <c r="DH44" i="59"/>
  <c r="DG44" i="59"/>
  <c r="DE44" i="59"/>
  <c r="BZ44" i="59"/>
  <c r="AS44" i="59"/>
  <c r="AR44" i="59"/>
  <c r="DF44" i="59" s="1"/>
  <c r="AQ44" i="59"/>
  <c r="BX44" i="59" s="1"/>
  <c r="DL43" i="59"/>
  <c r="DG43" i="59"/>
  <c r="DE43" i="59"/>
  <c r="BZ43" i="59"/>
  <c r="BY43" i="59"/>
  <c r="BX43" i="59"/>
  <c r="AS43" i="59"/>
  <c r="AR43" i="59"/>
  <c r="DF43" i="59" s="1"/>
  <c r="AQ43" i="59"/>
  <c r="DL42" i="59"/>
  <c r="DH42" i="59"/>
  <c r="DF42" i="59"/>
  <c r="DE42" i="59"/>
  <c r="BY42" i="59"/>
  <c r="BX42" i="59"/>
  <c r="AS42" i="59"/>
  <c r="AR42" i="59"/>
  <c r="AQ42" i="59"/>
  <c r="DL41" i="59"/>
  <c r="DE41" i="59"/>
  <c r="BX41" i="59"/>
  <c r="AS41" i="59"/>
  <c r="AR41" i="59"/>
  <c r="AQ41" i="59"/>
  <c r="DL40" i="59"/>
  <c r="DH40" i="59"/>
  <c r="DE40" i="59"/>
  <c r="AS40" i="59"/>
  <c r="AR40" i="59"/>
  <c r="AQ40" i="59"/>
  <c r="BX40" i="59" s="1"/>
  <c r="DL39" i="59"/>
  <c r="DH39" i="59"/>
  <c r="DG39" i="59"/>
  <c r="DE39" i="59"/>
  <c r="BZ39" i="59"/>
  <c r="AS39" i="59"/>
  <c r="AR39" i="59"/>
  <c r="BY39" i="59" s="1"/>
  <c r="AQ39" i="59"/>
  <c r="BX39" i="59" s="1"/>
  <c r="DL38" i="59"/>
  <c r="DG38" i="59"/>
  <c r="DF38" i="59"/>
  <c r="DE38" i="59"/>
  <c r="BY38" i="59"/>
  <c r="AS38" i="59"/>
  <c r="BZ38" i="59" s="1"/>
  <c r="AR38" i="59"/>
  <c r="AQ38" i="59"/>
  <c r="BX38" i="59" s="1"/>
  <c r="DL37" i="59"/>
  <c r="DH37" i="59"/>
  <c r="DF37" i="59"/>
  <c r="DE37" i="59"/>
  <c r="BZ37" i="59"/>
  <c r="BX37" i="59"/>
  <c r="AS37" i="59"/>
  <c r="DG37" i="59" s="1"/>
  <c r="AR37" i="59"/>
  <c r="BY37" i="59" s="1"/>
  <c r="AQ37" i="59"/>
  <c r="DL36" i="59"/>
  <c r="DE36" i="59"/>
  <c r="BZ36" i="59"/>
  <c r="BY36" i="59"/>
  <c r="AS36" i="59"/>
  <c r="DG36" i="59" s="1"/>
  <c r="AR36" i="59"/>
  <c r="DF36" i="59" s="1"/>
  <c r="AQ36" i="59"/>
  <c r="BX36" i="59" s="1"/>
  <c r="DL35" i="59"/>
  <c r="DG35" i="59"/>
  <c r="DE35" i="59"/>
  <c r="BZ35" i="59"/>
  <c r="BY35" i="59"/>
  <c r="BX35" i="59"/>
  <c r="AS35" i="59"/>
  <c r="AR35" i="59"/>
  <c r="DF35" i="59" s="1"/>
  <c r="AQ35" i="59"/>
  <c r="DL34" i="59"/>
  <c r="DH34" i="59"/>
  <c r="DF34" i="59"/>
  <c r="DE34" i="59"/>
  <c r="BY34" i="59"/>
  <c r="BX34" i="59"/>
  <c r="AS34" i="59"/>
  <c r="AR34" i="59"/>
  <c r="AQ34" i="59"/>
  <c r="DL33" i="59"/>
  <c r="DH33" i="59"/>
  <c r="DE33" i="59"/>
  <c r="BX33" i="59"/>
  <c r="AS33" i="59"/>
  <c r="AR33" i="59"/>
  <c r="AQ33" i="59"/>
  <c r="DL32" i="59"/>
  <c r="DH32" i="59"/>
  <c r="DG32" i="59"/>
  <c r="DE32" i="59"/>
  <c r="AS32" i="59"/>
  <c r="BZ32" i="59" s="1"/>
  <c r="AR32" i="59"/>
  <c r="AQ32" i="59"/>
  <c r="BX32" i="59" s="1"/>
  <c r="DL31" i="59"/>
  <c r="DH31" i="59"/>
  <c r="DG31" i="59"/>
  <c r="DE31" i="59"/>
  <c r="BZ31" i="59"/>
  <c r="AS31" i="59"/>
  <c r="AR31" i="59"/>
  <c r="AQ31" i="59"/>
  <c r="BX31" i="59" s="1"/>
  <c r="DL30" i="59"/>
  <c r="DG30" i="59"/>
  <c r="DF30" i="59"/>
  <c r="DE30" i="59"/>
  <c r="BY30" i="59"/>
  <c r="AS30" i="59"/>
  <c r="BZ30" i="59" s="1"/>
  <c r="AR30" i="59"/>
  <c r="AQ30" i="59"/>
  <c r="BX30" i="59" s="1"/>
  <c r="DL29" i="59"/>
  <c r="DF29" i="59"/>
  <c r="DE29" i="59"/>
  <c r="BZ29" i="59"/>
  <c r="BX29" i="59"/>
  <c r="AS29" i="59"/>
  <c r="DG29" i="59" s="1"/>
  <c r="AR29" i="59"/>
  <c r="BY29" i="59" s="1"/>
  <c r="AQ29" i="59"/>
  <c r="DL28" i="59"/>
  <c r="DE28" i="59"/>
  <c r="BZ28" i="59"/>
  <c r="BY28" i="59"/>
  <c r="AS28" i="59"/>
  <c r="DG28" i="59" s="1"/>
  <c r="AR28" i="59"/>
  <c r="DF28" i="59" s="1"/>
  <c r="AQ28" i="59"/>
  <c r="BX28" i="59" s="1"/>
  <c r="DL27" i="59"/>
  <c r="DG27" i="59"/>
  <c r="DE27" i="59"/>
  <c r="BZ27" i="59"/>
  <c r="BY27" i="59"/>
  <c r="BX27" i="59"/>
  <c r="AS27" i="59"/>
  <c r="AR27" i="59"/>
  <c r="DF27" i="59" s="1"/>
  <c r="AQ27" i="59"/>
  <c r="DL26" i="59"/>
  <c r="DF26" i="59"/>
  <c r="DE26" i="59"/>
  <c r="BY26" i="59"/>
  <c r="BX26" i="59"/>
  <c r="AS26" i="59"/>
  <c r="AR26" i="59"/>
  <c r="AQ26" i="59"/>
  <c r="DL25" i="59"/>
  <c r="DH25" i="59"/>
  <c r="DE25" i="59"/>
  <c r="BX25" i="59"/>
  <c r="AS25" i="59"/>
  <c r="AR25" i="59"/>
  <c r="AQ25" i="59"/>
  <c r="DL24" i="59"/>
  <c r="DG24" i="59"/>
  <c r="DE24" i="59"/>
  <c r="AS24" i="59"/>
  <c r="BZ24" i="59" s="1"/>
  <c r="AR24" i="59"/>
  <c r="AQ24" i="59"/>
  <c r="BX24" i="59" s="1"/>
  <c r="DL23" i="59"/>
  <c r="DH23" i="59"/>
  <c r="DG23" i="59"/>
  <c r="DF23" i="59"/>
  <c r="DE23" i="59"/>
  <c r="BZ23" i="59"/>
  <c r="BY23" i="59"/>
  <c r="AS23" i="59"/>
  <c r="AR23" i="59"/>
  <c r="AQ23" i="59"/>
  <c r="BX23" i="59" s="1"/>
  <c r="DL22" i="59"/>
  <c r="DG22" i="59"/>
  <c r="DF22" i="59"/>
  <c r="DE22" i="59"/>
  <c r="BY22" i="59"/>
  <c r="BX22" i="59"/>
  <c r="AS22" i="59"/>
  <c r="BZ22" i="59" s="1"/>
  <c r="AR22" i="59"/>
  <c r="AQ22" i="59"/>
  <c r="DL21" i="59"/>
  <c r="DF21" i="59"/>
  <c r="DE21" i="59"/>
  <c r="BX21" i="59"/>
  <c r="AS21" i="59"/>
  <c r="DG21" i="59" s="1"/>
  <c r="AR21" i="59"/>
  <c r="BY21" i="59" s="1"/>
  <c r="AQ21" i="59"/>
  <c r="DL20" i="59"/>
  <c r="DH20" i="59"/>
  <c r="DE20" i="59"/>
  <c r="BZ20" i="59"/>
  <c r="AS20" i="59"/>
  <c r="DG20" i="59" s="1"/>
  <c r="AR20" i="59"/>
  <c r="AQ20" i="59"/>
  <c r="BX20" i="59" s="1"/>
  <c r="DL19" i="59"/>
  <c r="DG19" i="59"/>
  <c r="DE19" i="59"/>
  <c r="BZ19" i="59"/>
  <c r="BY19" i="59"/>
  <c r="AS19" i="59"/>
  <c r="AR19" i="59"/>
  <c r="DF19" i="59" s="1"/>
  <c r="AQ19" i="59"/>
  <c r="BX19" i="59" s="1"/>
  <c r="DL18" i="59"/>
  <c r="DH18" i="59"/>
  <c r="DF18" i="59"/>
  <c r="DE18" i="59"/>
  <c r="BY18" i="59"/>
  <c r="AS18" i="59"/>
  <c r="AR18" i="59"/>
  <c r="AQ18" i="59"/>
  <c r="BX18" i="59" s="1"/>
  <c r="DL17" i="59"/>
  <c r="DF17" i="59"/>
  <c r="DE17" i="59"/>
  <c r="BX17" i="59"/>
  <c r="AS17" i="59"/>
  <c r="AR17" i="59"/>
  <c r="BY17" i="59" s="1"/>
  <c r="AQ17" i="59"/>
  <c r="DL16" i="59"/>
  <c r="DH16" i="59"/>
  <c r="DE16" i="59"/>
  <c r="BZ16" i="59"/>
  <c r="AS16" i="59"/>
  <c r="DG16" i="59" s="1"/>
  <c r="AR16" i="59"/>
  <c r="AQ16" i="59"/>
  <c r="BX16" i="59" s="1"/>
  <c r="DL15" i="59"/>
  <c r="DH15" i="59"/>
  <c r="DG15" i="59"/>
  <c r="DE15" i="59"/>
  <c r="BZ15" i="59"/>
  <c r="AS15" i="59"/>
  <c r="AR15" i="59"/>
  <c r="AQ15" i="59"/>
  <c r="BX15" i="59" s="1"/>
  <c r="DL14" i="59"/>
  <c r="DG14" i="59"/>
  <c r="DF14" i="59"/>
  <c r="DE14" i="59"/>
  <c r="BY14" i="59"/>
  <c r="BX14" i="59"/>
  <c r="AS14" i="59"/>
  <c r="BZ14" i="59" s="1"/>
  <c r="AR14" i="59"/>
  <c r="AQ14" i="59"/>
  <c r="DL13" i="59"/>
  <c r="DF13" i="59"/>
  <c r="DE13" i="59"/>
  <c r="BZ13" i="59"/>
  <c r="BX13" i="59"/>
  <c r="AS13" i="59"/>
  <c r="DG13" i="59" s="1"/>
  <c r="AR13" i="59"/>
  <c r="BY13" i="59" s="1"/>
  <c r="AQ13" i="59"/>
  <c r="DL12" i="59"/>
  <c r="DH12" i="59"/>
  <c r="DE12" i="59"/>
  <c r="BZ12" i="59"/>
  <c r="BY12" i="59"/>
  <c r="AS12" i="59"/>
  <c r="DG12" i="59" s="1"/>
  <c r="AR12" i="59"/>
  <c r="DF12" i="59" s="1"/>
  <c r="AQ12" i="59"/>
  <c r="BX12" i="59" s="1"/>
  <c r="DL11" i="59"/>
  <c r="DH11" i="59"/>
  <c r="DG11" i="59"/>
  <c r="DE11" i="59"/>
  <c r="BZ11" i="59"/>
  <c r="AS11" i="59"/>
  <c r="AR11" i="59"/>
  <c r="AQ11" i="59"/>
  <c r="BX11" i="59" s="1"/>
  <c r="DL10" i="59"/>
  <c r="DG10" i="59"/>
  <c r="DF10" i="59"/>
  <c r="DE10" i="59"/>
  <c r="BY10" i="59"/>
  <c r="BX10" i="59"/>
  <c r="AS10" i="59"/>
  <c r="BZ10" i="59" s="1"/>
  <c r="AR10" i="59"/>
  <c r="AQ10" i="59"/>
  <c r="DL9" i="59"/>
  <c r="DF9" i="59"/>
  <c r="DE9" i="59"/>
  <c r="BY9" i="59"/>
  <c r="AS9" i="59"/>
  <c r="AR9" i="59"/>
  <c r="AQ9" i="59"/>
  <c r="BX9" i="59" s="1"/>
  <c r="DL8" i="59"/>
  <c r="DF8" i="59"/>
  <c r="DE8" i="59"/>
  <c r="BX8" i="59"/>
  <c r="AS8" i="59"/>
  <c r="AR8" i="59"/>
  <c r="BY8" i="59" s="1"/>
  <c r="AQ8" i="59"/>
  <c r="DL7" i="59"/>
  <c r="DH7" i="59"/>
  <c r="DG7" i="59"/>
  <c r="DE7" i="59"/>
  <c r="AS7" i="59"/>
  <c r="AR7" i="59"/>
  <c r="AQ7" i="59"/>
  <c r="BX7" i="59" s="1"/>
  <c r="DL6" i="59"/>
  <c r="DG6" i="59"/>
  <c r="DE6" i="59"/>
  <c r="BZ6" i="59"/>
  <c r="AS6" i="59"/>
  <c r="AR6" i="59"/>
  <c r="AQ6" i="59"/>
  <c r="BX6" i="59" s="1"/>
  <c r="DL5" i="59"/>
  <c r="DG5" i="59"/>
  <c r="DF5" i="59"/>
  <c r="DE5" i="59"/>
  <c r="BZ5" i="59"/>
  <c r="AS5" i="59"/>
  <c r="AR5" i="59"/>
  <c r="BY5" i="59" s="1"/>
  <c r="AQ5" i="59"/>
  <c r="BX5" i="59" s="1"/>
  <c r="DL4" i="59"/>
  <c r="DG4" i="59"/>
  <c r="DE4" i="59"/>
  <c r="BZ4" i="59"/>
  <c r="AS4" i="59"/>
  <c r="AR4" i="59"/>
  <c r="AQ4" i="59"/>
  <c r="DQ3" i="59"/>
  <c r="F188" i="57"/>
  <c r="P177" i="57"/>
  <c r="N174" i="57"/>
  <c r="M174" i="57"/>
  <c r="M176" i="57" s="1"/>
  <c r="M177" i="57" s="1"/>
  <c r="L174" i="57"/>
  <c r="L176" i="57" s="1"/>
  <c r="K174" i="57"/>
  <c r="J174" i="57"/>
  <c r="O173" i="57"/>
  <c r="G173" i="57"/>
  <c r="H173" i="57" s="1"/>
  <c r="O172" i="57"/>
  <c r="G172" i="57"/>
  <c r="H172" i="57" s="1"/>
  <c r="O171" i="57"/>
  <c r="O174" i="57" s="1"/>
  <c r="G171" i="57"/>
  <c r="H171" i="57" s="1"/>
  <c r="O170" i="57"/>
  <c r="N169" i="57"/>
  <c r="M169" i="57"/>
  <c r="L169" i="57"/>
  <c r="K169" i="57"/>
  <c r="J169" i="57"/>
  <c r="O168" i="57"/>
  <c r="G168" i="57"/>
  <c r="H168" i="57" s="1"/>
  <c r="O167" i="57"/>
  <c r="G167" i="57"/>
  <c r="H167" i="57" s="1"/>
  <c r="O166" i="57"/>
  <c r="G166" i="57"/>
  <c r="H166" i="57" s="1"/>
  <c r="O165" i="57"/>
  <c r="G165" i="57"/>
  <c r="H165" i="57" s="1"/>
  <c r="O164" i="57"/>
  <c r="G164" i="57"/>
  <c r="H164" i="57" s="1"/>
  <c r="O163" i="57"/>
  <c r="G163" i="57"/>
  <c r="H163" i="57" s="1"/>
  <c r="O162" i="57"/>
  <c r="G162" i="57"/>
  <c r="H162" i="57" s="1"/>
  <c r="O161" i="57"/>
  <c r="G161" i="57"/>
  <c r="H161" i="57" s="1"/>
  <c r="O160" i="57"/>
  <c r="G160" i="57"/>
  <c r="H160" i="57" s="1"/>
  <c r="O159" i="57"/>
  <c r="G159" i="57"/>
  <c r="H159" i="57" s="1"/>
  <c r="O158" i="57"/>
  <c r="G158" i="57"/>
  <c r="H158" i="57" s="1"/>
  <c r="O157" i="57"/>
  <c r="G157" i="57"/>
  <c r="H157" i="57" s="1"/>
  <c r="O156" i="57"/>
  <c r="N155" i="57"/>
  <c r="M155" i="57"/>
  <c r="L155" i="57"/>
  <c r="K155" i="57"/>
  <c r="Q158" i="57" s="1"/>
  <c r="J155" i="57"/>
  <c r="O154" i="57"/>
  <c r="G154" i="57"/>
  <c r="H154" i="57" s="1"/>
  <c r="O153" i="57"/>
  <c r="G153" i="57"/>
  <c r="H153" i="57" s="1"/>
  <c r="O152" i="57"/>
  <c r="G152" i="57"/>
  <c r="H152" i="57" s="1"/>
  <c r="O151" i="57"/>
  <c r="O155" i="57" s="1"/>
  <c r="G151" i="57"/>
  <c r="H151" i="57" s="1"/>
  <c r="O150" i="57"/>
  <c r="N149" i="57"/>
  <c r="M149" i="57"/>
  <c r="L149" i="57"/>
  <c r="K149" i="57"/>
  <c r="J149" i="57"/>
  <c r="O148" i="57"/>
  <c r="G148" i="57"/>
  <c r="H148" i="57" s="1"/>
  <c r="O147" i="57"/>
  <c r="G147" i="57"/>
  <c r="H147" i="57" s="1"/>
  <c r="O146" i="57"/>
  <c r="G146" i="57"/>
  <c r="H146" i="57" s="1"/>
  <c r="O145" i="57"/>
  <c r="G145" i="57"/>
  <c r="H145" i="57" s="1"/>
  <c r="O144" i="57"/>
  <c r="G144" i="57"/>
  <c r="H144" i="57" s="1"/>
  <c r="O143" i="57"/>
  <c r="O142" i="57"/>
  <c r="G142" i="57"/>
  <c r="H142" i="57" s="1"/>
  <c r="O141" i="57"/>
  <c r="O139" i="57"/>
  <c r="N138" i="57"/>
  <c r="M138" i="57"/>
  <c r="L138" i="57"/>
  <c r="K138" i="57"/>
  <c r="J138" i="57"/>
  <c r="O137" i="57"/>
  <c r="G137" i="57"/>
  <c r="H137" i="57" s="1"/>
  <c r="O136" i="57"/>
  <c r="O138" i="57" s="1"/>
  <c r="G136" i="57"/>
  <c r="H136" i="57" s="1"/>
  <c r="Q135" i="57"/>
  <c r="O135" i="57"/>
  <c r="N134" i="57"/>
  <c r="M134" i="57"/>
  <c r="L134" i="57"/>
  <c r="K134" i="57"/>
  <c r="J134" i="57"/>
  <c r="O133" i="57"/>
  <c r="G133" i="57"/>
  <c r="H133" i="57" s="1"/>
  <c r="O132" i="57"/>
  <c r="G132" i="57"/>
  <c r="H132" i="57" s="1"/>
  <c r="O131" i="57"/>
  <c r="G131" i="57"/>
  <c r="H131" i="57" s="1"/>
  <c r="O130" i="57"/>
  <c r="N129" i="57"/>
  <c r="M129" i="57"/>
  <c r="L129" i="57"/>
  <c r="K129" i="57"/>
  <c r="J129" i="57"/>
  <c r="O128" i="57"/>
  <c r="G128" i="57"/>
  <c r="H128" i="57" s="1"/>
  <c r="O127" i="57"/>
  <c r="O129" i="57" s="1"/>
  <c r="G127" i="57"/>
  <c r="H127" i="57" s="1"/>
  <c r="O126" i="57"/>
  <c r="G126" i="57"/>
  <c r="H126" i="57" s="1"/>
  <c r="O125" i="57"/>
  <c r="Q124" i="57"/>
  <c r="N124" i="57"/>
  <c r="M124" i="57"/>
  <c r="L124" i="57"/>
  <c r="L177" i="57" s="1"/>
  <c r="K124" i="57"/>
  <c r="J124" i="57"/>
  <c r="O123" i="57"/>
  <c r="G123" i="57"/>
  <c r="H123" i="57" s="1"/>
  <c r="O122" i="57"/>
  <c r="O124" i="57" s="1"/>
  <c r="G122" i="57"/>
  <c r="H122" i="57" s="1"/>
  <c r="O121" i="57"/>
  <c r="Q120" i="57"/>
  <c r="N120" i="57"/>
  <c r="M120" i="57"/>
  <c r="L120" i="57"/>
  <c r="K120" i="57"/>
  <c r="J120" i="57"/>
  <c r="O119" i="57"/>
  <c r="G119" i="57"/>
  <c r="H119" i="57" s="1"/>
  <c r="O118" i="57"/>
  <c r="G118" i="57"/>
  <c r="H118" i="57" s="1"/>
  <c r="O117" i="57"/>
  <c r="O120" i="57" s="1"/>
  <c r="G117" i="57"/>
  <c r="H117" i="57" s="1"/>
  <c r="O116" i="57"/>
  <c r="O115" i="57"/>
  <c r="K115" i="57"/>
  <c r="Q173" i="57" s="1"/>
  <c r="J115" i="57"/>
  <c r="O114" i="57"/>
  <c r="G114" i="57"/>
  <c r="H114" i="57" s="1"/>
  <c r="O113" i="57"/>
  <c r="G113" i="57"/>
  <c r="H113" i="57" s="1"/>
  <c r="O112" i="57"/>
  <c r="G112" i="57"/>
  <c r="H112" i="57" s="1"/>
  <c r="O111" i="57"/>
  <c r="G111" i="57"/>
  <c r="H111" i="57" s="1"/>
  <c r="O110" i="57"/>
  <c r="G110" i="57"/>
  <c r="H110" i="57" s="1"/>
  <c r="Q108" i="57"/>
  <c r="N108" i="57"/>
  <c r="M108" i="57"/>
  <c r="L108" i="57"/>
  <c r="K108" i="57"/>
  <c r="J108" i="57"/>
  <c r="O107" i="57"/>
  <c r="G107" i="57"/>
  <c r="H107" i="57" s="1"/>
  <c r="O106" i="57"/>
  <c r="G106" i="57"/>
  <c r="H106" i="57" s="1"/>
  <c r="O105" i="57"/>
  <c r="G105" i="57"/>
  <c r="H105" i="57" s="1"/>
  <c r="O104" i="57"/>
  <c r="G104" i="57"/>
  <c r="H104" i="57" s="1"/>
  <c r="O103" i="57"/>
  <c r="G103" i="57"/>
  <c r="H103" i="57" s="1"/>
  <c r="O102" i="57"/>
  <c r="G102" i="57"/>
  <c r="H102" i="57" s="1"/>
  <c r="O101" i="57"/>
  <c r="G101" i="57"/>
  <c r="H101" i="57" s="1"/>
  <c r="O100" i="57"/>
  <c r="G100" i="57"/>
  <c r="H100" i="57" s="1"/>
  <c r="O99" i="57"/>
  <c r="G99" i="57"/>
  <c r="H99" i="57" s="1"/>
  <c r="O98" i="57"/>
  <c r="G98" i="57"/>
  <c r="H98" i="57" s="1"/>
  <c r="O97" i="57"/>
  <c r="G97" i="57"/>
  <c r="H97" i="57" s="1"/>
  <c r="O96" i="57"/>
  <c r="G96" i="57"/>
  <c r="H96" i="57" s="1"/>
  <c r="O95" i="57"/>
  <c r="G95" i="57"/>
  <c r="H95" i="57" s="1"/>
  <c r="O94" i="57"/>
  <c r="G94" i="57"/>
  <c r="H94" i="57" s="1"/>
  <c r="O93" i="57"/>
  <c r="G93" i="57"/>
  <c r="H93" i="57" s="1"/>
  <c r="O92" i="57"/>
  <c r="G92" i="57"/>
  <c r="H92" i="57" s="1"/>
  <c r="O91" i="57"/>
  <c r="G91" i="57"/>
  <c r="H91" i="57" s="1"/>
  <c r="O90" i="57"/>
  <c r="G90" i="57"/>
  <c r="H90" i="57" s="1"/>
  <c r="O89" i="57"/>
  <c r="G89" i="57"/>
  <c r="H89" i="57" s="1"/>
  <c r="O88" i="57"/>
  <c r="G88" i="57"/>
  <c r="H88" i="57" s="1"/>
  <c r="O87" i="57"/>
  <c r="G87" i="57"/>
  <c r="H87" i="57" s="1"/>
  <c r="O86" i="57"/>
  <c r="G86" i="57"/>
  <c r="H86" i="57" s="1"/>
  <c r="O85" i="57"/>
  <c r="G85" i="57"/>
  <c r="H85" i="57" s="1"/>
  <c r="O84" i="57"/>
  <c r="G84" i="57"/>
  <c r="H84" i="57" s="1"/>
  <c r="O83" i="57"/>
  <c r="G83" i="57"/>
  <c r="H83" i="57" s="1"/>
  <c r="O82" i="57"/>
  <c r="G82" i="57"/>
  <c r="H82" i="57" s="1"/>
  <c r="O81" i="57"/>
  <c r="G81" i="57"/>
  <c r="H81" i="57" s="1"/>
  <c r="O80" i="57"/>
  <c r="G80" i="57"/>
  <c r="H80" i="57" s="1"/>
  <c r="O79" i="57"/>
  <c r="G79" i="57"/>
  <c r="H79" i="57" s="1"/>
  <c r="O78" i="57"/>
  <c r="G78" i="57"/>
  <c r="H78" i="57" s="1"/>
  <c r="O77" i="57"/>
  <c r="G77" i="57"/>
  <c r="H77" i="57" s="1"/>
  <c r="O76" i="57"/>
  <c r="G76" i="57"/>
  <c r="H76" i="57" s="1"/>
  <c r="O75" i="57"/>
  <c r="G75" i="57"/>
  <c r="H75" i="57" s="1"/>
  <c r="O74" i="57"/>
  <c r="G74" i="57"/>
  <c r="H74" i="57" s="1"/>
  <c r="O73" i="57"/>
  <c r="G73" i="57"/>
  <c r="H73" i="57" s="1"/>
  <c r="O72" i="57"/>
  <c r="G72" i="57"/>
  <c r="H72" i="57" s="1"/>
  <c r="O71" i="57"/>
  <c r="G71" i="57"/>
  <c r="H71" i="57" s="1"/>
  <c r="O70" i="57"/>
  <c r="G70" i="57"/>
  <c r="H70" i="57" s="1"/>
  <c r="O69" i="57"/>
  <c r="G69" i="57"/>
  <c r="H69" i="57" s="1"/>
  <c r="O68" i="57"/>
  <c r="G68" i="57"/>
  <c r="H68" i="57" s="1"/>
  <c r="O67" i="57"/>
  <c r="G67" i="57"/>
  <c r="H67" i="57" s="1"/>
  <c r="O66" i="57"/>
  <c r="G66" i="57"/>
  <c r="H66" i="57" s="1"/>
  <c r="O65" i="57"/>
  <c r="G65" i="57"/>
  <c r="H65" i="57" s="1"/>
  <c r="O64" i="57"/>
  <c r="G64" i="57"/>
  <c r="H64" i="57" s="1"/>
  <c r="O63" i="57"/>
  <c r="G63" i="57"/>
  <c r="H63" i="57" s="1"/>
  <c r="O62" i="57"/>
  <c r="G62" i="57"/>
  <c r="H62" i="57" s="1"/>
  <c r="O61" i="57"/>
  <c r="G61" i="57"/>
  <c r="H61" i="57" s="1"/>
  <c r="O60" i="57"/>
  <c r="G60" i="57"/>
  <c r="H60" i="57" s="1"/>
  <c r="O59" i="57"/>
  <c r="G59" i="57"/>
  <c r="H59" i="57" s="1"/>
  <c r="O58" i="57"/>
  <c r="G58" i="57"/>
  <c r="H58" i="57" s="1"/>
  <c r="O57" i="57"/>
  <c r="G57" i="57"/>
  <c r="H57" i="57" s="1"/>
  <c r="O56" i="57"/>
  <c r="G56" i="57"/>
  <c r="H56" i="57" s="1"/>
  <c r="O55" i="57"/>
  <c r="G55" i="57"/>
  <c r="H55" i="57" s="1"/>
  <c r="O54" i="57"/>
  <c r="G54" i="57"/>
  <c r="H54" i="57" s="1"/>
  <c r="O53" i="57"/>
  <c r="G53" i="57"/>
  <c r="H53" i="57" s="1"/>
  <c r="O52" i="57"/>
  <c r="O108" i="57" s="1"/>
  <c r="G52" i="57"/>
  <c r="H52" i="57" s="1"/>
  <c r="O51" i="57"/>
  <c r="O50" i="57"/>
  <c r="R35" i="57" s="1"/>
  <c r="J50" i="57"/>
  <c r="O49" i="57"/>
  <c r="G49" i="57"/>
  <c r="H49" i="57" s="1"/>
  <c r="O47" i="57"/>
  <c r="Q45" i="57" s="1"/>
  <c r="L47" i="57"/>
  <c r="J47" i="57"/>
  <c r="O46" i="57"/>
  <c r="G46" i="57"/>
  <c r="H46" i="57" s="1"/>
  <c r="O45" i="57"/>
  <c r="G45" i="57"/>
  <c r="H45" i="57" s="1"/>
  <c r="O44" i="57"/>
  <c r="G44" i="57"/>
  <c r="H44" i="57" s="1"/>
  <c r="O43" i="57"/>
  <c r="G43" i="57"/>
  <c r="H43" i="57" s="1"/>
  <c r="O42" i="57"/>
  <c r="G42" i="57"/>
  <c r="H42" i="57" s="1"/>
  <c r="K40" i="57"/>
  <c r="J40" i="57"/>
  <c r="R39" i="57"/>
  <c r="O39" i="57"/>
  <c r="G39" i="57"/>
  <c r="H39" i="57" s="1"/>
  <c r="O38" i="57"/>
  <c r="G38" i="57"/>
  <c r="H38" i="57" s="1"/>
  <c r="O37" i="57"/>
  <c r="G37" i="57"/>
  <c r="H37" i="57" s="1"/>
  <c r="O36" i="57"/>
  <c r="G36" i="57"/>
  <c r="H36" i="57" s="1"/>
  <c r="O35" i="57"/>
  <c r="G35" i="57"/>
  <c r="H35" i="57" s="1"/>
  <c r="O34" i="57"/>
  <c r="G34" i="57"/>
  <c r="H34" i="57" s="1"/>
  <c r="O33" i="57"/>
  <c r="G33" i="57"/>
  <c r="H33" i="57" s="1"/>
  <c r="O32" i="57"/>
  <c r="G32" i="57"/>
  <c r="H32" i="57" s="1"/>
  <c r="O31" i="57"/>
  <c r="G31" i="57"/>
  <c r="O30" i="57"/>
  <c r="G30" i="57"/>
  <c r="H30" i="57" s="1"/>
  <c r="R29" i="57"/>
  <c r="O29" i="57"/>
  <c r="G29" i="57"/>
  <c r="H29" i="57" s="1"/>
  <c r="O28" i="57"/>
  <c r="G28" i="57"/>
  <c r="H28" i="57" s="1"/>
  <c r="O27" i="57"/>
  <c r="G27" i="57"/>
  <c r="H27" i="57" s="1"/>
  <c r="O26" i="57"/>
  <c r="G26" i="57"/>
  <c r="H26" i="57" s="1"/>
  <c r="O25" i="57"/>
  <c r="G25" i="57"/>
  <c r="H25" i="57" s="1"/>
  <c r="O24" i="57"/>
  <c r="G24" i="57"/>
  <c r="H24" i="57" s="1"/>
  <c r="O23" i="57"/>
  <c r="G23" i="57"/>
  <c r="H23" i="57" s="1"/>
  <c r="O22" i="57"/>
  <c r="G22" i="57"/>
  <c r="H22" i="57" s="1"/>
  <c r="O21" i="57"/>
  <c r="G21" i="57"/>
  <c r="H21" i="57" s="1"/>
  <c r="O20" i="57"/>
  <c r="G20" i="57"/>
  <c r="H20" i="57" s="1"/>
  <c r="O19" i="57"/>
  <c r="G19" i="57"/>
  <c r="H19" i="57" s="1"/>
  <c r="O18" i="57"/>
  <c r="G18" i="57"/>
  <c r="H18" i="57" s="1"/>
  <c r="O17" i="57"/>
  <c r="G17" i="57"/>
  <c r="H17" i="57" s="1"/>
  <c r="O16" i="57"/>
  <c r="G16" i="57"/>
  <c r="H16" i="57" s="1"/>
  <c r="O15" i="57"/>
  <c r="G15" i="57"/>
  <c r="H15" i="57" s="1"/>
  <c r="O14" i="57"/>
  <c r="G14" i="57"/>
  <c r="H14" i="57" s="1"/>
  <c r="O13" i="57"/>
  <c r="G13" i="57"/>
  <c r="H13" i="57" s="1"/>
  <c r="O12" i="57"/>
  <c r="G12" i="57"/>
  <c r="H12" i="57" s="1"/>
  <c r="O11" i="57"/>
  <c r="G11" i="57"/>
  <c r="H11" i="57" s="1"/>
  <c r="O10" i="57"/>
  <c r="G10" i="57"/>
  <c r="H10" i="57" s="1"/>
  <c r="O9" i="57"/>
  <c r="G9" i="57"/>
  <c r="H9" i="57" s="1"/>
  <c r="O8" i="57"/>
  <c r="G8" i="57"/>
  <c r="H8" i="57" s="1"/>
  <c r="O7" i="57"/>
  <c r="G7" i="57"/>
  <c r="H7" i="57" s="1"/>
  <c r="O6" i="57"/>
  <c r="G6" i="57"/>
  <c r="H6" i="57" s="1"/>
  <c r="O5" i="57"/>
  <c r="G5" i="57"/>
  <c r="H5" i="57" s="1"/>
  <c r="O4" i="57"/>
  <c r="G4" i="57"/>
  <c r="H4" i="57" s="1"/>
  <c r="O3" i="57"/>
  <c r="G3" i="57"/>
  <c r="H3" i="57" s="1"/>
  <c r="DL45" i="8"/>
  <c r="DD45" i="8"/>
  <c r="DC45" i="8"/>
  <c r="DB45" i="8"/>
  <c r="DA45" i="8"/>
  <c r="CZ45" i="8"/>
  <c r="CY45" i="8"/>
  <c r="CX45" i="8"/>
  <c r="CW45" i="8"/>
  <c r="CV45" i="8"/>
  <c r="CU45" i="8"/>
  <c r="CT45" i="8"/>
  <c r="CS45" i="8"/>
  <c r="CR45" i="8"/>
  <c r="CQ45" i="8"/>
  <c r="CP45" i="8"/>
  <c r="CO45" i="8"/>
  <c r="CN45" i="8"/>
  <c r="CM45" i="8"/>
  <c r="CL45" i="8"/>
  <c r="CK45" i="8"/>
  <c r="CJ45" i="8"/>
  <c r="CI45" i="8"/>
  <c r="CH45" i="8"/>
  <c r="CG45" i="8"/>
  <c r="CF45" i="8"/>
  <c r="CE45" i="8"/>
  <c r="CD45" i="8"/>
  <c r="CC45" i="8"/>
  <c r="CB45" i="8"/>
  <c r="CA45" i="8"/>
  <c r="BW45" i="8"/>
  <c r="BV45" i="8"/>
  <c r="BU45" i="8"/>
  <c r="BT45" i="8"/>
  <c r="BS45" i="8"/>
  <c r="BR45" i="8"/>
  <c r="BQ45" i="8"/>
  <c r="BP45" i="8"/>
  <c r="BO45" i="8"/>
  <c r="BN45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DQ3" i="8" s="1"/>
  <c r="K45" i="8"/>
  <c r="DL44" i="8"/>
  <c r="DH44" i="8"/>
  <c r="DG44" i="8"/>
  <c r="DF44" i="8"/>
  <c r="DE44" i="8"/>
  <c r="BZ44" i="8"/>
  <c r="BX44" i="8"/>
  <c r="AS44" i="8"/>
  <c r="AR44" i="8"/>
  <c r="BY44" i="8" s="1"/>
  <c r="AQ44" i="8"/>
  <c r="DL43" i="8"/>
  <c r="DF43" i="8"/>
  <c r="DE43" i="8"/>
  <c r="BY43" i="8"/>
  <c r="BX43" i="8"/>
  <c r="AS43" i="8"/>
  <c r="AR43" i="8"/>
  <c r="AQ43" i="8"/>
  <c r="DL42" i="8"/>
  <c r="DH42" i="8"/>
  <c r="DF42" i="8"/>
  <c r="DE42" i="8"/>
  <c r="BX42" i="8"/>
  <c r="AS42" i="8"/>
  <c r="DG42" i="8" s="1"/>
  <c r="AR42" i="8"/>
  <c r="BY42" i="8" s="1"/>
  <c r="AQ42" i="8"/>
  <c r="DL41" i="8"/>
  <c r="DE41" i="8"/>
  <c r="BY41" i="8"/>
  <c r="AS41" i="8"/>
  <c r="AR41" i="8"/>
  <c r="DF41" i="8" s="1"/>
  <c r="AQ41" i="8"/>
  <c r="BX41" i="8" s="1"/>
  <c r="DL40" i="8"/>
  <c r="DH40" i="8"/>
  <c r="DG40" i="8"/>
  <c r="DE40" i="8"/>
  <c r="BZ40" i="8"/>
  <c r="AS40" i="8"/>
  <c r="AR40" i="8"/>
  <c r="AQ40" i="8"/>
  <c r="BX40" i="8" s="1"/>
  <c r="DL39" i="8"/>
  <c r="DF39" i="8"/>
  <c r="DE39" i="8"/>
  <c r="BY39" i="8"/>
  <c r="AS39" i="8"/>
  <c r="BZ39" i="8" s="1"/>
  <c r="AR39" i="8"/>
  <c r="AQ39" i="8"/>
  <c r="BX39" i="8" s="1"/>
  <c r="DL38" i="8"/>
  <c r="DH38" i="8"/>
  <c r="DE38" i="8"/>
  <c r="BX38" i="8"/>
  <c r="AS38" i="8"/>
  <c r="AR38" i="8"/>
  <c r="AQ38" i="8"/>
  <c r="DL37" i="8"/>
  <c r="DH37" i="8"/>
  <c r="DG37" i="8"/>
  <c r="DE37" i="8"/>
  <c r="BZ37" i="8"/>
  <c r="AS37" i="8"/>
  <c r="AR37" i="8"/>
  <c r="DF37" i="8" s="1"/>
  <c r="AQ37" i="8"/>
  <c r="BX37" i="8" s="1"/>
  <c r="DL36" i="8"/>
  <c r="DG36" i="8"/>
  <c r="DE36" i="8"/>
  <c r="BZ36" i="8"/>
  <c r="BX36" i="8"/>
  <c r="AS36" i="8"/>
  <c r="AR36" i="8"/>
  <c r="AQ36" i="8"/>
  <c r="DL35" i="8"/>
  <c r="DG35" i="8"/>
  <c r="DF35" i="8"/>
  <c r="DE35" i="8"/>
  <c r="BY35" i="8"/>
  <c r="AS35" i="8"/>
  <c r="BZ35" i="8" s="1"/>
  <c r="AR35" i="8"/>
  <c r="AQ35" i="8"/>
  <c r="BX35" i="8" s="1"/>
  <c r="DL34" i="8"/>
  <c r="DH34" i="8"/>
  <c r="DF34" i="8"/>
  <c r="DE34" i="8"/>
  <c r="BX34" i="8"/>
  <c r="AS34" i="8"/>
  <c r="AR34" i="8"/>
  <c r="BY34" i="8" s="1"/>
  <c r="AQ34" i="8"/>
  <c r="DL33" i="8"/>
  <c r="DH33" i="8"/>
  <c r="DE33" i="8"/>
  <c r="BY33" i="8"/>
  <c r="AS33" i="8"/>
  <c r="AR33" i="8"/>
  <c r="DF33" i="8" s="1"/>
  <c r="AQ33" i="8"/>
  <c r="BX33" i="8" s="1"/>
  <c r="DL32" i="8"/>
  <c r="DH32" i="8"/>
  <c r="DG32" i="8"/>
  <c r="DF32" i="8"/>
  <c r="DE32" i="8"/>
  <c r="BZ32" i="8"/>
  <c r="BY32" i="8"/>
  <c r="BX32" i="8"/>
  <c r="AS32" i="8"/>
  <c r="AR32" i="8"/>
  <c r="AQ32" i="8"/>
  <c r="DL31" i="8"/>
  <c r="DF31" i="8"/>
  <c r="DE31" i="8"/>
  <c r="BY31" i="8"/>
  <c r="AS31" i="8"/>
  <c r="AR31" i="8"/>
  <c r="AQ31" i="8"/>
  <c r="BX31" i="8" s="1"/>
  <c r="DL30" i="8"/>
  <c r="DF30" i="8"/>
  <c r="DE30" i="8"/>
  <c r="BZ30" i="8"/>
  <c r="BX30" i="8"/>
  <c r="AS30" i="8"/>
  <c r="DG30" i="8" s="1"/>
  <c r="AR30" i="8"/>
  <c r="BY30" i="8" s="1"/>
  <c r="AQ30" i="8"/>
  <c r="DL29" i="8"/>
  <c r="DE29" i="8"/>
  <c r="BZ29" i="8"/>
  <c r="AS29" i="8"/>
  <c r="DG29" i="8" s="1"/>
  <c r="AR29" i="8"/>
  <c r="AQ29" i="8"/>
  <c r="BX29" i="8" s="1"/>
  <c r="DL28" i="8"/>
  <c r="DH28" i="8"/>
  <c r="DG28" i="8"/>
  <c r="DF28" i="8"/>
  <c r="DE28" i="8"/>
  <c r="BZ28" i="8"/>
  <c r="BX28" i="8"/>
  <c r="AS28" i="8"/>
  <c r="AR28" i="8"/>
  <c r="BY28" i="8" s="1"/>
  <c r="AQ28" i="8"/>
  <c r="DL27" i="8"/>
  <c r="DG27" i="8"/>
  <c r="DF27" i="8"/>
  <c r="DE27" i="8"/>
  <c r="BY27" i="8"/>
  <c r="BX27" i="8"/>
  <c r="AS27" i="8"/>
  <c r="BZ27" i="8" s="1"/>
  <c r="AR27" i="8"/>
  <c r="AQ27" i="8"/>
  <c r="DL26" i="8"/>
  <c r="DF26" i="8"/>
  <c r="DE26" i="8"/>
  <c r="BX26" i="8"/>
  <c r="AS26" i="8"/>
  <c r="AR26" i="8"/>
  <c r="BY26" i="8" s="1"/>
  <c r="AQ26" i="8"/>
  <c r="DL25" i="8"/>
  <c r="DH25" i="8"/>
  <c r="DE25" i="8"/>
  <c r="BZ25" i="8"/>
  <c r="BY25" i="8"/>
  <c r="AS25" i="8"/>
  <c r="DG25" i="8" s="1"/>
  <c r="AR25" i="8"/>
  <c r="DF25" i="8" s="1"/>
  <c r="AQ25" i="8"/>
  <c r="BX25" i="8" s="1"/>
  <c r="DL24" i="8"/>
  <c r="DG24" i="8"/>
  <c r="DF24" i="8"/>
  <c r="DE24" i="8"/>
  <c r="BZ24" i="8"/>
  <c r="AS24" i="8"/>
  <c r="AR24" i="8"/>
  <c r="BY24" i="8" s="1"/>
  <c r="AQ24" i="8"/>
  <c r="BX24" i="8" s="1"/>
  <c r="DL23" i="8"/>
  <c r="DF23" i="8"/>
  <c r="DE23" i="8"/>
  <c r="BY23" i="8"/>
  <c r="AS23" i="8"/>
  <c r="BZ23" i="8" s="1"/>
  <c r="AR23" i="8"/>
  <c r="AQ23" i="8"/>
  <c r="BX23" i="8" s="1"/>
  <c r="DL22" i="8"/>
  <c r="DE22" i="8"/>
  <c r="BZ22" i="8"/>
  <c r="BX22" i="8"/>
  <c r="AS22" i="8"/>
  <c r="DG22" i="8" s="1"/>
  <c r="AR22" i="8"/>
  <c r="AQ22" i="8"/>
  <c r="DL21" i="8"/>
  <c r="DH21" i="8"/>
  <c r="DG21" i="8"/>
  <c r="DE21" i="8"/>
  <c r="BZ21" i="8"/>
  <c r="AS21" i="8"/>
  <c r="AR21" i="8"/>
  <c r="AQ21" i="8"/>
  <c r="BX21" i="8" s="1"/>
  <c r="DL20" i="8"/>
  <c r="DH20" i="8"/>
  <c r="DG20" i="8"/>
  <c r="DE20" i="8"/>
  <c r="BZ20" i="8"/>
  <c r="BX20" i="8"/>
  <c r="AS20" i="8"/>
  <c r="AR20" i="8"/>
  <c r="AQ20" i="8"/>
  <c r="DL19" i="8"/>
  <c r="DF19" i="8"/>
  <c r="DE19" i="8"/>
  <c r="BY19" i="8"/>
  <c r="BX19" i="8"/>
  <c r="AS19" i="8"/>
  <c r="AR19" i="8"/>
  <c r="AQ19" i="8"/>
  <c r="DL18" i="8"/>
  <c r="DH18" i="8"/>
  <c r="DF18" i="8"/>
  <c r="DE18" i="8"/>
  <c r="BZ18" i="8"/>
  <c r="BX18" i="8"/>
  <c r="AS18" i="8"/>
  <c r="DG18" i="8" s="1"/>
  <c r="AR18" i="8"/>
  <c r="BY18" i="8" s="1"/>
  <c r="AQ18" i="8"/>
  <c r="DL17" i="8"/>
  <c r="DG17" i="8"/>
  <c r="DE17" i="8"/>
  <c r="BY17" i="8"/>
  <c r="AS17" i="8"/>
  <c r="BZ17" i="8" s="1"/>
  <c r="AR17" i="8"/>
  <c r="DF17" i="8" s="1"/>
  <c r="AQ17" i="8"/>
  <c r="BX17" i="8" s="1"/>
  <c r="DL16" i="8"/>
  <c r="DH16" i="8"/>
  <c r="DG16" i="8"/>
  <c r="DF16" i="8"/>
  <c r="DE16" i="8"/>
  <c r="BZ16" i="8"/>
  <c r="BY16" i="8"/>
  <c r="BX16" i="8"/>
  <c r="AS16" i="8"/>
  <c r="AR16" i="8"/>
  <c r="AQ16" i="8"/>
  <c r="DL15" i="8"/>
  <c r="DH15" i="8"/>
  <c r="DF15" i="8"/>
  <c r="DE15" i="8"/>
  <c r="BY15" i="8"/>
  <c r="BX15" i="8"/>
  <c r="AS15" i="8"/>
  <c r="AR15" i="8"/>
  <c r="AQ15" i="8"/>
  <c r="DL14" i="8"/>
  <c r="DE14" i="8"/>
  <c r="BY14" i="8"/>
  <c r="BX14" i="8"/>
  <c r="AS14" i="8"/>
  <c r="DG14" i="8" s="1"/>
  <c r="AR14" i="8"/>
  <c r="DF14" i="8" s="1"/>
  <c r="AQ14" i="8"/>
  <c r="DL13" i="8"/>
  <c r="DG13" i="8"/>
  <c r="DE13" i="8"/>
  <c r="BX13" i="8"/>
  <c r="AS13" i="8"/>
  <c r="BZ13" i="8" s="1"/>
  <c r="AR13" i="8"/>
  <c r="DF13" i="8" s="1"/>
  <c r="AQ13" i="8"/>
  <c r="DL12" i="8"/>
  <c r="DH12" i="8"/>
  <c r="DG12" i="8"/>
  <c r="DE12" i="8"/>
  <c r="BZ12" i="8"/>
  <c r="AS12" i="8"/>
  <c r="AR12" i="8"/>
  <c r="AQ12" i="8"/>
  <c r="BX12" i="8" s="1"/>
  <c r="DL11" i="8"/>
  <c r="DH11" i="8"/>
  <c r="DF11" i="8"/>
  <c r="DE11" i="8"/>
  <c r="BY11" i="8"/>
  <c r="BX11" i="8"/>
  <c r="AS11" i="8"/>
  <c r="AR11" i="8"/>
  <c r="AQ11" i="8"/>
  <c r="DL10" i="8"/>
  <c r="DG10" i="8"/>
  <c r="DE10" i="8"/>
  <c r="BZ10" i="8"/>
  <c r="AS10" i="8"/>
  <c r="AR10" i="8"/>
  <c r="AQ10" i="8"/>
  <c r="BX10" i="8" s="1"/>
  <c r="DL9" i="8"/>
  <c r="DG9" i="8"/>
  <c r="DE9" i="8"/>
  <c r="BZ9" i="8"/>
  <c r="AS9" i="8"/>
  <c r="AR9" i="8"/>
  <c r="AQ9" i="8"/>
  <c r="BX9" i="8" s="1"/>
  <c r="DL8" i="8"/>
  <c r="DG8" i="8"/>
  <c r="DF8" i="8"/>
  <c r="DE8" i="8"/>
  <c r="BZ8" i="8"/>
  <c r="BY8" i="8"/>
  <c r="BX8" i="8"/>
  <c r="AS8" i="8"/>
  <c r="AR8" i="8"/>
  <c r="AQ8" i="8"/>
  <c r="DL7" i="8"/>
  <c r="DF7" i="8"/>
  <c r="DE7" i="8"/>
  <c r="BY7" i="8"/>
  <c r="AS7" i="8"/>
  <c r="AR7" i="8"/>
  <c r="AQ7" i="8"/>
  <c r="DL6" i="8"/>
  <c r="DF6" i="8"/>
  <c r="DE6" i="8"/>
  <c r="BX6" i="8"/>
  <c r="AS6" i="8"/>
  <c r="AR6" i="8"/>
  <c r="BY6" i="8" s="1"/>
  <c r="AQ6" i="8"/>
  <c r="DL5" i="8"/>
  <c r="DE5" i="8"/>
  <c r="BZ5" i="8"/>
  <c r="BX5" i="8"/>
  <c r="AS5" i="8"/>
  <c r="DG5" i="8" s="1"/>
  <c r="AR5" i="8"/>
  <c r="BY5" i="8" s="1"/>
  <c r="AQ5" i="8"/>
  <c r="DL4" i="8"/>
  <c r="DE4" i="8"/>
  <c r="BZ4" i="8"/>
  <c r="BY4" i="8"/>
  <c r="BX4" i="8"/>
  <c r="AS4" i="8"/>
  <c r="DG4" i="8" s="1"/>
  <c r="AR4" i="8"/>
  <c r="DF4" i="8" s="1"/>
  <c r="AQ4" i="8"/>
  <c r="F15" i="58"/>
  <c r="V290" i="56"/>
  <c r="Q290" i="56"/>
  <c r="V288" i="56"/>
  <c r="U288" i="56"/>
  <c r="Q288" i="56"/>
  <c r="P288" i="56"/>
  <c r="L288" i="56"/>
  <c r="L290" i="56" s="1"/>
  <c r="K288" i="56"/>
  <c r="V276" i="56"/>
  <c r="Q276" i="56"/>
  <c r="L276" i="56"/>
  <c r="V151" i="56"/>
  <c r="W149" i="56"/>
  <c r="V149" i="56"/>
  <c r="W141" i="56" s="1"/>
  <c r="U149" i="56"/>
  <c r="Q149" i="56"/>
  <c r="P149" i="56"/>
  <c r="L149" i="56"/>
  <c r="M136" i="56" s="1"/>
  <c r="O136" i="56" s="1"/>
  <c r="K149" i="56"/>
  <c r="W148" i="56"/>
  <c r="Y148" i="56" s="1"/>
  <c r="X148" i="56" s="1"/>
  <c r="W147" i="56"/>
  <c r="R147" i="56"/>
  <c r="W146" i="56"/>
  <c r="Y146" i="56" s="1"/>
  <c r="X146" i="56" s="1"/>
  <c r="R145" i="56"/>
  <c r="T145" i="56" s="1"/>
  <c r="S145" i="56" s="1"/>
  <c r="W144" i="56"/>
  <c r="R144" i="56"/>
  <c r="R143" i="56"/>
  <c r="W142" i="56"/>
  <c r="R140" i="56"/>
  <c r="R138" i="56"/>
  <c r="R137" i="56"/>
  <c r="T137" i="56" s="1"/>
  <c r="S137" i="56" s="1"/>
  <c r="W136" i="56"/>
  <c r="R136" i="56"/>
  <c r="R135" i="56"/>
  <c r="T135" i="56" s="1"/>
  <c r="S135" i="56" s="1"/>
  <c r="W134" i="56"/>
  <c r="R133" i="56"/>
  <c r="T133" i="56" s="1"/>
  <c r="S133" i="56" s="1"/>
  <c r="W132" i="56"/>
  <c r="R132" i="56"/>
  <c r="R131" i="56"/>
  <c r="W130" i="56"/>
  <c r="Y130" i="56" s="1"/>
  <c r="X130" i="56" s="1"/>
  <c r="R130" i="56"/>
  <c r="R129" i="56"/>
  <c r="M129" i="56"/>
  <c r="O129" i="56" s="1"/>
  <c r="R128" i="56"/>
  <c r="W126" i="56"/>
  <c r="Y126" i="56" s="1"/>
  <c r="X126" i="56" s="1"/>
  <c r="W125" i="56"/>
  <c r="R125" i="56"/>
  <c r="R124" i="56"/>
  <c r="W123" i="56"/>
  <c r="R123" i="56"/>
  <c r="W122" i="56"/>
  <c r="Y122" i="56" s="1"/>
  <c r="X122" i="56" s="1"/>
  <c r="R122" i="56"/>
  <c r="W121" i="56"/>
  <c r="Y121" i="56" s="1"/>
  <c r="X121" i="56" s="1"/>
  <c r="R121" i="56"/>
  <c r="R119" i="56"/>
  <c r="T119" i="56" s="1"/>
  <c r="S119" i="56" s="1"/>
  <c r="W118" i="56"/>
  <c r="Y118" i="56" s="1"/>
  <c r="X118" i="56" s="1"/>
  <c r="W117" i="56"/>
  <c r="R117" i="56"/>
  <c r="R116" i="56"/>
  <c r="W115" i="56"/>
  <c r="R115" i="56"/>
  <c r="W114" i="56"/>
  <c r="R114" i="56"/>
  <c r="W113" i="56"/>
  <c r="Y113" i="56" s="1"/>
  <c r="X113" i="56" s="1"/>
  <c r="R113" i="56"/>
  <c r="R112" i="56"/>
  <c r="T112" i="56" s="1"/>
  <c r="S112" i="56" s="1"/>
  <c r="R111" i="56"/>
  <c r="W110" i="56"/>
  <c r="W109" i="56"/>
  <c r="R109" i="56"/>
  <c r="R107" i="56"/>
  <c r="W106" i="56"/>
  <c r="Y106" i="56" s="1"/>
  <c r="X106" i="56" s="1"/>
  <c r="R106" i="56"/>
  <c r="T106" i="56" s="1"/>
  <c r="S106" i="56" s="1"/>
  <c r="R105" i="56"/>
  <c r="W104" i="56"/>
  <c r="Y104" i="56" s="1"/>
  <c r="X104" i="56" s="1"/>
  <c r="R104" i="56"/>
  <c r="T104" i="56" s="1"/>
  <c r="S104" i="56" s="1"/>
  <c r="R103" i="56"/>
  <c r="T103" i="56" s="1"/>
  <c r="S103" i="56" s="1"/>
  <c r="W102" i="56"/>
  <c r="W101" i="56"/>
  <c r="Y101" i="56" s="1"/>
  <c r="X101" i="56" s="1"/>
  <c r="W100" i="56"/>
  <c r="R100" i="56"/>
  <c r="R99" i="56"/>
  <c r="T99" i="56" s="1"/>
  <c r="S99" i="56" s="1"/>
  <c r="Y98" i="56"/>
  <c r="X98" i="56" s="1"/>
  <c r="W98" i="56"/>
  <c r="R98" i="56"/>
  <c r="W97" i="56"/>
  <c r="R97" i="56"/>
  <c r="T97" i="56" s="1"/>
  <c r="S97" i="56" s="1"/>
  <c r="W96" i="56"/>
  <c r="R96" i="56"/>
  <c r="T96" i="56" s="1"/>
  <c r="S96" i="56" s="1"/>
  <c r="R95" i="56"/>
  <c r="W94" i="56"/>
  <c r="R93" i="56"/>
  <c r="T93" i="56" s="1"/>
  <c r="S93" i="56" s="1"/>
  <c r="W92" i="56"/>
  <c r="Y92" i="56" s="1"/>
  <c r="X92" i="56" s="1"/>
  <c r="R92" i="56"/>
  <c r="R91" i="56"/>
  <c r="W90" i="56"/>
  <c r="R90" i="56"/>
  <c r="W89" i="56"/>
  <c r="Y89" i="56" s="1"/>
  <c r="X89" i="56" s="1"/>
  <c r="W88" i="56"/>
  <c r="R88" i="56"/>
  <c r="R87" i="56"/>
  <c r="W85" i="56"/>
  <c r="R85" i="56"/>
  <c r="W84" i="56"/>
  <c r="R84" i="56"/>
  <c r="R83" i="56"/>
  <c r="W82" i="56"/>
  <c r="W81" i="56"/>
  <c r="Y81" i="56" s="1"/>
  <c r="X81" i="56" s="1"/>
  <c r="R81" i="56"/>
  <c r="W80" i="56"/>
  <c r="Y80" i="56" s="1"/>
  <c r="X80" i="56" s="1"/>
  <c r="R80" i="56"/>
  <c r="R79" i="56"/>
  <c r="W78" i="56"/>
  <c r="Y78" i="56" s="1"/>
  <c r="X78" i="56" s="1"/>
  <c r="W77" i="56"/>
  <c r="Y77" i="56" s="1"/>
  <c r="X77" i="56" s="1"/>
  <c r="R77" i="56"/>
  <c r="T77" i="56" s="1"/>
  <c r="S77" i="56" s="1"/>
  <c r="W76" i="56"/>
  <c r="R76" i="56"/>
  <c r="R74" i="56"/>
  <c r="T74" i="56" s="1"/>
  <c r="S74" i="56" s="1"/>
  <c r="W73" i="56"/>
  <c r="Y73" i="56" s="1"/>
  <c r="X73" i="56" s="1"/>
  <c r="R73" i="56"/>
  <c r="W72" i="56"/>
  <c r="Y72" i="56" s="1"/>
  <c r="X72" i="56" s="1"/>
  <c r="R72" i="56"/>
  <c r="R71" i="56"/>
  <c r="W70" i="56"/>
  <c r="W69" i="56"/>
  <c r="Y69" i="56" s="1"/>
  <c r="X69" i="56" s="1"/>
  <c r="R69" i="56"/>
  <c r="W68" i="56"/>
  <c r="R68" i="56"/>
  <c r="R67" i="56"/>
  <c r="R66" i="56"/>
  <c r="T66" i="56" s="1"/>
  <c r="S66" i="56" s="1"/>
  <c r="W65" i="56"/>
  <c r="Y65" i="56" s="1"/>
  <c r="X65" i="56" s="1"/>
  <c r="R65" i="56"/>
  <c r="W64" i="56"/>
  <c r="R64" i="56"/>
  <c r="W62" i="56"/>
  <c r="Y62" i="56" s="1"/>
  <c r="X62" i="56" s="1"/>
  <c r="T62" i="56"/>
  <c r="S62" i="56" s="1"/>
  <c r="R62" i="56"/>
  <c r="Y61" i="56"/>
  <c r="X61" i="56" s="1"/>
  <c r="W61" i="56"/>
  <c r="R61" i="56"/>
  <c r="T60" i="56"/>
  <c r="S60" i="56"/>
  <c r="R60" i="56"/>
  <c r="W59" i="56"/>
  <c r="T59" i="56"/>
  <c r="S59" i="56" s="1"/>
  <c r="R59" i="56"/>
  <c r="R58" i="56"/>
  <c r="T58" i="56" s="1"/>
  <c r="S58" i="56" s="1"/>
  <c r="W57" i="56"/>
  <c r="Y57" i="56" s="1"/>
  <c r="X57" i="56" s="1"/>
  <c r="R57" i="56"/>
  <c r="T57" i="56" s="1"/>
  <c r="S57" i="56" s="1"/>
  <c r="R56" i="56"/>
  <c r="W55" i="56"/>
  <c r="Y55" i="56" s="1"/>
  <c r="X55" i="56" s="1"/>
  <c r="W54" i="56"/>
  <c r="Y54" i="56" s="1"/>
  <c r="X54" i="56" s="1"/>
  <c r="R54" i="56"/>
  <c r="R53" i="56"/>
  <c r="AF52" i="56"/>
  <c r="W52" i="56"/>
  <c r="X51" i="56"/>
  <c r="Y110" i="56" s="1"/>
  <c r="X110" i="56" s="1"/>
  <c r="S51" i="56"/>
  <c r="T147" i="56" s="1"/>
  <c r="S147" i="56" s="1"/>
  <c r="N51" i="56"/>
  <c r="O150" i="56" s="1"/>
  <c r="N150" i="56" s="1"/>
  <c r="V49" i="56"/>
  <c r="V47" i="56"/>
  <c r="W41" i="56" s="1"/>
  <c r="U47" i="56"/>
  <c r="Q47" i="56"/>
  <c r="P47" i="56"/>
  <c r="L47" i="56"/>
  <c r="M6" i="56" s="1"/>
  <c r="O6" i="56" s="1"/>
  <c r="N6" i="56" s="1"/>
  <c r="K47" i="56"/>
  <c r="W45" i="56"/>
  <c r="M45" i="56"/>
  <c r="O45" i="56" s="1"/>
  <c r="N45" i="56" s="1"/>
  <c r="R44" i="56"/>
  <c r="M44" i="56"/>
  <c r="O44" i="56" s="1"/>
  <c r="N44" i="56" s="1"/>
  <c r="W43" i="56"/>
  <c r="R42" i="56"/>
  <c r="R41" i="56"/>
  <c r="R40" i="56"/>
  <c r="W39" i="56"/>
  <c r="R39" i="56"/>
  <c r="T39" i="56" s="1"/>
  <c r="S39" i="56" s="1"/>
  <c r="W38" i="56"/>
  <c r="M38" i="56"/>
  <c r="O38" i="56" s="1"/>
  <c r="N38" i="56" s="1"/>
  <c r="R37" i="56"/>
  <c r="M37" i="56"/>
  <c r="O37" i="56" s="1"/>
  <c r="N37" i="56" s="1"/>
  <c r="R36" i="56"/>
  <c r="M36" i="56"/>
  <c r="O36" i="56" s="1"/>
  <c r="N36" i="56" s="1"/>
  <c r="M35" i="56"/>
  <c r="O35" i="56" s="1"/>
  <c r="N35" i="56" s="1"/>
  <c r="R34" i="56"/>
  <c r="W33" i="56"/>
  <c r="R33" i="56"/>
  <c r="W32" i="56"/>
  <c r="R32" i="56"/>
  <c r="R30" i="56"/>
  <c r="T30" i="56" s="1"/>
  <c r="S30" i="56" s="1"/>
  <c r="M30" i="56"/>
  <c r="O30" i="56" s="1"/>
  <c r="N30" i="56" s="1"/>
  <c r="W29" i="56"/>
  <c r="Y29" i="56" s="1"/>
  <c r="T29" i="56"/>
  <c r="S29" i="56" s="1"/>
  <c r="R29" i="56"/>
  <c r="M29" i="56"/>
  <c r="O29" i="56" s="1"/>
  <c r="N29" i="56" s="1"/>
  <c r="R28" i="56"/>
  <c r="M28" i="56"/>
  <c r="O28" i="56" s="1"/>
  <c r="N28" i="56" s="1"/>
  <c r="R26" i="56"/>
  <c r="R25" i="56"/>
  <c r="M25" i="56"/>
  <c r="O25" i="56" s="1"/>
  <c r="N25" i="56" s="1"/>
  <c r="R23" i="56"/>
  <c r="R22" i="56"/>
  <c r="R21" i="56"/>
  <c r="R20" i="56"/>
  <c r="W19" i="56"/>
  <c r="M19" i="56"/>
  <c r="O19" i="56" s="1"/>
  <c r="N19" i="56" s="1"/>
  <c r="W18" i="56"/>
  <c r="R18" i="56"/>
  <c r="R17" i="56"/>
  <c r="M17" i="56"/>
  <c r="O17" i="56" s="1"/>
  <c r="N17" i="56" s="1"/>
  <c r="R16" i="56"/>
  <c r="R15" i="56"/>
  <c r="M15" i="56"/>
  <c r="O15" i="56" s="1"/>
  <c r="N15" i="56" s="1"/>
  <c r="R14" i="56"/>
  <c r="N14" i="56"/>
  <c r="M14" i="56"/>
  <c r="O14" i="56" s="1"/>
  <c r="W13" i="56"/>
  <c r="R13" i="56"/>
  <c r="W10" i="56"/>
  <c r="R10" i="56"/>
  <c r="R9" i="56"/>
  <c r="M9" i="56"/>
  <c r="O9" i="56" s="1"/>
  <c r="N9" i="56" s="1"/>
  <c r="W8" i="56"/>
  <c r="R8" i="56"/>
  <c r="R7" i="56"/>
  <c r="M7" i="56"/>
  <c r="O7" i="56" s="1"/>
  <c r="N7" i="56" s="1"/>
  <c r="R6" i="56"/>
  <c r="X2" i="56"/>
  <c r="S2" i="56"/>
  <c r="N2" i="56"/>
  <c r="P146" i="67" l="1"/>
  <c r="M173" i="67"/>
  <c r="P173" i="67" s="1"/>
  <c r="N136" i="56"/>
  <c r="AA29" i="56"/>
  <c r="AC29" i="56" s="1"/>
  <c r="X29" i="56"/>
  <c r="Z29" i="56" s="1"/>
  <c r="AB29" i="56" s="1"/>
  <c r="Y19" i="56"/>
  <c r="T22" i="56"/>
  <c r="S22" i="56" s="1"/>
  <c r="Y33" i="56"/>
  <c r="Y41" i="56"/>
  <c r="BZ40" i="59"/>
  <c r="DG40" i="59"/>
  <c r="T41" i="56"/>
  <c r="S41" i="56" s="1"/>
  <c r="Y45" i="56"/>
  <c r="T15" i="56"/>
  <c r="S15" i="56" s="1"/>
  <c r="T37" i="56"/>
  <c r="S37" i="56" s="1"/>
  <c r="T34" i="56"/>
  <c r="S34" i="56" s="1"/>
  <c r="T23" i="56"/>
  <c r="S23" i="56" s="1"/>
  <c r="T36" i="56"/>
  <c r="S36" i="56" s="1"/>
  <c r="T44" i="56"/>
  <c r="S44" i="56" s="1"/>
  <c r="AS45" i="8"/>
  <c r="BZ31" i="8"/>
  <c r="DG31" i="8"/>
  <c r="T7" i="56"/>
  <c r="S7" i="56" s="1"/>
  <c r="T13" i="56"/>
  <c r="S13" i="56" s="1"/>
  <c r="T26" i="56"/>
  <c r="S26" i="56" s="1"/>
  <c r="T42" i="56"/>
  <c r="S42" i="56" s="1"/>
  <c r="N129" i="56"/>
  <c r="T8" i="56"/>
  <c r="S8" i="56" s="1"/>
  <c r="T20" i="56"/>
  <c r="S20" i="56" s="1"/>
  <c r="T32" i="56"/>
  <c r="S32" i="56" s="1"/>
  <c r="Y38" i="56"/>
  <c r="M141" i="56"/>
  <c r="O141" i="56" s="1"/>
  <c r="M133" i="56"/>
  <c r="O133" i="56" s="1"/>
  <c r="M125" i="56"/>
  <c r="O125" i="56" s="1"/>
  <c r="M117" i="56"/>
  <c r="O117" i="56" s="1"/>
  <c r="M109" i="56"/>
  <c r="O109" i="56" s="1"/>
  <c r="M101" i="56"/>
  <c r="O101" i="56" s="1"/>
  <c r="M93" i="56"/>
  <c r="O93" i="56" s="1"/>
  <c r="M85" i="56"/>
  <c r="O85" i="56" s="1"/>
  <c r="M77" i="56"/>
  <c r="O77" i="56" s="1"/>
  <c r="M69" i="56"/>
  <c r="O69" i="56" s="1"/>
  <c r="M142" i="56"/>
  <c r="O142" i="56" s="1"/>
  <c r="M135" i="56"/>
  <c r="O135" i="56" s="1"/>
  <c r="M123" i="56"/>
  <c r="O123" i="56" s="1"/>
  <c r="M116" i="56"/>
  <c r="O116" i="56" s="1"/>
  <c r="M104" i="56"/>
  <c r="O104" i="56" s="1"/>
  <c r="M97" i="56"/>
  <c r="O97" i="56" s="1"/>
  <c r="M90" i="56"/>
  <c r="O90" i="56" s="1"/>
  <c r="M78" i="56"/>
  <c r="O78" i="56" s="1"/>
  <c r="M71" i="56"/>
  <c r="O71" i="56" s="1"/>
  <c r="M62" i="56"/>
  <c r="O62" i="56" s="1"/>
  <c r="M54" i="56"/>
  <c r="O54" i="56" s="1"/>
  <c r="M144" i="56"/>
  <c r="O144" i="56" s="1"/>
  <c r="M137" i="56"/>
  <c r="O137" i="56" s="1"/>
  <c r="L151" i="56"/>
  <c r="M148" i="56"/>
  <c r="O148" i="56" s="1"/>
  <c r="M132" i="56"/>
  <c r="O132" i="56" s="1"/>
  <c r="M127" i="56"/>
  <c r="O127" i="56" s="1"/>
  <c r="M147" i="56"/>
  <c r="O147" i="56" s="1"/>
  <c r="M146" i="56"/>
  <c r="O146" i="56" s="1"/>
  <c r="M131" i="56"/>
  <c r="O131" i="56" s="1"/>
  <c r="M118" i="56"/>
  <c r="O118" i="56" s="1"/>
  <c r="M110" i="56"/>
  <c r="O110" i="56" s="1"/>
  <c r="M106" i="56"/>
  <c r="O106" i="56" s="1"/>
  <c r="M102" i="56"/>
  <c r="O102" i="56" s="1"/>
  <c r="M98" i="56"/>
  <c r="O98" i="56" s="1"/>
  <c r="M73" i="56"/>
  <c r="O73" i="56" s="1"/>
  <c r="M65" i="56"/>
  <c r="O65" i="56" s="1"/>
  <c r="M57" i="56"/>
  <c r="O57" i="56" s="1"/>
  <c r="M145" i="56"/>
  <c r="O145" i="56" s="1"/>
  <c r="M130" i="56"/>
  <c r="O130" i="56" s="1"/>
  <c r="M126" i="56"/>
  <c r="O126" i="56" s="1"/>
  <c r="M122" i="56"/>
  <c r="O122" i="56" s="1"/>
  <c r="M114" i="56"/>
  <c r="O114" i="56" s="1"/>
  <c r="M89" i="56"/>
  <c r="O89" i="56" s="1"/>
  <c r="M81" i="56"/>
  <c r="O81" i="56" s="1"/>
  <c r="M138" i="56"/>
  <c r="O138" i="56" s="1"/>
  <c r="M108" i="56"/>
  <c r="O108" i="56" s="1"/>
  <c r="M107" i="56"/>
  <c r="O107" i="56" s="1"/>
  <c r="M84" i="56"/>
  <c r="O84" i="56" s="1"/>
  <c r="M83" i="56"/>
  <c r="O83" i="56" s="1"/>
  <c r="M82" i="56"/>
  <c r="O82" i="56" s="1"/>
  <c r="M56" i="56"/>
  <c r="O56" i="56" s="1"/>
  <c r="M140" i="56"/>
  <c r="O140" i="56" s="1"/>
  <c r="M134" i="56"/>
  <c r="O134" i="56" s="1"/>
  <c r="M100" i="56"/>
  <c r="O100" i="56" s="1"/>
  <c r="M75" i="56"/>
  <c r="O75" i="56" s="1"/>
  <c r="M143" i="56"/>
  <c r="O143" i="56" s="1"/>
  <c r="M139" i="56"/>
  <c r="O139" i="56" s="1"/>
  <c r="M112" i="56"/>
  <c r="O112" i="56" s="1"/>
  <c r="M95" i="56"/>
  <c r="O95" i="56" s="1"/>
  <c r="M91" i="56"/>
  <c r="O91" i="56" s="1"/>
  <c r="M86" i="56"/>
  <c r="O86" i="56" s="1"/>
  <c r="M55" i="56"/>
  <c r="O55" i="56" s="1"/>
  <c r="M124" i="56"/>
  <c r="O124" i="56" s="1"/>
  <c r="M121" i="56"/>
  <c r="O121" i="56" s="1"/>
  <c r="M96" i="56"/>
  <c r="O96" i="56" s="1"/>
  <c r="M92" i="56"/>
  <c r="O92" i="56" s="1"/>
  <c r="M74" i="56"/>
  <c r="O74" i="56" s="1"/>
  <c r="M70" i="56"/>
  <c r="O70" i="56" s="1"/>
  <c r="M66" i="56"/>
  <c r="O66" i="56" s="1"/>
  <c r="M59" i="56"/>
  <c r="O59" i="56" s="1"/>
  <c r="M58" i="56"/>
  <c r="O58" i="56" s="1"/>
  <c r="M61" i="56"/>
  <c r="O61" i="56" s="1"/>
  <c r="M60" i="56"/>
  <c r="O60" i="56" s="1"/>
  <c r="M53" i="56"/>
  <c r="O53" i="56" s="1"/>
  <c r="M52" i="56"/>
  <c r="M67" i="56"/>
  <c r="O67" i="56" s="1"/>
  <c r="M63" i="56"/>
  <c r="O63" i="56" s="1"/>
  <c r="M113" i="56"/>
  <c r="O113" i="56" s="1"/>
  <c r="M105" i="56"/>
  <c r="O105" i="56" s="1"/>
  <c r="M87" i="56"/>
  <c r="O87" i="56" s="1"/>
  <c r="M128" i="56"/>
  <c r="O128" i="56" s="1"/>
  <c r="M119" i="56"/>
  <c r="O119" i="56" s="1"/>
  <c r="M115" i="56"/>
  <c r="O115" i="56" s="1"/>
  <c r="M88" i="56"/>
  <c r="O88" i="56" s="1"/>
  <c r="M79" i="56"/>
  <c r="O79" i="56" s="1"/>
  <c r="M72" i="56"/>
  <c r="O72" i="56" s="1"/>
  <c r="M99" i="56"/>
  <c r="O99" i="56" s="1"/>
  <c r="M94" i="56"/>
  <c r="O94" i="56" s="1"/>
  <c r="M80" i="56"/>
  <c r="O80" i="56" s="1"/>
  <c r="M76" i="56"/>
  <c r="O76" i="56" s="1"/>
  <c r="M68" i="56"/>
  <c r="O68" i="56" s="1"/>
  <c r="M64" i="56"/>
  <c r="O64" i="56" s="1"/>
  <c r="M120" i="56"/>
  <c r="O120" i="56" s="1"/>
  <c r="M111" i="56"/>
  <c r="O111" i="56" s="1"/>
  <c r="M103" i="56"/>
  <c r="O103" i="56" s="1"/>
  <c r="BY45" i="8"/>
  <c r="Y8" i="56"/>
  <c r="Y10" i="56"/>
  <c r="T16" i="56"/>
  <c r="S16" i="56" s="1"/>
  <c r="Y18" i="56"/>
  <c r="T21" i="56"/>
  <c r="S21" i="56" s="1"/>
  <c r="Y43" i="56"/>
  <c r="T40" i="56"/>
  <c r="S40" i="56" s="1"/>
  <c r="AQ45" i="59"/>
  <c r="BX4" i="59"/>
  <c r="BX45" i="59" s="1"/>
  <c r="M5" i="56"/>
  <c r="O5" i="56" s="1"/>
  <c r="W11" i="56"/>
  <c r="Y11" i="56" s="1"/>
  <c r="W21" i="56"/>
  <c r="Y21" i="56" s="1"/>
  <c r="W31" i="56"/>
  <c r="Y31" i="56" s="1"/>
  <c r="T33" i="56"/>
  <c r="S33" i="56" s="1"/>
  <c r="W40" i="56"/>
  <c r="Y40" i="56" s="1"/>
  <c r="Y52" i="56"/>
  <c r="X52" i="56" s="1"/>
  <c r="T54" i="56"/>
  <c r="S54" i="56" s="1"/>
  <c r="T56" i="56"/>
  <c r="S56" i="56" s="1"/>
  <c r="Y59" i="56"/>
  <c r="X59" i="56" s="1"/>
  <c r="T69" i="56"/>
  <c r="S69" i="56" s="1"/>
  <c r="Y82" i="56"/>
  <c r="X82" i="56" s="1"/>
  <c r="T85" i="56"/>
  <c r="S85" i="56" s="1"/>
  <c r="T95" i="56"/>
  <c r="S95" i="56" s="1"/>
  <c r="Y97" i="56"/>
  <c r="X97" i="56" s="1"/>
  <c r="T111" i="56"/>
  <c r="S111" i="56" s="1"/>
  <c r="Y134" i="56"/>
  <c r="X134" i="56" s="1"/>
  <c r="O151" i="56"/>
  <c r="N151" i="56" s="1"/>
  <c r="DF12" i="8"/>
  <c r="BY12" i="8"/>
  <c r="AC1" i="51"/>
  <c r="AH44" i="53"/>
  <c r="DH41" i="8"/>
  <c r="DH41" i="59"/>
  <c r="T125" i="56"/>
  <c r="S125" i="56" s="1"/>
  <c r="T121" i="56"/>
  <c r="S121" i="56" s="1"/>
  <c r="T130" i="56"/>
  <c r="S130" i="56" s="1"/>
  <c r="T109" i="56"/>
  <c r="S109" i="56" s="1"/>
  <c r="T73" i="56"/>
  <c r="S73" i="56" s="1"/>
  <c r="T81" i="56"/>
  <c r="S81" i="56" s="1"/>
  <c r="T90" i="56"/>
  <c r="S90" i="56" s="1"/>
  <c r="Y96" i="56"/>
  <c r="X96" i="56" s="1"/>
  <c r="Y100" i="56"/>
  <c r="X100" i="56" s="1"/>
  <c r="T107" i="56"/>
  <c r="S107" i="56" s="1"/>
  <c r="Y117" i="56"/>
  <c r="X117" i="56" s="1"/>
  <c r="T123" i="56"/>
  <c r="S123" i="56" s="1"/>
  <c r="T131" i="56"/>
  <c r="S131" i="56" s="1"/>
  <c r="Y132" i="56"/>
  <c r="X132" i="56" s="1"/>
  <c r="Y136" i="56"/>
  <c r="X136" i="56" s="1"/>
  <c r="Y147" i="56"/>
  <c r="X147" i="56" s="1"/>
  <c r="DG7" i="8"/>
  <c r="BZ7" i="8"/>
  <c r="DF15" i="59"/>
  <c r="BY15" i="59"/>
  <c r="T14" i="56"/>
  <c r="S14" i="56" s="1"/>
  <c r="T25" i="56"/>
  <c r="S25" i="56" s="1"/>
  <c r="T128" i="56"/>
  <c r="S128" i="56" s="1"/>
  <c r="DG6" i="8"/>
  <c r="BZ6" i="8"/>
  <c r="BZ19" i="8"/>
  <c r="DG19" i="8"/>
  <c r="DF20" i="8"/>
  <c r="BY20" i="8"/>
  <c r="BZ33" i="8"/>
  <c r="DG33" i="8"/>
  <c r="DG41" i="8"/>
  <c r="BZ41" i="8"/>
  <c r="Q31" i="57"/>
  <c r="Y32" i="56"/>
  <c r="T79" i="56"/>
  <c r="S79" i="56" s="1"/>
  <c r="T88" i="56"/>
  <c r="S88" i="56" s="1"/>
  <c r="Y94" i="56"/>
  <c r="X94" i="56" s="1"/>
  <c r="T98" i="56"/>
  <c r="S98" i="56" s="1"/>
  <c r="T144" i="56"/>
  <c r="S144" i="56" s="1"/>
  <c r="BX45" i="8"/>
  <c r="BY38" i="8"/>
  <c r="DF38" i="8"/>
  <c r="Y39" i="56"/>
  <c r="Y13" i="56"/>
  <c r="W44" i="56"/>
  <c r="Y44" i="56" s="1"/>
  <c r="W36" i="56"/>
  <c r="Y36" i="56" s="1"/>
  <c r="W28" i="56"/>
  <c r="Y28" i="56" s="1"/>
  <c r="W20" i="56"/>
  <c r="Y20" i="56" s="1"/>
  <c r="W12" i="56"/>
  <c r="Y12" i="56" s="1"/>
  <c r="W42" i="56"/>
  <c r="Y42" i="56" s="1"/>
  <c r="W35" i="56"/>
  <c r="Y35" i="56" s="1"/>
  <c r="W23" i="56"/>
  <c r="Y23" i="56" s="1"/>
  <c r="W16" i="56"/>
  <c r="Y16" i="56" s="1"/>
  <c r="W9" i="56"/>
  <c r="Y9" i="56" s="1"/>
  <c r="W37" i="56"/>
  <c r="Y37" i="56" s="1"/>
  <c r="W34" i="56"/>
  <c r="Y34" i="56" s="1"/>
  <c r="W30" i="56"/>
  <c r="Y30" i="56" s="1"/>
  <c r="W26" i="56"/>
  <c r="Y26" i="56" s="1"/>
  <c r="W22" i="56"/>
  <c r="Y22" i="56" s="1"/>
  <c r="W14" i="56"/>
  <c r="Y14" i="56" s="1"/>
  <c r="T64" i="56"/>
  <c r="S64" i="56" s="1"/>
  <c r="T80" i="56"/>
  <c r="S80" i="56" s="1"/>
  <c r="Y85" i="56"/>
  <c r="X85" i="56" s="1"/>
  <c r="T122" i="56"/>
  <c r="S122" i="56" s="1"/>
  <c r="Y142" i="56"/>
  <c r="X142" i="56" s="1"/>
  <c r="T6" i="56"/>
  <c r="S6" i="56" s="1"/>
  <c r="T17" i="56"/>
  <c r="S17" i="56" s="1"/>
  <c r="W24" i="56"/>
  <c r="Y24" i="56" s="1"/>
  <c r="M42" i="56"/>
  <c r="O42" i="56" s="1"/>
  <c r="N42" i="56" s="1"/>
  <c r="M34" i="56"/>
  <c r="O34" i="56" s="1"/>
  <c r="N34" i="56" s="1"/>
  <c r="M26" i="56"/>
  <c r="O26" i="56" s="1"/>
  <c r="N26" i="56" s="1"/>
  <c r="M18" i="56"/>
  <c r="O18" i="56" s="1"/>
  <c r="N18" i="56" s="1"/>
  <c r="M10" i="56"/>
  <c r="O10" i="56" s="1"/>
  <c r="N10" i="56" s="1"/>
  <c r="M39" i="56"/>
  <c r="O39" i="56" s="1"/>
  <c r="N39" i="56" s="1"/>
  <c r="M27" i="56"/>
  <c r="O27" i="56" s="1"/>
  <c r="N27" i="56" s="1"/>
  <c r="M20" i="56"/>
  <c r="O20" i="56" s="1"/>
  <c r="N20" i="56" s="1"/>
  <c r="M8" i="56"/>
  <c r="O8" i="56" s="1"/>
  <c r="N8" i="56" s="1"/>
  <c r="M41" i="56"/>
  <c r="O41" i="56" s="1"/>
  <c r="N41" i="56" s="1"/>
  <c r="L49" i="56"/>
  <c r="M40" i="56"/>
  <c r="O40" i="56" s="1"/>
  <c r="N40" i="56" s="1"/>
  <c r="M24" i="56"/>
  <c r="O24" i="56" s="1"/>
  <c r="N24" i="56" s="1"/>
  <c r="M16" i="56"/>
  <c r="O16" i="56" s="1"/>
  <c r="N16" i="56" s="1"/>
  <c r="M12" i="56"/>
  <c r="O12" i="56" s="1"/>
  <c r="N12" i="56" s="1"/>
  <c r="Y64" i="56"/>
  <c r="X64" i="56" s="1"/>
  <c r="Y76" i="56"/>
  <c r="X76" i="56" s="1"/>
  <c r="W5" i="56"/>
  <c r="W6" i="56"/>
  <c r="Y6" i="56" s="1"/>
  <c r="M11" i="56"/>
  <c r="O11" i="56" s="1"/>
  <c r="N11" i="56" s="1"/>
  <c r="W15" i="56"/>
  <c r="Y15" i="56" s="1"/>
  <c r="T18" i="56"/>
  <c r="S18" i="56" s="1"/>
  <c r="M21" i="56"/>
  <c r="O21" i="56" s="1"/>
  <c r="N21" i="56" s="1"/>
  <c r="W25" i="56"/>
  <c r="Y25" i="56" s="1"/>
  <c r="T28" i="56"/>
  <c r="S28" i="56" s="1"/>
  <c r="M31" i="56"/>
  <c r="O31" i="56" s="1"/>
  <c r="N31" i="56" s="1"/>
  <c r="M43" i="56"/>
  <c r="O43" i="56" s="1"/>
  <c r="N43" i="56" s="1"/>
  <c r="M47" i="56"/>
  <c r="T67" i="56"/>
  <c r="S67" i="56" s="1"/>
  <c r="T83" i="56"/>
  <c r="S83" i="56" s="1"/>
  <c r="T87" i="56"/>
  <c r="S87" i="56" s="1"/>
  <c r="T115" i="56"/>
  <c r="S115" i="56" s="1"/>
  <c r="Y144" i="56"/>
  <c r="X144" i="56" s="1"/>
  <c r="Y141" i="56"/>
  <c r="X141" i="56" s="1"/>
  <c r="DE45" i="8"/>
  <c r="BY22" i="8"/>
  <c r="DF22" i="8"/>
  <c r="DG38" i="8"/>
  <c r="BZ38" i="8"/>
  <c r="W7" i="56"/>
  <c r="Y7" i="56" s="1"/>
  <c r="T9" i="56"/>
  <c r="S9" i="56" s="1"/>
  <c r="T10" i="56"/>
  <c r="S10" i="56" s="1"/>
  <c r="M13" i="56"/>
  <c r="O13" i="56" s="1"/>
  <c r="N13" i="56" s="1"/>
  <c r="W17" i="56"/>
  <c r="Y17" i="56" s="1"/>
  <c r="M22" i="56"/>
  <c r="O22" i="56" s="1"/>
  <c r="N22" i="56" s="1"/>
  <c r="M23" i="56"/>
  <c r="O23" i="56" s="1"/>
  <c r="N23" i="56" s="1"/>
  <c r="W27" i="56"/>
  <c r="Y27" i="56" s="1"/>
  <c r="M32" i="56"/>
  <c r="O32" i="56" s="1"/>
  <c r="N32" i="56" s="1"/>
  <c r="M33" i="56"/>
  <c r="O33" i="56" s="1"/>
  <c r="N33" i="56" s="1"/>
  <c r="Y68" i="56"/>
  <c r="X68" i="56" s="1"/>
  <c r="T71" i="56"/>
  <c r="S71" i="56" s="1"/>
  <c r="Y84" i="56"/>
  <c r="X84" i="56" s="1"/>
  <c r="Y88" i="56"/>
  <c r="X88" i="56" s="1"/>
  <c r="Y102" i="56"/>
  <c r="X102" i="56" s="1"/>
  <c r="T105" i="56"/>
  <c r="S105" i="56" s="1"/>
  <c r="Y109" i="56"/>
  <c r="X109" i="56" s="1"/>
  <c r="T113" i="56"/>
  <c r="S113" i="56" s="1"/>
  <c r="T114" i="56"/>
  <c r="S114" i="56" s="1"/>
  <c r="Y115" i="56"/>
  <c r="X115" i="56" s="1"/>
  <c r="Y125" i="56"/>
  <c r="X125" i="56" s="1"/>
  <c r="T132" i="56"/>
  <c r="S132" i="56" s="1"/>
  <c r="Y149" i="56"/>
  <c r="X149" i="56" s="1"/>
  <c r="BZ14" i="8"/>
  <c r="DG26" i="8"/>
  <c r="BZ26" i="8"/>
  <c r="Y90" i="56"/>
  <c r="X90" i="56" s="1"/>
  <c r="Y114" i="56"/>
  <c r="X114" i="56" s="1"/>
  <c r="Y123" i="56"/>
  <c r="X123" i="56" s="1"/>
  <c r="T138" i="56"/>
  <c r="S138" i="56" s="1"/>
  <c r="BX7" i="8"/>
  <c r="AQ45" i="8"/>
  <c r="BZ11" i="8"/>
  <c r="BZ45" i="8" s="1"/>
  <c r="DG11" i="8"/>
  <c r="DG34" i="8"/>
  <c r="BZ34" i="8"/>
  <c r="BY40" i="8"/>
  <c r="DF40" i="8"/>
  <c r="AG12" i="26"/>
  <c r="AG13" i="26"/>
  <c r="DH8" i="8"/>
  <c r="DH8" i="59"/>
  <c r="N21" i="26"/>
  <c r="O19" i="53" s="1"/>
  <c r="AF8" i="26"/>
  <c r="AH5" i="53"/>
  <c r="AG1" i="12"/>
  <c r="DH6" i="8"/>
  <c r="F22" i="38"/>
  <c r="G31" i="53" s="1"/>
  <c r="AF8" i="37"/>
  <c r="AF30" i="37" s="1"/>
  <c r="AG8" i="37"/>
  <c r="Q49" i="56"/>
  <c r="R43" i="56"/>
  <c r="T43" i="56" s="1"/>
  <c r="S43" i="56" s="1"/>
  <c r="R35" i="56"/>
  <c r="T35" i="56" s="1"/>
  <c r="S35" i="56" s="1"/>
  <c r="R27" i="56"/>
  <c r="T27" i="56" s="1"/>
  <c r="S27" i="56" s="1"/>
  <c r="R19" i="56"/>
  <c r="T19" i="56" s="1"/>
  <c r="S19" i="56" s="1"/>
  <c r="R11" i="56"/>
  <c r="T11" i="56" s="1"/>
  <c r="S11" i="56" s="1"/>
  <c r="R38" i="56"/>
  <c r="T38" i="56" s="1"/>
  <c r="S38" i="56" s="1"/>
  <c r="R31" i="56"/>
  <c r="T31" i="56" s="1"/>
  <c r="S31" i="56" s="1"/>
  <c r="R24" i="56"/>
  <c r="T24" i="56" s="1"/>
  <c r="S24" i="56" s="1"/>
  <c r="R12" i="56"/>
  <c r="T12" i="56" s="1"/>
  <c r="S12" i="56" s="1"/>
  <c r="R5" i="56"/>
  <c r="R45" i="56"/>
  <c r="T45" i="56" s="1"/>
  <c r="S45" i="56" s="1"/>
  <c r="T53" i="56"/>
  <c r="S53" i="56" s="1"/>
  <c r="T65" i="56"/>
  <c r="S65" i="56" s="1"/>
  <c r="Y70" i="56"/>
  <c r="X70" i="56" s="1"/>
  <c r="T91" i="56"/>
  <c r="S91" i="56" s="1"/>
  <c r="T116" i="56"/>
  <c r="S116" i="56" s="1"/>
  <c r="T124" i="56"/>
  <c r="S124" i="56" s="1"/>
  <c r="T136" i="56"/>
  <c r="S136" i="56" s="1"/>
  <c r="DF5" i="8"/>
  <c r="BY9" i="8"/>
  <c r="DF9" i="8"/>
  <c r="DF45" i="8" s="1"/>
  <c r="DQ4" i="8" s="1"/>
  <c r="DQ5" i="8" s="1"/>
  <c r="DF29" i="8"/>
  <c r="BY29" i="8"/>
  <c r="W91" i="56"/>
  <c r="Y91" i="56" s="1"/>
  <c r="X91" i="56" s="1"/>
  <c r="T140" i="56"/>
  <c r="S140" i="56" s="1"/>
  <c r="DG15" i="8"/>
  <c r="BZ15" i="8"/>
  <c r="AR45" i="59"/>
  <c r="DF4" i="59"/>
  <c r="DQ9" i="59"/>
  <c r="BY4" i="59"/>
  <c r="P21" i="26"/>
  <c r="Q19" i="53" s="1"/>
  <c r="AE21" i="26"/>
  <c r="N19" i="14"/>
  <c r="O7" i="53" s="1"/>
  <c r="AF6" i="14"/>
  <c r="W53" i="56"/>
  <c r="Y53" i="56" s="1"/>
  <c r="X53" i="56" s="1"/>
  <c r="W60" i="56"/>
  <c r="Y60" i="56" s="1"/>
  <c r="X60" i="56" s="1"/>
  <c r="W66" i="56"/>
  <c r="Y66" i="56" s="1"/>
  <c r="X66" i="56" s="1"/>
  <c r="T92" i="56"/>
  <c r="S92" i="56" s="1"/>
  <c r="W99" i="56"/>
  <c r="Y99" i="56" s="1"/>
  <c r="X99" i="56" s="1"/>
  <c r="T100" i="56"/>
  <c r="S100" i="56" s="1"/>
  <c r="W107" i="56"/>
  <c r="Y107" i="56" s="1"/>
  <c r="X107" i="56" s="1"/>
  <c r="W137" i="56"/>
  <c r="Y137" i="56" s="1"/>
  <c r="X137" i="56" s="1"/>
  <c r="BY10" i="8"/>
  <c r="DF10" i="8"/>
  <c r="BZ43" i="8"/>
  <c r="DG43" i="8"/>
  <c r="J176" i="57"/>
  <c r="O134" i="57"/>
  <c r="BZ18" i="59"/>
  <c r="DG18" i="59"/>
  <c r="AF10" i="17"/>
  <c r="AG10" i="17"/>
  <c r="W58" i="56"/>
  <c r="Y58" i="56" s="1"/>
  <c r="X58" i="56" s="1"/>
  <c r="T61" i="56"/>
  <c r="S61" i="56" s="1"/>
  <c r="T68" i="56"/>
  <c r="S68" i="56" s="1"/>
  <c r="T72" i="56"/>
  <c r="S72" i="56" s="1"/>
  <c r="W75" i="56"/>
  <c r="Y75" i="56" s="1"/>
  <c r="X75" i="56" s="1"/>
  <c r="T76" i="56"/>
  <c r="S76" i="56" s="1"/>
  <c r="W83" i="56"/>
  <c r="Y83" i="56" s="1"/>
  <c r="X83" i="56" s="1"/>
  <c r="T84" i="56"/>
  <c r="S84" i="56" s="1"/>
  <c r="W108" i="56"/>
  <c r="Y108" i="56" s="1"/>
  <c r="X108" i="56" s="1"/>
  <c r="W116" i="56"/>
  <c r="Y116" i="56" s="1"/>
  <c r="X116" i="56" s="1"/>
  <c r="T117" i="56"/>
  <c r="S117" i="56" s="1"/>
  <c r="W120" i="56"/>
  <c r="Y120" i="56" s="1"/>
  <c r="X120" i="56" s="1"/>
  <c r="W128" i="56"/>
  <c r="Y128" i="56" s="1"/>
  <c r="X128" i="56" s="1"/>
  <c r="T129" i="56"/>
  <c r="S129" i="56" s="1"/>
  <c r="W139" i="56"/>
  <c r="Y139" i="56" s="1"/>
  <c r="X139" i="56" s="1"/>
  <c r="Q151" i="56"/>
  <c r="R142" i="56"/>
  <c r="T142" i="56" s="1"/>
  <c r="S142" i="56" s="1"/>
  <c r="R134" i="56"/>
  <c r="T134" i="56" s="1"/>
  <c r="S134" i="56" s="1"/>
  <c r="R126" i="56"/>
  <c r="T126" i="56" s="1"/>
  <c r="S126" i="56" s="1"/>
  <c r="R118" i="56"/>
  <c r="T118" i="56" s="1"/>
  <c r="S118" i="56" s="1"/>
  <c r="R110" i="56"/>
  <c r="T110" i="56" s="1"/>
  <c r="S110" i="56" s="1"/>
  <c r="R102" i="56"/>
  <c r="T102" i="56" s="1"/>
  <c r="S102" i="56" s="1"/>
  <c r="R94" i="56"/>
  <c r="T94" i="56" s="1"/>
  <c r="S94" i="56" s="1"/>
  <c r="R86" i="56"/>
  <c r="T86" i="56" s="1"/>
  <c r="S86" i="56" s="1"/>
  <c r="R78" i="56"/>
  <c r="T78" i="56" s="1"/>
  <c r="S78" i="56" s="1"/>
  <c r="R70" i="56"/>
  <c r="T70" i="56" s="1"/>
  <c r="S70" i="56" s="1"/>
  <c r="R146" i="56"/>
  <c r="T146" i="56" s="1"/>
  <c r="S146" i="56" s="1"/>
  <c r="R139" i="56"/>
  <c r="T139" i="56" s="1"/>
  <c r="S139" i="56" s="1"/>
  <c r="R127" i="56"/>
  <c r="T127" i="56" s="1"/>
  <c r="S127" i="56" s="1"/>
  <c r="R120" i="56"/>
  <c r="T120" i="56" s="1"/>
  <c r="S120" i="56" s="1"/>
  <c r="R108" i="56"/>
  <c r="T108" i="56" s="1"/>
  <c r="S108" i="56" s="1"/>
  <c r="R101" i="56"/>
  <c r="T101" i="56" s="1"/>
  <c r="S101" i="56" s="1"/>
  <c r="R89" i="56"/>
  <c r="T89" i="56" s="1"/>
  <c r="S89" i="56" s="1"/>
  <c r="R82" i="56"/>
  <c r="T82" i="56" s="1"/>
  <c r="S82" i="56" s="1"/>
  <c r="R75" i="56"/>
  <c r="T75" i="56" s="1"/>
  <c r="S75" i="56" s="1"/>
  <c r="R63" i="56"/>
  <c r="T63" i="56" s="1"/>
  <c r="S63" i="56" s="1"/>
  <c r="R55" i="56"/>
  <c r="T55" i="56" s="1"/>
  <c r="S55" i="56" s="1"/>
  <c r="R52" i="56"/>
  <c r="T52" i="56" s="1"/>
  <c r="S52" i="56" s="1"/>
  <c r="R149" i="56"/>
  <c r="T149" i="56" s="1"/>
  <c r="S149" i="56" s="1"/>
  <c r="R148" i="56"/>
  <c r="T148" i="56" s="1"/>
  <c r="S148" i="56" s="1"/>
  <c r="R141" i="56"/>
  <c r="T141" i="56" s="1"/>
  <c r="S141" i="56" s="1"/>
  <c r="DF36" i="8"/>
  <c r="BY36" i="8"/>
  <c r="K176" i="57"/>
  <c r="K177" i="57" s="1"/>
  <c r="O169" i="57"/>
  <c r="O176" i="57" s="1"/>
  <c r="DF6" i="59"/>
  <c r="BY6" i="59"/>
  <c r="DF20" i="59"/>
  <c r="BY20" i="59"/>
  <c r="DG42" i="59"/>
  <c r="BZ42" i="59"/>
  <c r="T27" i="17"/>
  <c r="U10" i="53" s="1"/>
  <c r="AG8" i="17"/>
  <c r="AG20" i="17"/>
  <c r="W129" i="56"/>
  <c r="Y129" i="56" s="1"/>
  <c r="X129" i="56" s="1"/>
  <c r="W140" i="56"/>
  <c r="Y140" i="56" s="1"/>
  <c r="X140" i="56" s="1"/>
  <c r="T143" i="56"/>
  <c r="S143" i="56" s="1"/>
  <c r="DF21" i="8"/>
  <c r="BY21" i="8"/>
  <c r="BZ9" i="59"/>
  <c r="DG9" i="59"/>
  <c r="DG26" i="59"/>
  <c r="BZ26" i="59"/>
  <c r="BY31" i="59"/>
  <c r="DF31" i="59"/>
  <c r="AG15" i="17"/>
  <c r="AF18" i="17"/>
  <c r="AG18" i="17"/>
  <c r="C21" i="26"/>
  <c r="D19" i="53" s="1"/>
  <c r="D46" i="53" s="1"/>
  <c r="D6" i="26"/>
  <c r="AG12" i="20"/>
  <c r="R25" i="20"/>
  <c r="S13" i="53" s="1"/>
  <c r="AF13" i="20"/>
  <c r="AG15" i="21"/>
  <c r="W143" i="56"/>
  <c r="Y143" i="56" s="1"/>
  <c r="X143" i="56" s="1"/>
  <c r="W135" i="56"/>
  <c r="Y135" i="56" s="1"/>
  <c r="X135" i="56" s="1"/>
  <c r="W127" i="56"/>
  <c r="Y127" i="56" s="1"/>
  <c r="X127" i="56" s="1"/>
  <c r="W119" i="56"/>
  <c r="Y119" i="56" s="1"/>
  <c r="X119" i="56" s="1"/>
  <c r="W111" i="56"/>
  <c r="Y111" i="56" s="1"/>
  <c r="X111" i="56" s="1"/>
  <c r="W103" i="56"/>
  <c r="Y103" i="56" s="1"/>
  <c r="X103" i="56" s="1"/>
  <c r="W95" i="56"/>
  <c r="Y95" i="56" s="1"/>
  <c r="X95" i="56" s="1"/>
  <c r="W87" i="56"/>
  <c r="Y87" i="56" s="1"/>
  <c r="X87" i="56" s="1"/>
  <c r="W79" i="56"/>
  <c r="Y79" i="56" s="1"/>
  <c r="X79" i="56" s="1"/>
  <c r="W71" i="56"/>
  <c r="Y71" i="56" s="1"/>
  <c r="X71" i="56" s="1"/>
  <c r="W63" i="56"/>
  <c r="Y63" i="56" s="1"/>
  <c r="X63" i="56" s="1"/>
  <c r="W138" i="56"/>
  <c r="Y138" i="56" s="1"/>
  <c r="X138" i="56" s="1"/>
  <c r="W131" i="56"/>
  <c r="Y131" i="56" s="1"/>
  <c r="X131" i="56" s="1"/>
  <c r="W124" i="56"/>
  <c r="Y124" i="56" s="1"/>
  <c r="X124" i="56" s="1"/>
  <c r="W112" i="56"/>
  <c r="Y112" i="56" s="1"/>
  <c r="X112" i="56" s="1"/>
  <c r="W105" i="56"/>
  <c r="Y105" i="56" s="1"/>
  <c r="X105" i="56" s="1"/>
  <c r="W93" i="56"/>
  <c r="Y93" i="56" s="1"/>
  <c r="X93" i="56" s="1"/>
  <c r="W86" i="56"/>
  <c r="Y86" i="56" s="1"/>
  <c r="X86" i="56" s="1"/>
  <c r="W74" i="56"/>
  <c r="Y74" i="56" s="1"/>
  <c r="X74" i="56" s="1"/>
  <c r="W67" i="56"/>
  <c r="Y67" i="56" s="1"/>
  <c r="X67" i="56" s="1"/>
  <c r="W56" i="56"/>
  <c r="Y56" i="56" s="1"/>
  <c r="X56" i="56" s="1"/>
  <c r="W133" i="56"/>
  <c r="Y133" i="56" s="1"/>
  <c r="X133" i="56" s="1"/>
  <c r="W145" i="56"/>
  <c r="Y145" i="56" s="1"/>
  <c r="X145" i="56" s="1"/>
  <c r="AR45" i="8"/>
  <c r="AS45" i="59"/>
  <c r="DG41" i="59"/>
  <c r="BZ41" i="59"/>
  <c r="AF11" i="21"/>
  <c r="N21" i="21"/>
  <c r="O14" i="53" s="1"/>
  <c r="F21" i="21"/>
  <c r="G14" i="53" s="1"/>
  <c r="J29" i="29"/>
  <c r="K22" i="53" s="1"/>
  <c r="N176" i="57"/>
  <c r="N177" i="57" s="1"/>
  <c r="DE45" i="59"/>
  <c r="DF11" i="59"/>
  <c r="BY11" i="59"/>
  <c r="AF14" i="17"/>
  <c r="AG14" i="17"/>
  <c r="AI9" i="13"/>
  <c r="D22" i="13"/>
  <c r="AH9" i="13"/>
  <c r="AH22" i="13" s="1"/>
  <c r="H19" i="19"/>
  <c r="I12" i="53" s="1"/>
  <c r="I46" i="53" s="1"/>
  <c r="X19" i="19"/>
  <c r="Y12" i="53" s="1"/>
  <c r="DF32" i="59"/>
  <c r="BY32" i="59"/>
  <c r="DF33" i="59"/>
  <c r="BY33" i="59"/>
  <c r="DF39" i="59"/>
  <c r="AF6" i="17"/>
  <c r="AG6" i="17"/>
  <c r="D27" i="17"/>
  <c r="AF21" i="17"/>
  <c r="AF23" i="17"/>
  <c r="AF7" i="37"/>
  <c r="AG7" i="37"/>
  <c r="AG10" i="37"/>
  <c r="AG11" i="37"/>
  <c r="AG13" i="37"/>
  <c r="AF13" i="37"/>
  <c r="F30" i="37"/>
  <c r="G30" i="53" s="1"/>
  <c r="AI10" i="12"/>
  <c r="AG14" i="38"/>
  <c r="AH8" i="28"/>
  <c r="AH9" i="53"/>
  <c r="AE1" i="16"/>
  <c r="DH31" i="8"/>
  <c r="AG11" i="16"/>
  <c r="AF11" i="16"/>
  <c r="AG8" i="21"/>
  <c r="AF9" i="21"/>
  <c r="AH28" i="53"/>
  <c r="DH21" i="59"/>
  <c r="AH29" i="53"/>
  <c r="Y1" i="36"/>
  <c r="DG23" i="8"/>
  <c r="DG39" i="8"/>
  <c r="DF16" i="59"/>
  <c r="BY16" i="59"/>
  <c r="DG33" i="59"/>
  <c r="BZ33" i="59"/>
  <c r="F27" i="17"/>
  <c r="G10" i="53" s="1"/>
  <c r="V27" i="17"/>
  <c r="W10" i="53" s="1"/>
  <c r="AG6" i="37"/>
  <c r="T30" i="37"/>
  <c r="U30" i="53" s="1"/>
  <c r="AH31" i="53"/>
  <c r="Y1" i="38"/>
  <c r="DH7" i="8"/>
  <c r="AI15" i="13"/>
  <c r="AI16" i="13"/>
  <c r="J19" i="15"/>
  <c r="K8" i="53" s="1"/>
  <c r="AF6" i="15"/>
  <c r="AG10" i="15"/>
  <c r="AG10" i="16"/>
  <c r="AH11" i="53"/>
  <c r="AG1" i="18"/>
  <c r="DH23" i="8"/>
  <c r="AG12" i="19"/>
  <c r="AF13" i="19"/>
  <c r="N25" i="20"/>
  <c r="O13" i="53" s="1"/>
  <c r="AF7" i="20"/>
  <c r="AD25" i="20"/>
  <c r="AE13" i="53" s="1"/>
  <c r="AF18" i="25"/>
  <c r="AG10" i="29"/>
  <c r="AG11" i="29"/>
  <c r="AF6" i="35"/>
  <c r="AG21" i="36"/>
  <c r="R21" i="36"/>
  <c r="S29" i="53" s="1"/>
  <c r="AF7" i="36"/>
  <c r="AG10" i="45"/>
  <c r="AF10" i="45"/>
  <c r="AC1" i="47"/>
  <c r="AH40" i="53"/>
  <c r="DF7" i="59"/>
  <c r="BY7" i="59"/>
  <c r="DG34" i="59"/>
  <c r="BZ34" i="59"/>
  <c r="V30" i="37"/>
  <c r="W30" i="53" s="1"/>
  <c r="AH12" i="12"/>
  <c r="AG8" i="38"/>
  <c r="H27" i="28"/>
  <c r="AI7" i="28"/>
  <c r="AG15" i="26"/>
  <c r="AG11" i="15"/>
  <c r="AF11" i="15"/>
  <c r="N29" i="29"/>
  <c r="O22" i="53" s="1"/>
  <c r="AF6" i="29"/>
  <c r="AG24" i="32"/>
  <c r="N21" i="42"/>
  <c r="O35" i="53" s="1"/>
  <c r="AF8" i="42"/>
  <c r="AF9" i="45"/>
  <c r="AG9" i="45"/>
  <c r="J177" i="57"/>
  <c r="O40" i="57"/>
  <c r="DF24" i="59"/>
  <c r="BY24" i="59"/>
  <c r="J27" i="12"/>
  <c r="K5" i="53" s="1"/>
  <c r="AH20" i="12"/>
  <c r="J27" i="28"/>
  <c r="Z27" i="28"/>
  <c r="AI24" i="28"/>
  <c r="AH24" i="28"/>
  <c r="AH8" i="53"/>
  <c r="AG1" i="15"/>
  <c r="DH35" i="8"/>
  <c r="DH35" i="59"/>
  <c r="AF9" i="15"/>
  <c r="D19" i="15"/>
  <c r="P25" i="20"/>
  <c r="Q13" i="53" s="1"/>
  <c r="AE25" i="20"/>
  <c r="X25" i="20"/>
  <c r="Y13" i="53" s="1"/>
  <c r="AH16" i="53"/>
  <c r="AE1" i="23"/>
  <c r="DH38" i="59"/>
  <c r="AF8" i="23"/>
  <c r="AH26" i="53"/>
  <c r="AE1" i="33"/>
  <c r="AG19" i="46"/>
  <c r="BY13" i="8"/>
  <c r="BZ42" i="8"/>
  <c r="BZ7" i="59"/>
  <c r="BZ45" i="59" s="1"/>
  <c r="DG17" i="59"/>
  <c r="BZ17" i="59"/>
  <c r="DF25" i="59"/>
  <c r="BY25" i="59"/>
  <c r="N30" i="37"/>
  <c r="O30" i="53" s="1"/>
  <c r="L27" i="12"/>
  <c r="M5" i="53" s="1"/>
  <c r="AB27" i="12"/>
  <c r="AC5" i="53" s="1"/>
  <c r="L27" i="28"/>
  <c r="AB27" i="28"/>
  <c r="AH16" i="28"/>
  <c r="L19" i="14"/>
  <c r="M7" i="53" s="1"/>
  <c r="AB19" i="14"/>
  <c r="AC7" i="53" s="1"/>
  <c r="AH15" i="53"/>
  <c r="AE1" i="22"/>
  <c r="DH28" i="59"/>
  <c r="AG1" i="29"/>
  <c r="BY37" i="8"/>
  <c r="O149" i="57"/>
  <c r="DG8" i="59"/>
  <c r="DG45" i="59" s="1"/>
  <c r="BZ8" i="59"/>
  <c r="BZ21" i="59"/>
  <c r="DG25" i="59"/>
  <c r="BZ25" i="59"/>
  <c r="DF40" i="59"/>
  <c r="BY40" i="59"/>
  <c r="DF41" i="59"/>
  <c r="BY41" i="59"/>
  <c r="N27" i="17"/>
  <c r="O10" i="53" s="1"/>
  <c r="AF11" i="17"/>
  <c r="AE30" i="37"/>
  <c r="AI14" i="28"/>
  <c r="AI16" i="28"/>
  <c r="AI19" i="28"/>
  <c r="AH19" i="28"/>
  <c r="R22" i="13"/>
  <c r="S6" i="53" s="1"/>
  <c r="S46" i="53" s="1"/>
  <c r="AG22" i="13"/>
  <c r="AH7" i="53"/>
  <c r="DH43" i="8"/>
  <c r="DH43" i="59"/>
  <c r="AC1" i="14"/>
  <c r="E11" i="53"/>
  <c r="AF8" i="18"/>
  <c r="F19" i="18"/>
  <c r="G11" i="53" s="1"/>
  <c r="AG6" i="19"/>
  <c r="AF7" i="19"/>
  <c r="F19" i="19"/>
  <c r="G12" i="53" s="1"/>
  <c r="AF6" i="20"/>
  <c r="AG16" i="21"/>
  <c r="AF16" i="21"/>
  <c r="AG18" i="21"/>
  <c r="AF18" i="21"/>
  <c r="AG9" i="23"/>
  <c r="AH27" i="30"/>
  <c r="AC1" i="46"/>
  <c r="AH39" i="53"/>
  <c r="DH39" i="8"/>
  <c r="J27" i="17"/>
  <c r="K10" i="53" s="1"/>
  <c r="Z27" i="17"/>
  <c r="AA10" i="53" s="1"/>
  <c r="AG16" i="17"/>
  <c r="AG17" i="17"/>
  <c r="AG25" i="17"/>
  <c r="AG26" i="17"/>
  <c r="AG17" i="37"/>
  <c r="AF18" i="37"/>
  <c r="AG22" i="37"/>
  <c r="AG23" i="37"/>
  <c r="AI13" i="12"/>
  <c r="AI14" i="12"/>
  <c r="AH22" i="12"/>
  <c r="J46" i="53"/>
  <c r="L22" i="38"/>
  <c r="M31" i="53" s="1"/>
  <c r="AB22" i="38"/>
  <c r="AC31" i="53" s="1"/>
  <c r="AG17" i="38"/>
  <c r="N27" i="28"/>
  <c r="AD27" i="28"/>
  <c r="AH10" i="28"/>
  <c r="AI23" i="28"/>
  <c r="AH23" i="28"/>
  <c r="AG8" i="26"/>
  <c r="AG9" i="26"/>
  <c r="H22" i="13"/>
  <c r="I6" i="53" s="1"/>
  <c r="X22" i="13"/>
  <c r="Y6" i="53" s="1"/>
  <c r="Y46" i="53" s="1"/>
  <c r="AG8" i="15"/>
  <c r="N19" i="16"/>
  <c r="O9" i="53" s="1"/>
  <c r="AD19" i="16"/>
  <c r="AE9" i="53" s="1"/>
  <c r="AG10" i="20"/>
  <c r="AF11" i="20"/>
  <c r="AF15" i="20"/>
  <c r="AF16" i="20"/>
  <c r="AF17" i="20"/>
  <c r="AG7" i="21"/>
  <c r="AG13" i="21"/>
  <c r="AB19" i="24"/>
  <c r="AC17" i="53" s="1"/>
  <c r="AF19" i="25"/>
  <c r="R29" i="29"/>
  <c r="S22" i="53" s="1"/>
  <c r="AG28" i="29"/>
  <c r="AH8" i="30"/>
  <c r="AH33" i="30" s="1"/>
  <c r="AF8" i="31"/>
  <c r="AG13" i="31"/>
  <c r="AF13" i="31"/>
  <c r="AG18" i="31"/>
  <c r="AF18" i="31"/>
  <c r="AG6" i="35"/>
  <c r="AG21" i="35" s="1"/>
  <c r="AG7" i="35"/>
  <c r="T21" i="36"/>
  <c r="U29" i="53" s="1"/>
  <c r="AG7" i="36"/>
  <c r="L20" i="39"/>
  <c r="M32" i="53" s="1"/>
  <c r="AB20" i="39"/>
  <c r="AC32" i="53" s="1"/>
  <c r="AB19" i="41"/>
  <c r="AC34" i="53" s="1"/>
  <c r="P20" i="48"/>
  <c r="Q41" i="53" s="1"/>
  <c r="AE20" i="48"/>
  <c r="AF9" i="48"/>
  <c r="F20" i="48"/>
  <c r="G41" i="53" s="1"/>
  <c r="V20" i="48"/>
  <c r="W41" i="53" s="1"/>
  <c r="AH43" i="53"/>
  <c r="AE1" i="50"/>
  <c r="AG10" i="51"/>
  <c r="AF17" i="17"/>
  <c r="AG21" i="17"/>
  <c r="AF22" i="17"/>
  <c r="J30" i="37"/>
  <c r="K30" i="53" s="1"/>
  <c r="Z30" i="37"/>
  <c r="AA30" i="53" s="1"/>
  <c r="AF12" i="37"/>
  <c r="AG16" i="37"/>
  <c r="AH20" i="28"/>
  <c r="AH21" i="28"/>
  <c r="AI22" i="28"/>
  <c r="H21" i="26"/>
  <c r="I19" i="53" s="1"/>
  <c r="X21" i="26"/>
  <c r="Y19" i="53" s="1"/>
  <c r="F21" i="26"/>
  <c r="G19" i="53" s="1"/>
  <c r="V21" i="26"/>
  <c r="W19" i="53" s="1"/>
  <c r="J22" i="13"/>
  <c r="K6" i="53" s="1"/>
  <c r="Z22" i="13"/>
  <c r="AA6" i="53" s="1"/>
  <c r="AA46" i="53" s="1"/>
  <c r="AH10" i="13"/>
  <c r="AH11" i="13"/>
  <c r="AH12" i="13"/>
  <c r="AG8" i="14"/>
  <c r="R19" i="15"/>
  <c r="S8" i="53" s="1"/>
  <c r="AG7" i="15"/>
  <c r="AF8" i="15"/>
  <c r="AG13" i="16"/>
  <c r="AF13" i="16"/>
  <c r="J19" i="18"/>
  <c r="K11" i="53" s="1"/>
  <c r="AF6" i="18"/>
  <c r="Z19" i="18"/>
  <c r="AA11" i="53" s="1"/>
  <c r="N19" i="19"/>
  <c r="O12" i="53" s="1"/>
  <c r="D25" i="20"/>
  <c r="T25" i="20"/>
  <c r="U13" i="53" s="1"/>
  <c r="AG6" i="20"/>
  <c r="AG9" i="20"/>
  <c r="AG15" i="20"/>
  <c r="AG16" i="20"/>
  <c r="AG22" i="20"/>
  <c r="AG23" i="20"/>
  <c r="AF23" i="20"/>
  <c r="D21" i="21"/>
  <c r="T21" i="21"/>
  <c r="U14" i="53" s="1"/>
  <c r="AF7" i="21"/>
  <c r="AG11" i="21"/>
  <c r="AG12" i="21"/>
  <c r="J19" i="24"/>
  <c r="K17" i="53" s="1"/>
  <c r="Z19" i="24"/>
  <c r="AA17" i="53" s="1"/>
  <c r="L19" i="24"/>
  <c r="M17" i="53" s="1"/>
  <c r="AG10" i="54"/>
  <c r="V33" i="30"/>
  <c r="W23" i="53" s="1"/>
  <c r="D33" i="30"/>
  <c r="E23" i="53" s="1"/>
  <c r="AH9" i="30"/>
  <c r="E24" i="53"/>
  <c r="AF22" i="33"/>
  <c r="AG22" i="33"/>
  <c r="F19" i="34"/>
  <c r="G27" i="53" s="1"/>
  <c r="AK6" i="34"/>
  <c r="AJ6" i="34"/>
  <c r="AG7" i="42"/>
  <c r="AG15" i="42"/>
  <c r="AF15" i="42"/>
  <c r="AB25" i="44"/>
  <c r="AC37" i="53" s="1"/>
  <c r="L30" i="37"/>
  <c r="M30" i="53" s="1"/>
  <c r="AB30" i="37"/>
  <c r="AC30" i="53" s="1"/>
  <c r="AG14" i="37"/>
  <c r="AG15" i="37"/>
  <c r="AG27" i="37"/>
  <c r="AI6" i="12"/>
  <c r="D27" i="12"/>
  <c r="T27" i="12"/>
  <c r="U5" i="53" s="1"/>
  <c r="AH7" i="12"/>
  <c r="AH16" i="12"/>
  <c r="X46" i="53"/>
  <c r="AG13" i="38"/>
  <c r="AF14" i="38"/>
  <c r="R27" i="28"/>
  <c r="AI20" i="28"/>
  <c r="AI21" i="28"/>
  <c r="AH22" i="28"/>
  <c r="AF10" i="26"/>
  <c r="AI10" i="13"/>
  <c r="AI11" i="13"/>
  <c r="AH13" i="13"/>
  <c r="AG6" i="14"/>
  <c r="AG6" i="15"/>
  <c r="AF6" i="16"/>
  <c r="P19" i="16"/>
  <c r="Q9" i="53" s="1"/>
  <c r="Q46" i="53" s="1"/>
  <c r="AG7" i="20"/>
  <c r="AG8" i="20"/>
  <c r="AG21" i="20"/>
  <c r="AF7" i="25"/>
  <c r="AF13" i="25"/>
  <c r="H33" i="30"/>
  <c r="I23" i="53" s="1"/>
  <c r="X33" i="30"/>
  <c r="Y23" i="53" s="1"/>
  <c r="AF9" i="32"/>
  <c r="AF23" i="33"/>
  <c r="AK14" i="34"/>
  <c r="AJ14" i="34"/>
  <c r="AF15" i="39"/>
  <c r="AG14" i="42"/>
  <c r="AE27" i="17"/>
  <c r="F27" i="12"/>
  <c r="G5" i="53" s="1"/>
  <c r="V27" i="12"/>
  <c r="W5" i="53" s="1"/>
  <c r="AI7" i="12"/>
  <c r="AI17" i="12"/>
  <c r="AH18" i="12"/>
  <c r="AH19" i="12"/>
  <c r="R22" i="38"/>
  <c r="S31" i="53" s="1"/>
  <c r="AG12" i="38"/>
  <c r="AF15" i="38"/>
  <c r="D27" i="28"/>
  <c r="T27" i="28"/>
  <c r="AH7" i="28"/>
  <c r="AH13" i="28"/>
  <c r="AH14" i="28"/>
  <c r="N22" i="13"/>
  <c r="O6" i="53" s="1"/>
  <c r="O46" i="53" s="1"/>
  <c r="AD22" i="13"/>
  <c r="AE6" i="53" s="1"/>
  <c r="AE46" i="53" s="1"/>
  <c r="H19" i="15"/>
  <c r="I8" i="53" s="1"/>
  <c r="X19" i="15"/>
  <c r="Y8" i="53" s="1"/>
  <c r="AG12" i="15"/>
  <c r="AF12" i="15"/>
  <c r="D19" i="16"/>
  <c r="AG6" i="16"/>
  <c r="AG12" i="16"/>
  <c r="AF12" i="16"/>
  <c r="AF9" i="18"/>
  <c r="AF10" i="18"/>
  <c r="P19" i="19"/>
  <c r="Q12" i="53" s="1"/>
  <c r="AE19" i="19"/>
  <c r="AF8" i="19"/>
  <c r="AF14" i="19"/>
  <c r="D19" i="19"/>
  <c r="F25" i="20"/>
  <c r="G13" i="53" s="1"/>
  <c r="V25" i="20"/>
  <c r="W13" i="53" s="1"/>
  <c r="AG20" i="20"/>
  <c r="AF13" i="21"/>
  <c r="D20" i="25"/>
  <c r="E18" i="53" s="1"/>
  <c r="AF6" i="25"/>
  <c r="AF8" i="25"/>
  <c r="P22" i="54"/>
  <c r="Q20" i="53" s="1"/>
  <c r="AG8" i="54"/>
  <c r="AG9" i="54"/>
  <c r="AF9" i="54"/>
  <c r="AG14" i="29"/>
  <c r="D24" i="32"/>
  <c r="E25" i="53" s="1"/>
  <c r="AF8" i="32"/>
  <c r="AG18" i="32"/>
  <c r="AF18" i="32"/>
  <c r="AF8" i="33"/>
  <c r="AG17" i="33"/>
  <c r="AG24" i="33"/>
  <c r="AG26" i="33"/>
  <c r="AF26" i="33"/>
  <c r="AG13" i="42"/>
  <c r="AF13" i="42"/>
  <c r="AG22" i="44"/>
  <c r="AF22" i="44"/>
  <c r="F25" i="44"/>
  <c r="G37" i="53" s="1"/>
  <c r="BY44" i="59"/>
  <c r="R27" i="17"/>
  <c r="S10" i="53" s="1"/>
  <c r="R30" i="37"/>
  <c r="S30" i="53" s="1"/>
  <c r="AF16" i="37"/>
  <c r="AI8" i="12"/>
  <c r="AH8" i="12"/>
  <c r="AI18" i="12"/>
  <c r="AI24" i="12"/>
  <c r="AH24" i="12"/>
  <c r="Z46" i="53"/>
  <c r="AF6" i="38"/>
  <c r="D22" i="38"/>
  <c r="T22" i="38"/>
  <c r="U31" i="53" s="1"/>
  <c r="F27" i="28"/>
  <c r="V27" i="28"/>
  <c r="AI12" i="28"/>
  <c r="AI13" i="28"/>
  <c r="AF13" i="26"/>
  <c r="P22" i="13"/>
  <c r="Q6" i="53" s="1"/>
  <c r="AF22" i="13"/>
  <c r="AH14" i="13"/>
  <c r="AH15" i="13"/>
  <c r="AH16" i="13"/>
  <c r="AF8" i="14"/>
  <c r="F19" i="16"/>
  <c r="G9" i="53" s="1"/>
  <c r="V19" i="16"/>
  <c r="W9" i="53" s="1"/>
  <c r="AG8" i="18"/>
  <c r="AG7" i="19"/>
  <c r="AG10" i="19"/>
  <c r="AF10" i="19"/>
  <c r="AG13" i="19"/>
  <c r="AF9" i="20"/>
  <c r="J21" i="21"/>
  <c r="K14" i="53" s="1"/>
  <c r="Z21" i="21"/>
  <c r="AA14" i="53" s="1"/>
  <c r="F20" i="25"/>
  <c r="G18" i="53" s="1"/>
  <c r="AG8" i="25"/>
  <c r="AG20" i="25" s="1"/>
  <c r="AG9" i="25"/>
  <c r="AA1" i="54"/>
  <c r="AG12" i="29"/>
  <c r="AH24" i="53"/>
  <c r="AE1" i="31"/>
  <c r="AF7" i="32"/>
  <c r="AG7" i="32"/>
  <c r="F24" i="32"/>
  <c r="G25" i="53" s="1"/>
  <c r="AG10" i="32"/>
  <c r="AG11" i="32"/>
  <c r="AF14" i="32"/>
  <c r="H27" i="33"/>
  <c r="I26" i="53" s="1"/>
  <c r="X27" i="33"/>
  <c r="Y26" i="53" s="1"/>
  <c r="AK9" i="34"/>
  <c r="AK10" i="34"/>
  <c r="AJ10" i="34"/>
  <c r="AG14" i="39"/>
  <c r="AF14" i="39"/>
  <c r="AG16" i="39"/>
  <c r="AF16" i="39"/>
  <c r="AF11" i="37"/>
  <c r="AF15" i="37"/>
  <c r="AF23" i="37"/>
  <c r="L46" i="53"/>
  <c r="T46" i="53"/>
  <c r="AB46" i="53"/>
  <c r="AF10" i="38"/>
  <c r="AF12" i="38"/>
  <c r="AF9" i="26"/>
  <c r="F22" i="13"/>
  <c r="G6" i="53" s="1"/>
  <c r="AF7" i="14"/>
  <c r="AF8" i="20"/>
  <c r="AF20" i="20"/>
  <c r="AD21" i="21"/>
  <c r="AE14" i="53" s="1"/>
  <c r="AF12" i="21"/>
  <c r="AG6" i="23"/>
  <c r="T19" i="23"/>
  <c r="U16" i="53" s="1"/>
  <c r="F22" i="54"/>
  <c r="G20" i="53" s="1"/>
  <c r="AG15" i="54"/>
  <c r="AF15" i="54"/>
  <c r="J22" i="54"/>
  <c r="K20" i="53" s="1"/>
  <c r="D29" i="29"/>
  <c r="T29" i="29"/>
  <c r="U22" i="53" s="1"/>
  <c r="AG7" i="29"/>
  <c r="AF8" i="29"/>
  <c r="AF27" i="29"/>
  <c r="J33" i="30"/>
  <c r="K23" i="53" s="1"/>
  <c r="Z33" i="30"/>
  <c r="AA23" i="53" s="1"/>
  <c r="AH10" i="30"/>
  <c r="AH11" i="30"/>
  <c r="AH12" i="30"/>
  <c r="AH18" i="30"/>
  <c r="J27" i="31"/>
  <c r="K24" i="53" s="1"/>
  <c r="Z27" i="31"/>
  <c r="AA24" i="53" s="1"/>
  <c r="AG11" i="31"/>
  <c r="AG15" i="32"/>
  <c r="AG17" i="32"/>
  <c r="AF17" i="32"/>
  <c r="L27" i="33"/>
  <c r="M26" i="53" s="1"/>
  <c r="AB27" i="33"/>
  <c r="AC26" i="53" s="1"/>
  <c r="AG11" i="33"/>
  <c r="AF12" i="33"/>
  <c r="H19" i="34"/>
  <c r="I27" i="53" s="1"/>
  <c r="AF6" i="36"/>
  <c r="AF21" i="36" s="1"/>
  <c r="AG10" i="36"/>
  <c r="AF10" i="36"/>
  <c r="R20" i="39"/>
  <c r="S32" i="53" s="1"/>
  <c r="AG6" i="39"/>
  <c r="AF7" i="39"/>
  <c r="AF20" i="39" s="1"/>
  <c r="AG13" i="39"/>
  <c r="AF7" i="42"/>
  <c r="AE21" i="42"/>
  <c r="AG11" i="43"/>
  <c r="AF11" i="43"/>
  <c r="AG15" i="44"/>
  <c r="AF16" i="44"/>
  <c r="X20" i="48"/>
  <c r="Y41" i="53" s="1"/>
  <c r="AF9" i="49"/>
  <c r="AH9" i="12"/>
  <c r="AH13" i="12"/>
  <c r="AH17" i="12"/>
  <c r="AH21" i="12"/>
  <c r="AG7" i="14"/>
  <c r="AF11" i="19"/>
  <c r="AE21" i="21"/>
  <c r="AF6" i="23"/>
  <c r="AF19" i="23" s="1"/>
  <c r="F19" i="23"/>
  <c r="G16" i="53" s="1"/>
  <c r="L20" i="25"/>
  <c r="M18" i="53" s="1"/>
  <c r="AG11" i="25"/>
  <c r="AF11" i="25"/>
  <c r="H22" i="54"/>
  <c r="I20" i="53" s="1"/>
  <c r="X22" i="54"/>
  <c r="Y20" i="53" s="1"/>
  <c r="F29" i="29"/>
  <c r="G22" i="53" s="1"/>
  <c r="V29" i="29"/>
  <c r="W22" i="53" s="1"/>
  <c r="AI10" i="30"/>
  <c r="AI11" i="30"/>
  <c r="AH13" i="30"/>
  <c r="AH19" i="30"/>
  <c r="AI28" i="30"/>
  <c r="AI29" i="30"/>
  <c r="AI30" i="30"/>
  <c r="AH30" i="30"/>
  <c r="L27" i="31"/>
  <c r="M24" i="53" s="1"/>
  <c r="AB27" i="31"/>
  <c r="AC24" i="53" s="1"/>
  <c r="AG12" i="31"/>
  <c r="AF12" i="31"/>
  <c r="AB24" i="32"/>
  <c r="AC25" i="53" s="1"/>
  <c r="J19" i="34"/>
  <c r="K27" i="53" s="1"/>
  <c r="Z19" i="34"/>
  <c r="AA27" i="53" s="1"/>
  <c r="AK7" i="34"/>
  <c r="AJ7" i="34"/>
  <c r="AJ11" i="34"/>
  <c r="H21" i="35"/>
  <c r="I28" i="53" s="1"/>
  <c r="AG12" i="39"/>
  <c r="D20" i="39"/>
  <c r="E32" i="53" s="1"/>
  <c r="L25" i="44"/>
  <c r="M37" i="53" s="1"/>
  <c r="AD25" i="44"/>
  <c r="AE37" i="53" s="1"/>
  <c r="J19" i="46"/>
  <c r="K39" i="53" s="1"/>
  <c r="AG9" i="47"/>
  <c r="AH42" i="53"/>
  <c r="AE1" i="49"/>
  <c r="AF8" i="49"/>
  <c r="D19" i="49"/>
  <c r="E42" i="53" s="1"/>
  <c r="AF24" i="37"/>
  <c r="F46" i="53"/>
  <c r="N46" i="53"/>
  <c r="V46" i="53"/>
  <c r="AD46" i="53"/>
  <c r="AF13" i="38"/>
  <c r="AH6" i="28"/>
  <c r="AH9" i="28"/>
  <c r="AF11" i="26"/>
  <c r="AF7" i="15"/>
  <c r="AF9" i="16"/>
  <c r="AF7" i="18"/>
  <c r="AF6" i="19"/>
  <c r="AF19" i="19" s="1"/>
  <c r="AF12" i="19"/>
  <c r="AF10" i="20"/>
  <c r="AF22" i="20"/>
  <c r="R21" i="21"/>
  <c r="S14" i="53" s="1"/>
  <c r="AF6" i="21"/>
  <c r="AF14" i="21"/>
  <c r="R19" i="22"/>
  <c r="S15" i="53" s="1"/>
  <c r="AF6" i="22"/>
  <c r="AF19" i="22" s="1"/>
  <c r="H19" i="23"/>
  <c r="I16" i="53" s="1"/>
  <c r="X19" i="23"/>
  <c r="Y16" i="53" s="1"/>
  <c r="AG9" i="24"/>
  <c r="N20" i="25"/>
  <c r="O18" i="53" s="1"/>
  <c r="AF15" i="25"/>
  <c r="AF10" i="54"/>
  <c r="H29" i="29"/>
  <c r="I22" i="53" s="1"/>
  <c r="X29" i="29"/>
  <c r="Y22" i="53" s="1"/>
  <c r="AF19" i="29"/>
  <c r="AF21" i="29"/>
  <c r="AG25" i="29"/>
  <c r="AF26" i="29"/>
  <c r="N33" i="30"/>
  <c r="O23" i="53" s="1"/>
  <c r="AD33" i="30"/>
  <c r="AE23" i="53" s="1"/>
  <c r="AG10" i="31"/>
  <c r="N27" i="31"/>
  <c r="O24" i="53" s="1"/>
  <c r="N24" i="32"/>
  <c r="O25" i="53" s="1"/>
  <c r="AD24" i="32"/>
  <c r="AE25" i="53" s="1"/>
  <c r="AG16" i="32"/>
  <c r="AF16" i="32"/>
  <c r="P27" i="33"/>
  <c r="Q26" i="53" s="1"/>
  <c r="AG10" i="33"/>
  <c r="AF16" i="33"/>
  <c r="AF17" i="33"/>
  <c r="AK8" i="34"/>
  <c r="AK15" i="34"/>
  <c r="D19" i="34"/>
  <c r="E27" i="53" s="1"/>
  <c r="J21" i="35"/>
  <c r="K28" i="53" s="1"/>
  <c r="V20" i="39"/>
  <c r="W32" i="53" s="1"/>
  <c r="AG11" i="39"/>
  <c r="AG18" i="39"/>
  <c r="AG17" i="44"/>
  <c r="AG15" i="47"/>
  <c r="AF16" i="47"/>
  <c r="R19" i="49"/>
  <c r="S42" i="53" s="1"/>
  <c r="AG10" i="49"/>
  <c r="D30" i="37"/>
  <c r="AH6" i="12"/>
  <c r="AH10" i="12"/>
  <c r="AH14" i="12"/>
  <c r="AI6" i="28"/>
  <c r="AG7" i="18"/>
  <c r="AG6" i="21"/>
  <c r="E15" i="53"/>
  <c r="AG6" i="22"/>
  <c r="AF6" i="24"/>
  <c r="AG8" i="24"/>
  <c r="AG19" i="24"/>
  <c r="AE20" i="25"/>
  <c r="AG12" i="25"/>
  <c r="L22" i="54"/>
  <c r="M20" i="53" s="1"/>
  <c r="AB22" i="54"/>
  <c r="AC20" i="53" s="1"/>
  <c r="AF11" i="54"/>
  <c r="AG18" i="29"/>
  <c r="AG24" i="29"/>
  <c r="P33" i="30"/>
  <c r="Q23" i="53" s="1"/>
  <c r="AF33" i="30"/>
  <c r="AG23" i="53" s="1"/>
  <c r="AH14" i="30"/>
  <c r="AH15" i="30"/>
  <c r="AH16" i="30"/>
  <c r="AH20" i="30"/>
  <c r="AH21" i="30"/>
  <c r="AI22" i="30"/>
  <c r="AG9" i="31"/>
  <c r="AF10" i="31"/>
  <c r="AG17" i="31"/>
  <c r="AF17" i="31"/>
  <c r="P24" i="32"/>
  <c r="Q25" i="53" s="1"/>
  <c r="AE24" i="32"/>
  <c r="AG22" i="32"/>
  <c r="AF22" i="32"/>
  <c r="R27" i="33"/>
  <c r="S26" i="53" s="1"/>
  <c r="AG9" i="33"/>
  <c r="AF10" i="33"/>
  <c r="AG14" i="33"/>
  <c r="AG15" i="33"/>
  <c r="AG16" i="33"/>
  <c r="AF18" i="33"/>
  <c r="N19" i="34"/>
  <c r="O27" i="53" s="1"/>
  <c r="AD19" i="34"/>
  <c r="AE27" i="53" s="1"/>
  <c r="AJ8" i="34"/>
  <c r="AJ9" i="34"/>
  <c r="AK12" i="34"/>
  <c r="AJ12" i="34"/>
  <c r="AF9" i="35"/>
  <c r="AF13" i="35"/>
  <c r="AF14" i="35"/>
  <c r="AF15" i="35"/>
  <c r="H20" i="39"/>
  <c r="I32" i="53" s="1"/>
  <c r="AG9" i="39"/>
  <c r="AG10" i="39"/>
  <c r="F20" i="39"/>
  <c r="G32" i="53" s="1"/>
  <c r="F20" i="43"/>
  <c r="G36" i="53" s="1"/>
  <c r="V20" i="43"/>
  <c r="W36" i="53" s="1"/>
  <c r="N19" i="46"/>
  <c r="O39" i="53" s="1"/>
  <c r="D19" i="52"/>
  <c r="E45" i="53" s="1"/>
  <c r="AF6" i="52"/>
  <c r="H19" i="52"/>
  <c r="I45" i="53" s="1"/>
  <c r="AG10" i="52"/>
  <c r="AG19" i="52" s="1"/>
  <c r="H46" i="53"/>
  <c r="P46" i="53"/>
  <c r="AG5" i="53"/>
  <c r="AF5" i="53"/>
  <c r="AF46" i="53" s="1"/>
  <c r="V21" i="21"/>
  <c r="W14" i="53" s="1"/>
  <c r="AF8" i="22"/>
  <c r="AG6" i="24"/>
  <c r="AG7" i="24"/>
  <c r="AF12" i="25"/>
  <c r="AG13" i="25"/>
  <c r="AG16" i="25"/>
  <c r="N22" i="54"/>
  <c r="O20" i="53" s="1"/>
  <c r="AD22" i="54"/>
  <c r="AE20" i="53" s="1"/>
  <c r="AG14" i="54"/>
  <c r="AF14" i="54"/>
  <c r="L29" i="29"/>
  <c r="M22" i="53" s="1"/>
  <c r="AB29" i="29"/>
  <c r="AC22" i="53" s="1"/>
  <c r="AF11" i="29"/>
  <c r="AG17" i="29"/>
  <c r="AF18" i="29"/>
  <c r="AG22" i="29"/>
  <c r="AG23" i="29"/>
  <c r="AF24" i="29"/>
  <c r="R33" i="30"/>
  <c r="S23" i="53" s="1"/>
  <c r="AG33" i="30"/>
  <c r="AI14" i="30"/>
  <c r="AI33" i="30" s="1"/>
  <c r="AI15" i="30"/>
  <c r="AI17" i="30"/>
  <c r="AH17" i="30"/>
  <c r="AI20" i="30"/>
  <c r="AI21" i="30"/>
  <c r="AH22" i="30"/>
  <c r="AI24" i="30"/>
  <c r="AH24" i="30"/>
  <c r="AG8" i="31"/>
  <c r="AG14" i="31"/>
  <c r="AF14" i="31"/>
  <c r="AG19" i="32"/>
  <c r="AF19" i="32"/>
  <c r="D27" i="33"/>
  <c r="T27" i="33"/>
  <c r="U26" i="53" s="1"/>
  <c r="AG21" i="33"/>
  <c r="P19" i="34"/>
  <c r="Q27" i="53" s="1"/>
  <c r="AG9" i="35"/>
  <c r="AG13" i="35"/>
  <c r="AG14" i="35"/>
  <c r="D21" i="36"/>
  <c r="E29" i="53" s="1"/>
  <c r="J20" i="39"/>
  <c r="K32" i="53" s="1"/>
  <c r="D19" i="41"/>
  <c r="E34" i="53" s="1"/>
  <c r="AF6" i="41"/>
  <c r="AG7" i="41"/>
  <c r="AG19" i="41" s="1"/>
  <c r="AF14" i="42"/>
  <c r="L19" i="45"/>
  <c r="M38" i="53" s="1"/>
  <c r="AB19" i="45"/>
  <c r="AC38" i="53" s="1"/>
  <c r="AG14" i="48"/>
  <c r="AF9" i="22"/>
  <c r="D19" i="23"/>
  <c r="AF7" i="24"/>
  <c r="AF9" i="25"/>
  <c r="AF6" i="54"/>
  <c r="D22" i="54"/>
  <c r="AG6" i="29"/>
  <c r="AF7" i="29"/>
  <c r="AF15" i="29"/>
  <c r="AF23" i="29"/>
  <c r="F33" i="30"/>
  <c r="G23" i="53" s="1"/>
  <c r="AG6" i="31"/>
  <c r="AF7" i="31"/>
  <c r="AF27" i="31" s="1"/>
  <c r="AF11" i="32"/>
  <c r="AF7" i="33"/>
  <c r="AF15" i="33"/>
  <c r="AF7" i="35"/>
  <c r="AF10" i="39"/>
  <c r="J19" i="41"/>
  <c r="K34" i="53" s="1"/>
  <c r="Z19" i="41"/>
  <c r="AA34" i="53" s="1"/>
  <c r="D21" i="42"/>
  <c r="T21" i="42"/>
  <c r="U35" i="53" s="1"/>
  <c r="AG9" i="42"/>
  <c r="AF8" i="43"/>
  <c r="AF9" i="43"/>
  <c r="P25" i="44"/>
  <c r="Q37" i="53" s="1"/>
  <c r="AE25" i="44"/>
  <c r="AG7" i="44"/>
  <c r="AF8" i="44"/>
  <c r="AG14" i="44"/>
  <c r="AG12" i="46"/>
  <c r="P19" i="45"/>
  <c r="Q38" i="53" s="1"/>
  <c r="AG8" i="45"/>
  <c r="AG14" i="45"/>
  <c r="F19" i="45"/>
  <c r="G38" i="53" s="1"/>
  <c r="AH38" i="53"/>
  <c r="AC1" i="45"/>
  <c r="AF7" i="47"/>
  <c r="D24" i="47"/>
  <c r="E40" i="53" s="1"/>
  <c r="T24" i="47"/>
  <c r="U40" i="53" s="1"/>
  <c r="AF9" i="47"/>
  <c r="AG13" i="47"/>
  <c r="AF14" i="47"/>
  <c r="AG18" i="47"/>
  <c r="AG19" i="47"/>
  <c r="AF23" i="47"/>
  <c r="AG7" i="48"/>
  <c r="AG11" i="48"/>
  <c r="AG6" i="49"/>
  <c r="AF7" i="49"/>
  <c r="R19" i="50"/>
  <c r="S43" i="53" s="1"/>
  <c r="AF7" i="50"/>
  <c r="AF6" i="51"/>
  <c r="AH25" i="30"/>
  <c r="AH28" i="30"/>
  <c r="AF24" i="33"/>
  <c r="AF11" i="42"/>
  <c r="AH36" i="53"/>
  <c r="AA1" i="43"/>
  <c r="R25" i="44"/>
  <c r="S37" i="53" s="1"/>
  <c r="AG13" i="44"/>
  <c r="AG18" i="44"/>
  <c r="AF19" i="44"/>
  <c r="AG20" i="44"/>
  <c r="AG21" i="44"/>
  <c r="AF21" i="44"/>
  <c r="R19" i="45"/>
  <c r="S38" i="53" s="1"/>
  <c r="AG7" i="45"/>
  <c r="F24" i="47"/>
  <c r="G40" i="53" s="1"/>
  <c r="V24" i="47"/>
  <c r="W40" i="53" s="1"/>
  <c r="AG12" i="47"/>
  <c r="AF19" i="47"/>
  <c r="AF8" i="48"/>
  <c r="AF6" i="50"/>
  <c r="AF8" i="50"/>
  <c r="AF7" i="51"/>
  <c r="L19" i="52"/>
  <c r="M45" i="53" s="1"/>
  <c r="AB19" i="52"/>
  <c r="AC45" i="53" s="1"/>
  <c r="AF9" i="24"/>
  <c r="AF8" i="54"/>
  <c r="AF9" i="29"/>
  <c r="AF17" i="29"/>
  <c r="AF25" i="29"/>
  <c r="AF9" i="31"/>
  <c r="AF13" i="32"/>
  <c r="AF15" i="32"/>
  <c r="AG8" i="33"/>
  <c r="AF9" i="33"/>
  <c r="N20" i="39"/>
  <c r="O32" i="53" s="1"/>
  <c r="AD20" i="39"/>
  <c r="AE32" i="53" s="1"/>
  <c r="AF12" i="39"/>
  <c r="P21" i="40"/>
  <c r="Q33" i="53" s="1"/>
  <c r="AE21" i="40"/>
  <c r="N19" i="41"/>
  <c r="O34" i="53" s="1"/>
  <c r="AD19" i="41"/>
  <c r="AE34" i="53" s="1"/>
  <c r="AG11" i="41"/>
  <c r="D20" i="43"/>
  <c r="T20" i="43"/>
  <c r="U36" i="53" s="1"/>
  <c r="AF7" i="43"/>
  <c r="AG6" i="44"/>
  <c r="AG25" i="44" s="1"/>
  <c r="AG12" i="44"/>
  <c r="AG19" i="44"/>
  <c r="AF6" i="46"/>
  <c r="D19" i="46"/>
  <c r="E39" i="53" s="1"/>
  <c r="T19" i="46"/>
  <c r="U39" i="53" s="1"/>
  <c r="AF8" i="46"/>
  <c r="AF11" i="46"/>
  <c r="D19" i="45"/>
  <c r="E38" i="53" s="1"/>
  <c r="T19" i="45"/>
  <c r="U38" i="53" s="1"/>
  <c r="AF12" i="45"/>
  <c r="AG10" i="47"/>
  <c r="AG11" i="47"/>
  <c r="AF13" i="47"/>
  <c r="AF12" i="48"/>
  <c r="N19" i="52"/>
  <c r="O45" i="53" s="1"/>
  <c r="AD19" i="52"/>
  <c r="AE45" i="53" s="1"/>
  <c r="AF8" i="52"/>
  <c r="AF14" i="25"/>
  <c r="AF17" i="25"/>
  <c r="AH26" i="30"/>
  <c r="AH29" i="30"/>
  <c r="AF21" i="33"/>
  <c r="AF25" i="33"/>
  <c r="AJ13" i="34"/>
  <c r="P20" i="39"/>
  <c r="Q32" i="53" s="1"/>
  <c r="AE20" i="39"/>
  <c r="AF17" i="39"/>
  <c r="AG17" i="39"/>
  <c r="J21" i="42"/>
  <c r="K35" i="53" s="1"/>
  <c r="AG12" i="42"/>
  <c r="AG12" i="43"/>
  <c r="AF6" i="44"/>
  <c r="AF25" i="44" s="1"/>
  <c r="AG10" i="44"/>
  <c r="AG11" i="44"/>
  <c r="AF13" i="44"/>
  <c r="AF20" i="44"/>
  <c r="AF7" i="45"/>
  <c r="AG11" i="45"/>
  <c r="AF7" i="48"/>
  <c r="AG10" i="50"/>
  <c r="AG19" i="50" s="1"/>
  <c r="AG9" i="51"/>
  <c r="AG19" i="51" s="1"/>
  <c r="AF18" i="39"/>
  <c r="AG9" i="40"/>
  <c r="AG21" i="40" s="1"/>
  <c r="R19" i="41"/>
  <c r="S34" i="53" s="1"/>
  <c r="AG10" i="41"/>
  <c r="L21" i="42"/>
  <c r="M35" i="53" s="1"/>
  <c r="AB21" i="42"/>
  <c r="AC35" i="53" s="1"/>
  <c r="H20" i="43"/>
  <c r="I36" i="53" s="1"/>
  <c r="X20" i="43"/>
  <c r="Y36" i="53" s="1"/>
  <c r="H25" i="44"/>
  <c r="I37" i="53" s="1"/>
  <c r="X25" i="44"/>
  <c r="Y37" i="53" s="1"/>
  <c r="AF9" i="46"/>
  <c r="AF10" i="46"/>
  <c r="H19" i="45"/>
  <c r="I38" i="53" s="1"/>
  <c r="X19" i="45"/>
  <c r="Y38" i="53" s="1"/>
  <c r="AF11" i="45"/>
  <c r="L24" i="47"/>
  <c r="M40" i="53" s="1"/>
  <c r="AB24" i="47"/>
  <c r="AC40" i="53" s="1"/>
  <c r="J20" i="48"/>
  <c r="K41" i="53" s="1"/>
  <c r="Z20" i="48"/>
  <c r="AA41" i="53" s="1"/>
  <c r="AF9" i="51"/>
  <c r="AF8" i="41"/>
  <c r="AG8" i="42"/>
  <c r="AF9" i="42"/>
  <c r="AF17" i="42"/>
  <c r="AF11" i="44"/>
  <c r="AF11" i="47"/>
  <c r="AF6" i="48"/>
  <c r="AF11" i="48"/>
  <c r="AF9" i="40"/>
  <c r="AF21" i="40" s="1"/>
  <c r="AF10" i="41"/>
  <c r="AF10" i="42"/>
  <c r="AF12" i="44"/>
  <c r="AF6" i="45"/>
  <c r="AF12" i="47"/>
  <c r="AF20" i="47"/>
  <c r="AG6" i="48"/>
  <c r="AF9" i="52"/>
  <c r="AF6" i="43"/>
  <c r="AF20" i="43" s="1"/>
  <c r="AG6" i="45"/>
  <c r="AG19" i="45" s="1"/>
  <c r="AF13" i="48"/>
  <c r="AF6" i="49"/>
  <c r="AF19" i="49" s="1"/>
  <c r="AG6" i="43"/>
  <c r="K177" i="67"/>
  <c r="L177" i="67"/>
  <c r="P168" i="67"/>
  <c r="P176" i="67"/>
  <c r="P165" i="67"/>
  <c r="F186" i="57"/>
  <c r="F187" i="57"/>
  <c r="F185" i="57"/>
  <c r="DJ13" i="59" l="1"/>
  <c r="DJ13" i="8"/>
  <c r="AE2" i="39"/>
  <c r="AI32" i="53"/>
  <c r="DI19" i="59"/>
  <c r="DK19" i="59" s="1"/>
  <c r="DM19" i="59" s="1"/>
  <c r="DI29" i="8"/>
  <c r="DK29" i="8" s="1"/>
  <c r="DM29" i="8" s="1"/>
  <c r="AI23" i="53"/>
  <c r="AC2" i="30"/>
  <c r="DI13" i="59"/>
  <c r="DK13" i="59" s="1"/>
  <c r="DM13" i="59" s="1"/>
  <c r="DI13" i="8"/>
  <c r="DK13" i="8" s="1"/>
  <c r="DM13" i="8" s="1"/>
  <c r="DI30" i="59"/>
  <c r="DK30" i="59" s="1"/>
  <c r="DM30" i="59" s="1"/>
  <c r="AA2" i="13"/>
  <c r="AI6" i="53"/>
  <c r="DI30" i="8"/>
  <c r="DK30" i="8" s="1"/>
  <c r="DM30" i="8" s="1"/>
  <c r="AI30" i="53"/>
  <c r="Y2" i="37"/>
  <c r="DI5" i="59"/>
  <c r="DK5" i="59" s="1"/>
  <c r="DM5" i="59" s="1"/>
  <c r="DI5" i="8"/>
  <c r="DK5" i="8" s="1"/>
  <c r="DM5" i="8" s="1"/>
  <c r="DJ41" i="8"/>
  <c r="DJ41" i="59"/>
  <c r="AG24" i="53"/>
  <c r="AI24" i="53"/>
  <c r="AE2" i="31"/>
  <c r="DI18" i="8"/>
  <c r="DK18" i="8" s="1"/>
  <c r="DM18" i="8" s="1"/>
  <c r="DI18" i="59"/>
  <c r="DK18" i="59" s="1"/>
  <c r="DM18" i="59" s="1"/>
  <c r="DJ44" i="59"/>
  <c r="DJ44" i="8"/>
  <c r="DJ33" i="8"/>
  <c r="DJ33" i="59"/>
  <c r="AI33" i="53"/>
  <c r="AC2" i="40"/>
  <c r="DI29" i="59"/>
  <c r="DK29" i="59" s="1"/>
  <c r="DM29" i="59" s="1"/>
  <c r="DI19" i="8"/>
  <c r="DK19" i="8" s="1"/>
  <c r="DM19" i="8" s="1"/>
  <c r="DJ29" i="59"/>
  <c r="DJ19" i="8"/>
  <c r="DJ22" i="59"/>
  <c r="DJ22" i="8"/>
  <c r="AI37" i="53"/>
  <c r="AE2" i="44"/>
  <c r="DI24" i="8"/>
  <c r="DK24" i="8" s="1"/>
  <c r="DM24" i="8" s="1"/>
  <c r="DI24" i="59"/>
  <c r="DK24" i="59" s="1"/>
  <c r="DM24" i="59" s="1"/>
  <c r="AG15" i="53"/>
  <c r="AI15" i="53"/>
  <c r="AE2" i="22"/>
  <c r="DI28" i="8"/>
  <c r="DK28" i="8" s="1"/>
  <c r="DM28" i="8" s="1"/>
  <c r="DI28" i="59"/>
  <c r="DK28" i="59" s="1"/>
  <c r="DM28" i="59" s="1"/>
  <c r="DJ21" i="8"/>
  <c r="DJ21" i="59"/>
  <c r="DJ17" i="8"/>
  <c r="DJ17" i="59"/>
  <c r="X7" i="56"/>
  <c r="Z7" i="56" s="1"/>
  <c r="AB7" i="56" s="1"/>
  <c r="AA7" i="56"/>
  <c r="AC7" i="56" s="1"/>
  <c r="AA14" i="56"/>
  <c r="AC14" i="56" s="1"/>
  <c r="X14" i="56"/>
  <c r="Z14" i="56" s="1"/>
  <c r="AB14" i="56" s="1"/>
  <c r="AA94" i="56"/>
  <c r="AC94" i="56" s="1"/>
  <c r="N94" i="56"/>
  <c r="Z94" i="56" s="1"/>
  <c r="AB94" i="56" s="1"/>
  <c r="AA121" i="56"/>
  <c r="AC121" i="56" s="1"/>
  <c r="N121" i="56"/>
  <c r="Z121" i="56" s="1"/>
  <c r="AB121" i="56" s="1"/>
  <c r="N84" i="56"/>
  <c r="Z84" i="56" s="1"/>
  <c r="AB84" i="56" s="1"/>
  <c r="AA84" i="56"/>
  <c r="AC84" i="56" s="1"/>
  <c r="N126" i="56"/>
  <c r="Z126" i="56" s="1"/>
  <c r="AB126" i="56" s="1"/>
  <c r="AA126" i="56"/>
  <c r="AC126" i="56" s="1"/>
  <c r="N148" i="56"/>
  <c r="Z148" i="56" s="1"/>
  <c r="AB148" i="56" s="1"/>
  <c r="AA148" i="56"/>
  <c r="AC148" i="56" s="1"/>
  <c r="AA90" i="56"/>
  <c r="AC90" i="56" s="1"/>
  <c r="N90" i="56"/>
  <c r="Z90" i="56" s="1"/>
  <c r="AB90" i="56" s="1"/>
  <c r="N77" i="56"/>
  <c r="Z77" i="56" s="1"/>
  <c r="AB77" i="56" s="1"/>
  <c r="AA77" i="56"/>
  <c r="AC77" i="56" s="1"/>
  <c r="AI36" i="53"/>
  <c r="AA2" i="43"/>
  <c r="DI16" i="8"/>
  <c r="DK16" i="8" s="1"/>
  <c r="DM16" i="8" s="1"/>
  <c r="DI16" i="59"/>
  <c r="DK16" i="59" s="1"/>
  <c r="DM16" i="59" s="1"/>
  <c r="AH37" i="53"/>
  <c r="AE1" i="44"/>
  <c r="DH24" i="59"/>
  <c r="DH24" i="8"/>
  <c r="AI27" i="28"/>
  <c r="AF25" i="20"/>
  <c r="AH13" i="53"/>
  <c r="AE26" i="20"/>
  <c r="AE1" i="20"/>
  <c r="AF29" i="29"/>
  <c r="AF21" i="35"/>
  <c r="AA27" i="56"/>
  <c r="AC27" i="56" s="1"/>
  <c r="X27" i="56"/>
  <c r="Z27" i="56" s="1"/>
  <c r="AB27" i="56" s="1"/>
  <c r="AA22" i="56"/>
  <c r="AC22" i="56" s="1"/>
  <c r="X22" i="56"/>
  <c r="Z22" i="56" s="1"/>
  <c r="AB22" i="56" s="1"/>
  <c r="AA35" i="56"/>
  <c r="AC35" i="56" s="1"/>
  <c r="X35" i="56"/>
  <c r="Z35" i="56" s="1"/>
  <c r="AB35" i="56" s="1"/>
  <c r="X39" i="56"/>
  <c r="Z39" i="56" s="1"/>
  <c r="AB39" i="56" s="1"/>
  <c r="AA39" i="56"/>
  <c r="AC39" i="56" s="1"/>
  <c r="AA40" i="56"/>
  <c r="AC40" i="56" s="1"/>
  <c r="X40" i="56"/>
  <c r="Z40" i="56" s="1"/>
  <c r="AB40" i="56" s="1"/>
  <c r="AA103" i="56"/>
  <c r="AC103" i="56" s="1"/>
  <c r="N103" i="56"/>
  <c r="Z103" i="56" s="1"/>
  <c r="AB103" i="56" s="1"/>
  <c r="AA99" i="56"/>
  <c r="AC99" i="56" s="1"/>
  <c r="N99" i="56"/>
  <c r="Z99" i="56" s="1"/>
  <c r="AB99" i="56" s="1"/>
  <c r="N105" i="56"/>
  <c r="Z105" i="56" s="1"/>
  <c r="AB105" i="56" s="1"/>
  <c r="AA105" i="56"/>
  <c r="AC105" i="56" s="1"/>
  <c r="N58" i="56"/>
  <c r="Z58" i="56" s="1"/>
  <c r="AB58" i="56" s="1"/>
  <c r="AA58" i="56"/>
  <c r="AC58" i="56" s="1"/>
  <c r="N124" i="56"/>
  <c r="Z124" i="56" s="1"/>
  <c r="AB124" i="56" s="1"/>
  <c r="AA124" i="56"/>
  <c r="AC124" i="56" s="1"/>
  <c r="AA75" i="56"/>
  <c r="AC75" i="56" s="1"/>
  <c r="N75" i="56"/>
  <c r="Z75" i="56" s="1"/>
  <c r="AB75" i="56" s="1"/>
  <c r="AA107" i="56"/>
  <c r="AC107" i="56" s="1"/>
  <c r="N107" i="56"/>
  <c r="Z107" i="56" s="1"/>
  <c r="AB107" i="56" s="1"/>
  <c r="AA130" i="56"/>
  <c r="AC130" i="56" s="1"/>
  <c r="N130" i="56"/>
  <c r="Z130" i="56" s="1"/>
  <c r="AB130" i="56" s="1"/>
  <c r="AA110" i="56"/>
  <c r="AC110" i="56" s="1"/>
  <c r="N110" i="56"/>
  <c r="Z110" i="56" s="1"/>
  <c r="AB110" i="56" s="1"/>
  <c r="N97" i="56"/>
  <c r="Z97" i="56" s="1"/>
  <c r="AB97" i="56" s="1"/>
  <c r="AA97" i="56"/>
  <c r="AC97" i="56" s="1"/>
  <c r="AA85" i="56"/>
  <c r="AC85" i="56" s="1"/>
  <c r="N85" i="56"/>
  <c r="Z85" i="56" s="1"/>
  <c r="AB85" i="56" s="1"/>
  <c r="AA38" i="56"/>
  <c r="AC38" i="56" s="1"/>
  <c r="X38" i="56"/>
  <c r="Z38" i="56" s="1"/>
  <c r="AB38" i="56" s="1"/>
  <c r="AA33" i="56"/>
  <c r="AC33" i="56" s="1"/>
  <c r="X33" i="56"/>
  <c r="Z33" i="56" s="1"/>
  <c r="AB33" i="56" s="1"/>
  <c r="AF19" i="50"/>
  <c r="E16" i="53"/>
  <c r="AG19" i="23"/>
  <c r="AH23" i="53"/>
  <c r="AC1" i="30"/>
  <c r="DH13" i="59"/>
  <c r="DH13" i="8"/>
  <c r="AH25" i="53"/>
  <c r="Y1" i="32"/>
  <c r="DH17" i="59"/>
  <c r="DH17" i="8"/>
  <c r="AH27" i="12"/>
  <c r="AG24" i="47"/>
  <c r="G46" i="53"/>
  <c r="AF19" i="16"/>
  <c r="E14" i="53"/>
  <c r="AG21" i="21"/>
  <c r="AF27" i="17"/>
  <c r="AF19" i="14"/>
  <c r="X26" i="56"/>
  <c r="Z26" i="56" s="1"/>
  <c r="AB26" i="56" s="1"/>
  <c r="AA26" i="56"/>
  <c r="AC26" i="56" s="1"/>
  <c r="AA42" i="56"/>
  <c r="AC42" i="56" s="1"/>
  <c r="X42" i="56"/>
  <c r="Z42" i="56" s="1"/>
  <c r="AB42" i="56" s="1"/>
  <c r="AA43" i="56"/>
  <c r="AC43" i="56" s="1"/>
  <c r="X43" i="56"/>
  <c r="Z43" i="56" s="1"/>
  <c r="AB43" i="56" s="1"/>
  <c r="AA111" i="56"/>
  <c r="AC111" i="56" s="1"/>
  <c r="N111" i="56"/>
  <c r="Z111" i="56" s="1"/>
  <c r="AB111" i="56" s="1"/>
  <c r="N72" i="56"/>
  <c r="Z72" i="56" s="1"/>
  <c r="AB72" i="56" s="1"/>
  <c r="AA72" i="56"/>
  <c r="AC72" i="56" s="1"/>
  <c r="N113" i="56"/>
  <c r="Z113" i="56" s="1"/>
  <c r="AB113" i="56" s="1"/>
  <c r="AA113" i="56"/>
  <c r="AC113" i="56" s="1"/>
  <c r="AA59" i="56"/>
  <c r="AC59" i="56" s="1"/>
  <c r="N59" i="56"/>
  <c r="Z59" i="56" s="1"/>
  <c r="AB59" i="56" s="1"/>
  <c r="N55" i="56"/>
  <c r="Z55" i="56" s="1"/>
  <c r="AB55" i="56" s="1"/>
  <c r="AA55" i="56"/>
  <c r="AC55" i="56" s="1"/>
  <c r="AA100" i="56"/>
  <c r="AC100" i="56" s="1"/>
  <c r="N100" i="56"/>
  <c r="Z100" i="56" s="1"/>
  <c r="AB100" i="56" s="1"/>
  <c r="N108" i="56"/>
  <c r="Z108" i="56" s="1"/>
  <c r="AB108" i="56" s="1"/>
  <c r="AA108" i="56"/>
  <c r="AC108" i="56" s="1"/>
  <c r="N145" i="56"/>
  <c r="Z145" i="56" s="1"/>
  <c r="AB145" i="56" s="1"/>
  <c r="AA145" i="56"/>
  <c r="AC145" i="56" s="1"/>
  <c r="AA118" i="56"/>
  <c r="AC118" i="56" s="1"/>
  <c r="N118" i="56"/>
  <c r="Z118" i="56" s="1"/>
  <c r="AB118" i="56" s="1"/>
  <c r="AA137" i="56"/>
  <c r="AC137" i="56" s="1"/>
  <c r="N137" i="56"/>
  <c r="Z137" i="56" s="1"/>
  <c r="AB137" i="56" s="1"/>
  <c r="N104" i="56"/>
  <c r="Z104" i="56" s="1"/>
  <c r="AB104" i="56" s="1"/>
  <c r="AA104" i="56"/>
  <c r="AC104" i="56" s="1"/>
  <c r="N93" i="56"/>
  <c r="Z93" i="56" s="1"/>
  <c r="AB93" i="56" s="1"/>
  <c r="AA93" i="56"/>
  <c r="AC93" i="56" s="1"/>
  <c r="AG20" i="48"/>
  <c r="E36" i="53"/>
  <c r="AG20" i="43"/>
  <c r="AG19" i="49"/>
  <c r="E26" i="53"/>
  <c r="AG27" i="33"/>
  <c r="DJ42" i="8"/>
  <c r="DJ42" i="59"/>
  <c r="AG19" i="22"/>
  <c r="E30" i="53"/>
  <c r="AG30" i="37"/>
  <c r="AF21" i="21"/>
  <c r="E22" i="53"/>
  <c r="AG29" i="29"/>
  <c r="AF27" i="33"/>
  <c r="AH10" i="53"/>
  <c r="AE29" i="17"/>
  <c r="AG1" i="17"/>
  <c r="U46" i="53"/>
  <c r="E13" i="53"/>
  <c r="AG25" i="20"/>
  <c r="E8" i="53"/>
  <c r="AG19" i="15"/>
  <c r="O177" i="57"/>
  <c r="K179" i="57"/>
  <c r="E6" i="53"/>
  <c r="AI22" i="13"/>
  <c r="X15" i="56"/>
  <c r="Z15" i="56" s="1"/>
  <c r="AB15" i="56" s="1"/>
  <c r="AA15" i="56"/>
  <c r="AC15" i="56" s="1"/>
  <c r="X30" i="56"/>
  <c r="Z30" i="56" s="1"/>
  <c r="AB30" i="56" s="1"/>
  <c r="AA30" i="56"/>
  <c r="AC30" i="56" s="1"/>
  <c r="AA12" i="56"/>
  <c r="AC12" i="56" s="1"/>
  <c r="X12" i="56"/>
  <c r="Z12" i="56" s="1"/>
  <c r="AB12" i="56" s="1"/>
  <c r="AA32" i="56"/>
  <c r="AC32" i="56" s="1"/>
  <c r="X32" i="56"/>
  <c r="Z32" i="56" s="1"/>
  <c r="AB32" i="56" s="1"/>
  <c r="X31" i="56"/>
  <c r="Z31" i="56" s="1"/>
  <c r="AB31" i="56" s="1"/>
  <c r="AA31" i="56"/>
  <c r="AC31" i="56" s="1"/>
  <c r="N120" i="56"/>
  <c r="Z120" i="56" s="1"/>
  <c r="AB120" i="56" s="1"/>
  <c r="AA120" i="56"/>
  <c r="AC120" i="56" s="1"/>
  <c r="N79" i="56"/>
  <c r="Z79" i="56" s="1"/>
  <c r="AB79" i="56" s="1"/>
  <c r="AA79" i="56"/>
  <c r="AC79" i="56" s="1"/>
  <c r="N63" i="56"/>
  <c r="Z63" i="56" s="1"/>
  <c r="AB63" i="56" s="1"/>
  <c r="AA63" i="56"/>
  <c r="AC63" i="56" s="1"/>
  <c r="AA66" i="56"/>
  <c r="AC66" i="56" s="1"/>
  <c r="N66" i="56"/>
  <c r="Z66" i="56" s="1"/>
  <c r="AB66" i="56" s="1"/>
  <c r="N86" i="56"/>
  <c r="Z86" i="56" s="1"/>
  <c r="AB86" i="56" s="1"/>
  <c r="AA86" i="56"/>
  <c r="AC86" i="56" s="1"/>
  <c r="AA134" i="56"/>
  <c r="AC134" i="56" s="1"/>
  <c r="N134" i="56"/>
  <c r="Z134" i="56" s="1"/>
  <c r="AB134" i="56" s="1"/>
  <c r="AA138" i="56"/>
  <c r="AC138" i="56" s="1"/>
  <c r="N138" i="56"/>
  <c r="Z138" i="56" s="1"/>
  <c r="AB138" i="56" s="1"/>
  <c r="N57" i="56"/>
  <c r="Z57" i="56" s="1"/>
  <c r="AB57" i="56" s="1"/>
  <c r="AA57" i="56"/>
  <c r="AC57" i="56" s="1"/>
  <c r="AA131" i="56"/>
  <c r="AC131" i="56" s="1"/>
  <c r="N131" i="56"/>
  <c r="Z131" i="56" s="1"/>
  <c r="AB131" i="56" s="1"/>
  <c r="N144" i="56"/>
  <c r="Z144" i="56" s="1"/>
  <c r="AB144" i="56" s="1"/>
  <c r="AA144" i="56"/>
  <c r="AC144" i="56" s="1"/>
  <c r="AA116" i="56"/>
  <c r="AC116" i="56" s="1"/>
  <c r="N116" i="56"/>
  <c r="Z116" i="56" s="1"/>
  <c r="AB116" i="56" s="1"/>
  <c r="N101" i="56"/>
  <c r="Z101" i="56" s="1"/>
  <c r="AB101" i="56" s="1"/>
  <c r="AA101" i="56"/>
  <c r="AC101" i="56" s="1"/>
  <c r="AA19" i="56"/>
  <c r="AC19" i="56" s="1"/>
  <c r="X19" i="56"/>
  <c r="Z19" i="56" s="1"/>
  <c r="AB19" i="56" s="1"/>
  <c r="AF20" i="48"/>
  <c r="AG1" i="42"/>
  <c r="AH35" i="53"/>
  <c r="DH10" i="59"/>
  <c r="DH10" i="8"/>
  <c r="E12" i="53"/>
  <c r="AG19" i="19"/>
  <c r="E5" i="53"/>
  <c r="AI27" i="12"/>
  <c r="AG27" i="31"/>
  <c r="AH19" i="53"/>
  <c r="AA1" i="26"/>
  <c r="DH9" i="59"/>
  <c r="DH9" i="8"/>
  <c r="T5" i="56"/>
  <c r="R47" i="56"/>
  <c r="AA17" i="56"/>
  <c r="AC17" i="56" s="1"/>
  <c r="X17" i="56"/>
  <c r="Z17" i="56" s="1"/>
  <c r="AB17" i="56" s="1"/>
  <c r="AA34" i="56"/>
  <c r="AC34" i="56" s="1"/>
  <c r="X34" i="56"/>
  <c r="Z34" i="56" s="1"/>
  <c r="AB34" i="56" s="1"/>
  <c r="AA20" i="56"/>
  <c r="AC20" i="56" s="1"/>
  <c r="X20" i="56"/>
  <c r="Z20" i="56" s="1"/>
  <c r="AB20" i="56" s="1"/>
  <c r="AA21" i="56"/>
  <c r="AC21" i="56" s="1"/>
  <c r="X21" i="56"/>
  <c r="Z21" i="56" s="1"/>
  <c r="AB21" i="56" s="1"/>
  <c r="X18" i="56"/>
  <c r="Z18" i="56" s="1"/>
  <c r="AB18" i="56" s="1"/>
  <c r="AA18" i="56"/>
  <c r="AC18" i="56" s="1"/>
  <c r="N64" i="56"/>
  <c r="Z64" i="56" s="1"/>
  <c r="AB64" i="56" s="1"/>
  <c r="AA64" i="56"/>
  <c r="AC64" i="56" s="1"/>
  <c r="N88" i="56"/>
  <c r="Z88" i="56" s="1"/>
  <c r="AB88" i="56" s="1"/>
  <c r="AA88" i="56"/>
  <c r="AC88" i="56" s="1"/>
  <c r="AA67" i="56"/>
  <c r="AC67" i="56" s="1"/>
  <c r="N67" i="56"/>
  <c r="Z67" i="56" s="1"/>
  <c r="AB67" i="56" s="1"/>
  <c r="N70" i="56"/>
  <c r="Z70" i="56" s="1"/>
  <c r="AB70" i="56" s="1"/>
  <c r="AA70" i="56"/>
  <c r="AC70" i="56" s="1"/>
  <c r="AA91" i="56"/>
  <c r="AC91" i="56" s="1"/>
  <c r="N91" i="56"/>
  <c r="Z91" i="56" s="1"/>
  <c r="AB91" i="56" s="1"/>
  <c r="AA140" i="56"/>
  <c r="AC140" i="56" s="1"/>
  <c r="N140" i="56"/>
  <c r="Z140" i="56" s="1"/>
  <c r="AB140" i="56" s="1"/>
  <c r="N81" i="56"/>
  <c r="Z81" i="56" s="1"/>
  <c r="AB81" i="56" s="1"/>
  <c r="AA81" i="56"/>
  <c r="AC81" i="56" s="1"/>
  <c r="AA65" i="56"/>
  <c r="AC65" i="56" s="1"/>
  <c r="N65" i="56"/>
  <c r="Z65" i="56" s="1"/>
  <c r="AB65" i="56" s="1"/>
  <c r="N146" i="56"/>
  <c r="Z146" i="56" s="1"/>
  <c r="AB146" i="56" s="1"/>
  <c r="AA146" i="56"/>
  <c r="AC146" i="56" s="1"/>
  <c r="N54" i="56"/>
  <c r="Z54" i="56" s="1"/>
  <c r="AB54" i="56" s="1"/>
  <c r="AA54" i="56"/>
  <c r="AC54" i="56" s="1"/>
  <c r="AA123" i="56"/>
  <c r="AC123" i="56" s="1"/>
  <c r="N123" i="56"/>
  <c r="Z123" i="56" s="1"/>
  <c r="AB123" i="56" s="1"/>
  <c r="N109" i="56"/>
  <c r="Z109" i="56" s="1"/>
  <c r="AB109" i="56" s="1"/>
  <c r="AA109" i="56"/>
  <c r="AC109" i="56" s="1"/>
  <c r="AA45" i="56"/>
  <c r="AC45" i="56" s="1"/>
  <c r="X45" i="56"/>
  <c r="Z45" i="56" s="1"/>
  <c r="AB45" i="56" s="1"/>
  <c r="AH41" i="53"/>
  <c r="AC1" i="48"/>
  <c r="DH36" i="59"/>
  <c r="DH36" i="8"/>
  <c r="DJ25" i="8"/>
  <c r="DJ25" i="59"/>
  <c r="N141" i="56"/>
  <c r="Z141" i="56" s="1"/>
  <c r="AB141" i="56" s="1"/>
  <c r="AA141" i="56"/>
  <c r="AC141" i="56" s="1"/>
  <c r="AF19" i="46"/>
  <c r="AF19" i="52"/>
  <c r="AI16" i="53"/>
  <c r="AE2" i="23"/>
  <c r="DI38" i="59"/>
  <c r="DK38" i="59" s="1"/>
  <c r="DM38" i="59" s="1"/>
  <c r="DI38" i="8"/>
  <c r="DK38" i="8" s="1"/>
  <c r="DM38" i="8" s="1"/>
  <c r="AI29" i="53"/>
  <c r="Y2" i="36"/>
  <c r="DI25" i="8"/>
  <c r="DK25" i="8" s="1"/>
  <c r="DM25" i="8" s="1"/>
  <c r="DI25" i="59"/>
  <c r="DK25" i="59" s="1"/>
  <c r="DM25" i="59" s="1"/>
  <c r="AG19" i="14"/>
  <c r="AA1" i="13"/>
  <c r="DH30" i="59"/>
  <c r="AH6" i="53"/>
  <c r="DH30" i="8"/>
  <c r="AH30" i="53"/>
  <c r="Y1" i="37"/>
  <c r="DH5" i="59"/>
  <c r="DH5" i="8"/>
  <c r="X6" i="56"/>
  <c r="Z6" i="56" s="1"/>
  <c r="AB6" i="56" s="1"/>
  <c r="AA6" i="56"/>
  <c r="AC6" i="56" s="1"/>
  <c r="X37" i="56"/>
  <c r="Z37" i="56" s="1"/>
  <c r="AB37" i="56" s="1"/>
  <c r="AA37" i="56"/>
  <c r="AC37" i="56" s="1"/>
  <c r="AA28" i="56"/>
  <c r="AC28" i="56" s="1"/>
  <c r="X28" i="56"/>
  <c r="Z28" i="56" s="1"/>
  <c r="AB28" i="56" s="1"/>
  <c r="X11" i="56"/>
  <c r="Z11" i="56" s="1"/>
  <c r="AB11" i="56" s="1"/>
  <c r="AA11" i="56"/>
  <c r="AC11" i="56" s="1"/>
  <c r="N68" i="56"/>
  <c r="Z68" i="56" s="1"/>
  <c r="AB68" i="56" s="1"/>
  <c r="AA68" i="56"/>
  <c r="AC68" i="56" s="1"/>
  <c r="AA115" i="56"/>
  <c r="AC115" i="56" s="1"/>
  <c r="N115" i="56"/>
  <c r="Z115" i="56" s="1"/>
  <c r="AB115" i="56" s="1"/>
  <c r="O52" i="56"/>
  <c r="M149" i="56"/>
  <c r="AA74" i="56"/>
  <c r="AC74" i="56" s="1"/>
  <c r="N74" i="56"/>
  <c r="Z74" i="56" s="1"/>
  <c r="AB74" i="56" s="1"/>
  <c r="AA95" i="56"/>
  <c r="AC95" i="56" s="1"/>
  <c r="N95" i="56"/>
  <c r="Z95" i="56" s="1"/>
  <c r="AB95" i="56" s="1"/>
  <c r="AA56" i="56"/>
  <c r="AC56" i="56" s="1"/>
  <c r="N56" i="56"/>
  <c r="Z56" i="56" s="1"/>
  <c r="AB56" i="56" s="1"/>
  <c r="N89" i="56"/>
  <c r="Z89" i="56" s="1"/>
  <c r="AB89" i="56" s="1"/>
  <c r="AA89" i="56"/>
  <c r="AC89" i="56" s="1"/>
  <c r="AA73" i="56"/>
  <c r="AC73" i="56" s="1"/>
  <c r="N73" i="56"/>
  <c r="Z73" i="56" s="1"/>
  <c r="AB73" i="56" s="1"/>
  <c r="AA147" i="56"/>
  <c r="AC147" i="56" s="1"/>
  <c r="N147" i="56"/>
  <c r="Z147" i="56" s="1"/>
  <c r="AB147" i="56" s="1"/>
  <c r="AA62" i="56"/>
  <c r="AC62" i="56" s="1"/>
  <c r="N62" i="56"/>
  <c r="Z62" i="56" s="1"/>
  <c r="AB62" i="56" s="1"/>
  <c r="AA135" i="56"/>
  <c r="AC135" i="56" s="1"/>
  <c r="N135" i="56"/>
  <c r="Z135" i="56" s="1"/>
  <c r="AB135" i="56" s="1"/>
  <c r="AA117" i="56"/>
  <c r="AC117" i="56" s="1"/>
  <c r="N117" i="56"/>
  <c r="Z117" i="56" s="1"/>
  <c r="AB117" i="56" s="1"/>
  <c r="Z129" i="56"/>
  <c r="AB129" i="56" s="1"/>
  <c r="AI12" i="53"/>
  <c r="AG2" i="19"/>
  <c r="DI27" i="59"/>
  <c r="DK27" i="59" s="1"/>
  <c r="DM27" i="59" s="1"/>
  <c r="DI27" i="8"/>
  <c r="DK27" i="8" s="1"/>
  <c r="DM27" i="8" s="1"/>
  <c r="DJ39" i="59"/>
  <c r="DJ39" i="8"/>
  <c r="E10" i="53"/>
  <c r="AG27" i="17"/>
  <c r="DF45" i="59"/>
  <c r="DQ4" i="59" s="1"/>
  <c r="DQ5" i="59" s="1"/>
  <c r="X25" i="56"/>
  <c r="Z25" i="56" s="1"/>
  <c r="AB25" i="56" s="1"/>
  <c r="AA25" i="56"/>
  <c r="AC25" i="56" s="1"/>
  <c r="N61" i="56"/>
  <c r="Z61" i="56" s="1"/>
  <c r="AB61" i="56" s="1"/>
  <c r="AA61" i="56"/>
  <c r="AC61" i="56" s="1"/>
  <c r="AF19" i="41"/>
  <c r="AF19" i="24"/>
  <c r="AG20" i="39"/>
  <c r="AI42" i="53"/>
  <c r="AG42" i="53"/>
  <c r="AE2" i="49"/>
  <c r="DI37" i="59"/>
  <c r="DK37" i="59" s="1"/>
  <c r="DM37" i="59" s="1"/>
  <c r="DI37" i="8"/>
  <c r="DK37" i="8" s="1"/>
  <c r="DM37" i="8" s="1"/>
  <c r="AF19" i="45"/>
  <c r="AH32" i="53"/>
  <c r="AE1" i="39"/>
  <c r="DH29" i="8"/>
  <c r="DH19" i="59"/>
  <c r="AF24" i="47"/>
  <c r="E20" i="53"/>
  <c r="AG22" i="54"/>
  <c r="AC1" i="25"/>
  <c r="AH18" i="53"/>
  <c r="AH1" i="53" s="1"/>
  <c r="DH22" i="59"/>
  <c r="DH22" i="8"/>
  <c r="AH27" i="28"/>
  <c r="AG1" i="21"/>
  <c r="AH14" i="53"/>
  <c r="DH26" i="59"/>
  <c r="DH26" i="8"/>
  <c r="E31" i="53"/>
  <c r="AG22" i="38"/>
  <c r="AF24" i="32"/>
  <c r="AF20" i="25"/>
  <c r="E9" i="53"/>
  <c r="AG19" i="16"/>
  <c r="AF19" i="18"/>
  <c r="AC46" i="53"/>
  <c r="AF21" i="42"/>
  <c r="BY45" i="59"/>
  <c r="W47" i="56"/>
  <c r="Y5" i="56"/>
  <c r="AA9" i="56"/>
  <c r="AC9" i="56" s="1"/>
  <c r="X9" i="56"/>
  <c r="Z9" i="56" s="1"/>
  <c r="AB9" i="56" s="1"/>
  <c r="AA36" i="56"/>
  <c r="AC36" i="56" s="1"/>
  <c r="X36" i="56"/>
  <c r="Z36" i="56" s="1"/>
  <c r="AB36" i="56" s="1"/>
  <c r="O47" i="56"/>
  <c r="N5" i="56"/>
  <c r="N47" i="56" s="1"/>
  <c r="AA10" i="56"/>
  <c r="AC10" i="56" s="1"/>
  <c r="X10" i="56"/>
  <c r="Z10" i="56" s="1"/>
  <c r="AB10" i="56" s="1"/>
  <c r="N76" i="56"/>
  <c r="Z76" i="56" s="1"/>
  <c r="AB76" i="56" s="1"/>
  <c r="AA76" i="56"/>
  <c r="AC76" i="56" s="1"/>
  <c r="AA119" i="56"/>
  <c r="AC119" i="56" s="1"/>
  <c r="N119" i="56"/>
  <c r="Z119" i="56" s="1"/>
  <c r="AB119" i="56" s="1"/>
  <c r="N53" i="56"/>
  <c r="Z53" i="56" s="1"/>
  <c r="AB53" i="56" s="1"/>
  <c r="AA53" i="56"/>
  <c r="AC53" i="56" s="1"/>
  <c r="AA92" i="56"/>
  <c r="AC92" i="56" s="1"/>
  <c r="N92" i="56"/>
  <c r="Z92" i="56" s="1"/>
  <c r="AB92" i="56" s="1"/>
  <c r="N112" i="56"/>
  <c r="Z112" i="56" s="1"/>
  <c r="AB112" i="56" s="1"/>
  <c r="AA112" i="56"/>
  <c r="AC112" i="56" s="1"/>
  <c r="N82" i="56"/>
  <c r="Z82" i="56" s="1"/>
  <c r="AB82" i="56" s="1"/>
  <c r="AA82" i="56"/>
  <c r="AC82" i="56" s="1"/>
  <c r="N114" i="56"/>
  <c r="Z114" i="56" s="1"/>
  <c r="AB114" i="56" s="1"/>
  <c r="AA114" i="56"/>
  <c r="AC114" i="56" s="1"/>
  <c r="AA98" i="56"/>
  <c r="AC98" i="56" s="1"/>
  <c r="N98" i="56"/>
  <c r="Z98" i="56" s="1"/>
  <c r="AB98" i="56" s="1"/>
  <c r="AA127" i="56"/>
  <c r="AC127" i="56" s="1"/>
  <c r="N127" i="56"/>
  <c r="Z127" i="56" s="1"/>
  <c r="AB127" i="56" s="1"/>
  <c r="N71" i="56"/>
  <c r="Z71" i="56" s="1"/>
  <c r="AB71" i="56" s="1"/>
  <c r="AA71" i="56"/>
  <c r="AC71" i="56" s="1"/>
  <c r="N142" i="56"/>
  <c r="Z142" i="56" s="1"/>
  <c r="AB142" i="56" s="1"/>
  <c r="AA142" i="56"/>
  <c r="AC142" i="56" s="1"/>
  <c r="N125" i="56"/>
  <c r="Z125" i="56" s="1"/>
  <c r="AB125" i="56" s="1"/>
  <c r="AA125" i="56"/>
  <c r="AC125" i="56" s="1"/>
  <c r="AA129" i="56"/>
  <c r="AC129" i="56" s="1"/>
  <c r="AA136" i="56"/>
  <c r="AC136" i="56" s="1"/>
  <c r="DJ32" i="59"/>
  <c r="DJ32" i="8"/>
  <c r="DJ24" i="59"/>
  <c r="DJ24" i="8"/>
  <c r="AK19" i="34"/>
  <c r="D21" i="26"/>
  <c r="E19" i="53" s="1"/>
  <c r="AG6" i="26"/>
  <c r="AG21" i="26" s="1"/>
  <c r="AF6" i="26"/>
  <c r="AF21" i="26" s="1"/>
  <c r="AA24" i="56"/>
  <c r="AC24" i="56" s="1"/>
  <c r="X24" i="56"/>
  <c r="Z24" i="56" s="1"/>
  <c r="AB24" i="56" s="1"/>
  <c r="X23" i="56"/>
  <c r="Z23" i="56" s="1"/>
  <c r="AB23" i="56" s="1"/>
  <c r="AA23" i="56"/>
  <c r="AC23" i="56" s="1"/>
  <c r="X13" i="56"/>
  <c r="Z13" i="56" s="1"/>
  <c r="AB13" i="56" s="1"/>
  <c r="AA13" i="56"/>
  <c r="AC13" i="56" s="1"/>
  <c r="N87" i="56"/>
  <c r="Z87" i="56" s="1"/>
  <c r="AB87" i="56" s="1"/>
  <c r="AA87" i="56"/>
  <c r="AC87" i="56" s="1"/>
  <c r="N143" i="56"/>
  <c r="Z143" i="56" s="1"/>
  <c r="AB143" i="56" s="1"/>
  <c r="AA143" i="56"/>
  <c r="AC143" i="56" s="1"/>
  <c r="AA106" i="56"/>
  <c r="AC106" i="56" s="1"/>
  <c r="N106" i="56"/>
  <c r="Z106" i="56" s="1"/>
  <c r="AB106" i="56" s="1"/>
  <c r="AA41" i="56"/>
  <c r="AC41" i="56" s="1"/>
  <c r="X41" i="56"/>
  <c r="Z41" i="56" s="1"/>
  <c r="AB41" i="56" s="1"/>
  <c r="W46" i="53"/>
  <c r="AH33" i="53"/>
  <c r="AC1" i="40"/>
  <c r="DH19" i="8"/>
  <c r="DH29" i="59"/>
  <c r="AF19" i="51"/>
  <c r="E35" i="53"/>
  <c r="AG21" i="42"/>
  <c r="AF22" i="54"/>
  <c r="DJ34" i="8"/>
  <c r="DJ34" i="59"/>
  <c r="AF22" i="38"/>
  <c r="AH12" i="53"/>
  <c r="AH46" i="53" s="1"/>
  <c r="AG1" i="19"/>
  <c r="DH27" i="8"/>
  <c r="DH27" i="59"/>
  <c r="AJ19" i="34"/>
  <c r="AG19" i="18"/>
  <c r="M46" i="53"/>
  <c r="K46" i="53"/>
  <c r="AF19" i="15"/>
  <c r="AA16" i="56"/>
  <c r="AC16" i="56" s="1"/>
  <c r="X16" i="56"/>
  <c r="Z16" i="56" s="1"/>
  <c r="AB16" i="56" s="1"/>
  <c r="X44" i="56"/>
  <c r="Z44" i="56" s="1"/>
  <c r="AB44" i="56" s="1"/>
  <c r="AA44" i="56"/>
  <c r="AC44" i="56" s="1"/>
  <c r="DG45" i="8"/>
  <c r="AA8" i="56"/>
  <c r="AC8" i="56" s="1"/>
  <c r="X8" i="56"/>
  <c r="Z8" i="56" s="1"/>
  <c r="AB8" i="56" s="1"/>
  <c r="N80" i="56"/>
  <c r="Z80" i="56" s="1"/>
  <c r="AB80" i="56" s="1"/>
  <c r="AA80" i="56"/>
  <c r="AC80" i="56" s="1"/>
  <c r="N128" i="56"/>
  <c r="Z128" i="56" s="1"/>
  <c r="AB128" i="56" s="1"/>
  <c r="AA128" i="56"/>
  <c r="AC128" i="56" s="1"/>
  <c r="AA60" i="56"/>
  <c r="AC60" i="56" s="1"/>
  <c r="N60" i="56"/>
  <c r="Z60" i="56" s="1"/>
  <c r="AB60" i="56" s="1"/>
  <c r="N96" i="56"/>
  <c r="Z96" i="56" s="1"/>
  <c r="AB96" i="56" s="1"/>
  <c r="AA96" i="56"/>
  <c r="AC96" i="56" s="1"/>
  <c r="AA139" i="56"/>
  <c r="AC139" i="56" s="1"/>
  <c r="N139" i="56"/>
  <c r="Z139" i="56" s="1"/>
  <c r="AB139" i="56" s="1"/>
  <c r="AA83" i="56"/>
  <c r="AC83" i="56" s="1"/>
  <c r="N83" i="56"/>
  <c r="Z83" i="56" s="1"/>
  <c r="AB83" i="56" s="1"/>
  <c r="N122" i="56"/>
  <c r="Z122" i="56" s="1"/>
  <c r="AB122" i="56" s="1"/>
  <c r="AA122" i="56"/>
  <c r="AC122" i="56" s="1"/>
  <c r="AA102" i="56"/>
  <c r="AC102" i="56" s="1"/>
  <c r="N102" i="56"/>
  <c r="Z102" i="56" s="1"/>
  <c r="AB102" i="56" s="1"/>
  <c r="N132" i="56"/>
  <c r="Z132" i="56" s="1"/>
  <c r="AB132" i="56" s="1"/>
  <c r="AA132" i="56"/>
  <c r="AC132" i="56" s="1"/>
  <c r="N78" i="56"/>
  <c r="Z78" i="56" s="1"/>
  <c r="AB78" i="56" s="1"/>
  <c r="AA78" i="56"/>
  <c r="AC78" i="56" s="1"/>
  <c r="N69" i="56"/>
  <c r="Z69" i="56" s="1"/>
  <c r="AB69" i="56" s="1"/>
  <c r="AA69" i="56"/>
  <c r="AC69" i="56" s="1"/>
  <c r="N133" i="56"/>
  <c r="Z133" i="56" s="1"/>
  <c r="AB133" i="56" s="1"/>
  <c r="AA133" i="56"/>
  <c r="AC133" i="56" s="1"/>
  <c r="Z136" i="56"/>
  <c r="AB136" i="56" s="1"/>
  <c r="M177" i="67"/>
  <c r="P177" i="67" s="1"/>
  <c r="G192" i="67" s="1"/>
  <c r="F189" i="57"/>
  <c r="DJ6" i="59" l="1"/>
  <c r="DJ6" i="8"/>
  <c r="AI28" i="12"/>
  <c r="AI43" i="53"/>
  <c r="AG43" i="53"/>
  <c r="AE2" i="50"/>
  <c r="DI44" i="8"/>
  <c r="DK44" i="8" s="1"/>
  <c r="DM44" i="8" s="1"/>
  <c r="DI44" i="59"/>
  <c r="DK44" i="59" s="1"/>
  <c r="DM44" i="59" s="1"/>
  <c r="AI31" i="53"/>
  <c r="Y2" i="38"/>
  <c r="DI7" i="59"/>
  <c r="DK7" i="59" s="1"/>
  <c r="DM7" i="59" s="1"/>
  <c r="DI7" i="8"/>
  <c r="DK7" i="8" s="1"/>
  <c r="DM7" i="8" s="1"/>
  <c r="AI11" i="53"/>
  <c r="AG2" i="18"/>
  <c r="DI23" i="59"/>
  <c r="DK23" i="59" s="1"/>
  <c r="DM23" i="59" s="1"/>
  <c r="DI23" i="8"/>
  <c r="DK23" i="8" s="1"/>
  <c r="DM23" i="8" s="1"/>
  <c r="DJ15" i="59"/>
  <c r="DJ15" i="8"/>
  <c r="AI39" i="53"/>
  <c r="AC2" i="46"/>
  <c r="DI39" i="59"/>
  <c r="DK39" i="59" s="1"/>
  <c r="DM39" i="59" s="1"/>
  <c r="DI39" i="8"/>
  <c r="DK39" i="8" s="1"/>
  <c r="DM39" i="8" s="1"/>
  <c r="T47" i="56"/>
  <c r="S5" i="56"/>
  <c r="S47" i="56" s="1"/>
  <c r="DJ27" i="8"/>
  <c r="DJ27" i="59"/>
  <c r="DJ20" i="59"/>
  <c r="DJ20" i="8"/>
  <c r="DJ11" i="8"/>
  <c r="DJ11" i="59"/>
  <c r="AI9" i="53"/>
  <c r="AE2" i="16"/>
  <c r="DI31" i="59"/>
  <c r="DK31" i="59" s="1"/>
  <c r="DM31" i="59" s="1"/>
  <c r="DI31" i="8"/>
  <c r="DK31" i="8" s="1"/>
  <c r="DM31" i="8" s="1"/>
  <c r="AI13" i="53"/>
  <c r="AF26" i="20"/>
  <c r="AE2" i="20"/>
  <c r="DJ43" i="8"/>
  <c r="DJ43" i="59"/>
  <c r="AI38" i="53"/>
  <c r="AG38" i="53"/>
  <c r="AC2" i="45"/>
  <c r="DI32" i="8"/>
  <c r="DK32" i="8" s="1"/>
  <c r="DM32" i="8" s="1"/>
  <c r="DI32" i="59"/>
  <c r="DK32" i="59" s="1"/>
  <c r="DM32" i="59" s="1"/>
  <c r="DJ35" i="59"/>
  <c r="DJ35" i="8"/>
  <c r="DJ23" i="59"/>
  <c r="DJ23" i="8"/>
  <c r="AI19" i="53"/>
  <c r="AA2" i="26"/>
  <c r="DI9" i="59"/>
  <c r="DK9" i="59" s="1"/>
  <c r="DM9" i="59" s="1"/>
  <c r="DI9" i="8"/>
  <c r="DK9" i="8" s="1"/>
  <c r="DM9" i="8" s="1"/>
  <c r="DJ31" i="59"/>
  <c r="DJ31" i="8"/>
  <c r="AA52" i="56"/>
  <c r="AC52" i="56" s="1"/>
  <c r="N52" i="56"/>
  <c r="Z52" i="56" s="1"/>
  <c r="AB52" i="56" s="1"/>
  <c r="O149" i="56"/>
  <c r="DJ14" i="59"/>
  <c r="DJ14" i="8"/>
  <c r="DJ8" i="59"/>
  <c r="DJ8" i="8"/>
  <c r="AI28" i="28"/>
  <c r="AI8" i="53"/>
  <c r="AG2" i="15"/>
  <c r="DI35" i="59"/>
  <c r="DK35" i="59" s="1"/>
  <c r="DM35" i="59" s="1"/>
  <c r="DI35" i="8"/>
  <c r="DK35" i="8" s="1"/>
  <c r="DM35" i="8" s="1"/>
  <c r="DJ26" i="59"/>
  <c r="DJ26" i="8"/>
  <c r="AI45" i="53"/>
  <c r="AG45" i="53"/>
  <c r="AE2" i="52"/>
  <c r="DI42" i="59"/>
  <c r="DK42" i="59" s="1"/>
  <c r="DM42" i="59" s="1"/>
  <c r="DI42" i="8"/>
  <c r="DK42" i="8" s="1"/>
  <c r="DM42" i="8" s="1"/>
  <c r="AI2" i="34"/>
  <c r="DI12" i="8"/>
  <c r="DK12" i="8" s="1"/>
  <c r="DM12" i="8" s="1"/>
  <c r="DI12" i="59"/>
  <c r="DK12" i="59" s="1"/>
  <c r="DM12" i="59" s="1"/>
  <c r="AI27" i="53"/>
  <c r="AI20" i="53"/>
  <c r="AA2" i="54"/>
  <c r="DI15" i="59"/>
  <c r="DK15" i="59" s="1"/>
  <c r="DM15" i="59" s="1"/>
  <c r="DI15" i="8"/>
  <c r="DK15" i="8" s="1"/>
  <c r="DM15" i="8" s="1"/>
  <c r="DJ9" i="8"/>
  <c r="DJ9" i="59"/>
  <c r="AC2" i="47"/>
  <c r="AI40" i="53"/>
  <c r="DI40" i="8"/>
  <c r="DK40" i="8" s="1"/>
  <c r="DM40" i="8" s="1"/>
  <c r="DI40" i="59"/>
  <c r="DK40" i="59" s="1"/>
  <c r="DM40" i="59" s="1"/>
  <c r="AI14" i="53"/>
  <c r="AG2" i="21"/>
  <c r="DI26" i="59"/>
  <c r="DK26" i="59" s="1"/>
  <c r="DM26" i="59" s="1"/>
  <c r="DI26" i="8"/>
  <c r="DK26" i="8" s="1"/>
  <c r="DM26" i="8" s="1"/>
  <c r="DJ37" i="8"/>
  <c r="DJ37" i="59"/>
  <c r="DJ40" i="59"/>
  <c r="DJ40" i="8"/>
  <c r="AI17" i="53"/>
  <c r="AG17" i="53"/>
  <c r="Y2" i="24"/>
  <c r="DI34" i="8"/>
  <c r="DK34" i="8" s="1"/>
  <c r="DM34" i="8" s="1"/>
  <c r="DI34" i="59"/>
  <c r="DK34" i="59" s="1"/>
  <c r="DM34" i="59" s="1"/>
  <c r="AI26" i="53"/>
  <c r="AE2" i="33"/>
  <c r="DI11" i="59"/>
  <c r="DK11" i="59" s="1"/>
  <c r="DM11" i="59" s="1"/>
  <c r="DI11" i="8"/>
  <c r="DK11" i="8" s="1"/>
  <c r="DM11" i="8" s="1"/>
  <c r="DJ10" i="59"/>
  <c r="DJ10" i="8"/>
  <c r="X5" i="56"/>
  <c r="Y47" i="56"/>
  <c r="AA5" i="56"/>
  <c r="AI18" i="53"/>
  <c r="AH2" i="53" s="1"/>
  <c r="AC2" i="25"/>
  <c r="DI22" i="59"/>
  <c r="DK22" i="59" s="1"/>
  <c r="DM22" i="59" s="1"/>
  <c r="DI22" i="8"/>
  <c r="DK22" i="8" s="1"/>
  <c r="DM22" i="8" s="1"/>
  <c r="DI8" i="8"/>
  <c r="DK8" i="8" s="1"/>
  <c r="DM8" i="8" s="1"/>
  <c r="DI8" i="59"/>
  <c r="DK8" i="59" s="1"/>
  <c r="DM8" i="59" s="1"/>
  <c r="DJ30" i="59"/>
  <c r="DJ30" i="8"/>
  <c r="DJ5" i="59"/>
  <c r="DJ5" i="8"/>
  <c r="DJ16" i="59"/>
  <c r="DJ16" i="8"/>
  <c r="AI5" i="53"/>
  <c r="AG2" i="12"/>
  <c r="DI6" i="59"/>
  <c r="DK6" i="59" s="1"/>
  <c r="DM6" i="59" s="1"/>
  <c r="DI6" i="8"/>
  <c r="DK6" i="8" s="1"/>
  <c r="DM6" i="8" s="1"/>
  <c r="AI28" i="53"/>
  <c r="AC2" i="35"/>
  <c r="DI21" i="59"/>
  <c r="DK21" i="59" s="1"/>
  <c r="DM21" i="59" s="1"/>
  <c r="DI21" i="8"/>
  <c r="DK21" i="8" s="1"/>
  <c r="DM21" i="8" s="1"/>
  <c r="AI35" i="53"/>
  <c r="AG2" i="42"/>
  <c r="DI10" i="59"/>
  <c r="DK10" i="59" s="1"/>
  <c r="DM10" i="59" s="1"/>
  <c r="DI10" i="8"/>
  <c r="DK10" i="8" s="1"/>
  <c r="DM10" i="8" s="1"/>
  <c r="DH14" i="59"/>
  <c r="DH14" i="8"/>
  <c r="F190" i="57"/>
  <c r="DJ12" i="59"/>
  <c r="DJ12" i="8"/>
  <c r="AI25" i="53"/>
  <c r="Y2" i="32"/>
  <c r="DI17" i="59"/>
  <c r="DK17" i="59" s="1"/>
  <c r="DM17" i="59" s="1"/>
  <c r="DI17" i="8"/>
  <c r="DK17" i="8" s="1"/>
  <c r="DM17" i="8" s="1"/>
  <c r="AI7" i="53"/>
  <c r="DI43" i="59"/>
  <c r="DK43" i="59" s="1"/>
  <c r="DM43" i="59" s="1"/>
  <c r="AC2" i="14"/>
  <c r="DI43" i="8"/>
  <c r="DK43" i="8" s="1"/>
  <c r="DM43" i="8" s="1"/>
  <c r="DJ38" i="59"/>
  <c r="DJ38" i="8"/>
  <c r="AI22" i="53"/>
  <c r="DI20" i="8"/>
  <c r="DK20" i="8" s="1"/>
  <c r="DM20" i="8" s="1"/>
  <c r="AG2" i="29"/>
  <c r="DI20" i="59"/>
  <c r="DK20" i="59" s="1"/>
  <c r="DM20" i="59" s="1"/>
  <c r="AI41" i="53"/>
  <c r="AC2" i="48"/>
  <c r="DI36" i="8"/>
  <c r="DK36" i="8" s="1"/>
  <c r="DM36" i="8" s="1"/>
  <c r="DI36" i="59"/>
  <c r="DK36" i="59" s="1"/>
  <c r="DM36" i="59" s="1"/>
  <c r="AI34" i="53"/>
  <c r="AA2" i="41"/>
  <c r="DI33" i="59"/>
  <c r="DK33" i="59" s="1"/>
  <c r="DM33" i="59" s="1"/>
  <c r="DI33" i="8"/>
  <c r="DK33" i="8" s="1"/>
  <c r="DM33" i="8" s="1"/>
  <c r="E46" i="53"/>
  <c r="AI44" i="53"/>
  <c r="AC2" i="51"/>
  <c r="DI41" i="8"/>
  <c r="DK41" i="8" s="1"/>
  <c r="DM41" i="8" s="1"/>
  <c r="DI41" i="59"/>
  <c r="DK41" i="59" s="1"/>
  <c r="DM41" i="59" s="1"/>
  <c r="DJ7" i="59"/>
  <c r="DJ7" i="8"/>
  <c r="DJ29" i="8"/>
  <c r="DJ19" i="59"/>
  <c r="DJ4" i="59"/>
  <c r="DJ4" i="8"/>
  <c r="DJ18" i="8"/>
  <c r="DJ18" i="59"/>
  <c r="DH4" i="8"/>
  <c r="DH4" i="59"/>
  <c r="DH45" i="59" s="1"/>
  <c r="DJ28" i="59"/>
  <c r="DJ28" i="8"/>
  <c r="DJ36" i="59"/>
  <c r="DJ36" i="8"/>
  <c r="AI10" i="53"/>
  <c r="AF29" i="17"/>
  <c r="AG2" i="17"/>
  <c r="DI4" i="59"/>
  <c r="DI4" i="8"/>
  <c r="AC5" i="56" l="1"/>
  <c r="AC47" i="56" s="1"/>
  <c r="AA47" i="56"/>
  <c r="DI14" i="59"/>
  <c r="DK14" i="59" s="1"/>
  <c r="DM14" i="59" s="1"/>
  <c r="DI14" i="8"/>
  <c r="DK14" i="8" s="1"/>
  <c r="DM14" i="8" s="1"/>
  <c r="DJ45" i="8"/>
  <c r="Z5" i="56"/>
  <c r="X47" i="56"/>
  <c r="DK4" i="8"/>
  <c r="DM4" i="8" s="1"/>
  <c r="DK4" i="59"/>
  <c r="DM4" i="59" s="1"/>
  <c r="DH45" i="8"/>
  <c r="DJ45" i="59"/>
  <c r="AI46" i="53"/>
  <c r="AG46" i="53"/>
  <c r="AA149" i="56"/>
  <c r="AC149" i="56" s="1"/>
  <c r="N149" i="56"/>
  <c r="Z149" i="56" s="1"/>
  <c r="AB149" i="56" s="1"/>
  <c r="Z47" i="56" l="1"/>
  <c r="AB5" i="56"/>
  <c r="AB47" i="56" s="1"/>
  <c r="DI45" i="59"/>
  <c r="DK45" i="59" s="1"/>
  <c r="DM45" i="59" s="1"/>
  <c r="DI45" i="8"/>
  <c r="DK45" i="8" s="1"/>
  <c r="DM45" i="8" s="1"/>
</calcChain>
</file>

<file path=xl/sharedStrings.xml><?xml version="1.0" encoding="utf-8"?>
<sst xmlns="http://schemas.openxmlformats.org/spreadsheetml/2006/main" count="6693" uniqueCount="1582">
  <si>
    <t>Date</t>
  </si>
  <si>
    <t>No</t>
  </si>
  <si>
    <t>Names</t>
  </si>
  <si>
    <t>SKU</t>
  </si>
  <si>
    <t>Township</t>
  </si>
  <si>
    <t>ရွှေဧရာ</t>
  </si>
  <si>
    <t>16 St</t>
  </si>
  <si>
    <t>တော်ဝင်</t>
  </si>
  <si>
    <t>ကြည့်မြင်တိုင်</t>
  </si>
  <si>
    <t xml:space="preserve">အောင်ချမ်းသာ </t>
  </si>
  <si>
    <t>ကွမ်းခြံကုန်း</t>
  </si>
  <si>
    <t>မမွှေးမွှေး</t>
  </si>
  <si>
    <t>ဦးလှဖုန်း</t>
  </si>
  <si>
    <t>ကော့မှူး</t>
  </si>
  <si>
    <t>မိုးအောင်</t>
  </si>
  <si>
    <t>တ/ဒဂုံ</t>
  </si>
  <si>
    <t>ရွက်သစ်</t>
  </si>
  <si>
    <t>ကိုရွှေသီး</t>
  </si>
  <si>
    <t>တ/ဥ</t>
  </si>
  <si>
    <t>ကိုဖိုးသက်</t>
  </si>
  <si>
    <t>တွံတေး</t>
  </si>
  <si>
    <t>ဦးအိရွှေ</t>
  </si>
  <si>
    <t>ပန်းသတင်း</t>
  </si>
  <si>
    <t>ကောင်းမွန်</t>
  </si>
  <si>
    <t>တိုက်ကြီး</t>
  </si>
  <si>
    <t>နေလ</t>
  </si>
  <si>
    <t>ရွှေစည်းစိမ်</t>
  </si>
  <si>
    <t>ပေါ်ဉီး</t>
  </si>
  <si>
    <t>ဒလ</t>
  </si>
  <si>
    <t>မပို့မချို</t>
  </si>
  <si>
    <t>ပလာဇာ</t>
  </si>
  <si>
    <t>AAA</t>
  </si>
  <si>
    <t>မ/ဒဂုံ</t>
  </si>
  <si>
    <t>ရွှေဇီးကွက်</t>
  </si>
  <si>
    <t>မြတ်မွှေး</t>
  </si>
  <si>
    <t>မ/ဥ</t>
  </si>
  <si>
    <t>ဘဘကြီး</t>
  </si>
  <si>
    <t>ဦးတင်အေး</t>
  </si>
  <si>
    <t>မှော်ဘီ</t>
  </si>
  <si>
    <t>မွန်မလေး</t>
  </si>
  <si>
    <t>ရပသ</t>
  </si>
  <si>
    <t>ရွှေဉယျာဉ်</t>
  </si>
  <si>
    <t>ဆွေသဟာ</t>
  </si>
  <si>
    <t>လသယ</t>
  </si>
  <si>
    <t>သော်တာထွန်း</t>
  </si>
  <si>
    <t>မိဘမေတ္တာ</t>
  </si>
  <si>
    <t>ရှယ်ထူး</t>
  </si>
  <si>
    <t>လေးထောင့်ကန်</t>
  </si>
  <si>
    <t>မချိုချိုလွင်</t>
  </si>
  <si>
    <t>သင်္ဃန်းကျွန်း</t>
  </si>
  <si>
    <t>အနွယ်တော်</t>
  </si>
  <si>
    <t>သင်္ဃန်းကျွန်းကြီး</t>
  </si>
  <si>
    <t>ဘောဂ</t>
  </si>
  <si>
    <t>သန်လျင်</t>
  </si>
  <si>
    <t>ကိုကျော်ဆွေ</t>
  </si>
  <si>
    <t>ဒေလီယာ</t>
  </si>
  <si>
    <t>သာကေတ</t>
  </si>
  <si>
    <t>မသီတာ</t>
  </si>
  <si>
    <t>Ach %</t>
  </si>
  <si>
    <t xml:space="preserve"> ဇေ
(1*14)</t>
  </si>
  <si>
    <t xml:space="preserve"> ဇေ
(1*24)</t>
  </si>
  <si>
    <t>Vodka
(1*12)</t>
  </si>
  <si>
    <t>မ/က (1*12)
(1000 ml)</t>
  </si>
  <si>
    <t>PKT</t>
  </si>
  <si>
    <t>BOT</t>
  </si>
  <si>
    <t>Cj5
(1*14)</t>
  </si>
  <si>
    <t>ရွှေဧရာ ( ၁၆ လမ်း)</t>
  </si>
  <si>
    <t>Total (BOT)</t>
  </si>
  <si>
    <t>Total (PKT)</t>
  </si>
  <si>
    <t>Achievement</t>
  </si>
  <si>
    <t>တော်ဝင် (ကြည့်မြင်တိုင်)</t>
  </si>
  <si>
    <t>အောင်ချမ်းသာ (ကွမ်းခြံကုန်း)</t>
  </si>
  <si>
    <t>မမွှေးမွှေး(ကွမ်းခြံကုန်း)</t>
  </si>
  <si>
    <t>ဦးလှဖုန်း (ကော့မှူး)</t>
  </si>
  <si>
    <t>မိုးအောင် (တောင်ဒဂုံ)</t>
  </si>
  <si>
    <t>ရွက်သစ် (တောင်ဒဂုံ)</t>
  </si>
  <si>
    <t>ကိုရွှေသီး (တောင်ဉက္ကလာ)</t>
  </si>
  <si>
    <t>ကိုဖိုးသက် (တွံတေး)</t>
  </si>
  <si>
    <t>ဦးအိရွှေ (တွံတေး)</t>
  </si>
  <si>
    <t>ပန်းသတင်း (တွံတေး)</t>
  </si>
  <si>
    <t>ကောင်းမွန် (တိုက်ကြီး)</t>
  </si>
  <si>
    <t>နေလ (တိုက်ကြီး)</t>
  </si>
  <si>
    <t>ရွှေစည်းစိမ် (တိုက်ကြီး)</t>
  </si>
  <si>
    <t>ပေါ်ဦး (ဒလ)</t>
  </si>
  <si>
    <t>မြတ်မွှေး(မြောက်ဉက္ကလာ)</t>
  </si>
  <si>
    <t>ရွှေဇီးကွက် (မြောက်ဒဂုံ)</t>
  </si>
  <si>
    <t>A.A.A (မြောက်ဒဂုံ)</t>
  </si>
  <si>
    <t>ဘဘကြီး(မြောက်ဉက္ကလာ)</t>
  </si>
  <si>
    <t>ဦးတင်အေး (မှော်ဘီ)</t>
  </si>
  <si>
    <t>ရတနာတိုး (မှော်ဘီ)</t>
  </si>
  <si>
    <t>မွန်မလေး (ရွှေပြည်သာ)</t>
  </si>
  <si>
    <t>ရွှေဉယျာဉ် (ရွှေပြည်သာ)</t>
  </si>
  <si>
    <t>ဆွေသဟာ (လှိုင်သာယာ)</t>
  </si>
  <si>
    <t>သော်တာထွန်း (လှိုင်သာယာ)</t>
  </si>
  <si>
    <t>မိဘမေတ္တာ(လှိုင်သာယာ)</t>
  </si>
  <si>
    <t>ရှယ်ထူး (လေးထောင့်ကန်)</t>
  </si>
  <si>
    <t>မချိုချိုလွင် (သင်္ဃန်းကျွန်း)</t>
  </si>
  <si>
    <t>အနွယ်တော် (သင်္ဃန်းကျွန်းကြီး)</t>
  </si>
  <si>
    <t>ဘောဂ (သန်လျင်)</t>
  </si>
  <si>
    <t>ကိုကျော်ဆွေ (သန်လျင်)</t>
  </si>
  <si>
    <t>ဒေလီယာ (သာကေတ)</t>
  </si>
  <si>
    <t>မသီတာ (သာကေတ)</t>
  </si>
  <si>
    <t>Average sales total</t>
  </si>
  <si>
    <t xml:space="preserve">Total Achievement Sales </t>
  </si>
  <si>
    <t>Sales Percentage</t>
  </si>
  <si>
    <t xml:space="preserve">Total </t>
  </si>
  <si>
    <t>သုခအောင်</t>
  </si>
  <si>
    <t>လမင်းသာ</t>
  </si>
  <si>
    <t>ဆင်မင်း</t>
  </si>
  <si>
    <t>မာဟန်</t>
  </si>
  <si>
    <t>အောင်ပြည့်စုံ</t>
  </si>
  <si>
    <t>ဂျက်ကြီး</t>
  </si>
  <si>
    <t>မိုးမြင့်ထက်</t>
  </si>
  <si>
    <t>အင်းစိန်</t>
  </si>
  <si>
    <t>သမိုင်း</t>
  </si>
  <si>
    <t>လှိုင်သာယာ</t>
  </si>
  <si>
    <t>ခရမ်း</t>
  </si>
  <si>
    <t>ဒေးဒရဲ</t>
  </si>
  <si>
    <t>မြောက်ဒဂုံ</t>
  </si>
  <si>
    <t>သုခအောင်(အင်းစိန်)</t>
  </si>
  <si>
    <t>လမင်းသာ(သမိုင်း)</t>
  </si>
  <si>
    <t>ဆင်မင်း(လှိုင်သာယာ)</t>
  </si>
  <si>
    <t>မာဟန်(မှော်ဘီ)</t>
  </si>
  <si>
    <t>အောင်ပြည့်စုံ(ခရမ်း)</t>
  </si>
  <si>
    <t>ဂျက်ကြီး(ဒေးဒရဲ)</t>
  </si>
  <si>
    <t>မိုးမြင့်ထက်(မြောက်ဒဂုံ)</t>
  </si>
  <si>
    <t>Gap</t>
  </si>
  <si>
    <t>Time Spend %</t>
  </si>
  <si>
    <t>Type</t>
  </si>
  <si>
    <t xml:space="preserve">Contact Name </t>
  </si>
  <si>
    <t>Contact No.</t>
  </si>
  <si>
    <t>Responsibility</t>
  </si>
  <si>
    <t xml:space="preserve">Shwe Ayeyar </t>
  </si>
  <si>
    <t>WS</t>
  </si>
  <si>
    <t>ကိုသာပိုး</t>
  </si>
  <si>
    <t>Ko Thar Poe</t>
  </si>
  <si>
    <t>09-420029084</t>
  </si>
  <si>
    <t>Taw Win</t>
  </si>
  <si>
    <t>Kyee Myin Daing</t>
  </si>
  <si>
    <t>မဝါဝါလှိုင်</t>
  </si>
  <si>
    <t>Ma War War Hlaing</t>
  </si>
  <si>
    <t>09-793565822</t>
  </si>
  <si>
    <t xml:space="preserve">Aung Chan Thar </t>
  </si>
  <si>
    <t>Kungyangon</t>
  </si>
  <si>
    <t>ဒေါ်ဆုမွန်အောင်</t>
  </si>
  <si>
    <t>Daw Su Mon Aung</t>
  </si>
  <si>
    <t>09-777177702</t>
  </si>
  <si>
    <t xml:space="preserve">Ma Mhwe Mhwe </t>
  </si>
  <si>
    <t>မသဇင်ညွှန့်</t>
  </si>
  <si>
    <t>Ma Tha Zin Nyunt</t>
  </si>
  <si>
    <t>09-266299311</t>
  </si>
  <si>
    <t xml:space="preserve">U Hla Phone </t>
  </si>
  <si>
    <t>Kawhmu</t>
  </si>
  <si>
    <t>ဒေါ်ကြည်ကြည်ဝင်း</t>
  </si>
  <si>
    <t>Daw Kyi Kyi Win</t>
  </si>
  <si>
    <t>09-794635642</t>
  </si>
  <si>
    <t xml:space="preserve">Moe Aung </t>
  </si>
  <si>
    <t>Sount Dagon</t>
  </si>
  <si>
    <t>မမြ</t>
  </si>
  <si>
    <t>Ma Mya</t>
  </si>
  <si>
    <t>09-740816390</t>
  </si>
  <si>
    <t>Yuat Thit</t>
  </si>
  <si>
    <t>South Dagon</t>
  </si>
  <si>
    <t>ကိုဘုန်းသာ</t>
  </si>
  <si>
    <t>Ko Bhone Thar</t>
  </si>
  <si>
    <t>09-5501732</t>
  </si>
  <si>
    <t xml:space="preserve">Ko Shwe Thee </t>
  </si>
  <si>
    <t>South Okkalapa</t>
  </si>
  <si>
    <t>09-5089587</t>
  </si>
  <si>
    <t xml:space="preserve">Ko Phoe Thet </t>
  </si>
  <si>
    <t>Twantay</t>
  </si>
  <si>
    <t>မသန္တာ</t>
  </si>
  <si>
    <t>Ma Thandar</t>
  </si>
  <si>
    <t>09-448004906</t>
  </si>
  <si>
    <t xml:space="preserve">U Ei Shwe </t>
  </si>
  <si>
    <t>ကိုနိူင်လင်းအောင်</t>
  </si>
  <si>
    <t>Ko Naing Lin Aung</t>
  </si>
  <si>
    <t>09-421094107</t>
  </si>
  <si>
    <t>Pan Tatin</t>
  </si>
  <si>
    <t>မဝေဝေစန်း</t>
  </si>
  <si>
    <t>Ma Wai Wai San</t>
  </si>
  <si>
    <t>09-758750975</t>
  </si>
  <si>
    <t>Kaung Mon</t>
  </si>
  <si>
    <t>Taikkyi</t>
  </si>
  <si>
    <t>မယဉ်နွယ်ဦး</t>
  </si>
  <si>
    <t>Ma Yin Nwal Oo</t>
  </si>
  <si>
    <t>09-451311435</t>
  </si>
  <si>
    <t>Nay La</t>
  </si>
  <si>
    <t>ဦးမိုးသက်နိူင်</t>
  </si>
  <si>
    <t>U Moe That Naing</t>
  </si>
  <si>
    <t>09-5394567</t>
  </si>
  <si>
    <t>Shwe See Sain</t>
  </si>
  <si>
    <t>မရင်ရင်ထိုက်</t>
  </si>
  <si>
    <t>Ma Yin Yin Htike</t>
  </si>
  <si>
    <t>09-5007916</t>
  </si>
  <si>
    <t>Paw Oo</t>
  </si>
  <si>
    <t>Dala</t>
  </si>
  <si>
    <t>ဦးပေါ်ဦး</t>
  </si>
  <si>
    <t>U Paw Oo</t>
  </si>
  <si>
    <t>09-964436777</t>
  </si>
  <si>
    <t>Ma Po Ma Cho</t>
  </si>
  <si>
    <t>Palazar</t>
  </si>
  <si>
    <t>မခိုင်လွင်ဦး</t>
  </si>
  <si>
    <t>Ma Kine Lwin Oo</t>
  </si>
  <si>
    <t>09-250069370</t>
  </si>
  <si>
    <t>A.A.A.</t>
  </si>
  <si>
    <t>North Dagon</t>
  </si>
  <si>
    <t>မစီ</t>
  </si>
  <si>
    <t>Ma Si</t>
  </si>
  <si>
    <t>09-790414141</t>
  </si>
  <si>
    <t xml:space="preserve">Shwe Zee Kwat </t>
  </si>
  <si>
    <t>မပပ</t>
  </si>
  <si>
    <t>Ma Pa Pa</t>
  </si>
  <si>
    <t>09-450037338</t>
  </si>
  <si>
    <t xml:space="preserve">Myat Mhwe </t>
  </si>
  <si>
    <t>North Okkalapa</t>
  </si>
  <si>
    <t>မမီးငယ်</t>
  </si>
  <si>
    <t>Ma Mee Nge'</t>
  </si>
  <si>
    <t>09-263698010</t>
  </si>
  <si>
    <t>Ba Ba Gyi</t>
  </si>
  <si>
    <t>မဇင်မာ</t>
  </si>
  <si>
    <t>Ma Zin Mar</t>
  </si>
  <si>
    <t>09-421160411</t>
  </si>
  <si>
    <t xml:space="preserve">U Tin Aye </t>
  </si>
  <si>
    <t>Hmawbi</t>
  </si>
  <si>
    <t>U Tin Aye</t>
  </si>
  <si>
    <t>09-5075855</t>
  </si>
  <si>
    <t>ရတနာတိုး (H)</t>
  </si>
  <si>
    <t xml:space="preserve">Yatanar Toe </t>
  </si>
  <si>
    <t>ဦးသစ်လွင်</t>
  </si>
  <si>
    <t>U Thit Lwin</t>
  </si>
  <si>
    <t>09-5137424</t>
  </si>
  <si>
    <t>Mon Ma Lay</t>
  </si>
  <si>
    <t>Shwe Pyi Thar</t>
  </si>
  <si>
    <t>ဦးချစ်ဝိုင်း</t>
  </si>
  <si>
    <t>U Chit Wine</t>
  </si>
  <si>
    <t>09-882250800</t>
  </si>
  <si>
    <t>Shwe Oo Yin</t>
  </si>
  <si>
    <t>မမာမာဝေ</t>
  </si>
  <si>
    <t>Ma Mar Mar Wai</t>
  </si>
  <si>
    <t>09-506718</t>
  </si>
  <si>
    <t xml:space="preserve">Shwe Tahar </t>
  </si>
  <si>
    <t>Hlaing Thar Yar</t>
  </si>
  <si>
    <t>ကိုစောလွင်</t>
  </si>
  <si>
    <t>Ko Saw Lwin</t>
  </si>
  <si>
    <t>09-982218821</t>
  </si>
  <si>
    <t>Thawdar Tun</t>
  </si>
  <si>
    <t>ကိုသူရ</t>
  </si>
  <si>
    <t>Ko Thu Ya</t>
  </si>
  <si>
    <t>09-954456566</t>
  </si>
  <si>
    <t xml:space="preserve">Mi Ba Myint Thar </t>
  </si>
  <si>
    <t>မပိုပို</t>
  </si>
  <si>
    <t>Ma Po Po</t>
  </si>
  <si>
    <t>09-762811856</t>
  </si>
  <si>
    <t>Shal Htoo</t>
  </si>
  <si>
    <t>Lay Daungkan</t>
  </si>
  <si>
    <t>ကိုသား</t>
  </si>
  <si>
    <t xml:space="preserve">Ko Thar </t>
  </si>
  <si>
    <t>09-443211018</t>
  </si>
  <si>
    <t>Ma Cho Cho Lwin</t>
  </si>
  <si>
    <t>Thingangyun</t>
  </si>
  <si>
    <t>မချို</t>
  </si>
  <si>
    <t>Ma Cho</t>
  </si>
  <si>
    <t>09-421183044</t>
  </si>
  <si>
    <t>A 'Nwe Taw</t>
  </si>
  <si>
    <t>Thingangyun Gyi</t>
  </si>
  <si>
    <t>မထက်ထက်</t>
  </si>
  <si>
    <t>Ma Htet Htet</t>
  </si>
  <si>
    <t>09-793965694</t>
  </si>
  <si>
    <t>Baw Ga</t>
  </si>
  <si>
    <t>Thanlyin</t>
  </si>
  <si>
    <t>ကိုဇင်လင်းထွန်း</t>
  </si>
  <si>
    <t>Ko Zin Lin Htun</t>
  </si>
  <si>
    <t>09-421022592</t>
  </si>
  <si>
    <t xml:space="preserve">Ko Kyaw Swe </t>
  </si>
  <si>
    <t>ဦးကျော်ဆွေ</t>
  </si>
  <si>
    <t>U Kyaw Swe</t>
  </si>
  <si>
    <t>09-5021923</t>
  </si>
  <si>
    <t xml:space="preserve">Dalia </t>
  </si>
  <si>
    <t>Thaketa</t>
  </si>
  <si>
    <t>မခိုင်နှင်းဝေ</t>
  </si>
  <si>
    <t>Khine Hnin Wai</t>
  </si>
  <si>
    <t>09-775065014</t>
  </si>
  <si>
    <t xml:space="preserve">Ma Thida </t>
  </si>
  <si>
    <t>မသီတာထွန်း</t>
  </si>
  <si>
    <t>Ma Thidar Tun</t>
  </si>
  <si>
    <t>09-5406284</t>
  </si>
  <si>
    <t xml:space="preserve">Thuka Aung </t>
  </si>
  <si>
    <t>Insein</t>
  </si>
  <si>
    <t>မနန်းကေသီ</t>
  </si>
  <si>
    <t>Ma Nan Kay Thi</t>
  </si>
  <si>
    <t>09-790241274</t>
  </si>
  <si>
    <t xml:space="preserve">La Min Thar </t>
  </si>
  <si>
    <t>Tha Mine</t>
  </si>
  <si>
    <t>မခိုင်သင်းကြည်</t>
  </si>
  <si>
    <t>Ma Khing Thin Kyee</t>
  </si>
  <si>
    <t>09-265148552</t>
  </si>
  <si>
    <t>Sin Min</t>
  </si>
  <si>
    <t>Mar Han</t>
  </si>
  <si>
    <t>ဖြူမာဟန်</t>
  </si>
  <si>
    <t>Phyu Mar Han</t>
  </si>
  <si>
    <t>09-5160980</t>
  </si>
  <si>
    <t xml:space="preserve">Aung Pyae Sone </t>
  </si>
  <si>
    <t>Khayan</t>
  </si>
  <si>
    <t>ဦးအောင်ဇော်မိုး</t>
  </si>
  <si>
    <t>U Aung Zaw Moe</t>
  </si>
  <si>
    <t>09-797947488</t>
  </si>
  <si>
    <t>Jet Gyi</t>
  </si>
  <si>
    <t>Dedaye</t>
  </si>
  <si>
    <t>ဦးထိန်းမင်း</t>
  </si>
  <si>
    <t>U Htine Min</t>
  </si>
  <si>
    <t>09-751300943</t>
  </si>
  <si>
    <t>Moe Myint Htet</t>
  </si>
  <si>
    <t>Month Till Date</t>
  </si>
  <si>
    <t xml:space="preserve"> ဇေ
(1*12 (1000ml)</t>
  </si>
  <si>
    <t xml:space="preserve"> ဇေ
(1*12 (600ml)</t>
  </si>
  <si>
    <t xml:space="preserve"> ဇေ
(1*40 (350ml)</t>
  </si>
  <si>
    <t>မ/က (1*40)
(350 ml)</t>
  </si>
  <si>
    <t>နာနတ် (1*14)
(640 ml)</t>
  </si>
  <si>
    <t>KK 25%
1000 ml(1*12)</t>
  </si>
  <si>
    <t>Red (1000ml)
1*12</t>
  </si>
  <si>
    <t>Rum 43%
1*12</t>
  </si>
  <si>
    <t>Total</t>
  </si>
  <si>
    <t>KK 40%
1000 ml(1*12)</t>
  </si>
  <si>
    <t xml:space="preserve"> </t>
  </si>
  <si>
    <t>စဉ်</t>
  </si>
  <si>
    <t>ဆိုင်အမည်</t>
  </si>
  <si>
    <t>ဒေသ</t>
  </si>
  <si>
    <t>Red (1000ml)
(1*12)</t>
  </si>
  <si>
    <t>Rum 43%
(1*12)</t>
  </si>
  <si>
    <t>မိုးနဲ (1*14)
(640 ml)</t>
  </si>
  <si>
    <t>မိုးနဲ
(1*14)</t>
  </si>
  <si>
    <t>Summary</t>
  </si>
  <si>
    <t>မက
(1*14)</t>
  </si>
  <si>
    <t>မက (1*14)
(640 ml)</t>
  </si>
  <si>
    <t>FR
(700 ml)</t>
  </si>
  <si>
    <t>သံပုရာ (1*14)
(640 ml)</t>
  </si>
  <si>
    <t>Zay super vk (1*14)</t>
  </si>
  <si>
    <t>FR
(350 ml)</t>
  </si>
  <si>
    <t>12/</t>
  </si>
  <si>
    <t>Red (1000ml) 40%
1*12</t>
  </si>
  <si>
    <t>January Target 
PK</t>
  </si>
  <si>
    <t>January Target Bottle</t>
  </si>
  <si>
    <t>10-days Total</t>
  </si>
  <si>
    <t>20-days Total</t>
  </si>
  <si>
    <t>2.1.2025</t>
  </si>
  <si>
    <t>Yangon Market - Wholesales List ( January 2025)</t>
  </si>
  <si>
    <t>Liter</t>
  </si>
  <si>
    <t>liter</t>
  </si>
  <si>
    <t>YNK</t>
  </si>
  <si>
    <t>Contribution</t>
  </si>
  <si>
    <t>Mini</t>
  </si>
  <si>
    <t>Sr No.</t>
  </si>
  <si>
    <t xml:space="preserve">PKT </t>
  </si>
  <si>
    <t xml:space="preserve">Bottle </t>
  </si>
  <si>
    <t>16 street</t>
  </si>
  <si>
    <t>K Mart</t>
  </si>
  <si>
    <t>အလုံ</t>
  </si>
  <si>
    <t xml:space="preserve">Ahlone </t>
  </si>
  <si>
    <t>KBL</t>
  </si>
  <si>
    <t>မသိင်္ဂီမော်</t>
  </si>
  <si>
    <t>Ma Theingi Maw</t>
  </si>
  <si>
    <t>ဒေါ်နီ</t>
  </si>
  <si>
    <t>Daw Ni</t>
  </si>
  <si>
    <t>ဦးတင်လှိုင်</t>
  </si>
  <si>
    <t>U Tin Hlaing</t>
  </si>
  <si>
    <t>ကိုချမ်းအေး</t>
  </si>
  <si>
    <t xml:space="preserve">Ko Chan Aye </t>
  </si>
  <si>
    <t>ကြယ်ပျံ</t>
  </si>
  <si>
    <t>Kwyal Pyan</t>
  </si>
  <si>
    <t>နှင်းဆီ</t>
  </si>
  <si>
    <t xml:space="preserve">Hnin Si </t>
  </si>
  <si>
    <t>ကောင်းထက်</t>
  </si>
  <si>
    <t xml:space="preserve">Kaung Htet </t>
  </si>
  <si>
    <t>အောင်သိဒ္ဓိ</t>
  </si>
  <si>
    <t xml:space="preserve">Aung Date Di </t>
  </si>
  <si>
    <t>အောင်ကမ္ဘာသိန်း</t>
  </si>
  <si>
    <t>Aung Kabar Thein</t>
  </si>
  <si>
    <t>ကိုညီညီ</t>
  </si>
  <si>
    <t xml:space="preserve">Ko Nyi Nyi </t>
  </si>
  <si>
    <t>ရွှေဇင်ယော်</t>
  </si>
  <si>
    <t xml:space="preserve">Shwe Zin Yaw </t>
  </si>
  <si>
    <t>မြို့သစ်ဈေး</t>
  </si>
  <si>
    <t>ဉီးပိုက်တင်</t>
  </si>
  <si>
    <t>U Pite Tin</t>
  </si>
  <si>
    <t xml:space="preserve">Kayane </t>
  </si>
  <si>
    <t>မောင်လုပ်သား</t>
  </si>
  <si>
    <t xml:space="preserve">Maung Loat Thar </t>
  </si>
  <si>
    <t>အလင်းတန်း</t>
  </si>
  <si>
    <t>A Lin Tan</t>
  </si>
  <si>
    <t>ရှိုင်းရာဇာ</t>
  </si>
  <si>
    <t xml:space="preserve">Shine Yar Zar </t>
  </si>
  <si>
    <t>ရွှေမိုး</t>
  </si>
  <si>
    <t xml:space="preserve">Shwe Moe </t>
  </si>
  <si>
    <t xml:space="preserve">လှိုင် </t>
  </si>
  <si>
    <t>Hlaing</t>
  </si>
  <si>
    <t>ရွှေလီ</t>
  </si>
  <si>
    <t>Shwe Li</t>
  </si>
  <si>
    <t>လှိုင်</t>
  </si>
  <si>
    <t>ဝင်း</t>
  </si>
  <si>
    <t xml:space="preserve">Win </t>
  </si>
  <si>
    <t>လမ်း ၅၀</t>
  </si>
  <si>
    <t xml:space="preserve">50th Street </t>
  </si>
  <si>
    <t>ပန်းမြို့တော်</t>
  </si>
  <si>
    <t xml:space="preserve">Pan Myo Taw </t>
  </si>
  <si>
    <t>ရွှေ</t>
  </si>
  <si>
    <t xml:space="preserve">Shwe </t>
  </si>
  <si>
    <t>ကိုကျော်တင့်</t>
  </si>
  <si>
    <t>Ko Kyaw Tint</t>
  </si>
  <si>
    <t>မိုးကျော် ၂</t>
  </si>
  <si>
    <t xml:space="preserve">Moe Kyaw (1) </t>
  </si>
  <si>
    <t>ဦးထွန်းရွှေ</t>
  </si>
  <si>
    <t xml:space="preserve">U Tun Shwe </t>
  </si>
  <si>
    <t>မိုးကျော် ၁</t>
  </si>
  <si>
    <t xml:space="preserve">Moe Kyaw (2) </t>
  </si>
  <si>
    <t>စိန်လီ</t>
  </si>
  <si>
    <t>Sein Li</t>
  </si>
  <si>
    <t>ကျောက်တန်း</t>
  </si>
  <si>
    <t>Kyauktan</t>
  </si>
  <si>
    <t>ကိုခိုင်ကြီး</t>
  </si>
  <si>
    <t>Ko Khine Gyi</t>
  </si>
  <si>
    <t>ဆိပ်ကြီး</t>
  </si>
  <si>
    <t>Seik Gyi Kanaung To</t>
  </si>
  <si>
    <t>မိဘရိပ်</t>
  </si>
  <si>
    <t>Mi Ba Yeik</t>
  </si>
  <si>
    <t>စမ်းချောင်း</t>
  </si>
  <si>
    <t xml:space="preserve">San Chaung </t>
  </si>
  <si>
    <t>ဦးသန်းစိန်</t>
  </si>
  <si>
    <t xml:space="preserve">U Than Sein </t>
  </si>
  <si>
    <t>ကြည်မြင့်တိုင်</t>
  </si>
  <si>
    <t>ဇော်ဝင်းရှိန်/ခိုင်ရတနာ</t>
  </si>
  <si>
    <t xml:space="preserve">Zaw Win Shain </t>
  </si>
  <si>
    <t>ကမ်းနား</t>
  </si>
  <si>
    <t xml:space="preserve">Kannar </t>
  </si>
  <si>
    <t>မကျင်နု</t>
  </si>
  <si>
    <t>Ma Kyin Nu</t>
  </si>
  <si>
    <t>၁၇ လမ်း</t>
  </si>
  <si>
    <t xml:space="preserve">17th Street </t>
  </si>
  <si>
    <t>ဒေါ်ခင်သီ</t>
  </si>
  <si>
    <t>Daw Khin Thi</t>
  </si>
  <si>
    <t>ပစ်တိုင်းထောင်</t>
  </si>
  <si>
    <t xml:space="preserve">Pyit Tine Htaung </t>
  </si>
  <si>
    <t>ငွေစုလှိုင်</t>
  </si>
  <si>
    <t>Ngwe Su Hlailng</t>
  </si>
  <si>
    <t>ဆိပ်ကမ်းသာ</t>
  </si>
  <si>
    <t>Sate Kan Thar</t>
  </si>
  <si>
    <t>သုံးခွ</t>
  </si>
  <si>
    <t>Thongwa</t>
  </si>
  <si>
    <t>စူပါကျော်</t>
  </si>
  <si>
    <t>Super Kyaw</t>
  </si>
  <si>
    <t>16 st</t>
  </si>
  <si>
    <t>လမ်းမတော်</t>
  </si>
  <si>
    <t>Lanmadaw</t>
  </si>
  <si>
    <t>ဘုံးဘုံ</t>
  </si>
  <si>
    <t>Bone Bon</t>
  </si>
  <si>
    <t>ဦးလှမြင့်</t>
  </si>
  <si>
    <t>U Hla Myint</t>
  </si>
  <si>
    <t>ညောင်ပင်လေးဈေး</t>
  </si>
  <si>
    <t>Nyaung Pin lay Zay</t>
  </si>
  <si>
    <t>စိန်ချယ်</t>
  </si>
  <si>
    <t xml:space="preserve">Sein Chel </t>
  </si>
  <si>
    <t>KHM</t>
  </si>
  <si>
    <t>ကိုမူတူး</t>
  </si>
  <si>
    <t>Ko Muu Too</t>
  </si>
  <si>
    <t>ရွှေဖလား</t>
  </si>
  <si>
    <t>Shwe Phalar</t>
  </si>
  <si>
    <t>ကိုလွင်သိန်း</t>
  </si>
  <si>
    <t>Ko Lwin Thein</t>
  </si>
  <si>
    <t>ဦးစောမြင့်</t>
  </si>
  <si>
    <t xml:space="preserve">U Saw Myint </t>
  </si>
  <si>
    <t>မိသားစု</t>
  </si>
  <si>
    <t>Mi Thar Su</t>
  </si>
  <si>
    <t>လှည်းကူး</t>
  </si>
  <si>
    <t>Hlegu</t>
  </si>
  <si>
    <t>ရွှေရခိုင်</t>
  </si>
  <si>
    <t xml:space="preserve">Shwe Ya Khine </t>
  </si>
  <si>
    <t>ရွှေပြည်သာ</t>
  </si>
  <si>
    <t>ဦးထွန်းဝေ</t>
  </si>
  <si>
    <t>U Tun Wai</t>
  </si>
  <si>
    <t>မရီသိန်း</t>
  </si>
  <si>
    <t>Ma Yi Thein</t>
  </si>
  <si>
    <t>ရန်ကင်း</t>
  </si>
  <si>
    <t>Yankin</t>
  </si>
  <si>
    <t>ဦးထွန်းအောင်</t>
  </si>
  <si>
    <t xml:space="preserve">U Tun Aung </t>
  </si>
  <si>
    <t>မင်္ဂလာဈး</t>
  </si>
  <si>
    <t>Mingalar Zay</t>
  </si>
  <si>
    <t>အောင်ကမ္ဘာ</t>
  </si>
  <si>
    <t xml:space="preserve">Aung Kabar </t>
  </si>
  <si>
    <t>မင်္ဂလာဒုံ</t>
  </si>
  <si>
    <t>Mingalardon</t>
  </si>
  <si>
    <t>တဉ</t>
  </si>
  <si>
    <t>ကောင်းဆက်</t>
  </si>
  <si>
    <t xml:space="preserve">Kaung Set </t>
  </si>
  <si>
    <t>ကိုအေးချမ်း</t>
  </si>
  <si>
    <t xml:space="preserve">Ko Aye Chan </t>
  </si>
  <si>
    <t>ဦးတင်စော</t>
  </si>
  <si>
    <t xml:space="preserve">U Tin Saw </t>
  </si>
  <si>
    <t>ရွှေလက်ဆောင်</t>
  </si>
  <si>
    <t xml:space="preserve">Shwe Lat Saung </t>
  </si>
  <si>
    <t>မြစန္ဒာ</t>
  </si>
  <si>
    <t xml:space="preserve">Mya Sandar </t>
  </si>
  <si>
    <t>မ/ဉ</t>
  </si>
  <si>
    <t>ကံတလူ</t>
  </si>
  <si>
    <t>Kan Ta Lu</t>
  </si>
  <si>
    <t>စန္ဒာ</t>
  </si>
  <si>
    <t xml:space="preserve">Sandar </t>
  </si>
  <si>
    <t>ဗဟန်း</t>
  </si>
  <si>
    <t>Bahan</t>
  </si>
  <si>
    <t>ဖောင်ကြီး</t>
  </si>
  <si>
    <t>Phaung Gyi</t>
  </si>
  <si>
    <t>ရွှေရည်ဦး</t>
  </si>
  <si>
    <t>Shwe Yi Oo</t>
  </si>
  <si>
    <t>Palaza</t>
  </si>
  <si>
    <t>ဒေါ်တင်ကြည်</t>
  </si>
  <si>
    <t>Daw Tin Kyi</t>
  </si>
  <si>
    <t>ထောက်ကြန့်</t>
  </si>
  <si>
    <t>Htauk Kyant</t>
  </si>
  <si>
    <t>5-Star</t>
  </si>
  <si>
    <t>ရွှေမိုးဦး</t>
  </si>
  <si>
    <t>Shwe Moe Oo</t>
  </si>
  <si>
    <t>ဦးအေးမြင့်</t>
  </si>
  <si>
    <t xml:space="preserve">U Aye Myint </t>
  </si>
  <si>
    <t>ထွန်းတောက်</t>
  </si>
  <si>
    <t xml:space="preserve">Tun Tout </t>
  </si>
  <si>
    <t>မိုးပုလဲ</t>
  </si>
  <si>
    <t>Moe Pearl</t>
  </si>
  <si>
    <t>ရာဇာဟိန်း</t>
  </si>
  <si>
    <t xml:space="preserve">Ya Zar Hein </t>
  </si>
  <si>
    <t>ကိုကျော်ဆန်း</t>
  </si>
  <si>
    <t xml:space="preserve">Ko Kyaw San </t>
  </si>
  <si>
    <t>ကိုထိန်လင်း</t>
  </si>
  <si>
    <t xml:space="preserve">Ko Htein Lin </t>
  </si>
  <si>
    <t>ရှိန်းမြချို</t>
  </si>
  <si>
    <t xml:space="preserve">Shin Mya Cho </t>
  </si>
  <si>
    <t>ကိုဇော်ဦး</t>
  </si>
  <si>
    <t xml:space="preserve">Ko Zaw Oo </t>
  </si>
  <si>
    <t>ရွှေကိန္ဒရီ</t>
  </si>
  <si>
    <t>Shwe Kane Da Yi</t>
  </si>
  <si>
    <t>အင်ကြင်း်ခိုင်</t>
  </si>
  <si>
    <t>Eygine Khine</t>
  </si>
  <si>
    <t>ရွေဆင်</t>
  </si>
  <si>
    <t xml:space="preserve">Shwe Sin </t>
  </si>
  <si>
    <t>ဦးလှဆွေ</t>
  </si>
  <si>
    <t xml:space="preserve">U Hla Shwe </t>
  </si>
  <si>
    <t>စည်းစိမ်</t>
  </si>
  <si>
    <t>See Sein</t>
  </si>
  <si>
    <t>ငြိမ်းချမ်းရေး</t>
  </si>
  <si>
    <t xml:space="preserve">Nyein Chan Yae </t>
  </si>
  <si>
    <t>စံပြဈေး</t>
  </si>
  <si>
    <t>Sanpya Zay</t>
  </si>
  <si>
    <t>ကြိုးကြာ</t>
  </si>
  <si>
    <t xml:space="preserve">Gyo Kyar </t>
  </si>
  <si>
    <t>Sweet World</t>
  </si>
  <si>
    <t>အောင်သရဖူ</t>
  </si>
  <si>
    <t xml:space="preserve"> Aung Tayapu</t>
  </si>
  <si>
    <t>တာမွေ</t>
  </si>
  <si>
    <t xml:space="preserve">Tamwe </t>
  </si>
  <si>
    <t>ရွှင်ကြည်လန်း</t>
  </si>
  <si>
    <t>Shwin Kyee Lan</t>
  </si>
  <si>
    <t>Sweet Gate</t>
  </si>
  <si>
    <t>သင့်</t>
  </si>
  <si>
    <t>Thint</t>
  </si>
  <si>
    <t>ဝေဖြိုးချမ်းသာ</t>
  </si>
  <si>
    <t>Wai Phyo Chan Thar</t>
  </si>
  <si>
    <t>ဦးကြီးမြင့်</t>
  </si>
  <si>
    <t>U Kyee Myint</t>
  </si>
  <si>
    <t>ရွေညောင်ပင်</t>
  </si>
  <si>
    <t>Shwe Nyung Pin</t>
  </si>
  <si>
    <t>Mother House</t>
  </si>
  <si>
    <t>တိုက််ကြီး</t>
  </si>
  <si>
    <t>ပိတောက်</t>
  </si>
  <si>
    <t>Paduk</t>
  </si>
  <si>
    <t>ပေါ်ဦး</t>
  </si>
  <si>
    <t>တောင်ဒဂုံ</t>
  </si>
  <si>
    <t>ရွှေပြည်သစ်</t>
  </si>
  <si>
    <t>Shwe Pyi Thit</t>
  </si>
  <si>
    <t>အရှေ့ရွာ</t>
  </si>
  <si>
    <t>West Village</t>
  </si>
  <si>
    <t>Mr Ye</t>
  </si>
  <si>
    <t>One Stop Mart</t>
  </si>
  <si>
    <t>Super one</t>
  </si>
  <si>
    <t>ကိုကျော်သူ</t>
  </si>
  <si>
    <t>Ko Kyaw Thu</t>
  </si>
  <si>
    <t>ခိုင်</t>
  </si>
  <si>
    <t>Khaing</t>
  </si>
  <si>
    <t>လိူင်နန်းတော်</t>
  </si>
  <si>
    <t>Hlailng Nan Taw</t>
  </si>
  <si>
    <t>နန်းထက်</t>
  </si>
  <si>
    <t>Nan Htet</t>
  </si>
  <si>
    <t>ထားဝယ်ထက်</t>
  </si>
  <si>
    <t>Dawelhtet</t>
  </si>
  <si>
    <t>ကောင်းသန့်ရှင်း</t>
  </si>
  <si>
    <t>Kaung Thant Shin</t>
  </si>
  <si>
    <t>ရွှေပေါက္ကံ</t>
  </si>
  <si>
    <t>Shwe Pouk Kan</t>
  </si>
  <si>
    <t>ပွိုင့်</t>
  </si>
  <si>
    <t>Point</t>
  </si>
  <si>
    <t>ဝေမြတ်မွန်</t>
  </si>
  <si>
    <t>Way Myat Mon</t>
  </si>
  <si>
    <t>ပိတောက်ဝါ</t>
  </si>
  <si>
    <t>Padauk War</t>
  </si>
  <si>
    <t>ဖြူဝင်း</t>
  </si>
  <si>
    <t>Phyu Win</t>
  </si>
  <si>
    <t>ဒေါ်ကြည်လေး</t>
  </si>
  <si>
    <t>Daw Kyi Lay</t>
  </si>
  <si>
    <t>စကားဝါ</t>
  </si>
  <si>
    <t>Sakarwar</t>
  </si>
  <si>
    <t>Y-4</t>
  </si>
  <si>
    <t>Y - 4</t>
  </si>
  <si>
    <t>Infinity</t>
  </si>
  <si>
    <t xml:space="preserve">Infinity </t>
  </si>
  <si>
    <t>ရွှေမြန်မာ</t>
  </si>
  <si>
    <t>Shwe Myanmar</t>
  </si>
  <si>
    <t>စိုင်းဝင်းထက်</t>
  </si>
  <si>
    <t>Sai Win Htet</t>
  </si>
  <si>
    <t>နိုင်နိုင်</t>
  </si>
  <si>
    <t>Naing Naing</t>
  </si>
  <si>
    <t>ကိုသန့်ဇင်</t>
  </si>
  <si>
    <t>Ko Thant Zin</t>
  </si>
  <si>
    <t>Thar Kay Ta</t>
  </si>
  <si>
    <t>ကျော် (စတား)</t>
  </si>
  <si>
    <t>Kyaw Star</t>
  </si>
  <si>
    <t>မြင့်</t>
  </si>
  <si>
    <t>Myint</t>
  </si>
  <si>
    <t>ပိတောက်မြိုင်</t>
  </si>
  <si>
    <t>Padauk Mying</t>
  </si>
  <si>
    <t>သန်းထိုက်စံ</t>
  </si>
  <si>
    <t>Than Htaik San</t>
  </si>
  <si>
    <t>ဒေါ်ခင်သန်းနု</t>
  </si>
  <si>
    <t>Daw Khin Than Nu</t>
  </si>
  <si>
    <t>ရွှေထူး</t>
  </si>
  <si>
    <t>Shwe Htoo</t>
  </si>
  <si>
    <t>KKK</t>
  </si>
  <si>
    <t>Kyaw</t>
  </si>
  <si>
    <t>ရွှေခြသေ့်</t>
  </si>
  <si>
    <t>Golden Lion</t>
  </si>
  <si>
    <t>တော်ဝင်သစ်ခွ</t>
  </si>
  <si>
    <t>Royal Orchid</t>
  </si>
  <si>
    <t>အလင်းနှစ်</t>
  </si>
  <si>
    <t>Alin Hnit</t>
  </si>
  <si>
    <t>ကဒီဟိန်း</t>
  </si>
  <si>
    <t>Ka Di Hein</t>
  </si>
  <si>
    <t>AZ</t>
  </si>
  <si>
    <t>Family</t>
  </si>
  <si>
    <t>ဖြူ</t>
  </si>
  <si>
    <t>Phyu</t>
  </si>
  <si>
    <t>ရွှေဒဂ်ါး</t>
  </si>
  <si>
    <t>Shwe Din Gar</t>
  </si>
  <si>
    <t>မဂ်လာတောင်ညွန့်</t>
  </si>
  <si>
    <t>Mingalartaungnyunt</t>
  </si>
  <si>
    <t>Aung Family</t>
  </si>
  <si>
    <t>ကံ့ကော်</t>
  </si>
  <si>
    <t>Kant Kaw</t>
  </si>
  <si>
    <t>ပုစွန်တောင်/ဗိုလ်တစ်ထောင်</t>
  </si>
  <si>
    <t>Puzontaung+Botahtaung</t>
  </si>
  <si>
    <t>အလင်းရောင်</t>
  </si>
  <si>
    <t>Alin Young</t>
  </si>
  <si>
    <t>SKA</t>
  </si>
  <si>
    <t>FMG</t>
  </si>
  <si>
    <t>Tarmwe</t>
  </si>
  <si>
    <t>Linn Store</t>
  </si>
  <si>
    <t>Linnet Bank</t>
  </si>
  <si>
    <t>မဂ်လာဈေး</t>
  </si>
  <si>
    <t>ကောင်းမြတ်</t>
  </si>
  <si>
    <t>Kaung Myat</t>
  </si>
  <si>
    <t>တောင်ဥက္ကလာ</t>
  </si>
  <si>
    <t>ပြည့်စုံ</t>
  </si>
  <si>
    <t>Pyae Sone</t>
  </si>
  <si>
    <t>ကိုချစ်ထွေး</t>
  </si>
  <si>
    <t>Ko Chit Htwe</t>
  </si>
  <si>
    <t>သဃ်န်းကျွန်း</t>
  </si>
  <si>
    <t>Thingankyun</t>
  </si>
  <si>
    <t>ဟိန်းမြင့်မိုရ်</t>
  </si>
  <si>
    <t>Hein Myint Mo</t>
  </si>
  <si>
    <t>သုဝဏ္ဏ</t>
  </si>
  <si>
    <t>Thuwunna</t>
  </si>
  <si>
    <t>ရွှေမင်းသား</t>
  </si>
  <si>
    <t>Shwe Min Thar</t>
  </si>
  <si>
    <t>မောင်ချို</t>
  </si>
  <si>
    <t>Maung Cho</t>
  </si>
  <si>
    <t>မသွယ်</t>
  </si>
  <si>
    <t>Ma Thwe</t>
  </si>
  <si>
    <t>ခရေရိပ်</t>
  </si>
  <si>
    <t>Kha Yay Yaik</t>
  </si>
  <si>
    <t>ကိုကျော်</t>
  </si>
  <si>
    <t>Ko Kyaw</t>
  </si>
  <si>
    <t>ဦးလှညွန့်</t>
  </si>
  <si>
    <t>U Hla Nyunt</t>
  </si>
  <si>
    <t>အိုးကြီးစံ</t>
  </si>
  <si>
    <t>O Kyee San</t>
  </si>
  <si>
    <t>ဒေါ်ပြုံး</t>
  </si>
  <si>
    <t>Daw Pyone</t>
  </si>
  <si>
    <t>ဒေါ်ခင်အေး</t>
  </si>
  <si>
    <t>Daw Khin Aye</t>
  </si>
  <si>
    <t>3 Seasons</t>
  </si>
  <si>
    <t>MP-42</t>
  </si>
  <si>
    <t>MP - 42</t>
  </si>
  <si>
    <t>ကမ္ဘာအေး/မရမ်းကုန်း</t>
  </si>
  <si>
    <t>Kabaraye + Mayangone</t>
  </si>
  <si>
    <t>Cheers</t>
  </si>
  <si>
    <t>သိန်းသန်း</t>
  </si>
  <si>
    <t>Thain Than</t>
  </si>
  <si>
    <t>တေမိုးစံ</t>
  </si>
  <si>
    <t>Tay Moe San</t>
  </si>
  <si>
    <t>အောင်ကြီး(၁)</t>
  </si>
  <si>
    <t>Aung Gyi(1)</t>
  </si>
  <si>
    <t>မြို့ထဲ</t>
  </si>
  <si>
    <t>Downtown</t>
  </si>
  <si>
    <t>SD Store</t>
  </si>
  <si>
    <t>ချိုသာ</t>
  </si>
  <si>
    <t>Cho Thar</t>
  </si>
  <si>
    <t>ဗဟန်း/စမ်းချောင်း</t>
  </si>
  <si>
    <t>Bahan + Sanchaung</t>
  </si>
  <si>
    <t>ATT</t>
  </si>
  <si>
    <t>Golden Tiger</t>
  </si>
  <si>
    <t>စူပါစတား</t>
  </si>
  <si>
    <t>Super Star</t>
  </si>
  <si>
    <t>ဓနဖြိုး</t>
  </si>
  <si>
    <t>Dana Phyoe</t>
  </si>
  <si>
    <t>ရွှေမန်း</t>
  </si>
  <si>
    <t>Shwe Man</t>
  </si>
  <si>
    <t>ရွှေပြည်ဟိန်း</t>
  </si>
  <si>
    <t>Shwe Pyi Hein</t>
  </si>
  <si>
    <t>ကမာရွတ်</t>
  </si>
  <si>
    <t>Kamaryout</t>
  </si>
  <si>
    <t>ဆည်းဆာအောင်</t>
  </si>
  <si>
    <t>See Sar Aung</t>
  </si>
  <si>
    <t>ဒါးပိန်-အင်းတိုင်</t>
  </si>
  <si>
    <t>Darpain + Inndaing</t>
  </si>
  <si>
    <t>ရဲမင်းသိန်း</t>
  </si>
  <si>
    <t>Ye Min Thein</t>
  </si>
  <si>
    <t>ဦးကြည်လွင်</t>
  </si>
  <si>
    <t>U Kyi Lwin</t>
  </si>
  <si>
    <t>နေ့သစ်</t>
  </si>
  <si>
    <t>Nay Thit</t>
  </si>
  <si>
    <t>ကိုလှဝင်း</t>
  </si>
  <si>
    <t>Ko Hla Win</t>
  </si>
  <si>
    <t>မြနန္ဒာ</t>
  </si>
  <si>
    <t>Mya Nan Dar</t>
  </si>
  <si>
    <t>လူကြီးမင်း</t>
  </si>
  <si>
    <t>Lu Gyi Min</t>
  </si>
  <si>
    <t>လှိုင်မင်း</t>
  </si>
  <si>
    <t>Hlaing Min</t>
  </si>
  <si>
    <t>မိုးသောက်ပန်း</t>
  </si>
  <si>
    <t>Moe Thauk Pan</t>
  </si>
  <si>
    <t>ရွှေ(Gold)</t>
  </si>
  <si>
    <t>Shwe (Gold)</t>
  </si>
  <si>
    <t>ဈာန်</t>
  </si>
  <si>
    <t>Zan</t>
  </si>
  <si>
    <t>A-1</t>
  </si>
  <si>
    <t>A - 1</t>
  </si>
  <si>
    <t>Aung Gyi</t>
  </si>
  <si>
    <t>တက်သစ်စ</t>
  </si>
  <si>
    <t>Tat Thit Sa</t>
  </si>
  <si>
    <t>ပြည်ဟိန်းကျော်</t>
  </si>
  <si>
    <t>Pyi Hein Kyaw</t>
  </si>
  <si>
    <t>ကိုရွှေညာ</t>
  </si>
  <si>
    <t>Ko Shwe Nyar</t>
  </si>
  <si>
    <t>ဒေါ်စိန်စိန်ဦး</t>
  </si>
  <si>
    <t>Daw Sein Sein Oo</t>
  </si>
  <si>
    <t>စိန်ရွှေမြ</t>
  </si>
  <si>
    <t>Sein Shwe Mya</t>
  </si>
  <si>
    <t>မနောဖြူ(၁)</t>
  </si>
  <si>
    <t>Manaw Phyu(1)</t>
  </si>
  <si>
    <t>ကျော်ကြီး</t>
  </si>
  <si>
    <t>Kyaw Gyi</t>
  </si>
  <si>
    <t>မဂ်လာဒုံ</t>
  </si>
  <si>
    <t>ခေတ်သစ်</t>
  </si>
  <si>
    <t>Khit Thit</t>
  </si>
  <si>
    <t>စိုးစံ</t>
  </si>
  <si>
    <t>Soe San</t>
  </si>
  <si>
    <t>ရွှေရည်လင်း</t>
  </si>
  <si>
    <t>Shwe Yi Lin</t>
  </si>
  <si>
    <t>ဆန်းသစ်</t>
  </si>
  <si>
    <t>San Thit</t>
  </si>
  <si>
    <t>ဆု</t>
  </si>
  <si>
    <t>Su</t>
  </si>
  <si>
    <t>Aung</t>
  </si>
  <si>
    <t>KZ</t>
  </si>
  <si>
    <t>ဦးမြင့်စိုး</t>
  </si>
  <si>
    <t>U Myint Soe</t>
  </si>
  <si>
    <t>ကောင်းသန့်</t>
  </si>
  <si>
    <t>Kaung Thant</t>
  </si>
  <si>
    <t>ညီညီပိုးပိုး</t>
  </si>
  <si>
    <t>Nyi Nyi Poe Poe</t>
  </si>
  <si>
    <t>Happy Life</t>
  </si>
  <si>
    <t>Emperor</t>
  </si>
  <si>
    <t>တက်လူ(၁)</t>
  </si>
  <si>
    <t>Tat Lu(1)</t>
  </si>
  <si>
    <t>ကမ္ဘာကျော်</t>
  </si>
  <si>
    <t>Kabar Kyaw</t>
  </si>
  <si>
    <t>ရွှေအာခါ</t>
  </si>
  <si>
    <t>Shwe Ar Khar</t>
  </si>
  <si>
    <t>ဘောလည်-အဖျောက်</t>
  </si>
  <si>
    <t>Bawlel + Ahphyouk</t>
  </si>
  <si>
    <t>ရွှေလမင်း</t>
  </si>
  <si>
    <t>Shwe La Min</t>
  </si>
  <si>
    <t>ဒေါ်မိုးမိုးစန်း</t>
  </si>
  <si>
    <t>Daw Moe Moe San</t>
  </si>
  <si>
    <t>Star</t>
  </si>
  <si>
    <t>မှော်ဘီ-မြောင်းတကာ</t>
  </si>
  <si>
    <t>Hmawbi + Myaungtakar</t>
  </si>
  <si>
    <t>OK</t>
  </si>
  <si>
    <t>လင်းသစ်</t>
  </si>
  <si>
    <t>Linn Thit</t>
  </si>
  <si>
    <t>ဆုံနေကျ</t>
  </si>
  <si>
    <t>Sone Nay Kya</t>
  </si>
  <si>
    <t>ဦးဖြိုး</t>
  </si>
  <si>
    <t>U Phyoe</t>
  </si>
  <si>
    <t>မိုးသူနိုင်</t>
  </si>
  <si>
    <t>Moe Thu Naing</t>
  </si>
  <si>
    <t>သိန်းရာဇာ</t>
  </si>
  <si>
    <t>Thein Yar Zar</t>
  </si>
  <si>
    <t>လမ်းသစ်</t>
  </si>
  <si>
    <t>Lan Thit</t>
  </si>
  <si>
    <t>Zay Paing Phyo</t>
  </si>
  <si>
    <t>Naing Naing Aung</t>
  </si>
  <si>
    <t>Zay Yar Phyo</t>
  </si>
  <si>
    <t>Kyaw Yin Htoo</t>
  </si>
  <si>
    <t xml:space="preserve">Yangon Region  Sales for Wholesales , Semi Wholesales and Mini Wholesales </t>
  </si>
  <si>
    <t>Customer Names</t>
  </si>
  <si>
    <t>Township (Area)</t>
  </si>
  <si>
    <t xml:space="preserve">Responsible by </t>
  </si>
  <si>
    <t>January-2024</t>
  </si>
  <si>
    <t>February-2024</t>
  </si>
  <si>
    <t>March-2024</t>
  </si>
  <si>
    <t xml:space="preserve">2025 - Q1 Target </t>
  </si>
  <si>
    <t>2025 - Avg Q1</t>
  </si>
  <si>
    <t>RSM</t>
  </si>
  <si>
    <t>ကိုကျော်နိူင်</t>
  </si>
  <si>
    <t>Ko Kyaw Naing</t>
  </si>
  <si>
    <t>09-775628364</t>
  </si>
  <si>
    <t>ဦးဇော်မြင့်ထွန်း</t>
  </si>
  <si>
    <t>U Zaw Myint Tun</t>
  </si>
  <si>
    <t>09-256418738</t>
  </si>
  <si>
    <t>0</t>
  </si>
  <si>
    <t>Total Sales (WS)</t>
  </si>
  <si>
    <t xml:space="preserve">Total BE Sales </t>
  </si>
  <si>
    <t>Contribution %</t>
  </si>
  <si>
    <t>Semi</t>
  </si>
  <si>
    <t>မယဉ်မွန်ဦး</t>
  </si>
  <si>
    <t>Ma Yin Mon Oo</t>
  </si>
  <si>
    <t>09-786265425</t>
  </si>
  <si>
    <t>09-5402173</t>
  </si>
  <si>
    <t>ကိုလွင်</t>
  </si>
  <si>
    <t>Ko Lwin</t>
  </si>
  <si>
    <t>09-5112063</t>
  </si>
  <si>
    <t>မြင့်မြင့်လှိုင်</t>
  </si>
  <si>
    <t>Myint Myint Hlaing</t>
  </si>
  <si>
    <t>09-5099618</t>
  </si>
  <si>
    <t>Ko Chan Aye</t>
  </si>
  <si>
    <t>09-5076711</t>
  </si>
  <si>
    <t>-</t>
  </si>
  <si>
    <t>09-891022599</t>
  </si>
  <si>
    <t>သင်ဇာ</t>
  </si>
  <si>
    <t>Thin Zar</t>
  </si>
  <si>
    <t>09-787050297</t>
  </si>
  <si>
    <t>မသင်းသင်း</t>
  </si>
  <si>
    <t>Ma Thin Thin</t>
  </si>
  <si>
    <t>09-5501705</t>
  </si>
  <si>
    <t>09-72987727</t>
  </si>
  <si>
    <t>09-421130178</t>
  </si>
  <si>
    <t>09-250387061</t>
  </si>
  <si>
    <t>ဒေါ်ခင်မာစန်း</t>
  </si>
  <si>
    <t>Daw Khin Mar San</t>
  </si>
  <si>
    <t>09-799798835</t>
  </si>
  <si>
    <t>09-777971600</t>
  </si>
  <si>
    <t>မချိုချိုဝင်း</t>
  </si>
  <si>
    <t>Ma Cho Cho Win</t>
  </si>
  <si>
    <t>09-5155527</t>
  </si>
  <si>
    <t>ကိုကျော်ဇေယျ</t>
  </si>
  <si>
    <t>Ko Kyaw Zay Ya</t>
  </si>
  <si>
    <t>09-420921978</t>
  </si>
  <si>
    <t>သိမ့်ဇာနည်အောင်</t>
  </si>
  <si>
    <t>Theint Zar Ni Aung</t>
  </si>
  <si>
    <t>09-421125580</t>
  </si>
  <si>
    <t>ကိုဖြိုး</t>
  </si>
  <si>
    <t>Ko Pyo</t>
  </si>
  <si>
    <t>09-740857778</t>
  </si>
  <si>
    <t>ဦးဝင်းသိန်း</t>
  </si>
  <si>
    <t>U Win Thein</t>
  </si>
  <si>
    <t>09-795550911</t>
  </si>
  <si>
    <t>ဒေါ်စန်းစန်းမြင့်</t>
  </si>
  <si>
    <t>Daw San San Myint</t>
  </si>
  <si>
    <t>09-767949921</t>
  </si>
  <si>
    <t>မေနှင်းစိုး</t>
  </si>
  <si>
    <t>May Hnin Soe</t>
  </si>
  <si>
    <t>09-797936923</t>
  </si>
  <si>
    <t>မချယ်ရီသင်း</t>
  </si>
  <si>
    <t>Ma Cherry Thin</t>
  </si>
  <si>
    <t>09-773573238</t>
  </si>
  <si>
    <t>မင်းမင်း</t>
  </si>
  <si>
    <t>Min Min</t>
  </si>
  <si>
    <t>09-5088894</t>
  </si>
  <si>
    <t>ကိုမိုးကျော်သူ</t>
  </si>
  <si>
    <t>Ko Moe Kyaw Thu</t>
  </si>
  <si>
    <t>09-5416021</t>
  </si>
  <si>
    <t>U Tun Shwe</t>
  </si>
  <si>
    <t>09-5396239</t>
  </si>
  <si>
    <t xml:space="preserve">ကိုမိုးကျော် </t>
  </si>
  <si>
    <t xml:space="preserve">Ko Moe Kyaw  </t>
  </si>
  <si>
    <t>09-420209981</t>
  </si>
  <si>
    <t>ဦးစိန်ညွှန့်</t>
  </si>
  <si>
    <t>U Sein Nyunt</t>
  </si>
  <si>
    <t>09-799432744</t>
  </si>
  <si>
    <t>ကိုသက်နိူင်ထွန်း</t>
  </si>
  <si>
    <t>Ko Thet Naing Tun</t>
  </si>
  <si>
    <t>09-420000393</t>
  </si>
  <si>
    <t>ကိုငြိမ်း</t>
  </si>
  <si>
    <t>Ko Nyein</t>
  </si>
  <si>
    <t>09-429275142</t>
  </si>
  <si>
    <t>U Than Sein</t>
  </si>
  <si>
    <t>09-259290011</t>
  </si>
  <si>
    <t>ဇော်ဝင်းရှိန်</t>
  </si>
  <si>
    <t>09-799890599</t>
  </si>
  <si>
    <t>09-43135443</t>
  </si>
  <si>
    <t>09-43043590</t>
  </si>
  <si>
    <t>ကိုမောင်မောင်</t>
  </si>
  <si>
    <t>Ko Maung Maung</t>
  </si>
  <si>
    <t>09-785300463</t>
  </si>
  <si>
    <t>ဒေါ်မြနုဖြူ</t>
  </si>
  <si>
    <t>Daw Mya Nu Phyu</t>
  </si>
  <si>
    <t>09-449489874</t>
  </si>
  <si>
    <t>ကိုမျိုးအောင်ထိုက်</t>
  </si>
  <si>
    <t>Ko Myo Aung Htike</t>
  </si>
  <si>
    <t>09-43114499</t>
  </si>
  <si>
    <t>ကိုခိုင်မျိုးဇော်</t>
  </si>
  <si>
    <t>Ko Khine Myo Zaw</t>
  </si>
  <si>
    <t>09-788624296</t>
  </si>
  <si>
    <t>ကိုသန့်ဇော်ဝင်း</t>
  </si>
  <si>
    <t>Ko Thant Zaw Win</t>
  </si>
  <si>
    <t>09-677872334</t>
  </si>
  <si>
    <t>09-5107423</t>
  </si>
  <si>
    <t>မနိူင်နိူင်</t>
  </si>
  <si>
    <t>Ma Naing Naing</t>
  </si>
  <si>
    <t>09-765053503</t>
  </si>
  <si>
    <t>ဦးမူတူး</t>
  </si>
  <si>
    <t>U Muu Too</t>
  </si>
  <si>
    <t>09-5016279</t>
  </si>
  <si>
    <t>ယဉ်ယဉ်မြင့်</t>
  </si>
  <si>
    <t>Yin Yin Myint</t>
  </si>
  <si>
    <t>09-5072799</t>
  </si>
  <si>
    <t>09-5067020</t>
  </si>
  <si>
    <t>ဒေါ်မြင့်မြင့်ဝင်း</t>
  </si>
  <si>
    <t>Daw Myint Myint Win</t>
  </si>
  <si>
    <t>09-451718240</t>
  </si>
  <si>
    <t>ဒေါ်သိန်းသိန်း</t>
  </si>
  <si>
    <t>Daw Thein Thein</t>
  </si>
  <si>
    <t>09-43056291</t>
  </si>
  <si>
    <t>ကိုကြည်မင်း</t>
  </si>
  <si>
    <t>Ko Kyi Min</t>
  </si>
  <si>
    <t>09-254044436</t>
  </si>
  <si>
    <t>09-264834435</t>
  </si>
  <si>
    <t>မရီရီသိန်း</t>
  </si>
  <si>
    <t>Ma Ye Ye Thein</t>
  </si>
  <si>
    <t>09-790135596</t>
  </si>
  <si>
    <t>09-451745606</t>
  </si>
  <si>
    <t>ဒေါ်သန်းသန်းထွေး</t>
  </si>
  <si>
    <t>Daw Than Than Htwe</t>
  </si>
  <si>
    <t>09-253570077</t>
  </si>
  <si>
    <t>မဘေဘီ</t>
  </si>
  <si>
    <t>Ma Baby</t>
  </si>
  <si>
    <t>09-797891060</t>
  </si>
  <si>
    <t>ကိုဘာဘူ</t>
  </si>
  <si>
    <t>Ko Bar Bu</t>
  </si>
  <si>
    <t>09-251023235</t>
  </si>
  <si>
    <t>ဒေါ်အေးအေးခိုင်</t>
  </si>
  <si>
    <t>Daw Aye Aye Khine</t>
  </si>
  <si>
    <t>09-5198919</t>
  </si>
  <si>
    <t>U Tin Saw</t>
  </si>
  <si>
    <t>09-774311600</t>
  </si>
  <si>
    <t>ကိုရဲထွန်း</t>
  </si>
  <si>
    <t>Ko Ye' Htun</t>
  </si>
  <si>
    <t>09-790140083</t>
  </si>
  <si>
    <t>မလွင်လွင်အေး</t>
  </si>
  <si>
    <t>Ma Lwin Lwin Aye</t>
  </si>
  <si>
    <t>09-785223915</t>
  </si>
  <si>
    <t>09-5071793</t>
  </si>
  <si>
    <t>ဒေါ်လှမြင့်</t>
  </si>
  <si>
    <t>Daw Hla Myint</t>
  </si>
  <si>
    <t>09-264977718</t>
  </si>
  <si>
    <t>မကြူ</t>
  </si>
  <si>
    <t>Ma Kyu</t>
  </si>
  <si>
    <t>09-420094196</t>
  </si>
  <si>
    <t>ငြိမ်းရွှေရည်ဦး</t>
  </si>
  <si>
    <t>Nyein Shwe Yee Oo</t>
  </si>
  <si>
    <t>09-771145988</t>
  </si>
  <si>
    <t>Daw Tin Kyee</t>
  </si>
  <si>
    <t>09-968661110</t>
  </si>
  <si>
    <t>ဦးစိုးမြင့်</t>
  </si>
  <si>
    <t>U Soe Myint</t>
  </si>
  <si>
    <t>09-790134859</t>
  </si>
  <si>
    <t>ခိုင်ဇော်လင်း</t>
  </si>
  <si>
    <t>Khine Zaw Lin</t>
  </si>
  <si>
    <t>09-421060799</t>
  </si>
  <si>
    <t>ဒေါ်မီမီအောင်</t>
  </si>
  <si>
    <t>Daw Mi Mi Aung</t>
  </si>
  <si>
    <t>09-790134946</t>
  </si>
  <si>
    <t>မျိုးဇော်ဦး</t>
  </si>
  <si>
    <t>Myo Zaw Oo</t>
  </si>
  <si>
    <t>09-441071873</t>
  </si>
  <si>
    <t>မလဲ့လဲ့တင်</t>
  </si>
  <si>
    <t>Ma Le' Le' Tin</t>
  </si>
  <si>
    <t>09-254179113</t>
  </si>
  <si>
    <t>ကိုခင်မောင်လတ်</t>
  </si>
  <si>
    <t>Ko Khin Maung Latt</t>
  </si>
  <si>
    <t>09-421176754</t>
  </si>
  <si>
    <t>09-428581486</t>
  </si>
  <si>
    <t>09-450007920</t>
  </si>
  <si>
    <t>ဝါဝါဝင်း</t>
  </si>
  <si>
    <t>War War Win</t>
  </si>
  <si>
    <t>09-261792178</t>
  </si>
  <si>
    <t>မသေး</t>
  </si>
  <si>
    <t>Ma Thay</t>
  </si>
  <si>
    <t>09-799551355</t>
  </si>
  <si>
    <t>မဇာခြည်</t>
  </si>
  <si>
    <t>Ma Zar Chi</t>
  </si>
  <si>
    <t>09-5015105</t>
  </si>
  <si>
    <t>မခင်အေးနိူင်</t>
  </si>
  <si>
    <t>Ma Khin Aye Naing</t>
  </si>
  <si>
    <t>09-420064933</t>
  </si>
  <si>
    <t>ဦးရင်သိန်း</t>
  </si>
  <si>
    <t>U Yin Thein</t>
  </si>
  <si>
    <t>09-895068695</t>
  </si>
  <si>
    <t>U Hla Swe</t>
  </si>
  <si>
    <t>09-420187633</t>
  </si>
  <si>
    <t xml:space="preserve"> မနီ</t>
  </si>
  <si>
    <t>Ma Ni</t>
  </si>
  <si>
    <t>09-421052207</t>
  </si>
  <si>
    <t>မငြိမ်းငြိမ်းလတ်</t>
  </si>
  <si>
    <t>Ma Nyein Nyein Latt</t>
  </si>
  <si>
    <t>09-254310404</t>
  </si>
  <si>
    <t>ဦးထွန်းဦး</t>
  </si>
  <si>
    <t>U Tun Oo</t>
  </si>
  <si>
    <t>09-5137499</t>
  </si>
  <si>
    <t>မယဉ်ချောစု</t>
  </si>
  <si>
    <t>Ma Yin Chaw Su</t>
  </si>
  <si>
    <t>09-799255844</t>
  </si>
  <si>
    <t>မခင်သန္တာအုန်း</t>
  </si>
  <si>
    <t>Ma Khin Thandar Own</t>
  </si>
  <si>
    <t>09-420152100</t>
  </si>
  <si>
    <t>09-420308957</t>
  </si>
  <si>
    <t>မနွယ်အဉ္စလီ</t>
  </si>
  <si>
    <t>Ma Nwal azin Li</t>
  </si>
  <si>
    <t>09-500572</t>
  </si>
  <si>
    <t>မသန္တာချို</t>
  </si>
  <si>
    <t xml:space="preserve">Ma Thandar Cho </t>
  </si>
  <si>
    <t>09-420071700</t>
  </si>
  <si>
    <t>ဦးကြည်ရွှင်</t>
  </si>
  <si>
    <t>U Kyi Shwin</t>
  </si>
  <si>
    <t>09-250051065</t>
  </si>
  <si>
    <t>ကိုဖိုးချို</t>
  </si>
  <si>
    <t>Ko Phoe Cho</t>
  </si>
  <si>
    <t>09-450022467</t>
  </si>
  <si>
    <t>ဒေါ်သံသီး</t>
  </si>
  <si>
    <t>Daw Than Thee:</t>
  </si>
  <si>
    <t>09-970268033</t>
  </si>
  <si>
    <t>မမြင့်မြင့်ဝေ</t>
  </si>
  <si>
    <t>Ma Myint Myint Wai</t>
  </si>
  <si>
    <t>09-799342344</t>
  </si>
  <si>
    <t>မစန္ဒာအောင်</t>
  </si>
  <si>
    <t>Ma Sandar Aung</t>
  </si>
  <si>
    <t>09-423334834</t>
  </si>
  <si>
    <t>မနန္ဒာ</t>
  </si>
  <si>
    <t>Ma NanNar</t>
  </si>
  <si>
    <t>09-420185406</t>
  </si>
  <si>
    <t>မမော်မော်နိူင်</t>
  </si>
  <si>
    <t>Ma Maw Maw Naing</t>
  </si>
  <si>
    <t>09-425329808</t>
  </si>
  <si>
    <t>ဦးမင်းထွန်း</t>
  </si>
  <si>
    <t>U Min Tun</t>
  </si>
  <si>
    <t>09-699800699</t>
  </si>
  <si>
    <t>မအေးငြိမ်းသူ</t>
  </si>
  <si>
    <t>Ma Aye Nyein Thu</t>
  </si>
  <si>
    <t>09-777774843</t>
  </si>
  <si>
    <t>ကိုသူရိန်</t>
  </si>
  <si>
    <t>Ko Thu Yein</t>
  </si>
  <si>
    <t>09-449161190</t>
  </si>
  <si>
    <t>မစုစုရီ</t>
  </si>
  <si>
    <t>Ma Su Su Yee</t>
  </si>
  <si>
    <t>09-5172231</t>
  </si>
  <si>
    <t>09-758001124</t>
  </si>
  <si>
    <t>Total Sales ( SWS)</t>
  </si>
  <si>
    <t>09-5074957</t>
  </si>
  <si>
    <t>VAN - 1</t>
  </si>
  <si>
    <t>09-428032169</t>
  </si>
  <si>
    <t>09-761002566</t>
  </si>
  <si>
    <t>09-408886363</t>
  </si>
  <si>
    <t>09-789639587</t>
  </si>
  <si>
    <t>09-752243729/09-791488902</t>
  </si>
  <si>
    <t>09-400088322</t>
  </si>
  <si>
    <t>09-775725808</t>
  </si>
  <si>
    <t>09-43074447/09-795587564</t>
  </si>
  <si>
    <t>09-448039915</t>
  </si>
  <si>
    <t>09-952500254</t>
  </si>
  <si>
    <t>09-43132858</t>
  </si>
  <si>
    <t>VAN - 2</t>
  </si>
  <si>
    <t>09-420099050</t>
  </si>
  <si>
    <t>09-792063131</t>
  </si>
  <si>
    <t>013-8950408/09-760400600</t>
  </si>
  <si>
    <t>013-547384</t>
  </si>
  <si>
    <t>013-551575/09-760788442</t>
  </si>
  <si>
    <t>09-456324151</t>
  </si>
  <si>
    <t>09-975216875</t>
  </si>
  <si>
    <t>09-5029312/09-693539003</t>
  </si>
  <si>
    <t>09-945915566</t>
  </si>
  <si>
    <t>09-250353430</t>
  </si>
  <si>
    <t>09-250047765</t>
  </si>
  <si>
    <t>09-43095976</t>
  </si>
  <si>
    <t>09-772425870/09-264191446</t>
  </si>
  <si>
    <t>09-404520037/09-694540309</t>
  </si>
  <si>
    <t>VAN - 3</t>
  </si>
  <si>
    <t>09-964211309</t>
  </si>
  <si>
    <t>09-963438728</t>
  </si>
  <si>
    <t>09-254385992</t>
  </si>
  <si>
    <t>09-254110967</t>
  </si>
  <si>
    <t>09-43066615</t>
  </si>
  <si>
    <t>09-791016948</t>
  </si>
  <si>
    <t>09-421020456</t>
  </si>
  <si>
    <t>09-254048696</t>
  </si>
  <si>
    <t>09-950166884</t>
  </si>
  <si>
    <t>09-687553149</t>
  </si>
  <si>
    <t>09-790178312</t>
  </si>
  <si>
    <t>09-421034340</t>
  </si>
  <si>
    <t>94-43006204</t>
  </si>
  <si>
    <t>09-5036079</t>
  </si>
  <si>
    <t>09-257812600</t>
  </si>
  <si>
    <t>09-987962671</t>
  </si>
  <si>
    <t>09-5156363</t>
  </si>
  <si>
    <t>09-979781781</t>
  </si>
  <si>
    <t>09-422471016/09-770508462</t>
  </si>
  <si>
    <t>09-765639428</t>
  </si>
  <si>
    <t>VAN - 4</t>
  </si>
  <si>
    <t>09-970173922</t>
  </si>
  <si>
    <t>09-763167187</t>
  </si>
  <si>
    <t>09-799775146</t>
  </si>
  <si>
    <t>09-982798225</t>
  </si>
  <si>
    <t>09-420054965</t>
  </si>
  <si>
    <t>09-250164088</t>
  </si>
  <si>
    <t>09-250048842</t>
  </si>
  <si>
    <t>09-421014439</t>
  </si>
  <si>
    <t>09-5135997</t>
  </si>
  <si>
    <t>09-406869191</t>
  </si>
  <si>
    <t>09-959518484</t>
  </si>
  <si>
    <t>09-790149319</t>
  </si>
  <si>
    <t>09-699929396</t>
  </si>
  <si>
    <t>09-788224273</t>
  </si>
  <si>
    <t>09-759867778/09-789061690</t>
  </si>
  <si>
    <t>09-976300346/09-763985429</t>
  </si>
  <si>
    <t>09-666622940</t>
  </si>
  <si>
    <t>09-5186362</t>
  </si>
  <si>
    <t>09-791773665</t>
  </si>
  <si>
    <t>09-795562117/09-5094642</t>
  </si>
  <si>
    <t>09-940681968</t>
  </si>
  <si>
    <t>09-779600228/09-421158969</t>
  </si>
  <si>
    <t>09-960309948</t>
  </si>
  <si>
    <t>09-969354844</t>
  </si>
  <si>
    <t>09-661310881</t>
  </si>
  <si>
    <t>VAN - 7</t>
  </si>
  <si>
    <t>09-684615186</t>
  </si>
  <si>
    <t>09-421059808</t>
  </si>
  <si>
    <t>09-769220136/09-789946225</t>
  </si>
  <si>
    <t>09-778866962</t>
  </si>
  <si>
    <t>09-252541874</t>
  </si>
  <si>
    <t>09-799849827</t>
  </si>
  <si>
    <t>09-764790154</t>
  </si>
  <si>
    <t>09-751500734</t>
  </si>
  <si>
    <t>09-448527077</t>
  </si>
  <si>
    <t>09-788347729</t>
  </si>
  <si>
    <t>09-680796397</t>
  </si>
  <si>
    <t>09-699080060</t>
  </si>
  <si>
    <t>09-757736834</t>
  </si>
  <si>
    <t>09-755303070/09-688841045</t>
  </si>
  <si>
    <t>09-777483337</t>
  </si>
  <si>
    <t>09-428726146</t>
  </si>
  <si>
    <t>09-5416339</t>
  </si>
  <si>
    <t>09-760140941</t>
  </si>
  <si>
    <t>09-761648553</t>
  </si>
  <si>
    <t>09-421108336</t>
  </si>
  <si>
    <t>09-408133214/09-421170772</t>
  </si>
  <si>
    <t>09-444939873</t>
  </si>
  <si>
    <t>09-444605413</t>
  </si>
  <si>
    <t>09-420018086</t>
  </si>
  <si>
    <t>09-420079768</t>
  </si>
  <si>
    <t>09-788406761</t>
  </si>
  <si>
    <t>09-43090776</t>
  </si>
  <si>
    <t>VAN - 8</t>
  </si>
  <si>
    <t>09-252272866</t>
  </si>
  <si>
    <t>09-959269579/09-790142136</t>
  </si>
  <si>
    <t>09-443377844</t>
  </si>
  <si>
    <t>09-43138709</t>
  </si>
  <si>
    <t>09-798966265/09-663333886</t>
  </si>
  <si>
    <t>09-798369865/09-882693322</t>
  </si>
  <si>
    <t>09-983217581</t>
  </si>
  <si>
    <t>09-980804429</t>
  </si>
  <si>
    <t>09-688247272/09-786445821</t>
  </si>
  <si>
    <t>09-422527449</t>
  </si>
  <si>
    <t>09-43043433</t>
  </si>
  <si>
    <t>09-756475546</t>
  </si>
  <si>
    <t>09-250522415</t>
  </si>
  <si>
    <t>09-420200943</t>
  </si>
  <si>
    <t>09-758179704/09-753001169</t>
  </si>
  <si>
    <t>09-755194123/09-754649464</t>
  </si>
  <si>
    <t>09-665246574/09-678126286</t>
  </si>
  <si>
    <t>09-974174852</t>
  </si>
  <si>
    <t>09-898925019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</si>
  <si>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</si>
  <si>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</si>
  <si>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</si>
  <si>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</si>
  <si>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</si>
  <si>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</si>
  <si>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</si>
  <si>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</si>
  <si>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</si>
  <si>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 xml:space="preserve">                                                                                                                     </t>
  </si>
  <si>
    <t>အမည်</t>
  </si>
  <si>
    <t>လိပ်စာ</t>
  </si>
  <si>
    <t>ဖုန်းနံပါတ်</t>
  </si>
  <si>
    <t>တာဝန်ခံအမည်</t>
  </si>
  <si>
    <t>Vou: Date</t>
  </si>
  <si>
    <t>Today</t>
  </si>
  <si>
    <t>Period</t>
  </si>
  <si>
    <t>Vr.No</t>
  </si>
  <si>
    <t>BE</t>
  </si>
  <si>
    <t>Whisky</t>
  </si>
  <si>
    <t>Formula</t>
  </si>
  <si>
    <t>OP</t>
  </si>
  <si>
    <t>Care+</t>
  </si>
  <si>
    <t>Total Amount</t>
  </si>
  <si>
    <t>မှတ်ချက်</t>
  </si>
  <si>
    <t>မြတ်မွေး</t>
  </si>
  <si>
    <t>72673</t>
  </si>
  <si>
    <t>72677</t>
  </si>
  <si>
    <t>72628</t>
  </si>
  <si>
    <t>000535</t>
  </si>
  <si>
    <t>000543</t>
  </si>
  <si>
    <t>000561</t>
  </si>
  <si>
    <t>000586</t>
  </si>
  <si>
    <t>0-Months</t>
  </si>
  <si>
    <t>တွံ့တေး</t>
  </si>
  <si>
    <t>19493</t>
  </si>
  <si>
    <t>ပစ္စည်းများဖမ်းခံထားရပါသည်။</t>
  </si>
  <si>
    <t>000565</t>
  </si>
  <si>
    <t>000564</t>
  </si>
  <si>
    <t>Whole Sales Total</t>
  </si>
  <si>
    <t>sweet world</t>
  </si>
  <si>
    <t>108974</t>
  </si>
  <si>
    <t>ရုံးမှ လက်ဆောင်ပေး</t>
  </si>
  <si>
    <t>ဦးလွင်သိန်း</t>
  </si>
  <si>
    <t>Semi Whole Sales Total</t>
  </si>
  <si>
    <t>ဦးဝင်းမြင့်</t>
  </si>
  <si>
    <t>၆မိုင်ခွဲ</t>
  </si>
  <si>
    <t>51661</t>
  </si>
  <si>
    <t>ဦးဝင်းမြင့် Total</t>
  </si>
  <si>
    <t>Ruby Mart</t>
  </si>
  <si>
    <t>ပန်းဆိုးတန်း</t>
  </si>
  <si>
    <t>87291</t>
  </si>
  <si>
    <t>မီးလောင်သွား</t>
  </si>
  <si>
    <t xml:space="preserve">Capital </t>
  </si>
  <si>
    <t>00318</t>
  </si>
  <si>
    <t>Gandmar Wholsale</t>
  </si>
  <si>
    <t>မရမ်းကုန်း</t>
  </si>
  <si>
    <t>50060</t>
  </si>
  <si>
    <t>Easy Mart</t>
  </si>
  <si>
    <t>Ygn</t>
  </si>
  <si>
    <t>00361</t>
  </si>
  <si>
    <t>Family Super market</t>
  </si>
  <si>
    <t>00350</t>
  </si>
  <si>
    <t>00315</t>
  </si>
  <si>
    <t>00316</t>
  </si>
  <si>
    <t>00320</t>
  </si>
  <si>
    <t>00354</t>
  </si>
  <si>
    <t xml:space="preserve">Super One </t>
  </si>
  <si>
    <t>ရွှေဘုံသာ</t>
  </si>
  <si>
    <t>72139</t>
  </si>
  <si>
    <t>ABC</t>
  </si>
  <si>
    <t>00082</t>
  </si>
  <si>
    <t>ကြွေးကောက်သည် မပေးသေးပါ</t>
  </si>
  <si>
    <t>00089</t>
  </si>
  <si>
    <t>00091</t>
  </si>
  <si>
    <t>00217</t>
  </si>
  <si>
    <t>00216</t>
  </si>
  <si>
    <t>00232</t>
  </si>
  <si>
    <t>00231</t>
  </si>
  <si>
    <t>00234</t>
  </si>
  <si>
    <t>00325</t>
  </si>
  <si>
    <t>00321</t>
  </si>
  <si>
    <t>00323</t>
  </si>
  <si>
    <t>00324</t>
  </si>
  <si>
    <t>00326</t>
  </si>
  <si>
    <t>00327</t>
  </si>
  <si>
    <t>00328</t>
  </si>
  <si>
    <t>00329</t>
  </si>
  <si>
    <t>00330</t>
  </si>
  <si>
    <t>00331</t>
  </si>
  <si>
    <t>00334</t>
  </si>
  <si>
    <t>00337</t>
  </si>
  <si>
    <t>00336</t>
  </si>
  <si>
    <t>00340</t>
  </si>
  <si>
    <t>00341</t>
  </si>
  <si>
    <t>00346</t>
  </si>
  <si>
    <t>00345</t>
  </si>
  <si>
    <t>00348</t>
  </si>
  <si>
    <t>00351</t>
  </si>
  <si>
    <t>00352</t>
  </si>
  <si>
    <t>00353</t>
  </si>
  <si>
    <t>00355</t>
  </si>
  <si>
    <t>00356</t>
  </si>
  <si>
    <t>00357</t>
  </si>
  <si>
    <t>00358</t>
  </si>
  <si>
    <t>00359</t>
  </si>
  <si>
    <t>00360</t>
  </si>
  <si>
    <t>00363</t>
  </si>
  <si>
    <t>000364</t>
  </si>
  <si>
    <t>000366</t>
  </si>
  <si>
    <t>000367</t>
  </si>
  <si>
    <t>000369</t>
  </si>
  <si>
    <t>000368</t>
  </si>
  <si>
    <t>000370</t>
  </si>
  <si>
    <t>000371</t>
  </si>
  <si>
    <t>000372</t>
  </si>
  <si>
    <t>Super market Total</t>
  </si>
  <si>
    <t>နောင်နောင်ထွန်း</t>
  </si>
  <si>
    <t>26490</t>
  </si>
  <si>
    <t>အလုပ်ထွက်</t>
  </si>
  <si>
    <t>26489</t>
  </si>
  <si>
    <t>26491</t>
  </si>
  <si>
    <t>ကိုမျိုး</t>
  </si>
  <si>
    <t>97006</t>
  </si>
  <si>
    <t>ဆိုင်ပိတ်ထားသည်။</t>
  </si>
  <si>
    <t>ကိုစိုးနိူင်</t>
  </si>
  <si>
    <t>19204</t>
  </si>
  <si>
    <t>ကြွေးကြာ လက်ကျန်</t>
  </si>
  <si>
    <t>9H/7964</t>
  </si>
  <si>
    <t>Zaw Kyi Lwin</t>
  </si>
  <si>
    <t>ရွှေအိုး</t>
  </si>
  <si>
    <t>73216</t>
  </si>
  <si>
    <t>Zaw Kyi Lwin/Hein Thiha</t>
  </si>
  <si>
    <t>67651</t>
  </si>
  <si>
    <t>9H/7964 Total</t>
  </si>
  <si>
    <t>3R/3365</t>
  </si>
  <si>
    <t>ထန်းတပင်</t>
  </si>
  <si>
    <t>Thant zin Htwe</t>
  </si>
  <si>
    <t>ရိူင်းရာဇာ</t>
  </si>
  <si>
    <t>61256</t>
  </si>
  <si>
    <t>67652</t>
  </si>
  <si>
    <t>3R/3365 Total</t>
  </si>
  <si>
    <t>9H/7192</t>
  </si>
  <si>
    <t>61261</t>
  </si>
  <si>
    <t>61271</t>
  </si>
  <si>
    <t>5 star</t>
  </si>
  <si>
    <t>61262</t>
  </si>
  <si>
    <t>9H/7192 Total</t>
  </si>
  <si>
    <t xml:space="preserve">                                </t>
  </si>
  <si>
    <t>အချစ်ရွာ</t>
  </si>
  <si>
    <t>09-</t>
  </si>
  <si>
    <t>Ko Tun Wanna</t>
  </si>
  <si>
    <t>75886</t>
  </si>
  <si>
    <t>ရောင်ဇင်ထွန်း</t>
  </si>
  <si>
    <t>019140</t>
  </si>
  <si>
    <t>လစဉ် သွင်းငွေ ရှိသည်။</t>
  </si>
  <si>
    <t>King</t>
  </si>
  <si>
    <t>6Q/5315 Total</t>
  </si>
  <si>
    <t>4R/1851</t>
  </si>
  <si>
    <t>61260</t>
  </si>
  <si>
    <t>4R/1851 Total</t>
  </si>
  <si>
    <t>3R/6877</t>
  </si>
  <si>
    <t>6Q/3819</t>
  </si>
  <si>
    <t>JVM Mart</t>
  </si>
  <si>
    <t>09-765917528</t>
  </si>
  <si>
    <t>Kaung Khant</t>
  </si>
  <si>
    <t>ဝိုင်း</t>
  </si>
  <si>
    <t>နောင်ရိုး</t>
  </si>
  <si>
    <t>မင်္ဂလာတောင့်ညွန့်</t>
  </si>
  <si>
    <t>63532</t>
  </si>
  <si>
    <t>75922</t>
  </si>
  <si>
    <t>61258</t>
  </si>
  <si>
    <t>မင်္ဂလာဈေး</t>
  </si>
  <si>
    <t>61259</t>
  </si>
  <si>
    <t>61287</t>
  </si>
  <si>
    <t>6Q/3819 Total</t>
  </si>
  <si>
    <t>3R/6860</t>
  </si>
  <si>
    <t>Ko Moe</t>
  </si>
  <si>
    <t>Tin Moe Lwin</t>
  </si>
  <si>
    <t>48034</t>
  </si>
  <si>
    <t>68384</t>
  </si>
  <si>
    <t>ဟေမာန်ဦး</t>
  </si>
  <si>
    <t>21646</t>
  </si>
  <si>
    <t>ဆိုင်ရှင် ပြောင်းသွားသည်။</t>
  </si>
  <si>
    <t>ရွှေစည်</t>
  </si>
  <si>
    <t>31035</t>
  </si>
  <si>
    <t>သွင်းငွေ ရှိသည်။</t>
  </si>
  <si>
    <t>3R/6860 Total</t>
  </si>
  <si>
    <t>6Q/2769</t>
  </si>
  <si>
    <t>70993</t>
  </si>
  <si>
    <t>24 Mart</t>
  </si>
  <si>
    <t>09-43072376</t>
  </si>
  <si>
    <t>24871</t>
  </si>
  <si>
    <t>သံလွင်</t>
  </si>
  <si>
    <t>163651</t>
  </si>
  <si>
    <t>ကိုဗစ်တွင် ဆိုင်ရှင်လင်မယား ဆုံးသွားသည်။</t>
  </si>
  <si>
    <t>14632</t>
  </si>
  <si>
    <t>14633</t>
  </si>
  <si>
    <t>ကျောဇော</t>
  </si>
  <si>
    <t>160513</t>
  </si>
  <si>
    <t>December လကုန် ရှင်းပေးမည်</t>
  </si>
  <si>
    <t>161062</t>
  </si>
  <si>
    <t>74594</t>
  </si>
  <si>
    <t>ကြယ်စင်</t>
  </si>
  <si>
    <t>71214</t>
  </si>
  <si>
    <t>16700</t>
  </si>
  <si>
    <t>လင်း</t>
  </si>
  <si>
    <t>46539</t>
  </si>
  <si>
    <t>ကြည်းမြင်တိုင်</t>
  </si>
  <si>
    <t>6Q/2769 Total</t>
  </si>
  <si>
    <t>ရွှေနောင်ကြီး(2K)</t>
  </si>
  <si>
    <t>Aung Thu</t>
  </si>
  <si>
    <t>013226</t>
  </si>
  <si>
    <t>Kyaw Hlaing Oo</t>
  </si>
  <si>
    <t>67655</t>
  </si>
  <si>
    <t>66682</t>
  </si>
  <si>
    <t>MKT Total</t>
  </si>
  <si>
    <t>WholeSales+Semi WholeSales +Van Total</t>
  </si>
  <si>
    <t>လအတွင်း</t>
  </si>
  <si>
    <t>1-လအကြာ</t>
  </si>
  <si>
    <t>2-လအကြာ</t>
  </si>
  <si>
    <t>သုံးလမှ တစ်နှစ်အတွင်း အကြွေး</t>
  </si>
  <si>
    <t>1-နှစ်ကျော် 2-နှစ်အတွင်း အကြွေး</t>
  </si>
  <si>
    <t>2-နှစ်ကျော် 3-နှစ်အတွင်းအကြွေး</t>
  </si>
  <si>
    <t>3-နှစ်ကျော် 4-နှစ်အတွင်းအကြွေး</t>
  </si>
  <si>
    <t>4-နှစ်ကျော် 5-နှစ်အတွင်းအကြွေး</t>
  </si>
  <si>
    <t>YGN</t>
  </si>
  <si>
    <t>Myo Swe Thant</t>
  </si>
  <si>
    <t>Seikkyi Kanaunto</t>
  </si>
  <si>
    <t>Van # 9</t>
  </si>
  <si>
    <t>Shwepyithar/Hmawbi</t>
  </si>
  <si>
    <t>Van # 8</t>
  </si>
  <si>
    <t>Zayar Phyo</t>
  </si>
  <si>
    <t>Mingaladon _ Hlegu</t>
  </si>
  <si>
    <t>Van # 7</t>
  </si>
  <si>
    <t>Hlaingthayar</t>
  </si>
  <si>
    <t>Van # 6</t>
  </si>
  <si>
    <t>Ye Htun Aung</t>
  </si>
  <si>
    <t>Van # 5</t>
  </si>
  <si>
    <t>Bahan/Downtown/Hlaing - Mayangon</t>
  </si>
  <si>
    <t>Van # 4</t>
  </si>
  <si>
    <t>Thingangyun/South Okkalapa/Yankin</t>
  </si>
  <si>
    <t>Van # 3</t>
  </si>
  <si>
    <t>South Dagon/Tharkayta</t>
  </si>
  <si>
    <t>Van # 2</t>
  </si>
  <si>
    <t>North Okkalapa/North Dagon</t>
  </si>
  <si>
    <t>Van # 1</t>
  </si>
  <si>
    <t>SemiWholesales # 2</t>
  </si>
  <si>
    <t>Hla Myo</t>
  </si>
  <si>
    <t>SemiWholesales # 1</t>
  </si>
  <si>
    <t>Ye Naung Ko</t>
  </si>
  <si>
    <t xml:space="preserve">Wholesales # </t>
  </si>
  <si>
    <t>Sales Con %</t>
  </si>
  <si>
    <t>SR Name</t>
  </si>
  <si>
    <t>Cover Area</t>
  </si>
  <si>
    <t>Team</t>
  </si>
  <si>
    <t>Target for Jan'25</t>
  </si>
  <si>
    <t>Team Sales Contribution %</t>
  </si>
  <si>
    <t>10.1.2025</t>
  </si>
  <si>
    <t>72385</t>
  </si>
  <si>
    <t>72494</t>
  </si>
  <si>
    <t>78851</t>
  </si>
  <si>
    <t>72643</t>
  </si>
  <si>
    <t>72644</t>
  </si>
  <si>
    <t>72725</t>
  </si>
  <si>
    <t>72694</t>
  </si>
  <si>
    <t>80051</t>
  </si>
  <si>
    <t>79011</t>
  </si>
  <si>
    <t>80106</t>
  </si>
  <si>
    <t>000625</t>
  </si>
  <si>
    <t>000654</t>
  </si>
  <si>
    <t>000674</t>
  </si>
  <si>
    <t>000702</t>
  </si>
  <si>
    <t>000705</t>
  </si>
  <si>
    <t>000729</t>
  </si>
  <si>
    <t>000744</t>
  </si>
  <si>
    <t>000808</t>
  </si>
  <si>
    <t>000733</t>
  </si>
  <si>
    <t>000708</t>
  </si>
  <si>
    <t>000802</t>
  </si>
  <si>
    <t>78957</t>
  </si>
  <si>
    <t>72349</t>
  </si>
  <si>
    <t>000807</t>
  </si>
  <si>
    <t>000726</t>
  </si>
  <si>
    <t>000820</t>
  </si>
  <si>
    <t>000700</t>
  </si>
  <si>
    <t>72733</t>
  </si>
  <si>
    <t>80058</t>
  </si>
  <si>
    <t>72388</t>
  </si>
  <si>
    <t>80204</t>
  </si>
  <si>
    <t>78546</t>
  </si>
  <si>
    <t>January 2025Target</t>
  </si>
  <si>
    <t>February-2025 Target</t>
  </si>
  <si>
    <t>March 2025  Target</t>
  </si>
  <si>
    <t>လမ်းသစ်အရောင်းဆိုင်(ရန်ကုန်)၏  10.1.2024 နေ့ ကုန်သည်ကြွေးစာရင်း</t>
  </si>
  <si>
    <t>မြောက်ဥက္ကလာပ</t>
  </si>
  <si>
    <t>တောင်ဥက္ကလာပ</t>
  </si>
  <si>
    <t>Mini Van Sale Total</t>
  </si>
  <si>
    <t>Van-4</t>
  </si>
  <si>
    <t>Van-3</t>
  </si>
  <si>
    <t>Gandamar Whole Sale</t>
  </si>
  <si>
    <t>Van-1</t>
  </si>
  <si>
    <t>19923</t>
  </si>
  <si>
    <t>Van-9</t>
  </si>
  <si>
    <t>ကိုစိုးနိုင်</t>
  </si>
  <si>
    <t>ဆိပ်ကြီးခနောင်တို</t>
  </si>
  <si>
    <t>Van Sale Total</t>
  </si>
  <si>
    <t>Deli</t>
  </si>
  <si>
    <t>၆ မိုင်ခွဲ</t>
  </si>
  <si>
    <t>Deli Total</t>
  </si>
  <si>
    <t>Modern Trade</t>
  </si>
  <si>
    <t>Capital</t>
  </si>
  <si>
    <t>ဒေါပုံ</t>
  </si>
  <si>
    <t>Modern Trade Total</t>
  </si>
  <si>
    <t>WholeSales+Semi WholeSales +Mini Van Sale +Van Sale +Deli +Modern Trade Total</t>
  </si>
  <si>
    <t>Mini Van-4</t>
  </si>
  <si>
    <t>Sale</t>
  </si>
  <si>
    <t>Whole Sale</t>
  </si>
  <si>
    <t>Semi Whole Sale</t>
  </si>
  <si>
    <t>5-နှစ်ကျော် 6-နှစ်အတွင်းအကြွေး</t>
  </si>
  <si>
    <t>003428</t>
  </si>
  <si>
    <t>အောင်ကျော်ထိုက်</t>
  </si>
  <si>
    <t>25546</t>
  </si>
  <si>
    <t>00438</t>
  </si>
  <si>
    <t>00453</t>
  </si>
  <si>
    <t>Mini Van-3</t>
  </si>
  <si>
    <t>46324</t>
  </si>
  <si>
    <t>6-နှစ်ကျော် 7-နှစ်အတွင်းအကြွေး</t>
  </si>
  <si>
    <t>30590</t>
  </si>
  <si>
    <t>30625</t>
  </si>
  <si>
    <t>SB1019</t>
  </si>
  <si>
    <t>30616</t>
  </si>
  <si>
    <t>00459</t>
  </si>
  <si>
    <t>30652</t>
  </si>
  <si>
    <t>30320</t>
  </si>
  <si>
    <t>33230</t>
  </si>
  <si>
    <t>SB1171</t>
  </si>
  <si>
    <t>30549</t>
  </si>
  <si>
    <t>လမ်းသစ်အရောင်းဆိုင်(ရန်ကုန်)၏  20.3.2026 နေ့ ကုန်သည်ကြွေးစာရင်း</t>
  </si>
  <si>
    <t>SB1335</t>
  </si>
  <si>
    <t>SB1445</t>
  </si>
  <si>
    <t>SB1266</t>
  </si>
  <si>
    <t>SB1355</t>
  </si>
  <si>
    <t>SB1209</t>
  </si>
  <si>
    <t>SB1264</t>
  </si>
  <si>
    <t>SB1379</t>
  </si>
  <si>
    <t>SB1451</t>
  </si>
  <si>
    <t>36006</t>
  </si>
  <si>
    <t>30962</t>
  </si>
  <si>
    <t>36068</t>
  </si>
  <si>
    <t>36116</t>
  </si>
  <si>
    <t>36203</t>
  </si>
  <si>
    <t>36087</t>
  </si>
  <si>
    <t>36130</t>
  </si>
  <si>
    <t>36091</t>
  </si>
  <si>
    <t>36094</t>
  </si>
  <si>
    <t>36096</t>
  </si>
  <si>
    <t>SB1253</t>
  </si>
  <si>
    <t>SB1268</t>
  </si>
  <si>
    <t>SB1308</t>
  </si>
  <si>
    <t>SB1383</t>
  </si>
  <si>
    <t>36095</t>
  </si>
  <si>
    <t>SB1426</t>
  </si>
  <si>
    <t>30630</t>
  </si>
  <si>
    <t>SB1234</t>
  </si>
  <si>
    <t>SB1323</t>
  </si>
  <si>
    <t>30644</t>
  </si>
  <si>
    <t>36252</t>
  </si>
  <si>
    <t>30641</t>
  </si>
  <si>
    <t>36035</t>
  </si>
  <si>
    <t>00460</t>
  </si>
  <si>
    <t>SB1476</t>
  </si>
  <si>
    <t>36258</t>
  </si>
  <si>
    <t>SB1478</t>
  </si>
  <si>
    <t>SB1490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</si>
</sst>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0.000"/>
    <numFmt numFmtId="167" formatCode="0.0"/>
    <numFmt numFmtId="168" formatCode="_-* #,##0_-;\-* #,##0_-;_-* &quot;-&quot;_-;_-@_-"/>
    <numFmt numFmtId="169" formatCode="0_);\(0\)"/>
    <numFmt numFmtId="170" formatCode="[$-10000455]0"/>
  </numFmts>
  <fonts count="3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Pyidaungsu"/>
      <family val="2"/>
    </font>
    <font>
      <sz val="11"/>
      <color theme="1"/>
      <name val="Pyidaungsu"/>
      <family val="2"/>
    </font>
    <font>
      <sz val="11"/>
      <color theme="1"/>
      <name val="Aptos Narrow"/>
      <family val="2"/>
      <scheme val="minor"/>
    </font>
    <font>
      <sz val="10"/>
      <color theme="1"/>
      <name val="Pyidaungsu"/>
      <family val="2"/>
    </font>
    <font>
      <b/>
      <sz val="12"/>
      <color theme="1"/>
      <name val="Pyidaungsu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Pyidaungsu"/>
      <family val="2"/>
    </font>
    <font>
      <b/>
      <sz val="12"/>
      <name val="Pyidaungsu"/>
      <family val="2"/>
    </font>
    <font>
      <b/>
      <sz val="14"/>
      <color theme="1"/>
      <name val="Pyidaungsu"/>
      <family val="2"/>
    </font>
    <font>
      <u/>
      <sz val="10"/>
      <color theme="10"/>
      <name val="Pyidaungsu"/>
      <family val="2"/>
    </font>
    <font>
      <b/>
      <sz val="10"/>
      <color rgb="FFFF0000"/>
      <name val="Pyidaungsu"/>
      <family val="2"/>
    </font>
    <font>
      <b/>
      <sz val="10"/>
      <color theme="1"/>
      <name val="Pyidaungsu"/>
      <family val="2"/>
    </font>
    <font>
      <b/>
      <sz val="10"/>
      <name val="Pyidaungsu"/>
      <family val="2"/>
    </font>
    <font>
      <sz val="9"/>
      <color theme="1"/>
      <name val="Pyidaungsu"/>
      <family val="2"/>
    </font>
    <font>
      <b/>
      <sz val="13"/>
      <color theme="1"/>
      <name val="Pyidaungsu"/>
      <family val="2"/>
    </font>
    <font>
      <b/>
      <sz val="11"/>
      <color theme="1"/>
      <name val="Pyidaungsu"/>
      <family val="2"/>
    </font>
    <font>
      <sz val="10"/>
      <name val="Pyidaungsu"/>
      <family val="2"/>
    </font>
    <font>
      <sz val="13"/>
      <color theme="1"/>
      <name val="Pyidaungsu"/>
      <family val="2"/>
    </font>
    <font>
      <sz val="12"/>
      <color rgb="FF000000"/>
      <name val="Pyidaungsu"/>
      <family val="2"/>
    </font>
    <font>
      <b/>
      <sz val="12"/>
      <color rgb="FFFF0000"/>
      <name val="Pyidaungsu"/>
      <family val="2"/>
    </font>
    <font>
      <b/>
      <u/>
      <sz val="14"/>
      <color rgb="FFFF0000"/>
      <name val="Pyidaungsu"/>
      <family val="2"/>
    </font>
    <font>
      <sz val="12"/>
      <color rgb="FFFF0000"/>
      <name val="Pyidaungsu"/>
      <family val="2"/>
    </font>
    <font>
      <b/>
      <sz val="11"/>
      <name val="Pyidaungsu"/>
      <family val="2"/>
    </font>
    <font>
      <b/>
      <sz val="11"/>
      <color rgb="FFFF0000"/>
      <name val="Pyidaungsu"/>
      <family val="2"/>
    </font>
    <font>
      <sz val="10"/>
      <color rgb="FFFF0000"/>
      <name val="Pyidaungsu"/>
      <family val="2"/>
    </font>
    <font>
      <sz val="11"/>
      <name val="Pyidaungsu"/>
      <family val="2"/>
    </font>
    <font>
      <sz val="11"/>
      <color rgb="FFFF0000"/>
      <name val="Pyidaungsu"/>
      <family val="2"/>
    </font>
    <font>
      <sz val="10"/>
      <color theme="0"/>
      <name val="Pyidaungsu"/>
      <family val="2"/>
    </font>
    <font>
      <b/>
      <sz val="13"/>
      <color rgb="FFFF0000"/>
      <name val="Pyidaungsu"/>
      <family val="2"/>
    </font>
    <font>
      <sz val="11"/>
      <color rgb="FFFF0000"/>
      <name val="Aptos Narrow"/>
      <family val="2"/>
      <scheme val="minor"/>
    </font>
    <font>
      <b/>
      <u/>
      <sz val="12"/>
      <color theme="1"/>
      <name val="Pyidaungsu"/>
      <family val="2"/>
    </font>
    <font>
      <sz val="8"/>
      <name val="Aptos Narrow"/>
      <family val="2"/>
      <scheme val="minor"/>
    </font>
    <font>
      <b/>
      <sz val="13"/>
      <name val="Pyidaungsu"/>
      <family val="2"/>
    </font>
    <font>
      <sz val="11"/>
      <color theme="0"/>
      <name val="Pyidaungsu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D88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1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</cellStyleXfs>
  <cellXfs count="768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/>
    <xf numFmtId="164" fontId="4" fillId="7" borderId="1" xfId="0" applyNumberFormat="1" applyFont="1" applyFill="1" applyBorder="1"/>
    <xf numFmtId="164" fontId="4" fillId="0" borderId="1" xfId="0" applyNumberFormat="1" applyFont="1" applyBorder="1"/>
    <xf numFmtId="0" fontId="6" fillId="0" borderId="0" xfId="0" applyFont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7" fillId="7" borderId="7" xfId="0" applyFont="1" applyFill="1" applyBorder="1" applyAlignment="1">
      <alignment horizontal="center"/>
    </xf>
    <xf numFmtId="1" fontId="4" fillId="0" borderId="1" xfId="0" applyNumberFormat="1" applyFont="1" applyBorder="1" applyAlignment="1">
      <alignment vertical="center"/>
    </xf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" fontId="4" fillId="0" borderId="1" xfId="0" applyNumberFormat="1" applyFont="1" applyBorder="1"/>
    <xf numFmtId="0" fontId="9" fillId="0" borderId="1" xfId="3" applyFont="1" applyBorder="1" applyAlignment="1"/>
    <xf numFmtId="0" fontId="4" fillId="0" borderId="0" xfId="0" applyFont="1" applyAlignment="1">
      <alignment vertical="center"/>
    </xf>
    <xf numFmtId="164" fontId="9" fillId="0" borderId="1" xfId="3" applyNumberFormat="1" applyFont="1" applyBorder="1" applyAlignment="1"/>
    <xf numFmtId="0" fontId="9" fillId="7" borderId="1" xfId="3" applyFont="1" applyFill="1" applyBorder="1" applyAlignment="1"/>
    <xf numFmtId="0" fontId="9" fillId="0" borderId="1" xfId="3" applyFont="1" applyFill="1" applyBorder="1" applyAlignment="1"/>
    <xf numFmtId="1" fontId="4" fillId="0" borderId="4" xfId="0" applyNumberFormat="1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0" xfId="0" applyFont="1"/>
    <xf numFmtId="0" fontId="7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right" vertical="center"/>
    </xf>
    <xf numFmtId="1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" fontId="9" fillId="0" borderId="4" xfId="3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right" vertical="center"/>
    </xf>
    <xf numFmtId="0" fontId="7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4" fillId="6" borderId="1" xfId="0" applyFont="1" applyFill="1" applyBorder="1"/>
    <xf numFmtId="1" fontId="4" fillId="6" borderId="1" xfId="0" applyNumberFormat="1" applyFont="1" applyFill="1" applyBorder="1" applyAlignment="1">
      <alignment horizontal="right"/>
    </xf>
    <xf numFmtId="1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4" fillId="8" borderId="1" xfId="0" applyFont="1" applyFill="1" applyBorder="1"/>
    <xf numFmtId="0" fontId="4" fillId="4" borderId="1" xfId="0" applyFont="1" applyFill="1" applyBorder="1" applyAlignment="1">
      <alignment vertical="center"/>
    </xf>
    <xf numFmtId="165" fontId="6" fillId="7" borderId="0" xfId="0" applyNumberFormat="1" applyFont="1" applyFill="1" applyAlignment="1">
      <alignment horizontal="left" vertical="center"/>
    </xf>
    <xf numFmtId="165" fontId="6" fillId="7" borderId="0" xfId="0" applyNumberFormat="1" applyFont="1" applyFill="1" applyAlignment="1">
      <alignment vertical="center"/>
    </xf>
    <xf numFmtId="165" fontId="6" fillId="0" borderId="0" xfId="0" applyNumberFormat="1" applyFont="1" applyAlignment="1">
      <alignment vertical="center"/>
    </xf>
    <xf numFmtId="166" fontId="6" fillId="7" borderId="0" xfId="0" applyNumberFormat="1" applyFont="1" applyFill="1" applyAlignment="1">
      <alignment horizontal="left" vertical="center"/>
    </xf>
    <xf numFmtId="1" fontId="6" fillId="0" borderId="0" xfId="0" applyNumberFormat="1" applyFont="1"/>
    <xf numFmtId="14" fontId="10" fillId="0" borderId="0" xfId="0" applyNumberFormat="1" applyFont="1" applyAlignment="1">
      <alignment horizontal="center" vertical="center"/>
    </xf>
    <xf numFmtId="0" fontId="12" fillId="0" borderId="0" xfId="3" applyFont="1" applyAlignment="1">
      <alignment horizontal="left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12" fillId="7" borderId="1" xfId="3" applyFont="1" applyFill="1" applyBorder="1" applyAlignment="1"/>
    <xf numFmtId="0" fontId="6" fillId="0" borderId="1" xfId="0" applyFont="1" applyBorder="1"/>
    <xf numFmtId="164" fontId="6" fillId="0" borderId="1" xfId="0" applyNumberFormat="1" applyFont="1" applyBorder="1"/>
    <xf numFmtId="164" fontId="6" fillId="0" borderId="3" xfId="0" applyNumberFormat="1" applyFont="1" applyBorder="1"/>
    <xf numFmtId="0" fontId="6" fillId="7" borderId="1" xfId="0" applyFont="1" applyFill="1" applyBorder="1"/>
    <xf numFmtId="164" fontId="6" fillId="7" borderId="1" xfId="0" applyNumberFormat="1" applyFont="1" applyFill="1" applyBorder="1"/>
    <xf numFmtId="0" fontId="6" fillId="7" borderId="3" xfId="0" applyFont="1" applyFill="1" applyBorder="1"/>
    <xf numFmtId="0" fontId="6" fillId="7" borderId="2" xfId="0" applyFont="1" applyFill="1" applyBorder="1"/>
    <xf numFmtId="0" fontId="6" fillId="0" borderId="19" xfId="0" applyFont="1" applyBorder="1"/>
    <xf numFmtId="0" fontId="6" fillId="0" borderId="20" xfId="0" applyFont="1" applyBorder="1"/>
    <xf numFmtId="9" fontId="6" fillId="8" borderId="19" xfId="1" applyFont="1" applyFill="1" applyBorder="1" applyAlignment="1"/>
    <xf numFmtId="9" fontId="6" fillId="8" borderId="1" xfId="1" applyFont="1" applyFill="1" applyBorder="1" applyAlignment="1">
      <alignment wrapText="1"/>
    </xf>
    <xf numFmtId="9" fontId="6" fillId="8" borderId="20" xfId="1" applyFont="1" applyFill="1" applyBorder="1" applyAlignment="1"/>
    <xf numFmtId="1" fontId="6" fillId="7" borderId="3" xfId="0" applyNumberFormat="1" applyFont="1" applyFill="1" applyBorder="1"/>
    <xf numFmtId="9" fontId="6" fillId="0" borderId="0" xfId="1" applyFont="1" applyAlignment="1"/>
    <xf numFmtId="165" fontId="6" fillId="0" borderId="0" xfId="0" applyNumberFormat="1" applyFont="1"/>
    <xf numFmtId="43" fontId="13" fillId="7" borderId="0" xfId="0" applyNumberFormat="1" applyFont="1" applyFill="1"/>
    <xf numFmtId="165" fontId="6" fillId="7" borderId="0" xfId="0" applyNumberFormat="1" applyFont="1" applyFill="1"/>
    <xf numFmtId="0" fontId="6" fillId="7" borderId="0" xfId="0" applyFont="1" applyFill="1"/>
    <xf numFmtId="0" fontId="6" fillId="7" borderId="19" xfId="0" applyFont="1" applyFill="1" applyBorder="1"/>
    <xf numFmtId="0" fontId="6" fillId="7" borderId="20" xfId="0" applyFont="1" applyFill="1" applyBorder="1"/>
    <xf numFmtId="0" fontId="6" fillId="0" borderId="1" xfId="0" applyFont="1" applyBorder="1" applyAlignment="1">
      <alignment vertical="center"/>
    </xf>
    <xf numFmtId="1" fontId="6" fillId="0" borderId="19" xfId="0" applyNumberFormat="1" applyFont="1" applyBorder="1"/>
    <xf numFmtId="1" fontId="6" fillId="0" borderId="20" xfId="0" applyNumberFormat="1" applyFont="1" applyBorder="1"/>
    <xf numFmtId="164" fontId="12" fillId="7" borderId="1" xfId="3" applyNumberFormat="1" applyFont="1" applyFill="1" applyBorder="1" applyAlignment="1"/>
    <xf numFmtId="0" fontId="6" fillId="0" borderId="1" xfId="0" quotePrefix="1" applyFont="1" applyBorder="1"/>
    <xf numFmtId="0" fontId="6" fillId="0" borderId="3" xfId="0" applyFont="1" applyBorder="1"/>
    <xf numFmtId="0" fontId="6" fillId="0" borderId="2" xfId="0" applyFont="1" applyBorder="1"/>
    <xf numFmtId="0" fontId="13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1" fontId="6" fillId="7" borderId="0" xfId="0" applyNumberFormat="1" applyFont="1" applyFill="1"/>
    <xf numFmtId="164" fontId="16" fillId="7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/>
    <xf numFmtId="1" fontId="6" fillId="9" borderId="3" xfId="0" applyNumberFormat="1" applyFont="1" applyFill="1" applyBorder="1"/>
    <xf numFmtId="0" fontId="14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9" borderId="1" xfId="0" applyNumberFormat="1" applyFont="1" applyFill="1" applyBorder="1"/>
    <xf numFmtId="9" fontId="6" fillId="9" borderId="21" xfId="1" applyFont="1" applyFill="1" applyBorder="1" applyAlignment="1"/>
    <xf numFmtId="9" fontId="6" fillId="9" borderId="22" xfId="1" applyFont="1" applyFill="1" applyBorder="1" applyAlignment="1"/>
    <xf numFmtId="0" fontId="7" fillId="0" borderId="1" xfId="0" applyFont="1" applyBorder="1"/>
    <xf numFmtId="0" fontId="10" fillId="0" borderId="1" xfId="0" applyFont="1" applyBorder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4" fillId="10" borderId="13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 wrapText="1"/>
    </xf>
    <xf numFmtId="0" fontId="14" fillId="10" borderId="26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6" fillId="7" borderId="1" xfId="0" applyNumberFormat="1" applyFont="1" applyFill="1" applyBorder="1"/>
    <xf numFmtId="1" fontId="10" fillId="0" borderId="6" xfId="0" applyNumberFormat="1" applyFont="1" applyBorder="1" applyAlignment="1">
      <alignment horizontal="center" vertical="center"/>
    </xf>
    <xf numFmtId="14" fontId="10" fillId="0" borderId="26" xfId="0" applyNumberFormat="1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center" vertical="center"/>
    </xf>
    <xf numFmtId="0" fontId="6" fillId="6" borderId="1" xfId="0" applyFont="1" applyFill="1" applyBorder="1"/>
    <xf numFmtId="1" fontId="6" fillId="6" borderId="3" xfId="0" applyNumberFormat="1" applyFont="1" applyFill="1" applyBorder="1"/>
    <xf numFmtId="1" fontId="6" fillId="6" borderId="19" xfId="0" applyNumberFormat="1" applyFont="1" applyFill="1" applyBorder="1"/>
    <xf numFmtId="1" fontId="6" fillId="6" borderId="20" xfId="0" applyNumberFormat="1" applyFont="1" applyFill="1" applyBorder="1"/>
    <xf numFmtId="1" fontId="14" fillId="6" borderId="20" xfId="0" applyNumberFormat="1" applyFont="1" applyFill="1" applyBorder="1"/>
    <xf numFmtId="0" fontId="14" fillId="0" borderId="20" xfId="0" applyFont="1" applyBorder="1"/>
    <xf numFmtId="1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" fontId="6" fillId="6" borderId="1" xfId="0" applyNumberFormat="1" applyFont="1" applyFill="1" applyBorder="1"/>
    <xf numFmtId="1" fontId="6" fillId="0" borderId="0" xfId="0" applyNumberFormat="1" applyFont="1" applyAlignment="1">
      <alignment vertical="center"/>
    </xf>
    <xf numFmtId="1" fontId="14" fillId="0" borderId="20" xfId="0" applyNumberFormat="1" applyFont="1" applyBorder="1"/>
    <xf numFmtId="1" fontId="6" fillId="9" borderId="9" xfId="0" applyNumberFormat="1" applyFont="1" applyFill="1" applyBorder="1"/>
    <xf numFmtId="0" fontId="14" fillId="10" borderId="29" xfId="0" applyFont="1" applyFill="1" applyBorder="1" applyAlignment="1">
      <alignment horizontal="center" vertical="center" wrapText="1"/>
    </xf>
    <xf numFmtId="1" fontId="6" fillId="9" borderId="21" xfId="0" applyNumberFormat="1" applyFont="1" applyFill="1" applyBorder="1"/>
    <xf numFmtId="1" fontId="6" fillId="9" borderId="31" xfId="0" applyNumberFormat="1" applyFont="1" applyFill="1" applyBorder="1"/>
    <xf numFmtId="0" fontId="14" fillId="7" borderId="19" xfId="0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 wrapText="1"/>
    </xf>
    <xf numFmtId="0" fontId="14" fillId="7" borderId="30" xfId="0" applyFont="1" applyFill="1" applyBorder="1" applyAlignment="1">
      <alignment horizontal="center" vertical="center" wrapText="1"/>
    </xf>
    <xf numFmtId="1" fontId="6" fillId="9" borderId="22" xfId="0" applyNumberFormat="1" applyFont="1" applyFill="1" applyBorder="1"/>
    <xf numFmtId="1" fontId="14" fillId="9" borderId="22" xfId="0" applyNumberFormat="1" applyFont="1" applyFill="1" applyBorder="1"/>
    <xf numFmtId="167" fontId="4" fillId="0" borderId="1" xfId="0" applyNumberFormat="1" applyFont="1" applyBorder="1" applyAlignment="1">
      <alignment vertical="center"/>
    </xf>
    <xf numFmtId="167" fontId="6" fillId="7" borderId="1" xfId="0" applyNumberFormat="1" applyFont="1" applyFill="1" applyBorder="1"/>
    <xf numFmtId="1" fontId="6" fillId="0" borderId="1" xfId="0" applyNumberFormat="1" applyFont="1" applyBorder="1"/>
    <xf numFmtId="2" fontId="6" fillId="7" borderId="1" xfId="0" applyNumberFormat="1" applyFont="1" applyFill="1" applyBorder="1"/>
    <xf numFmtId="167" fontId="14" fillId="6" borderId="20" xfId="0" applyNumberFormat="1" applyFont="1" applyFill="1" applyBorder="1"/>
    <xf numFmtId="167" fontId="14" fillId="0" borderId="20" xfId="0" applyNumberFormat="1" applyFont="1" applyBorder="1"/>
    <xf numFmtId="2" fontId="4" fillId="0" borderId="1" xfId="0" applyNumberFormat="1" applyFont="1" applyBorder="1" applyAlignment="1">
      <alignment vertical="center"/>
    </xf>
    <xf numFmtId="0" fontId="3" fillId="7" borderId="8" xfId="0" applyFont="1" applyFill="1" applyBorder="1" applyAlignment="1">
      <alignment horizontal="left" vertical="center" indent="1"/>
    </xf>
    <xf numFmtId="0" fontId="3" fillId="7" borderId="8" xfId="0" applyFont="1" applyFill="1" applyBorder="1" applyAlignment="1">
      <alignment vertical="center"/>
    </xf>
    <xf numFmtId="164" fontId="3" fillId="7" borderId="8" xfId="0" applyNumberFormat="1" applyFont="1" applyFill="1" applyBorder="1" applyAlignment="1">
      <alignment vertical="center"/>
    </xf>
    <xf numFmtId="9" fontId="3" fillId="0" borderId="1" xfId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164" fontId="3" fillId="7" borderId="1" xfId="0" applyNumberFormat="1" applyFont="1" applyFill="1" applyBorder="1" applyAlignment="1">
      <alignment vertical="center"/>
    </xf>
    <xf numFmtId="164" fontId="3" fillId="7" borderId="1" xfId="0" applyNumberFormat="1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/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7" borderId="1" xfId="0" applyFont="1" applyFill="1" applyBorder="1" applyAlignment="1">
      <alignment horizontal="left"/>
    </xf>
    <xf numFmtId="164" fontId="3" fillId="7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19" fillId="7" borderId="1" xfId="0" applyFont="1" applyFill="1" applyBorder="1" applyAlignment="1">
      <alignment vertical="center"/>
    </xf>
    <xf numFmtId="0" fontId="3" fillId="7" borderId="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9" fontId="3" fillId="0" borderId="1" xfId="1" applyFont="1" applyBorder="1"/>
    <xf numFmtId="0" fontId="23" fillId="7" borderId="0" xfId="0" applyFont="1" applyFill="1" applyAlignment="1">
      <alignment horizontal="left"/>
    </xf>
    <xf numFmtId="0" fontId="3" fillId="7" borderId="0" xfId="0" applyFont="1" applyFill="1"/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1" fontId="3" fillId="12" borderId="0" xfId="0" applyNumberFormat="1" applyFont="1" applyFill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9" borderId="47" xfId="0" applyFont="1" applyFill="1" applyBorder="1" applyAlignment="1">
      <alignment horizontal="center" vertical="center" wrapText="1"/>
    </xf>
    <xf numFmtId="9" fontId="7" fillId="12" borderId="1" xfId="0" applyNumberFormat="1" applyFont="1" applyFill="1" applyBorder="1" applyAlignment="1">
      <alignment horizontal="center" vertical="center" wrapText="1"/>
    </xf>
    <xf numFmtId="0" fontId="7" fillId="9" borderId="3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164" fontId="18" fillId="12" borderId="1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left" vertical="center"/>
    </xf>
    <xf numFmtId="164" fontId="3" fillId="7" borderId="8" xfId="0" applyNumberFormat="1" applyFont="1" applyFill="1" applyBorder="1" applyAlignment="1">
      <alignment horizontal="left" vertical="center"/>
    </xf>
    <xf numFmtId="164" fontId="3" fillId="7" borderId="14" xfId="0" applyNumberFormat="1" applyFont="1" applyFill="1" applyBorder="1" applyAlignment="1">
      <alignment horizontal="center" vertical="center"/>
    </xf>
    <xf numFmtId="164" fontId="3" fillId="7" borderId="15" xfId="0" applyNumberFormat="1" applyFont="1" applyFill="1" applyBorder="1" applyAlignment="1">
      <alignment horizontal="center" vertical="center"/>
    </xf>
    <xf numFmtId="164" fontId="3" fillId="7" borderId="10" xfId="0" applyNumberFormat="1" applyFont="1" applyFill="1" applyBorder="1" applyAlignment="1">
      <alignment horizontal="center" vertical="center"/>
    </xf>
    <xf numFmtId="10" fontId="3" fillId="12" borderId="1" xfId="1" applyNumberFormat="1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164" fontId="3" fillId="12" borderId="1" xfId="2" applyNumberFormat="1" applyFont="1" applyFill="1" applyBorder="1" applyAlignment="1">
      <alignment horizontal="center" vertical="center"/>
    </xf>
    <xf numFmtId="164" fontId="3" fillId="7" borderId="13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43" fontId="3" fillId="12" borderId="1" xfId="0" applyNumberFormat="1" applyFont="1" applyFill="1" applyBorder="1" applyAlignment="1">
      <alignment horizontal="center" vertical="center"/>
    </xf>
    <xf numFmtId="164" fontId="3" fillId="12" borderId="2" xfId="0" applyNumberFormat="1" applyFont="1" applyFill="1" applyBorder="1" applyAlignment="1">
      <alignment horizontal="center" vertical="center"/>
    </xf>
    <xf numFmtId="164" fontId="3" fillId="7" borderId="1" xfId="1" applyNumberFormat="1" applyFont="1" applyFill="1" applyBorder="1" applyAlignment="1">
      <alignment horizontal="center"/>
    </xf>
    <xf numFmtId="164" fontId="3" fillId="7" borderId="1" xfId="0" applyNumberFormat="1" applyFont="1" applyFill="1" applyBorder="1"/>
    <xf numFmtId="0" fontId="3" fillId="7" borderId="1" xfId="0" applyFont="1" applyFill="1" applyBorder="1" applyAlignment="1">
      <alignment horizontal="center"/>
    </xf>
    <xf numFmtId="164" fontId="3" fillId="7" borderId="20" xfId="0" applyNumberFormat="1" applyFont="1" applyFill="1" applyBorder="1" applyAlignment="1">
      <alignment horizontal="center" vertical="center"/>
    </xf>
    <xf numFmtId="164" fontId="3" fillId="7" borderId="19" xfId="0" applyNumberFormat="1" applyFont="1" applyFill="1" applyBorder="1" applyAlignment="1">
      <alignment horizontal="center" vertical="center"/>
    </xf>
    <xf numFmtId="164" fontId="3" fillId="7" borderId="3" xfId="0" applyNumberFormat="1" applyFont="1" applyFill="1" applyBorder="1" applyAlignment="1">
      <alignment horizontal="center" vertical="center"/>
    </xf>
    <xf numFmtId="164" fontId="3" fillId="7" borderId="19" xfId="0" applyNumberFormat="1" applyFont="1" applyFill="1" applyBorder="1" applyAlignment="1">
      <alignment vertical="center"/>
    </xf>
    <xf numFmtId="164" fontId="3" fillId="7" borderId="2" xfId="0" applyNumberFormat="1" applyFont="1" applyFill="1" applyBorder="1" applyAlignment="1">
      <alignment vertical="center"/>
    </xf>
    <xf numFmtId="0" fontId="3" fillId="7" borderId="1" xfId="0" quotePrefix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164" fontId="3" fillId="0" borderId="20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64" fontId="3" fillId="7" borderId="3" xfId="0" quotePrefix="1" applyNumberFormat="1" applyFont="1" applyFill="1" applyBorder="1" applyAlignment="1">
      <alignment horizontal="center" vertical="center"/>
    </xf>
    <xf numFmtId="164" fontId="3" fillId="7" borderId="2" xfId="0" quotePrefix="1" applyNumberFormat="1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/>
    </xf>
    <xf numFmtId="164" fontId="3" fillId="11" borderId="1" xfId="0" applyNumberFormat="1" applyFont="1" applyFill="1" applyBorder="1" applyAlignment="1">
      <alignment vertical="center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left" vertical="center"/>
    </xf>
    <xf numFmtId="164" fontId="3" fillId="11" borderId="20" xfId="0" applyNumberFormat="1" applyFont="1" applyFill="1" applyBorder="1" applyAlignment="1">
      <alignment horizontal="center" vertical="center"/>
    </xf>
    <xf numFmtId="164" fontId="3" fillId="11" borderId="19" xfId="0" applyNumberFormat="1" applyFont="1" applyFill="1" applyBorder="1" applyAlignment="1">
      <alignment vertical="center"/>
    </xf>
    <xf numFmtId="164" fontId="3" fillId="11" borderId="2" xfId="0" applyNumberFormat="1" applyFont="1" applyFill="1" applyBorder="1" applyAlignment="1">
      <alignment vertical="center"/>
    </xf>
    <xf numFmtId="164" fontId="3" fillId="12" borderId="1" xfId="0" applyNumberFormat="1" applyFont="1" applyFill="1" applyBorder="1" applyAlignment="1">
      <alignment vertical="center"/>
    </xf>
    <xf numFmtId="164" fontId="3" fillId="11" borderId="3" xfId="0" applyNumberFormat="1" applyFont="1" applyFill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9" fontId="3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/>
    <xf numFmtId="0" fontId="3" fillId="11" borderId="0" xfId="0" applyFont="1" applyFill="1"/>
    <xf numFmtId="0" fontId="24" fillId="11" borderId="15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vertical="center"/>
    </xf>
    <xf numFmtId="164" fontId="24" fillId="11" borderId="1" xfId="0" applyNumberFormat="1" applyFont="1" applyFill="1" applyBorder="1" applyAlignment="1">
      <alignment vertical="center"/>
    </xf>
    <xf numFmtId="0" fontId="24" fillId="11" borderId="1" xfId="0" applyFont="1" applyFill="1" applyBorder="1" applyAlignment="1">
      <alignment horizontal="center"/>
    </xf>
    <xf numFmtId="0" fontId="24" fillId="11" borderId="1" xfId="0" applyFont="1" applyFill="1" applyBorder="1" applyAlignment="1">
      <alignment horizontal="left" vertical="center"/>
    </xf>
    <xf numFmtId="164" fontId="24" fillId="11" borderId="20" xfId="0" applyNumberFormat="1" applyFont="1" applyFill="1" applyBorder="1" applyAlignment="1">
      <alignment horizontal="center" vertical="center"/>
    </xf>
    <xf numFmtId="164" fontId="24" fillId="11" borderId="19" xfId="0" applyNumberFormat="1" applyFont="1" applyFill="1" applyBorder="1" applyAlignment="1">
      <alignment vertical="center"/>
    </xf>
    <xf numFmtId="164" fontId="24" fillId="11" borderId="2" xfId="0" applyNumberFormat="1" applyFont="1" applyFill="1" applyBorder="1" applyAlignment="1">
      <alignment vertical="center"/>
    </xf>
    <xf numFmtId="9" fontId="22" fillId="2" borderId="1" xfId="1" applyFont="1" applyFill="1" applyBorder="1" applyAlignment="1">
      <alignment vertical="center"/>
    </xf>
    <xf numFmtId="164" fontId="22" fillId="2" borderId="1" xfId="0" applyNumberFormat="1" applyFont="1" applyFill="1" applyBorder="1" applyAlignment="1">
      <alignment vertical="center"/>
    </xf>
    <xf numFmtId="164" fontId="24" fillId="11" borderId="3" xfId="0" applyNumberFormat="1" applyFont="1" applyFill="1" applyBorder="1" applyAlignment="1">
      <alignment horizontal="center" vertical="center"/>
    </xf>
    <xf numFmtId="164" fontId="24" fillId="11" borderId="2" xfId="0" applyNumberFormat="1" applyFont="1" applyFill="1" applyBorder="1" applyAlignment="1">
      <alignment horizontal="center" vertical="center"/>
    </xf>
    <xf numFmtId="9" fontId="22" fillId="2" borderId="1" xfId="1" applyFont="1" applyFill="1" applyBorder="1" applyAlignment="1">
      <alignment horizontal="center" vertical="center"/>
    </xf>
    <xf numFmtId="164" fontId="22" fillId="2" borderId="1" xfId="0" applyNumberFormat="1" applyFont="1" applyFill="1" applyBorder="1" applyAlignment="1">
      <alignment horizontal="center" vertical="center"/>
    </xf>
    <xf numFmtId="164" fontId="24" fillId="11" borderId="1" xfId="0" applyNumberFormat="1" applyFont="1" applyFill="1" applyBorder="1" applyAlignment="1">
      <alignment horizontal="center" vertical="center"/>
    </xf>
    <xf numFmtId="164" fontId="22" fillId="2" borderId="2" xfId="0" applyNumberFormat="1" applyFont="1" applyFill="1" applyBorder="1" applyAlignment="1">
      <alignment horizontal="center" vertical="center"/>
    </xf>
    <xf numFmtId="164" fontId="22" fillId="2" borderId="1" xfId="0" applyNumberFormat="1" applyFont="1" applyFill="1" applyBorder="1" applyAlignment="1">
      <alignment horizontal="center"/>
    </xf>
    <xf numFmtId="164" fontId="22" fillId="2" borderId="1" xfId="0" applyNumberFormat="1" applyFont="1" applyFill="1" applyBorder="1"/>
    <xf numFmtId="0" fontId="24" fillId="11" borderId="0" xfId="0" applyFont="1" applyFill="1"/>
    <xf numFmtId="164" fontId="24" fillId="12" borderId="1" xfId="0" applyNumberFormat="1" applyFont="1" applyFill="1" applyBorder="1" applyAlignment="1">
      <alignment vertical="center"/>
    </xf>
    <xf numFmtId="164" fontId="24" fillId="12" borderId="1" xfId="0" applyNumberFormat="1" applyFont="1" applyFill="1" applyBorder="1" applyAlignment="1">
      <alignment horizontal="center" vertical="center"/>
    </xf>
    <xf numFmtId="164" fontId="24" fillId="12" borderId="2" xfId="0" applyNumberFormat="1" applyFont="1" applyFill="1" applyBorder="1" applyAlignment="1">
      <alignment horizontal="center" vertical="center"/>
    </xf>
    <xf numFmtId="9" fontId="24" fillId="11" borderId="1" xfId="0" applyNumberFormat="1" applyFont="1" applyFill="1" applyBorder="1" applyAlignment="1">
      <alignment horizontal="center"/>
    </xf>
    <xf numFmtId="0" fontId="24" fillId="11" borderId="1" xfId="0" applyFont="1" applyFill="1" applyBorder="1"/>
    <xf numFmtId="0" fontId="24" fillId="11" borderId="1" xfId="0" applyFont="1" applyFill="1" applyBorder="1" applyAlignment="1">
      <alignment horizontal="center" vertical="center"/>
    </xf>
    <xf numFmtId="164" fontId="24" fillId="11" borderId="19" xfId="0" applyNumberFormat="1" applyFont="1" applyFill="1" applyBorder="1" applyAlignment="1">
      <alignment horizontal="center" vertical="center"/>
    </xf>
    <xf numFmtId="9" fontId="24" fillId="11" borderId="2" xfId="1" applyFont="1" applyFill="1" applyBorder="1" applyAlignment="1">
      <alignment horizontal="center" vertical="center"/>
    </xf>
    <xf numFmtId="9" fontId="24" fillId="12" borderId="1" xfId="1" applyFont="1" applyFill="1" applyBorder="1" applyAlignment="1">
      <alignment horizontal="center" vertical="center"/>
    </xf>
    <xf numFmtId="9" fontId="24" fillId="12" borderId="2" xfId="1" applyFont="1" applyFill="1" applyBorder="1" applyAlignment="1">
      <alignment horizontal="center" vertical="center"/>
    </xf>
    <xf numFmtId="10" fontId="24" fillId="11" borderId="1" xfId="0" applyNumberFormat="1" applyFont="1" applyFill="1" applyBorder="1" applyAlignment="1">
      <alignment horizontal="center"/>
    </xf>
    <xf numFmtId="0" fontId="24" fillId="11" borderId="0" xfId="0" applyFont="1" applyFill="1" applyAlignment="1">
      <alignment horizontal="center"/>
    </xf>
    <xf numFmtId="1" fontId="24" fillId="11" borderId="0" xfId="0" applyNumberFormat="1" applyFont="1" applyFill="1" applyAlignment="1">
      <alignment horizontal="center"/>
    </xf>
    <xf numFmtId="0" fontId="24" fillId="12" borderId="1" xfId="1" applyNumberFormat="1" applyFont="1" applyFill="1" applyBorder="1" applyAlignment="1">
      <alignment horizontal="center" vertical="center"/>
    </xf>
    <xf numFmtId="1" fontId="24" fillId="12" borderId="1" xfId="1" applyNumberFormat="1" applyFont="1" applyFill="1" applyBorder="1" applyAlignment="1">
      <alignment horizontal="center" vertical="center"/>
    </xf>
    <xf numFmtId="0" fontId="24" fillId="12" borderId="2" xfId="1" applyNumberFormat="1" applyFont="1" applyFill="1" applyBorder="1" applyAlignment="1">
      <alignment horizontal="center" vertical="center"/>
    </xf>
    <xf numFmtId="10" fontId="3" fillId="12" borderId="1" xfId="1" applyNumberFormat="1" applyFont="1" applyFill="1" applyBorder="1" applyAlignment="1">
      <alignment vertical="center"/>
    </xf>
    <xf numFmtId="10" fontId="24" fillId="12" borderId="1" xfId="1" applyNumberFormat="1" applyFont="1" applyFill="1" applyBorder="1" applyAlignment="1">
      <alignment horizontal="center" vertical="center"/>
    </xf>
    <xf numFmtId="164" fontId="3" fillId="7" borderId="1" xfId="1" applyNumberFormat="1" applyFont="1" applyFill="1" applyBorder="1"/>
    <xf numFmtId="166" fontId="3" fillId="7" borderId="0" xfId="0" applyNumberFormat="1" applyFont="1" applyFill="1"/>
    <xf numFmtId="0" fontId="3" fillId="7" borderId="1" xfId="0" quotePrefix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0" borderId="1" xfId="0" quotePrefix="1" applyFont="1" applyBorder="1" applyAlignment="1">
      <alignment vertical="center"/>
    </xf>
    <xf numFmtId="0" fontId="3" fillId="12" borderId="15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vertical="center"/>
    </xf>
    <xf numFmtId="0" fontId="3" fillId="12" borderId="1" xfId="0" applyFont="1" applyFill="1" applyBorder="1"/>
    <xf numFmtId="164" fontId="3" fillId="12" borderId="1" xfId="0" applyNumberFormat="1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/>
    </xf>
    <xf numFmtId="0" fontId="3" fillId="12" borderId="8" xfId="0" quotePrefix="1" applyFont="1" applyFill="1" applyBorder="1" applyAlignment="1">
      <alignment vertical="center"/>
    </xf>
    <xf numFmtId="0" fontId="3" fillId="12" borderId="20" xfId="0" applyFont="1" applyFill="1" applyBorder="1" applyAlignment="1">
      <alignment horizontal="center" vertical="center"/>
    </xf>
    <xf numFmtId="164" fontId="3" fillId="12" borderId="19" xfId="0" applyNumberFormat="1" applyFont="1" applyFill="1" applyBorder="1" applyAlignment="1">
      <alignment vertical="center"/>
    </xf>
    <xf numFmtId="164" fontId="3" fillId="12" borderId="2" xfId="0" applyNumberFormat="1" applyFont="1" applyFill="1" applyBorder="1" applyAlignment="1">
      <alignment vertical="center"/>
    </xf>
    <xf numFmtId="164" fontId="3" fillId="12" borderId="3" xfId="0" applyNumberFormat="1" applyFont="1" applyFill="1" applyBorder="1" applyAlignment="1">
      <alignment horizontal="center" vertical="center"/>
    </xf>
    <xf numFmtId="164" fontId="3" fillId="12" borderId="20" xfId="0" applyNumberFormat="1" applyFont="1" applyFill="1" applyBorder="1" applyAlignment="1">
      <alignment horizontal="center" vertical="center"/>
    </xf>
    <xf numFmtId="1" fontId="22" fillId="2" borderId="1" xfId="1" applyNumberFormat="1" applyFont="1" applyFill="1" applyBorder="1" applyAlignment="1">
      <alignment horizontal="center" vertical="center"/>
    </xf>
    <xf numFmtId="164" fontId="22" fillId="2" borderId="1" xfId="1" applyNumberFormat="1" applyFont="1" applyFill="1" applyBorder="1" applyAlignment="1">
      <alignment horizontal="center" vertical="center"/>
    </xf>
    <xf numFmtId="0" fontId="3" fillId="12" borderId="0" xfId="0" applyFont="1" applyFill="1"/>
    <xf numFmtId="0" fontId="24" fillId="12" borderId="15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vertical="center"/>
    </xf>
    <xf numFmtId="0" fontId="24" fillId="12" borderId="1" xfId="0" applyFont="1" applyFill="1" applyBorder="1" applyAlignment="1">
      <alignment horizontal="center"/>
    </xf>
    <xf numFmtId="0" fontId="24" fillId="12" borderId="1" xfId="0" applyFont="1" applyFill="1" applyBorder="1" applyAlignment="1">
      <alignment horizontal="left" vertical="center"/>
    </xf>
    <xf numFmtId="164" fontId="24" fillId="12" borderId="20" xfId="0" applyNumberFormat="1" applyFont="1" applyFill="1" applyBorder="1" applyAlignment="1">
      <alignment horizontal="center" vertical="center"/>
    </xf>
    <xf numFmtId="164" fontId="24" fillId="12" borderId="19" xfId="0" applyNumberFormat="1" applyFont="1" applyFill="1" applyBorder="1" applyAlignment="1">
      <alignment vertical="center"/>
    </xf>
    <xf numFmtId="164" fontId="24" fillId="12" borderId="2" xfId="0" applyNumberFormat="1" applyFont="1" applyFill="1" applyBorder="1" applyAlignment="1">
      <alignment vertical="center"/>
    </xf>
    <xf numFmtId="164" fontId="24" fillId="12" borderId="3" xfId="0" applyNumberFormat="1" applyFont="1" applyFill="1" applyBorder="1" applyAlignment="1">
      <alignment horizontal="center" vertical="center"/>
    </xf>
    <xf numFmtId="0" fontId="24" fillId="12" borderId="0" xfId="0" applyFont="1" applyFill="1"/>
    <xf numFmtId="0" fontId="24" fillId="12" borderId="1" xfId="0" applyFont="1" applyFill="1" applyBorder="1" applyAlignment="1">
      <alignment horizontal="center" vertical="center"/>
    </xf>
    <xf numFmtId="164" fontId="24" fillId="12" borderId="19" xfId="0" applyNumberFormat="1" applyFont="1" applyFill="1" applyBorder="1" applyAlignment="1">
      <alignment horizontal="center" vertical="center"/>
    </xf>
    <xf numFmtId="9" fontId="24" fillId="12" borderId="20" xfId="1" applyFont="1" applyFill="1" applyBorder="1" applyAlignment="1">
      <alignment horizontal="center" vertical="center"/>
    </xf>
    <xf numFmtId="0" fontId="24" fillId="12" borderId="0" xfId="0" applyFont="1" applyFill="1" applyAlignment="1">
      <alignment horizontal="center"/>
    </xf>
    <xf numFmtId="0" fontId="3" fillId="0" borderId="1" xfId="0" applyFont="1" applyBorder="1" applyAlignment="1">
      <alignment horizontal="left"/>
    </xf>
    <xf numFmtId="0" fontId="4" fillId="7" borderId="8" xfId="0" applyFont="1" applyFill="1" applyBorder="1" applyAlignment="1">
      <alignment vertical="center"/>
    </xf>
    <xf numFmtId="10" fontId="3" fillId="0" borderId="1" xfId="1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0" fillId="0" borderId="48" xfId="0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vertical="center"/>
    </xf>
    <xf numFmtId="0" fontId="3" fillId="7" borderId="19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1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6" borderId="1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left" vertical="center"/>
    </xf>
    <xf numFmtId="0" fontId="3" fillId="6" borderId="1" xfId="0" quotePrefix="1" applyFont="1" applyFill="1" applyBorder="1" applyAlignment="1">
      <alignment horizontal="left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10" fontId="24" fillId="6" borderId="1" xfId="0" applyNumberFormat="1" applyFont="1" applyFill="1" applyBorder="1" applyAlignment="1">
      <alignment horizontal="left"/>
    </xf>
    <xf numFmtId="0" fontId="3" fillId="6" borderId="0" xfId="0" applyFont="1" applyFill="1" applyAlignment="1">
      <alignment horizontal="left"/>
    </xf>
    <xf numFmtId="0" fontId="24" fillId="6" borderId="15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vertical="center"/>
    </xf>
    <xf numFmtId="164" fontId="24" fillId="6" borderId="1" xfId="0" applyNumberFormat="1" applyFont="1" applyFill="1" applyBorder="1" applyAlignment="1">
      <alignment vertical="center"/>
    </xf>
    <xf numFmtId="0" fontId="24" fillId="6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left" vertical="center"/>
    </xf>
    <xf numFmtId="164" fontId="24" fillId="6" borderId="20" xfId="0" applyNumberFormat="1" applyFont="1" applyFill="1" applyBorder="1" applyAlignment="1">
      <alignment horizontal="center" vertical="center"/>
    </xf>
    <xf numFmtId="164" fontId="24" fillId="6" borderId="19" xfId="0" applyNumberFormat="1" applyFont="1" applyFill="1" applyBorder="1" applyAlignment="1">
      <alignment vertical="center"/>
    </xf>
    <xf numFmtId="164" fontId="24" fillId="6" borderId="2" xfId="0" applyNumberFormat="1" applyFont="1" applyFill="1" applyBorder="1" applyAlignment="1">
      <alignment vertical="center"/>
    </xf>
    <xf numFmtId="164" fontId="24" fillId="6" borderId="3" xfId="0" applyNumberFormat="1" applyFont="1" applyFill="1" applyBorder="1" applyAlignment="1">
      <alignment horizontal="center" vertical="center"/>
    </xf>
    <xf numFmtId="0" fontId="24" fillId="6" borderId="1" xfId="0" applyFont="1" applyFill="1" applyBorder="1"/>
    <xf numFmtId="0" fontId="24" fillId="6" borderId="0" xfId="0" applyFont="1" applyFill="1"/>
    <xf numFmtId="0" fontId="24" fillId="6" borderId="1" xfId="0" applyFont="1" applyFill="1" applyBorder="1" applyAlignment="1">
      <alignment horizontal="center" vertical="center"/>
    </xf>
    <xf numFmtId="164" fontId="24" fillId="6" borderId="1" xfId="0" applyNumberFormat="1" applyFont="1" applyFill="1" applyBorder="1" applyAlignment="1">
      <alignment horizontal="center" vertical="center"/>
    </xf>
    <xf numFmtId="164" fontId="24" fillId="6" borderId="35" xfId="0" applyNumberFormat="1" applyFont="1" applyFill="1" applyBorder="1" applyAlignment="1">
      <alignment horizontal="center" vertical="center"/>
    </xf>
    <xf numFmtId="9" fontId="24" fillId="6" borderId="11" xfId="1" applyFont="1" applyFill="1" applyBorder="1" applyAlignment="1">
      <alignment horizontal="center" vertical="center"/>
    </xf>
    <xf numFmtId="164" fontId="24" fillId="6" borderId="12" xfId="0" applyNumberFormat="1" applyFont="1" applyFill="1" applyBorder="1" applyAlignment="1">
      <alignment horizontal="center" vertical="center"/>
    </xf>
    <xf numFmtId="9" fontId="24" fillId="6" borderId="36" xfId="1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9" fontId="24" fillId="0" borderId="1" xfId="0" applyNumberFormat="1" applyFont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2" fillId="0" borderId="0" xfId="0" applyFont="1"/>
    <xf numFmtId="9" fontId="3" fillId="12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41" fontId="2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vertical="center"/>
    </xf>
    <xf numFmtId="14" fontId="19" fillId="0" borderId="1" xfId="0" applyNumberFormat="1" applyFont="1" applyBorder="1" applyAlignment="1">
      <alignment vertical="center"/>
    </xf>
    <xf numFmtId="14" fontId="19" fillId="7" borderId="1" xfId="0" applyNumberFormat="1" applyFont="1" applyFill="1" applyBorder="1" applyAlignment="1">
      <alignment horizontal="right" vertical="center"/>
    </xf>
    <xf numFmtId="41" fontId="6" fillId="0" borderId="1" xfId="0" quotePrefix="1" applyNumberFormat="1" applyFont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/>
    </xf>
    <xf numFmtId="41" fontId="6" fillId="0" borderId="1" xfId="0" applyNumberFormat="1" applyFont="1" applyBorder="1" applyAlignment="1">
      <alignment vertical="center"/>
    </xf>
    <xf numFmtId="41" fontId="0" fillId="0" borderId="0" xfId="0" applyNumberFormat="1"/>
    <xf numFmtId="0" fontId="14" fillId="0" borderId="1" xfId="0" applyFont="1" applyBorder="1" applyAlignment="1">
      <alignment horizontal="center" vertical="center"/>
    </xf>
    <xf numFmtId="41" fontId="14" fillId="0" borderId="1" xfId="0" applyNumberFormat="1" applyFont="1" applyBorder="1" applyAlignment="1">
      <alignment horizontal="center" vertical="center"/>
    </xf>
    <xf numFmtId="41" fontId="14" fillId="0" borderId="1" xfId="0" applyNumberFormat="1" applyFont="1" applyBorder="1" applyAlignment="1">
      <alignment vertical="center"/>
    </xf>
    <xf numFmtId="41" fontId="0" fillId="12" borderId="0" xfId="0" applyNumberFormat="1" applyFill="1"/>
    <xf numFmtId="14" fontId="19" fillId="4" borderId="1" xfId="0" applyNumberFormat="1" applyFont="1" applyFill="1" applyBorder="1" applyAlignment="1">
      <alignment horizontal="right" vertical="center"/>
    </xf>
    <xf numFmtId="41" fontId="6" fillId="4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6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vertical="center"/>
    </xf>
    <xf numFmtId="14" fontId="26" fillId="6" borderId="1" xfId="0" applyNumberFormat="1" applyFont="1" applyFill="1" applyBorder="1" applyAlignment="1">
      <alignment vertical="center"/>
    </xf>
    <xf numFmtId="14" fontId="26" fillId="6" borderId="1" xfId="0" applyNumberFormat="1" applyFont="1" applyFill="1" applyBorder="1" applyAlignment="1">
      <alignment horizontal="right" vertical="center"/>
    </xf>
    <xf numFmtId="41" fontId="26" fillId="6" borderId="1" xfId="0" quotePrefix="1" applyNumberFormat="1" applyFont="1" applyFill="1" applyBorder="1" applyAlignment="1">
      <alignment horizontal="center" vertical="center"/>
    </xf>
    <xf numFmtId="41" fontId="26" fillId="6" borderId="1" xfId="0" applyNumberFormat="1" applyFont="1" applyFill="1" applyBorder="1" applyAlignment="1">
      <alignment horizontal="center" vertical="center"/>
    </xf>
    <xf numFmtId="41" fontId="26" fillId="6" borderId="1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4" fontId="13" fillId="0" borderId="1" xfId="0" applyNumberFormat="1" applyFont="1" applyBorder="1" applyAlignment="1">
      <alignment vertical="center"/>
    </xf>
    <xf numFmtId="14" fontId="13" fillId="0" borderId="1" xfId="0" applyNumberFormat="1" applyFont="1" applyBorder="1" applyAlignment="1">
      <alignment horizontal="right" vertical="center"/>
    </xf>
    <xf numFmtId="41" fontId="13" fillId="0" borderId="1" xfId="0" quotePrefix="1" applyNumberFormat="1" applyFont="1" applyBorder="1" applyAlignment="1">
      <alignment horizontal="center" vertical="center"/>
    </xf>
    <xf numFmtId="41" fontId="13" fillId="0" borderId="1" xfId="0" applyNumberFormat="1" applyFont="1" applyBorder="1" applyAlignment="1">
      <alignment horizontal="center" vertical="center"/>
    </xf>
    <xf numFmtId="41" fontId="13" fillId="0" borderId="1" xfId="0" applyNumberFormat="1" applyFont="1" applyBorder="1" applyAlignment="1">
      <alignment vertical="center"/>
    </xf>
    <xf numFmtId="41" fontId="6" fillId="13" borderId="1" xfId="0" quotePrefix="1" applyNumberFormat="1" applyFont="1" applyFill="1" applyBorder="1" applyAlignment="1">
      <alignment horizontal="center" vertical="center"/>
    </xf>
    <xf numFmtId="41" fontId="6" fillId="13" borderId="1" xfId="0" applyNumberFormat="1" applyFont="1" applyFill="1" applyBorder="1" applyAlignment="1">
      <alignment vertical="center"/>
    </xf>
    <xf numFmtId="14" fontId="19" fillId="14" borderId="1" xfId="0" applyNumberFormat="1" applyFont="1" applyFill="1" applyBorder="1" applyAlignment="1">
      <alignment horizontal="right" vertical="center"/>
    </xf>
    <xf numFmtId="41" fontId="6" fillId="14" borderId="1" xfId="0" applyNumberFormat="1" applyFont="1" applyFill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14" fontId="19" fillId="15" borderId="1" xfId="0" applyNumberFormat="1" applyFont="1" applyFill="1" applyBorder="1" applyAlignment="1">
      <alignment horizontal="right" vertical="center"/>
    </xf>
    <xf numFmtId="41" fontId="6" fillId="15" borderId="1" xfId="0" applyNumberFormat="1" applyFont="1" applyFill="1" applyBorder="1" applyAlignment="1">
      <alignment vertical="center"/>
    </xf>
    <xf numFmtId="14" fontId="28" fillId="6" borderId="1" xfId="0" applyNumberFormat="1" applyFont="1" applyFill="1" applyBorder="1" applyAlignment="1">
      <alignment vertical="center"/>
    </xf>
    <xf numFmtId="14" fontId="28" fillId="6" borderId="1" xfId="0" applyNumberFormat="1" applyFont="1" applyFill="1" applyBorder="1" applyAlignment="1">
      <alignment horizontal="right" vertical="center"/>
    </xf>
    <xf numFmtId="14" fontId="19" fillId="0" borderId="1" xfId="0" applyNumberFormat="1" applyFont="1" applyBorder="1" applyAlignment="1">
      <alignment horizontal="right" vertical="center"/>
    </xf>
    <xf numFmtId="14" fontId="19" fillId="13" borderId="1" xfId="0" applyNumberFormat="1" applyFont="1" applyFill="1" applyBorder="1" applyAlignment="1">
      <alignment horizontal="right" vertical="center"/>
    </xf>
    <xf numFmtId="41" fontId="6" fillId="14" borderId="1" xfId="0" quotePrefix="1" applyNumberFormat="1" applyFont="1" applyFill="1" applyBorder="1" applyAlignment="1">
      <alignment horizontal="center" vertical="center"/>
    </xf>
    <xf numFmtId="14" fontId="6" fillId="0" borderId="1" xfId="0" applyNumberFormat="1" applyFont="1" applyBorder="1"/>
    <xf numFmtId="0" fontId="6" fillId="14" borderId="1" xfId="0" quotePrefix="1" applyFont="1" applyFill="1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41" fontId="15" fillId="0" borderId="1" xfId="0" applyNumberFormat="1" applyFont="1" applyBorder="1" applyAlignment="1">
      <alignment horizontal="center" vertical="center"/>
    </xf>
    <xf numFmtId="41" fontId="19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69" fontId="19" fillId="0" borderId="1" xfId="0" applyNumberFormat="1" applyFont="1" applyBorder="1"/>
    <xf numFmtId="0" fontId="15" fillId="0" borderId="1" xfId="0" applyFont="1" applyBorder="1" applyAlignment="1">
      <alignment vertical="center"/>
    </xf>
    <xf numFmtId="0" fontId="19" fillId="0" borderId="1" xfId="0" quotePrefix="1" applyFont="1" applyBorder="1" applyAlignment="1">
      <alignment horizontal="center" vertical="center"/>
    </xf>
    <xf numFmtId="41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49" fontId="27" fillId="0" borderId="1" xfId="0" applyNumberFormat="1" applyFont="1" applyBorder="1" applyAlignment="1">
      <alignment vertical="center"/>
    </xf>
    <xf numFmtId="14" fontId="27" fillId="0" borderId="1" xfId="0" applyNumberFormat="1" applyFont="1" applyBorder="1" applyAlignment="1">
      <alignment vertical="center"/>
    </xf>
    <xf numFmtId="14" fontId="27" fillId="0" borderId="1" xfId="0" applyNumberFormat="1" applyFont="1" applyBorder="1" applyAlignment="1">
      <alignment horizontal="right" vertical="center"/>
    </xf>
    <xf numFmtId="41" fontId="27" fillId="0" borderId="1" xfId="0" applyNumberFormat="1" applyFont="1" applyBorder="1" applyAlignment="1">
      <alignment horizontal="center" vertical="center"/>
    </xf>
    <xf numFmtId="41" fontId="27" fillId="0" borderId="1" xfId="0" applyNumberFormat="1" applyFont="1" applyBorder="1" applyAlignment="1">
      <alignment vertical="center"/>
    </xf>
    <xf numFmtId="49" fontId="19" fillId="0" borderId="1" xfId="0" applyNumberFormat="1" applyFont="1" applyBorder="1" applyAlignment="1">
      <alignment vertical="center"/>
    </xf>
    <xf numFmtId="41" fontId="19" fillId="0" borderId="1" xfId="0" quotePrefix="1" applyNumberFormat="1" applyFont="1" applyBorder="1" applyAlignment="1">
      <alignment horizontal="center" vertical="center"/>
    </xf>
    <xf numFmtId="41" fontId="19" fillId="7" borderId="1" xfId="0" applyNumberFormat="1" applyFont="1" applyFill="1" applyBorder="1" applyAlignment="1">
      <alignment vertical="center"/>
    </xf>
    <xf numFmtId="49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69" fontId="19" fillId="0" borderId="1" xfId="0" applyNumberFormat="1" applyFont="1" applyBorder="1" applyAlignment="1">
      <alignment horizontal="left"/>
    </xf>
    <xf numFmtId="49" fontId="19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41" fontId="19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left" vertical="center"/>
    </xf>
    <xf numFmtId="169" fontId="27" fillId="0" borderId="1" xfId="0" applyNumberFormat="1" applyFont="1" applyBorder="1"/>
    <xf numFmtId="169" fontId="15" fillId="0" borderId="1" xfId="0" applyNumberFormat="1" applyFont="1" applyBorder="1"/>
    <xf numFmtId="41" fontId="15" fillId="0" borderId="1" xfId="0" applyNumberFormat="1" applyFont="1" applyBorder="1" applyAlignment="1">
      <alignment vertical="center"/>
    </xf>
    <xf numFmtId="41" fontId="19" fillId="4" borderId="1" xfId="0" applyNumberFormat="1" applyFont="1" applyFill="1" applyBorder="1" applyAlignment="1">
      <alignment vertical="center"/>
    </xf>
    <xf numFmtId="41" fontId="19" fillId="15" borderId="1" xfId="0" applyNumberFormat="1" applyFont="1" applyFill="1" applyBorder="1" applyAlignment="1">
      <alignment vertical="center"/>
    </xf>
    <xf numFmtId="0" fontId="19" fillId="0" borderId="1" xfId="0" applyFont="1" applyBorder="1"/>
    <xf numFmtId="41" fontId="0" fillId="8" borderId="0" xfId="0" applyNumberFormat="1" applyFill="1"/>
    <xf numFmtId="0" fontId="27" fillId="0" borderId="1" xfId="0" applyFont="1" applyBorder="1"/>
    <xf numFmtId="169" fontId="19" fillId="0" borderId="1" xfId="0" applyNumberFormat="1" applyFont="1" applyBorder="1" applyAlignment="1">
      <alignment vertical="center"/>
    </xf>
    <xf numFmtId="169" fontId="27" fillId="0" borderId="1" xfId="0" applyNumberFormat="1" applyFont="1" applyBorder="1" applyAlignment="1">
      <alignment vertical="center"/>
    </xf>
    <xf numFmtId="169" fontId="19" fillId="0" borderId="0" xfId="0" applyNumberFormat="1" applyFont="1" applyAlignment="1">
      <alignment horizontal="left" vertical="center"/>
    </xf>
    <xf numFmtId="169" fontId="15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right" vertical="center"/>
    </xf>
    <xf numFmtId="0" fontId="15" fillId="7" borderId="1" xfId="0" applyFont="1" applyFill="1" applyBorder="1" applyAlignment="1">
      <alignment horizontal="center" vertical="center"/>
    </xf>
    <xf numFmtId="14" fontId="19" fillId="7" borderId="1" xfId="0" applyNumberFormat="1" applyFont="1" applyFill="1" applyBorder="1" applyAlignment="1">
      <alignment vertical="center"/>
    </xf>
    <xf numFmtId="41" fontId="19" fillId="7" borderId="1" xfId="0" quotePrefix="1" applyNumberFormat="1" applyFont="1" applyFill="1" applyBorder="1" applyAlignment="1">
      <alignment horizontal="center" vertical="center"/>
    </xf>
    <xf numFmtId="41" fontId="19" fillId="7" borderId="1" xfId="0" applyNumberFormat="1" applyFont="1" applyFill="1" applyBorder="1" applyAlignment="1">
      <alignment horizontal="center" vertical="center"/>
    </xf>
    <xf numFmtId="14" fontId="19" fillId="6" borderId="1" xfId="0" applyNumberFormat="1" applyFont="1" applyFill="1" applyBorder="1" applyAlignment="1">
      <alignment vertical="center"/>
    </xf>
    <xf numFmtId="14" fontId="19" fillId="6" borderId="1" xfId="0" applyNumberFormat="1" applyFont="1" applyFill="1" applyBorder="1" applyAlignment="1">
      <alignment horizontal="right" vertical="center"/>
    </xf>
    <xf numFmtId="41" fontId="19" fillId="6" borderId="1" xfId="0" quotePrefix="1" applyNumberFormat="1" applyFont="1" applyFill="1" applyBorder="1" applyAlignment="1">
      <alignment horizontal="center" vertical="center"/>
    </xf>
    <xf numFmtId="41" fontId="19" fillId="6" borderId="1" xfId="0" applyNumberFormat="1" applyFont="1" applyFill="1" applyBorder="1" applyAlignment="1">
      <alignment vertical="center"/>
    </xf>
    <xf numFmtId="169" fontId="13" fillId="0" borderId="1" xfId="0" applyNumberFormat="1" applyFont="1" applyBorder="1" applyAlignment="1">
      <alignment horizontal="center" vertical="center"/>
    </xf>
    <xf numFmtId="0" fontId="29" fillId="6" borderId="1" xfId="0" applyFont="1" applyFill="1" applyBorder="1" applyAlignment="1">
      <alignment vertical="center"/>
    </xf>
    <xf numFmtId="169" fontId="26" fillId="6" borderId="1" xfId="0" applyNumberFormat="1" applyFont="1" applyFill="1" applyBorder="1" applyAlignment="1">
      <alignment horizontal="left" vertical="center"/>
    </xf>
    <xf numFmtId="41" fontId="29" fillId="6" borderId="1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vertical="center"/>
    </xf>
    <xf numFmtId="14" fontId="28" fillId="8" borderId="1" xfId="0" applyNumberFormat="1" applyFont="1" applyFill="1" applyBorder="1" applyAlignment="1">
      <alignment vertical="center"/>
    </xf>
    <xf numFmtId="14" fontId="28" fillId="8" borderId="1" xfId="0" applyNumberFormat="1" applyFont="1" applyFill="1" applyBorder="1" applyAlignment="1">
      <alignment horizontal="right" vertical="center"/>
    </xf>
    <xf numFmtId="41" fontId="28" fillId="8" borderId="1" xfId="0" applyNumberFormat="1" applyFont="1" applyFill="1" applyBorder="1" applyAlignment="1">
      <alignment horizontal="center" vertical="center"/>
    </xf>
    <xf numFmtId="41" fontId="26" fillId="8" borderId="1" xfId="0" applyNumberFormat="1" applyFont="1" applyFill="1" applyBorder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41" fontId="19" fillId="0" borderId="0" xfId="0" applyNumberFormat="1" applyFont="1" applyAlignment="1">
      <alignment horizontal="center" vertical="center"/>
    </xf>
    <xf numFmtId="41" fontId="19" fillId="0" borderId="0" xfId="0" applyNumberFormat="1" applyFont="1" applyAlignment="1">
      <alignment vertical="center"/>
    </xf>
    <xf numFmtId="0" fontId="30" fillId="0" borderId="0" xfId="0" applyFont="1" applyAlignment="1">
      <alignment horizontal="left" vertical="center"/>
    </xf>
    <xf numFmtId="41" fontId="19" fillId="0" borderId="0" xfId="0" applyNumberFormat="1" applyFont="1"/>
    <xf numFmtId="0" fontId="30" fillId="0" borderId="0" xfId="0" applyFont="1" applyAlignment="1">
      <alignment horizontal="left"/>
    </xf>
    <xf numFmtId="164" fontId="19" fillId="0" borderId="0" xfId="0" applyNumberFormat="1" applyFont="1"/>
    <xf numFmtId="164" fontId="19" fillId="0" borderId="0" xfId="2" applyNumberFormat="1" applyFont="1" applyFill="1"/>
    <xf numFmtId="0" fontId="28" fillId="0" borderId="0" xfId="0" applyFont="1" applyAlignment="1">
      <alignment vertical="center"/>
    </xf>
    <xf numFmtId="164" fontId="28" fillId="0" borderId="0" xfId="0" applyNumberFormat="1" applyFont="1" applyAlignment="1">
      <alignment vertical="center"/>
    </xf>
    <xf numFmtId="14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right" vertical="center"/>
    </xf>
    <xf numFmtId="0" fontId="28" fillId="4" borderId="0" xfId="0" applyFont="1" applyFill="1" applyAlignment="1">
      <alignment horizontal="left" vertical="center"/>
    </xf>
    <xf numFmtId="164" fontId="28" fillId="4" borderId="0" xfId="0" applyNumberFormat="1" applyFont="1" applyFill="1" applyAlignment="1">
      <alignment vertical="center"/>
    </xf>
    <xf numFmtId="0" fontId="28" fillId="15" borderId="0" xfId="0" applyFont="1" applyFill="1" applyAlignment="1">
      <alignment vertical="center"/>
    </xf>
    <xf numFmtId="164" fontId="28" fillId="15" borderId="0" xfId="0" applyNumberFormat="1" applyFont="1" applyFill="1" applyAlignment="1">
      <alignment vertical="center"/>
    </xf>
    <xf numFmtId="0" fontId="28" fillId="13" borderId="0" xfId="0" applyFont="1" applyFill="1" applyAlignment="1">
      <alignment vertical="center"/>
    </xf>
    <xf numFmtId="164" fontId="28" fillId="13" borderId="0" xfId="0" applyNumberFormat="1" applyFont="1" applyFill="1" applyAlignment="1">
      <alignment vertical="center"/>
    </xf>
    <xf numFmtId="0" fontId="28" fillId="14" borderId="0" xfId="0" applyFont="1" applyFill="1" applyAlignment="1">
      <alignment vertical="center"/>
    </xf>
    <xf numFmtId="164" fontId="28" fillId="14" borderId="0" xfId="0" applyNumberFormat="1" applyFont="1" applyFill="1" applyAlignment="1">
      <alignment vertical="center"/>
    </xf>
    <xf numFmtId="0" fontId="28" fillId="0" borderId="0" xfId="0" applyFont="1" applyAlignment="1">
      <alignment horizontal="center" vertical="center"/>
    </xf>
    <xf numFmtId="164" fontId="25" fillId="0" borderId="51" xfId="2" applyNumberFormat="1" applyFont="1" applyFill="1" applyBorder="1" applyAlignment="1">
      <alignment horizontal="center" vertical="center"/>
    </xf>
    <xf numFmtId="168" fontId="17" fillId="4" borderId="52" xfId="5" applyFont="1" applyFill="1" applyBorder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32" xfId="0" applyFont="1" applyBorder="1" applyAlignment="1">
      <alignment horizontal="left" vertical="center" indent="1"/>
    </xf>
    <xf numFmtId="0" fontId="17" fillId="0" borderId="33" xfId="0" applyFont="1" applyBorder="1" applyAlignment="1">
      <alignment vertical="center"/>
    </xf>
    <xf numFmtId="168" fontId="20" fillId="0" borderId="36" xfId="5" applyFont="1" applyBorder="1" applyAlignment="1">
      <alignment vertical="center"/>
    </xf>
    <xf numFmtId="2" fontId="17" fillId="0" borderId="7" xfId="0" applyNumberFormat="1" applyFont="1" applyBorder="1" applyAlignment="1">
      <alignment vertical="center"/>
    </xf>
    <xf numFmtId="0" fontId="20" fillId="0" borderId="7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indent="1"/>
    </xf>
    <xf numFmtId="0" fontId="20" fillId="0" borderId="7" xfId="0" applyFont="1" applyBorder="1" applyAlignment="1">
      <alignment horizontal="left" vertical="center"/>
    </xf>
    <xf numFmtId="168" fontId="20" fillId="0" borderId="20" xfId="5" applyFont="1" applyBorder="1" applyAlignment="1">
      <alignment vertical="center"/>
    </xf>
    <xf numFmtId="2" fontId="17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168" fontId="20" fillId="0" borderId="25" xfId="5" applyFont="1" applyBorder="1" applyAlignment="1">
      <alignment vertical="center"/>
    </xf>
    <xf numFmtId="2" fontId="17" fillId="0" borderId="24" xfId="0" applyNumberFormat="1" applyFont="1" applyBorder="1" applyAlignment="1">
      <alignment vertical="center"/>
    </xf>
    <xf numFmtId="0" fontId="20" fillId="0" borderId="24" xfId="0" applyFont="1" applyBorder="1" applyAlignment="1">
      <alignment horizontal="center" vertical="center"/>
    </xf>
    <xf numFmtId="0" fontId="20" fillId="0" borderId="24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 indent="1"/>
    </xf>
    <xf numFmtId="168" fontId="31" fillId="0" borderId="53" xfId="5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4" fillId="6" borderId="1" xfId="0" applyNumberFormat="1" applyFont="1" applyFill="1" applyBorder="1"/>
    <xf numFmtId="1" fontId="14" fillId="6" borderId="3" xfId="0" applyNumberFormat="1" applyFont="1" applyFill="1" applyBorder="1"/>
    <xf numFmtId="41" fontId="32" fillId="0" borderId="0" xfId="0" applyNumberFormat="1" applyFont="1"/>
    <xf numFmtId="9" fontId="6" fillId="7" borderId="0" xfId="1" applyFont="1" applyFill="1"/>
    <xf numFmtId="0" fontId="33" fillId="13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0" fillId="0" borderId="37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9" fillId="6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8" fillId="6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left" vertical="center"/>
    </xf>
    <xf numFmtId="41" fontId="29" fillId="8" borderId="1" xfId="0" applyNumberFormat="1" applyFont="1" applyFill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41" fontId="6" fillId="0" borderId="7" xfId="0" quotePrefix="1" applyNumberFormat="1" applyFont="1" applyBorder="1" applyAlignment="1">
      <alignment horizontal="center" vertical="center"/>
    </xf>
    <xf numFmtId="41" fontId="14" fillId="0" borderId="7" xfId="0" applyNumberFormat="1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right" vertical="center"/>
    </xf>
    <xf numFmtId="169" fontId="19" fillId="0" borderId="1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41" fontId="6" fillId="0" borderId="7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27" fillId="0" borderId="20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25" fillId="0" borderId="55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41" fontId="25" fillId="0" borderId="54" xfId="0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14" fontId="19" fillId="0" borderId="8" xfId="0" applyNumberFormat="1" applyFont="1" applyBorder="1" applyAlignment="1">
      <alignment horizontal="right" vertical="center"/>
    </xf>
    <xf numFmtId="41" fontId="26" fillId="6" borderId="54" xfId="0" applyNumberFormat="1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left" vertical="center"/>
    </xf>
    <xf numFmtId="14" fontId="19" fillId="14" borderId="8" xfId="0" applyNumberFormat="1" applyFont="1" applyFill="1" applyBorder="1" applyAlignment="1">
      <alignment horizontal="right" vertical="center"/>
    </xf>
    <xf numFmtId="0" fontId="19" fillId="0" borderId="8" xfId="0" quotePrefix="1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41" fontId="19" fillId="0" borderId="7" xfId="0" applyNumberFormat="1" applyFon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169" fontId="19" fillId="0" borderId="8" xfId="0" applyNumberFormat="1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28" fillId="6" borderId="53" xfId="0" applyFont="1" applyFill="1" applyBorder="1" applyAlignment="1">
      <alignment horizontal="left" vertical="center"/>
    </xf>
    <xf numFmtId="41" fontId="13" fillId="0" borderId="7" xfId="0" applyNumberFormat="1" applyFont="1" applyBorder="1" applyAlignment="1">
      <alignment horizontal="center" vertical="center"/>
    </xf>
    <xf numFmtId="41" fontId="29" fillId="8" borderId="53" xfId="0" applyNumberFormat="1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1" fontId="19" fillId="0" borderId="8" xfId="0" applyNumberFormat="1" applyFont="1" applyBorder="1" applyAlignment="1">
      <alignment horizontal="center" vertical="center"/>
    </xf>
    <xf numFmtId="41" fontId="19" fillId="14" borderId="8" xfId="0" applyNumberFormat="1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41" fontId="19" fillId="14" borderId="1" xfId="0" applyNumberFormat="1" applyFont="1" applyFill="1" applyBorder="1" applyAlignment="1">
      <alignment horizontal="center" vertical="center"/>
    </xf>
    <xf numFmtId="49" fontId="27" fillId="0" borderId="7" xfId="0" applyNumberFormat="1" applyFont="1" applyBorder="1" applyAlignment="1">
      <alignment horizontal="center" vertical="center"/>
    </xf>
    <xf numFmtId="41" fontId="27" fillId="0" borderId="7" xfId="0" applyNumberFormat="1" applyFont="1" applyBorder="1" applyAlignment="1">
      <alignment horizontal="center" vertical="center"/>
    </xf>
    <xf numFmtId="41" fontId="19" fillId="15" borderId="1" xfId="0" applyNumberFormat="1" applyFont="1" applyFill="1" applyBorder="1" applyAlignment="1">
      <alignment horizontal="center" vertical="center"/>
    </xf>
    <xf numFmtId="41" fontId="6" fillId="0" borderId="0" xfId="0" applyNumberFormat="1" applyFont="1" applyAlignment="1">
      <alignment horizontal="center" vertical="center"/>
    </xf>
    <xf numFmtId="41" fontId="26" fillId="8" borderId="54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169" fontId="19" fillId="0" borderId="7" xfId="0" applyNumberFormat="1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right" vertical="center"/>
    </xf>
    <xf numFmtId="14" fontId="6" fillId="0" borderId="7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64" fontId="28" fillId="14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left" vertical="center"/>
    </xf>
    <xf numFmtId="164" fontId="28" fillId="0" borderId="0" xfId="0" applyNumberFormat="1" applyFont="1" applyAlignment="1">
      <alignment horizontal="left" vertical="center"/>
    </xf>
    <xf numFmtId="0" fontId="28" fillId="15" borderId="0" xfId="0" applyFont="1" applyFill="1" applyAlignment="1">
      <alignment horizontal="left" vertical="center"/>
    </xf>
    <xf numFmtId="164" fontId="28" fillId="15" borderId="0" xfId="0" applyNumberFormat="1" applyFont="1" applyFill="1" applyAlignment="1">
      <alignment horizontal="left" vertical="center"/>
    </xf>
    <xf numFmtId="0" fontId="28" fillId="13" borderId="0" xfId="0" applyFont="1" applyFill="1" applyAlignment="1">
      <alignment horizontal="left" vertical="center"/>
    </xf>
    <xf numFmtId="164" fontId="28" fillId="13" borderId="0" xfId="0" applyNumberFormat="1" applyFont="1" applyFill="1" applyAlignment="1">
      <alignment horizontal="left" vertical="center"/>
    </xf>
    <xf numFmtId="0" fontId="28" fillId="14" borderId="0" xfId="0" applyFont="1" applyFill="1" applyAlignment="1">
      <alignment horizontal="left" vertical="center"/>
    </xf>
    <xf numFmtId="164" fontId="25" fillId="0" borderId="51" xfId="2" applyNumberFormat="1" applyFont="1" applyFill="1" applyBorder="1" applyAlignment="1">
      <alignment horizontal="left" vertical="center"/>
    </xf>
    <xf numFmtId="41" fontId="4" fillId="0" borderId="0" xfId="0" applyNumberFormat="1" applyFont="1" applyAlignment="1">
      <alignment horizontal="left" vertical="center"/>
    </xf>
    <xf numFmtId="41" fontId="6" fillId="0" borderId="1" xfId="0" applyNumberFormat="1" applyFont="1" applyBorder="1" applyAlignment="1">
      <alignment horizontal="right" vertical="center"/>
    </xf>
    <xf numFmtId="164" fontId="28" fillId="0" borderId="0" xfId="2" applyNumberFormat="1" applyFont="1" applyFill="1" applyAlignment="1">
      <alignment horizontal="left" vertical="center"/>
    </xf>
    <xf numFmtId="14" fontId="28" fillId="0" borderId="0" xfId="0" applyNumberFormat="1" applyFont="1" applyAlignment="1">
      <alignment horizontal="right" vertical="center"/>
    </xf>
    <xf numFmtId="41" fontId="28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164" fontId="28" fillId="0" borderId="0" xfId="0" applyNumberFormat="1" applyFont="1" applyAlignment="1">
      <alignment horizontal="center" vertical="center"/>
    </xf>
    <xf numFmtId="41" fontId="26" fillId="6" borderId="57" xfId="0" applyNumberFormat="1" applyFont="1" applyFill="1" applyBorder="1" applyAlignment="1">
      <alignment horizontal="center" vertical="center"/>
    </xf>
    <xf numFmtId="41" fontId="6" fillId="0" borderId="0" xfId="0" quotePrefix="1" applyNumberFormat="1" applyFont="1" applyAlignment="1">
      <alignment horizontal="center" vertical="center"/>
    </xf>
    <xf numFmtId="164" fontId="28" fillId="0" borderId="0" xfId="0" applyNumberFormat="1" applyFont="1" applyAlignment="1">
      <alignment horizontal="righ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14" fontId="6" fillId="0" borderId="40" xfId="0" applyNumberFormat="1" applyFont="1" applyBorder="1" applyAlignment="1">
      <alignment horizontal="right" vertical="center"/>
    </xf>
    <xf numFmtId="14" fontId="19" fillId="0" borderId="40" xfId="0" applyNumberFormat="1" applyFont="1" applyBorder="1" applyAlignment="1">
      <alignment horizontal="right" vertical="center"/>
    </xf>
    <xf numFmtId="41" fontId="6" fillId="0" borderId="40" xfId="0" quotePrefix="1" applyNumberFormat="1" applyFont="1" applyBorder="1" applyAlignment="1">
      <alignment horizontal="center" vertical="center"/>
    </xf>
    <xf numFmtId="41" fontId="6" fillId="0" borderId="40" xfId="0" applyNumberFormat="1" applyFont="1" applyBorder="1" applyAlignment="1">
      <alignment horizontal="center" vertical="center"/>
    </xf>
    <xf numFmtId="41" fontId="14" fillId="0" borderId="40" xfId="0" applyNumberFormat="1" applyFont="1" applyBorder="1" applyAlignment="1">
      <alignment horizontal="center" vertical="center"/>
    </xf>
    <xf numFmtId="14" fontId="19" fillId="4" borderId="7" xfId="0" applyNumberFormat="1" applyFont="1" applyFill="1" applyBorder="1" applyAlignment="1">
      <alignment horizontal="right" vertical="center"/>
    </xf>
    <xf numFmtId="41" fontId="19" fillId="4" borderId="7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41" fontId="6" fillId="14" borderId="1" xfId="0" applyNumberFormat="1" applyFont="1" applyFill="1" applyBorder="1" applyAlignment="1">
      <alignment horizontal="center" vertical="center"/>
    </xf>
    <xf numFmtId="14" fontId="19" fillId="13" borderId="40" xfId="0" applyNumberFormat="1" applyFont="1" applyFill="1" applyBorder="1" applyAlignment="1">
      <alignment horizontal="right" vertical="center"/>
    </xf>
    <xf numFmtId="41" fontId="19" fillId="13" borderId="40" xfId="0" applyNumberFormat="1" applyFont="1" applyFill="1" applyBorder="1" applyAlignment="1">
      <alignment horizontal="center" vertical="center"/>
    </xf>
    <xf numFmtId="41" fontId="19" fillId="4" borderId="0" xfId="0" applyNumberFormat="1" applyFont="1" applyFill="1" applyAlignment="1">
      <alignment horizontal="center" vertical="center"/>
    </xf>
    <xf numFmtId="41" fontId="19" fillId="13" borderId="1" xfId="0" applyNumberFormat="1" applyFont="1" applyFill="1" applyBorder="1" applyAlignment="1">
      <alignment horizontal="center" vertical="center"/>
    </xf>
    <xf numFmtId="41" fontId="19" fillId="4" borderId="1" xfId="0" applyNumberFormat="1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41" fontId="6" fillId="13" borderId="40" xfId="0" applyNumberFormat="1" applyFont="1" applyFill="1" applyBorder="1" applyAlignment="1">
      <alignment horizontal="center" vertical="center"/>
    </xf>
    <xf numFmtId="0" fontId="19" fillId="0" borderId="41" xfId="0" applyFont="1" applyBorder="1" applyAlignment="1">
      <alignment horizontal="left" vertical="center"/>
    </xf>
    <xf numFmtId="0" fontId="6" fillId="0" borderId="42" xfId="0" applyFont="1" applyBorder="1" applyAlignment="1">
      <alignment horizontal="center" vertical="center"/>
    </xf>
    <xf numFmtId="0" fontId="6" fillId="0" borderId="45" xfId="0" applyFont="1" applyBorder="1" applyAlignment="1">
      <alignment horizontal="left" vertical="center"/>
    </xf>
    <xf numFmtId="0" fontId="6" fillId="0" borderId="45" xfId="0" applyFont="1" applyBorder="1" applyAlignment="1">
      <alignment horizontal="center" vertical="center"/>
    </xf>
    <xf numFmtId="14" fontId="19" fillId="0" borderId="45" xfId="0" applyNumberFormat="1" applyFont="1" applyBorder="1" applyAlignment="1">
      <alignment horizontal="right" vertical="center"/>
    </xf>
    <xf numFmtId="41" fontId="6" fillId="0" borderId="45" xfId="0" quotePrefix="1" applyNumberFormat="1" applyFont="1" applyBorder="1" applyAlignment="1">
      <alignment horizontal="center" vertical="center"/>
    </xf>
    <xf numFmtId="41" fontId="6" fillId="0" borderId="45" xfId="0" applyNumberFormat="1" applyFont="1" applyBorder="1" applyAlignment="1">
      <alignment horizontal="center" vertical="center"/>
    </xf>
    <xf numFmtId="0" fontId="19" fillId="0" borderId="46" xfId="0" applyFont="1" applyBorder="1" applyAlignment="1">
      <alignment horizontal="left" vertical="center"/>
    </xf>
    <xf numFmtId="14" fontId="19" fillId="0" borderId="34" xfId="0" applyNumberFormat="1" applyFont="1" applyBorder="1" applyAlignment="1">
      <alignment horizontal="right" vertical="center"/>
    </xf>
    <xf numFmtId="41" fontId="6" fillId="0" borderId="34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41" fontId="6" fillId="13" borderId="1" xfId="0" applyNumberFormat="1" applyFont="1" applyFill="1" applyBorder="1" applyAlignment="1">
      <alignment horizontal="center" vertical="center"/>
    </xf>
    <xf numFmtId="0" fontId="19" fillId="0" borderId="58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8" fillId="7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 wrapText="1"/>
    </xf>
    <xf numFmtId="0" fontId="7" fillId="7" borderId="46" xfId="0" applyFont="1" applyFill="1" applyBorder="1" applyAlignment="1">
      <alignment horizontal="center" vertical="center" wrapText="1"/>
    </xf>
    <xf numFmtId="0" fontId="7" fillId="6" borderId="17" xfId="0" quotePrefix="1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0" fontId="7" fillId="6" borderId="27" xfId="0" quotePrefix="1" applyFont="1" applyFill="1" applyBorder="1" applyAlignment="1">
      <alignment horizontal="center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7" fillId="7" borderId="37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7" fillId="7" borderId="39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45" xfId="0" applyFont="1" applyFill="1" applyBorder="1" applyAlignment="1">
      <alignment horizontal="center" vertical="center"/>
    </xf>
    <xf numFmtId="0" fontId="17" fillId="4" borderId="56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4" fontId="15" fillId="10" borderId="2" xfId="0" applyNumberFormat="1" applyFont="1" applyFill="1" applyBorder="1" applyAlignment="1">
      <alignment horizontal="center" vertical="center" wrapText="1"/>
    </xf>
    <xf numFmtId="14" fontId="15" fillId="10" borderId="9" xfId="0" applyNumberFormat="1" applyFont="1" applyFill="1" applyBorder="1" applyAlignment="1">
      <alignment horizontal="center" vertical="center" wrapText="1"/>
    </xf>
    <xf numFmtId="14" fontId="15" fillId="10" borderId="3" xfId="0" applyNumberFormat="1" applyFont="1" applyFill="1" applyBorder="1" applyAlignment="1">
      <alignment horizontal="center" vertical="center" wrapText="1"/>
    </xf>
    <xf numFmtId="0" fontId="14" fillId="10" borderId="17" xfId="0" applyFont="1" applyFill="1" applyBorder="1" applyAlignment="1">
      <alignment horizontal="center" vertical="center" wrapText="1"/>
    </xf>
    <xf numFmtId="0" fontId="14" fillId="10" borderId="27" xfId="0" applyFont="1" applyFill="1" applyBorder="1" applyAlignment="1">
      <alignment horizontal="center" vertical="center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7" borderId="17" xfId="0" applyFont="1" applyFill="1" applyBorder="1" applyAlignment="1">
      <alignment horizontal="center" vertical="center" wrapText="1"/>
    </xf>
    <xf numFmtId="0" fontId="14" fillId="7" borderId="27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wrapText="1"/>
    </xf>
    <xf numFmtId="14" fontId="15" fillId="10" borderId="1" xfId="0" applyNumberFormat="1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9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6" borderId="3" xfId="0" applyFont="1" applyFill="1" applyBorder="1"/>
    <xf numFmtId="0" fontId="14" fillId="6" borderId="1" xfId="0" applyFont="1" applyFill="1" applyBorder="1"/>
    <xf numFmtId="0" fontId="14" fillId="0" borderId="3" xfId="0" applyFont="1" applyBorder="1"/>
    <xf numFmtId="0" fontId="14" fillId="0" borderId="7" xfId="0" applyFont="1" applyBorder="1"/>
    <xf numFmtId="0" fontId="14" fillId="0" borderId="1" xfId="0" applyFont="1" applyBorder="1"/>
    <xf numFmtId="164" fontId="14" fillId="7" borderId="1" xfId="2" applyNumberFormat="1" applyFont="1" applyFill="1" applyBorder="1" applyAlignment="1">
      <alignment horizontal="center" vertical="center"/>
    </xf>
    <xf numFmtId="3" fontId="14" fillId="6" borderId="1" xfId="0" applyNumberFormat="1" applyFont="1" applyFill="1" applyBorder="1"/>
    <xf numFmtId="9" fontId="14" fillId="0" borderId="1" xfId="1" applyFont="1" applyBorder="1" applyAlignment="1"/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7" borderId="2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25" xfId="0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7" borderId="23" xfId="0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9" fontId="26" fillId="8" borderId="2" xfId="0" applyNumberFormat="1" applyFont="1" applyFill="1" applyBorder="1" applyAlignment="1">
      <alignment horizontal="center" vertical="center"/>
    </xf>
    <xf numFmtId="169" fontId="26" fillId="8" borderId="9" xfId="0" applyNumberFormat="1" applyFont="1" applyFill="1" applyBorder="1" applyAlignment="1">
      <alignment horizontal="center" vertical="center"/>
    </xf>
    <xf numFmtId="169" fontId="26" fillId="8" borderId="3" xfId="0" applyNumberFormat="1" applyFont="1" applyFill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0" borderId="26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3" applyFont="1" applyAlignment="1">
      <alignment horizontal="center"/>
    </xf>
    <xf numFmtId="14" fontId="26" fillId="6" borderId="55" xfId="0" applyNumberFormat="1" applyFont="1" applyFill="1" applyBorder="1" applyAlignment="1">
      <alignment horizontal="center" vertical="center"/>
    </xf>
    <xf numFmtId="14" fontId="26" fillId="6" borderId="54" xfId="0" applyNumberFormat="1" applyFont="1" applyFill="1" applyBorder="1" applyAlignment="1">
      <alignment horizontal="center" vertical="center"/>
    </xf>
    <xf numFmtId="169" fontId="26" fillId="8" borderId="55" xfId="0" applyNumberFormat="1" applyFont="1" applyFill="1" applyBorder="1" applyAlignment="1">
      <alignment horizontal="center" vertical="center"/>
    </xf>
    <xf numFmtId="169" fontId="26" fillId="8" borderId="54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6" fillId="6" borderId="55" xfId="0" applyFont="1" applyFill="1" applyBorder="1" applyAlignment="1">
      <alignment horizontal="center" vertical="center"/>
    </xf>
    <xf numFmtId="0" fontId="26" fillId="6" borderId="54" xfId="0" applyFont="1" applyFill="1" applyBorder="1" applyAlignment="1">
      <alignment horizontal="center" vertical="center"/>
    </xf>
    <xf numFmtId="169" fontId="26" fillId="6" borderId="55" xfId="0" applyNumberFormat="1" applyFont="1" applyFill="1" applyBorder="1" applyAlignment="1">
      <alignment horizontal="center" vertical="center"/>
    </xf>
    <xf numFmtId="169" fontId="26" fillId="6" borderId="54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" fontId="10" fillId="0" borderId="28" xfId="0" applyNumberFormat="1" applyFont="1" applyBorder="1" applyAlignment="1">
      <alignment horizontal="center" vertical="center"/>
    </xf>
    <xf numFmtId="14" fontId="10" fillId="0" borderId="2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</cellXfs>
  <cellStyles count="11">
    <cellStyle name="Comma" xfId="2" builtinId="3"/>
    <cellStyle name="Comma [0] 2" xfId="5" xr:uid="{00000000-0005-0000-0000-000001000000}"/>
    <cellStyle name="Hyperlink" xfId="3" builtinId="8"/>
    <cellStyle name="Normal" xfId="0" builtinId="0"/>
    <cellStyle name="Normal 2" xfId="9" xr:uid="{00000000-0005-0000-0000-000004000000}"/>
    <cellStyle name="Normal 2 2" xfId="4" xr:uid="{00000000-0005-0000-0000-000005000000}"/>
    <cellStyle name="Normal 2 2 2" xfId="8" xr:uid="{00000000-0005-0000-0000-000006000000}"/>
    <cellStyle name="Normal 4" xfId="7" xr:uid="{00000000-0005-0000-0000-000007000000}"/>
    <cellStyle name="Percent" xfId="1" builtinId="5"/>
    <cellStyle name="Percent 2" xfId="6" xr:uid="{00000000-0005-0000-0000-000009000000}"/>
    <cellStyle name="Percent 3" xfId="10" xr:uid="{00000000-0005-0000-0000-00000A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00"/>
      <color rgb="FFFFFF66"/>
      <color rgb="FF990099"/>
      <color rgb="FFFFD319"/>
      <color rgb="FFFFD88B"/>
      <color rgb="FFFFC9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o%20Sai%20&#4123;&#4116;&#4154;&#4096;&#4143;&#4116;&#4154;&#4129;&#4121;&#4155;&#4141;&#4143;&#4152;&#4129;&#4101;&#4140;&#4152;&#4129;&#4124;&#4141;&#4143;&#4096;&#4154;&#4129;&#4123;&#4145;&#4140;&#4100;&#4154;&#4152;/Ko%20Sai/2024%20%20%20%20(BE)%20%20&#4129;&#4123;&#4145;&#4140;&#4100;&#4154;&#4152;/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295"/>
  <sheetViews>
    <sheetView workbookViewId="0">
      <selection activeCell="O26" sqref="O26"/>
    </sheetView>
  </sheetViews>
  <sheetFormatPr defaultColWidth="7.7109375" defaultRowHeight="21.75" x14ac:dyDescent="0.6"/>
  <cols>
    <col min="1" max="1" width="5.85546875" style="375" customWidth="1"/>
    <col min="2" max="2" width="17.140625" style="218" customWidth="1"/>
    <col min="3" max="3" width="16" style="218" hidden="1" customWidth="1"/>
    <col min="4" max="4" width="17.28515625" style="376" customWidth="1"/>
    <col min="5" max="5" width="18.28515625" style="376" hidden="1" customWidth="1"/>
    <col min="6" max="6" width="7.7109375" style="218" customWidth="1"/>
    <col min="7" max="7" width="18" style="377" customWidth="1"/>
    <col min="8" max="8" width="22.7109375" style="377" customWidth="1"/>
    <col min="9" max="9" width="16.7109375" style="376" customWidth="1"/>
    <col min="10" max="10" width="11.140625" style="378" customWidth="1"/>
    <col min="11" max="11" width="9.85546875" style="378" customWidth="1"/>
    <col min="12" max="12" width="10.28515625" style="378" customWidth="1"/>
    <col min="13" max="15" width="10.28515625" style="173" customWidth="1"/>
    <col min="16" max="16" width="9.85546875" style="378" customWidth="1"/>
    <col min="17" max="17" width="10.28515625" style="378" customWidth="1"/>
    <col min="18" max="20" width="10.28515625" style="173" customWidth="1"/>
    <col min="21" max="21" width="9.85546875" style="378" customWidth="1"/>
    <col min="22" max="22" width="10.28515625" style="378" customWidth="1"/>
    <col min="23" max="25" width="10.28515625" style="173" customWidth="1"/>
    <col min="26" max="26" width="11.85546875" style="218" customWidth="1"/>
    <col min="27" max="27" width="12.85546875" style="218" customWidth="1"/>
    <col min="28" max="28" width="11.85546875" style="218" customWidth="1"/>
    <col min="29" max="29" width="11.28515625" style="218" customWidth="1"/>
    <col min="30" max="31" width="7.7109375" style="218"/>
    <col min="32" max="32" width="10.7109375" style="218" bestFit="1" customWidth="1"/>
    <col min="33" max="16384" width="7.7109375" style="218"/>
  </cols>
  <sheetData>
    <row r="1" spans="1:29" s="169" customFormat="1" ht="27" x14ac:dyDescent="0.75">
      <c r="A1" s="168" t="s">
        <v>820</v>
      </c>
      <c r="G1" s="170"/>
      <c r="H1" s="170"/>
      <c r="J1" s="171"/>
      <c r="K1" s="172"/>
      <c r="L1" s="172"/>
      <c r="M1" s="173"/>
      <c r="N1" s="536"/>
      <c r="O1" s="536" t="s">
        <v>1498</v>
      </c>
      <c r="P1" s="536"/>
      <c r="Q1" s="537"/>
      <c r="R1" s="537" t="s">
        <v>1499</v>
      </c>
      <c r="S1" s="537"/>
      <c r="T1" s="173"/>
      <c r="U1" s="172"/>
      <c r="V1" s="537"/>
      <c r="W1" s="537" t="s">
        <v>1500</v>
      </c>
      <c r="X1" s="537"/>
      <c r="Y1" s="173"/>
    </row>
    <row r="2" spans="1:29" s="169" customFormat="1" ht="27.75" thickBot="1" x14ac:dyDescent="0.8">
      <c r="A2" s="168"/>
      <c r="G2" s="170"/>
      <c r="H2" s="170"/>
      <c r="J2" s="171"/>
      <c r="K2" s="172"/>
      <c r="L2" s="172"/>
      <c r="M2" s="173">
        <v>2700000</v>
      </c>
      <c r="N2" s="173">
        <f>M2*78%</f>
        <v>2106000</v>
      </c>
      <c r="O2" s="173"/>
      <c r="P2" s="172"/>
      <c r="Q2" s="172"/>
      <c r="R2" s="173">
        <v>2550000</v>
      </c>
      <c r="S2" s="173">
        <f>R2*77%</f>
        <v>1963500</v>
      </c>
      <c r="T2" s="173"/>
      <c r="U2" s="172"/>
      <c r="V2" s="172"/>
      <c r="W2" s="173">
        <v>2874759</v>
      </c>
      <c r="X2" s="174">
        <f>W2*80%</f>
        <v>2299807.2000000002</v>
      </c>
      <c r="Y2" s="173"/>
    </row>
    <row r="3" spans="1:29" s="176" customFormat="1" ht="43.5" x14ac:dyDescent="0.25">
      <c r="A3" s="672" t="s">
        <v>1</v>
      </c>
      <c r="B3" s="674" t="s">
        <v>821</v>
      </c>
      <c r="C3" s="675"/>
      <c r="D3" s="674" t="s">
        <v>822</v>
      </c>
      <c r="E3" s="675"/>
      <c r="F3" s="678" t="s">
        <v>128</v>
      </c>
      <c r="G3" s="674" t="s">
        <v>129</v>
      </c>
      <c r="H3" s="675"/>
      <c r="I3" s="670" t="s">
        <v>130</v>
      </c>
      <c r="J3" s="662" t="s">
        <v>823</v>
      </c>
      <c r="K3" s="664" t="s">
        <v>824</v>
      </c>
      <c r="L3" s="665"/>
      <c r="M3" s="175" t="s">
        <v>350</v>
      </c>
      <c r="N3" s="175" t="s">
        <v>353</v>
      </c>
      <c r="O3" s="175" t="s">
        <v>354</v>
      </c>
      <c r="P3" s="666" t="s">
        <v>825</v>
      </c>
      <c r="Q3" s="665"/>
      <c r="R3" s="175" t="s">
        <v>350</v>
      </c>
      <c r="S3" s="175" t="s">
        <v>353</v>
      </c>
      <c r="T3" s="175" t="s">
        <v>354</v>
      </c>
      <c r="U3" s="667" t="s">
        <v>826</v>
      </c>
      <c r="V3" s="668"/>
      <c r="W3" s="175" t="s">
        <v>350</v>
      </c>
      <c r="X3" s="175" t="s">
        <v>353</v>
      </c>
      <c r="Y3" s="175" t="s">
        <v>354</v>
      </c>
      <c r="Z3" s="669" t="s">
        <v>827</v>
      </c>
      <c r="AA3" s="669"/>
      <c r="AB3" s="669" t="s">
        <v>828</v>
      </c>
      <c r="AC3" s="669"/>
    </row>
    <row r="4" spans="1:29" s="176" customFormat="1" ht="22.5" thickBot="1" x14ac:dyDescent="0.3">
      <c r="A4" s="673"/>
      <c r="B4" s="676"/>
      <c r="C4" s="677"/>
      <c r="D4" s="676"/>
      <c r="E4" s="677"/>
      <c r="F4" s="679"/>
      <c r="G4" s="676"/>
      <c r="H4" s="677"/>
      <c r="I4" s="671"/>
      <c r="J4" s="663"/>
      <c r="K4" s="177" t="s">
        <v>63</v>
      </c>
      <c r="L4" s="178" t="s">
        <v>64</v>
      </c>
      <c r="M4" s="179">
        <v>0.78</v>
      </c>
      <c r="N4" s="175"/>
      <c r="O4" s="173"/>
      <c r="P4" s="180" t="s">
        <v>63</v>
      </c>
      <c r="Q4" s="178" t="s">
        <v>64</v>
      </c>
      <c r="R4" s="179">
        <v>0.77</v>
      </c>
      <c r="S4" s="175"/>
      <c r="T4" s="175"/>
      <c r="U4" s="181" t="s">
        <v>63</v>
      </c>
      <c r="V4" s="182" t="s">
        <v>64</v>
      </c>
      <c r="W4" s="179">
        <v>0.8</v>
      </c>
      <c r="X4" s="175"/>
      <c r="Y4" s="183"/>
      <c r="Z4" s="184" t="s">
        <v>63</v>
      </c>
      <c r="AA4" s="185" t="s">
        <v>64</v>
      </c>
      <c r="AB4" s="186" t="s">
        <v>63</v>
      </c>
      <c r="AC4" s="185" t="s">
        <v>64</v>
      </c>
    </row>
    <row r="5" spans="1:29" s="169" customFormat="1" x14ac:dyDescent="0.6">
      <c r="A5" s="187">
        <v>1</v>
      </c>
      <c r="B5" s="147" t="s">
        <v>14</v>
      </c>
      <c r="C5" s="148" t="s">
        <v>156</v>
      </c>
      <c r="D5" s="149" t="s">
        <v>15</v>
      </c>
      <c r="E5" s="149" t="s">
        <v>157</v>
      </c>
      <c r="F5" s="188" t="s">
        <v>133</v>
      </c>
      <c r="G5" s="189" t="s">
        <v>158</v>
      </c>
      <c r="H5" s="190" t="s">
        <v>159</v>
      </c>
      <c r="I5" s="149" t="s">
        <v>160</v>
      </c>
      <c r="J5" s="191" t="s">
        <v>829</v>
      </c>
      <c r="K5" s="192">
        <v>19618</v>
      </c>
      <c r="L5" s="193">
        <v>279050</v>
      </c>
      <c r="M5" s="194">
        <f>L5/L47</f>
        <v>0.13570550082648808</v>
      </c>
      <c r="N5" s="195">
        <f>O5/14</f>
        <v>20413.984624327422</v>
      </c>
      <c r="O5" s="196">
        <f>M5*$N$2</f>
        <v>285795.78474058391</v>
      </c>
      <c r="P5" s="197">
        <v>15961</v>
      </c>
      <c r="Q5" s="193">
        <v>232338</v>
      </c>
      <c r="R5" s="194">
        <f>Q5/Q47</f>
        <v>0.13798399338640363</v>
      </c>
      <c r="S5" s="195">
        <f>T5/14</f>
        <v>19352.255072443109</v>
      </c>
      <c r="T5" s="195">
        <f>R5*$S$2</f>
        <v>270931.57101420354</v>
      </c>
      <c r="U5" s="198">
        <v>17929</v>
      </c>
      <c r="V5" s="199">
        <v>259548</v>
      </c>
      <c r="W5" s="194">
        <f>V5/$V$47</f>
        <v>0.13129664721778464</v>
      </c>
      <c r="X5" s="200">
        <f>Y5/14</f>
        <v>21568.355329094364</v>
      </c>
      <c r="Y5" s="201">
        <f>W5*$X$2</f>
        <v>301956.97460732108</v>
      </c>
      <c r="Z5" s="202">
        <f>X5+S5+N5</f>
        <v>61334.595025864895</v>
      </c>
      <c r="AA5" s="203">
        <f>Y5+T5+O5</f>
        <v>858684.33036210854</v>
      </c>
      <c r="AB5" s="203">
        <f>Z5/3</f>
        <v>20444.865008621633</v>
      </c>
      <c r="AC5" s="203">
        <f>AA5/3</f>
        <v>286228.11012070283</v>
      </c>
    </row>
    <row r="6" spans="1:29" s="169" customFormat="1" x14ac:dyDescent="0.6">
      <c r="A6" s="187">
        <v>2</v>
      </c>
      <c r="B6" s="151" t="s">
        <v>44</v>
      </c>
      <c r="C6" s="152" t="s">
        <v>246</v>
      </c>
      <c r="D6" s="153" t="s">
        <v>43</v>
      </c>
      <c r="E6" s="153" t="s">
        <v>242</v>
      </c>
      <c r="F6" s="204" t="s">
        <v>133</v>
      </c>
      <c r="G6" s="155" t="s">
        <v>247</v>
      </c>
      <c r="H6" s="162" t="s">
        <v>248</v>
      </c>
      <c r="I6" s="153" t="s">
        <v>249</v>
      </c>
      <c r="J6" s="205" t="s">
        <v>829</v>
      </c>
      <c r="K6" s="206">
        <v>17080</v>
      </c>
      <c r="L6" s="199">
        <v>245240</v>
      </c>
      <c r="M6" s="194">
        <f>L6/L47</f>
        <v>0.11926327547997827</v>
      </c>
      <c r="N6" s="195">
        <f t="shared" ref="N6:N45" si="0">O6/14</f>
        <v>17940.604154345303</v>
      </c>
      <c r="O6" s="196">
        <f t="shared" ref="O6:O45" si="1">M6*$N$2</f>
        <v>251168.45816083424</v>
      </c>
      <c r="P6" s="207">
        <v>12685</v>
      </c>
      <c r="Q6" s="199">
        <v>181980</v>
      </c>
      <c r="R6" s="194">
        <f>Q6/Q47</f>
        <v>0.10807671201636294</v>
      </c>
      <c r="S6" s="195">
        <f t="shared" ref="S6:S45" si="2">T6/14</f>
        <v>15157.758860294902</v>
      </c>
      <c r="T6" s="195">
        <f t="shared" ref="T6:T45" si="3">R6*$S$2</f>
        <v>212208.62404412864</v>
      </c>
      <c r="U6" s="198">
        <v>15075</v>
      </c>
      <c r="V6" s="199">
        <v>212000</v>
      </c>
      <c r="W6" s="194">
        <f t="shared" ref="W6:W45" si="4">V6/$V$47</f>
        <v>0.10724370524978172</v>
      </c>
      <c r="X6" s="200">
        <f t="shared" ref="X6:X45" si="5">Y6/14</f>
        <v>17617.131820580416</v>
      </c>
      <c r="Y6" s="201">
        <f t="shared" ref="Y6:Y45" si="6">W6*$X$2</f>
        <v>246639.84548812581</v>
      </c>
      <c r="Z6" s="202">
        <f t="shared" ref="Z6:AA45" si="7">X6+S6+N6</f>
        <v>50715.494835220619</v>
      </c>
      <c r="AA6" s="203">
        <f t="shared" si="7"/>
        <v>710016.92769308866</v>
      </c>
      <c r="AB6" s="203">
        <f>Z6/3</f>
        <v>16905.164945073539</v>
      </c>
      <c r="AC6" s="203">
        <f t="shared" ref="AC6:AC45" si="8">AA6/3</f>
        <v>236672.30923102956</v>
      </c>
    </row>
    <row r="7" spans="1:29" s="169" customFormat="1" x14ac:dyDescent="0.6">
      <c r="A7" s="187">
        <v>3</v>
      </c>
      <c r="B7" s="151" t="s">
        <v>5</v>
      </c>
      <c r="C7" s="152" t="s">
        <v>132</v>
      </c>
      <c r="D7" s="153" t="s">
        <v>6</v>
      </c>
      <c r="E7" s="153" t="s">
        <v>355</v>
      </c>
      <c r="F7" s="204" t="s">
        <v>133</v>
      </c>
      <c r="G7" s="155" t="s">
        <v>134</v>
      </c>
      <c r="H7" s="162" t="s">
        <v>135</v>
      </c>
      <c r="I7" s="153" t="s">
        <v>136</v>
      </c>
      <c r="J7" s="205" t="s">
        <v>829</v>
      </c>
      <c r="K7" s="206">
        <v>9431</v>
      </c>
      <c r="L7" s="199">
        <v>145482</v>
      </c>
      <c r="M7" s="194">
        <f>L7/L47</f>
        <v>7.0749713926676727E-2</v>
      </c>
      <c r="N7" s="195">
        <f t="shared" si="0"/>
        <v>10642.778394970084</v>
      </c>
      <c r="O7" s="196">
        <f t="shared" si="1"/>
        <v>148998.89752958118</v>
      </c>
      <c r="P7" s="207">
        <v>5165</v>
      </c>
      <c r="Q7" s="199">
        <v>83000</v>
      </c>
      <c r="R7" s="194">
        <f>Q7/Q47</f>
        <v>4.9293148133630754E-2</v>
      </c>
      <c r="S7" s="195">
        <f t="shared" si="2"/>
        <v>6913.3640257417137</v>
      </c>
      <c r="T7" s="195">
        <f t="shared" si="3"/>
        <v>96787.096360383992</v>
      </c>
      <c r="U7" s="198">
        <v>7897</v>
      </c>
      <c r="V7" s="199">
        <v>120590</v>
      </c>
      <c r="W7" s="194">
        <f t="shared" si="4"/>
        <v>6.1002445358826311E-2</v>
      </c>
      <c r="X7" s="200">
        <f t="shared" si="5"/>
        <v>10020.990218131095</v>
      </c>
      <c r="Y7" s="201">
        <f t="shared" si="6"/>
        <v>140293.86305383535</v>
      </c>
      <c r="Z7" s="202">
        <f t="shared" si="7"/>
        <v>27577.132638842893</v>
      </c>
      <c r="AA7" s="203">
        <f t="shared" si="7"/>
        <v>386079.85694380052</v>
      </c>
      <c r="AB7" s="203">
        <f t="shared" ref="AB7:AB45" si="9">Z7/3</f>
        <v>9192.3775462809645</v>
      </c>
      <c r="AC7" s="203">
        <f t="shared" si="8"/>
        <v>128693.2856479335</v>
      </c>
    </row>
    <row r="8" spans="1:29" s="169" customFormat="1" x14ac:dyDescent="0.6">
      <c r="A8" s="187">
        <v>4</v>
      </c>
      <c r="B8" s="151" t="s">
        <v>45</v>
      </c>
      <c r="C8" s="152" t="s">
        <v>250</v>
      </c>
      <c r="D8" s="153" t="s">
        <v>43</v>
      </c>
      <c r="E8" s="153" t="s">
        <v>242</v>
      </c>
      <c r="F8" s="204" t="s">
        <v>133</v>
      </c>
      <c r="G8" s="155" t="s">
        <v>251</v>
      </c>
      <c r="H8" s="162" t="s">
        <v>252</v>
      </c>
      <c r="I8" s="153" t="s">
        <v>253</v>
      </c>
      <c r="J8" s="205" t="s">
        <v>829</v>
      </c>
      <c r="K8" s="206">
        <v>6968</v>
      </c>
      <c r="L8" s="199">
        <v>94352</v>
      </c>
      <c r="M8" s="194">
        <f>L8/L47</f>
        <v>4.5884556222830331E-2</v>
      </c>
      <c r="N8" s="195">
        <f t="shared" si="0"/>
        <v>6902.3482432343344</v>
      </c>
      <c r="O8" s="196">
        <f t="shared" si="1"/>
        <v>96632.875405280676</v>
      </c>
      <c r="P8" s="207">
        <v>7510</v>
      </c>
      <c r="Q8" s="199">
        <v>101220</v>
      </c>
      <c r="R8" s="194">
        <f>Q8/Q47</f>
        <v>6.0113884988989216E-2</v>
      </c>
      <c r="S8" s="195">
        <f t="shared" si="2"/>
        <v>8430.9723697057379</v>
      </c>
      <c r="T8" s="195">
        <f t="shared" si="3"/>
        <v>118033.61317588032</v>
      </c>
      <c r="U8" s="198">
        <v>10155</v>
      </c>
      <c r="V8" s="199">
        <v>135060</v>
      </c>
      <c r="W8" s="194">
        <f t="shared" si="4"/>
        <v>6.8322334108658109E-2</v>
      </c>
      <c r="X8" s="200">
        <f t="shared" si="5"/>
        <v>11223.442564564108</v>
      </c>
      <c r="Y8" s="201">
        <f t="shared" si="6"/>
        <v>157128.19590389752</v>
      </c>
      <c r="Z8" s="202">
        <f t="shared" si="7"/>
        <v>26556.763177504177</v>
      </c>
      <c r="AA8" s="203">
        <f t="shared" si="7"/>
        <v>371794.68448505853</v>
      </c>
      <c r="AB8" s="203">
        <f t="shared" si="9"/>
        <v>8852.2543925013924</v>
      </c>
      <c r="AC8" s="203">
        <f t="shared" si="8"/>
        <v>123931.56149501952</v>
      </c>
    </row>
    <row r="9" spans="1:29" s="169" customFormat="1" x14ac:dyDescent="0.6">
      <c r="A9" s="187">
        <v>5</v>
      </c>
      <c r="B9" s="151" t="s">
        <v>31</v>
      </c>
      <c r="C9" s="152" t="s">
        <v>205</v>
      </c>
      <c r="D9" s="153" t="s">
        <v>32</v>
      </c>
      <c r="E9" s="153" t="s">
        <v>206</v>
      </c>
      <c r="F9" s="204" t="s">
        <v>133</v>
      </c>
      <c r="G9" s="155" t="s">
        <v>207</v>
      </c>
      <c r="H9" s="162" t="s">
        <v>208</v>
      </c>
      <c r="I9" s="153" t="s">
        <v>209</v>
      </c>
      <c r="J9" s="205" t="s">
        <v>829</v>
      </c>
      <c r="K9" s="206">
        <v>6940</v>
      </c>
      <c r="L9" s="199">
        <v>98060</v>
      </c>
      <c r="M9" s="194">
        <f>L9/L47</f>
        <v>4.7687802942287839E-2</v>
      </c>
      <c r="N9" s="195">
        <f t="shared" si="0"/>
        <v>7173.6080711755849</v>
      </c>
      <c r="O9" s="196">
        <f t="shared" si="1"/>
        <v>100430.51299645819</v>
      </c>
      <c r="P9" s="207">
        <v>6010</v>
      </c>
      <c r="Q9" s="199">
        <v>84280</v>
      </c>
      <c r="R9" s="194">
        <f>Q9/Q47</f>
        <v>5.0053331622920486E-2</v>
      </c>
      <c r="S9" s="195">
        <f t="shared" si="2"/>
        <v>7019.9797601145983</v>
      </c>
      <c r="T9" s="195">
        <f t="shared" si="3"/>
        <v>98279.716641604376</v>
      </c>
      <c r="U9" s="198">
        <v>7000</v>
      </c>
      <c r="V9" s="199">
        <v>97820</v>
      </c>
      <c r="W9" s="194">
        <f t="shared" si="4"/>
        <v>4.9483864375158719E-2</v>
      </c>
      <c r="X9" s="200">
        <f t="shared" si="5"/>
        <v>8128.8105409866812</v>
      </c>
      <c r="Y9" s="201">
        <f t="shared" si="6"/>
        <v>113803.34757381353</v>
      </c>
      <c r="Z9" s="202">
        <f t="shared" si="7"/>
        <v>22322.398372276864</v>
      </c>
      <c r="AA9" s="203">
        <f t="shared" si="7"/>
        <v>312513.57721187605</v>
      </c>
      <c r="AB9" s="203">
        <f t="shared" si="9"/>
        <v>7440.7994574256218</v>
      </c>
      <c r="AC9" s="203">
        <f t="shared" si="8"/>
        <v>104171.19240395869</v>
      </c>
    </row>
    <row r="10" spans="1:29" s="169" customFormat="1" x14ac:dyDescent="0.6">
      <c r="A10" s="187">
        <v>6</v>
      </c>
      <c r="B10" s="151" t="s">
        <v>27</v>
      </c>
      <c r="C10" s="152" t="s">
        <v>195</v>
      </c>
      <c r="D10" s="153" t="s">
        <v>28</v>
      </c>
      <c r="E10" s="153" t="s">
        <v>196</v>
      </c>
      <c r="F10" s="204" t="s">
        <v>133</v>
      </c>
      <c r="G10" s="155" t="s">
        <v>197</v>
      </c>
      <c r="H10" s="162" t="s">
        <v>198</v>
      </c>
      <c r="I10" s="153" t="s">
        <v>199</v>
      </c>
      <c r="J10" s="205" t="s">
        <v>829</v>
      </c>
      <c r="K10" s="206">
        <v>4705</v>
      </c>
      <c r="L10" s="199">
        <v>69020</v>
      </c>
      <c r="M10" s="194">
        <f>L10/L47</f>
        <v>3.3565288181487934E-2</v>
      </c>
      <c r="N10" s="195">
        <f t="shared" si="0"/>
        <v>5049.1783507295422</v>
      </c>
      <c r="O10" s="196">
        <f t="shared" si="1"/>
        <v>70688.496910213595</v>
      </c>
      <c r="P10" s="207">
        <v>4535</v>
      </c>
      <c r="Q10" s="199">
        <v>66620</v>
      </c>
      <c r="R10" s="194">
        <f>Q10/Q47</f>
        <v>3.9565175044126273E-2</v>
      </c>
      <c r="S10" s="195">
        <f t="shared" si="2"/>
        <v>5549.0157999387093</v>
      </c>
      <c r="T10" s="195">
        <f t="shared" si="3"/>
        <v>77686.221199141932</v>
      </c>
      <c r="U10" s="198">
        <v>4005</v>
      </c>
      <c r="V10" s="199">
        <v>59600</v>
      </c>
      <c r="W10" s="194">
        <f t="shared" si="4"/>
        <v>3.0149645438146182E-2</v>
      </c>
      <c r="X10" s="200">
        <f t="shared" si="5"/>
        <v>4952.7408325782681</v>
      </c>
      <c r="Y10" s="201">
        <f t="shared" si="6"/>
        <v>69338.371656095755</v>
      </c>
      <c r="Z10" s="202">
        <f t="shared" si="7"/>
        <v>15550.93498324652</v>
      </c>
      <c r="AA10" s="203">
        <f t="shared" si="7"/>
        <v>217713.08976545127</v>
      </c>
      <c r="AB10" s="203">
        <f t="shared" si="9"/>
        <v>5183.6449944155065</v>
      </c>
      <c r="AC10" s="203">
        <f t="shared" si="8"/>
        <v>72571.029921817084</v>
      </c>
    </row>
    <row r="11" spans="1:29" s="169" customFormat="1" x14ac:dyDescent="0.6">
      <c r="A11" s="187">
        <v>7</v>
      </c>
      <c r="B11" s="151" t="s">
        <v>52</v>
      </c>
      <c r="C11" s="152" t="s">
        <v>269</v>
      </c>
      <c r="D11" s="153" t="s">
        <v>53</v>
      </c>
      <c r="E11" s="153" t="s">
        <v>270</v>
      </c>
      <c r="F11" s="204" t="s">
        <v>133</v>
      </c>
      <c r="G11" s="155" t="s">
        <v>271</v>
      </c>
      <c r="H11" s="162" t="s">
        <v>272</v>
      </c>
      <c r="I11" s="153" t="s">
        <v>273</v>
      </c>
      <c r="J11" s="205" t="s">
        <v>829</v>
      </c>
      <c r="K11" s="206">
        <v>5205</v>
      </c>
      <c r="L11" s="199">
        <v>74780</v>
      </c>
      <c r="M11" s="194">
        <f>L11/L47</f>
        <v>3.6366448134043286E-2</v>
      </c>
      <c r="N11" s="195">
        <f t="shared" si="0"/>
        <v>5470.5528407353686</v>
      </c>
      <c r="O11" s="196">
        <f t="shared" si="1"/>
        <v>76587.739770295157</v>
      </c>
      <c r="P11" s="207">
        <v>5220</v>
      </c>
      <c r="Q11" s="199">
        <v>75080</v>
      </c>
      <c r="R11" s="194">
        <f>Q11/Q47</f>
        <v>4.4589512793650567E-2</v>
      </c>
      <c r="S11" s="195">
        <f t="shared" si="2"/>
        <v>6253.679169309492</v>
      </c>
      <c r="T11" s="195">
        <f t="shared" si="3"/>
        <v>87551.508370332886</v>
      </c>
      <c r="U11" s="198">
        <v>5100</v>
      </c>
      <c r="V11" s="199">
        <v>71300</v>
      </c>
      <c r="W11" s="194">
        <f t="shared" si="4"/>
        <v>3.6068283888252062E-2</v>
      </c>
      <c r="X11" s="200">
        <f t="shared" si="5"/>
        <v>5925.0070698461495</v>
      </c>
      <c r="Y11" s="201">
        <f t="shared" si="6"/>
        <v>82950.098977846093</v>
      </c>
      <c r="Z11" s="202">
        <f t="shared" si="7"/>
        <v>17649.239079891013</v>
      </c>
      <c r="AA11" s="203">
        <f t="shared" si="7"/>
        <v>247089.34711847414</v>
      </c>
      <c r="AB11" s="203">
        <f t="shared" si="9"/>
        <v>5883.0796932970043</v>
      </c>
      <c r="AC11" s="203">
        <f t="shared" si="8"/>
        <v>82363.115706158045</v>
      </c>
    </row>
    <row r="12" spans="1:29" s="169" customFormat="1" x14ac:dyDescent="0.6">
      <c r="A12" s="187">
        <v>8</v>
      </c>
      <c r="B12" s="151" t="s">
        <v>227</v>
      </c>
      <c r="C12" s="152" t="s">
        <v>228</v>
      </c>
      <c r="D12" s="153" t="s">
        <v>38</v>
      </c>
      <c r="E12" s="153" t="s">
        <v>224</v>
      </c>
      <c r="F12" s="204" t="s">
        <v>133</v>
      </c>
      <c r="G12" s="155" t="s">
        <v>229</v>
      </c>
      <c r="H12" s="162" t="s">
        <v>230</v>
      </c>
      <c r="I12" s="153" t="s">
        <v>231</v>
      </c>
      <c r="J12" s="205" t="s">
        <v>829</v>
      </c>
      <c r="K12" s="206">
        <v>6520</v>
      </c>
      <c r="L12" s="199">
        <v>92280</v>
      </c>
      <c r="M12" s="194">
        <f>L12/L47</f>
        <v>4.4876916739897223E-2</v>
      </c>
      <c r="N12" s="195">
        <f t="shared" si="0"/>
        <v>6750.7704753016824</v>
      </c>
      <c r="O12" s="196">
        <f t="shared" si="1"/>
        <v>94510.786654223557</v>
      </c>
      <c r="P12" s="207">
        <v>4340</v>
      </c>
      <c r="Q12" s="199">
        <v>61820</v>
      </c>
      <c r="R12" s="194">
        <f>Q12/Q47</f>
        <v>3.6714486959289798E-2</v>
      </c>
      <c r="S12" s="195">
        <f t="shared" si="2"/>
        <v>5149.2067960403938</v>
      </c>
      <c r="T12" s="195">
        <f t="shared" si="3"/>
        <v>72088.895144565511</v>
      </c>
      <c r="U12" s="198">
        <v>5375</v>
      </c>
      <c r="V12" s="199">
        <v>76560</v>
      </c>
      <c r="W12" s="194">
        <f t="shared" si="4"/>
        <v>3.8729141858128716E-2</v>
      </c>
      <c r="X12" s="200">
        <f t="shared" si="5"/>
        <v>6362.1113782247003</v>
      </c>
      <c r="Y12" s="201">
        <f t="shared" si="6"/>
        <v>89069.559295145809</v>
      </c>
      <c r="Z12" s="202">
        <f t="shared" si="7"/>
        <v>18262.088649566776</v>
      </c>
      <c r="AA12" s="203">
        <f t="shared" si="7"/>
        <v>255669.24109393486</v>
      </c>
      <c r="AB12" s="203">
        <f t="shared" si="9"/>
        <v>6087.3628831889255</v>
      </c>
      <c r="AC12" s="203">
        <f t="shared" si="8"/>
        <v>85223.080364644949</v>
      </c>
    </row>
    <row r="13" spans="1:29" s="169" customFormat="1" x14ac:dyDescent="0.6">
      <c r="A13" s="187">
        <v>9</v>
      </c>
      <c r="B13" s="151" t="s">
        <v>39</v>
      </c>
      <c r="C13" s="152" t="s">
        <v>232</v>
      </c>
      <c r="D13" s="153" t="s">
        <v>40</v>
      </c>
      <c r="E13" s="153" t="s">
        <v>233</v>
      </c>
      <c r="F13" s="204" t="s">
        <v>133</v>
      </c>
      <c r="G13" s="155" t="s">
        <v>234</v>
      </c>
      <c r="H13" s="162" t="s">
        <v>235</v>
      </c>
      <c r="I13" s="153" t="s">
        <v>236</v>
      </c>
      <c r="J13" s="205" t="s">
        <v>829</v>
      </c>
      <c r="K13" s="206">
        <v>5190</v>
      </c>
      <c r="L13" s="199">
        <v>75140</v>
      </c>
      <c r="M13" s="194">
        <f>L13/L47</f>
        <v>3.6541520631077996E-2</v>
      </c>
      <c r="N13" s="195">
        <f t="shared" si="0"/>
        <v>5496.8887463607325</v>
      </c>
      <c r="O13" s="196">
        <f t="shared" si="1"/>
        <v>76956.442449050257</v>
      </c>
      <c r="P13" s="207">
        <v>5070</v>
      </c>
      <c r="Q13" s="199">
        <v>72680</v>
      </c>
      <c r="R13" s="194">
        <f>Q13/Q47</f>
        <v>4.3164168751232329E-2</v>
      </c>
      <c r="S13" s="195">
        <f t="shared" si="2"/>
        <v>6053.7746673603342</v>
      </c>
      <c r="T13" s="195">
        <f t="shared" si="3"/>
        <v>84752.845343044683</v>
      </c>
      <c r="U13" s="198">
        <v>5000</v>
      </c>
      <c r="V13" s="199">
        <v>72240</v>
      </c>
      <c r="W13" s="194">
        <f t="shared" si="4"/>
        <v>3.6543798430397317E-2</v>
      </c>
      <c r="X13" s="200">
        <f t="shared" si="5"/>
        <v>6003.1207675411761</v>
      </c>
      <c r="Y13" s="201">
        <f t="shared" si="6"/>
        <v>84043.690745576459</v>
      </c>
      <c r="Z13" s="202">
        <f t="shared" si="7"/>
        <v>17553.784181262243</v>
      </c>
      <c r="AA13" s="203">
        <f t="shared" si="7"/>
        <v>245752.97853767138</v>
      </c>
      <c r="AB13" s="203">
        <f t="shared" si="9"/>
        <v>5851.2613937540809</v>
      </c>
      <c r="AC13" s="203">
        <f t="shared" si="8"/>
        <v>81917.659512557133</v>
      </c>
    </row>
    <row r="14" spans="1:29" s="169" customFormat="1" x14ac:dyDescent="0.6">
      <c r="A14" s="187">
        <v>10</v>
      </c>
      <c r="B14" s="151" t="s">
        <v>34</v>
      </c>
      <c r="C14" s="152" t="s">
        <v>214</v>
      </c>
      <c r="D14" s="153" t="s">
        <v>35</v>
      </c>
      <c r="E14" s="153" t="s">
        <v>215</v>
      </c>
      <c r="F14" s="204" t="s">
        <v>133</v>
      </c>
      <c r="G14" s="155" t="s">
        <v>216</v>
      </c>
      <c r="H14" s="162" t="s">
        <v>217</v>
      </c>
      <c r="I14" s="153" t="s">
        <v>218</v>
      </c>
      <c r="J14" s="205" t="s">
        <v>829</v>
      </c>
      <c r="K14" s="206">
        <v>5164</v>
      </c>
      <c r="L14" s="199">
        <v>74760</v>
      </c>
      <c r="M14" s="194">
        <f>L14/L47</f>
        <v>3.6356721884208021E-2</v>
      </c>
      <c r="N14" s="195">
        <f t="shared" si="0"/>
        <v>5469.0897348672925</v>
      </c>
      <c r="O14" s="196">
        <f t="shared" si="1"/>
        <v>76567.256288142089</v>
      </c>
      <c r="P14" s="207">
        <v>4609</v>
      </c>
      <c r="Q14" s="199">
        <v>65578</v>
      </c>
      <c r="R14" s="194">
        <f>Q14/Q47</f>
        <v>3.894633817237636E-2</v>
      </c>
      <c r="S14" s="195">
        <f t="shared" si="2"/>
        <v>5462.223928675784</v>
      </c>
      <c r="T14" s="195">
        <f t="shared" si="3"/>
        <v>76471.135001460978</v>
      </c>
      <c r="U14" s="198">
        <v>5212</v>
      </c>
      <c r="V14" s="199">
        <v>73940</v>
      </c>
      <c r="W14" s="194">
        <f t="shared" si="4"/>
        <v>3.740377153853236E-2</v>
      </c>
      <c r="X14" s="200">
        <f t="shared" si="5"/>
        <v>6144.390220819414</v>
      </c>
      <c r="Y14" s="201">
        <f t="shared" si="6"/>
        <v>86021.4630914718</v>
      </c>
      <c r="Z14" s="202">
        <f t="shared" si="7"/>
        <v>17075.70388436249</v>
      </c>
      <c r="AA14" s="203">
        <f t="shared" si="7"/>
        <v>239059.85438107487</v>
      </c>
      <c r="AB14" s="203">
        <f t="shared" si="9"/>
        <v>5691.9012947874971</v>
      </c>
      <c r="AC14" s="203">
        <f t="shared" si="8"/>
        <v>79686.618127024951</v>
      </c>
    </row>
    <row r="15" spans="1:29" s="169" customFormat="1" x14ac:dyDescent="0.6">
      <c r="A15" s="187">
        <v>11</v>
      </c>
      <c r="B15" s="151" t="s">
        <v>19</v>
      </c>
      <c r="C15" s="152" t="s">
        <v>169</v>
      </c>
      <c r="D15" s="153" t="s">
        <v>20</v>
      </c>
      <c r="E15" s="153" t="s">
        <v>170</v>
      </c>
      <c r="F15" s="204" t="s">
        <v>133</v>
      </c>
      <c r="G15" s="155" t="s">
        <v>171</v>
      </c>
      <c r="H15" s="162" t="s">
        <v>172</v>
      </c>
      <c r="I15" s="153" t="s">
        <v>173</v>
      </c>
      <c r="J15" s="205" t="s">
        <v>829</v>
      </c>
      <c r="K15" s="206">
        <v>4945</v>
      </c>
      <c r="L15" s="199">
        <v>70060</v>
      </c>
      <c r="M15" s="194">
        <f>L15/L47</f>
        <v>3.4071053172921535E-2</v>
      </c>
      <c r="N15" s="195">
        <f t="shared" si="0"/>
        <v>5125.2598558694817</v>
      </c>
      <c r="O15" s="196">
        <f t="shared" si="1"/>
        <v>71753.637982172746</v>
      </c>
      <c r="P15" s="207">
        <v>2945</v>
      </c>
      <c r="Q15" s="199">
        <v>41190</v>
      </c>
      <c r="R15" s="194">
        <f>Q15/Q47</f>
        <v>2.4462467128003023E-2</v>
      </c>
      <c r="S15" s="195">
        <f t="shared" si="2"/>
        <v>3430.8610147024237</v>
      </c>
      <c r="T15" s="195">
        <f t="shared" si="3"/>
        <v>48032.054205833934</v>
      </c>
      <c r="U15" s="198">
        <v>5000</v>
      </c>
      <c r="V15" s="199">
        <v>69170</v>
      </c>
      <c r="W15" s="194">
        <f t="shared" si="4"/>
        <v>3.4990788170412269E-2</v>
      </c>
      <c r="X15" s="200">
        <f t="shared" si="5"/>
        <v>5748.0047548563543</v>
      </c>
      <c r="Y15" s="201">
        <f t="shared" si="6"/>
        <v>80472.066567988964</v>
      </c>
      <c r="Z15" s="202">
        <f t="shared" si="7"/>
        <v>14304.12562542826</v>
      </c>
      <c r="AA15" s="203">
        <f t="shared" si="7"/>
        <v>200257.75875599566</v>
      </c>
      <c r="AB15" s="203">
        <f t="shared" si="9"/>
        <v>4768.0418751427533</v>
      </c>
      <c r="AC15" s="203">
        <f t="shared" si="8"/>
        <v>66752.586251998553</v>
      </c>
    </row>
    <row r="16" spans="1:29" s="169" customFormat="1" x14ac:dyDescent="0.6">
      <c r="A16" s="187">
        <v>12</v>
      </c>
      <c r="B16" s="151" t="s">
        <v>29</v>
      </c>
      <c r="C16" s="152" t="s">
        <v>200</v>
      </c>
      <c r="D16" s="153" t="s">
        <v>30</v>
      </c>
      <c r="E16" s="153" t="s">
        <v>201</v>
      </c>
      <c r="F16" s="204" t="s">
        <v>133</v>
      </c>
      <c r="G16" s="155" t="s">
        <v>202</v>
      </c>
      <c r="H16" s="162" t="s">
        <v>203</v>
      </c>
      <c r="I16" s="153" t="s">
        <v>204</v>
      </c>
      <c r="J16" s="205" t="s">
        <v>829</v>
      </c>
      <c r="K16" s="206">
        <v>4700</v>
      </c>
      <c r="L16" s="199">
        <v>68220</v>
      </c>
      <c r="M16" s="194">
        <f>L16/L47</f>
        <v>3.3176238188077467E-2</v>
      </c>
      <c r="N16" s="195">
        <f t="shared" si="0"/>
        <v>4990.6541160065108</v>
      </c>
      <c r="O16" s="196">
        <f t="shared" si="1"/>
        <v>69869.157624091153</v>
      </c>
      <c r="P16" s="207">
        <v>4110</v>
      </c>
      <c r="Q16" s="199">
        <v>57980</v>
      </c>
      <c r="R16" s="194">
        <f>Q16/Q47</f>
        <v>3.4433936491420618E-2</v>
      </c>
      <c r="S16" s="195">
        <f t="shared" si="2"/>
        <v>4829.3595929217418</v>
      </c>
      <c r="T16" s="195">
        <f t="shared" si="3"/>
        <v>67611.034300904386</v>
      </c>
      <c r="U16" s="198">
        <v>3980</v>
      </c>
      <c r="V16" s="199">
        <v>58460</v>
      </c>
      <c r="W16" s="194">
        <f t="shared" si="4"/>
        <v>2.9572957589161505E-2</v>
      </c>
      <c r="X16" s="200">
        <f t="shared" si="5"/>
        <v>4858.0071992034482</v>
      </c>
      <c r="Y16" s="201">
        <f t="shared" si="6"/>
        <v>68012.100788848271</v>
      </c>
      <c r="Z16" s="202">
        <f t="shared" si="7"/>
        <v>14678.020908131701</v>
      </c>
      <c r="AA16" s="203">
        <f t="shared" si="7"/>
        <v>205492.29271384381</v>
      </c>
      <c r="AB16" s="203">
        <f t="shared" si="9"/>
        <v>4892.6736360438999</v>
      </c>
      <c r="AC16" s="203">
        <f t="shared" si="8"/>
        <v>68497.430904614608</v>
      </c>
    </row>
    <row r="17" spans="1:29" s="169" customFormat="1" x14ac:dyDescent="0.6">
      <c r="A17" s="187">
        <v>13</v>
      </c>
      <c r="B17" s="151" t="s">
        <v>54</v>
      </c>
      <c r="C17" s="152" t="s">
        <v>274</v>
      </c>
      <c r="D17" s="153" t="s">
        <v>53</v>
      </c>
      <c r="E17" s="153" t="s">
        <v>270</v>
      </c>
      <c r="F17" s="204" t="s">
        <v>133</v>
      </c>
      <c r="G17" s="155" t="s">
        <v>275</v>
      </c>
      <c r="H17" s="162" t="s">
        <v>276</v>
      </c>
      <c r="I17" s="153" t="s">
        <v>277</v>
      </c>
      <c r="J17" s="205" t="s">
        <v>829</v>
      </c>
      <c r="K17" s="206">
        <v>3005</v>
      </c>
      <c r="L17" s="199">
        <v>41360</v>
      </c>
      <c r="M17" s="194">
        <f>L17/L47</f>
        <v>2.0113884659321079E-2</v>
      </c>
      <c r="N17" s="195">
        <f t="shared" si="0"/>
        <v>3025.7029351807282</v>
      </c>
      <c r="O17" s="196">
        <f t="shared" si="1"/>
        <v>42359.841092530194</v>
      </c>
      <c r="P17" s="207">
        <v>2500</v>
      </c>
      <c r="Q17" s="199">
        <v>35120</v>
      </c>
      <c r="R17" s="194">
        <f>Q17/Q47</f>
        <v>2.0857534487386892E-2</v>
      </c>
      <c r="S17" s="195">
        <f t="shared" si="2"/>
        <v>2925.2692118560117</v>
      </c>
      <c r="T17" s="195">
        <f t="shared" si="3"/>
        <v>40953.768965984164</v>
      </c>
      <c r="U17" s="198">
        <v>3505</v>
      </c>
      <c r="V17" s="199">
        <v>48020</v>
      </c>
      <c r="W17" s="194">
        <f t="shared" si="4"/>
        <v>2.4291710972143953E-2</v>
      </c>
      <c r="X17" s="200">
        <f t="shared" si="5"/>
        <v>3990.4465567182619</v>
      </c>
      <c r="Y17" s="201">
        <f t="shared" si="6"/>
        <v>55866.251794055665</v>
      </c>
      <c r="Z17" s="202">
        <f t="shared" si="7"/>
        <v>9941.4187037550018</v>
      </c>
      <c r="AA17" s="203">
        <f t="shared" si="7"/>
        <v>139179.86185257003</v>
      </c>
      <c r="AB17" s="203">
        <f t="shared" si="9"/>
        <v>3313.8062345850008</v>
      </c>
      <c r="AC17" s="203">
        <f t="shared" si="8"/>
        <v>46393.28728419001</v>
      </c>
    </row>
    <row r="18" spans="1:29" s="169" customFormat="1" x14ac:dyDescent="0.6">
      <c r="A18" s="187">
        <v>14</v>
      </c>
      <c r="B18" s="151" t="s">
        <v>37</v>
      </c>
      <c r="C18" s="152" t="s">
        <v>223</v>
      </c>
      <c r="D18" s="153" t="s">
        <v>38</v>
      </c>
      <c r="E18" s="153" t="s">
        <v>224</v>
      </c>
      <c r="F18" s="204" t="s">
        <v>133</v>
      </c>
      <c r="G18" s="155" t="s">
        <v>37</v>
      </c>
      <c r="H18" s="162" t="s">
        <v>225</v>
      </c>
      <c r="I18" s="153" t="s">
        <v>226</v>
      </c>
      <c r="J18" s="205" t="s">
        <v>829</v>
      </c>
      <c r="K18" s="206">
        <v>3168</v>
      </c>
      <c r="L18" s="199">
        <v>44916</v>
      </c>
      <c r="M18" s="194">
        <f>L18/L47</f>
        <v>2.1843211880030598E-2</v>
      </c>
      <c r="N18" s="195">
        <f t="shared" si="0"/>
        <v>3285.843158524603</v>
      </c>
      <c r="O18" s="196">
        <f t="shared" si="1"/>
        <v>46001.804219344442</v>
      </c>
      <c r="P18" s="207">
        <v>2895</v>
      </c>
      <c r="Q18" s="199">
        <v>40620</v>
      </c>
      <c r="R18" s="194">
        <f>Q18/Q47</f>
        <v>2.4123947917928691E-2</v>
      </c>
      <c r="S18" s="195">
        <f t="shared" si="2"/>
        <v>3383.3836954894987</v>
      </c>
      <c r="T18" s="195">
        <f t="shared" si="3"/>
        <v>47367.371736852983</v>
      </c>
      <c r="U18" s="198">
        <v>3620</v>
      </c>
      <c r="V18" s="199">
        <v>50300</v>
      </c>
      <c r="W18" s="194">
        <f t="shared" si="4"/>
        <v>2.5445086670113304E-2</v>
      </c>
      <c r="X18" s="200">
        <f t="shared" si="5"/>
        <v>4179.9138234679003</v>
      </c>
      <c r="Y18" s="201">
        <f t="shared" si="6"/>
        <v>58518.793528550603</v>
      </c>
      <c r="Z18" s="202">
        <f t="shared" si="7"/>
        <v>10849.140677482003</v>
      </c>
      <c r="AA18" s="203">
        <f t="shared" si="7"/>
        <v>151887.96948474803</v>
      </c>
      <c r="AB18" s="203">
        <f t="shared" si="9"/>
        <v>3616.380225827334</v>
      </c>
      <c r="AC18" s="203">
        <f t="shared" si="8"/>
        <v>50629.323161582673</v>
      </c>
    </row>
    <row r="19" spans="1:29" s="169" customFormat="1" x14ac:dyDescent="0.6">
      <c r="A19" s="187">
        <v>15</v>
      </c>
      <c r="B19" s="151" t="s">
        <v>36</v>
      </c>
      <c r="C19" s="152" t="s">
        <v>219</v>
      </c>
      <c r="D19" s="153" t="s">
        <v>35</v>
      </c>
      <c r="E19" s="153" t="s">
        <v>215</v>
      </c>
      <c r="F19" s="204" t="s">
        <v>133</v>
      </c>
      <c r="G19" s="155" t="s">
        <v>220</v>
      </c>
      <c r="H19" s="162" t="s">
        <v>221</v>
      </c>
      <c r="I19" s="153" t="s">
        <v>222</v>
      </c>
      <c r="J19" s="205" t="s">
        <v>829</v>
      </c>
      <c r="K19" s="206">
        <v>2690</v>
      </c>
      <c r="L19" s="199">
        <v>37440</v>
      </c>
      <c r="M19" s="194">
        <f>L19/L47</f>
        <v>1.8207539691609795E-2</v>
      </c>
      <c r="N19" s="195">
        <f t="shared" si="0"/>
        <v>2738.9341850378737</v>
      </c>
      <c r="O19" s="196">
        <f t="shared" si="1"/>
        <v>38345.078590530233</v>
      </c>
      <c r="P19" s="207">
        <v>3120</v>
      </c>
      <c r="Q19" s="199">
        <v>40830</v>
      </c>
      <c r="R19" s="194">
        <f>Q19/Q47</f>
        <v>2.4248665521640286E-2</v>
      </c>
      <c r="S19" s="195">
        <f t="shared" si="2"/>
        <v>3400.8753394100499</v>
      </c>
      <c r="T19" s="195">
        <f t="shared" si="3"/>
        <v>47612.2547517407</v>
      </c>
      <c r="U19" s="198">
        <v>2270</v>
      </c>
      <c r="V19" s="199">
        <v>29600</v>
      </c>
      <c r="W19" s="194">
        <f t="shared" si="4"/>
        <v>1.4973649412233675E-2</v>
      </c>
      <c r="X19" s="200">
        <f t="shared" si="5"/>
        <v>2459.7504806093411</v>
      </c>
      <c r="Y19" s="201">
        <f t="shared" si="6"/>
        <v>34436.506728530774</v>
      </c>
      <c r="Z19" s="202">
        <f t="shared" si="7"/>
        <v>8599.5600050572648</v>
      </c>
      <c r="AA19" s="203">
        <f t="shared" si="7"/>
        <v>120393.8400708017</v>
      </c>
      <c r="AB19" s="203">
        <f t="shared" si="9"/>
        <v>2866.5200016857548</v>
      </c>
      <c r="AC19" s="203">
        <f t="shared" si="8"/>
        <v>40131.280023600564</v>
      </c>
    </row>
    <row r="20" spans="1:29" s="169" customFormat="1" x14ac:dyDescent="0.6">
      <c r="A20" s="187">
        <v>16</v>
      </c>
      <c r="B20" s="151" t="s">
        <v>48</v>
      </c>
      <c r="C20" s="152" t="s">
        <v>259</v>
      </c>
      <c r="D20" s="153" t="s">
        <v>49</v>
      </c>
      <c r="E20" s="153" t="s">
        <v>260</v>
      </c>
      <c r="F20" s="204" t="s">
        <v>133</v>
      </c>
      <c r="G20" s="155" t="s">
        <v>261</v>
      </c>
      <c r="H20" s="162" t="s">
        <v>262</v>
      </c>
      <c r="I20" s="153" t="s">
        <v>263</v>
      </c>
      <c r="J20" s="205" t="s">
        <v>829</v>
      </c>
      <c r="K20" s="206">
        <v>2700</v>
      </c>
      <c r="L20" s="199">
        <v>41800</v>
      </c>
      <c r="M20" s="194">
        <f>L20/L47</f>
        <v>2.0327862155696836E-2</v>
      </c>
      <c r="N20" s="195">
        <f t="shared" si="0"/>
        <v>3057.8912642783953</v>
      </c>
      <c r="O20" s="196">
        <f t="shared" si="1"/>
        <v>42810.477699897536</v>
      </c>
      <c r="P20" s="207">
        <v>2740</v>
      </c>
      <c r="Q20" s="199">
        <v>41640</v>
      </c>
      <c r="R20" s="194">
        <f>Q20/Q47</f>
        <v>2.4729719135956441E-2</v>
      </c>
      <c r="S20" s="195">
        <f t="shared" si="2"/>
        <v>3468.3431088178909</v>
      </c>
      <c r="T20" s="195">
        <f t="shared" si="3"/>
        <v>48556.803523450471</v>
      </c>
      <c r="U20" s="198">
        <v>2710</v>
      </c>
      <c r="V20" s="199">
        <v>41490</v>
      </c>
      <c r="W20" s="194">
        <f t="shared" si="4"/>
        <v>2.0988402503836996E-2</v>
      </c>
      <c r="X20" s="200">
        <f t="shared" si="5"/>
        <v>3447.805656773025</v>
      </c>
      <c r="Y20" s="201">
        <f t="shared" si="6"/>
        <v>48269.279194822353</v>
      </c>
      <c r="Z20" s="202">
        <f t="shared" si="7"/>
        <v>9974.0400298693112</v>
      </c>
      <c r="AA20" s="203">
        <f t="shared" si="7"/>
        <v>139636.56041817035</v>
      </c>
      <c r="AB20" s="203">
        <f t="shared" si="9"/>
        <v>3324.6800099564371</v>
      </c>
      <c r="AC20" s="203">
        <f t="shared" si="8"/>
        <v>46545.520139390115</v>
      </c>
    </row>
    <row r="21" spans="1:29" s="169" customFormat="1" x14ac:dyDescent="0.6">
      <c r="A21" s="187">
        <v>17</v>
      </c>
      <c r="B21" s="151" t="s">
        <v>33</v>
      </c>
      <c r="C21" s="152" t="s">
        <v>210</v>
      </c>
      <c r="D21" s="153" t="s">
        <v>32</v>
      </c>
      <c r="E21" s="153" t="s">
        <v>206</v>
      </c>
      <c r="F21" s="204" t="s">
        <v>133</v>
      </c>
      <c r="G21" s="155" t="s">
        <v>211</v>
      </c>
      <c r="H21" s="162" t="s">
        <v>212</v>
      </c>
      <c r="I21" s="153" t="s">
        <v>213</v>
      </c>
      <c r="J21" s="205" t="s">
        <v>829</v>
      </c>
      <c r="K21" s="206">
        <v>2747</v>
      </c>
      <c r="L21" s="199">
        <v>38490</v>
      </c>
      <c r="M21" s="194">
        <f>L21/L47</f>
        <v>1.8718167807961032E-2</v>
      </c>
      <c r="N21" s="195">
        <f t="shared" si="0"/>
        <v>2815.7472431118522</v>
      </c>
      <c r="O21" s="196">
        <f t="shared" si="1"/>
        <v>39420.461403565932</v>
      </c>
      <c r="P21" s="207">
        <v>2495</v>
      </c>
      <c r="Q21" s="199">
        <v>34990</v>
      </c>
      <c r="R21" s="194">
        <f>Q21/Q47</f>
        <v>2.0780328351755906E-2</v>
      </c>
      <c r="S21" s="195">
        <f t="shared" si="2"/>
        <v>2914.4410513337657</v>
      </c>
      <c r="T21" s="195">
        <f t="shared" si="3"/>
        <v>40802.174718672723</v>
      </c>
      <c r="U21" s="198">
        <v>2739</v>
      </c>
      <c r="V21" s="199">
        <v>37996</v>
      </c>
      <c r="W21" s="194">
        <f t="shared" si="4"/>
        <v>1.9220904833352388E-2</v>
      </c>
      <c r="X21" s="200">
        <f t="shared" si="5"/>
        <v>3157.4553804470447</v>
      </c>
      <c r="Y21" s="201">
        <f t="shared" si="6"/>
        <v>44204.375326258625</v>
      </c>
      <c r="Z21" s="202">
        <f t="shared" si="7"/>
        <v>8887.6436748926626</v>
      </c>
      <c r="AA21" s="203">
        <f t="shared" si="7"/>
        <v>124427.01144849729</v>
      </c>
      <c r="AB21" s="203">
        <f t="shared" si="9"/>
        <v>2962.5478916308875</v>
      </c>
      <c r="AC21" s="203">
        <f t="shared" si="8"/>
        <v>41475.670482832429</v>
      </c>
    </row>
    <row r="22" spans="1:29" s="169" customFormat="1" x14ac:dyDescent="0.6">
      <c r="A22" s="187">
        <v>18</v>
      </c>
      <c r="B22" s="154" t="s">
        <v>41</v>
      </c>
      <c r="C22" s="153" t="s">
        <v>237</v>
      </c>
      <c r="D22" s="153" t="s">
        <v>40</v>
      </c>
      <c r="E22" s="153" t="s">
        <v>233</v>
      </c>
      <c r="F22" s="204" t="s">
        <v>133</v>
      </c>
      <c r="G22" s="155" t="s">
        <v>238</v>
      </c>
      <c r="H22" s="162" t="s">
        <v>239</v>
      </c>
      <c r="I22" s="153" t="s">
        <v>240</v>
      </c>
      <c r="J22" s="205" t="s">
        <v>829</v>
      </c>
      <c r="K22" s="206">
        <v>2090</v>
      </c>
      <c r="L22" s="199">
        <v>30660</v>
      </c>
      <c r="M22" s="194">
        <f>L22/L47</f>
        <v>1.49103409974561E-2</v>
      </c>
      <c r="N22" s="195">
        <f t="shared" si="0"/>
        <v>2242.9412957601821</v>
      </c>
      <c r="O22" s="196">
        <f t="shared" si="1"/>
        <v>31401.178140642547</v>
      </c>
      <c r="P22" s="207">
        <v>2210</v>
      </c>
      <c r="Q22" s="199">
        <v>31730</v>
      </c>
      <c r="R22" s="194">
        <f>Q22/Q47</f>
        <v>1.884423602747113E-2</v>
      </c>
      <c r="S22" s="195">
        <f t="shared" si="2"/>
        <v>2642.9041028528259</v>
      </c>
      <c r="T22" s="195">
        <f t="shared" si="3"/>
        <v>37000.657439939561</v>
      </c>
      <c r="U22" s="198">
        <v>2795</v>
      </c>
      <c r="V22" s="199">
        <v>38720</v>
      </c>
      <c r="W22" s="194">
        <f t="shared" si="4"/>
        <v>1.9587152204111075E-2</v>
      </c>
      <c r="X22" s="200">
        <f t="shared" si="5"/>
        <v>3217.6195476078947</v>
      </c>
      <c r="Y22" s="201">
        <f t="shared" si="6"/>
        <v>45046.673666510527</v>
      </c>
      <c r="Z22" s="202">
        <f t="shared" si="7"/>
        <v>8103.4649462209018</v>
      </c>
      <c r="AA22" s="203">
        <f t="shared" si="7"/>
        <v>113448.50924709263</v>
      </c>
      <c r="AB22" s="203">
        <f t="shared" si="9"/>
        <v>2701.1549820736341</v>
      </c>
      <c r="AC22" s="203">
        <f t="shared" si="8"/>
        <v>37816.16974903088</v>
      </c>
    </row>
    <row r="23" spans="1:29" s="169" customFormat="1" x14ac:dyDescent="0.6">
      <c r="A23" s="187">
        <v>19</v>
      </c>
      <c r="B23" s="151" t="s">
        <v>26</v>
      </c>
      <c r="C23" s="152" t="s">
        <v>191</v>
      </c>
      <c r="D23" s="153" t="s">
        <v>24</v>
      </c>
      <c r="E23" s="153" t="s">
        <v>183</v>
      </c>
      <c r="F23" s="204" t="s">
        <v>133</v>
      </c>
      <c r="G23" s="155" t="s">
        <v>192</v>
      </c>
      <c r="H23" s="162" t="s">
        <v>193</v>
      </c>
      <c r="I23" s="153" t="s">
        <v>194</v>
      </c>
      <c r="J23" s="205" t="s">
        <v>829</v>
      </c>
      <c r="K23" s="206">
        <v>2070</v>
      </c>
      <c r="L23" s="199">
        <v>29080</v>
      </c>
      <c r="M23" s="194">
        <f>L23/L47</f>
        <v>1.414196726047043E-2</v>
      </c>
      <c r="N23" s="195">
        <f t="shared" si="0"/>
        <v>2127.3559321821949</v>
      </c>
      <c r="O23" s="196">
        <f t="shared" si="1"/>
        <v>29782.983050550727</v>
      </c>
      <c r="P23" s="207">
        <v>2095</v>
      </c>
      <c r="Q23" s="199">
        <v>29800</v>
      </c>
      <c r="R23" s="194">
        <f>Q23/Q47</f>
        <v>1.7698021860026465E-2</v>
      </c>
      <c r="S23" s="195">
        <f t="shared" si="2"/>
        <v>2482.1475658687118</v>
      </c>
      <c r="T23" s="195">
        <f t="shared" si="3"/>
        <v>34750.065922161964</v>
      </c>
      <c r="U23" s="198">
        <v>2280</v>
      </c>
      <c r="V23" s="199">
        <v>32000</v>
      </c>
      <c r="W23" s="194">
        <f t="shared" si="4"/>
        <v>1.6187729094306675E-2</v>
      </c>
      <c r="X23" s="200">
        <f t="shared" si="5"/>
        <v>2659.1897087668553</v>
      </c>
      <c r="Y23" s="201">
        <f t="shared" si="6"/>
        <v>37228.655922735976</v>
      </c>
      <c r="Z23" s="202">
        <f t="shared" si="7"/>
        <v>7268.6932068177621</v>
      </c>
      <c r="AA23" s="203">
        <f t="shared" si="7"/>
        <v>101761.70489544867</v>
      </c>
      <c r="AB23" s="203">
        <f t="shared" si="9"/>
        <v>2422.8977356059208</v>
      </c>
      <c r="AC23" s="203">
        <f t="shared" si="8"/>
        <v>33920.568298482889</v>
      </c>
    </row>
    <row r="24" spans="1:29" s="169" customFormat="1" x14ac:dyDescent="0.6">
      <c r="A24" s="187">
        <v>20</v>
      </c>
      <c r="B24" s="151" t="s">
        <v>16</v>
      </c>
      <c r="C24" s="152" t="s">
        <v>161</v>
      </c>
      <c r="D24" s="153" t="s">
        <v>15</v>
      </c>
      <c r="E24" s="153" t="s">
        <v>162</v>
      </c>
      <c r="F24" s="204" t="s">
        <v>133</v>
      </c>
      <c r="G24" s="155" t="s">
        <v>163</v>
      </c>
      <c r="H24" s="162" t="s">
        <v>164</v>
      </c>
      <c r="I24" s="153" t="s">
        <v>165</v>
      </c>
      <c r="J24" s="205" t="s">
        <v>829</v>
      </c>
      <c r="K24" s="206">
        <v>2285</v>
      </c>
      <c r="L24" s="199">
        <v>33240</v>
      </c>
      <c r="M24" s="194">
        <f>L24/L47</f>
        <v>1.6165027226204852E-2</v>
      </c>
      <c r="N24" s="195">
        <f t="shared" si="0"/>
        <v>2431.6819527419584</v>
      </c>
      <c r="O24" s="196">
        <f t="shared" si="1"/>
        <v>34043.54733838742</v>
      </c>
      <c r="P24" s="207">
        <v>2235</v>
      </c>
      <c r="Q24" s="199">
        <v>32720</v>
      </c>
      <c r="R24" s="194">
        <f>Q24/Q47</f>
        <v>1.9432190444968654E-2</v>
      </c>
      <c r="S24" s="195">
        <f t="shared" si="2"/>
        <v>2725.3647099068539</v>
      </c>
      <c r="T24" s="195">
        <f t="shared" si="3"/>
        <v>38155.105938695953</v>
      </c>
      <c r="U24" s="198">
        <v>1700</v>
      </c>
      <c r="V24" s="199">
        <v>24440</v>
      </c>
      <c r="W24" s="194">
        <f t="shared" si="4"/>
        <v>1.2363378095776723E-2</v>
      </c>
      <c r="X24" s="200">
        <f t="shared" si="5"/>
        <v>2030.9561400706857</v>
      </c>
      <c r="Y24" s="201">
        <f t="shared" si="6"/>
        <v>28433.385960989599</v>
      </c>
      <c r="Z24" s="202">
        <f t="shared" si="7"/>
        <v>7188.0028027194976</v>
      </c>
      <c r="AA24" s="203">
        <f t="shared" si="7"/>
        <v>100632.03923807298</v>
      </c>
      <c r="AB24" s="203">
        <f t="shared" si="9"/>
        <v>2396.0009342398325</v>
      </c>
      <c r="AC24" s="203">
        <f t="shared" si="8"/>
        <v>33544.013079357661</v>
      </c>
    </row>
    <row r="25" spans="1:29" s="169" customFormat="1" x14ac:dyDescent="0.6">
      <c r="A25" s="187">
        <v>21</v>
      </c>
      <c r="B25" s="151" t="s">
        <v>55</v>
      </c>
      <c r="C25" s="152" t="s">
        <v>278</v>
      </c>
      <c r="D25" s="153" t="s">
        <v>56</v>
      </c>
      <c r="E25" s="153" t="s">
        <v>279</v>
      </c>
      <c r="F25" s="204" t="s">
        <v>133</v>
      </c>
      <c r="G25" s="155" t="s">
        <v>280</v>
      </c>
      <c r="H25" s="162" t="s">
        <v>281</v>
      </c>
      <c r="I25" s="153" t="s">
        <v>282</v>
      </c>
      <c r="J25" s="205" t="s">
        <v>829</v>
      </c>
      <c r="K25" s="208">
        <v>1930</v>
      </c>
      <c r="L25" s="209">
        <v>28700</v>
      </c>
      <c r="M25" s="194">
        <f>L25/L47</f>
        <v>1.3957168513600458E-2</v>
      </c>
      <c r="N25" s="195">
        <f t="shared" si="0"/>
        <v>2099.5569206887544</v>
      </c>
      <c r="O25" s="196">
        <f t="shared" si="1"/>
        <v>29393.796889642563</v>
      </c>
      <c r="P25" s="207">
        <v>1845</v>
      </c>
      <c r="Q25" s="199">
        <v>27830</v>
      </c>
      <c r="R25" s="194">
        <f>Q25/Q47</f>
        <v>1.6528051958541495E-2</v>
      </c>
      <c r="S25" s="195">
        <f t="shared" si="2"/>
        <v>2318.0592871854446</v>
      </c>
      <c r="T25" s="195">
        <f t="shared" si="3"/>
        <v>32452.830020596226</v>
      </c>
      <c r="U25" s="198">
        <v>2017</v>
      </c>
      <c r="V25" s="199">
        <v>29770</v>
      </c>
      <c r="W25" s="194">
        <f t="shared" si="4"/>
        <v>1.5059646723047179E-2</v>
      </c>
      <c r="X25" s="200">
        <f t="shared" si="5"/>
        <v>2473.8774259371648</v>
      </c>
      <c r="Y25" s="201">
        <f t="shared" si="6"/>
        <v>34634.28396312031</v>
      </c>
      <c r="Z25" s="202">
        <f t="shared" si="7"/>
        <v>6891.4936338113639</v>
      </c>
      <c r="AA25" s="203">
        <f t="shared" si="7"/>
        <v>96480.910873359098</v>
      </c>
      <c r="AB25" s="203">
        <f t="shared" si="9"/>
        <v>2297.1645446037878</v>
      </c>
      <c r="AC25" s="203">
        <f t="shared" si="8"/>
        <v>32160.303624453034</v>
      </c>
    </row>
    <row r="26" spans="1:29" s="169" customFormat="1" x14ac:dyDescent="0.6">
      <c r="A26" s="187">
        <v>22</v>
      </c>
      <c r="B26" s="151" t="s">
        <v>42</v>
      </c>
      <c r="C26" s="152" t="s">
        <v>241</v>
      </c>
      <c r="D26" s="153" t="s">
        <v>43</v>
      </c>
      <c r="E26" s="153" t="s">
        <v>242</v>
      </c>
      <c r="F26" s="204" t="s">
        <v>133</v>
      </c>
      <c r="G26" s="155" t="s">
        <v>243</v>
      </c>
      <c r="H26" s="162" t="s">
        <v>244</v>
      </c>
      <c r="I26" s="153" t="s">
        <v>245</v>
      </c>
      <c r="J26" s="205" t="s">
        <v>829</v>
      </c>
      <c r="K26" s="206">
        <v>2030</v>
      </c>
      <c r="L26" s="199">
        <v>28680</v>
      </c>
      <c r="M26" s="194">
        <f>L26/L47</f>
        <v>1.3947442263765196E-2</v>
      </c>
      <c r="N26" s="195">
        <f t="shared" si="0"/>
        <v>2098.0938148206787</v>
      </c>
      <c r="O26" s="196">
        <f t="shared" si="1"/>
        <v>29373.313407489502</v>
      </c>
      <c r="P26" s="207">
        <v>2025</v>
      </c>
      <c r="Q26" s="199">
        <v>28040</v>
      </c>
      <c r="R26" s="194">
        <f>Q26/Q47</f>
        <v>1.6652769562253089E-2</v>
      </c>
      <c r="S26" s="195">
        <f t="shared" si="2"/>
        <v>2335.5509311059955</v>
      </c>
      <c r="T26" s="195">
        <f t="shared" si="3"/>
        <v>32697.713035483939</v>
      </c>
      <c r="U26" s="198">
        <v>1645</v>
      </c>
      <c r="V26" s="199">
        <v>24620</v>
      </c>
      <c r="W26" s="194">
        <f t="shared" si="4"/>
        <v>1.2454434071932198E-2</v>
      </c>
      <c r="X26" s="200">
        <f t="shared" si="5"/>
        <v>2045.9140821824992</v>
      </c>
      <c r="Y26" s="201">
        <f t="shared" si="6"/>
        <v>28642.79715055499</v>
      </c>
      <c r="Z26" s="202">
        <f t="shared" si="7"/>
        <v>6479.5588281091732</v>
      </c>
      <c r="AA26" s="203">
        <f t="shared" si="7"/>
        <v>90713.823593528432</v>
      </c>
      <c r="AB26" s="203">
        <f t="shared" si="9"/>
        <v>2159.8529427030576</v>
      </c>
      <c r="AC26" s="203">
        <f t="shared" si="8"/>
        <v>30237.941197842811</v>
      </c>
    </row>
    <row r="27" spans="1:29" s="169" customFormat="1" x14ac:dyDescent="0.6">
      <c r="A27" s="187">
        <v>23</v>
      </c>
      <c r="B27" s="151" t="s">
        <v>21</v>
      </c>
      <c r="C27" s="152" t="s">
        <v>174</v>
      </c>
      <c r="D27" s="153" t="s">
        <v>20</v>
      </c>
      <c r="E27" s="153" t="s">
        <v>170</v>
      </c>
      <c r="F27" s="204" t="s">
        <v>133</v>
      </c>
      <c r="G27" s="155" t="s">
        <v>175</v>
      </c>
      <c r="H27" s="162" t="s">
        <v>176</v>
      </c>
      <c r="I27" s="153" t="s">
        <v>177</v>
      </c>
      <c r="J27" s="205" t="s">
        <v>829</v>
      </c>
      <c r="K27" s="206">
        <v>1960</v>
      </c>
      <c r="L27" s="199">
        <v>27100</v>
      </c>
      <c r="M27" s="194">
        <f>L27/L47</f>
        <v>1.3179068526779527E-2</v>
      </c>
      <c r="N27" s="195">
        <f t="shared" si="0"/>
        <v>1982.5084512426915</v>
      </c>
      <c r="O27" s="196">
        <f t="shared" si="1"/>
        <v>27755.118317397682</v>
      </c>
      <c r="P27" s="207">
        <v>498</v>
      </c>
      <c r="Q27" s="199">
        <v>6910</v>
      </c>
      <c r="R27" s="194">
        <f>Q27/Q47</f>
        <v>4.1038030554625127E-3</v>
      </c>
      <c r="S27" s="195">
        <f t="shared" si="2"/>
        <v>575.55837852861737</v>
      </c>
      <c r="T27" s="195">
        <f t="shared" si="3"/>
        <v>8057.8172994006436</v>
      </c>
      <c r="U27" s="198">
        <v>1730</v>
      </c>
      <c r="V27" s="199">
        <v>23370</v>
      </c>
      <c r="W27" s="194">
        <f t="shared" si="4"/>
        <v>1.1822100904185843E-2</v>
      </c>
      <c r="X27" s="200">
        <f t="shared" si="5"/>
        <v>1942.0394841837938</v>
      </c>
      <c r="Y27" s="201">
        <f t="shared" si="6"/>
        <v>27188.552778573114</v>
      </c>
      <c r="Z27" s="202">
        <f t="shared" si="7"/>
        <v>4500.1063139551025</v>
      </c>
      <c r="AA27" s="203">
        <f t="shared" si="7"/>
        <v>63001.488395371438</v>
      </c>
      <c r="AB27" s="203">
        <f t="shared" si="9"/>
        <v>1500.0354379850342</v>
      </c>
      <c r="AC27" s="203">
        <f t="shared" si="8"/>
        <v>21000.496131790478</v>
      </c>
    </row>
    <row r="28" spans="1:29" s="169" customFormat="1" x14ac:dyDescent="0.6">
      <c r="A28" s="187">
        <v>24</v>
      </c>
      <c r="B28" s="151" t="s">
        <v>17</v>
      </c>
      <c r="C28" s="152" t="s">
        <v>166</v>
      </c>
      <c r="D28" s="153" t="s">
        <v>18</v>
      </c>
      <c r="E28" s="153" t="s">
        <v>167</v>
      </c>
      <c r="F28" s="204" t="s">
        <v>133</v>
      </c>
      <c r="G28" s="155" t="s">
        <v>17</v>
      </c>
      <c r="H28" s="155" t="s">
        <v>166</v>
      </c>
      <c r="I28" s="153" t="s">
        <v>168</v>
      </c>
      <c r="J28" s="205" t="s">
        <v>829</v>
      </c>
      <c r="K28" s="206">
        <v>1925</v>
      </c>
      <c r="L28" s="199">
        <v>26860</v>
      </c>
      <c r="M28" s="194">
        <f>L28/L47</f>
        <v>1.3062353528756386E-2</v>
      </c>
      <c r="N28" s="195">
        <f t="shared" si="0"/>
        <v>1964.9511808257823</v>
      </c>
      <c r="O28" s="196">
        <f t="shared" si="1"/>
        <v>27509.316531560951</v>
      </c>
      <c r="P28" s="207">
        <v>1570</v>
      </c>
      <c r="Q28" s="199">
        <v>22760</v>
      </c>
      <c r="R28" s="194">
        <f>Q28/Q47</f>
        <v>1.3517012668932963E-2</v>
      </c>
      <c r="S28" s="195">
        <f t="shared" si="2"/>
        <v>1895.7610268178482</v>
      </c>
      <c r="T28" s="195">
        <f t="shared" si="3"/>
        <v>26540.654375449874</v>
      </c>
      <c r="U28" s="198">
        <v>1900</v>
      </c>
      <c r="V28" s="199">
        <v>26400</v>
      </c>
      <c r="W28" s="194">
        <f t="shared" si="4"/>
        <v>1.3354876502803006E-2</v>
      </c>
      <c r="X28" s="200">
        <f t="shared" si="5"/>
        <v>2193.8315097326554</v>
      </c>
      <c r="Y28" s="201">
        <f t="shared" si="6"/>
        <v>30713.641136257174</v>
      </c>
      <c r="Z28" s="202">
        <f t="shared" si="7"/>
        <v>6054.5437173762857</v>
      </c>
      <c r="AA28" s="203">
        <f t="shared" si="7"/>
        <v>84763.612043268004</v>
      </c>
      <c r="AB28" s="203">
        <f t="shared" si="9"/>
        <v>2018.1812391254286</v>
      </c>
      <c r="AC28" s="203">
        <f t="shared" si="8"/>
        <v>28254.537347756002</v>
      </c>
    </row>
    <row r="29" spans="1:29" s="169" customFormat="1" x14ac:dyDescent="0.6">
      <c r="A29" s="187">
        <v>25</v>
      </c>
      <c r="B29" s="151" t="s">
        <v>22</v>
      </c>
      <c r="C29" s="152" t="s">
        <v>178</v>
      </c>
      <c r="D29" s="153" t="s">
        <v>20</v>
      </c>
      <c r="E29" s="153" t="s">
        <v>170</v>
      </c>
      <c r="F29" s="204" t="s">
        <v>133</v>
      </c>
      <c r="G29" s="155" t="s">
        <v>179</v>
      </c>
      <c r="H29" s="162" t="s">
        <v>180</v>
      </c>
      <c r="I29" s="153" t="s">
        <v>181</v>
      </c>
      <c r="J29" s="205" t="s">
        <v>829</v>
      </c>
      <c r="K29" s="206">
        <v>2100</v>
      </c>
      <c r="L29" s="199">
        <v>26760</v>
      </c>
      <c r="M29" s="194">
        <f>L29/L47</f>
        <v>1.301372227958008E-2</v>
      </c>
      <c r="N29" s="195">
        <f t="shared" si="0"/>
        <v>1957.6356514854035</v>
      </c>
      <c r="O29" s="196">
        <f t="shared" si="1"/>
        <v>27406.89912079565</v>
      </c>
      <c r="P29" s="207">
        <v>1040</v>
      </c>
      <c r="Q29" s="199">
        <v>13680</v>
      </c>
      <c r="R29" s="194">
        <f>Q29/Q47</f>
        <v>8.1244610417839612E-3</v>
      </c>
      <c r="S29" s="195">
        <f t="shared" si="2"/>
        <v>1139.4556611102005</v>
      </c>
      <c r="T29" s="195">
        <f t="shared" si="3"/>
        <v>15952.379255542808</v>
      </c>
      <c r="U29" s="198">
        <v>1720</v>
      </c>
      <c r="V29" s="199">
        <v>22280</v>
      </c>
      <c r="W29" s="194">
        <f t="shared" si="4"/>
        <v>1.1270706381911022E-2</v>
      </c>
      <c r="X29" s="200">
        <f t="shared" si="5"/>
        <v>1851.4608347289229</v>
      </c>
      <c r="Y29" s="201">
        <f t="shared" si="6"/>
        <v>25920.45168620492</v>
      </c>
      <c r="Z29" s="202">
        <f t="shared" si="7"/>
        <v>4948.5521473245271</v>
      </c>
      <c r="AA29" s="203">
        <f t="shared" si="7"/>
        <v>69279.730062543385</v>
      </c>
      <c r="AB29" s="203">
        <f t="shared" si="9"/>
        <v>1649.517382441509</v>
      </c>
      <c r="AC29" s="203">
        <f t="shared" si="8"/>
        <v>23093.24335418113</v>
      </c>
    </row>
    <row r="30" spans="1:29" s="169" customFormat="1" x14ac:dyDescent="0.6">
      <c r="A30" s="187">
        <v>26</v>
      </c>
      <c r="B30" s="151" t="s">
        <v>46</v>
      </c>
      <c r="C30" s="152" t="s">
        <v>254</v>
      </c>
      <c r="D30" s="153" t="s">
        <v>47</v>
      </c>
      <c r="E30" s="153" t="s">
        <v>255</v>
      </c>
      <c r="F30" s="204" t="s">
        <v>133</v>
      </c>
      <c r="G30" s="155" t="s">
        <v>256</v>
      </c>
      <c r="H30" s="162" t="s">
        <v>257</v>
      </c>
      <c r="I30" s="153" t="s">
        <v>258</v>
      </c>
      <c r="J30" s="205" t="s">
        <v>829</v>
      </c>
      <c r="K30" s="206">
        <v>1220</v>
      </c>
      <c r="L30" s="199">
        <v>14940</v>
      </c>
      <c r="M30" s="194">
        <f>L30/L47</f>
        <v>7.2655086269404479E-3</v>
      </c>
      <c r="N30" s="195">
        <f t="shared" si="0"/>
        <v>1092.940083452613</v>
      </c>
      <c r="O30" s="196">
        <f t="shared" si="1"/>
        <v>15301.161168336583</v>
      </c>
      <c r="P30" s="207">
        <v>1210</v>
      </c>
      <c r="Q30" s="199">
        <v>16740</v>
      </c>
      <c r="R30" s="194">
        <f>Q30/Q47</f>
        <v>9.941774695867215E-3</v>
      </c>
      <c r="S30" s="195">
        <f t="shared" si="2"/>
        <v>1394.3339010953769</v>
      </c>
      <c r="T30" s="195">
        <f t="shared" si="3"/>
        <v>19520.674615335276</v>
      </c>
      <c r="U30" s="198">
        <v>1260</v>
      </c>
      <c r="V30" s="199">
        <v>15460</v>
      </c>
      <c r="W30" s="194">
        <f t="shared" si="4"/>
        <v>7.8206966186869127E-3</v>
      </c>
      <c r="X30" s="200">
        <f t="shared" si="5"/>
        <v>1284.7210280479869</v>
      </c>
      <c r="Y30" s="201">
        <f t="shared" si="6"/>
        <v>17986.094392671817</v>
      </c>
      <c r="Z30" s="202">
        <f t="shared" si="7"/>
        <v>3771.9950125959767</v>
      </c>
      <c r="AA30" s="203">
        <f t="shared" si="7"/>
        <v>52807.930176343674</v>
      </c>
      <c r="AB30" s="203">
        <f t="shared" si="9"/>
        <v>1257.3316708653256</v>
      </c>
      <c r="AC30" s="203">
        <f t="shared" si="8"/>
        <v>17602.643392114558</v>
      </c>
    </row>
    <row r="31" spans="1:29" s="169" customFormat="1" x14ac:dyDescent="0.6">
      <c r="A31" s="187">
        <v>27</v>
      </c>
      <c r="B31" s="151" t="s">
        <v>7</v>
      </c>
      <c r="C31" s="152" t="s">
        <v>137</v>
      </c>
      <c r="D31" s="153" t="s">
        <v>8</v>
      </c>
      <c r="E31" s="153" t="s">
        <v>138</v>
      </c>
      <c r="F31" s="204" t="s">
        <v>133</v>
      </c>
      <c r="G31" s="155" t="s">
        <v>139</v>
      </c>
      <c r="H31" s="162" t="s">
        <v>140</v>
      </c>
      <c r="I31" s="153" t="s">
        <v>141</v>
      </c>
      <c r="J31" s="205" t="s">
        <v>829</v>
      </c>
      <c r="K31" s="206">
        <v>1570</v>
      </c>
      <c r="L31" s="199">
        <v>21840</v>
      </c>
      <c r="M31" s="194">
        <f>L31/L47</f>
        <v>1.0621064820105714E-2</v>
      </c>
      <c r="N31" s="195">
        <f t="shared" si="0"/>
        <v>1597.7116079387595</v>
      </c>
      <c r="O31" s="196">
        <f t="shared" si="1"/>
        <v>22367.962511142632</v>
      </c>
      <c r="P31" s="207">
        <v>1086</v>
      </c>
      <c r="Q31" s="199">
        <v>15052</v>
      </c>
      <c r="R31" s="194">
        <f>Q31/Q47</f>
        <v>8.9392827193663874E-3</v>
      </c>
      <c r="S31" s="195">
        <f t="shared" si="2"/>
        <v>1253.7344013911359</v>
      </c>
      <c r="T31" s="195">
        <f t="shared" si="3"/>
        <v>17552.281619475903</v>
      </c>
      <c r="U31" s="198">
        <v>1060</v>
      </c>
      <c r="V31" s="199">
        <v>15350</v>
      </c>
      <c r="W31" s="194">
        <f t="shared" si="4"/>
        <v>7.7650512999252333E-3</v>
      </c>
      <c r="X31" s="200">
        <f t="shared" si="5"/>
        <v>1275.5800634241009</v>
      </c>
      <c r="Y31" s="201">
        <f t="shared" si="6"/>
        <v>17858.120887937413</v>
      </c>
      <c r="Z31" s="202">
        <f t="shared" si="7"/>
        <v>4127.0260727539962</v>
      </c>
      <c r="AA31" s="203">
        <f t="shared" si="7"/>
        <v>57778.365018555953</v>
      </c>
      <c r="AB31" s="203">
        <f t="shared" si="9"/>
        <v>1375.6753575846653</v>
      </c>
      <c r="AC31" s="203">
        <f t="shared" si="8"/>
        <v>19259.455006185319</v>
      </c>
    </row>
    <row r="32" spans="1:29" s="169" customFormat="1" x14ac:dyDescent="0.6">
      <c r="A32" s="187">
        <v>28</v>
      </c>
      <c r="B32" s="151" t="s">
        <v>12</v>
      </c>
      <c r="C32" s="152" t="s">
        <v>151</v>
      </c>
      <c r="D32" s="153" t="s">
        <v>13</v>
      </c>
      <c r="E32" s="153" t="s">
        <v>152</v>
      </c>
      <c r="F32" s="204" t="s">
        <v>133</v>
      </c>
      <c r="G32" s="155" t="s">
        <v>153</v>
      </c>
      <c r="H32" s="162" t="s">
        <v>154</v>
      </c>
      <c r="I32" s="153" t="s">
        <v>155</v>
      </c>
      <c r="J32" s="205" t="s">
        <v>829</v>
      </c>
      <c r="K32" s="206">
        <v>1560</v>
      </c>
      <c r="L32" s="199">
        <v>21860</v>
      </c>
      <c r="M32" s="194">
        <f>L32/L47</f>
        <v>1.0630791069940975E-2</v>
      </c>
      <c r="N32" s="195">
        <f t="shared" si="0"/>
        <v>1599.1747138068351</v>
      </c>
      <c r="O32" s="196">
        <f t="shared" si="1"/>
        <v>22388.445993295692</v>
      </c>
      <c r="P32" s="207">
        <v>710</v>
      </c>
      <c r="Q32" s="199">
        <v>10150</v>
      </c>
      <c r="R32" s="194">
        <f>Q32/Q47</f>
        <v>6.0280175127271343E-3</v>
      </c>
      <c r="S32" s="195">
        <f t="shared" si="2"/>
        <v>845.42945615998065</v>
      </c>
      <c r="T32" s="195">
        <f t="shared" si="3"/>
        <v>11836.012386239729</v>
      </c>
      <c r="U32" s="198">
        <v>1135</v>
      </c>
      <c r="V32" s="199">
        <v>16120</v>
      </c>
      <c r="W32" s="194">
        <f t="shared" si="4"/>
        <v>8.1545685312569872E-3</v>
      </c>
      <c r="X32" s="200">
        <f t="shared" si="5"/>
        <v>1339.5668157913035</v>
      </c>
      <c r="Y32" s="201">
        <f t="shared" si="6"/>
        <v>18753.935421078248</v>
      </c>
      <c r="Z32" s="202">
        <f t="shared" si="7"/>
        <v>3784.1709857581191</v>
      </c>
      <c r="AA32" s="203">
        <f t="shared" si="7"/>
        <v>52978.393800613674</v>
      </c>
      <c r="AB32" s="203">
        <f t="shared" si="9"/>
        <v>1261.3903285860397</v>
      </c>
      <c r="AC32" s="203">
        <f t="shared" si="8"/>
        <v>17659.464600204559</v>
      </c>
    </row>
    <row r="33" spans="1:30" s="169" customFormat="1" x14ac:dyDescent="0.6">
      <c r="A33" s="187">
        <v>29</v>
      </c>
      <c r="B33" s="151" t="s">
        <v>57</v>
      </c>
      <c r="C33" s="152" t="s">
        <v>283</v>
      </c>
      <c r="D33" s="153" t="s">
        <v>56</v>
      </c>
      <c r="E33" s="153" t="s">
        <v>279</v>
      </c>
      <c r="F33" s="204" t="s">
        <v>133</v>
      </c>
      <c r="G33" s="155" t="s">
        <v>284</v>
      </c>
      <c r="H33" s="162" t="s">
        <v>285</v>
      </c>
      <c r="I33" s="153" t="s">
        <v>286</v>
      </c>
      <c r="J33" s="205" t="s">
        <v>829</v>
      </c>
      <c r="K33" s="208">
        <v>695</v>
      </c>
      <c r="L33" s="209">
        <v>9460</v>
      </c>
      <c r="M33" s="194">
        <f>L33/L47</f>
        <v>4.6005161720787573E-3</v>
      </c>
      <c r="N33" s="195">
        <f t="shared" si="0"/>
        <v>692.04907559984736</v>
      </c>
      <c r="O33" s="196">
        <f t="shared" si="1"/>
        <v>9688.6870583978634</v>
      </c>
      <c r="P33" s="207">
        <v>1240</v>
      </c>
      <c r="Q33" s="199">
        <v>17780</v>
      </c>
      <c r="R33" s="194">
        <f>Q33/Q47</f>
        <v>1.0559423780915119E-2</v>
      </c>
      <c r="S33" s="195">
        <f t="shared" si="2"/>
        <v>1480.9591852733454</v>
      </c>
      <c r="T33" s="195">
        <f t="shared" si="3"/>
        <v>20733.428593826837</v>
      </c>
      <c r="U33" s="198">
        <v>1565</v>
      </c>
      <c r="V33" s="199">
        <v>25900</v>
      </c>
      <c r="W33" s="194">
        <f t="shared" si="4"/>
        <v>1.3101943235704464E-2</v>
      </c>
      <c r="X33" s="200">
        <f t="shared" si="5"/>
        <v>2152.2816705331734</v>
      </c>
      <c r="Y33" s="201">
        <f t="shared" si="6"/>
        <v>30131.943387464427</v>
      </c>
      <c r="Z33" s="202">
        <f t="shared" si="7"/>
        <v>4325.2899314063661</v>
      </c>
      <c r="AA33" s="203">
        <f t="shared" si="7"/>
        <v>60554.05903968912</v>
      </c>
      <c r="AB33" s="203">
        <f t="shared" si="9"/>
        <v>1441.7633104687886</v>
      </c>
      <c r="AC33" s="203">
        <f t="shared" si="8"/>
        <v>20184.686346563041</v>
      </c>
    </row>
    <row r="34" spans="1:30" s="169" customFormat="1" x14ac:dyDescent="0.6">
      <c r="A34" s="187">
        <v>30</v>
      </c>
      <c r="B34" s="151" t="s">
        <v>50</v>
      </c>
      <c r="C34" s="152" t="s">
        <v>264</v>
      </c>
      <c r="D34" s="153" t="s">
        <v>51</v>
      </c>
      <c r="E34" s="153" t="s">
        <v>265</v>
      </c>
      <c r="F34" s="204" t="s">
        <v>133</v>
      </c>
      <c r="G34" s="155" t="s">
        <v>266</v>
      </c>
      <c r="H34" s="162" t="s">
        <v>267</v>
      </c>
      <c r="I34" s="153" t="s">
        <v>268</v>
      </c>
      <c r="J34" s="205" t="s">
        <v>829</v>
      </c>
      <c r="K34" s="206">
        <v>1024</v>
      </c>
      <c r="L34" s="199">
        <v>14778</v>
      </c>
      <c r="M34" s="194">
        <f>L34/L47</f>
        <v>7.1867260032748284E-3</v>
      </c>
      <c r="N34" s="195">
        <f t="shared" si="0"/>
        <v>1081.0889259211992</v>
      </c>
      <c r="O34" s="196">
        <f t="shared" si="1"/>
        <v>15135.244962896788</v>
      </c>
      <c r="P34" s="207">
        <v>1059</v>
      </c>
      <c r="Q34" s="199">
        <v>15268</v>
      </c>
      <c r="R34" s="194">
        <f>Q34/Q47</f>
        <v>9.0675636831840292E-3</v>
      </c>
      <c r="S34" s="195">
        <f t="shared" si="2"/>
        <v>1271.7258065665599</v>
      </c>
      <c r="T34" s="195">
        <f t="shared" si="3"/>
        <v>17804.16129193184</v>
      </c>
      <c r="U34" s="198">
        <v>1281</v>
      </c>
      <c r="V34" s="199">
        <v>17778</v>
      </c>
      <c r="W34" s="194">
        <f t="shared" si="4"/>
        <v>8.993295244955752E-3</v>
      </c>
      <c r="X34" s="200">
        <f t="shared" si="5"/>
        <v>1477.3460825767859</v>
      </c>
      <c r="Y34" s="201">
        <f t="shared" si="6"/>
        <v>20682.845156075004</v>
      </c>
      <c r="Z34" s="202">
        <f t="shared" si="7"/>
        <v>3830.1608150645452</v>
      </c>
      <c r="AA34" s="203">
        <f t="shared" si="7"/>
        <v>53622.251410903627</v>
      </c>
      <c r="AB34" s="203">
        <f t="shared" si="9"/>
        <v>1276.7202716881818</v>
      </c>
      <c r="AC34" s="203">
        <f t="shared" si="8"/>
        <v>17874.083803634541</v>
      </c>
    </row>
    <row r="35" spans="1:30" s="169" customFormat="1" x14ac:dyDescent="0.6">
      <c r="A35" s="187">
        <v>31</v>
      </c>
      <c r="B35" s="151" t="s">
        <v>25</v>
      </c>
      <c r="C35" s="152" t="s">
        <v>187</v>
      </c>
      <c r="D35" s="153" t="s">
        <v>24</v>
      </c>
      <c r="E35" s="153" t="s">
        <v>183</v>
      </c>
      <c r="F35" s="204" t="s">
        <v>133</v>
      </c>
      <c r="G35" s="155" t="s">
        <v>188</v>
      </c>
      <c r="H35" s="162" t="s">
        <v>189</v>
      </c>
      <c r="I35" s="153" t="s">
        <v>190</v>
      </c>
      <c r="J35" s="205" t="s">
        <v>829</v>
      </c>
      <c r="K35" s="206">
        <v>943</v>
      </c>
      <c r="L35" s="199">
        <v>13496</v>
      </c>
      <c r="M35" s="194">
        <f>L35/L47</f>
        <v>6.5632733888345571E-3</v>
      </c>
      <c r="N35" s="195">
        <f t="shared" si="0"/>
        <v>987.30383977754116</v>
      </c>
      <c r="O35" s="196">
        <f t="shared" si="1"/>
        <v>13822.253756885577</v>
      </c>
      <c r="P35" s="207">
        <v>880</v>
      </c>
      <c r="Q35" s="199">
        <v>12540</v>
      </c>
      <c r="R35" s="194">
        <f>Q35/Q47</f>
        <v>7.4474226216352975E-3</v>
      </c>
      <c r="S35" s="195">
        <f t="shared" si="2"/>
        <v>1044.5010226843503</v>
      </c>
      <c r="T35" s="195">
        <f t="shared" si="3"/>
        <v>14623.014317580906</v>
      </c>
      <c r="U35" s="198">
        <v>1137</v>
      </c>
      <c r="V35" s="199">
        <v>15974</v>
      </c>
      <c r="W35" s="194">
        <f t="shared" si="4"/>
        <v>8.0807120172642129E-3</v>
      </c>
      <c r="X35" s="200">
        <f t="shared" si="5"/>
        <v>1327.4342627450546</v>
      </c>
      <c r="Y35" s="201">
        <f t="shared" si="6"/>
        <v>18584.079678430764</v>
      </c>
      <c r="Z35" s="202">
        <f t="shared" si="7"/>
        <v>3359.239125206946</v>
      </c>
      <c r="AA35" s="203">
        <f t="shared" si="7"/>
        <v>47029.347752897243</v>
      </c>
      <c r="AB35" s="203">
        <f t="shared" si="9"/>
        <v>1119.7463750689819</v>
      </c>
      <c r="AC35" s="203">
        <f t="shared" si="8"/>
        <v>15676.449250965748</v>
      </c>
    </row>
    <row r="36" spans="1:30" s="169" customFormat="1" x14ac:dyDescent="0.6">
      <c r="A36" s="187">
        <v>32</v>
      </c>
      <c r="B36" s="151" t="s">
        <v>11</v>
      </c>
      <c r="C36" s="152" t="s">
        <v>147</v>
      </c>
      <c r="D36" s="153" t="s">
        <v>10</v>
      </c>
      <c r="E36" s="153" t="s">
        <v>143</v>
      </c>
      <c r="F36" s="204" t="s">
        <v>133</v>
      </c>
      <c r="G36" s="155" t="s">
        <v>148</v>
      </c>
      <c r="H36" s="162" t="s">
        <v>149</v>
      </c>
      <c r="I36" s="153" t="s">
        <v>150</v>
      </c>
      <c r="J36" s="205" t="s">
        <v>829</v>
      </c>
      <c r="K36" s="206">
        <v>1845</v>
      </c>
      <c r="L36" s="199">
        <v>25030</v>
      </c>
      <c r="M36" s="194">
        <f>L36/L47</f>
        <v>1.2172401668829947E-2</v>
      </c>
      <c r="N36" s="195">
        <f t="shared" si="0"/>
        <v>1831.0769938968479</v>
      </c>
      <c r="O36" s="196">
        <f t="shared" si="1"/>
        <v>25635.07791455587</v>
      </c>
      <c r="P36" s="207">
        <v>310</v>
      </c>
      <c r="Q36" s="199">
        <v>4220</v>
      </c>
      <c r="R36" s="194">
        <f>Q36/Q47</f>
        <v>2.5062299412520698E-3</v>
      </c>
      <c r="S36" s="195">
        <f t="shared" si="2"/>
        <v>351.49874926060278</v>
      </c>
      <c r="T36" s="195">
        <f t="shared" si="3"/>
        <v>4920.9824896484388</v>
      </c>
      <c r="U36" s="198">
        <v>1102</v>
      </c>
      <c r="V36" s="199">
        <v>15130</v>
      </c>
      <c r="W36" s="194">
        <f t="shared" si="4"/>
        <v>7.6537606624018746E-3</v>
      </c>
      <c r="X36" s="200">
        <f t="shared" si="5"/>
        <v>1257.2981341763286</v>
      </c>
      <c r="Y36" s="201">
        <f t="shared" si="6"/>
        <v>17602.173878468602</v>
      </c>
      <c r="Z36" s="202">
        <f t="shared" si="7"/>
        <v>3439.8738773337791</v>
      </c>
      <c r="AA36" s="203">
        <f t="shared" si="7"/>
        <v>48158.234282672915</v>
      </c>
      <c r="AB36" s="203">
        <f t="shared" si="9"/>
        <v>1146.6246257779264</v>
      </c>
      <c r="AC36" s="203">
        <f t="shared" si="8"/>
        <v>16052.744760890972</v>
      </c>
    </row>
    <row r="37" spans="1:30" s="169" customFormat="1" x14ac:dyDescent="0.6">
      <c r="A37" s="187">
        <v>33</v>
      </c>
      <c r="B37" s="152" t="s">
        <v>108</v>
      </c>
      <c r="C37" s="155" t="s">
        <v>297</v>
      </c>
      <c r="D37" s="152" t="s">
        <v>115</v>
      </c>
      <c r="E37" s="152" t="s">
        <v>242</v>
      </c>
      <c r="F37" s="204" t="s">
        <v>133</v>
      </c>
      <c r="G37" s="210" t="s">
        <v>830</v>
      </c>
      <c r="H37" s="210" t="s">
        <v>831</v>
      </c>
      <c r="I37" s="152" t="s">
        <v>832</v>
      </c>
      <c r="J37" s="205" t="s">
        <v>829</v>
      </c>
      <c r="K37" s="208">
        <v>778</v>
      </c>
      <c r="L37" s="209">
        <v>11035</v>
      </c>
      <c r="M37" s="194">
        <f>L37/L47</f>
        <v>5.3664583466056116E-3</v>
      </c>
      <c r="N37" s="195">
        <f t="shared" si="0"/>
        <v>807.26866271081565</v>
      </c>
      <c r="O37" s="196">
        <f t="shared" si="1"/>
        <v>11301.761277951418</v>
      </c>
      <c r="P37" s="207">
        <v>1015</v>
      </c>
      <c r="Q37" s="199">
        <v>14160</v>
      </c>
      <c r="R37" s="194">
        <f>Q37/Q47</f>
        <v>8.4095298502676087E-3</v>
      </c>
      <c r="S37" s="195">
        <f t="shared" si="2"/>
        <v>1179.436561500032</v>
      </c>
      <c r="T37" s="195">
        <f t="shared" si="3"/>
        <v>16512.111861000449</v>
      </c>
      <c r="U37" s="198">
        <v>893</v>
      </c>
      <c r="V37" s="199">
        <v>12236</v>
      </c>
      <c r="W37" s="194">
        <f t="shared" si="4"/>
        <v>6.1897829124355147E-3</v>
      </c>
      <c r="X37" s="200">
        <f t="shared" si="5"/>
        <v>1016.8076648897262</v>
      </c>
      <c r="Y37" s="201">
        <f t="shared" si="6"/>
        <v>14235.307308456167</v>
      </c>
      <c r="Z37" s="202">
        <f t="shared" si="7"/>
        <v>3003.5128891005738</v>
      </c>
      <c r="AA37" s="203">
        <f t="shared" si="7"/>
        <v>42049.180447408035</v>
      </c>
      <c r="AB37" s="203">
        <f t="shared" si="9"/>
        <v>1001.1709630335246</v>
      </c>
      <c r="AC37" s="203">
        <f t="shared" si="8"/>
        <v>14016.393482469344</v>
      </c>
    </row>
    <row r="38" spans="1:30" s="169" customFormat="1" x14ac:dyDescent="0.6">
      <c r="A38" s="187">
        <v>34</v>
      </c>
      <c r="B38" s="151" t="s">
        <v>109</v>
      </c>
      <c r="C38" s="152" t="s">
        <v>298</v>
      </c>
      <c r="D38" s="153" t="s">
        <v>38</v>
      </c>
      <c r="E38" s="153" t="s">
        <v>224</v>
      </c>
      <c r="F38" s="204" t="s">
        <v>133</v>
      </c>
      <c r="G38" s="155" t="s">
        <v>299</v>
      </c>
      <c r="H38" s="162" t="s">
        <v>300</v>
      </c>
      <c r="I38" s="153" t="s">
        <v>301</v>
      </c>
      <c r="J38" s="205" t="s">
        <v>829</v>
      </c>
      <c r="K38" s="208">
        <v>1025</v>
      </c>
      <c r="L38" s="209">
        <v>14224</v>
      </c>
      <c r="M38" s="194">
        <f>L38/L47</f>
        <v>6.9173088828380809E-3</v>
      </c>
      <c r="N38" s="195">
        <f t="shared" si="0"/>
        <v>1040.5608933755</v>
      </c>
      <c r="O38" s="196">
        <f t="shared" si="1"/>
        <v>14567.852507256999</v>
      </c>
      <c r="P38" s="207">
        <v>521</v>
      </c>
      <c r="Q38" s="199">
        <v>7638</v>
      </c>
      <c r="R38" s="194">
        <f>Q38/Q47</f>
        <v>4.5361574149960443E-3</v>
      </c>
      <c r="S38" s="195">
        <f t="shared" si="2"/>
        <v>636.19607745319524</v>
      </c>
      <c r="T38" s="195">
        <f t="shared" si="3"/>
        <v>8906.7450843447332</v>
      </c>
      <c r="U38" s="198">
        <v>1032</v>
      </c>
      <c r="V38" s="199">
        <v>14428</v>
      </c>
      <c r="W38" s="194">
        <f t="shared" si="4"/>
        <v>7.2986423553955222E-3</v>
      </c>
      <c r="X38" s="200">
        <f t="shared" si="5"/>
        <v>1198.962159940256</v>
      </c>
      <c r="Y38" s="201">
        <f t="shared" si="6"/>
        <v>16785.470239163584</v>
      </c>
      <c r="Z38" s="202">
        <f t="shared" si="7"/>
        <v>2875.7191307689509</v>
      </c>
      <c r="AA38" s="203">
        <f t="shared" si="7"/>
        <v>40260.067830765314</v>
      </c>
      <c r="AB38" s="203">
        <f t="shared" si="9"/>
        <v>958.5730435896503</v>
      </c>
      <c r="AC38" s="203">
        <f t="shared" si="8"/>
        <v>13420.022610255104</v>
      </c>
    </row>
    <row r="39" spans="1:30" s="169" customFormat="1" x14ac:dyDescent="0.6">
      <c r="A39" s="187">
        <v>35</v>
      </c>
      <c r="B39" s="151" t="s">
        <v>23</v>
      </c>
      <c r="C39" s="152" t="s">
        <v>182</v>
      </c>
      <c r="D39" s="153" t="s">
        <v>24</v>
      </c>
      <c r="E39" s="153" t="s">
        <v>183</v>
      </c>
      <c r="F39" s="204" t="s">
        <v>133</v>
      </c>
      <c r="G39" s="155" t="s">
        <v>184</v>
      </c>
      <c r="H39" s="162" t="s">
        <v>185</v>
      </c>
      <c r="I39" s="153" t="s">
        <v>186</v>
      </c>
      <c r="J39" s="205" t="s">
        <v>829</v>
      </c>
      <c r="K39" s="206">
        <v>1205</v>
      </c>
      <c r="L39" s="199">
        <v>16720</v>
      </c>
      <c r="M39" s="194">
        <f>L39/L47</f>
        <v>8.1311448622787344E-3</v>
      </c>
      <c r="N39" s="195">
        <f t="shared" si="0"/>
        <v>1223.1565057113582</v>
      </c>
      <c r="O39" s="196">
        <f t="shared" si="1"/>
        <v>17124.191079959015</v>
      </c>
      <c r="P39" s="207">
        <v>695</v>
      </c>
      <c r="Q39" s="199">
        <v>9620</v>
      </c>
      <c r="R39" s="194">
        <f>Q39/Q47</f>
        <v>5.713254036693107E-3</v>
      </c>
      <c r="S39" s="195">
        <f t="shared" si="2"/>
        <v>801.28387864620822</v>
      </c>
      <c r="T39" s="195">
        <f t="shared" si="3"/>
        <v>11217.974301046916</v>
      </c>
      <c r="U39" s="198">
        <v>1355</v>
      </c>
      <c r="V39" s="199">
        <v>18860</v>
      </c>
      <c r="W39" s="194">
        <f t="shared" si="4"/>
        <v>9.5406428349569961E-3</v>
      </c>
      <c r="X39" s="200">
        <f t="shared" si="5"/>
        <v>1567.2599346044651</v>
      </c>
      <c r="Y39" s="201">
        <f t="shared" si="6"/>
        <v>21941.639084462513</v>
      </c>
      <c r="Z39" s="202">
        <f t="shared" si="7"/>
        <v>3591.7003189620318</v>
      </c>
      <c r="AA39" s="203">
        <f t="shared" si="7"/>
        <v>50283.804465468449</v>
      </c>
      <c r="AB39" s="203">
        <f t="shared" si="9"/>
        <v>1197.2334396540107</v>
      </c>
      <c r="AC39" s="203">
        <f t="shared" si="8"/>
        <v>16761.268155156151</v>
      </c>
    </row>
    <row r="40" spans="1:30" s="169" customFormat="1" x14ac:dyDescent="0.6">
      <c r="A40" s="187">
        <v>36</v>
      </c>
      <c r="B40" s="152" t="s">
        <v>106</v>
      </c>
      <c r="C40" s="156" t="s">
        <v>287</v>
      </c>
      <c r="D40" s="153" t="s">
        <v>113</v>
      </c>
      <c r="E40" s="152" t="s">
        <v>288</v>
      </c>
      <c r="F40" s="204" t="s">
        <v>133</v>
      </c>
      <c r="G40" s="155" t="s">
        <v>289</v>
      </c>
      <c r="H40" s="155" t="s">
        <v>290</v>
      </c>
      <c r="I40" s="152" t="s">
        <v>291</v>
      </c>
      <c r="J40" s="165" t="s">
        <v>461</v>
      </c>
      <c r="K40" s="208">
        <v>800</v>
      </c>
      <c r="L40" s="209">
        <v>11530</v>
      </c>
      <c r="M40" s="194">
        <f>L40/L47</f>
        <v>5.6071830300283374E-3</v>
      </c>
      <c r="N40" s="195">
        <f t="shared" si="0"/>
        <v>843.48053294569127</v>
      </c>
      <c r="O40" s="196">
        <f t="shared" si="1"/>
        <v>11808.727461239678</v>
      </c>
      <c r="P40" s="207">
        <v>948</v>
      </c>
      <c r="Q40" s="199">
        <v>13740</v>
      </c>
      <c r="R40" s="194">
        <f>Q40/Q47</f>
        <v>8.1600946428444163E-3</v>
      </c>
      <c r="S40" s="195">
        <f t="shared" si="2"/>
        <v>1144.4532736589294</v>
      </c>
      <c r="T40" s="195">
        <f t="shared" si="3"/>
        <v>16022.345831225011</v>
      </c>
      <c r="U40" s="198">
        <v>760</v>
      </c>
      <c r="V40" s="199">
        <v>11150</v>
      </c>
      <c r="W40" s="194">
        <f t="shared" si="4"/>
        <v>5.6404118562974823E-3</v>
      </c>
      <c r="X40" s="200">
        <f t="shared" si="5"/>
        <v>926.56141414845115</v>
      </c>
      <c r="Y40" s="201">
        <f t="shared" si="6"/>
        <v>12971.859798078316</v>
      </c>
      <c r="Z40" s="202">
        <f t="shared" si="7"/>
        <v>2914.4952207530719</v>
      </c>
      <c r="AA40" s="203">
        <f t="shared" si="7"/>
        <v>40802.933090543003</v>
      </c>
      <c r="AB40" s="203">
        <f t="shared" si="9"/>
        <v>971.49840691769066</v>
      </c>
      <c r="AC40" s="203">
        <f t="shared" si="8"/>
        <v>13600.977696847667</v>
      </c>
    </row>
    <row r="41" spans="1:30" s="169" customFormat="1" x14ac:dyDescent="0.6">
      <c r="A41" s="187">
        <v>37</v>
      </c>
      <c r="B41" s="151" t="s">
        <v>107</v>
      </c>
      <c r="C41" s="152" t="s">
        <v>292</v>
      </c>
      <c r="D41" s="153" t="s">
        <v>114</v>
      </c>
      <c r="E41" s="153" t="s">
        <v>293</v>
      </c>
      <c r="F41" s="204" t="s">
        <v>133</v>
      </c>
      <c r="G41" s="155" t="s">
        <v>294</v>
      </c>
      <c r="H41" s="162" t="s">
        <v>295</v>
      </c>
      <c r="I41" s="153" t="s">
        <v>296</v>
      </c>
      <c r="J41" s="205" t="s">
        <v>829</v>
      </c>
      <c r="K41" s="208">
        <v>940</v>
      </c>
      <c r="L41" s="209">
        <v>14188</v>
      </c>
      <c r="M41" s="194">
        <f>L41/L47</f>
        <v>6.8998016331346095E-3</v>
      </c>
      <c r="N41" s="195">
        <f t="shared" si="0"/>
        <v>1037.9273028129635</v>
      </c>
      <c r="O41" s="196">
        <f t="shared" si="1"/>
        <v>14530.982239381488</v>
      </c>
      <c r="P41" s="207">
        <v>979</v>
      </c>
      <c r="Q41" s="199">
        <v>14290</v>
      </c>
      <c r="R41" s="194">
        <f>Q41/Q47</f>
        <v>8.4867359858985959E-3</v>
      </c>
      <c r="S41" s="195">
        <f t="shared" si="2"/>
        <v>1190.2647220222782</v>
      </c>
      <c r="T41" s="195">
        <f t="shared" si="3"/>
        <v>16663.706108311893</v>
      </c>
      <c r="U41" s="198">
        <v>829</v>
      </c>
      <c r="V41" s="199">
        <v>12306</v>
      </c>
      <c r="W41" s="194">
        <f t="shared" si="4"/>
        <v>6.2251935698293109E-3</v>
      </c>
      <c r="X41" s="200">
        <f t="shared" si="5"/>
        <v>1022.6246423776538</v>
      </c>
      <c r="Y41" s="201">
        <f t="shared" si="6"/>
        <v>14316.744993287153</v>
      </c>
      <c r="Z41" s="202">
        <f t="shared" si="7"/>
        <v>3250.8166672128955</v>
      </c>
      <c r="AA41" s="203">
        <f t="shared" si="7"/>
        <v>45511.433340980533</v>
      </c>
      <c r="AB41" s="203">
        <f t="shared" si="9"/>
        <v>1083.6055557376319</v>
      </c>
      <c r="AC41" s="203">
        <f t="shared" si="8"/>
        <v>15170.477780326844</v>
      </c>
    </row>
    <row r="42" spans="1:30" s="169" customFormat="1" x14ac:dyDescent="0.6">
      <c r="A42" s="187">
        <v>38</v>
      </c>
      <c r="B42" s="155" t="s">
        <v>111</v>
      </c>
      <c r="C42" s="152" t="s">
        <v>307</v>
      </c>
      <c r="D42" s="152" t="s">
        <v>117</v>
      </c>
      <c r="E42" s="156" t="s">
        <v>308</v>
      </c>
      <c r="F42" s="204" t="s">
        <v>133</v>
      </c>
      <c r="G42" s="155" t="s">
        <v>309</v>
      </c>
      <c r="H42" s="155" t="s">
        <v>310</v>
      </c>
      <c r="I42" s="156" t="s">
        <v>311</v>
      </c>
      <c r="J42" s="205" t="s">
        <v>829</v>
      </c>
      <c r="K42" s="208">
        <v>1040</v>
      </c>
      <c r="L42" s="209">
        <v>13980</v>
      </c>
      <c r="M42" s="194">
        <f>L42/L47</f>
        <v>6.7986486348478887E-3</v>
      </c>
      <c r="N42" s="195">
        <f t="shared" si="0"/>
        <v>1022.7110017849752</v>
      </c>
      <c r="O42" s="196">
        <f t="shared" si="1"/>
        <v>14317.954024989653</v>
      </c>
      <c r="P42" s="207">
        <v>520</v>
      </c>
      <c r="Q42" s="199">
        <v>6940</v>
      </c>
      <c r="R42" s="194">
        <f>Q42/Q47</f>
        <v>4.1216198559927402E-3</v>
      </c>
      <c r="S42" s="195">
        <f t="shared" si="2"/>
        <v>578.05718480298185</v>
      </c>
      <c r="T42" s="195">
        <f t="shared" si="3"/>
        <v>8092.8005872417452</v>
      </c>
      <c r="U42" s="198">
        <v>1040</v>
      </c>
      <c r="V42" s="199">
        <v>13980</v>
      </c>
      <c r="W42" s="194">
        <f t="shared" si="4"/>
        <v>7.072014148075228E-3</v>
      </c>
      <c r="X42" s="200">
        <f t="shared" si="5"/>
        <v>1161.7335040175199</v>
      </c>
      <c r="Y42" s="201">
        <f t="shared" si="6"/>
        <v>16264.269056245277</v>
      </c>
      <c r="Z42" s="202">
        <f t="shared" si="7"/>
        <v>2762.5016906054771</v>
      </c>
      <c r="AA42" s="203">
        <f t="shared" si="7"/>
        <v>38675.023668476671</v>
      </c>
      <c r="AB42" s="203">
        <f t="shared" si="9"/>
        <v>920.83389686849239</v>
      </c>
      <c r="AC42" s="203">
        <f t="shared" si="8"/>
        <v>12891.67455615889</v>
      </c>
    </row>
    <row r="43" spans="1:30" s="169" customFormat="1" x14ac:dyDescent="0.6">
      <c r="A43" s="187">
        <v>39</v>
      </c>
      <c r="B43" s="157" t="s">
        <v>112</v>
      </c>
      <c r="C43" s="157" t="s">
        <v>312</v>
      </c>
      <c r="D43" s="158" t="s">
        <v>118</v>
      </c>
      <c r="E43" s="157" t="s">
        <v>206</v>
      </c>
      <c r="F43" s="211" t="s">
        <v>133</v>
      </c>
      <c r="G43" s="159" t="s">
        <v>833</v>
      </c>
      <c r="H43" s="159" t="s">
        <v>834</v>
      </c>
      <c r="I43" s="157" t="s">
        <v>835</v>
      </c>
      <c r="J43" s="212" t="s">
        <v>829</v>
      </c>
      <c r="K43" s="213">
        <v>35</v>
      </c>
      <c r="L43" s="214">
        <v>480</v>
      </c>
      <c r="M43" s="194">
        <f>L43/L47</f>
        <v>2.3342999604627945E-4</v>
      </c>
      <c r="N43" s="195">
        <f t="shared" si="0"/>
        <v>35.114540833818893</v>
      </c>
      <c r="O43" s="196">
        <f t="shared" si="1"/>
        <v>491.6035716734645</v>
      </c>
      <c r="P43" s="215">
        <v>565</v>
      </c>
      <c r="Q43" s="216">
        <v>7570</v>
      </c>
      <c r="R43" s="194">
        <f>Q43/Q47</f>
        <v>4.495772667127528E-3</v>
      </c>
      <c r="S43" s="195">
        <f t="shared" si="2"/>
        <v>630.53211656463577</v>
      </c>
      <c r="T43" s="195">
        <f t="shared" si="3"/>
        <v>8827.4496319049013</v>
      </c>
      <c r="U43" s="217">
        <v>545</v>
      </c>
      <c r="V43" s="216">
        <v>7780</v>
      </c>
      <c r="W43" s="194">
        <f t="shared" si="4"/>
        <v>3.93564163605331E-3</v>
      </c>
      <c r="X43" s="200">
        <f t="shared" si="5"/>
        <v>646.51549794394157</v>
      </c>
      <c r="Y43" s="201">
        <f t="shared" si="6"/>
        <v>9051.2169712151826</v>
      </c>
      <c r="Z43" s="202">
        <f t="shared" si="7"/>
        <v>1312.1621553423961</v>
      </c>
      <c r="AA43" s="203">
        <f t="shared" si="7"/>
        <v>18370.27017479355</v>
      </c>
      <c r="AB43" s="203">
        <f t="shared" si="9"/>
        <v>437.38738511413203</v>
      </c>
      <c r="AC43" s="203">
        <f t="shared" si="8"/>
        <v>6123.4233915978502</v>
      </c>
      <c r="AD43" s="218"/>
    </row>
    <row r="44" spans="1:30" s="169" customFormat="1" x14ac:dyDescent="0.6">
      <c r="A44" s="187">
        <v>40</v>
      </c>
      <c r="B44" s="151" t="s">
        <v>9</v>
      </c>
      <c r="C44" s="152" t="s">
        <v>142</v>
      </c>
      <c r="D44" s="153" t="s">
        <v>10</v>
      </c>
      <c r="E44" s="153" t="s">
        <v>143</v>
      </c>
      <c r="F44" s="204" t="s">
        <v>133</v>
      </c>
      <c r="G44" s="155" t="s">
        <v>144</v>
      </c>
      <c r="H44" s="162" t="s">
        <v>145</v>
      </c>
      <c r="I44" s="153" t="s">
        <v>146</v>
      </c>
      <c r="J44" s="205" t="s">
        <v>829</v>
      </c>
      <c r="K44" s="206">
        <v>1200</v>
      </c>
      <c r="L44" s="199">
        <v>16400</v>
      </c>
      <c r="M44" s="194">
        <f>L44/L47</f>
        <v>7.9755248649145474E-3</v>
      </c>
      <c r="N44" s="195">
        <f t="shared" si="0"/>
        <v>1199.7468118221454</v>
      </c>
      <c r="O44" s="196">
        <f t="shared" si="1"/>
        <v>16796.455365510035</v>
      </c>
      <c r="P44" s="219" t="s">
        <v>836</v>
      </c>
      <c r="Q44" s="220" t="s">
        <v>836</v>
      </c>
      <c r="R44" s="194">
        <f>Q44/Q47</f>
        <v>0</v>
      </c>
      <c r="S44" s="195">
        <f t="shared" si="2"/>
        <v>0</v>
      </c>
      <c r="T44" s="195">
        <f t="shared" si="3"/>
        <v>0</v>
      </c>
      <c r="U44" s="198">
        <v>1500</v>
      </c>
      <c r="V44" s="199">
        <v>20460</v>
      </c>
      <c r="W44" s="194">
        <f t="shared" si="4"/>
        <v>1.035002928967233E-2</v>
      </c>
      <c r="X44" s="200">
        <f t="shared" si="5"/>
        <v>1700.219420042808</v>
      </c>
      <c r="Y44" s="201">
        <f t="shared" si="6"/>
        <v>23803.071880599313</v>
      </c>
      <c r="Z44" s="202">
        <f t="shared" si="7"/>
        <v>2899.9662318649534</v>
      </c>
      <c r="AA44" s="203">
        <f t="shared" si="7"/>
        <v>40599.527246109348</v>
      </c>
      <c r="AB44" s="203">
        <f t="shared" si="9"/>
        <v>966.65541062165119</v>
      </c>
      <c r="AC44" s="203">
        <f t="shared" si="8"/>
        <v>13533.175748703115</v>
      </c>
    </row>
    <row r="45" spans="1:30" x14ac:dyDescent="0.6">
      <c r="A45" s="187">
        <v>41</v>
      </c>
      <c r="B45" s="155" t="s">
        <v>110</v>
      </c>
      <c r="C45" s="152" t="s">
        <v>302</v>
      </c>
      <c r="D45" s="152" t="s">
        <v>116</v>
      </c>
      <c r="E45" s="156" t="s">
        <v>303</v>
      </c>
      <c r="F45" s="204" t="s">
        <v>133</v>
      </c>
      <c r="G45" s="155" t="s">
        <v>304</v>
      </c>
      <c r="H45" s="155" t="s">
        <v>305</v>
      </c>
      <c r="I45" s="156" t="s">
        <v>306</v>
      </c>
      <c r="J45" s="205" t="s">
        <v>829</v>
      </c>
      <c r="K45" s="208">
        <v>1200</v>
      </c>
      <c r="L45" s="209">
        <v>14800</v>
      </c>
      <c r="M45" s="194">
        <f>L45/L47</f>
        <v>7.1974248780936161E-3</v>
      </c>
      <c r="N45" s="195">
        <f t="shared" si="0"/>
        <v>1082.6983423760826</v>
      </c>
      <c r="O45" s="196">
        <f t="shared" si="1"/>
        <v>15157.776793265155</v>
      </c>
      <c r="P45" s="207">
        <v>630</v>
      </c>
      <c r="Q45" s="199">
        <v>7660</v>
      </c>
      <c r="R45" s="194">
        <f>Q45/Q47</f>
        <v>4.5492230687182115E-3</v>
      </c>
      <c r="S45" s="195">
        <f t="shared" si="2"/>
        <v>638.02853538772911</v>
      </c>
      <c r="T45" s="195">
        <f t="shared" si="3"/>
        <v>8932.399495428208</v>
      </c>
      <c r="U45" s="198">
        <v>700</v>
      </c>
      <c r="V45" s="199">
        <v>8600</v>
      </c>
      <c r="W45" s="194">
        <f t="shared" si="4"/>
        <v>4.3504521940949184E-3</v>
      </c>
      <c r="X45" s="200">
        <f t="shared" si="5"/>
        <v>714.65723423109227</v>
      </c>
      <c r="Y45" s="201">
        <f t="shared" si="6"/>
        <v>10005.201279235293</v>
      </c>
      <c r="Z45" s="202">
        <f t="shared" si="7"/>
        <v>2435.3841119949038</v>
      </c>
      <c r="AA45" s="203">
        <f t="shared" si="7"/>
        <v>34095.377567928655</v>
      </c>
      <c r="AB45" s="203">
        <f t="shared" si="9"/>
        <v>811.79470399830132</v>
      </c>
      <c r="AC45" s="203">
        <f t="shared" si="8"/>
        <v>11365.125855976219</v>
      </c>
      <c r="AD45" s="169"/>
    </row>
    <row r="46" spans="1:30" s="235" customFormat="1" x14ac:dyDescent="0.6">
      <c r="A46" s="221"/>
      <c r="B46" s="222"/>
      <c r="C46" s="222"/>
      <c r="D46" s="223"/>
      <c r="E46" s="222"/>
      <c r="F46" s="224"/>
      <c r="G46" s="225"/>
      <c r="H46" s="225"/>
      <c r="I46" s="222"/>
      <c r="J46" s="226"/>
      <c r="K46" s="227"/>
      <c r="L46" s="228"/>
      <c r="M46" s="229"/>
      <c r="N46" s="229"/>
      <c r="O46" s="229"/>
      <c r="P46" s="230"/>
      <c r="Q46" s="231"/>
      <c r="R46" s="195"/>
      <c r="S46" s="195"/>
      <c r="T46" s="195"/>
      <c r="U46" s="232"/>
      <c r="V46" s="231"/>
      <c r="W46" s="195"/>
      <c r="X46" s="195"/>
      <c r="Y46" s="201"/>
      <c r="Z46" s="233"/>
      <c r="AA46" s="234"/>
      <c r="AB46" s="234"/>
      <c r="AC46" s="234"/>
    </row>
    <row r="47" spans="1:30" s="254" customFormat="1" x14ac:dyDescent="0.6">
      <c r="A47" s="236"/>
      <c r="B47" s="237" t="s">
        <v>837</v>
      </c>
      <c r="C47" s="237"/>
      <c r="D47" s="238"/>
      <c r="E47" s="237"/>
      <c r="F47" s="239"/>
      <c r="G47" s="240"/>
      <c r="H47" s="240"/>
      <c r="I47" s="237"/>
      <c r="J47" s="241"/>
      <c r="K47" s="242">
        <f t="shared" ref="K47:AC47" si="10">SUM(K5:K46)</f>
        <v>144246</v>
      </c>
      <c r="L47" s="243">
        <f t="shared" si="10"/>
        <v>2056291</v>
      </c>
      <c r="M47" s="244">
        <f>L47/L47</f>
        <v>1</v>
      </c>
      <c r="N47" s="245">
        <f>SUM(N5:N46)</f>
        <v>150428.57142857145</v>
      </c>
      <c r="O47" s="245">
        <f>SUM(O5:O46)</f>
        <v>2106000</v>
      </c>
      <c r="P47" s="246">
        <f t="shared" si="10"/>
        <v>117796</v>
      </c>
      <c r="Q47" s="247">
        <f t="shared" si="10"/>
        <v>1683804</v>
      </c>
      <c r="R47" s="248">
        <f>SUM(R5:R46)</f>
        <v>0.99999999999999989</v>
      </c>
      <c r="S47" s="249">
        <f>SUM(S5:S46)</f>
        <v>140250.00000000006</v>
      </c>
      <c r="T47" s="249">
        <f>SUM(T5:T46)</f>
        <v>1963500</v>
      </c>
      <c r="U47" s="250">
        <f t="shared" si="10"/>
        <v>139553</v>
      </c>
      <c r="V47" s="247">
        <f t="shared" si="10"/>
        <v>1976806</v>
      </c>
      <c r="W47" s="248">
        <f t="shared" si="10"/>
        <v>1.0000000000000002</v>
      </c>
      <c r="X47" s="249">
        <f t="shared" si="10"/>
        <v>164271.94285714292</v>
      </c>
      <c r="Y47" s="251">
        <f t="shared" si="10"/>
        <v>2299807.2000000002</v>
      </c>
      <c r="Z47" s="252">
        <f t="shared" si="10"/>
        <v>454950.51428571442</v>
      </c>
      <c r="AA47" s="253">
        <f t="shared" si="10"/>
        <v>6369307.1999999993</v>
      </c>
      <c r="AB47" s="253">
        <f t="shared" si="10"/>
        <v>151650.17142857148</v>
      </c>
      <c r="AC47" s="253">
        <f t="shared" si="10"/>
        <v>2123102.4</v>
      </c>
    </row>
    <row r="48" spans="1:30" s="254" customFormat="1" x14ac:dyDescent="0.6">
      <c r="A48" s="236"/>
      <c r="B48" s="237" t="s">
        <v>838</v>
      </c>
      <c r="C48" s="237"/>
      <c r="D48" s="238"/>
      <c r="E48" s="237"/>
      <c r="F48" s="239"/>
      <c r="G48" s="240"/>
      <c r="H48" s="240"/>
      <c r="I48" s="237"/>
      <c r="J48" s="241"/>
      <c r="K48" s="242"/>
      <c r="L48" s="243">
        <v>2632400</v>
      </c>
      <c r="M48" s="255"/>
      <c r="N48" s="255"/>
      <c r="O48" s="255"/>
      <c r="P48" s="246"/>
      <c r="Q48" s="247">
        <v>2185076</v>
      </c>
      <c r="R48" s="256"/>
      <c r="S48" s="256"/>
      <c r="T48" s="256"/>
      <c r="U48" s="250"/>
      <c r="V48" s="247">
        <v>2465006</v>
      </c>
      <c r="W48" s="256"/>
      <c r="X48" s="256"/>
      <c r="Y48" s="257"/>
      <c r="Z48" s="258"/>
      <c r="AA48" s="259"/>
      <c r="AB48" s="259"/>
      <c r="AC48" s="259"/>
    </row>
    <row r="49" spans="1:32" s="266" customFormat="1" ht="31.5" customHeight="1" x14ac:dyDescent="0.6">
      <c r="A49" s="236"/>
      <c r="B49" s="260" t="s">
        <v>839</v>
      </c>
      <c r="C49" s="260"/>
      <c r="D49" s="250"/>
      <c r="E49" s="260"/>
      <c r="F49" s="239"/>
      <c r="G49" s="260"/>
      <c r="H49" s="260"/>
      <c r="I49" s="260"/>
      <c r="J49" s="241"/>
      <c r="K49" s="261"/>
      <c r="L49" s="262">
        <f>L47/L48</f>
        <v>0.7811468621790002</v>
      </c>
      <c r="M49" s="263"/>
      <c r="N49" s="263"/>
      <c r="O49" s="263"/>
      <c r="P49" s="246"/>
      <c r="Q49" s="262">
        <f>Q47/Q48</f>
        <v>0.7705928764033837</v>
      </c>
      <c r="R49" s="263"/>
      <c r="S49" s="263"/>
      <c r="T49" s="263"/>
      <c r="U49" s="250"/>
      <c r="V49" s="262">
        <f>V47/V48</f>
        <v>0.80194774373774347</v>
      </c>
      <c r="W49" s="263"/>
      <c r="X49" s="263"/>
      <c r="Y49" s="264"/>
      <c r="Z49" s="265"/>
      <c r="AA49" s="239"/>
      <c r="AB49" s="239"/>
      <c r="AC49" s="239"/>
      <c r="AE49" s="267"/>
    </row>
    <row r="50" spans="1:32" s="266" customFormat="1" ht="47.25" customHeight="1" x14ac:dyDescent="0.6">
      <c r="A50" s="236"/>
      <c r="B50" s="260"/>
      <c r="C50" s="260"/>
      <c r="D50" s="250"/>
      <c r="E50" s="260"/>
      <c r="F50" s="239"/>
      <c r="G50" s="260"/>
      <c r="H50" s="260"/>
      <c r="I50" s="260"/>
      <c r="J50" s="241"/>
      <c r="K50" s="261"/>
      <c r="L50" s="262"/>
      <c r="M50" s="175" t="s">
        <v>350</v>
      </c>
      <c r="N50" s="175" t="s">
        <v>353</v>
      </c>
      <c r="O50" s="175" t="s">
        <v>354</v>
      </c>
      <c r="P50" s="246"/>
      <c r="Q50" s="262"/>
      <c r="R50" s="175" t="s">
        <v>350</v>
      </c>
      <c r="S50" s="175" t="s">
        <v>353</v>
      </c>
      <c r="T50" s="175" t="s">
        <v>354</v>
      </c>
      <c r="U50" s="246"/>
      <c r="V50" s="262"/>
      <c r="W50" s="175" t="s">
        <v>350</v>
      </c>
      <c r="X50" s="175" t="s">
        <v>353</v>
      </c>
      <c r="Y50" s="175" t="s">
        <v>354</v>
      </c>
      <c r="Z50" s="660" t="s">
        <v>827</v>
      </c>
      <c r="AA50" s="660"/>
      <c r="AB50" s="661" t="s">
        <v>828</v>
      </c>
      <c r="AC50" s="661"/>
      <c r="AE50" s="267"/>
    </row>
    <row r="51" spans="1:32" s="266" customFormat="1" ht="40.5" customHeight="1" x14ac:dyDescent="0.6">
      <c r="A51" s="236"/>
      <c r="B51" s="260"/>
      <c r="C51" s="260"/>
      <c r="D51" s="250"/>
      <c r="E51" s="260"/>
      <c r="F51" s="239"/>
      <c r="G51" s="260"/>
      <c r="H51" s="260"/>
      <c r="I51" s="260"/>
      <c r="J51" s="241"/>
      <c r="K51" s="261"/>
      <c r="L51" s="262"/>
      <c r="M51" s="263">
        <v>0.14000000000000001</v>
      </c>
      <c r="N51" s="268">
        <f>M2*M51</f>
        <v>378000.00000000006</v>
      </c>
      <c r="O51" s="263"/>
      <c r="P51" s="246"/>
      <c r="Q51" s="262"/>
      <c r="R51" s="263">
        <v>0.13</v>
      </c>
      <c r="S51" s="268">
        <f>R2*R51</f>
        <v>331500</v>
      </c>
      <c r="T51" s="263"/>
      <c r="U51" s="246"/>
      <c r="V51" s="262"/>
      <c r="W51" s="263">
        <v>0.12</v>
      </c>
      <c r="X51" s="269">
        <f>W2*W51</f>
        <v>344971.08</v>
      </c>
      <c r="Y51" s="270"/>
      <c r="Z51" s="184" t="s">
        <v>63</v>
      </c>
      <c r="AA51" s="185" t="s">
        <v>64</v>
      </c>
      <c r="AB51" s="186" t="s">
        <v>63</v>
      </c>
      <c r="AC51" s="185" t="s">
        <v>64</v>
      </c>
      <c r="AE51" s="267"/>
    </row>
    <row r="52" spans="1:32" s="169" customFormat="1" ht="34.9" customHeight="1" x14ac:dyDescent="0.6">
      <c r="A52" s="187">
        <v>1</v>
      </c>
      <c r="B52" s="152" t="s">
        <v>356</v>
      </c>
      <c r="C52" s="152" t="s">
        <v>356</v>
      </c>
      <c r="D52" s="153" t="s">
        <v>357</v>
      </c>
      <c r="E52" s="152" t="s">
        <v>358</v>
      </c>
      <c r="F52" s="204" t="s">
        <v>840</v>
      </c>
      <c r="G52" s="155" t="s">
        <v>841</v>
      </c>
      <c r="H52" s="155" t="s">
        <v>842</v>
      </c>
      <c r="I52" s="152" t="s">
        <v>843</v>
      </c>
      <c r="J52" s="165" t="s">
        <v>359</v>
      </c>
      <c r="K52" s="208">
        <v>175</v>
      </c>
      <c r="L52" s="209">
        <v>2464</v>
      </c>
      <c r="M52" s="271">
        <f>L52/$L$149</f>
        <v>6.8333213158580756E-3</v>
      </c>
      <c r="N52" s="229">
        <f>O52/14</f>
        <v>184.49967552816807</v>
      </c>
      <c r="O52" s="229">
        <f>M52*$N$51</f>
        <v>2582.9954573943528</v>
      </c>
      <c r="P52" s="207">
        <v>292</v>
      </c>
      <c r="Q52" s="205">
        <v>4110</v>
      </c>
      <c r="R52" s="272">
        <f>Q52/$Q$149</f>
        <v>1.4154549775111411E-2</v>
      </c>
      <c r="S52" s="269">
        <f>T52/14</f>
        <v>335.15951788924519</v>
      </c>
      <c r="T52" s="269">
        <f>R52*$S$51</f>
        <v>4692.2332504494325</v>
      </c>
      <c r="U52" s="207">
        <v>146</v>
      </c>
      <c r="V52" s="199">
        <v>2056</v>
      </c>
      <c r="W52" s="194">
        <f>V52/$V$149</f>
        <v>6.9642506317279876E-3</v>
      </c>
      <c r="X52" s="195">
        <f>Y52/14</f>
        <v>171.60464727270616</v>
      </c>
      <c r="Y52" s="201">
        <f>W52*$X$51</f>
        <v>2402.4650618178862</v>
      </c>
      <c r="Z52" s="273">
        <f>N52+S52+X52</f>
        <v>691.26384069011942</v>
      </c>
      <c r="AA52" s="203">
        <f>O52+T52+Y52</f>
        <v>9677.6937696616715</v>
      </c>
      <c r="AB52" s="203">
        <f>Z52/3</f>
        <v>230.4212802300398</v>
      </c>
      <c r="AC52" s="203">
        <f>AA52/3</f>
        <v>3225.897923220557</v>
      </c>
      <c r="AF52" s="274">
        <f>M2*14%</f>
        <v>378000.00000000006</v>
      </c>
    </row>
    <row r="53" spans="1:32" s="169" customFormat="1" ht="34.9" customHeight="1" x14ac:dyDescent="0.6">
      <c r="A53" s="187">
        <v>2</v>
      </c>
      <c r="B53" s="152" t="s">
        <v>360</v>
      </c>
      <c r="C53" s="156" t="s">
        <v>361</v>
      </c>
      <c r="D53" s="153" t="s">
        <v>357</v>
      </c>
      <c r="E53" s="152" t="s">
        <v>358</v>
      </c>
      <c r="F53" s="204" t="s">
        <v>840</v>
      </c>
      <c r="G53" s="155" t="s">
        <v>360</v>
      </c>
      <c r="H53" s="155" t="s">
        <v>361</v>
      </c>
      <c r="I53" s="152" t="s">
        <v>844</v>
      </c>
      <c r="J53" s="165" t="s">
        <v>359</v>
      </c>
      <c r="K53" s="208">
        <v>155</v>
      </c>
      <c r="L53" s="209">
        <v>2090</v>
      </c>
      <c r="M53" s="271">
        <f t="shared" ref="M53:M116" si="11">L53/$L$149</f>
        <v>5.7961207589867607E-3</v>
      </c>
      <c r="N53" s="229">
        <f t="shared" ref="N53:N116" si="12">O53/14</f>
        <v>156.49526049264256</v>
      </c>
      <c r="O53" s="229">
        <f t="shared" ref="O53:O116" si="13">M53*$N$51</f>
        <v>2190.9336468969959</v>
      </c>
      <c r="P53" s="207">
        <v>130</v>
      </c>
      <c r="Q53" s="205">
        <v>1780</v>
      </c>
      <c r="R53" s="272">
        <f t="shared" ref="R53:R116" si="14">Q53/$Q$149</f>
        <v>6.13019430649594E-3</v>
      </c>
      <c r="S53" s="269">
        <f t="shared" ref="S53:S116" si="15">T53/14</f>
        <v>145.15424375738601</v>
      </c>
      <c r="T53" s="269">
        <f t="shared" ref="T53:T116" si="16">R53*$S$51</f>
        <v>2032.159412603404</v>
      </c>
      <c r="U53" s="207">
        <v>135</v>
      </c>
      <c r="V53" s="199">
        <v>1800</v>
      </c>
      <c r="W53" s="194">
        <f t="shared" ref="W53:W116" si="17">V53/$V$149</f>
        <v>6.0971065841976544E-3</v>
      </c>
      <c r="X53" s="195">
        <f t="shared" ref="X53:X116" si="18">Y53/14</f>
        <v>150.23753165898398</v>
      </c>
      <c r="Y53" s="201">
        <f t="shared" ref="Y53:Y116" si="19">W53*$X$51</f>
        <v>2103.3254432257759</v>
      </c>
      <c r="Z53" s="273">
        <f t="shared" ref="Z53:AA116" si="20">N53+S53+X53</f>
        <v>451.88703590901258</v>
      </c>
      <c r="AA53" s="203">
        <f t="shared" si="20"/>
        <v>6326.4185027261756</v>
      </c>
      <c r="AB53" s="203">
        <f t="shared" ref="AB53:AC116" si="21">Z53/3</f>
        <v>150.62901196967087</v>
      </c>
      <c r="AC53" s="203">
        <f t="shared" si="21"/>
        <v>2108.806167575392</v>
      </c>
    </row>
    <row r="54" spans="1:32" s="169" customFormat="1" ht="34.9" customHeight="1" x14ac:dyDescent="0.6">
      <c r="A54" s="187">
        <v>3</v>
      </c>
      <c r="B54" s="152" t="s">
        <v>362</v>
      </c>
      <c r="C54" s="156" t="s">
        <v>363</v>
      </c>
      <c r="D54" s="153" t="s">
        <v>113</v>
      </c>
      <c r="E54" s="152" t="s">
        <v>288</v>
      </c>
      <c r="F54" s="204" t="s">
        <v>840</v>
      </c>
      <c r="G54" s="155" t="s">
        <v>845</v>
      </c>
      <c r="H54" s="155" t="s">
        <v>846</v>
      </c>
      <c r="I54" s="152" t="s">
        <v>847</v>
      </c>
      <c r="J54" s="165" t="s">
        <v>359</v>
      </c>
      <c r="K54" s="208">
        <v>490</v>
      </c>
      <c r="L54" s="209">
        <v>7160</v>
      </c>
      <c r="M54" s="271">
        <f t="shared" si="11"/>
        <v>1.9856566810691485E-2</v>
      </c>
      <c r="N54" s="229">
        <f t="shared" si="12"/>
        <v>536.12730388867021</v>
      </c>
      <c r="O54" s="229">
        <f t="shared" si="13"/>
        <v>7505.782254441383</v>
      </c>
      <c r="P54" s="207">
        <v>530</v>
      </c>
      <c r="Q54" s="205">
        <v>7780</v>
      </c>
      <c r="R54" s="272">
        <f t="shared" si="14"/>
        <v>2.6793770620527197E-2</v>
      </c>
      <c r="S54" s="269">
        <f t="shared" si="15"/>
        <v>634.43821147891174</v>
      </c>
      <c r="T54" s="269">
        <f t="shared" si="16"/>
        <v>8882.134960704765</v>
      </c>
      <c r="U54" s="207">
        <v>520</v>
      </c>
      <c r="V54" s="205">
        <v>7680</v>
      </c>
      <c r="W54" s="194">
        <f t="shared" si="17"/>
        <v>2.6014321425909995E-2</v>
      </c>
      <c r="X54" s="195">
        <f t="shared" si="18"/>
        <v>641.01346841166503</v>
      </c>
      <c r="Y54" s="201">
        <f t="shared" si="19"/>
        <v>8974.1885577633111</v>
      </c>
      <c r="Z54" s="273">
        <f t="shared" si="20"/>
        <v>1811.5789837792472</v>
      </c>
      <c r="AA54" s="203">
        <f t="shared" si="20"/>
        <v>25362.105772909457</v>
      </c>
      <c r="AB54" s="203">
        <f t="shared" si="21"/>
        <v>603.85966125974903</v>
      </c>
      <c r="AC54" s="203">
        <f t="shared" si="21"/>
        <v>8454.0352576364858</v>
      </c>
    </row>
    <row r="55" spans="1:32" s="169" customFormat="1" ht="34.9" customHeight="1" x14ac:dyDescent="0.6">
      <c r="A55" s="187">
        <v>4</v>
      </c>
      <c r="B55" s="153" t="s">
        <v>364</v>
      </c>
      <c r="C55" s="156" t="s">
        <v>365</v>
      </c>
      <c r="D55" s="153" t="s">
        <v>113</v>
      </c>
      <c r="E55" s="152" t="s">
        <v>288</v>
      </c>
      <c r="F55" s="204" t="s">
        <v>840</v>
      </c>
      <c r="G55" s="155" t="s">
        <v>848</v>
      </c>
      <c r="H55" s="155" t="s">
        <v>849</v>
      </c>
      <c r="I55" s="152" t="s">
        <v>850</v>
      </c>
      <c r="J55" s="165" t="s">
        <v>359</v>
      </c>
      <c r="K55" s="208">
        <v>78</v>
      </c>
      <c r="L55" s="209">
        <v>1260</v>
      </c>
      <c r="M55" s="271">
        <f t="shared" si="11"/>
        <v>3.4943120365183342E-3</v>
      </c>
      <c r="N55" s="229">
        <f t="shared" si="12"/>
        <v>94.346424985995029</v>
      </c>
      <c r="O55" s="229">
        <f t="shared" si="13"/>
        <v>1320.8499498039305</v>
      </c>
      <c r="P55" s="207">
        <v>147</v>
      </c>
      <c r="Q55" s="205">
        <v>2420</v>
      </c>
      <c r="R55" s="272">
        <f t="shared" si="14"/>
        <v>8.3343091133259405E-3</v>
      </c>
      <c r="S55" s="269">
        <f t="shared" si="15"/>
        <v>197.34453364768208</v>
      </c>
      <c r="T55" s="269">
        <f t="shared" si="16"/>
        <v>2762.8234710675492</v>
      </c>
      <c r="U55" s="207">
        <v>116</v>
      </c>
      <c r="V55" s="205">
        <v>1800</v>
      </c>
      <c r="W55" s="194">
        <f t="shared" si="17"/>
        <v>6.0971065841976544E-3</v>
      </c>
      <c r="X55" s="195">
        <f t="shared" si="18"/>
        <v>150.23753165898398</v>
      </c>
      <c r="Y55" s="201">
        <f t="shared" si="19"/>
        <v>2103.3254432257759</v>
      </c>
      <c r="Z55" s="273">
        <f t="shared" si="20"/>
        <v>441.92849029266108</v>
      </c>
      <c r="AA55" s="203">
        <f t="shared" si="20"/>
        <v>6186.9988640972551</v>
      </c>
      <c r="AB55" s="203">
        <f t="shared" si="21"/>
        <v>147.30949676422037</v>
      </c>
      <c r="AC55" s="203">
        <f t="shared" si="21"/>
        <v>2062.3329546990849</v>
      </c>
    </row>
    <row r="56" spans="1:32" s="169" customFormat="1" ht="34.9" customHeight="1" x14ac:dyDescent="0.6">
      <c r="A56" s="187">
        <v>5</v>
      </c>
      <c r="B56" s="152" t="s">
        <v>366</v>
      </c>
      <c r="C56" s="156" t="s">
        <v>367</v>
      </c>
      <c r="D56" s="153" t="s">
        <v>113</v>
      </c>
      <c r="E56" s="152" t="s">
        <v>288</v>
      </c>
      <c r="F56" s="204" t="s">
        <v>840</v>
      </c>
      <c r="G56" s="155" t="s">
        <v>366</v>
      </c>
      <c r="H56" s="155" t="s">
        <v>851</v>
      </c>
      <c r="I56" s="152" t="s">
        <v>852</v>
      </c>
      <c r="J56" s="165" t="s">
        <v>359</v>
      </c>
      <c r="K56" s="208">
        <v>295</v>
      </c>
      <c r="L56" s="209">
        <v>4460</v>
      </c>
      <c r="M56" s="271">
        <f t="shared" si="11"/>
        <v>1.2368755303866484E-2</v>
      </c>
      <c r="N56" s="229">
        <f t="shared" si="12"/>
        <v>333.95639320439517</v>
      </c>
      <c r="O56" s="229">
        <f t="shared" si="13"/>
        <v>4675.3895048615323</v>
      </c>
      <c r="P56" s="207">
        <v>350</v>
      </c>
      <c r="Q56" s="205">
        <v>4860</v>
      </c>
      <c r="R56" s="272">
        <f t="shared" si="14"/>
        <v>1.6737496814365319E-2</v>
      </c>
      <c r="S56" s="269">
        <f t="shared" si="15"/>
        <v>396.3200138544359</v>
      </c>
      <c r="T56" s="269">
        <f t="shared" si="16"/>
        <v>5548.4801939621029</v>
      </c>
      <c r="U56" s="207">
        <v>350</v>
      </c>
      <c r="V56" s="205">
        <v>5300</v>
      </c>
      <c r="W56" s="194">
        <f t="shared" si="17"/>
        <v>1.7952591609026427E-2</v>
      </c>
      <c r="X56" s="195">
        <f t="shared" si="18"/>
        <v>442.36606544034174</v>
      </c>
      <c r="Y56" s="201">
        <f t="shared" si="19"/>
        <v>6193.1249161647847</v>
      </c>
      <c r="Z56" s="273">
        <f t="shared" si="20"/>
        <v>1172.6424724991728</v>
      </c>
      <c r="AA56" s="203">
        <f t="shared" si="20"/>
        <v>16416.99461498842</v>
      </c>
      <c r="AB56" s="203">
        <f t="shared" si="21"/>
        <v>390.88082416639094</v>
      </c>
      <c r="AC56" s="203">
        <f t="shared" si="21"/>
        <v>5472.331538329473</v>
      </c>
    </row>
    <row r="57" spans="1:32" s="169" customFormat="1" ht="34.9" customHeight="1" x14ac:dyDescent="0.6">
      <c r="A57" s="187">
        <v>6</v>
      </c>
      <c r="B57" s="152" t="s">
        <v>368</v>
      </c>
      <c r="C57" s="156" t="s">
        <v>369</v>
      </c>
      <c r="D57" s="153" t="s">
        <v>113</v>
      </c>
      <c r="E57" s="152" t="s">
        <v>288</v>
      </c>
      <c r="F57" s="204" t="s">
        <v>840</v>
      </c>
      <c r="G57" s="275" t="s">
        <v>853</v>
      </c>
      <c r="H57" s="275" t="s">
        <v>853</v>
      </c>
      <c r="I57" s="276" t="s">
        <v>854</v>
      </c>
      <c r="J57" s="165" t="s">
        <v>359</v>
      </c>
      <c r="K57" s="208">
        <v>65</v>
      </c>
      <c r="L57" s="209">
        <v>970</v>
      </c>
      <c r="M57" s="271">
        <f t="shared" si="11"/>
        <v>2.690065615414908E-3</v>
      </c>
      <c r="N57" s="229">
        <f t="shared" si="12"/>
        <v>72.631771616202528</v>
      </c>
      <c r="O57" s="229">
        <f t="shared" si="13"/>
        <v>1016.8448026268354</v>
      </c>
      <c r="P57" s="207">
        <v>70</v>
      </c>
      <c r="Q57" s="205">
        <v>1050</v>
      </c>
      <c r="R57" s="272">
        <f t="shared" si="14"/>
        <v>3.6161258549554701E-3</v>
      </c>
      <c r="S57" s="269">
        <f t="shared" si="15"/>
        <v>85.624694351267024</v>
      </c>
      <c r="T57" s="269">
        <f t="shared" si="16"/>
        <v>1198.7457209177383</v>
      </c>
      <c r="U57" s="207">
        <v>65</v>
      </c>
      <c r="V57" s="205">
        <v>830</v>
      </c>
      <c r="W57" s="194">
        <f t="shared" si="17"/>
        <v>2.8114435916022518E-3</v>
      </c>
      <c r="X57" s="195">
        <f t="shared" si="18"/>
        <v>69.276195153864847</v>
      </c>
      <c r="Y57" s="201">
        <f t="shared" si="19"/>
        <v>969.86673215410781</v>
      </c>
      <c r="Z57" s="273">
        <f t="shared" si="20"/>
        <v>227.5326611213344</v>
      </c>
      <c r="AA57" s="203">
        <f t="shared" si="20"/>
        <v>3185.4572556986814</v>
      </c>
      <c r="AB57" s="203">
        <f t="shared" si="21"/>
        <v>75.844220373778128</v>
      </c>
      <c r="AC57" s="203">
        <f t="shared" si="21"/>
        <v>1061.8190852328937</v>
      </c>
    </row>
    <row r="58" spans="1:32" s="169" customFormat="1" ht="34.9" customHeight="1" x14ac:dyDescent="0.6">
      <c r="A58" s="187">
        <v>7</v>
      </c>
      <c r="B58" s="152" t="s">
        <v>370</v>
      </c>
      <c r="C58" s="156" t="s">
        <v>371</v>
      </c>
      <c r="D58" s="153" t="s">
        <v>113</v>
      </c>
      <c r="E58" s="152" t="s">
        <v>288</v>
      </c>
      <c r="F58" s="204" t="s">
        <v>840</v>
      </c>
      <c r="G58" s="155" t="s">
        <v>855</v>
      </c>
      <c r="H58" s="155" t="s">
        <v>856</v>
      </c>
      <c r="I58" s="152" t="s">
        <v>857</v>
      </c>
      <c r="J58" s="165" t="s">
        <v>359</v>
      </c>
      <c r="K58" s="208">
        <v>220</v>
      </c>
      <c r="L58" s="209">
        <v>2856</v>
      </c>
      <c r="M58" s="271">
        <f t="shared" si="11"/>
        <v>7.9204406161082243E-3</v>
      </c>
      <c r="N58" s="229">
        <f t="shared" si="12"/>
        <v>213.85189663492207</v>
      </c>
      <c r="O58" s="229">
        <f t="shared" si="13"/>
        <v>2993.9265528889091</v>
      </c>
      <c r="P58" s="207">
        <v>209</v>
      </c>
      <c r="Q58" s="205">
        <v>2572</v>
      </c>
      <c r="R58" s="272">
        <f t="shared" si="14"/>
        <v>8.8577863799480655E-3</v>
      </c>
      <c r="S58" s="269">
        <f t="shared" si="15"/>
        <v>209.73972749662741</v>
      </c>
      <c r="T58" s="269">
        <f t="shared" si="16"/>
        <v>2936.3561849527837</v>
      </c>
      <c r="U58" s="207">
        <v>168</v>
      </c>
      <c r="V58" s="205">
        <v>2076</v>
      </c>
      <c r="W58" s="194">
        <f t="shared" si="17"/>
        <v>7.0319962604412948E-3</v>
      </c>
      <c r="X58" s="195">
        <f t="shared" si="18"/>
        <v>173.2739531800282</v>
      </c>
      <c r="Y58" s="201">
        <f t="shared" si="19"/>
        <v>2425.8353445203948</v>
      </c>
      <c r="Z58" s="273">
        <f t="shared" si="20"/>
        <v>596.86557731157768</v>
      </c>
      <c r="AA58" s="203">
        <f t="shared" si="20"/>
        <v>8356.1180823620889</v>
      </c>
      <c r="AB58" s="203">
        <f t="shared" si="21"/>
        <v>198.95519243719255</v>
      </c>
      <c r="AC58" s="203">
        <f t="shared" si="21"/>
        <v>2785.3726941206965</v>
      </c>
    </row>
    <row r="59" spans="1:32" s="169" customFormat="1" ht="34.9" customHeight="1" x14ac:dyDescent="0.6">
      <c r="A59" s="187">
        <v>8</v>
      </c>
      <c r="B59" s="152" t="s">
        <v>372</v>
      </c>
      <c r="C59" s="156" t="s">
        <v>373</v>
      </c>
      <c r="D59" s="153" t="s">
        <v>113</v>
      </c>
      <c r="E59" s="152" t="s">
        <v>288</v>
      </c>
      <c r="F59" s="204" t="s">
        <v>840</v>
      </c>
      <c r="G59" s="155" t="s">
        <v>858</v>
      </c>
      <c r="H59" s="155" t="s">
        <v>859</v>
      </c>
      <c r="I59" s="152" t="s">
        <v>860</v>
      </c>
      <c r="J59" s="165" t="s">
        <v>359</v>
      </c>
      <c r="K59" s="208">
        <v>211</v>
      </c>
      <c r="L59" s="209">
        <v>3080</v>
      </c>
      <c r="M59" s="271">
        <f t="shared" si="11"/>
        <v>8.5416516448225937E-3</v>
      </c>
      <c r="N59" s="229">
        <f t="shared" si="12"/>
        <v>230.62459441021005</v>
      </c>
      <c r="O59" s="229">
        <f t="shared" si="13"/>
        <v>3228.7443217429409</v>
      </c>
      <c r="P59" s="207">
        <v>246</v>
      </c>
      <c r="Q59" s="205">
        <v>3392</v>
      </c>
      <c r="R59" s="272">
        <f t="shared" si="14"/>
        <v>1.1681808476199004E-2</v>
      </c>
      <c r="S59" s="269">
        <f t="shared" si="15"/>
        <v>276.60853641856926</v>
      </c>
      <c r="T59" s="269">
        <f t="shared" si="16"/>
        <v>3872.5195098599697</v>
      </c>
      <c r="U59" s="207">
        <v>135</v>
      </c>
      <c r="V59" s="205">
        <v>2040</v>
      </c>
      <c r="W59" s="194">
        <f t="shared" si="17"/>
        <v>6.9100541287573421E-3</v>
      </c>
      <c r="X59" s="195">
        <f t="shared" si="18"/>
        <v>170.26920254684856</v>
      </c>
      <c r="Y59" s="201">
        <f t="shared" si="19"/>
        <v>2383.7688356558797</v>
      </c>
      <c r="Z59" s="273">
        <f t="shared" si="20"/>
        <v>677.50233337562781</v>
      </c>
      <c r="AA59" s="203">
        <f t="shared" si="20"/>
        <v>9485.0326672587908</v>
      </c>
      <c r="AB59" s="203">
        <f t="shared" si="21"/>
        <v>225.83411112520926</v>
      </c>
      <c r="AC59" s="203">
        <f t="shared" si="21"/>
        <v>3161.6775557529304</v>
      </c>
    </row>
    <row r="60" spans="1:32" s="169" customFormat="1" ht="34.9" customHeight="1" x14ac:dyDescent="0.6">
      <c r="A60" s="187">
        <v>9</v>
      </c>
      <c r="B60" s="152" t="s">
        <v>374</v>
      </c>
      <c r="C60" s="156" t="s">
        <v>375</v>
      </c>
      <c r="D60" s="153" t="s">
        <v>113</v>
      </c>
      <c r="E60" s="152" t="s">
        <v>288</v>
      </c>
      <c r="F60" s="204" t="s">
        <v>840</v>
      </c>
      <c r="G60" s="155" t="s">
        <v>266</v>
      </c>
      <c r="H60" s="155" t="s">
        <v>267</v>
      </c>
      <c r="I60" s="152" t="s">
        <v>861</v>
      </c>
      <c r="J60" s="165" t="s">
        <v>359</v>
      </c>
      <c r="K60" s="208">
        <v>164</v>
      </c>
      <c r="L60" s="209">
        <v>2280</v>
      </c>
      <c r="M60" s="271">
        <f t="shared" si="11"/>
        <v>6.3230408279855571E-3</v>
      </c>
      <c r="N60" s="229">
        <f t="shared" si="12"/>
        <v>170.72210235561008</v>
      </c>
      <c r="O60" s="229">
        <f t="shared" si="13"/>
        <v>2390.109432978541</v>
      </c>
      <c r="P60" s="207">
        <v>90</v>
      </c>
      <c r="Q60" s="205">
        <v>1250</v>
      </c>
      <c r="R60" s="272">
        <f t="shared" si="14"/>
        <v>4.3049117320898451E-3</v>
      </c>
      <c r="S60" s="269">
        <f t="shared" si="15"/>
        <v>101.93415994198456</v>
      </c>
      <c r="T60" s="269">
        <f t="shared" si="16"/>
        <v>1427.0782391877838</v>
      </c>
      <c r="U60" s="207">
        <v>90</v>
      </c>
      <c r="V60" s="205">
        <v>1230</v>
      </c>
      <c r="W60" s="194">
        <f t="shared" si="17"/>
        <v>4.1663561658683975E-3</v>
      </c>
      <c r="X60" s="195">
        <f t="shared" si="18"/>
        <v>102.66231330030574</v>
      </c>
      <c r="Y60" s="201">
        <f t="shared" si="19"/>
        <v>1437.2723862042803</v>
      </c>
      <c r="Z60" s="273">
        <f t="shared" si="20"/>
        <v>375.31857559790041</v>
      </c>
      <c r="AA60" s="203">
        <f t="shared" si="20"/>
        <v>5254.4600583706051</v>
      </c>
      <c r="AB60" s="203">
        <f t="shared" si="21"/>
        <v>125.10619186596681</v>
      </c>
      <c r="AC60" s="203">
        <f t="shared" si="21"/>
        <v>1751.486686123535</v>
      </c>
    </row>
    <row r="61" spans="1:32" s="169" customFormat="1" ht="34.9" customHeight="1" x14ac:dyDescent="0.6">
      <c r="A61" s="187">
        <v>10</v>
      </c>
      <c r="B61" s="152" t="s">
        <v>376</v>
      </c>
      <c r="C61" s="156" t="s">
        <v>377</v>
      </c>
      <c r="D61" s="153" t="s">
        <v>113</v>
      </c>
      <c r="E61" s="152" t="s">
        <v>288</v>
      </c>
      <c r="F61" s="204" t="s">
        <v>840</v>
      </c>
      <c r="G61" s="210" t="s">
        <v>853</v>
      </c>
      <c r="H61" s="210" t="s">
        <v>853</v>
      </c>
      <c r="I61" s="152" t="s">
        <v>862</v>
      </c>
      <c r="J61" s="165" t="s">
        <v>359</v>
      </c>
      <c r="K61" s="208">
        <v>312</v>
      </c>
      <c r="L61" s="209">
        <v>4400</v>
      </c>
      <c r="M61" s="271">
        <f t="shared" si="11"/>
        <v>1.2202359492603706E-2</v>
      </c>
      <c r="N61" s="229">
        <f t="shared" si="12"/>
        <v>329.46370630030009</v>
      </c>
      <c r="O61" s="229">
        <f t="shared" si="13"/>
        <v>4612.4918882042011</v>
      </c>
      <c r="P61" s="207">
        <v>256</v>
      </c>
      <c r="Q61" s="205">
        <v>3530</v>
      </c>
      <c r="R61" s="272">
        <f t="shared" si="14"/>
        <v>1.2157070731421723E-2</v>
      </c>
      <c r="S61" s="269">
        <f t="shared" si="15"/>
        <v>287.86206767616437</v>
      </c>
      <c r="T61" s="269">
        <f t="shared" si="16"/>
        <v>4030.0689474663009</v>
      </c>
      <c r="U61" s="207">
        <v>290</v>
      </c>
      <c r="V61" s="205">
        <v>4020</v>
      </c>
      <c r="W61" s="194">
        <f t="shared" si="17"/>
        <v>1.3616871371374762E-2</v>
      </c>
      <c r="X61" s="195">
        <f t="shared" si="18"/>
        <v>335.53048737173094</v>
      </c>
      <c r="Y61" s="201">
        <f t="shared" si="19"/>
        <v>4697.4268232042332</v>
      </c>
      <c r="Z61" s="273">
        <f t="shared" si="20"/>
        <v>952.8562613481954</v>
      </c>
      <c r="AA61" s="203">
        <f t="shared" si="20"/>
        <v>13339.987658874736</v>
      </c>
      <c r="AB61" s="203">
        <f t="shared" si="21"/>
        <v>317.6187537827318</v>
      </c>
      <c r="AC61" s="203">
        <f t="shared" si="21"/>
        <v>4446.6625529582452</v>
      </c>
    </row>
    <row r="62" spans="1:32" s="169" customFormat="1" ht="34.9" customHeight="1" x14ac:dyDescent="0.6">
      <c r="A62" s="187">
        <v>11</v>
      </c>
      <c r="B62" s="152" t="s">
        <v>378</v>
      </c>
      <c r="C62" s="156" t="s">
        <v>379</v>
      </c>
      <c r="D62" s="153" t="s">
        <v>113</v>
      </c>
      <c r="E62" s="152" t="s">
        <v>288</v>
      </c>
      <c r="F62" s="204" t="s">
        <v>840</v>
      </c>
      <c r="G62" s="155" t="s">
        <v>378</v>
      </c>
      <c r="H62" s="155" t="s">
        <v>379</v>
      </c>
      <c r="I62" s="152" t="s">
        <v>863</v>
      </c>
      <c r="J62" s="165" t="s">
        <v>359</v>
      </c>
      <c r="K62" s="208">
        <v>50</v>
      </c>
      <c r="L62" s="209">
        <v>640</v>
      </c>
      <c r="M62" s="271">
        <f t="shared" si="11"/>
        <v>1.77488865346963E-3</v>
      </c>
      <c r="N62" s="229">
        <f t="shared" si="12"/>
        <v>47.921993643680018</v>
      </c>
      <c r="O62" s="229">
        <f t="shared" si="13"/>
        <v>670.90791101152024</v>
      </c>
      <c r="P62" s="207">
        <v>65</v>
      </c>
      <c r="Q62" s="205">
        <v>800</v>
      </c>
      <c r="R62" s="272">
        <f t="shared" si="14"/>
        <v>2.755143508537501E-3</v>
      </c>
      <c r="S62" s="269">
        <f t="shared" si="15"/>
        <v>65.237862362870118</v>
      </c>
      <c r="T62" s="269">
        <f t="shared" si="16"/>
        <v>913.33007308018159</v>
      </c>
      <c r="U62" s="207">
        <v>80</v>
      </c>
      <c r="V62" s="205">
        <v>1000</v>
      </c>
      <c r="W62" s="194">
        <f t="shared" si="17"/>
        <v>3.3872814356653638E-3</v>
      </c>
      <c r="X62" s="195">
        <f t="shared" si="18"/>
        <v>83.465295366102211</v>
      </c>
      <c r="Y62" s="201">
        <f t="shared" si="19"/>
        <v>1168.514135125431</v>
      </c>
      <c r="Z62" s="273">
        <f t="shared" si="20"/>
        <v>196.62515137265234</v>
      </c>
      <c r="AA62" s="203">
        <f t="shared" si="20"/>
        <v>2752.752119217133</v>
      </c>
      <c r="AB62" s="203">
        <f t="shared" si="21"/>
        <v>65.541717124217442</v>
      </c>
      <c r="AC62" s="203">
        <f t="shared" si="21"/>
        <v>917.58403973904433</v>
      </c>
    </row>
    <row r="63" spans="1:32" s="169" customFormat="1" ht="34.9" customHeight="1" x14ac:dyDescent="0.6">
      <c r="A63" s="187">
        <v>12</v>
      </c>
      <c r="B63" s="152" t="s">
        <v>380</v>
      </c>
      <c r="C63" s="156" t="s">
        <v>381</v>
      </c>
      <c r="D63" s="153" t="s">
        <v>382</v>
      </c>
      <c r="E63" s="152" t="s">
        <v>288</v>
      </c>
      <c r="F63" s="204" t="s">
        <v>840</v>
      </c>
      <c r="G63" s="155" t="s">
        <v>864</v>
      </c>
      <c r="H63" s="155" t="s">
        <v>865</v>
      </c>
      <c r="I63" s="152" t="s">
        <v>866</v>
      </c>
      <c r="J63" s="165" t="s">
        <v>359</v>
      </c>
      <c r="K63" s="208">
        <v>71</v>
      </c>
      <c r="L63" s="209">
        <v>982</v>
      </c>
      <c r="M63" s="271">
        <f t="shared" si="11"/>
        <v>2.7233447776674633E-3</v>
      </c>
      <c r="N63" s="229">
        <f t="shared" si="12"/>
        <v>73.530308997021521</v>
      </c>
      <c r="O63" s="229">
        <f t="shared" si="13"/>
        <v>1029.4243259583013</v>
      </c>
      <c r="P63" s="207">
        <v>104</v>
      </c>
      <c r="Q63" s="205">
        <v>1368</v>
      </c>
      <c r="R63" s="272">
        <f t="shared" si="14"/>
        <v>4.7112953995991263E-3</v>
      </c>
      <c r="S63" s="269">
        <f t="shared" si="15"/>
        <v>111.55674464050789</v>
      </c>
      <c r="T63" s="269">
        <f t="shared" si="16"/>
        <v>1561.7944249671104</v>
      </c>
      <c r="U63" s="207">
        <v>66</v>
      </c>
      <c r="V63" s="205">
        <v>902</v>
      </c>
      <c r="W63" s="194">
        <f t="shared" si="17"/>
        <v>3.0553278549701581E-3</v>
      </c>
      <c r="X63" s="195">
        <f t="shared" si="18"/>
        <v>75.285696420224198</v>
      </c>
      <c r="Y63" s="201">
        <f t="shared" si="19"/>
        <v>1053.9997498831387</v>
      </c>
      <c r="Z63" s="273">
        <f t="shared" si="20"/>
        <v>260.37275005775359</v>
      </c>
      <c r="AA63" s="203">
        <f t="shared" si="20"/>
        <v>3645.2185008085507</v>
      </c>
      <c r="AB63" s="203">
        <f t="shared" si="21"/>
        <v>86.790916685917864</v>
      </c>
      <c r="AC63" s="203">
        <f t="shared" si="21"/>
        <v>1215.0728336028503</v>
      </c>
    </row>
    <row r="64" spans="1:32" s="169" customFormat="1" ht="34.9" customHeight="1" x14ac:dyDescent="0.6">
      <c r="A64" s="187">
        <v>13</v>
      </c>
      <c r="B64" s="152" t="s">
        <v>383</v>
      </c>
      <c r="C64" s="156" t="s">
        <v>384</v>
      </c>
      <c r="D64" s="153" t="s">
        <v>116</v>
      </c>
      <c r="E64" s="152" t="s">
        <v>385</v>
      </c>
      <c r="F64" s="204" t="s">
        <v>840</v>
      </c>
      <c r="G64" s="155" t="s">
        <v>383</v>
      </c>
      <c r="H64" s="155" t="s">
        <v>384</v>
      </c>
      <c r="I64" s="152" t="s">
        <v>867</v>
      </c>
      <c r="J64" s="165" t="s">
        <v>359</v>
      </c>
      <c r="K64" s="208">
        <v>150</v>
      </c>
      <c r="L64" s="209">
        <v>1900</v>
      </c>
      <c r="M64" s="271">
        <f t="shared" si="11"/>
        <v>5.2692006899879643E-3</v>
      </c>
      <c r="N64" s="229">
        <f t="shared" si="12"/>
        <v>142.26841862967507</v>
      </c>
      <c r="O64" s="229">
        <f t="shared" si="13"/>
        <v>1991.7578608154508</v>
      </c>
      <c r="P64" s="207"/>
      <c r="Q64" s="205"/>
      <c r="R64" s="272">
        <f t="shared" si="14"/>
        <v>0</v>
      </c>
      <c r="S64" s="269">
        <f t="shared" si="15"/>
        <v>0</v>
      </c>
      <c r="T64" s="269">
        <f t="shared" si="16"/>
        <v>0</v>
      </c>
      <c r="U64" s="207">
        <v>150</v>
      </c>
      <c r="V64" s="205">
        <v>1800</v>
      </c>
      <c r="W64" s="194">
        <f t="shared" si="17"/>
        <v>6.0971065841976544E-3</v>
      </c>
      <c r="X64" s="195">
        <f t="shared" si="18"/>
        <v>150.23753165898398</v>
      </c>
      <c r="Y64" s="201">
        <f t="shared" si="19"/>
        <v>2103.3254432257759</v>
      </c>
      <c r="Z64" s="273">
        <f t="shared" si="20"/>
        <v>292.50595028865905</v>
      </c>
      <c r="AA64" s="203">
        <f t="shared" si="20"/>
        <v>4095.0833040412267</v>
      </c>
      <c r="AB64" s="203">
        <f t="shared" si="21"/>
        <v>97.501983429553022</v>
      </c>
      <c r="AC64" s="203">
        <f t="shared" si="21"/>
        <v>1365.0277680137422</v>
      </c>
    </row>
    <row r="65" spans="1:29" s="169" customFormat="1" x14ac:dyDescent="0.6">
      <c r="A65" s="187">
        <v>14</v>
      </c>
      <c r="B65" s="152" t="s">
        <v>386</v>
      </c>
      <c r="C65" s="156" t="s">
        <v>387</v>
      </c>
      <c r="D65" s="153" t="s">
        <v>53</v>
      </c>
      <c r="E65" s="152" t="s">
        <v>270</v>
      </c>
      <c r="F65" s="204" t="s">
        <v>840</v>
      </c>
      <c r="G65" s="155" t="s">
        <v>868</v>
      </c>
      <c r="H65" s="155" t="s">
        <v>869</v>
      </c>
      <c r="I65" s="152" t="s">
        <v>870</v>
      </c>
      <c r="J65" s="165" t="s">
        <v>359</v>
      </c>
      <c r="K65" s="208">
        <v>310</v>
      </c>
      <c r="L65" s="209">
        <v>4000</v>
      </c>
      <c r="M65" s="271">
        <f t="shared" si="11"/>
        <v>1.1093054084185188E-2</v>
      </c>
      <c r="N65" s="229">
        <f t="shared" si="12"/>
        <v>299.51246027300016</v>
      </c>
      <c r="O65" s="229">
        <f t="shared" si="13"/>
        <v>4193.1744438220021</v>
      </c>
      <c r="P65" s="207">
        <v>571</v>
      </c>
      <c r="Q65" s="205">
        <v>7692</v>
      </c>
      <c r="R65" s="272">
        <f t="shared" si="14"/>
        <v>2.6490704834588073E-2</v>
      </c>
      <c r="S65" s="269">
        <f t="shared" si="15"/>
        <v>627.26204661899624</v>
      </c>
      <c r="T65" s="269">
        <f t="shared" si="16"/>
        <v>8781.6686526659469</v>
      </c>
      <c r="U65" s="207">
        <v>515</v>
      </c>
      <c r="V65" s="205">
        <v>6890</v>
      </c>
      <c r="W65" s="194">
        <f t="shared" si="17"/>
        <v>2.3338369091734357E-2</v>
      </c>
      <c r="X65" s="195">
        <f t="shared" si="18"/>
        <v>575.07588507244429</v>
      </c>
      <c r="Y65" s="201">
        <f t="shared" si="19"/>
        <v>8051.0623910142203</v>
      </c>
      <c r="Z65" s="273">
        <f t="shared" si="20"/>
        <v>1501.8503919644409</v>
      </c>
      <c r="AA65" s="203">
        <f t="shared" si="20"/>
        <v>21025.905487502168</v>
      </c>
      <c r="AB65" s="203">
        <f t="shared" si="21"/>
        <v>500.61679732148031</v>
      </c>
      <c r="AC65" s="203">
        <f t="shared" si="21"/>
        <v>7008.6351625007228</v>
      </c>
    </row>
    <row r="66" spans="1:29" s="169" customFormat="1" x14ac:dyDescent="0.6">
      <c r="A66" s="187">
        <v>15</v>
      </c>
      <c r="B66" s="152" t="s">
        <v>388</v>
      </c>
      <c r="C66" s="156" t="s">
        <v>389</v>
      </c>
      <c r="D66" s="153" t="s">
        <v>115</v>
      </c>
      <c r="E66" s="152" t="s">
        <v>242</v>
      </c>
      <c r="F66" s="204" t="s">
        <v>840</v>
      </c>
      <c r="G66" s="155" t="s">
        <v>871</v>
      </c>
      <c r="H66" s="155" t="s">
        <v>872</v>
      </c>
      <c r="I66" s="152" t="s">
        <v>873</v>
      </c>
      <c r="J66" s="165" t="s">
        <v>359</v>
      </c>
      <c r="K66" s="208">
        <v>45</v>
      </c>
      <c r="L66" s="209">
        <v>540</v>
      </c>
      <c r="M66" s="271">
        <f t="shared" si="11"/>
        <v>1.4975623013650003E-3</v>
      </c>
      <c r="N66" s="229">
        <f t="shared" si="12"/>
        <v>40.434182136855007</v>
      </c>
      <c r="O66" s="229">
        <f t="shared" si="13"/>
        <v>566.07854991597014</v>
      </c>
      <c r="P66" s="207">
        <v>48</v>
      </c>
      <c r="Q66" s="205">
        <v>660</v>
      </c>
      <c r="R66" s="272">
        <f t="shared" si="14"/>
        <v>2.2729933945434383E-3</v>
      </c>
      <c r="S66" s="269">
        <f t="shared" si="15"/>
        <v>53.821236449367845</v>
      </c>
      <c r="T66" s="269">
        <f t="shared" si="16"/>
        <v>753.4973102911498</v>
      </c>
      <c r="U66" s="207">
        <v>45</v>
      </c>
      <c r="V66" s="205">
        <v>540</v>
      </c>
      <c r="W66" s="194">
        <f t="shared" si="17"/>
        <v>1.8291319752592964E-3</v>
      </c>
      <c r="X66" s="195">
        <f t="shared" si="18"/>
        <v>45.071259497695202</v>
      </c>
      <c r="Y66" s="201">
        <f t="shared" si="19"/>
        <v>630.99763296773278</v>
      </c>
      <c r="Z66" s="273">
        <f t="shared" si="20"/>
        <v>139.32667808391804</v>
      </c>
      <c r="AA66" s="203">
        <f t="shared" si="20"/>
        <v>1950.573493174853</v>
      </c>
      <c r="AB66" s="203">
        <f t="shared" si="21"/>
        <v>46.44222602797268</v>
      </c>
      <c r="AC66" s="203">
        <f t="shared" si="21"/>
        <v>650.19116439161769</v>
      </c>
    </row>
    <row r="67" spans="1:29" s="169" customFormat="1" x14ac:dyDescent="0.6">
      <c r="A67" s="187">
        <v>16</v>
      </c>
      <c r="B67" s="152" t="s">
        <v>390</v>
      </c>
      <c r="C67" s="156" t="s">
        <v>391</v>
      </c>
      <c r="D67" s="153" t="s">
        <v>115</v>
      </c>
      <c r="E67" s="152" t="s">
        <v>242</v>
      </c>
      <c r="F67" s="204" t="s">
        <v>840</v>
      </c>
      <c r="G67" s="155" t="s">
        <v>874</v>
      </c>
      <c r="H67" s="155" t="s">
        <v>875</v>
      </c>
      <c r="I67" s="152" t="s">
        <v>876</v>
      </c>
      <c r="J67" s="165" t="s">
        <v>359</v>
      </c>
      <c r="K67" s="208">
        <v>300</v>
      </c>
      <c r="L67" s="209">
        <v>4000</v>
      </c>
      <c r="M67" s="271">
        <f t="shared" si="11"/>
        <v>1.1093054084185188E-2</v>
      </c>
      <c r="N67" s="229">
        <f t="shared" si="12"/>
        <v>299.51246027300016</v>
      </c>
      <c r="O67" s="229">
        <f t="shared" si="13"/>
        <v>4193.1744438220021</v>
      </c>
      <c r="P67" s="207">
        <v>300</v>
      </c>
      <c r="Q67" s="205">
        <v>4100</v>
      </c>
      <c r="R67" s="272">
        <f t="shared" si="14"/>
        <v>1.4120110481254692E-2</v>
      </c>
      <c r="S67" s="269">
        <f t="shared" si="15"/>
        <v>334.34404460970933</v>
      </c>
      <c r="T67" s="269">
        <f t="shared" si="16"/>
        <v>4680.8166245359307</v>
      </c>
      <c r="U67" s="207">
        <v>250</v>
      </c>
      <c r="V67" s="205">
        <v>3400</v>
      </c>
      <c r="W67" s="194">
        <f t="shared" si="17"/>
        <v>1.1516756881262236E-2</v>
      </c>
      <c r="X67" s="195">
        <f t="shared" si="18"/>
        <v>283.78200424474755</v>
      </c>
      <c r="Y67" s="201">
        <f t="shared" si="19"/>
        <v>3972.9480594264655</v>
      </c>
      <c r="Z67" s="273">
        <f t="shared" si="20"/>
        <v>917.63850912745704</v>
      </c>
      <c r="AA67" s="203">
        <f t="shared" si="20"/>
        <v>12846.939127784399</v>
      </c>
      <c r="AB67" s="203">
        <f t="shared" si="21"/>
        <v>305.87950304248568</v>
      </c>
      <c r="AC67" s="203">
        <f t="shared" si="21"/>
        <v>4282.3130425947993</v>
      </c>
    </row>
    <row r="68" spans="1:29" s="169" customFormat="1" x14ac:dyDescent="0.6">
      <c r="A68" s="187">
        <v>17</v>
      </c>
      <c r="B68" s="152" t="s">
        <v>392</v>
      </c>
      <c r="C68" s="156" t="s">
        <v>393</v>
      </c>
      <c r="D68" s="153" t="s">
        <v>394</v>
      </c>
      <c r="E68" s="152" t="s">
        <v>395</v>
      </c>
      <c r="F68" s="204" t="s">
        <v>840</v>
      </c>
      <c r="G68" s="155" t="s">
        <v>877</v>
      </c>
      <c r="H68" s="155" t="s">
        <v>878</v>
      </c>
      <c r="I68" s="152" t="s">
        <v>879</v>
      </c>
      <c r="J68" s="165" t="s">
        <v>359</v>
      </c>
      <c r="K68" s="208">
        <v>232</v>
      </c>
      <c r="L68" s="209">
        <v>3220</v>
      </c>
      <c r="M68" s="271">
        <f t="shared" si="11"/>
        <v>8.9299085377690761E-3</v>
      </c>
      <c r="N68" s="229">
        <f t="shared" si="12"/>
        <v>241.10753051976508</v>
      </c>
      <c r="O68" s="229">
        <f t="shared" si="13"/>
        <v>3375.5054272767111</v>
      </c>
      <c r="P68" s="207">
        <v>235</v>
      </c>
      <c r="Q68" s="205">
        <v>3236</v>
      </c>
      <c r="R68" s="272">
        <f t="shared" si="14"/>
        <v>1.1144555492034192E-2</v>
      </c>
      <c r="S68" s="269">
        <f t="shared" si="15"/>
        <v>263.88715325780964</v>
      </c>
      <c r="T68" s="269">
        <f t="shared" si="16"/>
        <v>3694.4201456093347</v>
      </c>
      <c r="U68" s="207">
        <v>222</v>
      </c>
      <c r="V68" s="205">
        <v>3032</v>
      </c>
      <c r="W68" s="194">
        <f t="shared" si="17"/>
        <v>1.0270237312937382E-2</v>
      </c>
      <c r="X68" s="195">
        <f t="shared" si="18"/>
        <v>253.06677555002193</v>
      </c>
      <c r="Y68" s="201">
        <f t="shared" si="19"/>
        <v>3542.934857700307</v>
      </c>
      <c r="Z68" s="273">
        <f t="shared" si="20"/>
        <v>758.06145932759659</v>
      </c>
      <c r="AA68" s="203">
        <f t="shared" si="20"/>
        <v>10612.860430586354</v>
      </c>
      <c r="AB68" s="203">
        <f t="shared" si="21"/>
        <v>252.68715310919887</v>
      </c>
      <c r="AC68" s="203">
        <f t="shared" si="21"/>
        <v>3537.6201435287844</v>
      </c>
    </row>
    <row r="69" spans="1:29" s="169" customFormat="1" x14ac:dyDescent="0.6">
      <c r="A69" s="187">
        <v>18</v>
      </c>
      <c r="B69" s="152" t="s">
        <v>396</v>
      </c>
      <c r="C69" s="156" t="s">
        <v>397</v>
      </c>
      <c r="D69" s="153" t="s">
        <v>398</v>
      </c>
      <c r="E69" s="152" t="s">
        <v>395</v>
      </c>
      <c r="F69" s="204" t="s">
        <v>840</v>
      </c>
      <c r="G69" s="155" t="s">
        <v>880</v>
      </c>
      <c r="H69" s="155" t="s">
        <v>881</v>
      </c>
      <c r="I69" s="152" t="s">
        <v>882</v>
      </c>
      <c r="J69" s="165" t="s">
        <v>359</v>
      </c>
      <c r="K69" s="208">
        <v>123</v>
      </c>
      <c r="L69" s="209">
        <v>1750</v>
      </c>
      <c r="M69" s="271">
        <f t="shared" si="11"/>
        <v>4.8532111618310196E-3</v>
      </c>
      <c r="N69" s="229">
        <f t="shared" si="12"/>
        <v>131.03670136943757</v>
      </c>
      <c r="O69" s="229">
        <f t="shared" si="13"/>
        <v>1834.5138191721257</v>
      </c>
      <c r="P69" s="207">
        <v>105</v>
      </c>
      <c r="Q69" s="205">
        <v>1430</v>
      </c>
      <c r="R69" s="272">
        <f t="shared" si="14"/>
        <v>4.9248190215107832E-3</v>
      </c>
      <c r="S69" s="269">
        <f t="shared" si="15"/>
        <v>116.61267897363032</v>
      </c>
      <c r="T69" s="269">
        <f t="shared" si="16"/>
        <v>1632.5775056308246</v>
      </c>
      <c r="U69" s="207">
        <v>160</v>
      </c>
      <c r="V69" s="205">
        <v>2340</v>
      </c>
      <c r="W69" s="194">
        <f t="shared" si="17"/>
        <v>7.9262385594569516E-3</v>
      </c>
      <c r="X69" s="195">
        <f t="shared" si="18"/>
        <v>195.30879115667921</v>
      </c>
      <c r="Y69" s="201">
        <f t="shared" si="19"/>
        <v>2734.3230761935088</v>
      </c>
      <c r="Z69" s="273">
        <f t="shared" si="20"/>
        <v>442.9581714997471</v>
      </c>
      <c r="AA69" s="203">
        <f t="shared" si="20"/>
        <v>6201.4144009964584</v>
      </c>
      <c r="AB69" s="203">
        <f t="shared" si="21"/>
        <v>147.65272383324904</v>
      </c>
      <c r="AC69" s="203">
        <f t="shared" si="21"/>
        <v>2067.1381336654863</v>
      </c>
    </row>
    <row r="70" spans="1:29" s="169" customFormat="1" x14ac:dyDescent="0.6">
      <c r="A70" s="187">
        <v>19</v>
      </c>
      <c r="B70" s="152" t="s">
        <v>399</v>
      </c>
      <c r="C70" s="156" t="s">
        <v>400</v>
      </c>
      <c r="D70" s="153" t="s">
        <v>401</v>
      </c>
      <c r="E70" s="152" t="s">
        <v>402</v>
      </c>
      <c r="F70" s="204" t="s">
        <v>840</v>
      </c>
      <c r="G70" s="155" t="s">
        <v>883</v>
      </c>
      <c r="H70" s="155" t="s">
        <v>884</v>
      </c>
      <c r="I70" s="152" t="s">
        <v>885</v>
      </c>
      <c r="J70" s="165" t="s">
        <v>359</v>
      </c>
      <c r="K70" s="208">
        <v>273</v>
      </c>
      <c r="L70" s="209">
        <v>4312</v>
      </c>
      <c r="M70" s="271">
        <f t="shared" si="11"/>
        <v>1.1958312302751632E-2</v>
      </c>
      <c r="N70" s="229">
        <f t="shared" si="12"/>
        <v>322.8744321742941</v>
      </c>
      <c r="O70" s="229">
        <f t="shared" si="13"/>
        <v>4520.2420504401171</v>
      </c>
      <c r="P70" s="207">
        <v>292</v>
      </c>
      <c r="Q70" s="205">
        <v>4484</v>
      </c>
      <c r="R70" s="272">
        <f t="shared" si="14"/>
        <v>1.5442579365352692E-2</v>
      </c>
      <c r="S70" s="269">
        <f t="shared" si="15"/>
        <v>365.65821854388696</v>
      </c>
      <c r="T70" s="269">
        <f t="shared" si="16"/>
        <v>5119.2150596144174</v>
      </c>
      <c r="U70" s="207">
        <v>328</v>
      </c>
      <c r="V70" s="205">
        <v>4972</v>
      </c>
      <c r="W70" s="194">
        <f t="shared" si="17"/>
        <v>1.6841563298128189E-2</v>
      </c>
      <c r="X70" s="195">
        <f t="shared" si="18"/>
        <v>414.98944856026026</v>
      </c>
      <c r="Y70" s="201">
        <f t="shared" si="19"/>
        <v>5809.8522798436434</v>
      </c>
      <c r="Z70" s="273">
        <f t="shared" si="20"/>
        <v>1103.5220992784411</v>
      </c>
      <c r="AA70" s="203">
        <f t="shared" si="20"/>
        <v>15449.309389898179</v>
      </c>
      <c r="AB70" s="203">
        <f t="shared" si="21"/>
        <v>367.8406997594804</v>
      </c>
      <c r="AC70" s="203">
        <f t="shared" si="21"/>
        <v>5149.769796632726</v>
      </c>
    </row>
    <row r="71" spans="1:29" s="169" customFormat="1" x14ac:dyDescent="0.6">
      <c r="A71" s="187">
        <v>20</v>
      </c>
      <c r="B71" s="152" t="s">
        <v>403</v>
      </c>
      <c r="C71" s="156" t="s">
        <v>404</v>
      </c>
      <c r="D71" s="153" t="s">
        <v>117</v>
      </c>
      <c r="E71" s="152" t="s">
        <v>308</v>
      </c>
      <c r="F71" s="204" t="s">
        <v>840</v>
      </c>
      <c r="G71" s="155" t="s">
        <v>886</v>
      </c>
      <c r="H71" s="155" t="s">
        <v>887</v>
      </c>
      <c r="I71" s="152" t="s">
        <v>888</v>
      </c>
      <c r="J71" s="165" t="s">
        <v>359</v>
      </c>
      <c r="K71" s="208">
        <v>205</v>
      </c>
      <c r="L71" s="209">
        <v>2800</v>
      </c>
      <c r="M71" s="271">
        <f t="shared" si="11"/>
        <v>7.7651378589296315E-3</v>
      </c>
      <c r="N71" s="229">
        <f t="shared" si="12"/>
        <v>209.65872219110011</v>
      </c>
      <c r="O71" s="229">
        <f t="shared" si="13"/>
        <v>2935.2221106754014</v>
      </c>
      <c r="P71" s="207">
        <v>445</v>
      </c>
      <c r="Q71" s="205">
        <v>6140</v>
      </c>
      <c r="R71" s="272">
        <f t="shared" si="14"/>
        <v>2.114572642802532E-2</v>
      </c>
      <c r="S71" s="269">
        <f t="shared" si="15"/>
        <v>500.70059363502816</v>
      </c>
      <c r="T71" s="269">
        <f t="shared" si="16"/>
        <v>7009.8083108903938</v>
      </c>
      <c r="U71" s="207">
        <v>400</v>
      </c>
      <c r="V71" s="205">
        <v>5440</v>
      </c>
      <c r="W71" s="194">
        <f t="shared" si="17"/>
        <v>1.842681101001958E-2</v>
      </c>
      <c r="X71" s="195">
        <f t="shared" si="18"/>
        <v>454.05120679159614</v>
      </c>
      <c r="Y71" s="201">
        <f t="shared" si="19"/>
        <v>6356.7168950823461</v>
      </c>
      <c r="Z71" s="273">
        <f t="shared" si="20"/>
        <v>1164.4105226177244</v>
      </c>
      <c r="AA71" s="203">
        <f t="shared" si="20"/>
        <v>16301.747316648143</v>
      </c>
      <c r="AB71" s="203">
        <f t="shared" si="21"/>
        <v>388.13684087257479</v>
      </c>
      <c r="AC71" s="203">
        <f t="shared" si="21"/>
        <v>5433.915772216048</v>
      </c>
    </row>
    <row r="72" spans="1:29" s="169" customFormat="1" x14ac:dyDescent="0.6">
      <c r="A72" s="187">
        <v>21</v>
      </c>
      <c r="B72" s="152" t="s">
        <v>405</v>
      </c>
      <c r="C72" s="156" t="s">
        <v>406</v>
      </c>
      <c r="D72" s="153" t="s">
        <v>20</v>
      </c>
      <c r="E72" s="152" t="s">
        <v>170</v>
      </c>
      <c r="F72" s="204" t="s">
        <v>840</v>
      </c>
      <c r="G72" s="155" t="s">
        <v>889</v>
      </c>
      <c r="H72" s="155" t="s">
        <v>890</v>
      </c>
      <c r="I72" s="152" t="s">
        <v>891</v>
      </c>
      <c r="J72" s="165" t="s">
        <v>359</v>
      </c>
      <c r="K72" s="208">
        <v>71</v>
      </c>
      <c r="L72" s="209">
        <v>852</v>
      </c>
      <c r="M72" s="271">
        <f t="shared" si="11"/>
        <v>2.362820519931445E-3</v>
      </c>
      <c r="N72" s="229">
        <f t="shared" si="12"/>
        <v>63.796154038149027</v>
      </c>
      <c r="O72" s="229">
        <f t="shared" si="13"/>
        <v>893.14615653408634</v>
      </c>
      <c r="P72" s="207">
        <v>70</v>
      </c>
      <c r="Q72" s="205">
        <v>840</v>
      </c>
      <c r="R72" s="272">
        <f t="shared" si="14"/>
        <v>2.8929006839643759E-3</v>
      </c>
      <c r="S72" s="269">
        <f t="shared" si="15"/>
        <v>68.499755481013622</v>
      </c>
      <c r="T72" s="269">
        <f t="shared" si="16"/>
        <v>958.99657673419063</v>
      </c>
      <c r="U72" s="207">
        <v>50</v>
      </c>
      <c r="V72" s="205">
        <v>600</v>
      </c>
      <c r="W72" s="194">
        <f t="shared" si="17"/>
        <v>2.0323688613992181E-3</v>
      </c>
      <c r="X72" s="195">
        <f t="shared" si="18"/>
        <v>50.079177219661332</v>
      </c>
      <c r="Y72" s="201">
        <f t="shared" si="19"/>
        <v>701.10848107525862</v>
      </c>
      <c r="Z72" s="273">
        <f t="shared" si="20"/>
        <v>182.375086738824</v>
      </c>
      <c r="AA72" s="203">
        <f t="shared" si="20"/>
        <v>2553.2512143435356</v>
      </c>
      <c r="AB72" s="203">
        <f t="shared" si="21"/>
        <v>60.791695579607996</v>
      </c>
      <c r="AC72" s="203">
        <f t="shared" si="21"/>
        <v>851.0837381145119</v>
      </c>
    </row>
    <row r="73" spans="1:29" s="169" customFormat="1" x14ac:dyDescent="0.6">
      <c r="A73" s="187">
        <v>22</v>
      </c>
      <c r="B73" s="152" t="s">
        <v>407</v>
      </c>
      <c r="C73" s="156" t="s">
        <v>408</v>
      </c>
      <c r="D73" s="153" t="s">
        <v>20</v>
      </c>
      <c r="E73" s="152" t="s">
        <v>170</v>
      </c>
      <c r="F73" s="204" t="s">
        <v>840</v>
      </c>
      <c r="G73" s="155" t="s">
        <v>892</v>
      </c>
      <c r="H73" s="155" t="s">
        <v>893</v>
      </c>
      <c r="I73" s="152" t="s">
        <v>894</v>
      </c>
      <c r="J73" s="165" t="s">
        <v>359</v>
      </c>
      <c r="K73" s="208">
        <v>1100</v>
      </c>
      <c r="L73" s="209">
        <v>14400</v>
      </c>
      <c r="M73" s="271">
        <f t="shared" si="11"/>
        <v>3.9934994703066676E-2</v>
      </c>
      <c r="N73" s="229">
        <f t="shared" si="12"/>
        <v>1078.2448569828005</v>
      </c>
      <c r="O73" s="229">
        <f t="shared" si="13"/>
        <v>15095.427997759205</v>
      </c>
      <c r="P73" s="207">
        <v>0</v>
      </c>
      <c r="Q73" s="205">
        <v>0</v>
      </c>
      <c r="R73" s="272">
        <f t="shared" si="14"/>
        <v>0</v>
      </c>
      <c r="S73" s="269">
        <f t="shared" si="15"/>
        <v>0</v>
      </c>
      <c r="T73" s="269">
        <f t="shared" si="16"/>
        <v>0</v>
      </c>
      <c r="U73" s="207">
        <v>50</v>
      </c>
      <c r="V73" s="205">
        <v>600</v>
      </c>
      <c r="W73" s="194">
        <f t="shared" si="17"/>
        <v>2.0323688613992181E-3</v>
      </c>
      <c r="X73" s="195">
        <f t="shared" si="18"/>
        <v>50.079177219661332</v>
      </c>
      <c r="Y73" s="201">
        <f t="shared" si="19"/>
        <v>701.10848107525862</v>
      </c>
      <c r="Z73" s="273">
        <f t="shared" si="20"/>
        <v>1128.3240342024617</v>
      </c>
      <c r="AA73" s="203">
        <f t="shared" si="20"/>
        <v>15796.536478834463</v>
      </c>
      <c r="AB73" s="203">
        <f t="shared" si="21"/>
        <v>376.10801140082054</v>
      </c>
      <c r="AC73" s="203">
        <f t="shared" si="21"/>
        <v>5265.5121596114877</v>
      </c>
    </row>
    <row r="74" spans="1:29" s="169" customFormat="1" x14ac:dyDescent="0.6">
      <c r="A74" s="187">
        <v>23</v>
      </c>
      <c r="B74" s="151" t="s">
        <v>409</v>
      </c>
      <c r="C74" s="152" t="s">
        <v>410</v>
      </c>
      <c r="D74" s="153" t="s">
        <v>20</v>
      </c>
      <c r="E74" s="153" t="s">
        <v>170</v>
      </c>
      <c r="F74" s="204" t="s">
        <v>840</v>
      </c>
      <c r="G74" s="155" t="s">
        <v>895</v>
      </c>
      <c r="H74" s="162" t="s">
        <v>896</v>
      </c>
      <c r="I74" s="153" t="s">
        <v>897</v>
      </c>
      <c r="J74" s="165" t="s">
        <v>359</v>
      </c>
      <c r="K74" s="208">
        <v>1170</v>
      </c>
      <c r="L74" s="209">
        <v>17260</v>
      </c>
      <c r="M74" s="271">
        <f t="shared" si="11"/>
        <v>4.7866528373259082E-2</v>
      </c>
      <c r="N74" s="229">
        <f t="shared" si="12"/>
        <v>1292.3962660779955</v>
      </c>
      <c r="O74" s="229">
        <f t="shared" si="13"/>
        <v>18093.547725091936</v>
      </c>
      <c r="P74" s="207">
        <v>400</v>
      </c>
      <c r="Q74" s="205">
        <v>5500</v>
      </c>
      <c r="R74" s="272">
        <f t="shared" si="14"/>
        <v>1.8941611621195318E-2</v>
      </c>
      <c r="S74" s="269">
        <f t="shared" si="15"/>
        <v>448.51030374473197</v>
      </c>
      <c r="T74" s="269">
        <f t="shared" si="16"/>
        <v>6279.1442524262475</v>
      </c>
      <c r="U74" s="207"/>
      <c r="V74" s="205"/>
      <c r="W74" s="194">
        <f t="shared" si="17"/>
        <v>0</v>
      </c>
      <c r="X74" s="195">
        <f t="shared" si="18"/>
        <v>0</v>
      </c>
      <c r="Y74" s="201">
        <f t="shared" si="19"/>
        <v>0</v>
      </c>
      <c r="Z74" s="273">
        <f t="shared" si="20"/>
        <v>1740.9065698227275</v>
      </c>
      <c r="AA74" s="203">
        <f t="shared" si="20"/>
        <v>24372.691977518181</v>
      </c>
      <c r="AB74" s="203">
        <f t="shared" si="21"/>
        <v>580.30218994090922</v>
      </c>
      <c r="AC74" s="203">
        <f t="shared" si="21"/>
        <v>8124.2306591727274</v>
      </c>
    </row>
    <row r="75" spans="1:29" s="169" customFormat="1" x14ac:dyDescent="0.6">
      <c r="A75" s="187">
        <v>24</v>
      </c>
      <c r="B75" s="151" t="s">
        <v>411</v>
      </c>
      <c r="C75" s="152" t="s">
        <v>412</v>
      </c>
      <c r="D75" s="153" t="s">
        <v>20</v>
      </c>
      <c r="E75" s="153" t="s">
        <v>170</v>
      </c>
      <c r="F75" s="204" t="s">
        <v>840</v>
      </c>
      <c r="G75" s="155" t="s">
        <v>411</v>
      </c>
      <c r="H75" s="162" t="s">
        <v>898</v>
      </c>
      <c r="I75" s="153" t="s">
        <v>899</v>
      </c>
      <c r="J75" s="165" t="s">
        <v>359</v>
      </c>
      <c r="K75" s="208">
        <v>700</v>
      </c>
      <c r="L75" s="209">
        <v>8400</v>
      </c>
      <c r="M75" s="271">
        <f t="shared" si="11"/>
        <v>2.3295413576788895E-2</v>
      </c>
      <c r="N75" s="229">
        <f t="shared" si="12"/>
        <v>628.97616657330025</v>
      </c>
      <c r="O75" s="229">
        <f t="shared" si="13"/>
        <v>8805.6663320262032</v>
      </c>
      <c r="P75" s="207">
        <v>255</v>
      </c>
      <c r="Q75" s="205">
        <v>3400</v>
      </c>
      <c r="R75" s="272">
        <f t="shared" si="14"/>
        <v>1.1709359911284379E-2</v>
      </c>
      <c r="S75" s="269">
        <f t="shared" si="15"/>
        <v>277.26091504219795</v>
      </c>
      <c r="T75" s="269">
        <f t="shared" si="16"/>
        <v>3881.6528105907714</v>
      </c>
      <c r="U75" s="207">
        <v>215</v>
      </c>
      <c r="V75" s="205">
        <v>2810</v>
      </c>
      <c r="W75" s="194">
        <f t="shared" si="17"/>
        <v>9.5182608342196714E-3</v>
      </c>
      <c r="X75" s="195">
        <f t="shared" si="18"/>
        <v>234.5374799787472</v>
      </c>
      <c r="Y75" s="201">
        <f t="shared" si="19"/>
        <v>3283.524719702461</v>
      </c>
      <c r="Z75" s="273">
        <f t="shared" si="20"/>
        <v>1140.7745615942454</v>
      </c>
      <c r="AA75" s="203">
        <f t="shared" si="20"/>
        <v>15970.843862319434</v>
      </c>
      <c r="AB75" s="203">
        <f t="shared" si="21"/>
        <v>380.25818719808177</v>
      </c>
      <c r="AC75" s="203">
        <f t="shared" si="21"/>
        <v>5323.6146207731445</v>
      </c>
    </row>
    <row r="76" spans="1:29" s="169" customFormat="1" x14ac:dyDescent="0.6">
      <c r="A76" s="187">
        <v>25</v>
      </c>
      <c r="B76" s="151" t="s">
        <v>413</v>
      </c>
      <c r="C76" s="152" t="s">
        <v>414</v>
      </c>
      <c r="D76" s="153" t="s">
        <v>20</v>
      </c>
      <c r="E76" s="153" t="s">
        <v>170</v>
      </c>
      <c r="F76" s="204" t="s">
        <v>840</v>
      </c>
      <c r="G76" s="155" t="s">
        <v>900</v>
      </c>
      <c r="H76" s="162" t="s">
        <v>901</v>
      </c>
      <c r="I76" s="153" t="s">
        <v>902</v>
      </c>
      <c r="J76" s="165" t="s">
        <v>359</v>
      </c>
      <c r="K76" s="208">
        <v>1000</v>
      </c>
      <c r="L76" s="209">
        <v>13000</v>
      </c>
      <c r="M76" s="271">
        <f t="shared" si="11"/>
        <v>3.6052425773601862E-2</v>
      </c>
      <c r="N76" s="229">
        <f t="shared" si="12"/>
        <v>973.41549588725047</v>
      </c>
      <c r="O76" s="229">
        <f t="shared" si="13"/>
        <v>13627.816942421507</v>
      </c>
      <c r="P76" s="207">
        <v>130</v>
      </c>
      <c r="Q76" s="205">
        <v>1560</v>
      </c>
      <c r="R76" s="272">
        <f t="shared" si="14"/>
        <v>5.3725298416481271E-3</v>
      </c>
      <c r="S76" s="269">
        <f t="shared" si="15"/>
        <v>127.21383160759672</v>
      </c>
      <c r="T76" s="269">
        <f t="shared" si="16"/>
        <v>1780.993642506354</v>
      </c>
      <c r="U76" s="207">
        <v>74</v>
      </c>
      <c r="V76" s="205">
        <v>888</v>
      </c>
      <c r="W76" s="194">
        <f t="shared" si="17"/>
        <v>3.0079059148708431E-3</v>
      </c>
      <c r="X76" s="195">
        <f t="shared" si="18"/>
        <v>74.117182285098778</v>
      </c>
      <c r="Y76" s="201">
        <f t="shared" si="19"/>
        <v>1037.6405519913828</v>
      </c>
      <c r="Z76" s="273">
        <f t="shared" si="20"/>
        <v>1174.7465097799459</v>
      </c>
      <c r="AA76" s="203">
        <f t="shared" si="20"/>
        <v>16446.451136919244</v>
      </c>
      <c r="AB76" s="203">
        <f t="shared" si="21"/>
        <v>391.58216992664865</v>
      </c>
      <c r="AC76" s="203">
        <f t="shared" si="21"/>
        <v>5482.1503789730814</v>
      </c>
    </row>
    <row r="77" spans="1:29" s="169" customFormat="1" x14ac:dyDescent="0.6">
      <c r="A77" s="187">
        <v>26</v>
      </c>
      <c r="B77" s="152" t="s">
        <v>415</v>
      </c>
      <c r="C77" s="156" t="s">
        <v>416</v>
      </c>
      <c r="D77" s="153" t="s">
        <v>417</v>
      </c>
      <c r="E77" s="156" t="s">
        <v>418</v>
      </c>
      <c r="F77" s="204" t="s">
        <v>840</v>
      </c>
      <c r="G77" s="155" t="s">
        <v>903</v>
      </c>
      <c r="H77" s="155" t="s">
        <v>904</v>
      </c>
      <c r="I77" s="152" t="s">
        <v>905</v>
      </c>
      <c r="J77" s="165" t="s">
        <v>359</v>
      </c>
      <c r="K77" s="208">
        <v>100</v>
      </c>
      <c r="L77" s="209">
        <v>1200</v>
      </c>
      <c r="M77" s="271">
        <f t="shared" si="11"/>
        <v>3.3279162252555562E-3</v>
      </c>
      <c r="N77" s="229">
        <f t="shared" si="12"/>
        <v>89.853738081900033</v>
      </c>
      <c r="O77" s="229">
        <f t="shared" si="13"/>
        <v>1257.9523331466005</v>
      </c>
      <c r="P77" s="207">
        <v>100</v>
      </c>
      <c r="Q77" s="205">
        <v>1200</v>
      </c>
      <c r="R77" s="272">
        <f t="shared" si="14"/>
        <v>4.1327152628062511E-3</v>
      </c>
      <c r="S77" s="269">
        <f t="shared" si="15"/>
        <v>97.856793544305148</v>
      </c>
      <c r="T77" s="269">
        <f t="shared" si="16"/>
        <v>1369.9951096202722</v>
      </c>
      <c r="U77" s="207">
        <v>290</v>
      </c>
      <c r="V77" s="205">
        <v>3920</v>
      </c>
      <c r="W77" s="194">
        <f t="shared" si="17"/>
        <v>1.3278143227808226E-2</v>
      </c>
      <c r="X77" s="195">
        <f t="shared" si="18"/>
        <v>327.18395783512068</v>
      </c>
      <c r="Y77" s="201">
        <f t="shared" si="19"/>
        <v>4580.5754096916899</v>
      </c>
      <c r="Z77" s="273">
        <f t="shared" si="20"/>
        <v>514.89448946132586</v>
      </c>
      <c r="AA77" s="203">
        <f t="shared" si="20"/>
        <v>7208.5228524585627</v>
      </c>
      <c r="AB77" s="203">
        <f t="shared" si="21"/>
        <v>171.63149648710862</v>
      </c>
      <c r="AC77" s="203">
        <f t="shared" si="21"/>
        <v>2402.8409508195209</v>
      </c>
    </row>
    <row r="78" spans="1:29" s="169" customFormat="1" x14ac:dyDescent="0.6">
      <c r="A78" s="187">
        <v>27</v>
      </c>
      <c r="B78" s="152" t="s">
        <v>419</v>
      </c>
      <c r="C78" s="156" t="s">
        <v>420</v>
      </c>
      <c r="D78" s="153" t="s">
        <v>421</v>
      </c>
      <c r="E78" s="152" t="s">
        <v>422</v>
      </c>
      <c r="F78" s="204" t="s">
        <v>840</v>
      </c>
      <c r="G78" s="155" t="s">
        <v>906</v>
      </c>
      <c r="H78" s="155" t="s">
        <v>907</v>
      </c>
      <c r="I78" s="152" t="s">
        <v>908</v>
      </c>
      <c r="J78" s="165" t="s">
        <v>359</v>
      </c>
      <c r="K78" s="208">
        <v>460</v>
      </c>
      <c r="L78" s="209">
        <v>6440</v>
      </c>
      <c r="M78" s="271">
        <f t="shared" si="11"/>
        <v>1.7859817075538152E-2</v>
      </c>
      <c r="N78" s="229">
        <f t="shared" si="12"/>
        <v>482.21506103953016</v>
      </c>
      <c r="O78" s="229">
        <f t="shared" si="13"/>
        <v>6751.0108545534222</v>
      </c>
      <c r="P78" s="207">
        <v>0</v>
      </c>
      <c r="Q78" s="205">
        <v>0</v>
      </c>
      <c r="R78" s="272">
        <f t="shared" si="14"/>
        <v>0</v>
      </c>
      <c r="S78" s="269">
        <f t="shared" si="15"/>
        <v>0</v>
      </c>
      <c r="T78" s="269">
        <f t="shared" si="16"/>
        <v>0</v>
      </c>
      <c r="U78" s="207">
        <v>230</v>
      </c>
      <c r="V78" s="205">
        <v>3020</v>
      </c>
      <c r="W78" s="194">
        <f t="shared" si="17"/>
        <v>1.0229589935709398E-2</v>
      </c>
      <c r="X78" s="195">
        <f t="shared" si="18"/>
        <v>252.06519200562869</v>
      </c>
      <c r="Y78" s="201">
        <f t="shared" si="19"/>
        <v>3528.9126880788017</v>
      </c>
      <c r="Z78" s="273">
        <f t="shared" si="20"/>
        <v>734.28025304515882</v>
      </c>
      <c r="AA78" s="203">
        <f t="shared" si="20"/>
        <v>10279.923542632223</v>
      </c>
      <c r="AB78" s="203">
        <f t="shared" si="21"/>
        <v>244.76008434838627</v>
      </c>
      <c r="AC78" s="203">
        <f t="shared" si="21"/>
        <v>3426.6411808774078</v>
      </c>
    </row>
    <row r="79" spans="1:29" s="169" customFormat="1" x14ac:dyDescent="0.6">
      <c r="A79" s="187">
        <v>28</v>
      </c>
      <c r="B79" s="152" t="s">
        <v>423</v>
      </c>
      <c r="C79" s="156" t="s">
        <v>424</v>
      </c>
      <c r="D79" s="153" t="s">
        <v>425</v>
      </c>
      <c r="E79" s="152" t="s">
        <v>426</v>
      </c>
      <c r="F79" s="204" t="s">
        <v>840</v>
      </c>
      <c r="G79" s="155" t="s">
        <v>909</v>
      </c>
      <c r="H79" s="155" t="s">
        <v>910</v>
      </c>
      <c r="I79" s="152" t="s">
        <v>911</v>
      </c>
      <c r="J79" s="165" t="s">
        <v>359</v>
      </c>
      <c r="K79" s="208">
        <v>135</v>
      </c>
      <c r="L79" s="209">
        <v>1654</v>
      </c>
      <c r="M79" s="271">
        <f t="shared" si="11"/>
        <v>4.586977863810575E-3</v>
      </c>
      <c r="N79" s="229">
        <f t="shared" si="12"/>
        <v>123.84840232288555</v>
      </c>
      <c r="O79" s="229">
        <f t="shared" si="13"/>
        <v>1733.8776325203976</v>
      </c>
      <c r="P79" s="207">
        <v>140</v>
      </c>
      <c r="Q79" s="205">
        <v>1680</v>
      </c>
      <c r="R79" s="272">
        <f t="shared" si="14"/>
        <v>5.7858013679287518E-3</v>
      </c>
      <c r="S79" s="269">
        <f t="shared" si="15"/>
        <v>136.99951096202724</v>
      </c>
      <c r="T79" s="269">
        <f t="shared" si="16"/>
        <v>1917.9931534683813</v>
      </c>
      <c r="U79" s="207">
        <v>180</v>
      </c>
      <c r="V79" s="205">
        <v>2160</v>
      </c>
      <c r="W79" s="194">
        <f t="shared" si="17"/>
        <v>7.3165279010371856E-3</v>
      </c>
      <c r="X79" s="195">
        <f t="shared" si="18"/>
        <v>180.28503799078081</v>
      </c>
      <c r="Y79" s="201">
        <f t="shared" si="19"/>
        <v>2523.9905318709311</v>
      </c>
      <c r="Z79" s="273">
        <f t="shared" si="20"/>
        <v>441.13295127569359</v>
      </c>
      <c r="AA79" s="203">
        <f t="shared" si="20"/>
        <v>6175.8613178597097</v>
      </c>
      <c r="AB79" s="203">
        <f t="shared" si="21"/>
        <v>147.04431709189785</v>
      </c>
      <c r="AC79" s="203">
        <f t="shared" si="21"/>
        <v>2058.6204392865698</v>
      </c>
    </row>
    <row r="80" spans="1:29" s="169" customFormat="1" x14ac:dyDescent="0.6">
      <c r="A80" s="187">
        <v>29</v>
      </c>
      <c r="B80" s="152" t="s">
        <v>427</v>
      </c>
      <c r="C80" s="156" t="s">
        <v>428</v>
      </c>
      <c r="D80" s="153" t="s">
        <v>429</v>
      </c>
      <c r="E80" s="152" t="s">
        <v>138</v>
      </c>
      <c r="F80" s="204" t="s">
        <v>840</v>
      </c>
      <c r="G80" s="155" t="s">
        <v>427</v>
      </c>
      <c r="H80" s="155" t="s">
        <v>912</v>
      </c>
      <c r="I80" s="152" t="s">
        <v>913</v>
      </c>
      <c r="J80" s="165" t="s">
        <v>359</v>
      </c>
      <c r="K80" s="208">
        <v>51</v>
      </c>
      <c r="L80" s="209">
        <v>700</v>
      </c>
      <c r="M80" s="271">
        <f t="shared" si="11"/>
        <v>1.9412844647324079E-3</v>
      </c>
      <c r="N80" s="229">
        <f t="shared" si="12"/>
        <v>52.414680547775028</v>
      </c>
      <c r="O80" s="229">
        <f t="shared" si="13"/>
        <v>733.80552766885035</v>
      </c>
      <c r="P80" s="207">
        <v>48</v>
      </c>
      <c r="Q80" s="205">
        <v>644</v>
      </c>
      <c r="R80" s="272">
        <f t="shared" si="14"/>
        <v>2.2178905243726882E-3</v>
      </c>
      <c r="S80" s="269">
        <f t="shared" si="15"/>
        <v>52.516479202110439</v>
      </c>
      <c r="T80" s="269">
        <f t="shared" si="16"/>
        <v>735.23070882954619</v>
      </c>
      <c r="U80" s="207">
        <v>71</v>
      </c>
      <c r="V80" s="205">
        <v>950</v>
      </c>
      <c r="W80" s="194">
        <f t="shared" si="17"/>
        <v>3.2179173638820957E-3</v>
      </c>
      <c r="X80" s="195">
        <f t="shared" si="18"/>
        <v>79.292030597797108</v>
      </c>
      <c r="Y80" s="201">
        <f t="shared" si="19"/>
        <v>1110.0884283691596</v>
      </c>
      <c r="Z80" s="273">
        <f t="shared" si="20"/>
        <v>184.22319034768259</v>
      </c>
      <c r="AA80" s="203">
        <f t="shared" si="20"/>
        <v>2579.124664867556</v>
      </c>
      <c r="AB80" s="203">
        <f t="shared" si="21"/>
        <v>61.407730115894196</v>
      </c>
      <c r="AC80" s="203">
        <f t="shared" si="21"/>
        <v>859.70822162251864</v>
      </c>
    </row>
    <row r="81" spans="1:29" s="169" customFormat="1" x14ac:dyDescent="0.6">
      <c r="A81" s="187">
        <v>30</v>
      </c>
      <c r="B81" s="152" t="s">
        <v>430</v>
      </c>
      <c r="C81" s="156" t="s">
        <v>431</v>
      </c>
      <c r="D81" s="153" t="s">
        <v>432</v>
      </c>
      <c r="E81" s="152" t="s">
        <v>433</v>
      </c>
      <c r="F81" s="204" t="s">
        <v>840</v>
      </c>
      <c r="G81" s="155" t="s">
        <v>914</v>
      </c>
      <c r="H81" s="155" t="s">
        <v>431</v>
      </c>
      <c r="I81" s="152" t="s">
        <v>915</v>
      </c>
      <c r="J81" s="165" t="s">
        <v>359</v>
      </c>
      <c r="K81" s="208">
        <v>85</v>
      </c>
      <c r="L81" s="209">
        <v>1200</v>
      </c>
      <c r="M81" s="271">
        <f t="shared" si="11"/>
        <v>3.3279162252555562E-3</v>
      </c>
      <c r="N81" s="229">
        <f t="shared" si="12"/>
        <v>89.853738081900033</v>
      </c>
      <c r="O81" s="229">
        <f t="shared" si="13"/>
        <v>1257.9523331466005</v>
      </c>
      <c r="P81" s="207">
        <v>40</v>
      </c>
      <c r="Q81" s="205">
        <v>500</v>
      </c>
      <c r="R81" s="272">
        <f t="shared" si="14"/>
        <v>1.721964692835938E-3</v>
      </c>
      <c r="S81" s="269">
        <f t="shared" si="15"/>
        <v>40.77366397679382</v>
      </c>
      <c r="T81" s="269">
        <f t="shared" si="16"/>
        <v>570.83129567511344</v>
      </c>
      <c r="U81" s="207">
        <v>115</v>
      </c>
      <c r="V81" s="205">
        <v>1420</v>
      </c>
      <c r="W81" s="194">
        <f t="shared" si="17"/>
        <v>4.8099396386448168E-3</v>
      </c>
      <c r="X81" s="195">
        <f t="shared" si="18"/>
        <v>118.52071941986516</v>
      </c>
      <c r="Y81" s="201">
        <f t="shared" si="19"/>
        <v>1659.2900718781123</v>
      </c>
      <c r="Z81" s="273">
        <f t="shared" si="20"/>
        <v>249.14812147855901</v>
      </c>
      <c r="AA81" s="203">
        <f t="shared" si="20"/>
        <v>3488.0737006998261</v>
      </c>
      <c r="AB81" s="203">
        <f t="shared" si="21"/>
        <v>83.04937382618634</v>
      </c>
      <c r="AC81" s="203">
        <f t="shared" si="21"/>
        <v>1162.6912335666086</v>
      </c>
    </row>
    <row r="82" spans="1:29" s="169" customFormat="1" x14ac:dyDescent="0.6">
      <c r="A82" s="187">
        <v>31</v>
      </c>
      <c r="B82" s="152" t="s">
        <v>434</v>
      </c>
      <c r="C82" s="156" t="s">
        <v>435</v>
      </c>
      <c r="D82" s="153" t="s">
        <v>436</v>
      </c>
      <c r="E82" s="152" t="s">
        <v>437</v>
      </c>
      <c r="F82" s="204" t="s">
        <v>840</v>
      </c>
      <c r="G82" s="155" t="s">
        <v>434</v>
      </c>
      <c r="H82" s="155" t="s">
        <v>435</v>
      </c>
      <c r="I82" s="152" t="s">
        <v>916</v>
      </c>
      <c r="J82" s="165" t="s">
        <v>359</v>
      </c>
      <c r="K82" s="208">
        <v>144</v>
      </c>
      <c r="L82" s="209">
        <v>3384</v>
      </c>
      <c r="M82" s="271">
        <f t="shared" si="11"/>
        <v>9.3847237552206683E-3</v>
      </c>
      <c r="N82" s="229">
        <f t="shared" si="12"/>
        <v>253.38754139095809</v>
      </c>
      <c r="O82" s="229">
        <f t="shared" si="13"/>
        <v>3547.4255794734131</v>
      </c>
      <c r="P82" s="207">
        <v>58</v>
      </c>
      <c r="Q82" s="205">
        <v>1392</v>
      </c>
      <c r="R82" s="272">
        <f t="shared" si="14"/>
        <v>4.7939497048552519E-3</v>
      </c>
      <c r="S82" s="269">
        <f t="shared" si="15"/>
        <v>113.51388051139399</v>
      </c>
      <c r="T82" s="269">
        <f t="shared" si="16"/>
        <v>1589.194327159516</v>
      </c>
      <c r="U82" s="207">
        <v>125</v>
      </c>
      <c r="V82" s="205">
        <v>3160</v>
      </c>
      <c r="W82" s="194">
        <f t="shared" si="17"/>
        <v>1.0703809336702549E-2</v>
      </c>
      <c r="X82" s="195">
        <f t="shared" si="18"/>
        <v>263.750333356883</v>
      </c>
      <c r="Y82" s="201">
        <f t="shared" si="19"/>
        <v>3692.5046669963622</v>
      </c>
      <c r="Z82" s="273">
        <f t="shared" si="20"/>
        <v>630.65175525923507</v>
      </c>
      <c r="AA82" s="203">
        <f t="shared" si="20"/>
        <v>8829.1245736292913</v>
      </c>
      <c r="AB82" s="203">
        <f t="shared" si="21"/>
        <v>210.21725175307836</v>
      </c>
      <c r="AC82" s="203">
        <f t="shared" si="21"/>
        <v>2943.0415245430972</v>
      </c>
    </row>
    <row r="83" spans="1:29" s="169" customFormat="1" x14ac:dyDescent="0.6">
      <c r="A83" s="187">
        <v>32</v>
      </c>
      <c r="B83" s="156" t="s">
        <v>438</v>
      </c>
      <c r="C83" s="156" t="s">
        <v>439</v>
      </c>
      <c r="D83" s="152" t="s">
        <v>113</v>
      </c>
      <c r="E83" s="152" t="s">
        <v>288</v>
      </c>
      <c r="F83" s="204" t="s">
        <v>840</v>
      </c>
      <c r="G83" s="155" t="s">
        <v>438</v>
      </c>
      <c r="H83" s="155" t="s">
        <v>439</v>
      </c>
      <c r="I83" s="152" t="s">
        <v>917</v>
      </c>
      <c r="J83" s="165" t="s">
        <v>359</v>
      </c>
      <c r="K83" s="208">
        <v>65</v>
      </c>
      <c r="L83" s="209">
        <v>910</v>
      </c>
      <c r="M83" s="271">
        <f t="shared" si="11"/>
        <v>2.52366980415213E-3</v>
      </c>
      <c r="N83" s="229">
        <f t="shared" si="12"/>
        <v>68.139084712107518</v>
      </c>
      <c r="O83" s="229">
        <f t="shared" si="13"/>
        <v>953.94718596950531</v>
      </c>
      <c r="P83" s="207">
        <v>30</v>
      </c>
      <c r="Q83" s="205">
        <v>420</v>
      </c>
      <c r="R83" s="272">
        <f t="shared" si="14"/>
        <v>1.446450341982188E-3</v>
      </c>
      <c r="S83" s="269">
        <f t="shared" si="15"/>
        <v>34.249877740506811</v>
      </c>
      <c r="T83" s="269">
        <f t="shared" si="16"/>
        <v>479.49828836709531</v>
      </c>
      <c r="U83" s="207">
        <v>40</v>
      </c>
      <c r="V83" s="205">
        <v>550</v>
      </c>
      <c r="W83" s="194">
        <f t="shared" si="17"/>
        <v>1.86300478961595E-3</v>
      </c>
      <c r="X83" s="195">
        <f t="shared" si="18"/>
        <v>45.905912451356222</v>
      </c>
      <c r="Y83" s="201">
        <f t="shared" si="19"/>
        <v>642.68277431898707</v>
      </c>
      <c r="Z83" s="273">
        <f t="shared" si="20"/>
        <v>148.29487490397054</v>
      </c>
      <c r="AA83" s="203">
        <f t="shared" si="20"/>
        <v>2076.1282486555879</v>
      </c>
      <c r="AB83" s="203">
        <f t="shared" si="21"/>
        <v>49.431624967990182</v>
      </c>
      <c r="AC83" s="203">
        <f t="shared" si="21"/>
        <v>692.04274955186258</v>
      </c>
    </row>
    <row r="84" spans="1:29" s="169" customFormat="1" x14ac:dyDescent="0.6">
      <c r="A84" s="187">
        <v>33</v>
      </c>
      <c r="B84" s="155" t="s">
        <v>440</v>
      </c>
      <c r="C84" s="152" t="s">
        <v>441</v>
      </c>
      <c r="D84" s="152" t="s">
        <v>8</v>
      </c>
      <c r="E84" s="156" t="s">
        <v>138</v>
      </c>
      <c r="F84" s="204" t="s">
        <v>840</v>
      </c>
      <c r="G84" s="155" t="s">
        <v>918</v>
      </c>
      <c r="H84" s="155" t="s">
        <v>919</v>
      </c>
      <c r="I84" s="156" t="s">
        <v>920</v>
      </c>
      <c r="J84" s="165" t="s">
        <v>359</v>
      </c>
      <c r="K84" s="208">
        <v>815</v>
      </c>
      <c r="L84" s="209">
        <v>12380</v>
      </c>
      <c r="M84" s="271">
        <f t="shared" si="11"/>
        <v>3.4333002390553154E-2</v>
      </c>
      <c r="N84" s="229">
        <f t="shared" si="12"/>
        <v>926.99106454493528</v>
      </c>
      <c r="O84" s="229">
        <f t="shared" si="13"/>
        <v>12977.874903629094</v>
      </c>
      <c r="P84" s="207">
        <v>890</v>
      </c>
      <c r="Q84" s="205">
        <v>13350</v>
      </c>
      <c r="R84" s="272">
        <f t="shared" si="14"/>
        <v>4.5976457298719547E-2</v>
      </c>
      <c r="S84" s="269">
        <f t="shared" si="15"/>
        <v>1088.656828180395</v>
      </c>
      <c r="T84" s="269">
        <f t="shared" si="16"/>
        <v>15241.19559452553</v>
      </c>
      <c r="U84" s="207">
        <v>820</v>
      </c>
      <c r="V84" s="205">
        <v>11920</v>
      </c>
      <c r="W84" s="194">
        <f t="shared" si="17"/>
        <v>4.0376394713131133E-2</v>
      </c>
      <c r="X84" s="195">
        <f t="shared" si="18"/>
        <v>994.90632076393842</v>
      </c>
      <c r="Y84" s="201">
        <f t="shared" si="19"/>
        <v>13928.688490695138</v>
      </c>
      <c r="Z84" s="273">
        <f t="shared" si="20"/>
        <v>3010.5542134892685</v>
      </c>
      <c r="AA84" s="203">
        <f t="shared" si="20"/>
        <v>42147.75898884976</v>
      </c>
      <c r="AB84" s="203">
        <f t="shared" si="21"/>
        <v>1003.5180711630895</v>
      </c>
      <c r="AC84" s="203">
        <f t="shared" si="21"/>
        <v>14049.252996283254</v>
      </c>
    </row>
    <row r="85" spans="1:29" s="169" customFormat="1" x14ac:dyDescent="0.6">
      <c r="A85" s="187">
        <v>34</v>
      </c>
      <c r="B85" s="152" t="s">
        <v>442</v>
      </c>
      <c r="C85" s="159" t="s">
        <v>443</v>
      </c>
      <c r="D85" s="153" t="s">
        <v>113</v>
      </c>
      <c r="E85" s="157" t="s">
        <v>288</v>
      </c>
      <c r="F85" s="204" t="s">
        <v>840</v>
      </c>
      <c r="G85" s="210" t="s">
        <v>921</v>
      </c>
      <c r="H85" s="210" t="s">
        <v>922</v>
      </c>
      <c r="I85" s="152" t="s">
        <v>923</v>
      </c>
      <c r="J85" s="165" t="s">
        <v>359</v>
      </c>
      <c r="K85" s="208">
        <v>120</v>
      </c>
      <c r="L85" s="209">
        <v>1760</v>
      </c>
      <c r="M85" s="271">
        <f t="shared" si="11"/>
        <v>4.8809437970414827E-3</v>
      </c>
      <c r="N85" s="229">
        <f t="shared" si="12"/>
        <v>131.78548252012007</v>
      </c>
      <c r="O85" s="229">
        <f t="shared" si="13"/>
        <v>1844.9967552816809</v>
      </c>
      <c r="P85" s="207">
        <v>30</v>
      </c>
      <c r="Q85" s="205">
        <v>360</v>
      </c>
      <c r="R85" s="272">
        <f t="shared" si="14"/>
        <v>1.2398145788418754E-3</v>
      </c>
      <c r="S85" s="269">
        <f t="shared" si="15"/>
        <v>29.357038063291551</v>
      </c>
      <c r="T85" s="269">
        <f t="shared" si="16"/>
        <v>410.9985328860817</v>
      </c>
      <c r="U85" s="207"/>
      <c r="V85" s="205"/>
      <c r="W85" s="194">
        <f t="shared" si="17"/>
        <v>0</v>
      </c>
      <c r="X85" s="195">
        <f t="shared" si="18"/>
        <v>0</v>
      </c>
      <c r="Y85" s="201">
        <f t="shared" si="19"/>
        <v>0</v>
      </c>
      <c r="Z85" s="273">
        <f t="shared" si="20"/>
        <v>161.14252058341162</v>
      </c>
      <c r="AA85" s="203">
        <f t="shared" si="20"/>
        <v>2255.9952881677627</v>
      </c>
      <c r="AB85" s="203">
        <f t="shared" si="21"/>
        <v>53.714173527803872</v>
      </c>
      <c r="AC85" s="203">
        <f t="shared" si="21"/>
        <v>751.99842938925428</v>
      </c>
    </row>
    <row r="86" spans="1:29" s="169" customFormat="1" x14ac:dyDescent="0.6">
      <c r="A86" s="187">
        <v>35</v>
      </c>
      <c r="B86" s="152" t="s">
        <v>444</v>
      </c>
      <c r="C86" s="160" t="s">
        <v>445</v>
      </c>
      <c r="D86" s="152" t="s">
        <v>446</v>
      </c>
      <c r="E86" s="157" t="s">
        <v>447</v>
      </c>
      <c r="F86" s="204" t="s">
        <v>840</v>
      </c>
      <c r="G86" s="210" t="s">
        <v>924</v>
      </c>
      <c r="H86" s="210" t="s">
        <v>925</v>
      </c>
      <c r="I86" s="152" t="s">
        <v>926</v>
      </c>
      <c r="J86" s="165" t="s">
        <v>359</v>
      </c>
      <c r="K86" s="208">
        <v>400</v>
      </c>
      <c r="L86" s="209">
        <v>5400</v>
      </c>
      <c r="M86" s="271">
        <f t="shared" si="11"/>
        <v>1.4975623013650003E-2</v>
      </c>
      <c r="N86" s="229">
        <f t="shared" si="12"/>
        <v>404.34182136855014</v>
      </c>
      <c r="O86" s="229">
        <f t="shared" si="13"/>
        <v>5660.7854991597023</v>
      </c>
      <c r="P86" s="207">
        <v>400</v>
      </c>
      <c r="Q86" s="205">
        <v>5400</v>
      </c>
      <c r="R86" s="272">
        <f t="shared" si="14"/>
        <v>1.859721868262813E-2</v>
      </c>
      <c r="S86" s="269">
        <f t="shared" si="15"/>
        <v>440.3555709493732</v>
      </c>
      <c r="T86" s="269">
        <f t="shared" si="16"/>
        <v>6164.9779932912252</v>
      </c>
      <c r="U86" s="207">
        <v>800</v>
      </c>
      <c r="V86" s="205">
        <v>12300</v>
      </c>
      <c r="W86" s="194">
        <f t="shared" si="17"/>
        <v>4.166356165868397E-2</v>
      </c>
      <c r="X86" s="195">
        <f t="shared" si="18"/>
        <v>1026.6231330030573</v>
      </c>
      <c r="Y86" s="201">
        <f t="shared" si="19"/>
        <v>14372.723862042802</v>
      </c>
      <c r="Z86" s="273">
        <f t="shared" si="20"/>
        <v>1871.3205253209808</v>
      </c>
      <c r="AA86" s="203">
        <f t="shared" si="20"/>
        <v>26198.487354493729</v>
      </c>
      <c r="AB86" s="203">
        <f t="shared" si="21"/>
        <v>623.77350844032696</v>
      </c>
      <c r="AC86" s="203">
        <f t="shared" si="21"/>
        <v>8732.8291181645764</v>
      </c>
    </row>
    <row r="87" spans="1:29" s="169" customFormat="1" x14ac:dyDescent="0.6">
      <c r="A87" s="187">
        <v>36</v>
      </c>
      <c r="B87" s="152" t="s">
        <v>448</v>
      </c>
      <c r="C87" s="160" t="s">
        <v>449</v>
      </c>
      <c r="D87" s="152" t="s">
        <v>20</v>
      </c>
      <c r="E87" s="157" t="s">
        <v>170</v>
      </c>
      <c r="F87" s="204" t="s">
        <v>840</v>
      </c>
      <c r="G87" s="210" t="s">
        <v>927</v>
      </c>
      <c r="H87" s="210" t="s">
        <v>928</v>
      </c>
      <c r="I87" s="152" t="s">
        <v>929</v>
      </c>
      <c r="J87" s="165" t="s">
        <v>359</v>
      </c>
      <c r="K87" s="208">
        <v>100</v>
      </c>
      <c r="L87" s="209">
        <v>1400</v>
      </c>
      <c r="M87" s="271">
        <f t="shared" si="11"/>
        <v>3.8825689294648157E-3</v>
      </c>
      <c r="N87" s="229">
        <f t="shared" si="12"/>
        <v>104.82936109555006</v>
      </c>
      <c r="O87" s="229">
        <f t="shared" si="13"/>
        <v>1467.6110553377007</v>
      </c>
      <c r="P87" s="207">
        <v>0</v>
      </c>
      <c r="Q87" s="205">
        <v>0</v>
      </c>
      <c r="R87" s="272">
        <f t="shared" si="14"/>
        <v>0</v>
      </c>
      <c r="S87" s="269">
        <f t="shared" si="15"/>
        <v>0</v>
      </c>
      <c r="T87" s="269">
        <f t="shared" si="16"/>
        <v>0</v>
      </c>
      <c r="U87" s="207">
        <v>100</v>
      </c>
      <c r="V87" s="205">
        <v>1400</v>
      </c>
      <c r="W87" s="194">
        <f t="shared" si="17"/>
        <v>4.7421940099315095E-3</v>
      </c>
      <c r="X87" s="195">
        <f t="shared" si="18"/>
        <v>116.85141351254312</v>
      </c>
      <c r="Y87" s="201">
        <f t="shared" si="19"/>
        <v>1635.9197891756037</v>
      </c>
      <c r="Z87" s="273">
        <f t="shared" si="20"/>
        <v>221.68077460809317</v>
      </c>
      <c r="AA87" s="203">
        <f t="shared" si="20"/>
        <v>3103.5308445133041</v>
      </c>
      <c r="AB87" s="203">
        <f t="shared" si="21"/>
        <v>73.893591536031053</v>
      </c>
      <c r="AC87" s="203">
        <f t="shared" si="21"/>
        <v>1034.5102815044347</v>
      </c>
    </row>
    <row r="88" spans="1:29" s="169" customFormat="1" x14ac:dyDescent="0.6">
      <c r="A88" s="187">
        <v>37</v>
      </c>
      <c r="B88" s="152" t="s">
        <v>440</v>
      </c>
      <c r="C88" s="152" t="s">
        <v>450</v>
      </c>
      <c r="D88" s="153" t="s">
        <v>451</v>
      </c>
      <c r="E88" s="153" t="s">
        <v>452</v>
      </c>
      <c r="F88" s="204" t="s">
        <v>840</v>
      </c>
      <c r="G88" s="159" t="s">
        <v>918</v>
      </c>
      <c r="H88" s="159" t="s">
        <v>919</v>
      </c>
      <c r="I88" s="157" t="s">
        <v>920</v>
      </c>
      <c r="J88" s="165" t="s">
        <v>359</v>
      </c>
      <c r="K88" s="208">
        <v>60</v>
      </c>
      <c r="L88" s="209">
        <v>720</v>
      </c>
      <c r="M88" s="271">
        <f t="shared" si="11"/>
        <v>1.9967497351533335E-3</v>
      </c>
      <c r="N88" s="229">
        <f t="shared" si="12"/>
        <v>53.912242849140014</v>
      </c>
      <c r="O88" s="229">
        <f t="shared" si="13"/>
        <v>754.77139988796023</v>
      </c>
      <c r="P88" s="207">
        <v>45</v>
      </c>
      <c r="Q88" s="205">
        <v>540</v>
      </c>
      <c r="R88" s="272">
        <f t="shared" si="14"/>
        <v>1.8597218682628132E-3</v>
      </c>
      <c r="S88" s="269">
        <f t="shared" si="15"/>
        <v>44.035557094937325</v>
      </c>
      <c r="T88" s="269">
        <f t="shared" si="16"/>
        <v>616.49779932912259</v>
      </c>
      <c r="U88" s="207">
        <v>60</v>
      </c>
      <c r="V88" s="205">
        <v>720</v>
      </c>
      <c r="W88" s="194">
        <f t="shared" si="17"/>
        <v>2.438842633679062E-3</v>
      </c>
      <c r="X88" s="195">
        <f t="shared" si="18"/>
        <v>60.0950126635936</v>
      </c>
      <c r="Y88" s="201">
        <f t="shared" si="19"/>
        <v>841.33017729031042</v>
      </c>
      <c r="Z88" s="273">
        <f t="shared" si="20"/>
        <v>158.04281260767092</v>
      </c>
      <c r="AA88" s="203">
        <f t="shared" si="20"/>
        <v>2212.5993765073931</v>
      </c>
      <c r="AB88" s="203">
        <f t="shared" si="21"/>
        <v>52.680937535890308</v>
      </c>
      <c r="AC88" s="203">
        <f t="shared" si="21"/>
        <v>737.53312550246437</v>
      </c>
    </row>
    <row r="89" spans="1:29" s="169" customFormat="1" x14ac:dyDescent="0.6">
      <c r="A89" s="187">
        <v>38</v>
      </c>
      <c r="B89" s="152" t="s">
        <v>453</v>
      </c>
      <c r="C89" s="152" t="s">
        <v>454</v>
      </c>
      <c r="D89" s="153" t="s">
        <v>28</v>
      </c>
      <c r="E89" s="152" t="s">
        <v>196</v>
      </c>
      <c r="F89" s="204" t="s">
        <v>840</v>
      </c>
      <c r="G89" s="159" t="s">
        <v>930</v>
      </c>
      <c r="H89" s="159" t="s">
        <v>931</v>
      </c>
      <c r="I89" s="157" t="s">
        <v>932</v>
      </c>
      <c r="J89" s="165" t="s">
        <v>359</v>
      </c>
      <c r="K89" s="208">
        <v>0</v>
      </c>
      <c r="L89" s="209">
        <v>0</v>
      </c>
      <c r="M89" s="271">
        <f t="shared" si="11"/>
        <v>0</v>
      </c>
      <c r="N89" s="229">
        <f t="shared" si="12"/>
        <v>0</v>
      </c>
      <c r="O89" s="229">
        <f t="shared" si="13"/>
        <v>0</v>
      </c>
      <c r="P89" s="207">
        <v>100</v>
      </c>
      <c r="Q89" s="205">
        <v>1400</v>
      </c>
      <c r="R89" s="272">
        <f t="shared" si="14"/>
        <v>4.8215011399406265E-3</v>
      </c>
      <c r="S89" s="269">
        <f t="shared" si="15"/>
        <v>114.16625913502268</v>
      </c>
      <c r="T89" s="269">
        <f t="shared" si="16"/>
        <v>1598.3276278903177</v>
      </c>
      <c r="U89" s="207">
        <v>100</v>
      </c>
      <c r="V89" s="205">
        <v>1400</v>
      </c>
      <c r="W89" s="194">
        <f t="shared" si="17"/>
        <v>4.7421940099315095E-3</v>
      </c>
      <c r="X89" s="195">
        <f t="shared" si="18"/>
        <v>116.85141351254312</v>
      </c>
      <c r="Y89" s="201">
        <f t="shared" si="19"/>
        <v>1635.9197891756037</v>
      </c>
      <c r="Z89" s="273">
        <f t="shared" si="20"/>
        <v>231.0176726475658</v>
      </c>
      <c r="AA89" s="203">
        <f t="shared" si="20"/>
        <v>3234.2474170659216</v>
      </c>
      <c r="AB89" s="203">
        <f t="shared" si="21"/>
        <v>77.005890882521939</v>
      </c>
      <c r="AC89" s="203">
        <f t="shared" si="21"/>
        <v>1078.0824723553071</v>
      </c>
    </row>
    <row r="90" spans="1:29" s="169" customFormat="1" x14ac:dyDescent="0.6">
      <c r="A90" s="187">
        <v>39</v>
      </c>
      <c r="B90" s="152" t="s">
        <v>455</v>
      </c>
      <c r="C90" s="160" t="s">
        <v>456</v>
      </c>
      <c r="D90" s="157" t="s">
        <v>457</v>
      </c>
      <c r="E90" s="157" t="s">
        <v>458</v>
      </c>
      <c r="F90" s="204" t="s">
        <v>840</v>
      </c>
      <c r="G90" s="152" t="s">
        <v>455</v>
      </c>
      <c r="H90" s="160" t="s">
        <v>456</v>
      </c>
      <c r="I90" s="157" t="s">
        <v>933</v>
      </c>
      <c r="J90" s="165" t="s">
        <v>359</v>
      </c>
      <c r="K90" s="208">
        <v>0</v>
      </c>
      <c r="L90" s="209">
        <v>0</v>
      </c>
      <c r="M90" s="271">
        <f t="shared" si="11"/>
        <v>0</v>
      </c>
      <c r="N90" s="229">
        <f t="shared" si="12"/>
        <v>0</v>
      </c>
      <c r="O90" s="229">
        <f t="shared" si="13"/>
        <v>0</v>
      </c>
      <c r="P90" s="207"/>
      <c r="Q90" s="205"/>
      <c r="R90" s="272">
        <f t="shared" si="14"/>
        <v>0</v>
      </c>
      <c r="S90" s="269">
        <f t="shared" si="15"/>
        <v>0</v>
      </c>
      <c r="T90" s="269">
        <f t="shared" si="16"/>
        <v>0</v>
      </c>
      <c r="U90" s="207"/>
      <c r="V90" s="205"/>
      <c r="W90" s="194">
        <f t="shared" si="17"/>
        <v>0</v>
      </c>
      <c r="X90" s="195">
        <f t="shared" si="18"/>
        <v>0</v>
      </c>
      <c r="Y90" s="201">
        <f t="shared" si="19"/>
        <v>0</v>
      </c>
      <c r="Z90" s="273">
        <f t="shared" si="20"/>
        <v>0</v>
      </c>
      <c r="AA90" s="203">
        <f t="shared" si="20"/>
        <v>0</v>
      </c>
      <c r="AB90" s="203">
        <f t="shared" si="21"/>
        <v>0</v>
      </c>
      <c r="AC90" s="203">
        <f t="shared" si="21"/>
        <v>0</v>
      </c>
    </row>
    <row r="91" spans="1:29" s="169" customFormat="1" x14ac:dyDescent="0.6">
      <c r="A91" s="187">
        <v>40</v>
      </c>
      <c r="B91" s="152" t="s">
        <v>459</v>
      </c>
      <c r="C91" s="156" t="s">
        <v>460</v>
      </c>
      <c r="D91" s="153" t="s">
        <v>56</v>
      </c>
      <c r="E91" s="153" t="s">
        <v>279</v>
      </c>
      <c r="F91" s="204" t="s">
        <v>840</v>
      </c>
      <c r="G91" s="155" t="s">
        <v>934</v>
      </c>
      <c r="H91" s="155" t="s">
        <v>935</v>
      </c>
      <c r="I91" s="152" t="s">
        <v>936</v>
      </c>
      <c r="J91" s="165" t="s">
        <v>461</v>
      </c>
      <c r="K91" s="208">
        <v>415</v>
      </c>
      <c r="L91" s="209">
        <v>6070</v>
      </c>
      <c r="M91" s="271">
        <f t="shared" si="11"/>
        <v>1.6833709572751022E-2</v>
      </c>
      <c r="N91" s="229">
        <f t="shared" si="12"/>
        <v>454.51015846427765</v>
      </c>
      <c r="O91" s="229">
        <f t="shared" si="13"/>
        <v>6363.1422184998873</v>
      </c>
      <c r="P91" s="207">
        <v>385</v>
      </c>
      <c r="Q91" s="205">
        <v>5330</v>
      </c>
      <c r="R91" s="272">
        <f t="shared" si="14"/>
        <v>1.8356143625631101E-2</v>
      </c>
      <c r="S91" s="269">
        <f t="shared" si="15"/>
        <v>434.64725799262214</v>
      </c>
      <c r="T91" s="269">
        <f t="shared" si="16"/>
        <v>6085.06161189671</v>
      </c>
      <c r="U91" s="207">
        <v>370</v>
      </c>
      <c r="V91" s="205">
        <v>5300</v>
      </c>
      <c r="W91" s="194">
        <f t="shared" si="17"/>
        <v>1.7952591609026427E-2</v>
      </c>
      <c r="X91" s="195">
        <f t="shared" si="18"/>
        <v>442.36606544034174</v>
      </c>
      <c r="Y91" s="201">
        <f t="shared" si="19"/>
        <v>6193.1249161647847</v>
      </c>
      <c r="Z91" s="273">
        <f t="shared" si="20"/>
        <v>1331.5234818972415</v>
      </c>
      <c r="AA91" s="203">
        <f t="shared" si="20"/>
        <v>18641.328746561383</v>
      </c>
      <c r="AB91" s="203">
        <f t="shared" si="21"/>
        <v>443.84116063241385</v>
      </c>
      <c r="AC91" s="203">
        <f t="shared" si="21"/>
        <v>6213.7762488537946</v>
      </c>
    </row>
    <row r="92" spans="1:29" s="169" customFormat="1" x14ac:dyDescent="0.6">
      <c r="A92" s="187">
        <v>41</v>
      </c>
      <c r="B92" s="152" t="s">
        <v>462</v>
      </c>
      <c r="C92" s="156" t="s">
        <v>463</v>
      </c>
      <c r="D92" s="153" t="s">
        <v>56</v>
      </c>
      <c r="E92" s="153" t="s">
        <v>279</v>
      </c>
      <c r="F92" s="204" t="s">
        <v>840</v>
      </c>
      <c r="G92" s="155" t="s">
        <v>937</v>
      </c>
      <c r="H92" s="155" t="s">
        <v>938</v>
      </c>
      <c r="I92" s="152" t="s">
        <v>939</v>
      </c>
      <c r="J92" s="165" t="s">
        <v>461</v>
      </c>
      <c r="K92" s="208">
        <v>111</v>
      </c>
      <c r="L92" s="209">
        <v>1684</v>
      </c>
      <c r="M92" s="271">
        <f t="shared" si="11"/>
        <v>4.6701757694419636E-3</v>
      </c>
      <c r="N92" s="229">
        <f t="shared" si="12"/>
        <v>126.09474577493303</v>
      </c>
      <c r="O92" s="229">
        <f t="shared" si="13"/>
        <v>1765.3264408490625</v>
      </c>
      <c r="P92" s="207">
        <v>108</v>
      </c>
      <c r="Q92" s="205">
        <v>1624</v>
      </c>
      <c r="R92" s="272">
        <f t="shared" si="14"/>
        <v>5.5929413223311268E-3</v>
      </c>
      <c r="S92" s="269">
        <f t="shared" si="15"/>
        <v>132.43286059662631</v>
      </c>
      <c r="T92" s="269">
        <f t="shared" si="16"/>
        <v>1854.0600483527685</v>
      </c>
      <c r="U92" s="207">
        <v>102</v>
      </c>
      <c r="V92" s="205">
        <v>1550</v>
      </c>
      <c r="W92" s="194">
        <f t="shared" si="17"/>
        <v>5.2502862252813134E-3</v>
      </c>
      <c r="X92" s="195">
        <f t="shared" si="18"/>
        <v>129.37120781745844</v>
      </c>
      <c r="Y92" s="201">
        <f t="shared" si="19"/>
        <v>1811.196909444418</v>
      </c>
      <c r="Z92" s="273">
        <f t="shared" si="20"/>
        <v>387.8988141890178</v>
      </c>
      <c r="AA92" s="203">
        <f t="shared" si="20"/>
        <v>5430.5833986462494</v>
      </c>
      <c r="AB92" s="203">
        <f t="shared" si="21"/>
        <v>129.29960472967261</v>
      </c>
      <c r="AC92" s="203">
        <f t="shared" si="21"/>
        <v>1810.1944662154165</v>
      </c>
    </row>
    <row r="93" spans="1:29" s="169" customFormat="1" x14ac:dyDescent="0.6">
      <c r="A93" s="187">
        <v>42</v>
      </c>
      <c r="B93" s="152" t="s">
        <v>464</v>
      </c>
      <c r="C93" s="156" t="s">
        <v>465</v>
      </c>
      <c r="D93" s="153" t="s">
        <v>56</v>
      </c>
      <c r="E93" s="153" t="s">
        <v>279</v>
      </c>
      <c r="F93" s="204" t="s">
        <v>840</v>
      </c>
      <c r="G93" s="155" t="s">
        <v>940</v>
      </c>
      <c r="H93" s="155" t="s">
        <v>941</v>
      </c>
      <c r="I93" s="152" t="s">
        <v>942</v>
      </c>
      <c r="J93" s="165" t="s">
        <v>461</v>
      </c>
      <c r="K93" s="208">
        <v>315</v>
      </c>
      <c r="L93" s="209">
        <v>4400</v>
      </c>
      <c r="M93" s="271">
        <f t="shared" si="11"/>
        <v>1.2202359492603706E-2</v>
      </c>
      <c r="N93" s="229">
        <f t="shared" si="12"/>
        <v>329.46370630030009</v>
      </c>
      <c r="O93" s="229">
        <f t="shared" si="13"/>
        <v>4612.4918882042011</v>
      </c>
      <c r="P93" s="207">
        <v>552</v>
      </c>
      <c r="Q93" s="205">
        <v>8040</v>
      </c>
      <c r="R93" s="272">
        <f t="shared" si="14"/>
        <v>2.7689192260801885E-2</v>
      </c>
      <c r="S93" s="269">
        <f t="shared" si="15"/>
        <v>655.6405167468447</v>
      </c>
      <c r="T93" s="269">
        <f t="shared" si="16"/>
        <v>9178.9672344558257</v>
      </c>
      <c r="U93" s="207">
        <v>395</v>
      </c>
      <c r="V93" s="205">
        <v>5680</v>
      </c>
      <c r="W93" s="194">
        <f t="shared" si="17"/>
        <v>1.9239758554579267E-2</v>
      </c>
      <c r="X93" s="195">
        <f t="shared" si="18"/>
        <v>474.08287767946064</v>
      </c>
      <c r="Y93" s="201">
        <f t="shared" si="19"/>
        <v>6637.160287512449</v>
      </c>
      <c r="Z93" s="273">
        <f t="shared" si="20"/>
        <v>1459.1871007266054</v>
      </c>
      <c r="AA93" s="203">
        <f t="shared" si="20"/>
        <v>20428.619410172476</v>
      </c>
      <c r="AB93" s="203">
        <f t="shared" si="21"/>
        <v>486.39570024220183</v>
      </c>
      <c r="AC93" s="203">
        <f t="shared" si="21"/>
        <v>6809.539803390825</v>
      </c>
    </row>
    <row r="94" spans="1:29" s="169" customFormat="1" x14ac:dyDescent="0.6">
      <c r="A94" s="187">
        <v>43</v>
      </c>
      <c r="B94" s="152" t="s">
        <v>466</v>
      </c>
      <c r="C94" s="156" t="s">
        <v>467</v>
      </c>
      <c r="D94" s="153" t="s">
        <v>56</v>
      </c>
      <c r="E94" s="153" t="s">
        <v>279</v>
      </c>
      <c r="F94" s="204" t="s">
        <v>840</v>
      </c>
      <c r="G94" s="155" t="s">
        <v>466</v>
      </c>
      <c r="H94" s="155" t="s">
        <v>467</v>
      </c>
      <c r="I94" s="152" t="s">
        <v>943</v>
      </c>
      <c r="J94" s="165" t="s">
        <v>461</v>
      </c>
      <c r="K94" s="208">
        <v>685</v>
      </c>
      <c r="L94" s="209">
        <v>9870</v>
      </c>
      <c r="M94" s="271">
        <f t="shared" si="11"/>
        <v>2.7372110952726951E-2</v>
      </c>
      <c r="N94" s="229">
        <f t="shared" si="12"/>
        <v>739.0469957236279</v>
      </c>
      <c r="O94" s="229">
        <f t="shared" si="13"/>
        <v>10346.65794013079</v>
      </c>
      <c r="P94" s="207">
        <v>586</v>
      </c>
      <c r="Q94" s="205">
        <v>8348</v>
      </c>
      <c r="R94" s="272">
        <f t="shared" si="14"/>
        <v>2.8749922511588824E-2</v>
      </c>
      <c r="S94" s="269">
        <f t="shared" si="15"/>
        <v>680.75709375654969</v>
      </c>
      <c r="T94" s="269">
        <f t="shared" si="16"/>
        <v>9530.5993125916957</v>
      </c>
      <c r="U94" s="207">
        <v>599</v>
      </c>
      <c r="V94" s="205">
        <v>8504</v>
      </c>
      <c r="W94" s="194">
        <f t="shared" si="17"/>
        <v>2.8805441328898253E-2</v>
      </c>
      <c r="X94" s="195">
        <f t="shared" si="18"/>
        <v>709.78887179333321</v>
      </c>
      <c r="Y94" s="201">
        <f t="shared" si="19"/>
        <v>9937.0442051066657</v>
      </c>
      <c r="Z94" s="273">
        <f t="shared" si="20"/>
        <v>2129.5929612735108</v>
      </c>
      <c r="AA94" s="203">
        <f t="shared" si="20"/>
        <v>29814.301457829148</v>
      </c>
      <c r="AB94" s="203">
        <f t="shared" si="21"/>
        <v>709.8643204245036</v>
      </c>
      <c r="AC94" s="203">
        <f t="shared" si="21"/>
        <v>9938.1004859430486</v>
      </c>
    </row>
    <row r="95" spans="1:29" s="169" customFormat="1" x14ac:dyDescent="0.6">
      <c r="A95" s="187">
        <v>44</v>
      </c>
      <c r="B95" s="152" t="s">
        <v>468</v>
      </c>
      <c r="C95" s="156" t="s">
        <v>469</v>
      </c>
      <c r="D95" s="153" t="s">
        <v>49</v>
      </c>
      <c r="E95" s="153" t="s">
        <v>260</v>
      </c>
      <c r="F95" s="204" t="s">
        <v>840</v>
      </c>
      <c r="G95" s="155" t="s">
        <v>944</v>
      </c>
      <c r="H95" s="155" t="s">
        <v>945</v>
      </c>
      <c r="I95" s="152" t="s">
        <v>946</v>
      </c>
      <c r="J95" s="165" t="s">
        <v>461</v>
      </c>
      <c r="K95" s="208">
        <v>136</v>
      </c>
      <c r="L95" s="209">
        <v>1924</v>
      </c>
      <c r="M95" s="271">
        <f t="shared" si="11"/>
        <v>5.335759014493075E-3</v>
      </c>
      <c r="N95" s="229">
        <f t="shared" si="12"/>
        <v>144.06549339131305</v>
      </c>
      <c r="O95" s="229">
        <f t="shared" si="13"/>
        <v>2016.9169074783827</v>
      </c>
      <c r="P95" s="207">
        <v>168</v>
      </c>
      <c r="Q95" s="205">
        <v>2420</v>
      </c>
      <c r="R95" s="272">
        <f t="shared" si="14"/>
        <v>8.3343091133259405E-3</v>
      </c>
      <c r="S95" s="269">
        <f t="shared" si="15"/>
        <v>197.34453364768208</v>
      </c>
      <c r="T95" s="269">
        <f t="shared" si="16"/>
        <v>2762.8234710675492</v>
      </c>
      <c r="U95" s="207">
        <v>163</v>
      </c>
      <c r="V95" s="205">
        <v>2378</v>
      </c>
      <c r="W95" s="194">
        <f t="shared" si="17"/>
        <v>8.0549552540122357E-3</v>
      </c>
      <c r="X95" s="195">
        <f t="shared" si="18"/>
        <v>198.48047238059112</v>
      </c>
      <c r="Y95" s="201">
        <f t="shared" si="19"/>
        <v>2778.7266133282756</v>
      </c>
      <c r="Z95" s="273">
        <f t="shared" si="20"/>
        <v>539.89049941958626</v>
      </c>
      <c r="AA95" s="203">
        <f t="shared" si="20"/>
        <v>7558.4669918742075</v>
      </c>
      <c r="AB95" s="203">
        <f t="shared" si="21"/>
        <v>179.96349980652874</v>
      </c>
      <c r="AC95" s="203">
        <f t="shared" si="21"/>
        <v>2519.4889972914025</v>
      </c>
    </row>
    <row r="96" spans="1:29" s="169" customFormat="1" x14ac:dyDescent="0.6">
      <c r="A96" s="187">
        <v>45</v>
      </c>
      <c r="B96" s="152" t="s">
        <v>470</v>
      </c>
      <c r="C96" s="156" t="s">
        <v>471</v>
      </c>
      <c r="D96" s="153" t="s">
        <v>472</v>
      </c>
      <c r="E96" s="152" t="s">
        <v>473</v>
      </c>
      <c r="F96" s="204" t="s">
        <v>840</v>
      </c>
      <c r="G96" s="155" t="s">
        <v>947</v>
      </c>
      <c r="H96" s="155" t="s">
        <v>948</v>
      </c>
      <c r="I96" s="152" t="s">
        <v>949</v>
      </c>
      <c r="J96" s="165" t="s">
        <v>461</v>
      </c>
      <c r="K96" s="208">
        <v>445</v>
      </c>
      <c r="L96" s="209">
        <v>6226</v>
      </c>
      <c r="M96" s="271">
        <f t="shared" si="11"/>
        <v>1.7266338682034244E-2</v>
      </c>
      <c r="N96" s="229">
        <f t="shared" si="12"/>
        <v>466.19114441492468</v>
      </c>
      <c r="O96" s="229">
        <f t="shared" si="13"/>
        <v>6526.6760218089457</v>
      </c>
      <c r="P96" s="207">
        <v>360</v>
      </c>
      <c r="Q96" s="205">
        <v>5150</v>
      </c>
      <c r="R96" s="272">
        <f t="shared" si="14"/>
        <v>1.7736236336210163E-2</v>
      </c>
      <c r="S96" s="269">
        <f t="shared" si="15"/>
        <v>419.96873896097634</v>
      </c>
      <c r="T96" s="269">
        <f t="shared" si="16"/>
        <v>5879.562345453669</v>
      </c>
      <c r="U96" s="207">
        <v>595</v>
      </c>
      <c r="V96" s="205">
        <v>8420</v>
      </c>
      <c r="W96" s="194">
        <f t="shared" si="17"/>
        <v>2.8520909688302364E-2</v>
      </c>
      <c r="X96" s="195">
        <f t="shared" si="18"/>
        <v>702.77778698258066</v>
      </c>
      <c r="Y96" s="201">
        <f t="shared" si="19"/>
        <v>9838.8890177561298</v>
      </c>
      <c r="Z96" s="273">
        <f t="shared" si="20"/>
        <v>1588.9376703584817</v>
      </c>
      <c r="AA96" s="203">
        <f t="shared" si="20"/>
        <v>22245.127385018743</v>
      </c>
      <c r="AB96" s="203">
        <f t="shared" si="21"/>
        <v>529.64589011949386</v>
      </c>
      <c r="AC96" s="203">
        <f t="shared" si="21"/>
        <v>7415.0424616729142</v>
      </c>
    </row>
    <row r="97" spans="1:29" s="169" customFormat="1" x14ac:dyDescent="0.6">
      <c r="A97" s="187">
        <v>46</v>
      </c>
      <c r="B97" s="152" t="s">
        <v>474</v>
      </c>
      <c r="C97" s="156" t="s">
        <v>475</v>
      </c>
      <c r="D97" s="153" t="s">
        <v>476</v>
      </c>
      <c r="E97" s="152" t="s">
        <v>233</v>
      </c>
      <c r="F97" s="204" t="s">
        <v>840</v>
      </c>
      <c r="G97" s="155" t="s">
        <v>950</v>
      </c>
      <c r="H97" s="155" t="s">
        <v>951</v>
      </c>
      <c r="I97" s="152" t="s">
        <v>952</v>
      </c>
      <c r="J97" s="165" t="s">
        <v>461</v>
      </c>
      <c r="K97" s="208">
        <v>55</v>
      </c>
      <c r="L97" s="209">
        <v>890</v>
      </c>
      <c r="M97" s="271">
        <f t="shared" si="11"/>
        <v>2.4682045337312041E-3</v>
      </c>
      <c r="N97" s="229">
        <f t="shared" si="12"/>
        <v>66.641522410742525</v>
      </c>
      <c r="O97" s="229">
        <f t="shared" si="13"/>
        <v>932.98131375039532</v>
      </c>
      <c r="P97" s="207">
        <v>90</v>
      </c>
      <c r="Q97" s="205">
        <v>1480</v>
      </c>
      <c r="R97" s="272">
        <f t="shared" si="14"/>
        <v>5.0970154907943764E-3</v>
      </c>
      <c r="S97" s="269">
        <f t="shared" si="15"/>
        <v>120.69004537130969</v>
      </c>
      <c r="T97" s="269">
        <f t="shared" si="16"/>
        <v>1689.6606351983357</v>
      </c>
      <c r="U97" s="207"/>
      <c r="V97" s="205"/>
      <c r="W97" s="194">
        <f t="shared" si="17"/>
        <v>0</v>
      </c>
      <c r="X97" s="195">
        <f t="shared" si="18"/>
        <v>0</v>
      </c>
      <c r="Y97" s="201">
        <f t="shared" si="19"/>
        <v>0</v>
      </c>
      <c r="Z97" s="273">
        <f t="shared" si="20"/>
        <v>187.33156778205222</v>
      </c>
      <c r="AA97" s="203">
        <f t="shared" si="20"/>
        <v>2622.6419489487312</v>
      </c>
      <c r="AB97" s="203">
        <f t="shared" si="21"/>
        <v>62.443855927350739</v>
      </c>
      <c r="AC97" s="203">
        <f t="shared" si="21"/>
        <v>874.21398298291035</v>
      </c>
    </row>
    <row r="98" spans="1:29" s="169" customFormat="1" x14ac:dyDescent="0.6">
      <c r="A98" s="187">
        <v>47</v>
      </c>
      <c r="B98" s="152" t="s">
        <v>477</v>
      </c>
      <c r="C98" s="156" t="s">
        <v>478</v>
      </c>
      <c r="D98" s="153" t="s">
        <v>476</v>
      </c>
      <c r="E98" s="152" t="s">
        <v>233</v>
      </c>
      <c r="F98" s="204" t="s">
        <v>840</v>
      </c>
      <c r="G98" s="155" t="s">
        <v>477</v>
      </c>
      <c r="H98" s="155" t="s">
        <v>478</v>
      </c>
      <c r="I98" s="152" t="s">
        <v>953</v>
      </c>
      <c r="J98" s="165" t="s">
        <v>461</v>
      </c>
      <c r="K98" s="208">
        <v>402</v>
      </c>
      <c r="L98" s="209">
        <v>5584</v>
      </c>
      <c r="M98" s="271">
        <f t="shared" si="11"/>
        <v>1.5485903501522522E-2</v>
      </c>
      <c r="N98" s="229">
        <f t="shared" si="12"/>
        <v>418.11939454110819</v>
      </c>
      <c r="O98" s="229">
        <f t="shared" si="13"/>
        <v>5853.6715235755146</v>
      </c>
      <c r="P98" s="207">
        <v>350</v>
      </c>
      <c r="Q98" s="205">
        <v>4990</v>
      </c>
      <c r="R98" s="272">
        <f t="shared" si="14"/>
        <v>1.7185207634502663E-2</v>
      </c>
      <c r="S98" s="269">
        <f t="shared" si="15"/>
        <v>406.92116648840238</v>
      </c>
      <c r="T98" s="269">
        <f t="shared" si="16"/>
        <v>5696.8963308376333</v>
      </c>
      <c r="U98" s="207">
        <v>300</v>
      </c>
      <c r="V98" s="205">
        <v>4200</v>
      </c>
      <c r="W98" s="194">
        <f t="shared" si="17"/>
        <v>1.4226582029794528E-2</v>
      </c>
      <c r="X98" s="195">
        <f t="shared" si="18"/>
        <v>350.55424053762937</v>
      </c>
      <c r="Y98" s="201">
        <f t="shared" si="19"/>
        <v>4907.7593675268108</v>
      </c>
      <c r="Z98" s="273">
        <f t="shared" si="20"/>
        <v>1175.5948015671399</v>
      </c>
      <c r="AA98" s="203">
        <f t="shared" si="20"/>
        <v>16458.327221939959</v>
      </c>
      <c r="AB98" s="203">
        <f t="shared" si="21"/>
        <v>391.86493385571333</v>
      </c>
      <c r="AC98" s="203">
        <f t="shared" si="21"/>
        <v>5486.1090739799865</v>
      </c>
    </row>
    <row r="99" spans="1:29" s="169" customFormat="1" x14ac:dyDescent="0.6">
      <c r="A99" s="187">
        <v>48</v>
      </c>
      <c r="B99" s="152" t="s">
        <v>479</v>
      </c>
      <c r="C99" s="156" t="s">
        <v>480</v>
      </c>
      <c r="D99" s="153" t="s">
        <v>481</v>
      </c>
      <c r="E99" s="152" t="s">
        <v>482</v>
      </c>
      <c r="F99" s="204" t="s">
        <v>840</v>
      </c>
      <c r="G99" s="155" t="s">
        <v>954</v>
      </c>
      <c r="H99" s="155" t="s">
        <v>955</v>
      </c>
      <c r="I99" s="152" t="s">
        <v>956</v>
      </c>
      <c r="J99" s="165" t="s">
        <v>461</v>
      </c>
      <c r="K99" s="208">
        <v>0</v>
      </c>
      <c r="L99" s="209">
        <v>0</v>
      </c>
      <c r="M99" s="271">
        <f t="shared" si="11"/>
        <v>0</v>
      </c>
      <c r="N99" s="229">
        <f t="shared" si="12"/>
        <v>0</v>
      </c>
      <c r="O99" s="229">
        <f t="shared" si="13"/>
        <v>0</v>
      </c>
      <c r="P99" s="207">
        <v>0</v>
      </c>
      <c r="Q99" s="205">
        <v>0</v>
      </c>
      <c r="R99" s="272">
        <f t="shared" si="14"/>
        <v>0</v>
      </c>
      <c r="S99" s="269">
        <f t="shared" si="15"/>
        <v>0</v>
      </c>
      <c r="T99" s="269">
        <f t="shared" si="16"/>
        <v>0</v>
      </c>
      <c r="U99" s="207">
        <v>161</v>
      </c>
      <c r="V99" s="205">
        <v>2918</v>
      </c>
      <c r="W99" s="194">
        <f t="shared" si="17"/>
        <v>9.884087229271532E-3</v>
      </c>
      <c r="X99" s="195">
        <f t="shared" si="18"/>
        <v>243.55173187828629</v>
      </c>
      <c r="Y99" s="201">
        <f t="shared" si="19"/>
        <v>3409.724246296008</v>
      </c>
      <c r="Z99" s="273">
        <f t="shared" si="20"/>
        <v>243.55173187828629</v>
      </c>
      <c r="AA99" s="203">
        <f t="shared" si="20"/>
        <v>3409.724246296008</v>
      </c>
      <c r="AB99" s="203">
        <f t="shared" si="21"/>
        <v>81.183910626095425</v>
      </c>
      <c r="AC99" s="203">
        <f t="shared" si="21"/>
        <v>1136.5747487653359</v>
      </c>
    </row>
    <row r="100" spans="1:29" s="169" customFormat="1" x14ac:dyDescent="0.6">
      <c r="A100" s="187">
        <v>49</v>
      </c>
      <c r="B100" s="152" t="s">
        <v>483</v>
      </c>
      <c r="C100" s="156" t="s">
        <v>484</v>
      </c>
      <c r="D100" s="153" t="s">
        <v>485</v>
      </c>
      <c r="E100" s="152" t="s">
        <v>486</v>
      </c>
      <c r="F100" s="204" t="s">
        <v>840</v>
      </c>
      <c r="G100" s="155" t="s">
        <v>483</v>
      </c>
      <c r="H100" s="155" t="s">
        <v>484</v>
      </c>
      <c r="I100" s="152" t="s">
        <v>957</v>
      </c>
      <c r="J100" s="165" t="s">
        <v>461</v>
      </c>
      <c r="K100" s="208">
        <v>260</v>
      </c>
      <c r="L100" s="209">
        <v>4780</v>
      </c>
      <c r="M100" s="271">
        <f t="shared" si="11"/>
        <v>1.3256199630601298E-2</v>
      </c>
      <c r="N100" s="229">
        <f t="shared" si="12"/>
        <v>357.91739002623507</v>
      </c>
      <c r="O100" s="229">
        <f t="shared" si="13"/>
        <v>5010.8434603672913</v>
      </c>
      <c r="P100" s="207">
        <v>160</v>
      </c>
      <c r="Q100" s="205">
        <v>2780</v>
      </c>
      <c r="R100" s="272">
        <f t="shared" si="14"/>
        <v>9.5741236921678165E-3</v>
      </c>
      <c r="S100" s="269">
        <f t="shared" si="15"/>
        <v>226.70157171097367</v>
      </c>
      <c r="T100" s="269">
        <f t="shared" si="16"/>
        <v>3173.8220039536313</v>
      </c>
      <c r="U100" s="207">
        <v>215</v>
      </c>
      <c r="V100" s="205">
        <v>3520</v>
      </c>
      <c r="W100" s="194">
        <f t="shared" si="17"/>
        <v>1.192323065354208E-2</v>
      </c>
      <c r="X100" s="195">
        <f t="shared" si="18"/>
        <v>293.7978396886798</v>
      </c>
      <c r="Y100" s="201">
        <f t="shared" si="19"/>
        <v>4113.1697556415174</v>
      </c>
      <c r="Z100" s="273">
        <f t="shared" si="20"/>
        <v>878.41680142588859</v>
      </c>
      <c r="AA100" s="203">
        <f t="shared" si="20"/>
        <v>12297.835219962439</v>
      </c>
      <c r="AB100" s="203">
        <f t="shared" si="21"/>
        <v>292.80560047529622</v>
      </c>
      <c r="AC100" s="203">
        <f t="shared" si="21"/>
        <v>4099.2784066541462</v>
      </c>
    </row>
    <row r="101" spans="1:29" s="169" customFormat="1" x14ac:dyDescent="0.6">
      <c r="A101" s="187">
        <v>50</v>
      </c>
      <c r="B101" s="152" t="s">
        <v>487</v>
      </c>
      <c r="C101" s="156" t="s">
        <v>488</v>
      </c>
      <c r="D101" s="153" t="s">
        <v>489</v>
      </c>
      <c r="E101" s="152" t="s">
        <v>490</v>
      </c>
      <c r="F101" s="204" t="s">
        <v>840</v>
      </c>
      <c r="G101" s="155" t="s">
        <v>958</v>
      </c>
      <c r="H101" s="155" t="s">
        <v>959</v>
      </c>
      <c r="I101" s="152" t="s">
        <v>960</v>
      </c>
      <c r="J101" s="165" t="s">
        <v>461</v>
      </c>
      <c r="K101" s="208">
        <v>520</v>
      </c>
      <c r="L101" s="209">
        <v>7800</v>
      </c>
      <c r="M101" s="271">
        <f t="shared" si="11"/>
        <v>2.1631455464161117E-2</v>
      </c>
      <c r="N101" s="229">
        <f t="shared" si="12"/>
        <v>584.04929753235024</v>
      </c>
      <c r="O101" s="229">
        <f t="shared" si="13"/>
        <v>8176.6901654529038</v>
      </c>
      <c r="P101" s="207">
        <v>585</v>
      </c>
      <c r="Q101" s="205">
        <v>8670</v>
      </c>
      <c r="R101" s="272">
        <f t="shared" si="14"/>
        <v>2.9858867773775166E-2</v>
      </c>
      <c r="S101" s="269">
        <f t="shared" si="15"/>
        <v>707.01533335760473</v>
      </c>
      <c r="T101" s="269">
        <f t="shared" si="16"/>
        <v>9898.2146670064667</v>
      </c>
      <c r="U101" s="207">
        <v>525</v>
      </c>
      <c r="V101" s="205">
        <v>7900</v>
      </c>
      <c r="W101" s="194">
        <f t="shared" si="17"/>
        <v>2.6759523341756374E-2</v>
      </c>
      <c r="X101" s="195">
        <f t="shared" si="18"/>
        <v>659.3758333922076</v>
      </c>
      <c r="Y101" s="201">
        <f t="shared" si="19"/>
        <v>9231.2616674909059</v>
      </c>
      <c r="Z101" s="273">
        <f t="shared" si="20"/>
        <v>1950.4404642821626</v>
      </c>
      <c r="AA101" s="203">
        <f t="shared" si="20"/>
        <v>27306.166499950275</v>
      </c>
      <c r="AB101" s="203">
        <f t="shared" si="21"/>
        <v>650.14682142738752</v>
      </c>
      <c r="AC101" s="203">
        <f t="shared" si="21"/>
        <v>9102.0554999834258</v>
      </c>
    </row>
    <row r="102" spans="1:29" s="169" customFormat="1" x14ac:dyDescent="0.6">
      <c r="A102" s="187">
        <v>51</v>
      </c>
      <c r="B102" s="155">
        <v>126</v>
      </c>
      <c r="C102" s="161">
        <v>126</v>
      </c>
      <c r="D102" s="153" t="s">
        <v>491</v>
      </c>
      <c r="E102" s="152" t="s">
        <v>167</v>
      </c>
      <c r="F102" s="204" t="s">
        <v>840</v>
      </c>
      <c r="G102" s="155" t="s">
        <v>961</v>
      </c>
      <c r="H102" s="155" t="s">
        <v>962</v>
      </c>
      <c r="I102" s="152" t="s">
        <v>963</v>
      </c>
      <c r="J102" s="165" t="s">
        <v>461</v>
      </c>
      <c r="K102" s="208">
        <v>50</v>
      </c>
      <c r="L102" s="209">
        <v>700</v>
      </c>
      <c r="M102" s="271">
        <f t="shared" si="11"/>
        <v>1.9412844647324079E-3</v>
      </c>
      <c r="N102" s="229">
        <f t="shared" si="12"/>
        <v>52.414680547775028</v>
      </c>
      <c r="O102" s="229">
        <f t="shared" si="13"/>
        <v>733.80552766885035</v>
      </c>
      <c r="P102" s="207">
        <v>50</v>
      </c>
      <c r="Q102" s="205">
        <v>700</v>
      </c>
      <c r="R102" s="272">
        <f t="shared" si="14"/>
        <v>2.4107505699703133E-3</v>
      </c>
      <c r="S102" s="269">
        <f t="shared" si="15"/>
        <v>57.083129567511342</v>
      </c>
      <c r="T102" s="269">
        <f t="shared" si="16"/>
        <v>799.16381394515884</v>
      </c>
      <c r="U102" s="207">
        <v>50</v>
      </c>
      <c r="V102" s="205">
        <v>700</v>
      </c>
      <c r="W102" s="194">
        <f t="shared" si="17"/>
        <v>2.3710970049657548E-3</v>
      </c>
      <c r="X102" s="195">
        <f t="shared" si="18"/>
        <v>58.425706756271559</v>
      </c>
      <c r="Y102" s="201">
        <f t="shared" si="19"/>
        <v>817.95989458780184</v>
      </c>
      <c r="Z102" s="273">
        <f t="shared" si="20"/>
        <v>167.92351687155792</v>
      </c>
      <c r="AA102" s="203">
        <f t="shared" si="20"/>
        <v>2350.9292362018109</v>
      </c>
      <c r="AB102" s="203">
        <f t="shared" si="21"/>
        <v>55.974505623852643</v>
      </c>
      <c r="AC102" s="203">
        <f t="shared" si="21"/>
        <v>783.64307873393693</v>
      </c>
    </row>
    <row r="103" spans="1:29" s="169" customFormat="1" x14ac:dyDescent="0.6">
      <c r="A103" s="187">
        <v>52</v>
      </c>
      <c r="B103" s="152" t="s">
        <v>492</v>
      </c>
      <c r="C103" s="156" t="s">
        <v>493</v>
      </c>
      <c r="D103" s="153" t="s">
        <v>35</v>
      </c>
      <c r="E103" s="152" t="s">
        <v>215</v>
      </c>
      <c r="F103" s="204" t="s">
        <v>840</v>
      </c>
      <c r="G103" s="155" t="s">
        <v>964</v>
      </c>
      <c r="H103" s="155" t="s">
        <v>965</v>
      </c>
      <c r="I103" s="152" t="s">
        <v>966</v>
      </c>
      <c r="J103" s="165" t="s">
        <v>461</v>
      </c>
      <c r="K103" s="208">
        <v>728</v>
      </c>
      <c r="L103" s="209">
        <v>9660</v>
      </c>
      <c r="M103" s="271">
        <f t="shared" si="11"/>
        <v>2.6789725613307228E-2</v>
      </c>
      <c r="N103" s="229">
        <f t="shared" si="12"/>
        <v>723.32259155929535</v>
      </c>
      <c r="O103" s="229">
        <f t="shared" si="13"/>
        <v>10126.516281830134</v>
      </c>
      <c r="P103" s="207">
        <v>685</v>
      </c>
      <c r="Q103" s="205">
        <v>9190</v>
      </c>
      <c r="R103" s="272">
        <f t="shared" si="14"/>
        <v>3.1649711054324542E-2</v>
      </c>
      <c r="S103" s="269">
        <f t="shared" si="15"/>
        <v>749.41994389347042</v>
      </c>
      <c r="T103" s="269">
        <f t="shared" si="16"/>
        <v>10491.879214508586</v>
      </c>
      <c r="U103" s="207">
        <v>622</v>
      </c>
      <c r="V103" s="205">
        <v>8224</v>
      </c>
      <c r="W103" s="194">
        <f t="shared" si="17"/>
        <v>2.785700252691195E-2</v>
      </c>
      <c r="X103" s="195">
        <f t="shared" si="18"/>
        <v>686.41858909082464</v>
      </c>
      <c r="Y103" s="201">
        <f t="shared" si="19"/>
        <v>9609.8602472715447</v>
      </c>
      <c r="Z103" s="273">
        <f t="shared" si="20"/>
        <v>2159.1611245435906</v>
      </c>
      <c r="AA103" s="203">
        <f t="shared" si="20"/>
        <v>30228.255743610265</v>
      </c>
      <c r="AB103" s="203">
        <f t="shared" si="21"/>
        <v>719.72037484786358</v>
      </c>
      <c r="AC103" s="203">
        <f t="shared" si="21"/>
        <v>10076.085247870089</v>
      </c>
    </row>
    <row r="104" spans="1:29" s="169" customFormat="1" x14ac:dyDescent="0.6">
      <c r="A104" s="187">
        <v>53</v>
      </c>
      <c r="B104" s="152" t="s">
        <v>494</v>
      </c>
      <c r="C104" s="156" t="s">
        <v>495</v>
      </c>
      <c r="D104" s="153" t="s">
        <v>35</v>
      </c>
      <c r="E104" s="152" t="s">
        <v>215</v>
      </c>
      <c r="F104" s="204" t="s">
        <v>840</v>
      </c>
      <c r="G104" s="155" t="s">
        <v>967</v>
      </c>
      <c r="H104" s="155" t="s">
        <v>968</v>
      </c>
      <c r="I104" s="152" t="s">
        <v>969</v>
      </c>
      <c r="J104" s="165" t="s">
        <v>461</v>
      </c>
      <c r="K104" s="208">
        <v>752</v>
      </c>
      <c r="L104" s="209">
        <v>10638</v>
      </c>
      <c r="M104" s="271">
        <f t="shared" si="11"/>
        <v>2.9501977336890507E-2</v>
      </c>
      <c r="N104" s="229">
        <f t="shared" si="12"/>
        <v>796.55338809604382</v>
      </c>
      <c r="O104" s="229">
        <f t="shared" si="13"/>
        <v>11151.747433344613</v>
      </c>
      <c r="P104" s="207">
        <v>727</v>
      </c>
      <c r="Q104" s="205">
        <v>10024</v>
      </c>
      <c r="R104" s="272">
        <f t="shared" si="14"/>
        <v>3.4521948161974889E-2</v>
      </c>
      <c r="S104" s="269">
        <f t="shared" si="15"/>
        <v>817.43041540676245</v>
      </c>
      <c r="T104" s="269">
        <f t="shared" si="16"/>
        <v>11444.025815694675</v>
      </c>
      <c r="U104" s="207">
        <v>707</v>
      </c>
      <c r="V104" s="205">
        <v>10066</v>
      </c>
      <c r="W104" s="194">
        <f t="shared" si="17"/>
        <v>3.4096374931407554E-2</v>
      </c>
      <c r="X104" s="195">
        <f t="shared" si="18"/>
        <v>840.16166315518501</v>
      </c>
      <c r="Y104" s="201">
        <f t="shared" si="19"/>
        <v>11762.26328417259</v>
      </c>
      <c r="Z104" s="273">
        <f t="shared" si="20"/>
        <v>2454.1454666579912</v>
      </c>
      <c r="AA104" s="203">
        <f t="shared" si="20"/>
        <v>34358.036533211882</v>
      </c>
      <c r="AB104" s="203">
        <f t="shared" si="21"/>
        <v>818.04848888599702</v>
      </c>
      <c r="AC104" s="203">
        <f t="shared" si="21"/>
        <v>11452.678844403961</v>
      </c>
    </row>
    <row r="105" spans="1:29" s="169" customFormat="1" x14ac:dyDescent="0.6">
      <c r="A105" s="187">
        <v>54</v>
      </c>
      <c r="B105" s="152" t="s">
        <v>496</v>
      </c>
      <c r="C105" s="156" t="s">
        <v>497</v>
      </c>
      <c r="D105" s="153" t="s">
        <v>35</v>
      </c>
      <c r="E105" s="152" t="s">
        <v>215</v>
      </c>
      <c r="F105" s="204" t="s">
        <v>840</v>
      </c>
      <c r="G105" s="155" t="s">
        <v>496</v>
      </c>
      <c r="H105" s="155" t="s">
        <v>970</v>
      </c>
      <c r="I105" s="152" t="s">
        <v>971</v>
      </c>
      <c r="J105" s="165" t="s">
        <v>461</v>
      </c>
      <c r="K105" s="208">
        <v>185</v>
      </c>
      <c r="L105" s="209">
        <v>2530</v>
      </c>
      <c r="M105" s="271">
        <f t="shared" si="11"/>
        <v>7.0163567082471307E-3</v>
      </c>
      <c r="N105" s="229">
        <f t="shared" si="12"/>
        <v>189.44163112267256</v>
      </c>
      <c r="O105" s="229">
        <f t="shared" si="13"/>
        <v>2652.1828357174159</v>
      </c>
      <c r="P105" s="207">
        <v>248</v>
      </c>
      <c r="Q105" s="205">
        <v>3472</v>
      </c>
      <c r="R105" s="272">
        <f t="shared" si="14"/>
        <v>1.1957322827052754E-2</v>
      </c>
      <c r="S105" s="269">
        <f t="shared" si="15"/>
        <v>283.1323226548563</v>
      </c>
      <c r="T105" s="269">
        <f t="shared" si="16"/>
        <v>3963.852517167988</v>
      </c>
      <c r="U105" s="207">
        <v>180</v>
      </c>
      <c r="V105" s="205">
        <v>2520</v>
      </c>
      <c r="W105" s="194">
        <f t="shared" si="17"/>
        <v>8.5359492178767159E-3</v>
      </c>
      <c r="X105" s="195">
        <f t="shared" si="18"/>
        <v>210.33254432257758</v>
      </c>
      <c r="Y105" s="201">
        <f t="shared" si="19"/>
        <v>2944.6556205160859</v>
      </c>
      <c r="Z105" s="273">
        <f t="shared" si="20"/>
        <v>682.90649810010643</v>
      </c>
      <c r="AA105" s="203">
        <f t="shared" si="20"/>
        <v>9560.6909734014898</v>
      </c>
      <c r="AB105" s="203">
        <f t="shared" si="21"/>
        <v>227.63549936670213</v>
      </c>
      <c r="AC105" s="203">
        <f t="shared" si="21"/>
        <v>3186.8969911338299</v>
      </c>
    </row>
    <row r="106" spans="1:29" s="169" customFormat="1" x14ac:dyDescent="0.6">
      <c r="A106" s="187">
        <v>55</v>
      </c>
      <c r="B106" s="152" t="s">
        <v>498</v>
      </c>
      <c r="C106" s="156" t="s">
        <v>499</v>
      </c>
      <c r="D106" s="153" t="s">
        <v>35</v>
      </c>
      <c r="E106" s="152" t="s">
        <v>215</v>
      </c>
      <c r="F106" s="204" t="s">
        <v>840</v>
      </c>
      <c r="G106" s="155" t="s">
        <v>972</v>
      </c>
      <c r="H106" s="155" t="s">
        <v>973</v>
      </c>
      <c r="I106" s="152" t="s">
        <v>974</v>
      </c>
      <c r="J106" s="165" t="s">
        <v>461</v>
      </c>
      <c r="K106" s="208">
        <v>420</v>
      </c>
      <c r="L106" s="209">
        <v>6200</v>
      </c>
      <c r="M106" s="271">
        <f t="shared" si="11"/>
        <v>1.719423383048704E-2</v>
      </c>
      <c r="N106" s="229">
        <f t="shared" si="12"/>
        <v>464.24431342315017</v>
      </c>
      <c r="O106" s="229">
        <f t="shared" si="13"/>
        <v>6499.4203879241022</v>
      </c>
      <c r="P106" s="207">
        <v>490</v>
      </c>
      <c r="Q106" s="205">
        <v>7310</v>
      </c>
      <c r="R106" s="272">
        <f t="shared" si="14"/>
        <v>2.5175123809261415E-2</v>
      </c>
      <c r="S106" s="269">
        <f t="shared" si="15"/>
        <v>596.11096734072567</v>
      </c>
      <c r="T106" s="269">
        <f t="shared" si="16"/>
        <v>8345.5535427701598</v>
      </c>
      <c r="U106" s="207">
        <v>390</v>
      </c>
      <c r="V106" s="205">
        <v>5740</v>
      </c>
      <c r="W106" s="194">
        <f t="shared" si="17"/>
        <v>1.9442995440719188E-2</v>
      </c>
      <c r="X106" s="195">
        <f t="shared" si="18"/>
        <v>479.09079540142676</v>
      </c>
      <c r="Y106" s="201">
        <f t="shared" si="19"/>
        <v>6707.2711356199743</v>
      </c>
      <c r="Z106" s="273">
        <f t="shared" si="20"/>
        <v>1539.4460761653024</v>
      </c>
      <c r="AA106" s="203">
        <f t="shared" si="20"/>
        <v>21552.245066314237</v>
      </c>
      <c r="AB106" s="203">
        <f t="shared" si="21"/>
        <v>513.14869205510081</v>
      </c>
      <c r="AC106" s="203">
        <f t="shared" si="21"/>
        <v>7184.0816887714127</v>
      </c>
    </row>
    <row r="107" spans="1:29" s="169" customFormat="1" x14ac:dyDescent="0.6">
      <c r="A107" s="187">
        <v>56</v>
      </c>
      <c r="B107" s="152" t="s">
        <v>500</v>
      </c>
      <c r="C107" s="156" t="s">
        <v>501</v>
      </c>
      <c r="D107" s="153" t="s">
        <v>502</v>
      </c>
      <c r="E107" s="152" t="s">
        <v>215</v>
      </c>
      <c r="F107" s="204" t="s">
        <v>840</v>
      </c>
      <c r="G107" s="155" t="s">
        <v>975</v>
      </c>
      <c r="H107" s="155" t="s">
        <v>976</v>
      </c>
      <c r="I107" s="152" t="s">
        <v>977</v>
      </c>
      <c r="J107" s="165" t="s">
        <v>461</v>
      </c>
      <c r="K107" s="208">
        <v>52</v>
      </c>
      <c r="L107" s="209">
        <v>860</v>
      </c>
      <c r="M107" s="271">
        <f t="shared" si="11"/>
        <v>2.3850066280998155E-3</v>
      </c>
      <c r="N107" s="229">
        <f t="shared" si="12"/>
        <v>64.395178958695027</v>
      </c>
      <c r="O107" s="229">
        <f t="shared" si="13"/>
        <v>901.53250542173043</v>
      </c>
      <c r="P107" s="207">
        <v>55</v>
      </c>
      <c r="Q107" s="205">
        <v>840</v>
      </c>
      <c r="R107" s="272">
        <f t="shared" si="14"/>
        <v>2.8929006839643759E-3</v>
      </c>
      <c r="S107" s="269">
        <f t="shared" si="15"/>
        <v>68.499755481013622</v>
      </c>
      <c r="T107" s="269">
        <f t="shared" si="16"/>
        <v>958.99657673419063</v>
      </c>
      <c r="U107" s="207">
        <v>52</v>
      </c>
      <c r="V107" s="205">
        <v>850</v>
      </c>
      <c r="W107" s="194">
        <f t="shared" si="17"/>
        <v>2.8791892203155591E-3</v>
      </c>
      <c r="X107" s="195">
        <f t="shared" si="18"/>
        <v>70.945501061186889</v>
      </c>
      <c r="Y107" s="201">
        <f t="shared" si="19"/>
        <v>993.23701485661638</v>
      </c>
      <c r="Z107" s="273">
        <f t="shared" si="20"/>
        <v>203.84043550089555</v>
      </c>
      <c r="AA107" s="203">
        <f t="shared" si="20"/>
        <v>2853.7660970125376</v>
      </c>
      <c r="AB107" s="203">
        <f t="shared" si="21"/>
        <v>67.946811833631855</v>
      </c>
      <c r="AC107" s="203">
        <f t="shared" si="21"/>
        <v>951.25536567084589</v>
      </c>
    </row>
    <row r="108" spans="1:29" s="169" customFormat="1" x14ac:dyDescent="0.6">
      <c r="A108" s="187">
        <v>57</v>
      </c>
      <c r="B108" s="152" t="s">
        <v>503</v>
      </c>
      <c r="C108" s="156" t="s">
        <v>504</v>
      </c>
      <c r="D108" s="153" t="s">
        <v>472</v>
      </c>
      <c r="E108" s="162" t="s">
        <v>473</v>
      </c>
      <c r="F108" s="204" t="s">
        <v>840</v>
      </c>
      <c r="G108" s="210" t="s">
        <v>853</v>
      </c>
      <c r="H108" s="210" t="s">
        <v>853</v>
      </c>
      <c r="I108" s="152" t="s">
        <v>978</v>
      </c>
      <c r="J108" s="165" t="s">
        <v>461</v>
      </c>
      <c r="K108" s="208">
        <v>225</v>
      </c>
      <c r="L108" s="209">
        <v>3040</v>
      </c>
      <c r="M108" s="271">
        <f t="shared" si="11"/>
        <v>8.4307211039807428E-3</v>
      </c>
      <c r="N108" s="229">
        <f t="shared" si="12"/>
        <v>227.62946980748009</v>
      </c>
      <c r="O108" s="229">
        <f t="shared" si="13"/>
        <v>3186.8125773047213</v>
      </c>
      <c r="P108" s="207">
        <v>465</v>
      </c>
      <c r="Q108" s="205">
        <v>6340</v>
      </c>
      <c r="R108" s="272">
        <f t="shared" si="14"/>
        <v>2.1834512305159696E-2</v>
      </c>
      <c r="S108" s="269">
        <f t="shared" si="15"/>
        <v>517.01005922574564</v>
      </c>
      <c r="T108" s="269">
        <f t="shared" si="16"/>
        <v>7238.1408291604394</v>
      </c>
      <c r="U108" s="207">
        <v>296</v>
      </c>
      <c r="V108" s="205">
        <v>4100</v>
      </c>
      <c r="W108" s="194">
        <f t="shared" si="17"/>
        <v>1.3887853886227991E-2</v>
      </c>
      <c r="X108" s="195">
        <f t="shared" si="18"/>
        <v>342.20771100101911</v>
      </c>
      <c r="Y108" s="201">
        <f t="shared" si="19"/>
        <v>4790.9079540142675</v>
      </c>
      <c r="Z108" s="273">
        <f t="shared" si="20"/>
        <v>1086.8472400342448</v>
      </c>
      <c r="AA108" s="203">
        <f t="shared" si="20"/>
        <v>15215.861360479426</v>
      </c>
      <c r="AB108" s="203">
        <f t="shared" si="21"/>
        <v>362.28241334474825</v>
      </c>
      <c r="AC108" s="203">
        <f t="shared" si="21"/>
        <v>5071.9537868264752</v>
      </c>
    </row>
    <row r="109" spans="1:29" s="169" customFormat="1" x14ac:dyDescent="0.6">
      <c r="A109" s="187">
        <v>58</v>
      </c>
      <c r="B109" s="152" t="s">
        <v>505</v>
      </c>
      <c r="C109" s="156" t="s">
        <v>506</v>
      </c>
      <c r="D109" s="153" t="s">
        <v>507</v>
      </c>
      <c r="E109" s="152" t="s">
        <v>508</v>
      </c>
      <c r="F109" s="204" t="s">
        <v>840</v>
      </c>
      <c r="G109" s="155" t="s">
        <v>979</v>
      </c>
      <c r="H109" s="155" t="s">
        <v>980</v>
      </c>
      <c r="I109" s="152" t="s">
        <v>981</v>
      </c>
      <c r="J109" s="165" t="s">
        <v>461</v>
      </c>
      <c r="K109" s="208">
        <v>148</v>
      </c>
      <c r="L109" s="209">
        <v>2362</v>
      </c>
      <c r="M109" s="271">
        <f t="shared" si="11"/>
        <v>6.5504484367113532E-3</v>
      </c>
      <c r="N109" s="229">
        <f t="shared" si="12"/>
        <v>176.86210779120657</v>
      </c>
      <c r="O109" s="229">
        <f t="shared" si="13"/>
        <v>2476.0695090768918</v>
      </c>
      <c r="P109" s="207">
        <v>161</v>
      </c>
      <c r="Q109" s="205">
        <v>2324</v>
      </c>
      <c r="R109" s="272">
        <f t="shared" si="14"/>
        <v>8.0036918923014396E-3</v>
      </c>
      <c r="S109" s="269">
        <f t="shared" si="15"/>
        <v>189.51599016413766</v>
      </c>
      <c r="T109" s="269">
        <f t="shared" si="16"/>
        <v>2653.2238622979271</v>
      </c>
      <c r="U109" s="207">
        <v>65</v>
      </c>
      <c r="V109" s="205">
        <v>786</v>
      </c>
      <c r="W109" s="194">
        <f t="shared" si="17"/>
        <v>2.662403208432976E-3</v>
      </c>
      <c r="X109" s="195">
        <f t="shared" si="18"/>
        <v>65.603722157756351</v>
      </c>
      <c r="Y109" s="201">
        <f t="shared" si="19"/>
        <v>918.45211020858892</v>
      </c>
      <c r="Z109" s="273">
        <f t="shared" si="20"/>
        <v>431.98182011310058</v>
      </c>
      <c r="AA109" s="203">
        <f t="shared" si="20"/>
        <v>6047.745481583408</v>
      </c>
      <c r="AB109" s="203">
        <f t="shared" si="21"/>
        <v>143.99394003770018</v>
      </c>
      <c r="AC109" s="203">
        <f t="shared" si="21"/>
        <v>2015.9151605278028</v>
      </c>
    </row>
    <row r="110" spans="1:29" s="169" customFormat="1" x14ac:dyDescent="0.6">
      <c r="A110" s="187">
        <v>59</v>
      </c>
      <c r="B110" s="152" t="s">
        <v>378</v>
      </c>
      <c r="C110" s="156" t="s">
        <v>379</v>
      </c>
      <c r="D110" s="153" t="s">
        <v>509</v>
      </c>
      <c r="E110" s="152" t="s">
        <v>510</v>
      </c>
      <c r="F110" s="204" t="s">
        <v>840</v>
      </c>
      <c r="G110" s="155" t="s">
        <v>982</v>
      </c>
      <c r="H110" s="155" t="s">
        <v>983</v>
      </c>
      <c r="I110" s="152" t="s">
        <v>984</v>
      </c>
      <c r="J110" s="165" t="s">
        <v>461</v>
      </c>
      <c r="K110" s="208">
        <v>388</v>
      </c>
      <c r="L110" s="209">
        <v>5066</v>
      </c>
      <c r="M110" s="271">
        <f t="shared" si="11"/>
        <v>1.4049352997620539E-2</v>
      </c>
      <c r="N110" s="229">
        <f t="shared" si="12"/>
        <v>379.33253093575462</v>
      </c>
      <c r="O110" s="229">
        <f t="shared" si="13"/>
        <v>5310.6554331005646</v>
      </c>
      <c r="P110" s="207">
        <v>472</v>
      </c>
      <c r="Q110" s="205">
        <v>6280</v>
      </c>
      <c r="R110" s="272">
        <f t="shared" si="14"/>
        <v>2.1627876542019382E-2</v>
      </c>
      <c r="S110" s="269">
        <f t="shared" si="15"/>
        <v>512.11721954853033</v>
      </c>
      <c r="T110" s="269">
        <f t="shared" si="16"/>
        <v>7169.6410736794251</v>
      </c>
      <c r="U110" s="207">
        <v>512</v>
      </c>
      <c r="V110" s="205">
        <v>6806</v>
      </c>
      <c r="W110" s="194">
        <f t="shared" si="17"/>
        <v>2.3053837451138464E-2</v>
      </c>
      <c r="X110" s="195">
        <f t="shared" si="18"/>
        <v>568.06480026169163</v>
      </c>
      <c r="Y110" s="201">
        <f t="shared" si="19"/>
        <v>7952.9072036636835</v>
      </c>
      <c r="Z110" s="273">
        <f t="shared" si="20"/>
        <v>1459.5145507459765</v>
      </c>
      <c r="AA110" s="203">
        <f t="shared" si="20"/>
        <v>20433.203710443671</v>
      </c>
      <c r="AB110" s="203">
        <f t="shared" si="21"/>
        <v>486.50485024865884</v>
      </c>
      <c r="AC110" s="203">
        <f t="shared" si="21"/>
        <v>6811.0679034812238</v>
      </c>
    </row>
    <row r="111" spans="1:29" s="169" customFormat="1" x14ac:dyDescent="0.6">
      <c r="A111" s="187">
        <v>60</v>
      </c>
      <c r="B111" s="152" t="s">
        <v>511</v>
      </c>
      <c r="C111" s="156" t="s">
        <v>512</v>
      </c>
      <c r="D111" s="153" t="s">
        <v>30</v>
      </c>
      <c r="E111" s="152" t="s">
        <v>513</v>
      </c>
      <c r="F111" s="204" t="s">
        <v>840</v>
      </c>
      <c r="G111" s="155" t="s">
        <v>985</v>
      </c>
      <c r="H111" s="155" t="s">
        <v>986</v>
      </c>
      <c r="I111" s="152" t="s">
        <v>987</v>
      </c>
      <c r="J111" s="165" t="s">
        <v>461</v>
      </c>
      <c r="K111" s="208">
        <v>150</v>
      </c>
      <c r="L111" s="209">
        <v>3260</v>
      </c>
      <c r="M111" s="271">
        <f t="shared" si="11"/>
        <v>9.040839078610927E-3</v>
      </c>
      <c r="N111" s="229">
        <f t="shared" si="12"/>
        <v>244.10265512249507</v>
      </c>
      <c r="O111" s="229">
        <f t="shared" si="13"/>
        <v>3417.4371717149311</v>
      </c>
      <c r="P111" s="207">
        <v>160</v>
      </c>
      <c r="Q111" s="205">
        <v>3030</v>
      </c>
      <c r="R111" s="272">
        <f t="shared" si="14"/>
        <v>1.0435106038585785E-2</v>
      </c>
      <c r="S111" s="269">
        <f t="shared" si="15"/>
        <v>247.08840369937056</v>
      </c>
      <c r="T111" s="269">
        <f t="shared" si="16"/>
        <v>3459.237651791188</v>
      </c>
      <c r="U111" s="207">
        <v>150</v>
      </c>
      <c r="V111" s="205">
        <v>2760</v>
      </c>
      <c r="W111" s="194">
        <f t="shared" si="17"/>
        <v>9.3488967624364046E-3</v>
      </c>
      <c r="X111" s="195">
        <f t="shared" si="18"/>
        <v>230.36421521044215</v>
      </c>
      <c r="Y111" s="201">
        <f t="shared" si="19"/>
        <v>3225.0990129461902</v>
      </c>
      <c r="Z111" s="273">
        <f t="shared" si="20"/>
        <v>721.55527403230781</v>
      </c>
      <c r="AA111" s="203">
        <f t="shared" si="20"/>
        <v>10101.773836452308</v>
      </c>
      <c r="AB111" s="203">
        <f t="shared" si="21"/>
        <v>240.51842467743595</v>
      </c>
      <c r="AC111" s="203">
        <f t="shared" si="21"/>
        <v>3367.2579454841029</v>
      </c>
    </row>
    <row r="112" spans="1:29" s="169" customFormat="1" x14ac:dyDescent="0.6">
      <c r="A112" s="187">
        <v>61</v>
      </c>
      <c r="B112" s="152" t="s">
        <v>514</v>
      </c>
      <c r="C112" s="156" t="s">
        <v>515</v>
      </c>
      <c r="D112" s="153" t="s">
        <v>516</v>
      </c>
      <c r="E112" s="152" t="s">
        <v>517</v>
      </c>
      <c r="F112" s="204" t="s">
        <v>840</v>
      </c>
      <c r="G112" s="155" t="s">
        <v>514</v>
      </c>
      <c r="H112" s="155" t="s">
        <v>988</v>
      </c>
      <c r="I112" s="152" t="s">
        <v>989</v>
      </c>
      <c r="J112" s="165" t="s">
        <v>461</v>
      </c>
      <c r="K112" s="208">
        <v>80</v>
      </c>
      <c r="L112" s="209">
        <v>1060</v>
      </c>
      <c r="M112" s="271">
        <f t="shared" si="11"/>
        <v>2.9396593323090746E-3</v>
      </c>
      <c r="N112" s="229">
        <f t="shared" si="12"/>
        <v>79.370801972345021</v>
      </c>
      <c r="O112" s="229">
        <f t="shared" si="13"/>
        <v>1111.1912276128303</v>
      </c>
      <c r="P112" s="207">
        <v>90</v>
      </c>
      <c r="Q112" s="205">
        <v>1390</v>
      </c>
      <c r="R112" s="272">
        <f t="shared" si="14"/>
        <v>4.7870618460839082E-3</v>
      </c>
      <c r="S112" s="269">
        <f t="shared" si="15"/>
        <v>113.35078585548683</v>
      </c>
      <c r="T112" s="269">
        <f t="shared" si="16"/>
        <v>1586.9110019768157</v>
      </c>
      <c r="U112" s="207">
        <v>135</v>
      </c>
      <c r="V112" s="205">
        <v>1760</v>
      </c>
      <c r="W112" s="194">
        <f t="shared" si="17"/>
        <v>5.9616153267710399E-3</v>
      </c>
      <c r="X112" s="195">
        <f t="shared" si="18"/>
        <v>146.8989198443399</v>
      </c>
      <c r="Y112" s="201">
        <f t="shared" si="19"/>
        <v>2056.5848778207587</v>
      </c>
      <c r="Z112" s="273">
        <f t="shared" si="20"/>
        <v>339.62050767217175</v>
      </c>
      <c r="AA112" s="203">
        <f t="shared" si="20"/>
        <v>4754.6871074104047</v>
      </c>
      <c r="AB112" s="203">
        <f t="shared" si="21"/>
        <v>113.20683589072392</v>
      </c>
      <c r="AC112" s="203">
        <f t="shared" si="21"/>
        <v>1584.8957024701349</v>
      </c>
    </row>
    <row r="113" spans="1:29" s="169" customFormat="1" x14ac:dyDescent="0.6">
      <c r="A113" s="187">
        <v>62</v>
      </c>
      <c r="B113" s="152" t="s">
        <v>518</v>
      </c>
      <c r="C113" s="156" t="s">
        <v>518</v>
      </c>
      <c r="D113" s="153" t="s">
        <v>516</v>
      </c>
      <c r="E113" s="152" t="s">
        <v>517</v>
      </c>
      <c r="F113" s="204" t="s">
        <v>840</v>
      </c>
      <c r="G113" s="155" t="s">
        <v>990</v>
      </c>
      <c r="H113" s="155" t="s">
        <v>991</v>
      </c>
      <c r="I113" s="152" t="s">
        <v>992</v>
      </c>
      <c r="J113" s="165" t="s">
        <v>461</v>
      </c>
      <c r="K113" s="208">
        <v>150</v>
      </c>
      <c r="L113" s="209">
        <v>2000</v>
      </c>
      <c r="M113" s="271">
        <f t="shared" si="11"/>
        <v>5.546527042092594E-3</v>
      </c>
      <c r="N113" s="229">
        <f t="shared" si="12"/>
        <v>149.75623013650008</v>
      </c>
      <c r="O113" s="229">
        <f t="shared" si="13"/>
        <v>2096.5872219110011</v>
      </c>
      <c r="P113" s="207">
        <v>110</v>
      </c>
      <c r="Q113" s="205">
        <v>1700</v>
      </c>
      <c r="R113" s="272">
        <f t="shared" si="14"/>
        <v>5.8546799556421893E-3</v>
      </c>
      <c r="S113" s="269">
        <f t="shared" si="15"/>
        <v>138.63045752109898</v>
      </c>
      <c r="T113" s="269">
        <f t="shared" si="16"/>
        <v>1940.8264052953857</v>
      </c>
      <c r="U113" s="207">
        <v>140</v>
      </c>
      <c r="V113" s="205">
        <v>2100</v>
      </c>
      <c r="W113" s="194">
        <f t="shared" si="17"/>
        <v>7.1132910148972639E-3</v>
      </c>
      <c r="X113" s="195">
        <f t="shared" si="18"/>
        <v>175.27712026881468</v>
      </c>
      <c r="Y113" s="201">
        <f t="shared" si="19"/>
        <v>2453.8796837634054</v>
      </c>
      <c r="Z113" s="273">
        <f t="shared" si="20"/>
        <v>463.66380792641371</v>
      </c>
      <c r="AA113" s="203">
        <f t="shared" si="20"/>
        <v>6491.2933109697924</v>
      </c>
      <c r="AB113" s="203">
        <f t="shared" si="21"/>
        <v>154.55460264213789</v>
      </c>
      <c r="AC113" s="203">
        <f t="shared" si="21"/>
        <v>2163.7644369899308</v>
      </c>
    </row>
    <row r="114" spans="1:29" s="169" customFormat="1" x14ac:dyDescent="0.6">
      <c r="A114" s="187">
        <v>63</v>
      </c>
      <c r="B114" s="152" t="s">
        <v>519</v>
      </c>
      <c r="C114" s="156" t="s">
        <v>520</v>
      </c>
      <c r="D114" s="153" t="s">
        <v>516</v>
      </c>
      <c r="E114" s="152" t="s">
        <v>517</v>
      </c>
      <c r="F114" s="204" t="s">
        <v>840</v>
      </c>
      <c r="G114" s="155" t="s">
        <v>993</v>
      </c>
      <c r="H114" s="155" t="s">
        <v>994</v>
      </c>
      <c r="I114" s="152" t="s">
        <v>995</v>
      </c>
      <c r="J114" s="165" t="s">
        <v>461</v>
      </c>
      <c r="K114" s="208">
        <v>150</v>
      </c>
      <c r="L114" s="209">
        <v>2080</v>
      </c>
      <c r="M114" s="271">
        <f t="shared" si="11"/>
        <v>5.7683881237762975E-3</v>
      </c>
      <c r="N114" s="229">
        <f t="shared" si="12"/>
        <v>155.74647934196005</v>
      </c>
      <c r="O114" s="229">
        <f t="shared" si="13"/>
        <v>2180.4507107874406</v>
      </c>
      <c r="P114" s="207">
        <v>128</v>
      </c>
      <c r="Q114" s="205">
        <v>1980</v>
      </c>
      <c r="R114" s="272">
        <f t="shared" si="14"/>
        <v>6.8189801836303146E-3</v>
      </c>
      <c r="S114" s="269">
        <f t="shared" si="15"/>
        <v>161.46370934810352</v>
      </c>
      <c r="T114" s="269">
        <f t="shared" si="16"/>
        <v>2260.4919308734493</v>
      </c>
      <c r="U114" s="207">
        <v>210</v>
      </c>
      <c r="V114" s="205">
        <v>3010</v>
      </c>
      <c r="W114" s="194">
        <f t="shared" si="17"/>
        <v>1.0195717121352746E-2</v>
      </c>
      <c r="X114" s="195">
        <f t="shared" si="18"/>
        <v>251.2305390519677</v>
      </c>
      <c r="Y114" s="201">
        <f t="shared" si="19"/>
        <v>3517.2275467275476</v>
      </c>
      <c r="Z114" s="273">
        <f t="shared" si="20"/>
        <v>568.44072774203119</v>
      </c>
      <c r="AA114" s="203">
        <f t="shared" si="20"/>
        <v>7958.1701883884371</v>
      </c>
      <c r="AB114" s="203">
        <f t="shared" si="21"/>
        <v>189.48024258067707</v>
      </c>
      <c r="AC114" s="203">
        <f t="shared" si="21"/>
        <v>2652.7233961294792</v>
      </c>
    </row>
    <row r="115" spans="1:29" s="169" customFormat="1" x14ac:dyDescent="0.6">
      <c r="A115" s="187">
        <v>64</v>
      </c>
      <c r="B115" s="152" t="s">
        <v>521</v>
      </c>
      <c r="C115" s="156" t="s">
        <v>522</v>
      </c>
      <c r="D115" s="153" t="s">
        <v>516</v>
      </c>
      <c r="E115" s="152" t="s">
        <v>517</v>
      </c>
      <c r="F115" s="204" t="s">
        <v>840</v>
      </c>
      <c r="G115" s="155" t="s">
        <v>996</v>
      </c>
      <c r="H115" s="155" t="s">
        <v>997</v>
      </c>
      <c r="I115" s="152" t="s">
        <v>998</v>
      </c>
      <c r="J115" s="165" t="s">
        <v>461</v>
      </c>
      <c r="K115" s="208">
        <v>390</v>
      </c>
      <c r="L115" s="209">
        <v>5600</v>
      </c>
      <c r="M115" s="271">
        <f t="shared" si="11"/>
        <v>1.5530275717859263E-2</v>
      </c>
      <c r="N115" s="229">
        <f t="shared" si="12"/>
        <v>419.31744438220022</v>
      </c>
      <c r="O115" s="229">
        <f t="shared" si="13"/>
        <v>5870.4442213508028</v>
      </c>
      <c r="P115" s="207">
        <v>360</v>
      </c>
      <c r="Q115" s="205">
        <v>5180</v>
      </c>
      <c r="R115" s="272">
        <f t="shared" si="14"/>
        <v>1.7839554217780319E-2</v>
      </c>
      <c r="S115" s="269">
        <f t="shared" si="15"/>
        <v>422.41515879958393</v>
      </c>
      <c r="T115" s="269">
        <f t="shared" si="16"/>
        <v>5913.8122231941752</v>
      </c>
      <c r="U115" s="207">
        <v>350</v>
      </c>
      <c r="V115" s="205">
        <v>4720</v>
      </c>
      <c r="W115" s="194">
        <f t="shared" si="17"/>
        <v>1.5987968376340516E-2</v>
      </c>
      <c r="X115" s="195">
        <f t="shared" si="18"/>
        <v>393.95619412800249</v>
      </c>
      <c r="Y115" s="201">
        <f t="shared" si="19"/>
        <v>5515.3867177920347</v>
      </c>
      <c r="Z115" s="273">
        <f t="shared" si="20"/>
        <v>1235.6887973097867</v>
      </c>
      <c r="AA115" s="203">
        <f t="shared" si="20"/>
        <v>17299.643162337015</v>
      </c>
      <c r="AB115" s="203">
        <f t="shared" si="21"/>
        <v>411.8962657699289</v>
      </c>
      <c r="AC115" s="203">
        <f t="shared" si="21"/>
        <v>5766.5477207790054</v>
      </c>
    </row>
    <row r="116" spans="1:29" s="169" customFormat="1" x14ac:dyDescent="0.6">
      <c r="A116" s="187">
        <v>65</v>
      </c>
      <c r="B116" s="152" t="s">
        <v>523</v>
      </c>
      <c r="C116" s="156" t="s">
        <v>524</v>
      </c>
      <c r="D116" s="153" t="s">
        <v>18</v>
      </c>
      <c r="E116" s="152" t="s">
        <v>167</v>
      </c>
      <c r="F116" s="204" t="s">
        <v>840</v>
      </c>
      <c r="G116" s="155" t="s">
        <v>999</v>
      </c>
      <c r="H116" s="155" t="s">
        <v>1000</v>
      </c>
      <c r="I116" s="152" t="s">
        <v>1001</v>
      </c>
      <c r="J116" s="165" t="s">
        <v>461</v>
      </c>
      <c r="K116" s="208">
        <v>120</v>
      </c>
      <c r="L116" s="209">
        <v>1440</v>
      </c>
      <c r="M116" s="271">
        <f t="shared" si="11"/>
        <v>3.9934994703066671E-3</v>
      </c>
      <c r="N116" s="229">
        <f t="shared" si="12"/>
        <v>107.82448569828003</v>
      </c>
      <c r="O116" s="229">
        <f t="shared" si="13"/>
        <v>1509.5427997759205</v>
      </c>
      <c r="P116" s="207">
        <v>45</v>
      </c>
      <c r="Q116" s="205">
        <v>540</v>
      </c>
      <c r="R116" s="272">
        <f t="shared" si="14"/>
        <v>1.8597218682628132E-3</v>
      </c>
      <c r="S116" s="269">
        <f t="shared" si="15"/>
        <v>44.035557094937325</v>
      </c>
      <c r="T116" s="269">
        <f t="shared" si="16"/>
        <v>616.49779932912259</v>
      </c>
      <c r="U116" s="207"/>
      <c r="V116" s="205"/>
      <c r="W116" s="194">
        <f t="shared" si="17"/>
        <v>0</v>
      </c>
      <c r="X116" s="195">
        <f t="shared" si="18"/>
        <v>0</v>
      </c>
      <c r="Y116" s="201">
        <f t="shared" si="19"/>
        <v>0</v>
      </c>
      <c r="Z116" s="273">
        <f t="shared" si="20"/>
        <v>151.86004279321736</v>
      </c>
      <c r="AA116" s="203">
        <f t="shared" si="20"/>
        <v>2126.0405991050429</v>
      </c>
      <c r="AB116" s="203">
        <f t="shared" si="21"/>
        <v>50.620014264405789</v>
      </c>
      <c r="AC116" s="203">
        <f t="shared" si="21"/>
        <v>708.68019970168098</v>
      </c>
    </row>
    <row r="117" spans="1:29" s="169" customFormat="1" x14ac:dyDescent="0.6">
      <c r="A117" s="187">
        <v>66</v>
      </c>
      <c r="B117" s="152" t="s">
        <v>525</v>
      </c>
      <c r="C117" s="156" t="s">
        <v>526</v>
      </c>
      <c r="D117" s="153" t="s">
        <v>18</v>
      </c>
      <c r="E117" s="152" t="s">
        <v>167</v>
      </c>
      <c r="F117" s="204" t="s">
        <v>840</v>
      </c>
      <c r="G117" s="155" t="s">
        <v>1002</v>
      </c>
      <c r="H117" s="155" t="s">
        <v>1003</v>
      </c>
      <c r="I117" s="152" t="s">
        <v>1004</v>
      </c>
      <c r="J117" s="165" t="s">
        <v>461</v>
      </c>
      <c r="K117" s="208">
        <v>15</v>
      </c>
      <c r="L117" s="209">
        <v>180</v>
      </c>
      <c r="M117" s="271">
        <f t="shared" ref="M117:M148" si="22">L117/$L$149</f>
        <v>4.9918743378833338E-4</v>
      </c>
      <c r="N117" s="229">
        <f t="shared" ref="N117:N151" si="23">O117/14</f>
        <v>13.478060712285004</v>
      </c>
      <c r="O117" s="229">
        <f t="shared" ref="O117:O151" si="24">M117*$N$51</f>
        <v>188.69284997199006</v>
      </c>
      <c r="P117" s="207">
        <v>30</v>
      </c>
      <c r="Q117" s="205">
        <v>360</v>
      </c>
      <c r="R117" s="272">
        <f t="shared" ref="R117:R149" si="25">Q117/$Q$149</f>
        <v>1.2398145788418754E-3</v>
      </c>
      <c r="S117" s="269">
        <f t="shared" ref="S117:S149" si="26">T117/14</f>
        <v>29.357038063291551</v>
      </c>
      <c r="T117" s="269">
        <f t="shared" ref="T117:T149" si="27">R117*$S$51</f>
        <v>410.9985328860817</v>
      </c>
      <c r="U117" s="207">
        <v>30</v>
      </c>
      <c r="V117" s="205">
        <v>360</v>
      </c>
      <c r="W117" s="194">
        <f t="shared" ref="W117:W149" si="28">V117/$V$149</f>
        <v>1.219421316839531E-3</v>
      </c>
      <c r="X117" s="195">
        <f t="shared" ref="X117:X149" si="29">Y117/14</f>
        <v>30.0475063317968</v>
      </c>
      <c r="Y117" s="201">
        <f t="shared" ref="Y117:Y149" si="30">W117*$X$51</f>
        <v>420.66508864515521</v>
      </c>
      <c r="Z117" s="273">
        <f t="shared" ref="Z117:AA149" si="31">N117+S117+X117</f>
        <v>72.882605107373351</v>
      </c>
      <c r="AA117" s="203">
        <f t="shared" si="31"/>
        <v>1020.3564715032269</v>
      </c>
      <c r="AB117" s="203">
        <f t="shared" ref="AB117:AC149" si="32">Z117/3</f>
        <v>24.294201702457784</v>
      </c>
      <c r="AC117" s="203">
        <f t="shared" si="32"/>
        <v>340.11882383440894</v>
      </c>
    </row>
    <row r="118" spans="1:29" s="169" customFormat="1" x14ac:dyDescent="0.6">
      <c r="A118" s="187">
        <v>67</v>
      </c>
      <c r="B118" s="152" t="s">
        <v>527</v>
      </c>
      <c r="C118" s="156" t="s">
        <v>528</v>
      </c>
      <c r="D118" s="153" t="s">
        <v>18</v>
      </c>
      <c r="E118" s="152" t="s">
        <v>167</v>
      </c>
      <c r="F118" s="204" t="s">
        <v>840</v>
      </c>
      <c r="G118" s="155" t="s">
        <v>1005</v>
      </c>
      <c r="H118" s="155" t="s">
        <v>1006</v>
      </c>
      <c r="I118" s="152" t="s">
        <v>1007</v>
      </c>
      <c r="J118" s="165" t="s">
        <v>461</v>
      </c>
      <c r="K118" s="208">
        <v>0</v>
      </c>
      <c r="L118" s="209">
        <v>0</v>
      </c>
      <c r="M118" s="271">
        <f t="shared" si="22"/>
        <v>0</v>
      </c>
      <c r="N118" s="229">
        <f t="shared" si="23"/>
        <v>0</v>
      </c>
      <c r="O118" s="229">
        <f t="shared" si="24"/>
        <v>0</v>
      </c>
      <c r="P118" s="207">
        <v>32</v>
      </c>
      <c r="Q118" s="205">
        <v>468</v>
      </c>
      <c r="R118" s="272">
        <f t="shared" si="25"/>
        <v>1.611758952494438E-3</v>
      </c>
      <c r="S118" s="269">
        <f t="shared" si="26"/>
        <v>38.164149482279015</v>
      </c>
      <c r="T118" s="269">
        <f t="shared" si="27"/>
        <v>534.29809275190621</v>
      </c>
      <c r="U118" s="207"/>
      <c r="V118" s="205"/>
      <c r="W118" s="194">
        <f t="shared" si="28"/>
        <v>0</v>
      </c>
      <c r="X118" s="195">
        <f t="shared" si="29"/>
        <v>0</v>
      </c>
      <c r="Y118" s="201">
        <f t="shared" si="30"/>
        <v>0</v>
      </c>
      <c r="Z118" s="273">
        <f t="shared" si="31"/>
        <v>38.164149482279015</v>
      </c>
      <c r="AA118" s="203">
        <f t="shared" si="31"/>
        <v>534.29809275190621</v>
      </c>
      <c r="AB118" s="203">
        <f t="shared" si="32"/>
        <v>12.721383160759672</v>
      </c>
      <c r="AC118" s="203">
        <f t="shared" si="32"/>
        <v>178.0993642506354</v>
      </c>
    </row>
    <row r="119" spans="1:29" s="169" customFormat="1" x14ac:dyDescent="0.6">
      <c r="A119" s="187">
        <v>68</v>
      </c>
      <c r="B119" s="152" t="s">
        <v>529</v>
      </c>
      <c r="C119" s="156" t="s">
        <v>530</v>
      </c>
      <c r="D119" s="153" t="s">
        <v>18</v>
      </c>
      <c r="E119" s="152" t="s">
        <v>167</v>
      </c>
      <c r="F119" s="204" t="s">
        <v>840</v>
      </c>
      <c r="G119" s="155" t="s">
        <v>529</v>
      </c>
      <c r="H119" s="155" t="s">
        <v>530</v>
      </c>
      <c r="I119" s="152" t="s">
        <v>1008</v>
      </c>
      <c r="J119" s="165" t="s">
        <v>461</v>
      </c>
      <c r="K119" s="208">
        <v>50</v>
      </c>
      <c r="L119" s="209">
        <v>700</v>
      </c>
      <c r="M119" s="271">
        <f t="shared" si="22"/>
        <v>1.9412844647324079E-3</v>
      </c>
      <c r="N119" s="229">
        <f t="shared" si="23"/>
        <v>52.414680547775028</v>
      </c>
      <c r="O119" s="229">
        <f t="shared" si="24"/>
        <v>733.80552766885035</v>
      </c>
      <c r="P119" s="207">
        <v>100</v>
      </c>
      <c r="Q119" s="205">
        <v>1400</v>
      </c>
      <c r="R119" s="272">
        <f t="shared" si="25"/>
        <v>4.8215011399406265E-3</v>
      </c>
      <c r="S119" s="269">
        <f t="shared" si="26"/>
        <v>114.16625913502268</v>
      </c>
      <c r="T119" s="269">
        <f t="shared" si="27"/>
        <v>1598.3276278903177</v>
      </c>
      <c r="U119" s="207">
        <v>50</v>
      </c>
      <c r="V119" s="205">
        <v>700</v>
      </c>
      <c r="W119" s="194">
        <f t="shared" si="28"/>
        <v>2.3710970049657548E-3</v>
      </c>
      <c r="X119" s="195">
        <f t="shared" si="29"/>
        <v>58.425706756271559</v>
      </c>
      <c r="Y119" s="201">
        <f t="shared" si="30"/>
        <v>817.95989458780184</v>
      </c>
      <c r="Z119" s="273">
        <f t="shared" si="31"/>
        <v>225.00664643906927</v>
      </c>
      <c r="AA119" s="203">
        <f t="shared" si="31"/>
        <v>3150.0930501469697</v>
      </c>
      <c r="AB119" s="203">
        <f t="shared" si="32"/>
        <v>75.002215479689752</v>
      </c>
      <c r="AC119" s="203">
        <f t="shared" si="32"/>
        <v>1050.0310167156565</v>
      </c>
    </row>
    <row r="120" spans="1:29" s="169" customFormat="1" x14ac:dyDescent="0.6">
      <c r="A120" s="187">
        <v>69</v>
      </c>
      <c r="B120" s="152" t="s">
        <v>531</v>
      </c>
      <c r="C120" s="156" t="s">
        <v>532</v>
      </c>
      <c r="D120" s="153" t="s">
        <v>18</v>
      </c>
      <c r="E120" s="152" t="s">
        <v>167</v>
      </c>
      <c r="F120" s="204" t="s">
        <v>840</v>
      </c>
      <c r="G120" s="155" t="s">
        <v>531</v>
      </c>
      <c r="H120" s="155" t="s">
        <v>532</v>
      </c>
      <c r="I120" s="152" t="s">
        <v>1009</v>
      </c>
      <c r="J120" s="165" t="s">
        <v>461</v>
      </c>
      <c r="K120" s="208">
        <v>105</v>
      </c>
      <c r="L120" s="209">
        <v>1460</v>
      </c>
      <c r="M120" s="271">
        <f t="shared" si="22"/>
        <v>4.0489647407275934E-3</v>
      </c>
      <c r="N120" s="229">
        <f t="shared" si="23"/>
        <v>109.32204799964504</v>
      </c>
      <c r="O120" s="229">
        <f t="shared" si="24"/>
        <v>1530.5086719950305</v>
      </c>
      <c r="P120" s="207">
        <v>96</v>
      </c>
      <c r="Q120" s="205">
        <v>1322</v>
      </c>
      <c r="R120" s="272">
        <f t="shared" si="25"/>
        <v>4.5528746478582204E-3</v>
      </c>
      <c r="S120" s="269">
        <f t="shared" si="26"/>
        <v>107.80556755464286</v>
      </c>
      <c r="T120" s="269">
        <f t="shared" si="27"/>
        <v>1509.2779457650001</v>
      </c>
      <c r="U120" s="207">
        <v>132</v>
      </c>
      <c r="V120" s="205">
        <v>1814</v>
      </c>
      <c r="W120" s="194">
        <f t="shared" si="28"/>
        <v>6.1445285242969694E-3</v>
      </c>
      <c r="X120" s="195">
        <f t="shared" si="29"/>
        <v>151.40604579410942</v>
      </c>
      <c r="Y120" s="201">
        <f t="shared" si="30"/>
        <v>2119.684641117532</v>
      </c>
      <c r="Z120" s="273">
        <f t="shared" si="31"/>
        <v>368.53366134839735</v>
      </c>
      <c r="AA120" s="203">
        <f t="shared" si="31"/>
        <v>5159.4712588775628</v>
      </c>
      <c r="AB120" s="203">
        <f t="shared" si="32"/>
        <v>122.84455378279911</v>
      </c>
      <c r="AC120" s="203">
        <f t="shared" si="32"/>
        <v>1719.8237529591877</v>
      </c>
    </row>
    <row r="121" spans="1:29" s="169" customFormat="1" x14ac:dyDescent="0.6">
      <c r="A121" s="187">
        <v>70</v>
      </c>
      <c r="B121" s="152" t="s">
        <v>533</v>
      </c>
      <c r="C121" s="156" t="s">
        <v>534</v>
      </c>
      <c r="D121" s="153" t="s">
        <v>18</v>
      </c>
      <c r="E121" s="152" t="s">
        <v>167</v>
      </c>
      <c r="F121" s="204" t="s">
        <v>840</v>
      </c>
      <c r="G121" s="155" t="s">
        <v>1010</v>
      </c>
      <c r="H121" s="155" t="s">
        <v>1011</v>
      </c>
      <c r="I121" s="152" t="s">
        <v>1012</v>
      </c>
      <c r="J121" s="165" t="s">
        <v>461</v>
      </c>
      <c r="K121" s="208">
        <v>0</v>
      </c>
      <c r="L121" s="209">
        <v>0</v>
      </c>
      <c r="M121" s="271">
        <f t="shared" si="22"/>
        <v>0</v>
      </c>
      <c r="N121" s="229">
        <f t="shared" si="23"/>
        <v>0</v>
      </c>
      <c r="O121" s="229">
        <f t="shared" si="24"/>
        <v>0</v>
      </c>
      <c r="P121" s="207">
        <v>0</v>
      </c>
      <c r="Q121" s="205">
        <v>0</v>
      </c>
      <c r="R121" s="272">
        <f t="shared" si="25"/>
        <v>0</v>
      </c>
      <c r="S121" s="269">
        <f t="shared" si="26"/>
        <v>0</v>
      </c>
      <c r="T121" s="269">
        <f t="shared" si="27"/>
        <v>0</v>
      </c>
      <c r="U121" s="207"/>
      <c r="V121" s="205"/>
      <c r="W121" s="194">
        <f t="shared" si="28"/>
        <v>0</v>
      </c>
      <c r="X121" s="195">
        <f t="shared" si="29"/>
        <v>0</v>
      </c>
      <c r="Y121" s="201">
        <f t="shared" si="30"/>
        <v>0</v>
      </c>
      <c r="Z121" s="273">
        <f t="shared" si="31"/>
        <v>0</v>
      </c>
      <c r="AA121" s="203">
        <f t="shared" si="31"/>
        <v>0</v>
      </c>
      <c r="AB121" s="203">
        <f t="shared" si="32"/>
        <v>0</v>
      </c>
      <c r="AC121" s="203">
        <f t="shared" si="32"/>
        <v>0</v>
      </c>
    </row>
    <row r="122" spans="1:29" s="169" customFormat="1" x14ac:dyDescent="0.6">
      <c r="A122" s="187">
        <v>71</v>
      </c>
      <c r="B122" s="152" t="s">
        <v>535</v>
      </c>
      <c r="C122" s="156" t="s">
        <v>536</v>
      </c>
      <c r="D122" s="153" t="s">
        <v>15</v>
      </c>
      <c r="E122" s="152" t="s">
        <v>162</v>
      </c>
      <c r="F122" s="204" t="s">
        <v>840</v>
      </c>
      <c r="G122" s="155" t="s">
        <v>1013</v>
      </c>
      <c r="H122" s="155" t="s">
        <v>1014</v>
      </c>
      <c r="I122" s="152" t="s">
        <v>1015</v>
      </c>
      <c r="J122" s="165" t="s">
        <v>461</v>
      </c>
      <c r="K122" s="208">
        <v>150</v>
      </c>
      <c r="L122" s="209">
        <v>2100</v>
      </c>
      <c r="M122" s="271">
        <f t="shared" si="22"/>
        <v>5.8238533941972238E-3</v>
      </c>
      <c r="N122" s="229">
        <f t="shared" si="23"/>
        <v>157.24404164332506</v>
      </c>
      <c r="O122" s="229">
        <f t="shared" si="24"/>
        <v>2201.4165830065508</v>
      </c>
      <c r="P122" s="207">
        <v>160</v>
      </c>
      <c r="Q122" s="205">
        <v>2220</v>
      </c>
      <c r="R122" s="272">
        <f t="shared" si="25"/>
        <v>7.645523236191565E-3</v>
      </c>
      <c r="S122" s="269">
        <f t="shared" si="26"/>
        <v>181.03506805696455</v>
      </c>
      <c r="T122" s="269">
        <f t="shared" si="27"/>
        <v>2534.4909527975037</v>
      </c>
      <c r="U122" s="207">
        <v>100</v>
      </c>
      <c r="V122" s="205">
        <v>1400</v>
      </c>
      <c r="W122" s="194">
        <f t="shared" si="28"/>
        <v>4.7421940099315095E-3</v>
      </c>
      <c r="X122" s="195">
        <f t="shared" si="29"/>
        <v>116.85141351254312</v>
      </c>
      <c r="Y122" s="201">
        <f t="shared" si="30"/>
        <v>1635.9197891756037</v>
      </c>
      <c r="Z122" s="273">
        <f t="shared" si="31"/>
        <v>455.13052321283271</v>
      </c>
      <c r="AA122" s="203">
        <f t="shared" si="31"/>
        <v>6371.8273249796584</v>
      </c>
      <c r="AB122" s="203">
        <f t="shared" si="32"/>
        <v>151.71017440427758</v>
      </c>
      <c r="AC122" s="203">
        <f t="shared" si="32"/>
        <v>2123.9424416598863</v>
      </c>
    </row>
    <row r="123" spans="1:29" s="169" customFormat="1" x14ac:dyDescent="0.6">
      <c r="A123" s="187">
        <v>72</v>
      </c>
      <c r="B123" s="155" t="s">
        <v>537</v>
      </c>
      <c r="C123" s="156" t="s">
        <v>538</v>
      </c>
      <c r="D123" s="153" t="s">
        <v>15</v>
      </c>
      <c r="E123" s="152" t="s">
        <v>162</v>
      </c>
      <c r="F123" s="204" t="s">
        <v>840</v>
      </c>
      <c r="G123" s="155" t="s">
        <v>1016</v>
      </c>
      <c r="H123" s="155" t="s">
        <v>1017</v>
      </c>
      <c r="I123" s="152" t="s">
        <v>1018</v>
      </c>
      <c r="J123" s="165" t="s">
        <v>461</v>
      </c>
      <c r="K123" s="208">
        <v>1265</v>
      </c>
      <c r="L123" s="209">
        <v>17780</v>
      </c>
      <c r="M123" s="271">
        <f t="shared" si="22"/>
        <v>4.9308625404203159E-2</v>
      </c>
      <c r="N123" s="229">
        <f t="shared" si="23"/>
        <v>1331.3328859134854</v>
      </c>
      <c r="O123" s="229">
        <f t="shared" si="24"/>
        <v>18638.660402788795</v>
      </c>
      <c r="P123" s="207">
        <v>595</v>
      </c>
      <c r="Q123" s="205">
        <v>8320</v>
      </c>
      <c r="R123" s="272">
        <f t="shared" si="25"/>
        <v>2.8653492488790011E-2</v>
      </c>
      <c r="S123" s="269">
        <f t="shared" si="26"/>
        <v>678.47376857384916</v>
      </c>
      <c r="T123" s="269">
        <f t="shared" si="27"/>
        <v>9498.6327600338882</v>
      </c>
      <c r="U123" s="207">
        <v>160</v>
      </c>
      <c r="V123" s="205">
        <v>2330</v>
      </c>
      <c r="W123" s="194">
        <f t="shared" si="28"/>
        <v>7.8923657451002976E-3</v>
      </c>
      <c r="X123" s="195">
        <f t="shared" si="29"/>
        <v>194.47413820301819</v>
      </c>
      <c r="Y123" s="201">
        <f t="shared" si="30"/>
        <v>2722.6379348422547</v>
      </c>
      <c r="Z123" s="273">
        <f t="shared" si="31"/>
        <v>2204.2807926903529</v>
      </c>
      <c r="AA123" s="203">
        <f t="shared" si="31"/>
        <v>30859.931097664939</v>
      </c>
      <c r="AB123" s="203">
        <f t="shared" si="32"/>
        <v>734.76026423011763</v>
      </c>
      <c r="AC123" s="203">
        <f t="shared" si="32"/>
        <v>10286.643699221646</v>
      </c>
    </row>
    <row r="124" spans="1:29" s="169" customFormat="1" x14ac:dyDescent="0.6">
      <c r="A124" s="187">
        <v>73</v>
      </c>
      <c r="B124" s="155" t="s">
        <v>539</v>
      </c>
      <c r="C124" s="156" t="s">
        <v>540</v>
      </c>
      <c r="D124" s="153" t="s">
        <v>15</v>
      </c>
      <c r="E124" s="152" t="s">
        <v>162</v>
      </c>
      <c r="F124" s="204" t="s">
        <v>840</v>
      </c>
      <c r="G124" s="155" t="s">
        <v>1019</v>
      </c>
      <c r="H124" s="155" t="s">
        <v>1020</v>
      </c>
      <c r="I124" s="152" t="s">
        <v>1021</v>
      </c>
      <c r="J124" s="165" t="s">
        <v>461</v>
      </c>
      <c r="K124" s="208">
        <v>333</v>
      </c>
      <c r="L124" s="209">
        <v>4902</v>
      </c>
      <c r="M124" s="271">
        <f t="shared" si="22"/>
        <v>1.3594537780168947E-2</v>
      </c>
      <c r="N124" s="229">
        <f t="shared" si="23"/>
        <v>367.05252006456163</v>
      </c>
      <c r="O124" s="229">
        <f t="shared" si="24"/>
        <v>5138.735280903863</v>
      </c>
      <c r="P124" s="207">
        <v>193</v>
      </c>
      <c r="Q124" s="205">
        <v>2936</v>
      </c>
      <c r="R124" s="272">
        <f t="shared" si="25"/>
        <v>1.0111376676332629E-2</v>
      </c>
      <c r="S124" s="269">
        <f t="shared" si="26"/>
        <v>239.42295487173331</v>
      </c>
      <c r="T124" s="269">
        <f t="shared" si="27"/>
        <v>3351.9213682042664</v>
      </c>
      <c r="U124" s="207">
        <v>263</v>
      </c>
      <c r="V124" s="205">
        <v>3906</v>
      </c>
      <c r="W124" s="194">
        <f t="shared" si="28"/>
        <v>1.3230721287708911E-2</v>
      </c>
      <c r="X124" s="195">
        <f t="shared" si="29"/>
        <v>326.01544369999527</v>
      </c>
      <c r="Y124" s="201">
        <f t="shared" si="30"/>
        <v>4564.2162117999342</v>
      </c>
      <c r="Z124" s="273">
        <f t="shared" si="31"/>
        <v>932.49091863629019</v>
      </c>
      <c r="AA124" s="203">
        <f t="shared" si="31"/>
        <v>13054.872860908063</v>
      </c>
      <c r="AB124" s="203">
        <f t="shared" si="32"/>
        <v>310.83030621209673</v>
      </c>
      <c r="AC124" s="203">
        <f t="shared" si="32"/>
        <v>4351.6242869693542</v>
      </c>
    </row>
    <row r="125" spans="1:29" s="169" customFormat="1" x14ac:dyDescent="0.6">
      <c r="A125" s="187">
        <v>74</v>
      </c>
      <c r="B125" s="155" t="s">
        <v>541</v>
      </c>
      <c r="C125" s="156" t="s">
        <v>542</v>
      </c>
      <c r="D125" s="153" t="s">
        <v>15</v>
      </c>
      <c r="E125" s="152" t="s">
        <v>162</v>
      </c>
      <c r="F125" s="204" t="s">
        <v>840</v>
      </c>
      <c r="G125" s="155" t="s">
        <v>1022</v>
      </c>
      <c r="H125" s="155" t="s">
        <v>1023</v>
      </c>
      <c r="I125" s="152" t="s">
        <v>1024</v>
      </c>
      <c r="J125" s="165" t="s">
        <v>461</v>
      </c>
      <c r="K125" s="208">
        <v>545</v>
      </c>
      <c r="L125" s="209">
        <v>7440</v>
      </c>
      <c r="M125" s="271">
        <f t="shared" si="22"/>
        <v>2.063308059658445E-2</v>
      </c>
      <c r="N125" s="229">
        <f t="shared" si="23"/>
        <v>557.09317610778021</v>
      </c>
      <c r="O125" s="229">
        <f t="shared" si="24"/>
        <v>7799.3044655089234</v>
      </c>
      <c r="P125" s="207">
        <v>620</v>
      </c>
      <c r="Q125" s="205">
        <v>8740</v>
      </c>
      <c r="R125" s="272">
        <f t="shared" si="25"/>
        <v>3.0099942830772199E-2</v>
      </c>
      <c r="S125" s="269">
        <f t="shared" si="26"/>
        <v>712.72364631435607</v>
      </c>
      <c r="T125" s="269">
        <f t="shared" si="27"/>
        <v>9978.1310484009846</v>
      </c>
      <c r="U125" s="207"/>
      <c r="V125" s="205"/>
      <c r="W125" s="194">
        <f t="shared" si="28"/>
        <v>0</v>
      </c>
      <c r="X125" s="195">
        <f t="shared" si="29"/>
        <v>0</v>
      </c>
      <c r="Y125" s="201">
        <f t="shared" si="30"/>
        <v>0</v>
      </c>
      <c r="Z125" s="273">
        <f t="shared" si="31"/>
        <v>1269.8168224221363</v>
      </c>
      <c r="AA125" s="203">
        <f t="shared" si="31"/>
        <v>17777.435513909906</v>
      </c>
      <c r="AB125" s="203">
        <f t="shared" si="32"/>
        <v>423.27227414071211</v>
      </c>
      <c r="AC125" s="203">
        <f t="shared" si="32"/>
        <v>5925.811837969969</v>
      </c>
    </row>
    <row r="126" spans="1:29" s="169" customFormat="1" x14ac:dyDescent="0.6">
      <c r="A126" s="187">
        <v>75</v>
      </c>
      <c r="B126" s="152" t="s">
        <v>543</v>
      </c>
      <c r="C126" s="156" t="s">
        <v>544</v>
      </c>
      <c r="D126" s="153" t="s">
        <v>15</v>
      </c>
      <c r="E126" s="152" t="s">
        <v>162</v>
      </c>
      <c r="F126" s="204" t="s">
        <v>840</v>
      </c>
      <c r="G126" s="155" t="s">
        <v>543</v>
      </c>
      <c r="H126" s="155" t="s">
        <v>1025</v>
      </c>
      <c r="I126" s="152" t="s">
        <v>1026</v>
      </c>
      <c r="J126" s="165" t="s">
        <v>461</v>
      </c>
      <c r="K126" s="208">
        <v>245</v>
      </c>
      <c r="L126" s="209">
        <v>3600</v>
      </c>
      <c r="M126" s="271">
        <f t="shared" si="22"/>
        <v>9.9837486757666689E-3</v>
      </c>
      <c r="N126" s="229">
        <f t="shared" si="23"/>
        <v>269.56121424570011</v>
      </c>
      <c r="O126" s="229">
        <f t="shared" si="24"/>
        <v>3773.8569994398013</v>
      </c>
      <c r="P126" s="207">
        <v>190</v>
      </c>
      <c r="Q126" s="205">
        <v>2830</v>
      </c>
      <c r="R126" s="272">
        <f t="shared" si="25"/>
        <v>9.7463201614514088E-3</v>
      </c>
      <c r="S126" s="269">
        <f t="shared" si="26"/>
        <v>230.77893810865299</v>
      </c>
      <c r="T126" s="269">
        <f t="shared" si="27"/>
        <v>3230.905133521142</v>
      </c>
      <c r="U126" s="207">
        <v>237</v>
      </c>
      <c r="V126" s="205">
        <v>3560</v>
      </c>
      <c r="W126" s="194">
        <f t="shared" si="28"/>
        <v>1.2058721910968694E-2</v>
      </c>
      <c r="X126" s="195">
        <f t="shared" si="29"/>
        <v>297.13645150332388</v>
      </c>
      <c r="Y126" s="201">
        <f t="shared" si="30"/>
        <v>4159.9103210465346</v>
      </c>
      <c r="Z126" s="273">
        <f t="shared" si="31"/>
        <v>797.47660385767699</v>
      </c>
      <c r="AA126" s="203">
        <f t="shared" si="31"/>
        <v>11164.672454007477</v>
      </c>
      <c r="AB126" s="203">
        <f t="shared" si="32"/>
        <v>265.82553461922566</v>
      </c>
      <c r="AC126" s="203">
        <f t="shared" si="32"/>
        <v>3721.5574846691593</v>
      </c>
    </row>
    <row r="127" spans="1:29" s="169" customFormat="1" x14ac:dyDescent="0.6">
      <c r="A127" s="187">
        <v>76</v>
      </c>
      <c r="B127" s="152" t="s">
        <v>545</v>
      </c>
      <c r="C127" s="156" t="s">
        <v>546</v>
      </c>
      <c r="D127" s="153" t="s">
        <v>15</v>
      </c>
      <c r="E127" s="152" t="s">
        <v>162</v>
      </c>
      <c r="F127" s="204" t="s">
        <v>840</v>
      </c>
      <c r="G127" s="155" t="s">
        <v>1027</v>
      </c>
      <c r="H127" s="155" t="s">
        <v>1028</v>
      </c>
      <c r="I127" s="152" t="s">
        <v>1029</v>
      </c>
      <c r="J127" s="165" t="s">
        <v>461</v>
      </c>
      <c r="K127" s="208">
        <v>485</v>
      </c>
      <c r="L127" s="209">
        <v>7580</v>
      </c>
      <c r="M127" s="271">
        <f t="shared" si="22"/>
        <v>2.1021337489530931E-2</v>
      </c>
      <c r="N127" s="229">
        <f t="shared" si="23"/>
        <v>567.57611221733521</v>
      </c>
      <c r="O127" s="229">
        <f t="shared" si="24"/>
        <v>7946.0655710426927</v>
      </c>
      <c r="P127" s="207">
        <v>501</v>
      </c>
      <c r="Q127" s="205">
        <v>7890</v>
      </c>
      <c r="R127" s="272">
        <f t="shared" si="25"/>
        <v>2.7172602852951103E-2</v>
      </c>
      <c r="S127" s="269">
        <f t="shared" si="26"/>
        <v>643.40841755380643</v>
      </c>
      <c r="T127" s="269">
        <f t="shared" si="27"/>
        <v>9007.71784575329</v>
      </c>
      <c r="U127" s="207">
        <v>510</v>
      </c>
      <c r="V127" s="205">
        <v>7926</v>
      </c>
      <c r="W127" s="194">
        <f t="shared" si="28"/>
        <v>2.6847592659083673E-2</v>
      </c>
      <c r="X127" s="195">
        <f t="shared" si="29"/>
        <v>661.54593107172616</v>
      </c>
      <c r="Y127" s="201">
        <f t="shared" si="30"/>
        <v>9261.6430350041664</v>
      </c>
      <c r="Z127" s="273">
        <f t="shared" si="31"/>
        <v>1872.5304608428678</v>
      </c>
      <c r="AA127" s="203">
        <f t="shared" si="31"/>
        <v>26215.426451800147</v>
      </c>
      <c r="AB127" s="203">
        <f t="shared" si="32"/>
        <v>624.17682028095589</v>
      </c>
      <c r="AC127" s="203">
        <f t="shared" si="32"/>
        <v>8738.4754839333818</v>
      </c>
    </row>
    <row r="128" spans="1:29" s="169" customFormat="1" x14ac:dyDescent="0.6">
      <c r="A128" s="187">
        <v>77</v>
      </c>
      <c r="B128" s="152" t="s">
        <v>547</v>
      </c>
      <c r="C128" s="156" t="s">
        <v>548</v>
      </c>
      <c r="D128" s="153" t="s">
        <v>549</v>
      </c>
      <c r="E128" s="152" t="s">
        <v>550</v>
      </c>
      <c r="F128" s="204" t="s">
        <v>840</v>
      </c>
      <c r="G128" s="155" t="s">
        <v>1030</v>
      </c>
      <c r="H128" s="155" t="s">
        <v>1031</v>
      </c>
      <c r="I128" s="152" t="s">
        <v>1032</v>
      </c>
      <c r="J128" s="165" t="s">
        <v>461</v>
      </c>
      <c r="K128" s="208">
        <v>190</v>
      </c>
      <c r="L128" s="209">
        <v>2780</v>
      </c>
      <c r="M128" s="271">
        <f t="shared" si="22"/>
        <v>7.7096725885087052E-3</v>
      </c>
      <c r="N128" s="229">
        <f t="shared" si="23"/>
        <v>208.16115988973507</v>
      </c>
      <c r="O128" s="229">
        <f t="shared" si="24"/>
        <v>2914.2562384562912</v>
      </c>
      <c r="P128" s="207">
        <v>305</v>
      </c>
      <c r="Q128" s="205">
        <v>4380</v>
      </c>
      <c r="R128" s="272">
        <f t="shared" si="25"/>
        <v>1.5084410709242818E-2</v>
      </c>
      <c r="S128" s="269">
        <f t="shared" si="26"/>
        <v>357.17729643671385</v>
      </c>
      <c r="T128" s="269">
        <f t="shared" si="27"/>
        <v>5000.4821501139941</v>
      </c>
      <c r="U128" s="207">
        <v>232</v>
      </c>
      <c r="V128" s="205">
        <v>3448</v>
      </c>
      <c r="W128" s="194">
        <f t="shared" si="28"/>
        <v>1.1679346390174174E-2</v>
      </c>
      <c r="X128" s="195">
        <f t="shared" si="29"/>
        <v>287.78833842232046</v>
      </c>
      <c r="Y128" s="201">
        <f t="shared" si="30"/>
        <v>4029.0367379124864</v>
      </c>
      <c r="Z128" s="273">
        <f t="shared" si="31"/>
        <v>853.1267947487695</v>
      </c>
      <c r="AA128" s="203">
        <f t="shared" si="31"/>
        <v>11943.775126482771</v>
      </c>
      <c r="AB128" s="203">
        <f t="shared" si="32"/>
        <v>284.37559824958981</v>
      </c>
      <c r="AC128" s="203">
        <f t="shared" si="32"/>
        <v>3981.2583754942571</v>
      </c>
    </row>
    <row r="129" spans="1:29" s="169" customFormat="1" x14ac:dyDescent="0.6">
      <c r="A129" s="187">
        <v>78</v>
      </c>
      <c r="B129" s="152" t="s">
        <v>551</v>
      </c>
      <c r="C129" s="156" t="s">
        <v>552</v>
      </c>
      <c r="D129" s="152" t="s">
        <v>481</v>
      </c>
      <c r="E129" s="152" t="s">
        <v>482</v>
      </c>
      <c r="F129" s="204" t="s">
        <v>840</v>
      </c>
      <c r="G129" s="155" t="s">
        <v>1033</v>
      </c>
      <c r="H129" s="155" t="s">
        <v>1034</v>
      </c>
      <c r="I129" s="152" t="s">
        <v>1035</v>
      </c>
      <c r="J129" s="165" t="s">
        <v>461</v>
      </c>
      <c r="K129" s="208">
        <v>0</v>
      </c>
      <c r="L129" s="209">
        <v>0</v>
      </c>
      <c r="M129" s="271">
        <f t="shared" si="22"/>
        <v>0</v>
      </c>
      <c r="N129" s="229">
        <f t="shared" si="23"/>
        <v>0</v>
      </c>
      <c r="O129" s="229">
        <f t="shared" si="24"/>
        <v>0</v>
      </c>
      <c r="P129" s="207">
        <v>0</v>
      </c>
      <c r="Q129" s="205">
        <v>0</v>
      </c>
      <c r="R129" s="272">
        <f t="shared" si="25"/>
        <v>0</v>
      </c>
      <c r="S129" s="269">
        <f t="shared" si="26"/>
        <v>0</v>
      </c>
      <c r="T129" s="269">
        <f t="shared" si="27"/>
        <v>0</v>
      </c>
      <c r="U129" s="207">
        <v>70</v>
      </c>
      <c r="V129" s="205">
        <v>890</v>
      </c>
      <c r="W129" s="194">
        <f t="shared" si="28"/>
        <v>3.0146804777421736E-3</v>
      </c>
      <c r="X129" s="195">
        <f t="shared" si="29"/>
        <v>74.284112875830971</v>
      </c>
      <c r="Y129" s="201">
        <f t="shared" si="30"/>
        <v>1039.9775802616336</v>
      </c>
      <c r="Z129" s="273">
        <f t="shared" si="31"/>
        <v>74.284112875830971</v>
      </c>
      <c r="AA129" s="203">
        <f t="shared" si="31"/>
        <v>1039.9775802616336</v>
      </c>
      <c r="AB129" s="203">
        <f t="shared" si="32"/>
        <v>24.761370958610325</v>
      </c>
      <c r="AC129" s="203">
        <f t="shared" si="32"/>
        <v>346.65919342054457</v>
      </c>
    </row>
    <row r="130" spans="1:29" s="169" customFormat="1" x14ac:dyDescent="0.6">
      <c r="A130" s="187">
        <v>79</v>
      </c>
      <c r="B130" s="152" t="s">
        <v>553</v>
      </c>
      <c r="C130" s="156" t="s">
        <v>553</v>
      </c>
      <c r="D130" s="152" t="s">
        <v>30</v>
      </c>
      <c r="E130" s="152" t="s">
        <v>201</v>
      </c>
      <c r="F130" s="204" t="s">
        <v>840</v>
      </c>
      <c r="G130" s="155" t="s">
        <v>1036</v>
      </c>
      <c r="H130" s="155" t="s">
        <v>1037</v>
      </c>
      <c r="I130" s="152" t="s">
        <v>1038</v>
      </c>
      <c r="J130" s="165" t="s">
        <v>461</v>
      </c>
      <c r="K130" s="208">
        <v>430</v>
      </c>
      <c r="L130" s="209">
        <v>7080</v>
      </c>
      <c r="M130" s="271">
        <f t="shared" si="22"/>
        <v>1.963470572900778E-2</v>
      </c>
      <c r="N130" s="229">
        <f t="shared" si="23"/>
        <v>530.13705468321018</v>
      </c>
      <c r="O130" s="229">
        <f t="shared" si="24"/>
        <v>7421.9187655649421</v>
      </c>
      <c r="P130" s="207">
        <v>325</v>
      </c>
      <c r="Q130" s="205">
        <v>6200</v>
      </c>
      <c r="R130" s="272">
        <f t="shared" si="25"/>
        <v>2.1352362191165632E-2</v>
      </c>
      <c r="S130" s="269">
        <f t="shared" si="26"/>
        <v>505.59343331224335</v>
      </c>
      <c r="T130" s="269">
        <f t="shared" si="27"/>
        <v>7078.3080663714072</v>
      </c>
      <c r="U130" s="207">
        <v>330</v>
      </c>
      <c r="V130" s="205">
        <v>5820</v>
      </c>
      <c r="W130" s="194">
        <f t="shared" si="28"/>
        <v>1.9713977955572417E-2</v>
      </c>
      <c r="X130" s="195">
        <f t="shared" si="29"/>
        <v>485.76801903071492</v>
      </c>
      <c r="Y130" s="201">
        <f t="shared" si="30"/>
        <v>6800.7522664300086</v>
      </c>
      <c r="Z130" s="273">
        <f t="shared" si="31"/>
        <v>1521.4985070261685</v>
      </c>
      <c r="AA130" s="203">
        <f t="shared" si="31"/>
        <v>21300.979098366359</v>
      </c>
      <c r="AB130" s="203">
        <f t="shared" si="32"/>
        <v>507.16616900872282</v>
      </c>
      <c r="AC130" s="203">
        <f t="shared" si="32"/>
        <v>7100.3263661221199</v>
      </c>
    </row>
    <row r="131" spans="1:29" s="169" customFormat="1" x14ac:dyDescent="0.6">
      <c r="A131" s="187">
        <v>80</v>
      </c>
      <c r="B131" s="152" t="s">
        <v>554</v>
      </c>
      <c r="C131" s="156" t="s">
        <v>555</v>
      </c>
      <c r="D131" s="152" t="s">
        <v>556</v>
      </c>
      <c r="E131" s="152" t="s">
        <v>557</v>
      </c>
      <c r="F131" s="204" t="s">
        <v>840</v>
      </c>
      <c r="G131" s="155" t="s">
        <v>1039</v>
      </c>
      <c r="H131" s="155" t="s">
        <v>1040</v>
      </c>
      <c r="I131" s="152" t="s">
        <v>1041</v>
      </c>
      <c r="J131" s="165" t="s">
        <v>461</v>
      </c>
      <c r="K131" s="208">
        <v>0</v>
      </c>
      <c r="L131" s="209">
        <v>0</v>
      </c>
      <c r="M131" s="271">
        <f t="shared" si="22"/>
        <v>0</v>
      </c>
      <c r="N131" s="229">
        <f t="shared" si="23"/>
        <v>0</v>
      </c>
      <c r="O131" s="229">
        <f t="shared" si="24"/>
        <v>0</v>
      </c>
      <c r="P131" s="207">
        <v>0</v>
      </c>
      <c r="Q131" s="205">
        <v>0</v>
      </c>
      <c r="R131" s="272">
        <f t="shared" si="25"/>
        <v>0</v>
      </c>
      <c r="S131" s="269">
        <f t="shared" si="26"/>
        <v>0</v>
      </c>
      <c r="T131" s="269">
        <f t="shared" si="27"/>
        <v>0</v>
      </c>
      <c r="U131" s="207">
        <v>201</v>
      </c>
      <c r="V131" s="205">
        <v>2412</v>
      </c>
      <c r="W131" s="194">
        <f t="shared" si="28"/>
        <v>8.170122822824857E-3</v>
      </c>
      <c r="X131" s="195">
        <f t="shared" si="29"/>
        <v>201.31829242303857</v>
      </c>
      <c r="Y131" s="201">
        <f t="shared" si="30"/>
        <v>2818.4560939225398</v>
      </c>
      <c r="Z131" s="273">
        <f t="shared" si="31"/>
        <v>201.31829242303857</v>
      </c>
      <c r="AA131" s="203">
        <f t="shared" si="31"/>
        <v>2818.4560939225398</v>
      </c>
      <c r="AB131" s="203">
        <f t="shared" si="32"/>
        <v>67.106097474346186</v>
      </c>
      <c r="AC131" s="203">
        <f t="shared" si="32"/>
        <v>939.48536464084657</v>
      </c>
    </row>
    <row r="132" spans="1:29" s="169" customFormat="1" x14ac:dyDescent="0.6">
      <c r="A132" s="187">
        <v>81</v>
      </c>
      <c r="B132" s="152" t="s">
        <v>558</v>
      </c>
      <c r="C132" s="156" t="s">
        <v>559</v>
      </c>
      <c r="D132" s="152" t="s">
        <v>476</v>
      </c>
      <c r="E132" s="157" t="s">
        <v>233</v>
      </c>
      <c r="F132" s="204" t="s">
        <v>840</v>
      </c>
      <c r="G132" s="210" t="s">
        <v>853</v>
      </c>
      <c r="H132" s="210" t="s">
        <v>853</v>
      </c>
      <c r="I132" s="152" t="s">
        <v>1042</v>
      </c>
      <c r="J132" s="165" t="s">
        <v>461</v>
      </c>
      <c r="K132" s="208">
        <v>145</v>
      </c>
      <c r="L132" s="209">
        <v>2230</v>
      </c>
      <c r="M132" s="271">
        <f t="shared" si="22"/>
        <v>6.1843776519332422E-3</v>
      </c>
      <c r="N132" s="229">
        <f t="shared" si="23"/>
        <v>166.97819660219758</v>
      </c>
      <c r="O132" s="229">
        <f t="shared" si="24"/>
        <v>2337.6947524307661</v>
      </c>
      <c r="P132" s="207">
        <v>130</v>
      </c>
      <c r="Q132" s="205">
        <v>2040</v>
      </c>
      <c r="R132" s="272">
        <f t="shared" si="25"/>
        <v>7.025615946770627E-3</v>
      </c>
      <c r="S132" s="269">
        <f t="shared" si="26"/>
        <v>166.35654902531877</v>
      </c>
      <c r="T132" s="269">
        <f t="shared" si="27"/>
        <v>2328.9916863544627</v>
      </c>
      <c r="U132" s="207">
        <v>270</v>
      </c>
      <c r="V132" s="205">
        <v>3960</v>
      </c>
      <c r="W132" s="194">
        <f t="shared" si="28"/>
        <v>1.3413634485234841E-2</v>
      </c>
      <c r="X132" s="195">
        <f t="shared" si="29"/>
        <v>330.52256964976476</v>
      </c>
      <c r="Y132" s="201">
        <f t="shared" si="30"/>
        <v>4627.315975096707</v>
      </c>
      <c r="Z132" s="273">
        <f t="shared" si="31"/>
        <v>663.85731527728103</v>
      </c>
      <c r="AA132" s="203">
        <f t="shared" si="31"/>
        <v>9294.0024138819354</v>
      </c>
      <c r="AB132" s="203">
        <f t="shared" si="32"/>
        <v>221.28577175909368</v>
      </c>
      <c r="AC132" s="203">
        <f t="shared" si="32"/>
        <v>3098.0008046273119</v>
      </c>
    </row>
    <row r="133" spans="1:29" s="169" customFormat="1" x14ac:dyDescent="0.6">
      <c r="A133" s="187">
        <v>82</v>
      </c>
      <c r="B133" s="152" t="s">
        <v>560</v>
      </c>
      <c r="C133" s="152" t="s">
        <v>560</v>
      </c>
      <c r="D133" s="152" t="s">
        <v>18</v>
      </c>
      <c r="E133" s="152" t="s">
        <v>167</v>
      </c>
      <c r="F133" s="204" t="s">
        <v>840</v>
      </c>
      <c r="G133" s="210" t="s">
        <v>1043</v>
      </c>
      <c r="H133" s="210" t="s">
        <v>1044</v>
      </c>
      <c r="I133" s="152" t="s">
        <v>1045</v>
      </c>
      <c r="J133" s="165" t="s">
        <v>461</v>
      </c>
      <c r="K133" s="208">
        <v>0</v>
      </c>
      <c r="L133" s="209">
        <v>0</v>
      </c>
      <c r="M133" s="271">
        <f t="shared" si="22"/>
        <v>0</v>
      </c>
      <c r="N133" s="229">
        <f t="shared" si="23"/>
        <v>0</v>
      </c>
      <c r="O133" s="229">
        <f t="shared" si="24"/>
        <v>0</v>
      </c>
      <c r="P133" s="207"/>
      <c r="Q133" s="205"/>
      <c r="R133" s="272">
        <f t="shared" si="25"/>
        <v>0</v>
      </c>
      <c r="S133" s="269">
        <f t="shared" si="26"/>
        <v>0</v>
      </c>
      <c r="T133" s="269">
        <f t="shared" si="27"/>
        <v>0</v>
      </c>
      <c r="U133" s="207"/>
      <c r="V133" s="205"/>
      <c r="W133" s="194">
        <f t="shared" si="28"/>
        <v>0</v>
      </c>
      <c r="X133" s="195">
        <f t="shared" si="29"/>
        <v>0</v>
      </c>
      <c r="Y133" s="201">
        <f t="shared" si="30"/>
        <v>0</v>
      </c>
      <c r="Z133" s="273">
        <f t="shared" si="31"/>
        <v>0</v>
      </c>
      <c r="AA133" s="203">
        <f t="shared" si="31"/>
        <v>0</v>
      </c>
      <c r="AB133" s="203">
        <f t="shared" si="32"/>
        <v>0</v>
      </c>
      <c r="AC133" s="203">
        <f t="shared" si="32"/>
        <v>0</v>
      </c>
    </row>
    <row r="134" spans="1:29" s="169" customFormat="1" x14ac:dyDescent="0.6">
      <c r="A134" s="187">
        <v>83</v>
      </c>
      <c r="B134" s="152" t="s">
        <v>561</v>
      </c>
      <c r="C134" s="160" t="s">
        <v>562</v>
      </c>
      <c r="D134" s="152" t="s">
        <v>476</v>
      </c>
      <c r="E134" s="157" t="s">
        <v>233</v>
      </c>
      <c r="F134" s="204" t="s">
        <v>840</v>
      </c>
      <c r="G134" s="210" t="s">
        <v>1046</v>
      </c>
      <c r="H134" s="210" t="s">
        <v>1047</v>
      </c>
      <c r="I134" s="152" t="s">
        <v>1048</v>
      </c>
      <c r="J134" s="165" t="s">
        <v>461</v>
      </c>
      <c r="K134" s="208">
        <v>504</v>
      </c>
      <c r="L134" s="209">
        <v>7432</v>
      </c>
      <c r="M134" s="271">
        <f t="shared" si="22"/>
        <v>2.061089448841608E-2</v>
      </c>
      <c r="N134" s="229">
        <f t="shared" si="23"/>
        <v>556.49415118723425</v>
      </c>
      <c r="O134" s="229">
        <f t="shared" si="24"/>
        <v>7790.9181166212793</v>
      </c>
      <c r="P134" s="207">
        <v>390</v>
      </c>
      <c r="Q134" s="205">
        <v>5740</v>
      </c>
      <c r="R134" s="272">
        <f t="shared" si="25"/>
        <v>1.9768154673756571E-2</v>
      </c>
      <c r="S134" s="269">
        <f t="shared" si="26"/>
        <v>468.08166245359308</v>
      </c>
      <c r="T134" s="269">
        <f t="shared" si="27"/>
        <v>6553.1432743503028</v>
      </c>
      <c r="U134" s="207">
        <v>375</v>
      </c>
      <c r="V134" s="205">
        <v>5434</v>
      </c>
      <c r="W134" s="194">
        <f t="shared" si="28"/>
        <v>1.8406487321405585E-2</v>
      </c>
      <c r="X134" s="195">
        <f t="shared" si="29"/>
        <v>453.5504150193994</v>
      </c>
      <c r="Y134" s="201">
        <f t="shared" si="30"/>
        <v>6349.7058102715919</v>
      </c>
      <c r="Z134" s="273">
        <f t="shared" si="31"/>
        <v>1478.1262286602268</v>
      </c>
      <c r="AA134" s="203">
        <f t="shared" si="31"/>
        <v>20693.767201243176</v>
      </c>
      <c r="AB134" s="203">
        <f t="shared" si="32"/>
        <v>492.7087428867423</v>
      </c>
      <c r="AC134" s="203">
        <f t="shared" si="32"/>
        <v>6897.9224004143916</v>
      </c>
    </row>
    <row r="135" spans="1:29" s="169" customFormat="1" x14ac:dyDescent="0.6">
      <c r="A135" s="187">
        <v>84</v>
      </c>
      <c r="B135" s="152" t="s">
        <v>563</v>
      </c>
      <c r="C135" s="160" t="s">
        <v>564</v>
      </c>
      <c r="D135" s="152" t="s">
        <v>476</v>
      </c>
      <c r="E135" s="157" t="s">
        <v>233</v>
      </c>
      <c r="F135" s="204" t="s">
        <v>840</v>
      </c>
      <c r="G135" s="210" t="s">
        <v>1049</v>
      </c>
      <c r="H135" s="210" t="s">
        <v>1050</v>
      </c>
      <c r="I135" s="152" t="s">
        <v>1051</v>
      </c>
      <c r="J135" s="165" t="s">
        <v>461</v>
      </c>
      <c r="K135" s="208">
        <v>0</v>
      </c>
      <c r="L135" s="209">
        <v>0</v>
      </c>
      <c r="M135" s="271">
        <f t="shared" si="22"/>
        <v>0</v>
      </c>
      <c r="N135" s="229">
        <f t="shared" si="23"/>
        <v>0</v>
      </c>
      <c r="O135" s="229">
        <f t="shared" si="24"/>
        <v>0</v>
      </c>
      <c r="P135" s="207">
        <v>230</v>
      </c>
      <c r="Q135" s="205">
        <v>3600</v>
      </c>
      <c r="R135" s="272">
        <f t="shared" si="25"/>
        <v>1.2398145788418755E-2</v>
      </c>
      <c r="S135" s="269">
        <f t="shared" si="26"/>
        <v>293.57038063291554</v>
      </c>
      <c r="T135" s="269">
        <f t="shared" si="27"/>
        <v>4109.9853288608174</v>
      </c>
      <c r="U135" s="207">
        <v>50</v>
      </c>
      <c r="V135" s="205">
        <v>700</v>
      </c>
      <c r="W135" s="194">
        <f t="shared" si="28"/>
        <v>2.3710970049657548E-3</v>
      </c>
      <c r="X135" s="195">
        <f t="shared" si="29"/>
        <v>58.425706756271559</v>
      </c>
      <c r="Y135" s="201">
        <f t="shared" si="30"/>
        <v>817.95989458780184</v>
      </c>
      <c r="Z135" s="273">
        <f t="shared" si="31"/>
        <v>351.9960873891871</v>
      </c>
      <c r="AA135" s="203">
        <f t="shared" si="31"/>
        <v>4927.9452234486189</v>
      </c>
      <c r="AB135" s="203">
        <f t="shared" si="32"/>
        <v>117.33202912972904</v>
      </c>
      <c r="AC135" s="203">
        <f t="shared" si="32"/>
        <v>1642.6484078162064</v>
      </c>
    </row>
    <row r="136" spans="1:29" x14ac:dyDescent="0.6">
      <c r="A136" s="187">
        <v>85</v>
      </c>
      <c r="B136" s="152" t="s">
        <v>565</v>
      </c>
      <c r="C136" s="160" t="s">
        <v>566</v>
      </c>
      <c r="D136" s="152" t="s">
        <v>476</v>
      </c>
      <c r="E136" s="157" t="s">
        <v>233</v>
      </c>
      <c r="F136" s="204" t="s">
        <v>840</v>
      </c>
      <c r="G136" s="210" t="s">
        <v>1052</v>
      </c>
      <c r="H136" s="210" t="s">
        <v>1053</v>
      </c>
      <c r="I136" s="152" t="s">
        <v>1054</v>
      </c>
      <c r="J136" s="165" t="s">
        <v>461</v>
      </c>
      <c r="K136" s="208">
        <v>800</v>
      </c>
      <c r="L136" s="209">
        <v>10880</v>
      </c>
      <c r="M136" s="271">
        <f t="shared" si="22"/>
        <v>3.0173107108983709E-2</v>
      </c>
      <c r="N136" s="229">
        <f t="shared" si="23"/>
        <v>814.67389194256032</v>
      </c>
      <c r="O136" s="229">
        <f t="shared" si="24"/>
        <v>11405.434487195844</v>
      </c>
      <c r="P136" s="207">
        <v>740</v>
      </c>
      <c r="Q136" s="205">
        <v>10320</v>
      </c>
      <c r="R136" s="272">
        <f t="shared" si="25"/>
        <v>3.5541351260133761E-2</v>
      </c>
      <c r="S136" s="269">
        <f t="shared" si="26"/>
        <v>841.56842448102441</v>
      </c>
      <c r="T136" s="269">
        <f t="shared" si="27"/>
        <v>11781.957942734341</v>
      </c>
      <c r="U136" s="207">
        <v>820</v>
      </c>
      <c r="V136" s="205">
        <v>11230</v>
      </c>
      <c r="W136" s="194">
        <f t="shared" si="28"/>
        <v>3.8039170522522037E-2</v>
      </c>
      <c r="X136" s="195">
        <f t="shared" si="29"/>
        <v>937.31526696132801</v>
      </c>
      <c r="Y136" s="201">
        <f t="shared" si="30"/>
        <v>13122.413737458592</v>
      </c>
      <c r="Z136" s="273">
        <f t="shared" si="31"/>
        <v>2593.5575833849125</v>
      </c>
      <c r="AA136" s="203">
        <f t="shared" si="31"/>
        <v>36309.806167388779</v>
      </c>
      <c r="AB136" s="203">
        <f t="shared" si="32"/>
        <v>864.51919446163754</v>
      </c>
      <c r="AC136" s="203">
        <f t="shared" si="32"/>
        <v>12103.268722462926</v>
      </c>
    </row>
    <row r="137" spans="1:29" x14ac:dyDescent="0.6">
      <c r="A137" s="187">
        <v>86</v>
      </c>
      <c r="B137" s="152" t="s">
        <v>567</v>
      </c>
      <c r="C137" s="160" t="s">
        <v>568</v>
      </c>
      <c r="D137" s="152" t="s">
        <v>476</v>
      </c>
      <c r="E137" s="157" t="s">
        <v>233</v>
      </c>
      <c r="F137" s="204" t="s">
        <v>840</v>
      </c>
      <c r="G137" s="210" t="s">
        <v>1055</v>
      </c>
      <c r="H137" s="210" t="s">
        <v>1056</v>
      </c>
      <c r="I137" s="152" t="s">
        <v>1057</v>
      </c>
      <c r="J137" s="165" t="s">
        <v>461</v>
      </c>
      <c r="K137" s="208">
        <v>240</v>
      </c>
      <c r="L137" s="209">
        <v>3260</v>
      </c>
      <c r="M137" s="271">
        <f t="shared" si="22"/>
        <v>9.040839078610927E-3</v>
      </c>
      <c r="N137" s="229">
        <f t="shared" si="23"/>
        <v>244.10265512249507</v>
      </c>
      <c r="O137" s="229">
        <f t="shared" si="24"/>
        <v>3417.4371717149311</v>
      </c>
      <c r="P137" s="207">
        <v>160</v>
      </c>
      <c r="Q137" s="205">
        <v>2180</v>
      </c>
      <c r="R137" s="272">
        <f t="shared" si="25"/>
        <v>7.5077660607646901E-3</v>
      </c>
      <c r="S137" s="269">
        <f t="shared" si="26"/>
        <v>177.77317493882106</v>
      </c>
      <c r="T137" s="269">
        <f t="shared" si="27"/>
        <v>2488.8244491434948</v>
      </c>
      <c r="U137" s="207">
        <v>360</v>
      </c>
      <c r="V137" s="205">
        <v>4920</v>
      </c>
      <c r="W137" s="194">
        <f t="shared" si="28"/>
        <v>1.666542466347359E-2</v>
      </c>
      <c r="X137" s="195">
        <f t="shared" si="29"/>
        <v>410.64925320122296</v>
      </c>
      <c r="Y137" s="201">
        <f t="shared" si="30"/>
        <v>5749.0895448171214</v>
      </c>
      <c r="Z137" s="273">
        <f t="shared" si="31"/>
        <v>832.52508326253906</v>
      </c>
      <c r="AA137" s="203">
        <f t="shared" si="31"/>
        <v>11655.351165675547</v>
      </c>
      <c r="AB137" s="203">
        <f t="shared" si="32"/>
        <v>277.50836108751304</v>
      </c>
      <c r="AC137" s="203">
        <f t="shared" si="32"/>
        <v>3885.1170552251824</v>
      </c>
    </row>
    <row r="138" spans="1:29" x14ac:dyDescent="0.6">
      <c r="A138" s="187">
        <v>87</v>
      </c>
      <c r="B138" s="152" t="s">
        <v>569</v>
      </c>
      <c r="C138" s="160" t="s">
        <v>569</v>
      </c>
      <c r="D138" s="11" t="s">
        <v>570</v>
      </c>
      <c r="E138" s="157" t="s">
        <v>183</v>
      </c>
      <c r="F138" s="204" t="s">
        <v>840</v>
      </c>
      <c r="G138" s="210" t="s">
        <v>1058</v>
      </c>
      <c r="H138" s="210" t="s">
        <v>1059</v>
      </c>
      <c r="I138" s="152" t="s">
        <v>1060</v>
      </c>
      <c r="J138" s="165" t="s">
        <v>461</v>
      </c>
      <c r="K138" s="208">
        <v>890</v>
      </c>
      <c r="L138" s="209">
        <v>12520</v>
      </c>
      <c r="M138" s="271">
        <f t="shared" si="22"/>
        <v>3.4721259283499638E-2</v>
      </c>
      <c r="N138" s="229">
        <f t="shared" si="23"/>
        <v>937.4740006544904</v>
      </c>
      <c r="O138" s="229">
        <f t="shared" si="24"/>
        <v>13124.636009162865</v>
      </c>
      <c r="P138" s="207">
        <v>230</v>
      </c>
      <c r="Q138" s="205">
        <v>3800</v>
      </c>
      <c r="R138" s="272">
        <f t="shared" si="25"/>
        <v>1.308693166555313E-2</v>
      </c>
      <c r="S138" s="269">
        <f t="shared" si="26"/>
        <v>309.87984622363302</v>
      </c>
      <c r="T138" s="269">
        <f t="shared" si="27"/>
        <v>4338.317847130862</v>
      </c>
      <c r="U138" s="207">
        <v>1000</v>
      </c>
      <c r="V138" s="205">
        <v>13600</v>
      </c>
      <c r="W138" s="194">
        <f t="shared" si="28"/>
        <v>4.6067027525048945E-2</v>
      </c>
      <c r="X138" s="195">
        <f t="shared" si="29"/>
        <v>1135.1280169789902</v>
      </c>
      <c r="Y138" s="201">
        <f t="shared" si="30"/>
        <v>15891.792237705862</v>
      </c>
      <c r="Z138" s="273">
        <f t="shared" si="31"/>
        <v>2382.4818638571137</v>
      </c>
      <c r="AA138" s="203">
        <f t="shared" si="31"/>
        <v>33354.746093999587</v>
      </c>
      <c r="AB138" s="203">
        <f t="shared" si="32"/>
        <v>794.16062128570456</v>
      </c>
      <c r="AC138" s="203">
        <f t="shared" si="32"/>
        <v>11118.248697999863</v>
      </c>
    </row>
    <row r="139" spans="1:29" x14ac:dyDescent="0.6">
      <c r="A139" s="187">
        <v>88</v>
      </c>
      <c r="B139" s="152" t="s">
        <v>571</v>
      </c>
      <c r="C139" s="152" t="s">
        <v>572</v>
      </c>
      <c r="D139" s="153" t="s">
        <v>56</v>
      </c>
      <c r="E139" s="163" t="s">
        <v>279</v>
      </c>
      <c r="F139" s="204" t="s">
        <v>840</v>
      </c>
      <c r="G139" s="159" t="s">
        <v>1061</v>
      </c>
      <c r="H139" s="159" t="s">
        <v>1062</v>
      </c>
      <c r="I139" s="157" t="s">
        <v>1063</v>
      </c>
      <c r="J139" s="165" t="s">
        <v>461</v>
      </c>
      <c r="K139" s="208">
        <v>100</v>
      </c>
      <c r="L139" s="209">
        <v>1400</v>
      </c>
      <c r="M139" s="271">
        <f t="shared" si="22"/>
        <v>3.8825689294648157E-3</v>
      </c>
      <c r="N139" s="229">
        <f t="shared" si="23"/>
        <v>104.82936109555006</v>
      </c>
      <c r="O139" s="229">
        <f t="shared" si="24"/>
        <v>1467.6110553377007</v>
      </c>
      <c r="P139" s="207">
        <v>0</v>
      </c>
      <c r="Q139" s="205">
        <v>0</v>
      </c>
      <c r="R139" s="272">
        <f t="shared" si="25"/>
        <v>0</v>
      </c>
      <c r="S139" s="269">
        <f t="shared" si="26"/>
        <v>0</v>
      </c>
      <c r="T139" s="269">
        <f t="shared" si="27"/>
        <v>0</v>
      </c>
      <c r="U139" s="207">
        <v>100</v>
      </c>
      <c r="V139" s="205">
        <v>1400</v>
      </c>
      <c r="W139" s="194">
        <f t="shared" si="28"/>
        <v>4.7421940099315095E-3</v>
      </c>
      <c r="X139" s="195">
        <f t="shared" si="29"/>
        <v>116.85141351254312</v>
      </c>
      <c r="Y139" s="201">
        <f t="shared" si="30"/>
        <v>1635.9197891756037</v>
      </c>
      <c r="Z139" s="273">
        <f t="shared" si="31"/>
        <v>221.68077460809317</v>
      </c>
      <c r="AA139" s="203">
        <f t="shared" si="31"/>
        <v>3103.5308445133041</v>
      </c>
      <c r="AB139" s="203">
        <f t="shared" si="32"/>
        <v>73.893591536031053</v>
      </c>
      <c r="AC139" s="203">
        <f t="shared" si="32"/>
        <v>1034.5102815044347</v>
      </c>
    </row>
    <row r="140" spans="1:29" x14ac:dyDescent="0.6">
      <c r="A140" s="187">
        <v>89</v>
      </c>
      <c r="B140" s="152" t="s">
        <v>573</v>
      </c>
      <c r="C140" s="152" t="s">
        <v>195</v>
      </c>
      <c r="D140" s="153" t="s">
        <v>574</v>
      </c>
      <c r="E140" s="157" t="s">
        <v>162</v>
      </c>
      <c r="F140" s="204" t="s">
        <v>840</v>
      </c>
      <c r="G140" s="159" t="s">
        <v>1064</v>
      </c>
      <c r="H140" s="159" t="s">
        <v>1065</v>
      </c>
      <c r="I140" s="157" t="s">
        <v>1066</v>
      </c>
      <c r="J140" s="165" t="s">
        <v>461</v>
      </c>
      <c r="K140" s="208">
        <v>130</v>
      </c>
      <c r="L140" s="209">
        <v>1360</v>
      </c>
      <c r="M140" s="271">
        <f t="shared" si="22"/>
        <v>3.7716383886229636E-3</v>
      </c>
      <c r="N140" s="229">
        <f t="shared" si="23"/>
        <v>101.83423649282004</v>
      </c>
      <c r="O140" s="229">
        <f t="shared" si="24"/>
        <v>1425.6793108994805</v>
      </c>
      <c r="P140" s="207">
        <v>20</v>
      </c>
      <c r="Q140" s="205">
        <v>280</v>
      </c>
      <c r="R140" s="272">
        <f t="shared" si="25"/>
        <v>9.6430022798812531E-4</v>
      </c>
      <c r="S140" s="269">
        <f t="shared" si="26"/>
        <v>22.833251827004538</v>
      </c>
      <c r="T140" s="269">
        <f t="shared" si="27"/>
        <v>319.66552557806352</v>
      </c>
      <c r="U140" s="207">
        <v>80</v>
      </c>
      <c r="V140" s="205">
        <v>1080</v>
      </c>
      <c r="W140" s="194">
        <f t="shared" si="28"/>
        <v>3.6582639505185928E-3</v>
      </c>
      <c r="X140" s="195">
        <f t="shared" si="29"/>
        <v>90.142518995390404</v>
      </c>
      <c r="Y140" s="201">
        <f t="shared" si="30"/>
        <v>1261.9952659354656</v>
      </c>
      <c r="Z140" s="273">
        <f t="shared" si="31"/>
        <v>214.81000731521499</v>
      </c>
      <c r="AA140" s="203">
        <f t="shared" si="31"/>
        <v>3007.3401024130098</v>
      </c>
      <c r="AB140" s="203">
        <f t="shared" si="32"/>
        <v>71.60333577173833</v>
      </c>
      <c r="AC140" s="203">
        <f t="shared" si="32"/>
        <v>1002.4467008043366</v>
      </c>
    </row>
    <row r="141" spans="1:29" x14ac:dyDescent="0.6">
      <c r="A141" s="187">
        <v>90</v>
      </c>
      <c r="B141" s="152" t="s">
        <v>575</v>
      </c>
      <c r="C141" s="152" t="s">
        <v>576</v>
      </c>
      <c r="D141" s="153" t="s">
        <v>574</v>
      </c>
      <c r="E141" s="157" t="s">
        <v>162</v>
      </c>
      <c r="F141" s="204" t="s">
        <v>840</v>
      </c>
      <c r="G141" s="159" t="s">
        <v>1067</v>
      </c>
      <c r="H141" s="159" t="s">
        <v>1068</v>
      </c>
      <c r="I141" s="157" t="s">
        <v>1069</v>
      </c>
      <c r="J141" s="165" t="s">
        <v>461</v>
      </c>
      <c r="K141" s="208">
        <v>0</v>
      </c>
      <c r="L141" s="209">
        <v>0</v>
      </c>
      <c r="M141" s="271">
        <f t="shared" si="22"/>
        <v>0</v>
      </c>
      <c r="N141" s="229">
        <f t="shared" si="23"/>
        <v>0</v>
      </c>
      <c r="O141" s="229">
        <f t="shared" si="24"/>
        <v>0</v>
      </c>
      <c r="P141" s="207">
        <v>0</v>
      </c>
      <c r="Q141" s="205">
        <v>0</v>
      </c>
      <c r="R141" s="272">
        <f t="shared" si="25"/>
        <v>0</v>
      </c>
      <c r="S141" s="269">
        <f t="shared" si="26"/>
        <v>0</v>
      </c>
      <c r="T141" s="269">
        <f t="shared" si="27"/>
        <v>0</v>
      </c>
      <c r="U141" s="207">
        <v>115</v>
      </c>
      <c r="V141" s="205">
        <v>1820</v>
      </c>
      <c r="W141" s="194">
        <f t="shared" si="28"/>
        <v>6.1648522129109616E-3</v>
      </c>
      <c r="X141" s="195">
        <f t="shared" si="29"/>
        <v>151.90683756630602</v>
      </c>
      <c r="Y141" s="201">
        <f t="shared" si="30"/>
        <v>2126.6957259282844</v>
      </c>
      <c r="Z141" s="273">
        <f t="shared" si="31"/>
        <v>151.90683756630602</v>
      </c>
      <c r="AA141" s="203">
        <f t="shared" si="31"/>
        <v>2126.6957259282844</v>
      </c>
      <c r="AB141" s="203">
        <f t="shared" si="32"/>
        <v>50.635612522102008</v>
      </c>
      <c r="AC141" s="203">
        <f t="shared" si="32"/>
        <v>708.89857530942811</v>
      </c>
    </row>
    <row r="142" spans="1:29" x14ac:dyDescent="0.6">
      <c r="A142" s="187">
        <v>91</v>
      </c>
      <c r="B142" s="152" t="s">
        <v>577</v>
      </c>
      <c r="C142" s="152" t="s">
        <v>578</v>
      </c>
      <c r="D142" s="153" t="s">
        <v>502</v>
      </c>
      <c r="E142" s="157" t="s">
        <v>215</v>
      </c>
      <c r="F142" s="204" t="s">
        <v>840</v>
      </c>
      <c r="G142" s="159" t="s">
        <v>1070</v>
      </c>
      <c r="H142" s="159" t="s">
        <v>1071</v>
      </c>
      <c r="I142" s="157" t="s">
        <v>1072</v>
      </c>
      <c r="J142" s="165" t="s">
        <v>461</v>
      </c>
      <c r="K142" s="208">
        <v>90</v>
      </c>
      <c r="L142" s="209">
        <v>930</v>
      </c>
      <c r="M142" s="271">
        <f t="shared" si="22"/>
        <v>2.5791350745730563E-3</v>
      </c>
      <c r="N142" s="229">
        <f t="shared" si="23"/>
        <v>69.636647013472526</v>
      </c>
      <c r="O142" s="229">
        <f t="shared" si="24"/>
        <v>974.91305818861542</v>
      </c>
      <c r="P142" s="207">
        <v>120</v>
      </c>
      <c r="Q142" s="205">
        <v>1740</v>
      </c>
      <c r="R142" s="272">
        <f t="shared" si="25"/>
        <v>5.9924371310690642E-3</v>
      </c>
      <c r="S142" s="269">
        <f t="shared" si="26"/>
        <v>141.89235063924249</v>
      </c>
      <c r="T142" s="269">
        <f t="shared" si="27"/>
        <v>1986.4929089493949</v>
      </c>
      <c r="U142" s="207">
        <v>147</v>
      </c>
      <c r="V142" s="205">
        <v>2260</v>
      </c>
      <c r="W142" s="194">
        <f t="shared" si="28"/>
        <v>7.6552560446037218E-3</v>
      </c>
      <c r="X142" s="195">
        <f t="shared" si="29"/>
        <v>188.63156752739101</v>
      </c>
      <c r="Y142" s="201">
        <f t="shared" si="30"/>
        <v>2640.841945383474</v>
      </c>
      <c r="Z142" s="273">
        <f t="shared" si="31"/>
        <v>400.160565180106</v>
      </c>
      <c r="AA142" s="203">
        <f t="shared" si="31"/>
        <v>5602.2479125214841</v>
      </c>
      <c r="AB142" s="203">
        <f t="shared" si="32"/>
        <v>133.38685506003534</v>
      </c>
      <c r="AC142" s="203">
        <f t="shared" si="32"/>
        <v>1867.4159708404948</v>
      </c>
    </row>
    <row r="143" spans="1:29" x14ac:dyDescent="0.6">
      <c r="A143" s="187">
        <v>92</v>
      </c>
      <c r="B143" s="152" t="s">
        <v>579</v>
      </c>
      <c r="C143" s="152" t="s">
        <v>579</v>
      </c>
      <c r="D143" s="153" t="s">
        <v>56</v>
      </c>
      <c r="E143" s="163" t="s">
        <v>279</v>
      </c>
      <c r="F143" s="204" t="s">
        <v>840</v>
      </c>
      <c r="G143" s="159" t="s">
        <v>1073</v>
      </c>
      <c r="H143" s="159" t="s">
        <v>1074</v>
      </c>
      <c r="I143" s="157" t="s">
        <v>1075</v>
      </c>
      <c r="J143" s="165" t="s">
        <v>461</v>
      </c>
      <c r="K143" s="208">
        <v>0</v>
      </c>
      <c r="L143" s="209">
        <v>0</v>
      </c>
      <c r="M143" s="271">
        <f t="shared" si="22"/>
        <v>0</v>
      </c>
      <c r="N143" s="229">
        <f t="shared" si="23"/>
        <v>0</v>
      </c>
      <c r="O143" s="229">
        <f t="shared" si="24"/>
        <v>0</v>
      </c>
      <c r="P143" s="207"/>
      <c r="Q143" s="205"/>
      <c r="R143" s="272">
        <f t="shared" si="25"/>
        <v>0</v>
      </c>
      <c r="S143" s="269">
        <f t="shared" si="26"/>
        <v>0</v>
      </c>
      <c r="T143" s="269">
        <f t="shared" si="27"/>
        <v>0</v>
      </c>
      <c r="U143" s="207"/>
      <c r="V143" s="205"/>
      <c r="W143" s="194">
        <f t="shared" si="28"/>
        <v>0</v>
      </c>
      <c r="X143" s="195">
        <f t="shared" si="29"/>
        <v>0</v>
      </c>
      <c r="Y143" s="201">
        <f t="shared" si="30"/>
        <v>0</v>
      </c>
      <c r="Z143" s="273">
        <f t="shared" si="31"/>
        <v>0</v>
      </c>
      <c r="AA143" s="203">
        <f t="shared" si="31"/>
        <v>0</v>
      </c>
      <c r="AB143" s="203">
        <f t="shared" si="32"/>
        <v>0</v>
      </c>
      <c r="AC143" s="203">
        <f t="shared" si="32"/>
        <v>0</v>
      </c>
    </row>
    <row r="144" spans="1:29" x14ac:dyDescent="0.6">
      <c r="A144" s="187">
        <v>93</v>
      </c>
      <c r="B144" s="152" t="s">
        <v>580</v>
      </c>
      <c r="C144" s="152" t="s">
        <v>580</v>
      </c>
      <c r="D144" s="153" t="s">
        <v>56</v>
      </c>
      <c r="E144" s="163" t="s">
        <v>279</v>
      </c>
      <c r="F144" s="204" t="s">
        <v>840</v>
      </c>
      <c r="G144" s="159" t="s">
        <v>1076</v>
      </c>
      <c r="H144" s="159" t="s">
        <v>1077</v>
      </c>
      <c r="I144" s="157" t="s">
        <v>1078</v>
      </c>
      <c r="J144" s="165" t="s">
        <v>461</v>
      </c>
      <c r="K144" s="208">
        <v>120</v>
      </c>
      <c r="L144" s="209">
        <v>1440</v>
      </c>
      <c r="M144" s="271">
        <f t="shared" si="22"/>
        <v>3.9934994703066671E-3</v>
      </c>
      <c r="N144" s="229">
        <f t="shared" si="23"/>
        <v>107.82448569828003</v>
      </c>
      <c r="O144" s="229">
        <f t="shared" si="24"/>
        <v>1509.5427997759205</v>
      </c>
      <c r="P144" s="207">
        <v>60</v>
      </c>
      <c r="Q144" s="205">
        <v>720</v>
      </c>
      <c r="R144" s="272">
        <f t="shared" si="25"/>
        <v>2.4796291576837507E-3</v>
      </c>
      <c r="S144" s="269">
        <f t="shared" si="26"/>
        <v>58.714076126583102</v>
      </c>
      <c r="T144" s="269">
        <f t="shared" si="27"/>
        <v>821.99706577216341</v>
      </c>
      <c r="U144" s="207"/>
      <c r="V144" s="205"/>
      <c r="W144" s="194">
        <f t="shared" si="28"/>
        <v>0</v>
      </c>
      <c r="X144" s="195">
        <f t="shared" si="29"/>
        <v>0</v>
      </c>
      <c r="Y144" s="201">
        <f t="shared" si="30"/>
        <v>0</v>
      </c>
      <c r="Z144" s="273">
        <f t="shared" si="31"/>
        <v>166.53856182486314</v>
      </c>
      <c r="AA144" s="203">
        <f t="shared" si="31"/>
        <v>2331.539865548084</v>
      </c>
      <c r="AB144" s="203">
        <f t="shared" si="32"/>
        <v>55.512853941621046</v>
      </c>
      <c r="AC144" s="203">
        <f t="shared" si="32"/>
        <v>777.1799551826947</v>
      </c>
    </row>
    <row r="145" spans="1:29" x14ac:dyDescent="0.6">
      <c r="A145" s="187">
        <v>94</v>
      </c>
      <c r="B145" s="152" t="s">
        <v>581</v>
      </c>
      <c r="C145" s="152" t="s">
        <v>581</v>
      </c>
      <c r="D145" s="153" t="s">
        <v>432</v>
      </c>
      <c r="E145" s="152" t="s">
        <v>433</v>
      </c>
      <c r="F145" s="204" t="s">
        <v>840</v>
      </c>
      <c r="G145" s="159" t="s">
        <v>1079</v>
      </c>
      <c r="H145" s="159" t="s">
        <v>1080</v>
      </c>
      <c r="I145" s="277" t="s">
        <v>853</v>
      </c>
      <c r="J145" s="165" t="s">
        <v>461</v>
      </c>
      <c r="K145" s="208">
        <v>25</v>
      </c>
      <c r="L145" s="209">
        <v>340</v>
      </c>
      <c r="M145" s="271">
        <f t="shared" si="22"/>
        <v>9.4290959715574089E-4</v>
      </c>
      <c r="N145" s="229">
        <f t="shared" si="23"/>
        <v>25.45855912320501</v>
      </c>
      <c r="O145" s="229">
        <f t="shared" si="24"/>
        <v>356.41982772487012</v>
      </c>
      <c r="P145" s="207">
        <v>10</v>
      </c>
      <c r="Q145" s="205">
        <v>140</v>
      </c>
      <c r="R145" s="272">
        <f t="shared" si="25"/>
        <v>4.8215011399406265E-4</v>
      </c>
      <c r="S145" s="269">
        <f t="shared" si="26"/>
        <v>11.416625913502269</v>
      </c>
      <c r="T145" s="269">
        <f t="shared" si="27"/>
        <v>159.83276278903176</v>
      </c>
      <c r="U145" s="207">
        <v>12</v>
      </c>
      <c r="V145" s="205">
        <v>164</v>
      </c>
      <c r="W145" s="194">
        <f t="shared" si="28"/>
        <v>5.5551415544911962E-4</v>
      </c>
      <c r="X145" s="195">
        <f t="shared" si="29"/>
        <v>13.688308440040762</v>
      </c>
      <c r="Y145" s="201">
        <f t="shared" si="30"/>
        <v>191.63631816057068</v>
      </c>
      <c r="Z145" s="273">
        <f t="shared" si="31"/>
        <v>50.563493476748043</v>
      </c>
      <c r="AA145" s="203">
        <f t="shared" si="31"/>
        <v>707.88890867447253</v>
      </c>
      <c r="AB145" s="203">
        <f t="shared" si="32"/>
        <v>16.85449782558268</v>
      </c>
      <c r="AC145" s="203">
        <f t="shared" si="32"/>
        <v>235.96296955815751</v>
      </c>
    </row>
    <row r="146" spans="1:29" x14ac:dyDescent="0.6">
      <c r="A146" s="187">
        <v>95</v>
      </c>
      <c r="B146" s="152" t="s">
        <v>582</v>
      </c>
      <c r="C146" s="160" t="s">
        <v>583</v>
      </c>
      <c r="D146" s="157" t="s">
        <v>516</v>
      </c>
      <c r="E146" s="152" t="s">
        <v>517</v>
      </c>
      <c r="F146" s="204" t="s">
        <v>840</v>
      </c>
      <c r="G146" s="152" t="s">
        <v>582</v>
      </c>
      <c r="H146" s="160" t="s">
        <v>583</v>
      </c>
      <c r="I146" s="277" t="s">
        <v>1081</v>
      </c>
      <c r="J146" s="165" t="s">
        <v>461</v>
      </c>
      <c r="K146" s="208">
        <v>0</v>
      </c>
      <c r="L146" s="209">
        <v>0</v>
      </c>
      <c r="M146" s="271">
        <f t="shared" si="22"/>
        <v>0</v>
      </c>
      <c r="N146" s="229">
        <f t="shared" si="23"/>
        <v>0</v>
      </c>
      <c r="O146" s="229">
        <f t="shared" si="24"/>
        <v>0</v>
      </c>
      <c r="P146" s="207">
        <v>100</v>
      </c>
      <c r="Q146" s="205">
        <v>1270</v>
      </c>
      <c r="R146" s="272">
        <f t="shared" si="25"/>
        <v>4.3737903198032826E-3</v>
      </c>
      <c r="S146" s="269">
        <f t="shared" si="26"/>
        <v>103.56510650105631</v>
      </c>
      <c r="T146" s="269">
        <f t="shared" si="27"/>
        <v>1449.9114910147882</v>
      </c>
      <c r="U146" s="207">
        <v>0</v>
      </c>
      <c r="V146" s="205">
        <v>0</v>
      </c>
      <c r="W146" s="194">
        <f t="shared" si="28"/>
        <v>0</v>
      </c>
      <c r="X146" s="195">
        <f t="shared" si="29"/>
        <v>0</v>
      </c>
      <c r="Y146" s="201">
        <f t="shared" si="30"/>
        <v>0</v>
      </c>
      <c r="Z146" s="273">
        <f t="shared" si="31"/>
        <v>103.56510650105631</v>
      </c>
      <c r="AA146" s="203">
        <f t="shared" si="31"/>
        <v>1449.9114910147882</v>
      </c>
      <c r="AB146" s="203">
        <f t="shared" si="32"/>
        <v>34.521702167018766</v>
      </c>
      <c r="AC146" s="203">
        <f t="shared" si="32"/>
        <v>483.30383033826274</v>
      </c>
    </row>
    <row r="147" spans="1:29" x14ac:dyDescent="0.6">
      <c r="A147" s="187">
        <v>96</v>
      </c>
      <c r="B147" s="152" t="s">
        <v>584</v>
      </c>
      <c r="C147" s="160" t="s">
        <v>585</v>
      </c>
      <c r="D147" s="157" t="s">
        <v>472</v>
      </c>
      <c r="E147" s="162" t="s">
        <v>473</v>
      </c>
      <c r="F147" s="204" t="s">
        <v>840</v>
      </c>
      <c r="G147" s="152" t="s">
        <v>584</v>
      </c>
      <c r="H147" s="160" t="s">
        <v>585</v>
      </c>
      <c r="I147" s="277" t="s">
        <v>1082</v>
      </c>
      <c r="J147" s="165" t="s">
        <v>461</v>
      </c>
      <c r="K147" s="208">
        <v>128</v>
      </c>
      <c r="L147" s="209">
        <v>1212</v>
      </c>
      <c r="M147" s="271">
        <f t="shared" si="22"/>
        <v>3.361195387508112E-3</v>
      </c>
      <c r="N147" s="229">
        <f t="shared" si="23"/>
        <v>90.752275462719027</v>
      </c>
      <c r="O147" s="229">
        <f t="shared" si="24"/>
        <v>1270.5318564780664</v>
      </c>
      <c r="P147" s="207">
        <v>93</v>
      </c>
      <c r="Q147" s="205">
        <v>1344</v>
      </c>
      <c r="R147" s="272">
        <f t="shared" si="25"/>
        <v>4.6286410943430015E-3</v>
      </c>
      <c r="S147" s="269">
        <f t="shared" si="26"/>
        <v>109.59960876962178</v>
      </c>
      <c r="T147" s="269">
        <f t="shared" si="27"/>
        <v>1534.3945227747049</v>
      </c>
      <c r="U147" s="207">
        <v>63</v>
      </c>
      <c r="V147" s="205">
        <v>1000</v>
      </c>
      <c r="W147" s="194">
        <f t="shared" si="28"/>
        <v>3.3872814356653638E-3</v>
      </c>
      <c r="X147" s="195">
        <f t="shared" si="29"/>
        <v>83.465295366102211</v>
      </c>
      <c r="Y147" s="201">
        <f t="shared" si="30"/>
        <v>1168.514135125431</v>
      </c>
      <c r="Z147" s="273">
        <f t="shared" si="31"/>
        <v>283.81717959844303</v>
      </c>
      <c r="AA147" s="203">
        <f t="shared" si="31"/>
        <v>3973.4405143782024</v>
      </c>
      <c r="AB147" s="203">
        <f t="shared" si="32"/>
        <v>94.605726532814344</v>
      </c>
      <c r="AC147" s="203">
        <f t="shared" si="32"/>
        <v>1324.4801714594007</v>
      </c>
    </row>
    <row r="148" spans="1:29" x14ac:dyDescent="0.6">
      <c r="A148" s="187">
        <v>97</v>
      </c>
      <c r="B148" s="152" t="s">
        <v>586</v>
      </c>
      <c r="C148" s="160" t="s">
        <v>587</v>
      </c>
      <c r="D148" s="157" t="s">
        <v>38</v>
      </c>
      <c r="E148" s="162" t="s">
        <v>224</v>
      </c>
      <c r="F148" s="204" t="s">
        <v>840</v>
      </c>
      <c r="G148" s="152"/>
      <c r="H148" s="160"/>
      <c r="I148" s="277"/>
      <c r="J148" s="165" t="s">
        <v>461</v>
      </c>
      <c r="K148" s="208">
        <v>813</v>
      </c>
      <c r="L148" s="209">
        <v>10032</v>
      </c>
      <c r="M148" s="271">
        <f t="shared" si="22"/>
        <v>2.7821379643136451E-2</v>
      </c>
      <c r="N148" s="229">
        <f t="shared" si="23"/>
        <v>751.17725036468426</v>
      </c>
      <c r="O148" s="229">
        <f t="shared" si="24"/>
        <v>10516.481505105579</v>
      </c>
      <c r="P148" s="207">
        <v>11</v>
      </c>
      <c r="Q148" s="205">
        <v>154</v>
      </c>
      <c r="R148" s="272">
        <f t="shared" si="25"/>
        <v>5.3036512539346892E-4</v>
      </c>
      <c r="S148" s="269">
        <f t="shared" si="26"/>
        <v>12.558288504852497</v>
      </c>
      <c r="T148" s="269">
        <f t="shared" si="27"/>
        <v>175.81603906793495</v>
      </c>
      <c r="U148" s="207">
        <v>115</v>
      </c>
      <c r="V148" s="205">
        <v>1610</v>
      </c>
      <c r="W148" s="194">
        <f t="shared" si="28"/>
        <v>5.4535231114212351E-3</v>
      </c>
      <c r="X148" s="195">
        <f t="shared" si="29"/>
        <v>134.37912553942456</v>
      </c>
      <c r="Y148" s="201">
        <f t="shared" si="30"/>
        <v>1881.307757551944</v>
      </c>
      <c r="Z148" s="273">
        <f t="shared" si="31"/>
        <v>898.11466440896129</v>
      </c>
      <c r="AA148" s="203">
        <f t="shared" si="31"/>
        <v>12573.605301725458</v>
      </c>
      <c r="AB148" s="203">
        <f t="shared" si="32"/>
        <v>299.37155480298708</v>
      </c>
      <c r="AC148" s="203">
        <f t="shared" si="32"/>
        <v>4191.2017672418197</v>
      </c>
    </row>
    <row r="149" spans="1:29" s="291" customFormat="1" x14ac:dyDescent="0.6">
      <c r="A149" s="278"/>
      <c r="B149" s="279" t="s">
        <v>1083</v>
      </c>
      <c r="C149" s="280"/>
      <c r="D149" s="279"/>
      <c r="E149" s="281"/>
      <c r="F149" s="282"/>
      <c r="G149" s="279"/>
      <c r="H149" s="280"/>
      <c r="I149" s="283"/>
      <c r="J149" s="284"/>
      <c r="K149" s="285">
        <f t="shared" ref="K149:V149" si="33">SUM(K52:K148)</f>
        <v>25630</v>
      </c>
      <c r="L149" s="286">
        <f t="shared" si="33"/>
        <v>360586</v>
      </c>
      <c r="M149" s="244">
        <f>SUM(M52:M148)</f>
        <v>1.0000000000000002</v>
      </c>
      <c r="N149" s="245">
        <f t="shared" si="23"/>
        <v>27000</v>
      </c>
      <c r="O149" s="245">
        <f>SUM(O52:O148)</f>
        <v>378000</v>
      </c>
      <c r="P149" s="287">
        <f t="shared" si="33"/>
        <v>20252</v>
      </c>
      <c r="Q149" s="288">
        <f t="shared" si="33"/>
        <v>290366</v>
      </c>
      <c r="R149" s="248">
        <f t="shared" si="25"/>
        <v>1</v>
      </c>
      <c r="S149" s="289">
        <f t="shared" si="26"/>
        <v>23678.571428571428</v>
      </c>
      <c r="T149" s="289">
        <f t="shared" si="27"/>
        <v>331500</v>
      </c>
      <c r="U149" s="287">
        <f t="shared" si="33"/>
        <v>20657</v>
      </c>
      <c r="V149" s="288">
        <f t="shared" si="33"/>
        <v>295222</v>
      </c>
      <c r="W149" s="248">
        <f t="shared" si="28"/>
        <v>1</v>
      </c>
      <c r="X149" s="249">
        <f t="shared" si="29"/>
        <v>24640.791428571429</v>
      </c>
      <c r="Y149" s="251">
        <f t="shared" si="30"/>
        <v>344971.08</v>
      </c>
      <c r="Z149" s="290">
        <f t="shared" si="31"/>
        <v>75319.362857142856</v>
      </c>
      <c r="AA149" s="249">
        <f t="shared" si="31"/>
        <v>1054471.08</v>
      </c>
      <c r="AB149" s="249">
        <f t="shared" si="32"/>
        <v>25106.454285714284</v>
      </c>
      <c r="AC149" s="249">
        <f t="shared" si="32"/>
        <v>351490.36000000004</v>
      </c>
    </row>
    <row r="150" spans="1:29" s="300" customFormat="1" x14ac:dyDescent="0.6">
      <c r="A150" s="292"/>
      <c r="B150" s="293" t="s">
        <v>838</v>
      </c>
      <c r="C150" s="293"/>
      <c r="D150" s="255"/>
      <c r="E150" s="293"/>
      <c r="F150" s="294"/>
      <c r="G150" s="295"/>
      <c r="H150" s="295"/>
      <c r="I150" s="293"/>
      <c r="J150" s="296"/>
      <c r="K150" s="297"/>
      <c r="L150" s="298">
        <v>2632400</v>
      </c>
      <c r="M150" s="271"/>
      <c r="N150" s="229">
        <f t="shared" si="23"/>
        <v>0</v>
      </c>
      <c r="O150" s="229">
        <f t="shared" si="24"/>
        <v>0</v>
      </c>
      <c r="P150" s="299"/>
      <c r="Q150" s="296">
        <v>2185076</v>
      </c>
      <c r="R150" s="272"/>
      <c r="S150" s="269"/>
      <c r="T150" s="269"/>
      <c r="U150" s="299"/>
      <c r="V150" s="296">
        <v>2465006</v>
      </c>
      <c r="W150" s="194"/>
      <c r="X150" s="195"/>
      <c r="Y150" s="201"/>
      <c r="Z150" s="273"/>
      <c r="AA150" s="203"/>
      <c r="AB150" s="203"/>
      <c r="AC150" s="203"/>
    </row>
    <row r="151" spans="1:29" s="304" customFormat="1" x14ac:dyDescent="0.6">
      <c r="A151" s="292"/>
      <c r="B151" s="301" t="s">
        <v>839</v>
      </c>
      <c r="C151" s="301"/>
      <c r="D151" s="256"/>
      <c r="E151" s="301"/>
      <c r="F151" s="294"/>
      <c r="G151" s="301"/>
      <c r="H151" s="301"/>
      <c r="I151" s="301"/>
      <c r="J151" s="296"/>
      <c r="K151" s="302"/>
      <c r="L151" s="264">
        <f>L149/L150</f>
        <v>0.13697994225801549</v>
      </c>
      <c r="M151" s="271"/>
      <c r="N151" s="229">
        <f t="shared" si="23"/>
        <v>0</v>
      </c>
      <c r="O151" s="229">
        <f t="shared" si="24"/>
        <v>0</v>
      </c>
      <c r="P151" s="299"/>
      <c r="Q151" s="303">
        <f>Q149/Q150</f>
        <v>0.13288599572737975</v>
      </c>
      <c r="R151" s="272"/>
      <c r="S151" s="269"/>
      <c r="T151" s="269"/>
      <c r="U151" s="299"/>
      <c r="V151" s="303">
        <f>V149/V150</f>
        <v>0.1197652257235885</v>
      </c>
      <c r="W151" s="194"/>
      <c r="X151" s="195"/>
      <c r="Y151" s="201"/>
      <c r="Z151" s="273"/>
      <c r="AA151" s="203"/>
      <c r="AB151" s="203"/>
      <c r="AC151" s="203"/>
    </row>
    <row r="152" spans="1:29" s="291" customFormat="1" ht="43.5" x14ac:dyDescent="0.6">
      <c r="A152" s="278"/>
      <c r="B152" s="279"/>
      <c r="C152" s="280"/>
      <c r="D152" s="279"/>
      <c r="E152" s="281"/>
      <c r="F152" s="282"/>
      <c r="G152" s="279"/>
      <c r="H152" s="280"/>
      <c r="I152" s="283"/>
      <c r="J152" s="284"/>
      <c r="K152" s="285"/>
      <c r="L152" s="286"/>
      <c r="M152" s="175" t="s">
        <v>350</v>
      </c>
      <c r="N152" s="175" t="s">
        <v>353</v>
      </c>
      <c r="O152" s="175" t="s">
        <v>354</v>
      </c>
      <c r="P152" s="287"/>
      <c r="Q152" s="288"/>
      <c r="R152" s="175" t="s">
        <v>350</v>
      </c>
      <c r="S152" s="175" t="s">
        <v>353</v>
      </c>
      <c r="T152" s="175" t="s">
        <v>354</v>
      </c>
      <c r="U152" s="287"/>
      <c r="V152" s="288"/>
      <c r="W152" s="175" t="s">
        <v>350</v>
      </c>
      <c r="X152" s="175" t="s">
        <v>353</v>
      </c>
      <c r="Y152" s="175" t="s">
        <v>354</v>
      </c>
      <c r="Z152" s="273"/>
      <c r="AA152" s="203"/>
      <c r="AB152" s="203"/>
      <c r="AC152" s="203"/>
    </row>
    <row r="153" spans="1:29" s="291" customFormat="1" x14ac:dyDescent="0.6">
      <c r="A153" s="278"/>
      <c r="B153" s="279"/>
      <c r="C153" s="280"/>
      <c r="D153" s="279"/>
      <c r="E153" s="281"/>
      <c r="F153" s="282"/>
      <c r="G153" s="279"/>
      <c r="H153" s="280"/>
      <c r="I153" s="283"/>
      <c r="J153" s="284"/>
      <c r="K153" s="285"/>
      <c r="L153" s="286"/>
      <c r="M153" s="175"/>
      <c r="N153" s="175"/>
      <c r="O153" s="175"/>
      <c r="P153" s="287"/>
      <c r="Q153" s="288"/>
      <c r="R153" s="263"/>
      <c r="S153" s="263"/>
      <c r="T153" s="263"/>
      <c r="U153" s="287"/>
      <c r="V153" s="288"/>
      <c r="W153" s="195"/>
      <c r="X153" s="195"/>
      <c r="Y153" s="201"/>
      <c r="Z153" s="280"/>
      <c r="AA153" s="280"/>
      <c r="AB153" s="280"/>
      <c r="AC153" s="280"/>
    </row>
    <row r="154" spans="1:29" s="308" customFormat="1" x14ac:dyDescent="0.6">
      <c r="A154" s="187">
        <v>1</v>
      </c>
      <c r="B154" s="155" t="s">
        <v>588</v>
      </c>
      <c r="C154" s="155" t="s">
        <v>589</v>
      </c>
      <c r="D154" s="155" t="s">
        <v>35</v>
      </c>
      <c r="E154" s="162" t="s">
        <v>215</v>
      </c>
      <c r="F154" s="204" t="s">
        <v>351</v>
      </c>
      <c r="G154" s="155"/>
      <c r="H154" s="305"/>
      <c r="I154" s="306" t="s">
        <v>1084</v>
      </c>
      <c r="J154" s="165" t="s">
        <v>1085</v>
      </c>
      <c r="K154" s="208"/>
      <c r="L154" s="209"/>
      <c r="M154" s="229"/>
      <c r="N154" s="229"/>
      <c r="O154" s="229"/>
      <c r="P154" s="207"/>
      <c r="Q154" s="205"/>
      <c r="R154" s="263"/>
      <c r="S154" s="263"/>
      <c r="T154" s="263"/>
      <c r="U154" s="207"/>
      <c r="V154" s="205"/>
      <c r="W154" s="195"/>
      <c r="X154" s="195"/>
      <c r="Y154" s="201"/>
      <c r="Z154" s="307"/>
      <c r="AA154" s="305"/>
      <c r="AB154" s="305"/>
      <c r="AC154" s="305"/>
    </row>
    <row r="155" spans="1:29" s="308" customFormat="1" x14ac:dyDescent="0.6">
      <c r="A155" s="187">
        <v>2</v>
      </c>
      <c r="B155" s="155" t="s">
        <v>590</v>
      </c>
      <c r="C155" s="155" t="s">
        <v>591</v>
      </c>
      <c r="D155" s="155" t="s">
        <v>35</v>
      </c>
      <c r="E155" s="162" t="s">
        <v>215</v>
      </c>
      <c r="F155" s="204" t="s">
        <v>351</v>
      </c>
      <c r="G155" s="155"/>
      <c r="H155" s="305"/>
      <c r="I155" s="309" t="s">
        <v>1086</v>
      </c>
      <c r="J155" s="165" t="s">
        <v>1085</v>
      </c>
      <c r="K155" s="208"/>
      <c r="L155" s="209"/>
      <c r="M155" s="229"/>
      <c r="N155" s="229"/>
      <c r="O155" s="229"/>
      <c r="P155" s="207"/>
      <c r="Q155" s="205"/>
      <c r="R155" s="263"/>
      <c r="S155" s="263"/>
      <c r="T155" s="263"/>
      <c r="U155" s="207"/>
      <c r="V155" s="205"/>
      <c r="W155" s="195"/>
      <c r="X155" s="195"/>
      <c r="Y155" s="201"/>
      <c r="Z155" s="307"/>
      <c r="AA155" s="305"/>
      <c r="AB155" s="305"/>
      <c r="AC155" s="305"/>
    </row>
    <row r="156" spans="1:29" s="308" customFormat="1" x14ac:dyDescent="0.6">
      <c r="A156" s="187">
        <v>3</v>
      </c>
      <c r="B156" s="155" t="s">
        <v>592</v>
      </c>
      <c r="C156" s="155" t="s">
        <v>593</v>
      </c>
      <c r="D156" s="155" t="s">
        <v>594</v>
      </c>
      <c r="E156" s="162" t="s">
        <v>595</v>
      </c>
      <c r="F156" s="204" t="s">
        <v>351</v>
      </c>
      <c r="G156" s="155"/>
      <c r="H156" s="305"/>
      <c r="I156" s="309" t="s">
        <v>1087</v>
      </c>
      <c r="J156" s="165" t="s">
        <v>1085</v>
      </c>
      <c r="K156" s="208"/>
      <c r="L156" s="209"/>
      <c r="M156" s="229"/>
      <c r="N156" s="229"/>
      <c r="O156" s="229"/>
      <c r="P156" s="207"/>
      <c r="Q156" s="205"/>
      <c r="R156" s="263"/>
      <c r="S156" s="263"/>
      <c r="T156" s="263"/>
      <c r="U156" s="207"/>
      <c r="V156" s="205"/>
      <c r="W156" s="195"/>
      <c r="X156" s="195"/>
      <c r="Y156" s="201"/>
      <c r="Z156" s="307"/>
      <c r="AA156" s="305"/>
      <c r="AB156" s="305"/>
      <c r="AC156" s="305"/>
    </row>
    <row r="157" spans="1:29" s="308" customFormat="1" x14ac:dyDescent="0.6">
      <c r="A157" s="187">
        <v>4</v>
      </c>
      <c r="B157" s="155" t="s">
        <v>596</v>
      </c>
      <c r="C157" s="155" t="s">
        <v>597</v>
      </c>
      <c r="D157" s="155" t="s">
        <v>35</v>
      </c>
      <c r="E157" s="162" t="s">
        <v>215</v>
      </c>
      <c r="F157" s="204" t="s">
        <v>351</v>
      </c>
      <c r="G157" s="155"/>
      <c r="H157" s="305"/>
      <c r="I157" s="309" t="s">
        <v>1088</v>
      </c>
      <c r="J157" s="165" t="s">
        <v>1085</v>
      </c>
      <c r="K157" s="208"/>
      <c r="L157" s="209"/>
      <c r="M157" s="229"/>
      <c r="N157" s="229"/>
      <c r="O157" s="229"/>
      <c r="P157" s="207"/>
      <c r="Q157" s="205"/>
      <c r="R157" s="263"/>
      <c r="S157" s="263"/>
      <c r="T157" s="263"/>
      <c r="U157" s="207"/>
      <c r="V157" s="205"/>
      <c r="W157" s="195"/>
      <c r="X157" s="195"/>
      <c r="Y157" s="201"/>
      <c r="Z157" s="307"/>
      <c r="AA157" s="305"/>
      <c r="AB157" s="305"/>
      <c r="AC157" s="305"/>
    </row>
    <row r="158" spans="1:29" s="308" customFormat="1" x14ac:dyDescent="0.6">
      <c r="A158" s="187">
        <v>5</v>
      </c>
      <c r="B158" s="155" t="s">
        <v>598</v>
      </c>
      <c r="C158" s="155" t="s">
        <v>599</v>
      </c>
      <c r="D158" s="155" t="s">
        <v>35</v>
      </c>
      <c r="E158" s="162" t="s">
        <v>215</v>
      </c>
      <c r="F158" s="204" t="s">
        <v>351</v>
      </c>
      <c r="G158" s="155"/>
      <c r="H158" s="305"/>
      <c r="I158" s="309" t="s">
        <v>1089</v>
      </c>
      <c r="J158" s="165" t="s">
        <v>1085</v>
      </c>
      <c r="K158" s="208"/>
      <c r="L158" s="209"/>
      <c r="M158" s="229"/>
      <c r="N158" s="229"/>
      <c r="O158" s="229"/>
      <c r="P158" s="207"/>
      <c r="Q158" s="205"/>
      <c r="R158" s="263"/>
      <c r="S158" s="263"/>
      <c r="T158" s="263"/>
      <c r="U158" s="207"/>
      <c r="V158" s="205"/>
      <c r="W158" s="195"/>
      <c r="X158" s="195"/>
      <c r="Y158" s="201"/>
      <c r="Z158" s="307"/>
      <c r="AA158" s="305"/>
      <c r="AB158" s="305"/>
      <c r="AC158" s="305"/>
    </row>
    <row r="159" spans="1:29" s="308" customFormat="1" ht="42" x14ac:dyDescent="0.6">
      <c r="A159" s="187">
        <v>6</v>
      </c>
      <c r="B159" s="155" t="s">
        <v>600</v>
      </c>
      <c r="C159" s="155" t="s">
        <v>601</v>
      </c>
      <c r="D159" s="155" t="s">
        <v>35</v>
      </c>
      <c r="E159" s="162" t="s">
        <v>215</v>
      </c>
      <c r="F159" s="204" t="s">
        <v>351</v>
      </c>
      <c r="G159" s="155"/>
      <c r="H159" s="305"/>
      <c r="I159" s="310" t="s">
        <v>1090</v>
      </c>
      <c r="J159" s="165" t="s">
        <v>1085</v>
      </c>
      <c r="K159" s="208"/>
      <c r="L159" s="209"/>
      <c r="M159" s="229"/>
      <c r="N159" s="229"/>
      <c r="O159" s="229"/>
      <c r="P159" s="207"/>
      <c r="Q159" s="205"/>
      <c r="R159" s="263"/>
      <c r="S159" s="263"/>
      <c r="T159" s="263"/>
      <c r="U159" s="207"/>
      <c r="V159" s="205"/>
      <c r="W159" s="195"/>
      <c r="X159" s="195"/>
      <c r="Y159" s="201"/>
      <c r="Z159" s="307"/>
      <c r="AA159" s="305"/>
      <c r="AB159" s="305"/>
      <c r="AC159" s="305"/>
    </row>
    <row r="160" spans="1:29" s="308" customFormat="1" ht="22.5" thickBot="1" x14ac:dyDescent="0.65">
      <c r="A160" s="187">
        <v>7</v>
      </c>
      <c r="B160" s="155" t="s">
        <v>602</v>
      </c>
      <c r="C160" s="155" t="s">
        <v>603</v>
      </c>
      <c r="D160" s="155" t="s">
        <v>35</v>
      </c>
      <c r="E160" s="162" t="s">
        <v>215</v>
      </c>
      <c r="F160" s="204" t="s">
        <v>351</v>
      </c>
      <c r="G160" s="155"/>
      <c r="H160" s="305"/>
      <c r="I160" s="309" t="s">
        <v>1091</v>
      </c>
      <c r="J160" s="165" t="s">
        <v>1085</v>
      </c>
      <c r="K160" s="208"/>
      <c r="L160" s="209"/>
      <c r="M160" s="229"/>
      <c r="N160" s="229"/>
      <c r="O160" s="229"/>
      <c r="P160" s="207"/>
      <c r="Q160" s="205"/>
      <c r="R160" s="263"/>
      <c r="S160" s="263"/>
      <c r="T160" s="263"/>
      <c r="U160" s="207"/>
      <c r="V160" s="205"/>
      <c r="W160" s="195"/>
      <c r="X160" s="195"/>
      <c r="Y160" s="201"/>
      <c r="Z160" s="307"/>
      <c r="AA160" s="305"/>
      <c r="AB160" s="305"/>
      <c r="AC160" s="305"/>
    </row>
    <row r="161" spans="1:29" s="308" customFormat="1" ht="22.5" thickBot="1" x14ac:dyDescent="0.65">
      <c r="A161" s="187">
        <v>8</v>
      </c>
      <c r="B161" s="155" t="s">
        <v>604</v>
      </c>
      <c r="C161" s="155" t="s">
        <v>605</v>
      </c>
      <c r="D161" s="155" t="s">
        <v>35</v>
      </c>
      <c r="E161" s="162" t="s">
        <v>215</v>
      </c>
      <c r="F161" s="204" t="s">
        <v>351</v>
      </c>
      <c r="G161" s="311" t="s">
        <v>604</v>
      </c>
      <c r="H161" s="312" t="s">
        <v>605</v>
      </c>
      <c r="I161" s="309" t="s">
        <v>1092</v>
      </c>
      <c r="J161" s="165" t="s">
        <v>1085</v>
      </c>
      <c r="K161" s="208"/>
      <c r="L161" s="209"/>
      <c r="M161" s="229"/>
      <c r="N161" s="229"/>
      <c r="O161" s="229"/>
      <c r="P161" s="207"/>
      <c r="Q161" s="205"/>
      <c r="R161" s="263"/>
      <c r="S161" s="263"/>
      <c r="T161" s="263"/>
      <c r="U161" s="207"/>
      <c r="V161" s="205"/>
      <c r="W161" s="195"/>
      <c r="X161" s="195"/>
      <c r="Y161" s="201"/>
      <c r="Z161" s="307"/>
      <c r="AA161" s="305"/>
      <c r="AB161" s="305"/>
      <c r="AC161" s="305"/>
    </row>
    <row r="162" spans="1:29" s="308" customFormat="1" x14ac:dyDescent="0.6">
      <c r="A162" s="187">
        <v>9</v>
      </c>
      <c r="B162" s="155" t="s">
        <v>606</v>
      </c>
      <c r="C162" s="155" t="s">
        <v>607</v>
      </c>
      <c r="D162" s="155" t="s">
        <v>35</v>
      </c>
      <c r="E162" s="162" t="s">
        <v>215</v>
      </c>
      <c r="F162" s="204" t="s">
        <v>351</v>
      </c>
      <c r="G162" s="155"/>
      <c r="H162" s="305"/>
      <c r="I162" s="11" t="s">
        <v>1093</v>
      </c>
      <c r="J162" s="165" t="s">
        <v>1085</v>
      </c>
      <c r="K162" s="208"/>
      <c r="L162" s="209"/>
      <c r="M162" s="229"/>
      <c r="N162" s="229"/>
      <c r="O162" s="229"/>
      <c r="P162" s="207"/>
      <c r="Q162" s="205"/>
      <c r="R162" s="263"/>
      <c r="S162" s="263"/>
      <c r="T162" s="263"/>
      <c r="U162" s="207"/>
      <c r="V162" s="205"/>
      <c r="W162" s="195"/>
      <c r="X162" s="195"/>
      <c r="Y162" s="201"/>
      <c r="Z162" s="307"/>
      <c r="AA162" s="305"/>
      <c r="AB162" s="305"/>
      <c r="AC162" s="305"/>
    </row>
    <row r="163" spans="1:29" s="308" customFormat="1" x14ac:dyDescent="0.6">
      <c r="A163" s="187">
        <v>10</v>
      </c>
      <c r="B163" s="155" t="s">
        <v>608</v>
      </c>
      <c r="C163" s="155" t="s">
        <v>609</v>
      </c>
      <c r="D163" s="155" t="s">
        <v>35</v>
      </c>
      <c r="E163" s="162" t="s">
        <v>215</v>
      </c>
      <c r="F163" s="204" t="s">
        <v>351</v>
      </c>
      <c r="G163" s="155"/>
      <c r="H163" s="305"/>
      <c r="I163" s="11" t="s">
        <v>1094</v>
      </c>
      <c r="J163" s="165" t="s">
        <v>1085</v>
      </c>
      <c r="K163" s="208"/>
      <c r="L163" s="209"/>
      <c r="M163" s="229"/>
      <c r="N163" s="229"/>
      <c r="O163" s="229"/>
      <c r="P163" s="207"/>
      <c r="Q163" s="205"/>
      <c r="R163" s="263"/>
      <c r="S163" s="263"/>
      <c r="T163" s="263"/>
      <c r="U163" s="207"/>
      <c r="V163" s="205"/>
      <c r="W163" s="195"/>
      <c r="X163" s="195"/>
      <c r="Y163" s="201"/>
      <c r="Z163" s="307"/>
      <c r="AA163" s="305"/>
      <c r="AB163" s="305"/>
      <c r="AC163" s="305"/>
    </row>
    <row r="164" spans="1:29" s="308" customFormat="1" x14ac:dyDescent="0.6">
      <c r="A164" s="187">
        <v>11</v>
      </c>
      <c r="B164" s="155" t="s">
        <v>610</v>
      </c>
      <c r="C164" s="155" t="s">
        <v>611</v>
      </c>
      <c r="D164" s="155" t="s">
        <v>35</v>
      </c>
      <c r="E164" s="162" t="s">
        <v>215</v>
      </c>
      <c r="F164" s="204" t="s">
        <v>351</v>
      </c>
      <c r="G164" s="155"/>
      <c r="H164" s="305"/>
      <c r="I164" s="309" t="s">
        <v>1095</v>
      </c>
      <c r="J164" s="165" t="s">
        <v>1085</v>
      </c>
      <c r="K164" s="208"/>
      <c r="L164" s="209"/>
      <c r="M164" s="229"/>
      <c r="N164" s="229"/>
      <c r="O164" s="229"/>
      <c r="P164" s="207"/>
      <c r="Q164" s="205"/>
      <c r="R164" s="263"/>
      <c r="S164" s="263"/>
      <c r="T164" s="263"/>
      <c r="U164" s="207"/>
      <c r="V164" s="205"/>
      <c r="W164" s="195"/>
      <c r="X164" s="195"/>
      <c r="Y164" s="201"/>
      <c r="Z164" s="307"/>
      <c r="AA164" s="305"/>
      <c r="AB164" s="305"/>
      <c r="AC164" s="305"/>
    </row>
    <row r="165" spans="1:29" s="308" customFormat="1" x14ac:dyDescent="0.6">
      <c r="A165" s="187">
        <v>12</v>
      </c>
      <c r="B165" s="155" t="s">
        <v>612</v>
      </c>
      <c r="C165" s="155" t="s">
        <v>613</v>
      </c>
      <c r="D165" s="155" t="s">
        <v>574</v>
      </c>
      <c r="E165" s="162" t="s">
        <v>162</v>
      </c>
      <c r="F165" s="204" t="s">
        <v>351</v>
      </c>
      <c r="G165" s="155"/>
      <c r="H165" s="305"/>
      <c r="I165" s="309" t="s">
        <v>1096</v>
      </c>
      <c r="J165" s="165" t="s">
        <v>1097</v>
      </c>
      <c r="K165" s="208"/>
      <c r="L165" s="209"/>
      <c r="M165" s="229"/>
      <c r="N165" s="229"/>
      <c r="O165" s="229"/>
      <c r="P165" s="207"/>
      <c r="Q165" s="205"/>
      <c r="R165" s="263"/>
      <c r="S165" s="263"/>
      <c r="T165" s="263"/>
      <c r="U165" s="207"/>
      <c r="V165" s="205"/>
      <c r="W165" s="195"/>
      <c r="X165" s="195"/>
      <c r="Y165" s="201"/>
      <c r="Z165" s="307"/>
      <c r="AA165" s="305"/>
      <c r="AB165" s="305"/>
      <c r="AC165" s="305"/>
    </row>
    <row r="166" spans="1:29" s="308" customFormat="1" x14ac:dyDescent="0.6">
      <c r="A166" s="187">
        <v>13</v>
      </c>
      <c r="B166" s="155" t="s">
        <v>614</v>
      </c>
      <c r="C166" s="155" t="s">
        <v>615</v>
      </c>
      <c r="D166" s="155" t="s">
        <v>574</v>
      </c>
      <c r="E166" s="162" t="s">
        <v>162</v>
      </c>
      <c r="F166" s="204" t="s">
        <v>351</v>
      </c>
      <c r="G166" s="155"/>
      <c r="H166" s="305"/>
      <c r="I166" s="11" t="s">
        <v>1098</v>
      </c>
      <c r="J166" s="165" t="s">
        <v>1097</v>
      </c>
      <c r="K166" s="208"/>
      <c r="L166" s="209"/>
      <c r="M166" s="229"/>
      <c r="N166" s="229"/>
      <c r="O166" s="229"/>
      <c r="P166" s="207"/>
      <c r="Q166" s="205"/>
      <c r="R166" s="263"/>
      <c r="S166" s="263"/>
      <c r="T166" s="263"/>
      <c r="U166" s="207"/>
      <c r="V166" s="205"/>
      <c r="W166" s="195"/>
      <c r="X166" s="195"/>
      <c r="Y166" s="201"/>
      <c r="Z166" s="307"/>
      <c r="AA166" s="305"/>
      <c r="AB166" s="305"/>
      <c r="AC166" s="305"/>
    </row>
    <row r="167" spans="1:29" s="308" customFormat="1" x14ac:dyDescent="0.6">
      <c r="A167" s="187">
        <v>14</v>
      </c>
      <c r="B167" s="155" t="s">
        <v>616</v>
      </c>
      <c r="C167" s="155" t="s">
        <v>617</v>
      </c>
      <c r="D167" s="155" t="s">
        <v>574</v>
      </c>
      <c r="E167" s="162" t="s">
        <v>162</v>
      </c>
      <c r="F167" s="204" t="s">
        <v>351</v>
      </c>
      <c r="G167" s="155"/>
      <c r="H167" s="305"/>
      <c r="I167" s="11" t="s">
        <v>1099</v>
      </c>
      <c r="J167" s="165" t="s">
        <v>1097</v>
      </c>
      <c r="K167" s="208"/>
      <c r="L167" s="209"/>
      <c r="M167" s="229"/>
      <c r="N167" s="229"/>
      <c r="O167" s="229"/>
      <c r="P167" s="207"/>
      <c r="Q167" s="205"/>
      <c r="R167" s="263"/>
      <c r="S167" s="263"/>
      <c r="T167" s="263"/>
      <c r="U167" s="207"/>
      <c r="V167" s="205"/>
      <c r="W167" s="195"/>
      <c r="X167" s="195"/>
      <c r="Y167" s="201"/>
      <c r="Z167" s="307"/>
      <c r="AA167" s="305"/>
      <c r="AB167" s="305"/>
      <c r="AC167" s="305"/>
    </row>
    <row r="168" spans="1:29" s="308" customFormat="1" x14ac:dyDescent="0.6">
      <c r="A168" s="187">
        <v>15</v>
      </c>
      <c r="B168" s="155" t="s">
        <v>618</v>
      </c>
      <c r="C168" s="155" t="s">
        <v>619</v>
      </c>
      <c r="D168" s="155" t="s">
        <v>56</v>
      </c>
      <c r="E168" s="162" t="s">
        <v>620</v>
      </c>
      <c r="F168" s="204" t="s">
        <v>351</v>
      </c>
      <c r="G168" s="155"/>
      <c r="H168" s="305"/>
      <c r="I168" s="309" t="s">
        <v>1100</v>
      </c>
      <c r="J168" s="165" t="s">
        <v>1097</v>
      </c>
      <c r="K168" s="208"/>
      <c r="L168" s="209"/>
      <c r="M168" s="229"/>
      <c r="N168" s="229"/>
      <c r="O168" s="229"/>
      <c r="P168" s="207"/>
      <c r="Q168" s="205"/>
      <c r="R168" s="263"/>
      <c r="S168" s="263"/>
      <c r="T168" s="263"/>
      <c r="U168" s="207"/>
      <c r="V168" s="205"/>
      <c r="W168" s="195"/>
      <c r="X168" s="195"/>
      <c r="Y168" s="201"/>
      <c r="Z168" s="307"/>
      <c r="AA168" s="305"/>
      <c r="AB168" s="305"/>
      <c r="AC168" s="305"/>
    </row>
    <row r="169" spans="1:29" s="308" customFormat="1" x14ac:dyDescent="0.6">
      <c r="A169" s="187">
        <v>16</v>
      </c>
      <c r="B169" s="155" t="s">
        <v>621</v>
      </c>
      <c r="C169" s="155" t="s">
        <v>622</v>
      </c>
      <c r="D169" s="155" t="s">
        <v>56</v>
      </c>
      <c r="E169" s="162" t="s">
        <v>620</v>
      </c>
      <c r="F169" s="204" t="s">
        <v>351</v>
      </c>
      <c r="G169" s="155"/>
      <c r="H169" s="305"/>
      <c r="I169" s="309" t="s">
        <v>1101</v>
      </c>
      <c r="J169" s="165" t="s">
        <v>1097</v>
      </c>
      <c r="K169" s="208"/>
      <c r="L169" s="209"/>
      <c r="M169" s="229"/>
      <c r="N169" s="229"/>
      <c r="O169" s="229"/>
      <c r="P169" s="207"/>
      <c r="Q169" s="205"/>
      <c r="R169" s="263"/>
      <c r="S169" s="263"/>
      <c r="T169" s="263"/>
      <c r="U169" s="207"/>
      <c r="V169" s="205"/>
      <c r="W169" s="195"/>
      <c r="X169" s="195"/>
      <c r="Y169" s="201"/>
      <c r="Z169" s="307"/>
      <c r="AA169" s="305"/>
      <c r="AB169" s="305"/>
      <c r="AC169" s="305"/>
    </row>
    <row r="170" spans="1:29" s="308" customFormat="1" x14ac:dyDescent="0.6">
      <c r="A170" s="187">
        <v>17</v>
      </c>
      <c r="B170" s="155" t="s">
        <v>623</v>
      </c>
      <c r="C170" s="155" t="s">
        <v>624</v>
      </c>
      <c r="D170" s="155" t="s">
        <v>56</v>
      </c>
      <c r="E170" s="162" t="s">
        <v>620</v>
      </c>
      <c r="F170" s="204" t="s">
        <v>351</v>
      </c>
      <c r="G170" s="155"/>
      <c r="H170" s="305"/>
      <c r="I170" s="309" t="s">
        <v>1102</v>
      </c>
      <c r="J170" s="165" t="s">
        <v>1097</v>
      </c>
      <c r="K170" s="208"/>
      <c r="L170" s="209"/>
      <c r="M170" s="229"/>
      <c r="N170" s="229"/>
      <c r="O170" s="229"/>
      <c r="P170" s="207"/>
      <c r="Q170" s="205"/>
      <c r="R170" s="263"/>
      <c r="S170" s="263"/>
      <c r="T170" s="263"/>
      <c r="U170" s="207"/>
      <c r="V170" s="205"/>
      <c r="W170" s="195"/>
      <c r="X170" s="195"/>
      <c r="Y170" s="201"/>
      <c r="Z170" s="307"/>
      <c r="AA170" s="305"/>
      <c r="AB170" s="305"/>
      <c r="AC170" s="305"/>
    </row>
    <row r="171" spans="1:29" s="308" customFormat="1" x14ac:dyDescent="0.6">
      <c r="A171" s="187">
        <v>18</v>
      </c>
      <c r="B171" s="155" t="s">
        <v>625</v>
      </c>
      <c r="C171" s="155" t="s">
        <v>626</v>
      </c>
      <c r="D171" s="155" t="s">
        <v>56</v>
      </c>
      <c r="E171" s="162" t="s">
        <v>620</v>
      </c>
      <c r="F171" s="204" t="s">
        <v>351</v>
      </c>
      <c r="G171" s="155"/>
      <c r="H171" s="305"/>
      <c r="I171" s="309" t="s">
        <v>1103</v>
      </c>
      <c r="J171" s="165" t="s">
        <v>1097</v>
      </c>
      <c r="K171" s="208"/>
      <c r="L171" s="209"/>
      <c r="M171" s="229"/>
      <c r="N171" s="229"/>
      <c r="O171" s="229"/>
      <c r="P171" s="207"/>
      <c r="Q171" s="205"/>
      <c r="R171" s="263"/>
      <c r="S171" s="263"/>
      <c r="T171" s="263"/>
      <c r="U171" s="207"/>
      <c r="V171" s="205"/>
      <c r="W171" s="195"/>
      <c r="X171" s="195"/>
      <c r="Y171" s="201"/>
      <c r="Z171" s="307"/>
      <c r="AA171" s="305"/>
      <c r="AB171" s="305"/>
      <c r="AC171" s="305"/>
    </row>
    <row r="172" spans="1:29" s="308" customFormat="1" x14ac:dyDescent="0.6">
      <c r="A172" s="187">
        <v>19</v>
      </c>
      <c r="B172" s="155" t="s">
        <v>627</v>
      </c>
      <c r="C172" s="155" t="s">
        <v>628</v>
      </c>
      <c r="D172" s="155" t="s">
        <v>56</v>
      </c>
      <c r="E172" s="162" t="s">
        <v>620</v>
      </c>
      <c r="F172" s="204" t="s">
        <v>351</v>
      </c>
      <c r="G172" s="155"/>
      <c r="H172" s="305"/>
      <c r="I172" s="309" t="s">
        <v>1104</v>
      </c>
      <c r="J172" s="165" t="s">
        <v>1097</v>
      </c>
      <c r="K172" s="208"/>
      <c r="L172" s="209"/>
      <c r="M172" s="229"/>
      <c r="N172" s="229"/>
      <c r="O172" s="229"/>
      <c r="P172" s="207"/>
      <c r="Q172" s="205"/>
      <c r="R172" s="263"/>
      <c r="S172" s="263"/>
      <c r="T172" s="263"/>
      <c r="U172" s="207"/>
      <c r="V172" s="205"/>
      <c r="W172" s="195"/>
      <c r="X172" s="195"/>
      <c r="Y172" s="201"/>
      <c r="Z172" s="307"/>
      <c r="AA172" s="305"/>
      <c r="AB172" s="305"/>
      <c r="AC172" s="305"/>
    </row>
    <row r="173" spans="1:29" s="308" customFormat="1" x14ac:dyDescent="0.6">
      <c r="A173" s="187">
        <v>20</v>
      </c>
      <c r="B173" s="155" t="s">
        <v>629</v>
      </c>
      <c r="C173" s="155" t="s">
        <v>630</v>
      </c>
      <c r="D173" s="155" t="s">
        <v>56</v>
      </c>
      <c r="E173" s="162" t="s">
        <v>620</v>
      </c>
      <c r="F173" s="204" t="s">
        <v>351</v>
      </c>
      <c r="G173" s="155"/>
      <c r="H173" s="305"/>
      <c r="I173" s="309" t="s">
        <v>1105</v>
      </c>
      <c r="J173" s="165" t="s">
        <v>1097</v>
      </c>
      <c r="K173" s="208"/>
      <c r="L173" s="209"/>
      <c r="M173" s="229"/>
      <c r="N173" s="229"/>
      <c r="O173" s="229"/>
      <c r="P173" s="207"/>
      <c r="Q173" s="205"/>
      <c r="R173" s="263"/>
      <c r="S173" s="263"/>
      <c r="T173" s="263"/>
      <c r="U173" s="207"/>
      <c r="V173" s="205"/>
      <c r="W173" s="195"/>
      <c r="X173" s="195"/>
      <c r="Y173" s="201"/>
      <c r="Z173" s="307"/>
      <c r="AA173" s="305"/>
      <c r="AB173" s="305"/>
      <c r="AC173" s="305"/>
    </row>
    <row r="174" spans="1:29" s="308" customFormat="1" x14ac:dyDescent="0.6">
      <c r="A174" s="187">
        <v>21</v>
      </c>
      <c r="B174" s="155" t="s">
        <v>631</v>
      </c>
      <c r="C174" s="155" t="s">
        <v>632</v>
      </c>
      <c r="D174" s="155" t="s">
        <v>56</v>
      </c>
      <c r="E174" s="162" t="s">
        <v>620</v>
      </c>
      <c r="F174" s="204" t="s">
        <v>351</v>
      </c>
      <c r="G174" s="155"/>
      <c r="H174" s="305"/>
      <c r="I174" s="309" t="s">
        <v>1106</v>
      </c>
      <c r="J174" s="165" t="s">
        <v>1097</v>
      </c>
      <c r="K174" s="208"/>
      <c r="L174" s="209"/>
      <c r="M174" s="229"/>
      <c r="N174" s="229"/>
      <c r="O174" s="229"/>
      <c r="P174" s="207"/>
      <c r="Q174" s="205"/>
      <c r="R174" s="263"/>
      <c r="S174" s="263"/>
      <c r="T174" s="263"/>
      <c r="U174" s="207"/>
      <c r="V174" s="205"/>
      <c r="W174" s="195"/>
      <c r="X174" s="195"/>
      <c r="Y174" s="201"/>
      <c r="Z174" s="307"/>
      <c r="AA174" s="305"/>
      <c r="AB174" s="305"/>
      <c r="AC174" s="305"/>
    </row>
    <row r="175" spans="1:29" s="308" customFormat="1" x14ac:dyDescent="0.6">
      <c r="A175" s="187">
        <v>22</v>
      </c>
      <c r="B175" s="155">
        <v>494</v>
      </c>
      <c r="C175" s="155">
        <v>494</v>
      </c>
      <c r="D175" s="155" t="s">
        <v>56</v>
      </c>
      <c r="E175" s="162" t="s">
        <v>620</v>
      </c>
      <c r="F175" s="204" t="s">
        <v>351</v>
      </c>
      <c r="G175" s="155"/>
      <c r="H175" s="305"/>
      <c r="I175" s="309" t="s">
        <v>1107</v>
      </c>
      <c r="J175" s="165" t="s">
        <v>1097</v>
      </c>
      <c r="K175" s="208"/>
      <c r="L175" s="209"/>
      <c r="M175" s="229"/>
      <c r="N175" s="229"/>
      <c r="O175" s="229"/>
      <c r="P175" s="207"/>
      <c r="Q175" s="205"/>
      <c r="R175" s="263"/>
      <c r="S175" s="263"/>
      <c r="T175" s="263"/>
      <c r="U175" s="207"/>
      <c r="V175" s="205"/>
      <c r="W175" s="195"/>
      <c r="X175" s="195"/>
      <c r="Y175" s="201"/>
      <c r="Z175" s="307"/>
      <c r="AA175" s="305"/>
      <c r="AB175" s="305"/>
      <c r="AC175" s="305"/>
    </row>
    <row r="176" spans="1:29" s="308" customFormat="1" x14ac:dyDescent="0.6">
      <c r="A176" s="187">
        <v>23</v>
      </c>
      <c r="B176" s="155" t="s">
        <v>633</v>
      </c>
      <c r="C176" s="155" t="s">
        <v>633</v>
      </c>
      <c r="D176" s="155" t="s">
        <v>47</v>
      </c>
      <c r="E176" s="162" t="s">
        <v>255</v>
      </c>
      <c r="F176" s="204" t="s">
        <v>351</v>
      </c>
      <c r="G176" s="155"/>
      <c r="H176" s="305"/>
      <c r="I176" s="309" t="s">
        <v>1108</v>
      </c>
      <c r="J176" s="165" t="s">
        <v>1097</v>
      </c>
      <c r="K176" s="208"/>
      <c r="L176" s="209"/>
      <c r="M176" s="229"/>
      <c r="N176" s="229"/>
      <c r="O176" s="229"/>
      <c r="P176" s="207"/>
      <c r="Q176" s="205"/>
      <c r="R176" s="263"/>
      <c r="S176" s="263"/>
      <c r="T176" s="263"/>
      <c r="U176" s="207"/>
      <c r="V176" s="205"/>
      <c r="W176" s="195"/>
      <c r="X176" s="195"/>
      <c r="Y176" s="201"/>
      <c r="Z176" s="307"/>
      <c r="AA176" s="305"/>
      <c r="AB176" s="305"/>
      <c r="AC176" s="305"/>
    </row>
    <row r="177" spans="1:29" s="308" customFormat="1" x14ac:dyDescent="0.6">
      <c r="A177" s="187">
        <v>24</v>
      </c>
      <c r="B177" s="155" t="s">
        <v>634</v>
      </c>
      <c r="C177" s="155" t="s">
        <v>634</v>
      </c>
      <c r="D177" s="155" t="s">
        <v>56</v>
      </c>
      <c r="E177" s="162" t="s">
        <v>620</v>
      </c>
      <c r="F177" s="204" t="s">
        <v>351</v>
      </c>
      <c r="G177" s="155"/>
      <c r="H177" s="305"/>
      <c r="I177" s="309" t="s">
        <v>1109</v>
      </c>
      <c r="J177" s="165" t="s">
        <v>1097</v>
      </c>
      <c r="K177" s="208"/>
      <c r="L177" s="209"/>
      <c r="M177" s="229"/>
      <c r="N177" s="229"/>
      <c r="O177" s="229"/>
      <c r="P177" s="207"/>
      <c r="Q177" s="205"/>
      <c r="R177" s="263"/>
      <c r="S177" s="263"/>
      <c r="T177" s="263"/>
      <c r="U177" s="207"/>
      <c r="V177" s="205"/>
      <c r="W177" s="195"/>
      <c r="X177" s="195"/>
      <c r="Y177" s="201"/>
      <c r="Z177" s="307"/>
      <c r="AA177" s="305"/>
      <c r="AB177" s="305"/>
      <c r="AC177" s="305"/>
    </row>
    <row r="178" spans="1:29" s="308" customFormat="1" x14ac:dyDescent="0.6">
      <c r="A178" s="187">
        <v>25</v>
      </c>
      <c r="B178" s="155" t="s">
        <v>635</v>
      </c>
      <c r="C178" s="155" t="s">
        <v>636</v>
      </c>
      <c r="D178" s="155" t="s">
        <v>56</v>
      </c>
      <c r="E178" s="162" t="s">
        <v>620</v>
      </c>
      <c r="F178" s="204" t="s">
        <v>351</v>
      </c>
      <c r="G178" s="155"/>
      <c r="H178" s="305"/>
      <c r="I178" s="309" t="s">
        <v>1110</v>
      </c>
      <c r="J178" s="165" t="s">
        <v>1097</v>
      </c>
      <c r="K178" s="208"/>
      <c r="L178" s="209"/>
      <c r="M178" s="229"/>
      <c r="N178" s="229"/>
      <c r="O178" s="229"/>
      <c r="P178" s="207"/>
      <c r="Q178" s="205"/>
      <c r="R178" s="263"/>
      <c r="S178" s="263"/>
      <c r="T178" s="263"/>
      <c r="U178" s="207"/>
      <c r="V178" s="205"/>
      <c r="W178" s="195"/>
      <c r="X178" s="195"/>
      <c r="Y178" s="201"/>
      <c r="Z178" s="307"/>
      <c r="AA178" s="305"/>
      <c r="AB178" s="305"/>
      <c r="AC178" s="305"/>
    </row>
    <row r="179" spans="1:29" s="308" customFormat="1" x14ac:dyDescent="0.6">
      <c r="A179" s="187">
        <v>26</v>
      </c>
      <c r="B179" s="155" t="s">
        <v>637</v>
      </c>
      <c r="C179" s="155" t="s">
        <v>638</v>
      </c>
      <c r="D179" s="155" t="s">
        <v>574</v>
      </c>
      <c r="E179" s="162" t="s">
        <v>162</v>
      </c>
      <c r="F179" s="204" t="s">
        <v>351</v>
      </c>
      <c r="G179" s="155"/>
      <c r="H179" s="305"/>
      <c r="I179" s="309"/>
      <c r="J179" s="165" t="s">
        <v>1097</v>
      </c>
      <c r="K179" s="208"/>
      <c r="L179" s="209"/>
      <c r="M179" s="229"/>
      <c r="N179" s="229"/>
      <c r="O179" s="229"/>
      <c r="P179" s="207"/>
      <c r="Q179" s="205"/>
      <c r="R179" s="263"/>
      <c r="S179" s="263"/>
      <c r="T179" s="263"/>
      <c r="U179" s="207"/>
      <c r="V179" s="205"/>
      <c r="W179" s="195"/>
      <c r="X179" s="195"/>
      <c r="Y179" s="201"/>
      <c r="Z179" s="307"/>
      <c r="AA179" s="305"/>
      <c r="AB179" s="305"/>
      <c r="AC179" s="305"/>
    </row>
    <row r="180" spans="1:29" s="308" customFormat="1" x14ac:dyDescent="0.6">
      <c r="A180" s="187">
        <v>27</v>
      </c>
      <c r="B180" s="155" t="s">
        <v>639</v>
      </c>
      <c r="C180" s="155" t="s">
        <v>640</v>
      </c>
      <c r="D180" s="155" t="s">
        <v>481</v>
      </c>
      <c r="E180" s="162" t="s">
        <v>482</v>
      </c>
      <c r="F180" s="204" t="s">
        <v>351</v>
      </c>
      <c r="G180" s="155"/>
      <c r="H180" s="305"/>
      <c r="I180" s="309" t="s">
        <v>1111</v>
      </c>
      <c r="J180" s="165" t="s">
        <v>1112</v>
      </c>
      <c r="K180" s="208"/>
      <c r="L180" s="209"/>
      <c r="M180" s="229"/>
      <c r="N180" s="229"/>
      <c r="O180" s="229"/>
      <c r="P180" s="207"/>
      <c r="Q180" s="205"/>
      <c r="R180" s="263"/>
      <c r="S180" s="263"/>
      <c r="T180" s="263"/>
      <c r="U180" s="207"/>
      <c r="V180" s="205"/>
      <c r="W180" s="195"/>
      <c r="X180" s="195"/>
      <c r="Y180" s="201"/>
      <c r="Z180" s="307"/>
      <c r="AA180" s="305"/>
      <c r="AB180" s="305"/>
      <c r="AC180" s="305"/>
    </row>
    <row r="181" spans="1:29" s="308" customFormat="1" x14ac:dyDescent="0.6">
      <c r="A181" s="187">
        <v>28</v>
      </c>
      <c r="B181" s="155" t="s">
        <v>641</v>
      </c>
      <c r="C181" s="155" t="s">
        <v>642</v>
      </c>
      <c r="D181" s="155" t="s">
        <v>481</v>
      </c>
      <c r="E181" s="162" t="s">
        <v>482</v>
      </c>
      <c r="F181" s="204" t="s">
        <v>351</v>
      </c>
      <c r="G181" s="155"/>
      <c r="H181" s="305"/>
      <c r="I181" s="309" t="s">
        <v>1113</v>
      </c>
      <c r="J181" s="165" t="s">
        <v>1112</v>
      </c>
      <c r="K181" s="208"/>
      <c r="L181" s="209"/>
      <c r="M181" s="229"/>
      <c r="N181" s="229"/>
      <c r="O181" s="229"/>
      <c r="P181" s="207"/>
      <c r="Q181" s="205"/>
      <c r="R181" s="263"/>
      <c r="S181" s="263"/>
      <c r="T181" s="263"/>
      <c r="U181" s="207"/>
      <c r="V181" s="205"/>
      <c r="W181" s="195"/>
      <c r="X181" s="195"/>
      <c r="Y181" s="201"/>
      <c r="Z181" s="307"/>
      <c r="AA181" s="305"/>
      <c r="AB181" s="305"/>
      <c r="AC181" s="305"/>
    </row>
    <row r="182" spans="1:29" s="308" customFormat="1" x14ac:dyDescent="0.6">
      <c r="A182" s="187">
        <v>29</v>
      </c>
      <c r="B182" s="155" t="s">
        <v>643</v>
      </c>
      <c r="C182" s="155" t="s">
        <v>643</v>
      </c>
      <c r="D182" s="155" t="s">
        <v>481</v>
      </c>
      <c r="E182" s="162" t="s">
        <v>482</v>
      </c>
      <c r="F182" s="204" t="s">
        <v>351</v>
      </c>
      <c r="G182" s="155"/>
      <c r="H182" s="305"/>
      <c r="I182" s="309" t="s">
        <v>1114</v>
      </c>
      <c r="J182" s="165" t="s">
        <v>1112</v>
      </c>
      <c r="K182" s="208"/>
      <c r="L182" s="209"/>
      <c r="M182" s="229"/>
      <c r="N182" s="229"/>
      <c r="O182" s="229"/>
      <c r="P182" s="207"/>
      <c r="Q182" s="205"/>
      <c r="R182" s="263"/>
      <c r="S182" s="263"/>
      <c r="T182" s="263"/>
      <c r="U182" s="207"/>
      <c r="V182" s="205"/>
      <c r="W182" s="195"/>
      <c r="X182" s="195"/>
      <c r="Y182" s="201"/>
      <c r="Z182" s="307"/>
      <c r="AA182" s="305"/>
      <c r="AB182" s="305"/>
      <c r="AC182" s="305"/>
    </row>
    <row r="183" spans="1:29" s="308" customFormat="1" x14ac:dyDescent="0.6">
      <c r="A183" s="187">
        <v>30</v>
      </c>
      <c r="B183" s="155" t="s">
        <v>644</v>
      </c>
      <c r="C183" s="155" t="s">
        <v>644</v>
      </c>
      <c r="D183" s="155" t="s">
        <v>481</v>
      </c>
      <c r="E183" s="162" t="s">
        <v>482</v>
      </c>
      <c r="F183" s="204" t="s">
        <v>351</v>
      </c>
      <c r="G183" s="155"/>
      <c r="H183" s="305"/>
      <c r="I183" s="309" t="s">
        <v>1115</v>
      </c>
      <c r="J183" s="165" t="s">
        <v>1112</v>
      </c>
      <c r="K183" s="208"/>
      <c r="L183" s="209"/>
      <c r="M183" s="229"/>
      <c r="N183" s="229"/>
      <c r="O183" s="229"/>
      <c r="P183" s="207"/>
      <c r="Q183" s="205"/>
      <c r="R183" s="263"/>
      <c r="S183" s="263"/>
      <c r="T183" s="263"/>
      <c r="U183" s="207"/>
      <c r="V183" s="205"/>
      <c r="W183" s="195"/>
      <c r="X183" s="195"/>
      <c r="Y183" s="201"/>
      <c r="Z183" s="307"/>
      <c r="AA183" s="305"/>
      <c r="AB183" s="305"/>
      <c r="AC183" s="305"/>
    </row>
    <row r="184" spans="1:29" s="308" customFormat="1" x14ac:dyDescent="0.6">
      <c r="A184" s="187">
        <v>31</v>
      </c>
      <c r="B184" s="155" t="s">
        <v>645</v>
      </c>
      <c r="C184" s="155" t="s">
        <v>646</v>
      </c>
      <c r="D184" s="155" t="s">
        <v>481</v>
      </c>
      <c r="E184" s="162" t="s">
        <v>482</v>
      </c>
      <c r="F184" s="204" t="s">
        <v>351</v>
      </c>
      <c r="G184" s="155"/>
      <c r="H184" s="305"/>
      <c r="I184" s="309" t="s">
        <v>1116</v>
      </c>
      <c r="J184" s="165" t="s">
        <v>1112</v>
      </c>
      <c r="K184" s="208"/>
      <c r="L184" s="209"/>
      <c r="M184" s="229"/>
      <c r="N184" s="229"/>
      <c r="O184" s="229"/>
      <c r="P184" s="207"/>
      <c r="Q184" s="205"/>
      <c r="R184" s="263"/>
      <c r="S184" s="263"/>
      <c r="T184" s="263"/>
      <c r="U184" s="207"/>
      <c r="V184" s="205"/>
      <c r="W184" s="195"/>
      <c r="X184" s="195"/>
      <c r="Y184" s="201"/>
      <c r="Z184" s="307"/>
      <c r="AA184" s="305"/>
      <c r="AB184" s="305"/>
      <c r="AC184" s="305"/>
    </row>
    <row r="185" spans="1:29" s="308" customFormat="1" x14ac:dyDescent="0.6">
      <c r="A185" s="187">
        <v>32</v>
      </c>
      <c r="B185" s="155" t="s">
        <v>647</v>
      </c>
      <c r="C185" s="155" t="s">
        <v>648</v>
      </c>
      <c r="D185" s="155" t="s">
        <v>649</v>
      </c>
      <c r="E185" s="162" t="s">
        <v>650</v>
      </c>
      <c r="F185" s="204" t="s">
        <v>351</v>
      </c>
      <c r="G185" s="155"/>
      <c r="H185" s="305"/>
      <c r="I185" s="309" t="s">
        <v>1117</v>
      </c>
      <c r="J185" s="165" t="s">
        <v>1112</v>
      </c>
      <c r="K185" s="208"/>
      <c r="L185" s="209"/>
      <c r="M185" s="229"/>
      <c r="N185" s="229"/>
      <c r="O185" s="229"/>
      <c r="P185" s="207"/>
      <c r="Q185" s="205"/>
      <c r="R185" s="263"/>
      <c r="S185" s="263"/>
      <c r="T185" s="263"/>
      <c r="U185" s="207"/>
      <c r="V185" s="205"/>
      <c r="W185" s="195"/>
      <c r="X185" s="195"/>
      <c r="Y185" s="201"/>
      <c r="Z185" s="307"/>
      <c r="AA185" s="305"/>
      <c r="AB185" s="305"/>
      <c r="AC185" s="305"/>
    </row>
    <row r="186" spans="1:29" s="308" customFormat="1" x14ac:dyDescent="0.6">
      <c r="A186" s="187">
        <v>33</v>
      </c>
      <c r="B186" s="155" t="s">
        <v>644</v>
      </c>
      <c r="C186" s="155" t="s">
        <v>644</v>
      </c>
      <c r="D186" s="155" t="s">
        <v>649</v>
      </c>
      <c r="E186" s="162" t="s">
        <v>650</v>
      </c>
      <c r="F186" s="204" t="s">
        <v>351</v>
      </c>
      <c r="G186" s="155"/>
      <c r="H186" s="305"/>
      <c r="I186" s="309" t="s">
        <v>1118</v>
      </c>
      <c r="J186" s="165" t="s">
        <v>1112</v>
      </c>
      <c r="K186" s="208"/>
      <c r="L186" s="209"/>
      <c r="M186" s="229"/>
      <c r="N186" s="229"/>
      <c r="O186" s="229"/>
      <c r="P186" s="207"/>
      <c r="Q186" s="205"/>
      <c r="R186" s="263"/>
      <c r="S186" s="263"/>
      <c r="T186" s="263"/>
      <c r="U186" s="207"/>
      <c r="V186" s="205"/>
      <c r="W186" s="195"/>
      <c r="X186" s="195"/>
      <c r="Y186" s="201"/>
      <c r="Z186" s="307"/>
      <c r="AA186" s="305"/>
      <c r="AB186" s="305"/>
      <c r="AC186" s="305"/>
    </row>
    <row r="187" spans="1:29" s="308" customFormat="1" x14ac:dyDescent="0.6">
      <c r="A187" s="187">
        <v>34</v>
      </c>
      <c r="B187" s="155" t="s">
        <v>651</v>
      </c>
      <c r="C187" s="155" t="s">
        <v>651</v>
      </c>
      <c r="D187" s="155" t="s">
        <v>649</v>
      </c>
      <c r="E187" s="162" t="s">
        <v>650</v>
      </c>
      <c r="F187" s="204" t="s">
        <v>351</v>
      </c>
      <c r="G187" s="155"/>
      <c r="H187" s="305"/>
      <c r="I187" s="309" t="s">
        <v>1119</v>
      </c>
      <c r="J187" s="165" t="s">
        <v>1112</v>
      </c>
      <c r="K187" s="208"/>
      <c r="L187" s="209"/>
      <c r="M187" s="229"/>
      <c r="N187" s="229"/>
      <c r="O187" s="229"/>
      <c r="P187" s="207"/>
      <c r="Q187" s="205"/>
      <c r="R187" s="263"/>
      <c r="S187" s="263"/>
      <c r="T187" s="263"/>
      <c r="U187" s="207"/>
      <c r="V187" s="205"/>
      <c r="W187" s="195"/>
      <c r="X187" s="195"/>
      <c r="Y187" s="201"/>
      <c r="Z187" s="307"/>
      <c r="AA187" s="305"/>
      <c r="AB187" s="305"/>
      <c r="AC187" s="305"/>
    </row>
    <row r="188" spans="1:29" s="308" customFormat="1" x14ac:dyDescent="0.6">
      <c r="A188" s="187">
        <v>35</v>
      </c>
      <c r="B188" s="155" t="s">
        <v>652</v>
      </c>
      <c r="C188" s="155" t="s">
        <v>653</v>
      </c>
      <c r="D188" s="155" t="s">
        <v>654</v>
      </c>
      <c r="E188" s="162" t="s">
        <v>655</v>
      </c>
      <c r="F188" s="204" t="s">
        <v>351</v>
      </c>
      <c r="G188" s="155"/>
      <c r="H188" s="305"/>
      <c r="I188" s="309" t="s">
        <v>1120</v>
      </c>
      <c r="J188" s="165" t="s">
        <v>1112</v>
      </c>
      <c r="K188" s="208"/>
      <c r="L188" s="209"/>
      <c r="M188" s="229"/>
      <c r="N188" s="229"/>
      <c r="O188" s="229"/>
      <c r="P188" s="207"/>
      <c r="Q188" s="205"/>
      <c r="R188" s="263"/>
      <c r="S188" s="263"/>
      <c r="T188" s="263"/>
      <c r="U188" s="207"/>
      <c r="V188" s="205"/>
      <c r="W188" s="195"/>
      <c r="X188" s="195"/>
      <c r="Y188" s="201"/>
      <c r="Z188" s="307"/>
      <c r="AA188" s="305"/>
      <c r="AB188" s="305"/>
      <c r="AC188" s="305"/>
    </row>
    <row r="189" spans="1:29" s="308" customFormat="1" x14ac:dyDescent="0.6">
      <c r="A189" s="187">
        <v>36</v>
      </c>
      <c r="B189" s="155" t="s">
        <v>656</v>
      </c>
      <c r="C189" s="155" t="s">
        <v>657</v>
      </c>
      <c r="D189" s="155" t="s">
        <v>654</v>
      </c>
      <c r="E189" s="162" t="s">
        <v>655</v>
      </c>
      <c r="F189" s="204" t="s">
        <v>351</v>
      </c>
      <c r="G189" s="155"/>
      <c r="H189" s="305"/>
      <c r="I189" s="309" t="s">
        <v>1121</v>
      </c>
      <c r="J189" s="165" t="s">
        <v>1112</v>
      </c>
      <c r="K189" s="208"/>
      <c r="L189" s="209"/>
      <c r="M189" s="229"/>
      <c r="N189" s="229"/>
      <c r="O189" s="229"/>
      <c r="P189" s="207"/>
      <c r="Q189" s="205"/>
      <c r="R189" s="263"/>
      <c r="S189" s="263"/>
      <c r="T189" s="263"/>
      <c r="U189" s="207"/>
      <c r="V189" s="205"/>
      <c r="W189" s="195"/>
      <c r="X189" s="195"/>
      <c r="Y189" s="201"/>
      <c r="Z189" s="307"/>
      <c r="AA189" s="305"/>
      <c r="AB189" s="305"/>
      <c r="AC189" s="305"/>
    </row>
    <row r="190" spans="1:29" s="308" customFormat="1" x14ac:dyDescent="0.6">
      <c r="A190" s="187">
        <v>37</v>
      </c>
      <c r="B190" s="155" t="s">
        <v>658</v>
      </c>
      <c r="C190" s="155" t="s">
        <v>658</v>
      </c>
      <c r="D190" s="155" t="s">
        <v>654</v>
      </c>
      <c r="E190" s="162" t="s">
        <v>655</v>
      </c>
      <c r="F190" s="204" t="s">
        <v>351</v>
      </c>
      <c r="G190" s="155"/>
      <c r="H190" s="305"/>
      <c r="I190" s="309" t="s">
        <v>1122</v>
      </c>
      <c r="J190" s="165" t="s">
        <v>1112</v>
      </c>
      <c r="K190" s="208"/>
      <c r="L190" s="209"/>
      <c r="M190" s="229"/>
      <c r="N190" s="229"/>
      <c r="O190" s="229"/>
      <c r="P190" s="207"/>
      <c r="Q190" s="205"/>
      <c r="R190" s="263"/>
      <c r="S190" s="263"/>
      <c r="T190" s="263"/>
      <c r="U190" s="207"/>
      <c r="V190" s="205"/>
      <c r="W190" s="195"/>
      <c r="X190" s="195"/>
      <c r="Y190" s="201"/>
      <c r="Z190" s="307"/>
      <c r="AA190" s="305"/>
      <c r="AB190" s="305"/>
      <c r="AC190" s="305"/>
    </row>
    <row r="191" spans="1:29" s="308" customFormat="1" x14ac:dyDescent="0.6">
      <c r="A191" s="187">
        <v>38</v>
      </c>
      <c r="B191" s="155" t="s">
        <v>659</v>
      </c>
      <c r="C191" s="155" t="s">
        <v>659</v>
      </c>
      <c r="D191" s="155" t="s">
        <v>556</v>
      </c>
      <c r="E191" s="162" t="s">
        <v>660</v>
      </c>
      <c r="F191" s="204" t="s">
        <v>351</v>
      </c>
      <c r="G191" s="155"/>
      <c r="H191" s="305"/>
      <c r="I191" s="309" t="s">
        <v>1123</v>
      </c>
      <c r="J191" s="165" t="s">
        <v>1112</v>
      </c>
      <c r="K191" s="208"/>
      <c r="L191" s="209"/>
      <c r="M191" s="229"/>
      <c r="N191" s="229"/>
      <c r="O191" s="229"/>
      <c r="P191" s="207"/>
      <c r="Q191" s="205"/>
      <c r="R191" s="263"/>
      <c r="S191" s="263"/>
      <c r="T191" s="263"/>
      <c r="U191" s="207"/>
      <c r="V191" s="205"/>
      <c r="W191" s="195"/>
      <c r="X191" s="195"/>
      <c r="Y191" s="201"/>
      <c r="Z191" s="307"/>
      <c r="AA191" s="305"/>
      <c r="AB191" s="305"/>
      <c r="AC191" s="305"/>
    </row>
    <row r="192" spans="1:29" s="308" customFormat="1" x14ac:dyDescent="0.6">
      <c r="A192" s="187">
        <v>39</v>
      </c>
      <c r="B192" s="155" t="s">
        <v>661</v>
      </c>
      <c r="C192" s="155" t="s">
        <v>661</v>
      </c>
      <c r="D192" s="155" t="s">
        <v>556</v>
      </c>
      <c r="E192" s="162" t="s">
        <v>660</v>
      </c>
      <c r="F192" s="204" t="s">
        <v>351</v>
      </c>
      <c r="G192" s="155"/>
      <c r="H192" s="305"/>
      <c r="I192" s="309" t="s">
        <v>1124</v>
      </c>
      <c r="J192" s="165" t="s">
        <v>1112</v>
      </c>
      <c r="K192" s="208"/>
      <c r="L192" s="209"/>
      <c r="M192" s="229"/>
      <c r="N192" s="229"/>
      <c r="O192" s="229"/>
      <c r="P192" s="207"/>
      <c r="Q192" s="205"/>
      <c r="R192" s="263"/>
      <c r="S192" s="263"/>
      <c r="T192" s="263"/>
      <c r="U192" s="207"/>
      <c r="V192" s="205"/>
      <c r="W192" s="195"/>
      <c r="X192" s="195"/>
      <c r="Y192" s="201"/>
      <c r="Z192" s="307"/>
      <c r="AA192" s="305"/>
      <c r="AB192" s="305"/>
      <c r="AC192" s="305"/>
    </row>
    <row r="193" spans="1:29" s="308" customFormat="1" x14ac:dyDescent="0.6">
      <c r="A193" s="187">
        <v>40</v>
      </c>
      <c r="B193" s="155" t="s">
        <v>662</v>
      </c>
      <c r="C193" s="155" t="s">
        <v>662</v>
      </c>
      <c r="D193" s="155" t="s">
        <v>556</v>
      </c>
      <c r="E193" s="162" t="s">
        <v>660</v>
      </c>
      <c r="F193" s="204" t="s">
        <v>351</v>
      </c>
      <c r="G193" s="155"/>
      <c r="H193" s="305"/>
      <c r="I193" s="309" t="s">
        <v>1125</v>
      </c>
      <c r="J193" s="165" t="s">
        <v>1112</v>
      </c>
      <c r="K193" s="208"/>
      <c r="L193" s="209"/>
      <c r="M193" s="229"/>
      <c r="N193" s="229"/>
      <c r="O193" s="229"/>
      <c r="P193" s="207"/>
      <c r="Q193" s="205"/>
      <c r="R193" s="263"/>
      <c r="S193" s="263"/>
      <c r="T193" s="263"/>
      <c r="U193" s="207"/>
      <c r="V193" s="205"/>
      <c r="W193" s="195"/>
      <c r="X193" s="195"/>
      <c r="Y193" s="201"/>
      <c r="Z193" s="307"/>
      <c r="AA193" s="305"/>
      <c r="AB193" s="305"/>
      <c r="AC193" s="305"/>
    </row>
    <row r="194" spans="1:29" s="308" customFormat="1" x14ac:dyDescent="0.6">
      <c r="A194" s="187">
        <v>41</v>
      </c>
      <c r="B194" s="155" t="s">
        <v>663</v>
      </c>
      <c r="C194" s="155" t="s">
        <v>486</v>
      </c>
      <c r="D194" s="155" t="s">
        <v>556</v>
      </c>
      <c r="E194" s="162" t="s">
        <v>660</v>
      </c>
      <c r="F194" s="204" t="s">
        <v>351</v>
      </c>
      <c r="G194" s="155"/>
      <c r="H194" s="305"/>
      <c r="I194" s="313" t="s">
        <v>1126</v>
      </c>
      <c r="J194" s="165" t="s">
        <v>1112</v>
      </c>
      <c r="K194" s="208"/>
      <c r="L194" s="209"/>
      <c r="M194" s="229"/>
      <c r="N194" s="229"/>
      <c r="O194" s="229"/>
      <c r="P194" s="207"/>
      <c r="Q194" s="205"/>
      <c r="R194" s="263"/>
      <c r="S194" s="263"/>
      <c r="T194" s="263"/>
      <c r="U194" s="207"/>
      <c r="V194" s="205"/>
      <c r="W194" s="195"/>
      <c r="X194" s="195"/>
      <c r="Y194" s="201"/>
      <c r="Z194" s="307"/>
      <c r="AA194" s="305"/>
      <c r="AB194" s="305"/>
      <c r="AC194" s="305"/>
    </row>
    <row r="195" spans="1:29" s="308" customFormat="1" x14ac:dyDescent="0.6">
      <c r="A195" s="187">
        <v>42</v>
      </c>
      <c r="B195" s="155" t="s">
        <v>664</v>
      </c>
      <c r="C195" s="155" t="s">
        <v>665</v>
      </c>
      <c r="D195" s="155" t="s">
        <v>666</v>
      </c>
      <c r="E195" s="162" t="s">
        <v>167</v>
      </c>
      <c r="F195" s="204" t="s">
        <v>351</v>
      </c>
      <c r="G195" s="155"/>
      <c r="H195" s="305"/>
      <c r="I195" s="313" t="s">
        <v>1127</v>
      </c>
      <c r="J195" s="165" t="s">
        <v>1112</v>
      </c>
      <c r="K195" s="208"/>
      <c r="L195" s="209"/>
      <c r="M195" s="229"/>
      <c r="N195" s="229"/>
      <c r="O195" s="229"/>
      <c r="P195" s="207"/>
      <c r="Q195" s="205"/>
      <c r="R195" s="263"/>
      <c r="S195" s="263"/>
      <c r="T195" s="263"/>
      <c r="U195" s="207"/>
      <c r="V195" s="205"/>
      <c r="W195" s="195"/>
      <c r="X195" s="195"/>
      <c r="Y195" s="201"/>
      <c r="Z195" s="307"/>
      <c r="AA195" s="305"/>
      <c r="AB195" s="305"/>
      <c r="AC195" s="305"/>
    </row>
    <row r="196" spans="1:29" s="308" customFormat="1" x14ac:dyDescent="0.6">
      <c r="A196" s="187">
        <v>43</v>
      </c>
      <c r="B196" s="155" t="s">
        <v>667</v>
      </c>
      <c r="C196" s="155" t="s">
        <v>668</v>
      </c>
      <c r="D196" s="155" t="s">
        <v>666</v>
      </c>
      <c r="E196" s="162" t="s">
        <v>167</v>
      </c>
      <c r="F196" s="204" t="s">
        <v>351</v>
      </c>
      <c r="G196" s="155"/>
      <c r="H196" s="305"/>
      <c r="I196" s="313" t="s">
        <v>1128</v>
      </c>
      <c r="J196" s="165" t="s">
        <v>1112</v>
      </c>
      <c r="K196" s="208"/>
      <c r="L196" s="209"/>
      <c r="M196" s="229"/>
      <c r="N196" s="229"/>
      <c r="O196" s="229"/>
      <c r="P196" s="207"/>
      <c r="Q196" s="205"/>
      <c r="R196" s="263"/>
      <c r="S196" s="263"/>
      <c r="T196" s="263"/>
      <c r="U196" s="207"/>
      <c r="V196" s="205"/>
      <c r="W196" s="195"/>
      <c r="X196" s="195"/>
      <c r="Y196" s="201"/>
      <c r="Z196" s="307"/>
      <c r="AA196" s="305"/>
      <c r="AB196" s="305"/>
      <c r="AC196" s="305"/>
    </row>
    <row r="197" spans="1:29" s="308" customFormat="1" x14ac:dyDescent="0.6">
      <c r="A197" s="187">
        <v>44</v>
      </c>
      <c r="B197" s="155" t="s">
        <v>669</v>
      </c>
      <c r="C197" s="155" t="s">
        <v>670</v>
      </c>
      <c r="D197" s="155" t="s">
        <v>671</v>
      </c>
      <c r="E197" s="162" t="s">
        <v>672</v>
      </c>
      <c r="F197" s="204" t="s">
        <v>351</v>
      </c>
      <c r="G197" s="155"/>
      <c r="H197" s="305"/>
      <c r="I197" s="313" t="s">
        <v>1129</v>
      </c>
      <c r="J197" s="165" t="s">
        <v>1112</v>
      </c>
      <c r="K197" s="208"/>
      <c r="L197" s="209"/>
      <c r="M197" s="229"/>
      <c r="N197" s="229"/>
      <c r="O197" s="229"/>
      <c r="P197" s="207"/>
      <c r="Q197" s="205"/>
      <c r="R197" s="263"/>
      <c r="S197" s="263"/>
      <c r="T197" s="263"/>
      <c r="U197" s="207"/>
      <c r="V197" s="205"/>
      <c r="W197" s="195"/>
      <c r="X197" s="195"/>
      <c r="Y197" s="201"/>
      <c r="Z197" s="307"/>
      <c r="AA197" s="305"/>
      <c r="AB197" s="305"/>
      <c r="AC197" s="305"/>
    </row>
    <row r="198" spans="1:29" s="308" customFormat="1" x14ac:dyDescent="0.6">
      <c r="A198" s="187">
        <v>45</v>
      </c>
      <c r="B198" s="155" t="s">
        <v>673</v>
      </c>
      <c r="C198" s="166" t="s">
        <v>674</v>
      </c>
      <c r="D198" s="155" t="s">
        <v>675</v>
      </c>
      <c r="E198" s="162" t="s">
        <v>676</v>
      </c>
      <c r="F198" s="204" t="s">
        <v>351</v>
      </c>
      <c r="G198" s="155"/>
      <c r="H198" s="305"/>
      <c r="I198" s="313" t="s">
        <v>1130</v>
      </c>
      <c r="J198" s="165" t="s">
        <v>1112</v>
      </c>
      <c r="K198" s="208"/>
      <c r="L198" s="209"/>
      <c r="M198" s="229"/>
      <c r="N198" s="229"/>
      <c r="O198" s="229"/>
      <c r="P198" s="207"/>
      <c r="Q198" s="205"/>
      <c r="R198" s="263"/>
      <c r="S198" s="263"/>
      <c r="T198" s="263"/>
      <c r="U198" s="207"/>
      <c r="V198" s="205"/>
      <c r="W198" s="195"/>
      <c r="X198" s="195"/>
      <c r="Y198" s="201"/>
      <c r="Z198" s="307"/>
      <c r="AA198" s="305"/>
      <c r="AB198" s="305"/>
      <c r="AC198" s="305"/>
    </row>
    <row r="199" spans="1:29" s="308" customFormat="1" x14ac:dyDescent="0.6">
      <c r="A199" s="187">
        <v>46</v>
      </c>
      <c r="B199" s="155" t="s">
        <v>677</v>
      </c>
      <c r="C199" s="155" t="s">
        <v>678</v>
      </c>
      <c r="D199" s="155" t="s">
        <v>675</v>
      </c>
      <c r="E199" s="162" t="s">
        <v>676</v>
      </c>
      <c r="F199" s="204" t="s">
        <v>351</v>
      </c>
      <c r="G199" s="155"/>
      <c r="H199" s="305"/>
      <c r="I199" s="313" t="s">
        <v>1131</v>
      </c>
      <c r="J199" s="165" t="s">
        <v>1112</v>
      </c>
      <c r="K199" s="208"/>
      <c r="L199" s="209"/>
      <c r="M199" s="229"/>
      <c r="N199" s="229"/>
      <c r="O199" s="229"/>
      <c r="P199" s="207"/>
      <c r="Q199" s="205"/>
      <c r="R199" s="263"/>
      <c r="S199" s="263"/>
      <c r="T199" s="263"/>
      <c r="U199" s="207"/>
      <c r="V199" s="205"/>
      <c r="W199" s="195"/>
      <c r="X199" s="195"/>
      <c r="Y199" s="201"/>
      <c r="Z199" s="307"/>
      <c r="AA199" s="305"/>
      <c r="AB199" s="305"/>
      <c r="AC199" s="305"/>
    </row>
    <row r="200" spans="1:29" s="308" customFormat="1" x14ac:dyDescent="0.6">
      <c r="A200" s="187">
        <v>47</v>
      </c>
      <c r="B200" s="155" t="s">
        <v>679</v>
      </c>
      <c r="C200" s="155" t="s">
        <v>680</v>
      </c>
      <c r="D200" s="155" t="s">
        <v>113</v>
      </c>
      <c r="E200" s="162" t="s">
        <v>288</v>
      </c>
      <c r="F200" s="204" t="s">
        <v>351</v>
      </c>
      <c r="G200" s="155"/>
      <c r="H200" s="305"/>
      <c r="I200" s="313" t="s">
        <v>1132</v>
      </c>
      <c r="J200" s="165" t="s">
        <v>1133</v>
      </c>
      <c r="K200" s="208"/>
      <c r="L200" s="209"/>
      <c r="M200" s="229"/>
      <c r="N200" s="229"/>
      <c r="O200" s="229"/>
      <c r="P200" s="207"/>
      <c r="Q200" s="205"/>
      <c r="R200" s="263"/>
      <c r="S200" s="263"/>
      <c r="T200" s="263"/>
      <c r="U200" s="207"/>
      <c r="V200" s="205"/>
      <c r="W200" s="195"/>
      <c r="X200" s="195"/>
      <c r="Y200" s="201"/>
      <c r="Z200" s="307"/>
      <c r="AA200" s="305"/>
      <c r="AB200" s="305"/>
      <c r="AC200" s="305"/>
    </row>
    <row r="201" spans="1:29" s="308" customFormat="1" x14ac:dyDescent="0.6">
      <c r="A201" s="187">
        <v>48</v>
      </c>
      <c r="B201" s="155" t="s">
        <v>681</v>
      </c>
      <c r="C201" s="155" t="s">
        <v>682</v>
      </c>
      <c r="D201" s="155" t="s">
        <v>113</v>
      </c>
      <c r="E201" s="162" t="s">
        <v>288</v>
      </c>
      <c r="F201" s="204" t="s">
        <v>351</v>
      </c>
      <c r="G201" s="155"/>
      <c r="H201" s="305"/>
      <c r="I201" s="313" t="s">
        <v>1134</v>
      </c>
      <c r="J201" s="165" t="s">
        <v>1133</v>
      </c>
      <c r="K201" s="208"/>
      <c r="L201" s="209"/>
      <c r="M201" s="229"/>
      <c r="N201" s="229"/>
      <c r="O201" s="229"/>
      <c r="P201" s="207"/>
      <c r="Q201" s="205"/>
      <c r="R201" s="263"/>
      <c r="S201" s="263"/>
      <c r="T201" s="263"/>
      <c r="U201" s="207"/>
      <c r="V201" s="205"/>
      <c r="W201" s="195"/>
      <c r="X201" s="195"/>
      <c r="Y201" s="201"/>
      <c r="Z201" s="307"/>
      <c r="AA201" s="305"/>
      <c r="AB201" s="305"/>
      <c r="AC201" s="305"/>
    </row>
    <row r="202" spans="1:29" s="308" customFormat="1" x14ac:dyDescent="0.6">
      <c r="A202" s="187">
        <v>49</v>
      </c>
      <c r="B202" s="155" t="s">
        <v>683</v>
      </c>
      <c r="C202" s="155" t="s">
        <v>684</v>
      </c>
      <c r="D202" s="155" t="s">
        <v>113</v>
      </c>
      <c r="E202" s="162" t="s">
        <v>288</v>
      </c>
      <c r="F202" s="204" t="s">
        <v>351</v>
      </c>
      <c r="G202" s="155"/>
      <c r="H202" s="305"/>
      <c r="I202" s="313" t="s">
        <v>1135</v>
      </c>
      <c r="J202" s="165" t="s">
        <v>1133</v>
      </c>
      <c r="K202" s="208"/>
      <c r="L202" s="209"/>
      <c r="M202" s="229"/>
      <c r="N202" s="229"/>
      <c r="O202" s="229"/>
      <c r="P202" s="207"/>
      <c r="Q202" s="205"/>
      <c r="R202" s="263"/>
      <c r="S202" s="263"/>
      <c r="T202" s="263"/>
      <c r="U202" s="207"/>
      <c r="V202" s="205"/>
      <c r="W202" s="195"/>
      <c r="X202" s="195"/>
      <c r="Y202" s="201"/>
      <c r="Z202" s="307"/>
      <c r="AA202" s="305"/>
      <c r="AB202" s="305"/>
      <c r="AC202" s="305"/>
    </row>
    <row r="203" spans="1:29" s="308" customFormat="1" x14ac:dyDescent="0.6">
      <c r="A203" s="187">
        <v>50</v>
      </c>
      <c r="B203" s="155" t="s">
        <v>685</v>
      </c>
      <c r="C203" s="155" t="s">
        <v>686</v>
      </c>
      <c r="D203" s="155" t="s">
        <v>113</v>
      </c>
      <c r="E203" s="162" t="s">
        <v>288</v>
      </c>
      <c r="F203" s="204" t="s">
        <v>351</v>
      </c>
      <c r="G203" s="155"/>
      <c r="H203" s="305"/>
      <c r="I203" s="313" t="s">
        <v>1136</v>
      </c>
      <c r="J203" s="165" t="s">
        <v>1133</v>
      </c>
      <c r="K203" s="208"/>
      <c r="L203" s="209"/>
      <c r="M203" s="229"/>
      <c r="N203" s="229"/>
      <c r="O203" s="229"/>
      <c r="P203" s="207"/>
      <c r="Q203" s="205"/>
      <c r="R203" s="263"/>
      <c r="S203" s="263"/>
      <c r="T203" s="263"/>
      <c r="U203" s="207"/>
      <c r="V203" s="205"/>
      <c r="W203" s="195"/>
      <c r="X203" s="195"/>
      <c r="Y203" s="201"/>
      <c r="Z203" s="307"/>
      <c r="AA203" s="305"/>
      <c r="AB203" s="305"/>
      <c r="AC203" s="305"/>
    </row>
    <row r="204" spans="1:29" s="308" customFormat="1" x14ac:dyDescent="0.6">
      <c r="A204" s="187">
        <v>51</v>
      </c>
      <c r="B204" s="155" t="s">
        <v>687</v>
      </c>
      <c r="C204" s="155" t="s">
        <v>688</v>
      </c>
      <c r="D204" s="155" t="s">
        <v>113</v>
      </c>
      <c r="E204" s="162" t="s">
        <v>288</v>
      </c>
      <c r="F204" s="204" t="s">
        <v>351</v>
      </c>
      <c r="G204" s="155"/>
      <c r="H204" s="305"/>
      <c r="I204" s="313" t="s">
        <v>1137</v>
      </c>
      <c r="J204" s="165" t="s">
        <v>1133</v>
      </c>
      <c r="K204" s="208"/>
      <c r="L204" s="209"/>
      <c r="M204" s="229"/>
      <c r="N204" s="229"/>
      <c r="O204" s="229"/>
      <c r="P204" s="207"/>
      <c r="Q204" s="205"/>
      <c r="R204" s="263"/>
      <c r="S204" s="263"/>
      <c r="T204" s="263"/>
      <c r="U204" s="207"/>
      <c r="V204" s="205"/>
      <c r="W204" s="195"/>
      <c r="X204" s="195"/>
      <c r="Y204" s="201"/>
      <c r="Z204" s="307"/>
      <c r="AA204" s="305"/>
      <c r="AB204" s="305"/>
      <c r="AC204" s="305"/>
    </row>
    <row r="205" spans="1:29" s="308" customFormat="1" x14ac:dyDescent="0.6">
      <c r="A205" s="187">
        <v>52</v>
      </c>
      <c r="B205" s="155" t="s">
        <v>689</v>
      </c>
      <c r="C205" s="155" t="s">
        <v>690</v>
      </c>
      <c r="D205" s="155" t="s">
        <v>113</v>
      </c>
      <c r="E205" s="162" t="s">
        <v>288</v>
      </c>
      <c r="F205" s="204" t="s">
        <v>351</v>
      </c>
      <c r="G205" s="155"/>
      <c r="H205" s="305"/>
      <c r="I205" s="313" t="s">
        <v>1138</v>
      </c>
      <c r="J205" s="165" t="s">
        <v>1133</v>
      </c>
      <c r="K205" s="208"/>
      <c r="L205" s="209"/>
      <c r="M205" s="229"/>
      <c r="N205" s="229"/>
      <c r="O205" s="229"/>
      <c r="P205" s="207"/>
      <c r="Q205" s="205"/>
      <c r="R205" s="263"/>
      <c r="S205" s="263"/>
      <c r="T205" s="263"/>
      <c r="U205" s="207"/>
      <c r="V205" s="205"/>
      <c r="W205" s="195"/>
      <c r="X205" s="195"/>
      <c r="Y205" s="201"/>
      <c r="Z205" s="307"/>
      <c r="AA205" s="305"/>
      <c r="AB205" s="305"/>
      <c r="AC205" s="305"/>
    </row>
    <row r="206" spans="1:29" s="308" customFormat="1" x14ac:dyDescent="0.6">
      <c r="A206" s="187">
        <v>53</v>
      </c>
      <c r="B206" s="155" t="s">
        <v>691</v>
      </c>
      <c r="C206" s="155" t="s">
        <v>692</v>
      </c>
      <c r="D206" s="155" t="s">
        <v>113</v>
      </c>
      <c r="E206" s="162" t="s">
        <v>288</v>
      </c>
      <c r="F206" s="204" t="s">
        <v>351</v>
      </c>
      <c r="G206" s="155"/>
      <c r="H206" s="305"/>
      <c r="I206" s="313" t="s">
        <v>1139</v>
      </c>
      <c r="J206" s="165" t="s">
        <v>1133</v>
      </c>
      <c r="K206" s="208"/>
      <c r="L206" s="209"/>
      <c r="M206" s="229"/>
      <c r="N206" s="229"/>
      <c r="O206" s="229"/>
      <c r="P206" s="207"/>
      <c r="Q206" s="205"/>
      <c r="R206" s="263"/>
      <c r="S206" s="263"/>
      <c r="T206" s="263"/>
      <c r="U206" s="207"/>
      <c r="V206" s="205"/>
      <c r="W206" s="195"/>
      <c r="X206" s="195"/>
      <c r="Y206" s="201"/>
      <c r="Z206" s="307"/>
      <c r="AA206" s="305"/>
      <c r="AB206" s="305"/>
      <c r="AC206" s="305"/>
    </row>
    <row r="207" spans="1:29" s="308" customFormat="1" x14ac:dyDescent="0.6">
      <c r="A207" s="187">
        <v>54</v>
      </c>
      <c r="B207" s="155" t="s">
        <v>693</v>
      </c>
      <c r="C207" s="155" t="s">
        <v>694</v>
      </c>
      <c r="D207" s="155" t="s">
        <v>113</v>
      </c>
      <c r="E207" s="162" t="s">
        <v>288</v>
      </c>
      <c r="F207" s="204" t="s">
        <v>351</v>
      </c>
      <c r="G207" s="155"/>
      <c r="H207" s="305"/>
      <c r="I207" s="313" t="s">
        <v>1140</v>
      </c>
      <c r="J207" s="165" t="s">
        <v>1133</v>
      </c>
      <c r="K207" s="208"/>
      <c r="L207" s="209"/>
      <c r="M207" s="229"/>
      <c r="N207" s="229"/>
      <c r="O207" s="229"/>
      <c r="P207" s="207"/>
      <c r="Q207" s="205"/>
      <c r="R207" s="263"/>
      <c r="S207" s="263"/>
      <c r="T207" s="263"/>
      <c r="U207" s="207"/>
      <c r="V207" s="205"/>
      <c r="W207" s="195"/>
      <c r="X207" s="195"/>
      <c r="Y207" s="201"/>
      <c r="Z207" s="307"/>
      <c r="AA207" s="305"/>
      <c r="AB207" s="305"/>
      <c r="AC207" s="305"/>
    </row>
    <row r="208" spans="1:29" s="308" customFormat="1" x14ac:dyDescent="0.6">
      <c r="A208" s="187">
        <v>55</v>
      </c>
      <c r="B208" s="155" t="s">
        <v>695</v>
      </c>
      <c r="C208" s="155" t="s">
        <v>695</v>
      </c>
      <c r="D208" s="155" t="s">
        <v>113</v>
      </c>
      <c r="E208" s="162" t="s">
        <v>288</v>
      </c>
      <c r="F208" s="204" t="s">
        <v>351</v>
      </c>
      <c r="G208" s="155"/>
      <c r="H208" s="305"/>
      <c r="I208" s="313" t="s">
        <v>1141</v>
      </c>
      <c r="J208" s="165" t="s">
        <v>1133</v>
      </c>
      <c r="K208" s="208"/>
      <c r="L208" s="209"/>
      <c r="M208" s="229"/>
      <c r="N208" s="229"/>
      <c r="O208" s="229"/>
      <c r="P208" s="207"/>
      <c r="Q208" s="205"/>
      <c r="R208" s="263"/>
      <c r="S208" s="263"/>
      <c r="T208" s="263"/>
      <c r="U208" s="207"/>
      <c r="V208" s="205"/>
      <c r="W208" s="195"/>
      <c r="X208" s="195"/>
      <c r="Y208" s="201"/>
      <c r="Z208" s="307"/>
      <c r="AA208" s="305"/>
      <c r="AB208" s="305"/>
      <c r="AC208" s="305"/>
    </row>
    <row r="209" spans="1:29" s="308" customFormat="1" x14ac:dyDescent="0.6">
      <c r="A209" s="187">
        <v>56</v>
      </c>
      <c r="B209" s="155" t="s">
        <v>696</v>
      </c>
      <c r="C209" s="155" t="s">
        <v>697</v>
      </c>
      <c r="D209" s="155" t="s">
        <v>113</v>
      </c>
      <c r="E209" s="162" t="s">
        <v>288</v>
      </c>
      <c r="F209" s="204" t="s">
        <v>351</v>
      </c>
      <c r="G209" s="155"/>
      <c r="H209" s="305"/>
      <c r="I209" s="313" t="s">
        <v>1142</v>
      </c>
      <c r="J209" s="165" t="s">
        <v>1133</v>
      </c>
      <c r="K209" s="208"/>
      <c r="L209" s="209"/>
      <c r="M209" s="229"/>
      <c r="N209" s="229"/>
      <c r="O209" s="229"/>
      <c r="P209" s="207"/>
      <c r="Q209" s="205"/>
      <c r="R209" s="263"/>
      <c r="S209" s="263"/>
      <c r="T209" s="263"/>
      <c r="U209" s="207"/>
      <c r="V209" s="205"/>
      <c r="W209" s="195"/>
      <c r="X209" s="195"/>
      <c r="Y209" s="201"/>
      <c r="Z209" s="307"/>
      <c r="AA209" s="305"/>
      <c r="AB209" s="305"/>
      <c r="AC209" s="305"/>
    </row>
    <row r="210" spans="1:29" s="308" customFormat="1" x14ac:dyDescent="0.6">
      <c r="A210" s="187">
        <v>57</v>
      </c>
      <c r="B210" s="155" t="s">
        <v>644</v>
      </c>
      <c r="C210" s="155" t="s">
        <v>644</v>
      </c>
      <c r="D210" s="155" t="s">
        <v>698</v>
      </c>
      <c r="E210" s="162" t="s">
        <v>699</v>
      </c>
      <c r="F210" s="204" t="s">
        <v>351</v>
      </c>
      <c r="G210" s="155"/>
      <c r="H210" s="305"/>
      <c r="I210" s="313" t="s">
        <v>1143</v>
      </c>
      <c r="J210" s="165" t="s">
        <v>1133</v>
      </c>
      <c r="K210" s="208"/>
      <c r="L210" s="209"/>
      <c r="M210" s="229"/>
      <c r="N210" s="229"/>
      <c r="O210" s="229"/>
      <c r="P210" s="207"/>
      <c r="Q210" s="205"/>
      <c r="R210" s="263"/>
      <c r="S210" s="263"/>
      <c r="T210" s="263"/>
      <c r="U210" s="207"/>
      <c r="V210" s="205"/>
      <c r="W210" s="195"/>
      <c r="X210" s="195"/>
      <c r="Y210" s="201"/>
      <c r="Z210" s="307"/>
      <c r="AA210" s="305"/>
      <c r="AB210" s="305"/>
      <c r="AC210" s="305"/>
    </row>
    <row r="211" spans="1:29" s="308" customFormat="1" x14ac:dyDescent="0.6">
      <c r="A211" s="187">
        <v>58</v>
      </c>
      <c r="B211" s="155" t="s">
        <v>700</v>
      </c>
      <c r="C211" s="155" t="s">
        <v>700</v>
      </c>
      <c r="D211" s="155" t="s">
        <v>698</v>
      </c>
      <c r="E211" s="162" t="s">
        <v>699</v>
      </c>
      <c r="F211" s="204" t="s">
        <v>351</v>
      </c>
      <c r="G211" s="155"/>
      <c r="H211" s="305"/>
      <c r="I211" s="313" t="s">
        <v>1144</v>
      </c>
      <c r="J211" s="165" t="s">
        <v>1133</v>
      </c>
      <c r="K211" s="208"/>
      <c r="L211" s="209"/>
      <c r="M211" s="229"/>
      <c r="N211" s="229"/>
      <c r="O211" s="229"/>
      <c r="P211" s="207"/>
      <c r="Q211" s="205"/>
      <c r="R211" s="263"/>
      <c r="S211" s="263"/>
      <c r="T211" s="263"/>
      <c r="U211" s="207"/>
      <c r="V211" s="205"/>
      <c r="W211" s="195"/>
      <c r="X211" s="195"/>
      <c r="Y211" s="201"/>
      <c r="Z211" s="307"/>
      <c r="AA211" s="305"/>
      <c r="AB211" s="305"/>
      <c r="AC211" s="305"/>
    </row>
    <row r="212" spans="1:29" s="308" customFormat="1" x14ac:dyDescent="0.6">
      <c r="A212" s="187">
        <v>59</v>
      </c>
      <c r="B212" s="155" t="s">
        <v>701</v>
      </c>
      <c r="C212" s="155" t="s">
        <v>702</v>
      </c>
      <c r="D212" s="155" t="s">
        <v>698</v>
      </c>
      <c r="E212" s="162" t="s">
        <v>699</v>
      </c>
      <c r="F212" s="204" t="s">
        <v>351</v>
      </c>
      <c r="G212" s="155"/>
      <c r="H212" s="305"/>
      <c r="I212" s="313" t="s">
        <v>1145</v>
      </c>
      <c r="J212" s="165" t="s">
        <v>1133</v>
      </c>
      <c r="K212" s="208"/>
      <c r="L212" s="209"/>
      <c r="M212" s="229"/>
      <c r="N212" s="229"/>
      <c r="O212" s="229"/>
      <c r="P212" s="207"/>
      <c r="Q212" s="205"/>
      <c r="R212" s="263"/>
      <c r="S212" s="263"/>
      <c r="T212" s="263"/>
      <c r="U212" s="207"/>
      <c r="V212" s="205"/>
      <c r="W212" s="195"/>
      <c r="X212" s="195"/>
      <c r="Y212" s="201"/>
      <c r="Z212" s="307"/>
      <c r="AA212" s="305"/>
      <c r="AB212" s="305"/>
      <c r="AC212" s="305"/>
    </row>
    <row r="213" spans="1:29" s="308" customFormat="1" x14ac:dyDescent="0.6">
      <c r="A213" s="187">
        <v>60</v>
      </c>
      <c r="B213" s="155" t="s">
        <v>664</v>
      </c>
      <c r="C213" s="155" t="s">
        <v>665</v>
      </c>
      <c r="D213" s="155" t="s">
        <v>698</v>
      </c>
      <c r="E213" s="162" t="s">
        <v>699</v>
      </c>
      <c r="F213" s="204" t="s">
        <v>351</v>
      </c>
      <c r="G213" s="155"/>
      <c r="H213" s="305"/>
      <c r="I213" s="313" t="s">
        <v>1146</v>
      </c>
      <c r="J213" s="165" t="s">
        <v>1133</v>
      </c>
      <c r="K213" s="208"/>
      <c r="L213" s="209"/>
      <c r="M213" s="229"/>
      <c r="N213" s="229"/>
      <c r="O213" s="229"/>
      <c r="P213" s="207"/>
      <c r="Q213" s="205"/>
      <c r="R213" s="263"/>
      <c r="S213" s="263"/>
      <c r="T213" s="263"/>
      <c r="U213" s="207"/>
      <c r="V213" s="205"/>
      <c r="W213" s="195"/>
      <c r="X213" s="195"/>
      <c r="Y213" s="201"/>
      <c r="Z213" s="307"/>
      <c r="AA213" s="305"/>
      <c r="AB213" s="305"/>
      <c r="AC213" s="305"/>
    </row>
    <row r="214" spans="1:29" s="308" customFormat="1" x14ac:dyDescent="0.6">
      <c r="A214" s="187">
        <v>61</v>
      </c>
      <c r="B214" s="155" t="s">
        <v>703</v>
      </c>
      <c r="C214" s="155" t="s">
        <v>704</v>
      </c>
      <c r="D214" s="155" t="s">
        <v>698</v>
      </c>
      <c r="E214" s="162" t="s">
        <v>699</v>
      </c>
      <c r="F214" s="204" t="s">
        <v>351</v>
      </c>
      <c r="G214" s="155"/>
      <c r="H214" s="305"/>
      <c r="I214" s="313" t="s">
        <v>1147</v>
      </c>
      <c r="J214" s="165" t="s">
        <v>1133</v>
      </c>
      <c r="K214" s="208"/>
      <c r="L214" s="209"/>
      <c r="M214" s="229"/>
      <c r="N214" s="229"/>
      <c r="O214" s="229"/>
      <c r="P214" s="207"/>
      <c r="Q214" s="205"/>
      <c r="R214" s="263"/>
      <c r="S214" s="263"/>
      <c r="T214" s="263"/>
      <c r="U214" s="207"/>
      <c r="V214" s="205"/>
      <c r="W214" s="195"/>
      <c r="X214" s="195"/>
      <c r="Y214" s="201"/>
      <c r="Z214" s="307"/>
      <c r="AA214" s="305"/>
      <c r="AB214" s="305"/>
      <c r="AC214" s="305"/>
    </row>
    <row r="215" spans="1:29" s="308" customFormat="1" x14ac:dyDescent="0.6">
      <c r="A215" s="187">
        <v>62</v>
      </c>
      <c r="B215" s="155" t="s">
        <v>705</v>
      </c>
      <c r="C215" s="155" t="s">
        <v>706</v>
      </c>
      <c r="D215" s="155" t="s">
        <v>707</v>
      </c>
      <c r="E215" s="162" t="s">
        <v>708</v>
      </c>
      <c r="F215" s="204" t="s">
        <v>351</v>
      </c>
      <c r="G215" s="155"/>
      <c r="H215" s="305"/>
      <c r="I215" s="313" t="s">
        <v>1148</v>
      </c>
      <c r="J215" s="165" t="s">
        <v>1133</v>
      </c>
      <c r="K215" s="208"/>
      <c r="L215" s="209"/>
      <c r="M215" s="229"/>
      <c r="N215" s="229"/>
      <c r="O215" s="229"/>
      <c r="P215" s="207"/>
      <c r="Q215" s="205"/>
      <c r="R215" s="263"/>
      <c r="S215" s="263"/>
      <c r="T215" s="263"/>
      <c r="U215" s="207"/>
      <c r="V215" s="205"/>
      <c r="W215" s="195"/>
      <c r="X215" s="195"/>
      <c r="Y215" s="201"/>
      <c r="Z215" s="307"/>
      <c r="AA215" s="305"/>
      <c r="AB215" s="305"/>
      <c r="AC215" s="305"/>
    </row>
    <row r="216" spans="1:29" s="308" customFormat="1" x14ac:dyDescent="0.6">
      <c r="A216" s="187">
        <v>63</v>
      </c>
      <c r="B216" s="155" t="s">
        <v>709</v>
      </c>
      <c r="C216" s="155" t="s">
        <v>709</v>
      </c>
      <c r="D216" s="155" t="s">
        <v>707</v>
      </c>
      <c r="E216" s="162" t="s">
        <v>708</v>
      </c>
      <c r="F216" s="204" t="s">
        <v>351</v>
      </c>
      <c r="G216" s="155"/>
      <c r="H216" s="305"/>
      <c r="I216" s="313" t="s">
        <v>1149</v>
      </c>
      <c r="J216" s="165" t="s">
        <v>1133</v>
      </c>
      <c r="K216" s="208"/>
      <c r="L216" s="209"/>
      <c r="M216" s="229"/>
      <c r="N216" s="229"/>
      <c r="O216" s="229"/>
      <c r="P216" s="207"/>
      <c r="Q216" s="205"/>
      <c r="R216" s="263"/>
      <c r="S216" s="263"/>
      <c r="T216" s="263"/>
      <c r="U216" s="207"/>
      <c r="V216" s="205"/>
      <c r="W216" s="195"/>
      <c r="X216" s="195"/>
      <c r="Y216" s="201"/>
      <c r="Z216" s="307"/>
      <c r="AA216" s="305"/>
      <c r="AB216" s="305"/>
      <c r="AC216" s="305"/>
    </row>
    <row r="217" spans="1:29" s="308" customFormat="1" x14ac:dyDescent="0.6">
      <c r="A217" s="187">
        <v>64</v>
      </c>
      <c r="B217" s="155" t="s">
        <v>710</v>
      </c>
      <c r="C217" s="155" t="s">
        <v>711</v>
      </c>
      <c r="D217" s="155" t="s">
        <v>712</v>
      </c>
      <c r="E217" s="162" t="s">
        <v>713</v>
      </c>
      <c r="F217" s="204" t="s">
        <v>351</v>
      </c>
      <c r="G217" s="155"/>
      <c r="H217" s="305"/>
      <c r="I217" s="313" t="s">
        <v>1150</v>
      </c>
      <c r="J217" s="165" t="s">
        <v>1133</v>
      </c>
      <c r="K217" s="208"/>
      <c r="L217" s="209"/>
      <c r="M217" s="229"/>
      <c r="N217" s="229"/>
      <c r="O217" s="229"/>
      <c r="P217" s="207"/>
      <c r="Q217" s="205"/>
      <c r="R217" s="263"/>
      <c r="S217" s="263"/>
      <c r="T217" s="263"/>
      <c r="U217" s="207"/>
      <c r="V217" s="205"/>
      <c r="W217" s="195"/>
      <c r="X217" s="195"/>
      <c r="Y217" s="201"/>
      <c r="Z217" s="307"/>
      <c r="AA217" s="305"/>
      <c r="AB217" s="305"/>
      <c r="AC217" s="305"/>
    </row>
    <row r="218" spans="1:29" s="308" customFormat="1" x14ac:dyDescent="0.6">
      <c r="A218" s="187">
        <v>65</v>
      </c>
      <c r="B218" s="155" t="s">
        <v>714</v>
      </c>
      <c r="C218" s="155" t="s">
        <v>714</v>
      </c>
      <c r="D218" s="155" t="s">
        <v>712</v>
      </c>
      <c r="E218" s="162" t="s">
        <v>713</v>
      </c>
      <c r="F218" s="204" t="s">
        <v>351</v>
      </c>
      <c r="G218" s="155"/>
      <c r="H218" s="305"/>
      <c r="I218" s="313" t="s">
        <v>1151</v>
      </c>
      <c r="J218" s="165" t="s">
        <v>1133</v>
      </c>
      <c r="K218" s="208"/>
      <c r="L218" s="209"/>
      <c r="M218" s="229"/>
      <c r="N218" s="229"/>
      <c r="O218" s="229"/>
      <c r="P218" s="207"/>
      <c r="Q218" s="205"/>
      <c r="R218" s="263"/>
      <c r="S218" s="263"/>
      <c r="T218" s="263"/>
      <c r="U218" s="207"/>
      <c r="V218" s="205"/>
      <c r="W218" s="195"/>
      <c r="X218" s="195"/>
      <c r="Y218" s="201"/>
      <c r="Z218" s="307"/>
      <c r="AA218" s="305"/>
      <c r="AB218" s="305"/>
      <c r="AC218" s="305"/>
    </row>
    <row r="219" spans="1:29" s="308" customFormat="1" x14ac:dyDescent="0.6">
      <c r="A219" s="187">
        <v>66</v>
      </c>
      <c r="B219" s="155" t="s">
        <v>715</v>
      </c>
      <c r="C219" s="155" t="s">
        <v>715</v>
      </c>
      <c r="D219" s="155" t="s">
        <v>712</v>
      </c>
      <c r="E219" s="162" t="s">
        <v>713</v>
      </c>
      <c r="F219" s="204" t="s">
        <v>351</v>
      </c>
      <c r="G219" s="155"/>
      <c r="H219" s="305"/>
      <c r="I219" s="313" t="s">
        <v>1152</v>
      </c>
      <c r="J219" s="165" t="s">
        <v>1133</v>
      </c>
      <c r="K219" s="208"/>
      <c r="L219" s="209"/>
      <c r="M219" s="229"/>
      <c r="N219" s="229"/>
      <c r="O219" s="229"/>
      <c r="P219" s="207"/>
      <c r="Q219" s="205"/>
      <c r="R219" s="263"/>
      <c r="S219" s="263"/>
      <c r="T219" s="263"/>
      <c r="U219" s="207"/>
      <c r="V219" s="205"/>
      <c r="W219" s="195"/>
      <c r="X219" s="195"/>
      <c r="Y219" s="201"/>
      <c r="Z219" s="307"/>
      <c r="AA219" s="305"/>
      <c r="AB219" s="305"/>
      <c r="AC219" s="305"/>
    </row>
    <row r="220" spans="1:29" s="308" customFormat="1" x14ac:dyDescent="0.6">
      <c r="A220" s="187">
        <v>67</v>
      </c>
      <c r="B220" s="155" t="s">
        <v>716</v>
      </c>
      <c r="C220" s="155" t="s">
        <v>717</v>
      </c>
      <c r="D220" s="155" t="s">
        <v>398</v>
      </c>
      <c r="E220" s="162" t="s">
        <v>395</v>
      </c>
      <c r="F220" s="204" t="s">
        <v>351</v>
      </c>
      <c r="G220" s="155"/>
      <c r="H220" s="305"/>
      <c r="I220" s="313" t="s">
        <v>1153</v>
      </c>
      <c r="J220" s="165" t="s">
        <v>1133</v>
      </c>
      <c r="K220" s="208"/>
      <c r="L220" s="209"/>
      <c r="M220" s="229"/>
      <c r="N220" s="229"/>
      <c r="O220" s="229"/>
      <c r="P220" s="207"/>
      <c r="Q220" s="205"/>
      <c r="R220" s="263"/>
      <c r="S220" s="263"/>
      <c r="T220" s="263"/>
      <c r="U220" s="207"/>
      <c r="V220" s="205"/>
      <c r="W220" s="195"/>
      <c r="X220" s="195"/>
      <c r="Y220" s="201"/>
      <c r="Z220" s="307"/>
      <c r="AA220" s="305"/>
      <c r="AB220" s="305"/>
      <c r="AC220" s="305"/>
    </row>
    <row r="221" spans="1:29" s="308" customFormat="1" x14ac:dyDescent="0.6">
      <c r="A221" s="187">
        <v>68</v>
      </c>
      <c r="B221" s="155" t="s">
        <v>718</v>
      </c>
      <c r="C221" s="155" t="s">
        <v>719</v>
      </c>
      <c r="D221" s="155" t="s">
        <v>398</v>
      </c>
      <c r="E221" s="162" t="s">
        <v>395</v>
      </c>
      <c r="F221" s="204" t="s">
        <v>351</v>
      </c>
      <c r="G221" s="155"/>
      <c r="H221" s="305"/>
      <c r="I221" s="313" t="s">
        <v>1154</v>
      </c>
      <c r="J221" s="165" t="s">
        <v>1133</v>
      </c>
      <c r="K221" s="208"/>
      <c r="L221" s="209"/>
      <c r="M221" s="229"/>
      <c r="N221" s="229"/>
      <c r="O221" s="229"/>
      <c r="P221" s="207"/>
      <c r="Q221" s="205"/>
      <c r="R221" s="263"/>
      <c r="S221" s="263"/>
      <c r="T221" s="263"/>
      <c r="U221" s="207"/>
      <c r="V221" s="205"/>
      <c r="W221" s="195"/>
      <c r="X221" s="195"/>
      <c r="Y221" s="201"/>
      <c r="Z221" s="307"/>
      <c r="AA221" s="305"/>
      <c r="AB221" s="305"/>
      <c r="AC221" s="305"/>
    </row>
    <row r="222" spans="1:29" s="308" customFormat="1" x14ac:dyDescent="0.6">
      <c r="A222" s="187">
        <v>69</v>
      </c>
      <c r="B222" s="155" t="s">
        <v>720</v>
      </c>
      <c r="C222" s="155" t="s">
        <v>721</v>
      </c>
      <c r="D222" s="155" t="s">
        <v>398</v>
      </c>
      <c r="E222" s="162" t="s">
        <v>395</v>
      </c>
      <c r="F222" s="204" t="s">
        <v>351</v>
      </c>
      <c r="G222" s="155"/>
      <c r="H222" s="305"/>
      <c r="I222" s="313" t="s">
        <v>1155</v>
      </c>
      <c r="J222" s="165" t="s">
        <v>1133</v>
      </c>
      <c r="K222" s="208"/>
      <c r="L222" s="209"/>
      <c r="M222" s="229"/>
      <c r="N222" s="229"/>
      <c r="O222" s="229"/>
      <c r="P222" s="207"/>
      <c r="Q222" s="205"/>
      <c r="R222" s="263"/>
      <c r="S222" s="263"/>
      <c r="T222" s="263"/>
      <c r="U222" s="207"/>
      <c r="V222" s="205"/>
      <c r="W222" s="195"/>
      <c r="X222" s="195"/>
      <c r="Y222" s="201"/>
      <c r="Z222" s="307"/>
      <c r="AA222" s="305"/>
      <c r="AB222" s="305"/>
      <c r="AC222" s="305"/>
    </row>
    <row r="223" spans="1:29" s="308" customFormat="1" x14ac:dyDescent="0.6">
      <c r="A223" s="187">
        <v>70</v>
      </c>
      <c r="B223" s="155" t="s">
        <v>722</v>
      </c>
      <c r="C223" s="155" t="s">
        <v>723</v>
      </c>
      <c r="D223" s="155" t="s">
        <v>398</v>
      </c>
      <c r="E223" s="162" t="s">
        <v>395</v>
      </c>
      <c r="F223" s="204" t="s">
        <v>351</v>
      </c>
      <c r="G223" s="155"/>
      <c r="H223" s="305"/>
      <c r="I223" s="313" t="s">
        <v>1156</v>
      </c>
      <c r="J223" s="165" t="s">
        <v>1133</v>
      </c>
      <c r="K223" s="208"/>
      <c r="L223" s="209"/>
      <c r="M223" s="229"/>
      <c r="N223" s="229"/>
      <c r="O223" s="229"/>
      <c r="P223" s="207"/>
      <c r="Q223" s="205"/>
      <c r="R223" s="263"/>
      <c r="S223" s="263"/>
      <c r="T223" s="263"/>
      <c r="U223" s="207"/>
      <c r="V223" s="205"/>
      <c r="W223" s="195"/>
      <c r="X223" s="195"/>
      <c r="Y223" s="201"/>
      <c r="Z223" s="307"/>
      <c r="AA223" s="305"/>
      <c r="AB223" s="305"/>
      <c r="AC223" s="305"/>
    </row>
    <row r="224" spans="1:29" s="308" customFormat="1" x14ac:dyDescent="0.6">
      <c r="A224" s="187">
        <v>71</v>
      </c>
      <c r="B224" s="155">
        <v>185</v>
      </c>
      <c r="C224" s="155">
        <v>185</v>
      </c>
      <c r="D224" s="155" t="s">
        <v>724</v>
      </c>
      <c r="E224" s="162" t="s">
        <v>725</v>
      </c>
      <c r="F224" s="204" t="s">
        <v>351</v>
      </c>
      <c r="G224" s="155"/>
      <c r="H224" s="305"/>
      <c r="I224" s="313" t="s">
        <v>1157</v>
      </c>
      <c r="J224" s="165" t="s">
        <v>1133</v>
      </c>
      <c r="K224" s="208"/>
      <c r="L224" s="209"/>
      <c r="M224" s="229"/>
      <c r="N224" s="229"/>
      <c r="O224" s="229"/>
      <c r="P224" s="207"/>
      <c r="Q224" s="205"/>
      <c r="R224" s="263"/>
      <c r="S224" s="263"/>
      <c r="T224" s="263"/>
      <c r="U224" s="207"/>
      <c r="V224" s="205"/>
      <c r="W224" s="195"/>
      <c r="X224" s="195"/>
      <c r="Y224" s="201"/>
      <c r="Z224" s="307"/>
      <c r="AA224" s="305"/>
      <c r="AB224" s="305"/>
      <c r="AC224" s="305"/>
    </row>
    <row r="225" spans="1:29" s="308" customFormat="1" x14ac:dyDescent="0.6">
      <c r="A225" s="187">
        <v>72</v>
      </c>
      <c r="B225" s="155" t="s">
        <v>726</v>
      </c>
      <c r="C225" s="155" t="s">
        <v>727</v>
      </c>
      <c r="D225" s="155" t="s">
        <v>728</v>
      </c>
      <c r="E225" s="162" t="s">
        <v>729</v>
      </c>
      <c r="F225" s="204" t="s">
        <v>351</v>
      </c>
      <c r="G225" s="155"/>
      <c r="H225" s="305"/>
      <c r="I225" s="313" t="s">
        <v>1158</v>
      </c>
      <c r="J225" s="165" t="s">
        <v>1159</v>
      </c>
      <c r="K225" s="208"/>
      <c r="L225" s="209"/>
      <c r="M225" s="229"/>
      <c r="N225" s="229"/>
      <c r="O225" s="229"/>
      <c r="P225" s="207"/>
      <c r="Q225" s="205"/>
      <c r="R225" s="263"/>
      <c r="S225" s="263"/>
      <c r="T225" s="263"/>
      <c r="U225" s="207"/>
      <c r="V225" s="205"/>
      <c r="W225" s="195"/>
      <c r="X225" s="195"/>
      <c r="Y225" s="201"/>
      <c r="Z225" s="307"/>
      <c r="AA225" s="305"/>
      <c r="AB225" s="305"/>
      <c r="AC225" s="305"/>
    </row>
    <row r="226" spans="1:29" s="308" customFormat="1" x14ac:dyDescent="0.6">
      <c r="A226" s="187">
        <v>73</v>
      </c>
      <c r="B226" s="155" t="s">
        <v>730</v>
      </c>
      <c r="C226" s="155" t="s">
        <v>731</v>
      </c>
      <c r="D226" s="155" t="s">
        <v>728</v>
      </c>
      <c r="E226" s="162" t="s">
        <v>729</v>
      </c>
      <c r="F226" s="204" t="s">
        <v>351</v>
      </c>
      <c r="G226" s="155"/>
      <c r="H226" s="305"/>
      <c r="I226" s="313" t="s">
        <v>1160</v>
      </c>
      <c r="J226" s="165" t="s">
        <v>1159</v>
      </c>
      <c r="K226" s="208"/>
      <c r="L226" s="209"/>
      <c r="M226" s="229"/>
      <c r="N226" s="229"/>
      <c r="O226" s="229"/>
      <c r="P226" s="207"/>
      <c r="Q226" s="205"/>
      <c r="R226" s="263"/>
      <c r="S226" s="263"/>
      <c r="T226" s="263"/>
      <c r="U226" s="207"/>
      <c r="V226" s="205"/>
      <c r="W226" s="195"/>
      <c r="X226" s="195"/>
      <c r="Y226" s="201"/>
      <c r="Z226" s="307"/>
      <c r="AA226" s="305"/>
      <c r="AB226" s="305"/>
      <c r="AC226" s="305"/>
    </row>
    <row r="227" spans="1:29" s="308" customFormat="1" x14ac:dyDescent="0.6">
      <c r="A227" s="187">
        <v>74</v>
      </c>
      <c r="B227" s="155" t="s">
        <v>732</v>
      </c>
      <c r="C227" s="155" t="s">
        <v>733</v>
      </c>
      <c r="D227" s="155" t="s">
        <v>728</v>
      </c>
      <c r="E227" s="162" t="s">
        <v>729</v>
      </c>
      <c r="F227" s="204" t="s">
        <v>351</v>
      </c>
      <c r="G227" s="155"/>
      <c r="H227" s="305"/>
      <c r="I227" s="313" t="s">
        <v>1161</v>
      </c>
      <c r="J227" s="165" t="s">
        <v>1159</v>
      </c>
      <c r="K227" s="208"/>
      <c r="L227" s="209"/>
      <c r="M227" s="229"/>
      <c r="N227" s="229"/>
      <c r="O227" s="229"/>
      <c r="P227" s="207"/>
      <c r="Q227" s="205"/>
      <c r="R227" s="263"/>
      <c r="S227" s="263"/>
      <c r="T227" s="263"/>
      <c r="U227" s="207"/>
      <c r="V227" s="205"/>
      <c r="W227" s="195"/>
      <c r="X227" s="195"/>
      <c r="Y227" s="201"/>
      <c r="Z227" s="307"/>
      <c r="AA227" s="305"/>
      <c r="AB227" s="305"/>
      <c r="AC227" s="305"/>
    </row>
    <row r="228" spans="1:29" s="308" customFormat="1" x14ac:dyDescent="0.6">
      <c r="A228" s="187">
        <v>75</v>
      </c>
      <c r="B228" s="155" t="s">
        <v>734</v>
      </c>
      <c r="C228" s="155" t="s">
        <v>735</v>
      </c>
      <c r="D228" s="155" t="s">
        <v>728</v>
      </c>
      <c r="E228" s="162" t="s">
        <v>729</v>
      </c>
      <c r="F228" s="204" t="s">
        <v>351</v>
      </c>
      <c r="G228" s="155"/>
      <c r="H228" s="305"/>
      <c r="I228" s="313" t="s">
        <v>1162</v>
      </c>
      <c r="J228" s="165" t="s">
        <v>1159</v>
      </c>
      <c r="K228" s="208"/>
      <c r="L228" s="209"/>
      <c r="M228" s="229"/>
      <c r="N228" s="229"/>
      <c r="O228" s="229"/>
      <c r="P228" s="207"/>
      <c r="Q228" s="205"/>
      <c r="R228" s="263"/>
      <c r="S228" s="263"/>
      <c r="T228" s="263"/>
      <c r="U228" s="207"/>
      <c r="V228" s="205"/>
      <c r="W228" s="195"/>
      <c r="X228" s="195"/>
      <c r="Y228" s="201"/>
      <c r="Z228" s="307"/>
      <c r="AA228" s="305"/>
      <c r="AB228" s="305"/>
      <c r="AC228" s="305"/>
    </row>
    <row r="229" spans="1:29" s="308" customFormat="1" x14ac:dyDescent="0.6">
      <c r="A229" s="187">
        <v>76</v>
      </c>
      <c r="B229" s="155" t="s">
        <v>667</v>
      </c>
      <c r="C229" s="155" t="s">
        <v>668</v>
      </c>
      <c r="D229" s="155" t="s">
        <v>728</v>
      </c>
      <c r="E229" s="162" t="s">
        <v>729</v>
      </c>
      <c r="F229" s="204" t="s">
        <v>351</v>
      </c>
      <c r="G229" s="155"/>
      <c r="H229" s="305"/>
      <c r="I229" s="313" t="s">
        <v>1163</v>
      </c>
      <c r="J229" s="165" t="s">
        <v>1159</v>
      </c>
      <c r="K229" s="208"/>
      <c r="L229" s="209"/>
      <c r="M229" s="229"/>
      <c r="N229" s="229"/>
      <c r="O229" s="229"/>
      <c r="P229" s="207"/>
      <c r="Q229" s="205"/>
      <c r="R229" s="263"/>
      <c r="S229" s="263"/>
      <c r="T229" s="263"/>
      <c r="U229" s="207"/>
      <c r="V229" s="205"/>
      <c r="W229" s="195"/>
      <c r="X229" s="195"/>
      <c r="Y229" s="201"/>
      <c r="Z229" s="307"/>
      <c r="AA229" s="305"/>
      <c r="AB229" s="305"/>
      <c r="AC229" s="305"/>
    </row>
    <row r="230" spans="1:29" s="308" customFormat="1" x14ac:dyDescent="0.6">
      <c r="A230" s="187">
        <v>77</v>
      </c>
      <c r="B230" s="155" t="s">
        <v>736</v>
      </c>
      <c r="C230" s="155" t="s">
        <v>737</v>
      </c>
      <c r="D230" s="155" t="s">
        <v>728</v>
      </c>
      <c r="E230" s="162" t="s">
        <v>729</v>
      </c>
      <c r="F230" s="204" t="s">
        <v>351</v>
      </c>
      <c r="G230" s="155"/>
      <c r="H230" s="305"/>
      <c r="I230" s="313" t="s">
        <v>1164</v>
      </c>
      <c r="J230" s="165" t="s">
        <v>1159</v>
      </c>
      <c r="K230" s="208"/>
      <c r="L230" s="209"/>
      <c r="M230" s="229"/>
      <c r="N230" s="229"/>
      <c r="O230" s="229"/>
      <c r="P230" s="207"/>
      <c r="Q230" s="205"/>
      <c r="R230" s="263"/>
      <c r="S230" s="263"/>
      <c r="T230" s="263"/>
      <c r="U230" s="207"/>
      <c r="V230" s="205"/>
      <c r="W230" s="195"/>
      <c r="X230" s="195"/>
      <c r="Y230" s="201"/>
      <c r="Z230" s="307"/>
      <c r="AA230" s="305"/>
      <c r="AB230" s="305"/>
      <c r="AC230" s="305"/>
    </row>
    <row r="231" spans="1:29" s="308" customFormat="1" x14ac:dyDescent="0.6">
      <c r="A231" s="187">
        <v>78</v>
      </c>
      <c r="B231" s="155" t="s">
        <v>738</v>
      </c>
      <c r="C231" s="155" t="s">
        <v>739</v>
      </c>
      <c r="D231" s="155" t="s">
        <v>728</v>
      </c>
      <c r="E231" s="162" t="s">
        <v>729</v>
      </c>
      <c r="F231" s="204" t="s">
        <v>351</v>
      </c>
      <c r="G231" s="155"/>
      <c r="H231" s="305"/>
      <c r="I231" s="313" t="s">
        <v>1165</v>
      </c>
      <c r="J231" s="165" t="s">
        <v>1159</v>
      </c>
      <c r="K231" s="208"/>
      <c r="L231" s="209"/>
      <c r="M231" s="229"/>
      <c r="N231" s="229"/>
      <c r="O231" s="229"/>
      <c r="P231" s="207"/>
      <c r="Q231" s="205"/>
      <c r="R231" s="263"/>
      <c r="S231" s="263"/>
      <c r="T231" s="263"/>
      <c r="U231" s="207"/>
      <c r="V231" s="205"/>
      <c r="W231" s="195"/>
      <c r="X231" s="195"/>
      <c r="Y231" s="201"/>
      <c r="Z231" s="307"/>
      <c r="AA231" s="305"/>
      <c r="AB231" s="305"/>
      <c r="AC231" s="305"/>
    </row>
    <row r="232" spans="1:29" s="308" customFormat="1" x14ac:dyDescent="0.6">
      <c r="A232" s="187">
        <v>79</v>
      </c>
      <c r="B232" s="155" t="s">
        <v>740</v>
      </c>
      <c r="C232" s="155" t="s">
        <v>741</v>
      </c>
      <c r="D232" s="155" t="s">
        <v>516</v>
      </c>
      <c r="E232" s="162" t="s">
        <v>517</v>
      </c>
      <c r="F232" s="204" t="s">
        <v>351</v>
      </c>
      <c r="G232" s="155"/>
      <c r="H232" s="305"/>
      <c r="I232" s="313" t="s">
        <v>1166</v>
      </c>
      <c r="J232" s="165" t="s">
        <v>1159</v>
      </c>
      <c r="K232" s="208"/>
      <c r="L232" s="209"/>
      <c r="M232" s="229"/>
      <c r="N232" s="229"/>
      <c r="O232" s="229"/>
      <c r="P232" s="207"/>
      <c r="Q232" s="205"/>
      <c r="R232" s="263"/>
      <c r="S232" s="263"/>
      <c r="T232" s="263"/>
      <c r="U232" s="207"/>
      <c r="V232" s="205"/>
      <c r="W232" s="195"/>
      <c r="X232" s="195"/>
      <c r="Y232" s="201"/>
      <c r="Z232" s="307"/>
      <c r="AA232" s="305"/>
      <c r="AB232" s="305"/>
      <c r="AC232" s="305"/>
    </row>
    <row r="233" spans="1:29" s="308" customFormat="1" x14ac:dyDescent="0.6">
      <c r="A233" s="187">
        <v>80</v>
      </c>
      <c r="B233" s="155" t="s">
        <v>742</v>
      </c>
      <c r="C233" s="155" t="s">
        <v>743</v>
      </c>
      <c r="D233" s="155" t="s">
        <v>516</v>
      </c>
      <c r="E233" s="162" t="s">
        <v>517</v>
      </c>
      <c r="F233" s="204" t="s">
        <v>351</v>
      </c>
      <c r="G233" s="155"/>
      <c r="H233" s="305"/>
      <c r="I233" s="313" t="s">
        <v>1167</v>
      </c>
      <c r="J233" s="165" t="s">
        <v>1159</v>
      </c>
      <c r="K233" s="208"/>
      <c r="L233" s="209"/>
      <c r="M233" s="229"/>
      <c r="N233" s="229"/>
      <c r="O233" s="229"/>
      <c r="P233" s="207"/>
      <c r="Q233" s="205"/>
      <c r="R233" s="263"/>
      <c r="S233" s="263"/>
      <c r="T233" s="263"/>
      <c r="U233" s="207"/>
      <c r="V233" s="205"/>
      <c r="W233" s="195"/>
      <c r="X233" s="195"/>
      <c r="Y233" s="201"/>
      <c r="Z233" s="307"/>
      <c r="AA233" s="305"/>
      <c r="AB233" s="305"/>
      <c r="AC233" s="305"/>
    </row>
    <row r="234" spans="1:29" s="308" customFormat="1" x14ac:dyDescent="0.6">
      <c r="A234" s="187">
        <v>81</v>
      </c>
      <c r="B234" s="155" t="s">
        <v>744</v>
      </c>
      <c r="C234" s="155" t="s">
        <v>745</v>
      </c>
      <c r="D234" s="155" t="s">
        <v>516</v>
      </c>
      <c r="E234" s="162" t="s">
        <v>517</v>
      </c>
      <c r="F234" s="204" t="s">
        <v>351</v>
      </c>
      <c r="G234" s="155"/>
      <c r="H234" s="305"/>
      <c r="I234" s="313" t="s">
        <v>1168</v>
      </c>
      <c r="J234" s="165" t="s">
        <v>1159</v>
      </c>
      <c r="K234" s="208"/>
      <c r="L234" s="209"/>
      <c r="M234" s="229"/>
      <c r="N234" s="229"/>
      <c r="O234" s="229"/>
      <c r="P234" s="207"/>
      <c r="Q234" s="205"/>
      <c r="R234" s="263"/>
      <c r="S234" s="263"/>
      <c r="T234" s="263"/>
      <c r="U234" s="207"/>
      <c r="V234" s="205"/>
      <c r="W234" s="195"/>
      <c r="X234" s="195"/>
      <c r="Y234" s="201"/>
      <c r="Z234" s="307"/>
      <c r="AA234" s="305"/>
      <c r="AB234" s="305"/>
      <c r="AC234" s="305"/>
    </row>
    <row r="235" spans="1:29" s="308" customFormat="1" x14ac:dyDescent="0.6">
      <c r="A235" s="187">
        <v>82</v>
      </c>
      <c r="B235" s="155" t="s">
        <v>746</v>
      </c>
      <c r="C235" s="155" t="s">
        <v>747</v>
      </c>
      <c r="D235" s="155" t="s">
        <v>516</v>
      </c>
      <c r="E235" s="162" t="s">
        <v>517</v>
      </c>
      <c r="F235" s="204" t="s">
        <v>351</v>
      </c>
      <c r="G235" s="155"/>
      <c r="H235" s="305"/>
      <c r="I235" s="313" t="s">
        <v>1169</v>
      </c>
      <c r="J235" s="165" t="s">
        <v>1159</v>
      </c>
      <c r="K235" s="208"/>
      <c r="L235" s="209"/>
      <c r="M235" s="229"/>
      <c r="N235" s="229"/>
      <c r="O235" s="229"/>
      <c r="P235" s="207"/>
      <c r="Q235" s="205"/>
      <c r="R235" s="263"/>
      <c r="S235" s="263"/>
      <c r="T235" s="263"/>
      <c r="U235" s="207"/>
      <c r="V235" s="205"/>
      <c r="W235" s="195"/>
      <c r="X235" s="195"/>
      <c r="Y235" s="201"/>
      <c r="Z235" s="307"/>
      <c r="AA235" s="305"/>
      <c r="AB235" s="305"/>
      <c r="AC235" s="305"/>
    </row>
    <row r="236" spans="1:29" s="308" customFormat="1" x14ac:dyDescent="0.6">
      <c r="A236" s="187">
        <v>83</v>
      </c>
      <c r="B236" s="155" t="s">
        <v>748</v>
      </c>
      <c r="C236" s="155" t="s">
        <v>749</v>
      </c>
      <c r="D236" s="155" t="s">
        <v>516</v>
      </c>
      <c r="E236" s="162" t="s">
        <v>517</v>
      </c>
      <c r="F236" s="204" t="s">
        <v>351</v>
      </c>
      <c r="G236" s="155"/>
      <c r="H236" s="305"/>
      <c r="I236" s="313" t="s">
        <v>1170</v>
      </c>
      <c r="J236" s="165" t="s">
        <v>1159</v>
      </c>
      <c r="K236" s="208"/>
      <c r="L236" s="209"/>
      <c r="M236" s="229"/>
      <c r="N236" s="229"/>
      <c r="O236" s="229"/>
      <c r="P236" s="207"/>
      <c r="Q236" s="205"/>
      <c r="R236" s="263"/>
      <c r="S236" s="263"/>
      <c r="T236" s="263"/>
      <c r="U236" s="207"/>
      <c r="V236" s="205"/>
      <c r="W236" s="195"/>
      <c r="X236" s="195"/>
      <c r="Y236" s="201"/>
      <c r="Z236" s="307"/>
      <c r="AA236" s="305"/>
      <c r="AB236" s="305"/>
      <c r="AC236" s="305"/>
    </row>
    <row r="237" spans="1:29" s="308" customFormat="1" x14ac:dyDescent="0.6">
      <c r="A237" s="187">
        <v>84</v>
      </c>
      <c r="B237" s="155" t="s">
        <v>750</v>
      </c>
      <c r="C237" s="155" t="s">
        <v>751</v>
      </c>
      <c r="D237" s="155" t="s">
        <v>516</v>
      </c>
      <c r="E237" s="162" t="s">
        <v>517</v>
      </c>
      <c r="F237" s="204" t="s">
        <v>351</v>
      </c>
      <c r="G237" s="155"/>
      <c r="H237" s="305"/>
      <c r="I237" s="313" t="s">
        <v>1171</v>
      </c>
      <c r="J237" s="165" t="s">
        <v>1159</v>
      </c>
      <c r="K237" s="208"/>
      <c r="L237" s="209"/>
      <c r="M237" s="229"/>
      <c r="N237" s="229"/>
      <c r="O237" s="229"/>
      <c r="P237" s="207"/>
      <c r="Q237" s="205"/>
      <c r="R237" s="263"/>
      <c r="S237" s="263"/>
      <c r="T237" s="263"/>
      <c r="U237" s="207"/>
      <c r="V237" s="205"/>
      <c r="W237" s="195"/>
      <c r="X237" s="195"/>
      <c r="Y237" s="201"/>
      <c r="Z237" s="307"/>
      <c r="AA237" s="305"/>
      <c r="AB237" s="305"/>
      <c r="AC237" s="305"/>
    </row>
    <row r="238" spans="1:29" s="308" customFormat="1" x14ac:dyDescent="0.6">
      <c r="A238" s="187">
        <v>85</v>
      </c>
      <c r="B238" s="155" t="s">
        <v>752</v>
      </c>
      <c r="C238" s="155" t="s">
        <v>752</v>
      </c>
      <c r="D238" s="155" t="s">
        <v>516</v>
      </c>
      <c r="E238" s="162" t="s">
        <v>517</v>
      </c>
      <c r="F238" s="204" t="s">
        <v>351</v>
      </c>
      <c r="G238" s="155"/>
      <c r="H238" s="305"/>
      <c r="I238" s="313" t="s">
        <v>1172</v>
      </c>
      <c r="J238" s="165" t="s">
        <v>1159</v>
      </c>
      <c r="K238" s="208"/>
      <c r="L238" s="209"/>
      <c r="M238" s="229"/>
      <c r="N238" s="229"/>
      <c r="O238" s="229"/>
      <c r="P238" s="207"/>
      <c r="Q238" s="205"/>
      <c r="R238" s="263"/>
      <c r="S238" s="263"/>
      <c r="T238" s="263"/>
      <c r="U238" s="207"/>
      <c r="V238" s="205"/>
      <c r="W238" s="195"/>
      <c r="X238" s="195"/>
      <c r="Y238" s="201"/>
      <c r="Z238" s="307"/>
      <c r="AA238" s="305"/>
      <c r="AB238" s="305"/>
      <c r="AC238" s="305"/>
    </row>
    <row r="239" spans="1:29" s="308" customFormat="1" x14ac:dyDescent="0.6">
      <c r="A239" s="187">
        <v>86</v>
      </c>
      <c r="B239" s="155" t="s">
        <v>753</v>
      </c>
      <c r="C239" s="155" t="s">
        <v>754</v>
      </c>
      <c r="D239" s="155" t="s">
        <v>472</v>
      </c>
      <c r="E239" s="162" t="s">
        <v>473</v>
      </c>
      <c r="F239" s="204" t="s">
        <v>351</v>
      </c>
      <c r="G239" s="155"/>
      <c r="H239" s="305"/>
      <c r="I239" s="313" t="s">
        <v>1173</v>
      </c>
      <c r="J239" s="165" t="s">
        <v>1159</v>
      </c>
      <c r="K239" s="208"/>
      <c r="L239" s="209"/>
      <c r="M239" s="229"/>
      <c r="N239" s="229"/>
      <c r="O239" s="229"/>
      <c r="P239" s="207"/>
      <c r="Q239" s="205"/>
      <c r="R239" s="263"/>
      <c r="S239" s="263"/>
      <c r="T239" s="263"/>
      <c r="U239" s="207"/>
      <c r="V239" s="205"/>
      <c r="W239" s="195"/>
      <c r="X239" s="195"/>
      <c r="Y239" s="201"/>
      <c r="Z239" s="307"/>
      <c r="AA239" s="305"/>
      <c r="AB239" s="305"/>
      <c r="AC239" s="305"/>
    </row>
    <row r="240" spans="1:29" s="308" customFormat="1" x14ac:dyDescent="0.6">
      <c r="A240" s="187">
        <v>87</v>
      </c>
      <c r="B240" s="155" t="s">
        <v>755</v>
      </c>
      <c r="C240" s="155" t="s">
        <v>756</v>
      </c>
      <c r="D240" s="155" t="s">
        <v>472</v>
      </c>
      <c r="E240" s="162" t="s">
        <v>473</v>
      </c>
      <c r="F240" s="204" t="s">
        <v>351</v>
      </c>
      <c r="G240" s="155"/>
      <c r="H240" s="305"/>
      <c r="I240" s="313" t="s">
        <v>1174</v>
      </c>
      <c r="J240" s="165" t="s">
        <v>1159</v>
      </c>
      <c r="K240" s="208"/>
      <c r="L240" s="209"/>
      <c r="M240" s="229"/>
      <c r="N240" s="229"/>
      <c r="O240" s="229"/>
      <c r="P240" s="207"/>
      <c r="Q240" s="205"/>
      <c r="R240" s="263"/>
      <c r="S240" s="263"/>
      <c r="T240" s="263"/>
      <c r="U240" s="207"/>
      <c r="V240" s="205"/>
      <c r="W240" s="195"/>
      <c r="X240" s="195"/>
      <c r="Y240" s="201"/>
      <c r="Z240" s="307"/>
      <c r="AA240" s="305"/>
      <c r="AB240" s="305"/>
      <c r="AC240" s="305"/>
    </row>
    <row r="241" spans="1:29" s="308" customFormat="1" x14ac:dyDescent="0.6">
      <c r="A241" s="187">
        <v>88</v>
      </c>
      <c r="B241" s="155" t="s">
        <v>757</v>
      </c>
      <c r="C241" s="155" t="s">
        <v>758</v>
      </c>
      <c r="D241" s="155" t="s">
        <v>472</v>
      </c>
      <c r="E241" s="162" t="s">
        <v>473</v>
      </c>
      <c r="F241" s="204" t="s">
        <v>351</v>
      </c>
      <c r="G241" s="155"/>
      <c r="H241" s="305"/>
      <c r="I241" s="313" t="s">
        <v>1175</v>
      </c>
      <c r="J241" s="165" t="s">
        <v>1159</v>
      </c>
      <c r="K241" s="208"/>
      <c r="L241" s="209"/>
      <c r="M241" s="229"/>
      <c r="N241" s="229"/>
      <c r="O241" s="229"/>
      <c r="P241" s="207"/>
      <c r="Q241" s="205"/>
      <c r="R241" s="263"/>
      <c r="S241" s="263"/>
      <c r="T241" s="263"/>
      <c r="U241" s="207"/>
      <c r="V241" s="205"/>
      <c r="W241" s="195"/>
      <c r="X241" s="195"/>
      <c r="Y241" s="201"/>
      <c r="Z241" s="307"/>
      <c r="AA241" s="305"/>
      <c r="AB241" s="305"/>
      <c r="AC241" s="305"/>
    </row>
    <row r="242" spans="1:29" s="308" customFormat="1" x14ac:dyDescent="0.6">
      <c r="A242" s="187">
        <v>89</v>
      </c>
      <c r="B242" s="155" t="s">
        <v>759</v>
      </c>
      <c r="C242" s="155" t="s">
        <v>760</v>
      </c>
      <c r="D242" s="155" t="s">
        <v>472</v>
      </c>
      <c r="E242" s="162" t="s">
        <v>473</v>
      </c>
      <c r="F242" s="204" t="s">
        <v>351</v>
      </c>
      <c r="G242" s="155"/>
      <c r="H242" s="305"/>
      <c r="I242" s="313" t="s">
        <v>1176</v>
      </c>
      <c r="J242" s="165" t="s">
        <v>1159</v>
      </c>
      <c r="K242" s="208"/>
      <c r="L242" s="209"/>
      <c r="M242" s="229"/>
      <c r="N242" s="229"/>
      <c r="O242" s="229"/>
      <c r="P242" s="207"/>
      <c r="Q242" s="205"/>
      <c r="R242" s="263"/>
      <c r="S242" s="263"/>
      <c r="T242" s="263"/>
      <c r="U242" s="207"/>
      <c r="V242" s="205"/>
      <c r="W242" s="195"/>
      <c r="X242" s="195"/>
      <c r="Y242" s="201"/>
      <c r="Z242" s="307"/>
      <c r="AA242" s="305"/>
      <c r="AB242" s="305"/>
      <c r="AC242" s="305"/>
    </row>
    <row r="243" spans="1:29" s="308" customFormat="1" x14ac:dyDescent="0.6">
      <c r="A243" s="187">
        <v>90</v>
      </c>
      <c r="B243" s="155" t="s">
        <v>761</v>
      </c>
      <c r="C243" s="155" t="s">
        <v>762</v>
      </c>
      <c r="D243" s="155" t="s">
        <v>472</v>
      </c>
      <c r="E243" s="162" t="s">
        <v>473</v>
      </c>
      <c r="F243" s="204" t="s">
        <v>351</v>
      </c>
      <c r="G243" s="155"/>
      <c r="H243" s="305"/>
      <c r="I243" s="313" t="s">
        <v>1177</v>
      </c>
      <c r="J243" s="165" t="s">
        <v>1159</v>
      </c>
      <c r="K243" s="208"/>
      <c r="L243" s="209"/>
      <c r="M243" s="229"/>
      <c r="N243" s="229"/>
      <c r="O243" s="229"/>
      <c r="P243" s="207"/>
      <c r="Q243" s="205"/>
      <c r="R243" s="263"/>
      <c r="S243" s="263"/>
      <c r="T243" s="263"/>
      <c r="U243" s="207"/>
      <c r="V243" s="205"/>
      <c r="W243" s="195"/>
      <c r="X243" s="195"/>
      <c r="Y243" s="201"/>
      <c r="Z243" s="307"/>
      <c r="AA243" s="305"/>
      <c r="AB243" s="305"/>
      <c r="AC243" s="305"/>
    </row>
    <row r="244" spans="1:29" s="308" customFormat="1" x14ac:dyDescent="0.6">
      <c r="A244" s="187">
        <v>91</v>
      </c>
      <c r="B244" s="155" t="s">
        <v>763</v>
      </c>
      <c r="C244" s="155" t="s">
        <v>764</v>
      </c>
      <c r="D244" s="155" t="s">
        <v>472</v>
      </c>
      <c r="E244" s="162" t="s">
        <v>473</v>
      </c>
      <c r="F244" s="204" t="s">
        <v>351</v>
      </c>
      <c r="G244" s="155"/>
      <c r="H244" s="305"/>
      <c r="I244" s="313" t="s">
        <v>1178</v>
      </c>
      <c r="J244" s="165" t="s">
        <v>1159</v>
      </c>
      <c r="K244" s="208"/>
      <c r="L244" s="209"/>
      <c r="M244" s="229"/>
      <c r="N244" s="229"/>
      <c r="O244" s="229"/>
      <c r="P244" s="207"/>
      <c r="Q244" s="205"/>
      <c r="R244" s="263"/>
      <c r="S244" s="263"/>
      <c r="T244" s="263"/>
      <c r="U244" s="207"/>
      <c r="V244" s="205"/>
      <c r="W244" s="195"/>
      <c r="X244" s="195"/>
      <c r="Y244" s="201"/>
      <c r="Z244" s="307"/>
      <c r="AA244" s="305"/>
      <c r="AB244" s="305"/>
      <c r="AC244" s="305"/>
    </row>
    <row r="245" spans="1:29" s="308" customFormat="1" x14ac:dyDescent="0.6">
      <c r="A245" s="187">
        <v>92</v>
      </c>
      <c r="B245" s="155" t="s">
        <v>765</v>
      </c>
      <c r="C245" s="155" t="s">
        <v>766</v>
      </c>
      <c r="D245" s="155" t="s">
        <v>767</v>
      </c>
      <c r="E245" s="162" t="s">
        <v>490</v>
      </c>
      <c r="F245" s="204" t="s">
        <v>351</v>
      </c>
      <c r="G245" s="155"/>
      <c r="H245" s="305"/>
      <c r="I245" s="313" t="s">
        <v>1179</v>
      </c>
      <c r="J245" s="165" t="s">
        <v>1159</v>
      </c>
      <c r="K245" s="208"/>
      <c r="L245" s="209"/>
      <c r="M245" s="229"/>
      <c r="N245" s="229"/>
      <c r="O245" s="229"/>
      <c r="P245" s="207"/>
      <c r="Q245" s="205"/>
      <c r="R245" s="263"/>
      <c r="S245" s="263"/>
      <c r="T245" s="263"/>
      <c r="U245" s="207"/>
      <c r="V245" s="205"/>
      <c r="W245" s="195"/>
      <c r="X245" s="195"/>
      <c r="Y245" s="201"/>
      <c r="Z245" s="307"/>
      <c r="AA245" s="305"/>
      <c r="AB245" s="305"/>
      <c r="AC245" s="305"/>
    </row>
    <row r="246" spans="1:29" s="308" customFormat="1" x14ac:dyDescent="0.6">
      <c r="A246" s="187">
        <v>93</v>
      </c>
      <c r="B246" s="155" t="s">
        <v>768</v>
      </c>
      <c r="C246" s="155" t="s">
        <v>769</v>
      </c>
      <c r="D246" s="155" t="s">
        <v>767</v>
      </c>
      <c r="E246" s="162" t="s">
        <v>490</v>
      </c>
      <c r="F246" s="204" t="s">
        <v>351</v>
      </c>
      <c r="G246" s="155"/>
      <c r="H246" s="305"/>
      <c r="I246" s="313" t="s">
        <v>1180</v>
      </c>
      <c r="J246" s="165" t="s">
        <v>1159</v>
      </c>
      <c r="K246" s="208"/>
      <c r="L246" s="209"/>
      <c r="M246" s="229"/>
      <c r="N246" s="229"/>
      <c r="O246" s="229"/>
      <c r="P246" s="207"/>
      <c r="Q246" s="205"/>
      <c r="R246" s="263"/>
      <c r="S246" s="263"/>
      <c r="T246" s="263"/>
      <c r="U246" s="207"/>
      <c r="V246" s="205"/>
      <c r="W246" s="195"/>
      <c r="X246" s="195"/>
      <c r="Y246" s="201"/>
      <c r="Z246" s="307"/>
      <c r="AA246" s="305"/>
      <c r="AB246" s="305"/>
      <c r="AC246" s="305"/>
    </row>
    <row r="247" spans="1:29" s="308" customFormat="1" x14ac:dyDescent="0.6">
      <c r="A247" s="187">
        <v>94</v>
      </c>
      <c r="B247" s="155" t="s">
        <v>770</v>
      </c>
      <c r="C247" s="155" t="s">
        <v>771</v>
      </c>
      <c r="D247" s="155" t="s">
        <v>767</v>
      </c>
      <c r="E247" s="162" t="s">
        <v>490</v>
      </c>
      <c r="F247" s="204" t="s">
        <v>351</v>
      </c>
      <c r="G247" s="155"/>
      <c r="H247" s="305"/>
      <c r="I247" s="313" t="s">
        <v>1181</v>
      </c>
      <c r="J247" s="165" t="s">
        <v>1159</v>
      </c>
      <c r="K247" s="208"/>
      <c r="L247" s="209"/>
      <c r="M247" s="229"/>
      <c r="N247" s="229"/>
      <c r="O247" s="229"/>
      <c r="P247" s="207"/>
      <c r="Q247" s="205"/>
      <c r="R247" s="263"/>
      <c r="S247" s="263"/>
      <c r="T247" s="263"/>
      <c r="U247" s="207"/>
      <c r="V247" s="205"/>
      <c r="W247" s="195"/>
      <c r="X247" s="195"/>
      <c r="Y247" s="201"/>
      <c r="Z247" s="307"/>
      <c r="AA247" s="305"/>
      <c r="AB247" s="305"/>
      <c r="AC247" s="305"/>
    </row>
    <row r="248" spans="1:29" s="308" customFormat="1" x14ac:dyDescent="0.6">
      <c r="A248" s="187">
        <v>95</v>
      </c>
      <c r="B248" s="155" t="s">
        <v>772</v>
      </c>
      <c r="C248" s="155" t="s">
        <v>773</v>
      </c>
      <c r="D248" s="155" t="s">
        <v>767</v>
      </c>
      <c r="E248" s="162" t="s">
        <v>490</v>
      </c>
      <c r="F248" s="204" t="s">
        <v>351</v>
      </c>
      <c r="G248" s="155"/>
      <c r="H248" s="305"/>
      <c r="I248" s="313" t="s">
        <v>1182</v>
      </c>
      <c r="J248" s="165" t="s">
        <v>1159</v>
      </c>
      <c r="K248" s="208"/>
      <c r="L248" s="209"/>
      <c r="M248" s="229"/>
      <c r="N248" s="229"/>
      <c r="O248" s="229"/>
      <c r="P248" s="207"/>
      <c r="Q248" s="205"/>
      <c r="R248" s="263"/>
      <c r="S248" s="263"/>
      <c r="T248" s="263"/>
      <c r="U248" s="207"/>
      <c r="V248" s="205"/>
      <c r="W248" s="195"/>
      <c r="X248" s="195"/>
      <c r="Y248" s="201"/>
      <c r="Z248" s="307"/>
      <c r="AA248" s="305"/>
      <c r="AB248" s="305"/>
      <c r="AC248" s="305"/>
    </row>
    <row r="249" spans="1:29" s="308" customFormat="1" x14ac:dyDescent="0.6">
      <c r="A249" s="187">
        <v>96</v>
      </c>
      <c r="B249" s="155" t="s">
        <v>774</v>
      </c>
      <c r="C249" s="155" t="s">
        <v>775</v>
      </c>
      <c r="D249" s="155" t="s">
        <v>767</v>
      </c>
      <c r="E249" s="162" t="s">
        <v>490</v>
      </c>
      <c r="F249" s="204" t="s">
        <v>351</v>
      </c>
      <c r="G249" s="155"/>
      <c r="H249" s="305"/>
      <c r="I249" s="313" t="s">
        <v>1183</v>
      </c>
      <c r="J249" s="165" t="s">
        <v>1159</v>
      </c>
      <c r="K249" s="208"/>
      <c r="L249" s="209"/>
      <c r="M249" s="229"/>
      <c r="N249" s="229"/>
      <c r="O249" s="229"/>
      <c r="P249" s="207"/>
      <c r="Q249" s="205"/>
      <c r="R249" s="263"/>
      <c r="S249" s="263"/>
      <c r="T249" s="263"/>
      <c r="U249" s="207"/>
      <c r="V249" s="205"/>
      <c r="W249" s="195"/>
      <c r="X249" s="195"/>
      <c r="Y249" s="201"/>
      <c r="Z249" s="307"/>
      <c r="AA249" s="305"/>
      <c r="AB249" s="305"/>
      <c r="AC249" s="305"/>
    </row>
    <row r="250" spans="1:29" s="308" customFormat="1" x14ac:dyDescent="0.6">
      <c r="A250" s="187">
        <v>97</v>
      </c>
      <c r="B250" s="155" t="s">
        <v>776</v>
      </c>
      <c r="C250" s="155" t="s">
        <v>777</v>
      </c>
      <c r="D250" s="155" t="s">
        <v>767</v>
      </c>
      <c r="E250" s="162" t="s">
        <v>490</v>
      </c>
      <c r="F250" s="204" t="s">
        <v>351</v>
      </c>
      <c r="G250" s="155"/>
      <c r="H250" s="305"/>
      <c r="I250" s="313" t="s">
        <v>1184</v>
      </c>
      <c r="J250" s="165" t="s">
        <v>1159</v>
      </c>
      <c r="K250" s="208"/>
      <c r="L250" s="209"/>
      <c r="M250" s="229"/>
      <c r="N250" s="229"/>
      <c r="O250" s="229"/>
      <c r="P250" s="207"/>
      <c r="Q250" s="205"/>
      <c r="R250" s="263"/>
      <c r="S250" s="263"/>
      <c r="T250" s="263"/>
      <c r="U250" s="207"/>
      <c r="V250" s="205"/>
      <c r="W250" s="195"/>
      <c r="X250" s="195"/>
      <c r="Y250" s="201"/>
      <c r="Z250" s="307"/>
      <c r="AA250" s="305"/>
      <c r="AB250" s="305"/>
      <c r="AC250" s="305"/>
    </row>
    <row r="251" spans="1:29" s="308" customFormat="1" x14ac:dyDescent="0.6">
      <c r="A251" s="187">
        <v>98</v>
      </c>
      <c r="B251" s="155" t="s">
        <v>778</v>
      </c>
      <c r="C251" s="155" t="s">
        <v>778</v>
      </c>
      <c r="D251" s="155" t="s">
        <v>767</v>
      </c>
      <c r="E251" s="162" t="s">
        <v>490</v>
      </c>
      <c r="F251" s="204" t="s">
        <v>351</v>
      </c>
      <c r="G251" s="155"/>
      <c r="H251" s="305"/>
      <c r="I251" s="313" t="s">
        <v>1185</v>
      </c>
      <c r="J251" s="165" t="s">
        <v>1159</v>
      </c>
      <c r="K251" s="208"/>
      <c r="L251" s="209"/>
      <c r="M251" s="229"/>
      <c r="N251" s="229"/>
      <c r="O251" s="229"/>
      <c r="P251" s="207"/>
      <c r="Q251" s="205"/>
      <c r="R251" s="263"/>
      <c r="S251" s="263"/>
      <c r="T251" s="263"/>
      <c r="U251" s="207"/>
      <c r="V251" s="205"/>
      <c r="W251" s="195"/>
      <c r="X251" s="195"/>
      <c r="Y251" s="201"/>
      <c r="Z251" s="307"/>
      <c r="AA251" s="305"/>
      <c r="AB251" s="305"/>
      <c r="AC251" s="305"/>
    </row>
    <row r="252" spans="1:29" s="308" customFormat="1" x14ac:dyDescent="0.6">
      <c r="A252" s="187">
        <v>99</v>
      </c>
      <c r="B252" s="155" t="s">
        <v>779</v>
      </c>
      <c r="C252" s="155" t="s">
        <v>779</v>
      </c>
      <c r="D252" s="155" t="s">
        <v>476</v>
      </c>
      <c r="E252" s="162" t="s">
        <v>233</v>
      </c>
      <c r="F252" s="204" t="s">
        <v>351</v>
      </c>
      <c r="G252" s="155"/>
      <c r="H252" s="305"/>
      <c r="I252" s="313" t="s">
        <v>1186</v>
      </c>
      <c r="J252" s="165" t="s">
        <v>1187</v>
      </c>
      <c r="K252" s="208"/>
      <c r="L252" s="209"/>
      <c r="M252" s="229"/>
      <c r="N252" s="229"/>
      <c r="O252" s="229"/>
      <c r="P252" s="207"/>
      <c r="Q252" s="205"/>
      <c r="R252" s="263"/>
      <c r="S252" s="263"/>
      <c r="T252" s="263"/>
      <c r="U252" s="207"/>
      <c r="V252" s="205"/>
      <c r="W252" s="195"/>
      <c r="X252" s="195"/>
      <c r="Y252" s="201"/>
      <c r="Z252" s="307"/>
      <c r="AA252" s="305"/>
      <c r="AB252" s="305"/>
      <c r="AC252" s="305"/>
    </row>
    <row r="253" spans="1:29" s="308" customFormat="1" x14ac:dyDescent="0.6">
      <c r="A253" s="187">
        <v>100</v>
      </c>
      <c r="B253" s="155" t="s">
        <v>700</v>
      </c>
      <c r="C253" s="155" t="s">
        <v>700</v>
      </c>
      <c r="D253" s="155" t="s">
        <v>476</v>
      </c>
      <c r="E253" s="162" t="s">
        <v>233</v>
      </c>
      <c r="F253" s="204" t="s">
        <v>351</v>
      </c>
      <c r="G253" s="155"/>
      <c r="H253" s="305"/>
      <c r="I253" s="313" t="s">
        <v>1188</v>
      </c>
      <c r="J253" s="165" t="s">
        <v>1187</v>
      </c>
      <c r="K253" s="208"/>
      <c r="L253" s="209"/>
      <c r="M253" s="229"/>
      <c r="N253" s="229"/>
      <c r="O253" s="229"/>
      <c r="P253" s="207"/>
      <c r="Q253" s="205"/>
      <c r="R253" s="263"/>
      <c r="S253" s="263"/>
      <c r="T253" s="263"/>
      <c r="U253" s="207"/>
      <c r="V253" s="205"/>
      <c r="W253" s="195"/>
      <c r="X253" s="195"/>
      <c r="Y253" s="201"/>
      <c r="Z253" s="307"/>
      <c r="AA253" s="305"/>
      <c r="AB253" s="305"/>
      <c r="AC253" s="305"/>
    </row>
    <row r="254" spans="1:29" s="308" customFormat="1" x14ac:dyDescent="0.6">
      <c r="A254" s="187">
        <v>101</v>
      </c>
      <c r="B254" s="155" t="s">
        <v>780</v>
      </c>
      <c r="C254" s="155" t="s">
        <v>781</v>
      </c>
      <c r="D254" s="155" t="s">
        <v>476</v>
      </c>
      <c r="E254" s="162" t="s">
        <v>233</v>
      </c>
      <c r="F254" s="204" t="s">
        <v>351</v>
      </c>
      <c r="G254" s="155"/>
      <c r="H254" s="305"/>
      <c r="I254" s="313" t="s">
        <v>1189</v>
      </c>
      <c r="J254" s="165" t="s">
        <v>1187</v>
      </c>
      <c r="K254" s="208"/>
      <c r="L254" s="209"/>
      <c r="M254" s="229"/>
      <c r="N254" s="229"/>
      <c r="O254" s="229"/>
      <c r="P254" s="207"/>
      <c r="Q254" s="205"/>
      <c r="R254" s="263"/>
      <c r="S254" s="263"/>
      <c r="T254" s="263"/>
      <c r="U254" s="207"/>
      <c r="V254" s="205"/>
      <c r="W254" s="195"/>
      <c r="X254" s="195"/>
      <c r="Y254" s="201"/>
      <c r="Z254" s="307"/>
      <c r="AA254" s="305"/>
      <c r="AB254" s="305"/>
      <c r="AC254" s="305"/>
    </row>
    <row r="255" spans="1:29" s="308" customFormat="1" x14ac:dyDescent="0.6">
      <c r="A255" s="187">
        <v>102</v>
      </c>
      <c r="B255" s="155" t="s">
        <v>782</v>
      </c>
      <c r="C255" s="155" t="s">
        <v>783</v>
      </c>
      <c r="D255" s="155" t="s">
        <v>476</v>
      </c>
      <c r="E255" s="162" t="s">
        <v>233</v>
      </c>
      <c r="F255" s="204" t="s">
        <v>351</v>
      </c>
      <c r="G255" s="155"/>
      <c r="H255" s="305"/>
      <c r="I255" s="313" t="s">
        <v>1190</v>
      </c>
      <c r="J255" s="165" t="s">
        <v>1187</v>
      </c>
      <c r="K255" s="208"/>
      <c r="L255" s="209"/>
      <c r="M255" s="229"/>
      <c r="N255" s="229"/>
      <c r="O255" s="229"/>
      <c r="P255" s="207"/>
      <c r="Q255" s="205"/>
      <c r="R255" s="263"/>
      <c r="S255" s="263"/>
      <c r="T255" s="263"/>
      <c r="U255" s="207"/>
      <c r="V255" s="205"/>
      <c r="W255" s="195"/>
      <c r="X255" s="195"/>
      <c r="Y255" s="201"/>
      <c r="Z255" s="307"/>
      <c r="AA255" s="305"/>
      <c r="AB255" s="305"/>
      <c r="AC255" s="305"/>
    </row>
    <row r="256" spans="1:29" s="308" customFormat="1" x14ac:dyDescent="0.6">
      <c r="A256" s="187">
        <v>103</v>
      </c>
      <c r="B256" s="155" t="s">
        <v>784</v>
      </c>
      <c r="C256" s="155" t="s">
        <v>785</v>
      </c>
      <c r="D256" s="155" t="s">
        <v>476</v>
      </c>
      <c r="E256" s="162" t="s">
        <v>233</v>
      </c>
      <c r="F256" s="204" t="s">
        <v>351</v>
      </c>
      <c r="G256" s="155"/>
      <c r="H256" s="305"/>
      <c r="I256" s="313" t="s">
        <v>1191</v>
      </c>
      <c r="J256" s="165" t="s">
        <v>1187</v>
      </c>
      <c r="K256" s="208"/>
      <c r="L256" s="209"/>
      <c r="M256" s="229"/>
      <c r="N256" s="229"/>
      <c r="O256" s="229"/>
      <c r="P256" s="207"/>
      <c r="Q256" s="205"/>
      <c r="R256" s="263"/>
      <c r="S256" s="263"/>
      <c r="T256" s="263"/>
      <c r="U256" s="207"/>
      <c r="V256" s="205"/>
      <c r="W256" s="195"/>
      <c r="X256" s="195"/>
      <c r="Y256" s="201"/>
      <c r="Z256" s="307"/>
      <c r="AA256" s="305"/>
      <c r="AB256" s="305"/>
      <c r="AC256" s="305"/>
    </row>
    <row r="257" spans="1:29" s="308" customFormat="1" x14ac:dyDescent="0.6">
      <c r="A257" s="187">
        <v>104</v>
      </c>
      <c r="B257" s="155" t="s">
        <v>786</v>
      </c>
      <c r="C257" s="155" t="s">
        <v>786</v>
      </c>
      <c r="D257" s="155" t="s">
        <v>24</v>
      </c>
      <c r="E257" s="162" t="s">
        <v>183</v>
      </c>
      <c r="F257" s="204" t="s">
        <v>351</v>
      </c>
      <c r="G257" s="155"/>
      <c r="H257" s="305"/>
      <c r="I257" s="313" t="s">
        <v>1192</v>
      </c>
      <c r="J257" s="165" t="s">
        <v>1187</v>
      </c>
      <c r="K257" s="208"/>
      <c r="L257" s="209"/>
      <c r="M257" s="229"/>
      <c r="N257" s="229"/>
      <c r="O257" s="229"/>
      <c r="P257" s="207"/>
      <c r="Q257" s="205"/>
      <c r="R257" s="263"/>
      <c r="S257" s="263"/>
      <c r="T257" s="263"/>
      <c r="U257" s="207"/>
      <c r="V257" s="205"/>
      <c r="W257" s="195"/>
      <c r="X257" s="195"/>
      <c r="Y257" s="201"/>
      <c r="Z257" s="307"/>
      <c r="AA257" s="305"/>
      <c r="AB257" s="305"/>
      <c r="AC257" s="305"/>
    </row>
    <row r="258" spans="1:29" s="308" customFormat="1" x14ac:dyDescent="0.6">
      <c r="A258" s="187">
        <v>105</v>
      </c>
      <c r="B258" s="155" t="s">
        <v>787</v>
      </c>
      <c r="C258" s="155" t="s">
        <v>787</v>
      </c>
      <c r="D258" s="155" t="s">
        <v>24</v>
      </c>
      <c r="E258" s="162" t="s">
        <v>183</v>
      </c>
      <c r="F258" s="204" t="s">
        <v>351</v>
      </c>
      <c r="G258" s="155"/>
      <c r="H258" s="305"/>
      <c r="I258" s="313" t="s">
        <v>1193</v>
      </c>
      <c r="J258" s="165" t="s">
        <v>1187</v>
      </c>
      <c r="K258" s="208"/>
      <c r="L258" s="209"/>
      <c r="M258" s="229"/>
      <c r="N258" s="229"/>
      <c r="O258" s="229"/>
      <c r="P258" s="207"/>
      <c r="Q258" s="205"/>
      <c r="R258" s="263"/>
      <c r="S258" s="263"/>
      <c r="T258" s="263"/>
      <c r="U258" s="207"/>
      <c r="V258" s="205"/>
      <c r="W258" s="195"/>
      <c r="X258" s="195"/>
      <c r="Y258" s="201"/>
      <c r="Z258" s="307"/>
      <c r="AA258" s="305"/>
      <c r="AB258" s="305"/>
      <c r="AC258" s="305"/>
    </row>
    <row r="259" spans="1:29" s="308" customFormat="1" x14ac:dyDescent="0.6">
      <c r="A259" s="187">
        <v>106</v>
      </c>
      <c r="B259" s="155" t="s">
        <v>788</v>
      </c>
      <c r="C259" s="155" t="s">
        <v>789</v>
      </c>
      <c r="D259" s="155" t="s">
        <v>24</v>
      </c>
      <c r="E259" s="162" t="s">
        <v>183</v>
      </c>
      <c r="F259" s="204" t="s">
        <v>351</v>
      </c>
      <c r="G259" s="155"/>
      <c r="H259" s="305"/>
      <c r="I259" s="313" t="s">
        <v>1194</v>
      </c>
      <c r="J259" s="165" t="s">
        <v>1187</v>
      </c>
      <c r="K259" s="208"/>
      <c r="L259" s="209"/>
      <c r="M259" s="229"/>
      <c r="N259" s="229"/>
      <c r="O259" s="229"/>
      <c r="P259" s="207"/>
      <c r="Q259" s="205"/>
      <c r="R259" s="263"/>
      <c r="S259" s="263"/>
      <c r="T259" s="263"/>
      <c r="U259" s="207"/>
      <c r="V259" s="205"/>
      <c r="W259" s="195"/>
      <c r="X259" s="195"/>
      <c r="Y259" s="201"/>
      <c r="Z259" s="307"/>
      <c r="AA259" s="305"/>
      <c r="AB259" s="305"/>
      <c r="AC259" s="305"/>
    </row>
    <row r="260" spans="1:29" s="308" customFormat="1" x14ac:dyDescent="0.6">
      <c r="A260" s="187">
        <v>107</v>
      </c>
      <c r="B260" s="155" t="s">
        <v>790</v>
      </c>
      <c r="C260" s="155" t="s">
        <v>791</v>
      </c>
      <c r="D260" s="155" t="s">
        <v>24</v>
      </c>
      <c r="E260" s="162" t="s">
        <v>183</v>
      </c>
      <c r="F260" s="204" t="s">
        <v>351</v>
      </c>
      <c r="G260" s="155"/>
      <c r="H260" s="305"/>
      <c r="I260" s="313" t="s">
        <v>1195</v>
      </c>
      <c r="J260" s="165" t="s">
        <v>1187</v>
      </c>
      <c r="K260" s="208"/>
      <c r="L260" s="209"/>
      <c r="M260" s="229"/>
      <c r="N260" s="229"/>
      <c r="O260" s="229"/>
      <c r="P260" s="207"/>
      <c r="Q260" s="205"/>
      <c r="R260" s="263"/>
      <c r="S260" s="263"/>
      <c r="T260" s="263"/>
      <c r="U260" s="207"/>
      <c r="V260" s="205"/>
      <c r="W260" s="195"/>
      <c r="X260" s="195"/>
      <c r="Y260" s="201"/>
      <c r="Z260" s="307"/>
      <c r="AA260" s="305"/>
      <c r="AB260" s="305"/>
      <c r="AC260" s="305"/>
    </row>
    <row r="261" spans="1:29" s="308" customFormat="1" x14ac:dyDescent="0.6">
      <c r="A261" s="187">
        <v>108</v>
      </c>
      <c r="B261" s="155" t="s">
        <v>792</v>
      </c>
      <c r="C261" s="155" t="s">
        <v>793</v>
      </c>
      <c r="D261" s="155" t="s">
        <v>794</v>
      </c>
      <c r="E261" s="162" t="s">
        <v>795</v>
      </c>
      <c r="F261" s="204" t="s">
        <v>351</v>
      </c>
      <c r="G261" s="155"/>
      <c r="H261" s="305"/>
      <c r="I261" s="313" t="s">
        <v>1196</v>
      </c>
      <c r="J261" s="165" t="s">
        <v>1187</v>
      </c>
      <c r="K261" s="208"/>
      <c r="L261" s="209"/>
      <c r="M261" s="229"/>
      <c r="N261" s="229"/>
      <c r="O261" s="229"/>
      <c r="P261" s="207"/>
      <c r="Q261" s="205"/>
      <c r="R261" s="263"/>
      <c r="S261" s="263"/>
      <c r="T261" s="263"/>
      <c r="U261" s="207"/>
      <c r="V261" s="205"/>
      <c r="W261" s="195"/>
      <c r="X261" s="195"/>
      <c r="Y261" s="201"/>
      <c r="Z261" s="307"/>
      <c r="AA261" s="305"/>
      <c r="AB261" s="305"/>
      <c r="AC261" s="305"/>
    </row>
    <row r="262" spans="1:29" s="308" customFormat="1" x14ac:dyDescent="0.6">
      <c r="A262" s="187">
        <v>109</v>
      </c>
      <c r="B262" s="155" t="s">
        <v>796</v>
      </c>
      <c r="C262" s="155" t="s">
        <v>797</v>
      </c>
      <c r="D262" s="155" t="s">
        <v>794</v>
      </c>
      <c r="E262" s="162" t="s">
        <v>795</v>
      </c>
      <c r="F262" s="204" t="s">
        <v>351</v>
      </c>
      <c r="G262" s="155"/>
      <c r="H262" s="305"/>
      <c r="I262" s="313" t="s">
        <v>1197</v>
      </c>
      <c r="J262" s="165" t="s">
        <v>1187</v>
      </c>
      <c r="K262" s="208"/>
      <c r="L262" s="209"/>
      <c r="M262" s="229"/>
      <c r="N262" s="229"/>
      <c r="O262" s="229"/>
      <c r="P262" s="207"/>
      <c r="Q262" s="205"/>
      <c r="R262" s="263"/>
      <c r="S262" s="263"/>
      <c r="T262" s="263"/>
      <c r="U262" s="207"/>
      <c r="V262" s="205"/>
      <c r="W262" s="195"/>
      <c r="X262" s="195"/>
      <c r="Y262" s="201"/>
      <c r="Z262" s="307"/>
      <c r="AA262" s="305"/>
      <c r="AB262" s="305"/>
      <c r="AC262" s="305"/>
    </row>
    <row r="263" spans="1:29" s="308" customFormat="1" x14ac:dyDescent="0.6">
      <c r="A263" s="187">
        <v>110</v>
      </c>
      <c r="B263" s="155" t="s">
        <v>798</v>
      </c>
      <c r="C263" s="155" t="s">
        <v>799</v>
      </c>
      <c r="D263" s="155" t="s">
        <v>794</v>
      </c>
      <c r="E263" s="162" t="s">
        <v>795</v>
      </c>
      <c r="F263" s="204" t="s">
        <v>351</v>
      </c>
      <c r="G263" s="155"/>
      <c r="H263" s="305"/>
      <c r="I263" s="313" t="s">
        <v>1198</v>
      </c>
      <c r="J263" s="165" t="s">
        <v>1187</v>
      </c>
      <c r="K263" s="208"/>
      <c r="L263" s="209"/>
      <c r="M263" s="229"/>
      <c r="N263" s="229"/>
      <c r="O263" s="229"/>
      <c r="P263" s="207"/>
      <c r="Q263" s="205"/>
      <c r="R263" s="263"/>
      <c r="S263" s="263"/>
      <c r="T263" s="263"/>
      <c r="U263" s="207"/>
      <c r="V263" s="205"/>
      <c r="W263" s="195"/>
      <c r="X263" s="195"/>
      <c r="Y263" s="201"/>
      <c r="Z263" s="307"/>
      <c r="AA263" s="305"/>
      <c r="AB263" s="305"/>
      <c r="AC263" s="305"/>
    </row>
    <row r="264" spans="1:29" s="308" customFormat="1" x14ac:dyDescent="0.6">
      <c r="A264" s="187">
        <v>111</v>
      </c>
      <c r="B264" s="155" t="s">
        <v>800</v>
      </c>
      <c r="C264" s="155" t="s">
        <v>800</v>
      </c>
      <c r="D264" s="155" t="s">
        <v>801</v>
      </c>
      <c r="E264" s="162" t="s">
        <v>802</v>
      </c>
      <c r="F264" s="204" t="s">
        <v>351</v>
      </c>
      <c r="G264" s="155"/>
      <c r="H264" s="305"/>
      <c r="I264" s="313" t="s">
        <v>1199</v>
      </c>
      <c r="J264" s="165" t="s">
        <v>1187</v>
      </c>
      <c r="K264" s="208"/>
      <c r="L264" s="209"/>
      <c r="M264" s="229"/>
      <c r="N264" s="229"/>
      <c r="O264" s="229"/>
      <c r="P264" s="207"/>
      <c r="Q264" s="205"/>
      <c r="R264" s="263"/>
      <c r="S264" s="263"/>
      <c r="T264" s="263"/>
      <c r="U264" s="207"/>
      <c r="V264" s="205"/>
      <c r="W264" s="195"/>
      <c r="X264" s="195"/>
      <c r="Y264" s="201"/>
      <c r="Z264" s="307"/>
      <c r="AA264" s="305"/>
      <c r="AB264" s="305"/>
      <c r="AC264" s="305"/>
    </row>
    <row r="265" spans="1:29" s="308" customFormat="1" x14ac:dyDescent="0.6">
      <c r="A265" s="187">
        <v>112</v>
      </c>
      <c r="B265" s="155" t="s">
        <v>803</v>
      </c>
      <c r="C265" s="155" t="s">
        <v>803</v>
      </c>
      <c r="D265" s="155" t="s">
        <v>801</v>
      </c>
      <c r="E265" s="162" t="s">
        <v>802</v>
      </c>
      <c r="F265" s="204" t="s">
        <v>351</v>
      </c>
      <c r="G265" s="155"/>
      <c r="H265" s="305"/>
      <c r="I265" s="313" t="s">
        <v>1200</v>
      </c>
      <c r="J265" s="165" t="s">
        <v>1187</v>
      </c>
      <c r="K265" s="208"/>
      <c r="L265" s="209"/>
      <c r="M265" s="229"/>
      <c r="N265" s="229"/>
      <c r="O265" s="229"/>
      <c r="P265" s="207"/>
      <c r="Q265" s="205"/>
      <c r="R265" s="263"/>
      <c r="S265" s="263"/>
      <c r="T265" s="263"/>
      <c r="U265" s="207"/>
      <c r="V265" s="205"/>
      <c r="W265" s="195"/>
      <c r="X265" s="195"/>
      <c r="Y265" s="201"/>
      <c r="Z265" s="307"/>
      <c r="AA265" s="305"/>
      <c r="AB265" s="305"/>
      <c r="AC265" s="305"/>
    </row>
    <row r="266" spans="1:29" s="308" customFormat="1" x14ac:dyDescent="0.6">
      <c r="A266" s="187">
        <v>113</v>
      </c>
      <c r="B266" s="155" t="s">
        <v>804</v>
      </c>
      <c r="C266" s="155" t="s">
        <v>805</v>
      </c>
      <c r="D266" s="155" t="s">
        <v>801</v>
      </c>
      <c r="E266" s="162" t="s">
        <v>802</v>
      </c>
      <c r="F266" s="204" t="s">
        <v>351</v>
      </c>
      <c r="G266" s="155"/>
      <c r="H266" s="305"/>
      <c r="I266" s="313" t="s">
        <v>1201</v>
      </c>
      <c r="J266" s="165" t="s">
        <v>1187</v>
      </c>
      <c r="K266" s="208"/>
      <c r="L266" s="209"/>
      <c r="M266" s="229"/>
      <c r="N266" s="229"/>
      <c r="O266" s="229"/>
      <c r="P266" s="207"/>
      <c r="Q266" s="205"/>
      <c r="R266" s="263"/>
      <c r="S266" s="263"/>
      <c r="T266" s="263"/>
      <c r="U266" s="207"/>
      <c r="V266" s="205"/>
      <c r="W266" s="195"/>
      <c r="X266" s="195"/>
      <c r="Y266" s="201"/>
      <c r="Z266" s="307"/>
      <c r="AA266" s="305"/>
      <c r="AB266" s="305"/>
      <c r="AC266" s="305"/>
    </row>
    <row r="267" spans="1:29" s="308" customFormat="1" x14ac:dyDescent="0.6">
      <c r="A267" s="187">
        <v>114</v>
      </c>
      <c r="B267" s="155" t="s">
        <v>806</v>
      </c>
      <c r="C267" s="155" t="s">
        <v>807</v>
      </c>
      <c r="D267" s="155" t="s">
        <v>801</v>
      </c>
      <c r="E267" s="162" t="s">
        <v>802</v>
      </c>
      <c r="F267" s="204" t="s">
        <v>351</v>
      </c>
      <c r="G267" s="155"/>
      <c r="H267" s="305"/>
      <c r="I267" s="313" t="s">
        <v>1202</v>
      </c>
      <c r="J267" s="165" t="s">
        <v>1187</v>
      </c>
      <c r="K267" s="208"/>
      <c r="L267" s="209"/>
      <c r="M267" s="229"/>
      <c r="N267" s="229"/>
      <c r="O267" s="229"/>
      <c r="P267" s="207"/>
      <c r="Q267" s="205"/>
      <c r="R267" s="263"/>
      <c r="S267" s="263"/>
      <c r="T267" s="263"/>
      <c r="U267" s="207"/>
      <c r="V267" s="205"/>
      <c r="W267" s="195"/>
      <c r="X267" s="195"/>
      <c r="Y267" s="201"/>
      <c r="Z267" s="307"/>
      <c r="AA267" s="305"/>
      <c r="AB267" s="305"/>
      <c r="AC267" s="305"/>
    </row>
    <row r="268" spans="1:29" s="308" customFormat="1" x14ac:dyDescent="0.6">
      <c r="A268" s="187">
        <v>115</v>
      </c>
      <c r="B268" s="155" t="s">
        <v>808</v>
      </c>
      <c r="C268" s="155" t="s">
        <v>809</v>
      </c>
      <c r="D268" s="155" t="s">
        <v>801</v>
      </c>
      <c r="E268" s="162" t="s">
        <v>802</v>
      </c>
      <c r="F268" s="204" t="s">
        <v>351</v>
      </c>
      <c r="G268" s="155"/>
      <c r="H268" s="305"/>
      <c r="I268" s="313" t="s">
        <v>1203</v>
      </c>
      <c r="J268" s="165" t="s">
        <v>1187</v>
      </c>
      <c r="K268" s="208"/>
      <c r="L268" s="209"/>
      <c r="M268" s="229"/>
      <c r="N268" s="229"/>
      <c r="O268" s="229"/>
      <c r="P268" s="207"/>
      <c r="Q268" s="205"/>
      <c r="R268" s="263"/>
      <c r="S268" s="263"/>
      <c r="T268" s="263"/>
      <c r="U268" s="207"/>
      <c r="V268" s="205"/>
      <c r="W268" s="195"/>
      <c r="X268" s="195"/>
      <c r="Y268" s="201"/>
      <c r="Z268" s="307"/>
      <c r="AA268" s="305"/>
      <c r="AB268" s="305"/>
      <c r="AC268" s="305"/>
    </row>
    <row r="269" spans="1:29" s="308" customFormat="1" x14ac:dyDescent="0.6">
      <c r="A269" s="187">
        <v>116</v>
      </c>
      <c r="B269" s="155" t="s">
        <v>810</v>
      </c>
      <c r="C269" s="155" t="s">
        <v>811</v>
      </c>
      <c r="D269" s="155" t="s">
        <v>801</v>
      </c>
      <c r="E269" s="162" t="s">
        <v>802</v>
      </c>
      <c r="F269" s="204" t="s">
        <v>351</v>
      </c>
      <c r="G269" s="155"/>
      <c r="H269" s="305"/>
      <c r="I269" s="313" t="s">
        <v>1204</v>
      </c>
      <c r="J269" s="165" t="s">
        <v>1187</v>
      </c>
      <c r="K269" s="208"/>
      <c r="L269" s="209"/>
      <c r="M269" s="229"/>
      <c r="N269" s="229"/>
      <c r="O269" s="229"/>
      <c r="P269" s="207"/>
      <c r="Q269" s="205"/>
      <c r="R269" s="263"/>
      <c r="S269" s="263"/>
      <c r="T269" s="263"/>
      <c r="U269" s="207"/>
      <c r="V269" s="205"/>
      <c r="W269" s="195"/>
      <c r="X269" s="195"/>
      <c r="Y269" s="201"/>
      <c r="Z269" s="307"/>
      <c r="AA269" s="305"/>
      <c r="AB269" s="305"/>
      <c r="AC269" s="305"/>
    </row>
    <row r="270" spans="1:29" s="308" customFormat="1" x14ac:dyDescent="0.6">
      <c r="A270" s="187">
        <v>117</v>
      </c>
      <c r="B270" s="155" t="s">
        <v>812</v>
      </c>
      <c r="C270" s="155" t="s">
        <v>813</v>
      </c>
      <c r="D270" s="155" t="s">
        <v>509</v>
      </c>
      <c r="E270" s="162" t="s">
        <v>510</v>
      </c>
      <c r="F270" s="204" t="s">
        <v>351</v>
      </c>
      <c r="G270" s="155"/>
      <c r="H270" s="305"/>
      <c r="I270" s="313" t="s">
        <v>1205</v>
      </c>
      <c r="J270" s="165" t="s">
        <v>1187</v>
      </c>
      <c r="K270" s="208"/>
      <c r="L270" s="209"/>
      <c r="M270" s="229"/>
      <c r="N270" s="229"/>
      <c r="O270" s="229"/>
      <c r="P270" s="207"/>
      <c r="Q270" s="205"/>
      <c r="R270" s="263"/>
      <c r="S270" s="263"/>
      <c r="T270" s="263"/>
      <c r="U270" s="207"/>
      <c r="V270" s="205"/>
      <c r="W270" s="195"/>
      <c r="X270" s="195"/>
      <c r="Y270" s="201"/>
      <c r="Z270" s="307"/>
      <c r="AA270" s="305"/>
      <c r="AB270" s="305"/>
      <c r="AC270" s="305"/>
    </row>
    <row r="271" spans="1:29" s="308" customFormat="1" x14ac:dyDescent="0.6">
      <c r="A271" s="187">
        <v>118</v>
      </c>
      <c r="B271" s="155" t="s">
        <v>814</v>
      </c>
      <c r="C271" s="155" t="s">
        <v>815</v>
      </c>
      <c r="D271" s="155" t="s">
        <v>509</v>
      </c>
      <c r="E271" s="162" t="s">
        <v>510</v>
      </c>
      <c r="F271" s="204" t="s">
        <v>351</v>
      </c>
      <c r="G271" s="155"/>
      <c r="H271" s="305"/>
      <c r="I271" s="313" t="s">
        <v>1206</v>
      </c>
      <c r="J271" s="165" t="s">
        <v>1187</v>
      </c>
      <c r="K271" s="208"/>
      <c r="L271" s="209"/>
      <c r="M271" s="229"/>
      <c r="N271" s="229"/>
      <c r="O271" s="229"/>
      <c r="P271" s="207"/>
      <c r="Q271" s="205"/>
      <c r="R271" s="263"/>
      <c r="S271" s="263"/>
      <c r="T271" s="263"/>
      <c r="U271" s="207"/>
      <c r="V271" s="205"/>
      <c r="W271" s="195"/>
      <c r="X271" s="195"/>
      <c r="Y271" s="201"/>
      <c r="Z271" s="307"/>
      <c r="AA271" s="305"/>
      <c r="AB271" s="305"/>
      <c r="AC271" s="305"/>
    </row>
    <row r="272" spans="1:29" s="308" customFormat="1" x14ac:dyDescent="0.6">
      <c r="A272" s="314"/>
      <c r="B272" s="155"/>
      <c r="C272" s="305"/>
      <c r="D272" s="159"/>
      <c r="E272" s="162"/>
      <c r="F272" s="161"/>
      <c r="G272" s="155"/>
      <c r="H272" s="305"/>
      <c r="I272" s="315"/>
      <c r="J272" s="165"/>
      <c r="K272" s="316"/>
      <c r="L272" s="317"/>
      <c r="M272" s="282"/>
      <c r="N272" s="282"/>
      <c r="O272" s="282"/>
      <c r="P272" s="318"/>
      <c r="Q272" s="319"/>
      <c r="R272" s="263"/>
      <c r="S272" s="263"/>
      <c r="T272" s="263"/>
      <c r="U272" s="318"/>
      <c r="V272" s="319"/>
      <c r="W272" s="195"/>
      <c r="X272" s="195"/>
      <c r="Y272" s="201"/>
      <c r="Z272" s="305"/>
      <c r="AA272" s="305"/>
      <c r="AB272" s="305"/>
      <c r="AC272" s="305"/>
    </row>
    <row r="273" spans="1:29" s="331" customFormat="1" x14ac:dyDescent="0.6">
      <c r="A273" s="320"/>
      <c r="B273" s="321"/>
      <c r="C273" s="322"/>
      <c r="D273" s="321"/>
      <c r="E273" s="323"/>
      <c r="F273" s="322"/>
      <c r="G273" s="321"/>
      <c r="H273" s="322"/>
      <c r="I273" s="324"/>
      <c r="J273" s="325"/>
      <c r="K273" s="326"/>
      <c r="L273" s="327"/>
      <c r="M273" s="282"/>
      <c r="N273" s="282"/>
      <c r="O273" s="282"/>
      <c r="P273" s="328"/>
      <c r="Q273" s="329"/>
      <c r="R273" s="263"/>
      <c r="S273" s="263"/>
      <c r="T273" s="263"/>
      <c r="U273" s="328"/>
      <c r="V273" s="329"/>
      <c r="W273" s="195"/>
      <c r="X273" s="195"/>
      <c r="Y273" s="201"/>
      <c r="Z273" s="330"/>
      <c r="AA273" s="322"/>
      <c r="AB273" s="322"/>
      <c r="AC273" s="322"/>
    </row>
    <row r="274" spans="1:29" s="331" customFormat="1" x14ac:dyDescent="0.6">
      <c r="A274" s="320"/>
      <c r="B274" s="321"/>
      <c r="C274" s="322"/>
      <c r="D274" s="321"/>
      <c r="E274" s="323"/>
      <c r="F274" s="322"/>
      <c r="G274" s="321"/>
      <c r="H274" s="322"/>
      <c r="I274" s="324"/>
      <c r="J274" s="325"/>
      <c r="K274" s="326"/>
      <c r="L274" s="327"/>
      <c r="M274" s="282"/>
      <c r="N274" s="282"/>
      <c r="O274" s="282"/>
      <c r="P274" s="328"/>
      <c r="Q274" s="329"/>
      <c r="R274" s="263"/>
      <c r="S274" s="263"/>
      <c r="T274" s="263"/>
      <c r="U274" s="328"/>
      <c r="V274" s="329"/>
      <c r="W274" s="195"/>
      <c r="X274" s="195"/>
      <c r="Y274" s="201"/>
      <c r="Z274" s="322"/>
      <c r="AA274" s="322"/>
      <c r="AB274" s="322"/>
      <c r="AC274" s="322"/>
    </row>
    <row r="275" spans="1:29" s="342" customFormat="1" x14ac:dyDescent="0.6">
      <c r="A275" s="332"/>
      <c r="B275" s="333" t="s">
        <v>838</v>
      </c>
      <c r="C275" s="333"/>
      <c r="D275" s="334"/>
      <c r="E275" s="333"/>
      <c r="F275" s="335"/>
      <c r="G275" s="336"/>
      <c r="H275" s="336"/>
      <c r="I275" s="333"/>
      <c r="J275" s="337"/>
      <c r="K275" s="338"/>
      <c r="L275" s="339">
        <v>2632400</v>
      </c>
      <c r="M275" s="255"/>
      <c r="N275" s="255"/>
      <c r="O275" s="255"/>
      <c r="P275" s="340"/>
      <c r="Q275" s="337">
        <v>2185076</v>
      </c>
      <c r="R275" s="263"/>
      <c r="S275" s="263"/>
      <c r="T275" s="263"/>
      <c r="U275" s="340"/>
      <c r="V275" s="337">
        <v>2465006</v>
      </c>
      <c r="W275" s="195"/>
      <c r="X275" s="195"/>
      <c r="Y275" s="201"/>
      <c r="Z275" s="341"/>
      <c r="AA275" s="341"/>
      <c r="AB275" s="341"/>
      <c r="AC275" s="341"/>
    </row>
    <row r="276" spans="1:29" s="349" customFormat="1" ht="22.5" thickBot="1" x14ac:dyDescent="0.65">
      <c r="A276" s="332"/>
      <c r="B276" s="343" t="s">
        <v>839</v>
      </c>
      <c r="C276" s="343"/>
      <c r="D276" s="344"/>
      <c r="E276" s="343"/>
      <c r="F276" s="335"/>
      <c r="G276" s="343"/>
      <c r="H276" s="343"/>
      <c r="I276" s="343"/>
      <c r="J276" s="337"/>
      <c r="K276" s="345"/>
      <c r="L276" s="346">
        <f>L272/L275</f>
        <v>0</v>
      </c>
      <c r="M276" s="263"/>
      <c r="N276" s="263"/>
      <c r="O276" s="263"/>
      <c r="P276" s="347"/>
      <c r="Q276" s="348">
        <f>Q272/Q275</f>
        <v>0</v>
      </c>
      <c r="R276" s="263"/>
      <c r="S276" s="263"/>
      <c r="T276" s="263"/>
      <c r="U276" s="347"/>
      <c r="V276" s="348">
        <f>V272/V275</f>
        <v>0</v>
      </c>
      <c r="W276" s="195"/>
      <c r="X276" s="195"/>
      <c r="Y276" s="201"/>
      <c r="Z276" s="335"/>
      <c r="AA276" s="335"/>
      <c r="AB276" s="335"/>
      <c r="AC276" s="335"/>
    </row>
    <row r="277" spans="1:29" x14ac:dyDescent="0.6">
      <c r="A277" s="211"/>
      <c r="B277" s="160"/>
      <c r="C277" s="160"/>
      <c r="D277" s="157"/>
      <c r="E277" s="157"/>
      <c r="F277" s="160"/>
      <c r="G277" s="159"/>
      <c r="H277" s="159"/>
      <c r="I277" s="157"/>
      <c r="J277" s="350"/>
      <c r="K277" s="351"/>
      <c r="L277" s="352"/>
      <c r="M277" s="353"/>
      <c r="N277" s="353"/>
      <c r="O277" s="353"/>
      <c r="P277" s="354"/>
      <c r="Q277" s="355"/>
      <c r="R277" s="263"/>
      <c r="S277" s="263"/>
      <c r="T277" s="263"/>
      <c r="U277" s="351"/>
      <c r="V277" s="355"/>
      <c r="W277" s="195"/>
      <c r="X277" s="195"/>
      <c r="Y277" s="201"/>
      <c r="Z277" s="160"/>
      <c r="AA277" s="160"/>
      <c r="AB277" s="160"/>
      <c r="AC277" s="160"/>
    </row>
    <row r="278" spans="1:29" x14ac:dyDescent="0.6">
      <c r="A278" s="211"/>
      <c r="B278" s="160"/>
      <c r="C278" s="160"/>
      <c r="D278" s="157"/>
      <c r="E278" s="157"/>
      <c r="F278" s="160"/>
      <c r="G278" s="159"/>
      <c r="H278" s="159"/>
      <c r="I278" s="157"/>
      <c r="J278" s="350" t="s">
        <v>1207</v>
      </c>
      <c r="K278" s="356">
        <v>669</v>
      </c>
      <c r="L278" s="350">
        <v>10797</v>
      </c>
      <c r="M278" s="353"/>
      <c r="N278" s="353"/>
      <c r="O278" s="353"/>
      <c r="P278" s="357">
        <v>600</v>
      </c>
      <c r="Q278" s="358">
        <v>9539</v>
      </c>
      <c r="R278" s="263"/>
      <c r="S278" s="263"/>
      <c r="T278" s="263"/>
      <c r="U278" s="356">
        <v>641</v>
      </c>
      <c r="V278" s="358">
        <v>9537</v>
      </c>
      <c r="W278" s="195"/>
      <c r="X278" s="195"/>
      <c r="Y278" s="201"/>
      <c r="Z278" s="167"/>
      <c r="AA278" s="160"/>
      <c r="AB278" s="160"/>
      <c r="AC278" s="160"/>
    </row>
    <row r="279" spans="1:29" x14ac:dyDescent="0.6">
      <c r="A279" s="211"/>
      <c r="B279" s="160"/>
      <c r="C279" s="160"/>
      <c r="D279" s="157"/>
      <c r="E279" s="157"/>
      <c r="F279" s="160"/>
      <c r="G279" s="159"/>
      <c r="H279" s="159"/>
      <c r="I279" s="157"/>
      <c r="J279" s="350" t="s">
        <v>1208</v>
      </c>
      <c r="K279" s="356">
        <v>342</v>
      </c>
      <c r="L279" s="350">
        <v>5685</v>
      </c>
      <c r="M279" s="353"/>
      <c r="N279" s="353"/>
      <c r="O279" s="353"/>
      <c r="P279" s="357">
        <v>299</v>
      </c>
      <c r="Q279" s="358">
        <v>5256</v>
      </c>
      <c r="R279" s="263"/>
      <c r="S279" s="263"/>
      <c r="T279" s="263"/>
      <c r="U279" s="356">
        <v>448</v>
      </c>
      <c r="V279" s="358">
        <v>7518</v>
      </c>
      <c r="W279" s="195"/>
      <c r="X279" s="195"/>
      <c r="Y279" s="201"/>
      <c r="Z279" s="167"/>
      <c r="AA279" s="160"/>
      <c r="AB279" s="160"/>
      <c r="AC279" s="160"/>
    </row>
    <row r="280" spans="1:29" x14ac:dyDescent="0.6">
      <c r="A280" s="211"/>
      <c r="B280" s="160"/>
      <c r="C280" s="160"/>
      <c r="D280" s="157"/>
      <c r="E280" s="157"/>
      <c r="F280" s="160"/>
      <c r="G280" s="159"/>
      <c r="H280" s="159"/>
      <c r="I280" s="157"/>
      <c r="J280" s="350" t="s">
        <v>1209</v>
      </c>
      <c r="K280" s="356">
        <v>840</v>
      </c>
      <c r="L280" s="350">
        <v>13058</v>
      </c>
      <c r="M280" s="353"/>
      <c r="N280" s="353"/>
      <c r="O280" s="353"/>
      <c r="P280" s="357">
        <v>692</v>
      </c>
      <c r="Q280" s="358">
        <v>10484</v>
      </c>
      <c r="R280" s="263"/>
      <c r="S280" s="263"/>
      <c r="T280" s="263"/>
      <c r="U280" s="356">
        <v>959</v>
      </c>
      <c r="V280" s="358">
        <v>14080</v>
      </c>
      <c r="W280" s="195"/>
      <c r="X280" s="195"/>
      <c r="Y280" s="201"/>
      <c r="Z280" s="167"/>
      <c r="AA280" s="160"/>
      <c r="AB280" s="160"/>
      <c r="AC280" s="160"/>
    </row>
    <row r="281" spans="1:29" x14ac:dyDescent="0.6">
      <c r="A281" s="211"/>
      <c r="B281" s="160"/>
      <c r="C281" s="160"/>
      <c r="D281" s="157"/>
      <c r="E281" s="157"/>
      <c r="F281" s="160"/>
      <c r="G281" s="159"/>
      <c r="H281" s="159"/>
      <c r="I281" s="157"/>
      <c r="J281" s="350" t="s">
        <v>1210</v>
      </c>
      <c r="K281" s="356">
        <v>1531</v>
      </c>
      <c r="L281" s="350">
        <v>21784</v>
      </c>
      <c r="M281" s="353"/>
      <c r="N281" s="353"/>
      <c r="O281" s="353"/>
      <c r="P281" s="357">
        <v>1842</v>
      </c>
      <c r="Q281" s="358">
        <v>26286</v>
      </c>
      <c r="R281" s="263"/>
      <c r="S281" s="263"/>
      <c r="T281" s="263"/>
      <c r="U281" s="356">
        <v>1764</v>
      </c>
      <c r="V281" s="358">
        <v>25016</v>
      </c>
      <c r="W281" s="195"/>
      <c r="X281" s="195"/>
      <c r="Y281" s="201"/>
      <c r="Z281" s="167"/>
      <c r="AA281" s="160"/>
      <c r="AB281" s="160"/>
      <c r="AC281" s="160"/>
    </row>
    <row r="282" spans="1:29" x14ac:dyDescent="0.6">
      <c r="A282" s="211"/>
      <c r="B282" s="160"/>
      <c r="C282" s="160"/>
      <c r="D282" s="157"/>
      <c r="E282" s="157"/>
      <c r="F282" s="160"/>
      <c r="G282" s="159"/>
      <c r="H282" s="159"/>
      <c r="I282" s="157"/>
      <c r="J282" s="350" t="s">
        <v>1211</v>
      </c>
      <c r="K282" s="359">
        <v>2728.35</v>
      </c>
      <c r="L282" s="350">
        <v>35263</v>
      </c>
      <c r="M282" s="353"/>
      <c r="N282" s="353"/>
      <c r="O282" s="353"/>
      <c r="P282" s="357">
        <v>2782</v>
      </c>
      <c r="Q282" s="358">
        <v>36498</v>
      </c>
      <c r="R282" s="263"/>
      <c r="S282" s="263"/>
      <c r="T282" s="263"/>
      <c r="U282" s="356">
        <v>7700</v>
      </c>
      <c r="V282" s="358">
        <v>102744</v>
      </c>
      <c r="W282" s="195"/>
      <c r="X282" s="195"/>
      <c r="Y282" s="201"/>
      <c r="Z282" s="167"/>
      <c r="AA282" s="160"/>
      <c r="AB282" s="160"/>
      <c r="AC282" s="160"/>
    </row>
    <row r="283" spans="1:29" x14ac:dyDescent="0.6">
      <c r="A283" s="211"/>
      <c r="B283" s="160"/>
      <c r="C283" s="160"/>
      <c r="D283" s="157"/>
      <c r="E283" s="157"/>
      <c r="F283" s="160"/>
      <c r="G283" s="159"/>
      <c r="H283" s="159"/>
      <c r="I283" s="157"/>
      <c r="J283" s="350" t="s">
        <v>1212</v>
      </c>
      <c r="K283" s="356">
        <v>337</v>
      </c>
      <c r="L283" s="350">
        <v>4735</v>
      </c>
      <c r="M283" s="353"/>
      <c r="N283" s="353"/>
      <c r="O283" s="353"/>
      <c r="P283" s="357">
        <v>292</v>
      </c>
      <c r="Q283" s="358">
        <v>4108</v>
      </c>
      <c r="R283" s="263"/>
      <c r="S283" s="263"/>
      <c r="T283" s="263"/>
      <c r="U283" s="356">
        <v>248</v>
      </c>
      <c r="V283" s="358">
        <v>3539</v>
      </c>
      <c r="W283" s="195"/>
      <c r="X283" s="195"/>
      <c r="Y283" s="201"/>
      <c r="Z283" s="167"/>
      <c r="AA283" s="160"/>
      <c r="AB283" s="160"/>
      <c r="AC283" s="160"/>
    </row>
    <row r="284" spans="1:29" x14ac:dyDescent="0.6">
      <c r="A284" s="211"/>
      <c r="B284" s="160"/>
      <c r="C284" s="160"/>
      <c r="D284" s="157"/>
      <c r="E284" s="157"/>
      <c r="F284" s="160"/>
      <c r="G284" s="159"/>
      <c r="H284" s="159"/>
      <c r="I284" s="157"/>
      <c r="J284" s="350" t="s">
        <v>1213</v>
      </c>
      <c r="K284" s="356">
        <v>708</v>
      </c>
      <c r="L284" s="350">
        <v>10526</v>
      </c>
      <c r="M284" s="353"/>
      <c r="N284" s="353"/>
      <c r="O284" s="353"/>
      <c r="P284" s="357">
        <v>872</v>
      </c>
      <c r="Q284" s="358">
        <v>12835</v>
      </c>
      <c r="R284" s="263"/>
      <c r="S284" s="263"/>
      <c r="T284" s="263"/>
      <c r="U284" s="356">
        <v>1376</v>
      </c>
      <c r="V284" s="358">
        <v>20296</v>
      </c>
      <c r="W284" s="195"/>
      <c r="X284" s="195"/>
      <c r="Y284" s="201"/>
      <c r="Z284" s="167"/>
      <c r="AA284" s="160"/>
      <c r="AB284" s="160"/>
      <c r="AC284" s="160"/>
    </row>
    <row r="285" spans="1:29" x14ac:dyDescent="0.6">
      <c r="A285" s="211"/>
      <c r="B285" s="160"/>
      <c r="C285" s="160"/>
      <c r="D285" s="157"/>
      <c r="E285" s="157"/>
      <c r="F285" s="160"/>
      <c r="G285" s="159"/>
      <c r="H285" s="159"/>
      <c r="I285" s="157"/>
      <c r="J285" s="350" t="s">
        <v>1214</v>
      </c>
      <c r="K285" s="356">
        <v>963</v>
      </c>
      <c r="L285" s="350">
        <v>13008</v>
      </c>
      <c r="M285" s="353"/>
      <c r="N285" s="353"/>
      <c r="O285" s="353"/>
      <c r="P285" s="357">
        <v>960</v>
      </c>
      <c r="Q285" s="358">
        <v>13199</v>
      </c>
      <c r="R285" s="263"/>
      <c r="S285" s="263"/>
      <c r="T285" s="263"/>
      <c r="U285" s="356">
        <v>1155</v>
      </c>
      <c r="V285" s="358">
        <v>15822</v>
      </c>
      <c r="W285" s="195"/>
      <c r="X285" s="195"/>
      <c r="Y285" s="201"/>
      <c r="Z285" s="167"/>
      <c r="AA285" s="160"/>
      <c r="AB285" s="160"/>
      <c r="AC285" s="160"/>
    </row>
    <row r="286" spans="1:29" ht="22.5" thickBot="1" x14ac:dyDescent="0.65">
      <c r="A286" s="211"/>
      <c r="B286" s="160"/>
      <c r="C286" s="160"/>
      <c r="D286" s="157"/>
      <c r="E286" s="157"/>
      <c r="F286" s="160"/>
      <c r="G286" s="159"/>
      <c r="H286" s="159"/>
      <c r="I286" s="157"/>
      <c r="J286" s="350" t="s">
        <v>1215</v>
      </c>
      <c r="K286" s="360">
        <v>0</v>
      </c>
      <c r="L286" s="361">
        <v>0</v>
      </c>
      <c r="M286" s="353"/>
      <c r="N286" s="353"/>
      <c r="O286" s="353"/>
      <c r="P286" s="362">
        <v>0</v>
      </c>
      <c r="Q286" s="363">
        <v>0</v>
      </c>
      <c r="R286" s="263"/>
      <c r="S286" s="263"/>
      <c r="T286" s="263"/>
      <c r="U286" s="360">
        <v>0</v>
      </c>
      <c r="V286" s="363">
        <v>0</v>
      </c>
      <c r="W286" s="195"/>
      <c r="X286" s="195"/>
      <c r="Y286" s="201"/>
      <c r="Z286" s="167"/>
      <c r="AA286" s="160"/>
      <c r="AB286" s="160"/>
      <c r="AC286" s="160"/>
    </row>
    <row r="287" spans="1:29" x14ac:dyDescent="0.6">
      <c r="A287" s="211"/>
      <c r="B287" s="160"/>
      <c r="C287" s="160"/>
      <c r="D287" s="157"/>
      <c r="E287" s="157"/>
      <c r="F287" s="160"/>
      <c r="G287" s="159"/>
      <c r="H287" s="159"/>
      <c r="I287" s="157"/>
      <c r="J287" s="114"/>
      <c r="K287" s="364"/>
      <c r="L287" s="364"/>
      <c r="M287" s="365"/>
      <c r="N287" s="365"/>
      <c r="O287" s="365"/>
      <c r="P287" s="364"/>
      <c r="Q287" s="364"/>
      <c r="R287" s="365"/>
      <c r="S287" s="365"/>
      <c r="T287" s="365"/>
      <c r="U287" s="364"/>
      <c r="V287" s="364"/>
      <c r="W287" s="195"/>
      <c r="X287" s="195"/>
      <c r="Y287" s="201"/>
      <c r="Z287" s="366"/>
      <c r="AA287" s="160"/>
      <c r="AB287" s="160"/>
      <c r="AC287" s="160"/>
    </row>
    <row r="288" spans="1:29" x14ac:dyDescent="0.6">
      <c r="A288" s="211"/>
      <c r="B288" s="160"/>
      <c r="C288" s="160"/>
      <c r="D288" s="157"/>
      <c r="E288" s="157"/>
      <c r="F288" s="160"/>
      <c r="G288" s="159"/>
      <c r="H288" s="159"/>
      <c r="I288" s="157" t="s">
        <v>1083</v>
      </c>
      <c r="J288" s="114"/>
      <c r="K288" s="114">
        <f>SUM(K278:K287)</f>
        <v>8118.35</v>
      </c>
      <c r="L288" s="114">
        <f>SUM(L278:L287)</f>
        <v>114856</v>
      </c>
      <c r="M288" s="353"/>
      <c r="N288" s="353"/>
      <c r="O288" s="353"/>
      <c r="P288" s="114">
        <f t="shared" ref="P288:V288" si="34">SUM(P278:P287)</f>
        <v>8339</v>
      </c>
      <c r="Q288" s="114">
        <f t="shared" si="34"/>
        <v>118205</v>
      </c>
      <c r="R288" s="353"/>
      <c r="S288" s="353"/>
      <c r="T288" s="353"/>
      <c r="U288" s="114">
        <f t="shared" si="34"/>
        <v>14291</v>
      </c>
      <c r="V288" s="114">
        <f t="shared" si="34"/>
        <v>198552</v>
      </c>
      <c r="W288" s="195"/>
      <c r="X288" s="195"/>
      <c r="Y288" s="201"/>
      <c r="Z288" s="160"/>
      <c r="AA288" s="160"/>
      <c r="AB288" s="160"/>
      <c r="AC288" s="160"/>
    </row>
    <row r="289" spans="1:29" s="373" customFormat="1" x14ac:dyDescent="0.6">
      <c r="A289" s="367"/>
      <c r="B289" s="368"/>
      <c r="C289" s="368"/>
      <c r="D289" s="369"/>
      <c r="E289" s="369"/>
      <c r="F289" s="368"/>
      <c r="G289" s="370"/>
      <c r="H289" s="370"/>
      <c r="I289" s="369" t="s">
        <v>838</v>
      </c>
      <c r="J289" s="371"/>
      <c r="K289" s="371"/>
      <c r="L289" s="371">
        <v>2632400</v>
      </c>
      <c r="M289" s="372"/>
      <c r="N289" s="372"/>
      <c r="O289" s="372"/>
      <c r="P289" s="371"/>
      <c r="Q289" s="371">
        <v>2185076</v>
      </c>
      <c r="R289" s="372"/>
      <c r="S289" s="372"/>
      <c r="T289" s="372"/>
      <c r="U289" s="371"/>
      <c r="V289" s="371">
        <v>2465006</v>
      </c>
      <c r="W289" s="195"/>
      <c r="X289" s="195"/>
      <c r="Y289" s="201"/>
      <c r="Z289" s="368"/>
      <c r="AA289" s="368"/>
      <c r="AB289" s="368"/>
      <c r="AC289" s="368"/>
    </row>
    <row r="290" spans="1:29" x14ac:dyDescent="0.6">
      <c r="A290" s="211"/>
      <c r="B290" s="160"/>
      <c r="C290" s="160"/>
      <c r="D290" s="157"/>
      <c r="E290" s="157"/>
      <c r="F290" s="160"/>
      <c r="G290" s="159"/>
      <c r="H290" s="159"/>
      <c r="I290" s="157" t="s">
        <v>839</v>
      </c>
      <c r="J290" s="114"/>
      <c r="K290" s="114"/>
      <c r="L290" s="150">
        <f>L288/L289</f>
        <v>4.3631666919920986E-2</v>
      </c>
      <c r="M290" s="374"/>
      <c r="N290" s="374"/>
      <c r="O290" s="374"/>
      <c r="P290" s="114"/>
      <c r="Q290" s="150">
        <f>Q288/Q289</f>
        <v>5.4096516551369378E-2</v>
      </c>
      <c r="R290" s="374"/>
      <c r="S290" s="374"/>
      <c r="T290" s="374"/>
      <c r="U290" s="114"/>
      <c r="V290" s="150">
        <f>V288/V289</f>
        <v>8.0548282641097022E-2</v>
      </c>
      <c r="W290" s="195"/>
      <c r="X290" s="195"/>
      <c r="Y290" s="201"/>
      <c r="Z290" s="160"/>
      <c r="AA290" s="160"/>
      <c r="AB290" s="160"/>
      <c r="AC290" s="160"/>
    </row>
    <row r="291" spans="1:29" x14ac:dyDescent="0.6">
      <c r="A291" s="211"/>
      <c r="B291" s="160"/>
      <c r="C291" s="160"/>
      <c r="D291" s="157"/>
      <c r="E291" s="157"/>
      <c r="F291" s="160"/>
      <c r="G291" s="159"/>
      <c r="H291" s="159"/>
      <c r="I291" s="157"/>
      <c r="J291" s="114"/>
      <c r="K291" s="114"/>
      <c r="L291" s="114"/>
      <c r="M291" s="353"/>
      <c r="N291" s="353"/>
      <c r="O291" s="353"/>
      <c r="P291" s="114"/>
      <c r="Q291" s="114"/>
      <c r="R291" s="353"/>
      <c r="S291" s="353"/>
      <c r="T291" s="353"/>
      <c r="U291" s="114"/>
      <c r="V291" s="114"/>
      <c r="W291" s="195"/>
      <c r="X291" s="195"/>
      <c r="Y291" s="201"/>
      <c r="Z291" s="160"/>
      <c r="AA291" s="160"/>
      <c r="AB291" s="160"/>
      <c r="AC291" s="160"/>
    </row>
    <row r="292" spans="1:29" x14ac:dyDescent="0.6">
      <c r="A292" s="211"/>
      <c r="B292" s="160"/>
      <c r="C292" s="160"/>
      <c r="D292" s="157"/>
      <c r="E292" s="157"/>
      <c r="F292" s="160"/>
      <c r="G292" s="159"/>
      <c r="H292" s="159"/>
      <c r="I292" s="157"/>
      <c r="J292" s="114"/>
      <c r="K292" s="114"/>
      <c r="L292" s="114"/>
      <c r="M292" s="353"/>
      <c r="N292" s="353"/>
      <c r="O292" s="353"/>
      <c r="P292" s="114"/>
      <c r="Q292" s="114"/>
      <c r="R292" s="353"/>
      <c r="S292" s="353"/>
      <c r="T292" s="353"/>
      <c r="U292" s="114"/>
      <c r="V292" s="114"/>
      <c r="W292" s="195"/>
      <c r="X292" s="195"/>
      <c r="Y292" s="201"/>
      <c r="Z292" s="160"/>
      <c r="AA292" s="160"/>
      <c r="AB292" s="160"/>
      <c r="AC292" s="160"/>
    </row>
    <row r="293" spans="1:29" x14ac:dyDescent="0.6">
      <c r="A293" s="211"/>
      <c r="B293" s="160"/>
      <c r="C293" s="160"/>
      <c r="D293" s="157"/>
      <c r="E293" s="157"/>
      <c r="F293" s="160"/>
      <c r="G293" s="159"/>
      <c r="H293" s="159"/>
      <c r="I293" s="157"/>
      <c r="J293" s="114"/>
      <c r="K293" s="114"/>
      <c r="L293" s="114"/>
      <c r="M293" s="353"/>
      <c r="N293" s="353"/>
      <c r="O293" s="353"/>
      <c r="P293" s="114"/>
      <c r="Q293" s="114"/>
      <c r="R293" s="353"/>
      <c r="S293" s="353"/>
      <c r="T293" s="353"/>
      <c r="U293" s="114"/>
      <c r="V293" s="114"/>
      <c r="W293" s="195"/>
      <c r="X293" s="195"/>
      <c r="Y293" s="201"/>
      <c r="Z293" s="160"/>
      <c r="AA293" s="160"/>
      <c r="AB293" s="160"/>
      <c r="AC293" s="160"/>
    </row>
    <row r="294" spans="1:29" x14ac:dyDescent="0.6">
      <c r="A294" s="211"/>
      <c r="B294" s="160"/>
      <c r="C294" s="160"/>
      <c r="D294" s="157"/>
      <c r="E294" s="157"/>
      <c r="F294" s="160"/>
      <c r="G294" s="159"/>
      <c r="H294" s="159"/>
      <c r="I294" s="157"/>
      <c r="J294" s="114"/>
      <c r="K294" s="114"/>
      <c r="L294" s="114"/>
      <c r="M294" s="353"/>
      <c r="N294" s="353"/>
      <c r="O294" s="353"/>
      <c r="P294" s="114"/>
      <c r="Q294" s="114"/>
      <c r="R294" s="353"/>
      <c r="S294" s="353"/>
      <c r="T294" s="353"/>
      <c r="U294" s="114"/>
      <c r="V294" s="114"/>
      <c r="W294" s="195"/>
      <c r="X294" s="195"/>
      <c r="Y294" s="201"/>
      <c r="Z294" s="160"/>
      <c r="AA294" s="160"/>
      <c r="AB294" s="160"/>
      <c r="AC294" s="160"/>
    </row>
    <row r="295" spans="1:29" x14ac:dyDescent="0.6">
      <c r="A295" s="211"/>
      <c r="B295" s="160"/>
      <c r="C295" s="160"/>
      <c r="D295" s="157"/>
      <c r="E295" s="157"/>
      <c r="F295" s="160"/>
      <c r="G295" s="159"/>
      <c r="H295" s="159"/>
      <c r="I295" s="157"/>
      <c r="J295" s="114"/>
      <c r="K295" s="114"/>
      <c r="L295" s="114"/>
      <c r="M295" s="353"/>
      <c r="N295" s="353"/>
      <c r="O295" s="353"/>
      <c r="P295" s="114"/>
      <c r="Q295" s="114"/>
      <c r="R295" s="353"/>
      <c r="S295" s="353"/>
      <c r="T295" s="353"/>
      <c r="U295" s="114"/>
      <c r="V295" s="114"/>
      <c r="W295" s="195"/>
      <c r="X295" s="195"/>
      <c r="Y295" s="201"/>
      <c r="Z295" s="160"/>
      <c r="AA295" s="160"/>
      <c r="AB295" s="160"/>
      <c r="AC295" s="160"/>
    </row>
  </sheetData>
  <mergeCells count="14">
    <mergeCell ref="I3:I4"/>
    <mergeCell ref="A3:A4"/>
    <mergeCell ref="B3:C4"/>
    <mergeCell ref="D3:E4"/>
    <mergeCell ref="F3:F4"/>
    <mergeCell ref="G3:H4"/>
    <mergeCell ref="Z50:AA50"/>
    <mergeCell ref="AB50:AC50"/>
    <mergeCell ref="J3:J4"/>
    <mergeCell ref="K3:L3"/>
    <mergeCell ref="P3:Q3"/>
    <mergeCell ref="U3:V3"/>
    <mergeCell ref="Z3:AA3"/>
    <mergeCell ref="AB3:A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5"/>
  <sheetViews>
    <sheetView workbookViewId="0">
      <selection activeCell="B8" sqref="B8"/>
    </sheetView>
  </sheetViews>
  <sheetFormatPr defaultRowHeight="15" x14ac:dyDescent="0.25"/>
  <cols>
    <col min="1" max="2" width="24.85546875" customWidth="1"/>
    <col min="3" max="3" width="35.140625" customWidth="1"/>
    <col min="4" max="6" width="24.85546875" customWidth="1"/>
  </cols>
  <sheetData>
    <row r="1" spans="1:6" ht="25.5" thickBot="1" x14ac:dyDescent="0.3">
      <c r="A1" s="680" t="s">
        <v>1464</v>
      </c>
      <c r="B1" s="680"/>
      <c r="C1" s="680"/>
      <c r="D1" s="680"/>
      <c r="E1" s="531"/>
      <c r="F1" s="530" t="s">
        <v>1463</v>
      </c>
    </row>
    <row r="2" spans="1:6" ht="25.5" thickBot="1" x14ac:dyDescent="0.3">
      <c r="A2" s="529" t="s">
        <v>352</v>
      </c>
      <c r="B2" s="528" t="s">
        <v>1462</v>
      </c>
      <c r="C2" s="528" t="s">
        <v>1461</v>
      </c>
      <c r="D2" s="528" t="s">
        <v>1460</v>
      </c>
      <c r="E2" s="527" t="s">
        <v>1459</v>
      </c>
      <c r="F2" s="526">
        <v>2750705.76</v>
      </c>
    </row>
    <row r="3" spans="1:6" ht="24.75" x14ac:dyDescent="0.25">
      <c r="A3" s="539">
        <v>1</v>
      </c>
      <c r="B3" s="525" t="s">
        <v>1458</v>
      </c>
      <c r="C3" s="524" t="s">
        <v>1433</v>
      </c>
      <c r="D3" s="523" t="s">
        <v>1457</v>
      </c>
      <c r="E3" s="522"/>
      <c r="F3" s="521">
        <v>2123102.4</v>
      </c>
    </row>
    <row r="4" spans="1:6" ht="24.75" x14ac:dyDescent="0.25">
      <c r="A4" s="519">
        <v>2</v>
      </c>
      <c r="B4" s="515" t="s">
        <v>1456</v>
      </c>
      <c r="C4" s="520" t="s">
        <v>1433</v>
      </c>
      <c r="D4" s="519" t="s">
        <v>1455</v>
      </c>
      <c r="E4" s="518"/>
      <c r="F4" s="517">
        <v>226469.28544735309</v>
      </c>
    </row>
    <row r="5" spans="1:6" ht="24.75" x14ac:dyDescent="0.25">
      <c r="A5" s="519">
        <v>3</v>
      </c>
      <c r="B5" s="515" t="s">
        <v>1454</v>
      </c>
      <c r="C5" s="520" t="s">
        <v>1433</v>
      </c>
      <c r="D5" s="519" t="s">
        <v>819</v>
      </c>
      <c r="E5" s="518"/>
      <c r="F5" s="517">
        <v>131134.07455264695</v>
      </c>
    </row>
    <row r="6" spans="1:6" ht="24.75" x14ac:dyDescent="0.25">
      <c r="A6" s="519">
        <v>4</v>
      </c>
      <c r="B6" s="515" t="s">
        <v>1453</v>
      </c>
      <c r="C6" s="514" t="s">
        <v>1452</v>
      </c>
      <c r="D6" s="681" t="s">
        <v>816</v>
      </c>
      <c r="E6" s="518"/>
      <c r="F6" s="517">
        <v>23000</v>
      </c>
    </row>
    <row r="7" spans="1:6" ht="24.75" x14ac:dyDescent="0.25">
      <c r="A7" s="519">
        <v>5</v>
      </c>
      <c r="B7" s="515" t="s">
        <v>1451</v>
      </c>
      <c r="C7" s="516" t="s">
        <v>1450</v>
      </c>
      <c r="D7" s="682"/>
      <c r="E7" s="512"/>
      <c r="F7" s="511">
        <v>22000</v>
      </c>
    </row>
    <row r="8" spans="1:6" ht="24.75" x14ac:dyDescent="0.25">
      <c r="A8" s="519">
        <v>6</v>
      </c>
      <c r="B8" s="515" t="s">
        <v>1449</v>
      </c>
      <c r="C8" s="516" t="s">
        <v>1448</v>
      </c>
      <c r="D8" s="681" t="s">
        <v>817</v>
      </c>
      <c r="E8" s="512"/>
      <c r="F8" s="511">
        <v>36000</v>
      </c>
    </row>
    <row r="9" spans="1:6" ht="24.75" x14ac:dyDescent="0.25">
      <c r="A9" s="519">
        <v>7</v>
      </c>
      <c r="B9" s="515" t="s">
        <v>1447</v>
      </c>
      <c r="C9" s="516" t="s">
        <v>1446</v>
      </c>
      <c r="D9" s="682"/>
      <c r="E9" s="512"/>
      <c r="F9" s="511">
        <v>37000</v>
      </c>
    </row>
    <row r="10" spans="1:6" ht="24.75" x14ac:dyDescent="0.25">
      <c r="A10" s="519">
        <v>8</v>
      </c>
      <c r="B10" s="515" t="s">
        <v>1445</v>
      </c>
      <c r="C10" s="516" t="s">
        <v>270</v>
      </c>
      <c r="D10" s="513" t="s">
        <v>1444</v>
      </c>
      <c r="E10" s="512"/>
      <c r="F10" s="511">
        <v>28000</v>
      </c>
    </row>
    <row r="11" spans="1:6" ht="24.75" x14ac:dyDescent="0.25">
      <c r="A11" s="519">
        <v>9</v>
      </c>
      <c r="B11" s="515" t="s">
        <v>1443</v>
      </c>
      <c r="C11" s="516" t="s">
        <v>1442</v>
      </c>
      <c r="D11" s="513" t="s">
        <v>817</v>
      </c>
      <c r="E11" s="512"/>
      <c r="F11" s="511">
        <v>18000</v>
      </c>
    </row>
    <row r="12" spans="1:6" ht="24.75" x14ac:dyDescent="0.25">
      <c r="A12" s="519">
        <v>10</v>
      </c>
      <c r="B12" s="515" t="s">
        <v>1441</v>
      </c>
      <c r="C12" s="514" t="s">
        <v>1440</v>
      </c>
      <c r="D12" s="681" t="s">
        <v>1439</v>
      </c>
      <c r="E12" s="512"/>
      <c r="F12" s="511">
        <v>34000</v>
      </c>
    </row>
    <row r="13" spans="1:6" ht="24.75" x14ac:dyDescent="0.25">
      <c r="A13" s="519">
        <v>11</v>
      </c>
      <c r="B13" s="515" t="s">
        <v>1438</v>
      </c>
      <c r="C13" s="516" t="s">
        <v>1437</v>
      </c>
      <c r="D13" s="682"/>
      <c r="E13" s="512"/>
      <c r="F13" s="511">
        <v>33000</v>
      </c>
    </row>
    <row r="14" spans="1:6" ht="25.5" thickBot="1" x14ac:dyDescent="0.3">
      <c r="A14" s="540">
        <v>12</v>
      </c>
      <c r="B14" s="515" t="s">
        <v>1436</v>
      </c>
      <c r="C14" s="514" t="s">
        <v>1435</v>
      </c>
      <c r="D14" s="513" t="s">
        <v>1434</v>
      </c>
      <c r="E14" s="512"/>
      <c r="F14" s="511">
        <v>39000</v>
      </c>
    </row>
    <row r="15" spans="1:6" ht="25.5" thickBot="1" x14ac:dyDescent="0.3">
      <c r="A15" s="510"/>
      <c r="B15" s="509" t="s">
        <v>322</v>
      </c>
      <c r="C15" s="509" t="s">
        <v>1433</v>
      </c>
      <c r="D15" s="509"/>
      <c r="E15" s="508"/>
      <c r="F15" s="507">
        <f>SUM(F3:F14)</f>
        <v>2750705.76</v>
      </c>
    </row>
  </sheetData>
  <mergeCells count="4">
    <mergeCell ref="A1:D1"/>
    <mergeCell ref="D6:D7"/>
    <mergeCell ref="D8:D9"/>
    <mergeCell ref="D12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R48"/>
  <sheetViews>
    <sheetView zoomScaleNormal="100" workbookViewId="0">
      <pane ySplit="3" topLeftCell="A34" activePane="bottomLeft" state="frozen"/>
      <selection pane="bottomLeft" activeCell="AS42" sqref="AS42"/>
    </sheetView>
  </sheetViews>
  <sheetFormatPr defaultColWidth="9" defaultRowHeight="18" x14ac:dyDescent="0.5"/>
  <cols>
    <col min="1" max="1" width="3.28515625" style="2" customWidth="1"/>
    <col min="2" max="2" width="10.85546875" style="3" customWidth="1"/>
    <col min="3" max="3" width="13.7109375" style="3" customWidth="1"/>
    <col min="4" max="4" width="11.28515625" style="4" customWidth="1"/>
    <col min="5" max="5" width="13.7109375" style="5" customWidth="1"/>
    <col min="6" max="6" width="5.28515625" style="5" customWidth="1"/>
    <col min="7" max="7" width="17.7109375" style="5" hidden="1" customWidth="1"/>
    <col min="8" max="8" width="21.28515625" style="5" hidden="1" customWidth="1"/>
    <col min="9" max="9" width="15.7109375" style="5" hidden="1" customWidth="1"/>
    <col min="10" max="10" width="11.28515625" style="9" customWidth="1"/>
    <col min="11" max="11" width="8" style="82" customWidth="1"/>
    <col min="12" max="12" width="8.85546875" style="82" customWidth="1"/>
    <col min="13" max="13" width="7.28515625" style="3" hidden="1" customWidth="1"/>
    <col min="14" max="15" width="6.28515625" style="3" hidden="1" customWidth="1"/>
    <col min="16" max="17" width="7.28515625" style="3" hidden="1" customWidth="1"/>
    <col min="18" max="18" width="6.7109375" style="3" hidden="1" customWidth="1"/>
    <col min="19" max="20" width="7" style="3" hidden="1" customWidth="1"/>
    <col min="21" max="21" width="8.28515625" style="3" hidden="1" customWidth="1"/>
    <col min="22" max="23" width="6.85546875" style="3" hidden="1" customWidth="1"/>
    <col min="24" max="24" width="7" style="3" hidden="1" customWidth="1"/>
    <col min="25" max="26" width="5.7109375" style="3" hidden="1" customWidth="1"/>
    <col min="27" max="29" width="6.85546875" style="3" hidden="1" customWidth="1"/>
    <col min="30" max="32" width="6.28515625" style="3" hidden="1" customWidth="1"/>
    <col min="33" max="33" width="7.7109375" style="3" hidden="1" customWidth="1"/>
    <col min="34" max="35" width="6.28515625" style="3" hidden="1" customWidth="1"/>
    <col min="36" max="36" width="6" style="3" hidden="1" customWidth="1"/>
    <col min="37" max="38" width="6.7109375" style="3" hidden="1" customWidth="1"/>
    <col min="39" max="39" width="6.140625" style="3" hidden="1" customWidth="1"/>
    <col min="40" max="41" width="6.28515625" style="3" customWidth="1"/>
    <col min="42" max="42" width="6.140625" style="3" customWidth="1"/>
    <col min="43" max="45" width="6.85546875" style="3" customWidth="1"/>
    <col min="46" max="47" width="5.28515625" style="3" hidden="1" customWidth="1"/>
    <col min="48" max="48" width="5.7109375" style="3" hidden="1" customWidth="1"/>
    <col min="49" max="50" width="6" style="3" hidden="1" customWidth="1"/>
    <col min="51" max="51" width="5.28515625" style="3" hidden="1" customWidth="1"/>
    <col min="52" max="54" width="5.7109375" style="3" hidden="1" customWidth="1"/>
    <col min="55" max="56" width="4.85546875" style="3" hidden="1" customWidth="1"/>
    <col min="57" max="57" width="6.28515625" style="3" hidden="1" customWidth="1"/>
    <col min="58" max="59" width="4.85546875" style="3" hidden="1" customWidth="1"/>
    <col min="60" max="60" width="6.85546875" style="3" hidden="1" customWidth="1"/>
    <col min="61" max="62" width="6.140625" style="3" hidden="1" customWidth="1"/>
    <col min="63" max="63" width="6.7109375" style="3" hidden="1" customWidth="1"/>
    <col min="64" max="65" width="6.85546875" style="3" hidden="1" customWidth="1"/>
    <col min="66" max="66" width="6.140625" style="3" hidden="1" customWidth="1"/>
    <col min="67" max="68" width="5.7109375" style="3" hidden="1" customWidth="1"/>
    <col min="69" max="69" width="6.28515625" style="3" hidden="1" customWidth="1"/>
    <col min="70" max="71" width="5.85546875" style="3" hidden="1" customWidth="1"/>
    <col min="72" max="72" width="6.28515625" style="3" hidden="1" customWidth="1"/>
    <col min="73" max="74" width="5.28515625" style="3" hidden="1" customWidth="1"/>
    <col min="75" max="78" width="6.85546875" style="3" hidden="1" customWidth="1"/>
    <col min="79" max="81" width="8.7109375" style="3" hidden="1" customWidth="1"/>
    <col min="82" max="83" width="5.140625" style="3" hidden="1" customWidth="1"/>
    <col min="84" max="84" width="7.28515625" style="3" hidden="1" customWidth="1"/>
    <col min="85" max="87" width="8.7109375" style="3" hidden="1" customWidth="1"/>
    <col min="88" max="89" width="4.28515625" style="3" hidden="1" customWidth="1"/>
    <col min="90" max="90" width="5.28515625" style="3" hidden="1" customWidth="1"/>
    <col min="91" max="92" width="7.140625" style="3" hidden="1" customWidth="1"/>
    <col min="93" max="93" width="7.28515625" style="3" hidden="1" customWidth="1"/>
    <col min="94" max="95" width="5.7109375" style="3" hidden="1" customWidth="1"/>
    <col min="96" max="96" width="5.140625" style="3" hidden="1" customWidth="1"/>
    <col min="97" max="99" width="5.28515625" style="3" hidden="1" customWidth="1"/>
    <col min="100" max="101" width="5.7109375" style="3" hidden="1" customWidth="1"/>
    <col min="102" max="102" width="6" style="3" hidden="1" customWidth="1"/>
    <col min="103" max="105" width="6.28515625" style="3" hidden="1" customWidth="1"/>
    <col min="106" max="107" width="5.140625" style="3" hidden="1" customWidth="1"/>
    <col min="108" max="108" width="8.140625" style="3" hidden="1" customWidth="1"/>
    <col min="109" max="109" width="7.140625" style="4" customWidth="1"/>
    <col min="110" max="110" width="7.7109375" style="4" customWidth="1"/>
    <col min="111" max="111" width="8.7109375" style="4" customWidth="1"/>
    <col min="112" max="112" width="8" style="3" customWidth="1"/>
    <col min="113" max="113" width="9.28515625" style="3" customWidth="1"/>
    <col min="114" max="115" width="7.7109375" style="3" customWidth="1"/>
    <col min="116" max="116" width="8" style="62" customWidth="1"/>
    <col min="117" max="117" width="8.28515625" style="3" customWidth="1"/>
    <col min="118" max="118" width="9" style="3" customWidth="1"/>
    <col min="119" max="119" width="13.28515625" style="3" customWidth="1"/>
    <col min="120" max="121" width="9" style="3" customWidth="1"/>
    <col min="122" max="122" width="10.85546875" style="3" customWidth="1"/>
    <col min="123" max="123" width="9" style="3" customWidth="1"/>
    <col min="124" max="16384" width="9" style="3"/>
  </cols>
  <sheetData>
    <row r="1" spans="1:122" ht="18.75" thickBot="1" x14ac:dyDescent="0.55000000000000004">
      <c r="A1" s="61" t="s">
        <v>346</v>
      </c>
    </row>
    <row r="2" spans="1:122" s="93" customFormat="1" ht="27.75" customHeight="1" x14ac:dyDescent="0.25">
      <c r="A2" s="708" t="s">
        <v>1</v>
      </c>
      <c r="B2" s="710" t="s">
        <v>2</v>
      </c>
      <c r="C2" s="711"/>
      <c r="D2" s="710" t="s">
        <v>4</v>
      </c>
      <c r="E2" s="711"/>
      <c r="F2" s="714" t="s">
        <v>128</v>
      </c>
      <c r="G2" s="710" t="s">
        <v>129</v>
      </c>
      <c r="H2" s="711"/>
      <c r="I2" s="699" t="s">
        <v>130</v>
      </c>
      <c r="J2" s="723" t="s">
        <v>131</v>
      </c>
      <c r="K2" s="692" t="s">
        <v>341</v>
      </c>
      <c r="L2" s="720" t="s">
        <v>342</v>
      </c>
      <c r="M2" s="683">
        <v>45689</v>
      </c>
      <c r="N2" s="684"/>
      <c r="O2" s="685"/>
      <c r="P2" s="693"/>
      <c r="Q2" s="693"/>
      <c r="R2" s="694"/>
      <c r="S2" s="693">
        <v>45660</v>
      </c>
      <c r="T2" s="693"/>
      <c r="U2" s="694"/>
      <c r="V2" s="693">
        <v>45661</v>
      </c>
      <c r="W2" s="693"/>
      <c r="X2" s="694"/>
      <c r="Y2" s="693">
        <v>45663</v>
      </c>
      <c r="Z2" s="693"/>
      <c r="AA2" s="694"/>
      <c r="AB2" s="693">
        <v>45664</v>
      </c>
      <c r="AC2" s="693"/>
      <c r="AD2" s="694"/>
      <c r="AE2" s="693">
        <v>45664</v>
      </c>
      <c r="AF2" s="693"/>
      <c r="AG2" s="694"/>
      <c r="AH2" s="693">
        <v>45665</v>
      </c>
      <c r="AI2" s="693"/>
      <c r="AJ2" s="694"/>
      <c r="AK2" s="693">
        <v>45666</v>
      </c>
      <c r="AL2" s="693"/>
      <c r="AM2" s="694"/>
      <c r="AN2" s="685">
        <v>45667</v>
      </c>
      <c r="AO2" s="693"/>
      <c r="AP2" s="694"/>
      <c r="AQ2" s="695" t="s">
        <v>343</v>
      </c>
      <c r="AR2" s="696"/>
      <c r="AS2" s="697"/>
      <c r="AT2" s="683">
        <v>45668</v>
      </c>
      <c r="AU2" s="684"/>
      <c r="AV2" s="685"/>
      <c r="AW2" s="683">
        <v>45669</v>
      </c>
      <c r="AX2" s="684"/>
      <c r="AY2" s="685"/>
      <c r="AZ2" s="683">
        <v>45670</v>
      </c>
      <c r="BA2" s="684"/>
      <c r="BB2" s="685"/>
      <c r="BC2" s="683">
        <v>45671</v>
      </c>
      <c r="BD2" s="684"/>
      <c r="BE2" s="685"/>
      <c r="BF2" s="683">
        <v>45672</v>
      </c>
      <c r="BG2" s="684"/>
      <c r="BH2" s="685"/>
      <c r="BI2" s="683">
        <v>45673</v>
      </c>
      <c r="BJ2" s="684"/>
      <c r="BK2" s="685"/>
      <c r="BL2" s="683">
        <v>45674</v>
      </c>
      <c r="BM2" s="684"/>
      <c r="BN2" s="685"/>
      <c r="BO2" s="683">
        <v>45675</v>
      </c>
      <c r="BP2" s="684"/>
      <c r="BQ2" s="685"/>
      <c r="BR2" s="683">
        <v>45676</v>
      </c>
      <c r="BS2" s="684"/>
      <c r="BT2" s="685"/>
      <c r="BU2" s="683">
        <v>45677</v>
      </c>
      <c r="BV2" s="684"/>
      <c r="BW2" s="685"/>
      <c r="BX2" s="694" t="s">
        <v>344</v>
      </c>
      <c r="BY2" s="694"/>
      <c r="BZ2" s="694"/>
      <c r="CA2" s="693">
        <v>45678</v>
      </c>
      <c r="CB2" s="693"/>
      <c r="CC2" s="694"/>
      <c r="CD2" s="693">
        <v>45679</v>
      </c>
      <c r="CE2" s="693"/>
      <c r="CF2" s="694"/>
      <c r="CG2" s="693">
        <v>45680</v>
      </c>
      <c r="CH2" s="693"/>
      <c r="CI2" s="694"/>
      <c r="CJ2" s="693">
        <v>45681</v>
      </c>
      <c r="CK2" s="693"/>
      <c r="CL2" s="694"/>
      <c r="CM2" s="693">
        <v>45682</v>
      </c>
      <c r="CN2" s="693"/>
      <c r="CO2" s="694"/>
      <c r="CP2" s="693">
        <v>45683</v>
      </c>
      <c r="CQ2" s="693"/>
      <c r="CR2" s="694"/>
      <c r="CS2" s="693">
        <v>45684</v>
      </c>
      <c r="CT2" s="693"/>
      <c r="CU2" s="694"/>
      <c r="CV2" s="693">
        <v>45685</v>
      </c>
      <c r="CW2" s="693"/>
      <c r="CX2" s="694"/>
      <c r="CY2" s="693">
        <v>45686</v>
      </c>
      <c r="CZ2" s="693"/>
      <c r="DA2" s="694"/>
      <c r="DB2" s="693">
        <v>45687</v>
      </c>
      <c r="DC2" s="693"/>
      <c r="DD2" s="695"/>
      <c r="DE2" s="686" t="s">
        <v>313</v>
      </c>
      <c r="DF2" s="687"/>
      <c r="DG2" s="688"/>
      <c r="DH2" s="689" t="s">
        <v>69</v>
      </c>
      <c r="DI2" s="690"/>
      <c r="DJ2" s="691"/>
      <c r="DK2" s="725" t="s">
        <v>58</v>
      </c>
      <c r="DL2" s="719" t="s">
        <v>127</v>
      </c>
      <c r="DM2" s="721" t="s">
        <v>126</v>
      </c>
      <c r="DN2" s="92" t="s">
        <v>1465</v>
      </c>
    </row>
    <row r="3" spans="1:122" s="93" customFormat="1" ht="29.25" customHeight="1" x14ac:dyDescent="0.25">
      <c r="A3" s="709"/>
      <c r="B3" s="712"/>
      <c r="C3" s="713"/>
      <c r="D3" s="712"/>
      <c r="E3" s="713"/>
      <c r="F3" s="715"/>
      <c r="G3" s="712"/>
      <c r="H3" s="713"/>
      <c r="I3" s="699"/>
      <c r="J3" s="724"/>
      <c r="K3" s="692"/>
      <c r="L3" s="720"/>
      <c r="M3" s="107" t="s">
        <v>63</v>
      </c>
      <c r="N3" s="108" t="s">
        <v>64</v>
      </c>
      <c r="O3" s="109" t="s">
        <v>347</v>
      </c>
      <c r="P3" s="110" t="s">
        <v>63</v>
      </c>
      <c r="Q3" s="109" t="s">
        <v>64</v>
      </c>
      <c r="R3" s="109" t="s">
        <v>347</v>
      </c>
      <c r="S3" s="110" t="s">
        <v>63</v>
      </c>
      <c r="T3" s="109" t="s">
        <v>64</v>
      </c>
      <c r="U3" s="109" t="s">
        <v>347</v>
      </c>
      <c r="V3" s="110" t="s">
        <v>63</v>
      </c>
      <c r="W3" s="109" t="s">
        <v>64</v>
      </c>
      <c r="X3" s="109" t="s">
        <v>347</v>
      </c>
      <c r="Y3" s="110" t="s">
        <v>63</v>
      </c>
      <c r="Z3" s="109" t="s">
        <v>64</v>
      </c>
      <c r="AA3" s="109" t="s">
        <v>347</v>
      </c>
      <c r="AB3" s="110" t="s">
        <v>63</v>
      </c>
      <c r="AC3" s="109" t="s">
        <v>64</v>
      </c>
      <c r="AD3" s="109" t="s">
        <v>347</v>
      </c>
      <c r="AE3" s="110" t="s">
        <v>63</v>
      </c>
      <c r="AF3" s="109" t="s">
        <v>64</v>
      </c>
      <c r="AG3" s="109" t="s">
        <v>347</v>
      </c>
      <c r="AH3" s="110" t="s">
        <v>63</v>
      </c>
      <c r="AI3" s="109" t="s">
        <v>64</v>
      </c>
      <c r="AJ3" s="109" t="s">
        <v>347</v>
      </c>
      <c r="AK3" s="110" t="s">
        <v>63</v>
      </c>
      <c r="AL3" s="109" t="s">
        <v>64</v>
      </c>
      <c r="AM3" s="109" t="s">
        <v>347</v>
      </c>
      <c r="AN3" s="107" t="s">
        <v>63</v>
      </c>
      <c r="AO3" s="111" t="s">
        <v>64</v>
      </c>
      <c r="AP3" s="112" t="s">
        <v>347</v>
      </c>
      <c r="AQ3" s="113" t="s">
        <v>63</v>
      </c>
      <c r="AR3" s="111" t="s">
        <v>64</v>
      </c>
      <c r="AS3" s="112" t="s">
        <v>347</v>
      </c>
      <c r="AT3" s="113" t="s">
        <v>63</v>
      </c>
      <c r="AU3" s="111" t="s">
        <v>64</v>
      </c>
      <c r="AV3" s="112" t="s">
        <v>347</v>
      </c>
      <c r="AW3" s="113" t="s">
        <v>63</v>
      </c>
      <c r="AX3" s="111" t="s">
        <v>64</v>
      </c>
      <c r="AY3" s="112" t="s">
        <v>347</v>
      </c>
      <c r="AZ3" s="113" t="s">
        <v>63</v>
      </c>
      <c r="BA3" s="111" t="s">
        <v>64</v>
      </c>
      <c r="BB3" s="112" t="s">
        <v>347</v>
      </c>
      <c r="BC3" s="113" t="s">
        <v>63</v>
      </c>
      <c r="BD3" s="111" t="s">
        <v>64</v>
      </c>
      <c r="BE3" s="112" t="s">
        <v>347</v>
      </c>
      <c r="BF3" s="113" t="s">
        <v>63</v>
      </c>
      <c r="BG3" s="111" t="s">
        <v>64</v>
      </c>
      <c r="BH3" s="112" t="s">
        <v>347</v>
      </c>
      <c r="BI3" s="113" t="s">
        <v>63</v>
      </c>
      <c r="BJ3" s="111" t="s">
        <v>64</v>
      </c>
      <c r="BK3" s="112" t="s">
        <v>347</v>
      </c>
      <c r="BL3" s="113" t="s">
        <v>63</v>
      </c>
      <c r="BM3" s="111" t="s">
        <v>64</v>
      </c>
      <c r="BN3" s="112" t="s">
        <v>347</v>
      </c>
      <c r="BO3" s="113" t="s">
        <v>63</v>
      </c>
      <c r="BP3" s="111" t="s">
        <v>64</v>
      </c>
      <c r="BQ3" s="112" t="s">
        <v>347</v>
      </c>
      <c r="BR3" s="113" t="s">
        <v>63</v>
      </c>
      <c r="BS3" s="111" t="s">
        <v>64</v>
      </c>
      <c r="BT3" s="112" t="s">
        <v>347</v>
      </c>
      <c r="BU3" s="113" t="s">
        <v>63</v>
      </c>
      <c r="BV3" s="111" t="s">
        <v>64</v>
      </c>
      <c r="BW3" s="112" t="s">
        <v>347</v>
      </c>
      <c r="BX3" s="113" t="s">
        <v>63</v>
      </c>
      <c r="BY3" s="111" t="s">
        <v>64</v>
      </c>
      <c r="BZ3" s="112" t="s">
        <v>347</v>
      </c>
      <c r="CA3" s="113" t="s">
        <v>63</v>
      </c>
      <c r="CB3" s="111" t="s">
        <v>64</v>
      </c>
      <c r="CC3" s="112" t="s">
        <v>347</v>
      </c>
      <c r="CD3" s="113" t="s">
        <v>63</v>
      </c>
      <c r="CE3" s="111" t="s">
        <v>64</v>
      </c>
      <c r="CF3" s="112" t="s">
        <v>347</v>
      </c>
      <c r="CG3" s="113" t="s">
        <v>63</v>
      </c>
      <c r="CH3" s="111" t="s">
        <v>64</v>
      </c>
      <c r="CI3" s="112" t="s">
        <v>347</v>
      </c>
      <c r="CJ3" s="113" t="s">
        <v>63</v>
      </c>
      <c r="CK3" s="111" t="s">
        <v>64</v>
      </c>
      <c r="CL3" s="112" t="s">
        <v>347</v>
      </c>
      <c r="CM3" s="113" t="s">
        <v>63</v>
      </c>
      <c r="CN3" s="111" t="s">
        <v>64</v>
      </c>
      <c r="CO3" s="112" t="s">
        <v>347</v>
      </c>
      <c r="CP3" s="113" t="s">
        <v>63</v>
      </c>
      <c r="CQ3" s="111" t="s">
        <v>64</v>
      </c>
      <c r="CR3" s="112" t="s">
        <v>347</v>
      </c>
      <c r="CS3" s="113" t="s">
        <v>63</v>
      </c>
      <c r="CT3" s="111" t="s">
        <v>64</v>
      </c>
      <c r="CU3" s="112" t="s">
        <v>347</v>
      </c>
      <c r="CV3" s="113" t="s">
        <v>63</v>
      </c>
      <c r="CW3" s="111" t="s">
        <v>64</v>
      </c>
      <c r="CX3" s="112" t="s">
        <v>347</v>
      </c>
      <c r="CY3" s="113" t="s">
        <v>63</v>
      </c>
      <c r="CZ3" s="111" t="s">
        <v>64</v>
      </c>
      <c r="DA3" s="112" t="s">
        <v>347</v>
      </c>
      <c r="DB3" s="113" t="s">
        <v>63</v>
      </c>
      <c r="DC3" s="111" t="s">
        <v>64</v>
      </c>
      <c r="DD3" s="112" t="s">
        <v>347</v>
      </c>
      <c r="DE3" s="113" t="s">
        <v>63</v>
      </c>
      <c r="DF3" s="111" t="s">
        <v>64</v>
      </c>
      <c r="DG3" s="132" t="s">
        <v>347</v>
      </c>
      <c r="DH3" s="135" t="s">
        <v>63</v>
      </c>
      <c r="DI3" s="136" t="s">
        <v>64</v>
      </c>
      <c r="DJ3" s="137" t="s">
        <v>347</v>
      </c>
      <c r="DK3" s="726"/>
      <c r="DL3" s="720"/>
      <c r="DM3" s="722"/>
      <c r="DN3" s="698" t="s">
        <v>102</v>
      </c>
      <c r="DO3" s="699"/>
      <c r="DP3" s="699"/>
      <c r="DQ3" s="705">
        <f>L45</f>
        <v>2123102.4</v>
      </c>
      <c r="DR3" s="705"/>
    </row>
    <row r="4" spans="1:122" ht="24.75" customHeight="1" x14ac:dyDescent="0.5">
      <c r="A4" s="63">
        <v>1</v>
      </c>
      <c r="B4" s="64" t="s">
        <v>14</v>
      </c>
      <c r="C4" s="65" t="s">
        <v>156</v>
      </c>
      <c r="D4" s="66" t="s">
        <v>15</v>
      </c>
      <c r="E4" s="66" t="s">
        <v>157</v>
      </c>
      <c r="F4" s="67" t="s">
        <v>133</v>
      </c>
      <c r="G4" s="68" t="s">
        <v>158</v>
      </c>
      <c r="H4" s="69" t="s">
        <v>159</v>
      </c>
      <c r="I4" s="69" t="s">
        <v>160</v>
      </c>
      <c r="J4" s="95" t="s">
        <v>349</v>
      </c>
      <c r="K4" s="69">
        <v>20444.865008621633</v>
      </c>
      <c r="L4" s="69">
        <v>286228.11012070283</v>
      </c>
      <c r="M4" s="70">
        <v>500</v>
      </c>
      <c r="N4" s="68">
        <v>8960</v>
      </c>
      <c r="O4" s="68">
        <v>5734</v>
      </c>
      <c r="P4" s="68"/>
      <c r="Q4" s="68"/>
      <c r="R4" s="68"/>
      <c r="S4" s="68">
        <v>65</v>
      </c>
      <c r="T4" s="68">
        <v>870</v>
      </c>
      <c r="U4" s="116">
        <v>643.20000000000005</v>
      </c>
      <c r="V4" s="68">
        <v>545</v>
      </c>
      <c r="W4" s="68">
        <v>8440</v>
      </c>
      <c r="X4" s="68">
        <v>5400</v>
      </c>
      <c r="Y4" s="68">
        <v>545</v>
      </c>
      <c r="Z4" s="68">
        <v>8140</v>
      </c>
      <c r="AA4" s="68">
        <v>6096</v>
      </c>
      <c r="AB4" s="68">
        <v>1090</v>
      </c>
      <c r="AC4" s="68">
        <v>15060</v>
      </c>
      <c r="AD4" s="68">
        <v>12058.4</v>
      </c>
      <c r="AE4" s="68"/>
      <c r="AF4" s="68"/>
      <c r="AG4" s="68"/>
      <c r="AH4" s="68">
        <v>535</v>
      </c>
      <c r="AI4" s="68">
        <v>6620</v>
      </c>
      <c r="AJ4" s="68">
        <v>5876</v>
      </c>
      <c r="AK4" s="68">
        <v>550</v>
      </c>
      <c r="AL4" s="68">
        <v>8400</v>
      </c>
      <c r="AM4" s="68">
        <v>5852</v>
      </c>
      <c r="AN4" s="68">
        <v>525</v>
      </c>
      <c r="AO4" s="68">
        <v>7860</v>
      </c>
      <c r="AP4" s="68">
        <v>5694</v>
      </c>
      <c r="AQ4" s="120">
        <f t="shared" ref="AQ4:AQ44" si="0">M4+P4+S4+V4+Y4+AB4+AE4+AH4+AK4+AN4</f>
        <v>4355</v>
      </c>
      <c r="AR4" s="120">
        <f>N4+Q4+T4+W4+Z4+AC4+AF4+AI4+AL4+AO4</f>
        <v>64350</v>
      </c>
      <c r="AS4" s="532">
        <f>O4+R4+U4+X4+AA4+AD4+AG4+AJ4+AM4+AP4</f>
        <v>47353.599999999999</v>
      </c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120">
        <f>AQ4+AT4+AW4+AZ4+BC4+BF4+BI4+BL4+BO4+BR4+BU4</f>
        <v>4355</v>
      </c>
      <c r="BY4" s="120">
        <f>AR4+AU4+AX4+BA4+BD4+BG4+BJ4+BM4+BP4+BS4+BV4</f>
        <v>64350</v>
      </c>
      <c r="BZ4" s="128">
        <f>AS4+AV4+AY4+BB4+BE4+BH4+BK4+BN4+BQ4+BT4+BW4</f>
        <v>47353.599999999999</v>
      </c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71"/>
      <c r="DD4" s="71"/>
      <c r="DE4" s="122">
        <f>P4+S4+V4+Y4+AB4+AE4+AH4+AK4+AN4+AT4+AW4+AZ4+BC4+BF4+BI4+BL4+BO4+BR4+BU4+CA4+CD4+CG4+CJ4+CM4+CP4+CS4+CV4+CY4+DB4+M4</f>
        <v>4355</v>
      </c>
      <c r="DF4" s="123">
        <f>AR4+AU4+AX4+BA4+BD4+BG4+BJ4+BM4+BP4+BS4+BV4+CB4+CE4+CH4+CK4+CN4+CQ4+CT4+CW4+CZ4+DC4</f>
        <v>64350</v>
      </c>
      <c r="DG4" s="124">
        <f>AS4+AV4+AY4+BB4+BE4+BH4+BK4+BN4+BQ4+BT4+BW4+CC4+CF4+CI4+CL4+CO4+CR4+CU4+CX4+DA4+DD4</f>
        <v>47353.599999999999</v>
      </c>
      <c r="DH4" s="72">
        <f>မိုးအောင်!AE29</f>
        <v>4880</v>
      </c>
      <c r="DI4" s="73">
        <f>မိုးအောင်!AF27</f>
        <v>72350</v>
      </c>
      <c r="DJ4" s="145">
        <f>မိုးအောင်!AG27</f>
        <v>53297.599999999999</v>
      </c>
      <c r="DK4" s="74">
        <f t="shared" ref="DK4:DK45" si="1">DI4/L4</f>
        <v>0.25277042135899891</v>
      </c>
      <c r="DL4" s="75">
        <f>10/31</f>
        <v>0.32258064516129031</v>
      </c>
      <c r="DM4" s="76">
        <f t="shared" ref="DM4:DM29" si="2">DK4-DL4</f>
        <v>-6.9810223802291405E-2</v>
      </c>
      <c r="DN4" s="700" t="s">
        <v>103</v>
      </c>
      <c r="DO4" s="701"/>
      <c r="DP4" s="701"/>
      <c r="DQ4" s="706">
        <f>DF45</f>
        <v>418114</v>
      </c>
      <c r="DR4" s="706"/>
    </row>
    <row r="5" spans="1:122" ht="24.75" customHeight="1" x14ac:dyDescent="0.5">
      <c r="A5" s="63">
        <v>2</v>
      </c>
      <c r="B5" s="64" t="s">
        <v>44</v>
      </c>
      <c r="C5" s="65" t="s">
        <v>246</v>
      </c>
      <c r="D5" s="66" t="s">
        <v>43</v>
      </c>
      <c r="E5" s="66" t="s">
        <v>242</v>
      </c>
      <c r="F5" s="67" t="s">
        <v>133</v>
      </c>
      <c r="G5" s="68" t="s">
        <v>247</v>
      </c>
      <c r="H5" s="69" t="s">
        <v>248</v>
      </c>
      <c r="I5" s="69" t="s">
        <v>249</v>
      </c>
      <c r="J5" s="95" t="s">
        <v>349</v>
      </c>
      <c r="K5" s="69">
        <v>16905.164945073539</v>
      </c>
      <c r="L5" s="69">
        <v>236672.30923102956</v>
      </c>
      <c r="M5" s="70">
        <v>530</v>
      </c>
      <c r="N5" s="68">
        <v>7500</v>
      </c>
      <c r="O5" s="116">
        <v>5892</v>
      </c>
      <c r="P5" s="68"/>
      <c r="Q5" s="68"/>
      <c r="R5" s="68"/>
      <c r="S5" s="68">
        <v>540</v>
      </c>
      <c r="T5" s="68">
        <v>7540</v>
      </c>
      <c r="U5" s="68">
        <v>5664</v>
      </c>
      <c r="V5" s="68">
        <v>530</v>
      </c>
      <c r="W5" s="68">
        <v>6960</v>
      </c>
      <c r="X5" s="68">
        <v>5448</v>
      </c>
      <c r="Y5" s="68">
        <v>500</v>
      </c>
      <c r="Z5" s="68">
        <v>7000</v>
      </c>
      <c r="AA5" s="68">
        <v>4480</v>
      </c>
      <c r="AB5" s="68">
        <v>530</v>
      </c>
      <c r="AC5" s="68">
        <v>7880</v>
      </c>
      <c r="AD5" s="68">
        <v>5688</v>
      </c>
      <c r="AE5" s="68"/>
      <c r="AF5" s="68"/>
      <c r="AG5" s="68"/>
      <c r="AH5" s="68">
        <v>950</v>
      </c>
      <c r="AI5" s="68">
        <v>17060</v>
      </c>
      <c r="AJ5" s="68">
        <v>12232</v>
      </c>
      <c r="AK5" s="68"/>
      <c r="AL5" s="68"/>
      <c r="AM5" s="68"/>
      <c r="AN5" s="68">
        <v>520</v>
      </c>
      <c r="AO5" s="68">
        <v>7200</v>
      </c>
      <c r="AP5" s="68">
        <v>5672</v>
      </c>
      <c r="AQ5" s="120">
        <f t="shared" si="0"/>
        <v>4100</v>
      </c>
      <c r="AR5" s="120">
        <f t="shared" ref="AR5:AR44" si="3">N5+Q5+T5+W5+Z5+AC5+AF5+AI5+AL5+AO5</f>
        <v>61140</v>
      </c>
      <c r="AS5" s="532">
        <f>O5+R5+U5+X5+AA5+AD5+AG5+AJ5+AM5+AP5</f>
        <v>45076</v>
      </c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120">
        <f t="shared" ref="BX5:BX44" si="4">AQ5+AT5+AW5+AZ5+BC5+BF5+BI5+BL5+BO5+BR5+BU5</f>
        <v>4100</v>
      </c>
      <c r="BY5" s="120">
        <f t="shared" ref="BY5:BY44" si="5">AR5+AU5+AX5+BA5+BD5+BG5+BJ5+BM5+BP5+BS5+BV5</f>
        <v>61140</v>
      </c>
      <c r="BZ5" s="128">
        <f t="shared" ref="BZ5:BZ44" si="6">AS5+AV5+AY5+BB5+BE5+BH5+BK5+BN5+BQ5+BT5+BW5</f>
        <v>45076</v>
      </c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71"/>
      <c r="DD5" s="71"/>
      <c r="DE5" s="122">
        <f t="shared" ref="DE5:DE44" si="7">P5+S5+V5+Y5+AB5+AE5+AH5+AK5+AN5+AT5+AW5+AZ5+BC5+BF5+BI5+BL5+BO5+BR5+BU5+CA5+CD5+CG5+CJ5+CM5+CP5+CS5+CV5+CY5+DB5+M5</f>
        <v>4100</v>
      </c>
      <c r="DF5" s="123">
        <f t="shared" ref="DF5:DF44" si="8">AR5+AU5+AX5+BA5+BD5+BG5+BJ5+BM5+BP5+BS5+BV5+CB5+CE5+CH5+CK5+CN5+CQ5+CT5+CW5+CZ5+DC5</f>
        <v>61140</v>
      </c>
      <c r="DG5" s="124">
        <f t="shared" ref="DG5:DG44" si="9">AS5+AV5+AY5+BB5+BE5+BH5+BK5+BN5+BQ5+BT5+BW5+CC5+CF5+CI5+CL5+CO5+CR5+CU5+CX5+DA5+DD5</f>
        <v>45076</v>
      </c>
      <c r="DH5" s="72">
        <f>သော်တာထွန်း!AE30</f>
        <v>4610</v>
      </c>
      <c r="DI5" s="73">
        <f>သော်တာထွန်း!AF30</f>
        <v>68260</v>
      </c>
      <c r="DJ5" s="145">
        <f>သော်တာထွန်း!AG30</f>
        <v>50471.199999999997</v>
      </c>
      <c r="DK5" s="74">
        <f t="shared" si="1"/>
        <v>0.28841565885668297</v>
      </c>
      <c r="DL5" s="75">
        <f t="shared" ref="DL5:DL45" si="10">10/31</f>
        <v>0.32258064516129031</v>
      </c>
      <c r="DM5" s="76">
        <f t="shared" si="2"/>
        <v>-3.4164986304607348E-2</v>
      </c>
      <c r="DN5" s="702" t="s">
        <v>104</v>
      </c>
      <c r="DO5" s="703"/>
      <c r="DP5" s="704"/>
      <c r="DQ5" s="707">
        <f>DQ4/DQ3</f>
        <v>0.19693539039850363</v>
      </c>
      <c r="DR5" s="707"/>
    </row>
    <row r="6" spans="1:122" ht="24.75" customHeight="1" x14ac:dyDescent="0.5">
      <c r="A6" s="63">
        <v>3</v>
      </c>
      <c r="B6" s="64" t="s">
        <v>5</v>
      </c>
      <c r="C6" s="65" t="s">
        <v>132</v>
      </c>
      <c r="D6" s="66" t="s">
        <v>6</v>
      </c>
      <c r="E6" s="66" t="s">
        <v>6</v>
      </c>
      <c r="F6" s="66" t="s">
        <v>133</v>
      </c>
      <c r="G6" s="68" t="s">
        <v>134</v>
      </c>
      <c r="H6" s="69" t="s">
        <v>135</v>
      </c>
      <c r="I6" s="69" t="s">
        <v>136</v>
      </c>
      <c r="J6" s="95" t="s">
        <v>349</v>
      </c>
      <c r="K6" s="69">
        <v>9192.3775462809645</v>
      </c>
      <c r="L6" s="69">
        <v>128693.2856479335</v>
      </c>
      <c r="M6" s="77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120">
        <f t="shared" si="0"/>
        <v>0</v>
      </c>
      <c r="AR6" s="120">
        <f t="shared" si="3"/>
        <v>0</v>
      </c>
      <c r="AS6" s="532">
        <f t="shared" ref="AS6:AS44" si="11">O6+R6+U6+X6+AA6+AD6+AG6+AJ6+AM6+AP6</f>
        <v>0</v>
      </c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120">
        <f t="shared" si="4"/>
        <v>0</v>
      </c>
      <c r="BY6" s="120">
        <f t="shared" si="5"/>
        <v>0</v>
      </c>
      <c r="BZ6" s="128">
        <f t="shared" si="6"/>
        <v>0</v>
      </c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71"/>
      <c r="DD6" s="71"/>
      <c r="DE6" s="122">
        <f t="shared" si="7"/>
        <v>0</v>
      </c>
      <c r="DF6" s="123">
        <f t="shared" si="8"/>
        <v>0</v>
      </c>
      <c r="DG6" s="124">
        <f t="shared" si="9"/>
        <v>0</v>
      </c>
      <c r="DH6" s="72">
        <f>ရွှေဧရာ!AG27</f>
        <v>0</v>
      </c>
      <c r="DI6" s="73">
        <f>ရွှေဧရာ!AH27</f>
        <v>0</v>
      </c>
      <c r="DJ6" s="125">
        <f>ရွှေဧရာ!AI27</f>
        <v>0</v>
      </c>
      <c r="DK6" s="74">
        <f t="shared" si="1"/>
        <v>0</v>
      </c>
      <c r="DL6" s="75">
        <f t="shared" si="10"/>
        <v>0.32258064516129031</v>
      </c>
      <c r="DM6" s="76">
        <f t="shared" si="2"/>
        <v>-0.32258064516129031</v>
      </c>
      <c r="DQ6" s="78"/>
    </row>
    <row r="7" spans="1:122" ht="24.75" customHeight="1" x14ac:dyDescent="0.5">
      <c r="A7" s="63">
        <v>4</v>
      </c>
      <c r="B7" s="64" t="s">
        <v>45</v>
      </c>
      <c r="C7" s="65" t="s">
        <v>250</v>
      </c>
      <c r="D7" s="66" t="s">
        <v>43</v>
      </c>
      <c r="E7" s="66" t="s">
        <v>242</v>
      </c>
      <c r="F7" s="67" t="s">
        <v>133</v>
      </c>
      <c r="G7" s="68" t="s">
        <v>251</v>
      </c>
      <c r="H7" s="69" t="s">
        <v>252</v>
      </c>
      <c r="I7" s="69" t="s">
        <v>253</v>
      </c>
      <c r="J7" s="95" t="s">
        <v>349</v>
      </c>
      <c r="K7" s="69">
        <v>8852.2543925013924</v>
      </c>
      <c r="L7" s="69">
        <v>123931.56149501952</v>
      </c>
      <c r="M7" s="70">
        <v>300</v>
      </c>
      <c r="N7" s="68">
        <v>3700</v>
      </c>
      <c r="O7" s="68">
        <v>3448</v>
      </c>
      <c r="P7" s="68"/>
      <c r="Q7" s="68"/>
      <c r="R7" s="68"/>
      <c r="S7" s="68">
        <v>450</v>
      </c>
      <c r="T7" s="68">
        <v>5800</v>
      </c>
      <c r="U7" s="68">
        <v>4792</v>
      </c>
      <c r="V7" s="68"/>
      <c r="W7" s="68"/>
      <c r="X7" s="68"/>
      <c r="Y7" s="68">
        <v>650</v>
      </c>
      <c r="Z7" s="68">
        <v>8600</v>
      </c>
      <c r="AA7" s="68">
        <v>6584</v>
      </c>
      <c r="AB7" s="68"/>
      <c r="AC7" s="68"/>
      <c r="AD7" s="68"/>
      <c r="AE7" s="68"/>
      <c r="AF7" s="68"/>
      <c r="AG7" s="68"/>
      <c r="AH7" s="68">
        <v>630</v>
      </c>
      <c r="AI7" s="68">
        <v>8720</v>
      </c>
      <c r="AJ7" s="116">
        <v>6444.8</v>
      </c>
      <c r="AK7" s="68"/>
      <c r="AL7" s="68"/>
      <c r="AM7" s="68"/>
      <c r="AN7" s="68">
        <v>250</v>
      </c>
      <c r="AO7" s="68">
        <v>3000</v>
      </c>
      <c r="AP7" s="68">
        <v>3000</v>
      </c>
      <c r="AQ7" s="120">
        <f t="shared" si="0"/>
        <v>2280</v>
      </c>
      <c r="AR7" s="120">
        <f t="shared" si="3"/>
        <v>29820</v>
      </c>
      <c r="AS7" s="532">
        <f t="shared" si="11"/>
        <v>24268.799999999999</v>
      </c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120">
        <f t="shared" si="4"/>
        <v>2280</v>
      </c>
      <c r="BY7" s="120">
        <f t="shared" si="5"/>
        <v>29820</v>
      </c>
      <c r="BZ7" s="128">
        <f t="shared" si="6"/>
        <v>24268.799999999999</v>
      </c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71"/>
      <c r="DD7" s="71"/>
      <c r="DE7" s="122">
        <f t="shared" si="7"/>
        <v>2280</v>
      </c>
      <c r="DF7" s="123">
        <f t="shared" si="8"/>
        <v>29820</v>
      </c>
      <c r="DG7" s="124">
        <f t="shared" si="9"/>
        <v>24268.799999999999</v>
      </c>
      <c r="DH7" s="72">
        <f>မိဘမေတ္တာ!AE22</f>
        <v>2760</v>
      </c>
      <c r="DI7" s="73">
        <f>မိဘမေတ္တာ!AF22</f>
        <v>37440</v>
      </c>
      <c r="DJ7" s="145">
        <f>မိဘမေတ္တာ!AG22</f>
        <v>30009.599999999999</v>
      </c>
      <c r="DK7" s="74">
        <f t="shared" si="1"/>
        <v>0.30210222116425617</v>
      </c>
      <c r="DL7" s="75">
        <f t="shared" si="10"/>
        <v>0.32258064516129031</v>
      </c>
      <c r="DM7" s="76">
        <f t="shared" si="2"/>
        <v>-2.0478423997034145E-2</v>
      </c>
      <c r="DO7" s="58"/>
      <c r="DP7" s="79"/>
    </row>
    <row r="8" spans="1:122" ht="24.75" customHeight="1" x14ac:dyDescent="0.5">
      <c r="A8" s="63">
        <v>5</v>
      </c>
      <c r="B8" s="64" t="s">
        <v>31</v>
      </c>
      <c r="C8" s="65" t="s">
        <v>205</v>
      </c>
      <c r="D8" s="66" t="s">
        <v>32</v>
      </c>
      <c r="E8" s="66" t="s">
        <v>206</v>
      </c>
      <c r="F8" s="67" t="s">
        <v>133</v>
      </c>
      <c r="G8" s="68" t="s">
        <v>207</v>
      </c>
      <c r="H8" s="69" t="s">
        <v>208</v>
      </c>
      <c r="I8" s="69" t="s">
        <v>209</v>
      </c>
      <c r="J8" s="95" t="s">
        <v>349</v>
      </c>
      <c r="K8" s="69">
        <v>7440.7994574256218</v>
      </c>
      <c r="L8" s="69">
        <v>104171.19240395869</v>
      </c>
      <c r="M8" s="70"/>
      <c r="N8" s="68"/>
      <c r="O8" s="68"/>
      <c r="P8" s="68"/>
      <c r="Q8" s="68"/>
      <c r="R8" s="68"/>
      <c r="S8" s="68">
        <v>520</v>
      </c>
      <c r="T8" s="68">
        <v>8160</v>
      </c>
      <c r="U8" s="68">
        <v>5707.2</v>
      </c>
      <c r="V8" s="68"/>
      <c r="W8" s="68"/>
      <c r="X8" s="68"/>
      <c r="Y8" s="68">
        <v>520</v>
      </c>
      <c r="Z8" s="68">
        <v>7380</v>
      </c>
      <c r="AA8" s="68">
        <v>5700</v>
      </c>
      <c r="AB8" s="68"/>
      <c r="AC8" s="68"/>
      <c r="AD8" s="68"/>
      <c r="AE8" s="68"/>
      <c r="AF8" s="68"/>
      <c r="AG8" s="68"/>
      <c r="AH8" s="68">
        <v>520</v>
      </c>
      <c r="AI8" s="68">
        <v>7480</v>
      </c>
      <c r="AJ8" s="68">
        <v>5692</v>
      </c>
      <c r="AK8" s="68"/>
      <c r="AL8" s="68"/>
      <c r="AM8" s="68"/>
      <c r="AN8" s="68"/>
      <c r="AO8" s="68"/>
      <c r="AP8" s="68"/>
      <c r="AQ8" s="120">
        <f t="shared" si="0"/>
        <v>1560</v>
      </c>
      <c r="AR8" s="120">
        <f t="shared" si="3"/>
        <v>23020</v>
      </c>
      <c r="AS8" s="532">
        <f t="shared" si="11"/>
        <v>17099.2</v>
      </c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120">
        <f t="shared" si="4"/>
        <v>1560</v>
      </c>
      <c r="BY8" s="120">
        <f t="shared" si="5"/>
        <v>23020</v>
      </c>
      <c r="BZ8" s="128">
        <f t="shared" si="6"/>
        <v>17099.2</v>
      </c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71"/>
      <c r="DD8" s="71"/>
      <c r="DE8" s="122">
        <f t="shared" si="7"/>
        <v>1560</v>
      </c>
      <c r="DF8" s="123">
        <f t="shared" si="8"/>
        <v>23020</v>
      </c>
      <c r="DG8" s="124">
        <f t="shared" si="9"/>
        <v>17099.2</v>
      </c>
      <c r="DH8" s="72">
        <f>AAA!AG27</f>
        <v>2080</v>
      </c>
      <c r="DI8" s="73">
        <f>AAA!AH27</f>
        <v>30400</v>
      </c>
      <c r="DJ8" s="145">
        <f>AAA!AI27</f>
        <v>22799.200000000001</v>
      </c>
      <c r="DK8" s="74">
        <f t="shared" si="1"/>
        <v>0.29182732095562292</v>
      </c>
      <c r="DL8" s="75">
        <f t="shared" si="10"/>
        <v>0.32258064516129031</v>
      </c>
      <c r="DM8" s="76">
        <f t="shared" si="2"/>
        <v>-3.0753324205667398E-2</v>
      </c>
      <c r="DO8" s="55"/>
      <c r="DP8" s="79"/>
      <c r="DR8" s="80"/>
    </row>
    <row r="9" spans="1:122" ht="24.75" customHeight="1" x14ac:dyDescent="0.5">
      <c r="A9" s="63">
        <v>6</v>
      </c>
      <c r="B9" s="64" t="s">
        <v>27</v>
      </c>
      <c r="C9" s="65" t="s">
        <v>195</v>
      </c>
      <c r="D9" s="66" t="s">
        <v>28</v>
      </c>
      <c r="E9" s="66" t="s">
        <v>196</v>
      </c>
      <c r="F9" s="67" t="s">
        <v>133</v>
      </c>
      <c r="G9" s="68" t="s">
        <v>197</v>
      </c>
      <c r="H9" s="69" t="s">
        <v>198</v>
      </c>
      <c r="I9" s="69" t="s">
        <v>199</v>
      </c>
      <c r="J9" s="95" t="s">
        <v>349</v>
      </c>
      <c r="K9" s="69">
        <v>5183.6449944155065</v>
      </c>
      <c r="L9" s="69">
        <v>72571.029921817084</v>
      </c>
      <c r="M9" s="70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>
        <v>1200</v>
      </c>
      <c r="Z9" s="68">
        <v>19000</v>
      </c>
      <c r="AA9" s="68">
        <v>11864</v>
      </c>
      <c r="AB9" s="68"/>
      <c r="AC9" s="68"/>
      <c r="AD9" s="116"/>
      <c r="AE9" s="68"/>
      <c r="AF9" s="68"/>
      <c r="AG9" s="68"/>
      <c r="AH9" s="68"/>
      <c r="AI9" s="68"/>
      <c r="AJ9" s="116"/>
      <c r="AK9" s="68"/>
      <c r="AL9" s="68"/>
      <c r="AM9" s="68"/>
      <c r="AN9" s="68"/>
      <c r="AO9" s="68"/>
      <c r="AP9" s="68"/>
      <c r="AQ9" s="120">
        <f t="shared" si="0"/>
        <v>1200</v>
      </c>
      <c r="AR9" s="120">
        <f t="shared" si="3"/>
        <v>19000</v>
      </c>
      <c r="AS9" s="532">
        <f t="shared" si="11"/>
        <v>11864</v>
      </c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120">
        <f t="shared" si="4"/>
        <v>1200</v>
      </c>
      <c r="BY9" s="120">
        <f t="shared" si="5"/>
        <v>19000</v>
      </c>
      <c r="BZ9" s="128">
        <f t="shared" si="6"/>
        <v>11864</v>
      </c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71"/>
      <c r="DD9" s="71"/>
      <c r="DE9" s="122">
        <f t="shared" si="7"/>
        <v>1200</v>
      </c>
      <c r="DF9" s="123">
        <f t="shared" si="8"/>
        <v>19000</v>
      </c>
      <c r="DG9" s="124">
        <f t="shared" si="9"/>
        <v>11864</v>
      </c>
      <c r="DH9" s="72">
        <f>ပေါ်ဦး!AE21</f>
        <v>2500</v>
      </c>
      <c r="DI9" s="73">
        <f>ပေါ်ဦး!AF21</f>
        <v>36240</v>
      </c>
      <c r="DJ9" s="125">
        <f>ပေါ်ဦး!AG21</f>
        <v>24971.200000000001</v>
      </c>
      <c r="DK9" s="74">
        <f t="shared" si="1"/>
        <v>0.4993728218965946</v>
      </c>
      <c r="DL9" s="75">
        <f t="shared" si="10"/>
        <v>0.32258064516129031</v>
      </c>
      <c r="DM9" s="76">
        <f t="shared" si="2"/>
        <v>0.17679217673530429</v>
      </c>
      <c r="DO9" s="55"/>
      <c r="DP9" s="81"/>
      <c r="DQ9" s="82"/>
    </row>
    <row r="10" spans="1:122" ht="24.75" customHeight="1" x14ac:dyDescent="0.5">
      <c r="A10" s="63">
        <v>7</v>
      </c>
      <c r="B10" s="64" t="s">
        <v>52</v>
      </c>
      <c r="C10" s="65" t="s">
        <v>269</v>
      </c>
      <c r="D10" s="66" t="s">
        <v>53</v>
      </c>
      <c r="E10" s="66" t="s">
        <v>270</v>
      </c>
      <c r="F10" s="67" t="s">
        <v>133</v>
      </c>
      <c r="G10" s="68" t="s">
        <v>271</v>
      </c>
      <c r="H10" s="69" t="s">
        <v>272</v>
      </c>
      <c r="I10" s="69" t="s">
        <v>273</v>
      </c>
      <c r="J10" s="95" t="s">
        <v>349</v>
      </c>
      <c r="K10" s="69">
        <v>5883.0796932970043</v>
      </c>
      <c r="L10" s="69">
        <v>82363.115706158045</v>
      </c>
      <c r="M10" s="70">
        <v>565</v>
      </c>
      <c r="N10" s="68">
        <v>6990</v>
      </c>
      <c r="O10" s="116">
        <v>6460.8</v>
      </c>
      <c r="P10" s="68"/>
      <c r="Q10" s="68"/>
      <c r="R10" s="68"/>
      <c r="S10" s="68"/>
      <c r="T10" s="68"/>
      <c r="U10" s="68"/>
      <c r="V10" s="68"/>
      <c r="W10" s="68"/>
      <c r="X10" s="68"/>
      <c r="Y10" s="68">
        <v>550</v>
      </c>
      <c r="Z10" s="68">
        <v>8300</v>
      </c>
      <c r="AA10" s="68">
        <v>6148</v>
      </c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>
        <v>550</v>
      </c>
      <c r="AO10" s="68">
        <v>8200</v>
      </c>
      <c r="AP10" s="68">
        <v>6396</v>
      </c>
      <c r="AQ10" s="120">
        <f t="shared" si="0"/>
        <v>1665</v>
      </c>
      <c r="AR10" s="120">
        <f t="shared" si="3"/>
        <v>23490</v>
      </c>
      <c r="AS10" s="532">
        <f t="shared" si="11"/>
        <v>19004.8</v>
      </c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120">
        <f t="shared" si="4"/>
        <v>1665</v>
      </c>
      <c r="BY10" s="120">
        <f t="shared" si="5"/>
        <v>23490</v>
      </c>
      <c r="BZ10" s="128">
        <f t="shared" si="6"/>
        <v>19004.8</v>
      </c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71"/>
      <c r="DD10" s="71"/>
      <c r="DE10" s="122">
        <f t="shared" si="7"/>
        <v>1665</v>
      </c>
      <c r="DF10" s="123">
        <f t="shared" si="8"/>
        <v>23490</v>
      </c>
      <c r="DG10" s="124">
        <f t="shared" si="9"/>
        <v>19004.8</v>
      </c>
      <c r="DH10" s="72">
        <f>ဘောဂ!AE21</f>
        <v>1665</v>
      </c>
      <c r="DI10" s="73">
        <f>ဘောဂ!AF21</f>
        <v>23490</v>
      </c>
      <c r="DJ10" s="145">
        <f>ဘောဂ!AG21</f>
        <v>19004.8</v>
      </c>
      <c r="DK10" s="74">
        <f t="shared" si="1"/>
        <v>0.28520047837679996</v>
      </c>
      <c r="DL10" s="75">
        <f t="shared" si="10"/>
        <v>0.32258064516129031</v>
      </c>
      <c r="DM10" s="76">
        <f t="shared" si="2"/>
        <v>-3.7380166784490354E-2</v>
      </c>
      <c r="DO10" s="55"/>
      <c r="DP10" s="81"/>
      <c r="DQ10" s="82"/>
    </row>
    <row r="11" spans="1:122" ht="24.75" customHeight="1" x14ac:dyDescent="0.5">
      <c r="A11" s="63">
        <v>8</v>
      </c>
      <c r="B11" s="64" t="s">
        <v>227</v>
      </c>
      <c r="C11" s="65" t="s">
        <v>228</v>
      </c>
      <c r="D11" s="66" t="s">
        <v>38</v>
      </c>
      <c r="E11" s="66" t="s">
        <v>224</v>
      </c>
      <c r="F11" s="67" t="s">
        <v>133</v>
      </c>
      <c r="G11" s="68" t="s">
        <v>229</v>
      </c>
      <c r="H11" s="69" t="s">
        <v>230</v>
      </c>
      <c r="I11" s="69" t="s">
        <v>231</v>
      </c>
      <c r="J11" s="95" t="s">
        <v>349</v>
      </c>
      <c r="K11" s="69">
        <v>6087.3628831889255</v>
      </c>
      <c r="L11" s="69">
        <v>85223.080364644949</v>
      </c>
      <c r="M11" s="70">
        <v>220</v>
      </c>
      <c r="N11" s="68">
        <v>2780</v>
      </c>
      <c r="O11" s="116">
        <v>2427.1999999999998</v>
      </c>
      <c r="P11" s="68"/>
      <c r="Q11" s="68"/>
      <c r="R11" s="68"/>
      <c r="S11" s="68"/>
      <c r="T11" s="68"/>
      <c r="U11" s="68"/>
      <c r="V11" s="68"/>
      <c r="W11" s="68"/>
      <c r="X11" s="68"/>
      <c r="Y11" s="68">
        <v>200</v>
      </c>
      <c r="Z11" s="68">
        <v>2600</v>
      </c>
      <c r="AA11" s="68">
        <v>2096</v>
      </c>
      <c r="AB11" s="68"/>
      <c r="AC11" s="68"/>
      <c r="AD11" s="68"/>
      <c r="AE11" s="68"/>
      <c r="AF11" s="68"/>
      <c r="AG11" s="68"/>
      <c r="AH11" s="68">
        <v>100</v>
      </c>
      <c r="AI11" s="68">
        <v>2100</v>
      </c>
      <c r="AJ11" s="116">
        <v>1168.8</v>
      </c>
      <c r="AK11" s="68"/>
      <c r="AL11" s="68"/>
      <c r="AM11" s="68"/>
      <c r="AN11" s="68"/>
      <c r="AO11" s="68"/>
      <c r="AP11" s="68"/>
      <c r="AQ11" s="120">
        <f t="shared" si="0"/>
        <v>520</v>
      </c>
      <c r="AR11" s="120">
        <f t="shared" si="3"/>
        <v>7480</v>
      </c>
      <c r="AS11" s="532">
        <f t="shared" si="11"/>
        <v>5692</v>
      </c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120">
        <f t="shared" si="4"/>
        <v>520</v>
      </c>
      <c r="BY11" s="120">
        <f t="shared" si="5"/>
        <v>7480</v>
      </c>
      <c r="BZ11" s="128">
        <f t="shared" si="6"/>
        <v>5692</v>
      </c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71"/>
      <c r="DD11" s="71"/>
      <c r="DE11" s="122">
        <f t="shared" si="7"/>
        <v>520</v>
      </c>
      <c r="DF11" s="123">
        <f t="shared" si="8"/>
        <v>7480</v>
      </c>
      <c r="DG11" s="124">
        <f t="shared" si="9"/>
        <v>5692</v>
      </c>
      <c r="DH11" s="83">
        <f>ရတနာတိုး!AE27</f>
        <v>520</v>
      </c>
      <c r="DI11" s="84">
        <f>ရတနာတိုး!AF27</f>
        <v>7480</v>
      </c>
      <c r="DJ11" s="145">
        <f>ရတနာတိုး!AG27</f>
        <v>5692</v>
      </c>
      <c r="DK11" s="74">
        <f t="shared" si="1"/>
        <v>8.7769650756523238E-2</v>
      </c>
      <c r="DL11" s="75">
        <f t="shared" si="10"/>
        <v>0.32258064516129031</v>
      </c>
      <c r="DM11" s="76">
        <f t="shared" si="2"/>
        <v>-0.23481099440476708</v>
      </c>
      <c r="DO11" s="55"/>
      <c r="DP11" s="81"/>
      <c r="DQ11" s="82"/>
    </row>
    <row r="12" spans="1:122" ht="24.75" customHeight="1" x14ac:dyDescent="0.5">
      <c r="A12" s="63">
        <v>9</v>
      </c>
      <c r="B12" s="64" t="s">
        <v>39</v>
      </c>
      <c r="C12" s="65" t="s">
        <v>232</v>
      </c>
      <c r="D12" s="66" t="s">
        <v>40</v>
      </c>
      <c r="E12" s="66" t="s">
        <v>233</v>
      </c>
      <c r="F12" s="67" t="s">
        <v>133</v>
      </c>
      <c r="G12" s="68" t="s">
        <v>234</v>
      </c>
      <c r="H12" s="69" t="s">
        <v>235</v>
      </c>
      <c r="I12" s="69" t="s">
        <v>236</v>
      </c>
      <c r="J12" s="95" t="s">
        <v>349</v>
      </c>
      <c r="K12" s="69">
        <v>5851.2613937540809</v>
      </c>
      <c r="L12" s="69">
        <v>81917.659512557133</v>
      </c>
      <c r="M12" s="70"/>
      <c r="N12" s="68"/>
      <c r="O12" s="68"/>
      <c r="P12" s="68"/>
      <c r="Q12" s="68"/>
      <c r="R12" s="68"/>
      <c r="S12" s="68">
        <v>525</v>
      </c>
      <c r="T12" s="68">
        <v>7030</v>
      </c>
      <c r="U12" s="143">
        <v>5300.8</v>
      </c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>
        <v>350</v>
      </c>
      <c r="AL12" s="68">
        <v>6220</v>
      </c>
      <c r="AM12" s="116">
        <v>4008.8</v>
      </c>
      <c r="AN12" s="68"/>
      <c r="AO12" s="68"/>
      <c r="AP12" s="68"/>
      <c r="AQ12" s="120">
        <f t="shared" si="0"/>
        <v>875</v>
      </c>
      <c r="AR12" s="120">
        <f t="shared" si="3"/>
        <v>13250</v>
      </c>
      <c r="AS12" s="532">
        <f t="shared" si="11"/>
        <v>9309.6</v>
      </c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120">
        <f t="shared" si="4"/>
        <v>875</v>
      </c>
      <c r="BY12" s="120">
        <f t="shared" si="5"/>
        <v>13250</v>
      </c>
      <c r="BZ12" s="128">
        <f t="shared" si="6"/>
        <v>9309.6</v>
      </c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71"/>
      <c r="DD12" s="71"/>
      <c r="DE12" s="122">
        <f t="shared" si="7"/>
        <v>875</v>
      </c>
      <c r="DF12" s="123">
        <f t="shared" si="8"/>
        <v>13250</v>
      </c>
      <c r="DG12" s="124">
        <f t="shared" si="9"/>
        <v>9309.6</v>
      </c>
      <c r="DH12" s="72">
        <f>မွန်မလေး!AI19</f>
        <v>875</v>
      </c>
      <c r="DI12" s="73">
        <f>မွန်မလေး!AJ19</f>
        <v>13250</v>
      </c>
      <c r="DJ12" s="145">
        <f>မွန်မလေး!AK19</f>
        <v>9309.6</v>
      </c>
      <c r="DK12" s="74">
        <f t="shared" si="1"/>
        <v>0.16174778526196676</v>
      </c>
      <c r="DL12" s="75">
        <f t="shared" si="10"/>
        <v>0.32258064516129031</v>
      </c>
      <c r="DM12" s="76">
        <f t="shared" si="2"/>
        <v>-0.16083285989932355</v>
      </c>
      <c r="DO12" s="55"/>
      <c r="DP12" s="79"/>
    </row>
    <row r="13" spans="1:122" ht="24.75" customHeight="1" x14ac:dyDescent="0.5">
      <c r="A13" s="63">
        <v>10</v>
      </c>
      <c r="B13" s="64" t="s">
        <v>34</v>
      </c>
      <c r="C13" s="65" t="s">
        <v>214</v>
      </c>
      <c r="D13" s="66" t="s">
        <v>35</v>
      </c>
      <c r="E13" s="66" t="s">
        <v>215</v>
      </c>
      <c r="F13" s="67" t="s">
        <v>133</v>
      </c>
      <c r="G13" s="68" t="s">
        <v>216</v>
      </c>
      <c r="H13" s="69" t="s">
        <v>217</v>
      </c>
      <c r="I13" s="69" t="s">
        <v>218</v>
      </c>
      <c r="J13" s="95" t="s">
        <v>349</v>
      </c>
      <c r="K13" s="69">
        <v>5691.9012947874971</v>
      </c>
      <c r="L13" s="69">
        <v>79686.618127024951</v>
      </c>
      <c r="M13" s="70">
        <v>145</v>
      </c>
      <c r="N13" s="68">
        <v>1940</v>
      </c>
      <c r="O13" s="141">
        <v>1412</v>
      </c>
      <c r="P13" s="68"/>
      <c r="Q13" s="68"/>
      <c r="R13" s="68"/>
      <c r="S13" s="68">
        <v>313</v>
      </c>
      <c r="T13" s="68">
        <v>4336</v>
      </c>
      <c r="U13" s="141">
        <v>3508</v>
      </c>
      <c r="V13" s="68">
        <v>80</v>
      </c>
      <c r="W13" s="68">
        <v>1190</v>
      </c>
      <c r="X13" s="141">
        <v>809.19999999999993</v>
      </c>
      <c r="Y13" s="68">
        <v>75</v>
      </c>
      <c r="Z13" s="68">
        <v>1020</v>
      </c>
      <c r="AA13" s="116">
        <v>663.6</v>
      </c>
      <c r="AB13" s="68">
        <v>383</v>
      </c>
      <c r="AC13" s="68">
        <v>5556</v>
      </c>
      <c r="AD13" s="116">
        <v>4216</v>
      </c>
      <c r="AE13" s="68"/>
      <c r="AF13" s="68"/>
      <c r="AG13" s="68"/>
      <c r="AH13" s="68">
        <v>68</v>
      </c>
      <c r="AI13" s="68">
        <v>1076</v>
      </c>
      <c r="AJ13" s="116">
        <v>749.84</v>
      </c>
      <c r="AK13" s="68">
        <v>60</v>
      </c>
      <c r="AL13" s="68">
        <v>760</v>
      </c>
      <c r="AM13" s="68">
        <v>623.20000000000005</v>
      </c>
      <c r="AN13" s="68">
        <v>357</v>
      </c>
      <c r="AO13" s="68">
        <v>5194</v>
      </c>
      <c r="AP13" s="116">
        <v>3972.8</v>
      </c>
      <c r="AQ13" s="120">
        <f t="shared" si="0"/>
        <v>1481</v>
      </c>
      <c r="AR13" s="120">
        <f t="shared" si="3"/>
        <v>21072</v>
      </c>
      <c r="AS13" s="532">
        <f t="shared" si="11"/>
        <v>15954.64</v>
      </c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120">
        <f t="shared" si="4"/>
        <v>1481</v>
      </c>
      <c r="BY13" s="120">
        <f t="shared" si="5"/>
        <v>21072</v>
      </c>
      <c r="BZ13" s="128">
        <f t="shared" si="6"/>
        <v>15954.64</v>
      </c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71"/>
      <c r="DD13" s="71"/>
      <c r="DE13" s="122">
        <f t="shared" si="7"/>
        <v>1481</v>
      </c>
      <c r="DF13" s="123">
        <f t="shared" si="8"/>
        <v>21072</v>
      </c>
      <c r="DG13" s="124">
        <f t="shared" si="9"/>
        <v>15954.64</v>
      </c>
      <c r="DH13" s="72">
        <f>မြတ်မွှေး!AG33</f>
        <v>1481</v>
      </c>
      <c r="DI13" s="73">
        <f>မြတ်မွှေး!AH33</f>
        <v>21072</v>
      </c>
      <c r="DJ13" s="130">
        <f>မြတ်မွှေး!AI33</f>
        <v>15954.64</v>
      </c>
      <c r="DK13" s="74">
        <f t="shared" si="1"/>
        <v>0.26443586759335236</v>
      </c>
      <c r="DL13" s="75">
        <f t="shared" si="10"/>
        <v>0.32258064516129031</v>
      </c>
      <c r="DM13" s="76">
        <f t="shared" si="2"/>
        <v>-5.8144777567937955E-2</v>
      </c>
      <c r="DO13" s="55"/>
      <c r="DP13" s="79"/>
    </row>
    <row r="14" spans="1:122" ht="24.75" customHeight="1" x14ac:dyDescent="0.5">
      <c r="A14" s="63">
        <v>11</v>
      </c>
      <c r="B14" s="64" t="s">
        <v>19</v>
      </c>
      <c r="C14" s="65" t="s">
        <v>169</v>
      </c>
      <c r="D14" s="66" t="s">
        <v>20</v>
      </c>
      <c r="E14" s="66" t="s">
        <v>170</v>
      </c>
      <c r="F14" s="67" t="s">
        <v>133</v>
      </c>
      <c r="G14" s="68" t="s">
        <v>171</v>
      </c>
      <c r="H14" s="69" t="s">
        <v>172</v>
      </c>
      <c r="I14" s="69" t="s">
        <v>173</v>
      </c>
      <c r="J14" s="95" t="s">
        <v>349</v>
      </c>
      <c r="K14" s="69">
        <v>4768.0418751427533</v>
      </c>
      <c r="L14" s="69">
        <v>66752.586251998553</v>
      </c>
      <c r="M14" s="70">
        <v>180</v>
      </c>
      <c r="N14" s="68">
        <v>2520</v>
      </c>
      <c r="O14" s="116">
        <v>1612.8</v>
      </c>
      <c r="P14" s="68"/>
      <c r="Q14" s="68"/>
      <c r="R14" s="68"/>
      <c r="S14" s="68">
        <v>475</v>
      </c>
      <c r="T14" s="68">
        <v>6600</v>
      </c>
      <c r="U14" s="68">
        <v>4332</v>
      </c>
      <c r="V14" s="68"/>
      <c r="W14" s="68"/>
      <c r="X14" s="68"/>
      <c r="Y14" s="68">
        <v>100</v>
      </c>
      <c r="Z14" s="68">
        <v>1400</v>
      </c>
      <c r="AA14" s="68">
        <v>896</v>
      </c>
      <c r="AB14" s="68"/>
      <c r="AC14" s="68"/>
      <c r="AD14" s="68"/>
      <c r="AE14" s="68"/>
      <c r="AF14" s="68"/>
      <c r="AG14" s="68"/>
      <c r="AH14" s="68">
        <v>270</v>
      </c>
      <c r="AI14" s="68">
        <v>4100</v>
      </c>
      <c r="AJ14" s="68">
        <v>2824</v>
      </c>
      <c r="AK14" s="68"/>
      <c r="AL14" s="68"/>
      <c r="AM14" s="68"/>
      <c r="AN14" s="68">
        <v>150</v>
      </c>
      <c r="AO14" s="68">
        <v>2000</v>
      </c>
      <c r="AP14" s="68">
        <v>1496</v>
      </c>
      <c r="AQ14" s="120">
        <f t="shared" si="0"/>
        <v>1175</v>
      </c>
      <c r="AR14" s="120">
        <f t="shared" si="3"/>
        <v>16620</v>
      </c>
      <c r="AS14" s="532">
        <f t="shared" si="11"/>
        <v>11160.8</v>
      </c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120">
        <f t="shared" si="4"/>
        <v>1175</v>
      </c>
      <c r="BY14" s="120">
        <f t="shared" si="5"/>
        <v>16620</v>
      </c>
      <c r="BZ14" s="128">
        <f t="shared" si="6"/>
        <v>11160.8</v>
      </c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71"/>
      <c r="DD14" s="71"/>
      <c r="DE14" s="122">
        <f t="shared" si="7"/>
        <v>1175</v>
      </c>
      <c r="DF14" s="123">
        <f t="shared" si="8"/>
        <v>16620</v>
      </c>
      <c r="DG14" s="124">
        <f t="shared" si="9"/>
        <v>11160.8</v>
      </c>
      <c r="DH14" s="72">
        <f>ကိုဖိုးသက်!AE26</f>
        <v>1175</v>
      </c>
      <c r="DI14" s="73">
        <f>ကိုဖိုးသက်!AF26</f>
        <v>16620</v>
      </c>
      <c r="DJ14" s="145">
        <f>ကိုဖိုးသက်!AG25</f>
        <v>11160.8</v>
      </c>
      <c r="DK14" s="74">
        <f t="shared" si="1"/>
        <v>0.24897911726232783</v>
      </c>
      <c r="DL14" s="75">
        <f t="shared" si="10"/>
        <v>0.32258064516129031</v>
      </c>
      <c r="DM14" s="76">
        <f t="shared" si="2"/>
        <v>-7.3601527898962488E-2</v>
      </c>
      <c r="DO14" s="55"/>
      <c r="DP14" s="81"/>
      <c r="DQ14" s="82"/>
    </row>
    <row r="15" spans="1:122" ht="24.75" customHeight="1" x14ac:dyDescent="0.5">
      <c r="A15" s="63">
        <v>12</v>
      </c>
      <c r="B15" s="64" t="s">
        <v>29</v>
      </c>
      <c r="C15" s="65" t="s">
        <v>200</v>
      </c>
      <c r="D15" s="66" t="s">
        <v>30</v>
      </c>
      <c r="E15" s="66" t="s">
        <v>201</v>
      </c>
      <c r="F15" s="67" t="s">
        <v>133</v>
      </c>
      <c r="G15" s="68" t="s">
        <v>202</v>
      </c>
      <c r="H15" s="69" t="s">
        <v>203</v>
      </c>
      <c r="I15" s="69" t="s">
        <v>204</v>
      </c>
      <c r="J15" s="95" t="s">
        <v>349</v>
      </c>
      <c r="K15" s="69">
        <v>4892.6736360438999</v>
      </c>
      <c r="L15" s="69">
        <v>68497.430904614608</v>
      </c>
      <c r="M15" s="70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>
        <v>510</v>
      </c>
      <c r="AC15" s="68">
        <v>7920</v>
      </c>
      <c r="AD15" s="68">
        <v>5612</v>
      </c>
      <c r="AE15" s="68"/>
      <c r="AF15" s="68"/>
      <c r="AG15" s="68"/>
      <c r="AH15" s="68"/>
      <c r="AI15" s="68"/>
      <c r="AJ15" s="68"/>
      <c r="AK15" s="68"/>
      <c r="AL15" s="68"/>
      <c r="AM15" s="68"/>
      <c r="AN15" s="68">
        <v>510</v>
      </c>
      <c r="AO15" s="68">
        <v>7780</v>
      </c>
      <c r="AP15" s="116">
        <v>5716.8</v>
      </c>
      <c r="AQ15" s="120">
        <f t="shared" si="0"/>
        <v>1020</v>
      </c>
      <c r="AR15" s="120">
        <f t="shared" si="3"/>
        <v>15700</v>
      </c>
      <c r="AS15" s="532">
        <f t="shared" si="11"/>
        <v>11328.8</v>
      </c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120">
        <f t="shared" si="4"/>
        <v>1020</v>
      </c>
      <c r="BY15" s="120">
        <f t="shared" si="5"/>
        <v>15700</v>
      </c>
      <c r="BZ15" s="128">
        <f t="shared" si="6"/>
        <v>11328.8</v>
      </c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71"/>
      <c r="DD15" s="71"/>
      <c r="DE15" s="122">
        <f t="shared" si="7"/>
        <v>1020</v>
      </c>
      <c r="DF15" s="123">
        <f t="shared" si="8"/>
        <v>15700</v>
      </c>
      <c r="DG15" s="124">
        <f t="shared" si="9"/>
        <v>11328.8</v>
      </c>
      <c r="DH15" s="72">
        <f>မပို့မချို!AE22</f>
        <v>1020</v>
      </c>
      <c r="DI15" s="73">
        <f>မပို့မချို!AF22</f>
        <v>15700</v>
      </c>
      <c r="DJ15" s="145">
        <f>မပို့မချို!AG22</f>
        <v>11328.8</v>
      </c>
      <c r="DK15" s="74">
        <f t="shared" si="1"/>
        <v>0.22920567666052868</v>
      </c>
      <c r="DL15" s="75">
        <f t="shared" si="10"/>
        <v>0.32258064516129031</v>
      </c>
      <c r="DM15" s="76">
        <f t="shared" si="2"/>
        <v>-9.3374968500761629E-2</v>
      </c>
      <c r="DO15" s="55"/>
      <c r="DP15" s="81"/>
      <c r="DQ15" s="82"/>
    </row>
    <row r="16" spans="1:122" ht="24.75" customHeight="1" x14ac:dyDescent="0.5">
      <c r="A16" s="63">
        <v>13</v>
      </c>
      <c r="B16" s="64" t="s">
        <v>54</v>
      </c>
      <c r="C16" s="65" t="s">
        <v>274</v>
      </c>
      <c r="D16" s="66" t="s">
        <v>53</v>
      </c>
      <c r="E16" s="66" t="s">
        <v>270</v>
      </c>
      <c r="F16" s="67" t="s">
        <v>133</v>
      </c>
      <c r="G16" s="68" t="s">
        <v>275</v>
      </c>
      <c r="H16" s="69" t="s">
        <v>276</v>
      </c>
      <c r="I16" s="69" t="s">
        <v>277</v>
      </c>
      <c r="J16" s="95" t="s">
        <v>349</v>
      </c>
      <c r="K16" s="69">
        <v>3313.8062345850008</v>
      </c>
      <c r="L16" s="69">
        <v>46393.28728419001</v>
      </c>
      <c r="M16" s="70"/>
      <c r="N16" s="68"/>
      <c r="O16" s="68"/>
      <c r="P16" s="68"/>
      <c r="Q16" s="68"/>
      <c r="R16" s="68"/>
      <c r="S16" s="68"/>
      <c r="T16" s="68"/>
      <c r="U16" s="68"/>
      <c r="V16" s="68">
        <v>75</v>
      </c>
      <c r="W16" s="68">
        <v>960</v>
      </c>
      <c r="X16" s="116">
        <v>808.8</v>
      </c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120">
        <f t="shared" si="0"/>
        <v>75</v>
      </c>
      <c r="AR16" s="120">
        <f t="shared" si="3"/>
        <v>960</v>
      </c>
      <c r="AS16" s="532">
        <f t="shared" si="11"/>
        <v>808.8</v>
      </c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120">
        <f t="shared" si="4"/>
        <v>75</v>
      </c>
      <c r="BY16" s="120">
        <f t="shared" si="5"/>
        <v>960</v>
      </c>
      <c r="BZ16" s="128">
        <f t="shared" si="6"/>
        <v>808.8</v>
      </c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71"/>
      <c r="DD16" s="71"/>
      <c r="DE16" s="122">
        <f t="shared" si="7"/>
        <v>75</v>
      </c>
      <c r="DF16" s="123">
        <f t="shared" si="8"/>
        <v>960</v>
      </c>
      <c r="DG16" s="124">
        <f t="shared" si="9"/>
        <v>808.8</v>
      </c>
      <c r="DH16" s="72">
        <f>ကိုကျော်ဆွေ!AE20</f>
        <v>75</v>
      </c>
      <c r="DI16" s="73">
        <f>ကိုကျော်ဆွေ!AF20</f>
        <v>960</v>
      </c>
      <c r="DJ16" s="145">
        <f>ကိုကျော်ဆွေ!AG20</f>
        <v>808.8</v>
      </c>
      <c r="DK16" s="74">
        <f t="shared" si="1"/>
        <v>2.0692648790316494E-2</v>
      </c>
      <c r="DL16" s="75">
        <f t="shared" si="10"/>
        <v>0.32258064516129031</v>
      </c>
      <c r="DM16" s="76">
        <f t="shared" si="2"/>
        <v>-0.3018879963709738</v>
      </c>
      <c r="DO16" s="55"/>
      <c r="DP16" s="81"/>
      <c r="DQ16" s="82"/>
    </row>
    <row r="17" spans="1:122" ht="24.75" customHeight="1" x14ac:dyDescent="0.5">
      <c r="A17" s="63">
        <v>14</v>
      </c>
      <c r="B17" s="64" t="s">
        <v>37</v>
      </c>
      <c r="C17" s="65" t="s">
        <v>223</v>
      </c>
      <c r="D17" s="66" t="s">
        <v>38</v>
      </c>
      <c r="E17" s="66" t="s">
        <v>224</v>
      </c>
      <c r="F17" s="67" t="s">
        <v>133</v>
      </c>
      <c r="G17" s="68" t="s">
        <v>37</v>
      </c>
      <c r="H17" s="69" t="s">
        <v>225</v>
      </c>
      <c r="I17" s="69" t="s">
        <v>226</v>
      </c>
      <c r="J17" s="95" t="s">
        <v>349</v>
      </c>
      <c r="K17" s="69">
        <v>3616.380225827334</v>
      </c>
      <c r="L17" s="69">
        <v>50629.323161582673</v>
      </c>
      <c r="M17" s="70"/>
      <c r="N17" s="68"/>
      <c r="O17" s="68"/>
      <c r="P17" s="68"/>
      <c r="Q17" s="68"/>
      <c r="R17" s="68"/>
      <c r="S17" s="68">
        <v>270</v>
      </c>
      <c r="T17" s="68">
        <v>3680</v>
      </c>
      <c r="U17" s="68">
        <v>2794</v>
      </c>
      <c r="V17" s="68"/>
      <c r="W17" s="68"/>
      <c r="X17" s="68"/>
      <c r="Y17" s="68"/>
      <c r="Z17" s="68"/>
      <c r="AA17" s="68"/>
      <c r="AB17" s="68">
        <v>250</v>
      </c>
      <c r="AC17" s="68">
        <v>3400</v>
      </c>
      <c r="AD17" s="68">
        <v>2392</v>
      </c>
      <c r="AE17" s="68"/>
      <c r="AF17" s="68"/>
      <c r="AG17" s="68"/>
      <c r="AH17" s="68"/>
      <c r="AI17" s="68"/>
      <c r="AJ17" s="68"/>
      <c r="AK17" s="68">
        <v>250</v>
      </c>
      <c r="AL17" s="68">
        <v>3400</v>
      </c>
      <c r="AM17" s="68">
        <v>2392</v>
      </c>
      <c r="AN17" s="68"/>
      <c r="AO17" s="68"/>
      <c r="AP17" s="68"/>
      <c r="AQ17" s="120">
        <f t="shared" si="0"/>
        <v>770</v>
      </c>
      <c r="AR17" s="120">
        <f t="shared" si="3"/>
        <v>10480</v>
      </c>
      <c r="AS17" s="532">
        <f t="shared" si="11"/>
        <v>7578</v>
      </c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120">
        <f t="shared" si="4"/>
        <v>770</v>
      </c>
      <c r="BY17" s="120">
        <f t="shared" si="5"/>
        <v>10480</v>
      </c>
      <c r="BZ17" s="128">
        <f t="shared" si="6"/>
        <v>7578</v>
      </c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71"/>
      <c r="DD17" s="71"/>
      <c r="DE17" s="122">
        <f t="shared" si="7"/>
        <v>770</v>
      </c>
      <c r="DF17" s="123">
        <f t="shared" si="8"/>
        <v>10480</v>
      </c>
      <c r="DG17" s="124">
        <f t="shared" si="9"/>
        <v>7578</v>
      </c>
      <c r="DH17" s="72">
        <f>ဦးတင်အေး!AE24</f>
        <v>770</v>
      </c>
      <c r="DI17" s="73">
        <f>ဦးတင်အေး!AF24</f>
        <v>10480</v>
      </c>
      <c r="DJ17" s="145">
        <f>ဦးတင်အေး!AG24</f>
        <v>7578</v>
      </c>
      <c r="DK17" s="74">
        <f t="shared" si="1"/>
        <v>0.20699466920687934</v>
      </c>
      <c r="DL17" s="75">
        <f t="shared" si="10"/>
        <v>0.32258064516129031</v>
      </c>
      <c r="DM17" s="76">
        <f t="shared" si="2"/>
        <v>-0.11558597595441097</v>
      </c>
      <c r="DO17" s="55"/>
      <c r="DP17" s="79"/>
      <c r="DR17" s="59"/>
    </row>
    <row r="18" spans="1:122" ht="24.75" customHeight="1" x14ac:dyDescent="0.5">
      <c r="A18" s="63">
        <v>15</v>
      </c>
      <c r="B18" s="64" t="s">
        <v>36</v>
      </c>
      <c r="C18" s="65" t="s">
        <v>219</v>
      </c>
      <c r="D18" s="66" t="s">
        <v>35</v>
      </c>
      <c r="E18" s="66" t="s">
        <v>215</v>
      </c>
      <c r="F18" s="67" t="s">
        <v>133</v>
      </c>
      <c r="G18" s="68" t="s">
        <v>220</v>
      </c>
      <c r="H18" s="69" t="s">
        <v>221</v>
      </c>
      <c r="I18" s="69" t="s">
        <v>222</v>
      </c>
      <c r="J18" s="95" t="s">
        <v>349</v>
      </c>
      <c r="K18" s="69">
        <v>2866.5200016857548</v>
      </c>
      <c r="L18" s="69">
        <v>40131.280023600564</v>
      </c>
      <c r="M18" s="70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>
        <v>20</v>
      </c>
      <c r="AL18" s="68">
        <v>800</v>
      </c>
      <c r="AM18" s="68">
        <v>280</v>
      </c>
      <c r="AN18" s="68"/>
      <c r="AO18" s="68"/>
      <c r="AP18" s="68"/>
      <c r="AQ18" s="120">
        <f t="shared" si="0"/>
        <v>20</v>
      </c>
      <c r="AR18" s="120">
        <f t="shared" si="3"/>
        <v>800</v>
      </c>
      <c r="AS18" s="532">
        <f t="shared" si="11"/>
        <v>280</v>
      </c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120">
        <f t="shared" si="4"/>
        <v>20</v>
      </c>
      <c r="BY18" s="120">
        <f t="shared" si="5"/>
        <v>800</v>
      </c>
      <c r="BZ18" s="128">
        <f t="shared" si="6"/>
        <v>280</v>
      </c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71"/>
      <c r="DD18" s="71"/>
      <c r="DE18" s="122">
        <f t="shared" si="7"/>
        <v>20</v>
      </c>
      <c r="DF18" s="123">
        <f t="shared" si="8"/>
        <v>800</v>
      </c>
      <c r="DG18" s="124">
        <f t="shared" si="9"/>
        <v>280</v>
      </c>
      <c r="DH18" s="72">
        <f>ဘဘကြီး!AE27</f>
        <v>20</v>
      </c>
      <c r="DI18" s="73">
        <f>ဘဘကြီး!AF27</f>
        <v>800</v>
      </c>
      <c r="DJ18" s="145">
        <f>ဘဘကြီး!AG27</f>
        <v>280</v>
      </c>
      <c r="DK18" s="74">
        <f t="shared" si="1"/>
        <v>1.9934574714026883E-2</v>
      </c>
      <c r="DL18" s="75">
        <f t="shared" si="10"/>
        <v>0.32258064516129031</v>
      </c>
      <c r="DM18" s="76">
        <f t="shared" si="2"/>
        <v>-0.30264607044726344</v>
      </c>
      <c r="DO18" s="55"/>
      <c r="DP18" s="79"/>
    </row>
    <row r="19" spans="1:122" ht="24.75" customHeight="1" x14ac:dyDescent="0.5">
      <c r="A19" s="63">
        <v>16</v>
      </c>
      <c r="B19" s="64" t="s">
        <v>48</v>
      </c>
      <c r="C19" s="65" t="s">
        <v>259</v>
      </c>
      <c r="D19" s="66" t="s">
        <v>49</v>
      </c>
      <c r="E19" s="66" t="s">
        <v>260</v>
      </c>
      <c r="F19" s="67" t="s">
        <v>133</v>
      </c>
      <c r="G19" s="68" t="s">
        <v>261</v>
      </c>
      <c r="H19" s="69" t="s">
        <v>262</v>
      </c>
      <c r="I19" s="69" t="s">
        <v>263</v>
      </c>
      <c r="J19" s="95" t="s">
        <v>349</v>
      </c>
      <c r="K19" s="69">
        <v>1257</v>
      </c>
      <c r="L19" s="69">
        <v>17602.643392114558</v>
      </c>
      <c r="M19" s="70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>
        <v>500</v>
      </c>
      <c r="AC19" s="68">
        <v>7240</v>
      </c>
      <c r="AD19" s="68">
        <v>5338</v>
      </c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120">
        <f t="shared" si="0"/>
        <v>500</v>
      </c>
      <c r="AR19" s="120">
        <f t="shared" si="3"/>
        <v>7240</v>
      </c>
      <c r="AS19" s="532">
        <f t="shared" si="11"/>
        <v>5338</v>
      </c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120">
        <f t="shared" si="4"/>
        <v>500</v>
      </c>
      <c r="BY19" s="120">
        <f t="shared" si="5"/>
        <v>7240</v>
      </c>
      <c r="BZ19" s="128">
        <f t="shared" si="6"/>
        <v>5338</v>
      </c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71"/>
      <c r="DD19" s="71"/>
      <c r="DE19" s="122">
        <f t="shared" si="7"/>
        <v>500</v>
      </c>
      <c r="DF19" s="123">
        <f t="shared" si="8"/>
        <v>7240</v>
      </c>
      <c r="DG19" s="124">
        <f t="shared" si="9"/>
        <v>5338</v>
      </c>
      <c r="DH19" s="72">
        <f>'မချိုချိုလွင် '!AE21</f>
        <v>500</v>
      </c>
      <c r="DI19" s="73">
        <f>'မချိုချိုလွင် '!AF21</f>
        <v>7240</v>
      </c>
      <c r="DJ19" s="145">
        <f>'မချိုချိုလွင် '!AG21</f>
        <v>5338</v>
      </c>
      <c r="DK19" s="74">
        <f t="shared" si="1"/>
        <v>0.4113018618126012</v>
      </c>
      <c r="DL19" s="75">
        <f t="shared" si="10"/>
        <v>0.32258064516129031</v>
      </c>
      <c r="DM19" s="76">
        <f t="shared" si="2"/>
        <v>8.8721216651310886E-2</v>
      </c>
      <c r="DO19" s="55"/>
      <c r="DP19" s="79"/>
    </row>
    <row r="20" spans="1:122" ht="24.75" customHeight="1" x14ac:dyDescent="0.5">
      <c r="A20" s="63">
        <v>17</v>
      </c>
      <c r="B20" s="64" t="s">
        <v>33</v>
      </c>
      <c r="C20" s="65" t="s">
        <v>210</v>
      </c>
      <c r="D20" s="66" t="s">
        <v>32</v>
      </c>
      <c r="E20" s="66" t="s">
        <v>206</v>
      </c>
      <c r="F20" s="67" t="s">
        <v>133</v>
      </c>
      <c r="G20" s="68" t="s">
        <v>211</v>
      </c>
      <c r="H20" s="69" t="s">
        <v>212</v>
      </c>
      <c r="I20" s="69" t="s">
        <v>213</v>
      </c>
      <c r="J20" s="95" t="s">
        <v>349</v>
      </c>
      <c r="K20" s="69">
        <v>2962.5478916308875</v>
      </c>
      <c r="L20" s="69">
        <v>41475.670482832429</v>
      </c>
      <c r="M20" s="70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120">
        <f t="shared" si="0"/>
        <v>0</v>
      </c>
      <c r="AR20" s="120">
        <f t="shared" si="3"/>
        <v>0</v>
      </c>
      <c r="AS20" s="532">
        <f t="shared" si="11"/>
        <v>0</v>
      </c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85"/>
      <c r="BG20" s="85"/>
      <c r="BH20" s="85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120">
        <f t="shared" si="4"/>
        <v>0</v>
      </c>
      <c r="BY20" s="120">
        <f t="shared" si="5"/>
        <v>0</v>
      </c>
      <c r="BZ20" s="128">
        <f t="shared" si="6"/>
        <v>0</v>
      </c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71"/>
      <c r="DD20" s="71"/>
      <c r="DE20" s="122">
        <f t="shared" si="7"/>
        <v>0</v>
      </c>
      <c r="DF20" s="123">
        <f t="shared" si="8"/>
        <v>0</v>
      </c>
      <c r="DG20" s="124">
        <f t="shared" si="9"/>
        <v>0</v>
      </c>
      <c r="DH20" s="86">
        <f>ရွှေဇီးကွက်!AE29</f>
        <v>0</v>
      </c>
      <c r="DI20" s="87">
        <f>ရွှေဇီးကွက်!AF29</f>
        <v>0</v>
      </c>
      <c r="DJ20" s="125">
        <f>ရွှေဇီးကွက်!AG29</f>
        <v>0</v>
      </c>
      <c r="DK20" s="74">
        <f t="shared" si="1"/>
        <v>0</v>
      </c>
      <c r="DL20" s="75">
        <f t="shared" si="10"/>
        <v>0.32258064516129031</v>
      </c>
      <c r="DM20" s="76">
        <f t="shared" si="2"/>
        <v>-0.32258064516129031</v>
      </c>
      <c r="DO20" s="55"/>
      <c r="DP20" s="79"/>
    </row>
    <row r="21" spans="1:122" ht="24.75" customHeight="1" x14ac:dyDescent="0.5">
      <c r="A21" s="63">
        <v>18</v>
      </c>
      <c r="B21" s="88" t="s">
        <v>41</v>
      </c>
      <c r="C21" s="66" t="s">
        <v>237</v>
      </c>
      <c r="D21" s="66" t="s">
        <v>40</v>
      </c>
      <c r="E21" s="66" t="s">
        <v>233</v>
      </c>
      <c r="F21" s="67" t="s">
        <v>133</v>
      </c>
      <c r="G21" s="68" t="s">
        <v>238</v>
      </c>
      <c r="H21" s="69" t="s">
        <v>239</v>
      </c>
      <c r="I21" s="69" t="s">
        <v>240</v>
      </c>
      <c r="J21" s="95" t="s">
        <v>349</v>
      </c>
      <c r="K21" s="69">
        <v>2701.1549820736341</v>
      </c>
      <c r="L21" s="69">
        <v>37816.16974903088</v>
      </c>
      <c r="M21" s="70">
        <v>290</v>
      </c>
      <c r="N21" s="68">
        <v>4380</v>
      </c>
      <c r="O21" s="116">
        <v>3003.2</v>
      </c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>
        <v>200</v>
      </c>
      <c r="AC21" s="68">
        <v>2600</v>
      </c>
      <c r="AD21" s="68">
        <v>2096</v>
      </c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120">
        <f t="shared" si="0"/>
        <v>490</v>
      </c>
      <c r="AR21" s="120">
        <f t="shared" si="3"/>
        <v>6980</v>
      </c>
      <c r="AS21" s="532">
        <f t="shared" si="11"/>
        <v>5099.2</v>
      </c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120">
        <f t="shared" si="4"/>
        <v>490</v>
      </c>
      <c r="BY21" s="120">
        <f t="shared" si="5"/>
        <v>6980</v>
      </c>
      <c r="BZ21" s="128">
        <f t="shared" si="6"/>
        <v>5099.2</v>
      </c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71"/>
      <c r="DD21" s="71"/>
      <c r="DE21" s="122">
        <f t="shared" si="7"/>
        <v>490</v>
      </c>
      <c r="DF21" s="123">
        <f t="shared" si="8"/>
        <v>6980</v>
      </c>
      <c r="DG21" s="124">
        <f t="shared" si="9"/>
        <v>5099.2</v>
      </c>
      <c r="DH21" s="72">
        <f>ရွှေဉယျာဉ်!AE21</f>
        <v>490</v>
      </c>
      <c r="DI21" s="73">
        <f>ရွှေဉယျာဉ်!AF21</f>
        <v>6980</v>
      </c>
      <c r="DJ21" s="145">
        <f>ရွှေဉယျာဉ်!AG21</f>
        <v>5099.2</v>
      </c>
      <c r="DK21" s="74">
        <f t="shared" si="1"/>
        <v>0.18457712788796854</v>
      </c>
      <c r="DL21" s="75">
        <f t="shared" si="10"/>
        <v>0.32258064516129031</v>
      </c>
      <c r="DM21" s="76">
        <f t="shared" si="2"/>
        <v>-0.13800351727332177</v>
      </c>
      <c r="DO21" s="55"/>
      <c r="DP21" s="79"/>
    </row>
    <row r="22" spans="1:122" ht="24.75" customHeight="1" x14ac:dyDescent="0.5">
      <c r="A22" s="63">
        <v>19</v>
      </c>
      <c r="B22" s="64" t="s">
        <v>26</v>
      </c>
      <c r="C22" s="65" t="s">
        <v>191</v>
      </c>
      <c r="D22" s="66" t="s">
        <v>24</v>
      </c>
      <c r="E22" s="66" t="s">
        <v>183</v>
      </c>
      <c r="F22" s="67" t="s">
        <v>133</v>
      </c>
      <c r="G22" s="68" t="s">
        <v>192</v>
      </c>
      <c r="H22" s="69" t="s">
        <v>193</v>
      </c>
      <c r="I22" s="69" t="s">
        <v>194</v>
      </c>
      <c r="J22" s="95" t="s">
        <v>349</v>
      </c>
      <c r="K22" s="69">
        <v>2422.8977356059208</v>
      </c>
      <c r="L22" s="69">
        <v>33920.568298482889</v>
      </c>
      <c r="M22" s="70">
        <v>290</v>
      </c>
      <c r="N22" s="68">
        <v>4180</v>
      </c>
      <c r="O22" s="116">
        <v>3307.2</v>
      </c>
      <c r="P22" s="68"/>
      <c r="Q22" s="68"/>
      <c r="R22" s="68"/>
      <c r="S22" s="68"/>
      <c r="T22" s="68"/>
      <c r="U22" s="68"/>
      <c r="V22" s="68">
        <v>100</v>
      </c>
      <c r="W22" s="68">
        <v>1400</v>
      </c>
      <c r="X22" s="68">
        <v>896</v>
      </c>
      <c r="Y22" s="68">
        <v>260</v>
      </c>
      <c r="Z22" s="68">
        <v>4160</v>
      </c>
      <c r="AA22" s="68">
        <v>2876</v>
      </c>
      <c r="AB22" s="68"/>
      <c r="AC22" s="68"/>
      <c r="AD22" s="68"/>
      <c r="AE22" s="68"/>
      <c r="AF22" s="68"/>
      <c r="AG22" s="68"/>
      <c r="AH22" s="68"/>
      <c r="AI22" s="68"/>
      <c r="AJ22" s="68"/>
      <c r="AK22" s="68">
        <v>260</v>
      </c>
      <c r="AL22" s="68">
        <v>4080</v>
      </c>
      <c r="AM22" s="116">
        <v>2685.6</v>
      </c>
      <c r="AN22" s="68">
        <v>250</v>
      </c>
      <c r="AO22" s="68">
        <v>3100</v>
      </c>
      <c r="AP22" s="68">
        <v>2848</v>
      </c>
      <c r="AQ22" s="120">
        <f t="shared" si="0"/>
        <v>1160</v>
      </c>
      <c r="AR22" s="120">
        <f t="shared" si="3"/>
        <v>16920</v>
      </c>
      <c r="AS22" s="532">
        <f t="shared" si="11"/>
        <v>12612.8</v>
      </c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120">
        <f t="shared" si="4"/>
        <v>1160</v>
      </c>
      <c r="BY22" s="120">
        <f t="shared" si="5"/>
        <v>16920</v>
      </c>
      <c r="BZ22" s="128">
        <f t="shared" si="6"/>
        <v>12612.8</v>
      </c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71"/>
      <c r="DD22" s="71"/>
      <c r="DE22" s="122">
        <f t="shared" si="7"/>
        <v>1160</v>
      </c>
      <c r="DF22" s="123">
        <f t="shared" si="8"/>
        <v>16920</v>
      </c>
      <c r="DG22" s="144">
        <f t="shared" si="9"/>
        <v>12612.8</v>
      </c>
      <c r="DH22" s="72">
        <f>ရွှေစည်းစိမ်!AE20</f>
        <v>1160</v>
      </c>
      <c r="DI22" s="73">
        <f>ရွှေစည်းစိမ်!AF20</f>
        <v>16920</v>
      </c>
      <c r="DJ22" s="145">
        <f>ရွှေစည်းစိမ်!AG20</f>
        <v>12612.8</v>
      </c>
      <c r="DK22" s="74">
        <f t="shared" si="1"/>
        <v>0.49881239757285417</v>
      </c>
      <c r="DL22" s="75">
        <f t="shared" si="10"/>
        <v>0.32258064516129031</v>
      </c>
      <c r="DM22" s="76">
        <f t="shared" si="2"/>
        <v>0.17623175241156386</v>
      </c>
      <c r="DO22" s="55"/>
      <c r="DP22" s="57"/>
      <c r="DQ22" s="4"/>
    </row>
    <row r="23" spans="1:122" ht="24.75" customHeight="1" x14ac:dyDescent="0.5">
      <c r="A23" s="63">
        <v>20</v>
      </c>
      <c r="B23" s="64" t="s">
        <v>16</v>
      </c>
      <c r="C23" s="65" t="s">
        <v>161</v>
      </c>
      <c r="D23" s="66" t="s">
        <v>15</v>
      </c>
      <c r="E23" s="66" t="s">
        <v>162</v>
      </c>
      <c r="F23" s="67" t="s">
        <v>133</v>
      </c>
      <c r="G23" s="68" t="s">
        <v>163</v>
      </c>
      <c r="H23" s="69" t="s">
        <v>164</v>
      </c>
      <c r="I23" s="69" t="s">
        <v>165</v>
      </c>
      <c r="J23" s="95" t="s">
        <v>349</v>
      </c>
      <c r="K23" s="69">
        <v>2396.0009342398325</v>
      </c>
      <c r="L23" s="69">
        <v>33544.013079357661</v>
      </c>
      <c r="M23" s="70"/>
      <c r="N23" s="68"/>
      <c r="O23" s="68"/>
      <c r="P23" s="68"/>
      <c r="Q23" s="68"/>
      <c r="R23" s="68"/>
      <c r="S23" s="68">
        <v>50</v>
      </c>
      <c r="T23" s="68">
        <v>700</v>
      </c>
      <c r="U23" s="68">
        <v>448</v>
      </c>
      <c r="V23" s="68"/>
      <c r="W23" s="68"/>
      <c r="X23" s="68"/>
      <c r="Y23" s="68">
        <v>20</v>
      </c>
      <c r="Z23" s="68">
        <v>280</v>
      </c>
      <c r="AA23" s="116">
        <v>179.20000000000002</v>
      </c>
      <c r="AB23" s="68"/>
      <c r="AC23" s="68"/>
      <c r="AD23" s="68"/>
      <c r="AE23" s="68"/>
      <c r="AF23" s="68"/>
      <c r="AG23" s="68"/>
      <c r="AH23" s="68">
        <v>50</v>
      </c>
      <c r="AI23" s="68">
        <v>700</v>
      </c>
      <c r="AJ23" s="68">
        <v>448.00000000000006</v>
      </c>
      <c r="AK23" s="68"/>
      <c r="AL23" s="68"/>
      <c r="AM23" s="68"/>
      <c r="AN23" s="68"/>
      <c r="AO23" s="68"/>
      <c r="AP23" s="68"/>
      <c r="AQ23" s="120">
        <f t="shared" si="0"/>
        <v>120</v>
      </c>
      <c r="AR23" s="120">
        <f t="shared" si="3"/>
        <v>1680</v>
      </c>
      <c r="AS23" s="532">
        <f t="shared" si="11"/>
        <v>1075.2</v>
      </c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120">
        <f t="shared" si="4"/>
        <v>120</v>
      </c>
      <c r="BY23" s="120">
        <f t="shared" si="5"/>
        <v>1680</v>
      </c>
      <c r="BZ23" s="128">
        <f t="shared" si="6"/>
        <v>1075.2</v>
      </c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71"/>
      <c r="DD23" s="71"/>
      <c r="DE23" s="122">
        <f t="shared" si="7"/>
        <v>120</v>
      </c>
      <c r="DF23" s="123">
        <f t="shared" si="8"/>
        <v>1680</v>
      </c>
      <c r="DG23" s="144">
        <f t="shared" si="9"/>
        <v>1075.2</v>
      </c>
      <c r="DH23" s="72">
        <f>ရွက်သစ်!AE19</f>
        <v>120</v>
      </c>
      <c r="DI23" s="73">
        <f>ရွက်သစ်!AF19</f>
        <v>1680</v>
      </c>
      <c r="DJ23" s="125">
        <f>ရွက်သစ်!AG19</f>
        <v>1075.2</v>
      </c>
      <c r="DK23" s="74">
        <f t="shared" si="1"/>
        <v>5.0083452925727592E-2</v>
      </c>
      <c r="DL23" s="75">
        <f t="shared" si="10"/>
        <v>0.32258064516129031</v>
      </c>
      <c r="DM23" s="76">
        <f t="shared" si="2"/>
        <v>-0.27249719223556274</v>
      </c>
      <c r="DO23" s="55"/>
      <c r="DP23" s="57"/>
      <c r="DQ23" s="4"/>
    </row>
    <row r="24" spans="1:122" ht="24.75" customHeight="1" x14ac:dyDescent="0.5">
      <c r="A24" s="63">
        <v>21</v>
      </c>
      <c r="B24" s="64" t="s">
        <v>55</v>
      </c>
      <c r="C24" s="65" t="s">
        <v>278</v>
      </c>
      <c r="D24" s="66" t="s">
        <v>56</v>
      </c>
      <c r="E24" s="66" t="s">
        <v>279</v>
      </c>
      <c r="F24" s="67" t="s">
        <v>133</v>
      </c>
      <c r="G24" s="68" t="s">
        <v>280</v>
      </c>
      <c r="H24" s="69" t="s">
        <v>281</v>
      </c>
      <c r="I24" s="69" t="s">
        <v>282</v>
      </c>
      <c r="J24" s="95" t="s">
        <v>349</v>
      </c>
      <c r="K24" s="69">
        <v>2297.1645446037878</v>
      </c>
      <c r="L24" s="69">
        <v>32160.303624453034</v>
      </c>
      <c r="M24" s="70">
        <v>50</v>
      </c>
      <c r="N24" s="68">
        <v>600</v>
      </c>
      <c r="O24" s="68">
        <v>600</v>
      </c>
      <c r="P24" s="68"/>
      <c r="Q24" s="68"/>
      <c r="R24" s="68"/>
      <c r="S24" s="68">
        <v>100</v>
      </c>
      <c r="T24" s="68">
        <v>1820</v>
      </c>
      <c r="U24" s="68">
        <v>1148.8</v>
      </c>
      <c r="V24" s="68"/>
      <c r="W24" s="68"/>
      <c r="X24" s="68"/>
      <c r="Y24" s="68"/>
      <c r="Z24" s="68"/>
      <c r="AA24" s="116"/>
      <c r="AB24" s="68">
        <v>95</v>
      </c>
      <c r="AC24" s="68">
        <v>1480</v>
      </c>
      <c r="AD24" s="116">
        <v>1044.8</v>
      </c>
      <c r="AE24" s="68"/>
      <c r="AF24" s="68"/>
      <c r="AG24" s="68"/>
      <c r="AH24" s="68"/>
      <c r="AI24" s="68"/>
      <c r="AJ24" s="68"/>
      <c r="AK24" s="68">
        <v>50</v>
      </c>
      <c r="AL24" s="68">
        <v>640</v>
      </c>
      <c r="AM24" s="68">
        <v>539.20000000000005</v>
      </c>
      <c r="AN24" s="68"/>
      <c r="AO24" s="68"/>
      <c r="AP24" s="68"/>
      <c r="AQ24" s="120">
        <f t="shared" si="0"/>
        <v>295</v>
      </c>
      <c r="AR24" s="120">
        <f t="shared" si="3"/>
        <v>4540</v>
      </c>
      <c r="AS24" s="532">
        <f t="shared" si="11"/>
        <v>3332.8</v>
      </c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120">
        <f t="shared" si="4"/>
        <v>295</v>
      </c>
      <c r="BY24" s="120">
        <f t="shared" si="5"/>
        <v>4540</v>
      </c>
      <c r="BZ24" s="128">
        <f t="shared" si="6"/>
        <v>3332.8</v>
      </c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71"/>
      <c r="DD24" s="71"/>
      <c r="DE24" s="122">
        <f t="shared" si="7"/>
        <v>295</v>
      </c>
      <c r="DF24" s="123">
        <f t="shared" si="8"/>
        <v>4540</v>
      </c>
      <c r="DG24" s="124">
        <f t="shared" si="9"/>
        <v>3332.8</v>
      </c>
      <c r="DH24" s="72">
        <f>ဒေလီယာ!AE25</f>
        <v>295</v>
      </c>
      <c r="DI24" s="73">
        <f>ဒေလီယာ!AF25</f>
        <v>4540</v>
      </c>
      <c r="DJ24" s="145">
        <f>ဒေလီယာ!AG25</f>
        <v>3332.8</v>
      </c>
      <c r="DK24" s="74">
        <f t="shared" si="1"/>
        <v>0.14116782145514381</v>
      </c>
      <c r="DL24" s="75">
        <f t="shared" si="10"/>
        <v>0.32258064516129031</v>
      </c>
      <c r="DM24" s="76">
        <f t="shared" si="2"/>
        <v>-0.1814128237061465</v>
      </c>
      <c r="DO24" s="55"/>
      <c r="DP24" s="57"/>
      <c r="DQ24" s="4"/>
    </row>
    <row r="25" spans="1:122" ht="24.75" customHeight="1" x14ac:dyDescent="0.5">
      <c r="A25" s="63">
        <v>22</v>
      </c>
      <c r="B25" s="64" t="s">
        <v>42</v>
      </c>
      <c r="C25" s="65" t="s">
        <v>241</v>
      </c>
      <c r="D25" s="66" t="s">
        <v>43</v>
      </c>
      <c r="E25" s="66" t="s">
        <v>242</v>
      </c>
      <c r="F25" s="67" t="s">
        <v>133</v>
      </c>
      <c r="G25" s="68" t="s">
        <v>243</v>
      </c>
      <c r="H25" s="69" t="s">
        <v>244</v>
      </c>
      <c r="I25" s="69" t="s">
        <v>245</v>
      </c>
      <c r="J25" s="95" t="s">
        <v>349</v>
      </c>
      <c r="K25" s="69">
        <v>2159.8529427030576</v>
      </c>
      <c r="L25" s="69">
        <v>30237.941197842811</v>
      </c>
      <c r="M25" s="70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120">
        <f t="shared" si="0"/>
        <v>0</v>
      </c>
      <c r="AR25" s="120">
        <f t="shared" si="3"/>
        <v>0</v>
      </c>
      <c r="AS25" s="532">
        <f t="shared" si="11"/>
        <v>0</v>
      </c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120">
        <f t="shared" si="4"/>
        <v>0</v>
      </c>
      <c r="BY25" s="120">
        <f t="shared" si="5"/>
        <v>0</v>
      </c>
      <c r="BZ25" s="128">
        <f t="shared" si="6"/>
        <v>0</v>
      </c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71"/>
      <c r="DD25" s="71"/>
      <c r="DE25" s="122">
        <f t="shared" si="7"/>
        <v>0</v>
      </c>
      <c r="DF25" s="123">
        <f t="shared" si="8"/>
        <v>0</v>
      </c>
      <c r="DG25" s="124">
        <f t="shared" si="9"/>
        <v>0</v>
      </c>
      <c r="DH25" s="72">
        <f>ဆွေသဟာ!AE21</f>
        <v>0</v>
      </c>
      <c r="DI25" s="73">
        <f>ဆွေသဟာ!AF21</f>
        <v>0</v>
      </c>
      <c r="DJ25" s="125">
        <f>ဆွေသဟာ!AG21</f>
        <v>0</v>
      </c>
      <c r="DK25" s="74">
        <f t="shared" si="1"/>
        <v>0</v>
      </c>
      <c r="DL25" s="75">
        <f t="shared" si="10"/>
        <v>0.32258064516129031</v>
      </c>
      <c r="DM25" s="76">
        <f t="shared" si="2"/>
        <v>-0.32258064516129031</v>
      </c>
      <c r="DO25" s="55"/>
      <c r="DP25" s="79"/>
    </row>
    <row r="26" spans="1:122" ht="24.75" customHeight="1" x14ac:dyDescent="0.5">
      <c r="A26" s="63">
        <v>23</v>
      </c>
      <c r="B26" s="64" t="s">
        <v>21</v>
      </c>
      <c r="C26" s="65" t="s">
        <v>174</v>
      </c>
      <c r="D26" s="66" t="s">
        <v>20</v>
      </c>
      <c r="E26" s="66" t="s">
        <v>170</v>
      </c>
      <c r="F26" s="67" t="s">
        <v>133</v>
      </c>
      <c r="G26" s="68" t="s">
        <v>175</v>
      </c>
      <c r="H26" s="69" t="s">
        <v>176</v>
      </c>
      <c r="I26" s="69" t="s">
        <v>177</v>
      </c>
      <c r="J26" s="95" t="s">
        <v>349</v>
      </c>
      <c r="K26" s="69">
        <v>1500.0354379850342</v>
      </c>
      <c r="L26" s="69">
        <v>21000.496131790478</v>
      </c>
      <c r="M26" s="70">
        <v>35</v>
      </c>
      <c r="N26" s="68">
        <v>460</v>
      </c>
      <c r="O26" s="68">
        <v>359.20000000000005</v>
      </c>
      <c r="P26" s="68"/>
      <c r="Q26" s="68"/>
      <c r="R26" s="68"/>
      <c r="S26" s="68"/>
      <c r="T26" s="68"/>
      <c r="U26" s="68"/>
      <c r="V26" s="68"/>
      <c r="W26" s="68"/>
      <c r="X26" s="68"/>
      <c r="Y26" s="68">
        <v>100</v>
      </c>
      <c r="Z26" s="68">
        <v>1200</v>
      </c>
      <c r="AA26" s="68">
        <v>1200</v>
      </c>
      <c r="AB26" s="68"/>
      <c r="AC26" s="68"/>
      <c r="AD26" s="68"/>
      <c r="AE26" s="68"/>
      <c r="AF26" s="68"/>
      <c r="AG26" s="68"/>
      <c r="AH26" s="68"/>
      <c r="AI26" s="68"/>
      <c r="AJ26" s="68"/>
      <c r="AK26" s="68">
        <v>115</v>
      </c>
      <c r="AL26" s="68">
        <v>1580</v>
      </c>
      <c r="AM26" s="68">
        <v>1076</v>
      </c>
      <c r="AN26" s="68"/>
      <c r="AO26" s="68"/>
      <c r="AP26" s="68"/>
      <c r="AQ26" s="120">
        <f t="shared" si="0"/>
        <v>250</v>
      </c>
      <c r="AR26" s="120">
        <f t="shared" si="3"/>
        <v>3240</v>
      </c>
      <c r="AS26" s="532">
        <f t="shared" si="11"/>
        <v>2635.2</v>
      </c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120">
        <f t="shared" si="4"/>
        <v>250</v>
      </c>
      <c r="BY26" s="120">
        <f t="shared" si="5"/>
        <v>3240</v>
      </c>
      <c r="BZ26" s="128">
        <f t="shared" si="6"/>
        <v>2635.2</v>
      </c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71"/>
      <c r="DD26" s="71"/>
      <c r="DE26" s="122">
        <f t="shared" si="7"/>
        <v>250</v>
      </c>
      <c r="DF26" s="123">
        <f t="shared" si="8"/>
        <v>3240</v>
      </c>
      <c r="DG26" s="144">
        <f t="shared" si="9"/>
        <v>2635.2</v>
      </c>
      <c r="DH26" s="72">
        <f>ဦးအိရွှေ!AE21</f>
        <v>250</v>
      </c>
      <c r="DI26" s="73">
        <f>ဦးအိရွှေ!AF21</f>
        <v>3240</v>
      </c>
      <c r="DJ26" s="145">
        <f>ဦးအိရွှေ!AG21</f>
        <v>2635.2</v>
      </c>
      <c r="DK26" s="74">
        <f t="shared" si="1"/>
        <v>0.1542820693219385</v>
      </c>
      <c r="DL26" s="75">
        <f t="shared" si="10"/>
        <v>0.32258064516129031</v>
      </c>
      <c r="DM26" s="76">
        <f t="shared" si="2"/>
        <v>-0.16829857583935182</v>
      </c>
      <c r="DO26" s="55"/>
      <c r="DP26" s="57"/>
    </row>
    <row r="27" spans="1:122" ht="24.75" customHeight="1" x14ac:dyDescent="0.5">
      <c r="A27" s="63">
        <v>24</v>
      </c>
      <c r="B27" s="64" t="s">
        <v>17</v>
      </c>
      <c r="C27" s="65" t="s">
        <v>166</v>
      </c>
      <c r="D27" s="66" t="s">
        <v>18</v>
      </c>
      <c r="E27" s="66" t="s">
        <v>167</v>
      </c>
      <c r="F27" s="67" t="s">
        <v>133</v>
      </c>
      <c r="G27" s="68" t="s">
        <v>17</v>
      </c>
      <c r="H27" s="68" t="s">
        <v>166</v>
      </c>
      <c r="I27" s="69" t="s">
        <v>168</v>
      </c>
      <c r="J27" s="95" t="s">
        <v>349</v>
      </c>
      <c r="K27" s="69">
        <v>2018.1812391254286</v>
      </c>
      <c r="L27" s="69">
        <v>28254.537347756002</v>
      </c>
      <c r="M27" s="70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120">
        <f t="shared" si="0"/>
        <v>0</v>
      </c>
      <c r="AR27" s="120">
        <f t="shared" si="3"/>
        <v>0</v>
      </c>
      <c r="AS27" s="532">
        <f t="shared" si="11"/>
        <v>0</v>
      </c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120">
        <f t="shared" si="4"/>
        <v>0</v>
      </c>
      <c r="BY27" s="120">
        <f t="shared" si="5"/>
        <v>0</v>
      </c>
      <c r="BZ27" s="128">
        <f t="shared" si="6"/>
        <v>0</v>
      </c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71"/>
      <c r="DD27" s="71"/>
      <c r="DE27" s="122">
        <f t="shared" si="7"/>
        <v>0</v>
      </c>
      <c r="DF27" s="123">
        <f t="shared" si="8"/>
        <v>0</v>
      </c>
      <c r="DG27" s="124">
        <f t="shared" si="9"/>
        <v>0</v>
      </c>
      <c r="DH27" s="72">
        <f>ကိုရွှေသီး!AE19</f>
        <v>0</v>
      </c>
      <c r="DI27" s="73">
        <f>ကိုရွှေသီး!AF19</f>
        <v>0</v>
      </c>
      <c r="DJ27" s="125">
        <f>ကိုရွှေသီး!AG19</f>
        <v>0</v>
      </c>
      <c r="DK27" s="74">
        <f t="shared" si="1"/>
        <v>0</v>
      </c>
      <c r="DL27" s="75">
        <f t="shared" si="10"/>
        <v>0.32258064516129031</v>
      </c>
      <c r="DM27" s="76">
        <f t="shared" si="2"/>
        <v>-0.32258064516129031</v>
      </c>
      <c r="DO27" s="55"/>
      <c r="DP27" s="79"/>
    </row>
    <row r="28" spans="1:122" ht="24.75" customHeight="1" x14ac:dyDescent="0.5">
      <c r="A28" s="63">
        <v>25</v>
      </c>
      <c r="B28" s="64" t="s">
        <v>22</v>
      </c>
      <c r="C28" s="65" t="s">
        <v>178</v>
      </c>
      <c r="D28" s="66" t="s">
        <v>20</v>
      </c>
      <c r="E28" s="66" t="s">
        <v>170</v>
      </c>
      <c r="F28" s="67" t="s">
        <v>133</v>
      </c>
      <c r="G28" s="68" t="s">
        <v>179</v>
      </c>
      <c r="H28" s="69" t="s">
        <v>180</v>
      </c>
      <c r="I28" s="69" t="s">
        <v>181</v>
      </c>
      <c r="J28" s="95" t="s">
        <v>349</v>
      </c>
      <c r="K28" s="69">
        <v>1649.517382441509</v>
      </c>
      <c r="L28" s="69">
        <v>23093.24335418113</v>
      </c>
      <c r="M28" s="70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>
        <v>530</v>
      </c>
      <c r="Z28" s="68">
        <v>7320</v>
      </c>
      <c r="AA28" s="68">
        <v>5792</v>
      </c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120">
        <f t="shared" si="0"/>
        <v>530</v>
      </c>
      <c r="AR28" s="120">
        <f t="shared" si="3"/>
        <v>7320</v>
      </c>
      <c r="AS28" s="532">
        <f t="shared" si="11"/>
        <v>5792</v>
      </c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120">
        <f t="shared" si="4"/>
        <v>530</v>
      </c>
      <c r="BY28" s="120">
        <f t="shared" si="5"/>
        <v>7320</v>
      </c>
      <c r="BZ28" s="128">
        <f t="shared" si="6"/>
        <v>5792</v>
      </c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71"/>
      <c r="DD28" s="71"/>
      <c r="DE28" s="122">
        <f t="shared" si="7"/>
        <v>530</v>
      </c>
      <c r="DF28" s="123">
        <f t="shared" si="8"/>
        <v>7320</v>
      </c>
      <c r="DG28" s="124">
        <f t="shared" si="9"/>
        <v>5792</v>
      </c>
      <c r="DH28" s="72">
        <f>ပန်းသတင်း!AE19</f>
        <v>530</v>
      </c>
      <c r="DI28" s="73">
        <f>ပန်းသတင်း!AF19</f>
        <v>7320</v>
      </c>
      <c r="DJ28" s="145">
        <f>ပန်းသတင်း!AG19</f>
        <v>5792</v>
      </c>
      <c r="DK28" s="74">
        <f t="shared" si="1"/>
        <v>0.31697583088408771</v>
      </c>
      <c r="DL28" s="75">
        <f t="shared" si="10"/>
        <v>0.32258064516129031</v>
      </c>
      <c r="DM28" s="76">
        <f t="shared" si="2"/>
        <v>-5.6048142772026077E-3</v>
      </c>
      <c r="DO28" s="55"/>
      <c r="DP28" s="79"/>
    </row>
    <row r="29" spans="1:122" ht="24.75" customHeight="1" x14ac:dyDescent="0.5">
      <c r="A29" s="63">
        <v>26</v>
      </c>
      <c r="B29" s="64" t="s">
        <v>46</v>
      </c>
      <c r="C29" s="65" t="s">
        <v>254</v>
      </c>
      <c r="D29" s="66" t="s">
        <v>47</v>
      </c>
      <c r="E29" s="66" t="s">
        <v>255</v>
      </c>
      <c r="F29" s="67" t="s">
        <v>133</v>
      </c>
      <c r="G29" s="68" t="s">
        <v>256</v>
      </c>
      <c r="H29" s="69" t="s">
        <v>257</v>
      </c>
      <c r="I29" s="69" t="s">
        <v>258</v>
      </c>
      <c r="J29" s="95" t="s">
        <v>349</v>
      </c>
      <c r="K29" s="69">
        <v>3324.6800099564371</v>
      </c>
      <c r="L29" s="69">
        <v>46545.520139390115</v>
      </c>
      <c r="M29" s="70"/>
      <c r="N29" s="68"/>
      <c r="O29" s="68"/>
      <c r="P29" s="68"/>
      <c r="Q29" s="68"/>
      <c r="R29" s="68"/>
      <c r="S29" s="68"/>
      <c r="T29" s="68"/>
      <c r="U29" s="68"/>
      <c r="V29" s="68">
        <v>245</v>
      </c>
      <c r="W29" s="68">
        <v>3660</v>
      </c>
      <c r="X29" s="116">
        <v>2736.8</v>
      </c>
      <c r="Y29" s="68">
        <v>320</v>
      </c>
      <c r="Z29" s="68">
        <v>4560</v>
      </c>
      <c r="AA29" s="116">
        <v>3636.8</v>
      </c>
      <c r="AB29" s="68"/>
      <c r="AC29" s="68"/>
      <c r="AD29" s="68"/>
      <c r="AE29" s="68"/>
      <c r="AF29" s="68"/>
      <c r="AG29" s="68"/>
      <c r="AH29" s="68">
        <v>235</v>
      </c>
      <c r="AI29" s="68">
        <v>3260</v>
      </c>
      <c r="AJ29" s="116">
        <v>2596.8000000000002</v>
      </c>
      <c r="AK29" s="68"/>
      <c r="AL29" s="68"/>
      <c r="AM29" s="68"/>
      <c r="AN29" s="68">
        <v>230</v>
      </c>
      <c r="AO29" s="68">
        <v>3700</v>
      </c>
      <c r="AP29" s="68">
        <v>2572</v>
      </c>
      <c r="AQ29" s="120">
        <f t="shared" si="0"/>
        <v>1030</v>
      </c>
      <c r="AR29" s="120">
        <f t="shared" si="3"/>
        <v>15180</v>
      </c>
      <c r="AS29" s="532">
        <f t="shared" si="11"/>
        <v>11542.400000000001</v>
      </c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120">
        <f t="shared" si="4"/>
        <v>1030</v>
      </c>
      <c r="BY29" s="120">
        <f t="shared" si="5"/>
        <v>15180</v>
      </c>
      <c r="BZ29" s="128">
        <f t="shared" si="6"/>
        <v>11542.400000000001</v>
      </c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71"/>
      <c r="DD29" s="71"/>
      <c r="DE29" s="122">
        <f t="shared" si="7"/>
        <v>1030</v>
      </c>
      <c r="DF29" s="123">
        <f t="shared" si="8"/>
        <v>15180</v>
      </c>
      <c r="DG29" s="124">
        <f t="shared" si="9"/>
        <v>11542.400000000001</v>
      </c>
      <c r="DH29" s="72">
        <f>ရှယ်ထူး!AE20</f>
        <v>1030</v>
      </c>
      <c r="DI29" s="73">
        <f>ရှယ်ထူး!AF20</f>
        <v>15180</v>
      </c>
      <c r="DJ29" s="145">
        <f>ရှယ်ထူး!AG20</f>
        <v>11542.400000000001</v>
      </c>
      <c r="DK29" s="74">
        <f t="shared" si="1"/>
        <v>0.3261323528997071</v>
      </c>
      <c r="DL29" s="75">
        <f t="shared" si="10"/>
        <v>0.32258064516129031</v>
      </c>
      <c r="DM29" s="76">
        <f t="shared" si="2"/>
        <v>3.5517077384167872E-3</v>
      </c>
      <c r="DO29" s="55"/>
      <c r="DP29" s="79"/>
    </row>
    <row r="30" spans="1:122" ht="24.75" customHeight="1" x14ac:dyDescent="0.5">
      <c r="A30" s="63">
        <v>27</v>
      </c>
      <c r="B30" s="64" t="s">
        <v>7</v>
      </c>
      <c r="C30" s="65" t="s">
        <v>137</v>
      </c>
      <c r="D30" s="66" t="s">
        <v>8</v>
      </c>
      <c r="E30" s="66" t="s">
        <v>138</v>
      </c>
      <c r="F30" s="67" t="s">
        <v>133</v>
      </c>
      <c r="G30" s="68" t="s">
        <v>139</v>
      </c>
      <c r="H30" s="69" t="s">
        <v>140</v>
      </c>
      <c r="I30" s="69" t="s">
        <v>141</v>
      </c>
      <c r="J30" s="95" t="s">
        <v>349</v>
      </c>
      <c r="K30" s="69">
        <v>1375.6753575846653</v>
      </c>
      <c r="L30" s="69">
        <v>19259.455006185319</v>
      </c>
      <c r="M30" s="70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>
        <v>230</v>
      </c>
      <c r="Z30" s="68">
        <v>3560</v>
      </c>
      <c r="AA30" s="68">
        <v>2339.1999999999998</v>
      </c>
      <c r="AB30" s="68"/>
      <c r="AC30" s="68"/>
      <c r="AD30" s="68"/>
      <c r="AE30" s="68"/>
      <c r="AF30" s="68"/>
      <c r="AG30" s="68"/>
      <c r="AH30" s="68">
        <v>30</v>
      </c>
      <c r="AI30" s="68">
        <v>420</v>
      </c>
      <c r="AJ30" s="116">
        <v>268.8</v>
      </c>
      <c r="AK30" s="68"/>
      <c r="AL30" s="68"/>
      <c r="AM30" s="68"/>
      <c r="AN30" s="68">
        <v>240</v>
      </c>
      <c r="AO30" s="68">
        <v>3640</v>
      </c>
      <c r="AP30" s="68">
        <v>2544</v>
      </c>
      <c r="AQ30" s="120">
        <f t="shared" si="0"/>
        <v>500</v>
      </c>
      <c r="AR30" s="120">
        <f t="shared" si="3"/>
        <v>7620</v>
      </c>
      <c r="AS30" s="532">
        <f t="shared" si="11"/>
        <v>5152</v>
      </c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120">
        <f t="shared" si="4"/>
        <v>500</v>
      </c>
      <c r="BY30" s="120">
        <f t="shared" si="5"/>
        <v>7620</v>
      </c>
      <c r="BZ30" s="128">
        <f t="shared" si="6"/>
        <v>5152</v>
      </c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71"/>
      <c r="DD30" s="71"/>
      <c r="DE30" s="122">
        <f t="shared" si="7"/>
        <v>500</v>
      </c>
      <c r="DF30" s="123">
        <f t="shared" si="8"/>
        <v>7620</v>
      </c>
      <c r="DG30" s="144">
        <f t="shared" si="9"/>
        <v>5152</v>
      </c>
      <c r="DH30" s="72">
        <f>တော်ဝင်!AG22</f>
        <v>500</v>
      </c>
      <c r="DI30" s="73">
        <f>တော်ဝင်!AH22</f>
        <v>7620</v>
      </c>
      <c r="DJ30" s="145">
        <f>တော်ဝင်!AI22</f>
        <v>5152</v>
      </c>
      <c r="DK30" s="74">
        <f t="shared" si="1"/>
        <v>0.39564982485500133</v>
      </c>
      <c r="DL30" s="75">
        <f t="shared" si="10"/>
        <v>0.32258064516129031</v>
      </c>
      <c r="DM30" s="76">
        <f>DK30-DL30</f>
        <v>7.3069179693711017E-2</v>
      </c>
      <c r="DO30" s="55"/>
      <c r="DP30" s="79"/>
    </row>
    <row r="31" spans="1:122" ht="24.75" customHeight="1" x14ac:dyDescent="0.5">
      <c r="A31" s="63">
        <v>28</v>
      </c>
      <c r="B31" s="64" t="s">
        <v>12</v>
      </c>
      <c r="C31" s="65" t="s">
        <v>151</v>
      </c>
      <c r="D31" s="66" t="s">
        <v>13</v>
      </c>
      <c r="E31" s="66" t="s">
        <v>152</v>
      </c>
      <c r="F31" s="67" t="s">
        <v>133</v>
      </c>
      <c r="G31" s="68" t="s">
        <v>153</v>
      </c>
      <c r="H31" s="69" t="s">
        <v>154</v>
      </c>
      <c r="I31" s="69" t="s">
        <v>155</v>
      </c>
      <c r="J31" s="95" t="s">
        <v>349</v>
      </c>
      <c r="K31" s="69">
        <v>1261.3903285860397</v>
      </c>
      <c r="L31" s="69">
        <v>17659.464600204559</v>
      </c>
      <c r="M31" s="70"/>
      <c r="N31" s="68"/>
      <c r="O31" s="68"/>
      <c r="P31" s="68"/>
      <c r="Q31" s="68"/>
      <c r="R31" s="68"/>
      <c r="S31" s="68"/>
      <c r="T31" s="68"/>
      <c r="U31" s="68"/>
      <c r="V31" s="68">
        <v>170</v>
      </c>
      <c r="W31" s="68">
        <v>2280</v>
      </c>
      <c r="X31" s="116">
        <v>1675.2</v>
      </c>
      <c r="Y31" s="68"/>
      <c r="Z31" s="68"/>
      <c r="AA31" s="68"/>
      <c r="AB31" s="68"/>
      <c r="AC31" s="68"/>
      <c r="AD31" s="68"/>
      <c r="AE31" s="68"/>
      <c r="AF31" s="68"/>
      <c r="AG31" s="68"/>
      <c r="AH31" s="68">
        <v>110</v>
      </c>
      <c r="AI31" s="68">
        <v>1840</v>
      </c>
      <c r="AJ31" s="116">
        <v>1177.6000000000001</v>
      </c>
      <c r="AK31" s="68"/>
      <c r="AL31" s="68"/>
      <c r="AM31" s="68"/>
      <c r="AN31" s="68"/>
      <c r="AO31" s="68"/>
      <c r="AP31" s="68"/>
      <c r="AQ31" s="120">
        <f t="shared" si="0"/>
        <v>280</v>
      </c>
      <c r="AR31" s="120">
        <f t="shared" si="3"/>
        <v>4120</v>
      </c>
      <c r="AS31" s="532">
        <f t="shared" si="11"/>
        <v>2852.8</v>
      </c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120">
        <f t="shared" si="4"/>
        <v>280</v>
      </c>
      <c r="BY31" s="120">
        <f t="shared" si="5"/>
        <v>4120</v>
      </c>
      <c r="BZ31" s="128">
        <f t="shared" si="6"/>
        <v>2852.8</v>
      </c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71"/>
      <c r="DD31" s="71"/>
      <c r="DE31" s="122">
        <f t="shared" si="7"/>
        <v>280</v>
      </c>
      <c r="DF31" s="123">
        <f t="shared" si="8"/>
        <v>4120</v>
      </c>
      <c r="DG31" s="144">
        <f t="shared" si="9"/>
        <v>2852.8</v>
      </c>
      <c r="DH31" s="72">
        <f>ဦးလှဖုန်း!AE19</f>
        <v>280</v>
      </c>
      <c r="DI31" s="73">
        <f>ဦးလှဖုန်း!AF19</f>
        <v>4120</v>
      </c>
      <c r="DJ31" s="145">
        <f>ဦးလှဖုန်း!AG19</f>
        <v>2852.8</v>
      </c>
      <c r="DK31" s="74">
        <f t="shared" si="1"/>
        <v>0.23330265629640187</v>
      </c>
      <c r="DL31" s="75">
        <f t="shared" si="10"/>
        <v>0.32258064516129031</v>
      </c>
      <c r="DM31" s="76">
        <f t="shared" ref="DM31:DM42" si="12">DK31-DL31</f>
        <v>-8.9277988864888441E-2</v>
      </c>
      <c r="DO31" s="55"/>
      <c r="DP31" s="79"/>
    </row>
    <row r="32" spans="1:122" ht="24.75" customHeight="1" x14ac:dyDescent="0.5">
      <c r="A32" s="63">
        <v>29</v>
      </c>
      <c r="B32" s="64" t="s">
        <v>57</v>
      </c>
      <c r="C32" s="65" t="s">
        <v>283</v>
      </c>
      <c r="D32" s="66" t="s">
        <v>56</v>
      </c>
      <c r="E32" s="66" t="s">
        <v>279</v>
      </c>
      <c r="F32" s="67" t="s">
        <v>133</v>
      </c>
      <c r="G32" s="68" t="s">
        <v>284</v>
      </c>
      <c r="H32" s="69" t="s">
        <v>285</v>
      </c>
      <c r="I32" s="69" t="s">
        <v>286</v>
      </c>
      <c r="J32" s="95" t="s">
        <v>349</v>
      </c>
      <c r="K32" s="69">
        <v>1441.7633104687886</v>
      </c>
      <c r="L32" s="69">
        <v>20184.686346563041</v>
      </c>
      <c r="M32" s="70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120">
        <f t="shared" si="0"/>
        <v>0</v>
      </c>
      <c r="AR32" s="120">
        <f t="shared" si="3"/>
        <v>0</v>
      </c>
      <c r="AS32" s="532">
        <f t="shared" si="11"/>
        <v>0</v>
      </c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120">
        <f t="shared" si="4"/>
        <v>0</v>
      </c>
      <c r="BY32" s="120">
        <f t="shared" si="5"/>
        <v>0</v>
      </c>
      <c r="BZ32" s="128">
        <f t="shared" si="6"/>
        <v>0</v>
      </c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71"/>
      <c r="DD32" s="71"/>
      <c r="DE32" s="122">
        <f t="shared" si="7"/>
        <v>0</v>
      </c>
      <c r="DF32" s="123">
        <f t="shared" si="8"/>
        <v>0</v>
      </c>
      <c r="DG32" s="124">
        <f t="shared" si="9"/>
        <v>0</v>
      </c>
      <c r="DH32" s="72">
        <f>မသီတာ!AE19</f>
        <v>0</v>
      </c>
      <c r="DI32" s="73">
        <f>မသီတာ!AF19</f>
        <v>0</v>
      </c>
      <c r="DJ32" s="130">
        <f>မသီတာ!AG19</f>
        <v>0</v>
      </c>
      <c r="DK32" s="74">
        <f t="shared" si="1"/>
        <v>0</v>
      </c>
      <c r="DL32" s="75">
        <f t="shared" si="10"/>
        <v>0.32258064516129031</v>
      </c>
      <c r="DM32" s="76">
        <f t="shared" si="12"/>
        <v>-0.32258064516129031</v>
      </c>
      <c r="DO32" s="55"/>
      <c r="DP32" s="79"/>
    </row>
    <row r="33" spans="1:121" ht="24.75" customHeight="1" x14ac:dyDescent="0.5">
      <c r="A33" s="63">
        <v>30</v>
      </c>
      <c r="B33" s="64" t="s">
        <v>50</v>
      </c>
      <c r="C33" s="65" t="s">
        <v>264</v>
      </c>
      <c r="D33" s="66" t="s">
        <v>51</v>
      </c>
      <c r="E33" s="66" t="s">
        <v>265</v>
      </c>
      <c r="F33" s="67" t="s">
        <v>133</v>
      </c>
      <c r="G33" s="68" t="s">
        <v>266</v>
      </c>
      <c r="H33" s="69" t="s">
        <v>267</v>
      </c>
      <c r="I33" s="69" t="s">
        <v>268</v>
      </c>
      <c r="J33" s="95" t="s">
        <v>349</v>
      </c>
      <c r="K33" s="69">
        <v>1276.7202716881818</v>
      </c>
      <c r="L33" s="69">
        <v>17874.083803634541</v>
      </c>
      <c r="M33" s="70">
        <v>271</v>
      </c>
      <c r="N33" s="68">
        <v>3662</v>
      </c>
      <c r="O33" s="68">
        <v>3002.4</v>
      </c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>
        <v>290</v>
      </c>
      <c r="AL33" s="68">
        <v>4240</v>
      </c>
      <c r="AM33" s="68">
        <v>3144</v>
      </c>
      <c r="AN33" s="68"/>
      <c r="AO33" s="68"/>
      <c r="AP33" s="68"/>
      <c r="AQ33" s="120">
        <f t="shared" si="0"/>
        <v>561</v>
      </c>
      <c r="AR33" s="120">
        <f t="shared" si="3"/>
        <v>7902</v>
      </c>
      <c r="AS33" s="532">
        <f t="shared" si="11"/>
        <v>6146.4</v>
      </c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120">
        <f t="shared" si="4"/>
        <v>561</v>
      </c>
      <c r="BY33" s="120">
        <f t="shared" si="5"/>
        <v>7902</v>
      </c>
      <c r="BZ33" s="128">
        <f t="shared" si="6"/>
        <v>6146.4</v>
      </c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71"/>
      <c r="DD33" s="71"/>
      <c r="DE33" s="122">
        <f t="shared" si="7"/>
        <v>561</v>
      </c>
      <c r="DF33" s="123">
        <f t="shared" si="8"/>
        <v>7902</v>
      </c>
      <c r="DG33" s="144">
        <f t="shared" si="9"/>
        <v>6146.4</v>
      </c>
      <c r="DH33" s="72">
        <f>အနွယ်တော်!AE19</f>
        <v>561</v>
      </c>
      <c r="DI33" s="73">
        <f>အနွယ်တော်!AF19</f>
        <v>7902</v>
      </c>
      <c r="DJ33" s="145">
        <f>အနွယ်တော်!AG19</f>
        <v>6146.4</v>
      </c>
      <c r="DK33" s="74">
        <f t="shared" si="1"/>
        <v>0.44209258985309202</v>
      </c>
      <c r="DL33" s="75">
        <f t="shared" si="10"/>
        <v>0.32258064516129031</v>
      </c>
      <c r="DM33" s="76">
        <f t="shared" si="12"/>
        <v>0.11951194469180171</v>
      </c>
      <c r="DO33" s="55"/>
      <c r="DP33" s="79"/>
    </row>
    <row r="34" spans="1:121" ht="24.75" customHeight="1" x14ac:dyDescent="0.5">
      <c r="A34" s="63">
        <v>31</v>
      </c>
      <c r="B34" s="64" t="s">
        <v>25</v>
      </c>
      <c r="C34" s="65" t="s">
        <v>187</v>
      </c>
      <c r="D34" s="66" t="s">
        <v>24</v>
      </c>
      <c r="E34" s="66" t="s">
        <v>183</v>
      </c>
      <c r="F34" s="67" t="s">
        <v>133</v>
      </c>
      <c r="G34" s="68" t="s">
        <v>188</v>
      </c>
      <c r="H34" s="69" t="s">
        <v>189</v>
      </c>
      <c r="I34" s="69" t="s">
        <v>190</v>
      </c>
      <c r="J34" s="95" t="s">
        <v>349</v>
      </c>
      <c r="K34" s="69">
        <v>1119.7463750689819</v>
      </c>
      <c r="L34" s="69">
        <v>15676.449250965748</v>
      </c>
      <c r="M34" s="70"/>
      <c r="N34" s="68"/>
      <c r="O34" s="68"/>
      <c r="P34" s="68"/>
      <c r="Q34" s="68"/>
      <c r="R34" s="68"/>
      <c r="S34" s="68">
        <v>275</v>
      </c>
      <c r="T34" s="68">
        <v>3790</v>
      </c>
      <c r="U34" s="68">
        <v>2555.2000000000003</v>
      </c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120">
        <f t="shared" si="0"/>
        <v>275</v>
      </c>
      <c r="AR34" s="120">
        <f t="shared" si="3"/>
        <v>3790</v>
      </c>
      <c r="AS34" s="532">
        <f t="shared" si="11"/>
        <v>2555.2000000000003</v>
      </c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120">
        <f t="shared" si="4"/>
        <v>275</v>
      </c>
      <c r="BY34" s="120">
        <f t="shared" si="5"/>
        <v>3790</v>
      </c>
      <c r="BZ34" s="128">
        <f t="shared" si="6"/>
        <v>2555.2000000000003</v>
      </c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71"/>
      <c r="DD34" s="71"/>
      <c r="DE34" s="122">
        <f t="shared" si="7"/>
        <v>275</v>
      </c>
      <c r="DF34" s="123">
        <f t="shared" si="8"/>
        <v>3790</v>
      </c>
      <c r="DG34" s="144">
        <f t="shared" si="9"/>
        <v>2555.2000000000003</v>
      </c>
      <c r="DH34" s="72">
        <f>နေလ!AE19</f>
        <v>275</v>
      </c>
      <c r="DI34" s="73">
        <f>နေလ!AF19</f>
        <v>3790</v>
      </c>
      <c r="DJ34" s="145">
        <f>နေလ!AG19</f>
        <v>2555.2000000000003</v>
      </c>
      <c r="DK34" s="74">
        <f t="shared" si="1"/>
        <v>0.24176393131668619</v>
      </c>
      <c r="DL34" s="75">
        <f t="shared" si="10"/>
        <v>0.32258064516129031</v>
      </c>
      <c r="DM34" s="76">
        <f t="shared" si="12"/>
        <v>-8.0816713844604121E-2</v>
      </c>
      <c r="DO34" s="55"/>
      <c r="DP34" s="79"/>
    </row>
    <row r="35" spans="1:121" ht="24.75" customHeight="1" x14ac:dyDescent="0.5">
      <c r="A35" s="63">
        <v>32</v>
      </c>
      <c r="B35" s="64" t="s">
        <v>11</v>
      </c>
      <c r="C35" s="65" t="s">
        <v>147</v>
      </c>
      <c r="D35" s="66" t="s">
        <v>10</v>
      </c>
      <c r="E35" s="66" t="s">
        <v>143</v>
      </c>
      <c r="F35" s="67" t="s">
        <v>133</v>
      </c>
      <c r="G35" s="68" t="s">
        <v>148</v>
      </c>
      <c r="H35" s="69" t="s">
        <v>149</v>
      </c>
      <c r="I35" s="69" t="s">
        <v>150</v>
      </c>
      <c r="J35" s="95" t="s">
        <v>349</v>
      </c>
      <c r="K35" s="69">
        <v>1146.6246257779264</v>
      </c>
      <c r="L35" s="69">
        <v>16052.744760890972</v>
      </c>
      <c r="M35" s="70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>
        <v>300</v>
      </c>
      <c r="AC35" s="68">
        <v>4100</v>
      </c>
      <c r="AD35" s="68">
        <v>2660</v>
      </c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120">
        <f t="shared" si="0"/>
        <v>300</v>
      </c>
      <c r="AR35" s="120">
        <f t="shared" si="3"/>
        <v>4100</v>
      </c>
      <c r="AS35" s="532">
        <f t="shared" si="11"/>
        <v>2660</v>
      </c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120">
        <f t="shared" si="4"/>
        <v>300</v>
      </c>
      <c r="BY35" s="120">
        <f t="shared" si="5"/>
        <v>4100</v>
      </c>
      <c r="BZ35" s="128">
        <f t="shared" si="6"/>
        <v>2660</v>
      </c>
      <c r="CA35" s="68"/>
      <c r="CB35" s="68"/>
      <c r="CC35" s="68"/>
      <c r="CD35" s="68"/>
      <c r="CE35" s="68"/>
      <c r="CF35" s="68"/>
      <c r="CG35" s="85"/>
      <c r="CH35" s="85"/>
      <c r="CI35" s="85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71"/>
      <c r="DD35" s="71"/>
      <c r="DE35" s="122">
        <f t="shared" si="7"/>
        <v>300</v>
      </c>
      <c r="DF35" s="123">
        <f t="shared" si="8"/>
        <v>4100</v>
      </c>
      <c r="DG35" s="144">
        <f t="shared" si="9"/>
        <v>2660</v>
      </c>
      <c r="DH35" s="72">
        <f>မမွှေးမွှေး!AE19</f>
        <v>300</v>
      </c>
      <c r="DI35" s="73">
        <f>မမွှေးမွှေး!AF19</f>
        <v>4100</v>
      </c>
      <c r="DJ35" s="145">
        <f>မမွှေးမွှေး!AG19</f>
        <v>2660</v>
      </c>
      <c r="DK35" s="74">
        <f t="shared" si="1"/>
        <v>0.25540803526564254</v>
      </c>
      <c r="DL35" s="75">
        <f t="shared" si="10"/>
        <v>0.32258064516129031</v>
      </c>
      <c r="DM35" s="76">
        <f t="shared" si="12"/>
        <v>-6.7172609895647772E-2</v>
      </c>
      <c r="DO35" s="55"/>
      <c r="DP35" s="79"/>
    </row>
    <row r="36" spans="1:121" ht="24.75" customHeight="1" x14ac:dyDescent="0.5">
      <c r="A36" s="63">
        <v>33</v>
      </c>
      <c r="B36" s="64" t="s">
        <v>108</v>
      </c>
      <c r="C36" s="65" t="s">
        <v>297</v>
      </c>
      <c r="D36" s="65" t="s">
        <v>115</v>
      </c>
      <c r="E36" s="65" t="s">
        <v>242</v>
      </c>
      <c r="F36" s="65" t="s">
        <v>133</v>
      </c>
      <c r="G36" s="89"/>
      <c r="H36" s="89"/>
      <c r="I36" s="65"/>
      <c r="J36" s="95" t="s">
        <v>349</v>
      </c>
      <c r="K36" s="69">
        <v>1001.1709630335246</v>
      </c>
      <c r="L36" s="69">
        <v>14016.393482469344</v>
      </c>
      <c r="M36" s="90"/>
      <c r="N36" s="65"/>
      <c r="O36" s="65"/>
      <c r="P36" s="65"/>
      <c r="Q36" s="65"/>
      <c r="R36" s="65"/>
      <c r="S36" s="65">
        <v>155</v>
      </c>
      <c r="T36" s="65">
        <v>2100</v>
      </c>
      <c r="U36" s="65">
        <v>1718</v>
      </c>
      <c r="V36" s="65"/>
      <c r="W36" s="65"/>
      <c r="X36" s="65"/>
      <c r="Y36" s="65"/>
      <c r="Z36" s="65"/>
      <c r="AA36" s="65"/>
      <c r="AB36" s="65">
        <v>150</v>
      </c>
      <c r="AC36" s="65">
        <v>2100</v>
      </c>
      <c r="AD36" s="65">
        <v>1344</v>
      </c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120">
        <f t="shared" si="0"/>
        <v>305</v>
      </c>
      <c r="AR36" s="120">
        <f t="shared" si="3"/>
        <v>4200</v>
      </c>
      <c r="AS36" s="532">
        <f t="shared" si="11"/>
        <v>3062</v>
      </c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120">
        <f t="shared" si="4"/>
        <v>305</v>
      </c>
      <c r="BY36" s="120">
        <f t="shared" si="5"/>
        <v>4200</v>
      </c>
      <c r="BZ36" s="128">
        <f t="shared" si="6"/>
        <v>3062</v>
      </c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91"/>
      <c r="DD36" s="91"/>
      <c r="DE36" s="122">
        <f t="shared" si="7"/>
        <v>305</v>
      </c>
      <c r="DF36" s="123">
        <f t="shared" si="8"/>
        <v>4200</v>
      </c>
      <c r="DG36" s="144">
        <f t="shared" si="9"/>
        <v>3062</v>
      </c>
      <c r="DH36" s="72">
        <f>ဆင်မင်း!AE20</f>
        <v>305</v>
      </c>
      <c r="DI36" s="73">
        <f>ဆင်မင်း!AF20</f>
        <v>4200</v>
      </c>
      <c r="DJ36" s="145">
        <f>ဆင်မင်း!AG20</f>
        <v>3062</v>
      </c>
      <c r="DK36" s="74">
        <f t="shared" si="1"/>
        <v>0.29964912195516241</v>
      </c>
      <c r="DL36" s="75">
        <f t="shared" si="10"/>
        <v>0.32258064516129031</v>
      </c>
      <c r="DM36" s="76">
        <f t="shared" si="12"/>
        <v>-2.2931523206127902E-2</v>
      </c>
      <c r="DO36" s="55"/>
      <c r="DP36" s="79"/>
    </row>
    <row r="37" spans="1:121" ht="24.75" customHeight="1" x14ac:dyDescent="0.5">
      <c r="A37" s="63">
        <v>34</v>
      </c>
      <c r="B37" s="64" t="s">
        <v>109</v>
      </c>
      <c r="C37" s="65" t="s">
        <v>298</v>
      </c>
      <c r="D37" s="66" t="s">
        <v>38</v>
      </c>
      <c r="E37" s="66" t="s">
        <v>224</v>
      </c>
      <c r="F37" s="65" t="s">
        <v>133</v>
      </c>
      <c r="G37" s="65" t="s">
        <v>299</v>
      </c>
      <c r="H37" s="66" t="s">
        <v>300</v>
      </c>
      <c r="I37" s="66" t="s">
        <v>301</v>
      </c>
      <c r="J37" s="95" t="s">
        <v>349</v>
      </c>
      <c r="K37" s="69">
        <v>958.5730435896503</v>
      </c>
      <c r="L37" s="69">
        <v>13420.022610255104</v>
      </c>
      <c r="M37" s="90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120">
        <f t="shared" si="0"/>
        <v>0</v>
      </c>
      <c r="AR37" s="120">
        <f t="shared" si="3"/>
        <v>0</v>
      </c>
      <c r="AS37" s="532">
        <f t="shared" si="11"/>
        <v>0</v>
      </c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120">
        <f t="shared" si="4"/>
        <v>0</v>
      </c>
      <c r="BY37" s="120">
        <f t="shared" si="5"/>
        <v>0</v>
      </c>
      <c r="BZ37" s="128">
        <f t="shared" si="6"/>
        <v>0</v>
      </c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91"/>
      <c r="DD37" s="91"/>
      <c r="DE37" s="122">
        <f t="shared" si="7"/>
        <v>0</v>
      </c>
      <c r="DF37" s="123">
        <f t="shared" si="8"/>
        <v>0</v>
      </c>
      <c r="DG37" s="124">
        <f t="shared" si="9"/>
        <v>0</v>
      </c>
      <c r="DH37" s="72">
        <f>မာဟန်!AE19</f>
        <v>0</v>
      </c>
      <c r="DI37" s="73">
        <f>မာဟန်!AF19</f>
        <v>0</v>
      </c>
      <c r="DJ37" s="130">
        <f>မာဟန်!AG19</f>
        <v>0</v>
      </c>
      <c r="DK37" s="74">
        <f t="shared" si="1"/>
        <v>0</v>
      </c>
      <c r="DL37" s="75">
        <f t="shared" si="10"/>
        <v>0.32258064516129031</v>
      </c>
      <c r="DM37" s="76">
        <f t="shared" si="12"/>
        <v>-0.32258064516129031</v>
      </c>
      <c r="DO37" s="55"/>
      <c r="DP37" s="79"/>
    </row>
    <row r="38" spans="1:121" ht="24.75" customHeight="1" x14ac:dyDescent="0.5">
      <c r="A38" s="63">
        <v>35</v>
      </c>
      <c r="B38" s="64" t="s">
        <v>23</v>
      </c>
      <c r="C38" s="65" t="s">
        <v>182</v>
      </c>
      <c r="D38" s="66" t="s">
        <v>24</v>
      </c>
      <c r="E38" s="66" t="s">
        <v>183</v>
      </c>
      <c r="F38" s="67" t="s">
        <v>133</v>
      </c>
      <c r="G38" s="68" t="s">
        <v>184</v>
      </c>
      <c r="H38" s="69" t="s">
        <v>185</v>
      </c>
      <c r="I38" s="69" t="s">
        <v>186</v>
      </c>
      <c r="J38" s="95" t="s">
        <v>349</v>
      </c>
      <c r="K38" s="69">
        <v>1197.2334396540107</v>
      </c>
      <c r="L38" s="69">
        <v>16761.268155156151</v>
      </c>
      <c r="M38" s="70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>
        <v>205</v>
      </c>
      <c r="AC38" s="68">
        <v>2940</v>
      </c>
      <c r="AD38" s="68">
        <v>1953.2</v>
      </c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120">
        <f t="shared" si="0"/>
        <v>205</v>
      </c>
      <c r="AR38" s="120">
        <f t="shared" si="3"/>
        <v>2940</v>
      </c>
      <c r="AS38" s="532">
        <f t="shared" si="11"/>
        <v>1953.2</v>
      </c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120">
        <f t="shared" si="4"/>
        <v>205</v>
      </c>
      <c r="BY38" s="120">
        <f t="shared" si="5"/>
        <v>2940</v>
      </c>
      <c r="BZ38" s="128">
        <f t="shared" si="6"/>
        <v>1953.2</v>
      </c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71"/>
      <c r="DD38" s="71"/>
      <c r="DE38" s="122">
        <f t="shared" si="7"/>
        <v>205</v>
      </c>
      <c r="DF38" s="123">
        <f t="shared" si="8"/>
        <v>2940</v>
      </c>
      <c r="DG38" s="144">
        <f t="shared" si="9"/>
        <v>1953.2</v>
      </c>
      <c r="DH38" s="72">
        <f>ကောင်းမွန်!AE19</f>
        <v>205</v>
      </c>
      <c r="DI38" s="73">
        <f>ကောင်းမွန်!AF19</f>
        <v>2940</v>
      </c>
      <c r="DJ38" s="145">
        <f>ကောင်းမွန်!AG19</f>
        <v>1953.2</v>
      </c>
      <c r="DK38" s="74">
        <f t="shared" si="1"/>
        <v>0.17540438902265212</v>
      </c>
      <c r="DL38" s="75">
        <f t="shared" si="10"/>
        <v>0.32258064516129031</v>
      </c>
      <c r="DM38" s="76">
        <f t="shared" si="12"/>
        <v>-0.14717625613863819</v>
      </c>
      <c r="DO38" s="55"/>
      <c r="DP38" s="79"/>
    </row>
    <row r="39" spans="1:121" ht="24.75" customHeight="1" x14ac:dyDescent="0.5">
      <c r="A39" s="63">
        <v>36</v>
      </c>
      <c r="B39" s="64" t="s">
        <v>106</v>
      </c>
      <c r="C39" s="68" t="s">
        <v>287</v>
      </c>
      <c r="D39" s="69" t="s">
        <v>113</v>
      </c>
      <c r="E39" s="68" t="s">
        <v>288</v>
      </c>
      <c r="F39" s="68" t="s">
        <v>133</v>
      </c>
      <c r="G39" s="68" t="s">
        <v>289</v>
      </c>
      <c r="H39" s="68" t="s">
        <v>290</v>
      </c>
      <c r="I39" s="68" t="s">
        <v>291</v>
      </c>
      <c r="J39" s="95" t="s">
        <v>349</v>
      </c>
      <c r="K39" s="69">
        <v>971.49840691769066</v>
      </c>
      <c r="L39" s="69">
        <v>13600.977696847667</v>
      </c>
      <c r="M39" s="70"/>
      <c r="N39" s="68"/>
      <c r="O39" s="68"/>
      <c r="P39" s="68"/>
      <c r="Q39" s="68"/>
      <c r="R39" s="68"/>
      <c r="S39" s="68">
        <v>45</v>
      </c>
      <c r="T39" s="68">
        <v>540</v>
      </c>
      <c r="U39" s="68">
        <v>540</v>
      </c>
      <c r="V39" s="68"/>
      <c r="W39" s="68"/>
      <c r="X39" s="68"/>
      <c r="Y39" s="68"/>
      <c r="Z39" s="68"/>
      <c r="AA39" s="116"/>
      <c r="AB39" s="116">
        <v>240</v>
      </c>
      <c r="AC39" s="116">
        <v>3560</v>
      </c>
      <c r="AD39" s="116">
        <v>2641.6</v>
      </c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120">
        <f t="shared" si="0"/>
        <v>285</v>
      </c>
      <c r="AR39" s="120">
        <f t="shared" si="3"/>
        <v>4100</v>
      </c>
      <c r="AS39" s="532">
        <f t="shared" si="11"/>
        <v>3181.6</v>
      </c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120">
        <f t="shared" si="4"/>
        <v>285</v>
      </c>
      <c r="BY39" s="120">
        <f t="shared" si="5"/>
        <v>4100</v>
      </c>
      <c r="BZ39" s="128">
        <f t="shared" si="6"/>
        <v>3181.6</v>
      </c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71"/>
      <c r="DD39" s="71"/>
      <c r="DE39" s="122">
        <f t="shared" si="7"/>
        <v>285</v>
      </c>
      <c r="DF39" s="123">
        <f t="shared" si="8"/>
        <v>4100</v>
      </c>
      <c r="DG39" s="144">
        <f t="shared" si="9"/>
        <v>3181.6</v>
      </c>
      <c r="DH39" s="72">
        <f>သုခအောင်!AE19</f>
        <v>285</v>
      </c>
      <c r="DI39" s="73">
        <f>သုခအောင်!AF19</f>
        <v>4100</v>
      </c>
      <c r="DJ39" s="145">
        <f>သုခအောင်!AG19</f>
        <v>3181.6</v>
      </c>
      <c r="DK39" s="74">
        <f t="shared" si="1"/>
        <v>0.3014489172311684</v>
      </c>
      <c r="DL39" s="75">
        <f t="shared" si="10"/>
        <v>0.32258064516129031</v>
      </c>
      <c r="DM39" s="76">
        <f t="shared" si="12"/>
        <v>-2.1131727930121913E-2</v>
      </c>
      <c r="DO39" s="56"/>
      <c r="DP39" s="79"/>
    </row>
    <row r="40" spans="1:121" ht="24.75" customHeight="1" x14ac:dyDescent="0.5">
      <c r="A40" s="63">
        <v>37</v>
      </c>
      <c r="B40" s="64" t="s">
        <v>107</v>
      </c>
      <c r="C40" s="68" t="s">
        <v>292</v>
      </c>
      <c r="D40" s="69" t="s">
        <v>114</v>
      </c>
      <c r="E40" s="69" t="s">
        <v>293</v>
      </c>
      <c r="F40" s="68" t="s">
        <v>133</v>
      </c>
      <c r="G40" s="68" t="s">
        <v>294</v>
      </c>
      <c r="H40" s="69" t="s">
        <v>295</v>
      </c>
      <c r="I40" s="69" t="s">
        <v>296</v>
      </c>
      <c r="J40" s="95" t="s">
        <v>349</v>
      </c>
      <c r="K40" s="69">
        <v>1083.6055557376319</v>
      </c>
      <c r="L40" s="69">
        <v>15170.477780326844</v>
      </c>
      <c r="M40" s="70"/>
      <c r="N40" s="68"/>
      <c r="O40" s="68"/>
      <c r="P40" s="68"/>
      <c r="Q40" s="68"/>
      <c r="R40" s="68"/>
      <c r="S40" s="68">
        <v>40</v>
      </c>
      <c r="T40" s="68">
        <v>500</v>
      </c>
      <c r="U40" s="116">
        <v>449.6</v>
      </c>
      <c r="V40" s="68"/>
      <c r="W40" s="68"/>
      <c r="X40" s="68"/>
      <c r="Y40" s="68">
        <v>95</v>
      </c>
      <c r="Z40" s="68">
        <v>1480</v>
      </c>
      <c r="AA40" s="116">
        <v>954.8</v>
      </c>
      <c r="AB40" s="68"/>
      <c r="AC40" s="68"/>
      <c r="AD40" s="68"/>
      <c r="AE40" s="68"/>
      <c r="AF40" s="68"/>
      <c r="AG40" s="68"/>
      <c r="AH40" s="68">
        <v>45</v>
      </c>
      <c r="AI40" s="68">
        <v>540</v>
      </c>
      <c r="AJ40" s="68">
        <v>540</v>
      </c>
      <c r="AK40" s="68">
        <v>40</v>
      </c>
      <c r="AL40" s="68">
        <v>760</v>
      </c>
      <c r="AM40" s="68">
        <v>500</v>
      </c>
      <c r="AN40" s="68"/>
      <c r="AO40" s="68"/>
      <c r="AP40" s="68"/>
      <c r="AQ40" s="120">
        <f t="shared" si="0"/>
        <v>220</v>
      </c>
      <c r="AR40" s="120">
        <f t="shared" si="3"/>
        <v>3280</v>
      </c>
      <c r="AS40" s="532">
        <f t="shared" si="11"/>
        <v>2444.4</v>
      </c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120">
        <f t="shared" si="4"/>
        <v>220</v>
      </c>
      <c r="BY40" s="120">
        <f t="shared" si="5"/>
        <v>3280</v>
      </c>
      <c r="BZ40" s="128">
        <f t="shared" si="6"/>
        <v>2444.4</v>
      </c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71"/>
      <c r="DD40" s="71"/>
      <c r="DE40" s="122">
        <f t="shared" si="7"/>
        <v>220</v>
      </c>
      <c r="DF40" s="123">
        <f t="shared" si="8"/>
        <v>3280</v>
      </c>
      <c r="DG40" s="144">
        <f t="shared" si="9"/>
        <v>2444.4</v>
      </c>
      <c r="DH40" s="72">
        <f>လမင်းသာ!AE24</f>
        <v>220</v>
      </c>
      <c r="DI40" s="73">
        <f>လမင်းသာ!AF24</f>
        <v>3280</v>
      </c>
      <c r="DJ40" s="145">
        <f>လမင်းသာ!AG24</f>
        <v>2444.4</v>
      </c>
      <c r="DK40" s="74">
        <f t="shared" si="1"/>
        <v>0.21620940668417979</v>
      </c>
      <c r="DL40" s="75">
        <f t="shared" si="10"/>
        <v>0.32258064516129031</v>
      </c>
      <c r="DM40" s="76">
        <f t="shared" si="12"/>
        <v>-0.10637123847711052</v>
      </c>
      <c r="DO40" s="55"/>
      <c r="DP40" s="79"/>
    </row>
    <row r="41" spans="1:121" ht="24.75" customHeight="1" x14ac:dyDescent="0.5">
      <c r="A41" s="63">
        <v>38</v>
      </c>
      <c r="B41" s="64" t="s">
        <v>111</v>
      </c>
      <c r="C41" s="65" t="s">
        <v>307</v>
      </c>
      <c r="D41" s="65" t="s">
        <v>117</v>
      </c>
      <c r="E41" s="65" t="s">
        <v>308</v>
      </c>
      <c r="F41" s="65" t="s">
        <v>133</v>
      </c>
      <c r="G41" s="65" t="s">
        <v>309</v>
      </c>
      <c r="H41" s="65" t="s">
        <v>310</v>
      </c>
      <c r="I41" s="65" t="s">
        <v>311</v>
      </c>
      <c r="J41" s="95" t="s">
        <v>349</v>
      </c>
      <c r="K41" s="69">
        <v>920.83389686849239</v>
      </c>
      <c r="L41" s="69">
        <v>12891.67455615889</v>
      </c>
      <c r="M41" s="90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120">
        <f t="shared" si="0"/>
        <v>0</v>
      </c>
      <c r="AR41" s="120">
        <f t="shared" si="3"/>
        <v>0</v>
      </c>
      <c r="AS41" s="532">
        <f t="shared" si="11"/>
        <v>0</v>
      </c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120">
        <f t="shared" si="4"/>
        <v>0</v>
      </c>
      <c r="BY41" s="120">
        <f t="shared" si="5"/>
        <v>0</v>
      </c>
      <c r="BZ41" s="128">
        <f t="shared" si="6"/>
        <v>0</v>
      </c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91"/>
      <c r="DD41" s="91"/>
      <c r="DE41" s="122">
        <f t="shared" si="7"/>
        <v>0</v>
      </c>
      <c r="DF41" s="123">
        <f t="shared" si="8"/>
        <v>0</v>
      </c>
      <c r="DG41" s="124">
        <f t="shared" si="9"/>
        <v>0</v>
      </c>
      <c r="DH41" s="72">
        <f>ဂျက်ကြီး!AE19</f>
        <v>0</v>
      </c>
      <c r="DI41" s="73">
        <f>ဂျက်ကြီး!AF19</f>
        <v>0</v>
      </c>
      <c r="DJ41" s="125">
        <f>ဂျက်ကြီး!AG19</f>
        <v>0</v>
      </c>
      <c r="DK41" s="74">
        <f t="shared" si="1"/>
        <v>0</v>
      </c>
      <c r="DL41" s="75">
        <f t="shared" si="10"/>
        <v>0.32258064516129031</v>
      </c>
      <c r="DM41" s="76">
        <f t="shared" si="12"/>
        <v>-0.32258064516129031</v>
      </c>
      <c r="DO41" s="55"/>
      <c r="DP41" s="79"/>
    </row>
    <row r="42" spans="1:121" ht="24.75" customHeight="1" x14ac:dyDescent="0.5">
      <c r="A42" s="63">
        <v>39</v>
      </c>
      <c r="B42" s="64" t="s">
        <v>112</v>
      </c>
      <c r="C42" s="65" t="s">
        <v>312</v>
      </c>
      <c r="D42" s="66" t="s">
        <v>118</v>
      </c>
      <c r="E42" s="65" t="s">
        <v>206</v>
      </c>
      <c r="F42" s="65" t="s">
        <v>133</v>
      </c>
      <c r="G42" s="65"/>
      <c r="H42" s="65"/>
      <c r="I42" s="65"/>
      <c r="J42" s="95" t="s">
        <v>349</v>
      </c>
      <c r="K42" s="69">
        <v>437.38738511413203</v>
      </c>
      <c r="L42" s="69">
        <v>6123.4233915978502</v>
      </c>
      <c r="M42" s="90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120">
        <f t="shared" si="0"/>
        <v>0</v>
      </c>
      <c r="AR42" s="120">
        <f t="shared" si="3"/>
        <v>0</v>
      </c>
      <c r="AS42" s="532">
        <f t="shared" si="11"/>
        <v>0</v>
      </c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120">
        <f t="shared" si="4"/>
        <v>0</v>
      </c>
      <c r="BY42" s="120">
        <f t="shared" si="5"/>
        <v>0</v>
      </c>
      <c r="BZ42" s="128">
        <f t="shared" si="6"/>
        <v>0</v>
      </c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91"/>
      <c r="DD42" s="91"/>
      <c r="DE42" s="122">
        <f t="shared" si="7"/>
        <v>0</v>
      </c>
      <c r="DF42" s="123">
        <f t="shared" si="8"/>
        <v>0</v>
      </c>
      <c r="DG42" s="124">
        <f t="shared" si="9"/>
        <v>0</v>
      </c>
      <c r="DH42" s="72">
        <f>မိုးမြင့်ထက်!AE19</f>
        <v>0</v>
      </c>
      <c r="DI42" s="73">
        <f>မိုးမြင့်ထက်!AF19</f>
        <v>0</v>
      </c>
      <c r="DJ42" s="125">
        <f>မိုးမြင့်ထက်!AG19</f>
        <v>0</v>
      </c>
      <c r="DK42" s="74">
        <f t="shared" si="1"/>
        <v>0</v>
      </c>
      <c r="DL42" s="75">
        <f t="shared" si="10"/>
        <v>0.32258064516129031</v>
      </c>
      <c r="DM42" s="76">
        <f t="shared" si="12"/>
        <v>-0.32258064516129031</v>
      </c>
      <c r="DO42" s="56"/>
      <c r="DP42" s="79"/>
    </row>
    <row r="43" spans="1:121" ht="24.75" customHeight="1" x14ac:dyDescent="0.5">
      <c r="A43" s="63">
        <v>40</v>
      </c>
      <c r="B43" s="64" t="s">
        <v>9</v>
      </c>
      <c r="C43" s="65" t="s">
        <v>142</v>
      </c>
      <c r="D43" s="66" t="s">
        <v>10</v>
      </c>
      <c r="E43" s="66" t="s">
        <v>143</v>
      </c>
      <c r="F43" s="67" t="s">
        <v>133</v>
      </c>
      <c r="G43" s="68" t="s">
        <v>144</v>
      </c>
      <c r="H43" s="69" t="s">
        <v>145</v>
      </c>
      <c r="I43" s="69" t="s">
        <v>146</v>
      </c>
      <c r="J43" s="95" t="s">
        <v>349</v>
      </c>
      <c r="K43" s="69">
        <v>966.65541062165119</v>
      </c>
      <c r="L43" s="69">
        <v>13533.175748703115</v>
      </c>
      <c r="M43" s="70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120">
        <f t="shared" si="0"/>
        <v>0</v>
      </c>
      <c r="AR43" s="120">
        <f t="shared" si="3"/>
        <v>0</v>
      </c>
      <c r="AS43" s="532">
        <f t="shared" si="11"/>
        <v>0</v>
      </c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120">
        <f t="shared" si="4"/>
        <v>0</v>
      </c>
      <c r="BY43" s="120">
        <f t="shared" si="5"/>
        <v>0</v>
      </c>
      <c r="BZ43" s="128">
        <f t="shared" si="6"/>
        <v>0</v>
      </c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71"/>
      <c r="DD43" s="71"/>
      <c r="DE43" s="122">
        <f t="shared" si="7"/>
        <v>0</v>
      </c>
      <c r="DF43" s="123">
        <f t="shared" si="8"/>
        <v>0</v>
      </c>
      <c r="DG43" s="124">
        <f t="shared" si="9"/>
        <v>0</v>
      </c>
      <c r="DH43" s="72">
        <f>'အောင်ချမ်းသာ '!AE19</f>
        <v>0</v>
      </c>
      <c r="DI43" s="73">
        <f>'အောင်ချမ်းသာ '!AF19</f>
        <v>0</v>
      </c>
      <c r="DJ43" s="125">
        <f>'အောင်ချမ်းသာ '!AG19</f>
        <v>0</v>
      </c>
      <c r="DK43" s="74">
        <f t="shared" si="1"/>
        <v>0</v>
      </c>
      <c r="DL43" s="75">
        <f t="shared" si="10"/>
        <v>0.32258064516129031</v>
      </c>
      <c r="DM43" s="76">
        <f>DK43-DL43</f>
        <v>-0.32258064516129031</v>
      </c>
      <c r="DO43" s="55"/>
      <c r="DP43" s="79"/>
    </row>
    <row r="44" spans="1:121" ht="24.75" customHeight="1" x14ac:dyDescent="0.5">
      <c r="A44" s="63">
        <v>41</v>
      </c>
      <c r="B44" s="64" t="s">
        <v>110</v>
      </c>
      <c r="C44" s="65" t="s">
        <v>302</v>
      </c>
      <c r="D44" s="65" t="s">
        <v>116</v>
      </c>
      <c r="E44" s="65" t="s">
        <v>303</v>
      </c>
      <c r="F44" s="65" t="s">
        <v>133</v>
      </c>
      <c r="G44" s="65" t="s">
        <v>304</v>
      </c>
      <c r="H44" s="65" t="s">
        <v>305</v>
      </c>
      <c r="I44" s="65" t="s">
        <v>306</v>
      </c>
      <c r="J44" s="95" t="s">
        <v>349</v>
      </c>
      <c r="K44" s="69">
        <v>811.79470399830132</v>
      </c>
      <c r="L44" s="69">
        <v>11365.125855976219</v>
      </c>
      <c r="M44" s="90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>
        <v>470</v>
      </c>
      <c r="AI44" s="65">
        <v>5780</v>
      </c>
      <c r="AJ44" s="142">
        <v>5427.2</v>
      </c>
      <c r="AK44" s="65"/>
      <c r="AL44" s="65"/>
      <c r="AM44" s="65"/>
      <c r="AN44" s="65"/>
      <c r="AO44" s="65"/>
      <c r="AP44" s="65"/>
      <c r="AQ44" s="120">
        <f t="shared" si="0"/>
        <v>470</v>
      </c>
      <c r="AR44" s="120">
        <f t="shared" si="3"/>
        <v>5780</v>
      </c>
      <c r="AS44" s="532">
        <f t="shared" si="11"/>
        <v>5427.2</v>
      </c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120">
        <f t="shared" si="4"/>
        <v>470</v>
      </c>
      <c r="BY44" s="120">
        <f t="shared" si="5"/>
        <v>5780</v>
      </c>
      <c r="BZ44" s="128">
        <f t="shared" si="6"/>
        <v>5427.2</v>
      </c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91"/>
      <c r="DD44" s="91"/>
      <c r="DE44" s="122">
        <f t="shared" si="7"/>
        <v>470</v>
      </c>
      <c r="DF44" s="123">
        <f t="shared" si="8"/>
        <v>5780</v>
      </c>
      <c r="DG44" s="144">
        <f t="shared" si="9"/>
        <v>5427.2</v>
      </c>
      <c r="DH44" s="72">
        <f>အောင်ပြည့်စုံ!AE19</f>
        <v>470</v>
      </c>
      <c r="DI44" s="73">
        <f>အောင်ပြည့်စုံ!AF19</f>
        <v>5780</v>
      </c>
      <c r="DJ44" s="145">
        <f>အောင်ပြည့်စုံ!AG19</f>
        <v>5427.2</v>
      </c>
      <c r="DK44" s="74">
        <f t="shared" si="1"/>
        <v>0.50857333858389742</v>
      </c>
      <c r="DL44" s="75">
        <f t="shared" si="10"/>
        <v>0.32258064516129031</v>
      </c>
      <c r="DM44" s="76">
        <f>DK44-DL44</f>
        <v>0.1859926934226071</v>
      </c>
      <c r="DO44" s="55"/>
      <c r="DP44" s="79"/>
    </row>
    <row r="45" spans="1:121" ht="24.75" customHeight="1" thickBot="1" x14ac:dyDescent="0.55000000000000004">
      <c r="A45" s="98"/>
      <c r="B45" s="716" t="s">
        <v>105</v>
      </c>
      <c r="C45" s="717"/>
      <c r="D45" s="718"/>
      <c r="E45" s="96"/>
      <c r="F45" s="96"/>
      <c r="G45" s="96"/>
      <c r="H45" s="96"/>
      <c r="I45" s="96"/>
      <c r="J45" s="99"/>
      <c r="K45" s="100">
        <f>SUM(K4:K44)</f>
        <v>151649.83975770618</v>
      </c>
      <c r="L45" s="100">
        <f>SUM(L4:L44)</f>
        <v>2123102.4</v>
      </c>
      <c r="M45" s="97">
        <f>SUM(M4:M44)</f>
        <v>3376</v>
      </c>
      <c r="N45" s="97">
        <f t="shared" ref="N45:AP45" si="13">SUM(N4:N44)</f>
        <v>47672</v>
      </c>
      <c r="O45" s="97">
        <f t="shared" si="13"/>
        <v>37258.799999999996</v>
      </c>
      <c r="P45" s="97">
        <f t="shared" si="13"/>
        <v>0</v>
      </c>
      <c r="Q45" s="97">
        <f t="shared" si="13"/>
        <v>0</v>
      </c>
      <c r="R45" s="97">
        <f t="shared" si="13"/>
        <v>0</v>
      </c>
      <c r="S45" s="97">
        <f t="shared" si="13"/>
        <v>3823</v>
      </c>
      <c r="T45" s="97">
        <f t="shared" si="13"/>
        <v>53466</v>
      </c>
      <c r="U45" s="97">
        <f t="shared" si="13"/>
        <v>39600.799999999996</v>
      </c>
      <c r="V45" s="97">
        <f t="shared" si="13"/>
        <v>1745</v>
      </c>
      <c r="W45" s="97">
        <f t="shared" si="13"/>
        <v>24890</v>
      </c>
      <c r="X45" s="97">
        <f t="shared" si="13"/>
        <v>17774</v>
      </c>
      <c r="Y45" s="97">
        <f t="shared" si="13"/>
        <v>5895</v>
      </c>
      <c r="Z45" s="97">
        <f t="shared" si="13"/>
        <v>86000</v>
      </c>
      <c r="AA45" s="97">
        <f t="shared" si="13"/>
        <v>61505.599999999999</v>
      </c>
      <c r="AB45" s="97">
        <f t="shared" si="13"/>
        <v>4453</v>
      </c>
      <c r="AC45" s="97">
        <f t="shared" si="13"/>
        <v>63836</v>
      </c>
      <c r="AD45" s="97">
        <f t="shared" si="13"/>
        <v>47044</v>
      </c>
      <c r="AE45" s="97">
        <f t="shared" si="13"/>
        <v>0</v>
      </c>
      <c r="AF45" s="97">
        <f t="shared" si="13"/>
        <v>0</v>
      </c>
      <c r="AG45" s="97">
        <f t="shared" si="13"/>
        <v>0</v>
      </c>
      <c r="AH45" s="97">
        <f t="shared" si="13"/>
        <v>4013</v>
      </c>
      <c r="AI45" s="97">
        <f t="shared" si="13"/>
        <v>59696</v>
      </c>
      <c r="AJ45" s="97">
        <f t="shared" si="13"/>
        <v>45445.840000000004</v>
      </c>
      <c r="AK45" s="97">
        <f t="shared" si="13"/>
        <v>1985</v>
      </c>
      <c r="AL45" s="97">
        <f t="shared" si="13"/>
        <v>30880</v>
      </c>
      <c r="AM45" s="97">
        <f t="shared" si="13"/>
        <v>21100.800000000003</v>
      </c>
      <c r="AN45" s="97">
        <f t="shared" si="13"/>
        <v>3582</v>
      </c>
      <c r="AO45" s="97">
        <f t="shared" si="13"/>
        <v>51674</v>
      </c>
      <c r="AP45" s="97">
        <f t="shared" si="13"/>
        <v>39911.599999999999</v>
      </c>
      <c r="AQ45" s="121">
        <f t="shared" ref="AQ45:DI45" si="14">SUM(AQ4:AQ44)</f>
        <v>28872</v>
      </c>
      <c r="AR45" s="121">
        <f t="shared" si="14"/>
        <v>418114</v>
      </c>
      <c r="AS45" s="533">
        <f t="shared" si="14"/>
        <v>309641.44000000006</v>
      </c>
      <c r="AT45" s="97">
        <f t="shared" si="14"/>
        <v>0</v>
      </c>
      <c r="AU45" s="97">
        <f t="shared" si="14"/>
        <v>0</v>
      </c>
      <c r="AV45" s="97">
        <f t="shared" si="14"/>
        <v>0</v>
      </c>
      <c r="AW45" s="97">
        <f t="shared" si="14"/>
        <v>0</v>
      </c>
      <c r="AX45" s="97">
        <f t="shared" si="14"/>
        <v>0</v>
      </c>
      <c r="AY45" s="97">
        <f t="shared" si="14"/>
        <v>0</v>
      </c>
      <c r="AZ45" s="97">
        <f t="shared" si="14"/>
        <v>0</v>
      </c>
      <c r="BA45" s="97">
        <f t="shared" si="14"/>
        <v>0</v>
      </c>
      <c r="BB45" s="97">
        <f t="shared" si="14"/>
        <v>0</v>
      </c>
      <c r="BC45" s="97">
        <f t="shared" si="14"/>
        <v>0</v>
      </c>
      <c r="BD45" s="97">
        <f t="shared" si="14"/>
        <v>0</v>
      </c>
      <c r="BE45" s="97">
        <f t="shared" si="14"/>
        <v>0</v>
      </c>
      <c r="BF45" s="97">
        <f t="shared" si="14"/>
        <v>0</v>
      </c>
      <c r="BG45" s="97">
        <f t="shared" si="14"/>
        <v>0</v>
      </c>
      <c r="BH45" s="97">
        <f t="shared" si="14"/>
        <v>0</v>
      </c>
      <c r="BI45" s="97">
        <f t="shared" si="14"/>
        <v>0</v>
      </c>
      <c r="BJ45" s="97">
        <f t="shared" si="14"/>
        <v>0</v>
      </c>
      <c r="BK45" s="97">
        <f t="shared" si="14"/>
        <v>0</v>
      </c>
      <c r="BL45" s="97">
        <f t="shared" si="14"/>
        <v>0</v>
      </c>
      <c r="BM45" s="97">
        <f t="shared" si="14"/>
        <v>0</v>
      </c>
      <c r="BN45" s="97">
        <f t="shared" si="14"/>
        <v>0</v>
      </c>
      <c r="BO45" s="97">
        <f t="shared" si="14"/>
        <v>0</v>
      </c>
      <c r="BP45" s="97">
        <f t="shared" si="14"/>
        <v>0</v>
      </c>
      <c r="BQ45" s="97">
        <f t="shared" si="14"/>
        <v>0</v>
      </c>
      <c r="BR45" s="97">
        <f t="shared" si="14"/>
        <v>0</v>
      </c>
      <c r="BS45" s="97">
        <f t="shared" si="14"/>
        <v>0</v>
      </c>
      <c r="BT45" s="97">
        <f t="shared" si="14"/>
        <v>0</v>
      </c>
      <c r="BU45" s="97">
        <f t="shared" si="14"/>
        <v>0</v>
      </c>
      <c r="BV45" s="97">
        <f t="shared" si="14"/>
        <v>0</v>
      </c>
      <c r="BW45" s="97">
        <f t="shared" si="14"/>
        <v>0</v>
      </c>
      <c r="BX45" s="121">
        <f t="shared" si="14"/>
        <v>28872</v>
      </c>
      <c r="BY45" s="121">
        <f>SUM(BY4:BY44)</f>
        <v>418114</v>
      </c>
      <c r="BZ45" s="121">
        <f t="shared" si="14"/>
        <v>309641.44000000006</v>
      </c>
      <c r="CA45" s="97">
        <f t="shared" si="14"/>
        <v>0</v>
      </c>
      <c r="CB45" s="97">
        <f t="shared" si="14"/>
        <v>0</v>
      </c>
      <c r="CC45" s="97">
        <f t="shared" si="14"/>
        <v>0</v>
      </c>
      <c r="CD45" s="97">
        <f t="shared" si="14"/>
        <v>0</v>
      </c>
      <c r="CE45" s="97">
        <f t="shared" si="14"/>
        <v>0</v>
      </c>
      <c r="CF45" s="97">
        <f t="shared" si="14"/>
        <v>0</v>
      </c>
      <c r="CG45" s="97">
        <f t="shared" si="14"/>
        <v>0</v>
      </c>
      <c r="CH45" s="97">
        <f t="shared" si="14"/>
        <v>0</v>
      </c>
      <c r="CI45" s="97">
        <f t="shared" si="14"/>
        <v>0</v>
      </c>
      <c r="CJ45" s="97">
        <f t="shared" si="14"/>
        <v>0</v>
      </c>
      <c r="CK45" s="97">
        <f t="shared" si="14"/>
        <v>0</v>
      </c>
      <c r="CL45" s="97">
        <f t="shared" si="14"/>
        <v>0</v>
      </c>
      <c r="CM45" s="97">
        <f t="shared" si="14"/>
        <v>0</v>
      </c>
      <c r="CN45" s="97">
        <f t="shared" si="14"/>
        <v>0</v>
      </c>
      <c r="CO45" s="97">
        <f t="shared" si="14"/>
        <v>0</v>
      </c>
      <c r="CP45" s="97">
        <f t="shared" si="14"/>
        <v>0</v>
      </c>
      <c r="CQ45" s="97">
        <f t="shared" si="14"/>
        <v>0</v>
      </c>
      <c r="CR45" s="97">
        <f t="shared" si="14"/>
        <v>0</v>
      </c>
      <c r="CS45" s="97">
        <f t="shared" si="14"/>
        <v>0</v>
      </c>
      <c r="CT45" s="97">
        <f t="shared" si="14"/>
        <v>0</v>
      </c>
      <c r="CU45" s="97">
        <f t="shared" si="14"/>
        <v>0</v>
      </c>
      <c r="CV45" s="97">
        <f t="shared" si="14"/>
        <v>0</v>
      </c>
      <c r="CW45" s="97">
        <f t="shared" si="14"/>
        <v>0</v>
      </c>
      <c r="CX45" s="97">
        <f t="shared" si="14"/>
        <v>0</v>
      </c>
      <c r="CY45" s="97">
        <f t="shared" si="14"/>
        <v>0</v>
      </c>
      <c r="CZ45" s="97">
        <f t="shared" si="14"/>
        <v>0</v>
      </c>
      <c r="DA45" s="97">
        <f t="shared" si="14"/>
        <v>0</v>
      </c>
      <c r="DB45" s="97">
        <f t="shared" si="14"/>
        <v>0</v>
      </c>
      <c r="DC45" s="97">
        <f t="shared" si="14"/>
        <v>0</v>
      </c>
      <c r="DD45" s="131">
        <f t="shared" si="14"/>
        <v>0</v>
      </c>
      <c r="DE45" s="133">
        <f t="shared" si="14"/>
        <v>28872</v>
      </c>
      <c r="DF45" s="138">
        <f>SUM(DF4:DF44)</f>
        <v>418114</v>
      </c>
      <c r="DG45" s="139">
        <f>SUM(DG4:DG44)</f>
        <v>309641.44000000006</v>
      </c>
      <c r="DH45" s="133">
        <f t="shared" si="14"/>
        <v>32207</v>
      </c>
      <c r="DI45" s="134">
        <f t="shared" si="14"/>
        <v>465474</v>
      </c>
      <c r="DJ45" s="139">
        <f>SUM(DJ4:DJ44)</f>
        <v>345528.64000000007</v>
      </c>
      <c r="DK45" s="101">
        <f t="shared" si="1"/>
        <v>0.21924236909157091</v>
      </c>
      <c r="DL45" s="75">
        <f t="shared" si="10"/>
        <v>0.32258064516129031</v>
      </c>
      <c r="DM45" s="102">
        <f>DK45-DL45</f>
        <v>-0.1033382760697194</v>
      </c>
      <c r="DO45" s="57"/>
      <c r="DP45" s="79"/>
      <c r="DQ45" s="59"/>
    </row>
    <row r="46" spans="1:121" x14ac:dyDescent="0.5">
      <c r="DF46" s="129"/>
      <c r="DO46" s="55"/>
      <c r="DP46" s="79"/>
    </row>
    <row r="47" spans="1:121" x14ac:dyDescent="0.5">
      <c r="DO47" s="55"/>
      <c r="DP47" s="79"/>
    </row>
    <row r="48" spans="1:121" x14ac:dyDescent="0.5">
      <c r="K48" s="94"/>
      <c r="L48" s="94"/>
    </row>
  </sheetData>
  <mergeCells count="53">
    <mergeCell ref="B45:D45"/>
    <mergeCell ref="DL2:DL3"/>
    <mergeCell ref="DM2:DM3"/>
    <mergeCell ref="I2:I3"/>
    <mergeCell ref="J2:J3"/>
    <mergeCell ref="L2:L3"/>
    <mergeCell ref="DK2:DK3"/>
    <mergeCell ref="CY2:DA2"/>
    <mergeCell ref="P2:R2"/>
    <mergeCell ref="AB2:AD2"/>
    <mergeCell ref="Y2:AA2"/>
    <mergeCell ref="BX2:BZ2"/>
    <mergeCell ref="AE2:AG2"/>
    <mergeCell ref="DB2:DD2"/>
    <mergeCell ref="CV2:CX2"/>
    <mergeCell ref="CP2:CR2"/>
    <mergeCell ref="A2:A3"/>
    <mergeCell ref="B2:C3"/>
    <mergeCell ref="D2:E3"/>
    <mergeCell ref="F2:F3"/>
    <mergeCell ref="G2:H3"/>
    <mergeCell ref="DN3:DP3"/>
    <mergeCell ref="DN4:DP4"/>
    <mergeCell ref="DN5:DP5"/>
    <mergeCell ref="DQ3:DR3"/>
    <mergeCell ref="DQ4:DR4"/>
    <mergeCell ref="DQ5:DR5"/>
    <mergeCell ref="AH2:AJ2"/>
    <mergeCell ref="AK2:AM2"/>
    <mergeCell ref="AN2:AP2"/>
    <mergeCell ref="AT2:AV2"/>
    <mergeCell ref="AQ2:AS2"/>
    <mergeCell ref="AW2:AY2"/>
    <mergeCell ref="AZ2:BB2"/>
    <mergeCell ref="CS2:CU2"/>
    <mergeCell ref="BU2:BW2"/>
    <mergeCell ref="CA2:CC2"/>
    <mergeCell ref="M2:O2"/>
    <mergeCell ref="DE2:DG2"/>
    <mergeCell ref="DH2:DJ2"/>
    <mergeCell ref="K2:K3"/>
    <mergeCell ref="CD2:CF2"/>
    <mergeCell ref="CG2:CI2"/>
    <mergeCell ref="CJ2:CL2"/>
    <mergeCell ref="CM2:CO2"/>
    <mergeCell ref="BC2:BE2"/>
    <mergeCell ref="BF2:BH2"/>
    <mergeCell ref="BI2:BK2"/>
    <mergeCell ref="BL2:BN2"/>
    <mergeCell ref="BO2:BQ2"/>
    <mergeCell ref="BR2:BT2"/>
    <mergeCell ref="S2:U2"/>
    <mergeCell ref="V2:X2"/>
  </mergeCells>
  <conditionalFormatting sqref="DO33:DO47">
    <cfRule type="duplicateValues" dxfId="1" priority="1"/>
  </conditionalFormatting>
  <hyperlinks>
    <hyperlink ref="B6" location="ရွှေဧရာ!A1" display="ရွှေဧရာ" xr:uid="{00000000-0004-0000-0200-000000000000}"/>
    <hyperlink ref="B30" location="တော်ဝင်!A1" display="တော်ဝင်" xr:uid="{00000000-0004-0000-0200-000001000000}"/>
    <hyperlink ref="B43" location="'အောင်ချမ်းသာ '!A1" display="အောင်ချမ်းသာ " xr:uid="{00000000-0004-0000-0200-000002000000}"/>
    <hyperlink ref="B35" location="မမွှေးမွှေး!A1" display="မမွှေးမွှေး" xr:uid="{00000000-0004-0000-0200-000003000000}"/>
    <hyperlink ref="B31" location="ဦးလှဖုန်း!A1" display="ဦးလှဖုန်း" xr:uid="{00000000-0004-0000-0200-000004000000}"/>
    <hyperlink ref="B4" location="မိုးအောင်!A1" display="မိုးအောင်" xr:uid="{00000000-0004-0000-0200-000005000000}"/>
    <hyperlink ref="B23" location="ရွက်သစ်!A1" display="ရွက်သစ်" xr:uid="{00000000-0004-0000-0200-000006000000}"/>
    <hyperlink ref="B27" location="ကိုရွှေသီး!A1" display="ကိုရွှေသီး" xr:uid="{00000000-0004-0000-0200-000007000000}"/>
    <hyperlink ref="B14" location="ကိုဖိုးသက်!A1" display="ကိုဖိုးသက်" xr:uid="{00000000-0004-0000-0200-000008000000}"/>
    <hyperlink ref="B26" location="ဦးအိရွှေ!A1" display="ဦးအိရွှေ" xr:uid="{00000000-0004-0000-0200-000009000000}"/>
    <hyperlink ref="B28" location="ပန်းသတင်း!A1" display="ပန်းသတင်း" xr:uid="{00000000-0004-0000-0200-00000A000000}"/>
    <hyperlink ref="B38" location="ကောင်းမွန်!A1" display="ကောင်းမွန်" xr:uid="{00000000-0004-0000-0200-00000B000000}"/>
    <hyperlink ref="A1" location="နေလ!A1" display="Yangon Market - Wholesales List ( September to December 2023)" xr:uid="{00000000-0004-0000-0200-00000C000000}"/>
    <hyperlink ref="B34" location="နေလ!A1" display="နေလ" xr:uid="{00000000-0004-0000-0200-00000D000000}"/>
    <hyperlink ref="B22" location="ရွှေစည်းစိမ်!A1" display="ရွှေစည်းစိမ်" xr:uid="{00000000-0004-0000-0200-00000E000000}"/>
    <hyperlink ref="B9" location="ပေါ်ဦး!A1" display="ပေါ်ဉီး" xr:uid="{00000000-0004-0000-0200-00000F000000}"/>
    <hyperlink ref="B15" location="မပို့မချို!A1" display="မပို့မချို" xr:uid="{00000000-0004-0000-0200-000010000000}"/>
    <hyperlink ref="B8" location="AAA!A1" display="AAA" xr:uid="{00000000-0004-0000-0200-000011000000}"/>
    <hyperlink ref="B13" location="မြတ်မွှေး!A1" display="မြတ်မွှေး" xr:uid="{00000000-0004-0000-0200-000012000000}"/>
    <hyperlink ref="B18" location="ဘဘကြီး!A1" display="ဘဘကြီး" xr:uid="{00000000-0004-0000-0200-000013000000}"/>
    <hyperlink ref="B17" location="ဦးတင်အေး!A1" display="ဦးတင်အေး" xr:uid="{00000000-0004-0000-0200-000014000000}"/>
    <hyperlink ref="B11" location="ရတနာတိုး!A1" display="ရတနာတိုး (H)" xr:uid="{00000000-0004-0000-0200-000015000000}"/>
    <hyperlink ref="B12" location="မွန်မလေး!A1" display="မွန်မလေး" xr:uid="{00000000-0004-0000-0200-000016000000}"/>
    <hyperlink ref="B21" location="ရွှေဉယျာဉ်!A1" display="ရွှေဉယျာဉ်" xr:uid="{00000000-0004-0000-0200-000017000000}"/>
    <hyperlink ref="B25" location="ဆွေသဟာ!A1" display="ဆွေသဟာ" xr:uid="{00000000-0004-0000-0200-000018000000}"/>
    <hyperlink ref="B5" location="သော်တာထွန်း!A1" display="သော်တာထွန်း" xr:uid="{00000000-0004-0000-0200-000019000000}"/>
    <hyperlink ref="B7" location="မိဘမေတ္တာ!A1" display="မိဘမေတ္တာ" xr:uid="{00000000-0004-0000-0200-00001A000000}"/>
    <hyperlink ref="B29" location="ရှယ်ထူး!A1" display="ရှယ်ထူး" xr:uid="{00000000-0004-0000-0200-00001B000000}"/>
    <hyperlink ref="B19" location="'မချိုချိုလွင် '!A1" display="မချိုချိုလွင်" xr:uid="{00000000-0004-0000-0200-00001C000000}"/>
    <hyperlink ref="B33" location="အနွယ်တော်!A1" display="အနွယ်တော်" xr:uid="{00000000-0004-0000-0200-00001D000000}"/>
    <hyperlink ref="B10" location="ဘောဂ!A1" display="ဘောဂ" xr:uid="{00000000-0004-0000-0200-00001E000000}"/>
    <hyperlink ref="B16" location="ကိုကျော်ဆွေ!A1" display="ကိုကျော်ဆွေ" xr:uid="{00000000-0004-0000-0200-00001F000000}"/>
    <hyperlink ref="B24" location="ဒေလီယာ!A1" display="ဒေလီယာ" xr:uid="{00000000-0004-0000-0200-000020000000}"/>
    <hyperlink ref="B32" location="မသီတာ!A1" display="မသီတာ" xr:uid="{00000000-0004-0000-0200-000021000000}"/>
    <hyperlink ref="B39" location="သုခအောင်!A1" display="သုခအောင်" xr:uid="{00000000-0004-0000-0200-000022000000}"/>
    <hyperlink ref="B40" location="လမင်းသာ!A1" display="လမင်းသာ" xr:uid="{00000000-0004-0000-0200-000023000000}"/>
    <hyperlink ref="B36" location="ဆင်မင်း!A1" display="ဆင်မင်း" xr:uid="{00000000-0004-0000-0200-000024000000}"/>
    <hyperlink ref="B37" location="မာဟန်!A1" display="မာဟန်" xr:uid="{00000000-0004-0000-0200-000025000000}"/>
    <hyperlink ref="B44" location="အောင်ပြည့်စုံ!A1" display="အောင်ပြည့်စုံ" xr:uid="{00000000-0004-0000-0200-000026000000}"/>
    <hyperlink ref="B41" location="ဂျက်ကြီး!A1" display="ဂျက်ကြီး" xr:uid="{00000000-0004-0000-0200-000027000000}"/>
    <hyperlink ref="B42" location="မိုးမြင့်ထက်!A1" display="မိုးမြင့်ထက်" xr:uid="{00000000-0004-0000-0200-000028000000}"/>
    <hyperlink ref="B20" location="ရွှေဇီးကွက်!A1" display="ရွှေဇီးကွက်" xr:uid="{00000000-0004-0000-0200-000029000000}"/>
  </hyperlinks>
  <pageMargins left="0.25" right="0.25" top="0.25" bottom="0.25" header="0.3" footer="0.3"/>
  <pageSetup paperSize="5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0"/>
  <sheetViews>
    <sheetView topLeftCell="A58" workbookViewId="0">
      <selection activeCell="G159" sqref="G159"/>
    </sheetView>
  </sheetViews>
  <sheetFormatPr defaultRowHeight="15" x14ac:dyDescent="0.25"/>
  <cols>
    <col min="1" max="1" width="3.85546875" customWidth="1"/>
    <col min="2" max="2" width="13" customWidth="1"/>
    <col min="3" max="3" width="13.28515625" customWidth="1"/>
    <col min="4" max="4" width="11.28515625" customWidth="1"/>
    <col min="5" max="5" width="14.28515625" customWidth="1"/>
    <col min="6" max="6" width="13.28515625" customWidth="1"/>
    <col min="10" max="10" width="12.7109375" bestFit="1" customWidth="1"/>
    <col min="11" max="11" width="11" bestFit="1" customWidth="1"/>
    <col min="12" max="12" width="9.28515625" bestFit="1" customWidth="1"/>
    <col min="13" max="14" width="0" hidden="1" customWidth="1"/>
    <col min="15" max="15" width="12.7109375" customWidth="1"/>
    <col min="16" max="16" width="30.7109375" customWidth="1"/>
    <col min="17" max="18" width="12.140625" bestFit="1" customWidth="1"/>
  </cols>
  <sheetData>
    <row r="1" spans="1:16" ht="21.75" x14ac:dyDescent="0.25">
      <c r="A1" s="727" t="s">
        <v>1501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  <c r="N1" s="727"/>
      <c r="O1" s="727"/>
      <c r="P1" s="727"/>
    </row>
    <row r="2" spans="1:16" ht="21" x14ac:dyDescent="0.25">
      <c r="A2" s="379" t="s">
        <v>1216</v>
      </c>
      <c r="B2" s="379" t="s">
        <v>1217</v>
      </c>
      <c r="C2" s="379" t="s">
        <v>1218</v>
      </c>
      <c r="D2" s="379" t="s">
        <v>1219</v>
      </c>
      <c r="E2" s="379" t="s">
        <v>1220</v>
      </c>
      <c r="F2" s="379" t="s">
        <v>1221</v>
      </c>
      <c r="G2" s="379" t="s">
        <v>1222</v>
      </c>
      <c r="H2" s="379" t="s">
        <v>1223</v>
      </c>
      <c r="I2" s="380" t="s">
        <v>1224</v>
      </c>
      <c r="J2" s="380" t="s">
        <v>1225</v>
      </c>
      <c r="K2" s="380" t="s">
        <v>1226</v>
      </c>
      <c r="L2" s="380" t="s">
        <v>1227</v>
      </c>
      <c r="M2" s="380" t="s">
        <v>1228</v>
      </c>
      <c r="N2" s="380" t="s">
        <v>1229</v>
      </c>
      <c r="O2" s="379" t="s">
        <v>1230</v>
      </c>
      <c r="P2" s="379" t="s">
        <v>1231</v>
      </c>
    </row>
    <row r="3" spans="1:16" ht="18" x14ac:dyDescent="0.25">
      <c r="A3" s="85">
        <v>1</v>
      </c>
      <c r="B3" s="85" t="s">
        <v>1232</v>
      </c>
      <c r="C3" s="85" t="s">
        <v>35</v>
      </c>
      <c r="D3" s="381"/>
      <c r="E3" s="381"/>
      <c r="F3" s="382">
        <v>45654</v>
      </c>
      <c r="G3" s="383">
        <f t="shared" ref="G3:G39" ca="1" si="0">TODAY()</f>
        <v>46102</v>
      </c>
      <c r="H3" s="384" t="str">
        <f t="shared" ref="H3:H30" ca="1" si="1">DATEDIF(F3,G3,"M")&amp;"-Months"</f>
        <v>14-Months</v>
      </c>
      <c r="I3" s="385" t="s">
        <v>1233</v>
      </c>
      <c r="J3" s="386">
        <v>14000</v>
      </c>
      <c r="K3" s="387"/>
      <c r="L3" s="386"/>
      <c r="M3" s="387"/>
      <c r="N3" s="387"/>
      <c r="O3" s="387">
        <f t="shared" ref="O3:O31" si="2">J3+K3+L3</f>
        <v>14000</v>
      </c>
      <c r="P3" s="538"/>
    </row>
    <row r="4" spans="1:16" ht="18" x14ac:dyDescent="0.25">
      <c r="A4" s="85">
        <v>2</v>
      </c>
      <c r="B4" s="85" t="s">
        <v>1232</v>
      </c>
      <c r="C4" s="85" t="s">
        <v>35</v>
      </c>
      <c r="D4" s="381"/>
      <c r="E4" s="381"/>
      <c r="F4" s="382">
        <v>45656</v>
      </c>
      <c r="G4" s="383">
        <f t="shared" ca="1" si="0"/>
        <v>46102</v>
      </c>
      <c r="H4" s="384" t="str">
        <f t="shared" ca="1" si="1"/>
        <v>14-Months</v>
      </c>
      <c r="I4" s="385" t="s">
        <v>1234</v>
      </c>
      <c r="J4" s="386">
        <v>14000</v>
      </c>
      <c r="K4" s="387"/>
      <c r="L4" s="386"/>
      <c r="M4" s="387"/>
      <c r="N4" s="387"/>
      <c r="O4" s="387">
        <f t="shared" si="2"/>
        <v>14000</v>
      </c>
      <c r="P4" s="538"/>
    </row>
    <row r="5" spans="1:16" ht="18" x14ac:dyDescent="0.25">
      <c r="A5" s="85">
        <v>3</v>
      </c>
      <c r="B5" s="85" t="s">
        <v>1232</v>
      </c>
      <c r="C5" s="85" t="s">
        <v>35</v>
      </c>
      <c r="D5" s="381"/>
      <c r="E5" s="381"/>
      <c r="F5" s="382">
        <v>45657</v>
      </c>
      <c r="G5" s="383">
        <f t="shared" ca="1" si="0"/>
        <v>46102</v>
      </c>
      <c r="H5" s="384" t="str">
        <f t="shared" ca="1" si="1"/>
        <v>14-Months</v>
      </c>
      <c r="I5" s="385" t="s">
        <v>1235</v>
      </c>
      <c r="J5" s="386">
        <v>18000</v>
      </c>
      <c r="K5" s="387"/>
      <c r="L5" s="386"/>
      <c r="M5" s="387"/>
      <c r="N5" s="387"/>
      <c r="O5" s="387">
        <f t="shared" si="2"/>
        <v>18000</v>
      </c>
      <c r="P5" s="538"/>
    </row>
    <row r="6" spans="1:16" ht="18" x14ac:dyDescent="0.25">
      <c r="A6" s="85">
        <v>4</v>
      </c>
      <c r="B6" s="85" t="s">
        <v>1232</v>
      </c>
      <c r="C6" s="85" t="s">
        <v>35</v>
      </c>
      <c r="D6" s="381"/>
      <c r="E6" s="381"/>
      <c r="F6" s="382">
        <v>45659</v>
      </c>
      <c r="G6" s="383">
        <f t="shared" ca="1" si="0"/>
        <v>46102</v>
      </c>
      <c r="H6" s="384" t="str">
        <f t="shared" ca="1" si="1"/>
        <v>14-Months</v>
      </c>
      <c r="I6" s="385" t="s">
        <v>1466</v>
      </c>
      <c r="J6" s="386">
        <v>14000</v>
      </c>
      <c r="K6" s="387"/>
      <c r="L6" s="386"/>
      <c r="M6" s="387"/>
      <c r="N6" s="387"/>
      <c r="O6" s="387">
        <f t="shared" si="2"/>
        <v>14000</v>
      </c>
      <c r="P6" s="538"/>
    </row>
    <row r="7" spans="1:16" ht="18" x14ac:dyDescent="0.25">
      <c r="A7" s="85">
        <v>5</v>
      </c>
      <c r="B7" s="85" t="s">
        <v>1232</v>
      </c>
      <c r="C7" s="85" t="s">
        <v>35</v>
      </c>
      <c r="D7" s="381"/>
      <c r="E7" s="381"/>
      <c r="F7" s="382">
        <v>45659</v>
      </c>
      <c r="G7" s="383">
        <f t="shared" ca="1" si="0"/>
        <v>46102</v>
      </c>
      <c r="H7" s="384" t="str">
        <f t="shared" ca="1" si="1"/>
        <v>14-Months</v>
      </c>
      <c r="I7" s="385" t="s">
        <v>1467</v>
      </c>
      <c r="J7" s="386">
        <v>11700</v>
      </c>
      <c r="K7" s="387"/>
      <c r="L7" s="386"/>
      <c r="M7" s="387"/>
      <c r="N7" s="387"/>
      <c r="O7" s="387">
        <f t="shared" si="2"/>
        <v>11700</v>
      </c>
      <c r="P7" s="538"/>
    </row>
    <row r="8" spans="1:16" ht="18" x14ac:dyDescent="0.25">
      <c r="A8" s="85">
        <v>6</v>
      </c>
      <c r="B8" s="85" t="s">
        <v>1232</v>
      </c>
      <c r="C8" s="85" t="s">
        <v>35</v>
      </c>
      <c r="D8" s="381"/>
      <c r="E8" s="381"/>
      <c r="F8" s="382">
        <v>45660</v>
      </c>
      <c r="G8" s="383">
        <f t="shared" ca="1" si="0"/>
        <v>46102</v>
      </c>
      <c r="H8" s="384" t="str">
        <f t="shared" ca="1" si="1"/>
        <v>14-Months</v>
      </c>
      <c r="I8" s="385" t="s">
        <v>1468</v>
      </c>
      <c r="J8" s="386">
        <v>10000</v>
      </c>
      <c r="K8" s="387"/>
      <c r="L8" s="386"/>
      <c r="M8" s="387"/>
      <c r="N8" s="387"/>
      <c r="O8" s="387">
        <f t="shared" si="2"/>
        <v>10000</v>
      </c>
      <c r="P8" s="538"/>
    </row>
    <row r="9" spans="1:16" ht="18" x14ac:dyDescent="0.25">
      <c r="A9" s="85">
        <v>7</v>
      </c>
      <c r="B9" s="85" t="s">
        <v>1232</v>
      </c>
      <c r="C9" s="85" t="s">
        <v>35</v>
      </c>
      <c r="D9" s="381"/>
      <c r="E9" s="381"/>
      <c r="F9" s="382">
        <v>45661</v>
      </c>
      <c r="G9" s="383">
        <f t="shared" ca="1" si="0"/>
        <v>46102</v>
      </c>
      <c r="H9" s="384" t="str">
        <f t="shared" ca="1" si="1"/>
        <v>14-Months</v>
      </c>
      <c r="I9" s="385" t="s">
        <v>1469</v>
      </c>
      <c r="J9" s="386">
        <v>6000</v>
      </c>
      <c r="K9" s="387"/>
      <c r="L9" s="386"/>
      <c r="M9" s="387"/>
      <c r="N9" s="387"/>
      <c r="O9" s="387">
        <f t="shared" si="2"/>
        <v>6000</v>
      </c>
      <c r="P9" s="538"/>
    </row>
    <row r="10" spans="1:16" ht="18" x14ac:dyDescent="0.25">
      <c r="A10" s="85">
        <v>8</v>
      </c>
      <c r="B10" s="85" t="s">
        <v>1232</v>
      </c>
      <c r="C10" s="85" t="s">
        <v>35</v>
      </c>
      <c r="D10" s="381"/>
      <c r="E10" s="381"/>
      <c r="F10" s="382">
        <v>45661</v>
      </c>
      <c r="G10" s="383">
        <f t="shared" ca="1" si="0"/>
        <v>46102</v>
      </c>
      <c r="H10" s="384" t="str">
        <f t="shared" ca="1" si="1"/>
        <v>14-Months</v>
      </c>
      <c r="I10" s="385" t="s">
        <v>1470</v>
      </c>
      <c r="J10" s="386">
        <v>7700</v>
      </c>
      <c r="K10" s="387"/>
      <c r="L10" s="386"/>
      <c r="M10" s="387"/>
      <c r="N10" s="387"/>
      <c r="O10" s="387">
        <f t="shared" si="2"/>
        <v>7700</v>
      </c>
      <c r="P10" s="538"/>
    </row>
    <row r="11" spans="1:16" ht="18" x14ac:dyDescent="0.25">
      <c r="A11" s="85">
        <v>9</v>
      </c>
      <c r="B11" s="85" t="s">
        <v>1232</v>
      </c>
      <c r="C11" s="85" t="s">
        <v>35</v>
      </c>
      <c r="D11" s="381"/>
      <c r="E11" s="381"/>
      <c r="F11" s="382">
        <v>45663</v>
      </c>
      <c r="G11" s="383">
        <f t="shared" ca="1" si="0"/>
        <v>46102</v>
      </c>
      <c r="H11" s="384" t="str">
        <f t="shared" ca="1" si="1"/>
        <v>14-Months</v>
      </c>
      <c r="I11" s="385" t="s">
        <v>1471</v>
      </c>
      <c r="J11" s="386">
        <v>15000</v>
      </c>
      <c r="K11" s="387"/>
      <c r="L11" s="386"/>
      <c r="M11" s="387"/>
      <c r="N11" s="387"/>
      <c r="O11" s="387">
        <f t="shared" si="2"/>
        <v>15000</v>
      </c>
      <c r="P11" s="538"/>
    </row>
    <row r="12" spans="1:16" ht="18" x14ac:dyDescent="0.25">
      <c r="A12" s="85">
        <v>10</v>
      </c>
      <c r="B12" s="85" t="s">
        <v>1232</v>
      </c>
      <c r="C12" s="85" t="s">
        <v>35</v>
      </c>
      <c r="D12" s="381"/>
      <c r="E12" s="381"/>
      <c r="F12" s="382">
        <v>45664</v>
      </c>
      <c r="G12" s="383">
        <f t="shared" ca="1" si="0"/>
        <v>46102</v>
      </c>
      <c r="H12" s="384" t="str">
        <f t="shared" ca="1" si="1"/>
        <v>14-Months</v>
      </c>
      <c r="I12" s="385" t="s">
        <v>1472</v>
      </c>
      <c r="J12" s="386">
        <v>10000</v>
      </c>
      <c r="K12" s="387"/>
      <c r="L12" s="386"/>
      <c r="M12" s="387"/>
      <c r="N12" s="387"/>
      <c r="O12" s="387">
        <f t="shared" si="2"/>
        <v>10000</v>
      </c>
      <c r="P12" s="538"/>
    </row>
    <row r="13" spans="1:16" ht="18" x14ac:dyDescent="0.25">
      <c r="A13" s="85">
        <v>11</v>
      </c>
      <c r="B13" s="85" t="s">
        <v>1232</v>
      </c>
      <c r="C13" s="85" t="s">
        <v>35</v>
      </c>
      <c r="D13" s="381"/>
      <c r="E13" s="381"/>
      <c r="F13" s="382">
        <v>45665</v>
      </c>
      <c r="G13" s="383">
        <f t="shared" ca="1" si="0"/>
        <v>46102</v>
      </c>
      <c r="H13" s="384" t="str">
        <f t="shared" ca="1" si="1"/>
        <v>14-Months</v>
      </c>
      <c r="I13" s="385" t="s">
        <v>1473</v>
      </c>
      <c r="J13" s="386">
        <v>14500</v>
      </c>
      <c r="K13" s="387"/>
      <c r="L13" s="386"/>
      <c r="M13" s="387"/>
      <c r="N13" s="387"/>
      <c r="O13" s="387">
        <f t="shared" si="2"/>
        <v>14500</v>
      </c>
      <c r="P13" s="538"/>
    </row>
    <row r="14" spans="1:16" ht="18" x14ac:dyDescent="0.25">
      <c r="A14" s="85">
        <v>12</v>
      </c>
      <c r="B14" s="85" t="s">
        <v>1232</v>
      </c>
      <c r="C14" s="85" t="s">
        <v>35</v>
      </c>
      <c r="D14" s="381"/>
      <c r="E14" s="381"/>
      <c r="F14" s="382">
        <v>45666</v>
      </c>
      <c r="G14" s="383">
        <f t="shared" ca="1" si="0"/>
        <v>46102</v>
      </c>
      <c r="H14" s="384" t="str">
        <f t="shared" ca="1" si="1"/>
        <v>14-Months</v>
      </c>
      <c r="I14" s="385" t="s">
        <v>1474</v>
      </c>
      <c r="J14" s="386">
        <v>12000</v>
      </c>
      <c r="K14" s="387"/>
      <c r="L14" s="386"/>
      <c r="M14" s="387"/>
      <c r="N14" s="387"/>
      <c r="O14" s="387">
        <f t="shared" si="2"/>
        <v>12000</v>
      </c>
      <c r="P14" s="538"/>
    </row>
    <row r="15" spans="1:16" ht="18" x14ac:dyDescent="0.25">
      <c r="A15" s="85">
        <v>13</v>
      </c>
      <c r="B15" s="85" t="s">
        <v>1232</v>
      </c>
      <c r="C15" s="85" t="s">
        <v>35</v>
      </c>
      <c r="D15" s="381"/>
      <c r="E15" s="381"/>
      <c r="F15" s="382">
        <v>45667</v>
      </c>
      <c r="G15" s="383">
        <f t="shared" ca="1" si="0"/>
        <v>46102</v>
      </c>
      <c r="H15" s="384" t="str">
        <f t="shared" ca="1" si="1"/>
        <v>14-Months</v>
      </c>
      <c r="I15" s="385" t="s">
        <v>1475</v>
      </c>
      <c r="J15" s="386">
        <v>6000</v>
      </c>
      <c r="K15" s="387"/>
      <c r="L15" s="386"/>
      <c r="M15" s="387"/>
      <c r="N15" s="387"/>
      <c r="O15" s="387">
        <f t="shared" si="2"/>
        <v>6000</v>
      </c>
      <c r="P15" s="538"/>
    </row>
    <row r="16" spans="1:16" ht="18" x14ac:dyDescent="0.25">
      <c r="A16" s="85">
        <v>14</v>
      </c>
      <c r="B16" s="85" t="s">
        <v>14</v>
      </c>
      <c r="C16" s="85" t="s">
        <v>15</v>
      </c>
      <c r="D16" s="381"/>
      <c r="E16" s="381"/>
      <c r="F16" s="382">
        <v>45653</v>
      </c>
      <c r="G16" s="383">
        <f t="shared" ca="1" si="0"/>
        <v>46102</v>
      </c>
      <c r="H16" s="384" t="str">
        <f t="shared" ca="1" si="1"/>
        <v>14-Months</v>
      </c>
      <c r="I16" s="385" t="s">
        <v>1236</v>
      </c>
      <c r="J16" s="386">
        <v>9798000</v>
      </c>
      <c r="K16" s="387"/>
      <c r="L16" s="386"/>
      <c r="M16" s="387"/>
      <c r="N16" s="387"/>
      <c r="O16" s="387">
        <f t="shared" si="2"/>
        <v>9798000</v>
      </c>
      <c r="P16" s="538"/>
    </row>
    <row r="17" spans="1:18" ht="18" x14ac:dyDescent="0.25">
      <c r="A17" s="85">
        <v>15</v>
      </c>
      <c r="B17" s="85" t="s">
        <v>14</v>
      </c>
      <c r="C17" s="85" t="s">
        <v>15</v>
      </c>
      <c r="D17" s="381"/>
      <c r="E17" s="381"/>
      <c r="F17" s="382">
        <v>45654</v>
      </c>
      <c r="G17" s="383">
        <f t="shared" ca="1" si="0"/>
        <v>46102</v>
      </c>
      <c r="H17" s="384" t="str">
        <f t="shared" ca="1" si="1"/>
        <v>14-Months</v>
      </c>
      <c r="I17" s="385" t="s">
        <v>1237</v>
      </c>
      <c r="J17" s="386">
        <v>10503400</v>
      </c>
      <c r="K17" s="387"/>
      <c r="L17" s="386"/>
      <c r="M17" s="387"/>
      <c r="N17" s="387"/>
      <c r="O17" s="387">
        <f t="shared" si="2"/>
        <v>10503400</v>
      </c>
      <c r="P17" s="538"/>
    </row>
    <row r="18" spans="1:18" ht="18" x14ac:dyDescent="0.25">
      <c r="A18" s="85">
        <v>16</v>
      </c>
      <c r="B18" s="85" t="s">
        <v>14</v>
      </c>
      <c r="C18" s="85" t="s">
        <v>15</v>
      </c>
      <c r="D18" s="381"/>
      <c r="E18" s="381"/>
      <c r="F18" s="382">
        <v>45654</v>
      </c>
      <c r="G18" s="383">
        <f t="shared" ca="1" si="0"/>
        <v>46102</v>
      </c>
      <c r="H18" s="384" t="str">
        <f t="shared" ca="1" si="1"/>
        <v>14-Months</v>
      </c>
      <c r="I18" s="385" t="s">
        <v>1238</v>
      </c>
      <c r="J18" s="386">
        <v>18644000</v>
      </c>
      <c r="K18" s="387"/>
      <c r="L18" s="386"/>
      <c r="M18" s="387"/>
      <c r="N18" s="387"/>
      <c r="O18" s="387">
        <f t="shared" si="2"/>
        <v>18644000</v>
      </c>
      <c r="P18" s="538"/>
    </row>
    <row r="19" spans="1:18" ht="18" x14ac:dyDescent="0.25">
      <c r="A19" s="85">
        <v>17</v>
      </c>
      <c r="B19" s="85" t="s">
        <v>14</v>
      </c>
      <c r="C19" s="85" t="s">
        <v>15</v>
      </c>
      <c r="D19" s="381"/>
      <c r="E19" s="381"/>
      <c r="F19" s="382">
        <v>45657</v>
      </c>
      <c r="G19" s="383">
        <f t="shared" ca="1" si="0"/>
        <v>46102</v>
      </c>
      <c r="H19" s="384" t="str">
        <f t="shared" ca="1" si="1"/>
        <v>14-Months</v>
      </c>
      <c r="I19" s="385" t="s">
        <v>1239</v>
      </c>
      <c r="J19" s="386">
        <v>9695000</v>
      </c>
      <c r="K19" s="387"/>
      <c r="L19" s="386"/>
      <c r="M19" s="387"/>
      <c r="N19" s="387"/>
      <c r="O19" s="387">
        <f t="shared" si="2"/>
        <v>9695000</v>
      </c>
      <c r="P19" s="538"/>
    </row>
    <row r="20" spans="1:18" ht="18" x14ac:dyDescent="0.25">
      <c r="A20" s="85">
        <v>18</v>
      </c>
      <c r="B20" s="85" t="s">
        <v>14</v>
      </c>
      <c r="C20" s="85" t="s">
        <v>15</v>
      </c>
      <c r="D20" s="381"/>
      <c r="E20" s="381"/>
      <c r="F20" s="382">
        <v>45659</v>
      </c>
      <c r="G20" s="383">
        <f t="shared" ca="1" si="0"/>
        <v>46102</v>
      </c>
      <c r="H20" s="384" t="str">
        <f t="shared" ca="1" si="1"/>
        <v>14-Months</v>
      </c>
      <c r="I20" s="385" t="s">
        <v>1476</v>
      </c>
      <c r="J20" s="386">
        <v>9622400</v>
      </c>
      <c r="K20" s="387"/>
      <c r="L20" s="386"/>
      <c r="M20" s="387"/>
      <c r="N20" s="387"/>
      <c r="O20" s="387">
        <f t="shared" si="2"/>
        <v>9622400</v>
      </c>
      <c r="P20" s="538"/>
    </row>
    <row r="21" spans="1:18" ht="18" x14ac:dyDescent="0.25">
      <c r="A21" s="85">
        <v>19</v>
      </c>
      <c r="B21" s="85" t="s">
        <v>14</v>
      </c>
      <c r="C21" s="85" t="s">
        <v>15</v>
      </c>
      <c r="D21" s="381"/>
      <c r="E21" s="381"/>
      <c r="F21" s="382">
        <v>45661</v>
      </c>
      <c r="G21" s="383">
        <f t="shared" ca="1" si="0"/>
        <v>46102</v>
      </c>
      <c r="H21" s="384" t="str">
        <f t="shared" ca="1" si="1"/>
        <v>14-Months</v>
      </c>
      <c r="I21" s="385" t="s">
        <v>1477</v>
      </c>
      <c r="J21" s="386">
        <v>9488400</v>
      </c>
      <c r="K21" s="387"/>
      <c r="L21" s="386"/>
      <c r="M21" s="387"/>
      <c r="N21" s="387"/>
      <c r="O21" s="387">
        <f t="shared" si="2"/>
        <v>9488400</v>
      </c>
      <c r="P21" s="538"/>
    </row>
    <row r="22" spans="1:18" ht="18" x14ac:dyDescent="0.25">
      <c r="A22" s="85">
        <v>20</v>
      </c>
      <c r="B22" s="85" t="s">
        <v>14</v>
      </c>
      <c r="C22" s="85" t="s">
        <v>15</v>
      </c>
      <c r="D22" s="381"/>
      <c r="E22" s="381"/>
      <c r="F22" s="382">
        <v>45663</v>
      </c>
      <c r="G22" s="383">
        <f t="shared" ca="1" si="0"/>
        <v>46102</v>
      </c>
      <c r="H22" s="384" t="str">
        <f t="shared" ca="1" si="1"/>
        <v>14-Months</v>
      </c>
      <c r="I22" s="385" t="s">
        <v>1478</v>
      </c>
      <c r="J22" s="386">
        <v>9863400</v>
      </c>
      <c r="K22" s="387"/>
      <c r="L22" s="386"/>
      <c r="M22" s="387"/>
      <c r="N22" s="387"/>
      <c r="O22" s="387">
        <f t="shared" si="2"/>
        <v>9863400</v>
      </c>
      <c r="P22" s="538"/>
    </row>
    <row r="23" spans="1:18" ht="18" x14ac:dyDescent="0.25">
      <c r="A23" s="85">
        <v>21</v>
      </c>
      <c r="B23" s="85" t="s">
        <v>14</v>
      </c>
      <c r="C23" s="85" t="s">
        <v>15</v>
      </c>
      <c r="D23" s="381"/>
      <c r="E23" s="381"/>
      <c r="F23" s="382">
        <v>45664</v>
      </c>
      <c r="G23" s="383">
        <f t="shared" ca="1" si="0"/>
        <v>46102</v>
      </c>
      <c r="H23" s="384" t="str">
        <f t="shared" ca="1" si="1"/>
        <v>14-Months</v>
      </c>
      <c r="I23" s="385" t="s">
        <v>1479</v>
      </c>
      <c r="J23" s="386">
        <v>9293800</v>
      </c>
      <c r="K23" s="387"/>
      <c r="L23" s="386"/>
      <c r="M23" s="387"/>
      <c r="N23" s="387"/>
      <c r="O23" s="387">
        <f t="shared" si="2"/>
        <v>9293800</v>
      </c>
      <c r="P23" s="538"/>
    </row>
    <row r="24" spans="1:18" ht="18" x14ac:dyDescent="0.25">
      <c r="A24" s="85">
        <v>22</v>
      </c>
      <c r="B24" s="85" t="s">
        <v>14</v>
      </c>
      <c r="C24" s="85" t="s">
        <v>15</v>
      </c>
      <c r="D24" s="381"/>
      <c r="E24" s="381"/>
      <c r="F24" s="382">
        <v>45664</v>
      </c>
      <c r="G24" s="383">
        <f t="shared" ca="1" si="0"/>
        <v>46102</v>
      </c>
      <c r="H24" s="384" t="str">
        <f t="shared" ca="1" si="1"/>
        <v>14-Months</v>
      </c>
      <c r="I24" s="385" t="s">
        <v>1480</v>
      </c>
      <c r="J24" s="386">
        <v>10362000</v>
      </c>
      <c r="K24" s="387"/>
      <c r="L24" s="386"/>
      <c r="M24" s="387"/>
      <c r="N24" s="387"/>
      <c r="O24" s="387">
        <f t="shared" si="2"/>
        <v>10362000</v>
      </c>
      <c r="P24" s="538"/>
    </row>
    <row r="25" spans="1:18" ht="18" x14ac:dyDescent="0.25">
      <c r="A25" s="85">
        <v>23</v>
      </c>
      <c r="B25" s="85" t="s">
        <v>14</v>
      </c>
      <c r="C25" s="85" t="s">
        <v>15</v>
      </c>
      <c r="D25" s="381"/>
      <c r="E25" s="381"/>
      <c r="F25" s="382">
        <v>45665</v>
      </c>
      <c r="G25" s="383">
        <f t="shared" ca="1" si="0"/>
        <v>46102</v>
      </c>
      <c r="H25" s="384" t="str">
        <f t="shared" ca="1" si="1"/>
        <v>14-Months</v>
      </c>
      <c r="I25" s="385" t="s">
        <v>1481</v>
      </c>
      <c r="J25" s="386">
        <v>9176200</v>
      </c>
      <c r="K25" s="387"/>
      <c r="L25" s="386"/>
      <c r="M25" s="387"/>
      <c r="N25" s="387"/>
      <c r="O25" s="387">
        <f t="shared" si="2"/>
        <v>9176200</v>
      </c>
      <c r="P25" s="538"/>
    </row>
    <row r="26" spans="1:18" ht="18" x14ac:dyDescent="0.25">
      <c r="A26" s="85">
        <v>24</v>
      </c>
      <c r="B26" s="85" t="s">
        <v>14</v>
      </c>
      <c r="C26" s="85" t="s">
        <v>15</v>
      </c>
      <c r="D26" s="381"/>
      <c r="E26" s="381"/>
      <c r="F26" s="382">
        <v>45666</v>
      </c>
      <c r="G26" s="383">
        <f t="shared" ca="1" si="0"/>
        <v>46102</v>
      </c>
      <c r="H26" s="384" t="str">
        <f t="shared" ca="1" si="1"/>
        <v>14-Months</v>
      </c>
      <c r="I26" s="385" t="s">
        <v>1482</v>
      </c>
      <c r="J26" s="386">
        <v>9970000</v>
      </c>
      <c r="K26" s="387"/>
      <c r="L26" s="386"/>
      <c r="M26" s="387"/>
      <c r="N26" s="387"/>
      <c r="O26" s="387">
        <f t="shared" si="2"/>
        <v>9970000</v>
      </c>
      <c r="P26" s="538"/>
    </row>
    <row r="27" spans="1:18" ht="18" x14ac:dyDescent="0.25">
      <c r="A27" s="85">
        <v>25</v>
      </c>
      <c r="B27" s="85" t="s">
        <v>14</v>
      </c>
      <c r="C27" s="85" t="s">
        <v>15</v>
      </c>
      <c r="D27" s="381"/>
      <c r="E27" s="381"/>
      <c r="F27" s="382">
        <v>45667</v>
      </c>
      <c r="G27" s="383">
        <f t="shared" ca="1" si="0"/>
        <v>46102</v>
      </c>
      <c r="H27" s="384" t="str">
        <f t="shared" ca="1" si="1"/>
        <v>14-Months</v>
      </c>
      <c r="I27" s="385" t="s">
        <v>1483</v>
      </c>
      <c r="J27" s="386">
        <v>9233400</v>
      </c>
      <c r="K27" s="387"/>
      <c r="L27" s="386"/>
      <c r="M27" s="387"/>
      <c r="N27" s="387"/>
      <c r="O27" s="387">
        <f t="shared" si="2"/>
        <v>9233400</v>
      </c>
      <c r="P27" s="538"/>
    </row>
    <row r="28" spans="1:18" ht="18" x14ac:dyDescent="0.25">
      <c r="A28" s="85">
        <v>26</v>
      </c>
      <c r="B28" s="85" t="s">
        <v>44</v>
      </c>
      <c r="C28" s="85" t="s">
        <v>115</v>
      </c>
      <c r="D28" s="85"/>
      <c r="E28" s="389"/>
      <c r="F28" s="382">
        <v>45665</v>
      </c>
      <c r="G28" s="383">
        <f t="shared" ca="1" si="0"/>
        <v>46102</v>
      </c>
      <c r="H28" s="384" t="str">
        <f t="shared" ca="1" si="1"/>
        <v>14-Months</v>
      </c>
      <c r="I28" s="385" t="s">
        <v>1484</v>
      </c>
      <c r="J28" s="386">
        <v>11860000</v>
      </c>
      <c r="K28" s="387"/>
      <c r="L28" s="390"/>
      <c r="M28" s="391"/>
      <c r="N28" s="391"/>
      <c r="O28" s="387">
        <f t="shared" si="2"/>
        <v>11860000</v>
      </c>
      <c r="P28" s="538"/>
    </row>
    <row r="29" spans="1:18" ht="18" x14ac:dyDescent="0.25">
      <c r="A29" s="85">
        <v>27</v>
      </c>
      <c r="B29" s="85" t="s">
        <v>37</v>
      </c>
      <c r="C29" s="85" t="s">
        <v>38</v>
      </c>
      <c r="D29" s="85"/>
      <c r="E29" s="389"/>
      <c r="F29" s="382">
        <v>45664</v>
      </c>
      <c r="G29" s="383">
        <f t="shared" ca="1" si="0"/>
        <v>46102</v>
      </c>
      <c r="H29" s="384" t="str">
        <f t="shared" ca="1" si="1"/>
        <v>14-Months</v>
      </c>
      <c r="I29" s="385" t="s">
        <v>1485</v>
      </c>
      <c r="J29" s="386">
        <v>4330000</v>
      </c>
      <c r="K29" s="391"/>
      <c r="L29" s="390"/>
      <c r="M29" s="391"/>
      <c r="N29" s="391"/>
      <c r="O29" s="387">
        <f t="shared" si="2"/>
        <v>4330000</v>
      </c>
      <c r="P29" s="538"/>
      <c r="R29" s="388">
        <f>J32+J43+J33+J34+J35</f>
        <v>37431400</v>
      </c>
    </row>
    <row r="30" spans="1:18" ht="18" x14ac:dyDescent="0.25">
      <c r="A30" s="85">
        <v>28</v>
      </c>
      <c r="B30" s="85" t="s">
        <v>37</v>
      </c>
      <c r="C30" s="85" t="s">
        <v>38</v>
      </c>
      <c r="D30" s="85"/>
      <c r="E30" s="389"/>
      <c r="F30" s="382">
        <v>45666</v>
      </c>
      <c r="G30" s="383">
        <f t="shared" ca="1" si="0"/>
        <v>46102</v>
      </c>
      <c r="H30" s="384" t="str">
        <f t="shared" ca="1" si="1"/>
        <v>14-Months</v>
      </c>
      <c r="I30" s="385" t="s">
        <v>1486</v>
      </c>
      <c r="J30" s="385">
        <v>4330000</v>
      </c>
      <c r="K30" s="391"/>
      <c r="L30" s="390"/>
      <c r="M30" s="391"/>
      <c r="N30" s="391"/>
      <c r="O30" s="387">
        <f t="shared" si="2"/>
        <v>4330000</v>
      </c>
      <c r="P30" s="538"/>
    </row>
    <row r="31" spans="1:18" ht="18" x14ac:dyDescent="0.25">
      <c r="A31" s="85">
        <v>29</v>
      </c>
      <c r="B31" s="85" t="s">
        <v>106</v>
      </c>
      <c r="C31" s="85" t="s">
        <v>113</v>
      </c>
      <c r="D31" s="85"/>
      <c r="E31" s="389"/>
      <c r="F31" s="382">
        <v>45664</v>
      </c>
      <c r="G31" s="383">
        <f t="shared" ca="1" si="0"/>
        <v>46102</v>
      </c>
      <c r="H31" s="384" t="s">
        <v>1240</v>
      </c>
      <c r="I31" s="385" t="s">
        <v>1487</v>
      </c>
      <c r="J31" s="386">
        <v>4425200</v>
      </c>
      <c r="K31" s="391"/>
      <c r="L31" s="390"/>
      <c r="M31" s="391"/>
      <c r="N31" s="391"/>
      <c r="O31" s="387">
        <f t="shared" si="2"/>
        <v>4425200</v>
      </c>
      <c r="P31" s="538"/>
      <c r="Q31" s="392">
        <f>O3+O4+O5+O16+O17+O18+O19+O29+O30+O31+O50</f>
        <v>76309600</v>
      </c>
    </row>
    <row r="32" spans="1:18" ht="21" customHeight="1" x14ac:dyDescent="0.25">
      <c r="A32" s="85">
        <v>30</v>
      </c>
      <c r="B32" s="85" t="s">
        <v>21</v>
      </c>
      <c r="C32" s="85" t="s">
        <v>1241</v>
      </c>
      <c r="D32" s="85"/>
      <c r="E32" s="389"/>
      <c r="F32" s="382">
        <v>45321</v>
      </c>
      <c r="G32" s="383">
        <f t="shared" ca="1" si="0"/>
        <v>46102</v>
      </c>
      <c r="H32" s="393" t="str">
        <f ca="1">DATEDIF(F32,G32,"M")&amp;"-Months"</f>
        <v>25-Months</v>
      </c>
      <c r="I32" s="385" t="s">
        <v>1242</v>
      </c>
      <c r="J32" s="386">
        <v>7475000</v>
      </c>
      <c r="K32" s="391"/>
      <c r="L32" s="390"/>
      <c r="M32" s="391"/>
      <c r="N32" s="391"/>
      <c r="O32" s="394">
        <f>J32+K32+L32</f>
        <v>7475000</v>
      </c>
      <c r="P32" s="538" t="s">
        <v>1243</v>
      </c>
    </row>
    <row r="33" spans="1:18" ht="18" x14ac:dyDescent="0.25">
      <c r="A33" s="85">
        <v>31</v>
      </c>
      <c r="B33" s="85" t="s">
        <v>52</v>
      </c>
      <c r="C33" s="85" t="s">
        <v>53</v>
      </c>
      <c r="D33" s="85"/>
      <c r="E33" s="389"/>
      <c r="F33" s="382">
        <v>45667</v>
      </c>
      <c r="G33" s="383">
        <f t="shared" ca="1" si="0"/>
        <v>46102</v>
      </c>
      <c r="H33" s="384" t="str">
        <f t="shared" ref="H33:H39" ca="1" si="3">DATEDIF(F33,G33,"M")&amp;"-Months"</f>
        <v>14-Months</v>
      </c>
      <c r="I33" s="385" t="s">
        <v>1489</v>
      </c>
      <c r="J33" s="386">
        <v>10182000</v>
      </c>
      <c r="K33" s="391"/>
      <c r="L33" s="390"/>
      <c r="M33" s="391"/>
      <c r="N33" s="391"/>
      <c r="O33" s="387">
        <f>J33+K33+L33</f>
        <v>10182000</v>
      </c>
      <c r="P33" s="538"/>
    </row>
    <row r="34" spans="1:18" ht="18" x14ac:dyDescent="0.25">
      <c r="A34" s="85">
        <v>32</v>
      </c>
      <c r="B34" s="85" t="s">
        <v>29</v>
      </c>
      <c r="C34" s="85" t="s">
        <v>30</v>
      </c>
      <c r="D34" s="85"/>
      <c r="E34" s="389"/>
      <c r="F34" s="382">
        <v>45664</v>
      </c>
      <c r="G34" s="383">
        <f t="shared" ca="1" si="0"/>
        <v>46102</v>
      </c>
      <c r="H34" s="384" t="str">
        <f t="shared" ca="1" si="3"/>
        <v>14-Months</v>
      </c>
      <c r="I34" s="385" t="s">
        <v>1490</v>
      </c>
      <c r="J34" s="386">
        <v>9455200</v>
      </c>
      <c r="K34" s="391"/>
      <c r="L34" s="390"/>
      <c r="M34" s="391"/>
      <c r="N34" s="391"/>
      <c r="O34" s="387">
        <f t="shared" ref="O34:O40" si="4">J34+K34+L34</f>
        <v>9455200</v>
      </c>
      <c r="P34" s="538"/>
    </row>
    <row r="35" spans="1:18" ht="18" x14ac:dyDescent="0.25">
      <c r="A35" s="85">
        <v>33</v>
      </c>
      <c r="B35" s="85" t="s">
        <v>29</v>
      </c>
      <c r="C35" s="85" t="s">
        <v>30</v>
      </c>
      <c r="D35" s="85"/>
      <c r="E35" s="389"/>
      <c r="F35" s="382">
        <v>45667</v>
      </c>
      <c r="G35" s="383">
        <f t="shared" ca="1" si="0"/>
        <v>46102</v>
      </c>
      <c r="H35" s="384" t="str">
        <f t="shared" ca="1" si="3"/>
        <v>14-Months</v>
      </c>
      <c r="I35" s="385" t="s">
        <v>1491</v>
      </c>
      <c r="J35" s="386">
        <v>9697200</v>
      </c>
      <c r="K35" s="391"/>
      <c r="L35" s="390"/>
      <c r="M35" s="391"/>
      <c r="N35" s="391"/>
      <c r="O35" s="387">
        <f t="shared" si="4"/>
        <v>9697200</v>
      </c>
      <c r="P35" s="538"/>
      <c r="R35" s="388">
        <f>150748100+O50</f>
        <v>165286100</v>
      </c>
    </row>
    <row r="36" spans="1:18" ht="18" x14ac:dyDescent="0.25">
      <c r="A36" s="85">
        <v>34</v>
      </c>
      <c r="B36" s="85" t="s">
        <v>7</v>
      </c>
      <c r="C36" s="85" t="s">
        <v>429</v>
      </c>
      <c r="D36" s="85"/>
      <c r="E36" s="389"/>
      <c r="F36" s="382">
        <v>45663</v>
      </c>
      <c r="G36" s="383">
        <f t="shared" ca="1" si="0"/>
        <v>46102</v>
      </c>
      <c r="H36" s="384" t="str">
        <f t="shared" ca="1" si="3"/>
        <v>14-Months</v>
      </c>
      <c r="I36" s="385" t="s">
        <v>1492</v>
      </c>
      <c r="J36" s="386">
        <v>4145200</v>
      </c>
      <c r="K36" s="391"/>
      <c r="L36" s="390"/>
      <c r="M36" s="391"/>
      <c r="N36" s="391"/>
      <c r="O36" s="387">
        <f t="shared" si="4"/>
        <v>4145200</v>
      </c>
      <c r="P36" s="538"/>
    </row>
    <row r="37" spans="1:18" ht="18" x14ac:dyDescent="0.25">
      <c r="A37" s="85">
        <v>35</v>
      </c>
      <c r="B37" s="85" t="s">
        <v>7</v>
      </c>
      <c r="C37" s="85" t="s">
        <v>429</v>
      </c>
      <c r="D37" s="85"/>
      <c r="E37" s="389"/>
      <c r="F37" s="382">
        <v>45667</v>
      </c>
      <c r="G37" s="383">
        <f t="shared" ca="1" si="0"/>
        <v>46102</v>
      </c>
      <c r="H37" s="384" t="str">
        <f t="shared" ca="1" si="3"/>
        <v>14-Months</v>
      </c>
      <c r="I37" s="385" t="s">
        <v>1493</v>
      </c>
      <c r="J37" s="386">
        <v>4628000</v>
      </c>
      <c r="K37" s="391"/>
      <c r="L37" s="390"/>
      <c r="M37" s="391"/>
      <c r="N37" s="391"/>
      <c r="O37" s="387">
        <f t="shared" si="4"/>
        <v>4628000</v>
      </c>
      <c r="P37" s="538"/>
    </row>
    <row r="38" spans="1:18" ht="18" x14ac:dyDescent="0.25">
      <c r="A38" s="85">
        <v>36</v>
      </c>
      <c r="B38" s="85" t="s">
        <v>57</v>
      </c>
      <c r="C38" s="85" t="s">
        <v>56</v>
      </c>
      <c r="D38" s="85"/>
      <c r="E38" s="389"/>
      <c r="F38" s="382">
        <v>45656</v>
      </c>
      <c r="G38" s="383">
        <f t="shared" ca="1" si="0"/>
        <v>46102</v>
      </c>
      <c r="H38" s="384" t="str">
        <f t="shared" ca="1" si="3"/>
        <v>14-Months</v>
      </c>
      <c r="I38" s="385" t="s">
        <v>1244</v>
      </c>
      <c r="J38" s="386">
        <v>565600</v>
      </c>
      <c r="K38" s="391"/>
      <c r="L38" s="390"/>
      <c r="M38" s="391"/>
      <c r="N38" s="391"/>
      <c r="O38" s="387">
        <f t="shared" si="4"/>
        <v>565600</v>
      </c>
      <c r="P38" s="538"/>
      <c r="Q38" s="388"/>
    </row>
    <row r="39" spans="1:18" ht="18" x14ac:dyDescent="0.25">
      <c r="A39" s="85">
        <v>37</v>
      </c>
      <c r="B39" s="85" t="s">
        <v>57</v>
      </c>
      <c r="C39" s="85" t="s">
        <v>56</v>
      </c>
      <c r="D39" s="85"/>
      <c r="E39" s="389"/>
      <c r="F39" s="382">
        <v>45656</v>
      </c>
      <c r="G39" s="383">
        <f t="shared" ca="1" si="0"/>
        <v>46102</v>
      </c>
      <c r="H39" s="384" t="str">
        <f t="shared" ca="1" si="3"/>
        <v>14-Months</v>
      </c>
      <c r="I39" s="385" t="s">
        <v>1245</v>
      </c>
      <c r="J39" s="386">
        <v>9058200</v>
      </c>
      <c r="K39" s="391"/>
      <c r="L39" s="390"/>
      <c r="M39" s="391"/>
      <c r="N39" s="391"/>
      <c r="O39" s="387">
        <f t="shared" si="4"/>
        <v>9058200</v>
      </c>
      <c r="P39" s="538"/>
      <c r="R39" s="388">
        <f>55206400+J47+J115+L47</f>
        <v>60041223</v>
      </c>
    </row>
    <row r="40" spans="1:18" ht="26.25" customHeight="1" x14ac:dyDescent="0.25">
      <c r="A40" s="395"/>
      <c r="B40" s="396" t="s">
        <v>1246</v>
      </c>
      <c r="C40" s="397"/>
      <c r="D40" s="396"/>
      <c r="E40" s="396"/>
      <c r="F40" s="398"/>
      <c r="G40" s="398"/>
      <c r="H40" s="399"/>
      <c r="I40" s="400"/>
      <c r="J40" s="401">
        <f>SUM(J3:J39)</f>
        <v>205954500</v>
      </c>
      <c r="K40" s="402">
        <f>SUM(K3:K39)</f>
        <v>0</v>
      </c>
      <c r="L40" s="401"/>
      <c r="M40" s="402"/>
      <c r="N40" s="402"/>
      <c r="O40" s="402">
        <f t="shared" si="4"/>
        <v>205954500</v>
      </c>
      <c r="P40" s="541"/>
    </row>
    <row r="41" spans="1:18" ht="18" x14ac:dyDescent="0.25">
      <c r="A41" s="85"/>
      <c r="B41" s="403"/>
      <c r="C41" s="404"/>
      <c r="D41" s="403"/>
      <c r="E41" s="403"/>
      <c r="F41" s="405"/>
      <c r="G41" s="405"/>
      <c r="H41" s="406"/>
      <c r="I41" s="407"/>
      <c r="J41" s="408"/>
      <c r="K41" s="409"/>
      <c r="L41" s="408"/>
      <c r="M41" s="409"/>
      <c r="N41" s="409"/>
      <c r="O41" s="409"/>
      <c r="P41" s="542"/>
      <c r="Q41" s="388"/>
    </row>
    <row r="42" spans="1:18" ht="18" x14ac:dyDescent="0.25">
      <c r="A42" s="85">
        <v>1</v>
      </c>
      <c r="B42" s="85" t="s">
        <v>1247</v>
      </c>
      <c r="C42" s="85" t="s">
        <v>30</v>
      </c>
      <c r="D42" s="85"/>
      <c r="E42" s="389"/>
      <c r="F42" s="382">
        <v>44813</v>
      </c>
      <c r="G42" s="383">
        <f ca="1">TODAY()</f>
        <v>46102</v>
      </c>
      <c r="H42" s="420" t="str">
        <f ca="1">DATEDIF(F42,G42,"M")&amp;"-Months"</f>
        <v>42-Months</v>
      </c>
      <c r="I42" s="410" t="s">
        <v>1248</v>
      </c>
      <c r="J42" s="386"/>
      <c r="K42" s="391"/>
      <c r="L42" s="386">
        <v>300000</v>
      </c>
      <c r="M42" s="391"/>
      <c r="N42" s="391"/>
      <c r="O42" s="411">
        <f t="shared" ref="O42:O47" si="5">J42+K42+L42</f>
        <v>300000</v>
      </c>
      <c r="P42" s="538" t="s">
        <v>1249</v>
      </c>
    </row>
    <row r="43" spans="1:18" ht="18" x14ac:dyDescent="0.25">
      <c r="A43" s="85">
        <v>2</v>
      </c>
      <c r="B43" s="85" t="s">
        <v>1250</v>
      </c>
      <c r="C43" s="85" t="s">
        <v>56</v>
      </c>
      <c r="D43" s="381"/>
      <c r="E43" s="381"/>
      <c r="F43" s="382">
        <v>45661</v>
      </c>
      <c r="G43" s="383">
        <f ca="1">TODAY()</f>
        <v>46102</v>
      </c>
      <c r="H43" s="384" t="str">
        <f ca="1">DATEDIF(F43,G43,"M")&amp;"-Months"</f>
        <v>14-Months</v>
      </c>
      <c r="I43" s="385" t="s">
        <v>1488</v>
      </c>
      <c r="J43" s="386">
        <v>622000</v>
      </c>
      <c r="K43" s="387"/>
      <c r="L43" s="386"/>
      <c r="M43" s="387"/>
      <c r="N43" s="387"/>
      <c r="O43" s="387">
        <f t="shared" si="5"/>
        <v>622000</v>
      </c>
      <c r="P43" s="538"/>
    </row>
    <row r="44" spans="1:18" ht="18" x14ac:dyDescent="0.25">
      <c r="A44" s="85">
        <v>3</v>
      </c>
      <c r="B44" s="85" t="s">
        <v>464</v>
      </c>
      <c r="C44" s="85" t="s">
        <v>56</v>
      </c>
      <c r="D44" s="381"/>
      <c r="E44" s="381"/>
      <c r="F44" s="382">
        <v>45667</v>
      </c>
      <c r="G44" s="383">
        <f ca="1">TODAY()</f>
        <v>46102</v>
      </c>
      <c r="H44" s="384" t="str">
        <f ca="1">DATEDIF(F44,G44,"M")&amp;"-Months"</f>
        <v>14-Months</v>
      </c>
      <c r="I44" s="385" t="s">
        <v>1494</v>
      </c>
      <c r="J44" s="386">
        <v>261000</v>
      </c>
      <c r="K44" s="387"/>
      <c r="L44" s="386"/>
      <c r="M44" s="387"/>
      <c r="N44" s="387"/>
      <c r="O44" s="387">
        <f t="shared" si="5"/>
        <v>261000</v>
      </c>
      <c r="P44" s="538"/>
    </row>
    <row r="45" spans="1:18" ht="18" x14ac:dyDescent="0.25">
      <c r="A45" s="85">
        <v>4</v>
      </c>
      <c r="B45" s="85" t="s">
        <v>470</v>
      </c>
      <c r="C45" s="85" t="s">
        <v>472</v>
      </c>
      <c r="D45" s="381"/>
      <c r="E45" s="381"/>
      <c r="F45" s="382">
        <v>45659</v>
      </c>
      <c r="G45" s="383">
        <f ca="1">TODAY()</f>
        <v>46102</v>
      </c>
      <c r="H45" s="384" t="str">
        <f ca="1">DATEDIF(F45,G45,"M")&amp;"-Months"</f>
        <v>14-Months</v>
      </c>
      <c r="I45" s="385" t="s">
        <v>1495</v>
      </c>
      <c r="J45" s="386">
        <v>1684600</v>
      </c>
      <c r="K45" s="387"/>
      <c r="L45" s="386"/>
      <c r="M45" s="387"/>
      <c r="N45" s="387"/>
      <c r="O45" s="387">
        <f t="shared" si="5"/>
        <v>1684600</v>
      </c>
      <c r="P45" s="538"/>
      <c r="Q45" s="392">
        <f>J32+J33+J34+J39+O47+J115</f>
        <v>41005223</v>
      </c>
    </row>
    <row r="46" spans="1:18" ht="18" x14ac:dyDescent="0.25">
      <c r="A46" s="85">
        <v>5</v>
      </c>
      <c r="B46" s="85" t="s">
        <v>470</v>
      </c>
      <c r="C46" s="85" t="s">
        <v>472</v>
      </c>
      <c r="D46" s="381"/>
      <c r="E46" s="381"/>
      <c r="F46" s="382">
        <v>45665</v>
      </c>
      <c r="G46" s="383">
        <f ca="1">TODAY()</f>
        <v>46102</v>
      </c>
      <c r="H46" s="384" t="str">
        <f ca="1">DATEDIF(F46,G46,"M")&amp;"-Months"</f>
        <v>14-Months</v>
      </c>
      <c r="I46" s="385" t="s">
        <v>1496</v>
      </c>
      <c r="J46" s="386">
        <v>87500</v>
      </c>
      <c r="K46" s="387"/>
      <c r="L46" s="386"/>
      <c r="M46" s="387"/>
      <c r="N46" s="387"/>
      <c r="O46" s="387">
        <f t="shared" si="5"/>
        <v>87500</v>
      </c>
      <c r="P46" s="538"/>
      <c r="Q46" s="392"/>
    </row>
    <row r="47" spans="1:18" ht="21" x14ac:dyDescent="0.25">
      <c r="A47" s="395"/>
      <c r="B47" s="396" t="s">
        <v>1251</v>
      </c>
      <c r="C47" s="397"/>
      <c r="D47" s="396"/>
      <c r="E47" s="396"/>
      <c r="F47" s="398"/>
      <c r="G47" s="398"/>
      <c r="H47" s="399"/>
      <c r="I47" s="400"/>
      <c r="J47" s="401">
        <f>SUM(J42:J46)</f>
        <v>2655100</v>
      </c>
      <c r="K47" s="402"/>
      <c r="L47" s="401">
        <f>SUM(L42:L45)</f>
        <v>300000</v>
      </c>
      <c r="M47" s="402"/>
      <c r="N47" s="402"/>
      <c r="O47" s="402">
        <f t="shared" si="5"/>
        <v>2955100</v>
      </c>
      <c r="P47" s="541"/>
    </row>
    <row r="48" spans="1:18" ht="18" x14ac:dyDescent="0.25">
      <c r="A48" s="85"/>
      <c r="B48" s="403"/>
      <c r="C48" s="404"/>
      <c r="D48" s="403"/>
      <c r="E48" s="403"/>
      <c r="F48" s="405"/>
      <c r="G48" s="405"/>
      <c r="H48" s="406"/>
      <c r="I48" s="407"/>
      <c r="J48" s="408"/>
      <c r="K48" s="409"/>
      <c r="L48" s="408"/>
      <c r="M48" s="409"/>
      <c r="N48" s="409"/>
      <c r="O48" s="409"/>
      <c r="P48" s="542"/>
    </row>
    <row r="49" spans="1:17" ht="18" x14ac:dyDescent="0.25">
      <c r="A49" s="85">
        <v>1</v>
      </c>
      <c r="B49" s="85" t="s">
        <v>1252</v>
      </c>
      <c r="C49" s="85" t="s">
        <v>1253</v>
      </c>
      <c r="D49" s="85"/>
      <c r="E49" s="389"/>
      <c r="F49" s="382">
        <v>45579</v>
      </c>
      <c r="G49" s="383">
        <f ca="1">TODAY()</f>
        <v>46102</v>
      </c>
      <c r="H49" s="384" t="str">
        <f ca="1">DATEDIF(F49,G49,"M")&amp;"-Months"</f>
        <v>17-Months</v>
      </c>
      <c r="I49" s="385" t="s">
        <v>1254</v>
      </c>
      <c r="J49" s="386">
        <v>14538000</v>
      </c>
      <c r="K49" s="391"/>
      <c r="L49" s="390"/>
      <c r="M49" s="391"/>
      <c r="N49" s="391"/>
      <c r="O49" s="387">
        <f t="shared" ref="O49:O107" si="6">J49+K49+L49</f>
        <v>14538000</v>
      </c>
      <c r="P49" s="538"/>
    </row>
    <row r="50" spans="1:17" ht="21" x14ac:dyDescent="0.25">
      <c r="A50" s="395"/>
      <c r="B50" s="396" t="s">
        <v>1255</v>
      </c>
      <c r="C50" s="397"/>
      <c r="D50" s="396"/>
      <c r="E50" s="396"/>
      <c r="F50" s="398"/>
      <c r="G50" s="398"/>
      <c r="H50" s="399"/>
      <c r="I50" s="400"/>
      <c r="J50" s="401">
        <f>SUM(J49:J49)</f>
        <v>14538000</v>
      </c>
      <c r="K50" s="402"/>
      <c r="L50" s="401"/>
      <c r="M50" s="402"/>
      <c r="N50" s="402"/>
      <c r="O50" s="402">
        <f t="shared" si="6"/>
        <v>14538000</v>
      </c>
      <c r="P50" s="541"/>
      <c r="Q50" s="388"/>
    </row>
    <row r="51" spans="1:17" ht="18" x14ac:dyDescent="0.25">
      <c r="A51" s="85"/>
      <c r="B51" s="85"/>
      <c r="C51" s="85"/>
      <c r="D51" s="85"/>
      <c r="E51" s="389"/>
      <c r="F51" s="383"/>
      <c r="G51" s="383"/>
      <c r="H51" s="384"/>
      <c r="I51" s="386"/>
      <c r="J51" s="390"/>
      <c r="K51" s="391"/>
      <c r="L51" s="390"/>
      <c r="M51" s="391"/>
      <c r="N51" s="391"/>
      <c r="O51" s="409">
        <f t="shared" si="6"/>
        <v>0</v>
      </c>
      <c r="P51" s="538"/>
    </row>
    <row r="52" spans="1:17" ht="18" x14ac:dyDescent="0.25">
      <c r="A52" s="85">
        <v>1</v>
      </c>
      <c r="B52" s="85" t="s">
        <v>1256</v>
      </c>
      <c r="C52" s="85" t="s">
        <v>1257</v>
      </c>
      <c r="D52" s="85"/>
      <c r="E52" s="381"/>
      <c r="F52" s="383">
        <v>44076</v>
      </c>
      <c r="G52" s="383">
        <f t="shared" ref="G52:G107" ca="1" si="7">TODAY()</f>
        <v>46102</v>
      </c>
      <c r="H52" s="412" t="str">
        <f t="shared" ref="H52:H107" ca="1" si="8">DATEDIF(F52,G52,"M")&amp;"-Months"</f>
        <v>66-Months</v>
      </c>
      <c r="I52" s="385" t="s">
        <v>1258</v>
      </c>
      <c r="J52" s="386">
        <v>80251</v>
      </c>
      <c r="K52" s="387">
        <v>56986</v>
      </c>
      <c r="L52" s="386"/>
      <c r="M52" s="387"/>
      <c r="N52" s="387"/>
      <c r="O52" s="413">
        <f t="shared" si="6"/>
        <v>137237</v>
      </c>
      <c r="P52" s="538" t="s">
        <v>1259</v>
      </c>
    </row>
    <row r="53" spans="1:17" ht="18" x14ac:dyDescent="0.25">
      <c r="A53" s="85">
        <v>2</v>
      </c>
      <c r="B53" s="85" t="s">
        <v>1260</v>
      </c>
      <c r="C53" s="85" t="s">
        <v>56</v>
      </c>
      <c r="D53" s="85"/>
      <c r="E53" s="381"/>
      <c r="F53" s="383">
        <v>45581</v>
      </c>
      <c r="G53" s="383">
        <f t="shared" ca="1" si="7"/>
        <v>46102</v>
      </c>
      <c r="H53" s="384" t="str">
        <f t="shared" ca="1" si="8"/>
        <v>17-Months</v>
      </c>
      <c r="I53" s="385" t="s">
        <v>1261</v>
      </c>
      <c r="J53" s="386"/>
      <c r="K53" s="387">
        <v>248640</v>
      </c>
      <c r="L53" s="386"/>
      <c r="M53" s="387"/>
      <c r="N53" s="387"/>
      <c r="O53" s="387">
        <f t="shared" si="6"/>
        <v>248640</v>
      </c>
      <c r="P53" s="538"/>
    </row>
    <row r="54" spans="1:17" ht="18" x14ac:dyDescent="0.25">
      <c r="A54" s="85">
        <v>3</v>
      </c>
      <c r="B54" s="85" t="s">
        <v>1262</v>
      </c>
      <c r="C54" s="85" t="s">
        <v>1263</v>
      </c>
      <c r="D54" s="85"/>
      <c r="E54" s="381"/>
      <c r="F54" s="383">
        <v>44473</v>
      </c>
      <c r="G54" s="383">
        <f t="shared" ca="1" si="7"/>
        <v>46102</v>
      </c>
      <c r="H54" s="412" t="str">
        <f t="shared" ca="1" si="8"/>
        <v>53-Months</v>
      </c>
      <c r="I54" s="385" t="s">
        <v>1264</v>
      </c>
      <c r="J54" s="386">
        <v>28717</v>
      </c>
      <c r="K54" s="387">
        <v>49406</v>
      </c>
      <c r="L54" s="386"/>
      <c r="M54" s="387"/>
      <c r="N54" s="387"/>
      <c r="O54" s="413">
        <f t="shared" si="6"/>
        <v>78123</v>
      </c>
      <c r="P54" s="538" t="s">
        <v>1259</v>
      </c>
    </row>
    <row r="55" spans="1:17" ht="18" x14ac:dyDescent="0.25">
      <c r="A55" s="85">
        <v>4</v>
      </c>
      <c r="B55" s="85" t="s">
        <v>1265</v>
      </c>
      <c r="C55" s="85" t="s">
        <v>1266</v>
      </c>
      <c r="D55" s="85"/>
      <c r="E55" s="381"/>
      <c r="F55" s="382">
        <v>45640</v>
      </c>
      <c r="G55" s="383">
        <f t="shared" ca="1" si="7"/>
        <v>46102</v>
      </c>
      <c r="H55" s="384" t="str">
        <f t="shared" ca="1" si="8"/>
        <v>15-Months</v>
      </c>
      <c r="I55" s="385" t="s">
        <v>1267</v>
      </c>
      <c r="J55" s="386"/>
      <c r="K55" s="387">
        <v>283200</v>
      </c>
      <c r="L55" s="386"/>
      <c r="M55" s="387"/>
      <c r="N55" s="387"/>
      <c r="O55" s="387">
        <f t="shared" si="6"/>
        <v>283200</v>
      </c>
      <c r="P55" s="538"/>
    </row>
    <row r="56" spans="1:17" ht="18" x14ac:dyDescent="0.25">
      <c r="A56" s="85">
        <v>5</v>
      </c>
      <c r="B56" s="85" t="s">
        <v>1268</v>
      </c>
      <c r="C56" s="85" t="s">
        <v>15</v>
      </c>
      <c r="D56" s="85"/>
      <c r="E56" s="381"/>
      <c r="F56" s="382">
        <v>45616</v>
      </c>
      <c r="G56" s="383">
        <f t="shared" ca="1" si="7"/>
        <v>46102</v>
      </c>
      <c r="H56" s="384" t="str">
        <f t="shared" ca="1" si="8"/>
        <v>16-Months</v>
      </c>
      <c r="I56" s="385" t="s">
        <v>1269</v>
      </c>
      <c r="J56" s="386"/>
      <c r="K56" s="387">
        <v>83808</v>
      </c>
      <c r="L56" s="386"/>
      <c r="M56" s="387"/>
      <c r="N56" s="387"/>
      <c r="O56" s="387">
        <f t="shared" si="6"/>
        <v>83808</v>
      </c>
      <c r="P56" s="538"/>
    </row>
    <row r="57" spans="1:17" ht="18" x14ac:dyDescent="0.25">
      <c r="A57" s="85">
        <v>6</v>
      </c>
      <c r="B57" s="85" t="s">
        <v>580</v>
      </c>
      <c r="C57" s="85" t="s">
        <v>56</v>
      </c>
      <c r="D57" s="85"/>
      <c r="E57" s="381"/>
      <c r="F57" s="382">
        <v>45575</v>
      </c>
      <c r="G57" s="383">
        <f t="shared" ca="1" si="7"/>
        <v>46102</v>
      </c>
      <c r="H57" s="393" t="str">
        <f t="shared" ca="1" si="8"/>
        <v>17-Months</v>
      </c>
      <c r="I57" s="385" t="s">
        <v>1270</v>
      </c>
      <c r="J57" s="386"/>
      <c r="K57" s="387">
        <v>49020</v>
      </c>
      <c r="L57" s="386"/>
      <c r="M57" s="387"/>
      <c r="N57" s="387"/>
      <c r="O57" s="394">
        <f t="shared" si="6"/>
        <v>49020</v>
      </c>
      <c r="P57" s="538"/>
    </row>
    <row r="58" spans="1:17" ht="18" x14ac:dyDescent="0.25">
      <c r="A58" s="85">
        <v>7</v>
      </c>
      <c r="B58" s="85" t="s">
        <v>580</v>
      </c>
      <c r="C58" s="85" t="s">
        <v>56</v>
      </c>
      <c r="D58" s="85"/>
      <c r="E58" s="381"/>
      <c r="F58" s="382">
        <v>45575</v>
      </c>
      <c r="G58" s="383">
        <f t="shared" ca="1" si="7"/>
        <v>46102</v>
      </c>
      <c r="H58" s="393" t="str">
        <f t="shared" ca="1" si="8"/>
        <v>17-Months</v>
      </c>
      <c r="I58" s="385" t="s">
        <v>1271</v>
      </c>
      <c r="J58" s="386"/>
      <c r="K58" s="387">
        <v>49020</v>
      </c>
      <c r="L58" s="386"/>
      <c r="M58" s="387"/>
      <c r="N58" s="387"/>
      <c r="O58" s="394">
        <f t="shared" si="6"/>
        <v>49020</v>
      </c>
      <c r="P58" s="538"/>
    </row>
    <row r="59" spans="1:17" ht="18" x14ac:dyDescent="0.25">
      <c r="A59" s="85">
        <v>8</v>
      </c>
      <c r="B59" s="85" t="s">
        <v>580</v>
      </c>
      <c r="C59" s="85" t="s">
        <v>56</v>
      </c>
      <c r="D59" s="85"/>
      <c r="E59" s="381"/>
      <c r="F59" s="382">
        <v>45580</v>
      </c>
      <c r="G59" s="383">
        <f t="shared" ca="1" si="7"/>
        <v>46102</v>
      </c>
      <c r="H59" s="384" t="str">
        <f t="shared" ca="1" si="8"/>
        <v>17-Months</v>
      </c>
      <c r="I59" s="385" t="s">
        <v>1272</v>
      </c>
      <c r="J59" s="386"/>
      <c r="K59" s="387">
        <v>24510</v>
      </c>
      <c r="L59" s="386"/>
      <c r="M59" s="387"/>
      <c r="N59" s="387"/>
      <c r="O59" s="387">
        <f t="shared" si="6"/>
        <v>24510</v>
      </c>
      <c r="P59" s="538"/>
    </row>
    <row r="60" spans="1:17" ht="18" x14ac:dyDescent="0.25">
      <c r="A60" s="85">
        <v>9</v>
      </c>
      <c r="B60" s="85" t="s">
        <v>1268</v>
      </c>
      <c r="C60" s="85" t="s">
        <v>15</v>
      </c>
      <c r="D60" s="85"/>
      <c r="E60" s="381"/>
      <c r="F60" s="382">
        <v>45628</v>
      </c>
      <c r="G60" s="383">
        <f t="shared" ca="1" si="7"/>
        <v>46102</v>
      </c>
      <c r="H60" s="384" t="str">
        <f t="shared" ca="1" si="8"/>
        <v>15-Months</v>
      </c>
      <c r="I60" s="385" t="s">
        <v>1273</v>
      </c>
      <c r="J60" s="386"/>
      <c r="K60" s="387"/>
      <c r="L60" s="386">
        <v>48888</v>
      </c>
      <c r="M60" s="387"/>
      <c r="N60" s="387"/>
      <c r="O60" s="387">
        <f t="shared" si="6"/>
        <v>48888</v>
      </c>
      <c r="P60" s="538"/>
    </row>
    <row r="61" spans="1:17" ht="18" x14ac:dyDescent="0.25">
      <c r="A61" s="85">
        <v>10</v>
      </c>
      <c r="B61" s="85" t="s">
        <v>1274</v>
      </c>
      <c r="C61" s="85" t="s">
        <v>1275</v>
      </c>
      <c r="D61" s="414"/>
      <c r="E61" s="381"/>
      <c r="F61" s="382">
        <v>45650</v>
      </c>
      <c r="G61" s="383">
        <f t="shared" ca="1" si="7"/>
        <v>46102</v>
      </c>
      <c r="H61" s="384" t="str">
        <f t="shared" ca="1" si="8"/>
        <v>14-Months</v>
      </c>
      <c r="I61" s="385" t="s">
        <v>1276</v>
      </c>
      <c r="J61" s="386">
        <v>102312</v>
      </c>
      <c r="K61" s="387"/>
      <c r="L61" s="386"/>
      <c r="M61" s="387"/>
      <c r="N61" s="387"/>
      <c r="O61" s="387">
        <f t="shared" si="6"/>
        <v>102312</v>
      </c>
      <c r="P61" s="538"/>
    </row>
    <row r="62" spans="1:17" ht="18" x14ac:dyDescent="0.25">
      <c r="A62" s="85">
        <v>11</v>
      </c>
      <c r="B62" s="85" t="s">
        <v>1277</v>
      </c>
      <c r="C62" s="85" t="s">
        <v>18</v>
      </c>
      <c r="D62" s="85"/>
      <c r="E62" s="381"/>
      <c r="F62" s="382">
        <v>45247</v>
      </c>
      <c r="G62" s="383">
        <f t="shared" ca="1" si="7"/>
        <v>46102</v>
      </c>
      <c r="H62" s="415" t="str">
        <f t="shared" ca="1" si="8"/>
        <v>28-Months</v>
      </c>
      <c r="I62" s="385" t="s">
        <v>1278</v>
      </c>
      <c r="J62" s="386">
        <v>51300</v>
      </c>
      <c r="K62" s="387"/>
      <c r="L62" s="386"/>
      <c r="M62" s="387"/>
      <c r="N62" s="387"/>
      <c r="O62" s="416">
        <f t="shared" si="6"/>
        <v>51300</v>
      </c>
      <c r="P62" s="538" t="s">
        <v>1279</v>
      </c>
    </row>
    <row r="63" spans="1:17" ht="18" x14ac:dyDescent="0.25">
      <c r="A63" s="85">
        <v>12</v>
      </c>
      <c r="B63" s="85" t="s">
        <v>1277</v>
      </c>
      <c r="C63" s="85" t="s">
        <v>18</v>
      </c>
      <c r="D63" s="85"/>
      <c r="E63" s="381"/>
      <c r="F63" s="382">
        <v>45253</v>
      </c>
      <c r="G63" s="383">
        <f t="shared" ca="1" si="7"/>
        <v>46102</v>
      </c>
      <c r="H63" s="415" t="str">
        <f t="shared" ca="1" si="8"/>
        <v>27-Months</v>
      </c>
      <c r="I63" s="385" t="s">
        <v>1280</v>
      </c>
      <c r="J63" s="386">
        <v>51300</v>
      </c>
      <c r="K63" s="387"/>
      <c r="L63" s="386"/>
      <c r="M63" s="387"/>
      <c r="N63" s="387"/>
      <c r="O63" s="416">
        <f t="shared" si="6"/>
        <v>51300</v>
      </c>
      <c r="P63" s="538" t="s">
        <v>1279</v>
      </c>
    </row>
    <row r="64" spans="1:17" ht="18" x14ac:dyDescent="0.25">
      <c r="A64" s="85">
        <v>13</v>
      </c>
      <c r="B64" s="85" t="s">
        <v>1277</v>
      </c>
      <c r="C64" s="85" t="s">
        <v>18</v>
      </c>
      <c r="D64" s="85"/>
      <c r="E64" s="381"/>
      <c r="F64" s="382">
        <v>45260</v>
      </c>
      <c r="G64" s="383">
        <f t="shared" ca="1" si="7"/>
        <v>46102</v>
      </c>
      <c r="H64" s="415" t="str">
        <f t="shared" ca="1" si="8"/>
        <v>27-Months</v>
      </c>
      <c r="I64" s="385" t="s">
        <v>1281</v>
      </c>
      <c r="J64" s="386">
        <v>34200</v>
      </c>
      <c r="K64" s="387"/>
      <c r="L64" s="386"/>
      <c r="M64" s="387"/>
      <c r="N64" s="387"/>
      <c r="O64" s="416">
        <f t="shared" si="6"/>
        <v>34200</v>
      </c>
      <c r="P64" s="538" t="s">
        <v>1279</v>
      </c>
    </row>
    <row r="65" spans="1:16" ht="18" x14ac:dyDescent="0.25">
      <c r="A65" s="85">
        <v>14</v>
      </c>
      <c r="B65" s="85" t="s">
        <v>1277</v>
      </c>
      <c r="C65" s="85" t="s">
        <v>18</v>
      </c>
      <c r="D65" s="85"/>
      <c r="E65" s="381"/>
      <c r="F65" s="382">
        <v>45442</v>
      </c>
      <c r="G65" s="383">
        <f t="shared" ca="1" si="7"/>
        <v>46102</v>
      </c>
      <c r="H65" s="393" t="str">
        <f t="shared" ca="1" si="8"/>
        <v>21-Months</v>
      </c>
      <c r="I65" s="385" t="s">
        <v>1282</v>
      </c>
      <c r="J65" s="386">
        <v>342000</v>
      </c>
      <c r="K65" s="387"/>
      <c r="L65" s="386"/>
      <c r="M65" s="387"/>
      <c r="N65" s="387"/>
      <c r="O65" s="394">
        <f t="shared" si="6"/>
        <v>342000</v>
      </c>
      <c r="P65" s="538" t="s">
        <v>1279</v>
      </c>
    </row>
    <row r="66" spans="1:16" ht="18" x14ac:dyDescent="0.25">
      <c r="A66" s="85">
        <v>15</v>
      </c>
      <c r="B66" s="85" t="s">
        <v>1277</v>
      </c>
      <c r="C66" s="85" t="s">
        <v>18</v>
      </c>
      <c r="D66" s="85"/>
      <c r="E66" s="381"/>
      <c r="F66" s="382">
        <v>45444</v>
      </c>
      <c r="G66" s="383">
        <f t="shared" ca="1" si="7"/>
        <v>46102</v>
      </c>
      <c r="H66" s="393" t="str">
        <f t="shared" ca="1" si="8"/>
        <v>21-Months</v>
      </c>
      <c r="I66" s="385" t="s">
        <v>1283</v>
      </c>
      <c r="J66" s="386">
        <v>957600</v>
      </c>
      <c r="K66" s="387"/>
      <c r="L66" s="386"/>
      <c r="M66" s="387"/>
      <c r="N66" s="387"/>
      <c r="O66" s="394">
        <f t="shared" si="6"/>
        <v>957600</v>
      </c>
      <c r="P66" s="538" t="s">
        <v>1279</v>
      </c>
    </row>
    <row r="67" spans="1:16" ht="18" x14ac:dyDescent="0.25">
      <c r="A67" s="85">
        <v>16</v>
      </c>
      <c r="B67" s="85" t="s">
        <v>1277</v>
      </c>
      <c r="C67" s="85" t="s">
        <v>18</v>
      </c>
      <c r="D67" s="85"/>
      <c r="E67" s="381"/>
      <c r="F67" s="382">
        <v>45457</v>
      </c>
      <c r="G67" s="383">
        <f t="shared" ca="1" si="7"/>
        <v>46102</v>
      </c>
      <c r="H67" s="393" t="str">
        <f t="shared" ca="1" si="8"/>
        <v>21-Months</v>
      </c>
      <c r="I67" s="385" t="s">
        <v>1284</v>
      </c>
      <c r="J67" s="386">
        <v>127680</v>
      </c>
      <c r="K67" s="387"/>
      <c r="L67" s="386"/>
      <c r="M67" s="387"/>
      <c r="N67" s="387"/>
      <c r="O67" s="394">
        <f t="shared" si="6"/>
        <v>127680</v>
      </c>
      <c r="P67" s="538" t="s">
        <v>1279</v>
      </c>
    </row>
    <row r="68" spans="1:16" ht="18" x14ac:dyDescent="0.25">
      <c r="A68" s="85">
        <v>17</v>
      </c>
      <c r="B68" s="85" t="s">
        <v>1277</v>
      </c>
      <c r="C68" s="85" t="s">
        <v>18</v>
      </c>
      <c r="D68" s="85"/>
      <c r="E68" s="381"/>
      <c r="F68" s="382">
        <v>45457</v>
      </c>
      <c r="G68" s="383">
        <f t="shared" ca="1" si="7"/>
        <v>46102</v>
      </c>
      <c r="H68" s="393" t="str">
        <f t="shared" ca="1" si="8"/>
        <v>21-Months</v>
      </c>
      <c r="I68" s="385" t="s">
        <v>1285</v>
      </c>
      <c r="J68" s="386">
        <v>19380</v>
      </c>
      <c r="K68" s="387"/>
      <c r="L68" s="386"/>
      <c r="M68" s="387"/>
      <c r="N68" s="387"/>
      <c r="O68" s="394">
        <f t="shared" si="6"/>
        <v>19380</v>
      </c>
      <c r="P68" s="538" t="s">
        <v>1279</v>
      </c>
    </row>
    <row r="69" spans="1:16" ht="18" x14ac:dyDescent="0.25">
      <c r="A69" s="85">
        <v>18</v>
      </c>
      <c r="B69" s="85" t="s">
        <v>1277</v>
      </c>
      <c r="C69" s="85" t="s">
        <v>18</v>
      </c>
      <c r="D69" s="85"/>
      <c r="E69" s="381"/>
      <c r="F69" s="382">
        <v>45470</v>
      </c>
      <c r="G69" s="383">
        <f t="shared" ca="1" si="7"/>
        <v>46102</v>
      </c>
      <c r="H69" s="393" t="str">
        <f t="shared" ca="1" si="8"/>
        <v>20-Months</v>
      </c>
      <c r="I69" s="385" t="s">
        <v>1286</v>
      </c>
      <c r="J69" s="386">
        <v>287280</v>
      </c>
      <c r="K69" s="387"/>
      <c r="L69" s="386"/>
      <c r="M69" s="387"/>
      <c r="N69" s="387"/>
      <c r="O69" s="394">
        <f t="shared" si="6"/>
        <v>287280</v>
      </c>
      <c r="P69" s="538" t="s">
        <v>1279</v>
      </c>
    </row>
    <row r="70" spans="1:16" ht="18" x14ac:dyDescent="0.25">
      <c r="A70" s="85">
        <v>19</v>
      </c>
      <c r="B70" s="85" t="s">
        <v>1277</v>
      </c>
      <c r="C70" s="85" t="s">
        <v>18</v>
      </c>
      <c r="D70" s="85"/>
      <c r="E70" s="381"/>
      <c r="F70" s="382">
        <v>45470</v>
      </c>
      <c r="G70" s="383">
        <f t="shared" ca="1" si="7"/>
        <v>46102</v>
      </c>
      <c r="H70" s="393" t="str">
        <f t="shared" ca="1" si="8"/>
        <v>20-Months</v>
      </c>
      <c r="I70" s="385" t="s">
        <v>1287</v>
      </c>
      <c r="J70" s="386">
        <v>19380</v>
      </c>
      <c r="K70" s="387"/>
      <c r="L70" s="386"/>
      <c r="M70" s="387"/>
      <c r="N70" s="387"/>
      <c r="O70" s="394">
        <f t="shared" si="6"/>
        <v>19380</v>
      </c>
      <c r="P70" s="538" t="s">
        <v>1279</v>
      </c>
    </row>
    <row r="71" spans="1:16" ht="18" x14ac:dyDescent="0.25">
      <c r="A71" s="85">
        <v>20</v>
      </c>
      <c r="B71" s="85" t="s">
        <v>580</v>
      </c>
      <c r="C71" s="85" t="s">
        <v>56</v>
      </c>
      <c r="D71" s="85"/>
      <c r="E71" s="381"/>
      <c r="F71" s="382">
        <v>45575</v>
      </c>
      <c r="G71" s="383">
        <f t="shared" ca="1" si="7"/>
        <v>46102</v>
      </c>
      <c r="H71" s="393" t="str">
        <f t="shared" ca="1" si="8"/>
        <v>17-Months</v>
      </c>
      <c r="I71" s="385" t="s">
        <v>1270</v>
      </c>
      <c r="J71" s="386">
        <v>13110</v>
      </c>
      <c r="K71" s="387"/>
      <c r="L71" s="386"/>
      <c r="M71" s="387"/>
      <c r="N71" s="387"/>
      <c r="O71" s="394">
        <f t="shared" si="6"/>
        <v>13110</v>
      </c>
      <c r="P71" s="538"/>
    </row>
    <row r="72" spans="1:16" ht="18" x14ac:dyDescent="0.25">
      <c r="A72" s="85">
        <v>21</v>
      </c>
      <c r="B72" s="85" t="s">
        <v>580</v>
      </c>
      <c r="C72" s="85" t="s">
        <v>56</v>
      </c>
      <c r="D72" s="85"/>
      <c r="E72" s="381"/>
      <c r="F72" s="382">
        <v>45575</v>
      </c>
      <c r="G72" s="383">
        <f t="shared" ca="1" si="7"/>
        <v>46102</v>
      </c>
      <c r="H72" s="393" t="str">
        <f t="shared" ca="1" si="8"/>
        <v>17-Months</v>
      </c>
      <c r="I72" s="385" t="s">
        <v>1271</v>
      </c>
      <c r="J72" s="386">
        <v>13110</v>
      </c>
      <c r="K72" s="387"/>
      <c r="L72" s="386"/>
      <c r="M72" s="387"/>
      <c r="N72" s="387"/>
      <c r="O72" s="394">
        <f t="shared" si="6"/>
        <v>13110</v>
      </c>
      <c r="P72" s="538"/>
    </row>
    <row r="73" spans="1:16" ht="18" x14ac:dyDescent="0.25">
      <c r="A73" s="85">
        <v>22</v>
      </c>
      <c r="B73" s="85" t="s">
        <v>580</v>
      </c>
      <c r="C73" s="85" t="s">
        <v>56</v>
      </c>
      <c r="D73" s="85"/>
      <c r="E73" s="381"/>
      <c r="F73" s="382">
        <v>45581</v>
      </c>
      <c r="G73" s="383">
        <f t="shared" ca="1" si="7"/>
        <v>46102</v>
      </c>
      <c r="H73" s="384" t="str">
        <f t="shared" ca="1" si="8"/>
        <v>17-Months</v>
      </c>
      <c r="I73" s="385" t="s">
        <v>1288</v>
      </c>
      <c r="J73" s="386">
        <v>13110</v>
      </c>
      <c r="K73" s="387"/>
      <c r="L73" s="386"/>
      <c r="M73" s="387"/>
      <c r="N73" s="387"/>
      <c r="O73" s="387">
        <f t="shared" si="6"/>
        <v>13110</v>
      </c>
      <c r="P73" s="538"/>
    </row>
    <row r="74" spans="1:16" ht="18" x14ac:dyDescent="0.25">
      <c r="A74" s="85">
        <v>23</v>
      </c>
      <c r="B74" s="85" t="s">
        <v>580</v>
      </c>
      <c r="C74" s="85" t="s">
        <v>56</v>
      </c>
      <c r="D74" s="85"/>
      <c r="E74" s="381"/>
      <c r="F74" s="382">
        <v>45587</v>
      </c>
      <c r="G74" s="383">
        <f t="shared" ca="1" si="7"/>
        <v>46102</v>
      </c>
      <c r="H74" s="384" t="str">
        <f t="shared" ca="1" si="8"/>
        <v>16-Months</v>
      </c>
      <c r="I74" s="385" t="s">
        <v>1289</v>
      </c>
      <c r="J74" s="386">
        <v>13110</v>
      </c>
      <c r="K74" s="387"/>
      <c r="L74" s="386"/>
      <c r="M74" s="387"/>
      <c r="N74" s="387"/>
      <c r="O74" s="387">
        <f t="shared" si="6"/>
        <v>13110</v>
      </c>
      <c r="P74" s="538"/>
    </row>
    <row r="75" spans="1:16" ht="18" x14ac:dyDescent="0.25">
      <c r="A75" s="85">
        <v>24</v>
      </c>
      <c r="B75" s="85" t="s">
        <v>580</v>
      </c>
      <c r="C75" s="85" t="s">
        <v>56</v>
      </c>
      <c r="D75" s="85"/>
      <c r="E75" s="381"/>
      <c r="F75" s="382">
        <v>45588</v>
      </c>
      <c r="G75" s="383">
        <f t="shared" ca="1" si="7"/>
        <v>46102</v>
      </c>
      <c r="H75" s="384" t="str">
        <f t="shared" ca="1" si="8"/>
        <v>16-Months</v>
      </c>
      <c r="I75" s="385" t="s">
        <v>1290</v>
      </c>
      <c r="J75" s="386">
        <v>546480</v>
      </c>
      <c r="K75" s="387"/>
      <c r="L75" s="386"/>
      <c r="M75" s="387"/>
      <c r="N75" s="387"/>
      <c r="O75" s="387">
        <f t="shared" si="6"/>
        <v>546480</v>
      </c>
      <c r="P75" s="538"/>
    </row>
    <row r="76" spans="1:16" ht="18" x14ac:dyDescent="0.25">
      <c r="A76" s="85">
        <v>25</v>
      </c>
      <c r="B76" s="85" t="s">
        <v>580</v>
      </c>
      <c r="C76" s="85" t="s">
        <v>56</v>
      </c>
      <c r="D76" s="85"/>
      <c r="E76" s="381"/>
      <c r="F76" s="382">
        <v>45590</v>
      </c>
      <c r="G76" s="383">
        <f t="shared" ca="1" si="7"/>
        <v>46102</v>
      </c>
      <c r="H76" s="384" t="str">
        <f t="shared" ca="1" si="8"/>
        <v>16-Months</v>
      </c>
      <c r="I76" s="385" t="s">
        <v>1291</v>
      </c>
      <c r="J76" s="386">
        <v>13110</v>
      </c>
      <c r="K76" s="387"/>
      <c r="L76" s="386"/>
      <c r="M76" s="387"/>
      <c r="N76" s="387"/>
      <c r="O76" s="387">
        <f t="shared" si="6"/>
        <v>13110</v>
      </c>
      <c r="P76" s="538"/>
    </row>
    <row r="77" spans="1:16" ht="18" x14ac:dyDescent="0.25">
      <c r="A77" s="85">
        <v>26</v>
      </c>
      <c r="B77" s="85" t="s">
        <v>580</v>
      </c>
      <c r="C77" s="85" t="s">
        <v>56</v>
      </c>
      <c r="D77" s="85"/>
      <c r="E77" s="381"/>
      <c r="F77" s="382">
        <v>45590</v>
      </c>
      <c r="G77" s="383">
        <f t="shared" ca="1" si="7"/>
        <v>46102</v>
      </c>
      <c r="H77" s="384" t="str">
        <f t="shared" ca="1" si="8"/>
        <v>16-Months</v>
      </c>
      <c r="I77" s="385" t="s">
        <v>1292</v>
      </c>
      <c r="J77" s="386">
        <v>13110</v>
      </c>
      <c r="K77" s="387"/>
      <c r="L77" s="386"/>
      <c r="M77" s="387"/>
      <c r="N77" s="387"/>
      <c r="O77" s="387">
        <f t="shared" si="6"/>
        <v>13110</v>
      </c>
      <c r="P77" s="538"/>
    </row>
    <row r="78" spans="1:16" ht="18" x14ac:dyDescent="0.25">
      <c r="A78" s="85">
        <v>27</v>
      </c>
      <c r="B78" s="85" t="s">
        <v>580</v>
      </c>
      <c r="C78" s="85" t="s">
        <v>56</v>
      </c>
      <c r="D78" s="85"/>
      <c r="E78" s="381"/>
      <c r="F78" s="382">
        <v>45590</v>
      </c>
      <c r="G78" s="383">
        <f t="shared" ca="1" si="7"/>
        <v>46102</v>
      </c>
      <c r="H78" s="384" t="str">
        <f t="shared" ca="1" si="8"/>
        <v>16-Months</v>
      </c>
      <c r="I78" s="385" t="s">
        <v>1293</v>
      </c>
      <c r="J78" s="386">
        <v>13110</v>
      </c>
      <c r="K78" s="387"/>
      <c r="L78" s="386"/>
      <c r="M78" s="387"/>
      <c r="N78" s="387"/>
      <c r="O78" s="387">
        <f t="shared" si="6"/>
        <v>13110</v>
      </c>
      <c r="P78" s="538"/>
    </row>
    <row r="79" spans="1:16" ht="18" x14ac:dyDescent="0.25">
      <c r="A79" s="85">
        <v>28</v>
      </c>
      <c r="B79" s="85" t="s">
        <v>580</v>
      </c>
      <c r="C79" s="85" t="s">
        <v>56</v>
      </c>
      <c r="D79" s="85"/>
      <c r="E79" s="381"/>
      <c r="F79" s="382">
        <v>45590</v>
      </c>
      <c r="G79" s="383">
        <f t="shared" ca="1" si="7"/>
        <v>46102</v>
      </c>
      <c r="H79" s="384" t="str">
        <f t="shared" ca="1" si="8"/>
        <v>16-Months</v>
      </c>
      <c r="I79" s="385" t="s">
        <v>1294</v>
      </c>
      <c r="J79" s="386">
        <v>13110</v>
      </c>
      <c r="K79" s="387"/>
      <c r="L79" s="386"/>
      <c r="M79" s="387"/>
      <c r="N79" s="387"/>
      <c r="O79" s="387">
        <f t="shared" si="6"/>
        <v>13110</v>
      </c>
      <c r="P79" s="538"/>
    </row>
    <row r="80" spans="1:16" ht="18" x14ac:dyDescent="0.25">
      <c r="A80" s="85">
        <v>29</v>
      </c>
      <c r="B80" s="85" t="s">
        <v>580</v>
      </c>
      <c r="C80" s="85" t="s">
        <v>56</v>
      </c>
      <c r="D80" s="85"/>
      <c r="E80" s="381"/>
      <c r="F80" s="382">
        <v>45590</v>
      </c>
      <c r="G80" s="383">
        <f t="shared" ca="1" si="7"/>
        <v>46102</v>
      </c>
      <c r="H80" s="384" t="str">
        <f t="shared" ca="1" si="8"/>
        <v>16-Months</v>
      </c>
      <c r="I80" s="385" t="s">
        <v>1295</v>
      </c>
      <c r="J80" s="386">
        <v>13110</v>
      </c>
      <c r="K80" s="387"/>
      <c r="L80" s="386"/>
      <c r="M80" s="387"/>
      <c r="N80" s="387"/>
      <c r="O80" s="387">
        <f t="shared" si="6"/>
        <v>13110</v>
      </c>
      <c r="P80" s="538"/>
    </row>
    <row r="81" spans="1:16" ht="18" x14ac:dyDescent="0.25">
      <c r="A81" s="85">
        <v>30</v>
      </c>
      <c r="B81" s="85" t="s">
        <v>580</v>
      </c>
      <c r="C81" s="85" t="s">
        <v>56</v>
      </c>
      <c r="D81" s="85"/>
      <c r="E81" s="381"/>
      <c r="F81" s="382">
        <v>45590</v>
      </c>
      <c r="G81" s="383">
        <f t="shared" ca="1" si="7"/>
        <v>46102</v>
      </c>
      <c r="H81" s="384" t="str">
        <f t="shared" ca="1" si="8"/>
        <v>16-Months</v>
      </c>
      <c r="I81" s="385" t="s">
        <v>1296</v>
      </c>
      <c r="J81" s="386">
        <v>13110</v>
      </c>
      <c r="K81" s="387"/>
      <c r="L81" s="386"/>
      <c r="M81" s="387"/>
      <c r="N81" s="387"/>
      <c r="O81" s="387">
        <f t="shared" si="6"/>
        <v>13110</v>
      </c>
      <c r="P81" s="538"/>
    </row>
    <row r="82" spans="1:16" ht="18" x14ac:dyDescent="0.25">
      <c r="A82" s="85">
        <v>31</v>
      </c>
      <c r="B82" s="85" t="s">
        <v>580</v>
      </c>
      <c r="C82" s="85" t="s">
        <v>56</v>
      </c>
      <c r="D82" s="85"/>
      <c r="E82" s="381"/>
      <c r="F82" s="382">
        <v>45594</v>
      </c>
      <c r="G82" s="383">
        <f t="shared" ca="1" si="7"/>
        <v>46102</v>
      </c>
      <c r="H82" s="384" t="str">
        <f t="shared" ca="1" si="8"/>
        <v>16-Months</v>
      </c>
      <c r="I82" s="385" t="s">
        <v>1297</v>
      </c>
      <c r="J82" s="386">
        <v>13110</v>
      </c>
      <c r="K82" s="387"/>
      <c r="L82" s="386"/>
      <c r="M82" s="387"/>
      <c r="N82" s="387"/>
      <c r="O82" s="387">
        <f t="shared" si="6"/>
        <v>13110</v>
      </c>
      <c r="P82" s="538"/>
    </row>
    <row r="83" spans="1:16" ht="18" x14ac:dyDescent="0.25">
      <c r="A83" s="85">
        <v>32</v>
      </c>
      <c r="B83" s="85" t="s">
        <v>580</v>
      </c>
      <c r="C83" s="85" t="s">
        <v>56</v>
      </c>
      <c r="D83" s="85"/>
      <c r="E83" s="381"/>
      <c r="F83" s="382">
        <v>45595</v>
      </c>
      <c r="G83" s="383">
        <f t="shared" ca="1" si="7"/>
        <v>46102</v>
      </c>
      <c r="H83" s="384" t="str">
        <f t="shared" ca="1" si="8"/>
        <v>16-Months</v>
      </c>
      <c r="I83" s="385" t="s">
        <v>1298</v>
      </c>
      <c r="J83" s="386">
        <v>13110</v>
      </c>
      <c r="K83" s="387"/>
      <c r="L83" s="386"/>
      <c r="M83" s="387"/>
      <c r="N83" s="387"/>
      <c r="O83" s="387">
        <f t="shared" si="6"/>
        <v>13110</v>
      </c>
      <c r="P83" s="538"/>
    </row>
    <row r="84" spans="1:16" ht="18" x14ac:dyDescent="0.25">
      <c r="A84" s="85">
        <v>33</v>
      </c>
      <c r="B84" s="85" t="s">
        <v>580</v>
      </c>
      <c r="C84" s="85" t="s">
        <v>56</v>
      </c>
      <c r="D84" s="85"/>
      <c r="E84" s="381"/>
      <c r="F84" s="382">
        <v>45595</v>
      </c>
      <c r="G84" s="383">
        <f t="shared" ca="1" si="7"/>
        <v>46102</v>
      </c>
      <c r="H84" s="384" t="str">
        <f t="shared" ca="1" si="8"/>
        <v>16-Months</v>
      </c>
      <c r="I84" s="385" t="s">
        <v>1299</v>
      </c>
      <c r="J84" s="386">
        <v>13110</v>
      </c>
      <c r="K84" s="387"/>
      <c r="L84" s="386"/>
      <c r="M84" s="387"/>
      <c r="N84" s="387"/>
      <c r="O84" s="387">
        <f t="shared" si="6"/>
        <v>13110</v>
      </c>
      <c r="P84" s="538"/>
    </row>
    <row r="85" spans="1:16" ht="18" x14ac:dyDescent="0.25">
      <c r="A85" s="85">
        <v>34</v>
      </c>
      <c r="B85" s="85" t="s">
        <v>580</v>
      </c>
      <c r="C85" s="85" t="s">
        <v>56</v>
      </c>
      <c r="D85" s="85"/>
      <c r="E85" s="381"/>
      <c r="F85" s="382">
        <v>45598</v>
      </c>
      <c r="G85" s="383">
        <f t="shared" ca="1" si="7"/>
        <v>46102</v>
      </c>
      <c r="H85" s="384" t="str">
        <f t="shared" ca="1" si="8"/>
        <v>16-Months</v>
      </c>
      <c r="I85" s="385" t="s">
        <v>1300</v>
      </c>
      <c r="J85" s="386">
        <v>13110</v>
      </c>
      <c r="K85" s="387"/>
      <c r="L85" s="386"/>
      <c r="M85" s="387"/>
      <c r="N85" s="387"/>
      <c r="O85" s="387">
        <f t="shared" si="6"/>
        <v>13110</v>
      </c>
      <c r="P85" s="538"/>
    </row>
    <row r="86" spans="1:16" ht="18" x14ac:dyDescent="0.25">
      <c r="A86" s="85">
        <v>35</v>
      </c>
      <c r="B86" s="85" t="s">
        <v>580</v>
      </c>
      <c r="C86" s="85" t="s">
        <v>56</v>
      </c>
      <c r="D86" s="85"/>
      <c r="E86" s="381"/>
      <c r="F86" s="382">
        <v>45601</v>
      </c>
      <c r="G86" s="383">
        <f t="shared" ca="1" si="7"/>
        <v>46102</v>
      </c>
      <c r="H86" s="384" t="str">
        <f t="shared" ca="1" si="8"/>
        <v>16-Months</v>
      </c>
      <c r="I86" s="385" t="s">
        <v>1301</v>
      </c>
      <c r="J86" s="386">
        <v>372600</v>
      </c>
      <c r="K86" s="387"/>
      <c r="L86" s="386"/>
      <c r="M86" s="387"/>
      <c r="N86" s="387"/>
      <c r="O86" s="387">
        <f t="shared" si="6"/>
        <v>372600</v>
      </c>
      <c r="P86" s="538"/>
    </row>
    <row r="87" spans="1:16" ht="18" x14ac:dyDescent="0.25">
      <c r="A87" s="85">
        <v>36</v>
      </c>
      <c r="B87" s="85" t="s">
        <v>580</v>
      </c>
      <c r="C87" s="85" t="s">
        <v>56</v>
      </c>
      <c r="D87" s="85"/>
      <c r="E87" s="381"/>
      <c r="F87" s="382">
        <v>45608</v>
      </c>
      <c r="G87" s="383">
        <f t="shared" ca="1" si="7"/>
        <v>46102</v>
      </c>
      <c r="H87" s="384" t="str">
        <f t="shared" ca="1" si="8"/>
        <v>16-Months</v>
      </c>
      <c r="I87" s="385" t="s">
        <v>1302</v>
      </c>
      <c r="J87" s="386">
        <v>14250</v>
      </c>
      <c r="K87" s="387"/>
      <c r="L87" s="386"/>
      <c r="M87" s="387"/>
      <c r="N87" s="387"/>
      <c r="O87" s="387">
        <f t="shared" si="6"/>
        <v>14250</v>
      </c>
      <c r="P87" s="538"/>
    </row>
    <row r="88" spans="1:16" ht="18" x14ac:dyDescent="0.25">
      <c r="A88" s="85">
        <v>37</v>
      </c>
      <c r="B88" s="85" t="s">
        <v>580</v>
      </c>
      <c r="C88" s="85" t="s">
        <v>56</v>
      </c>
      <c r="D88" s="85"/>
      <c r="E88" s="381"/>
      <c r="F88" s="382">
        <v>45608</v>
      </c>
      <c r="G88" s="383">
        <f t="shared" ca="1" si="7"/>
        <v>46102</v>
      </c>
      <c r="H88" s="384" t="str">
        <f t="shared" ca="1" si="8"/>
        <v>16-Months</v>
      </c>
      <c r="I88" s="385" t="s">
        <v>1303</v>
      </c>
      <c r="J88" s="386">
        <v>14250</v>
      </c>
      <c r="K88" s="387"/>
      <c r="L88" s="386"/>
      <c r="M88" s="387"/>
      <c r="N88" s="387"/>
      <c r="O88" s="387">
        <f t="shared" si="6"/>
        <v>14250</v>
      </c>
      <c r="P88" s="538"/>
    </row>
    <row r="89" spans="1:16" ht="18" x14ac:dyDescent="0.25">
      <c r="A89" s="85">
        <v>38</v>
      </c>
      <c r="B89" s="85" t="s">
        <v>580</v>
      </c>
      <c r="C89" s="85" t="s">
        <v>56</v>
      </c>
      <c r="D89" s="85"/>
      <c r="E89" s="389"/>
      <c r="F89" s="382">
        <v>45609</v>
      </c>
      <c r="G89" s="383">
        <f t="shared" ca="1" si="7"/>
        <v>46102</v>
      </c>
      <c r="H89" s="384" t="str">
        <f t="shared" ca="1" si="8"/>
        <v>16-Months</v>
      </c>
      <c r="I89" s="385" t="s">
        <v>1304</v>
      </c>
      <c r="J89" s="386">
        <v>310500</v>
      </c>
      <c r="K89" s="391"/>
      <c r="L89" s="390"/>
      <c r="M89" s="391"/>
      <c r="N89" s="391"/>
      <c r="O89" s="387">
        <f t="shared" si="6"/>
        <v>310500</v>
      </c>
      <c r="P89" s="538"/>
    </row>
    <row r="90" spans="1:16" ht="18" x14ac:dyDescent="0.25">
      <c r="A90" s="85">
        <v>39</v>
      </c>
      <c r="B90" s="85" t="s">
        <v>580</v>
      </c>
      <c r="C90" s="85" t="s">
        <v>56</v>
      </c>
      <c r="D90" s="85"/>
      <c r="E90" s="389"/>
      <c r="F90" s="382">
        <v>45616</v>
      </c>
      <c r="G90" s="383">
        <f t="shared" ca="1" si="7"/>
        <v>46102</v>
      </c>
      <c r="H90" s="384" t="str">
        <f t="shared" ca="1" si="8"/>
        <v>16-Months</v>
      </c>
      <c r="I90" s="385" t="s">
        <v>1305</v>
      </c>
      <c r="J90" s="386">
        <v>398250</v>
      </c>
      <c r="K90" s="391"/>
      <c r="L90" s="390"/>
      <c r="M90" s="391"/>
      <c r="N90" s="391"/>
      <c r="O90" s="387">
        <f t="shared" si="6"/>
        <v>398250</v>
      </c>
      <c r="P90" s="538"/>
    </row>
    <row r="91" spans="1:16" ht="18" x14ac:dyDescent="0.25">
      <c r="A91" s="85">
        <v>40</v>
      </c>
      <c r="B91" s="85" t="s">
        <v>580</v>
      </c>
      <c r="C91" s="85" t="s">
        <v>56</v>
      </c>
      <c r="D91" s="85"/>
      <c r="E91" s="389"/>
      <c r="F91" s="382">
        <v>45617</v>
      </c>
      <c r="G91" s="383">
        <f t="shared" ca="1" si="7"/>
        <v>46102</v>
      </c>
      <c r="H91" s="384" t="str">
        <f t="shared" ca="1" si="8"/>
        <v>16-Months</v>
      </c>
      <c r="I91" s="385" t="s">
        <v>1306</v>
      </c>
      <c r="J91" s="386">
        <v>14250</v>
      </c>
      <c r="K91" s="391"/>
      <c r="L91" s="390"/>
      <c r="M91" s="391"/>
      <c r="N91" s="391"/>
      <c r="O91" s="387">
        <f t="shared" si="6"/>
        <v>14250</v>
      </c>
      <c r="P91" s="538"/>
    </row>
    <row r="92" spans="1:16" ht="18" x14ac:dyDescent="0.25">
      <c r="A92" s="85">
        <v>41</v>
      </c>
      <c r="B92" s="85" t="s">
        <v>580</v>
      </c>
      <c r="C92" s="85" t="s">
        <v>56</v>
      </c>
      <c r="D92" s="85"/>
      <c r="E92" s="389"/>
      <c r="F92" s="382">
        <v>45624</v>
      </c>
      <c r="G92" s="383">
        <f t="shared" ca="1" si="7"/>
        <v>46102</v>
      </c>
      <c r="H92" s="384" t="str">
        <f t="shared" ca="1" si="8"/>
        <v>15-Months</v>
      </c>
      <c r="I92" s="385" t="s">
        <v>1307</v>
      </c>
      <c r="J92" s="386">
        <v>135000</v>
      </c>
      <c r="K92" s="391"/>
      <c r="L92" s="390"/>
      <c r="M92" s="391"/>
      <c r="N92" s="391"/>
      <c r="O92" s="387">
        <f t="shared" si="6"/>
        <v>135000</v>
      </c>
      <c r="P92" s="538"/>
    </row>
    <row r="93" spans="1:16" ht="18" x14ac:dyDescent="0.25">
      <c r="A93" s="85">
        <v>42</v>
      </c>
      <c r="B93" s="85" t="s">
        <v>580</v>
      </c>
      <c r="C93" s="85" t="s">
        <v>56</v>
      </c>
      <c r="D93" s="85"/>
      <c r="E93" s="389"/>
      <c r="F93" s="382">
        <v>45631</v>
      </c>
      <c r="G93" s="383">
        <f t="shared" ca="1" si="7"/>
        <v>46102</v>
      </c>
      <c r="H93" s="384" t="str">
        <f t="shared" ca="1" si="8"/>
        <v>15-Months</v>
      </c>
      <c r="I93" s="385" t="s">
        <v>1308</v>
      </c>
      <c r="J93" s="386">
        <v>364500</v>
      </c>
      <c r="K93" s="391"/>
      <c r="L93" s="390"/>
      <c r="M93" s="391"/>
      <c r="N93" s="391"/>
      <c r="O93" s="387">
        <f t="shared" si="6"/>
        <v>364500</v>
      </c>
      <c r="P93" s="538"/>
    </row>
    <row r="94" spans="1:16" ht="18" x14ac:dyDescent="0.25">
      <c r="A94" s="85">
        <v>43</v>
      </c>
      <c r="B94" s="85" t="s">
        <v>580</v>
      </c>
      <c r="C94" s="85" t="s">
        <v>56</v>
      </c>
      <c r="D94" s="85"/>
      <c r="E94" s="389"/>
      <c r="F94" s="382">
        <v>45631</v>
      </c>
      <c r="G94" s="383">
        <f t="shared" ca="1" si="7"/>
        <v>46102</v>
      </c>
      <c r="H94" s="384" t="str">
        <f t="shared" ca="1" si="8"/>
        <v>15-Months</v>
      </c>
      <c r="I94" s="385" t="s">
        <v>1309</v>
      </c>
      <c r="J94" s="386">
        <v>14250</v>
      </c>
      <c r="K94" s="391"/>
      <c r="L94" s="390"/>
      <c r="M94" s="391"/>
      <c r="N94" s="391"/>
      <c r="O94" s="387">
        <f t="shared" si="6"/>
        <v>14250</v>
      </c>
      <c r="P94" s="538"/>
    </row>
    <row r="95" spans="1:16" ht="18" x14ac:dyDescent="0.25">
      <c r="A95" s="85">
        <v>44</v>
      </c>
      <c r="B95" s="85" t="s">
        <v>580</v>
      </c>
      <c r="C95" s="85" t="s">
        <v>56</v>
      </c>
      <c r="D95" s="85"/>
      <c r="E95" s="389"/>
      <c r="F95" s="382">
        <v>45631</v>
      </c>
      <c r="G95" s="383">
        <f t="shared" ca="1" si="7"/>
        <v>46102</v>
      </c>
      <c r="H95" s="384" t="str">
        <f t="shared" ca="1" si="8"/>
        <v>15-Months</v>
      </c>
      <c r="I95" s="385" t="s">
        <v>1310</v>
      </c>
      <c r="J95" s="386">
        <v>796500</v>
      </c>
      <c r="K95" s="391"/>
      <c r="L95" s="390"/>
      <c r="M95" s="391"/>
      <c r="N95" s="391"/>
      <c r="O95" s="387">
        <f t="shared" si="6"/>
        <v>796500</v>
      </c>
      <c r="P95" s="538"/>
    </row>
    <row r="96" spans="1:16" ht="18" x14ac:dyDescent="0.25">
      <c r="A96" s="85">
        <v>45</v>
      </c>
      <c r="B96" s="85" t="s">
        <v>580</v>
      </c>
      <c r="C96" s="85" t="s">
        <v>56</v>
      </c>
      <c r="D96" s="85"/>
      <c r="E96" s="389"/>
      <c r="F96" s="382">
        <v>45631</v>
      </c>
      <c r="G96" s="383">
        <f t="shared" ca="1" si="7"/>
        <v>46102</v>
      </c>
      <c r="H96" s="384" t="str">
        <f t="shared" ca="1" si="8"/>
        <v>15-Months</v>
      </c>
      <c r="I96" s="385" t="s">
        <v>1311</v>
      </c>
      <c r="J96" s="386">
        <v>14250</v>
      </c>
      <c r="K96" s="391"/>
      <c r="L96" s="390"/>
      <c r="M96" s="391"/>
      <c r="N96" s="391"/>
      <c r="O96" s="387">
        <f t="shared" si="6"/>
        <v>14250</v>
      </c>
      <c r="P96" s="538"/>
    </row>
    <row r="97" spans="1:17" ht="18" x14ac:dyDescent="0.25">
      <c r="A97" s="85">
        <v>46</v>
      </c>
      <c r="B97" s="85" t="s">
        <v>580</v>
      </c>
      <c r="C97" s="85" t="s">
        <v>56</v>
      </c>
      <c r="D97" s="85"/>
      <c r="E97" s="389"/>
      <c r="F97" s="382">
        <v>45638</v>
      </c>
      <c r="G97" s="383">
        <f t="shared" ca="1" si="7"/>
        <v>46102</v>
      </c>
      <c r="H97" s="384" t="str">
        <f t="shared" ca="1" si="8"/>
        <v>15-Months</v>
      </c>
      <c r="I97" s="385" t="s">
        <v>1312</v>
      </c>
      <c r="J97" s="386">
        <v>14250</v>
      </c>
      <c r="K97" s="391"/>
      <c r="L97" s="390"/>
      <c r="M97" s="391"/>
      <c r="N97" s="391"/>
      <c r="O97" s="387">
        <f t="shared" si="6"/>
        <v>14250</v>
      </c>
      <c r="P97" s="538"/>
    </row>
    <row r="98" spans="1:17" ht="18" x14ac:dyDescent="0.25">
      <c r="A98" s="85">
        <v>47</v>
      </c>
      <c r="B98" s="85" t="s">
        <v>580</v>
      </c>
      <c r="C98" s="85" t="s">
        <v>56</v>
      </c>
      <c r="D98" s="85"/>
      <c r="E98" s="389"/>
      <c r="F98" s="382">
        <v>45638</v>
      </c>
      <c r="G98" s="383">
        <f t="shared" ca="1" si="7"/>
        <v>46102</v>
      </c>
      <c r="H98" s="384" t="str">
        <f t="shared" ca="1" si="8"/>
        <v>15-Months</v>
      </c>
      <c r="I98" s="385" t="s">
        <v>1313</v>
      </c>
      <c r="J98" s="386">
        <v>14250</v>
      </c>
      <c r="K98" s="391"/>
      <c r="L98" s="390"/>
      <c r="M98" s="391"/>
      <c r="N98" s="391"/>
      <c r="O98" s="387">
        <f t="shared" si="6"/>
        <v>14250</v>
      </c>
      <c r="P98" s="538"/>
    </row>
    <row r="99" spans="1:17" ht="18" x14ac:dyDescent="0.25">
      <c r="A99" s="85">
        <v>48</v>
      </c>
      <c r="B99" s="85" t="s">
        <v>580</v>
      </c>
      <c r="C99" s="85" t="s">
        <v>56</v>
      </c>
      <c r="D99" s="85"/>
      <c r="E99" s="389"/>
      <c r="F99" s="382">
        <v>45644</v>
      </c>
      <c r="G99" s="383">
        <f t="shared" ca="1" si="7"/>
        <v>46102</v>
      </c>
      <c r="H99" s="384" t="str">
        <f t="shared" ca="1" si="8"/>
        <v>15-Months</v>
      </c>
      <c r="I99" s="385" t="s">
        <v>1314</v>
      </c>
      <c r="J99" s="386">
        <v>540000</v>
      </c>
      <c r="K99" s="391"/>
      <c r="L99" s="390"/>
      <c r="M99" s="391"/>
      <c r="N99" s="391"/>
      <c r="O99" s="387">
        <f t="shared" si="6"/>
        <v>540000</v>
      </c>
      <c r="P99" s="538"/>
    </row>
    <row r="100" spans="1:17" ht="18" x14ac:dyDescent="0.25">
      <c r="A100" s="85">
        <v>49</v>
      </c>
      <c r="B100" s="85" t="s">
        <v>580</v>
      </c>
      <c r="C100" s="85" t="s">
        <v>56</v>
      </c>
      <c r="D100" s="85"/>
      <c r="E100" s="389"/>
      <c r="F100" s="382">
        <v>45647</v>
      </c>
      <c r="G100" s="383">
        <f t="shared" ca="1" si="7"/>
        <v>46102</v>
      </c>
      <c r="H100" s="384" t="str">
        <f t="shared" ca="1" si="8"/>
        <v>15-Months</v>
      </c>
      <c r="I100" s="385" t="s">
        <v>1315</v>
      </c>
      <c r="J100" s="386">
        <v>14250</v>
      </c>
      <c r="K100" s="391"/>
      <c r="L100" s="390"/>
      <c r="M100" s="391"/>
      <c r="N100" s="391"/>
      <c r="O100" s="387">
        <f t="shared" si="6"/>
        <v>14250</v>
      </c>
      <c r="P100" s="538"/>
    </row>
    <row r="101" spans="1:17" ht="18" x14ac:dyDescent="0.25">
      <c r="A101" s="85">
        <v>50</v>
      </c>
      <c r="B101" s="85" t="s">
        <v>580</v>
      </c>
      <c r="C101" s="85" t="s">
        <v>56</v>
      </c>
      <c r="D101" s="85"/>
      <c r="E101" s="389"/>
      <c r="F101" s="382">
        <v>45651</v>
      </c>
      <c r="G101" s="383">
        <f t="shared" ca="1" si="7"/>
        <v>46102</v>
      </c>
      <c r="H101" s="384" t="str">
        <f t="shared" ca="1" si="8"/>
        <v>14-Months</v>
      </c>
      <c r="I101" s="385" t="s">
        <v>1316</v>
      </c>
      <c r="J101" s="386">
        <v>14250</v>
      </c>
      <c r="K101" s="391"/>
      <c r="L101" s="390"/>
      <c r="M101" s="391"/>
      <c r="N101" s="391"/>
      <c r="O101" s="387">
        <f t="shared" si="6"/>
        <v>14250</v>
      </c>
      <c r="P101" s="538"/>
    </row>
    <row r="102" spans="1:17" ht="18" x14ac:dyDescent="0.25">
      <c r="A102" s="85">
        <v>51</v>
      </c>
      <c r="B102" s="85" t="s">
        <v>580</v>
      </c>
      <c r="C102" s="85" t="s">
        <v>56</v>
      </c>
      <c r="D102" s="85"/>
      <c r="E102" s="389"/>
      <c r="F102" s="382">
        <v>45651</v>
      </c>
      <c r="G102" s="383">
        <f t="shared" ca="1" si="7"/>
        <v>46102</v>
      </c>
      <c r="H102" s="384" t="str">
        <f t="shared" ca="1" si="8"/>
        <v>14-Months</v>
      </c>
      <c r="I102" s="385" t="s">
        <v>1317</v>
      </c>
      <c r="J102" s="386">
        <v>28500</v>
      </c>
      <c r="K102" s="391"/>
      <c r="L102" s="390"/>
      <c r="M102" s="391"/>
      <c r="N102" s="391"/>
      <c r="O102" s="387">
        <f t="shared" si="6"/>
        <v>28500</v>
      </c>
      <c r="P102" s="538"/>
    </row>
    <row r="103" spans="1:17" ht="18" x14ac:dyDescent="0.25">
      <c r="A103" s="85">
        <v>52</v>
      </c>
      <c r="B103" s="85" t="s">
        <v>580</v>
      </c>
      <c r="C103" s="85" t="s">
        <v>56</v>
      </c>
      <c r="D103" s="85"/>
      <c r="E103" s="389"/>
      <c r="F103" s="382">
        <v>45652</v>
      </c>
      <c r="G103" s="383">
        <f t="shared" ca="1" si="7"/>
        <v>46102</v>
      </c>
      <c r="H103" s="384" t="str">
        <f t="shared" ca="1" si="8"/>
        <v>14-Months</v>
      </c>
      <c r="I103" s="385" t="s">
        <v>1318</v>
      </c>
      <c r="J103" s="386">
        <v>796500</v>
      </c>
      <c r="K103" s="391"/>
      <c r="L103" s="390"/>
      <c r="M103" s="391"/>
      <c r="N103" s="391"/>
      <c r="O103" s="387">
        <f t="shared" si="6"/>
        <v>796500</v>
      </c>
      <c r="P103" s="538"/>
    </row>
    <row r="104" spans="1:17" ht="18" x14ac:dyDescent="0.25">
      <c r="A104" s="85">
        <v>53</v>
      </c>
      <c r="B104" s="85" t="s">
        <v>580</v>
      </c>
      <c r="C104" s="85" t="s">
        <v>56</v>
      </c>
      <c r="D104" s="85"/>
      <c r="E104" s="389"/>
      <c r="F104" s="382">
        <v>45652</v>
      </c>
      <c r="G104" s="383">
        <f t="shared" ca="1" si="7"/>
        <v>46102</v>
      </c>
      <c r="H104" s="384" t="str">
        <f t="shared" ca="1" si="8"/>
        <v>14-Months</v>
      </c>
      <c r="I104" s="385" t="s">
        <v>1319</v>
      </c>
      <c r="J104" s="386">
        <v>135000</v>
      </c>
      <c r="K104" s="391"/>
      <c r="L104" s="390"/>
      <c r="M104" s="391"/>
      <c r="N104" s="391"/>
      <c r="O104" s="387">
        <f t="shared" si="6"/>
        <v>135000</v>
      </c>
      <c r="P104" s="538"/>
    </row>
    <row r="105" spans="1:17" ht="18" x14ac:dyDescent="0.25">
      <c r="A105" s="85">
        <v>54</v>
      </c>
      <c r="B105" s="85" t="s">
        <v>580</v>
      </c>
      <c r="C105" s="85" t="s">
        <v>56</v>
      </c>
      <c r="D105" s="85"/>
      <c r="E105" s="389"/>
      <c r="F105" s="382">
        <v>45652</v>
      </c>
      <c r="G105" s="383">
        <f t="shared" ca="1" si="7"/>
        <v>46102</v>
      </c>
      <c r="H105" s="384" t="str">
        <f t="shared" ca="1" si="8"/>
        <v>14-Months</v>
      </c>
      <c r="I105" s="385" t="s">
        <v>1320</v>
      </c>
      <c r="J105" s="386">
        <v>28500</v>
      </c>
      <c r="K105" s="391"/>
      <c r="L105" s="390"/>
      <c r="M105" s="391"/>
      <c r="N105" s="391"/>
      <c r="O105" s="387">
        <f t="shared" si="6"/>
        <v>28500</v>
      </c>
      <c r="P105" s="538"/>
    </row>
    <row r="106" spans="1:17" ht="18" x14ac:dyDescent="0.25">
      <c r="A106" s="85">
        <v>55</v>
      </c>
      <c r="B106" s="85" t="s">
        <v>580</v>
      </c>
      <c r="C106" s="85" t="s">
        <v>56</v>
      </c>
      <c r="D106" s="85"/>
      <c r="E106" s="389"/>
      <c r="F106" s="382">
        <v>45652</v>
      </c>
      <c r="G106" s="383">
        <f t="shared" ca="1" si="7"/>
        <v>46102</v>
      </c>
      <c r="H106" s="384" t="str">
        <f t="shared" ca="1" si="8"/>
        <v>14-Months</v>
      </c>
      <c r="I106" s="385" t="s">
        <v>1321</v>
      </c>
      <c r="J106" s="386">
        <v>14250</v>
      </c>
      <c r="K106" s="391"/>
      <c r="L106" s="390"/>
      <c r="M106" s="391"/>
      <c r="N106" s="391"/>
      <c r="O106" s="387">
        <f t="shared" si="6"/>
        <v>14250</v>
      </c>
      <c r="P106" s="538"/>
    </row>
    <row r="107" spans="1:17" ht="18" x14ac:dyDescent="0.25">
      <c r="A107" s="85">
        <v>56</v>
      </c>
      <c r="B107" s="85" t="s">
        <v>580</v>
      </c>
      <c r="C107" s="85" t="s">
        <v>56</v>
      </c>
      <c r="D107" s="85"/>
      <c r="E107" s="389"/>
      <c r="F107" s="382">
        <v>45652</v>
      </c>
      <c r="G107" s="383">
        <f t="shared" ca="1" si="7"/>
        <v>46102</v>
      </c>
      <c r="H107" s="384" t="str">
        <f t="shared" ca="1" si="8"/>
        <v>14-Months</v>
      </c>
      <c r="I107" s="385" t="s">
        <v>1322</v>
      </c>
      <c r="J107" s="386">
        <v>28500</v>
      </c>
      <c r="K107" s="391"/>
      <c r="L107" s="390"/>
      <c r="M107" s="391"/>
      <c r="N107" s="391"/>
      <c r="O107" s="387">
        <f t="shared" si="6"/>
        <v>28500</v>
      </c>
      <c r="P107" s="538"/>
    </row>
    <row r="108" spans="1:17" ht="21" x14ac:dyDescent="0.25">
      <c r="A108" s="397"/>
      <c r="B108" s="396" t="s">
        <v>1323</v>
      </c>
      <c r="C108" s="397"/>
      <c r="D108" s="396"/>
      <c r="E108" s="396"/>
      <c r="F108" s="398"/>
      <c r="G108" s="417"/>
      <c r="H108" s="418"/>
      <c r="I108" s="401"/>
      <c r="J108" s="401">
        <f>SUM(J52:J107)</f>
        <v>6908270</v>
      </c>
      <c r="K108" s="401">
        <f>SUM(K52:K96)</f>
        <v>844590</v>
      </c>
      <c r="L108" s="401">
        <f>SUM(L52:L96)</f>
        <v>48888</v>
      </c>
      <c r="M108" s="401">
        <f>SUM(M52:M96)</f>
        <v>0</v>
      </c>
      <c r="N108" s="401">
        <f>SUM(N52:N96)</f>
        <v>0</v>
      </c>
      <c r="O108" s="401">
        <f>SUM(O52:O107)</f>
        <v>7801748</v>
      </c>
      <c r="P108" s="541"/>
      <c r="Q108" s="392">
        <f>J108+L108</f>
        <v>6957158</v>
      </c>
    </row>
    <row r="109" spans="1:17" ht="18" x14ac:dyDescent="0.25">
      <c r="A109" s="404"/>
      <c r="B109" s="403"/>
      <c r="C109" s="404"/>
      <c r="D109" s="403"/>
      <c r="E109" s="403"/>
      <c r="F109" s="405"/>
      <c r="G109" s="383"/>
      <c r="H109" s="419"/>
      <c r="I109" s="408"/>
      <c r="J109" s="408"/>
      <c r="K109" s="408"/>
      <c r="L109" s="408"/>
      <c r="M109" s="408"/>
      <c r="N109" s="408"/>
      <c r="O109" s="408"/>
      <c r="P109" s="542"/>
    </row>
    <row r="110" spans="1:17" ht="18" x14ac:dyDescent="0.25">
      <c r="A110" s="85">
        <v>1</v>
      </c>
      <c r="B110" s="85" t="s">
        <v>1324</v>
      </c>
      <c r="C110" s="85" t="s">
        <v>113</v>
      </c>
      <c r="D110" s="85"/>
      <c r="E110" s="389"/>
      <c r="F110" s="382">
        <v>44716</v>
      </c>
      <c r="G110" s="383">
        <f ca="1">TODAY()</f>
        <v>46102</v>
      </c>
      <c r="H110" s="420" t="str">
        <f ca="1">DATEDIF(F110,G110,"M")&amp;"-Months"</f>
        <v>45-Months</v>
      </c>
      <c r="I110" s="410" t="s">
        <v>1325</v>
      </c>
      <c r="J110" s="386">
        <v>10520</v>
      </c>
      <c r="K110" s="391"/>
      <c r="L110" s="390"/>
      <c r="M110" s="391"/>
      <c r="N110" s="391"/>
      <c r="O110" s="411">
        <f t="shared" ref="O110:O115" si="9">J110+K110+L110</f>
        <v>10520</v>
      </c>
      <c r="P110" s="538" t="s">
        <v>1326</v>
      </c>
    </row>
    <row r="111" spans="1:17" ht="18" x14ac:dyDescent="0.25">
      <c r="A111" s="85">
        <v>2</v>
      </c>
      <c r="B111" s="85" t="s">
        <v>1324</v>
      </c>
      <c r="C111" s="85" t="s">
        <v>113</v>
      </c>
      <c r="D111" s="85"/>
      <c r="E111" s="389"/>
      <c r="F111" s="382">
        <v>44716</v>
      </c>
      <c r="G111" s="383">
        <f ca="1">TODAY()</f>
        <v>46102</v>
      </c>
      <c r="H111" s="420" t="str">
        <f ca="1">DATEDIF(F111,G111,"M")&amp;"-Months"</f>
        <v>45-Months</v>
      </c>
      <c r="I111" s="410" t="s">
        <v>1327</v>
      </c>
      <c r="J111" s="386"/>
      <c r="K111" s="387">
        <v>96025</v>
      </c>
      <c r="L111" s="390"/>
      <c r="M111" s="391"/>
      <c r="N111" s="391"/>
      <c r="O111" s="411">
        <f t="shared" si="9"/>
        <v>96025</v>
      </c>
      <c r="P111" s="538" t="s">
        <v>1326</v>
      </c>
    </row>
    <row r="112" spans="1:17" ht="18" x14ac:dyDescent="0.25">
      <c r="A112" s="85">
        <v>3</v>
      </c>
      <c r="B112" s="85" t="s">
        <v>1324</v>
      </c>
      <c r="C112" s="85" t="s">
        <v>113</v>
      </c>
      <c r="D112" s="85"/>
      <c r="E112" s="389"/>
      <c r="F112" s="382">
        <v>44716</v>
      </c>
      <c r="G112" s="383">
        <f ca="1">TODAY()</f>
        <v>46102</v>
      </c>
      <c r="H112" s="420" t="str">
        <f ca="1">DATEDIF(F112,G112,"M")&amp;"-Months"</f>
        <v>45-Months</v>
      </c>
      <c r="I112" s="410" t="s">
        <v>1328</v>
      </c>
      <c r="J112" s="386"/>
      <c r="K112" s="387">
        <v>16200</v>
      </c>
      <c r="L112" s="390"/>
      <c r="M112" s="391"/>
      <c r="N112" s="391"/>
      <c r="O112" s="411">
        <f t="shared" si="9"/>
        <v>16200</v>
      </c>
      <c r="P112" s="538" t="s">
        <v>1326</v>
      </c>
    </row>
    <row r="113" spans="1:17" ht="18" x14ac:dyDescent="0.25">
      <c r="A113" s="85">
        <v>4</v>
      </c>
      <c r="B113" s="85" t="s">
        <v>1329</v>
      </c>
      <c r="C113" s="85" t="s">
        <v>35</v>
      </c>
      <c r="D113" s="85"/>
      <c r="E113" s="389"/>
      <c r="F113" s="382">
        <v>44088</v>
      </c>
      <c r="G113" s="383">
        <f ca="1">TODAY()</f>
        <v>46102</v>
      </c>
      <c r="H113" s="412" t="str">
        <f ca="1">DATEDIF(F113,G113,"M")&amp;"-Months"</f>
        <v>66-Months</v>
      </c>
      <c r="I113" s="421" t="s">
        <v>1330</v>
      </c>
      <c r="J113" s="386">
        <v>1869203</v>
      </c>
      <c r="K113" s="387"/>
      <c r="L113" s="390"/>
      <c r="M113" s="391"/>
      <c r="N113" s="391"/>
      <c r="O113" s="413">
        <f t="shared" si="9"/>
        <v>1869203</v>
      </c>
      <c r="P113" s="538" t="s">
        <v>1331</v>
      </c>
    </row>
    <row r="114" spans="1:17" ht="18.75" x14ac:dyDescent="0.5">
      <c r="A114" s="85">
        <v>5</v>
      </c>
      <c r="B114" s="65" t="s">
        <v>1332</v>
      </c>
      <c r="C114" s="65" t="s">
        <v>421</v>
      </c>
      <c r="D114" s="65"/>
      <c r="E114" s="65"/>
      <c r="F114" s="422">
        <v>44297</v>
      </c>
      <c r="G114" s="383">
        <f ca="1">TODAY()</f>
        <v>46102</v>
      </c>
      <c r="H114" s="412" t="str">
        <f ca="1">DATEDIF(F114,G114,"M")&amp;"-Months"</f>
        <v>59-Months</v>
      </c>
      <c r="I114" s="423" t="s">
        <v>1333</v>
      </c>
      <c r="J114" s="424"/>
      <c r="K114" s="65">
        <v>160200</v>
      </c>
      <c r="L114" s="65"/>
      <c r="M114" s="65"/>
      <c r="N114" s="65"/>
      <c r="O114" s="413">
        <f t="shared" si="9"/>
        <v>160200</v>
      </c>
      <c r="P114" s="538" t="s">
        <v>1331</v>
      </c>
    </row>
    <row r="115" spans="1:17" ht="21" x14ac:dyDescent="0.25">
      <c r="A115" s="395"/>
      <c r="B115" s="396" t="s">
        <v>1334</v>
      </c>
      <c r="C115" s="397"/>
      <c r="D115" s="396"/>
      <c r="E115" s="396"/>
      <c r="F115" s="398"/>
      <c r="G115" s="398"/>
      <c r="H115" s="399"/>
      <c r="I115" s="401"/>
      <c r="J115" s="401">
        <f>SUM(J110:J114)</f>
        <v>1879723</v>
      </c>
      <c r="K115" s="402">
        <f>SUM(K110:K114)</f>
        <v>272425</v>
      </c>
      <c r="L115" s="401"/>
      <c r="M115" s="402"/>
      <c r="N115" s="402"/>
      <c r="O115" s="402">
        <f t="shared" si="9"/>
        <v>2152148</v>
      </c>
      <c r="P115" s="541"/>
    </row>
    <row r="116" spans="1:17" ht="18" x14ac:dyDescent="0.25">
      <c r="A116" s="425"/>
      <c r="B116" s="426"/>
      <c r="C116" s="426"/>
      <c r="D116" s="425"/>
      <c r="E116" s="425" t="s">
        <v>1335</v>
      </c>
      <c r="F116" s="425"/>
      <c r="G116" s="425"/>
      <c r="H116" s="427"/>
      <c r="I116" s="428"/>
      <c r="J116" s="428"/>
      <c r="K116" s="428"/>
      <c r="L116" s="428"/>
      <c r="M116" s="428"/>
      <c r="N116" s="428"/>
      <c r="O116" s="429">
        <f>SUM(J116:N116)</f>
        <v>0</v>
      </c>
      <c r="P116" s="452"/>
    </row>
    <row r="117" spans="1:17" ht="18.75" x14ac:dyDescent="0.5">
      <c r="A117" s="430">
        <v>1</v>
      </c>
      <c r="B117" s="430" t="s">
        <v>1337</v>
      </c>
      <c r="C117" s="431" t="s">
        <v>476</v>
      </c>
      <c r="D117" s="430"/>
      <c r="E117" s="432" t="s">
        <v>1336</v>
      </c>
      <c r="F117" s="383">
        <v>45633</v>
      </c>
      <c r="G117" s="383">
        <f ca="1">TODAY()</f>
        <v>46102</v>
      </c>
      <c r="H117" s="419" t="str">
        <f ca="1">DATEDIF(F117,G117,"M")&amp;"-Months"</f>
        <v>15-Months</v>
      </c>
      <c r="I117" s="433" t="s">
        <v>1338</v>
      </c>
      <c r="J117" s="434">
        <v>17400</v>
      </c>
      <c r="K117" s="429"/>
      <c r="L117" s="429"/>
      <c r="M117" s="429"/>
      <c r="N117" s="429"/>
      <c r="O117" s="429">
        <f>SUM(J117:N117)</f>
        <v>17400</v>
      </c>
      <c r="P117" s="452"/>
    </row>
    <row r="118" spans="1:17" ht="18.75" x14ac:dyDescent="0.5">
      <c r="A118" s="430">
        <v>2</v>
      </c>
      <c r="B118" s="430" t="s">
        <v>569</v>
      </c>
      <c r="C118" s="431" t="s">
        <v>24</v>
      </c>
      <c r="D118" s="430"/>
      <c r="E118" s="430"/>
      <c r="F118" s="383">
        <v>45579</v>
      </c>
      <c r="G118" s="383">
        <f ca="1">TODAY()</f>
        <v>46102</v>
      </c>
      <c r="H118" s="419" t="str">
        <f ca="1">DATEDIF(F118,G118,"M")&amp;"-Months"</f>
        <v>17-Months</v>
      </c>
      <c r="I118" s="433">
        <v>61267</v>
      </c>
      <c r="J118" s="434">
        <v>261000</v>
      </c>
      <c r="K118" s="429"/>
      <c r="L118" s="429"/>
      <c r="M118" s="429"/>
      <c r="N118" s="429"/>
      <c r="O118" s="429">
        <f>SUM(J118:N118)</f>
        <v>261000</v>
      </c>
      <c r="P118" s="452"/>
    </row>
    <row r="119" spans="1:17" ht="18.75" x14ac:dyDescent="0.5">
      <c r="A119" s="430">
        <v>3</v>
      </c>
      <c r="B119" s="430" t="s">
        <v>1339</v>
      </c>
      <c r="C119" s="431" t="s">
        <v>24</v>
      </c>
      <c r="D119" s="430"/>
      <c r="E119" s="430"/>
      <c r="F119" s="383">
        <v>45618</v>
      </c>
      <c r="G119" s="383">
        <f ca="1">TODAY()</f>
        <v>46102</v>
      </c>
      <c r="H119" s="419" t="str">
        <f ca="1">DATEDIF(F119,G119,"M")&amp;"-Months"</f>
        <v>15-Months</v>
      </c>
      <c r="I119" s="433" t="s">
        <v>1340</v>
      </c>
      <c r="J119" s="434">
        <v>228400</v>
      </c>
      <c r="K119" s="429"/>
      <c r="L119" s="429"/>
      <c r="M119" s="429"/>
      <c r="N119" s="429"/>
      <c r="O119" s="429">
        <f>SUM(J119:N119)</f>
        <v>228400</v>
      </c>
      <c r="P119" s="452"/>
    </row>
    <row r="120" spans="1:17" ht="18.75" x14ac:dyDescent="0.5">
      <c r="A120" s="404"/>
      <c r="B120" s="430"/>
      <c r="C120" s="431"/>
      <c r="D120" s="436"/>
      <c r="E120" s="403" t="s">
        <v>1341</v>
      </c>
      <c r="F120" s="405"/>
      <c r="G120" s="383"/>
      <c r="H120" s="406"/>
      <c r="I120" s="407"/>
      <c r="J120" s="408">
        <f t="shared" ref="J120:O120" si="10">SUM(J117:J119)</f>
        <v>506800</v>
      </c>
      <c r="K120" s="408">
        <f t="shared" si="10"/>
        <v>0</v>
      </c>
      <c r="L120" s="408">
        <f t="shared" si="10"/>
        <v>0</v>
      </c>
      <c r="M120" s="408">
        <f t="shared" si="10"/>
        <v>0</v>
      </c>
      <c r="N120" s="408">
        <f t="shared" si="10"/>
        <v>0</v>
      </c>
      <c r="O120" s="408">
        <f t="shared" si="10"/>
        <v>506800</v>
      </c>
      <c r="P120" s="542"/>
      <c r="Q120" s="392">
        <f>J120+J124+L124+J129+L134+J138+J149+L149+L155+J169+L169+J174</f>
        <v>3297230</v>
      </c>
    </row>
    <row r="121" spans="1:17" ht="18" x14ac:dyDescent="0.25">
      <c r="A121" s="437"/>
      <c r="B121" s="437"/>
      <c r="C121" s="437"/>
      <c r="D121" s="438"/>
      <c r="E121" s="425" t="s">
        <v>1342</v>
      </c>
      <c r="F121" s="439"/>
      <c r="G121" s="439"/>
      <c r="H121" s="440"/>
      <c r="I121" s="441"/>
      <c r="J121" s="441"/>
      <c r="K121" s="409"/>
      <c r="L121" s="409"/>
      <c r="M121" s="442"/>
      <c r="N121" s="442"/>
      <c r="O121" s="429">
        <f t="shared" ref="O121:O133" si="11">SUM(J121:N121)</f>
        <v>0</v>
      </c>
      <c r="P121" s="542"/>
    </row>
    <row r="122" spans="1:17" ht="18" x14ac:dyDescent="0.25">
      <c r="A122" s="430">
        <v>1</v>
      </c>
      <c r="B122" s="430" t="s">
        <v>1345</v>
      </c>
      <c r="C122" s="430" t="s">
        <v>1343</v>
      </c>
      <c r="D122" s="443"/>
      <c r="E122" s="432" t="s">
        <v>1344</v>
      </c>
      <c r="F122" s="383">
        <v>45572</v>
      </c>
      <c r="G122" s="383">
        <f ca="1">TODAY()</f>
        <v>46102</v>
      </c>
      <c r="H122" s="393" t="str">
        <f ca="1">DATEDIF(F122,G122,"M")&amp;"-Months"</f>
        <v>17-Months</v>
      </c>
      <c r="I122" s="444" t="s">
        <v>1346</v>
      </c>
      <c r="J122" s="444">
        <v>81000</v>
      </c>
      <c r="K122" s="429"/>
      <c r="L122" s="429"/>
      <c r="M122" s="429"/>
      <c r="N122" s="429"/>
      <c r="O122" s="456">
        <f>SUM(J122:N122)</f>
        <v>81000</v>
      </c>
      <c r="P122" s="452"/>
    </row>
    <row r="123" spans="1:17" ht="18" x14ac:dyDescent="0.25">
      <c r="A123" s="430">
        <v>2</v>
      </c>
      <c r="B123" s="430" t="s">
        <v>1344</v>
      </c>
      <c r="C123" s="430" t="s">
        <v>1343</v>
      </c>
      <c r="D123" s="443"/>
      <c r="E123" s="430"/>
      <c r="F123" s="383">
        <v>45618</v>
      </c>
      <c r="G123" s="383">
        <f ca="1">TODAY()</f>
        <v>46102</v>
      </c>
      <c r="H123" s="419" t="str">
        <f ca="1">DATEDIF(F123,G123,"M")&amp;"-Months"</f>
        <v>15-Months</v>
      </c>
      <c r="I123" s="444" t="s">
        <v>1347</v>
      </c>
      <c r="J123" s="444">
        <v>298130</v>
      </c>
      <c r="K123" s="429"/>
      <c r="L123" s="429"/>
      <c r="M123" s="429"/>
      <c r="N123" s="429"/>
      <c r="O123" s="445">
        <f>SUM(J123:N123)</f>
        <v>298130</v>
      </c>
      <c r="P123" s="452"/>
    </row>
    <row r="124" spans="1:17" ht="18" x14ac:dyDescent="0.25">
      <c r="A124" s="403"/>
      <c r="B124" s="403"/>
      <c r="C124" s="403"/>
      <c r="D124" s="446"/>
      <c r="E124" s="403" t="s">
        <v>1348</v>
      </c>
      <c r="F124" s="447"/>
      <c r="G124" s="447"/>
      <c r="H124" s="406"/>
      <c r="I124" s="408"/>
      <c r="J124" s="408">
        <f t="shared" ref="J124:O124" si="12">SUM(J122:J123)</f>
        <v>379130</v>
      </c>
      <c r="K124" s="408">
        <f t="shared" si="12"/>
        <v>0</v>
      </c>
      <c r="L124" s="408">
        <f t="shared" si="12"/>
        <v>0</v>
      </c>
      <c r="M124" s="408">
        <f t="shared" si="12"/>
        <v>0</v>
      </c>
      <c r="N124" s="408">
        <f t="shared" si="12"/>
        <v>0</v>
      </c>
      <c r="O124" s="408">
        <f t="shared" si="12"/>
        <v>379130</v>
      </c>
      <c r="P124" s="542"/>
      <c r="Q124" s="534">
        <f>K138+K134</f>
        <v>450380</v>
      </c>
    </row>
    <row r="125" spans="1:17" ht="18" x14ac:dyDescent="0.25">
      <c r="A125" s="430"/>
      <c r="B125" s="430"/>
      <c r="C125" s="430"/>
      <c r="D125" s="443"/>
      <c r="E125" s="425" t="s">
        <v>1349</v>
      </c>
      <c r="F125" s="383"/>
      <c r="G125" s="383"/>
      <c r="H125" s="419"/>
      <c r="I125" s="434"/>
      <c r="J125" s="434"/>
      <c r="K125" s="429"/>
      <c r="L125" s="429"/>
      <c r="M125" s="429"/>
      <c r="N125" s="429"/>
      <c r="O125" s="429">
        <f t="shared" si="11"/>
        <v>0</v>
      </c>
      <c r="P125" s="452"/>
    </row>
    <row r="126" spans="1:17" ht="18.75" x14ac:dyDescent="0.5">
      <c r="A126" s="435">
        <v>1</v>
      </c>
      <c r="B126" s="448" t="s">
        <v>521</v>
      </c>
      <c r="C126" s="448" t="s">
        <v>516</v>
      </c>
      <c r="D126" s="449"/>
      <c r="E126" s="450" t="s">
        <v>818</v>
      </c>
      <c r="F126" s="419">
        <v>45574</v>
      </c>
      <c r="G126" s="383">
        <f ca="1">TODAY()</f>
        <v>46102</v>
      </c>
      <c r="H126" s="393" t="str">
        <f ca="1">DATEDIF(F126,G126,"M")&amp;"-Months"</f>
        <v>17-Months</v>
      </c>
      <c r="I126" s="444" t="s">
        <v>1350</v>
      </c>
      <c r="J126" s="451">
        <v>261000</v>
      </c>
      <c r="K126" s="451"/>
      <c r="L126" s="451"/>
      <c r="M126" s="451"/>
      <c r="N126" s="451"/>
      <c r="O126" s="456">
        <f>SUM(J126:N126)</f>
        <v>261000</v>
      </c>
      <c r="P126" s="452"/>
    </row>
    <row r="127" spans="1:17" ht="18.75" x14ac:dyDescent="0.5">
      <c r="A127" s="435">
        <v>2</v>
      </c>
      <c r="B127" s="448" t="s">
        <v>378</v>
      </c>
      <c r="C127" s="448" t="s">
        <v>509</v>
      </c>
      <c r="D127" s="449"/>
      <c r="E127" s="452"/>
      <c r="F127" s="419">
        <v>45584</v>
      </c>
      <c r="G127" s="383">
        <f ca="1">TODAY()</f>
        <v>46102</v>
      </c>
      <c r="H127" s="384" t="str">
        <f ca="1">DATEDIF(F127,G127,"M")&amp;"-Months"</f>
        <v>17-Months</v>
      </c>
      <c r="I127" s="444" t="s">
        <v>1351</v>
      </c>
      <c r="J127" s="451">
        <v>261000</v>
      </c>
      <c r="K127" s="451"/>
      <c r="L127" s="451"/>
      <c r="M127" s="451"/>
      <c r="N127" s="451"/>
      <c r="O127" s="445">
        <f>SUM(J127:N127)</f>
        <v>261000</v>
      </c>
      <c r="P127" s="452"/>
    </row>
    <row r="128" spans="1:17" ht="18.75" x14ac:dyDescent="0.5">
      <c r="A128" s="435">
        <v>3</v>
      </c>
      <c r="B128" s="448" t="s">
        <v>1352</v>
      </c>
      <c r="C128" s="448" t="s">
        <v>516</v>
      </c>
      <c r="D128" s="449"/>
      <c r="E128" s="452"/>
      <c r="F128" s="419">
        <v>45574</v>
      </c>
      <c r="G128" s="383">
        <f ca="1">TODAY()</f>
        <v>46102</v>
      </c>
      <c r="H128" s="393" t="str">
        <f ca="1">DATEDIF(F128,G128,"M")&amp;"-Months"</f>
        <v>17-Months</v>
      </c>
      <c r="I128" s="444" t="s">
        <v>1353</v>
      </c>
      <c r="J128" s="451">
        <v>261000</v>
      </c>
      <c r="K128" s="451"/>
      <c r="L128" s="451"/>
      <c r="M128" s="451"/>
      <c r="N128" s="451"/>
      <c r="O128" s="456">
        <f>SUM(J128:N128)</f>
        <v>261000</v>
      </c>
      <c r="P128" s="452"/>
    </row>
    <row r="129" spans="1:17" ht="18.75" x14ac:dyDescent="0.5">
      <c r="A129" s="437"/>
      <c r="B129" s="453"/>
      <c r="C129" s="453"/>
      <c r="D129" s="438"/>
      <c r="E129" s="403" t="s">
        <v>1354</v>
      </c>
      <c r="F129" s="439"/>
      <c r="G129" s="439"/>
      <c r="H129" s="440"/>
      <c r="I129" s="441"/>
      <c r="J129" s="408">
        <f t="shared" ref="J129:O129" si="13">SUM(J126:J128)</f>
        <v>783000</v>
      </c>
      <c r="K129" s="408">
        <f t="shared" si="13"/>
        <v>0</v>
      </c>
      <c r="L129" s="408">
        <f t="shared" si="13"/>
        <v>0</v>
      </c>
      <c r="M129" s="408">
        <f t="shared" si="13"/>
        <v>0</v>
      </c>
      <c r="N129" s="408">
        <f t="shared" si="13"/>
        <v>0</v>
      </c>
      <c r="O129" s="408">
        <f t="shared" si="13"/>
        <v>783000</v>
      </c>
      <c r="P129" s="542"/>
    </row>
    <row r="130" spans="1:17" ht="18.75" x14ac:dyDescent="0.5">
      <c r="A130" s="432"/>
      <c r="B130" s="454"/>
      <c r="C130" s="454"/>
      <c r="D130" s="432"/>
      <c r="E130" s="425" t="s">
        <v>1355</v>
      </c>
      <c r="F130" s="432"/>
      <c r="G130" s="432"/>
      <c r="H130" s="419"/>
      <c r="I130" s="428"/>
      <c r="J130" s="455"/>
      <c r="K130" s="455"/>
      <c r="L130" s="455"/>
      <c r="M130" s="455"/>
      <c r="N130" s="455"/>
      <c r="O130" s="429">
        <f t="shared" si="11"/>
        <v>0</v>
      </c>
      <c r="P130" s="452"/>
    </row>
    <row r="131" spans="1:17" ht="18" x14ac:dyDescent="0.25">
      <c r="A131" s="430">
        <v>1</v>
      </c>
      <c r="B131" s="430" t="s">
        <v>1356</v>
      </c>
      <c r="C131" s="430" t="s">
        <v>32</v>
      </c>
      <c r="D131" s="430" t="s">
        <v>1357</v>
      </c>
      <c r="E131" s="425" t="s">
        <v>1358</v>
      </c>
      <c r="F131" s="383">
        <v>43838</v>
      </c>
      <c r="G131" s="383">
        <f ca="1">TODAY()</f>
        <v>46102</v>
      </c>
      <c r="H131" s="412" t="str">
        <f ca="1">DATEDIF(F131,G131,"M")&amp;"-Months"</f>
        <v>74-Months</v>
      </c>
      <c r="I131" s="444" t="s">
        <v>1359</v>
      </c>
      <c r="J131" s="434"/>
      <c r="K131" s="429">
        <v>30180</v>
      </c>
      <c r="L131" s="429"/>
      <c r="M131" s="434"/>
      <c r="N131" s="434"/>
      <c r="O131" s="413">
        <f t="shared" si="11"/>
        <v>30180</v>
      </c>
      <c r="P131" s="452" t="s">
        <v>1331</v>
      </c>
    </row>
    <row r="132" spans="1:17" ht="18" x14ac:dyDescent="0.25">
      <c r="A132" s="430">
        <v>2</v>
      </c>
      <c r="B132" s="430" t="s">
        <v>1360</v>
      </c>
      <c r="C132" s="430" t="s">
        <v>32</v>
      </c>
      <c r="D132" s="430"/>
      <c r="E132" s="430"/>
      <c r="F132" s="383">
        <v>45356</v>
      </c>
      <c r="G132" s="383">
        <f ca="1">TODAY()</f>
        <v>46102</v>
      </c>
      <c r="H132" s="393" t="str">
        <f ca="1">DATEDIF(F132,G132,"M")&amp;"-Months"</f>
        <v>24-Months</v>
      </c>
      <c r="I132" s="444" t="s">
        <v>1361</v>
      </c>
      <c r="J132" s="434"/>
      <c r="K132" s="429">
        <v>420200</v>
      </c>
      <c r="L132" s="429"/>
      <c r="M132" s="434"/>
      <c r="N132" s="434"/>
      <c r="O132" s="456">
        <f t="shared" si="11"/>
        <v>420200</v>
      </c>
      <c r="P132" s="452" t="s">
        <v>1362</v>
      </c>
    </row>
    <row r="133" spans="1:17" ht="18" x14ac:dyDescent="0.25">
      <c r="A133" s="430">
        <v>3</v>
      </c>
      <c r="B133" s="430" t="s">
        <v>1363</v>
      </c>
      <c r="C133" s="430" t="s">
        <v>32</v>
      </c>
      <c r="D133" s="430"/>
      <c r="E133" s="430"/>
      <c r="F133" s="383">
        <v>45223</v>
      </c>
      <c r="G133" s="383">
        <f ca="1">TODAY()</f>
        <v>46102</v>
      </c>
      <c r="H133" s="415" t="str">
        <f ca="1">DATEDIF(F133,G133,"M")&amp;"-Months"</f>
        <v>28-Months</v>
      </c>
      <c r="I133" s="444"/>
      <c r="J133" s="434"/>
      <c r="K133" s="429"/>
      <c r="L133" s="429">
        <v>38400</v>
      </c>
      <c r="M133" s="434"/>
      <c r="N133" s="434"/>
      <c r="O133" s="457">
        <f t="shared" si="11"/>
        <v>38400</v>
      </c>
      <c r="P133" s="452" t="s">
        <v>1331</v>
      </c>
    </row>
    <row r="134" spans="1:17" ht="18.75" x14ac:dyDescent="0.5">
      <c r="A134" s="430"/>
      <c r="B134" s="453"/>
      <c r="C134" s="453"/>
      <c r="D134" s="437"/>
      <c r="E134" s="403" t="s">
        <v>1364</v>
      </c>
      <c r="F134" s="439"/>
      <c r="G134" s="439"/>
      <c r="H134" s="440"/>
      <c r="I134" s="441"/>
      <c r="J134" s="408">
        <f t="shared" ref="J134:O134" si="14">SUM(J131:J133)</f>
        <v>0</v>
      </c>
      <c r="K134" s="408">
        <f t="shared" si="14"/>
        <v>450380</v>
      </c>
      <c r="L134" s="408">
        <f t="shared" si="14"/>
        <v>38400</v>
      </c>
      <c r="M134" s="408">
        <f t="shared" si="14"/>
        <v>0</v>
      </c>
      <c r="N134" s="408">
        <f t="shared" si="14"/>
        <v>0</v>
      </c>
      <c r="O134" s="408">
        <f t="shared" si="14"/>
        <v>488780</v>
      </c>
      <c r="P134" s="542"/>
    </row>
    <row r="135" spans="1:17" ht="18.75" x14ac:dyDescent="0.5">
      <c r="A135" s="430"/>
      <c r="B135" s="458"/>
      <c r="C135" s="458"/>
      <c r="D135" s="430"/>
      <c r="E135" s="425" t="s">
        <v>1365</v>
      </c>
      <c r="F135" s="383"/>
      <c r="G135" s="383"/>
      <c r="H135" s="419"/>
      <c r="I135" s="434"/>
      <c r="J135" s="434"/>
      <c r="K135" s="429"/>
      <c r="L135" s="429"/>
      <c r="M135" s="434"/>
      <c r="N135" s="434"/>
      <c r="O135" s="429">
        <f>SUM(J135:N135)</f>
        <v>0</v>
      </c>
      <c r="P135" s="452"/>
      <c r="Q135" s="459">
        <f>K134+K40</f>
        <v>450380</v>
      </c>
    </row>
    <row r="136" spans="1:17" ht="18" x14ac:dyDescent="0.25">
      <c r="A136" s="430">
        <v>1</v>
      </c>
      <c r="B136" s="430" t="s">
        <v>543</v>
      </c>
      <c r="C136" s="430" t="s">
        <v>15</v>
      </c>
      <c r="D136" s="430"/>
      <c r="E136" s="425" t="s">
        <v>816</v>
      </c>
      <c r="F136" s="383">
        <v>45573</v>
      </c>
      <c r="G136" s="383">
        <f ca="1">TODAY()</f>
        <v>46102</v>
      </c>
      <c r="H136" s="393" t="str">
        <f ca="1">DATEDIF(F136,G136,"M")&amp;"-Months"</f>
        <v>17-Months</v>
      </c>
      <c r="I136" s="433" t="s">
        <v>1366</v>
      </c>
      <c r="J136" s="434">
        <v>174000</v>
      </c>
      <c r="K136" s="429"/>
      <c r="L136" s="429"/>
      <c r="M136" s="434"/>
      <c r="N136" s="434"/>
      <c r="O136" s="456">
        <f>SUM(J136:N136)</f>
        <v>174000</v>
      </c>
      <c r="P136" s="452"/>
    </row>
    <row r="137" spans="1:17" ht="18" x14ac:dyDescent="0.25">
      <c r="A137" s="430">
        <v>2</v>
      </c>
      <c r="B137" s="430" t="s">
        <v>535</v>
      </c>
      <c r="C137" s="430" t="s">
        <v>15</v>
      </c>
      <c r="D137" s="430"/>
      <c r="E137" s="430"/>
      <c r="F137" s="383">
        <v>45580</v>
      </c>
      <c r="G137" s="383">
        <f ca="1">TODAY()</f>
        <v>46102</v>
      </c>
      <c r="H137" s="384" t="str">
        <f ca="1">DATEDIF(F137,G137,"M")&amp;"-Months"</f>
        <v>17-Months</v>
      </c>
      <c r="I137" s="433">
        <v>61270</v>
      </c>
      <c r="J137" s="434">
        <v>87000</v>
      </c>
      <c r="K137" s="429"/>
      <c r="L137" s="429"/>
      <c r="M137" s="434"/>
      <c r="N137" s="434"/>
      <c r="O137" s="445">
        <f>SUM(J137:N137)</f>
        <v>87000</v>
      </c>
      <c r="P137" s="452"/>
    </row>
    <row r="138" spans="1:17" ht="18.75" x14ac:dyDescent="0.5">
      <c r="A138" s="437"/>
      <c r="B138" s="460"/>
      <c r="C138" s="460"/>
      <c r="D138" s="437"/>
      <c r="E138" s="403" t="s">
        <v>1367</v>
      </c>
      <c r="F138" s="439"/>
      <c r="G138" s="439"/>
      <c r="H138" s="419"/>
      <c r="I138" s="441"/>
      <c r="J138" s="408">
        <f t="shared" ref="J138:O138" si="15">SUM(J136:J137)</f>
        <v>261000</v>
      </c>
      <c r="K138" s="408">
        <f t="shared" si="15"/>
        <v>0</v>
      </c>
      <c r="L138" s="408">
        <f t="shared" si="15"/>
        <v>0</v>
      </c>
      <c r="M138" s="408">
        <f t="shared" si="15"/>
        <v>0</v>
      </c>
      <c r="N138" s="408">
        <f t="shared" si="15"/>
        <v>0</v>
      </c>
      <c r="O138" s="408">
        <f t="shared" si="15"/>
        <v>261000</v>
      </c>
      <c r="P138" s="452"/>
    </row>
    <row r="139" spans="1:17" ht="18" x14ac:dyDescent="0.25">
      <c r="A139" s="430"/>
      <c r="B139" s="461"/>
      <c r="C139" s="461"/>
      <c r="D139" s="430"/>
      <c r="E139" s="425" t="s">
        <v>1368</v>
      </c>
      <c r="F139" s="383"/>
      <c r="G139" s="383"/>
      <c r="H139" s="419"/>
      <c r="I139" s="434"/>
      <c r="J139" s="434"/>
      <c r="K139" s="429"/>
      <c r="L139" s="429"/>
      <c r="M139" s="434"/>
      <c r="N139" s="434"/>
      <c r="O139" s="429">
        <f>SUM(J139:N139)</f>
        <v>0</v>
      </c>
      <c r="P139" s="452"/>
    </row>
    <row r="140" spans="1:17" ht="18" x14ac:dyDescent="0.25">
      <c r="A140" s="437"/>
      <c r="B140" s="462"/>
      <c r="C140" s="462"/>
      <c r="D140" s="437"/>
      <c r="E140" s="403"/>
      <c r="F140" s="439"/>
      <c r="G140" s="439"/>
      <c r="H140" s="440"/>
      <c r="I140" s="441"/>
      <c r="J140" s="408"/>
      <c r="K140" s="408"/>
      <c r="L140" s="408"/>
      <c r="M140" s="408"/>
      <c r="N140" s="408"/>
      <c r="O140" s="408"/>
      <c r="P140" s="452"/>
    </row>
    <row r="141" spans="1:17" ht="18" x14ac:dyDescent="0.25">
      <c r="A141" s="430"/>
      <c r="B141" s="463"/>
      <c r="C141" s="463"/>
      <c r="D141" s="430"/>
      <c r="E141" s="464" t="s">
        <v>1369</v>
      </c>
      <c r="F141" s="430"/>
      <c r="G141" s="430"/>
      <c r="H141" s="465"/>
      <c r="I141" s="434"/>
      <c r="J141" s="434"/>
      <c r="K141" s="429"/>
      <c r="L141" s="434"/>
      <c r="M141" s="434"/>
      <c r="N141" s="434"/>
      <c r="O141" s="429">
        <f>SUM(J141:N141)</f>
        <v>0</v>
      </c>
      <c r="P141" s="452"/>
    </row>
    <row r="142" spans="1:17" ht="18" x14ac:dyDescent="0.25">
      <c r="A142" s="164">
        <v>1</v>
      </c>
      <c r="B142" s="164" t="s">
        <v>1370</v>
      </c>
      <c r="C142" s="164" t="s">
        <v>556</v>
      </c>
      <c r="D142" s="164" t="s">
        <v>1371</v>
      </c>
      <c r="E142" s="466" t="s">
        <v>1372</v>
      </c>
      <c r="F142" s="467">
        <v>45666</v>
      </c>
      <c r="G142" s="467">
        <f ca="1">TODAY()</f>
        <v>46102</v>
      </c>
      <c r="H142" s="384" t="str">
        <f ca="1">DATEDIF(F142,G142,"M")&amp;"-Months"</f>
        <v>14-Months</v>
      </c>
      <c r="I142" s="468" t="s">
        <v>1497</v>
      </c>
      <c r="J142" s="469"/>
      <c r="K142" s="445">
        <v>62400</v>
      </c>
      <c r="L142" s="469"/>
      <c r="M142" s="469"/>
      <c r="N142" s="469"/>
      <c r="O142" s="445">
        <f t="shared" ref="O142:O148" si="16">SUM(J142:N142)</f>
        <v>62400</v>
      </c>
      <c r="P142" s="452"/>
    </row>
    <row r="143" spans="1:17" ht="18" x14ac:dyDescent="0.25">
      <c r="A143" s="164">
        <v>2</v>
      </c>
      <c r="B143" s="430" t="s">
        <v>1373</v>
      </c>
      <c r="C143" s="430" t="s">
        <v>481</v>
      </c>
      <c r="D143" s="430" t="s">
        <v>1357</v>
      </c>
      <c r="E143" s="430"/>
      <c r="F143" s="470"/>
      <c r="G143" s="470"/>
      <c r="H143" s="471"/>
      <c r="I143" s="472"/>
      <c r="J143" s="434"/>
      <c r="K143" s="429">
        <v>56980</v>
      </c>
      <c r="L143" s="434"/>
      <c r="M143" s="434"/>
      <c r="N143" s="434"/>
      <c r="O143" s="473">
        <f t="shared" si="16"/>
        <v>56980</v>
      </c>
      <c r="P143" s="452" t="s">
        <v>1331</v>
      </c>
    </row>
    <row r="144" spans="1:17" ht="18" x14ac:dyDescent="0.25">
      <c r="A144" s="164">
        <v>3</v>
      </c>
      <c r="B144" s="164" t="s">
        <v>1374</v>
      </c>
      <c r="C144" s="164" t="s">
        <v>1375</v>
      </c>
      <c r="D144" s="164"/>
      <c r="E144" s="164"/>
      <c r="F144" s="467">
        <v>45584</v>
      </c>
      <c r="G144" s="467">
        <f ca="1">TODAY()</f>
        <v>46102</v>
      </c>
      <c r="H144" s="384" t="str">
        <f ca="1">DATEDIF(F144,G144,"M")&amp;"-Months"</f>
        <v>17-Months</v>
      </c>
      <c r="I144" s="468" t="s">
        <v>1376</v>
      </c>
      <c r="J144" s="469"/>
      <c r="K144" s="445">
        <v>54000</v>
      </c>
      <c r="L144" s="469"/>
      <c r="M144" s="469"/>
      <c r="N144" s="469"/>
      <c r="O144" s="445">
        <f t="shared" si="16"/>
        <v>54000</v>
      </c>
      <c r="P144" s="452"/>
    </row>
    <row r="145" spans="1:17" ht="18" x14ac:dyDescent="0.25">
      <c r="A145" s="164">
        <v>4</v>
      </c>
      <c r="B145" s="430" t="s">
        <v>423</v>
      </c>
      <c r="C145" s="430" t="s">
        <v>1375</v>
      </c>
      <c r="D145" s="430"/>
      <c r="E145" s="430"/>
      <c r="F145" s="383">
        <v>45653</v>
      </c>
      <c r="G145" s="383">
        <f ca="1">TODAY()</f>
        <v>46102</v>
      </c>
      <c r="H145" s="384" t="str">
        <f ca="1">DATEDIF(F145,G145,"M")&amp;"-Months"</f>
        <v>14-Months</v>
      </c>
      <c r="I145" s="433" t="s">
        <v>1377</v>
      </c>
      <c r="J145" s="434"/>
      <c r="K145" s="429">
        <v>62400</v>
      </c>
      <c r="L145" s="434"/>
      <c r="M145" s="434"/>
      <c r="N145" s="434"/>
      <c r="O145" s="445">
        <f t="shared" si="16"/>
        <v>62400</v>
      </c>
      <c r="P145" s="452"/>
    </row>
    <row r="146" spans="1:17" ht="18" x14ac:dyDescent="0.25">
      <c r="A146" s="164">
        <v>5</v>
      </c>
      <c r="B146" s="430" t="s">
        <v>511</v>
      </c>
      <c r="C146" s="430" t="s">
        <v>30</v>
      </c>
      <c r="D146" s="430"/>
      <c r="E146" s="430"/>
      <c r="F146" s="383">
        <v>45573</v>
      </c>
      <c r="G146" s="383">
        <f ca="1">TODAY()</f>
        <v>46102</v>
      </c>
      <c r="H146" s="393" t="str">
        <f ca="1">DATEDIF(F146,G146,"M")&amp;"-Months"</f>
        <v>17-Months</v>
      </c>
      <c r="I146" s="433" t="s">
        <v>1378</v>
      </c>
      <c r="J146" s="434">
        <v>87000</v>
      </c>
      <c r="K146" s="429"/>
      <c r="L146" s="434"/>
      <c r="M146" s="434"/>
      <c r="N146" s="434"/>
      <c r="O146" s="456">
        <f t="shared" si="16"/>
        <v>87000</v>
      </c>
      <c r="P146" s="452"/>
    </row>
    <row r="147" spans="1:17" ht="18" x14ac:dyDescent="0.25">
      <c r="A147" s="164">
        <v>6</v>
      </c>
      <c r="B147" s="430" t="s">
        <v>483</v>
      </c>
      <c r="C147" s="430" t="s">
        <v>1379</v>
      </c>
      <c r="D147" s="430"/>
      <c r="E147" s="430"/>
      <c r="F147" s="383">
        <v>45573</v>
      </c>
      <c r="G147" s="383">
        <f ca="1">TODAY()</f>
        <v>46102</v>
      </c>
      <c r="H147" s="393" t="str">
        <f ca="1">DATEDIF(F147,G147,"M")&amp;"-Months"</f>
        <v>17-Months</v>
      </c>
      <c r="I147" s="433" t="s">
        <v>1380</v>
      </c>
      <c r="J147" s="434">
        <v>261000</v>
      </c>
      <c r="K147" s="429"/>
      <c r="L147" s="434"/>
      <c r="M147" s="434"/>
      <c r="N147" s="434"/>
      <c r="O147" s="456">
        <f t="shared" si="16"/>
        <v>261000</v>
      </c>
      <c r="P147" s="452"/>
    </row>
    <row r="148" spans="1:17" ht="18" x14ac:dyDescent="0.25">
      <c r="A148" s="164">
        <v>7</v>
      </c>
      <c r="B148" s="430" t="s">
        <v>527</v>
      </c>
      <c r="C148" s="430" t="s">
        <v>18</v>
      </c>
      <c r="D148" s="430"/>
      <c r="E148" s="430"/>
      <c r="F148" s="383">
        <v>45652</v>
      </c>
      <c r="G148" s="383">
        <f ca="1">TODAY()</f>
        <v>46102</v>
      </c>
      <c r="H148" s="419" t="str">
        <f ca="1">DATEDIF(F148,G148,"M")&amp;"-Months"</f>
        <v>14-Months</v>
      </c>
      <c r="I148" s="433" t="s">
        <v>1381</v>
      </c>
      <c r="J148" s="434">
        <v>105800</v>
      </c>
      <c r="K148" s="429"/>
      <c r="L148" s="434"/>
      <c r="M148" s="434"/>
      <c r="N148" s="434"/>
      <c r="O148" s="429">
        <f t="shared" si="16"/>
        <v>105800</v>
      </c>
      <c r="P148" s="452"/>
    </row>
    <row r="149" spans="1:17" ht="18" x14ac:dyDescent="0.25">
      <c r="A149" s="437"/>
      <c r="B149" s="437"/>
      <c r="C149" s="437"/>
      <c r="D149" s="437"/>
      <c r="E149" s="474" t="s">
        <v>1382</v>
      </c>
      <c r="F149" s="439"/>
      <c r="G149" s="439"/>
      <c r="H149" s="419"/>
      <c r="I149" s="441"/>
      <c r="J149" s="408">
        <f t="shared" ref="J149:O149" si="17">SUM(J142:J148)</f>
        <v>453800</v>
      </c>
      <c r="K149" s="408">
        <f t="shared" si="17"/>
        <v>235780</v>
      </c>
      <c r="L149" s="408">
        <f t="shared" si="17"/>
        <v>0</v>
      </c>
      <c r="M149" s="408">
        <f t="shared" si="17"/>
        <v>0</v>
      </c>
      <c r="N149" s="408">
        <f t="shared" si="17"/>
        <v>0</v>
      </c>
      <c r="O149" s="408">
        <f t="shared" si="17"/>
        <v>689580</v>
      </c>
      <c r="P149" s="452"/>
    </row>
    <row r="150" spans="1:17" ht="18" x14ac:dyDescent="0.25">
      <c r="A150" s="430"/>
      <c r="B150" s="430"/>
      <c r="C150" s="430"/>
      <c r="D150" s="430"/>
      <c r="E150" s="425" t="s">
        <v>1383</v>
      </c>
      <c r="F150" s="383"/>
      <c r="G150" s="383"/>
      <c r="H150" s="419"/>
      <c r="I150" s="434"/>
      <c r="J150" s="434"/>
      <c r="K150" s="429"/>
      <c r="L150" s="434"/>
      <c r="M150" s="434"/>
      <c r="N150" s="434"/>
      <c r="O150" s="429">
        <f>SUM(J150:N150)</f>
        <v>0</v>
      </c>
      <c r="P150" s="452"/>
      <c r="Q150" s="459"/>
    </row>
    <row r="151" spans="1:17" ht="18" x14ac:dyDescent="0.25">
      <c r="A151" s="430">
        <v>1</v>
      </c>
      <c r="B151" s="430" t="s">
        <v>1384</v>
      </c>
      <c r="C151" s="430" t="s">
        <v>707</v>
      </c>
      <c r="D151" s="430"/>
      <c r="E151" s="466" t="s">
        <v>1385</v>
      </c>
      <c r="F151" s="383">
        <v>45502</v>
      </c>
      <c r="G151" s="383">
        <f ca="1">TODAY()</f>
        <v>46102</v>
      </c>
      <c r="H151" s="393" t="str">
        <f ca="1">DATEDIF(F151,G151,"M")&amp;"-Months"</f>
        <v>19-Months</v>
      </c>
      <c r="I151" s="444" t="s">
        <v>1386</v>
      </c>
      <c r="J151" s="434"/>
      <c r="K151" s="429">
        <v>300800</v>
      </c>
      <c r="L151" s="434"/>
      <c r="M151" s="434"/>
      <c r="N151" s="434"/>
      <c r="O151" s="456">
        <f>SUM(J151:N151)</f>
        <v>300800</v>
      </c>
      <c r="P151" s="452" t="s">
        <v>1362</v>
      </c>
    </row>
    <row r="152" spans="1:17" ht="18" x14ac:dyDescent="0.25">
      <c r="A152" s="164">
        <v>2</v>
      </c>
      <c r="B152" s="164" t="s">
        <v>715</v>
      </c>
      <c r="C152" s="164" t="s">
        <v>507</v>
      </c>
      <c r="D152" s="164"/>
      <c r="E152" s="164"/>
      <c r="F152" s="467">
        <v>45610</v>
      </c>
      <c r="G152" s="467">
        <f ca="1">TODAY()</f>
        <v>46102</v>
      </c>
      <c r="H152" s="384" t="str">
        <f ca="1">DATEDIF(F152,G152,"M")&amp;"-Months"</f>
        <v>16-Months</v>
      </c>
      <c r="I152" s="468" t="s">
        <v>1387</v>
      </c>
      <c r="J152" s="469"/>
      <c r="K152" s="445">
        <v>260200</v>
      </c>
      <c r="L152" s="469"/>
      <c r="M152" s="469"/>
      <c r="N152" s="469"/>
      <c r="O152" s="445">
        <f>SUM(J152:N152)</f>
        <v>260200</v>
      </c>
      <c r="P152" s="452"/>
    </row>
    <row r="153" spans="1:17" ht="18" x14ac:dyDescent="0.25">
      <c r="A153" s="430">
        <v>3</v>
      </c>
      <c r="B153" s="430" t="s">
        <v>1388</v>
      </c>
      <c r="C153" s="430" t="s">
        <v>507</v>
      </c>
      <c r="D153" s="430"/>
      <c r="E153" s="430"/>
      <c r="F153" s="383">
        <v>45265</v>
      </c>
      <c r="G153" s="383">
        <f ca="1">TODAY()</f>
        <v>46102</v>
      </c>
      <c r="H153" s="415" t="str">
        <f ca="1">DATEDIF(F153,G153,"M")&amp;"-Months"</f>
        <v>27-Months</v>
      </c>
      <c r="I153" s="444" t="s">
        <v>1389</v>
      </c>
      <c r="J153" s="434"/>
      <c r="K153" s="429"/>
      <c r="L153" s="434">
        <v>360040</v>
      </c>
      <c r="M153" s="434"/>
      <c r="N153" s="434"/>
      <c r="O153" s="457">
        <f>SUM(J153:N153)</f>
        <v>360040</v>
      </c>
      <c r="P153" s="452" t="s">
        <v>1390</v>
      </c>
    </row>
    <row r="154" spans="1:17" ht="18" x14ac:dyDescent="0.25">
      <c r="A154" s="430">
        <v>4</v>
      </c>
      <c r="B154" s="430" t="s">
        <v>1391</v>
      </c>
      <c r="C154" s="430" t="s">
        <v>507</v>
      </c>
      <c r="D154" s="430"/>
      <c r="E154" s="430"/>
      <c r="F154" s="383">
        <v>45372</v>
      </c>
      <c r="G154" s="383">
        <f ca="1">TODAY()</f>
        <v>46102</v>
      </c>
      <c r="H154" s="393" t="str">
        <f ca="1">DATEDIF(F154,G154,"M")&amp;"-Months"</f>
        <v>24-Months</v>
      </c>
      <c r="I154" s="444" t="s">
        <v>1392</v>
      </c>
      <c r="J154" s="434"/>
      <c r="K154" s="429">
        <v>297000</v>
      </c>
      <c r="L154" s="434"/>
      <c r="M154" s="434"/>
      <c r="N154" s="434"/>
      <c r="O154" s="456">
        <f>SUM(J154:N154)</f>
        <v>297000</v>
      </c>
      <c r="P154" s="452" t="s">
        <v>1393</v>
      </c>
    </row>
    <row r="155" spans="1:17" ht="18" x14ac:dyDescent="0.25">
      <c r="A155" s="437"/>
      <c r="B155" s="437"/>
      <c r="C155" s="437"/>
      <c r="D155" s="437"/>
      <c r="E155" s="403" t="s">
        <v>1394</v>
      </c>
      <c r="F155" s="439"/>
      <c r="G155" s="383"/>
      <c r="H155" s="440"/>
      <c r="I155" s="441"/>
      <c r="J155" s="409">
        <f t="shared" ref="J155:O155" si="18">SUM(J151:J154)</f>
        <v>0</v>
      </c>
      <c r="K155" s="409">
        <f t="shared" si="18"/>
        <v>858000</v>
      </c>
      <c r="L155" s="409">
        <f t="shared" si="18"/>
        <v>360040</v>
      </c>
      <c r="M155" s="409">
        <f t="shared" si="18"/>
        <v>0</v>
      </c>
      <c r="N155" s="409">
        <f t="shared" si="18"/>
        <v>0</v>
      </c>
      <c r="O155" s="409">
        <f t="shared" si="18"/>
        <v>1218040</v>
      </c>
      <c r="P155" s="452"/>
    </row>
    <row r="156" spans="1:17" ht="18" x14ac:dyDescent="0.25">
      <c r="A156" s="430"/>
      <c r="B156" s="430"/>
      <c r="C156" s="430"/>
      <c r="D156" s="430"/>
      <c r="E156" s="425" t="s">
        <v>1395</v>
      </c>
      <c r="F156" s="383"/>
      <c r="G156" s="383"/>
      <c r="H156" s="419"/>
      <c r="I156" s="434"/>
      <c r="J156" s="434"/>
      <c r="K156" s="429"/>
      <c r="L156" s="434"/>
      <c r="M156" s="434"/>
      <c r="N156" s="434"/>
      <c r="O156" s="429">
        <f>SUM(J156:N156)</f>
        <v>0</v>
      </c>
      <c r="P156" s="452"/>
    </row>
    <row r="157" spans="1:17" ht="18" x14ac:dyDescent="0.25">
      <c r="A157" s="164">
        <v>1</v>
      </c>
      <c r="B157" s="164" t="s">
        <v>718</v>
      </c>
      <c r="C157" s="164" t="s">
        <v>398</v>
      </c>
      <c r="D157" s="164" t="s">
        <v>1154</v>
      </c>
      <c r="E157" s="466" t="s">
        <v>1385</v>
      </c>
      <c r="F157" s="467">
        <v>45625</v>
      </c>
      <c r="G157" s="467">
        <f t="shared" ref="G157:G165" ca="1" si="19">TODAY()</f>
        <v>46102</v>
      </c>
      <c r="H157" s="384" t="str">
        <f t="shared" ref="H157:H165" ca="1" si="20">DATEDIF(F157,G157,"M")&amp;"-Months"</f>
        <v>15-Months</v>
      </c>
      <c r="I157" s="468" t="s">
        <v>1396</v>
      </c>
      <c r="J157" s="469"/>
      <c r="K157" s="445">
        <v>265200</v>
      </c>
      <c r="L157" s="469"/>
      <c r="M157" s="469"/>
      <c r="N157" s="469"/>
      <c r="O157" s="445">
        <f t="shared" ref="O157:O168" si="21">SUM(J157:N157)</f>
        <v>265200</v>
      </c>
      <c r="P157" s="452"/>
    </row>
    <row r="158" spans="1:17" ht="18" x14ac:dyDescent="0.25">
      <c r="A158" s="164">
        <v>2</v>
      </c>
      <c r="B158" s="430" t="s">
        <v>1397</v>
      </c>
      <c r="C158" s="430" t="s">
        <v>1263</v>
      </c>
      <c r="D158" s="430" t="s">
        <v>1398</v>
      </c>
      <c r="E158" s="430"/>
      <c r="F158" s="383">
        <v>45299</v>
      </c>
      <c r="G158" s="383">
        <f t="shared" ca="1" si="19"/>
        <v>46102</v>
      </c>
      <c r="H158" s="393" t="str">
        <f t="shared" ca="1" si="20"/>
        <v>26-Months</v>
      </c>
      <c r="I158" s="444" t="s">
        <v>1399</v>
      </c>
      <c r="J158" s="434"/>
      <c r="K158" s="429">
        <v>118400</v>
      </c>
      <c r="L158" s="434"/>
      <c r="M158" s="434"/>
      <c r="N158" s="434"/>
      <c r="O158" s="456">
        <f t="shared" si="21"/>
        <v>118400</v>
      </c>
      <c r="P158" s="452" t="s">
        <v>1393</v>
      </c>
      <c r="Q158" s="388">
        <f>K149+K155+K169</f>
        <v>2886220</v>
      </c>
    </row>
    <row r="159" spans="1:17" ht="18" x14ac:dyDescent="0.25">
      <c r="A159" s="164">
        <v>3</v>
      </c>
      <c r="B159" s="430" t="s">
        <v>1400</v>
      </c>
      <c r="C159" s="430" t="s">
        <v>1263</v>
      </c>
      <c r="D159" s="430" t="s">
        <v>1357</v>
      </c>
      <c r="E159" s="430"/>
      <c r="F159" s="383">
        <v>45057</v>
      </c>
      <c r="G159" s="383">
        <f t="shared" ca="1" si="19"/>
        <v>46102</v>
      </c>
      <c r="H159" s="415" t="str">
        <f t="shared" ca="1" si="20"/>
        <v>34-Months</v>
      </c>
      <c r="I159" s="444" t="s">
        <v>1401</v>
      </c>
      <c r="J159" s="434"/>
      <c r="K159" s="429">
        <v>644040</v>
      </c>
      <c r="L159" s="434"/>
      <c r="M159" s="434"/>
      <c r="N159" s="434"/>
      <c r="O159" s="457">
        <f t="shared" si="21"/>
        <v>644040</v>
      </c>
      <c r="P159" s="452" t="s">
        <v>1402</v>
      </c>
    </row>
    <row r="160" spans="1:17" ht="18" x14ac:dyDescent="0.25">
      <c r="A160" s="164">
        <v>4</v>
      </c>
      <c r="B160" s="430" t="s">
        <v>710</v>
      </c>
      <c r="C160" s="430" t="s">
        <v>425</v>
      </c>
      <c r="D160" s="430" t="s">
        <v>1150</v>
      </c>
      <c r="E160" s="430"/>
      <c r="F160" s="383">
        <v>45213</v>
      </c>
      <c r="G160" s="383">
        <f t="shared" ca="1" si="19"/>
        <v>46102</v>
      </c>
      <c r="H160" s="415" t="str">
        <f t="shared" ca="1" si="20"/>
        <v>29-Months</v>
      </c>
      <c r="I160" s="444" t="s">
        <v>1403</v>
      </c>
      <c r="J160" s="434"/>
      <c r="K160" s="429">
        <v>80400</v>
      </c>
      <c r="L160" s="434"/>
      <c r="M160" s="434"/>
      <c r="N160" s="434"/>
      <c r="O160" s="457">
        <f t="shared" si="21"/>
        <v>80400</v>
      </c>
      <c r="P160" s="452" t="s">
        <v>1393</v>
      </c>
    </row>
    <row r="161" spans="1:17" ht="18" x14ac:dyDescent="0.25">
      <c r="A161" s="164">
        <v>5</v>
      </c>
      <c r="B161" s="430" t="s">
        <v>710</v>
      </c>
      <c r="C161" s="430" t="s">
        <v>425</v>
      </c>
      <c r="D161" s="430"/>
      <c r="E161" s="430"/>
      <c r="F161" s="383">
        <v>45213</v>
      </c>
      <c r="G161" s="383">
        <f t="shared" ca="1" si="19"/>
        <v>46102</v>
      </c>
      <c r="H161" s="415" t="str">
        <f t="shared" ca="1" si="20"/>
        <v>29-Months</v>
      </c>
      <c r="I161" s="444" t="s">
        <v>1404</v>
      </c>
      <c r="J161" s="434"/>
      <c r="K161" s="429"/>
      <c r="L161" s="434">
        <v>70800</v>
      </c>
      <c r="M161" s="434"/>
      <c r="N161" s="434"/>
      <c r="O161" s="457">
        <f t="shared" si="21"/>
        <v>70800</v>
      </c>
      <c r="P161" s="452" t="s">
        <v>1393</v>
      </c>
    </row>
    <row r="162" spans="1:17" ht="18" x14ac:dyDescent="0.25">
      <c r="A162" s="164">
        <v>6</v>
      </c>
      <c r="B162" s="430" t="s">
        <v>1405</v>
      </c>
      <c r="C162" s="430" t="s">
        <v>1263</v>
      </c>
      <c r="D162" s="430"/>
      <c r="E162" s="430"/>
      <c r="F162" s="383">
        <v>45017</v>
      </c>
      <c r="G162" s="383">
        <f t="shared" ca="1" si="19"/>
        <v>46102</v>
      </c>
      <c r="H162" s="415" t="str">
        <f t="shared" ca="1" si="20"/>
        <v>35-Months</v>
      </c>
      <c r="I162" s="444" t="s">
        <v>1406</v>
      </c>
      <c r="J162" s="434">
        <v>52200</v>
      </c>
      <c r="K162" s="429"/>
      <c r="L162" s="434"/>
      <c r="M162" s="434"/>
      <c r="N162" s="434"/>
      <c r="O162" s="457">
        <f t="shared" si="21"/>
        <v>52200</v>
      </c>
      <c r="P162" s="452" t="s">
        <v>1407</v>
      </c>
    </row>
    <row r="163" spans="1:17" ht="18" x14ac:dyDescent="0.25">
      <c r="A163" s="164">
        <v>7</v>
      </c>
      <c r="B163" s="430" t="s">
        <v>1400</v>
      </c>
      <c r="C163" s="430" t="s">
        <v>1263</v>
      </c>
      <c r="D163" s="430"/>
      <c r="E163" s="430"/>
      <c r="F163" s="383">
        <v>45021</v>
      </c>
      <c r="G163" s="383">
        <f ca="1">TODAY()</f>
        <v>46102</v>
      </c>
      <c r="H163" s="415" t="str">
        <f ca="1">DATEDIF(F163,G163,"M")&amp;"-Months"</f>
        <v>35-Months</v>
      </c>
      <c r="I163" s="444" t="s">
        <v>1408</v>
      </c>
      <c r="J163" s="434">
        <v>87000</v>
      </c>
      <c r="K163" s="429"/>
      <c r="L163" s="434"/>
      <c r="M163" s="434"/>
      <c r="N163" s="434"/>
      <c r="O163" s="457">
        <f t="shared" si="21"/>
        <v>87000</v>
      </c>
      <c r="P163" s="452" t="s">
        <v>1402</v>
      </c>
    </row>
    <row r="164" spans="1:17" ht="18" x14ac:dyDescent="0.25">
      <c r="A164" s="164">
        <v>8</v>
      </c>
      <c r="B164" s="430" t="s">
        <v>7</v>
      </c>
      <c r="C164" s="430" t="s">
        <v>1263</v>
      </c>
      <c r="D164" s="430"/>
      <c r="E164" s="430"/>
      <c r="F164" s="383">
        <v>45645</v>
      </c>
      <c r="G164" s="383">
        <f ca="1">TODAY()</f>
        <v>46102</v>
      </c>
      <c r="H164" s="384" t="str">
        <f ca="1">DATEDIF(F164,G164,"M")&amp;"-Months"</f>
        <v>15-Months</v>
      </c>
      <c r="I164" s="444" t="s">
        <v>1409</v>
      </c>
      <c r="J164" s="434"/>
      <c r="K164" s="429">
        <v>124800</v>
      </c>
      <c r="L164" s="434"/>
      <c r="M164" s="434"/>
      <c r="N164" s="434"/>
      <c r="O164" s="445">
        <f t="shared" si="21"/>
        <v>124800</v>
      </c>
      <c r="P164" s="452"/>
    </row>
    <row r="165" spans="1:17" ht="18" x14ac:dyDescent="0.25">
      <c r="A165" s="164">
        <v>8</v>
      </c>
      <c r="B165" s="430" t="s">
        <v>1410</v>
      </c>
      <c r="C165" s="430" t="s">
        <v>398</v>
      </c>
      <c r="D165" s="430"/>
      <c r="E165" s="430"/>
      <c r="F165" s="383">
        <v>45626</v>
      </c>
      <c r="G165" s="383">
        <f t="shared" ca="1" si="19"/>
        <v>46102</v>
      </c>
      <c r="H165" s="384" t="str">
        <f t="shared" ca="1" si="20"/>
        <v>15-Months</v>
      </c>
      <c r="I165" s="468" t="s">
        <v>1411</v>
      </c>
      <c r="J165" s="469"/>
      <c r="K165" s="445">
        <v>416000</v>
      </c>
      <c r="L165" s="469"/>
      <c r="M165" s="469"/>
      <c r="N165" s="469"/>
      <c r="O165" s="445">
        <f t="shared" si="21"/>
        <v>416000</v>
      </c>
      <c r="P165" s="452"/>
    </row>
    <row r="166" spans="1:17" ht="18" x14ac:dyDescent="0.25">
      <c r="A166" s="164">
        <v>9</v>
      </c>
      <c r="B166" s="430" t="s">
        <v>667</v>
      </c>
      <c r="C166" s="430" t="s">
        <v>425</v>
      </c>
      <c r="D166" s="430"/>
      <c r="E166" s="430"/>
      <c r="F166" s="383">
        <v>45241</v>
      </c>
      <c r="G166" s="383">
        <f ca="1">TODAY()</f>
        <v>46102</v>
      </c>
      <c r="H166" s="415" t="str">
        <f ca="1">DATEDIF(F166,G166,"M")&amp;"-Months"</f>
        <v>28-Months</v>
      </c>
      <c r="I166" s="444" t="s">
        <v>1412</v>
      </c>
      <c r="J166" s="434"/>
      <c r="K166" s="429">
        <v>98600</v>
      </c>
      <c r="L166" s="434"/>
      <c r="M166" s="434"/>
      <c r="N166" s="434"/>
      <c r="O166" s="457">
        <f t="shared" si="21"/>
        <v>98600</v>
      </c>
      <c r="P166" s="452" t="s">
        <v>1393</v>
      </c>
    </row>
    <row r="167" spans="1:17" ht="18" x14ac:dyDescent="0.25">
      <c r="A167" s="164">
        <v>10</v>
      </c>
      <c r="B167" s="430" t="s">
        <v>1413</v>
      </c>
      <c r="C167" s="430" t="s">
        <v>1263</v>
      </c>
      <c r="D167" s="430"/>
      <c r="E167" s="430"/>
      <c r="F167" s="383">
        <v>45483</v>
      </c>
      <c r="G167" s="383">
        <f ca="1">TODAY()</f>
        <v>46102</v>
      </c>
      <c r="H167" s="393" t="str">
        <f ca="1">DATEDIF(F167,G167,"M")&amp;"-Months"</f>
        <v>20-Months</v>
      </c>
      <c r="I167" s="444" t="s">
        <v>1414</v>
      </c>
      <c r="J167" s="434"/>
      <c r="K167" s="429">
        <v>45000</v>
      </c>
      <c r="L167" s="434"/>
      <c r="M167" s="434"/>
      <c r="N167" s="434"/>
      <c r="O167" s="456">
        <f t="shared" si="21"/>
        <v>45000</v>
      </c>
      <c r="P167" s="452" t="s">
        <v>1393</v>
      </c>
    </row>
    <row r="168" spans="1:17" ht="18" x14ac:dyDescent="0.25">
      <c r="A168" s="164">
        <v>11</v>
      </c>
      <c r="B168" s="430" t="s">
        <v>427</v>
      </c>
      <c r="C168" s="430" t="s">
        <v>1415</v>
      </c>
      <c r="D168" s="430"/>
      <c r="E168" s="430"/>
      <c r="F168" s="383">
        <v>45579</v>
      </c>
      <c r="G168" s="383">
        <f ca="1">TODAY()</f>
        <v>46102</v>
      </c>
      <c r="H168" s="384" t="str">
        <f ca="1">DATEDIF(F168,G168,"M")&amp;"-Months"</f>
        <v>17-Months</v>
      </c>
      <c r="I168" s="433">
        <v>63201</v>
      </c>
      <c r="J168" s="434">
        <v>41000</v>
      </c>
      <c r="K168" s="429"/>
      <c r="L168" s="434"/>
      <c r="M168" s="434"/>
      <c r="N168" s="434"/>
      <c r="O168" s="445">
        <f t="shared" si="21"/>
        <v>41000</v>
      </c>
      <c r="P168" s="452"/>
    </row>
    <row r="169" spans="1:17" ht="18" x14ac:dyDescent="0.25">
      <c r="A169" s="437"/>
      <c r="B169" s="437"/>
      <c r="C169" s="437"/>
      <c r="D169" s="437"/>
      <c r="E169" s="403" t="s">
        <v>1416</v>
      </c>
      <c r="F169" s="439"/>
      <c r="G169" s="439"/>
      <c r="H169" s="440"/>
      <c r="I169" s="441"/>
      <c r="J169" s="409">
        <f t="shared" ref="J169:O169" si="22">SUM(J157:J168)</f>
        <v>180200</v>
      </c>
      <c r="K169" s="409">
        <f t="shared" si="22"/>
        <v>1792440</v>
      </c>
      <c r="L169" s="409">
        <f t="shared" si="22"/>
        <v>70800</v>
      </c>
      <c r="M169" s="409">
        <f t="shared" si="22"/>
        <v>0</v>
      </c>
      <c r="N169" s="409">
        <f t="shared" si="22"/>
        <v>0</v>
      </c>
      <c r="O169" s="409">
        <f t="shared" si="22"/>
        <v>2043440</v>
      </c>
      <c r="P169" s="452"/>
    </row>
    <row r="170" spans="1:17" ht="18" x14ac:dyDescent="0.25">
      <c r="A170" s="430"/>
      <c r="B170" s="430"/>
      <c r="C170" s="430"/>
      <c r="D170" s="430"/>
      <c r="E170" s="425" t="s">
        <v>1342</v>
      </c>
      <c r="F170" s="383"/>
      <c r="G170" s="383"/>
      <c r="H170" s="419"/>
      <c r="I170" s="434"/>
      <c r="J170" s="434"/>
      <c r="K170" s="429"/>
      <c r="L170" s="434"/>
      <c r="M170" s="434"/>
      <c r="N170" s="434"/>
      <c r="O170" s="429">
        <f>SUM(J170:N170)</f>
        <v>0</v>
      </c>
      <c r="P170" s="542"/>
    </row>
    <row r="171" spans="1:17" ht="18.75" customHeight="1" x14ac:dyDescent="0.25">
      <c r="A171" s="430">
        <v>1</v>
      </c>
      <c r="B171" s="452" t="s">
        <v>1417</v>
      </c>
      <c r="C171" s="452" t="s">
        <v>417</v>
      </c>
      <c r="D171" s="430"/>
      <c r="E171" s="425" t="s">
        <v>1418</v>
      </c>
      <c r="F171" s="383">
        <v>45358</v>
      </c>
      <c r="G171" s="383">
        <f ca="1">TODAY()</f>
        <v>46102</v>
      </c>
      <c r="H171" s="393" t="str">
        <f ca="1">DATEDIF(F171,G171,"M")&amp;"-Months"</f>
        <v>24-Months</v>
      </c>
      <c r="I171" s="444" t="s">
        <v>1419</v>
      </c>
      <c r="J171" s="434"/>
      <c r="K171" s="429">
        <v>870000</v>
      </c>
      <c r="L171" s="434"/>
      <c r="M171" s="434"/>
      <c r="N171" s="434"/>
      <c r="O171" s="456">
        <f>SUM(K171:N171)</f>
        <v>870000</v>
      </c>
      <c r="P171" s="452" t="s">
        <v>1393</v>
      </c>
    </row>
    <row r="172" spans="1:17" ht="18" x14ac:dyDescent="0.25">
      <c r="A172" s="430">
        <v>2</v>
      </c>
      <c r="B172" s="452" t="s">
        <v>1420</v>
      </c>
      <c r="C172" s="452" t="s">
        <v>53</v>
      </c>
      <c r="D172" s="430"/>
      <c r="E172" s="425"/>
      <c r="F172" s="383">
        <v>45619</v>
      </c>
      <c r="G172" s="383">
        <f ca="1">TODAY()</f>
        <v>46102</v>
      </c>
      <c r="H172" s="384" t="str">
        <f ca="1">DATEDIF(F172,G172,"M")&amp;"-Months"</f>
        <v>15-Months</v>
      </c>
      <c r="I172" s="444" t="s">
        <v>1421</v>
      </c>
      <c r="J172" s="434">
        <v>264060</v>
      </c>
      <c r="K172" s="429"/>
      <c r="L172" s="434"/>
      <c r="M172" s="434"/>
      <c r="N172" s="434"/>
      <c r="O172" s="445">
        <f>J172+K172+L172</f>
        <v>264060</v>
      </c>
      <c r="P172" s="452"/>
    </row>
    <row r="173" spans="1:17" ht="18" x14ac:dyDescent="0.25">
      <c r="A173" s="430">
        <v>3</v>
      </c>
      <c r="B173" s="452">
        <v>97</v>
      </c>
      <c r="C173" s="452" t="s">
        <v>417</v>
      </c>
      <c r="D173" s="430"/>
      <c r="E173" s="425"/>
      <c r="F173" s="383">
        <v>45609</v>
      </c>
      <c r="G173" s="383">
        <f ca="1">TODAY()</f>
        <v>46102</v>
      </c>
      <c r="H173" s="384" t="str">
        <f ca="1">DATEDIF(F173,G173,"M")&amp;"-Months"</f>
        <v>16-Months</v>
      </c>
      <c r="I173" s="444" t="s">
        <v>1422</v>
      </c>
      <c r="J173" s="434"/>
      <c r="K173" s="429">
        <v>190200</v>
      </c>
      <c r="L173" s="434"/>
      <c r="M173" s="434"/>
      <c r="N173" s="434"/>
      <c r="O173" s="445">
        <f>J173+K173+L173</f>
        <v>190200</v>
      </c>
      <c r="P173" s="544" t="s">
        <v>1393</v>
      </c>
      <c r="Q173" s="459">
        <f>K174+K115</f>
        <v>1332625</v>
      </c>
    </row>
    <row r="174" spans="1:17" ht="18" x14ac:dyDescent="0.25">
      <c r="A174" s="437"/>
      <c r="B174" s="437"/>
      <c r="C174" s="437"/>
      <c r="D174" s="437"/>
      <c r="E174" s="403" t="s">
        <v>1348</v>
      </c>
      <c r="F174" s="383"/>
      <c r="G174" s="383"/>
      <c r="H174" s="384"/>
      <c r="I174" s="441"/>
      <c r="J174" s="408">
        <f t="shared" ref="J174:O174" si="23">SUM(J171:J173)</f>
        <v>264060</v>
      </c>
      <c r="K174" s="408">
        <f t="shared" si="23"/>
        <v>1060200</v>
      </c>
      <c r="L174" s="408">
        <f t="shared" si="23"/>
        <v>0</v>
      </c>
      <c r="M174" s="408">
        <f t="shared" si="23"/>
        <v>0</v>
      </c>
      <c r="N174" s="408">
        <f t="shared" si="23"/>
        <v>0</v>
      </c>
      <c r="O174" s="408">
        <f t="shared" si="23"/>
        <v>1324260</v>
      </c>
      <c r="P174" s="452"/>
    </row>
    <row r="175" spans="1:17" ht="18" x14ac:dyDescent="0.25">
      <c r="A175" s="437"/>
      <c r="B175" s="437"/>
      <c r="C175" s="437"/>
      <c r="D175" s="437"/>
      <c r="E175" s="403"/>
      <c r="F175" s="383"/>
      <c r="G175" s="383"/>
      <c r="H175" s="384"/>
      <c r="I175" s="441"/>
      <c r="J175" s="408"/>
      <c r="K175" s="408"/>
      <c r="L175" s="408"/>
      <c r="M175" s="408"/>
      <c r="N175" s="408"/>
      <c r="O175" s="408"/>
      <c r="P175" s="452"/>
    </row>
    <row r="176" spans="1:17" ht="21" x14ac:dyDescent="0.25">
      <c r="A176" s="475"/>
      <c r="B176" s="476" t="s">
        <v>1423</v>
      </c>
      <c r="C176" s="475"/>
      <c r="D176" s="475"/>
      <c r="E176" s="396"/>
      <c r="F176" s="417"/>
      <c r="G176" s="417"/>
      <c r="H176" s="418"/>
      <c r="I176" s="477"/>
      <c r="J176" s="401">
        <f>J120+J124+J129+J138+J149+J169+J174+L124+L134+L155+L169</f>
        <v>3297230</v>
      </c>
      <c r="K176" s="401">
        <f>K120+K124+K129+K134+K138+K140+K149+K155+K169+K174</f>
        <v>4396800</v>
      </c>
      <c r="L176" s="401">
        <f>SUM(L174,L169,L155,L149,L140,L138,L134,L129,L124,L120)</f>
        <v>469240</v>
      </c>
      <c r="M176" s="401">
        <f>SUM(M174,M169,M155,M149,M140,M138,M134,M129,M124,M120)</f>
        <v>0</v>
      </c>
      <c r="N176" s="401">
        <f>SUM(N174,N169,N155,N149,N140,N138,N134,N129,N124,N120)</f>
        <v>0</v>
      </c>
      <c r="O176" s="401">
        <f>SUM(O174,O169,O155,O149,O140,O138,O134,O129,O124,O120)</f>
        <v>7694030</v>
      </c>
      <c r="P176" s="543"/>
    </row>
    <row r="177" spans="1:16" ht="21" x14ac:dyDescent="0.25">
      <c r="A177" s="478"/>
      <c r="B177" s="728" t="s">
        <v>1424</v>
      </c>
      <c r="C177" s="729"/>
      <c r="D177" s="729"/>
      <c r="E177" s="730"/>
      <c r="F177" s="479"/>
      <c r="G177" s="479"/>
      <c r="H177" s="480"/>
      <c r="I177" s="481"/>
      <c r="J177" s="482">
        <f>J40+J47+J50+J108+J115+J120+J124+J129+J138+J149+J169+J174</f>
        <v>234763583</v>
      </c>
      <c r="K177" s="482">
        <f>K40+K108+K115+K176</f>
        <v>5513815</v>
      </c>
      <c r="L177" s="482">
        <f>L47+L108+L124+L134+L155+L169</f>
        <v>818128</v>
      </c>
      <c r="M177" s="482">
        <f>SUM(M176,M115,M108,M50,M47,M40)</f>
        <v>0</v>
      </c>
      <c r="N177" s="482">
        <f>SUM(N176,N115,N108,N50,N47,N40)</f>
        <v>0</v>
      </c>
      <c r="O177" s="482">
        <f>J177+K177+L177</f>
        <v>241095526</v>
      </c>
      <c r="P177" s="545">
        <f>SUM(P176,P115,P108,P50,P47,P40)</f>
        <v>0</v>
      </c>
    </row>
    <row r="178" spans="1:16" ht="18.75" x14ac:dyDescent="0.5">
      <c r="A178" s="483"/>
      <c r="B178" s="483"/>
      <c r="C178" s="483"/>
      <c r="D178" s="484"/>
      <c r="E178" s="484"/>
      <c r="F178" s="484"/>
      <c r="G178" s="484"/>
      <c r="H178" s="485"/>
      <c r="I178" s="486"/>
      <c r="J178" s="486"/>
      <c r="K178" s="486"/>
      <c r="L178" s="486"/>
      <c r="M178" s="486"/>
      <c r="N178" s="486"/>
      <c r="O178" s="487"/>
      <c r="P178" s="488"/>
    </row>
    <row r="179" spans="1:16" ht="18.75" x14ac:dyDescent="0.5">
      <c r="A179" s="483"/>
      <c r="B179" s="483"/>
      <c r="C179" s="483"/>
      <c r="D179" s="484"/>
      <c r="E179" s="484"/>
      <c r="F179" s="484"/>
      <c r="G179" s="484"/>
      <c r="H179" s="485"/>
      <c r="I179" s="483"/>
      <c r="J179" s="483"/>
      <c r="K179" s="489">
        <f>J177+L177</f>
        <v>235581711</v>
      </c>
      <c r="L179" s="489"/>
      <c r="M179" s="483"/>
      <c r="N179" s="483"/>
      <c r="O179" s="483"/>
      <c r="P179" s="490"/>
    </row>
    <row r="180" spans="1:16" ht="18.75" x14ac:dyDescent="0.5">
      <c r="A180" s="483"/>
      <c r="B180" s="483"/>
      <c r="C180" s="483"/>
      <c r="D180" s="484"/>
      <c r="E180" s="484"/>
      <c r="F180" s="484"/>
      <c r="G180" s="484"/>
      <c r="H180" s="485"/>
      <c r="I180" s="483"/>
      <c r="J180" s="483"/>
      <c r="K180" s="483"/>
      <c r="L180" s="483"/>
      <c r="M180" s="483"/>
      <c r="N180" s="483"/>
      <c r="O180" s="483"/>
      <c r="P180" s="490"/>
    </row>
    <row r="181" spans="1:16" ht="21" x14ac:dyDescent="0.5">
      <c r="A181" s="483"/>
      <c r="B181" s="491"/>
      <c r="C181" s="492"/>
      <c r="D181" s="493" t="s">
        <v>1425</v>
      </c>
      <c r="E181" s="493"/>
      <c r="F181" s="494">
        <v>203503762</v>
      </c>
      <c r="G181" s="495"/>
      <c r="H181" s="496"/>
      <c r="I181" s="483"/>
      <c r="J181" s="483"/>
      <c r="K181" s="489"/>
      <c r="L181" s="483"/>
      <c r="M181" s="483"/>
      <c r="N181" s="483"/>
      <c r="O181" s="483"/>
      <c r="P181" s="490"/>
    </row>
    <row r="182" spans="1:16" ht="21" x14ac:dyDescent="0.5">
      <c r="A182" s="483"/>
      <c r="B182" s="491"/>
      <c r="C182" s="492"/>
      <c r="D182" s="493" t="s">
        <v>1426</v>
      </c>
      <c r="E182" s="493"/>
      <c r="F182" s="494">
        <v>4148286</v>
      </c>
      <c r="G182" s="495"/>
      <c r="H182" s="496"/>
      <c r="I182" s="483"/>
      <c r="J182" s="483"/>
      <c r="K182" s="483"/>
      <c r="L182" s="483"/>
      <c r="M182" s="483"/>
      <c r="N182" s="483"/>
      <c r="O182" s="483"/>
      <c r="P182" s="490"/>
    </row>
    <row r="183" spans="1:16" ht="21" x14ac:dyDescent="0.5">
      <c r="A183" s="483"/>
      <c r="B183" s="491"/>
      <c r="C183" s="492"/>
      <c r="D183" s="493" t="s">
        <v>1427</v>
      </c>
      <c r="E183" s="493"/>
      <c r="F183" s="494">
        <v>16591550</v>
      </c>
      <c r="G183" s="495"/>
      <c r="H183" s="496"/>
      <c r="I183" s="483"/>
      <c r="J183" s="483"/>
      <c r="K183" s="483"/>
      <c r="L183" s="483"/>
      <c r="M183" s="483"/>
      <c r="N183" s="483"/>
      <c r="O183" s="483"/>
      <c r="P183" s="490"/>
    </row>
    <row r="184" spans="1:16" ht="21" x14ac:dyDescent="0.5">
      <c r="A184" s="483"/>
      <c r="B184" s="491"/>
      <c r="C184" s="492"/>
      <c r="D184" s="497" t="s">
        <v>1428</v>
      </c>
      <c r="E184" s="497"/>
      <c r="F184" s="498">
        <v>12528980</v>
      </c>
      <c r="G184" s="495"/>
      <c r="H184" s="496"/>
      <c r="I184" s="483"/>
      <c r="J184" s="483"/>
      <c r="K184" s="483"/>
      <c r="L184" s="483"/>
      <c r="M184" s="483"/>
      <c r="N184" s="483"/>
      <c r="O184" s="483"/>
      <c r="P184" s="490"/>
    </row>
    <row r="185" spans="1:16" ht="21" x14ac:dyDescent="0.5">
      <c r="A185" s="483"/>
      <c r="B185" s="491"/>
      <c r="C185" s="492"/>
      <c r="D185" s="499" t="s">
        <v>1429</v>
      </c>
      <c r="E185" s="499"/>
      <c r="F185" s="500">
        <f ca="1">SUMIF($H:$H,"13-Months",$O:$O)+SUMIF($H:$H,"14-Months",$O:$O)+SUMIF($H:$H,"15-Months",$O:$O)+SUMIF($H:$H,"16-Months",$O:$O)+SUMIF($H:$H,"17-Months",$O:$O)+SUMIF($H:$H,"18-Months",$O:$O)+SUMIF($H:$H,"19-Months",$O:$O)+SUMIF($H:$H,"20-Months",$O:$O)+SUMIF($H:$H,"21-Months",$O:$O)+SUMIF($H:$H,"22-Months",$O:$O)+SUMIF($H:$H,"23-Months",$O:$O)+SUMIF($H:$H,"24-Months",$O:$O)</f>
        <v>224753978</v>
      </c>
      <c r="G185" s="495"/>
      <c r="H185" s="496"/>
      <c r="I185" s="483"/>
      <c r="J185" s="483"/>
      <c r="K185" s="483"/>
      <c r="L185" s="483"/>
      <c r="M185" s="483"/>
      <c r="N185" s="483"/>
      <c r="O185" s="483"/>
      <c r="P185" s="490"/>
    </row>
    <row r="186" spans="1:16" ht="21" x14ac:dyDescent="0.5">
      <c r="A186" s="483"/>
      <c r="B186" s="491"/>
      <c r="C186" s="492"/>
      <c r="D186" s="501" t="s">
        <v>1430</v>
      </c>
      <c r="E186" s="501"/>
      <c r="F186" s="502">
        <f ca="1">SUMIF($H:$H,"25-Months",$O:$O)+SUMIF($H:$H,"26-Months",$O:$O)+SUMIF($H:$H,"27-Months",$O:$O)+SUMIF($H:$H,"28-Months",$O:$O)+SUMIF($H:$H,"29-Months",$O:$O)+SUMIF($H:$H,"30-Months",$O:$O)+SUMIF($H:$H,"31-Months",$O:$O)+SUMIF($H:$H,"32-Months",$O:$O)+SUMIF($H:$H,"33-Months",$O:$O)+SUMIF($H:$H,"34-Months",$O:$O)+SUMIF($H:$H,"35-Months",$O:$O)+SUMIF($H:$H,"36-Months",$O:$O)</f>
        <v>9161680</v>
      </c>
      <c r="G186" s="495"/>
      <c r="H186" s="496"/>
      <c r="I186" s="483"/>
      <c r="J186" s="483"/>
      <c r="K186" s="483"/>
      <c r="L186" s="483"/>
      <c r="M186" s="483"/>
      <c r="N186" s="483"/>
      <c r="O186" s="483"/>
      <c r="P186" s="490"/>
    </row>
    <row r="187" spans="1:16" ht="21" x14ac:dyDescent="0.5">
      <c r="A187" s="483"/>
      <c r="B187" s="491"/>
      <c r="C187" s="492"/>
      <c r="D187" s="503" t="s">
        <v>1431</v>
      </c>
      <c r="E187" s="503"/>
      <c r="F187" s="504">
        <f ca="1">SUMIF($H:$H,"37-Months",$O:$O)+SUMIF($H:$H,"38-Months",$O:$O)+SUMIF($H:$H,"39-Months",$O:$O)+SUMIF($H:$H,"40-Months",$O:$O)+SUMIF($H:$H,"41-Months",$O:$O)+SUMIF($H:$H,"42-Months",$O:$O)+SUMIF($H:$H,"43-Months",$O:$O)+SUMIF($H:$H,"44-Months",$O:$O)+SUMIF($H:$H,"45-Months",$O:$O)+SUMIF($H:$H,"46-Months",$O:$O)+SUMIF($H:$H,"47-Months",$O:$O)+SUMIF($H:$H,"48-Months",$O:$O)</f>
        <v>422745</v>
      </c>
      <c r="G187" s="495"/>
      <c r="H187" s="496"/>
      <c r="I187" s="483"/>
      <c r="J187" s="483"/>
      <c r="K187" s="483"/>
      <c r="L187" s="483"/>
      <c r="M187" s="483"/>
      <c r="N187" s="483"/>
      <c r="O187" s="483"/>
      <c r="P187" s="490"/>
    </row>
    <row r="188" spans="1:16" ht="21" x14ac:dyDescent="0.5">
      <c r="A188" s="483"/>
      <c r="B188" s="491"/>
      <c r="C188" s="492"/>
      <c r="D188" s="503" t="s">
        <v>1432</v>
      </c>
      <c r="E188" s="503"/>
      <c r="F188" s="504">
        <f>2036620+56980</f>
        <v>2093600</v>
      </c>
      <c r="G188" s="495"/>
      <c r="H188" s="496"/>
      <c r="I188" s="483"/>
      <c r="J188" s="483"/>
      <c r="K188" s="483"/>
      <c r="L188" s="483"/>
      <c r="M188" s="483"/>
      <c r="N188" s="483"/>
      <c r="O188" s="483"/>
      <c r="P188" s="490"/>
    </row>
    <row r="189" spans="1:16" ht="21.75" thickBot="1" x14ac:dyDescent="0.55000000000000004">
      <c r="A189" s="483"/>
      <c r="B189" s="483"/>
      <c r="C189" s="483"/>
      <c r="D189" s="505"/>
      <c r="E189" s="493"/>
      <c r="F189" s="506">
        <f ca="1">SUBTOTAL(9,F181:F188)</f>
        <v>473204581</v>
      </c>
      <c r="G189" s="484"/>
      <c r="H189" s="485"/>
      <c r="I189" s="483"/>
      <c r="J189" s="483"/>
      <c r="K189" s="483"/>
      <c r="L189" s="483"/>
      <c r="M189" s="483"/>
      <c r="N189" s="483"/>
      <c r="O189" s="483"/>
      <c r="P189" s="490"/>
    </row>
    <row r="190" spans="1:16" x14ac:dyDescent="0.25">
      <c r="F190" s="388">
        <f ca="1">+F189-O177</f>
        <v>232109055</v>
      </c>
    </row>
  </sheetData>
  <autoFilter ref="H2:H177" xr:uid="{00000000-0009-0000-0000-000004000000}"/>
  <mergeCells count="2">
    <mergeCell ref="A1:P1"/>
    <mergeCell ref="B177:E177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R48"/>
  <sheetViews>
    <sheetView zoomScaleNormal="100" workbookViewId="0">
      <pane ySplit="3" topLeftCell="A4" activePane="bottomLeft" state="frozen"/>
      <selection pane="bottomLeft" activeCell="AU16" sqref="AU16"/>
    </sheetView>
  </sheetViews>
  <sheetFormatPr defaultColWidth="9" defaultRowHeight="18" x14ac:dyDescent="0.5"/>
  <cols>
    <col min="1" max="1" width="3.28515625" style="2" customWidth="1"/>
    <col min="2" max="2" width="10.85546875" style="3" customWidth="1"/>
    <col min="3" max="3" width="13.7109375" style="3" customWidth="1"/>
    <col min="4" max="4" width="11.28515625" style="4" customWidth="1"/>
    <col min="5" max="5" width="13.7109375" style="5" customWidth="1"/>
    <col min="6" max="6" width="5.28515625" style="5" customWidth="1"/>
    <col min="7" max="7" width="17.7109375" style="5" hidden="1" customWidth="1"/>
    <col min="8" max="8" width="21.28515625" style="5" hidden="1" customWidth="1"/>
    <col min="9" max="9" width="15.7109375" style="5" hidden="1" customWidth="1"/>
    <col min="10" max="10" width="11.28515625" style="9" customWidth="1"/>
    <col min="11" max="11" width="8" style="82" customWidth="1"/>
    <col min="12" max="12" width="8.7109375" style="82" customWidth="1"/>
    <col min="13" max="13" width="4.28515625" style="3" customWidth="1"/>
    <col min="14" max="14" width="5.28515625" style="3" customWidth="1"/>
    <col min="15" max="15" width="6.140625" style="3" customWidth="1"/>
    <col min="16" max="16" width="4.140625" style="3" customWidth="1"/>
    <col min="17" max="19" width="4.28515625" style="3" customWidth="1"/>
    <col min="20" max="20" width="5.28515625" style="3" customWidth="1"/>
    <col min="21" max="21" width="6.7109375" style="3" customWidth="1"/>
    <col min="22" max="22" width="4.28515625" style="3" customWidth="1"/>
    <col min="23" max="24" width="5.28515625" style="3" customWidth="1"/>
    <col min="25" max="25" width="4.28515625" style="3" customWidth="1"/>
    <col min="26" max="26" width="5.28515625" style="3" customWidth="1"/>
    <col min="27" max="27" width="6.140625" style="3" customWidth="1"/>
    <col min="28" max="28" width="4.28515625" style="3" customWidth="1"/>
    <col min="29" max="29" width="5.28515625" style="3" customWidth="1"/>
    <col min="30" max="30" width="7" style="3" customWidth="1"/>
    <col min="31" max="31" width="4.140625" style="3" customWidth="1"/>
    <col min="32" max="34" width="4.28515625" style="3" customWidth="1"/>
    <col min="35" max="36" width="5.28515625" style="3" customWidth="1"/>
    <col min="37" max="37" width="4.28515625" style="3" customWidth="1"/>
    <col min="38" max="39" width="5.28515625" style="3" customWidth="1"/>
    <col min="40" max="40" width="4.28515625" style="3" customWidth="1"/>
    <col min="41" max="43" width="5.28515625" style="3" customWidth="1"/>
    <col min="44" max="45" width="6.85546875" style="3" customWidth="1"/>
    <col min="46" max="47" width="5.28515625" style="3" customWidth="1"/>
    <col min="48" max="48" width="5.7109375" style="3" customWidth="1"/>
    <col min="49" max="50" width="6" style="3" hidden="1" customWidth="1"/>
    <col min="51" max="51" width="5.28515625" style="3" hidden="1" customWidth="1"/>
    <col min="52" max="54" width="5.7109375" style="3" hidden="1" customWidth="1"/>
    <col min="55" max="56" width="4.85546875" style="3" hidden="1" customWidth="1"/>
    <col min="57" max="57" width="6.28515625" style="3" hidden="1" customWidth="1"/>
    <col min="58" max="59" width="4.85546875" style="3" hidden="1" customWidth="1"/>
    <col min="60" max="60" width="6.85546875" style="3" hidden="1" customWidth="1"/>
    <col min="61" max="62" width="6.140625" style="3" hidden="1" customWidth="1"/>
    <col min="63" max="63" width="6.7109375" style="3" hidden="1" customWidth="1"/>
    <col min="64" max="65" width="6.85546875" style="3" hidden="1" customWidth="1"/>
    <col min="66" max="66" width="6.140625" style="3" hidden="1" customWidth="1"/>
    <col min="67" max="68" width="5.7109375" style="3" hidden="1" customWidth="1"/>
    <col min="69" max="69" width="6.28515625" style="3" hidden="1" customWidth="1"/>
    <col min="70" max="71" width="5.85546875" style="3" hidden="1" customWidth="1"/>
    <col min="72" max="72" width="6.28515625" style="3" hidden="1" customWidth="1"/>
    <col min="73" max="74" width="5.28515625" style="3" hidden="1" customWidth="1"/>
    <col min="75" max="78" width="6.85546875" style="3" hidden="1" customWidth="1"/>
    <col min="79" max="81" width="8.7109375" style="3" hidden="1" customWidth="1"/>
    <col min="82" max="83" width="5.140625" style="3" hidden="1" customWidth="1"/>
    <col min="84" max="84" width="7.28515625" style="3" hidden="1" customWidth="1"/>
    <col min="85" max="87" width="8.7109375" style="3" hidden="1" customWidth="1"/>
    <col min="88" max="89" width="4.28515625" style="3" hidden="1" customWidth="1"/>
    <col min="90" max="90" width="5.28515625" style="3" hidden="1" customWidth="1"/>
    <col min="91" max="92" width="7.140625" style="3" hidden="1" customWidth="1"/>
    <col min="93" max="93" width="7.28515625" style="3" hidden="1" customWidth="1"/>
    <col min="94" max="95" width="5.7109375" style="3" hidden="1" customWidth="1"/>
    <col min="96" max="96" width="5.140625" style="3" hidden="1" customWidth="1"/>
    <col min="97" max="99" width="5.28515625" style="3" hidden="1" customWidth="1"/>
    <col min="100" max="101" width="5.7109375" style="3" hidden="1" customWidth="1"/>
    <col min="102" max="102" width="6" style="3" hidden="1" customWidth="1"/>
    <col min="103" max="105" width="6.28515625" style="3" hidden="1" customWidth="1"/>
    <col min="106" max="107" width="5.140625" style="3" hidden="1" customWidth="1"/>
    <col min="108" max="108" width="8.140625" style="3" hidden="1" customWidth="1"/>
    <col min="109" max="109" width="7.140625" style="4" customWidth="1"/>
    <col min="110" max="110" width="7.7109375" style="4" customWidth="1"/>
    <col min="111" max="111" width="8.7109375" style="4" customWidth="1"/>
    <col min="112" max="112" width="8" style="3" customWidth="1"/>
    <col min="113" max="113" width="9.28515625" style="3" customWidth="1"/>
    <col min="114" max="115" width="7.7109375" style="3" customWidth="1"/>
    <col min="116" max="116" width="8" style="62" customWidth="1"/>
    <col min="117" max="117" width="8.28515625" style="3" customWidth="1"/>
    <col min="118" max="118" width="9" style="3" customWidth="1"/>
    <col min="119" max="119" width="13.28515625" style="3" customWidth="1"/>
    <col min="120" max="121" width="9" style="3" customWidth="1"/>
    <col min="122" max="122" width="10.85546875" style="3" customWidth="1"/>
    <col min="123" max="123" width="9" style="3" customWidth="1"/>
    <col min="124" max="16384" width="9" style="3"/>
  </cols>
  <sheetData>
    <row r="1" spans="1:122" ht="18.75" thickBot="1" x14ac:dyDescent="0.55000000000000004">
      <c r="A1" s="61" t="s">
        <v>346</v>
      </c>
    </row>
    <row r="2" spans="1:122" s="93" customFormat="1" ht="27.75" customHeight="1" x14ac:dyDescent="0.25">
      <c r="A2" s="708" t="s">
        <v>1</v>
      </c>
      <c r="B2" s="710" t="s">
        <v>2</v>
      </c>
      <c r="C2" s="711"/>
      <c r="D2" s="710" t="s">
        <v>4</v>
      </c>
      <c r="E2" s="711"/>
      <c r="F2" s="714" t="s">
        <v>128</v>
      </c>
      <c r="G2" s="710" t="s">
        <v>129</v>
      </c>
      <c r="H2" s="711"/>
      <c r="I2" s="699" t="s">
        <v>130</v>
      </c>
      <c r="J2" s="723" t="s">
        <v>131</v>
      </c>
      <c r="K2" s="692" t="s">
        <v>341</v>
      </c>
      <c r="L2" s="720" t="s">
        <v>342</v>
      </c>
      <c r="M2" s="683">
        <v>45689</v>
      </c>
      <c r="N2" s="684"/>
      <c r="O2" s="685"/>
      <c r="P2" s="693"/>
      <c r="Q2" s="693"/>
      <c r="R2" s="694"/>
      <c r="S2" s="693">
        <v>45660</v>
      </c>
      <c r="T2" s="693"/>
      <c r="U2" s="694"/>
      <c r="V2" s="693">
        <v>45661</v>
      </c>
      <c r="W2" s="693"/>
      <c r="X2" s="694"/>
      <c r="Y2" s="693">
        <v>45663</v>
      </c>
      <c r="Z2" s="693"/>
      <c r="AA2" s="694"/>
      <c r="AB2" s="693">
        <v>45664</v>
      </c>
      <c r="AC2" s="693"/>
      <c r="AD2" s="694"/>
      <c r="AE2" s="693">
        <v>45664</v>
      </c>
      <c r="AF2" s="693"/>
      <c r="AG2" s="694"/>
      <c r="AH2" s="693">
        <v>45665</v>
      </c>
      <c r="AI2" s="693"/>
      <c r="AJ2" s="694"/>
      <c r="AK2" s="693">
        <v>45666</v>
      </c>
      <c r="AL2" s="693"/>
      <c r="AM2" s="694"/>
      <c r="AN2" s="685">
        <v>45667</v>
      </c>
      <c r="AO2" s="693"/>
      <c r="AP2" s="694"/>
      <c r="AQ2" s="695" t="s">
        <v>343</v>
      </c>
      <c r="AR2" s="696"/>
      <c r="AS2" s="697"/>
      <c r="AT2" s="683">
        <v>45668</v>
      </c>
      <c r="AU2" s="684"/>
      <c r="AV2" s="685"/>
      <c r="AW2" s="683">
        <v>45669</v>
      </c>
      <c r="AX2" s="684"/>
      <c r="AY2" s="685"/>
      <c r="AZ2" s="683">
        <v>45670</v>
      </c>
      <c r="BA2" s="684"/>
      <c r="BB2" s="685"/>
      <c r="BC2" s="683">
        <v>45671</v>
      </c>
      <c r="BD2" s="684"/>
      <c r="BE2" s="685"/>
      <c r="BF2" s="683">
        <v>45672</v>
      </c>
      <c r="BG2" s="684"/>
      <c r="BH2" s="685"/>
      <c r="BI2" s="683">
        <v>45673</v>
      </c>
      <c r="BJ2" s="684"/>
      <c r="BK2" s="685"/>
      <c r="BL2" s="683">
        <v>45674</v>
      </c>
      <c r="BM2" s="684"/>
      <c r="BN2" s="685"/>
      <c r="BO2" s="683">
        <v>45675</v>
      </c>
      <c r="BP2" s="684"/>
      <c r="BQ2" s="685"/>
      <c r="BR2" s="683">
        <v>45676</v>
      </c>
      <c r="BS2" s="684"/>
      <c r="BT2" s="685"/>
      <c r="BU2" s="683">
        <v>45677</v>
      </c>
      <c r="BV2" s="684"/>
      <c r="BW2" s="685"/>
      <c r="BX2" s="694" t="s">
        <v>344</v>
      </c>
      <c r="BY2" s="694"/>
      <c r="BZ2" s="694"/>
      <c r="CA2" s="693">
        <v>45678</v>
      </c>
      <c r="CB2" s="693"/>
      <c r="CC2" s="694"/>
      <c r="CD2" s="693">
        <v>45679</v>
      </c>
      <c r="CE2" s="693"/>
      <c r="CF2" s="694"/>
      <c r="CG2" s="693">
        <v>45680</v>
      </c>
      <c r="CH2" s="693"/>
      <c r="CI2" s="694"/>
      <c r="CJ2" s="693">
        <v>45681</v>
      </c>
      <c r="CK2" s="693"/>
      <c r="CL2" s="694"/>
      <c r="CM2" s="693">
        <v>45682</v>
      </c>
      <c r="CN2" s="693"/>
      <c r="CO2" s="694"/>
      <c r="CP2" s="693">
        <v>45683</v>
      </c>
      <c r="CQ2" s="693"/>
      <c r="CR2" s="694"/>
      <c r="CS2" s="693">
        <v>45684</v>
      </c>
      <c r="CT2" s="693"/>
      <c r="CU2" s="694"/>
      <c r="CV2" s="693">
        <v>45685</v>
      </c>
      <c r="CW2" s="693"/>
      <c r="CX2" s="694"/>
      <c r="CY2" s="693">
        <v>45686</v>
      </c>
      <c r="CZ2" s="693"/>
      <c r="DA2" s="694"/>
      <c r="DB2" s="693">
        <v>45687</v>
      </c>
      <c r="DC2" s="693"/>
      <c r="DD2" s="695"/>
      <c r="DE2" s="686" t="s">
        <v>313</v>
      </c>
      <c r="DF2" s="687"/>
      <c r="DG2" s="688"/>
      <c r="DH2" s="689" t="s">
        <v>69</v>
      </c>
      <c r="DI2" s="690"/>
      <c r="DJ2" s="691"/>
      <c r="DK2" s="725" t="s">
        <v>58</v>
      </c>
      <c r="DL2" s="719" t="s">
        <v>127</v>
      </c>
      <c r="DM2" s="721" t="s">
        <v>126</v>
      </c>
      <c r="DN2" s="92" t="s">
        <v>1465</v>
      </c>
    </row>
    <row r="3" spans="1:122" s="93" customFormat="1" ht="29.25" customHeight="1" x14ac:dyDescent="0.25">
      <c r="A3" s="709"/>
      <c r="B3" s="712"/>
      <c r="C3" s="713"/>
      <c r="D3" s="712"/>
      <c r="E3" s="713"/>
      <c r="F3" s="715"/>
      <c r="G3" s="712"/>
      <c r="H3" s="713"/>
      <c r="I3" s="699"/>
      <c r="J3" s="724"/>
      <c r="K3" s="692"/>
      <c r="L3" s="720"/>
      <c r="M3" s="107" t="s">
        <v>63</v>
      </c>
      <c r="N3" s="108" t="s">
        <v>64</v>
      </c>
      <c r="O3" s="109" t="s">
        <v>347</v>
      </c>
      <c r="P3" s="110" t="s">
        <v>63</v>
      </c>
      <c r="Q3" s="109" t="s">
        <v>64</v>
      </c>
      <c r="R3" s="109" t="s">
        <v>347</v>
      </c>
      <c r="S3" s="110" t="s">
        <v>63</v>
      </c>
      <c r="T3" s="109" t="s">
        <v>64</v>
      </c>
      <c r="U3" s="109" t="s">
        <v>347</v>
      </c>
      <c r="V3" s="110" t="s">
        <v>63</v>
      </c>
      <c r="W3" s="109" t="s">
        <v>64</v>
      </c>
      <c r="X3" s="109" t="s">
        <v>347</v>
      </c>
      <c r="Y3" s="110" t="s">
        <v>63</v>
      </c>
      <c r="Z3" s="109" t="s">
        <v>64</v>
      </c>
      <c r="AA3" s="109" t="s">
        <v>347</v>
      </c>
      <c r="AB3" s="110" t="s">
        <v>63</v>
      </c>
      <c r="AC3" s="109" t="s">
        <v>64</v>
      </c>
      <c r="AD3" s="109" t="s">
        <v>347</v>
      </c>
      <c r="AE3" s="110" t="s">
        <v>63</v>
      </c>
      <c r="AF3" s="109" t="s">
        <v>64</v>
      </c>
      <c r="AG3" s="109" t="s">
        <v>347</v>
      </c>
      <c r="AH3" s="110" t="s">
        <v>63</v>
      </c>
      <c r="AI3" s="109" t="s">
        <v>64</v>
      </c>
      <c r="AJ3" s="109" t="s">
        <v>347</v>
      </c>
      <c r="AK3" s="110" t="s">
        <v>63</v>
      </c>
      <c r="AL3" s="109" t="s">
        <v>64</v>
      </c>
      <c r="AM3" s="109" t="s">
        <v>347</v>
      </c>
      <c r="AN3" s="107" t="s">
        <v>63</v>
      </c>
      <c r="AO3" s="111" t="s">
        <v>64</v>
      </c>
      <c r="AP3" s="112" t="s">
        <v>347</v>
      </c>
      <c r="AQ3" s="113" t="s">
        <v>63</v>
      </c>
      <c r="AR3" s="111" t="s">
        <v>64</v>
      </c>
      <c r="AS3" s="112" t="s">
        <v>347</v>
      </c>
      <c r="AT3" s="113" t="s">
        <v>63</v>
      </c>
      <c r="AU3" s="111" t="s">
        <v>64</v>
      </c>
      <c r="AV3" s="112" t="s">
        <v>347</v>
      </c>
      <c r="AW3" s="113" t="s">
        <v>63</v>
      </c>
      <c r="AX3" s="111" t="s">
        <v>64</v>
      </c>
      <c r="AY3" s="112" t="s">
        <v>347</v>
      </c>
      <c r="AZ3" s="113" t="s">
        <v>63</v>
      </c>
      <c r="BA3" s="111" t="s">
        <v>64</v>
      </c>
      <c r="BB3" s="112" t="s">
        <v>347</v>
      </c>
      <c r="BC3" s="113" t="s">
        <v>63</v>
      </c>
      <c r="BD3" s="111" t="s">
        <v>64</v>
      </c>
      <c r="BE3" s="112" t="s">
        <v>347</v>
      </c>
      <c r="BF3" s="113" t="s">
        <v>63</v>
      </c>
      <c r="BG3" s="111" t="s">
        <v>64</v>
      </c>
      <c r="BH3" s="112" t="s">
        <v>347</v>
      </c>
      <c r="BI3" s="113" t="s">
        <v>63</v>
      </c>
      <c r="BJ3" s="111" t="s">
        <v>64</v>
      </c>
      <c r="BK3" s="112" t="s">
        <v>347</v>
      </c>
      <c r="BL3" s="113" t="s">
        <v>63</v>
      </c>
      <c r="BM3" s="111" t="s">
        <v>64</v>
      </c>
      <c r="BN3" s="112" t="s">
        <v>347</v>
      </c>
      <c r="BO3" s="113" t="s">
        <v>63</v>
      </c>
      <c r="BP3" s="111" t="s">
        <v>64</v>
      </c>
      <c r="BQ3" s="112" t="s">
        <v>347</v>
      </c>
      <c r="BR3" s="113" t="s">
        <v>63</v>
      </c>
      <c r="BS3" s="111" t="s">
        <v>64</v>
      </c>
      <c r="BT3" s="112" t="s">
        <v>347</v>
      </c>
      <c r="BU3" s="113" t="s">
        <v>63</v>
      </c>
      <c r="BV3" s="111" t="s">
        <v>64</v>
      </c>
      <c r="BW3" s="112" t="s">
        <v>347</v>
      </c>
      <c r="BX3" s="113" t="s">
        <v>63</v>
      </c>
      <c r="BY3" s="111" t="s">
        <v>64</v>
      </c>
      <c r="BZ3" s="112" t="s">
        <v>347</v>
      </c>
      <c r="CA3" s="113" t="s">
        <v>63</v>
      </c>
      <c r="CB3" s="111" t="s">
        <v>64</v>
      </c>
      <c r="CC3" s="112" t="s">
        <v>347</v>
      </c>
      <c r="CD3" s="113" t="s">
        <v>63</v>
      </c>
      <c r="CE3" s="111" t="s">
        <v>64</v>
      </c>
      <c r="CF3" s="112" t="s">
        <v>347</v>
      </c>
      <c r="CG3" s="113" t="s">
        <v>63</v>
      </c>
      <c r="CH3" s="111" t="s">
        <v>64</v>
      </c>
      <c r="CI3" s="112" t="s">
        <v>347</v>
      </c>
      <c r="CJ3" s="113" t="s">
        <v>63</v>
      </c>
      <c r="CK3" s="111" t="s">
        <v>64</v>
      </c>
      <c r="CL3" s="112" t="s">
        <v>347</v>
      </c>
      <c r="CM3" s="113" t="s">
        <v>63</v>
      </c>
      <c r="CN3" s="111" t="s">
        <v>64</v>
      </c>
      <c r="CO3" s="112" t="s">
        <v>347</v>
      </c>
      <c r="CP3" s="113" t="s">
        <v>63</v>
      </c>
      <c r="CQ3" s="111" t="s">
        <v>64</v>
      </c>
      <c r="CR3" s="112" t="s">
        <v>347</v>
      </c>
      <c r="CS3" s="113" t="s">
        <v>63</v>
      </c>
      <c r="CT3" s="111" t="s">
        <v>64</v>
      </c>
      <c r="CU3" s="112" t="s">
        <v>347</v>
      </c>
      <c r="CV3" s="113" t="s">
        <v>63</v>
      </c>
      <c r="CW3" s="111" t="s">
        <v>64</v>
      </c>
      <c r="CX3" s="112" t="s">
        <v>347</v>
      </c>
      <c r="CY3" s="113" t="s">
        <v>63</v>
      </c>
      <c r="CZ3" s="111" t="s">
        <v>64</v>
      </c>
      <c r="DA3" s="112" t="s">
        <v>347</v>
      </c>
      <c r="DB3" s="113" t="s">
        <v>63</v>
      </c>
      <c r="DC3" s="111" t="s">
        <v>64</v>
      </c>
      <c r="DD3" s="112" t="s">
        <v>347</v>
      </c>
      <c r="DE3" s="113" t="s">
        <v>63</v>
      </c>
      <c r="DF3" s="111" t="s">
        <v>64</v>
      </c>
      <c r="DG3" s="132" t="s">
        <v>347</v>
      </c>
      <c r="DH3" s="135" t="s">
        <v>63</v>
      </c>
      <c r="DI3" s="136" t="s">
        <v>64</v>
      </c>
      <c r="DJ3" s="137" t="s">
        <v>347</v>
      </c>
      <c r="DK3" s="726"/>
      <c r="DL3" s="720"/>
      <c r="DM3" s="722"/>
      <c r="DN3" s="698" t="s">
        <v>102</v>
      </c>
      <c r="DO3" s="699"/>
      <c r="DP3" s="699"/>
      <c r="DQ3" s="705">
        <f>L45</f>
        <v>2123102.4</v>
      </c>
      <c r="DR3" s="705"/>
    </row>
    <row r="4" spans="1:122" ht="24.75" customHeight="1" x14ac:dyDescent="0.5">
      <c r="A4" s="63">
        <v>1</v>
      </c>
      <c r="B4" s="64" t="s">
        <v>14</v>
      </c>
      <c r="C4" s="65" t="s">
        <v>156</v>
      </c>
      <c r="D4" s="66" t="s">
        <v>15</v>
      </c>
      <c r="E4" s="66" t="s">
        <v>157</v>
      </c>
      <c r="F4" s="67" t="s">
        <v>133</v>
      </c>
      <c r="G4" s="68" t="s">
        <v>158</v>
      </c>
      <c r="H4" s="69" t="s">
        <v>159</v>
      </c>
      <c r="I4" s="69" t="s">
        <v>160</v>
      </c>
      <c r="J4" s="95" t="s">
        <v>349</v>
      </c>
      <c r="K4" s="69">
        <v>20444.865008621633</v>
      </c>
      <c r="L4" s="69">
        <v>286228.11012070283</v>
      </c>
      <c r="M4" s="70">
        <v>500</v>
      </c>
      <c r="N4" s="68">
        <v>8960</v>
      </c>
      <c r="O4" s="68">
        <v>5734</v>
      </c>
      <c r="P4" s="68"/>
      <c r="Q4" s="68"/>
      <c r="R4" s="68"/>
      <c r="S4" s="68">
        <v>65</v>
      </c>
      <c r="T4" s="68">
        <v>870</v>
      </c>
      <c r="U4" s="116">
        <v>643.20000000000005</v>
      </c>
      <c r="V4" s="68">
        <v>545</v>
      </c>
      <c r="W4" s="68">
        <v>8440</v>
      </c>
      <c r="X4" s="68">
        <v>5400</v>
      </c>
      <c r="Y4" s="68">
        <v>545</v>
      </c>
      <c r="Z4" s="68">
        <v>8140</v>
      </c>
      <c r="AA4" s="68">
        <v>6096</v>
      </c>
      <c r="AB4" s="68">
        <v>1090</v>
      </c>
      <c r="AC4" s="68">
        <v>15060</v>
      </c>
      <c r="AD4" s="68">
        <v>12058.4</v>
      </c>
      <c r="AE4" s="68"/>
      <c r="AF4" s="68"/>
      <c r="AG4" s="68"/>
      <c r="AH4" s="68">
        <v>535</v>
      </c>
      <c r="AI4" s="68">
        <v>6620</v>
      </c>
      <c r="AJ4" s="68">
        <v>5876</v>
      </c>
      <c r="AK4" s="68">
        <v>550</v>
      </c>
      <c r="AL4" s="68">
        <v>8400</v>
      </c>
      <c r="AM4" s="68">
        <v>5852</v>
      </c>
      <c r="AN4" s="68">
        <v>525</v>
      </c>
      <c r="AO4" s="68">
        <v>7860</v>
      </c>
      <c r="AP4" s="68">
        <v>5694</v>
      </c>
      <c r="AQ4" s="120">
        <f t="shared" ref="AQ4:AS44" si="0">M4+P4+S4+V4+Y4+AB4+AE4+AH4+AK4+AN4</f>
        <v>4355</v>
      </c>
      <c r="AR4" s="120">
        <f>N4+Q4+T4+W4+Z4+AC4+AF4+AI4+AL4+AO4</f>
        <v>64350</v>
      </c>
      <c r="AS4" s="532">
        <f>O4+R4+U4+X4+AA4+AD4+AG4+AJ4+AM4+AP4</f>
        <v>47353.599999999999</v>
      </c>
      <c r="AT4" s="68">
        <v>525</v>
      </c>
      <c r="AU4" s="68">
        <v>8000</v>
      </c>
      <c r="AV4" s="68">
        <v>5944</v>
      </c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120">
        <f>AQ4+AT4+AW4+AZ4+BC4+BF4+BI4+BL4+BO4+BR4+BU4</f>
        <v>4880</v>
      </c>
      <c r="BY4" s="120">
        <f>AR4+AU4+AX4+BA4+BD4+BG4+BJ4+BM4+BP4+BS4+BV4</f>
        <v>72350</v>
      </c>
      <c r="BZ4" s="128">
        <f>AS4+AV4+AY4+BB4+BE4+BH4+BK4+BN4+BQ4+BT4+BW4</f>
        <v>53297.599999999999</v>
      </c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71"/>
      <c r="DD4" s="71"/>
      <c r="DE4" s="122">
        <f>P4+S4+V4+Y4+AB4+AE4+AH4+AK4+AN4+AT4+AW4+AZ4+BC4+BF4+BI4+BL4+BO4+BR4+BU4+CA4+CD4+CG4+CJ4+CM4+CP4+CS4+CV4+CY4+DB4+M4</f>
        <v>4880</v>
      </c>
      <c r="DF4" s="123">
        <f>AR4+AU4+AX4+BA4+BD4+BG4+BJ4+BM4+BP4+BS4+BV4+CB4+CE4+CH4+CK4+CN4+CQ4+CT4+CW4+CZ4+DC4</f>
        <v>72350</v>
      </c>
      <c r="DG4" s="124">
        <f>AS4+AV4+AY4+BB4+BE4+BH4+BK4+BN4+BQ4+BT4+BW4+CC4+CF4+CI4+CL4+CO4+CR4+CU4+CX4+DA4+DD4</f>
        <v>53297.599999999999</v>
      </c>
      <c r="DH4" s="72">
        <f>မိုးအောင်!AE29</f>
        <v>4880</v>
      </c>
      <c r="DI4" s="73">
        <f>မိုးအောင်!AF27</f>
        <v>72350</v>
      </c>
      <c r="DJ4" s="145">
        <f>မိုးအောင်!AG27</f>
        <v>53297.599999999999</v>
      </c>
      <c r="DK4" s="74">
        <f>DI4/L4</f>
        <v>0.25277042135899891</v>
      </c>
      <c r="DL4" s="75">
        <f>10/31</f>
        <v>0.32258064516129031</v>
      </c>
      <c r="DM4" s="76">
        <f t="shared" ref="DM4:DM44" si="1">DK4-DL4</f>
        <v>-6.9810223802291405E-2</v>
      </c>
      <c r="DN4" s="700" t="s">
        <v>103</v>
      </c>
      <c r="DO4" s="701"/>
      <c r="DP4" s="701"/>
      <c r="DQ4" s="706">
        <f>DF45</f>
        <v>517224</v>
      </c>
      <c r="DR4" s="706"/>
    </row>
    <row r="5" spans="1:122" ht="24.75" customHeight="1" x14ac:dyDescent="0.5">
      <c r="A5" s="63">
        <v>2</v>
      </c>
      <c r="B5" s="64" t="s">
        <v>44</v>
      </c>
      <c r="C5" s="65" t="s">
        <v>246</v>
      </c>
      <c r="D5" s="66" t="s">
        <v>43</v>
      </c>
      <c r="E5" s="66" t="s">
        <v>242</v>
      </c>
      <c r="F5" s="67" t="s">
        <v>133</v>
      </c>
      <c r="G5" s="68" t="s">
        <v>247</v>
      </c>
      <c r="H5" s="69" t="s">
        <v>248</v>
      </c>
      <c r="I5" s="69" t="s">
        <v>249</v>
      </c>
      <c r="J5" s="95" t="s">
        <v>349</v>
      </c>
      <c r="K5" s="69">
        <v>16905.164945073539</v>
      </c>
      <c r="L5" s="69">
        <v>236672.30923102956</v>
      </c>
      <c r="M5" s="70">
        <v>530</v>
      </c>
      <c r="N5" s="68">
        <v>7500</v>
      </c>
      <c r="O5" s="116">
        <v>5892</v>
      </c>
      <c r="P5" s="68"/>
      <c r="Q5" s="68"/>
      <c r="R5" s="68"/>
      <c r="S5" s="68">
        <v>540</v>
      </c>
      <c r="T5" s="68">
        <v>7540</v>
      </c>
      <c r="U5" s="68">
        <v>5664</v>
      </c>
      <c r="V5" s="68">
        <v>530</v>
      </c>
      <c r="W5" s="68">
        <v>6960</v>
      </c>
      <c r="X5" s="68">
        <v>5448</v>
      </c>
      <c r="Y5" s="68">
        <v>500</v>
      </c>
      <c r="Z5" s="68">
        <v>7000</v>
      </c>
      <c r="AA5" s="68">
        <v>4480</v>
      </c>
      <c r="AB5" s="68">
        <v>530</v>
      </c>
      <c r="AC5" s="68">
        <v>7880</v>
      </c>
      <c r="AD5" s="68">
        <v>5688</v>
      </c>
      <c r="AE5" s="68"/>
      <c r="AF5" s="68"/>
      <c r="AG5" s="68"/>
      <c r="AH5" s="68">
        <v>950</v>
      </c>
      <c r="AI5" s="68">
        <v>17060</v>
      </c>
      <c r="AJ5" s="68">
        <v>12232</v>
      </c>
      <c r="AK5" s="68"/>
      <c r="AL5" s="68"/>
      <c r="AM5" s="68"/>
      <c r="AN5" s="68">
        <v>520</v>
      </c>
      <c r="AO5" s="68">
        <v>7200</v>
      </c>
      <c r="AP5" s="68">
        <v>5672</v>
      </c>
      <c r="AQ5" s="120">
        <f t="shared" si="0"/>
        <v>4100</v>
      </c>
      <c r="AR5" s="120">
        <f t="shared" si="0"/>
        <v>61140</v>
      </c>
      <c r="AS5" s="532">
        <f>O5+R5+U5+X5+AA5+AD5+AG5+AJ5+AM5+AP5</f>
        <v>45076</v>
      </c>
      <c r="AT5" s="68">
        <v>510</v>
      </c>
      <c r="AU5" s="68">
        <v>7120</v>
      </c>
      <c r="AV5" s="68">
        <v>5395.2</v>
      </c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120">
        <f t="shared" ref="BX5:BZ44" si="2">AQ5+AT5+AW5+AZ5+BC5+BF5+BI5+BL5+BO5+BR5+BU5</f>
        <v>4610</v>
      </c>
      <c r="BY5" s="120">
        <f t="shared" si="2"/>
        <v>68260</v>
      </c>
      <c r="BZ5" s="128">
        <f t="shared" si="2"/>
        <v>50471.199999999997</v>
      </c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71"/>
      <c r="DD5" s="71"/>
      <c r="DE5" s="122">
        <f t="shared" ref="DE5:DE44" si="3">P5+S5+V5+Y5+AB5+AE5+AH5+AK5+AN5+AT5+AW5+AZ5+BC5+BF5+BI5+BL5+BO5+BR5+BU5+CA5+CD5+CG5+CJ5+CM5+CP5+CS5+CV5+CY5+DB5+M5</f>
        <v>4610</v>
      </c>
      <c r="DF5" s="123">
        <f t="shared" ref="DF5:DG44" si="4">AR5+AU5+AX5+BA5+BD5+BG5+BJ5+BM5+BP5+BS5+BV5+CB5+CE5+CH5+CK5+CN5+CQ5+CT5+CW5+CZ5+DC5</f>
        <v>68260</v>
      </c>
      <c r="DG5" s="124">
        <f t="shared" si="4"/>
        <v>50471.199999999997</v>
      </c>
      <c r="DH5" s="72">
        <f>သော်တာထွန်း!AE30</f>
        <v>4610</v>
      </c>
      <c r="DI5" s="73">
        <f>သော်တာထွန်း!AF30</f>
        <v>68260</v>
      </c>
      <c r="DJ5" s="145">
        <f>သော်တာထွန်း!AG30</f>
        <v>50471.199999999997</v>
      </c>
      <c r="DK5" s="74">
        <f t="shared" ref="DK5:DK45" si="5">DI5/L5</f>
        <v>0.28841565885668297</v>
      </c>
      <c r="DL5" s="75">
        <f t="shared" ref="DL5:DL45" si="6">10/31</f>
        <v>0.32258064516129031</v>
      </c>
      <c r="DM5" s="76">
        <f t="shared" si="1"/>
        <v>-3.4164986304607348E-2</v>
      </c>
      <c r="DN5" s="702" t="s">
        <v>104</v>
      </c>
      <c r="DO5" s="703"/>
      <c r="DP5" s="704"/>
      <c r="DQ5" s="707">
        <f>DQ4/DQ3</f>
        <v>0.24361707659508086</v>
      </c>
      <c r="DR5" s="707"/>
    </row>
    <row r="6" spans="1:122" ht="24.75" customHeight="1" x14ac:dyDescent="0.5">
      <c r="A6" s="63">
        <v>3</v>
      </c>
      <c r="B6" s="64" t="s">
        <v>5</v>
      </c>
      <c r="C6" s="65" t="s">
        <v>132</v>
      </c>
      <c r="D6" s="66" t="s">
        <v>6</v>
      </c>
      <c r="E6" s="66" t="s">
        <v>6</v>
      </c>
      <c r="F6" s="66" t="s">
        <v>133</v>
      </c>
      <c r="G6" s="68" t="s">
        <v>134</v>
      </c>
      <c r="H6" s="69" t="s">
        <v>135</v>
      </c>
      <c r="I6" s="69" t="s">
        <v>136</v>
      </c>
      <c r="J6" s="95" t="s">
        <v>349</v>
      </c>
      <c r="K6" s="69">
        <v>9192.3775462809645</v>
      </c>
      <c r="L6" s="69">
        <v>128693.2856479335</v>
      </c>
      <c r="M6" s="77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120">
        <f t="shared" si="0"/>
        <v>0</v>
      </c>
      <c r="AR6" s="120">
        <f t="shared" si="0"/>
        <v>0</v>
      </c>
      <c r="AS6" s="532">
        <f t="shared" si="0"/>
        <v>0</v>
      </c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120">
        <f t="shared" si="2"/>
        <v>0</v>
      </c>
      <c r="BY6" s="120">
        <f t="shared" si="2"/>
        <v>0</v>
      </c>
      <c r="BZ6" s="128">
        <f t="shared" si="2"/>
        <v>0</v>
      </c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71"/>
      <c r="DD6" s="71"/>
      <c r="DE6" s="122">
        <f t="shared" si="3"/>
        <v>0</v>
      </c>
      <c r="DF6" s="123">
        <f t="shared" si="4"/>
        <v>0</v>
      </c>
      <c r="DG6" s="124">
        <f t="shared" si="4"/>
        <v>0</v>
      </c>
      <c r="DH6" s="72">
        <f>ရွှေဧရာ!AG27</f>
        <v>0</v>
      </c>
      <c r="DI6" s="73">
        <f>ရွှေဧရာ!AH27</f>
        <v>0</v>
      </c>
      <c r="DJ6" s="125">
        <f>ရွှေဧရာ!AI27</f>
        <v>0</v>
      </c>
      <c r="DK6" s="74">
        <f t="shared" si="5"/>
        <v>0</v>
      </c>
      <c r="DL6" s="75">
        <f t="shared" si="6"/>
        <v>0.32258064516129031</v>
      </c>
      <c r="DM6" s="76">
        <f t="shared" si="1"/>
        <v>-0.32258064516129031</v>
      </c>
      <c r="DQ6" s="78"/>
    </row>
    <row r="7" spans="1:122" ht="24.75" customHeight="1" x14ac:dyDescent="0.5">
      <c r="A7" s="63">
        <v>4</v>
      </c>
      <c r="B7" s="64" t="s">
        <v>45</v>
      </c>
      <c r="C7" s="65" t="s">
        <v>250</v>
      </c>
      <c r="D7" s="66" t="s">
        <v>43</v>
      </c>
      <c r="E7" s="66" t="s">
        <v>242</v>
      </c>
      <c r="F7" s="67" t="s">
        <v>133</v>
      </c>
      <c r="G7" s="68" t="s">
        <v>251</v>
      </c>
      <c r="H7" s="69" t="s">
        <v>252</v>
      </c>
      <c r="I7" s="69" t="s">
        <v>253</v>
      </c>
      <c r="J7" s="95" t="s">
        <v>349</v>
      </c>
      <c r="K7" s="69">
        <v>8852.2543925013924</v>
      </c>
      <c r="L7" s="69">
        <v>123931.56149501952</v>
      </c>
      <c r="M7" s="70">
        <v>300</v>
      </c>
      <c r="N7" s="68">
        <v>3700</v>
      </c>
      <c r="O7" s="68">
        <v>3448</v>
      </c>
      <c r="P7" s="68"/>
      <c r="Q7" s="68"/>
      <c r="R7" s="68"/>
      <c r="S7" s="68">
        <v>450</v>
      </c>
      <c r="T7" s="68">
        <v>5800</v>
      </c>
      <c r="U7" s="68">
        <v>4792</v>
      </c>
      <c r="V7" s="68"/>
      <c r="W7" s="68"/>
      <c r="X7" s="68"/>
      <c r="Y7" s="68">
        <v>650</v>
      </c>
      <c r="Z7" s="68">
        <v>8600</v>
      </c>
      <c r="AA7" s="68">
        <v>6584</v>
      </c>
      <c r="AB7" s="68"/>
      <c r="AC7" s="68"/>
      <c r="AD7" s="68"/>
      <c r="AE7" s="68"/>
      <c r="AF7" s="68"/>
      <c r="AG7" s="68"/>
      <c r="AH7" s="68">
        <v>630</v>
      </c>
      <c r="AI7" s="68">
        <v>8720</v>
      </c>
      <c r="AJ7" s="116">
        <v>6444.8</v>
      </c>
      <c r="AK7" s="68"/>
      <c r="AL7" s="68"/>
      <c r="AM7" s="68"/>
      <c r="AN7" s="68">
        <v>250</v>
      </c>
      <c r="AO7" s="68">
        <v>3000</v>
      </c>
      <c r="AP7" s="68">
        <v>3000</v>
      </c>
      <c r="AQ7" s="120">
        <f t="shared" si="0"/>
        <v>2280</v>
      </c>
      <c r="AR7" s="120">
        <f t="shared" si="0"/>
        <v>29820</v>
      </c>
      <c r="AS7" s="532">
        <f t="shared" si="0"/>
        <v>24268.799999999999</v>
      </c>
      <c r="AT7" s="68">
        <v>480</v>
      </c>
      <c r="AU7" s="68">
        <v>7620</v>
      </c>
      <c r="AV7" s="68">
        <v>5740.8</v>
      </c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120">
        <f t="shared" si="2"/>
        <v>2760</v>
      </c>
      <c r="BY7" s="120">
        <f t="shared" si="2"/>
        <v>37440</v>
      </c>
      <c r="BZ7" s="128">
        <f t="shared" si="2"/>
        <v>30009.599999999999</v>
      </c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71"/>
      <c r="DD7" s="71"/>
      <c r="DE7" s="122">
        <f t="shared" si="3"/>
        <v>2760</v>
      </c>
      <c r="DF7" s="123">
        <f t="shared" si="4"/>
        <v>37440</v>
      </c>
      <c r="DG7" s="124">
        <f t="shared" si="4"/>
        <v>30009.599999999999</v>
      </c>
      <c r="DH7" s="72">
        <f>မိဘမေတ္တာ!AE22</f>
        <v>2760</v>
      </c>
      <c r="DI7" s="73">
        <f>မိဘမေတ္တာ!AF22</f>
        <v>37440</v>
      </c>
      <c r="DJ7" s="145">
        <f>မိဘမေတ္တာ!AG22</f>
        <v>30009.599999999999</v>
      </c>
      <c r="DK7" s="74">
        <f t="shared" si="5"/>
        <v>0.30210222116425617</v>
      </c>
      <c r="DL7" s="75">
        <f t="shared" si="6"/>
        <v>0.32258064516129031</v>
      </c>
      <c r="DM7" s="76">
        <f t="shared" si="1"/>
        <v>-2.0478423997034145E-2</v>
      </c>
      <c r="DO7" s="58"/>
      <c r="DP7" s="79"/>
    </row>
    <row r="8" spans="1:122" ht="24.75" customHeight="1" x14ac:dyDescent="0.5">
      <c r="A8" s="63">
        <v>5</v>
      </c>
      <c r="B8" s="64" t="s">
        <v>31</v>
      </c>
      <c r="C8" s="65" t="s">
        <v>205</v>
      </c>
      <c r="D8" s="66" t="s">
        <v>32</v>
      </c>
      <c r="E8" s="66" t="s">
        <v>206</v>
      </c>
      <c r="F8" s="67" t="s">
        <v>133</v>
      </c>
      <c r="G8" s="68" t="s">
        <v>207</v>
      </c>
      <c r="H8" s="69" t="s">
        <v>208</v>
      </c>
      <c r="I8" s="69" t="s">
        <v>209</v>
      </c>
      <c r="J8" s="95" t="s">
        <v>349</v>
      </c>
      <c r="K8" s="69">
        <v>7440.7994574256218</v>
      </c>
      <c r="L8" s="69">
        <v>104171.19240395869</v>
      </c>
      <c r="M8" s="70"/>
      <c r="N8" s="68"/>
      <c r="O8" s="68"/>
      <c r="P8" s="68"/>
      <c r="Q8" s="68"/>
      <c r="R8" s="68"/>
      <c r="S8" s="68">
        <v>520</v>
      </c>
      <c r="T8" s="68">
        <v>8160</v>
      </c>
      <c r="U8" s="68">
        <v>5707.2</v>
      </c>
      <c r="V8" s="68"/>
      <c r="W8" s="68"/>
      <c r="X8" s="68"/>
      <c r="Y8" s="68">
        <v>520</v>
      </c>
      <c r="Z8" s="68">
        <v>7380</v>
      </c>
      <c r="AA8" s="68">
        <v>5700</v>
      </c>
      <c r="AB8" s="68"/>
      <c r="AC8" s="68"/>
      <c r="AD8" s="68"/>
      <c r="AE8" s="68"/>
      <c r="AF8" s="68"/>
      <c r="AG8" s="68"/>
      <c r="AH8" s="68">
        <v>520</v>
      </c>
      <c r="AI8" s="68">
        <v>7480</v>
      </c>
      <c r="AJ8" s="68">
        <v>5692</v>
      </c>
      <c r="AK8" s="68"/>
      <c r="AL8" s="68"/>
      <c r="AM8" s="68"/>
      <c r="AN8" s="68"/>
      <c r="AO8" s="68"/>
      <c r="AP8" s="68"/>
      <c r="AQ8" s="120">
        <f t="shared" si="0"/>
        <v>1560</v>
      </c>
      <c r="AR8" s="120">
        <f t="shared" si="0"/>
        <v>23020</v>
      </c>
      <c r="AS8" s="532">
        <f t="shared" si="0"/>
        <v>17099.2</v>
      </c>
      <c r="AT8" s="68">
        <v>520</v>
      </c>
      <c r="AU8" s="68">
        <v>7380</v>
      </c>
      <c r="AV8" s="68">
        <v>5700</v>
      </c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120">
        <f t="shared" si="2"/>
        <v>2080</v>
      </c>
      <c r="BY8" s="120">
        <f t="shared" si="2"/>
        <v>30400</v>
      </c>
      <c r="BZ8" s="128">
        <f t="shared" si="2"/>
        <v>22799.200000000001</v>
      </c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71"/>
      <c r="DD8" s="71"/>
      <c r="DE8" s="122">
        <f t="shared" si="3"/>
        <v>2080</v>
      </c>
      <c r="DF8" s="123">
        <f t="shared" si="4"/>
        <v>30400</v>
      </c>
      <c r="DG8" s="124">
        <f t="shared" si="4"/>
        <v>22799.200000000001</v>
      </c>
      <c r="DH8" s="72">
        <f>AAA!AG27</f>
        <v>2080</v>
      </c>
      <c r="DI8" s="73">
        <f>AAA!AH27</f>
        <v>30400</v>
      </c>
      <c r="DJ8" s="145">
        <f>AAA!AI27</f>
        <v>22799.200000000001</v>
      </c>
      <c r="DK8" s="74">
        <f t="shared" si="5"/>
        <v>0.29182732095562292</v>
      </c>
      <c r="DL8" s="75">
        <f t="shared" si="6"/>
        <v>0.32258064516129031</v>
      </c>
      <c r="DM8" s="76">
        <f t="shared" si="1"/>
        <v>-3.0753324205667398E-2</v>
      </c>
      <c r="DO8" s="55"/>
      <c r="DP8" s="79"/>
      <c r="DR8" s="80"/>
    </row>
    <row r="9" spans="1:122" ht="24.75" customHeight="1" x14ac:dyDescent="0.5">
      <c r="A9" s="63">
        <v>6</v>
      </c>
      <c r="B9" s="64" t="s">
        <v>27</v>
      </c>
      <c r="C9" s="65" t="s">
        <v>195</v>
      </c>
      <c r="D9" s="66" t="s">
        <v>28</v>
      </c>
      <c r="E9" s="66" t="s">
        <v>196</v>
      </c>
      <c r="F9" s="67" t="s">
        <v>133</v>
      </c>
      <c r="G9" s="68" t="s">
        <v>197</v>
      </c>
      <c r="H9" s="69" t="s">
        <v>198</v>
      </c>
      <c r="I9" s="69" t="s">
        <v>199</v>
      </c>
      <c r="J9" s="95" t="s">
        <v>349</v>
      </c>
      <c r="K9" s="69">
        <v>5183.6449944155065</v>
      </c>
      <c r="L9" s="69">
        <v>72571.029921817084</v>
      </c>
      <c r="M9" s="70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>
        <v>1200</v>
      </c>
      <c r="Z9" s="68">
        <v>19000</v>
      </c>
      <c r="AA9" s="68">
        <v>11864</v>
      </c>
      <c r="AB9" s="68"/>
      <c r="AC9" s="68"/>
      <c r="AD9" s="116"/>
      <c r="AE9" s="68"/>
      <c r="AF9" s="68"/>
      <c r="AG9" s="68"/>
      <c r="AH9" s="68"/>
      <c r="AI9" s="68"/>
      <c r="AJ9" s="116"/>
      <c r="AK9" s="68"/>
      <c r="AL9" s="68"/>
      <c r="AM9" s="68"/>
      <c r="AN9" s="68"/>
      <c r="AO9" s="68"/>
      <c r="AP9" s="68"/>
      <c r="AQ9" s="120">
        <f t="shared" si="0"/>
        <v>1200</v>
      </c>
      <c r="AR9" s="120">
        <f t="shared" si="0"/>
        <v>19000</v>
      </c>
      <c r="AS9" s="532">
        <f t="shared" si="0"/>
        <v>11864</v>
      </c>
      <c r="AT9" s="68">
        <v>1300</v>
      </c>
      <c r="AU9" s="68">
        <v>17240</v>
      </c>
      <c r="AV9" s="68">
        <v>13107.2</v>
      </c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120">
        <f t="shared" si="2"/>
        <v>2500</v>
      </c>
      <c r="BY9" s="120">
        <f t="shared" si="2"/>
        <v>36240</v>
      </c>
      <c r="BZ9" s="128">
        <f t="shared" si="2"/>
        <v>24971.200000000001</v>
      </c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71"/>
      <c r="DD9" s="71"/>
      <c r="DE9" s="122">
        <f t="shared" si="3"/>
        <v>2500</v>
      </c>
      <c r="DF9" s="123">
        <f t="shared" si="4"/>
        <v>36240</v>
      </c>
      <c r="DG9" s="124">
        <f t="shared" si="4"/>
        <v>24971.200000000001</v>
      </c>
      <c r="DH9" s="72">
        <f>ပေါ်ဦး!AE21</f>
        <v>2500</v>
      </c>
      <c r="DI9" s="73">
        <f>ပေါ်ဦး!AF21</f>
        <v>36240</v>
      </c>
      <c r="DJ9" s="125">
        <f>ပေါ်ဦး!AG21</f>
        <v>24971.200000000001</v>
      </c>
      <c r="DK9" s="74">
        <f t="shared" si="5"/>
        <v>0.4993728218965946</v>
      </c>
      <c r="DL9" s="75">
        <f t="shared" si="6"/>
        <v>0.32258064516129031</v>
      </c>
      <c r="DM9" s="76">
        <f t="shared" si="1"/>
        <v>0.17679217673530429</v>
      </c>
      <c r="DO9" s="55"/>
      <c r="DP9" s="81"/>
      <c r="DQ9" s="535">
        <f>AR4/L4</f>
        <v>0.22482068575606884</v>
      </c>
    </row>
    <row r="10" spans="1:122" ht="24.75" customHeight="1" x14ac:dyDescent="0.5">
      <c r="A10" s="63">
        <v>7</v>
      </c>
      <c r="B10" s="64" t="s">
        <v>52</v>
      </c>
      <c r="C10" s="65" t="s">
        <v>269</v>
      </c>
      <c r="D10" s="66" t="s">
        <v>53</v>
      </c>
      <c r="E10" s="66" t="s">
        <v>270</v>
      </c>
      <c r="F10" s="67" t="s">
        <v>133</v>
      </c>
      <c r="G10" s="68" t="s">
        <v>271</v>
      </c>
      <c r="H10" s="69" t="s">
        <v>272</v>
      </c>
      <c r="I10" s="69" t="s">
        <v>273</v>
      </c>
      <c r="J10" s="95" t="s">
        <v>349</v>
      </c>
      <c r="K10" s="69">
        <v>5883.0796932970043</v>
      </c>
      <c r="L10" s="69">
        <v>82363.115706158045</v>
      </c>
      <c r="M10" s="70">
        <v>565</v>
      </c>
      <c r="N10" s="68">
        <v>6990</v>
      </c>
      <c r="O10" s="116">
        <v>6460.8</v>
      </c>
      <c r="P10" s="68"/>
      <c r="Q10" s="68"/>
      <c r="R10" s="68"/>
      <c r="S10" s="68"/>
      <c r="T10" s="68"/>
      <c r="U10" s="68"/>
      <c r="V10" s="68"/>
      <c r="W10" s="68"/>
      <c r="X10" s="68"/>
      <c r="Y10" s="68">
        <v>550</v>
      </c>
      <c r="Z10" s="68">
        <v>8300</v>
      </c>
      <c r="AA10" s="68">
        <v>6148</v>
      </c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>
        <v>550</v>
      </c>
      <c r="AO10" s="68">
        <v>8200</v>
      </c>
      <c r="AP10" s="68">
        <v>6396</v>
      </c>
      <c r="AQ10" s="120">
        <f t="shared" si="0"/>
        <v>1665</v>
      </c>
      <c r="AR10" s="120">
        <f t="shared" si="0"/>
        <v>23490</v>
      </c>
      <c r="AS10" s="532">
        <f t="shared" si="0"/>
        <v>19004.8</v>
      </c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120">
        <f t="shared" si="2"/>
        <v>1665</v>
      </c>
      <c r="BY10" s="120">
        <f t="shared" si="2"/>
        <v>23490</v>
      </c>
      <c r="BZ10" s="128">
        <f t="shared" si="2"/>
        <v>19004.8</v>
      </c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71"/>
      <c r="DD10" s="71"/>
      <c r="DE10" s="122">
        <f t="shared" si="3"/>
        <v>1665</v>
      </c>
      <c r="DF10" s="123">
        <f t="shared" si="4"/>
        <v>23490</v>
      </c>
      <c r="DG10" s="124">
        <f t="shared" si="4"/>
        <v>19004.8</v>
      </c>
      <c r="DH10" s="72">
        <f>ဘောဂ!AE21</f>
        <v>1665</v>
      </c>
      <c r="DI10" s="73">
        <f>ဘောဂ!AF21</f>
        <v>23490</v>
      </c>
      <c r="DJ10" s="145">
        <f>ဘောဂ!AG21</f>
        <v>19004.8</v>
      </c>
      <c r="DK10" s="74">
        <f t="shared" si="5"/>
        <v>0.28520047837679996</v>
      </c>
      <c r="DL10" s="75">
        <f t="shared" si="6"/>
        <v>0.32258064516129031</v>
      </c>
      <c r="DM10" s="76">
        <f t="shared" si="1"/>
        <v>-3.7380166784490354E-2</v>
      </c>
      <c r="DO10" s="55"/>
      <c r="DP10" s="81"/>
      <c r="DQ10" s="82"/>
    </row>
    <row r="11" spans="1:122" ht="24.75" customHeight="1" x14ac:dyDescent="0.5">
      <c r="A11" s="63">
        <v>8</v>
      </c>
      <c r="B11" s="64" t="s">
        <v>227</v>
      </c>
      <c r="C11" s="65" t="s">
        <v>228</v>
      </c>
      <c r="D11" s="66" t="s">
        <v>38</v>
      </c>
      <c r="E11" s="66" t="s">
        <v>224</v>
      </c>
      <c r="F11" s="67" t="s">
        <v>133</v>
      </c>
      <c r="G11" s="68" t="s">
        <v>229</v>
      </c>
      <c r="H11" s="69" t="s">
        <v>230</v>
      </c>
      <c r="I11" s="69" t="s">
        <v>231</v>
      </c>
      <c r="J11" s="95" t="s">
        <v>349</v>
      </c>
      <c r="K11" s="69">
        <v>6087.3628831889255</v>
      </c>
      <c r="L11" s="69">
        <v>85223.080364644949</v>
      </c>
      <c r="M11" s="70">
        <v>220</v>
      </c>
      <c r="N11" s="68">
        <v>2780</v>
      </c>
      <c r="O11" s="116">
        <v>2427.1999999999998</v>
      </c>
      <c r="P11" s="68"/>
      <c r="Q11" s="68"/>
      <c r="R11" s="68"/>
      <c r="S11" s="68"/>
      <c r="T11" s="68"/>
      <c r="U11" s="68"/>
      <c r="V11" s="68"/>
      <c r="W11" s="68"/>
      <c r="X11" s="68"/>
      <c r="Y11" s="68">
        <v>200</v>
      </c>
      <c r="Z11" s="68">
        <v>2600</v>
      </c>
      <c r="AA11" s="68">
        <v>2096</v>
      </c>
      <c r="AB11" s="68"/>
      <c r="AC11" s="68"/>
      <c r="AD11" s="68"/>
      <c r="AE11" s="68"/>
      <c r="AF11" s="68"/>
      <c r="AG11" s="68"/>
      <c r="AH11" s="68">
        <v>100</v>
      </c>
      <c r="AI11" s="68">
        <v>2100</v>
      </c>
      <c r="AJ11" s="116">
        <v>1168.8</v>
      </c>
      <c r="AK11" s="68"/>
      <c r="AL11" s="68"/>
      <c r="AM11" s="68"/>
      <c r="AN11" s="68"/>
      <c r="AO11" s="68"/>
      <c r="AP11" s="68"/>
      <c r="AQ11" s="120">
        <f t="shared" si="0"/>
        <v>520</v>
      </c>
      <c r="AR11" s="120">
        <f t="shared" si="0"/>
        <v>7480</v>
      </c>
      <c r="AS11" s="532">
        <f t="shared" si="0"/>
        <v>5692</v>
      </c>
      <c r="AT11" s="68">
        <v>555</v>
      </c>
      <c r="AU11" s="68">
        <v>7900</v>
      </c>
      <c r="AV11" s="68">
        <v>5666.4</v>
      </c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120">
        <f t="shared" si="2"/>
        <v>1075</v>
      </c>
      <c r="BY11" s="120">
        <f t="shared" si="2"/>
        <v>15380</v>
      </c>
      <c r="BZ11" s="128">
        <f t="shared" si="2"/>
        <v>11358.4</v>
      </c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71"/>
      <c r="DD11" s="71"/>
      <c r="DE11" s="122">
        <f t="shared" si="3"/>
        <v>1075</v>
      </c>
      <c r="DF11" s="123">
        <f t="shared" si="4"/>
        <v>15380</v>
      </c>
      <c r="DG11" s="124">
        <f t="shared" si="4"/>
        <v>11358.4</v>
      </c>
      <c r="DH11" s="83">
        <f>ရတနာတိုး!AE27</f>
        <v>520</v>
      </c>
      <c r="DI11" s="84">
        <f>ရတနာတိုး!AF27</f>
        <v>7480</v>
      </c>
      <c r="DJ11" s="145">
        <f>ရတနာတိုး!AG27</f>
        <v>5692</v>
      </c>
      <c r="DK11" s="74">
        <f t="shared" si="5"/>
        <v>8.7769650756523238E-2</v>
      </c>
      <c r="DL11" s="75">
        <f t="shared" si="6"/>
        <v>0.32258064516129031</v>
      </c>
      <c r="DM11" s="76">
        <f t="shared" si="1"/>
        <v>-0.23481099440476708</v>
      </c>
      <c r="DO11" s="55"/>
      <c r="DP11" s="81"/>
      <c r="DQ11" s="82"/>
    </row>
    <row r="12" spans="1:122" ht="24.75" customHeight="1" x14ac:dyDescent="0.5">
      <c r="A12" s="63">
        <v>9</v>
      </c>
      <c r="B12" s="64" t="s">
        <v>39</v>
      </c>
      <c r="C12" s="65" t="s">
        <v>232</v>
      </c>
      <c r="D12" s="66" t="s">
        <v>40</v>
      </c>
      <c r="E12" s="66" t="s">
        <v>233</v>
      </c>
      <c r="F12" s="67" t="s">
        <v>133</v>
      </c>
      <c r="G12" s="68" t="s">
        <v>234</v>
      </c>
      <c r="H12" s="69" t="s">
        <v>235</v>
      </c>
      <c r="I12" s="69" t="s">
        <v>236</v>
      </c>
      <c r="J12" s="95" t="s">
        <v>349</v>
      </c>
      <c r="K12" s="69">
        <v>5851.2613937540809</v>
      </c>
      <c r="L12" s="69">
        <v>81917.659512557133</v>
      </c>
      <c r="M12" s="70"/>
      <c r="N12" s="68"/>
      <c r="O12" s="68"/>
      <c r="P12" s="68"/>
      <c r="Q12" s="68"/>
      <c r="R12" s="68"/>
      <c r="S12" s="68">
        <v>525</v>
      </c>
      <c r="T12" s="68">
        <v>7030</v>
      </c>
      <c r="U12" s="143">
        <v>5300.8</v>
      </c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>
        <v>350</v>
      </c>
      <c r="AL12" s="68">
        <v>6220</v>
      </c>
      <c r="AM12" s="116">
        <v>4008.8</v>
      </c>
      <c r="AN12" s="68"/>
      <c r="AO12" s="68"/>
      <c r="AP12" s="68"/>
      <c r="AQ12" s="120">
        <f t="shared" si="0"/>
        <v>875</v>
      </c>
      <c r="AR12" s="120">
        <f t="shared" si="0"/>
        <v>13250</v>
      </c>
      <c r="AS12" s="532">
        <f t="shared" si="0"/>
        <v>9309.6</v>
      </c>
      <c r="AT12" s="68">
        <v>300</v>
      </c>
      <c r="AU12" s="68">
        <v>3900</v>
      </c>
      <c r="AV12" s="68">
        <v>2904</v>
      </c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120">
        <f t="shared" si="2"/>
        <v>1175</v>
      </c>
      <c r="BY12" s="120">
        <f t="shared" si="2"/>
        <v>17150</v>
      </c>
      <c r="BZ12" s="128">
        <f t="shared" si="2"/>
        <v>12213.6</v>
      </c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71"/>
      <c r="DD12" s="71"/>
      <c r="DE12" s="122">
        <f t="shared" si="3"/>
        <v>1175</v>
      </c>
      <c r="DF12" s="123">
        <f t="shared" si="4"/>
        <v>17150</v>
      </c>
      <c r="DG12" s="124">
        <f t="shared" si="4"/>
        <v>12213.6</v>
      </c>
      <c r="DH12" s="72">
        <f>မွန်မလေး!AI19</f>
        <v>875</v>
      </c>
      <c r="DI12" s="73">
        <f>မွန်မလေး!AJ19</f>
        <v>13250</v>
      </c>
      <c r="DJ12" s="145">
        <f>မွန်မလေး!AK19</f>
        <v>9309.6</v>
      </c>
      <c r="DK12" s="74">
        <f t="shared" si="5"/>
        <v>0.16174778526196676</v>
      </c>
      <c r="DL12" s="75">
        <f t="shared" si="6"/>
        <v>0.32258064516129031</v>
      </c>
      <c r="DM12" s="76">
        <f t="shared" si="1"/>
        <v>-0.16083285989932355</v>
      </c>
      <c r="DO12" s="55"/>
      <c r="DP12" s="79"/>
    </row>
    <row r="13" spans="1:122" ht="24.75" customHeight="1" x14ac:dyDescent="0.5">
      <c r="A13" s="63">
        <v>10</v>
      </c>
      <c r="B13" s="64" t="s">
        <v>34</v>
      </c>
      <c r="C13" s="65" t="s">
        <v>214</v>
      </c>
      <c r="D13" s="66" t="s">
        <v>35</v>
      </c>
      <c r="E13" s="66" t="s">
        <v>215</v>
      </c>
      <c r="F13" s="67" t="s">
        <v>133</v>
      </c>
      <c r="G13" s="68" t="s">
        <v>216</v>
      </c>
      <c r="H13" s="69" t="s">
        <v>217</v>
      </c>
      <c r="I13" s="69" t="s">
        <v>218</v>
      </c>
      <c r="J13" s="95" t="s">
        <v>349</v>
      </c>
      <c r="K13" s="69">
        <v>5691.9012947874971</v>
      </c>
      <c r="L13" s="69">
        <v>79686.618127024951</v>
      </c>
      <c r="M13" s="70">
        <v>145</v>
      </c>
      <c r="N13" s="68">
        <v>1940</v>
      </c>
      <c r="O13" s="141">
        <v>1412</v>
      </c>
      <c r="P13" s="68"/>
      <c r="Q13" s="68"/>
      <c r="R13" s="68"/>
      <c r="S13" s="68">
        <v>313</v>
      </c>
      <c r="T13" s="68">
        <v>4336</v>
      </c>
      <c r="U13" s="141">
        <v>3508</v>
      </c>
      <c r="V13" s="68">
        <v>80</v>
      </c>
      <c r="W13" s="68">
        <v>1190</v>
      </c>
      <c r="X13" s="141">
        <v>809.19999999999993</v>
      </c>
      <c r="Y13" s="68">
        <v>75</v>
      </c>
      <c r="Z13" s="68">
        <v>1020</v>
      </c>
      <c r="AA13" s="116">
        <v>663.6</v>
      </c>
      <c r="AB13" s="68">
        <v>383</v>
      </c>
      <c r="AC13" s="68">
        <v>5556</v>
      </c>
      <c r="AD13" s="116">
        <v>4216</v>
      </c>
      <c r="AE13" s="68"/>
      <c r="AF13" s="68"/>
      <c r="AG13" s="68"/>
      <c r="AH13" s="68">
        <v>68</v>
      </c>
      <c r="AI13" s="68">
        <v>1076</v>
      </c>
      <c r="AJ13" s="116">
        <v>749.84</v>
      </c>
      <c r="AK13" s="68">
        <v>60</v>
      </c>
      <c r="AL13" s="68">
        <v>760</v>
      </c>
      <c r="AM13" s="68">
        <v>623.20000000000005</v>
      </c>
      <c r="AN13" s="68">
        <v>357</v>
      </c>
      <c r="AO13" s="68">
        <v>5194</v>
      </c>
      <c r="AP13" s="116">
        <v>3972.8</v>
      </c>
      <c r="AQ13" s="120">
        <f t="shared" si="0"/>
        <v>1481</v>
      </c>
      <c r="AR13" s="120">
        <f t="shared" si="0"/>
        <v>21072</v>
      </c>
      <c r="AS13" s="532">
        <f t="shared" si="0"/>
        <v>15954.64</v>
      </c>
      <c r="AT13" s="68">
        <v>40</v>
      </c>
      <c r="AU13" s="68">
        <v>520</v>
      </c>
      <c r="AV13" s="68">
        <v>419.20000000000005</v>
      </c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120">
        <f t="shared" si="2"/>
        <v>1521</v>
      </c>
      <c r="BY13" s="120">
        <f t="shared" si="2"/>
        <v>21592</v>
      </c>
      <c r="BZ13" s="128">
        <f t="shared" si="2"/>
        <v>16373.84</v>
      </c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71"/>
      <c r="DD13" s="71"/>
      <c r="DE13" s="122">
        <f t="shared" si="3"/>
        <v>1521</v>
      </c>
      <c r="DF13" s="123">
        <f t="shared" si="4"/>
        <v>21592</v>
      </c>
      <c r="DG13" s="124">
        <f t="shared" si="4"/>
        <v>16373.84</v>
      </c>
      <c r="DH13" s="72">
        <f>မြတ်မွှေး!AG33</f>
        <v>1481</v>
      </c>
      <c r="DI13" s="73">
        <f>မြတ်မွှေး!AH33</f>
        <v>21072</v>
      </c>
      <c r="DJ13" s="130">
        <f>မြတ်မွှေး!AI33</f>
        <v>15954.64</v>
      </c>
      <c r="DK13" s="74">
        <f t="shared" si="5"/>
        <v>0.26443586759335236</v>
      </c>
      <c r="DL13" s="75">
        <f t="shared" si="6"/>
        <v>0.32258064516129031</v>
      </c>
      <c r="DM13" s="76">
        <f t="shared" si="1"/>
        <v>-5.8144777567937955E-2</v>
      </c>
      <c r="DO13" s="55"/>
      <c r="DP13" s="79"/>
    </row>
    <row r="14" spans="1:122" ht="24.75" customHeight="1" x14ac:dyDescent="0.5">
      <c r="A14" s="63">
        <v>11</v>
      </c>
      <c r="B14" s="64" t="s">
        <v>19</v>
      </c>
      <c r="C14" s="65" t="s">
        <v>169</v>
      </c>
      <c r="D14" s="66" t="s">
        <v>20</v>
      </c>
      <c r="E14" s="66" t="s">
        <v>170</v>
      </c>
      <c r="F14" s="67" t="s">
        <v>133</v>
      </c>
      <c r="G14" s="68" t="s">
        <v>171</v>
      </c>
      <c r="H14" s="69" t="s">
        <v>172</v>
      </c>
      <c r="I14" s="69" t="s">
        <v>173</v>
      </c>
      <c r="J14" s="95" t="s">
        <v>349</v>
      </c>
      <c r="K14" s="69">
        <v>4768.0418751427533</v>
      </c>
      <c r="L14" s="69">
        <v>66752.586251998553</v>
      </c>
      <c r="M14" s="70">
        <v>180</v>
      </c>
      <c r="N14" s="68">
        <v>2520</v>
      </c>
      <c r="O14" s="116">
        <v>1612.8</v>
      </c>
      <c r="P14" s="68"/>
      <c r="Q14" s="68"/>
      <c r="R14" s="68"/>
      <c r="S14" s="68">
        <v>475</v>
      </c>
      <c r="T14" s="68">
        <v>6600</v>
      </c>
      <c r="U14" s="68">
        <v>4332</v>
      </c>
      <c r="V14" s="68"/>
      <c r="W14" s="68"/>
      <c r="X14" s="68"/>
      <c r="Y14" s="68">
        <v>100</v>
      </c>
      <c r="Z14" s="68">
        <v>1400</v>
      </c>
      <c r="AA14" s="68">
        <v>896</v>
      </c>
      <c r="AB14" s="68"/>
      <c r="AC14" s="68"/>
      <c r="AD14" s="68"/>
      <c r="AE14" s="68"/>
      <c r="AF14" s="68"/>
      <c r="AG14" s="68"/>
      <c r="AH14" s="68">
        <v>270</v>
      </c>
      <c r="AI14" s="68">
        <v>4100</v>
      </c>
      <c r="AJ14" s="68">
        <v>2824</v>
      </c>
      <c r="AK14" s="68"/>
      <c r="AL14" s="68"/>
      <c r="AM14" s="68"/>
      <c r="AN14" s="68">
        <v>150</v>
      </c>
      <c r="AO14" s="68">
        <v>2000</v>
      </c>
      <c r="AP14" s="68">
        <v>1496</v>
      </c>
      <c r="AQ14" s="120">
        <f t="shared" si="0"/>
        <v>1175</v>
      </c>
      <c r="AR14" s="120">
        <f t="shared" si="0"/>
        <v>16620</v>
      </c>
      <c r="AS14" s="532">
        <f t="shared" si="0"/>
        <v>11160.8</v>
      </c>
      <c r="AT14" s="68">
        <v>155</v>
      </c>
      <c r="AU14" s="68">
        <v>2690</v>
      </c>
      <c r="AV14" s="68">
        <v>1489.6000000000001</v>
      </c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120">
        <f t="shared" si="2"/>
        <v>1330</v>
      </c>
      <c r="BY14" s="120">
        <f t="shared" si="2"/>
        <v>19310</v>
      </c>
      <c r="BZ14" s="128">
        <f t="shared" si="2"/>
        <v>12650.4</v>
      </c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71"/>
      <c r="DD14" s="71"/>
      <c r="DE14" s="122">
        <f t="shared" si="3"/>
        <v>1330</v>
      </c>
      <c r="DF14" s="123">
        <f t="shared" si="4"/>
        <v>19310</v>
      </c>
      <c r="DG14" s="124">
        <f t="shared" si="4"/>
        <v>12650.4</v>
      </c>
      <c r="DH14" s="72">
        <f>ကိုဖိုးသက်!AE26</f>
        <v>1175</v>
      </c>
      <c r="DI14" s="73">
        <f>ကိုဖိုးသက်!AF26</f>
        <v>16620</v>
      </c>
      <c r="DJ14" s="145">
        <f>ကိုဖိုးသက်!AG25</f>
        <v>11160.8</v>
      </c>
      <c r="DK14" s="74">
        <f t="shared" si="5"/>
        <v>0.24897911726232783</v>
      </c>
      <c r="DL14" s="75">
        <f t="shared" si="6"/>
        <v>0.32258064516129031</v>
      </c>
      <c r="DM14" s="76">
        <f t="shared" si="1"/>
        <v>-7.3601527898962488E-2</v>
      </c>
      <c r="DO14" s="55"/>
      <c r="DP14" s="81"/>
      <c r="DQ14" s="82"/>
    </row>
    <row r="15" spans="1:122" ht="24.75" customHeight="1" x14ac:dyDescent="0.5">
      <c r="A15" s="63">
        <v>12</v>
      </c>
      <c r="B15" s="64" t="s">
        <v>29</v>
      </c>
      <c r="C15" s="65" t="s">
        <v>200</v>
      </c>
      <c r="D15" s="66" t="s">
        <v>30</v>
      </c>
      <c r="E15" s="66" t="s">
        <v>201</v>
      </c>
      <c r="F15" s="67" t="s">
        <v>133</v>
      </c>
      <c r="G15" s="68" t="s">
        <v>202</v>
      </c>
      <c r="H15" s="69" t="s">
        <v>203</v>
      </c>
      <c r="I15" s="69" t="s">
        <v>204</v>
      </c>
      <c r="J15" s="95" t="s">
        <v>349</v>
      </c>
      <c r="K15" s="69">
        <v>4892.6736360438999</v>
      </c>
      <c r="L15" s="69">
        <v>68497.430904614608</v>
      </c>
      <c r="M15" s="70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>
        <v>510</v>
      </c>
      <c r="AC15" s="68">
        <v>7920</v>
      </c>
      <c r="AD15" s="68">
        <v>5612</v>
      </c>
      <c r="AE15" s="68"/>
      <c r="AF15" s="68"/>
      <c r="AG15" s="68"/>
      <c r="AH15" s="68"/>
      <c r="AI15" s="68"/>
      <c r="AJ15" s="68"/>
      <c r="AK15" s="68"/>
      <c r="AL15" s="68"/>
      <c r="AM15" s="68"/>
      <c r="AN15" s="68">
        <v>510</v>
      </c>
      <c r="AO15" s="68">
        <v>7780</v>
      </c>
      <c r="AP15" s="116">
        <v>5716.8</v>
      </c>
      <c r="AQ15" s="120">
        <f t="shared" si="0"/>
        <v>1020</v>
      </c>
      <c r="AR15" s="120">
        <f t="shared" si="0"/>
        <v>15700</v>
      </c>
      <c r="AS15" s="532">
        <f t="shared" si="0"/>
        <v>11328.8</v>
      </c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120">
        <f t="shared" si="2"/>
        <v>1020</v>
      </c>
      <c r="BY15" s="120">
        <f t="shared" si="2"/>
        <v>15700</v>
      </c>
      <c r="BZ15" s="128">
        <f t="shared" si="2"/>
        <v>11328.8</v>
      </c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71"/>
      <c r="DD15" s="71"/>
      <c r="DE15" s="122">
        <f t="shared" si="3"/>
        <v>1020</v>
      </c>
      <c r="DF15" s="123">
        <f t="shared" si="4"/>
        <v>15700</v>
      </c>
      <c r="DG15" s="124">
        <f t="shared" si="4"/>
        <v>11328.8</v>
      </c>
      <c r="DH15" s="72">
        <f>မပို့မချို!AE22</f>
        <v>1020</v>
      </c>
      <c r="DI15" s="73">
        <f>မပို့မချို!AF22</f>
        <v>15700</v>
      </c>
      <c r="DJ15" s="145">
        <f>မပို့မချို!AG22</f>
        <v>11328.8</v>
      </c>
      <c r="DK15" s="74">
        <f t="shared" si="5"/>
        <v>0.22920567666052868</v>
      </c>
      <c r="DL15" s="75">
        <f t="shared" si="6"/>
        <v>0.32258064516129031</v>
      </c>
      <c r="DM15" s="76">
        <f t="shared" si="1"/>
        <v>-9.3374968500761629E-2</v>
      </c>
      <c r="DO15" s="55"/>
      <c r="DP15" s="81"/>
      <c r="DQ15" s="82"/>
    </row>
    <row r="16" spans="1:122" ht="24.75" customHeight="1" x14ac:dyDescent="0.5">
      <c r="A16" s="63">
        <v>13</v>
      </c>
      <c r="B16" s="64" t="s">
        <v>54</v>
      </c>
      <c r="C16" s="65" t="s">
        <v>274</v>
      </c>
      <c r="D16" s="66" t="s">
        <v>53</v>
      </c>
      <c r="E16" s="66" t="s">
        <v>270</v>
      </c>
      <c r="F16" s="67" t="s">
        <v>133</v>
      </c>
      <c r="G16" s="68" t="s">
        <v>275</v>
      </c>
      <c r="H16" s="69" t="s">
        <v>276</v>
      </c>
      <c r="I16" s="69" t="s">
        <v>277</v>
      </c>
      <c r="J16" s="95" t="s">
        <v>349</v>
      </c>
      <c r="K16" s="69">
        <v>3313.8062345850008</v>
      </c>
      <c r="L16" s="69">
        <v>46393.28728419001</v>
      </c>
      <c r="M16" s="70"/>
      <c r="N16" s="68"/>
      <c r="O16" s="68"/>
      <c r="P16" s="68"/>
      <c r="Q16" s="68"/>
      <c r="R16" s="68"/>
      <c r="S16" s="68"/>
      <c r="T16" s="68"/>
      <c r="U16" s="68"/>
      <c r="V16" s="68">
        <v>75</v>
      </c>
      <c r="W16" s="68">
        <v>960</v>
      </c>
      <c r="X16" s="116">
        <v>808.8</v>
      </c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120">
        <f t="shared" si="0"/>
        <v>75</v>
      </c>
      <c r="AR16" s="120">
        <f t="shared" si="0"/>
        <v>960</v>
      </c>
      <c r="AS16" s="532">
        <f t="shared" si="0"/>
        <v>808.8</v>
      </c>
      <c r="AT16" s="68">
        <v>540</v>
      </c>
      <c r="AU16" s="68">
        <v>8420</v>
      </c>
      <c r="AV16" s="68">
        <v>6204.8</v>
      </c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120">
        <f t="shared" si="2"/>
        <v>615</v>
      </c>
      <c r="BY16" s="120">
        <f t="shared" si="2"/>
        <v>9380</v>
      </c>
      <c r="BZ16" s="128">
        <f t="shared" si="2"/>
        <v>7013.6</v>
      </c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71"/>
      <c r="DD16" s="71"/>
      <c r="DE16" s="122">
        <f t="shared" si="3"/>
        <v>615</v>
      </c>
      <c r="DF16" s="123">
        <f t="shared" si="4"/>
        <v>9380</v>
      </c>
      <c r="DG16" s="124">
        <f t="shared" si="4"/>
        <v>7013.6</v>
      </c>
      <c r="DH16" s="72">
        <f>ကိုကျော်ဆွေ!AE20</f>
        <v>75</v>
      </c>
      <c r="DI16" s="73">
        <f>ကိုကျော်ဆွေ!AF20</f>
        <v>960</v>
      </c>
      <c r="DJ16" s="145">
        <f>ကိုကျော်ဆွေ!AG20</f>
        <v>808.8</v>
      </c>
      <c r="DK16" s="74">
        <f t="shared" si="5"/>
        <v>2.0692648790316494E-2</v>
      </c>
      <c r="DL16" s="75">
        <f t="shared" si="6"/>
        <v>0.32258064516129031</v>
      </c>
      <c r="DM16" s="76">
        <f t="shared" si="1"/>
        <v>-0.3018879963709738</v>
      </c>
      <c r="DO16" s="55"/>
      <c r="DP16" s="81"/>
      <c r="DQ16" s="82"/>
    </row>
    <row r="17" spans="1:122" ht="24.75" customHeight="1" x14ac:dyDescent="0.5">
      <c r="A17" s="63">
        <v>14</v>
      </c>
      <c r="B17" s="64" t="s">
        <v>37</v>
      </c>
      <c r="C17" s="65" t="s">
        <v>223</v>
      </c>
      <c r="D17" s="66" t="s">
        <v>38</v>
      </c>
      <c r="E17" s="66" t="s">
        <v>224</v>
      </c>
      <c r="F17" s="67" t="s">
        <v>133</v>
      </c>
      <c r="G17" s="68" t="s">
        <v>37</v>
      </c>
      <c r="H17" s="69" t="s">
        <v>225</v>
      </c>
      <c r="I17" s="69" t="s">
        <v>226</v>
      </c>
      <c r="J17" s="95" t="s">
        <v>349</v>
      </c>
      <c r="K17" s="69">
        <v>3616.380225827334</v>
      </c>
      <c r="L17" s="69">
        <v>50629.323161582673</v>
      </c>
      <c r="M17" s="70"/>
      <c r="N17" s="68"/>
      <c r="O17" s="68"/>
      <c r="P17" s="68"/>
      <c r="Q17" s="68"/>
      <c r="R17" s="68"/>
      <c r="S17" s="68">
        <v>270</v>
      </c>
      <c r="T17" s="68">
        <v>3680</v>
      </c>
      <c r="U17" s="68">
        <v>2794</v>
      </c>
      <c r="V17" s="68"/>
      <c r="W17" s="68"/>
      <c r="X17" s="68"/>
      <c r="Y17" s="68"/>
      <c r="Z17" s="68"/>
      <c r="AA17" s="68"/>
      <c r="AB17" s="68">
        <v>250</v>
      </c>
      <c r="AC17" s="68">
        <v>3400</v>
      </c>
      <c r="AD17" s="68">
        <v>2392</v>
      </c>
      <c r="AE17" s="68"/>
      <c r="AF17" s="68"/>
      <c r="AG17" s="68"/>
      <c r="AH17" s="68"/>
      <c r="AI17" s="68"/>
      <c r="AJ17" s="68"/>
      <c r="AK17" s="68">
        <v>250</v>
      </c>
      <c r="AL17" s="68">
        <v>3400</v>
      </c>
      <c r="AM17" s="68">
        <v>2392</v>
      </c>
      <c r="AN17" s="68"/>
      <c r="AO17" s="68"/>
      <c r="AP17" s="68"/>
      <c r="AQ17" s="120">
        <f t="shared" si="0"/>
        <v>770</v>
      </c>
      <c r="AR17" s="120">
        <f t="shared" si="0"/>
        <v>10480</v>
      </c>
      <c r="AS17" s="532">
        <f t="shared" si="0"/>
        <v>7578</v>
      </c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120">
        <f t="shared" si="2"/>
        <v>770</v>
      </c>
      <c r="BY17" s="120">
        <f t="shared" si="2"/>
        <v>10480</v>
      </c>
      <c r="BZ17" s="128">
        <f t="shared" si="2"/>
        <v>7578</v>
      </c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71"/>
      <c r="DD17" s="71"/>
      <c r="DE17" s="122">
        <f t="shared" si="3"/>
        <v>770</v>
      </c>
      <c r="DF17" s="123">
        <f t="shared" si="4"/>
        <v>10480</v>
      </c>
      <c r="DG17" s="124">
        <f t="shared" si="4"/>
        <v>7578</v>
      </c>
      <c r="DH17" s="72">
        <f>ဦးတင်အေး!AE24</f>
        <v>770</v>
      </c>
      <c r="DI17" s="73">
        <f>ဦးတင်အေး!AF24</f>
        <v>10480</v>
      </c>
      <c r="DJ17" s="145">
        <f>ဦးတင်အေး!AG24</f>
        <v>7578</v>
      </c>
      <c r="DK17" s="74">
        <f t="shared" si="5"/>
        <v>0.20699466920687934</v>
      </c>
      <c r="DL17" s="75">
        <f t="shared" si="6"/>
        <v>0.32258064516129031</v>
      </c>
      <c r="DM17" s="76">
        <f t="shared" si="1"/>
        <v>-0.11558597595441097</v>
      </c>
      <c r="DO17" s="55"/>
      <c r="DP17" s="79"/>
      <c r="DR17" s="59"/>
    </row>
    <row r="18" spans="1:122" ht="24.75" customHeight="1" x14ac:dyDescent="0.5">
      <c r="A18" s="63">
        <v>15</v>
      </c>
      <c r="B18" s="64" t="s">
        <v>36</v>
      </c>
      <c r="C18" s="65" t="s">
        <v>219</v>
      </c>
      <c r="D18" s="66" t="s">
        <v>35</v>
      </c>
      <c r="E18" s="66" t="s">
        <v>215</v>
      </c>
      <c r="F18" s="67" t="s">
        <v>133</v>
      </c>
      <c r="G18" s="68" t="s">
        <v>220</v>
      </c>
      <c r="H18" s="69" t="s">
        <v>221</v>
      </c>
      <c r="I18" s="69" t="s">
        <v>222</v>
      </c>
      <c r="J18" s="95" t="s">
        <v>349</v>
      </c>
      <c r="K18" s="69">
        <v>2866.5200016857548</v>
      </c>
      <c r="L18" s="69">
        <v>40131.280023600564</v>
      </c>
      <c r="M18" s="70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>
        <v>20</v>
      </c>
      <c r="AL18" s="68">
        <v>800</v>
      </c>
      <c r="AM18" s="68">
        <v>280</v>
      </c>
      <c r="AN18" s="68"/>
      <c r="AO18" s="68"/>
      <c r="AP18" s="68"/>
      <c r="AQ18" s="120">
        <f t="shared" si="0"/>
        <v>20</v>
      </c>
      <c r="AR18" s="120">
        <f t="shared" si="0"/>
        <v>800</v>
      </c>
      <c r="AS18" s="532">
        <f t="shared" si="0"/>
        <v>280</v>
      </c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120">
        <f t="shared" si="2"/>
        <v>20</v>
      </c>
      <c r="BY18" s="120">
        <f t="shared" si="2"/>
        <v>800</v>
      </c>
      <c r="BZ18" s="128">
        <f t="shared" si="2"/>
        <v>280</v>
      </c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71"/>
      <c r="DD18" s="71"/>
      <c r="DE18" s="122">
        <f t="shared" si="3"/>
        <v>20</v>
      </c>
      <c r="DF18" s="123">
        <f t="shared" si="4"/>
        <v>800</v>
      </c>
      <c r="DG18" s="124">
        <f t="shared" si="4"/>
        <v>280</v>
      </c>
      <c r="DH18" s="72">
        <f>ဘဘကြီး!AE27</f>
        <v>20</v>
      </c>
      <c r="DI18" s="73">
        <f>ဘဘကြီး!AF27</f>
        <v>800</v>
      </c>
      <c r="DJ18" s="145">
        <f>ဘဘကြီး!AG27</f>
        <v>280</v>
      </c>
      <c r="DK18" s="74">
        <f t="shared" si="5"/>
        <v>1.9934574714026883E-2</v>
      </c>
      <c r="DL18" s="75">
        <f t="shared" si="6"/>
        <v>0.32258064516129031</v>
      </c>
      <c r="DM18" s="76">
        <f t="shared" si="1"/>
        <v>-0.30264607044726344</v>
      </c>
      <c r="DO18" s="55"/>
      <c r="DP18" s="79"/>
    </row>
    <row r="19" spans="1:122" ht="24.75" customHeight="1" x14ac:dyDescent="0.5">
      <c r="A19" s="63">
        <v>16</v>
      </c>
      <c r="B19" s="64" t="s">
        <v>46</v>
      </c>
      <c r="C19" s="65" t="s">
        <v>254</v>
      </c>
      <c r="D19" s="66" t="s">
        <v>47</v>
      </c>
      <c r="E19" s="66" t="s">
        <v>255</v>
      </c>
      <c r="F19" s="67" t="s">
        <v>133</v>
      </c>
      <c r="G19" s="68" t="s">
        <v>256</v>
      </c>
      <c r="H19" s="69" t="s">
        <v>257</v>
      </c>
      <c r="I19" s="69" t="s">
        <v>258</v>
      </c>
      <c r="J19" s="95" t="s">
        <v>349</v>
      </c>
      <c r="K19" s="69">
        <v>3324.6800099564371</v>
      </c>
      <c r="L19" s="69">
        <v>46545.520139390115</v>
      </c>
      <c r="M19" s="70"/>
      <c r="N19" s="68"/>
      <c r="O19" s="68"/>
      <c r="P19" s="68"/>
      <c r="Q19" s="68"/>
      <c r="R19" s="68"/>
      <c r="S19" s="68"/>
      <c r="T19" s="68"/>
      <c r="U19" s="68"/>
      <c r="V19" s="68">
        <v>245</v>
      </c>
      <c r="W19" s="68">
        <v>3660</v>
      </c>
      <c r="X19" s="116">
        <v>2736.8</v>
      </c>
      <c r="Y19" s="68">
        <v>320</v>
      </c>
      <c r="Z19" s="68">
        <v>4560</v>
      </c>
      <c r="AA19" s="116">
        <v>3636.8</v>
      </c>
      <c r="AB19" s="68"/>
      <c r="AC19" s="68"/>
      <c r="AD19" s="68"/>
      <c r="AE19" s="68"/>
      <c r="AF19" s="68"/>
      <c r="AG19" s="68"/>
      <c r="AH19" s="68">
        <v>235</v>
      </c>
      <c r="AI19" s="68">
        <v>3260</v>
      </c>
      <c r="AJ19" s="116">
        <v>2596.8000000000002</v>
      </c>
      <c r="AK19" s="68"/>
      <c r="AL19" s="68"/>
      <c r="AM19" s="68"/>
      <c r="AN19" s="68">
        <v>230</v>
      </c>
      <c r="AO19" s="68">
        <v>3700</v>
      </c>
      <c r="AP19" s="68">
        <v>2572</v>
      </c>
      <c r="AQ19" s="120">
        <f>M19+P19+S19+V19+Y19+AB19+AE19+AH19+AK19+AN19</f>
        <v>1030</v>
      </c>
      <c r="AR19" s="120">
        <f>N19+Q19+T19+W19+Z19+AC19+AF19+AI19+AL19+AO19</f>
        <v>15180</v>
      </c>
      <c r="AS19" s="532">
        <f>O19+R19+U19+X19+AA19+AD19+AG19+AJ19+AM19+AP19</f>
        <v>11542.400000000001</v>
      </c>
      <c r="AT19" s="68">
        <v>260</v>
      </c>
      <c r="AU19" s="68">
        <v>3560</v>
      </c>
      <c r="AV19" s="68">
        <v>2853.6000000000004</v>
      </c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120">
        <f>AQ19+AT19+AW19+AZ19+BC19+BF19+BI19+BL19+BO19+BR19+BU19</f>
        <v>1290</v>
      </c>
      <c r="BY19" s="120">
        <f>AR19+AU19+AX19+BA19+BD19+BG19+BJ19+BM19+BP19+BS19+BV19</f>
        <v>18740</v>
      </c>
      <c r="BZ19" s="128">
        <f>AS19+AV19+AY19+BB19+BE19+BH19+BK19+BN19+BQ19+BT19+BW19</f>
        <v>14396.000000000002</v>
      </c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71"/>
      <c r="DD19" s="71"/>
      <c r="DE19" s="122">
        <f>P19+S19+V19+Y19+AB19+AE19+AH19+AK19+AN19+AT19+AW19+AZ19+BC19+BF19+BI19+BL19+BO19+BR19+BU19+CA19+CD19+CG19+CJ19+CM19+CP19+CS19+CV19+CY19+DB19+M19</f>
        <v>1290</v>
      </c>
      <c r="DF19" s="123">
        <f>AR19+AU19+AX19+BA19+BD19+BG19+BJ19+BM19+BP19+BS19+BV19+CB19+CE19+CH19+CK19+CN19+CQ19+CT19+CW19+CZ19+DC19</f>
        <v>18740</v>
      </c>
      <c r="DG19" s="124">
        <f>AS19+AV19+AY19+BB19+BE19+BH19+BK19+BN19+BQ19+BT19+BW19+CC19+CF19+CI19+CL19+CO19+CR19+CU19+CX19+DA19+DD19</f>
        <v>14396.000000000002</v>
      </c>
      <c r="DH19" s="72">
        <f>ရှယ်ထူး!AE20</f>
        <v>1030</v>
      </c>
      <c r="DI19" s="73">
        <f>ရှယ်ထူး!AF20</f>
        <v>15180</v>
      </c>
      <c r="DJ19" s="145">
        <f>ရှယ်ထူး!AG20</f>
        <v>11542.400000000001</v>
      </c>
      <c r="DK19" s="74">
        <f>DI19/L19</f>
        <v>0.3261323528997071</v>
      </c>
      <c r="DL19" s="75">
        <f t="shared" si="6"/>
        <v>0.32258064516129031</v>
      </c>
      <c r="DM19" s="76">
        <f>DK19-DL19</f>
        <v>3.5517077384167872E-3</v>
      </c>
      <c r="DO19" s="55"/>
      <c r="DP19" s="79"/>
    </row>
    <row r="20" spans="1:122" ht="24.75" customHeight="1" x14ac:dyDescent="0.5">
      <c r="A20" s="63">
        <v>17</v>
      </c>
      <c r="B20" s="64" t="s">
        <v>33</v>
      </c>
      <c r="C20" s="65" t="s">
        <v>210</v>
      </c>
      <c r="D20" s="66" t="s">
        <v>32</v>
      </c>
      <c r="E20" s="66" t="s">
        <v>206</v>
      </c>
      <c r="F20" s="67" t="s">
        <v>133</v>
      </c>
      <c r="G20" s="68" t="s">
        <v>211</v>
      </c>
      <c r="H20" s="69" t="s">
        <v>212</v>
      </c>
      <c r="I20" s="69" t="s">
        <v>213</v>
      </c>
      <c r="J20" s="95" t="s">
        <v>349</v>
      </c>
      <c r="K20" s="69">
        <v>2962.5478916308875</v>
      </c>
      <c r="L20" s="69">
        <v>41475.670482832429</v>
      </c>
      <c r="M20" s="70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120">
        <f t="shared" si="0"/>
        <v>0</v>
      </c>
      <c r="AR20" s="120">
        <f t="shared" si="0"/>
        <v>0</v>
      </c>
      <c r="AS20" s="532">
        <f t="shared" si="0"/>
        <v>0</v>
      </c>
      <c r="AT20" s="68">
        <v>540</v>
      </c>
      <c r="AU20" s="68">
        <v>7500</v>
      </c>
      <c r="AV20" s="68">
        <v>5820.8</v>
      </c>
      <c r="AW20" s="68"/>
      <c r="AX20" s="68"/>
      <c r="AY20" s="68"/>
      <c r="AZ20" s="68"/>
      <c r="BA20" s="68"/>
      <c r="BB20" s="68"/>
      <c r="BC20" s="68"/>
      <c r="BD20" s="68"/>
      <c r="BE20" s="68"/>
      <c r="BF20" s="85"/>
      <c r="BG20" s="85"/>
      <c r="BH20" s="85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120">
        <f t="shared" si="2"/>
        <v>540</v>
      </c>
      <c r="BY20" s="120">
        <f t="shared" si="2"/>
        <v>7500</v>
      </c>
      <c r="BZ20" s="128">
        <f t="shared" si="2"/>
        <v>5820.8</v>
      </c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71"/>
      <c r="DD20" s="71"/>
      <c r="DE20" s="122">
        <f t="shared" si="3"/>
        <v>540</v>
      </c>
      <c r="DF20" s="123">
        <f t="shared" si="4"/>
        <v>7500</v>
      </c>
      <c r="DG20" s="124">
        <f t="shared" si="4"/>
        <v>5820.8</v>
      </c>
      <c r="DH20" s="86">
        <f>ရွှေဇီးကွက်!AE29</f>
        <v>0</v>
      </c>
      <c r="DI20" s="87">
        <f>ရွှေဇီးကွက်!AF29</f>
        <v>0</v>
      </c>
      <c r="DJ20" s="125">
        <f>ရွှေဇီးကွက်!AG29</f>
        <v>0</v>
      </c>
      <c r="DK20" s="74">
        <f t="shared" si="5"/>
        <v>0</v>
      </c>
      <c r="DL20" s="75">
        <f t="shared" si="6"/>
        <v>0.32258064516129031</v>
      </c>
      <c r="DM20" s="76">
        <f t="shared" si="1"/>
        <v>-0.32258064516129031</v>
      </c>
      <c r="DO20" s="55"/>
      <c r="DP20" s="79"/>
    </row>
    <row r="21" spans="1:122" ht="24.75" customHeight="1" x14ac:dyDescent="0.5">
      <c r="A21" s="63">
        <v>18</v>
      </c>
      <c r="B21" s="88" t="s">
        <v>41</v>
      </c>
      <c r="C21" s="66" t="s">
        <v>237</v>
      </c>
      <c r="D21" s="66" t="s">
        <v>40</v>
      </c>
      <c r="E21" s="66" t="s">
        <v>233</v>
      </c>
      <c r="F21" s="67" t="s">
        <v>133</v>
      </c>
      <c r="G21" s="68" t="s">
        <v>238</v>
      </c>
      <c r="H21" s="69" t="s">
        <v>239</v>
      </c>
      <c r="I21" s="69" t="s">
        <v>240</v>
      </c>
      <c r="J21" s="95" t="s">
        <v>349</v>
      </c>
      <c r="K21" s="69">
        <v>2701.1549820736341</v>
      </c>
      <c r="L21" s="69">
        <v>37816.16974903088</v>
      </c>
      <c r="M21" s="70">
        <v>290</v>
      </c>
      <c r="N21" s="68">
        <v>4380</v>
      </c>
      <c r="O21" s="116">
        <v>3003.2</v>
      </c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>
        <v>200</v>
      </c>
      <c r="AC21" s="68">
        <v>2600</v>
      </c>
      <c r="AD21" s="68">
        <v>2096</v>
      </c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120">
        <f t="shared" si="0"/>
        <v>490</v>
      </c>
      <c r="AR21" s="120">
        <f t="shared" si="0"/>
        <v>6980</v>
      </c>
      <c r="AS21" s="532">
        <f t="shared" si="0"/>
        <v>5099.2</v>
      </c>
      <c r="AT21" s="68">
        <v>150</v>
      </c>
      <c r="AU21" s="68">
        <v>2560</v>
      </c>
      <c r="AV21" s="68">
        <v>1392</v>
      </c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120">
        <f t="shared" si="2"/>
        <v>640</v>
      </c>
      <c r="BY21" s="120">
        <f t="shared" si="2"/>
        <v>9540</v>
      </c>
      <c r="BZ21" s="128">
        <f t="shared" si="2"/>
        <v>6491.2</v>
      </c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71"/>
      <c r="DD21" s="71"/>
      <c r="DE21" s="122">
        <f t="shared" si="3"/>
        <v>640</v>
      </c>
      <c r="DF21" s="123">
        <f t="shared" si="4"/>
        <v>9540</v>
      </c>
      <c r="DG21" s="124">
        <f t="shared" si="4"/>
        <v>6491.2</v>
      </c>
      <c r="DH21" s="72">
        <f>ရွှေဉယျာဉ်!AE21</f>
        <v>490</v>
      </c>
      <c r="DI21" s="73">
        <f>ရွှေဉယျာဉ်!AF21</f>
        <v>6980</v>
      </c>
      <c r="DJ21" s="145">
        <f>ရွှေဉယျာဉ်!AG21</f>
        <v>5099.2</v>
      </c>
      <c r="DK21" s="74">
        <f t="shared" si="5"/>
        <v>0.18457712788796854</v>
      </c>
      <c r="DL21" s="75">
        <f t="shared" si="6"/>
        <v>0.32258064516129031</v>
      </c>
      <c r="DM21" s="76">
        <f t="shared" si="1"/>
        <v>-0.13800351727332177</v>
      </c>
      <c r="DO21" s="55"/>
      <c r="DP21" s="79"/>
    </row>
    <row r="22" spans="1:122" ht="24.75" customHeight="1" x14ac:dyDescent="0.5">
      <c r="A22" s="63">
        <v>19</v>
      </c>
      <c r="B22" s="64" t="s">
        <v>26</v>
      </c>
      <c r="C22" s="65" t="s">
        <v>191</v>
      </c>
      <c r="D22" s="66" t="s">
        <v>24</v>
      </c>
      <c r="E22" s="66" t="s">
        <v>183</v>
      </c>
      <c r="F22" s="67" t="s">
        <v>133</v>
      </c>
      <c r="G22" s="68" t="s">
        <v>192</v>
      </c>
      <c r="H22" s="69" t="s">
        <v>193</v>
      </c>
      <c r="I22" s="69" t="s">
        <v>194</v>
      </c>
      <c r="J22" s="95" t="s">
        <v>349</v>
      </c>
      <c r="K22" s="69">
        <v>2422.8977356059208</v>
      </c>
      <c r="L22" s="69">
        <v>33920.568298482889</v>
      </c>
      <c r="M22" s="70">
        <v>290</v>
      </c>
      <c r="N22" s="68">
        <v>4180</v>
      </c>
      <c r="O22" s="116">
        <v>3307.2</v>
      </c>
      <c r="P22" s="68"/>
      <c r="Q22" s="68"/>
      <c r="R22" s="68"/>
      <c r="S22" s="68"/>
      <c r="T22" s="68"/>
      <c r="U22" s="68"/>
      <c r="V22" s="68">
        <v>100</v>
      </c>
      <c r="W22" s="68">
        <v>1400</v>
      </c>
      <c r="X22" s="68">
        <v>896</v>
      </c>
      <c r="Y22" s="68">
        <v>260</v>
      </c>
      <c r="Z22" s="68">
        <v>4160</v>
      </c>
      <c r="AA22" s="68">
        <v>2876</v>
      </c>
      <c r="AB22" s="68"/>
      <c r="AC22" s="68"/>
      <c r="AD22" s="68"/>
      <c r="AE22" s="68"/>
      <c r="AF22" s="68"/>
      <c r="AG22" s="68"/>
      <c r="AH22" s="68"/>
      <c r="AI22" s="68"/>
      <c r="AJ22" s="68"/>
      <c r="AK22" s="68">
        <v>260</v>
      </c>
      <c r="AL22" s="68">
        <v>4080</v>
      </c>
      <c r="AM22" s="116">
        <v>2685.6</v>
      </c>
      <c r="AN22" s="68">
        <v>250</v>
      </c>
      <c r="AO22" s="68">
        <v>3100</v>
      </c>
      <c r="AP22" s="68">
        <v>2848</v>
      </c>
      <c r="AQ22" s="120">
        <f t="shared" si="0"/>
        <v>1160</v>
      </c>
      <c r="AR22" s="120">
        <f t="shared" si="0"/>
        <v>16920</v>
      </c>
      <c r="AS22" s="532">
        <f t="shared" si="0"/>
        <v>12612.8</v>
      </c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120">
        <f t="shared" si="2"/>
        <v>1160</v>
      </c>
      <c r="BY22" s="120">
        <f t="shared" si="2"/>
        <v>16920</v>
      </c>
      <c r="BZ22" s="128">
        <f t="shared" si="2"/>
        <v>12612.8</v>
      </c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71"/>
      <c r="DD22" s="71"/>
      <c r="DE22" s="122">
        <f t="shared" si="3"/>
        <v>1160</v>
      </c>
      <c r="DF22" s="123">
        <f t="shared" si="4"/>
        <v>16920</v>
      </c>
      <c r="DG22" s="144">
        <f t="shared" si="4"/>
        <v>12612.8</v>
      </c>
      <c r="DH22" s="72">
        <f>ရွှေစည်းစိမ်!AE20</f>
        <v>1160</v>
      </c>
      <c r="DI22" s="73">
        <f>ရွှေစည်းစိမ်!AF20</f>
        <v>16920</v>
      </c>
      <c r="DJ22" s="145">
        <f>ရွှေစည်းစိမ်!AG20</f>
        <v>12612.8</v>
      </c>
      <c r="DK22" s="74">
        <f t="shared" si="5"/>
        <v>0.49881239757285417</v>
      </c>
      <c r="DL22" s="75">
        <f t="shared" si="6"/>
        <v>0.32258064516129031</v>
      </c>
      <c r="DM22" s="76">
        <f t="shared" si="1"/>
        <v>0.17623175241156386</v>
      </c>
      <c r="DO22" s="55"/>
      <c r="DP22" s="57"/>
      <c r="DQ22" s="4"/>
    </row>
    <row r="23" spans="1:122" ht="24.75" customHeight="1" x14ac:dyDescent="0.5">
      <c r="A23" s="63">
        <v>20</v>
      </c>
      <c r="B23" s="64" t="s">
        <v>16</v>
      </c>
      <c r="C23" s="65" t="s">
        <v>161</v>
      </c>
      <c r="D23" s="66" t="s">
        <v>15</v>
      </c>
      <c r="E23" s="66" t="s">
        <v>162</v>
      </c>
      <c r="F23" s="67" t="s">
        <v>133</v>
      </c>
      <c r="G23" s="68" t="s">
        <v>163</v>
      </c>
      <c r="H23" s="69" t="s">
        <v>164</v>
      </c>
      <c r="I23" s="69" t="s">
        <v>165</v>
      </c>
      <c r="J23" s="95" t="s">
        <v>349</v>
      </c>
      <c r="K23" s="69">
        <v>2396.0009342398325</v>
      </c>
      <c r="L23" s="69">
        <v>33544.013079357661</v>
      </c>
      <c r="M23" s="70"/>
      <c r="N23" s="68"/>
      <c r="O23" s="68"/>
      <c r="P23" s="68"/>
      <c r="Q23" s="68"/>
      <c r="R23" s="68"/>
      <c r="S23" s="68">
        <v>50</v>
      </c>
      <c r="T23" s="68">
        <v>700</v>
      </c>
      <c r="U23" s="68">
        <v>448</v>
      </c>
      <c r="V23" s="68"/>
      <c r="W23" s="68"/>
      <c r="X23" s="68"/>
      <c r="Y23" s="68">
        <v>20</v>
      </c>
      <c r="Z23" s="68">
        <v>280</v>
      </c>
      <c r="AA23" s="116">
        <v>179.20000000000002</v>
      </c>
      <c r="AB23" s="68"/>
      <c r="AC23" s="68"/>
      <c r="AD23" s="68"/>
      <c r="AE23" s="68"/>
      <c r="AF23" s="68"/>
      <c r="AG23" s="68"/>
      <c r="AH23" s="68">
        <v>50</v>
      </c>
      <c r="AI23" s="68">
        <v>700</v>
      </c>
      <c r="AJ23" s="68">
        <v>448.00000000000006</v>
      </c>
      <c r="AK23" s="68"/>
      <c r="AL23" s="68"/>
      <c r="AM23" s="68"/>
      <c r="AN23" s="68"/>
      <c r="AO23" s="68"/>
      <c r="AP23" s="68"/>
      <c r="AQ23" s="120">
        <f t="shared" si="0"/>
        <v>120</v>
      </c>
      <c r="AR23" s="120">
        <f t="shared" si="0"/>
        <v>1680</v>
      </c>
      <c r="AS23" s="532">
        <f t="shared" si="0"/>
        <v>1075.2</v>
      </c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120">
        <f t="shared" si="2"/>
        <v>120</v>
      </c>
      <c r="BY23" s="120">
        <f t="shared" si="2"/>
        <v>1680</v>
      </c>
      <c r="BZ23" s="128">
        <f t="shared" si="2"/>
        <v>1075.2</v>
      </c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71"/>
      <c r="DD23" s="71"/>
      <c r="DE23" s="122">
        <f t="shared" si="3"/>
        <v>120</v>
      </c>
      <c r="DF23" s="123">
        <f t="shared" si="4"/>
        <v>1680</v>
      </c>
      <c r="DG23" s="144">
        <f t="shared" si="4"/>
        <v>1075.2</v>
      </c>
      <c r="DH23" s="72">
        <f>ရွက်သစ်!AE19</f>
        <v>120</v>
      </c>
      <c r="DI23" s="73">
        <f>ရွက်သစ်!AF19</f>
        <v>1680</v>
      </c>
      <c r="DJ23" s="125">
        <f>ရွက်သစ်!AG19</f>
        <v>1075.2</v>
      </c>
      <c r="DK23" s="74">
        <f t="shared" si="5"/>
        <v>5.0083452925727592E-2</v>
      </c>
      <c r="DL23" s="75">
        <f t="shared" si="6"/>
        <v>0.32258064516129031</v>
      </c>
      <c r="DM23" s="76">
        <f t="shared" si="1"/>
        <v>-0.27249719223556274</v>
      </c>
      <c r="DO23" s="55"/>
      <c r="DP23" s="57"/>
      <c r="DQ23" s="4"/>
    </row>
    <row r="24" spans="1:122" ht="24.75" customHeight="1" x14ac:dyDescent="0.5">
      <c r="A24" s="63">
        <v>21</v>
      </c>
      <c r="B24" s="64" t="s">
        <v>55</v>
      </c>
      <c r="C24" s="65" t="s">
        <v>278</v>
      </c>
      <c r="D24" s="66" t="s">
        <v>56</v>
      </c>
      <c r="E24" s="66" t="s">
        <v>279</v>
      </c>
      <c r="F24" s="67" t="s">
        <v>133</v>
      </c>
      <c r="G24" s="68" t="s">
        <v>280</v>
      </c>
      <c r="H24" s="69" t="s">
        <v>281</v>
      </c>
      <c r="I24" s="69" t="s">
        <v>282</v>
      </c>
      <c r="J24" s="95" t="s">
        <v>349</v>
      </c>
      <c r="K24" s="69">
        <v>2297.1645446037878</v>
      </c>
      <c r="L24" s="69">
        <v>32160.303624453034</v>
      </c>
      <c r="M24" s="70">
        <v>50</v>
      </c>
      <c r="N24" s="68">
        <v>600</v>
      </c>
      <c r="O24" s="68">
        <v>600</v>
      </c>
      <c r="P24" s="68"/>
      <c r="Q24" s="68"/>
      <c r="R24" s="68"/>
      <c r="S24" s="68">
        <v>100</v>
      </c>
      <c r="T24" s="68">
        <v>1820</v>
      </c>
      <c r="U24" s="68">
        <v>1148.8</v>
      </c>
      <c r="V24" s="68"/>
      <c r="W24" s="68"/>
      <c r="X24" s="68"/>
      <c r="Y24" s="68"/>
      <c r="Z24" s="68"/>
      <c r="AA24" s="116"/>
      <c r="AB24" s="68">
        <v>95</v>
      </c>
      <c r="AC24" s="68">
        <v>1480</v>
      </c>
      <c r="AD24" s="116">
        <v>1044.8</v>
      </c>
      <c r="AE24" s="68"/>
      <c r="AF24" s="68"/>
      <c r="AG24" s="68"/>
      <c r="AH24" s="68"/>
      <c r="AI24" s="68"/>
      <c r="AJ24" s="68"/>
      <c r="AK24" s="68">
        <v>50</v>
      </c>
      <c r="AL24" s="68">
        <v>640</v>
      </c>
      <c r="AM24" s="68">
        <v>539.20000000000005</v>
      </c>
      <c r="AN24" s="68"/>
      <c r="AO24" s="68"/>
      <c r="AP24" s="68"/>
      <c r="AQ24" s="120">
        <f t="shared" si="0"/>
        <v>295</v>
      </c>
      <c r="AR24" s="120">
        <f t="shared" si="0"/>
        <v>4540</v>
      </c>
      <c r="AS24" s="532">
        <f t="shared" si="0"/>
        <v>3332.8</v>
      </c>
      <c r="AT24" s="68">
        <v>145</v>
      </c>
      <c r="AU24" s="68">
        <v>2260</v>
      </c>
      <c r="AV24" s="68">
        <v>1618</v>
      </c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120">
        <f t="shared" si="2"/>
        <v>440</v>
      </c>
      <c r="BY24" s="120">
        <f t="shared" si="2"/>
        <v>6800</v>
      </c>
      <c r="BZ24" s="128">
        <f t="shared" si="2"/>
        <v>4950.8</v>
      </c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71"/>
      <c r="DD24" s="71"/>
      <c r="DE24" s="122">
        <f t="shared" si="3"/>
        <v>440</v>
      </c>
      <c r="DF24" s="123">
        <f t="shared" si="4"/>
        <v>6800</v>
      </c>
      <c r="DG24" s="124">
        <f t="shared" si="4"/>
        <v>4950.8</v>
      </c>
      <c r="DH24" s="72">
        <f>ဒေလီယာ!AE25</f>
        <v>295</v>
      </c>
      <c r="DI24" s="73">
        <f>ဒေလီယာ!AF25</f>
        <v>4540</v>
      </c>
      <c r="DJ24" s="145">
        <f>ဒေလီယာ!AG25</f>
        <v>3332.8</v>
      </c>
      <c r="DK24" s="74">
        <f t="shared" si="5"/>
        <v>0.14116782145514381</v>
      </c>
      <c r="DL24" s="75">
        <f t="shared" si="6"/>
        <v>0.32258064516129031</v>
      </c>
      <c r="DM24" s="76">
        <f t="shared" si="1"/>
        <v>-0.1814128237061465</v>
      </c>
      <c r="DO24" s="55"/>
      <c r="DP24" s="57"/>
      <c r="DQ24" s="4"/>
    </row>
    <row r="25" spans="1:122" ht="24.75" customHeight="1" x14ac:dyDescent="0.5">
      <c r="A25" s="63">
        <v>22</v>
      </c>
      <c r="B25" s="64" t="s">
        <v>42</v>
      </c>
      <c r="C25" s="65" t="s">
        <v>241</v>
      </c>
      <c r="D25" s="66" t="s">
        <v>43</v>
      </c>
      <c r="E25" s="66" t="s">
        <v>242</v>
      </c>
      <c r="F25" s="67" t="s">
        <v>133</v>
      </c>
      <c r="G25" s="68" t="s">
        <v>243</v>
      </c>
      <c r="H25" s="69" t="s">
        <v>244</v>
      </c>
      <c r="I25" s="69" t="s">
        <v>245</v>
      </c>
      <c r="J25" s="95" t="s">
        <v>349</v>
      </c>
      <c r="K25" s="69">
        <v>2159.8529427030576</v>
      </c>
      <c r="L25" s="69">
        <v>30237.941197842811</v>
      </c>
      <c r="M25" s="70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120">
        <f t="shared" si="0"/>
        <v>0</v>
      </c>
      <c r="AR25" s="120">
        <f t="shared" si="0"/>
        <v>0</v>
      </c>
      <c r="AS25" s="532">
        <f t="shared" si="0"/>
        <v>0</v>
      </c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120">
        <f t="shared" si="2"/>
        <v>0</v>
      </c>
      <c r="BY25" s="120">
        <f t="shared" si="2"/>
        <v>0</v>
      </c>
      <c r="BZ25" s="128">
        <f t="shared" si="2"/>
        <v>0</v>
      </c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71"/>
      <c r="DD25" s="71"/>
      <c r="DE25" s="122">
        <f t="shared" si="3"/>
        <v>0</v>
      </c>
      <c r="DF25" s="123">
        <f t="shared" si="4"/>
        <v>0</v>
      </c>
      <c r="DG25" s="124">
        <f t="shared" si="4"/>
        <v>0</v>
      </c>
      <c r="DH25" s="72">
        <f>ဆွေသဟာ!AE21</f>
        <v>0</v>
      </c>
      <c r="DI25" s="73">
        <f>ဆွေသဟာ!AF21</f>
        <v>0</v>
      </c>
      <c r="DJ25" s="125">
        <f>ဆွေသဟာ!AG21</f>
        <v>0</v>
      </c>
      <c r="DK25" s="74">
        <f t="shared" si="5"/>
        <v>0</v>
      </c>
      <c r="DL25" s="75">
        <f t="shared" si="6"/>
        <v>0.32258064516129031</v>
      </c>
      <c r="DM25" s="76">
        <f t="shared" si="1"/>
        <v>-0.32258064516129031</v>
      </c>
      <c r="DO25" s="55"/>
      <c r="DP25" s="79"/>
    </row>
    <row r="26" spans="1:122" ht="24.75" customHeight="1" x14ac:dyDescent="0.5">
      <c r="A26" s="63">
        <v>23</v>
      </c>
      <c r="B26" s="64" t="s">
        <v>21</v>
      </c>
      <c r="C26" s="65" t="s">
        <v>174</v>
      </c>
      <c r="D26" s="66" t="s">
        <v>20</v>
      </c>
      <c r="E26" s="66" t="s">
        <v>170</v>
      </c>
      <c r="F26" s="67" t="s">
        <v>133</v>
      </c>
      <c r="G26" s="68" t="s">
        <v>175</v>
      </c>
      <c r="H26" s="69" t="s">
        <v>176</v>
      </c>
      <c r="I26" s="69" t="s">
        <v>177</v>
      </c>
      <c r="J26" s="95" t="s">
        <v>349</v>
      </c>
      <c r="K26" s="69">
        <v>1500.0354379850342</v>
      </c>
      <c r="L26" s="69">
        <v>21000.496131790478</v>
      </c>
      <c r="M26" s="70">
        <v>35</v>
      </c>
      <c r="N26" s="68">
        <v>460</v>
      </c>
      <c r="O26" s="68">
        <v>359.20000000000005</v>
      </c>
      <c r="P26" s="68"/>
      <c r="Q26" s="68"/>
      <c r="R26" s="68"/>
      <c r="S26" s="68"/>
      <c r="T26" s="68"/>
      <c r="U26" s="68"/>
      <c r="V26" s="68"/>
      <c r="W26" s="68"/>
      <c r="X26" s="68"/>
      <c r="Y26" s="68">
        <v>100</v>
      </c>
      <c r="Z26" s="68">
        <v>1200</v>
      </c>
      <c r="AA26" s="68">
        <v>1200</v>
      </c>
      <c r="AB26" s="68"/>
      <c r="AC26" s="68"/>
      <c r="AD26" s="68"/>
      <c r="AE26" s="68"/>
      <c r="AF26" s="68"/>
      <c r="AG26" s="68"/>
      <c r="AH26" s="68"/>
      <c r="AI26" s="68"/>
      <c r="AJ26" s="68"/>
      <c r="AK26" s="68">
        <v>115</v>
      </c>
      <c r="AL26" s="68">
        <v>1580</v>
      </c>
      <c r="AM26" s="68">
        <v>1076</v>
      </c>
      <c r="AN26" s="68"/>
      <c r="AO26" s="68"/>
      <c r="AP26" s="68"/>
      <c r="AQ26" s="120">
        <f t="shared" si="0"/>
        <v>250</v>
      </c>
      <c r="AR26" s="120">
        <f t="shared" si="0"/>
        <v>3240</v>
      </c>
      <c r="AS26" s="532">
        <f t="shared" si="0"/>
        <v>2635.2</v>
      </c>
      <c r="AT26" s="68">
        <v>130</v>
      </c>
      <c r="AU26" s="68">
        <v>1560</v>
      </c>
      <c r="AV26" s="68">
        <v>1560</v>
      </c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120">
        <f t="shared" si="2"/>
        <v>380</v>
      </c>
      <c r="BY26" s="120">
        <f t="shared" si="2"/>
        <v>4800</v>
      </c>
      <c r="BZ26" s="128">
        <f t="shared" si="2"/>
        <v>4195.2</v>
      </c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71"/>
      <c r="DD26" s="71"/>
      <c r="DE26" s="122">
        <f t="shared" si="3"/>
        <v>380</v>
      </c>
      <c r="DF26" s="123">
        <f t="shared" si="4"/>
        <v>4800</v>
      </c>
      <c r="DG26" s="144">
        <f t="shared" si="4"/>
        <v>4195.2</v>
      </c>
      <c r="DH26" s="72">
        <f>ဦးအိရွှေ!AE21</f>
        <v>250</v>
      </c>
      <c r="DI26" s="73">
        <f>ဦးအိရွှေ!AF21</f>
        <v>3240</v>
      </c>
      <c r="DJ26" s="145">
        <f>ဦးအိရွှေ!AG21</f>
        <v>2635.2</v>
      </c>
      <c r="DK26" s="74">
        <f t="shared" si="5"/>
        <v>0.1542820693219385</v>
      </c>
      <c r="DL26" s="75">
        <f t="shared" si="6"/>
        <v>0.32258064516129031</v>
      </c>
      <c r="DM26" s="76">
        <f t="shared" si="1"/>
        <v>-0.16829857583935182</v>
      </c>
      <c r="DO26" s="55"/>
      <c r="DP26" s="57"/>
    </row>
    <row r="27" spans="1:122" ht="24.75" customHeight="1" x14ac:dyDescent="0.5">
      <c r="A27" s="63">
        <v>24</v>
      </c>
      <c r="B27" s="64" t="s">
        <v>17</v>
      </c>
      <c r="C27" s="65" t="s">
        <v>166</v>
      </c>
      <c r="D27" s="66" t="s">
        <v>18</v>
      </c>
      <c r="E27" s="66" t="s">
        <v>167</v>
      </c>
      <c r="F27" s="67" t="s">
        <v>133</v>
      </c>
      <c r="G27" s="68" t="s">
        <v>17</v>
      </c>
      <c r="H27" s="68" t="s">
        <v>166</v>
      </c>
      <c r="I27" s="69" t="s">
        <v>168</v>
      </c>
      <c r="J27" s="95" t="s">
        <v>349</v>
      </c>
      <c r="K27" s="69">
        <v>2018.1812391254286</v>
      </c>
      <c r="L27" s="69">
        <v>28254.537347756002</v>
      </c>
      <c r="M27" s="70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120">
        <f t="shared" si="0"/>
        <v>0</v>
      </c>
      <c r="AR27" s="120">
        <f t="shared" si="0"/>
        <v>0</v>
      </c>
      <c r="AS27" s="532">
        <f t="shared" si="0"/>
        <v>0</v>
      </c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120">
        <f t="shared" si="2"/>
        <v>0</v>
      </c>
      <c r="BY27" s="120">
        <f t="shared" si="2"/>
        <v>0</v>
      </c>
      <c r="BZ27" s="128">
        <f t="shared" si="2"/>
        <v>0</v>
      </c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71"/>
      <c r="DD27" s="71"/>
      <c r="DE27" s="122">
        <f t="shared" si="3"/>
        <v>0</v>
      </c>
      <c r="DF27" s="123">
        <f t="shared" si="4"/>
        <v>0</v>
      </c>
      <c r="DG27" s="124">
        <f t="shared" si="4"/>
        <v>0</v>
      </c>
      <c r="DH27" s="72">
        <f>ကိုရွှေသီး!AE19</f>
        <v>0</v>
      </c>
      <c r="DI27" s="73">
        <f>ကိုရွှေသီး!AF19</f>
        <v>0</v>
      </c>
      <c r="DJ27" s="125">
        <f>ကိုရွှေသီး!AG19</f>
        <v>0</v>
      </c>
      <c r="DK27" s="74">
        <f t="shared" si="5"/>
        <v>0</v>
      </c>
      <c r="DL27" s="75">
        <f t="shared" si="6"/>
        <v>0.32258064516129031</v>
      </c>
      <c r="DM27" s="76">
        <f t="shared" si="1"/>
        <v>-0.32258064516129031</v>
      </c>
      <c r="DO27" s="55"/>
      <c r="DP27" s="79"/>
    </row>
    <row r="28" spans="1:122" ht="24.75" customHeight="1" x14ac:dyDescent="0.5">
      <c r="A28" s="63">
        <v>25</v>
      </c>
      <c r="B28" s="64" t="s">
        <v>22</v>
      </c>
      <c r="C28" s="65" t="s">
        <v>178</v>
      </c>
      <c r="D28" s="66" t="s">
        <v>20</v>
      </c>
      <c r="E28" s="66" t="s">
        <v>170</v>
      </c>
      <c r="F28" s="67" t="s">
        <v>133</v>
      </c>
      <c r="G28" s="68" t="s">
        <v>179</v>
      </c>
      <c r="H28" s="69" t="s">
        <v>180</v>
      </c>
      <c r="I28" s="69" t="s">
        <v>181</v>
      </c>
      <c r="J28" s="95" t="s">
        <v>349</v>
      </c>
      <c r="K28" s="69">
        <v>1649.517382441509</v>
      </c>
      <c r="L28" s="69">
        <v>23093.24335418113</v>
      </c>
      <c r="M28" s="70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>
        <v>530</v>
      </c>
      <c r="Z28" s="68">
        <v>7320</v>
      </c>
      <c r="AA28" s="68">
        <v>5792</v>
      </c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120">
        <f t="shared" si="0"/>
        <v>530</v>
      </c>
      <c r="AR28" s="120">
        <f t="shared" si="0"/>
        <v>7320</v>
      </c>
      <c r="AS28" s="532">
        <f t="shared" si="0"/>
        <v>5792</v>
      </c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120">
        <f t="shared" si="2"/>
        <v>530</v>
      </c>
      <c r="BY28" s="120">
        <f t="shared" si="2"/>
        <v>7320</v>
      </c>
      <c r="BZ28" s="128">
        <f t="shared" si="2"/>
        <v>5792</v>
      </c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71"/>
      <c r="DD28" s="71"/>
      <c r="DE28" s="122">
        <f t="shared" si="3"/>
        <v>530</v>
      </c>
      <c r="DF28" s="123">
        <f t="shared" si="4"/>
        <v>7320</v>
      </c>
      <c r="DG28" s="124">
        <f t="shared" si="4"/>
        <v>5792</v>
      </c>
      <c r="DH28" s="72">
        <f>ပန်းသတင်း!AE19</f>
        <v>530</v>
      </c>
      <c r="DI28" s="73">
        <f>ပန်းသတင်း!AF19</f>
        <v>7320</v>
      </c>
      <c r="DJ28" s="145">
        <f>ပန်းသတင်း!AG19</f>
        <v>5792</v>
      </c>
      <c r="DK28" s="74">
        <f t="shared" si="5"/>
        <v>0.31697583088408771</v>
      </c>
      <c r="DL28" s="75">
        <f t="shared" si="6"/>
        <v>0.32258064516129031</v>
      </c>
      <c r="DM28" s="76">
        <f t="shared" si="1"/>
        <v>-5.6048142772026077E-3</v>
      </c>
      <c r="DO28" s="55"/>
      <c r="DP28" s="79"/>
    </row>
    <row r="29" spans="1:122" ht="24.75" customHeight="1" x14ac:dyDescent="0.5">
      <c r="A29" s="63">
        <v>26</v>
      </c>
      <c r="B29" s="64" t="s">
        <v>48</v>
      </c>
      <c r="C29" s="65" t="s">
        <v>259</v>
      </c>
      <c r="D29" s="66" t="s">
        <v>49</v>
      </c>
      <c r="E29" s="66" t="s">
        <v>260</v>
      </c>
      <c r="F29" s="67" t="s">
        <v>133</v>
      </c>
      <c r="G29" s="68" t="s">
        <v>261</v>
      </c>
      <c r="H29" s="69" t="s">
        <v>262</v>
      </c>
      <c r="I29" s="69" t="s">
        <v>263</v>
      </c>
      <c r="J29" s="95" t="s">
        <v>349</v>
      </c>
      <c r="K29" s="69">
        <v>1257</v>
      </c>
      <c r="L29" s="69">
        <v>17602.643392114558</v>
      </c>
      <c r="M29" s="70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>
        <v>500</v>
      </c>
      <c r="AC29" s="68">
        <v>7240</v>
      </c>
      <c r="AD29" s="68">
        <v>5338</v>
      </c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120">
        <f>M29+P29+S29+V29+Y29+AB29+AE29+AH29+AK29+AN29</f>
        <v>500</v>
      </c>
      <c r="AR29" s="120">
        <f>N29+Q29+T29+W29+Z29+AC29+AF29+AI29+AL29+AO29</f>
        <v>7240</v>
      </c>
      <c r="AS29" s="532">
        <f>O29+R29+U29+X29+AA29+AD29+AG29+AJ29+AM29+AP29</f>
        <v>5338</v>
      </c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120">
        <f>AQ29+AT29+AW29+AZ29+BC29+BF29+BI29+BL29+BO29+BR29+BU29</f>
        <v>500</v>
      </c>
      <c r="BY29" s="120">
        <f>AR29+AU29+AX29+BA29+BD29+BG29+BJ29+BM29+BP29+BS29+BV29</f>
        <v>7240</v>
      </c>
      <c r="BZ29" s="128">
        <f>AS29+AV29+AY29+BB29+BE29+BH29+BK29+BN29+BQ29+BT29+BW29</f>
        <v>5338</v>
      </c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71"/>
      <c r="DD29" s="71"/>
      <c r="DE29" s="122">
        <f>P29+S29+V29+Y29+AB29+AE29+AH29+AK29+AN29+AT29+AW29+AZ29+BC29+BF29+BI29+BL29+BO29+BR29+BU29+CA29+CD29+CG29+CJ29+CM29+CP29+CS29+CV29+CY29+DB29+M29</f>
        <v>500</v>
      </c>
      <c r="DF29" s="123">
        <f>AR29+AU29+AX29+BA29+BD29+BG29+BJ29+BM29+BP29+BS29+BV29+CB29+CE29+CH29+CK29+CN29+CQ29+CT29+CW29+CZ29+DC29</f>
        <v>7240</v>
      </c>
      <c r="DG29" s="124">
        <f>AS29+AV29+AY29+BB29+BE29+BH29+BK29+BN29+BQ29+BT29+BW29+CC29+CF29+CI29+CL29+CO29+CR29+CU29+CX29+DA29+DD29</f>
        <v>5338</v>
      </c>
      <c r="DH29" s="72">
        <f>'မချိုချိုလွင် '!AE21</f>
        <v>500</v>
      </c>
      <c r="DI29" s="73">
        <f>'မချိုချိုလွင် '!AF21</f>
        <v>7240</v>
      </c>
      <c r="DJ29" s="145">
        <f>'မချိုချိုလွင် '!AG21</f>
        <v>5338</v>
      </c>
      <c r="DK29" s="74">
        <f>DI29/L29</f>
        <v>0.4113018618126012</v>
      </c>
      <c r="DL29" s="75">
        <f t="shared" si="6"/>
        <v>0.32258064516129031</v>
      </c>
      <c r="DM29" s="76">
        <f>DK29-DL29</f>
        <v>8.8721216651310886E-2</v>
      </c>
      <c r="DO29" s="55"/>
      <c r="DP29" s="79"/>
    </row>
    <row r="30" spans="1:122" ht="24.75" customHeight="1" x14ac:dyDescent="0.5">
      <c r="A30" s="63">
        <v>27</v>
      </c>
      <c r="B30" s="64" t="s">
        <v>7</v>
      </c>
      <c r="C30" s="65" t="s">
        <v>137</v>
      </c>
      <c r="D30" s="66" t="s">
        <v>8</v>
      </c>
      <c r="E30" s="66" t="s">
        <v>138</v>
      </c>
      <c r="F30" s="67" t="s">
        <v>133</v>
      </c>
      <c r="G30" s="68" t="s">
        <v>139</v>
      </c>
      <c r="H30" s="69" t="s">
        <v>140</v>
      </c>
      <c r="I30" s="69" t="s">
        <v>141</v>
      </c>
      <c r="J30" s="95" t="s">
        <v>349</v>
      </c>
      <c r="K30" s="69">
        <v>1375.6753575846653</v>
      </c>
      <c r="L30" s="69">
        <v>19259.455006185319</v>
      </c>
      <c r="M30" s="70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>
        <v>230</v>
      </c>
      <c r="Z30" s="68">
        <v>3560</v>
      </c>
      <c r="AA30" s="68">
        <v>2339.1999999999998</v>
      </c>
      <c r="AB30" s="68"/>
      <c r="AC30" s="68"/>
      <c r="AD30" s="68"/>
      <c r="AE30" s="68"/>
      <c r="AF30" s="68"/>
      <c r="AG30" s="68"/>
      <c r="AH30" s="68">
        <v>30</v>
      </c>
      <c r="AI30" s="68">
        <v>420</v>
      </c>
      <c r="AJ30" s="116">
        <v>268.8</v>
      </c>
      <c r="AK30" s="68"/>
      <c r="AL30" s="68"/>
      <c r="AM30" s="68"/>
      <c r="AN30" s="68">
        <v>240</v>
      </c>
      <c r="AO30" s="68">
        <v>3640</v>
      </c>
      <c r="AP30" s="68">
        <v>2544</v>
      </c>
      <c r="AQ30" s="120">
        <f t="shared" si="0"/>
        <v>500</v>
      </c>
      <c r="AR30" s="120">
        <f t="shared" si="0"/>
        <v>7620</v>
      </c>
      <c r="AS30" s="532">
        <f t="shared" si="0"/>
        <v>5152</v>
      </c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120">
        <f t="shared" si="2"/>
        <v>500</v>
      </c>
      <c r="BY30" s="120">
        <f t="shared" si="2"/>
        <v>7620</v>
      </c>
      <c r="BZ30" s="128">
        <f t="shared" si="2"/>
        <v>5152</v>
      </c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71"/>
      <c r="DD30" s="71"/>
      <c r="DE30" s="122">
        <f t="shared" si="3"/>
        <v>500</v>
      </c>
      <c r="DF30" s="123">
        <f t="shared" si="4"/>
        <v>7620</v>
      </c>
      <c r="DG30" s="144">
        <f t="shared" si="4"/>
        <v>5152</v>
      </c>
      <c r="DH30" s="72">
        <f>တော်ဝင်!AG22</f>
        <v>500</v>
      </c>
      <c r="DI30" s="73">
        <f>တော်ဝင်!AH22</f>
        <v>7620</v>
      </c>
      <c r="DJ30" s="145">
        <f>တော်ဝင်!AI22</f>
        <v>5152</v>
      </c>
      <c r="DK30" s="74">
        <f t="shared" si="5"/>
        <v>0.39564982485500133</v>
      </c>
      <c r="DL30" s="75">
        <f t="shared" si="6"/>
        <v>0.32258064516129031</v>
      </c>
      <c r="DM30" s="76">
        <f t="shared" si="1"/>
        <v>7.3069179693711017E-2</v>
      </c>
      <c r="DO30" s="55"/>
      <c r="DP30" s="79"/>
    </row>
    <row r="31" spans="1:122" ht="24.75" customHeight="1" x14ac:dyDescent="0.5">
      <c r="A31" s="63">
        <v>28</v>
      </c>
      <c r="B31" s="64" t="s">
        <v>12</v>
      </c>
      <c r="C31" s="65" t="s">
        <v>151</v>
      </c>
      <c r="D31" s="66" t="s">
        <v>13</v>
      </c>
      <c r="E31" s="66" t="s">
        <v>152</v>
      </c>
      <c r="F31" s="67" t="s">
        <v>133</v>
      </c>
      <c r="G31" s="68" t="s">
        <v>153</v>
      </c>
      <c r="H31" s="69" t="s">
        <v>154</v>
      </c>
      <c r="I31" s="69" t="s">
        <v>155</v>
      </c>
      <c r="J31" s="95" t="s">
        <v>349</v>
      </c>
      <c r="K31" s="69">
        <v>1261.3903285860397</v>
      </c>
      <c r="L31" s="69">
        <v>17659.464600204559</v>
      </c>
      <c r="M31" s="70"/>
      <c r="N31" s="68"/>
      <c r="O31" s="68"/>
      <c r="P31" s="68"/>
      <c r="Q31" s="68"/>
      <c r="R31" s="68"/>
      <c r="S31" s="68"/>
      <c r="T31" s="68"/>
      <c r="U31" s="68"/>
      <c r="V31" s="68">
        <v>170</v>
      </c>
      <c r="W31" s="68">
        <v>2280</v>
      </c>
      <c r="X31" s="116">
        <v>1675.2</v>
      </c>
      <c r="Y31" s="68"/>
      <c r="Z31" s="68"/>
      <c r="AA31" s="68"/>
      <c r="AB31" s="68"/>
      <c r="AC31" s="68"/>
      <c r="AD31" s="68"/>
      <c r="AE31" s="68"/>
      <c r="AF31" s="68"/>
      <c r="AG31" s="68"/>
      <c r="AH31" s="68">
        <v>110</v>
      </c>
      <c r="AI31" s="68">
        <v>1840</v>
      </c>
      <c r="AJ31" s="116">
        <v>1177.6000000000001</v>
      </c>
      <c r="AK31" s="68"/>
      <c r="AL31" s="68"/>
      <c r="AM31" s="68"/>
      <c r="AN31" s="68"/>
      <c r="AO31" s="68"/>
      <c r="AP31" s="68"/>
      <c r="AQ31" s="120">
        <f t="shared" si="0"/>
        <v>280</v>
      </c>
      <c r="AR31" s="120">
        <f t="shared" si="0"/>
        <v>4120</v>
      </c>
      <c r="AS31" s="532">
        <f t="shared" si="0"/>
        <v>2852.8</v>
      </c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120">
        <f t="shared" si="2"/>
        <v>280</v>
      </c>
      <c r="BY31" s="120">
        <f t="shared" si="2"/>
        <v>4120</v>
      </c>
      <c r="BZ31" s="128">
        <f t="shared" si="2"/>
        <v>2852.8</v>
      </c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71"/>
      <c r="DD31" s="71"/>
      <c r="DE31" s="122">
        <f t="shared" si="3"/>
        <v>280</v>
      </c>
      <c r="DF31" s="123">
        <f t="shared" si="4"/>
        <v>4120</v>
      </c>
      <c r="DG31" s="144">
        <f t="shared" si="4"/>
        <v>2852.8</v>
      </c>
      <c r="DH31" s="72">
        <f>ဦးလှဖုန်း!AE19</f>
        <v>280</v>
      </c>
      <c r="DI31" s="73">
        <f>ဦးလှဖုန်း!AF19</f>
        <v>4120</v>
      </c>
      <c r="DJ31" s="145">
        <f>ဦးလှဖုန်း!AG19</f>
        <v>2852.8</v>
      </c>
      <c r="DK31" s="74">
        <f t="shared" si="5"/>
        <v>0.23330265629640187</v>
      </c>
      <c r="DL31" s="75">
        <f t="shared" si="6"/>
        <v>0.32258064516129031</v>
      </c>
      <c r="DM31" s="76">
        <f t="shared" si="1"/>
        <v>-8.9277988864888441E-2</v>
      </c>
      <c r="DO31" s="55"/>
      <c r="DP31" s="79"/>
    </row>
    <row r="32" spans="1:122" ht="24.75" customHeight="1" x14ac:dyDescent="0.5">
      <c r="A32" s="63">
        <v>29</v>
      </c>
      <c r="B32" s="64" t="s">
        <v>57</v>
      </c>
      <c r="C32" s="65" t="s">
        <v>283</v>
      </c>
      <c r="D32" s="66" t="s">
        <v>56</v>
      </c>
      <c r="E32" s="66" t="s">
        <v>279</v>
      </c>
      <c r="F32" s="67" t="s">
        <v>133</v>
      </c>
      <c r="G32" s="68" t="s">
        <v>284</v>
      </c>
      <c r="H32" s="69" t="s">
        <v>285</v>
      </c>
      <c r="I32" s="69" t="s">
        <v>286</v>
      </c>
      <c r="J32" s="95" t="s">
        <v>349</v>
      </c>
      <c r="K32" s="69">
        <v>1441.7633104687886</v>
      </c>
      <c r="L32" s="69">
        <v>20184.686346563041</v>
      </c>
      <c r="M32" s="70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120">
        <f t="shared" si="0"/>
        <v>0</v>
      </c>
      <c r="AR32" s="120">
        <f t="shared" si="0"/>
        <v>0</v>
      </c>
      <c r="AS32" s="532">
        <f t="shared" si="0"/>
        <v>0</v>
      </c>
      <c r="AT32" s="68">
        <v>525</v>
      </c>
      <c r="AU32" s="68">
        <v>7540</v>
      </c>
      <c r="AV32" s="68">
        <v>5974.8</v>
      </c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120">
        <f t="shared" si="2"/>
        <v>525</v>
      </c>
      <c r="BY32" s="120">
        <f t="shared" si="2"/>
        <v>7540</v>
      </c>
      <c r="BZ32" s="128">
        <f t="shared" si="2"/>
        <v>5974.8</v>
      </c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71"/>
      <c r="DD32" s="71"/>
      <c r="DE32" s="122">
        <f t="shared" si="3"/>
        <v>525</v>
      </c>
      <c r="DF32" s="123">
        <f t="shared" si="4"/>
        <v>7540</v>
      </c>
      <c r="DG32" s="124">
        <f t="shared" si="4"/>
        <v>5974.8</v>
      </c>
      <c r="DH32" s="72">
        <f>မသီတာ!AE19</f>
        <v>0</v>
      </c>
      <c r="DI32" s="73">
        <f>မသီတာ!AF19</f>
        <v>0</v>
      </c>
      <c r="DJ32" s="130">
        <f>မသီတာ!AG19</f>
        <v>0</v>
      </c>
      <c r="DK32" s="74">
        <f t="shared" si="5"/>
        <v>0</v>
      </c>
      <c r="DL32" s="75">
        <f t="shared" si="6"/>
        <v>0.32258064516129031</v>
      </c>
      <c r="DM32" s="76">
        <f t="shared" si="1"/>
        <v>-0.32258064516129031</v>
      </c>
      <c r="DO32" s="55"/>
      <c r="DP32" s="79"/>
    </row>
    <row r="33" spans="1:121" ht="24.75" customHeight="1" x14ac:dyDescent="0.5">
      <c r="A33" s="63">
        <v>30</v>
      </c>
      <c r="B33" s="64" t="s">
        <v>50</v>
      </c>
      <c r="C33" s="65" t="s">
        <v>264</v>
      </c>
      <c r="D33" s="66" t="s">
        <v>51</v>
      </c>
      <c r="E33" s="66" t="s">
        <v>265</v>
      </c>
      <c r="F33" s="67" t="s">
        <v>133</v>
      </c>
      <c r="G33" s="68" t="s">
        <v>266</v>
      </c>
      <c r="H33" s="69" t="s">
        <v>267</v>
      </c>
      <c r="I33" s="69" t="s">
        <v>268</v>
      </c>
      <c r="J33" s="95" t="s">
        <v>349</v>
      </c>
      <c r="K33" s="69">
        <v>1276.7202716881818</v>
      </c>
      <c r="L33" s="69">
        <v>17874.083803634541</v>
      </c>
      <c r="M33" s="70">
        <v>271</v>
      </c>
      <c r="N33" s="68">
        <v>3662</v>
      </c>
      <c r="O33" s="68">
        <v>3002.4</v>
      </c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>
        <v>290</v>
      </c>
      <c r="AL33" s="68">
        <v>4240</v>
      </c>
      <c r="AM33" s="68">
        <v>3144</v>
      </c>
      <c r="AN33" s="68"/>
      <c r="AO33" s="68"/>
      <c r="AP33" s="68"/>
      <c r="AQ33" s="120">
        <f t="shared" si="0"/>
        <v>561</v>
      </c>
      <c r="AR33" s="120">
        <f t="shared" si="0"/>
        <v>7902</v>
      </c>
      <c r="AS33" s="532">
        <f t="shared" si="0"/>
        <v>6146.4</v>
      </c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120">
        <f t="shared" si="2"/>
        <v>561</v>
      </c>
      <c r="BY33" s="120">
        <f t="shared" si="2"/>
        <v>7902</v>
      </c>
      <c r="BZ33" s="128">
        <f t="shared" si="2"/>
        <v>6146.4</v>
      </c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71"/>
      <c r="DD33" s="71"/>
      <c r="DE33" s="122">
        <f t="shared" si="3"/>
        <v>561</v>
      </c>
      <c r="DF33" s="123">
        <f t="shared" si="4"/>
        <v>7902</v>
      </c>
      <c r="DG33" s="144">
        <f t="shared" si="4"/>
        <v>6146.4</v>
      </c>
      <c r="DH33" s="72">
        <f>အနွယ်တော်!AE19</f>
        <v>561</v>
      </c>
      <c r="DI33" s="73">
        <f>အနွယ်တော်!AF19</f>
        <v>7902</v>
      </c>
      <c r="DJ33" s="145">
        <f>အနွယ်တော်!AG19</f>
        <v>6146.4</v>
      </c>
      <c r="DK33" s="74">
        <f t="shared" si="5"/>
        <v>0.44209258985309202</v>
      </c>
      <c r="DL33" s="75">
        <f t="shared" si="6"/>
        <v>0.32258064516129031</v>
      </c>
      <c r="DM33" s="76">
        <f t="shared" si="1"/>
        <v>0.11951194469180171</v>
      </c>
      <c r="DO33" s="55"/>
      <c r="DP33" s="79"/>
    </row>
    <row r="34" spans="1:121" ht="24.75" customHeight="1" x14ac:dyDescent="0.5">
      <c r="A34" s="63">
        <v>31</v>
      </c>
      <c r="B34" s="64" t="s">
        <v>25</v>
      </c>
      <c r="C34" s="65" t="s">
        <v>187</v>
      </c>
      <c r="D34" s="66" t="s">
        <v>24</v>
      </c>
      <c r="E34" s="66" t="s">
        <v>183</v>
      </c>
      <c r="F34" s="67" t="s">
        <v>133</v>
      </c>
      <c r="G34" s="68" t="s">
        <v>188</v>
      </c>
      <c r="H34" s="69" t="s">
        <v>189</v>
      </c>
      <c r="I34" s="69" t="s">
        <v>190</v>
      </c>
      <c r="J34" s="95" t="s">
        <v>349</v>
      </c>
      <c r="K34" s="69">
        <v>1119.7463750689819</v>
      </c>
      <c r="L34" s="69">
        <v>15676.449250965748</v>
      </c>
      <c r="M34" s="70"/>
      <c r="N34" s="68"/>
      <c r="O34" s="68"/>
      <c r="P34" s="68"/>
      <c r="Q34" s="68"/>
      <c r="R34" s="68"/>
      <c r="S34" s="68">
        <v>275</v>
      </c>
      <c r="T34" s="68">
        <v>3790</v>
      </c>
      <c r="U34" s="68">
        <v>2555.2000000000003</v>
      </c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120">
        <f t="shared" si="0"/>
        <v>275</v>
      </c>
      <c r="AR34" s="120">
        <f t="shared" si="0"/>
        <v>3790</v>
      </c>
      <c r="AS34" s="532">
        <f t="shared" si="0"/>
        <v>2555.2000000000003</v>
      </c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120">
        <f t="shared" si="2"/>
        <v>275</v>
      </c>
      <c r="BY34" s="120">
        <f t="shared" si="2"/>
        <v>3790</v>
      </c>
      <c r="BZ34" s="128">
        <f t="shared" si="2"/>
        <v>2555.2000000000003</v>
      </c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71"/>
      <c r="DD34" s="71"/>
      <c r="DE34" s="122">
        <f t="shared" si="3"/>
        <v>275</v>
      </c>
      <c r="DF34" s="123">
        <f t="shared" si="4"/>
        <v>3790</v>
      </c>
      <c r="DG34" s="144">
        <f t="shared" si="4"/>
        <v>2555.2000000000003</v>
      </c>
      <c r="DH34" s="72">
        <f>နေလ!AE19</f>
        <v>275</v>
      </c>
      <c r="DI34" s="73">
        <f>နေလ!AF19</f>
        <v>3790</v>
      </c>
      <c r="DJ34" s="145">
        <f>နေလ!AG19</f>
        <v>2555.2000000000003</v>
      </c>
      <c r="DK34" s="74">
        <f t="shared" si="5"/>
        <v>0.24176393131668619</v>
      </c>
      <c r="DL34" s="75">
        <f t="shared" si="6"/>
        <v>0.32258064516129031</v>
      </c>
      <c r="DM34" s="76">
        <f t="shared" si="1"/>
        <v>-8.0816713844604121E-2</v>
      </c>
      <c r="DO34" s="55"/>
      <c r="DP34" s="79"/>
    </row>
    <row r="35" spans="1:121" ht="24.75" customHeight="1" x14ac:dyDescent="0.5">
      <c r="A35" s="63">
        <v>32</v>
      </c>
      <c r="B35" s="64" t="s">
        <v>11</v>
      </c>
      <c r="C35" s="65" t="s">
        <v>147</v>
      </c>
      <c r="D35" s="66" t="s">
        <v>10</v>
      </c>
      <c r="E35" s="66" t="s">
        <v>143</v>
      </c>
      <c r="F35" s="67" t="s">
        <v>133</v>
      </c>
      <c r="G35" s="68" t="s">
        <v>148</v>
      </c>
      <c r="H35" s="69" t="s">
        <v>149</v>
      </c>
      <c r="I35" s="69" t="s">
        <v>150</v>
      </c>
      <c r="J35" s="95" t="s">
        <v>349</v>
      </c>
      <c r="K35" s="69">
        <v>1146.6246257779264</v>
      </c>
      <c r="L35" s="69">
        <v>16052.744760890972</v>
      </c>
      <c r="M35" s="70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>
        <v>300</v>
      </c>
      <c r="AC35" s="68">
        <v>4100</v>
      </c>
      <c r="AD35" s="68">
        <v>2660</v>
      </c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120">
        <f t="shared" si="0"/>
        <v>300</v>
      </c>
      <c r="AR35" s="120">
        <f t="shared" si="0"/>
        <v>4100</v>
      </c>
      <c r="AS35" s="532">
        <f t="shared" si="0"/>
        <v>2660</v>
      </c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120">
        <f t="shared" si="2"/>
        <v>300</v>
      </c>
      <c r="BY35" s="120">
        <f t="shared" si="2"/>
        <v>4100</v>
      </c>
      <c r="BZ35" s="128">
        <f t="shared" si="2"/>
        <v>2660</v>
      </c>
      <c r="CA35" s="68"/>
      <c r="CB35" s="68"/>
      <c r="CC35" s="68"/>
      <c r="CD35" s="68"/>
      <c r="CE35" s="68"/>
      <c r="CF35" s="68"/>
      <c r="CG35" s="85"/>
      <c r="CH35" s="85"/>
      <c r="CI35" s="85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71"/>
      <c r="DD35" s="71"/>
      <c r="DE35" s="122">
        <f t="shared" si="3"/>
        <v>300</v>
      </c>
      <c r="DF35" s="123">
        <f t="shared" si="4"/>
        <v>4100</v>
      </c>
      <c r="DG35" s="144">
        <f t="shared" si="4"/>
        <v>2660</v>
      </c>
      <c r="DH35" s="72">
        <f>မမွှေးမွှေး!AE19</f>
        <v>300</v>
      </c>
      <c r="DI35" s="73">
        <f>မမွှေးမွှေး!AF19</f>
        <v>4100</v>
      </c>
      <c r="DJ35" s="145">
        <f>မမွှေးမွှေး!AG19</f>
        <v>2660</v>
      </c>
      <c r="DK35" s="74">
        <f t="shared" si="5"/>
        <v>0.25540803526564254</v>
      </c>
      <c r="DL35" s="75">
        <f t="shared" si="6"/>
        <v>0.32258064516129031</v>
      </c>
      <c r="DM35" s="76">
        <f t="shared" si="1"/>
        <v>-6.7172609895647772E-2</v>
      </c>
      <c r="DO35" s="55"/>
      <c r="DP35" s="79"/>
    </row>
    <row r="36" spans="1:121" ht="24.75" customHeight="1" x14ac:dyDescent="0.5">
      <c r="A36" s="63">
        <v>33</v>
      </c>
      <c r="B36" s="64" t="s">
        <v>108</v>
      </c>
      <c r="C36" s="65" t="s">
        <v>297</v>
      </c>
      <c r="D36" s="65" t="s">
        <v>115</v>
      </c>
      <c r="E36" s="65" t="s">
        <v>242</v>
      </c>
      <c r="F36" s="65" t="s">
        <v>133</v>
      </c>
      <c r="G36" s="89"/>
      <c r="H36" s="89"/>
      <c r="I36" s="65"/>
      <c r="J36" s="95" t="s">
        <v>349</v>
      </c>
      <c r="K36" s="69">
        <v>1001.1709630335246</v>
      </c>
      <c r="L36" s="69">
        <v>14016.393482469344</v>
      </c>
      <c r="M36" s="90"/>
      <c r="N36" s="65"/>
      <c r="O36" s="65"/>
      <c r="P36" s="65"/>
      <c r="Q36" s="65"/>
      <c r="R36" s="65"/>
      <c r="S36" s="65">
        <v>155</v>
      </c>
      <c r="T36" s="65">
        <v>2100</v>
      </c>
      <c r="U36" s="65">
        <v>1718</v>
      </c>
      <c r="V36" s="65"/>
      <c r="W36" s="65"/>
      <c r="X36" s="65"/>
      <c r="Y36" s="65"/>
      <c r="Z36" s="65"/>
      <c r="AA36" s="65"/>
      <c r="AB36" s="65">
        <v>150</v>
      </c>
      <c r="AC36" s="65">
        <v>2100</v>
      </c>
      <c r="AD36" s="65">
        <v>1344</v>
      </c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120">
        <f t="shared" si="0"/>
        <v>305</v>
      </c>
      <c r="AR36" s="120">
        <f t="shared" si="0"/>
        <v>4200</v>
      </c>
      <c r="AS36" s="532">
        <f t="shared" si="0"/>
        <v>3062</v>
      </c>
      <c r="AT36" s="65">
        <v>200</v>
      </c>
      <c r="AU36" s="65">
        <v>2840</v>
      </c>
      <c r="AV36" s="65">
        <v>2176.8000000000002</v>
      </c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120">
        <f t="shared" si="2"/>
        <v>505</v>
      </c>
      <c r="BY36" s="120">
        <f t="shared" si="2"/>
        <v>7040</v>
      </c>
      <c r="BZ36" s="128">
        <f t="shared" si="2"/>
        <v>5238.8</v>
      </c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91"/>
      <c r="DD36" s="91"/>
      <c r="DE36" s="122">
        <f t="shared" si="3"/>
        <v>505</v>
      </c>
      <c r="DF36" s="123">
        <f t="shared" si="4"/>
        <v>7040</v>
      </c>
      <c r="DG36" s="144">
        <f t="shared" si="4"/>
        <v>5238.8</v>
      </c>
      <c r="DH36" s="72">
        <f>ဆင်မင်း!AE20</f>
        <v>305</v>
      </c>
      <c r="DI36" s="73">
        <f>ဆင်မင်း!AF20</f>
        <v>4200</v>
      </c>
      <c r="DJ36" s="145">
        <f>ဆင်မင်း!AG20</f>
        <v>3062</v>
      </c>
      <c r="DK36" s="74">
        <f t="shared" si="5"/>
        <v>0.29964912195516241</v>
      </c>
      <c r="DL36" s="75">
        <f t="shared" si="6"/>
        <v>0.32258064516129031</v>
      </c>
      <c r="DM36" s="76">
        <f t="shared" si="1"/>
        <v>-2.2931523206127902E-2</v>
      </c>
      <c r="DO36" s="55"/>
      <c r="DP36" s="79"/>
    </row>
    <row r="37" spans="1:121" ht="24.75" customHeight="1" x14ac:dyDescent="0.5">
      <c r="A37" s="63">
        <v>34</v>
      </c>
      <c r="B37" s="64" t="s">
        <v>109</v>
      </c>
      <c r="C37" s="65" t="s">
        <v>298</v>
      </c>
      <c r="D37" s="66" t="s">
        <v>38</v>
      </c>
      <c r="E37" s="66" t="s">
        <v>224</v>
      </c>
      <c r="F37" s="65" t="s">
        <v>133</v>
      </c>
      <c r="G37" s="65" t="s">
        <v>299</v>
      </c>
      <c r="H37" s="66" t="s">
        <v>300</v>
      </c>
      <c r="I37" s="66" t="s">
        <v>301</v>
      </c>
      <c r="J37" s="95" t="s">
        <v>349</v>
      </c>
      <c r="K37" s="69">
        <v>958.5730435896503</v>
      </c>
      <c r="L37" s="69">
        <v>13420.022610255104</v>
      </c>
      <c r="M37" s="90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120">
        <f t="shared" si="0"/>
        <v>0</v>
      </c>
      <c r="AR37" s="120">
        <f t="shared" si="0"/>
        <v>0</v>
      </c>
      <c r="AS37" s="532">
        <f t="shared" si="0"/>
        <v>0</v>
      </c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120">
        <f t="shared" si="2"/>
        <v>0</v>
      </c>
      <c r="BY37" s="120">
        <f t="shared" si="2"/>
        <v>0</v>
      </c>
      <c r="BZ37" s="128">
        <f t="shared" si="2"/>
        <v>0</v>
      </c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91"/>
      <c r="DD37" s="91"/>
      <c r="DE37" s="122">
        <f t="shared" si="3"/>
        <v>0</v>
      </c>
      <c r="DF37" s="123">
        <f t="shared" si="4"/>
        <v>0</v>
      </c>
      <c r="DG37" s="124">
        <f t="shared" si="4"/>
        <v>0</v>
      </c>
      <c r="DH37" s="72">
        <f>မာဟန်!AE19</f>
        <v>0</v>
      </c>
      <c r="DI37" s="73">
        <f>မာဟန်!AF19</f>
        <v>0</v>
      </c>
      <c r="DJ37" s="130">
        <f>မာဟန်!AG19</f>
        <v>0</v>
      </c>
      <c r="DK37" s="74">
        <f t="shared" si="5"/>
        <v>0</v>
      </c>
      <c r="DL37" s="75">
        <f t="shared" si="6"/>
        <v>0.32258064516129031</v>
      </c>
      <c r="DM37" s="76">
        <f t="shared" si="1"/>
        <v>-0.32258064516129031</v>
      </c>
      <c r="DO37" s="55"/>
      <c r="DP37" s="79"/>
    </row>
    <row r="38" spans="1:121" ht="24.75" customHeight="1" x14ac:dyDescent="0.5">
      <c r="A38" s="63">
        <v>35</v>
      </c>
      <c r="B38" s="64" t="s">
        <v>23</v>
      </c>
      <c r="C38" s="65" t="s">
        <v>182</v>
      </c>
      <c r="D38" s="66" t="s">
        <v>24</v>
      </c>
      <c r="E38" s="66" t="s">
        <v>183</v>
      </c>
      <c r="F38" s="67" t="s">
        <v>133</v>
      </c>
      <c r="G38" s="68" t="s">
        <v>184</v>
      </c>
      <c r="H38" s="69" t="s">
        <v>185</v>
      </c>
      <c r="I38" s="69" t="s">
        <v>186</v>
      </c>
      <c r="J38" s="95" t="s">
        <v>349</v>
      </c>
      <c r="K38" s="69">
        <v>1197.2334396540107</v>
      </c>
      <c r="L38" s="69">
        <v>16761.268155156151</v>
      </c>
      <c r="M38" s="70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>
        <v>205</v>
      </c>
      <c r="AC38" s="68">
        <v>2940</v>
      </c>
      <c r="AD38" s="68">
        <v>1953.2</v>
      </c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120">
        <f t="shared" si="0"/>
        <v>205</v>
      </c>
      <c r="AR38" s="120">
        <f t="shared" si="0"/>
        <v>2940</v>
      </c>
      <c r="AS38" s="532">
        <f t="shared" si="0"/>
        <v>1953.2</v>
      </c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120">
        <f t="shared" si="2"/>
        <v>205</v>
      </c>
      <c r="BY38" s="120">
        <f t="shared" si="2"/>
        <v>2940</v>
      </c>
      <c r="BZ38" s="128">
        <f t="shared" si="2"/>
        <v>1953.2</v>
      </c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71"/>
      <c r="DD38" s="71"/>
      <c r="DE38" s="122">
        <f t="shared" si="3"/>
        <v>205</v>
      </c>
      <c r="DF38" s="123">
        <f t="shared" si="4"/>
        <v>2940</v>
      </c>
      <c r="DG38" s="144">
        <f t="shared" si="4"/>
        <v>1953.2</v>
      </c>
      <c r="DH38" s="72">
        <f>ကောင်းမွန်!AE19</f>
        <v>205</v>
      </c>
      <c r="DI38" s="73">
        <f>ကောင်းမွန်!AF19</f>
        <v>2940</v>
      </c>
      <c r="DJ38" s="145">
        <f>ကောင်းမွန်!AG19</f>
        <v>1953.2</v>
      </c>
      <c r="DK38" s="74">
        <f t="shared" si="5"/>
        <v>0.17540438902265212</v>
      </c>
      <c r="DL38" s="75">
        <f t="shared" si="6"/>
        <v>0.32258064516129031</v>
      </c>
      <c r="DM38" s="76">
        <f t="shared" si="1"/>
        <v>-0.14717625613863819</v>
      </c>
      <c r="DO38" s="55"/>
      <c r="DP38" s="79"/>
    </row>
    <row r="39" spans="1:121" ht="24.75" customHeight="1" x14ac:dyDescent="0.5">
      <c r="A39" s="63">
        <v>36</v>
      </c>
      <c r="B39" s="64" t="s">
        <v>106</v>
      </c>
      <c r="C39" s="68" t="s">
        <v>287</v>
      </c>
      <c r="D39" s="69" t="s">
        <v>113</v>
      </c>
      <c r="E39" s="68" t="s">
        <v>288</v>
      </c>
      <c r="F39" s="68" t="s">
        <v>133</v>
      </c>
      <c r="G39" s="68" t="s">
        <v>289</v>
      </c>
      <c r="H39" s="68" t="s">
        <v>290</v>
      </c>
      <c r="I39" s="68" t="s">
        <v>291</v>
      </c>
      <c r="J39" s="95" t="s">
        <v>349</v>
      </c>
      <c r="K39" s="69">
        <v>971.49840691769066</v>
      </c>
      <c r="L39" s="69">
        <v>13600.977696847667</v>
      </c>
      <c r="M39" s="70"/>
      <c r="N39" s="68"/>
      <c r="O39" s="68"/>
      <c r="P39" s="68"/>
      <c r="Q39" s="68"/>
      <c r="R39" s="68"/>
      <c r="S39" s="68">
        <v>45</v>
      </c>
      <c r="T39" s="68">
        <v>540</v>
      </c>
      <c r="U39" s="68">
        <v>540</v>
      </c>
      <c r="V39" s="68"/>
      <c r="W39" s="68"/>
      <c r="X39" s="68"/>
      <c r="Y39" s="68"/>
      <c r="Z39" s="68"/>
      <c r="AA39" s="116"/>
      <c r="AB39" s="116">
        <v>240</v>
      </c>
      <c r="AC39" s="116">
        <v>3560</v>
      </c>
      <c r="AD39" s="116">
        <v>2641.6</v>
      </c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120">
        <f t="shared" si="0"/>
        <v>285</v>
      </c>
      <c r="AR39" s="120">
        <f t="shared" si="0"/>
        <v>4100</v>
      </c>
      <c r="AS39" s="532">
        <f t="shared" si="0"/>
        <v>3181.6</v>
      </c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120">
        <f t="shared" si="2"/>
        <v>285</v>
      </c>
      <c r="BY39" s="120">
        <f t="shared" si="2"/>
        <v>4100</v>
      </c>
      <c r="BZ39" s="128">
        <f t="shared" si="2"/>
        <v>3181.6</v>
      </c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71"/>
      <c r="DD39" s="71"/>
      <c r="DE39" s="122">
        <f t="shared" si="3"/>
        <v>285</v>
      </c>
      <c r="DF39" s="123">
        <f t="shared" si="4"/>
        <v>4100</v>
      </c>
      <c r="DG39" s="144">
        <f t="shared" si="4"/>
        <v>3181.6</v>
      </c>
      <c r="DH39" s="72">
        <f>သုခအောင်!AE19</f>
        <v>285</v>
      </c>
      <c r="DI39" s="73">
        <f>သုခအောင်!AF19</f>
        <v>4100</v>
      </c>
      <c r="DJ39" s="145">
        <f>သုခအောင်!AG19</f>
        <v>3181.6</v>
      </c>
      <c r="DK39" s="74">
        <f t="shared" si="5"/>
        <v>0.3014489172311684</v>
      </c>
      <c r="DL39" s="75">
        <f t="shared" si="6"/>
        <v>0.32258064516129031</v>
      </c>
      <c r="DM39" s="76">
        <f t="shared" si="1"/>
        <v>-2.1131727930121913E-2</v>
      </c>
      <c r="DO39" s="56"/>
      <c r="DP39" s="79"/>
    </row>
    <row r="40" spans="1:121" ht="24.75" customHeight="1" x14ac:dyDescent="0.5">
      <c r="A40" s="63">
        <v>37</v>
      </c>
      <c r="B40" s="64" t="s">
        <v>107</v>
      </c>
      <c r="C40" s="68" t="s">
        <v>292</v>
      </c>
      <c r="D40" s="69" t="s">
        <v>114</v>
      </c>
      <c r="E40" s="69" t="s">
        <v>293</v>
      </c>
      <c r="F40" s="68" t="s">
        <v>133</v>
      </c>
      <c r="G40" s="68" t="s">
        <v>294</v>
      </c>
      <c r="H40" s="69" t="s">
        <v>295</v>
      </c>
      <c r="I40" s="69" t="s">
        <v>296</v>
      </c>
      <c r="J40" s="95" t="s">
        <v>349</v>
      </c>
      <c r="K40" s="69">
        <v>1083.6055557376319</v>
      </c>
      <c r="L40" s="69">
        <v>15170.477780326844</v>
      </c>
      <c r="M40" s="70"/>
      <c r="N40" s="68"/>
      <c r="O40" s="68"/>
      <c r="P40" s="68"/>
      <c r="Q40" s="68"/>
      <c r="R40" s="68"/>
      <c r="S40" s="68">
        <v>40</v>
      </c>
      <c r="T40" s="68">
        <v>500</v>
      </c>
      <c r="U40" s="116">
        <v>449.6</v>
      </c>
      <c r="V40" s="68"/>
      <c r="W40" s="68"/>
      <c r="X40" s="68"/>
      <c r="Y40" s="68">
        <v>95</v>
      </c>
      <c r="Z40" s="68">
        <v>1480</v>
      </c>
      <c r="AA40" s="116">
        <v>954.8</v>
      </c>
      <c r="AB40" s="68"/>
      <c r="AC40" s="68"/>
      <c r="AD40" s="68"/>
      <c r="AE40" s="68"/>
      <c r="AF40" s="68"/>
      <c r="AG40" s="68"/>
      <c r="AH40" s="68">
        <v>45</v>
      </c>
      <c r="AI40" s="68">
        <v>540</v>
      </c>
      <c r="AJ40" s="68">
        <v>540</v>
      </c>
      <c r="AK40" s="68">
        <v>40</v>
      </c>
      <c r="AL40" s="68">
        <v>760</v>
      </c>
      <c r="AM40" s="68">
        <v>500</v>
      </c>
      <c r="AN40" s="68"/>
      <c r="AO40" s="68"/>
      <c r="AP40" s="68"/>
      <c r="AQ40" s="120">
        <f t="shared" si="0"/>
        <v>220</v>
      </c>
      <c r="AR40" s="120">
        <f t="shared" si="0"/>
        <v>3280</v>
      </c>
      <c r="AS40" s="532">
        <f t="shared" si="0"/>
        <v>2444.4</v>
      </c>
      <c r="AT40" s="68">
        <v>40</v>
      </c>
      <c r="AU40" s="68">
        <v>500</v>
      </c>
      <c r="AV40" s="68">
        <v>449.6</v>
      </c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120">
        <f t="shared" si="2"/>
        <v>260</v>
      </c>
      <c r="BY40" s="120">
        <f t="shared" si="2"/>
        <v>3780</v>
      </c>
      <c r="BZ40" s="128">
        <f t="shared" si="2"/>
        <v>2894</v>
      </c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71"/>
      <c r="DD40" s="71"/>
      <c r="DE40" s="122">
        <f t="shared" si="3"/>
        <v>260</v>
      </c>
      <c r="DF40" s="123">
        <f t="shared" si="4"/>
        <v>3780</v>
      </c>
      <c r="DG40" s="144">
        <f t="shared" si="4"/>
        <v>2894</v>
      </c>
      <c r="DH40" s="72">
        <f>လမင်းသာ!AE24</f>
        <v>220</v>
      </c>
      <c r="DI40" s="73">
        <f>လမင်းသာ!AF24</f>
        <v>3280</v>
      </c>
      <c r="DJ40" s="145">
        <f>လမင်းသာ!AG24</f>
        <v>2444.4</v>
      </c>
      <c r="DK40" s="74">
        <f t="shared" si="5"/>
        <v>0.21620940668417979</v>
      </c>
      <c r="DL40" s="75">
        <f t="shared" si="6"/>
        <v>0.32258064516129031</v>
      </c>
      <c r="DM40" s="76">
        <f t="shared" si="1"/>
        <v>-0.10637123847711052</v>
      </c>
      <c r="DO40" s="55"/>
      <c r="DP40" s="79"/>
    </row>
    <row r="41" spans="1:121" ht="24.75" customHeight="1" x14ac:dyDescent="0.5">
      <c r="A41" s="63">
        <v>38</v>
      </c>
      <c r="B41" s="64" t="s">
        <v>111</v>
      </c>
      <c r="C41" s="65" t="s">
        <v>307</v>
      </c>
      <c r="D41" s="65" t="s">
        <v>117</v>
      </c>
      <c r="E41" s="65" t="s">
        <v>308</v>
      </c>
      <c r="F41" s="65" t="s">
        <v>133</v>
      </c>
      <c r="G41" s="65" t="s">
        <v>309</v>
      </c>
      <c r="H41" s="65" t="s">
        <v>310</v>
      </c>
      <c r="I41" s="65" t="s">
        <v>311</v>
      </c>
      <c r="J41" s="95" t="s">
        <v>349</v>
      </c>
      <c r="K41" s="69">
        <v>920.83389686849239</v>
      </c>
      <c r="L41" s="69">
        <v>12891.67455615889</v>
      </c>
      <c r="M41" s="90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120">
        <f t="shared" si="0"/>
        <v>0</v>
      </c>
      <c r="AR41" s="120">
        <f t="shared" si="0"/>
        <v>0</v>
      </c>
      <c r="AS41" s="532">
        <f t="shared" si="0"/>
        <v>0</v>
      </c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120">
        <f t="shared" si="2"/>
        <v>0</v>
      </c>
      <c r="BY41" s="120">
        <f t="shared" si="2"/>
        <v>0</v>
      </c>
      <c r="BZ41" s="128">
        <f t="shared" si="2"/>
        <v>0</v>
      </c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91"/>
      <c r="DD41" s="91"/>
      <c r="DE41" s="122">
        <f t="shared" si="3"/>
        <v>0</v>
      </c>
      <c r="DF41" s="123">
        <f t="shared" si="4"/>
        <v>0</v>
      </c>
      <c r="DG41" s="124">
        <f t="shared" si="4"/>
        <v>0</v>
      </c>
      <c r="DH41" s="72">
        <f>ဂျက်ကြီး!AE19</f>
        <v>0</v>
      </c>
      <c r="DI41" s="73">
        <f>ဂျက်ကြီး!AF19</f>
        <v>0</v>
      </c>
      <c r="DJ41" s="125">
        <f>ဂျက်ကြီး!AG19</f>
        <v>0</v>
      </c>
      <c r="DK41" s="74">
        <f t="shared" si="5"/>
        <v>0</v>
      </c>
      <c r="DL41" s="75">
        <f t="shared" si="6"/>
        <v>0.32258064516129031</v>
      </c>
      <c r="DM41" s="76">
        <f t="shared" si="1"/>
        <v>-0.32258064516129031</v>
      </c>
      <c r="DO41" s="55"/>
      <c r="DP41" s="79"/>
    </row>
    <row r="42" spans="1:121" ht="24.75" customHeight="1" x14ac:dyDescent="0.5">
      <c r="A42" s="63">
        <v>39</v>
      </c>
      <c r="B42" s="64" t="s">
        <v>112</v>
      </c>
      <c r="C42" s="65" t="s">
        <v>312</v>
      </c>
      <c r="D42" s="66" t="s">
        <v>118</v>
      </c>
      <c r="E42" s="65" t="s">
        <v>206</v>
      </c>
      <c r="F42" s="65" t="s">
        <v>133</v>
      </c>
      <c r="G42" s="65"/>
      <c r="H42" s="65"/>
      <c r="I42" s="65"/>
      <c r="J42" s="95" t="s">
        <v>349</v>
      </c>
      <c r="K42" s="69">
        <v>437.38738511413203</v>
      </c>
      <c r="L42" s="69">
        <v>6123.4233915978502</v>
      </c>
      <c r="M42" s="90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120">
        <f t="shared" si="0"/>
        <v>0</v>
      </c>
      <c r="AR42" s="120">
        <f t="shared" si="0"/>
        <v>0</v>
      </c>
      <c r="AS42" s="532">
        <f t="shared" si="0"/>
        <v>0</v>
      </c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120">
        <f t="shared" si="2"/>
        <v>0</v>
      </c>
      <c r="BY42" s="120">
        <f t="shared" si="2"/>
        <v>0</v>
      </c>
      <c r="BZ42" s="128">
        <f t="shared" si="2"/>
        <v>0</v>
      </c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91"/>
      <c r="DD42" s="91"/>
      <c r="DE42" s="122">
        <f t="shared" si="3"/>
        <v>0</v>
      </c>
      <c r="DF42" s="123">
        <f t="shared" si="4"/>
        <v>0</v>
      </c>
      <c r="DG42" s="124">
        <f t="shared" si="4"/>
        <v>0</v>
      </c>
      <c r="DH42" s="72">
        <f>မိုးမြင့်ထက်!AE19</f>
        <v>0</v>
      </c>
      <c r="DI42" s="73">
        <f>မိုးမြင့်ထက်!AF19</f>
        <v>0</v>
      </c>
      <c r="DJ42" s="125">
        <f>မိုးမြင့်ထက်!AG19</f>
        <v>0</v>
      </c>
      <c r="DK42" s="74">
        <f t="shared" si="5"/>
        <v>0</v>
      </c>
      <c r="DL42" s="75">
        <f t="shared" si="6"/>
        <v>0.32258064516129031</v>
      </c>
      <c r="DM42" s="76">
        <f t="shared" si="1"/>
        <v>-0.32258064516129031</v>
      </c>
      <c r="DO42" s="56"/>
      <c r="DP42" s="79"/>
    </row>
    <row r="43" spans="1:121" ht="24.75" customHeight="1" x14ac:dyDescent="0.5">
      <c r="A43" s="63">
        <v>40</v>
      </c>
      <c r="B43" s="64" t="s">
        <v>9</v>
      </c>
      <c r="C43" s="65" t="s">
        <v>142</v>
      </c>
      <c r="D43" s="66" t="s">
        <v>10</v>
      </c>
      <c r="E43" s="66" t="s">
        <v>143</v>
      </c>
      <c r="F43" s="67" t="s">
        <v>133</v>
      </c>
      <c r="G43" s="68" t="s">
        <v>144</v>
      </c>
      <c r="H43" s="69" t="s">
        <v>145</v>
      </c>
      <c r="I43" s="69" t="s">
        <v>146</v>
      </c>
      <c r="J43" s="95" t="s">
        <v>349</v>
      </c>
      <c r="K43" s="69">
        <v>966.65541062165119</v>
      </c>
      <c r="L43" s="69">
        <v>13533.175748703115</v>
      </c>
      <c r="M43" s="70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120">
        <f t="shared" si="0"/>
        <v>0</v>
      </c>
      <c r="AR43" s="120">
        <f t="shared" si="0"/>
        <v>0</v>
      </c>
      <c r="AS43" s="532">
        <f t="shared" si="0"/>
        <v>0</v>
      </c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120">
        <f t="shared" si="2"/>
        <v>0</v>
      </c>
      <c r="BY43" s="120">
        <f t="shared" si="2"/>
        <v>0</v>
      </c>
      <c r="BZ43" s="128">
        <f t="shared" si="2"/>
        <v>0</v>
      </c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71"/>
      <c r="DD43" s="71"/>
      <c r="DE43" s="122">
        <f t="shared" si="3"/>
        <v>0</v>
      </c>
      <c r="DF43" s="123">
        <f t="shared" si="4"/>
        <v>0</v>
      </c>
      <c r="DG43" s="124">
        <f t="shared" si="4"/>
        <v>0</v>
      </c>
      <c r="DH43" s="72">
        <f>'အောင်ချမ်းသာ '!AE19</f>
        <v>0</v>
      </c>
      <c r="DI43" s="73">
        <f>'အောင်ချမ်းသာ '!AF19</f>
        <v>0</v>
      </c>
      <c r="DJ43" s="125">
        <f>'အောင်ချမ်းသာ '!AG19</f>
        <v>0</v>
      </c>
      <c r="DK43" s="74">
        <f t="shared" si="5"/>
        <v>0</v>
      </c>
      <c r="DL43" s="75">
        <f t="shared" si="6"/>
        <v>0.32258064516129031</v>
      </c>
      <c r="DM43" s="76">
        <f t="shared" si="1"/>
        <v>-0.32258064516129031</v>
      </c>
      <c r="DO43" s="55"/>
      <c r="DP43" s="79"/>
    </row>
    <row r="44" spans="1:121" ht="24.75" customHeight="1" x14ac:dyDescent="0.5">
      <c r="A44" s="63">
        <v>41</v>
      </c>
      <c r="B44" s="64" t="s">
        <v>110</v>
      </c>
      <c r="C44" s="65" t="s">
        <v>302</v>
      </c>
      <c r="D44" s="65" t="s">
        <v>116</v>
      </c>
      <c r="E44" s="65" t="s">
        <v>303</v>
      </c>
      <c r="F44" s="65" t="s">
        <v>133</v>
      </c>
      <c r="G44" s="65" t="s">
        <v>304</v>
      </c>
      <c r="H44" s="65" t="s">
        <v>305</v>
      </c>
      <c r="I44" s="65" t="s">
        <v>306</v>
      </c>
      <c r="J44" s="95" t="s">
        <v>349</v>
      </c>
      <c r="K44" s="69">
        <v>811.79470399830132</v>
      </c>
      <c r="L44" s="69">
        <v>11365.125855976219</v>
      </c>
      <c r="M44" s="90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>
        <v>470</v>
      </c>
      <c r="AI44" s="65">
        <v>5780</v>
      </c>
      <c r="AJ44" s="142">
        <v>5427.2</v>
      </c>
      <c r="AK44" s="65"/>
      <c r="AL44" s="65"/>
      <c r="AM44" s="65"/>
      <c r="AN44" s="65"/>
      <c r="AO44" s="65"/>
      <c r="AP44" s="65"/>
      <c r="AQ44" s="120">
        <f t="shared" si="0"/>
        <v>470</v>
      </c>
      <c r="AR44" s="120">
        <f t="shared" si="0"/>
        <v>5780</v>
      </c>
      <c r="AS44" s="532">
        <f t="shared" si="0"/>
        <v>5427.2</v>
      </c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120">
        <f t="shared" si="2"/>
        <v>470</v>
      </c>
      <c r="BY44" s="120">
        <f t="shared" si="2"/>
        <v>5780</v>
      </c>
      <c r="BZ44" s="128">
        <f t="shared" si="2"/>
        <v>5427.2</v>
      </c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91"/>
      <c r="DD44" s="91"/>
      <c r="DE44" s="122">
        <f t="shared" si="3"/>
        <v>470</v>
      </c>
      <c r="DF44" s="123">
        <f t="shared" si="4"/>
        <v>5780</v>
      </c>
      <c r="DG44" s="144">
        <f t="shared" si="4"/>
        <v>5427.2</v>
      </c>
      <c r="DH44" s="72">
        <f>အောင်ပြည့်စုံ!AE19</f>
        <v>470</v>
      </c>
      <c r="DI44" s="73">
        <f>အောင်ပြည့်စုံ!AF19</f>
        <v>5780</v>
      </c>
      <c r="DJ44" s="145">
        <f>အောင်ပြည့်စုံ!AG19</f>
        <v>5427.2</v>
      </c>
      <c r="DK44" s="74">
        <f t="shared" si="5"/>
        <v>0.50857333858389742</v>
      </c>
      <c r="DL44" s="75">
        <f t="shared" si="6"/>
        <v>0.32258064516129031</v>
      </c>
      <c r="DM44" s="76">
        <f t="shared" si="1"/>
        <v>0.1859926934226071</v>
      </c>
      <c r="DO44" s="55"/>
      <c r="DP44" s="79"/>
    </row>
    <row r="45" spans="1:121" ht="24.75" customHeight="1" thickBot="1" x14ac:dyDescent="0.55000000000000004">
      <c r="A45" s="98"/>
      <c r="B45" s="716" t="s">
        <v>105</v>
      </c>
      <c r="C45" s="717"/>
      <c r="D45" s="718"/>
      <c r="E45" s="96"/>
      <c r="F45" s="96"/>
      <c r="G45" s="96"/>
      <c r="H45" s="96"/>
      <c r="I45" s="96"/>
      <c r="J45" s="99"/>
      <c r="K45" s="100">
        <f t="shared" ref="K45:AP45" si="7">SUM(K4:K44)</f>
        <v>151649.83975770616</v>
      </c>
      <c r="L45" s="100">
        <f t="shared" si="7"/>
        <v>2123102.4</v>
      </c>
      <c r="M45" s="97">
        <f t="shared" si="7"/>
        <v>3376</v>
      </c>
      <c r="N45" s="97">
        <f t="shared" si="7"/>
        <v>47672</v>
      </c>
      <c r="O45" s="97">
        <f t="shared" si="7"/>
        <v>37258.799999999996</v>
      </c>
      <c r="P45" s="97">
        <f t="shared" si="7"/>
        <v>0</v>
      </c>
      <c r="Q45" s="97">
        <f t="shared" si="7"/>
        <v>0</v>
      </c>
      <c r="R45" s="97">
        <f t="shared" si="7"/>
        <v>0</v>
      </c>
      <c r="S45" s="97">
        <f t="shared" si="7"/>
        <v>3823</v>
      </c>
      <c r="T45" s="97">
        <f t="shared" si="7"/>
        <v>53466</v>
      </c>
      <c r="U45" s="97">
        <f t="shared" si="7"/>
        <v>39600.799999999996</v>
      </c>
      <c r="V45" s="97">
        <f t="shared" si="7"/>
        <v>1745</v>
      </c>
      <c r="W45" s="97">
        <f t="shared" si="7"/>
        <v>24890</v>
      </c>
      <c r="X45" s="97">
        <f t="shared" si="7"/>
        <v>17774</v>
      </c>
      <c r="Y45" s="97">
        <f t="shared" si="7"/>
        <v>5895</v>
      </c>
      <c r="Z45" s="97">
        <f t="shared" si="7"/>
        <v>86000</v>
      </c>
      <c r="AA45" s="97">
        <f t="shared" si="7"/>
        <v>61505.599999999999</v>
      </c>
      <c r="AB45" s="97">
        <f t="shared" si="7"/>
        <v>4453</v>
      </c>
      <c r="AC45" s="97">
        <f t="shared" si="7"/>
        <v>63836</v>
      </c>
      <c r="AD45" s="97">
        <f t="shared" si="7"/>
        <v>47044</v>
      </c>
      <c r="AE45" s="97">
        <f t="shared" si="7"/>
        <v>0</v>
      </c>
      <c r="AF45" s="97">
        <f t="shared" si="7"/>
        <v>0</v>
      </c>
      <c r="AG45" s="97">
        <f t="shared" si="7"/>
        <v>0</v>
      </c>
      <c r="AH45" s="97">
        <f t="shared" si="7"/>
        <v>4013</v>
      </c>
      <c r="AI45" s="97">
        <f t="shared" si="7"/>
        <v>59696</v>
      </c>
      <c r="AJ45" s="97">
        <f t="shared" si="7"/>
        <v>45445.840000000004</v>
      </c>
      <c r="AK45" s="97">
        <f t="shared" si="7"/>
        <v>1985</v>
      </c>
      <c r="AL45" s="97">
        <f t="shared" si="7"/>
        <v>30880</v>
      </c>
      <c r="AM45" s="97">
        <f t="shared" si="7"/>
        <v>21100.800000000003</v>
      </c>
      <c r="AN45" s="97">
        <f t="shared" si="7"/>
        <v>3582</v>
      </c>
      <c r="AO45" s="97">
        <f t="shared" si="7"/>
        <v>51674</v>
      </c>
      <c r="AP45" s="97">
        <f t="shared" si="7"/>
        <v>39911.599999999999</v>
      </c>
      <c r="AQ45" s="121">
        <f t="shared" ref="AQ45:BV45" si="8">SUM(AQ4:AQ44)</f>
        <v>28872</v>
      </c>
      <c r="AR45" s="121">
        <f t="shared" si="8"/>
        <v>418114</v>
      </c>
      <c r="AS45" s="533">
        <f t="shared" si="8"/>
        <v>309641.44</v>
      </c>
      <c r="AT45" s="97">
        <f t="shared" si="8"/>
        <v>6915</v>
      </c>
      <c r="AU45" s="97">
        <f t="shared" si="8"/>
        <v>99110</v>
      </c>
      <c r="AV45" s="97">
        <f t="shared" si="8"/>
        <v>74416.800000000017</v>
      </c>
      <c r="AW45" s="97">
        <f t="shared" si="8"/>
        <v>0</v>
      </c>
      <c r="AX45" s="97">
        <f t="shared" si="8"/>
        <v>0</v>
      </c>
      <c r="AY45" s="97">
        <f t="shared" si="8"/>
        <v>0</v>
      </c>
      <c r="AZ45" s="97">
        <f t="shared" si="8"/>
        <v>0</v>
      </c>
      <c r="BA45" s="97">
        <f t="shared" si="8"/>
        <v>0</v>
      </c>
      <c r="BB45" s="97">
        <f t="shared" si="8"/>
        <v>0</v>
      </c>
      <c r="BC45" s="97">
        <f t="shared" si="8"/>
        <v>0</v>
      </c>
      <c r="BD45" s="97">
        <f t="shared" si="8"/>
        <v>0</v>
      </c>
      <c r="BE45" s="97">
        <f t="shared" si="8"/>
        <v>0</v>
      </c>
      <c r="BF45" s="97">
        <f t="shared" si="8"/>
        <v>0</v>
      </c>
      <c r="BG45" s="97">
        <f t="shared" si="8"/>
        <v>0</v>
      </c>
      <c r="BH45" s="97">
        <f t="shared" si="8"/>
        <v>0</v>
      </c>
      <c r="BI45" s="97">
        <f t="shared" si="8"/>
        <v>0</v>
      </c>
      <c r="BJ45" s="97">
        <f t="shared" si="8"/>
        <v>0</v>
      </c>
      <c r="BK45" s="97">
        <f t="shared" si="8"/>
        <v>0</v>
      </c>
      <c r="BL45" s="97">
        <f t="shared" si="8"/>
        <v>0</v>
      </c>
      <c r="BM45" s="97">
        <f t="shared" si="8"/>
        <v>0</v>
      </c>
      <c r="BN45" s="97">
        <f t="shared" si="8"/>
        <v>0</v>
      </c>
      <c r="BO45" s="97">
        <f t="shared" si="8"/>
        <v>0</v>
      </c>
      <c r="BP45" s="97">
        <f t="shared" si="8"/>
        <v>0</v>
      </c>
      <c r="BQ45" s="97">
        <f t="shared" si="8"/>
        <v>0</v>
      </c>
      <c r="BR45" s="97">
        <f t="shared" si="8"/>
        <v>0</v>
      </c>
      <c r="BS45" s="97">
        <f t="shared" si="8"/>
        <v>0</v>
      </c>
      <c r="BT45" s="97">
        <f t="shared" si="8"/>
        <v>0</v>
      </c>
      <c r="BU45" s="97">
        <f t="shared" si="8"/>
        <v>0</v>
      </c>
      <c r="BV45" s="97">
        <f t="shared" si="8"/>
        <v>0</v>
      </c>
      <c r="BW45" s="97">
        <f t="shared" ref="BW45:DB45" si="9">SUM(BW4:BW44)</f>
        <v>0</v>
      </c>
      <c r="BX45" s="121">
        <f t="shared" si="9"/>
        <v>35787</v>
      </c>
      <c r="BY45" s="121">
        <f t="shared" si="9"/>
        <v>517224</v>
      </c>
      <c r="BZ45" s="121">
        <f t="shared" si="9"/>
        <v>384058.24</v>
      </c>
      <c r="CA45" s="97">
        <f t="shared" si="9"/>
        <v>0</v>
      </c>
      <c r="CB45" s="97">
        <f t="shared" si="9"/>
        <v>0</v>
      </c>
      <c r="CC45" s="97">
        <f t="shared" si="9"/>
        <v>0</v>
      </c>
      <c r="CD45" s="97">
        <f t="shared" si="9"/>
        <v>0</v>
      </c>
      <c r="CE45" s="97">
        <f t="shared" si="9"/>
        <v>0</v>
      </c>
      <c r="CF45" s="97">
        <f t="shared" si="9"/>
        <v>0</v>
      </c>
      <c r="CG45" s="97">
        <f t="shared" si="9"/>
        <v>0</v>
      </c>
      <c r="CH45" s="97">
        <f t="shared" si="9"/>
        <v>0</v>
      </c>
      <c r="CI45" s="97">
        <f t="shared" si="9"/>
        <v>0</v>
      </c>
      <c r="CJ45" s="97">
        <f t="shared" si="9"/>
        <v>0</v>
      </c>
      <c r="CK45" s="97">
        <f t="shared" si="9"/>
        <v>0</v>
      </c>
      <c r="CL45" s="97">
        <f t="shared" si="9"/>
        <v>0</v>
      </c>
      <c r="CM45" s="97">
        <f t="shared" si="9"/>
        <v>0</v>
      </c>
      <c r="CN45" s="97">
        <f t="shared" si="9"/>
        <v>0</v>
      </c>
      <c r="CO45" s="97">
        <f t="shared" si="9"/>
        <v>0</v>
      </c>
      <c r="CP45" s="97">
        <f t="shared" si="9"/>
        <v>0</v>
      </c>
      <c r="CQ45" s="97">
        <f t="shared" si="9"/>
        <v>0</v>
      </c>
      <c r="CR45" s="97">
        <f t="shared" si="9"/>
        <v>0</v>
      </c>
      <c r="CS45" s="97">
        <f t="shared" si="9"/>
        <v>0</v>
      </c>
      <c r="CT45" s="97">
        <f t="shared" si="9"/>
        <v>0</v>
      </c>
      <c r="CU45" s="97">
        <f t="shared" si="9"/>
        <v>0</v>
      </c>
      <c r="CV45" s="97">
        <f t="shared" si="9"/>
        <v>0</v>
      </c>
      <c r="CW45" s="97">
        <f t="shared" si="9"/>
        <v>0</v>
      </c>
      <c r="CX45" s="97">
        <f t="shared" si="9"/>
        <v>0</v>
      </c>
      <c r="CY45" s="97">
        <f t="shared" si="9"/>
        <v>0</v>
      </c>
      <c r="CZ45" s="97">
        <f t="shared" si="9"/>
        <v>0</v>
      </c>
      <c r="DA45" s="97">
        <f t="shared" si="9"/>
        <v>0</v>
      </c>
      <c r="DB45" s="97">
        <f t="shared" si="9"/>
        <v>0</v>
      </c>
      <c r="DC45" s="97">
        <f t="shared" ref="DC45:DJ45" si="10">SUM(DC4:DC44)</f>
        <v>0</v>
      </c>
      <c r="DD45" s="131">
        <f t="shared" si="10"/>
        <v>0</v>
      </c>
      <c r="DE45" s="133">
        <f t="shared" si="10"/>
        <v>35787</v>
      </c>
      <c r="DF45" s="138">
        <f t="shared" si="10"/>
        <v>517224</v>
      </c>
      <c r="DG45" s="139">
        <f t="shared" si="10"/>
        <v>384058.24</v>
      </c>
      <c r="DH45" s="133">
        <f t="shared" si="10"/>
        <v>32207</v>
      </c>
      <c r="DI45" s="134">
        <f t="shared" si="10"/>
        <v>465474</v>
      </c>
      <c r="DJ45" s="139">
        <f t="shared" si="10"/>
        <v>345528.64000000007</v>
      </c>
      <c r="DK45" s="101">
        <f t="shared" si="5"/>
        <v>0.21924236909157091</v>
      </c>
      <c r="DL45" s="75">
        <f t="shared" si="6"/>
        <v>0.32258064516129031</v>
      </c>
      <c r="DM45" s="102">
        <f>DK45-DL45</f>
        <v>-0.1033382760697194</v>
      </c>
      <c r="DO45" s="57"/>
      <c r="DP45" s="79"/>
      <c r="DQ45" s="59"/>
    </row>
    <row r="46" spans="1:121" x14ac:dyDescent="0.5">
      <c r="DF46" s="129"/>
      <c r="DO46" s="55"/>
      <c r="DP46" s="79"/>
    </row>
    <row r="47" spans="1:121" x14ac:dyDescent="0.5">
      <c r="DO47" s="55"/>
      <c r="DP47" s="79"/>
    </row>
    <row r="48" spans="1:121" x14ac:dyDescent="0.5">
      <c r="K48" s="94"/>
      <c r="L48" s="94"/>
    </row>
  </sheetData>
  <mergeCells count="53">
    <mergeCell ref="DN4:DP4"/>
    <mergeCell ref="DQ4:DR4"/>
    <mergeCell ref="DN5:DP5"/>
    <mergeCell ref="DQ5:DR5"/>
    <mergeCell ref="B45:D45"/>
    <mergeCell ref="DQ3:DR3"/>
    <mergeCell ref="CP2:CR2"/>
    <mergeCell ref="CS2:CU2"/>
    <mergeCell ref="CV2:CX2"/>
    <mergeCell ref="CY2:DA2"/>
    <mergeCell ref="DB2:DD2"/>
    <mergeCell ref="DE2:DG2"/>
    <mergeCell ref="DH2:DJ2"/>
    <mergeCell ref="DK2:DK3"/>
    <mergeCell ref="DL2:DL3"/>
    <mergeCell ref="DM2:DM3"/>
    <mergeCell ref="DN3:DP3"/>
    <mergeCell ref="CM2:CO2"/>
    <mergeCell ref="BF2:BH2"/>
    <mergeCell ref="BI2:BK2"/>
    <mergeCell ref="BL2:BN2"/>
    <mergeCell ref="BO2:BQ2"/>
    <mergeCell ref="BR2:BT2"/>
    <mergeCell ref="BU2:BW2"/>
    <mergeCell ref="BX2:BZ2"/>
    <mergeCell ref="CA2:CC2"/>
    <mergeCell ref="CD2:CF2"/>
    <mergeCell ref="CG2:CI2"/>
    <mergeCell ref="CJ2:CL2"/>
    <mergeCell ref="BC2:BE2"/>
    <mergeCell ref="V2:X2"/>
    <mergeCell ref="Y2:AA2"/>
    <mergeCell ref="AB2:AD2"/>
    <mergeCell ref="AE2:AG2"/>
    <mergeCell ref="AH2:AJ2"/>
    <mergeCell ref="AK2:AM2"/>
    <mergeCell ref="AN2:AP2"/>
    <mergeCell ref="AQ2:AS2"/>
    <mergeCell ref="AT2:AV2"/>
    <mergeCell ref="AW2:AY2"/>
    <mergeCell ref="AZ2:BB2"/>
    <mergeCell ref="S2:U2"/>
    <mergeCell ref="A2:A3"/>
    <mergeCell ref="B2:C3"/>
    <mergeCell ref="D2:E3"/>
    <mergeCell ref="F2:F3"/>
    <mergeCell ref="G2:H3"/>
    <mergeCell ref="I2:I3"/>
    <mergeCell ref="J2:J3"/>
    <mergeCell ref="K2:K3"/>
    <mergeCell ref="L2:L3"/>
    <mergeCell ref="M2:O2"/>
    <mergeCell ref="P2:R2"/>
  </mergeCells>
  <conditionalFormatting sqref="DO33:DO47">
    <cfRule type="duplicateValues" dxfId="0" priority="1"/>
  </conditionalFormatting>
  <hyperlinks>
    <hyperlink ref="B6" location="ရွှေဧရာ!A1" display="ရွှေဧရာ" xr:uid="{00000000-0004-0000-0500-000000000000}"/>
    <hyperlink ref="B30" location="တော်ဝင်!A1" display="တော်ဝင်" xr:uid="{00000000-0004-0000-0500-000001000000}"/>
    <hyperlink ref="B43" location="'အောင်ချမ်းသာ '!A1" display="အောင်ချမ်းသာ " xr:uid="{00000000-0004-0000-0500-000002000000}"/>
    <hyperlink ref="B35" location="မမွှေးမွှေး!A1" display="မမွှေးမွှေး" xr:uid="{00000000-0004-0000-0500-000003000000}"/>
    <hyperlink ref="B31" location="ဦးလှဖုန်း!A1" display="ဦးလှဖုန်း" xr:uid="{00000000-0004-0000-0500-000004000000}"/>
    <hyperlink ref="B4" location="မိုးအောင်!A1" display="မိုးအောင်" xr:uid="{00000000-0004-0000-0500-000005000000}"/>
    <hyperlink ref="B23" location="ရွက်သစ်!A1" display="ရွက်သစ်" xr:uid="{00000000-0004-0000-0500-000006000000}"/>
    <hyperlink ref="B27" location="ကိုရွှေသီး!A1" display="ကိုရွှေသီး" xr:uid="{00000000-0004-0000-0500-000007000000}"/>
    <hyperlink ref="B14" location="ကိုဖိုးသက်!A1" display="ကိုဖိုးသက်" xr:uid="{00000000-0004-0000-0500-000008000000}"/>
    <hyperlink ref="B26" location="ဦးအိရွှေ!A1" display="ဦးအိရွှေ" xr:uid="{00000000-0004-0000-0500-000009000000}"/>
    <hyperlink ref="B28" location="ပန်းသတင်း!A1" display="ပန်းသတင်း" xr:uid="{00000000-0004-0000-0500-00000A000000}"/>
    <hyperlink ref="B38" location="ကောင်းမွန်!A1" display="ကောင်းမွန်" xr:uid="{00000000-0004-0000-0500-00000B000000}"/>
    <hyperlink ref="A1" location="နေလ!A1" display="Yangon Market - Wholesales List ( September to December 2023)" xr:uid="{00000000-0004-0000-0500-00000C000000}"/>
    <hyperlink ref="B34" location="နေလ!A1" display="နေလ" xr:uid="{00000000-0004-0000-0500-00000D000000}"/>
    <hyperlink ref="B22" location="ရွှေစည်းစိမ်!A1" display="ရွှေစည်းစိမ်" xr:uid="{00000000-0004-0000-0500-00000E000000}"/>
    <hyperlink ref="B9" location="ပေါ်ဦး!A1" display="ပေါ်ဉီး" xr:uid="{00000000-0004-0000-0500-00000F000000}"/>
    <hyperlink ref="B15" location="မပို့မချို!A1" display="မပို့မချို" xr:uid="{00000000-0004-0000-0500-000010000000}"/>
    <hyperlink ref="B8" location="AAA!A1" display="AAA" xr:uid="{00000000-0004-0000-0500-000011000000}"/>
    <hyperlink ref="B13" location="မြတ်မွှေး!A1" display="မြတ်မွှေး" xr:uid="{00000000-0004-0000-0500-000012000000}"/>
    <hyperlink ref="B18" location="ဘဘကြီး!A1" display="ဘဘကြီး" xr:uid="{00000000-0004-0000-0500-000013000000}"/>
    <hyperlink ref="B17" location="ဦးတင်အေး!A1" display="ဦးတင်အေး" xr:uid="{00000000-0004-0000-0500-000014000000}"/>
    <hyperlink ref="B11" location="ရတနာတိုး!A1" display="ရတနာတိုး (H)" xr:uid="{00000000-0004-0000-0500-000015000000}"/>
    <hyperlink ref="B12" location="မွန်မလေး!A1" display="မွန်မလေး" xr:uid="{00000000-0004-0000-0500-000016000000}"/>
    <hyperlink ref="B21" location="ရွှေဉယျာဉ်!A1" display="ရွှေဉယျာဉ်" xr:uid="{00000000-0004-0000-0500-000017000000}"/>
    <hyperlink ref="B25" location="ဆွေသဟာ!A1" display="ဆွေသဟာ" xr:uid="{00000000-0004-0000-0500-000018000000}"/>
    <hyperlink ref="B5" location="သော်တာထွန်း!A1" display="သော်တာထွန်း" xr:uid="{00000000-0004-0000-0500-000019000000}"/>
    <hyperlink ref="B7" location="မိဘမေတ္တာ!A1" display="မိဘမေတ္တာ" xr:uid="{00000000-0004-0000-0500-00001A000000}"/>
    <hyperlink ref="B19" location="ရှယ်ထူး!A1" display="ရှယ်ထူး" xr:uid="{00000000-0004-0000-0500-00001B000000}"/>
    <hyperlink ref="B29" location="'မချိုချိုလွင် '!A1" display="မချိုချိုလွင်" xr:uid="{00000000-0004-0000-0500-00001C000000}"/>
    <hyperlink ref="B33" location="အနွယ်တော်!A1" display="အနွယ်တော်" xr:uid="{00000000-0004-0000-0500-00001D000000}"/>
    <hyperlink ref="B10" location="ဘောဂ!A1" display="ဘောဂ" xr:uid="{00000000-0004-0000-0500-00001E000000}"/>
    <hyperlink ref="B16" location="ကိုကျော်ဆွေ!A1" display="ကိုကျော်ဆွေ" xr:uid="{00000000-0004-0000-0500-00001F000000}"/>
    <hyperlink ref="B24" location="ဒေလီယာ!A1" display="ဒေလီယာ" xr:uid="{00000000-0004-0000-0500-000020000000}"/>
    <hyperlink ref="B32" location="မသီတာ!A1" display="မသီတာ" xr:uid="{00000000-0004-0000-0500-000021000000}"/>
    <hyperlink ref="B39" location="သုခအောင်!A1" display="သုခအောင်" xr:uid="{00000000-0004-0000-0500-000022000000}"/>
    <hyperlink ref="B40" location="လမင်းသာ!A1" display="လမင်းသာ" xr:uid="{00000000-0004-0000-0500-000023000000}"/>
    <hyperlink ref="B36" location="ဆင်မင်း!A1" display="ဆင်မင်း" xr:uid="{00000000-0004-0000-0500-000024000000}"/>
    <hyperlink ref="B37" location="မာဟန်!A1" display="မာဟန်" xr:uid="{00000000-0004-0000-0500-000025000000}"/>
    <hyperlink ref="B44" location="အောင်ပြည့်စုံ!A1" display="အောင်ပြည့်စုံ" xr:uid="{00000000-0004-0000-0500-000026000000}"/>
    <hyperlink ref="B41" location="ဂျက်ကြီး!A1" display="ဂျက်ကြီး" xr:uid="{00000000-0004-0000-0500-000027000000}"/>
    <hyperlink ref="B42" location="မိုးမြင့်ထက်!A1" display="မိုးမြင့်ထက်" xr:uid="{00000000-0004-0000-0500-000028000000}"/>
    <hyperlink ref="B20" location="ရွှေဇီးကွက်!A1" display="ရွှေဇီးကွက်" xr:uid="{00000000-0004-0000-0500-000029000000}"/>
  </hyperlinks>
  <pageMargins left="0.25" right="0.25" top="0.25" bottom="0.25" header="0.3" footer="0.3"/>
  <pageSetup paperSize="5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AJ79"/>
  <sheetViews>
    <sheetView zoomScaleNormal="100"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D19" sqref="D19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1.28515625" style="1" customWidth="1"/>
    <col min="5" max="5" width="11.28515625" style="1" bestFit="1" customWidth="1"/>
    <col min="6" max="6" width="11.28515625" style="1" customWidth="1"/>
    <col min="7" max="25" width="9" style="1"/>
    <col min="26" max="26" width="7.28515625" style="1" customWidth="1"/>
    <col min="27" max="31" width="9" style="1"/>
    <col min="32" max="32" width="10.7109375" style="1" customWidth="1"/>
    <col min="33" max="33" width="11.85546875" style="1" customWidth="1"/>
    <col min="34" max="16384" width="9" style="1"/>
  </cols>
  <sheetData>
    <row r="1" spans="1:36" ht="21.75" x14ac:dyDescent="0.6">
      <c r="A1" s="23"/>
      <c r="B1" s="24"/>
      <c r="C1" s="745" t="s">
        <v>74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C1" s="745"/>
      <c r="AD1" s="745"/>
      <c r="AF1" s="1" t="s">
        <v>68</v>
      </c>
      <c r="AG1" s="1">
        <f>AE27</f>
        <v>4880</v>
      </c>
      <c r="AI1" s="25">
        <v>12</v>
      </c>
      <c r="AJ1" s="26">
        <v>14</v>
      </c>
    </row>
    <row r="2" spans="1:36" s="27" customFormat="1" ht="21.75" x14ac:dyDescent="0.6">
      <c r="A2" s="731" t="s">
        <v>1</v>
      </c>
      <c r="B2" s="732" t="s">
        <v>0</v>
      </c>
      <c r="C2" s="733" t="s">
        <v>3</v>
      </c>
      <c r="D2" s="733"/>
      <c r="E2" s="733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F2" s="1" t="s">
        <v>67</v>
      </c>
      <c r="AG2" s="27">
        <f>AF27</f>
        <v>72350</v>
      </c>
      <c r="AI2" s="28">
        <v>24</v>
      </c>
      <c r="AJ2" s="29">
        <v>40</v>
      </c>
    </row>
    <row r="3" spans="1:36" s="27" customFormat="1" ht="52.5" customHeight="1" x14ac:dyDescent="0.6">
      <c r="A3" s="731"/>
      <c r="B3" s="732"/>
      <c r="C3" s="734" t="s">
        <v>59</v>
      </c>
      <c r="D3" s="735"/>
      <c r="E3" s="736" t="s">
        <v>314</v>
      </c>
      <c r="F3" s="737"/>
      <c r="G3" s="736" t="s">
        <v>315</v>
      </c>
      <c r="H3" s="737"/>
      <c r="I3" s="738" t="s">
        <v>316</v>
      </c>
      <c r="J3" s="739"/>
      <c r="K3" s="736" t="s">
        <v>61</v>
      </c>
      <c r="L3" s="737"/>
      <c r="M3" s="736" t="s">
        <v>62</v>
      </c>
      <c r="N3" s="737"/>
      <c r="O3" s="738" t="s">
        <v>317</v>
      </c>
      <c r="P3" s="739"/>
      <c r="Q3" s="734" t="s">
        <v>318</v>
      </c>
      <c r="R3" s="735"/>
      <c r="S3" s="734" t="s">
        <v>65</v>
      </c>
      <c r="T3" s="735"/>
      <c r="U3" s="740" t="s">
        <v>60</v>
      </c>
      <c r="V3" s="741"/>
      <c r="W3" s="734" t="s">
        <v>330</v>
      </c>
      <c r="X3" s="735"/>
      <c r="Y3" s="736" t="s">
        <v>337</v>
      </c>
      <c r="Z3" s="737"/>
      <c r="AA3" s="736" t="s">
        <v>320</v>
      </c>
      <c r="AB3" s="737"/>
      <c r="AC3" s="736" t="s">
        <v>321</v>
      </c>
      <c r="AD3" s="737"/>
      <c r="AE3" s="742" t="s">
        <v>322</v>
      </c>
      <c r="AF3" s="743"/>
      <c r="AG3" s="744"/>
    </row>
    <row r="4" spans="1:36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4" t="s">
        <v>63</v>
      </c>
      <c r="X4" s="14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  <c r="AI4" s="31"/>
    </row>
    <row r="5" spans="1:36" s="32" customFormat="1" ht="20.25" customHeight="1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0.64</v>
      </c>
      <c r="Y5" s="16"/>
      <c r="Z5" s="16">
        <v>0.64</v>
      </c>
      <c r="AA5" s="16"/>
      <c r="AB5" s="16">
        <v>1</v>
      </c>
      <c r="AC5" s="16"/>
      <c r="AD5" s="16">
        <v>0.64</v>
      </c>
      <c r="AE5" s="10"/>
      <c r="AF5" s="10"/>
      <c r="AG5" s="106"/>
      <c r="AI5" s="31"/>
    </row>
    <row r="6" spans="1:36" s="19" customFormat="1" ht="25.5" customHeight="1" x14ac:dyDescent="0.25">
      <c r="A6" s="37">
        <v>1</v>
      </c>
      <c r="B6" s="38">
        <v>45689</v>
      </c>
      <c r="C6" s="11">
        <v>150</v>
      </c>
      <c r="D6" s="11">
        <f>C6*14</f>
        <v>2100</v>
      </c>
      <c r="E6" s="11">
        <v>150</v>
      </c>
      <c r="F6" s="11">
        <f>E6*12</f>
        <v>1800</v>
      </c>
      <c r="G6" s="11"/>
      <c r="H6" s="11">
        <f>G6*12</f>
        <v>0</v>
      </c>
      <c r="I6" s="11">
        <v>50</v>
      </c>
      <c r="J6" s="11">
        <f>I6*40</f>
        <v>2000</v>
      </c>
      <c r="K6" s="11"/>
      <c r="L6" s="11">
        <f>K6*12</f>
        <v>0</v>
      </c>
      <c r="M6" s="11">
        <v>105</v>
      </c>
      <c r="N6" s="11">
        <f>M6*12</f>
        <v>1260</v>
      </c>
      <c r="O6" s="11">
        <v>45</v>
      </c>
      <c r="P6" s="11">
        <f>O6*40</f>
        <v>1800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W6*14</f>
        <v>0</v>
      </c>
      <c r="Y6" s="11"/>
      <c r="Z6" s="11">
        <f>Y6*14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500</v>
      </c>
      <c r="AF6" s="11">
        <f>D6+F6+H6+J6+L6+N6+P6+R6+T6+V6+X6+Z6+AB6+AD6</f>
        <v>8960</v>
      </c>
      <c r="AG6" s="114">
        <f>(D6*$D$5)+(F6*$F$5)+(H6*$H$5)+(J6*$J$5)+(L6*$L$5)+(N6*$N$5)+(P6*$P$5)+(R6*$R$5)+(T6*$T$5)+(V6*$V$5)+(X6*$X$5)+(Z6*$Z$5)+(AB6*$AB$5)+(AD6*$AD$5)</f>
        <v>5734</v>
      </c>
    </row>
    <row r="7" spans="1:36" s="19" customFormat="1" ht="25.5" customHeight="1" x14ac:dyDescent="0.25">
      <c r="A7" s="37">
        <v>2</v>
      </c>
      <c r="B7" s="38">
        <v>45717</v>
      </c>
      <c r="C7" s="11">
        <v>35</v>
      </c>
      <c r="D7" s="11">
        <f t="shared" ref="D7:D26" si="0">C7*14</f>
        <v>490</v>
      </c>
      <c r="E7" s="11">
        <v>20</v>
      </c>
      <c r="F7" s="11">
        <f t="shared" ref="F7:F26" si="1">E7*12</f>
        <v>240</v>
      </c>
      <c r="G7" s="11"/>
      <c r="H7" s="11">
        <f t="shared" ref="H7:H26" si="2">G7*12</f>
        <v>0</v>
      </c>
      <c r="I7" s="11"/>
      <c r="J7" s="11">
        <f t="shared" ref="J7:J26" si="3">I7*40</f>
        <v>0</v>
      </c>
      <c r="K7" s="11"/>
      <c r="L7" s="11">
        <f t="shared" ref="L7:L24" si="4">K7*12</f>
        <v>0</v>
      </c>
      <c r="M7" s="11"/>
      <c r="N7" s="11">
        <f t="shared" ref="N7:N26" si="5">M7*12</f>
        <v>0</v>
      </c>
      <c r="O7" s="11"/>
      <c r="P7" s="11">
        <f t="shared" ref="P7:P22" si="6">O7*40</f>
        <v>0</v>
      </c>
      <c r="Q7" s="11"/>
      <c r="R7" s="11">
        <f t="shared" ref="R7:R23" si="7">Q7*14</f>
        <v>0</v>
      </c>
      <c r="S7" s="11"/>
      <c r="T7" s="11">
        <f t="shared" ref="T7:T23" si="8">S7*14</f>
        <v>0</v>
      </c>
      <c r="U7" s="11"/>
      <c r="V7" s="11">
        <f t="shared" ref="V7:V22" si="9">U7*24</f>
        <v>0</v>
      </c>
      <c r="W7" s="11"/>
      <c r="X7" s="11">
        <f t="shared" ref="X7:X26" si="10">W7*14</f>
        <v>0</v>
      </c>
      <c r="Y7" s="11">
        <v>10</v>
      </c>
      <c r="Z7" s="11">
        <f t="shared" ref="Z7:Z24" si="11">Y7*14</f>
        <v>140</v>
      </c>
      <c r="AA7" s="11"/>
      <c r="AB7" s="11">
        <f t="shared" ref="AB7:AB22" si="12">AA7*12</f>
        <v>0</v>
      </c>
      <c r="AC7" s="11"/>
      <c r="AD7" s="11">
        <f t="shared" ref="AD7:AD22" si="13">AC7*12</f>
        <v>0</v>
      </c>
      <c r="AE7" s="11">
        <f t="shared" ref="AE7:AF26" si="14">C7+E7+G7+I7+K7+M7+O7+Q7+S7+U7+W7+Y7+AA7+AC7</f>
        <v>65</v>
      </c>
      <c r="AF7" s="11">
        <f t="shared" si="14"/>
        <v>870</v>
      </c>
      <c r="AG7" s="115">
        <f t="shared" ref="AG7:AG27" si="15">(D7*$D$5)+(F7*$F$5)+(H7*$H$5)+(J7*$J$5)+(L7*$L$5)+(N7*$N$5)+(P7*$P$5)+(R7*$R$5)+(T7*$T$5)+(V7*$V$5)+(X7*$X$5)+(Z7*$Z$5)+(AB7*$AB$5)+(AD7*$AD$5)</f>
        <v>643.20000000000005</v>
      </c>
    </row>
    <row r="8" spans="1:36" s="19" customFormat="1" ht="25.5" customHeight="1" x14ac:dyDescent="0.25">
      <c r="A8" s="37">
        <v>3</v>
      </c>
      <c r="B8" s="38">
        <v>45748</v>
      </c>
      <c r="C8" s="11">
        <v>200</v>
      </c>
      <c r="D8" s="11">
        <f t="shared" si="0"/>
        <v>2800</v>
      </c>
      <c r="E8" s="11">
        <v>100</v>
      </c>
      <c r="F8" s="11">
        <f t="shared" si="1"/>
        <v>1200</v>
      </c>
      <c r="G8" s="11">
        <v>100</v>
      </c>
      <c r="H8" s="11">
        <f t="shared" si="2"/>
        <v>1200</v>
      </c>
      <c r="I8" s="11">
        <v>50</v>
      </c>
      <c r="J8" s="11">
        <f t="shared" si="3"/>
        <v>2000</v>
      </c>
      <c r="K8" s="11"/>
      <c r="L8" s="11">
        <f t="shared" si="4"/>
        <v>0</v>
      </c>
      <c r="M8" s="11">
        <v>45</v>
      </c>
      <c r="N8" s="11">
        <f t="shared" si="5"/>
        <v>540</v>
      </c>
      <c r="O8" s="11"/>
      <c r="P8" s="11">
        <f t="shared" si="6"/>
        <v>0</v>
      </c>
      <c r="Q8" s="11">
        <v>50</v>
      </c>
      <c r="R8" s="11">
        <f t="shared" si="7"/>
        <v>700</v>
      </c>
      <c r="S8" s="11"/>
      <c r="T8" s="11">
        <f t="shared" si="8"/>
        <v>0</v>
      </c>
      <c r="U8" s="11"/>
      <c r="V8" s="11">
        <f t="shared" si="9"/>
        <v>0</v>
      </c>
      <c r="W8" s="11"/>
      <c r="X8" s="11">
        <f t="shared" si="10"/>
        <v>0</v>
      </c>
      <c r="Y8" s="11"/>
      <c r="Z8" s="11">
        <f t="shared" si="11"/>
        <v>0</v>
      </c>
      <c r="AA8" s="11"/>
      <c r="AB8" s="11">
        <f t="shared" si="12"/>
        <v>0</v>
      </c>
      <c r="AC8" s="11"/>
      <c r="AD8" s="11">
        <f t="shared" si="13"/>
        <v>0</v>
      </c>
      <c r="AE8" s="11">
        <f t="shared" si="14"/>
        <v>545</v>
      </c>
      <c r="AF8" s="11">
        <f t="shared" si="14"/>
        <v>8440</v>
      </c>
      <c r="AG8" s="114">
        <f t="shared" si="15"/>
        <v>5400</v>
      </c>
    </row>
    <row r="9" spans="1:36" s="19" customFormat="1" ht="25.5" customHeight="1" x14ac:dyDescent="0.25">
      <c r="A9" s="37">
        <v>4</v>
      </c>
      <c r="B9" s="38">
        <v>45809</v>
      </c>
      <c r="C9" s="11">
        <v>100</v>
      </c>
      <c r="D9" s="11">
        <f t="shared" si="0"/>
        <v>1400</v>
      </c>
      <c r="E9" s="11">
        <v>240</v>
      </c>
      <c r="F9" s="11">
        <f t="shared" si="1"/>
        <v>2880</v>
      </c>
      <c r="G9" s="11">
        <v>50</v>
      </c>
      <c r="H9" s="11">
        <f t="shared" si="2"/>
        <v>600</v>
      </c>
      <c r="I9" s="11">
        <v>50</v>
      </c>
      <c r="J9" s="11">
        <f t="shared" si="3"/>
        <v>2000</v>
      </c>
      <c r="K9" s="11"/>
      <c r="L9" s="11">
        <f t="shared" si="4"/>
        <v>0</v>
      </c>
      <c r="M9" s="11">
        <v>105</v>
      </c>
      <c r="N9" s="11">
        <f t="shared" si="5"/>
        <v>1260</v>
      </c>
      <c r="O9" s="11"/>
      <c r="P9" s="11">
        <f t="shared" si="6"/>
        <v>0</v>
      </c>
      <c r="Q9" s="11"/>
      <c r="R9" s="11">
        <f t="shared" si="7"/>
        <v>0</v>
      </c>
      <c r="S9" s="11"/>
      <c r="T9" s="11">
        <f t="shared" si="8"/>
        <v>0</v>
      </c>
      <c r="U9" s="11"/>
      <c r="V9" s="11">
        <f t="shared" si="9"/>
        <v>0</v>
      </c>
      <c r="W9" s="11"/>
      <c r="X9" s="11">
        <f t="shared" si="10"/>
        <v>0</v>
      </c>
      <c r="Y9" s="11"/>
      <c r="Z9" s="11">
        <f t="shared" si="11"/>
        <v>0</v>
      </c>
      <c r="AA9" s="11"/>
      <c r="AB9" s="11">
        <f t="shared" si="12"/>
        <v>0</v>
      </c>
      <c r="AC9" s="11"/>
      <c r="AD9" s="11">
        <f t="shared" si="13"/>
        <v>0</v>
      </c>
      <c r="AE9" s="11">
        <f t="shared" si="14"/>
        <v>545</v>
      </c>
      <c r="AF9" s="11">
        <f t="shared" si="14"/>
        <v>8140</v>
      </c>
      <c r="AG9" s="114">
        <f t="shared" si="15"/>
        <v>6096</v>
      </c>
    </row>
    <row r="10" spans="1:36" s="19" customFormat="1" ht="25.5" customHeight="1" x14ac:dyDescent="0.25">
      <c r="A10" s="37">
        <v>5</v>
      </c>
      <c r="B10" s="38">
        <v>45839</v>
      </c>
      <c r="C10" s="11">
        <v>250</v>
      </c>
      <c r="D10" s="11">
        <f t="shared" si="0"/>
        <v>3500</v>
      </c>
      <c r="E10" s="11">
        <v>700</v>
      </c>
      <c r="F10" s="11">
        <f t="shared" si="1"/>
        <v>8400</v>
      </c>
      <c r="G10" s="11">
        <v>50</v>
      </c>
      <c r="H10" s="11">
        <f t="shared" si="2"/>
        <v>600</v>
      </c>
      <c r="I10" s="11">
        <v>50</v>
      </c>
      <c r="J10" s="11">
        <f t="shared" si="3"/>
        <v>2000</v>
      </c>
      <c r="K10" s="11"/>
      <c r="L10" s="11">
        <f t="shared" si="4"/>
        <v>0</v>
      </c>
      <c r="M10" s="11"/>
      <c r="N10" s="11">
        <f t="shared" si="5"/>
        <v>0</v>
      </c>
      <c r="O10" s="11"/>
      <c r="P10" s="11">
        <f t="shared" si="6"/>
        <v>0</v>
      </c>
      <c r="Q10" s="11">
        <v>40</v>
      </c>
      <c r="R10" s="11">
        <f t="shared" si="7"/>
        <v>560</v>
      </c>
      <c r="S10" s="11"/>
      <c r="T10" s="11">
        <f t="shared" si="8"/>
        <v>0</v>
      </c>
      <c r="U10" s="11"/>
      <c r="V10" s="11">
        <f t="shared" si="9"/>
        <v>0</v>
      </c>
      <c r="W10" s="11"/>
      <c r="X10" s="11">
        <f t="shared" si="10"/>
        <v>0</v>
      </c>
      <c r="Y10" s="11"/>
      <c r="Z10" s="11">
        <f t="shared" si="11"/>
        <v>0</v>
      </c>
      <c r="AA10" s="11"/>
      <c r="AB10" s="11">
        <f t="shared" si="12"/>
        <v>0</v>
      </c>
      <c r="AC10" s="11"/>
      <c r="AD10" s="11">
        <f t="shared" si="13"/>
        <v>0</v>
      </c>
      <c r="AE10" s="11">
        <f t="shared" si="14"/>
        <v>1090</v>
      </c>
      <c r="AF10" s="11">
        <f t="shared" si="14"/>
        <v>15060</v>
      </c>
      <c r="AG10" s="114">
        <f t="shared" si="15"/>
        <v>12058.4</v>
      </c>
    </row>
    <row r="11" spans="1:36" s="19" customFormat="1" ht="25.5" customHeight="1" x14ac:dyDescent="0.25">
      <c r="A11" s="37">
        <v>6</v>
      </c>
      <c r="B11" s="38">
        <v>45870</v>
      </c>
      <c r="C11" s="11">
        <v>100</v>
      </c>
      <c r="D11" s="11">
        <f t="shared" si="0"/>
        <v>1400</v>
      </c>
      <c r="E11" s="11">
        <v>280</v>
      </c>
      <c r="F11" s="11">
        <f t="shared" si="1"/>
        <v>3360</v>
      </c>
      <c r="G11" s="11">
        <v>50</v>
      </c>
      <c r="H11" s="11">
        <f t="shared" si="2"/>
        <v>600</v>
      </c>
      <c r="I11" s="11"/>
      <c r="J11" s="11">
        <f t="shared" si="3"/>
        <v>0</v>
      </c>
      <c r="K11" s="11"/>
      <c r="L11" s="11">
        <f t="shared" si="4"/>
        <v>0</v>
      </c>
      <c r="M11" s="11">
        <v>105</v>
      </c>
      <c r="N11" s="11">
        <f t="shared" si="5"/>
        <v>1260</v>
      </c>
      <c r="O11" s="11"/>
      <c r="P11" s="11">
        <f t="shared" si="6"/>
        <v>0</v>
      </c>
      <c r="Q11" s="11"/>
      <c r="R11" s="11">
        <f t="shared" si="7"/>
        <v>0</v>
      </c>
      <c r="S11" s="11"/>
      <c r="T11" s="11">
        <f t="shared" si="8"/>
        <v>0</v>
      </c>
      <c r="U11" s="11"/>
      <c r="V11" s="11">
        <f t="shared" si="9"/>
        <v>0</v>
      </c>
      <c r="W11" s="11"/>
      <c r="X11" s="11">
        <f t="shared" si="10"/>
        <v>0</v>
      </c>
      <c r="Y11" s="11"/>
      <c r="Z11" s="11">
        <f t="shared" si="11"/>
        <v>0</v>
      </c>
      <c r="AA11" s="11"/>
      <c r="AB11" s="11">
        <f t="shared" si="12"/>
        <v>0</v>
      </c>
      <c r="AC11" s="11"/>
      <c r="AD11" s="11">
        <f t="shared" si="13"/>
        <v>0</v>
      </c>
      <c r="AE11" s="11">
        <f t="shared" si="14"/>
        <v>535</v>
      </c>
      <c r="AF11" s="11">
        <f t="shared" si="14"/>
        <v>6620</v>
      </c>
      <c r="AG11" s="114">
        <f t="shared" si="15"/>
        <v>5876</v>
      </c>
    </row>
    <row r="12" spans="1:36" ht="25.5" customHeight="1" x14ac:dyDescent="0.6">
      <c r="A12" s="37">
        <v>7</v>
      </c>
      <c r="B12" s="38">
        <v>45901</v>
      </c>
      <c r="C12" s="6">
        <v>100</v>
      </c>
      <c r="D12" s="11">
        <f t="shared" si="0"/>
        <v>1400</v>
      </c>
      <c r="E12" s="6">
        <v>250</v>
      </c>
      <c r="F12" s="11">
        <f t="shared" si="1"/>
        <v>3000</v>
      </c>
      <c r="G12" s="6">
        <v>50</v>
      </c>
      <c r="H12" s="11">
        <f>G12*12</f>
        <v>600</v>
      </c>
      <c r="I12" s="6">
        <v>50</v>
      </c>
      <c r="J12" s="11">
        <f t="shared" si="3"/>
        <v>2000</v>
      </c>
      <c r="K12" s="6"/>
      <c r="L12" s="11">
        <f t="shared" si="4"/>
        <v>0</v>
      </c>
      <c r="M12" s="6"/>
      <c r="N12" s="11">
        <f t="shared" si="5"/>
        <v>0</v>
      </c>
      <c r="O12" s="6"/>
      <c r="P12" s="11">
        <f t="shared" si="6"/>
        <v>0</v>
      </c>
      <c r="Q12" s="6">
        <v>50</v>
      </c>
      <c r="R12" s="11">
        <f t="shared" si="7"/>
        <v>700</v>
      </c>
      <c r="S12" s="6">
        <v>50</v>
      </c>
      <c r="T12" s="11">
        <f t="shared" si="8"/>
        <v>700</v>
      </c>
      <c r="U12" s="6"/>
      <c r="V12" s="11">
        <f t="shared" si="9"/>
        <v>0</v>
      </c>
      <c r="W12" s="6"/>
      <c r="X12" s="11">
        <f t="shared" si="10"/>
        <v>0</v>
      </c>
      <c r="Y12" s="11"/>
      <c r="Z12" s="11">
        <f t="shared" si="11"/>
        <v>0</v>
      </c>
      <c r="AA12" s="11"/>
      <c r="AB12" s="11">
        <f t="shared" si="12"/>
        <v>0</v>
      </c>
      <c r="AC12" s="11"/>
      <c r="AD12" s="11">
        <f t="shared" si="13"/>
        <v>0</v>
      </c>
      <c r="AE12" s="11">
        <f t="shared" si="14"/>
        <v>550</v>
      </c>
      <c r="AF12" s="11">
        <f t="shared" si="14"/>
        <v>8400</v>
      </c>
      <c r="AG12" s="114">
        <f t="shared" si="15"/>
        <v>5852</v>
      </c>
    </row>
    <row r="13" spans="1:36" ht="25.5" customHeight="1" x14ac:dyDescent="0.6">
      <c r="A13" s="37">
        <v>8</v>
      </c>
      <c r="B13" s="38">
        <v>45931</v>
      </c>
      <c r="C13" s="6">
        <v>100</v>
      </c>
      <c r="D13" s="11">
        <f t="shared" si="0"/>
        <v>1400</v>
      </c>
      <c r="E13" s="6">
        <v>130</v>
      </c>
      <c r="F13" s="11">
        <f t="shared" si="1"/>
        <v>1560</v>
      </c>
      <c r="G13" s="6">
        <v>50</v>
      </c>
      <c r="H13" s="11">
        <f t="shared" si="2"/>
        <v>600</v>
      </c>
      <c r="I13" s="6"/>
      <c r="J13" s="11">
        <f t="shared" si="3"/>
        <v>0</v>
      </c>
      <c r="K13" s="6"/>
      <c r="L13" s="11">
        <f t="shared" si="4"/>
        <v>0</v>
      </c>
      <c r="M13" s="6">
        <v>150</v>
      </c>
      <c r="N13" s="11">
        <f t="shared" si="5"/>
        <v>1800</v>
      </c>
      <c r="O13" s="6">
        <v>45</v>
      </c>
      <c r="P13" s="11">
        <f t="shared" si="6"/>
        <v>1800</v>
      </c>
      <c r="Q13" s="6">
        <v>50</v>
      </c>
      <c r="R13" s="11">
        <f t="shared" si="7"/>
        <v>700</v>
      </c>
      <c r="S13" s="6"/>
      <c r="T13" s="11">
        <f t="shared" si="8"/>
        <v>0</v>
      </c>
      <c r="U13" s="6"/>
      <c r="V13" s="11">
        <f t="shared" si="9"/>
        <v>0</v>
      </c>
      <c r="W13" s="6"/>
      <c r="X13" s="11">
        <f t="shared" si="10"/>
        <v>0</v>
      </c>
      <c r="Y13" s="11"/>
      <c r="Z13" s="11">
        <f t="shared" si="11"/>
        <v>0</v>
      </c>
      <c r="AA13" s="11"/>
      <c r="AB13" s="11">
        <f t="shared" si="12"/>
        <v>0</v>
      </c>
      <c r="AC13" s="11"/>
      <c r="AD13" s="11">
        <f t="shared" si="13"/>
        <v>0</v>
      </c>
      <c r="AE13" s="11">
        <f t="shared" si="14"/>
        <v>525</v>
      </c>
      <c r="AF13" s="11">
        <f t="shared" si="14"/>
        <v>7860</v>
      </c>
      <c r="AG13" s="114">
        <f t="shared" si="15"/>
        <v>5694</v>
      </c>
    </row>
    <row r="14" spans="1:36" ht="25.5" customHeight="1" x14ac:dyDescent="0.6">
      <c r="A14" s="37">
        <v>9</v>
      </c>
      <c r="B14" s="38">
        <v>45962</v>
      </c>
      <c r="C14" s="6">
        <v>150</v>
      </c>
      <c r="D14" s="11">
        <v>2100</v>
      </c>
      <c r="E14" s="6">
        <v>100</v>
      </c>
      <c r="F14" s="11">
        <v>1200</v>
      </c>
      <c r="G14" s="6"/>
      <c r="H14" s="11">
        <v>0</v>
      </c>
      <c r="I14" s="6">
        <v>50</v>
      </c>
      <c r="J14" s="11">
        <v>2000</v>
      </c>
      <c r="K14" s="6"/>
      <c r="L14" s="11">
        <v>0</v>
      </c>
      <c r="M14" s="6">
        <v>225</v>
      </c>
      <c r="N14" s="11">
        <v>2700</v>
      </c>
      <c r="O14" s="6"/>
      <c r="P14" s="11">
        <v>0</v>
      </c>
      <c r="Q14" s="6"/>
      <c r="R14" s="11">
        <v>0</v>
      </c>
      <c r="S14" s="6"/>
      <c r="T14" s="11">
        <f t="shared" si="8"/>
        <v>0</v>
      </c>
      <c r="U14" s="6"/>
      <c r="V14" s="11">
        <f t="shared" si="9"/>
        <v>0</v>
      </c>
      <c r="W14" s="6"/>
      <c r="X14" s="11">
        <f t="shared" si="10"/>
        <v>0</v>
      </c>
      <c r="Y14" s="11"/>
      <c r="Z14" s="11">
        <f t="shared" si="11"/>
        <v>0</v>
      </c>
      <c r="AA14" s="11"/>
      <c r="AB14" s="11">
        <f t="shared" si="12"/>
        <v>0</v>
      </c>
      <c r="AC14" s="11"/>
      <c r="AD14" s="11">
        <f t="shared" si="13"/>
        <v>0</v>
      </c>
      <c r="AE14" s="11">
        <f t="shared" si="14"/>
        <v>525</v>
      </c>
      <c r="AF14" s="11">
        <f t="shared" si="14"/>
        <v>8000</v>
      </c>
      <c r="AG14" s="114">
        <f t="shared" si="15"/>
        <v>5944</v>
      </c>
    </row>
    <row r="15" spans="1:36" ht="25.5" customHeight="1" x14ac:dyDescent="0.6">
      <c r="A15" s="37">
        <v>10</v>
      </c>
      <c r="B15" s="38"/>
      <c r="C15" s="6"/>
      <c r="D15" s="11">
        <f t="shared" si="0"/>
        <v>0</v>
      </c>
      <c r="E15" s="6"/>
      <c r="F15" s="11">
        <f t="shared" si="1"/>
        <v>0</v>
      </c>
      <c r="G15" s="6"/>
      <c r="H15" s="11">
        <f t="shared" si="2"/>
        <v>0</v>
      </c>
      <c r="I15" s="6"/>
      <c r="J15" s="11">
        <f t="shared" si="3"/>
        <v>0</v>
      </c>
      <c r="K15" s="6"/>
      <c r="L15" s="11">
        <f t="shared" si="4"/>
        <v>0</v>
      </c>
      <c r="M15" s="6"/>
      <c r="N15" s="11">
        <f t="shared" si="5"/>
        <v>0</v>
      </c>
      <c r="O15" s="6"/>
      <c r="P15" s="11">
        <f t="shared" si="6"/>
        <v>0</v>
      </c>
      <c r="Q15" s="6"/>
      <c r="R15" s="11">
        <f t="shared" si="7"/>
        <v>0</v>
      </c>
      <c r="S15" s="6"/>
      <c r="T15" s="11">
        <f t="shared" si="8"/>
        <v>0</v>
      </c>
      <c r="U15" s="6"/>
      <c r="V15" s="11">
        <f t="shared" si="9"/>
        <v>0</v>
      </c>
      <c r="W15" s="6"/>
      <c r="X15" s="11">
        <f t="shared" si="10"/>
        <v>0</v>
      </c>
      <c r="Y15" s="11"/>
      <c r="Z15" s="11">
        <f t="shared" si="11"/>
        <v>0</v>
      </c>
      <c r="AA15" s="11"/>
      <c r="AB15" s="11">
        <f t="shared" si="12"/>
        <v>0</v>
      </c>
      <c r="AC15" s="11"/>
      <c r="AD15" s="11">
        <f t="shared" si="13"/>
        <v>0</v>
      </c>
      <c r="AE15" s="11">
        <f t="shared" si="14"/>
        <v>0</v>
      </c>
      <c r="AF15" s="11">
        <f t="shared" si="14"/>
        <v>0</v>
      </c>
      <c r="AG15" s="114">
        <f t="shared" si="15"/>
        <v>0</v>
      </c>
    </row>
    <row r="16" spans="1:36" ht="25.5" customHeight="1" x14ac:dyDescent="0.6">
      <c r="A16" s="37">
        <v>11</v>
      </c>
      <c r="B16" s="38"/>
      <c r="C16" s="6"/>
      <c r="D16" s="11">
        <f t="shared" si="0"/>
        <v>0</v>
      </c>
      <c r="E16" s="6"/>
      <c r="F16" s="11">
        <f t="shared" si="1"/>
        <v>0</v>
      </c>
      <c r="G16" s="6"/>
      <c r="H16" s="11">
        <f t="shared" si="2"/>
        <v>0</v>
      </c>
      <c r="I16" s="6"/>
      <c r="J16" s="11">
        <f t="shared" si="3"/>
        <v>0</v>
      </c>
      <c r="K16" s="6"/>
      <c r="L16" s="11">
        <f t="shared" si="4"/>
        <v>0</v>
      </c>
      <c r="M16" s="6"/>
      <c r="N16" s="11">
        <f t="shared" si="5"/>
        <v>0</v>
      </c>
      <c r="O16" s="6"/>
      <c r="P16" s="11">
        <f t="shared" si="6"/>
        <v>0</v>
      </c>
      <c r="Q16" s="6"/>
      <c r="R16" s="11">
        <f t="shared" si="7"/>
        <v>0</v>
      </c>
      <c r="S16" s="6"/>
      <c r="T16" s="11">
        <f t="shared" si="8"/>
        <v>0</v>
      </c>
      <c r="U16" s="6"/>
      <c r="V16" s="11">
        <f t="shared" si="9"/>
        <v>0</v>
      </c>
      <c r="W16" s="6"/>
      <c r="X16" s="11">
        <f t="shared" si="10"/>
        <v>0</v>
      </c>
      <c r="Y16" s="11"/>
      <c r="Z16" s="11">
        <f t="shared" si="11"/>
        <v>0</v>
      </c>
      <c r="AA16" s="11"/>
      <c r="AB16" s="11">
        <f t="shared" si="12"/>
        <v>0</v>
      </c>
      <c r="AC16" s="11"/>
      <c r="AD16" s="11">
        <f t="shared" si="13"/>
        <v>0</v>
      </c>
      <c r="AE16" s="11">
        <f t="shared" si="14"/>
        <v>0</v>
      </c>
      <c r="AF16" s="11">
        <f t="shared" si="14"/>
        <v>0</v>
      </c>
      <c r="AG16" s="114">
        <f t="shared" si="15"/>
        <v>0</v>
      </c>
    </row>
    <row r="17" spans="1:33" ht="25.5" customHeight="1" x14ac:dyDescent="0.6">
      <c r="A17" s="37">
        <v>12</v>
      </c>
      <c r="B17" s="38"/>
      <c r="C17" s="6"/>
      <c r="D17" s="11">
        <f t="shared" si="0"/>
        <v>0</v>
      </c>
      <c r="E17" s="6"/>
      <c r="F17" s="11">
        <f t="shared" si="1"/>
        <v>0</v>
      </c>
      <c r="G17" s="6"/>
      <c r="H17" s="11">
        <f t="shared" si="2"/>
        <v>0</v>
      </c>
      <c r="I17" s="6"/>
      <c r="J17" s="11">
        <f t="shared" si="3"/>
        <v>0</v>
      </c>
      <c r="K17" s="6"/>
      <c r="L17" s="11">
        <f t="shared" si="4"/>
        <v>0</v>
      </c>
      <c r="M17" s="6"/>
      <c r="N17" s="11">
        <f t="shared" si="5"/>
        <v>0</v>
      </c>
      <c r="O17" s="6"/>
      <c r="P17" s="11">
        <f t="shared" si="6"/>
        <v>0</v>
      </c>
      <c r="Q17" s="6"/>
      <c r="R17" s="11">
        <f t="shared" si="7"/>
        <v>0</v>
      </c>
      <c r="S17" s="6"/>
      <c r="T17" s="11">
        <f t="shared" si="8"/>
        <v>0</v>
      </c>
      <c r="U17" s="6"/>
      <c r="V17" s="11">
        <f t="shared" si="9"/>
        <v>0</v>
      </c>
      <c r="W17" s="6"/>
      <c r="X17" s="11">
        <f t="shared" si="10"/>
        <v>0</v>
      </c>
      <c r="Y17" s="11"/>
      <c r="Z17" s="11">
        <f t="shared" si="11"/>
        <v>0</v>
      </c>
      <c r="AA17" s="11"/>
      <c r="AB17" s="11">
        <f t="shared" si="12"/>
        <v>0</v>
      </c>
      <c r="AC17" s="11"/>
      <c r="AD17" s="11">
        <f t="shared" si="13"/>
        <v>0</v>
      </c>
      <c r="AE17" s="11">
        <f t="shared" si="14"/>
        <v>0</v>
      </c>
      <c r="AF17" s="11">
        <f t="shared" si="14"/>
        <v>0</v>
      </c>
      <c r="AG17" s="114">
        <f t="shared" si="15"/>
        <v>0</v>
      </c>
    </row>
    <row r="18" spans="1:33" ht="25.5" customHeight="1" x14ac:dyDescent="0.6">
      <c r="A18" s="37">
        <v>13</v>
      </c>
      <c r="B18" s="38"/>
      <c r="C18" s="6"/>
      <c r="D18" s="11">
        <f t="shared" si="0"/>
        <v>0</v>
      </c>
      <c r="E18" s="6"/>
      <c r="F18" s="11">
        <f t="shared" si="1"/>
        <v>0</v>
      </c>
      <c r="G18" s="6"/>
      <c r="H18" s="11">
        <f t="shared" si="2"/>
        <v>0</v>
      </c>
      <c r="I18" s="6"/>
      <c r="J18" s="11">
        <f t="shared" si="3"/>
        <v>0</v>
      </c>
      <c r="K18" s="6"/>
      <c r="L18" s="11">
        <f t="shared" si="4"/>
        <v>0</v>
      </c>
      <c r="M18" s="6"/>
      <c r="N18" s="11">
        <f t="shared" si="5"/>
        <v>0</v>
      </c>
      <c r="O18" s="6"/>
      <c r="P18" s="11">
        <f t="shared" si="6"/>
        <v>0</v>
      </c>
      <c r="Q18" s="6"/>
      <c r="R18" s="11">
        <f t="shared" si="7"/>
        <v>0</v>
      </c>
      <c r="S18" s="6"/>
      <c r="T18" s="11">
        <f t="shared" si="8"/>
        <v>0</v>
      </c>
      <c r="U18" s="6"/>
      <c r="V18" s="11">
        <f t="shared" si="9"/>
        <v>0</v>
      </c>
      <c r="W18" s="6"/>
      <c r="X18" s="11">
        <f t="shared" si="10"/>
        <v>0</v>
      </c>
      <c r="Y18" s="11"/>
      <c r="Z18" s="11">
        <f t="shared" si="11"/>
        <v>0</v>
      </c>
      <c r="AA18" s="11"/>
      <c r="AB18" s="11">
        <f t="shared" si="12"/>
        <v>0</v>
      </c>
      <c r="AC18" s="11"/>
      <c r="AD18" s="11">
        <f t="shared" si="13"/>
        <v>0</v>
      </c>
      <c r="AE18" s="11">
        <f t="shared" si="14"/>
        <v>0</v>
      </c>
      <c r="AF18" s="11">
        <f t="shared" si="14"/>
        <v>0</v>
      </c>
      <c r="AG18" s="114">
        <f t="shared" si="15"/>
        <v>0</v>
      </c>
    </row>
    <row r="19" spans="1:33" ht="25.5" customHeight="1" x14ac:dyDescent="0.6">
      <c r="A19" s="37">
        <v>14</v>
      </c>
      <c r="B19" s="38"/>
      <c r="C19" s="6"/>
      <c r="D19" s="11">
        <f t="shared" si="0"/>
        <v>0</v>
      </c>
      <c r="E19" s="6"/>
      <c r="F19" s="11">
        <f t="shared" si="1"/>
        <v>0</v>
      </c>
      <c r="G19" s="6"/>
      <c r="H19" s="11">
        <f t="shared" si="2"/>
        <v>0</v>
      </c>
      <c r="I19" s="6"/>
      <c r="J19" s="11">
        <f t="shared" si="3"/>
        <v>0</v>
      </c>
      <c r="K19" s="6"/>
      <c r="L19" s="11">
        <f t="shared" si="4"/>
        <v>0</v>
      </c>
      <c r="M19" s="6"/>
      <c r="N19" s="11">
        <f t="shared" si="5"/>
        <v>0</v>
      </c>
      <c r="O19" s="6"/>
      <c r="P19" s="11">
        <f t="shared" si="6"/>
        <v>0</v>
      </c>
      <c r="Q19" s="6"/>
      <c r="R19" s="11">
        <f t="shared" si="7"/>
        <v>0</v>
      </c>
      <c r="S19" s="6"/>
      <c r="T19" s="11">
        <f t="shared" si="8"/>
        <v>0</v>
      </c>
      <c r="U19" s="6"/>
      <c r="V19" s="11">
        <f t="shared" si="9"/>
        <v>0</v>
      </c>
      <c r="W19" s="6"/>
      <c r="X19" s="11">
        <f t="shared" si="10"/>
        <v>0</v>
      </c>
      <c r="Y19" s="11"/>
      <c r="Z19" s="11">
        <f t="shared" si="11"/>
        <v>0</v>
      </c>
      <c r="AA19" s="11"/>
      <c r="AB19" s="11">
        <f t="shared" si="12"/>
        <v>0</v>
      </c>
      <c r="AC19" s="11"/>
      <c r="AD19" s="11">
        <f t="shared" si="13"/>
        <v>0</v>
      </c>
      <c r="AE19" s="11">
        <f t="shared" si="14"/>
        <v>0</v>
      </c>
      <c r="AF19" s="11">
        <f t="shared" si="14"/>
        <v>0</v>
      </c>
      <c r="AG19" s="114">
        <f t="shared" si="15"/>
        <v>0</v>
      </c>
    </row>
    <row r="20" spans="1:33" ht="25.5" customHeight="1" x14ac:dyDescent="0.6">
      <c r="A20" s="37">
        <v>15</v>
      </c>
      <c r="B20" s="38"/>
      <c r="C20" s="6"/>
      <c r="D20" s="11">
        <f t="shared" si="0"/>
        <v>0</v>
      </c>
      <c r="E20" s="6"/>
      <c r="F20" s="11">
        <f t="shared" si="1"/>
        <v>0</v>
      </c>
      <c r="G20" s="6"/>
      <c r="H20" s="11">
        <f t="shared" si="2"/>
        <v>0</v>
      </c>
      <c r="I20" s="6"/>
      <c r="J20" s="11">
        <f t="shared" si="3"/>
        <v>0</v>
      </c>
      <c r="K20" s="6"/>
      <c r="L20" s="11">
        <f t="shared" si="4"/>
        <v>0</v>
      </c>
      <c r="M20" s="6"/>
      <c r="N20" s="11">
        <f t="shared" si="5"/>
        <v>0</v>
      </c>
      <c r="O20" s="6"/>
      <c r="P20" s="11">
        <f t="shared" si="6"/>
        <v>0</v>
      </c>
      <c r="Q20" s="6"/>
      <c r="R20" s="11">
        <f t="shared" si="7"/>
        <v>0</v>
      </c>
      <c r="S20" s="6"/>
      <c r="T20" s="11">
        <f t="shared" si="8"/>
        <v>0</v>
      </c>
      <c r="U20" s="6"/>
      <c r="V20" s="11">
        <f t="shared" si="9"/>
        <v>0</v>
      </c>
      <c r="W20" s="6"/>
      <c r="X20" s="11">
        <f t="shared" si="10"/>
        <v>0</v>
      </c>
      <c r="Y20" s="11"/>
      <c r="Z20" s="11">
        <f t="shared" si="11"/>
        <v>0</v>
      </c>
      <c r="AA20" s="11"/>
      <c r="AB20" s="11">
        <f t="shared" si="12"/>
        <v>0</v>
      </c>
      <c r="AC20" s="11"/>
      <c r="AD20" s="11">
        <f t="shared" si="13"/>
        <v>0</v>
      </c>
      <c r="AE20" s="11">
        <f t="shared" si="14"/>
        <v>0</v>
      </c>
      <c r="AF20" s="11">
        <f t="shared" si="14"/>
        <v>0</v>
      </c>
      <c r="AG20" s="114">
        <f t="shared" si="15"/>
        <v>0</v>
      </c>
    </row>
    <row r="21" spans="1:33" ht="25.5" customHeight="1" x14ac:dyDescent="0.6">
      <c r="A21" s="37">
        <v>16</v>
      </c>
      <c r="B21" s="38"/>
      <c r="C21" s="6"/>
      <c r="D21" s="11">
        <f t="shared" si="0"/>
        <v>0</v>
      </c>
      <c r="E21" s="6"/>
      <c r="F21" s="11">
        <f t="shared" si="1"/>
        <v>0</v>
      </c>
      <c r="G21" s="6"/>
      <c r="H21" s="11">
        <f t="shared" si="2"/>
        <v>0</v>
      </c>
      <c r="I21" s="6"/>
      <c r="J21" s="11">
        <f t="shared" si="3"/>
        <v>0</v>
      </c>
      <c r="K21" s="6"/>
      <c r="L21" s="11">
        <f t="shared" si="4"/>
        <v>0</v>
      </c>
      <c r="M21" s="6"/>
      <c r="N21" s="11">
        <f t="shared" si="5"/>
        <v>0</v>
      </c>
      <c r="O21" s="6"/>
      <c r="P21" s="11">
        <f t="shared" si="6"/>
        <v>0</v>
      </c>
      <c r="Q21" s="6"/>
      <c r="R21" s="11">
        <f t="shared" si="7"/>
        <v>0</v>
      </c>
      <c r="S21" s="6"/>
      <c r="T21" s="11">
        <f t="shared" si="8"/>
        <v>0</v>
      </c>
      <c r="U21" s="6"/>
      <c r="V21" s="11">
        <f t="shared" si="9"/>
        <v>0</v>
      </c>
      <c r="W21" s="6"/>
      <c r="X21" s="11">
        <f t="shared" si="10"/>
        <v>0</v>
      </c>
      <c r="Y21" s="11"/>
      <c r="Z21" s="11">
        <f t="shared" si="11"/>
        <v>0</v>
      </c>
      <c r="AA21" s="11"/>
      <c r="AB21" s="11">
        <f t="shared" si="12"/>
        <v>0</v>
      </c>
      <c r="AC21" s="11"/>
      <c r="AD21" s="11">
        <f t="shared" si="13"/>
        <v>0</v>
      </c>
      <c r="AE21" s="11">
        <f t="shared" si="14"/>
        <v>0</v>
      </c>
      <c r="AF21" s="11">
        <f t="shared" si="14"/>
        <v>0</v>
      </c>
      <c r="AG21" s="114">
        <f t="shared" si="15"/>
        <v>0</v>
      </c>
    </row>
    <row r="22" spans="1:33" ht="25.5" customHeight="1" x14ac:dyDescent="0.6">
      <c r="A22" s="37">
        <v>17</v>
      </c>
      <c r="B22" s="38"/>
      <c r="C22" s="6"/>
      <c r="D22" s="11">
        <f t="shared" si="0"/>
        <v>0</v>
      </c>
      <c r="E22" s="6"/>
      <c r="F22" s="11">
        <f t="shared" si="1"/>
        <v>0</v>
      </c>
      <c r="G22" s="6"/>
      <c r="H22" s="11">
        <f t="shared" si="2"/>
        <v>0</v>
      </c>
      <c r="I22" s="6"/>
      <c r="J22" s="11">
        <f t="shared" si="3"/>
        <v>0</v>
      </c>
      <c r="K22" s="6"/>
      <c r="L22" s="11">
        <f t="shared" si="4"/>
        <v>0</v>
      </c>
      <c r="M22" s="6"/>
      <c r="N22" s="11">
        <f t="shared" si="5"/>
        <v>0</v>
      </c>
      <c r="O22" s="6"/>
      <c r="P22" s="11">
        <f t="shared" si="6"/>
        <v>0</v>
      </c>
      <c r="Q22" s="6"/>
      <c r="R22" s="11">
        <f t="shared" si="7"/>
        <v>0</v>
      </c>
      <c r="S22" s="6"/>
      <c r="T22" s="11">
        <f t="shared" si="8"/>
        <v>0</v>
      </c>
      <c r="U22" s="6"/>
      <c r="V22" s="11">
        <f t="shared" si="9"/>
        <v>0</v>
      </c>
      <c r="W22" s="6"/>
      <c r="X22" s="11">
        <f t="shared" si="10"/>
        <v>0</v>
      </c>
      <c r="Y22" s="11"/>
      <c r="Z22" s="11">
        <f t="shared" si="11"/>
        <v>0</v>
      </c>
      <c r="AA22" s="11"/>
      <c r="AB22" s="11">
        <f t="shared" si="12"/>
        <v>0</v>
      </c>
      <c r="AC22" s="11"/>
      <c r="AD22" s="11">
        <f t="shared" si="13"/>
        <v>0</v>
      </c>
      <c r="AE22" s="11">
        <f t="shared" si="14"/>
        <v>0</v>
      </c>
      <c r="AF22" s="11">
        <f t="shared" si="14"/>
        <v>0</v>
      </c>
      <c r="AG22" s="114">
        <f t="shared" si="15"/>
        <v>0</v>
      </c>
    </row>
    <row r="23" spans="1:33" ht="25.5" customHeight="1" x14ac:dyDescent="0.6">
      <c r="A23" s="37">
        <v>18</v>
      </c>
      <c r="B23" s="38"/>
      <c r="C23" s="6"/>
      <c r="D23" s="11">
        <f t="shared" si="0"/>
        <v>0</v>
      </c>
      <c r="E23" s="6"/>
      <c r="F23" s="11">
        <f t="shared" si="1"/>
        <v>0</v>
      </c>
      <c r="G23" s="6"/>
      <c r="H23" s="11">
        <f t="shared" si="2"/>
        <v>0</v>
      </c>
      <c r="I23" s="6"/>
      <c r="J23" s="11">
        <f t="shared" si="3"/>
        <v>0</v>
      </c>
      <c r="K23" s="6"/>
      <c r="L23" s="11">
        <f t="shared" si="4"/>
        <v>0</v>
      </c>
      <c r="M23" s="6"/>
      <c r="N23" s="11">
        <f t="shared" si="5"/>
        <v>0</v>
      </c>
      <c r="O23" s="6"/>
      <c r="P23" s="11"/>
      <c r="Q23" s="6"/>
      <c r="R23" s="11">
        <f t="shared" si="7"/>
        <v>0</v>
      </c>
      <c r="S23" s="6"/>
      <c r="T23" s="11">
        <f t="shared" si="8"/>
        <v>0</v>
      </c>
      <c r="U23" s="6"/>
      <c r="V23" s="11"/>
      <c r="W23" s="6"/>
      <c r="X23" s="11">
        <f t="shared" si="10"/>
        <v>0</v>
      </c>
      <c r="Y23" s="11"/>
      <c r="Z23" s="11">
        <f t="shared" si="11"/>
        <v>0</v>
      </c>
      <c r="AA23" s="11"/>
      <c r="AB23" s="11"/>
      <c r="AC23" s="11"/>
      <c r="AD23" s="11"/>
      <c r="AE23" s="11">
        <f t="shared" si="14"/>
        <v>0</v>
      </c>
      <c r="AF23" s="11">
        <f t="shared" si="14"/>
        <v>0</v>
      </c>
      <c r="AG23" s="114">
        <f t="shared" si="15"/>
        <v>0</v>
      </c>
    </row>
    <row r="24" spans="1:33" ht="25.5" customHeight="1" x14ac:dyDescent="0.6">
      <c r="A24" s="37">
        <v>19</v>
      </c>
      <c r="B24" s="38"/>
      <c r="C24" s="6"/>
      <c r="D24" s="11">
        <f t="shared" si="0"/>
        <v>0</v>
      </c>
      <c r="E24" s="6"/>
      <c r="F24" s="11">
        <f t="shared" si="1"/>
        <v>0</v>
      </c>
      <c r="G24" s="6"/>
      <c r="H24" s="11">
        <f t="shared" si="2"/>
        <v>0</v>
      </c>
      <c r="I24" s="6"/>
      <c r="J24" s="11">
        <f t="shared" si="3"/>
        <v>0</v>
      </c>
      <c r="K24" s="6"/>
      <c r="L24" s="11">
        <f t="shared" si="4"/>
        <v>0</v>
      </c>
      <c r="M24" s="6"/>
      <c r="N24" s="11">
        <f t="shared" si="5"/>
        <v>0</v>
      </c>
      <c r="O24" s="6"/>
      <c r="P24" s="11"/>
      <c r="Q24" s="6"/>
      <c r="R24" s="11"/>
      <c r="S24" s="6"/>
      <c r="T24" s="11"/>
      <c r="U24" s="6"/>
      <c r="V24" s="11"/>
      <c r="W24" s="6"/>
      <c r="X24" s="11">
        <f t="shared" si="10"/>
        <v>0</v>
      </c>
      <c r="Y24" s="11"/>
      <c r="Z24" s="11">
        <f t="shared" si="11"/>
        <v>0</v>
      </c>
      <c r="AA24" s="11"/>
      <c r="AB24" s="11"/>
      <c r="AC24" s="11"/>
      <c r="AD24" s="11"/>
      <c r="AE24" s="11">
        <f t="shared" si="14"/>
        <v>0</v>
      </c>
      <c r="AF24" s="11">
        <f t="shared" si="14"/>
        <v>0</v>
      </c>
      <c r="AG24" s="114">
        <f t="shared" si="15"/>
        <v>0</v>
      </c>
    </row>
    <row r="25" spans="1:33" ht="25.5" customHeight="1" x14ac:dyDescent="0.6">
      <c r="A25" s="37">
        <v>20</v>
      </c>
      <c r="B25" s="38"/>
      <c r="C25" s="6"/>
      <c r="D25" s="11">
        <f t="shared" si="0"/>
        <v>0</v>
      </c>
      <c r="E25" s="6"/>
      <c r="F25" s="11">
        <f t="shared" si="1"/>
        <v>0</v>
      </c>
      <c r="G25" s="6"/>
      <c r="H25" s="11">
        <f t="shared" si="2"/>
        <v>0</v>
      </c>
      <c r="I25" s="6"/>
      <c r="J25" s="11">
        <f t="shared" si="3"/>
        <v>0</v>
      </c>
      <c r="K25" s="6"/>
      <c r="L25" s="11"/>
      <c r="M25" s="6"/>
      <c r="N25" s="11">
        <f t="shared" si="5"/>
        <v>0</v>
      </c>
      <c r="O25" s="6"/>
      <c r="P25" s="11"/>
      <c r="Q25" s="6"/>
      <c r="R25" s="11"/>
      <c r="S25" s="6"/>
      <c r="T25" s="11"/>
      <c r="U25" s="6"/>
      <c r="V25" s="11"/>
      <c r="W25" s="6"/>
      <c r="X25" s="11">
        <f t="shared" si="10"/>
        <v>0</v>
      </c>
      <c r="Y25" s="11"/>
      <c r="Z25" s="11"/>
      <c r="AA25" s="11"/>
      <c r="AB25" s="11"/>
      <c r="AC25" s="11"/>
      <c r="AD25" s="11"/>
      <c r="AE25" s="11">
        <f t="shared" si="14"/>
        <v>0</v>
      </c>
      <c r="AF25" s="11">
        <f t="shared" si="14"/>
        <v>0</v>
      </c>
      <c r="AG25" s="114">
        <f t="shared" si="15"/>
        <v>0</v>
      </c>
    </row>
    <row r="26" spans="1:33" ht="25.5" customHeight="1" x14ac:dyDescent="0.6">
      <c r="A26" s="37">
        <v>18</v>
      </c>
      <c r="B26" s="38"/>
      <c r="C26" s="6"/>
      <c r="D26" s="11">
        <f t="shared" si="0"/>
        <v>0</v>
      </c>
      <c r="E26" s="6"/>
      <c r="F26" s="11">
        <f t="shared" si="1"/>
        <v>0</v>
      </c>
      <c r="G26" s="6"/>
      <c r="H26" s="11">
        <f t="shared" si="2"/>
        <v>0</v>
      </c>
      <c r="I26" s="6"/>
      <c r="J26" s="11">
        <f t="shared" si="3"/>
        <v>0</v>
      </c>
      <c r="K26" s="6"/>
      <c r="L26" s="11"/>
      <c r="M26" s="6"/>
      <c r="N26" s="11">
        <f t="shared" si="5"/>
        <v>0</v>
      </c>
      <c r="O26" s="6"/>
      <c r="P26" s="11"/>
      <c r="Q26" s="6"/>
      <c r="R26" s="11"/>
      <c r="S26" s="6"/>
      <c r="T26" s="11"/>
      <c r="U26" s="6"/>
      <c r="V26" s="11"/>
      <c r="W26" s="6"/>
      <c r="X26" s="11">
        <f t="shared" si="10"/>
        <v>0</v>
      </c>
      <c r="Y26" s="11"/>
      <c r="Z26" s="11"/>
      <c r="AA26" s="11"/>
      <c r="AB26" s="11"/>
      <c r="AC26" s="11"/>
      <c r="AD26" s="11"/>
      <c r="AE26" s="11">
        <f t="shared" si="14"/>
        <v>0</v>
      </c>
      <c r="AF26" s="11">
        <f t="shared" si="14"/>
        <v>0</v>
      </c>
      <c r="AG26" s="114">
        <f t="shared" si="15"/>
        <v>0</v>
      </c>
    </row>
    <row r="27" spans="1:33" ht="25.5" customHeight="1" x14ac:dyDescent="0.6">
      <c r="A27" s="37">
        <v>19</v>
      </c>
      <c r="B27" s="38"/>
      <c r="C27" s="53">
        <f>SUM(C6:C26)</f>
        <v>1185</v>
      </c>
      <c r="D27" s="6">
        <f t="shared" ref="D27:AC27" si="16">SUM(D6:D26)</f>
        <v>16590</v>
      </c>
      <c r="E27" s="53">
        <f t="shared" si="16"/>
        <v>1970</v>
      </c>
      <c r="F27" s="6">
        <f t="shared" si="16"/>
        <v>23640</v>
      </c>
      <c r="G27" s="53">
        <f t="shared" si="16"/>
        <v>350</v>
      </c>
      <c r="H27" s="6">
        <f t="shared" si="16"/>
        <v>4200</v>
      </c>
      <c r="I27" s="53">
        <f t="shared" si="16"/>
        <v>300</v>
      </c>
      <c r="J27" s="6">
        <f t="shared" si="16"/>
        <v>12000</v>
      </c>
      <c r="K27" s="53">
        <f t="shared" si="16"/>
        <v>0</v>
      </c>
      <c r="L27" s="6">
        <f t="shared" si="16"/>
        <v>0</v>
      </c>
      <c r="M27" s="53">
        <f t="shared" si="16"/>
        <v>735</v>
      </c>
      <c r="N27" s="6">
        <f t="shared" si="16"/>
        <v>8820</v>
      </c>
      <c r="O27" s="53">
        <f t="shared" si="16"/>
        <v>90</v>
      </c>
      <c r="P27" s="6">
        <f t="shared" si="16"/>
        <v>3600</v>
      </c>
      <c r="Q27" s="53">
        <f t="shared" si="16"/>
        <v>190</v>
      </c>
      <c r="R27" s="6">
        <f t="shared" si="16"/>
        <v>2660</v>
      </c>
      <c r="S27" s="53">
        <f t="shared" si="16"/>
        <v>50</v>
      </c>
      <c r="T27" s="6">
        <f t="shared" si="16"/>
        <v>700</v>
      </c>
      <c r="U27" s="6">
        <f t="shared" si="16"/>
        <v>0</v>
      </c>
      <c r="V27" s="6">
        <f t="shared" si="16"/>
        <v>0</v>
      </c>
      <c r="W27" s="53">
        <f>SUM(W6:W26)</f>
        <v>0</v>
      </c>
      <c r="X27" s="6">
        <f>SUM(X6:X26)</f>
        <v>0</v>
      </c>
      <c r="Y27" s="53">
        <f t="shared" si="16"/>
        <v>10</v>
      </c>
      <c r="Z27" s="6">
        <f t="shared" si="16"/>
        <v>140</v>
      </c>
      <c r="AA27" s="6">
        <f t="shared" si="16"/>
        <v>0</v>
      </c>
      <c r="AB27" s="6">
        <f t="shared" si="16"/>
        <v>0</v>
      </c>
      <c r="AC27" s="6">
        <f t="shared" si="16"/>
        <v>0</v>
      </c>
      <c r="AD27" s="6">
        <f>SUM(AD6:AD26)</f>
        <v>0</v>
      </c>
      <c r="AE27" s="6">
        <f>SUM(AE6:AE26)</f>
        <v>4880</v>
      </c>
      <c r="AF27" s="6">
        <f>SUM(AF6:AF26)</f>
        <v>72350</v>
      </c>
      <c r="AG27" s="115">
        <f t="shared" si="15"/>
        <v>53297.599999999999</v>
      </c>
    </row>
    <row r="28" spans="1:33" ht="38.25" customHeight="1" x14ac:dyDescent="0.6"/>
    <row r="29" spans="1:33" ht="38.25" customHeight="1" x14ac:dyDescent="0.6">
      <c r="AE29" s="1">
        <f>SUM(AE27)</f>
        <v>4880</v>
      </c>
      <c r="AF29" s="1">
        <f>SUM(AF27)</f>
        <v>72350</v>
      </c>
    </row>
    <row r="30" spans="1:33" ht="38.25" customHeight="1" x14ac:dyDescent="0.6"/>
    <row r="31" spans="1:33" ht="38.25" customHeight="1" x14ac:dyDescent="0.6"/>
    <row r="32" spans="1:33" ht="38.25" customHeight="1" x14ac:dyDescent="0.6"/>
    <row r="33" ht="38.25" customHeight="1" x14ac:dyDescent="0.6"/>
    <row r="34" ht="38.25" customHeight="1" x14ac:dyDescent="0.6"/>
    <row r="35" ht="38.25" customHeight="1" x14ac:dyDescent="0.6"/>
    <row r="36" ht="38.25" customHeight="1" x14ac:dyDescent="0.6"/>
    <row r="37" ht="38.25" customHeight="1" x14ac:dyDescent="0.6"/>
    <row r="38" ht="38.25" customHeight="1" x14ac:dyDescent="0.6"/>
    <row r="39" ht="38.25" customHeight="1" x14ac:dyDescent="0.6"/>
    <row r="40" ht="38.25" customHeight="1" x14ac:dyDescent="0.6"/>
    <row r="41" ht="38.25" customHeight="1" x14ac:dyDescent="0.6"/>
    <row r="42" ht="38.25" customHeight="1" x14ac:dyDescent="0.6"/>
    <row r="43" ht="38.25" customHeight="1" x14ac:dyDescent="0.6"/>
    <row r="44" ht="38.25" customHeight="1" x14ac:dyDescent="0.6"/>
    <row r="45" ht="38.25" customHeight="1" x14ac:dyDescent="0.6"/>
    <row r="46" ht="38.25" customHeight="1" x14ac:dyDescent="0.6"/>
    <row r="47" ht="38.25" customHeight="1" x14ac:dyDescent="0.6"/>
    <row r="48" ht="38.25" customHeight="1" x14ac:dyDescent="0.6"/>
    <row r="49" ht="38.25" customHeight="1" x14ac:dyDescent="0.6"/>
    <row r="50" ht="38.25" customHeight="1" x14ac:dyDescent="0.6"/>
    <row r="51" ht="38.25" customHeight="1" x14ac:dyDescent="0.6"/>
    <row r="52" ht="38.25" customHeight="1" x14ac:dyDescent="0.6"/>
    <row r="53" ht="38.25" customHeight="1" x14ac:dyDescent="0.6"/>
    <row r="54" ht="38.25" customHeight="1" x14ac:dyDescent="0.6"/>
    <row r="55" ht="38.25" customHeight="1" x14ac:dyDescent="0.6"/>
    <row r="56" ht="38.25" customHeight="1" x14ac:dyDescent="0.6"/>
    <row r="57" ht="38.25" customHeight="1" x14ac:dyDescent="0.6"/>
    <row r="58" ht="38.25" customHeight="1" x14ac:dyDescent="0.6"/>
    <row r="59" ht="38.25" customHeight="1" x14ac:dyDescent="0.6"/>
    <row r="60" ht="38.25" customHeight="1" x14ac:dyDescent="0.6"/>
    <row r="61" ht="38.2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</sheetData>
  <mergeCells count="19">
    <mergeCell ref="Y3:Z3"/>
    <mergeCell ref="AE3:AG3"/>
    <mergeCell ref="C1:AD1"/>
    <mergeCell ref="A2:A4"/>
    <mergeCell ref="B2:B4"/>
    <mergeCell ref="C2:AD2"/>
    <mergeCell ref="C3:D3"/>
    <mergeCell ref="E3:F3"/>
    <mergeCell ref="G3:H3"/>
    <mergeCell ref="I3:J3"/>
    <mergeCell ref="K3:L3"/>
    <mergeCell ref="M3:N3"/>
    <mergeCell ref="U3:V3"/>
    <mergeCell ref="W3:X3"/>
    <mergeCell ref="O3:P3"/>
    <mergeCell ref="Q3:R3"/>
    <mergeCell ref="AA3:AB3"/>
    <mergeCell ref="S3:T3"/>
    <mergeCell ref="AC3:AD3"/>
  </mergeCells>
  <hyperlinks>
    <hyperlink ref="C1:AD1" location="'SMM YGN '!A1" display="မိုးအောင် (တောင်ဒဂုံ)" xr:uid="{00000000-0004-0000-0A00-000000000000}"/>
    <hyperlink ref="W1:X1" location="'SMM YGN '!A1" display="မိုးအောင် (တောင်ဒဂုံ)" xr:uid="{00000000-0004-0000-0A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FA65-6577-485D-80B2-B9A4F1EA987E}">
  <dimension ref="A1:S192"/>
  <sheetViews>
    <sheetView tabSelected="1" zoomScale="95" zoomScaleNormal="95" workbookViewId="0">
      <pane ySplit="2" topLeftCell="A166" activePane="bottomLeft" state="frozen"/>
      <selection activeCell="D1" sqref="D1"/>
      <selection pane="bottomLeft" activeCell="E169" sqref="E169"/>
    </sheetView>
  </sheetViews>
  <sheetFormatPr defaultColWidth="8.85546875" defaultRowHeight="21" x14ac:dyDescent="0.25"/>
  <cols>
    <col min="1" max="1" width="3.85546875" style="578" customWidth="1"/>
    <col min="2" max="2" width="25.42578125" style="597" customWidth="1"/>
    <col min="3" max="3" width="17" style="597" customWidth="1"/>
    <col min="4" max="4" width="14.7109375" style="597" customWidth="1"/>
    <col min="5" max="5" width="12.28515625" style="578" customWidth="1"/>
    <col min="6" max="6" width="14.42578125" style="578" customWidth="1"/>
    <col min="7" max="7" width="15.7109375" style="602" customWidth="1"/>
    <col min="8" max="8" width="10.85546875" style="602" customWidth="1"/>
    <col min="9" max="9" width="9.7109375" style="602" customWidth="1"/>
    <col min="10" max="10" width="10" style="578" customWidth="1"/>
    <col min="11" max="11" width="12.7109375" style="578" bestFit="1" customWidth="1"/>
    <col min="12" max="12" width="13" style="578" customWidth="1"/>
    <col min="13" max="13" width="9.28515625" style="578" bestFit="1" customWidth="1"/>
    <col min="14" max="15" width="0" style="578" hidden="1" customWidth="1"/>
    <col min="16" max="16" width="14" style="578" bestFit="1" customWidth="1"/>
    <col min="17" max="17" width="33.42578125" style="578" customWidth="1"/>
    <col min="18" max="18" width="13.28515625" style="578" customWidth="1"/>
    <col min="19" max="19" width="12.140625" style="578" bestFit="1" customWidth="1"/>
    <col min="20" max="16384" width="8.85546875" style="578"/>
  </cols>
  <sheetData>
    <row r="1" spans="1:17" s="577" customFormat="1" ht="30" customHeight="1" thickBot="1" x14ac:dyDescent="0.3">
      <c r="A1" s="750" t="s">
        <v>1545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  <c r="Q1" s="750"/>
    </row>
    <row r="2" spans="1:17" ht="30" customHeight="1" thickBot="1" x14ac:dyDescent="0.3">
      <c r="A2" s="556" t="s">
        <v>325</v>
      </c>
      <c r="B2" s="557" t="s">
        <v>1217</v>
      </c>
      <c r="C2" s="557" t="s">
        <v>1218</v>
      </c>
      <c r="D2" s="557" t="s">
        <v>1523</v>
      </c>
      <c r="E2" s="557" t="s">
        <v>1219</v>
      </c>
      <c r="F2" s="557" t="s">
        <v>1220</v>
      </c>
      <c r="G2" s="557" t="s">
        <v>1221</v>
      </c>
      <c r="H2" s="557" t="s">
        <v>1222</v>
      </c>
      <c r="I2" s="557" t="s">
        <v>1223</v>
      </c>
      <c r="J2" s="558" t="s">
        <v>1224</v>
      </c>
      <c r="K2" s="558" t="s">
        <v>1225</v>
      </c>
      <c r="L2" s="558" t="s">
        <v>1226</v>
      </c>
      <c r="M2" s="558" t="s">
        <v>1227</v>
      </c>
      <c r="N2" s="558" t="s">
        <v>1228</v>
      </c>
      <c r="O2" s="558" t="s">
        <v>1229</v>
      </c>
      <c r="P2" s="557" t="s">
        <v>1230</v>
      </c>
      <c r="Q2" s="559" t="s">
        <v>1231</v>
      </c>
    </row>
    <row r="3" spans="1:17" s="9" customFormat="1" ht="19.899999999999999" customHeight="1" x14ac:dyDescent="0.5">
      <c r="A3" s="579">
        <v>1</v>
      </c>
      <c r="B3" s="657" t="s">
        <v>106</v>
      </c>
      <c r="C3" s="538" t="s">
        <v>113</v>
      </c>
      <c r="D3" s="538" t="s">
        <v>1524</v>
      </c>
      <c r="E3" s="381"/>
      <c r="F3" s="381"/>
      <c r="G3" s="600">
        <v>46097</v>
      </c>
      <c r="H3" s="419">
        <f t="shared" ref="H3:H37" ca="1" si="0">TODAY()</f>
        <v>46102</v>
      </c>
      <c r="I3" s="384" t="str">
        <f t="shared" ref="I3:I6" ca="1" si="1">DATEDIF(G3,H3,"M")&amp;"-Months"</f>
        <v>0-Months</v>
      </c>
      <c r="J3" s="385" t="s">
        <v>1575</v>
      </c>
      <c r="K3" s="66">
        <v>945000</v>
      </c>
      <c r="L3" s="386"/>
      <c r="M3" s="386"/>
      <c r="N3" s="386"/>
      <c r="O3" s="386"/>
      <c r="P3" s="386">
        <f t="shared" ref="P3:P135" si="2">K3+L3+M3</f>
        <v>945000</v>
      </c>
      <c r="Q3" s="553"/>
    </row>
    <row r="4" spans="1:17" s="9" customFormat="1" ht="19.899999999999999" customHeight="1" x14ac:dyDescent="0.5">
      <c r="A4" s="579">
        <v>2</v>
      </c>
      <c r="B4" s="452" t="s">
        <v>106</v>
      </c>
      <c r="C4" s="538" t="s">
        <v>113</v>
      </c>
      <c r="D4" s="538" t="s">
        <v>1524</v>
      </c>
      <c r="E4" s="381"/>
      <c r="F4" s="381"/>
      <c r="G4" s="600">
        <v>46097</v>
      </c>
      <c r="H4" s="419">
        <f t="shared" ca="1" si="0"/>
        <v>46102</v>
      </c>
      <c r="I4" s="384" t="str">
        <f t="shared" ca="1" si="1"/>
        <v>0-Months</v>
      </c>
      <c r="J4" s="385" t="s">
        <v>1575</v>
      </c>
      <c r="K4" s="66">
        <v>2548800</v>
      </c>
      <c r="L4" s="386"/>
      <c r="M4" s="386"/>
      <c r="N4" s="386"/>
      <c r="O4" s="386"/>
      <c r="P4" s="386">
        <f t="shared" si="2"/>
        <v>2548800</v>
      </c>
      <c r="Q4" s="553"/>
    </row>
    <row r="5" spans="1:17" s="9" customFormat="1" ht="19.899999999999999" customHeight="1" x14ac:dyDescent="0.5">
      <c r="A5" s="579">
        <v>3</v>
      </c>
      <c r="B5" s="452" t="s">
        <v>106</v>
      </c>
      <c r="C5" s="538" t="s">
        <v>113</v>
      </c>
      <c r="D5" s="538" t="s">
        <v>1524</v>
      </c>
      <c r="E5" s="381"/>
      <c r="F5" s="381"/>
      <c r="G5" s="600">
        <v>46097</v>
      </c>
      <c r="H5" s="419">
        <f t="shared" ca="1" si="0"/>
        <v>46102</v>
      </c>
      <c r="I5" s="384" t="str">
        <f t="shared" ca="1" si="1"/>
        <v>0-Months</v>
      </c>
      <c r="J5" s="385" t="s">
        <v>1575</v>
      </c>
      <c r="K5" s="66">
        <v>648000</v>
      </c>
      <c r="L5" s="386"/>
      <c r="M5" s="386"/>
      <c r="N5" s="386"/>
      <c r="O5" s="386"/>
      <c r="P5" s="386">
        <f t="shared" si="2"/>
        <v>648000</v>
      </c>
      <c r="Q5" s="553"/>
    </row>
    <row r="6" spans="1:17" s="9" customFormat="1" ht="19.899999999999999" customHeight="1" x14ac:dyDescent="0.5">
      <c r="A6" s="579">
        <v>4</v>
      </c>
      <c r="B6" s="452" t="s">
        <v>106</v>
      </c>
      <c r="C6" s="538" t="s">
        <v>113</v>
      </c>
      <c r="D6" s="538" t="s">
        <v>1524</v>
      </c>
      <c r="E6" s="381"/>
      <c r="F6" s="381"/>
      <c r="G6" s="600">
        <v>46097</v>
      </c>
      <c r="H6" s="419">
        <f t="shared" ca="1" si="0"/>
        <v>46102</v>
      </c>
      <c r="I6" s="384" t="str">
        <f t="shared" ca="1" si="1"/>
        <v>0-Months</v>
      </c>
      <c r="J6" s="385" t="s">
        <v>1575</v>
      </c>
      <c r="K6" s="66">
        <v>290400</v>
      </c>
      <c r="L6" s="386"/>
      <c r="M6" s="386"/>
      <c r="N6" s="386"/>
      <c r="O6" s="386"/>
      <c r="P6" s="386">
        <f t="shared" si="2"/>
        <v>290400</v>
      </c>
      <c r="Q6" s="553"/>
    </row>
    <row r="7" spans="1:17" s="9" customFormat="1" ht="19.899999999999999" customHeight="1" x14ac:dyDescent="0.5">
      <c r="A7" s="579">
        <v>5</v>
      </c>
      <c r="B7" s="452" t="s">
        <v>106</v>
      </c>
      <c r="C7" s="538" t="s">
        <v>113</v>
      </c>
      <c r="D7" s="538" t="s">
        <v>1524</v>
      </c>
      <c r="E7" s="381"/>
      <c r="F7" s="381"/>
      <c r="G7" s="600">
        <v>46097</v>
      </c>
      <c r="H7" s="419">
        <f t="shared" ca="1" si="0"/>
        <v>46102</v>
      </c>
      <c r="I7" s="384" t="str">
        <f t="shared" ref="I7" ca="1" si="3">DATEDIF(G7,H7,"M")&amp;"-Months"</f>
        <v>0-Months</v>
      </c>
      <c r="J7" s="385" t="s">
        <v>1575</v>
      </c>
      <c r="K7" s="66">
        <v>542000</v>
      </c>
      <c r="L7" s="386"/>
      <c r="M7" s="386"/>
      <c r="N7" s="386"/>
      <c r="O7" s="386"/>
      <c r="P7" s="386">
        <f t="shared" si="2"/>
        <v>542000</v>
      </c>
      <c r="Q7" s="553"/>
    </row>
    <row r="8" spans="1:17" s="9" customFormat="1" ht="19.899999999999999" customHeight="1" x14ac:dyDescent="0.5">
      <c r="A8" s="579">
        <v>6</v>
      </c>
      <c r="B8" s="538" t="s">
        <v>31</v>
      </c>
      <c r="C8" s="538" t="s">
        <v>118</v>
      </c>
      <c r="D8" s="538" t="s">
        <v>1524</v>
      </c>
      <c r="E8" s="381"/>
      <c r="F8" s="381"/>
      <c r="G8" s="600">
        <v>46097</v>
      </c>
      <c r="H8" s="419">
        <f t="shared" ca="1" si="0"/>
        <v>46102</v>
      </c>
      <c r="I8" s="384" t="str">
        <f t="shared" ref="I8:I18" ca="1" si="4">DATEDIF(G8,H8,"M")&amp;"-Months"</f>
        <v>0-Months</v>
      </c>
      <c r="J8" s="385" t="s">
        <v>1546</v>
      </c>
      <c r="K8" s="66">
        <v>2100000</v>
      </c>
      <c r="L8" s="386"/>
      <c r="M8" s="386"/>
      <c r="N8" s="386"/>
      <c r="O8" s="386"/>
      <c r="P8" s="386">
        <f t="shared" si="2"/>
        <v>2100000</v>
      </c>
      <c r="Q8" s="553"/>
    </row>
    <row r="9" spans="1:17" s="9" customFormat="1" ht="19.899999999999999" customHeight="1" x14ac:dyDescent="0.5">
      <c r="A9" s="579">
        <v>7</v>
      </c>
      <c r="B9" s="538" t="s">
        <v>31</v>
      </c>
      <c r="C9" s="538" t="s">
        <v>118</v>
      </c>
      <c r="D9" s="538" t="s">
        <v>1524</v>
      </c>
      <c r="E9" s="381"/>
      <c r="F9" s="381"/>
      <c r="G9" s="600">
        <v>46097</v>
      </c>
      <c r="H9" s="419">
        <f t="shared" ca="1" si="0"/>
        <v>46102</v>
      </c>
      <c r="I9" s="384" t="str">
        <f t="shared" ca="1" si="4"/>
        <v>0-Months</v>
      </c>
      <c r="J9" s="385" t="s">
        <v>1546</v>
      </c>
      <c r="K9" s="66">
        <v>4885200</v>
      </c>
      <c r="L9" s="386"/>
      <c r="M9" s="386"/>
      <c r="N9" s="386"/>
      <c r="O9" s="386"/>
      <c r="P9" s="386">
        <f t="shared" si="2"/>
        <v>4885200</v>
      </c>
      <c r="Q9" s="553"/>
    </row>
    <row r="10" spans="1:17" s="9" customFormat="1" ht="19.899999999999999" customHeight="1" x14ac:dyDescent="0.5">
      <c r="A10" s="579">
        <v>8</v>
      </c>
      <c r="B10" s="538" t="s">
        <v>31</v>
      </c>
      <c r="C10" s="538" t="s">
        <v>118</v>
      </c>
      <c r="D10" s="538" t="s">
        <v>1524</v>
      </c>
      <c r="E10" s="381"/>
      <c r="F10" s="381"/>
      <c r="G10" s="600">
        <v>46097</v>
      </c>
      <c r="H10" s="419">
        <f t="shared" ca="1" si="0"/>
        <v>46102</v>
      </c>
      <c r="I10" s="384" t="str">
        <f t="shared" ca="1" si="4"/>
        <v>0-Months</v>
      </c>
      <c r="J10" s="385" t="s">
        <v>1546</v>
      </c>
      <c r="K10" s="66">
        <v>2404800</v>
      </c>
      <c r="L10" s="386"/>
      <c r="M10" s="386"/>
      <c r="N10" s="386"/>
      <c r="O10" s="386"/>
      <c r="P10" s="386">
        <f t="shared" si="2"/>
        <v>2404800</v>
      </c>
      <c r="Q10" s="553"/>
    </row>
    <row r="11" spans="1:17" s="9" customFormat="1" ht="19.899999999999999" customHeight="1" x14ac:dyDescent="0.5">
      <c r="A11" s="579">
        <v>9</v>
      </c>
      <c r="B11" s="538" t="s">
        <v>31</v>
      </c>
      <c r="C11" s="538" t="s">
        <v>118</v>
      </c>
      <c r="D11" s="538" t="s">
        <v>1524</v>
      </c>
      <c r="E11" s="381"/>
      <c r="F11" s="381"/>
      <c r="G11" s="600">
        <v>46097</v>
      </c>
      <c r="H11" s="419">
        <f t="shared" ca="1" si="0"/>
        <v>46102</v>
      </c>
      <c r="I11" s="384" t="str">
        <f t="shared" ca="1" si="4"/>
        <v>0-Months</v>
      </c>
      <c r="J11" s="385" t="s">
        <v>1546</v>
      </c>
      <c r="K11" s="66">
        <v>168000</v>
      </c>
      <c r="L11" s="386"/>
      <c r="M11" s="386"/>
      <c r="N11" s="386"/>
      <c r="O11" s="386"/>
      <c r="P11" s="386">
        <f t="shared" si="2"/>
        <v>168000</v>
      </c>
      <c r="Q11" s="553"/>
    </row>
    <row r="12" spans="1:17" s="9" customFormat="1" ht="19.899999999999999" customHeight="1" x14ac:dyDescent="0.5">
      <c r="A12" s="579">
        <v>10</v>
      </c>
      <c r="B12" s="538" t="s">
        <v>31</v>
      </c>
      <c r="C12" s="538" t="s">
        <v>118</v>
      </c>
      <c r="D12" s="538" t="s">
        <v>1524</v>
      </c>
      <c r="E12" s="381"/>
      <c r="F12" s="381"/>
      <c r="G12" s="600">
        <v>46097</v>
      </c>
      <c r="H12" s="419">
        <f t="shared" ca="1" si="0"/>
        <v>46102</v>
      </c>
      <c r="I12" s="384" t="str">
        <f t="shared" ca="1" si="4"/>
        <v>0-Months</v>
      </c>
      <c r="J12" s="385" t="s">
        <v>1546</v>
      </c>
      <c r="K12" s="66">
        <v>196000</v>
      </c>
      <c r="L12" s="386"/>
      <c r="M12" s="386"/>
      <c r="N12" s="386"/>
      <c r="O12" s="386"/>
      <c r="P12" s="386">
        <f t="shared" si="2"/>
        <v>196000</v>
      </c>
      <c r="Q12" s="553"/>
    </row>
    <row r="13" spans="1:17" s="9" customFormat="1" ht="19.899999999999999" customHeight="1" x14ac:dyDescent="0.5">
      <c r="A13" s="579">
        <v>11</v>
      </c>
      <c r="B13" s="538" t="s">
        <v>31</v>
      </c>
      <c r="C13" s="538" t="s">
        <v>118</v>
      </c>
      <c r="D13" s="538" t="s">
        <v>1524</v>
      </c>
      <c r="E13" s="381"/>
      <c r="F13" s="381"/>
      <c r="G13" s="600">
        <v>46100</v>
      </c>
      <c r="H13" s="419">
        <f t="shared" ca="1" si="0"/>
        <v>46102</v>
      </c>
      <c r="I13" s="384" t="str">
        <f t="shared" ca="1" si="4"/>
        <v>0-Months</v>
      </c>
      <c r="J13" s="385" t="s">
        <v>1547</v>
      </c>
      <c r="K13" s="66">
        <v>1050000</v>
      </c>
      <c r="L13" s="386"/>
      <c r="M13" s="386"/>
      <c r="N13" s="386"/>
      <c r="O13" s="386"/>
      <c r="P13" s="386">
        <f t="shared" si="2"/>
        <v>1050000</v>
      </c>
      <c r="Q13" s="553"/>
    </row>
    <row r="14" spans="1:17" s="9" customFormat="1" ht="19.899999999999999" customHeight="1" x14ac:dyDescent="0.5">
      <c r="A14" s="579">
        <v>12</v>
      </c>
      <c r="B14" s="538" t="s">
        <v>31</v>
      </c>
      <c r="C14" s="538" t="s">
        <v>118</v>
      </c>
      <c r="D14" s="538" t="s">
        <v>1524</v>
      </c>
      <c r="E14" s="381"/>
      <c r="F14" s="381"/>
      <c r="G14" s="600">
        <v>46100</v>
      </c>
      <c r="H14" s="419">
        <f t="shared" ca="1" si="0"/>
        <v>46102</v>
      </c>
      <c r="I14" s="384" t="str">
        <f t="shared" ca="1" si="4"/>
        <v>0-Months</v>
      </c>
      <c r="J14" s="385" t="s">
        <v>1547</v>
      </c>
      <c r="K14" s="66">
        <v>4460400</v>
      </c>
      <c r="L14" s="386"/>
      <c r="M14" s="386"/>
      <c r="N14" s="386"/>
      <c r="O14" s="386"/>
      <c r="P14" s="386">
        <f t="shared" si="2"/>
        <v>4460400</v>
      </c>
      <c r="Q14" s="553"/>
    </row>
    <row r="15" spans="1:17" s="9" customFormat="1" ht="19.899999999999999" customHeight="1" x14ac:dyDescent="0.5">
      <c r="A15" s="579">
        <v>13</v>
      </c>
      <c r="B15" s="538" t="s">
        <v>31</v>
      </c>
      <c r="C15" s="538" t="s">
        <v>118</v>
      </c>
      <c r="D15" s="538" t="s">
        <v>1524</v>
      </c>
      <c r="E15" s="381"/>
      <c r="F15" s="381"/>
      <c r="G15" s="600">
        <v>46100</v>
      </c>
      <c r="H15" s="419">
        <f t="shared" ca="1" si="0"/>
        <v>46102</v>
      </c>
      <c r="I15" s="384" t="str">
        <f t="shared" ca="1" si="4"/>
        <v>0-Months</v>
      </c>
      <c r="J15" s="385" t="s">
        <v>1547</v>
      </c>
      <c r="K15" s="66">
        <v>726000</v>
      </c>
      <c r="L15" s="386"/>
      <c r="M15" s="386"/>
      <c r="N15" s="386"/>
      <c r="O15" s="386"/>
      <c r="P15" s="386">
        <f t="shared" si="2"/>
        <v>726000</v>
      </c>
      <c r="Q15" s="553"/>
    </row>
    <row r="16" spans="1:17" s="9" customFormat="1" ht="19.899999999999999" customHeight="1" x14ac:dyDescent="0.5">
      <c r="A16" s="579">
        <v>14</v>
      </c>
      <c r="B16" s="538" t="s">
        <v>31</v>
      </c>
      <c r="C16" s="538" t="s">
        <v>118</v>
      </c>
      <c r="D16" s="538" t="s">
        <v>1524</v>
      </c>
      <c r="E16" s="381"/>
      <c r="F16" s="381"/>
      <c r="G16" s="600">
        <v>46100</v>
      </c>
      <c r="H16" s="419">
        <f t="shared" ca="1" si="0"/>
        <v>46102</v>
      </c>
      <c r="I16" s="384" t="str">
        <f t="shared" ca="1" si="4"/>
        <v>0-Months</v>
      </c>
      <c r="J16" s="385" t="s">
        <v>1547</v>
      </c>
      <c r="K16" s="66">
        <v>1620000</v>
      </c>
      <c r="L16" s="386"/>
      <c r="M16" s="386"/>
      <c r="N16" s="386"/>
      <c r="O16" s="386"/>
      <c r="P16" s="386">
        <f t="shared" si="2"/>
        <v>1620000</v>
      </c>
      <c r="Q16" s="553"/>
    </row>
    <row r="17" spans="1:17" s="9" customFormat="1" ht="19.899999999999999" customHeight="1" x14ac:dyDescent="0.5">
      <c r="A17" s="579">
        <v>15</v>
      </c>
      <c r="B17" s="538" t="s">
        <v>31</v>
      </c>
      <c r="C17" s="538" t="s">
        <v>118</v>
      </c>
      <c r="D17" s="538" t="s">
        <v>1524</v>
      </c>
      <c r="E17" s="381"/>
      <c r="F17" s="381"/>
      <c r="G17" s="600">
        <v>46100</v>
      </c>
      <c r="H17" s="419">
        <f t="shared" ca="1" si="0"/>
        <v>46102</v>
      </c>
      <c r="I17" s="384" t="str">
        <f t="shared" ca="1" si="4"/>
        <v>0-Months</v>
      </c>
      <c r="J17" s="385" t="s">
        <v>1547</v>
      </c>
      <c r="K17" s="66">
        <v>1473600</v>
      </c>
      <c r="L17" s="386"/>
      <c r="M17" s="386"/>
      <c r="N17" s="386"/>
      <c r="O17" s="386"/>
      <c r="P17" s="386">
        <f t="shared" si="2"/>
        <v>1473600</v>
      </c>
      <c r="Q17" s="553"/>
    </row>
    <row r="18" spans="1:17" s="9" customFormat="1" ht="19.899999999999999" customHeight="1" x14ac:dyDescent="0.5">
      <c r="A18" s="579">
        <v>16</v>
      </c>
      <c r="B18" s="538" t="s">
        <v>31</v>
      </c>
      <c r="C18" s="538" t="s">
        <v>118</v>
      </c>
      <c r="D18" s="538" t="s">
        <v>1524</v>
      </c>
      <c r="E18" s="381"/>
      <c r="F18" s="381"/>
      <c r="G18" s="600">
        <v>46100</v>
      </c>
      <c r="H18" s="419">
        <f t="shared" ca="1" si="0"/>
        <v>46102</v>
      </c>
      <c r="I18" s="384" t="str">
        <f t="shared" ca="1" si="4"/>
        <v>0-Months</v>
      </c>
      <c r="J18" s="385" t="s">
        <v>1547</v>
      </c>
      <c r="K18" s="66">
        <v>406000</v>
      </c>
      <c r="L18" s="386"/>
      <c r="M18" s="386"/>
      <c r="N18" s="386"/>
      <c r="O18" s="386"/>
      <c r="P18" s="386">
        <f t="shared" si="2"/>
        <v>406000</v>
      </c>
      <c r="Q18" s="553"/>
    </row>
    <row r="19" spans="1:17" s="9" customFormat="1" ht="19.899999999999999" customHeight="1" x14ac:dyDescent="0.5">
      <c r="A19" s="579">
        <v>17</v>
      </c>
      <c r="B19" s="538" t="s">
        <v>44</v>
      </c>
      <c r="C19" s="538" t="s">
        <v>115</v>
      </c>
      <c r="D19" s="538" t="s">
        <v>1524</v>
      </c>
      <c r="E19" s="381"/>
      <c r="F19" s="381"/>
      <c r="G19" s="600">
        <v>46101</v>
      </c>
      <c r="H19" s="419">
        <f t="shared" ca="1" si="0"/>
        <v>46102</v>
      </c>
      <c r="I19" s="384" t="str">
        <f t="shared" ref="I19:I22" ca="1" si="5">DATEDIF(G19,H19,"M")&amp;"-Months"</f>
        <v>0-Months</v>
      </c>
      <c r="J19" s="385" t="s">
        <v>1581</v>
      </c>
      <c r="K19" s="66">
        <v>6300000</v>
      </c>
      <c r="L19" s="386"/>
      <c r="M19" s="386"/>
      <c r="N19" s="386"/>
      <c r="O19" s="386"/>
      <c r="P19" s="386">
        <f t="shared" si="2"/>
        <v>6300000</v>
      </c>
      <c r="Q19" s="553"/>
    </row>
    <row r="20" spans="1:17" s="9" customFormat="1" ht="19.899999999999999" customHeight="1" x14ac:dyDescent="0.5">
      <c r="A20" s="579">
        <v>18</v>
      </c>
      <c r="B20" s="538" t="s">
        <v>44</v>
      </c>
      <c r="C20" s="538" t="s">
        <v>115</v>
      </c>
      <c r="D20" s="538" t="s">
        <v>1524</v>
      </c>
      <c r="E20" s="381"/>
      <c r="F20" s="381"/>
      <c r="G20" s="600">
        <v>46101</v>
      </c>
      <c r="H20" s="419">
        <f t="shared" ca="1" si="0"/>
        <v>46102</v>
      </c>
      <c r="I20" s="384" t="str">
        <f t="shared" ca="1" si="5"/>
        <v>0-Months</v>
      </c>
      <c r="J20" s="385" t="s">
        <v>1581</v>
      </c>
      <c r="K20" s="66">
        <v>4668800</v>
      </c>
      <c r="L20" s="386"/>
      <c r="M20" s="386"/>
      <c r="N20" s="386"/>
      <c r="O20" s="386"/>
      <c r="P20" s="386">
        <f t="shared" si="2"/>
        <v>4668800</v>
      </c>
      <c r="Q20" s="553"/>
    </row>
    <row r="21" spans="1:17" s="9" customFormat="1" ht="19.899999999999999" customHeight="1" x14ac:dyDescent="0.5">
      <c r="A21" s="579">
        <v>19</v>
      </c>
      <c r="B21" s="538" t="s">
        <v>44</v>
      </c>
      <c r="C21" s="538" t="s">
        <v>115</v>
      </c>
      <c r="D21" s="538" t="s">
        <v>1524</v>
      </c>
      <c r="E21" s="381"/>
      <c r="F21" s="381"/>
      <c r="G21" s="600">
        <v>46101</v>
      </c>
      <c r="H21" s="419">
        <f t="shared" ca="1" si="0"/>
        <v>46102</v>
      </c>
      <c r="I21" s="384" t="str">
        <f t="shared" ca="1" si="5"/>
        <v>0-Months</v>
      </c>
      <c r="J21" s="385" t="s">
        <v>1581</v>
      </c>
      <c r="K21" s="66">
        <v>290400</v>
      </c>
      <c r="L21" s="386"/>
      <c r="M21" s="386"/>
      <c r="N21" s="386"/>
      <c r="O21" s="386"/>
      <c r="P21" s="386">
        <f t="shared" si="2"/>
        <v>290400</v>
      </c>
      <c r="Q21" s="553"/>
    </row>
    <row r="22" spans="1:17" s="9" customFormat="1" ht="19.899999999999999" customHeight="1" x14ac:dyDescent="0.5">
      <c r="A22" s="579">
        <v>20</v>
      </c>
      <c r="B22" s="538" t="s">
        <v>44</v>
      </c>
      <c r="C22" s="538" t="s">
        <v>115</v>
      </c>
      <c r="D22" s="538" t="s">
        <v>1524</v>
      </c>
      <c r="E22" s="381"/>
      <c r="F22" s="381"/>
      <c r="G22" s="600">
        <v>46101</v>
      </c>
      <c r="H22" s="419">
        <f t="shared" ca="1" si="0"/>
        <v>46102</v>
      </c>
      <c r="I22" s="384" t="str">
        <f t="shared" ca="1" si="5"/>
        <v>0-Months</v>
      </c>
      <c r="J22" s="385" t="s">
        <v>1581</v>
      </c>
      <c r="K22" s="66">
        <v>438000</v>
      </c>
      <c r="L22" s="386"/>
      <c r="M22" s="386"/>
      <c r="N22" s="386"/>
      <c r="O22" s="386"/>
      <c r="P22" s="386">
        <f t="shared" si="2"/>
        <v>438000</v>
      </c>
      <c r="Q22" s="553"/>
    </row>
    <row r="23" spans="1:17" s="9" customFormat="1" ht="19.899999999999999" customHeight="1" x14ac:dyDescent="0.5">
      <c r="A23" s="579">
        <v>21</v>
      </c>
      <c r="B23" s="538" t="s">
        <v>34</v>
      </c>
      <c r="C23" s="538" t="s">
        <v>1502</v>
      </c>
      <c r="D23" s="538" t="s">
        <v>1524</v>
      </c>
      <c r="E23" s="381"/>
      <c r="F23" s="381"/>
      <c r="G23" s="600">
        <v>46088</v>
      </c>
      <c r="H23" s="419">
        <f t="shared" ca="1" si="0"/>
        <v>46102</v>
      </c>
      <c r="I23" s="384" t="str">
        <f t="shared" ref="I23" ca="1" si="6">DATEDIF(G23,H23,"M")&amp;"-Months"</f>
        <v>0-Months</v>
      </c>
      <c r="J23" s="385" t="s">
        <v>1535</v>
      </c>
      <c r="K23" s="66">
        <v>2900</v>
      </c>
      <c r="L23" s="386"/>
      <c r="M23" s="386"/>
      <c r="N23" s="386"/>
      <c r="O23" s="386"/>
      <c r="P23" s="386">
        <f t="shared" si="2"/>
        <v>2900</v>
      </c>
      <c r="Q23" s="553"/>
    </row>
    <row r="24" spans="1:17" s="9" customFormat="1" ht="19.899999999999999" customHeight="1" x14ac:dyDescent="0.5">
      <c r="A24" s="579">
        <v>22</v>
      </c>
      <c r="B24" s="538" t="s">
        <v>34</v>
      </c>
      <c r="C24" s="538" t="s">
        <v>1502</v>
      </c>
      <c r="D24" s="538" t="s">
        <v>1524</v>
      </c>
      <c r="E24" s="381"/>
      <c r="F24" s="381"/>
      <c r="G24" s="600">
        <v>46090</v>
      </c>
      <c r="H24" s="419">
        <f t="shared" ca="1" si="0"/>
        <v>46102</v>
      </c>
      <c r="I24" s="384" t="str">
        <f t="shared" ref="I24" ca="1" si="7">DATEDIF(G24,H24,"M")&amp;"-Months"</f>
        <v>0-Months</v>
      </c>
      <c r="J24" s="385" t="s">
        <v>1536</v>
      </c>
      <c r="K24" s="66">
        <v>4700</v>
      </c>
      <c r="L24" s="386"/>
      <c r="M24" s="386"/>
      <c r="N24" s="386"/>
      <c r="O24" s="386"/>
      <c r="P24" s="386">
        <f t="shared" si="2"/>
        <v>4700</v>
      </c>
      <c r="Q24" s="553"/>
    </row>
    <row r="25" spans="1:17" s="9" customFormat="1" ht="19.899999999999999" customHeight="1" x14ac:dyDescent="0.5">
      <c r="A25" s="579">
        <v>23</v>
      </c>
      <c r="B25" s="538" t="s">
        <v>34</v>
      </c>
      <c r="C25" s="538" t="s">
        <v>1502</v>
      </c>
      <c r="D25" s="538" t="s">
        <v>1524</v>
      </c>
      <c r="E25" s="381"/>
      <c r="F25" s="381"/>
      <c r="G25" s="600">
        <v>46091</v>
      </c>
      <c r="H25" s="419">
        <f t="shared" ca="1" si="0"/>
        <v>46102</v>
      </c>
      <c r="I25" s="384" t="str">
        <f t="shared" ref="I25" ca="1" si="8">DATEDIF(G25,H25,"M")&amp;"-Months"</f>
        <v>0-Months</v>
      </c>
      <c r="J25" s="385" t="s">
        <v>1544</v>
      </c>
      <c r="K25" s="66">
        <v>8000</v>
      </c>
      <c r="L25" s="386"/>
      <c r="M25" s="386"/>
      <c r="N25" s="386"/>
      <c r="O25" s="386"/>
      <c r="P25" s="386">
        <f t="shared" ref="P25:P36" si="9">K25+L25+M25</f>
        <v>8000</v>
      </c>
      <c r="Q25" s="553"/>
    </row>
    <row r="26" spans="1:17" s="9" customFormat="1" ht="19.899999999999999" customHeight="1" x14ac:dyDescent="0.5">
      <c r="A26" s="579">
        <v>24</v>
      </c>
      <c r="B26" s="538" t="s">
        <v>34</v>
      </c>
      <c r="C26" s="538" t="s">
        <v>1502</v>
      </c>
      <c r="D26" s="538" t="s">
        <v>1524</v>
      </c>
      <c r="E26" s="381"/>
      <c r="F26" s="381"/>
      <c r="G26" s="600">
        <v>46092</v>
      </c>
      <c r="H26" s="419">
        <f t="shared" ca="1" si="0"/>
        <v>46102</v>
      </c>
      <c r="I26" s="384" t="str">
        <f t="shared" ref="I26:I35" ca="1" si="10">DATEDIF(G26,H26,"M")&amp;"-Months"</f>
        <v>0-Months</v>
      </c>
      <c r="J26" s="385" t="s">
        <v>1554</v>
      </c>
      <c r="K26" s="66">
        <v>4000</v>
      </c>
      <c r="L26" s="386"/>
      <c r="M26" s="386"/>
      <c r="N26" s="386"/>
      <c r="O26" s="386"/>
      <c r="P26" s="386">
        <f t="shared" si="9"/>
        <v>4000</v>
      </c>
      <c r="Q26" s="553"/>
    </row>
    <row r="27" spans="1:17" s="9" customFormat="1" ht="19.899999999999999" customHeight="1" x14ac:dyDescent="0.5">
      <c r="A27" s="579">
        <v>25</v>
      </c>
      <c r="B27" s="538" t="s">
        <v>34</v>
      </c>
      <c r="C27" s="538" t="s">
        <v>1502</v>
      </c>
      <c r="D27" s="538" t="s">
        <v>1524</v>
      </c>
      <c r="E27" s="381"/>
      <c r="F27" s="381"/>
      <c r="G27" s="600">
        <v>46093</v>
      </c>
      <c r="H27" s="419">
        <f t="shared" ca="1" si="0"/>
        <v>46102</v>
      </c>
      <c r="I27" s="384" t="str">
        <f t="shared" ca="1" si="10"/>
        <v>0-Months</v>
      </c>
      <c r="J27" s="385" t="s">
        <v>1555</v>
      </c>
      <c r="K27" s="66">
        <v>4000</v>
      </c>
      <c r="L27" s="386"/>
      <c r="M27" s="386"/>
      <c r="N27" s="386"/>
      <c r="O27" s="386"/>
      <c r="P27" s="386">
        <f t="shared" si="9"/>
        <v>4000</v>
      </c>
      <c r="Q27" s="553"/>
    </row>
    <row r="28" spans="1:17" s="9" customFormat="1" ht="19.899999999999999" customHeight="1" x14ac:dyDescent="0.5">
      <c r="A28" s="579">
        <v>26</v>
      </c>
      <c r="B28" s="538" t="s">
        <v>34</v>
      </c>
      <c r="C28" s="538" t="s">
        <v>1502</v>
      </c>
      <c r="D28" s="538" t="s">
        <v>1524</v>
      </c>
      <c r="E28" s="381"/>
      <c r="F28" s="381"/>
      <c r="G28" s="600">
        <v>46094</v>
      </c>
      <c r="H28" s="419">
        <f t="shared" ca="1" si="0"/>
        <v>46102</v>
      </c>
      <c r="I28" s="384" t="str">
        <f t="shared" ca="1" si="10"/>
        <v>0-Months</v>
      </c>
      <c r="J28" s="385" t="s">
        <v>1556</v>
      </c>
      <c r="K28" s="66">
        <v>7000</v>
      </c>
      <c r="L28" s="386"/>
      <c r="M28" s="386"/>
      <c r="N28" s="386"/>
      <c r="O28" s="386"/>
      <c r="P28" s="386">
        <f t="shared" si="9"/>
        <v>7000</v>
      </c>
      <c r="Q28" s="553"/>
    </row>
    <row r="29" spans="1:17" s="9" customFormat="1" ht="19.899999999999999" customHeight="1" x14ac:dyDescent="0.5">
      <c r="A29" s="579">
        <v>27</v>
      </c>
      <c r="B29" s="538" t="s">
        <v>34</v>
      </c>
      <c r="C29" s="538" t="s">
        <v>1502</v>
      </c>
      <c r="D29" s="538" t="s">
        <v>1524</v>
      </c>
      <c r="E29" s="381"/>
      <c r="F29" s="381"/>
      <c r="G29" s="600">
        <v>46095</v>
      </c>
      <c r="H29" s="419">
        <f t="shared" ca="1" si="0"/>
        <v>46102</v>
      </c>
      <c r="I29" s="384" t="str">
        <f t="shared" ca="1" si="10"/>
        <v>0-Months</v>
      </c>
      <c r="J29" s="385" t="s">
        <v>1557</v>
      </c>
      <c r="K29" s="66">
        <v>4000</v>
      </c>
      <c r="L29" s="386"/>
      <c r="M29" s="386"/>
      <c r="N29" s="386"/>
      <c r="O29" s="386"/>
      <c r="P29" s="386">
        <f t="shared" si="9"/>
        <v>4000</v>
      </c>
      <c r="Q29" s="553"/>
    </row>
    <row r="30" spans="1:17" s="9" customFormat="1" ht="19.899999999999999" customHeight="1" x14ac:dyDescent="0.5">
      <c r="A30" s="579">
        <v>28</v>
      </c>
      <c r="B30" s="538" t="s">
        <v>34</v>
      </c>
      <c r="C30" s="538" t="s">
        <v>1502</v>
      </c>
      <c r="D30" s="538" t="s">
        <v>1524</v>
      </c>
      <c r="E30" s="381"/>
      <c r="F30" s="381"/>
      <c r="G30" s="600">
        <v>46097</v>
      </c>
      <c r="H30" s="419">
        <f t="shared" ca="1" si="0"/>
        <v>46102</v>
      </c>
      <c r="I30" s="384" t="str">
        <f t="shared" ca="1" si="10"/>
        <v>0-Months</v>
      </c>
      <c r="J30" s="385" t="s">
        <v>1558</v>
      </c>
      <c r="K30" s="66">
        <v>8000</v>
      </c>
      <c r="L30" s="386"/>
      <c r="M30" s="386"/>
      <c r="N30" s="386"/>
      <c r="O30" s="386"/>
      <c r="P30" s="386">
        <f t="shared" si="9"/>
        <v>8000</v>
      </c>
      <c r="Q30" s="553"/>
    </row>
    <row r="31" spans="1:17" s="9" customFormat="1" ht="19.899999999999999" customHeight="1" x14ac:dyDescent="0.5">
      <c r="A31" s="579">
        <v>29</v>
      </c>
      <c r="B31" s="538" t="s">
        <v>34</v>
      </c>
      <c r="C31" s="538" t="s">
        <v>1502</v>
      </c>
      <c r="D31" s="538" t="s">
        <v>1524</v>
      </c>
      <c r="E31" s="381"/>
      <c r="F31" s="381"/>
      <c r="G31" s="600">
        <v>46098</v>
      </c>
      <c r="H31" s="419">
        <f t="shared" ca="1" si="0"/>
        <v>46102</v>
      </c>
      <c r="I31" s="384" t="str">
        <f t="shared" ca="1" si="10"/>
        <v>0-Months</v>
      </c>
      <c r="J31" s="385" t="s">
        <v>1559</v>
      </c>
      <c r="K31" s="66">
        <v>3700</v>
      </c>
      <c r="L31" s="386"/>
      <c r="M31" s="386"/>
      <c r="N31" s="386"/>
      <c r="O31" s="386"/>
      <c r="P31" s="386">
        <f t="shared" si="9"/>
        <v>3700</v>
      </c>
      <c r="Q31" s="553"/>
    </row>
    <row r="32" spans="1:17" s="9" customFormat="1" ht="19.899999999999999" customHeight="1" x14ac:dyDescent="0.5">
      <c r="A32" s="579">
        <v>30</v>
      </c>
      <c r="B32" s="538" t="s">
        <v>34</v>
      </c>
      <c r="C32" s="538" t="s">
        <v>1502</v>
      </c>
      <c r="D32" s="538" t="s">
        <v>1524</v>
      </c>
      <c r="E32" s="381"/>
      <c r="F32" s="381"/>
      <c r="G32" s="600">
        <v>46098</v>
      </c>
      <c r="H32" s="419">
        <f t="shared" ca="1" si="0"/>
        <v>46102</v>
      </c>
      <c r="I32" s="384" t="str">
        <f t="shared" ca="1" si="10"/>
        <v>0-Months</v>
      </c>
      <c r="J32" s="385" t="s">
        <v>1560</v>
      </c>
      <c r="K32" s="66">
        <v>1050</v>
      </c>
      <c r="L32" s="386"/>
      <c r="M32" s="386"/>
      <c r="N32" s="386"/>
      <c r="O32" s="386"/>
      <c r="P32" s="386">
        <f t="shared" si="9"/>
        <v>1050</v>
      </c>
      <c r="Q32" s="553"/>
    </row>
    <row r="33" spans="1:18" s="9" customFormat="1" ht="19.899999999999999" customHeight="1" x14ac:dyDescent="0.5">
      <c r="A33" s="579">
        <v>31</v>
      </c>
      <c r="B33" s="538" t="s">
        <v>34</v>
      </c>
      <c r="C33" s="538" t="s">
        <v>1502</v>
      </c>
      <c r="D33" s="538" t="s">
        <v>1524</v>
      </c>
      <c r="E33" s="381"/>
      <c r="F33" s="381"/>
      <c r="G33" s="600">
        <v>46099</v>
      </c>
      <c r="H33" s="419">
        <f t="shared" ca="1" si="0"/>
        <v>46102</v>
      </c>
      <c r="I33" s="384" t="str">
        <f t="shared" ca="1" si="10"/>
        <v>0-Months</v>
      </c>
      <c r="J33" s="385" t="s">
        <v>1561</v>
      </c>
      <c r="K33" s="66">
        <v>10000</v>
      </c>
      <c r="L33" s="386"/>
      <c r="M33" s="386"/>
      <c r="N33" s="386"/>
      <c r="O33" s="386"/>
      <c r="P33" s="386">
        <f t="shared" si="9"/>
        <v>10000</v>
      </c>
      <c r="Q33" s="553"/>
    </row>
    <row r="34" spans="1:18" s="9" customFormat="1" ht="19.899999999999999" customHeight="1" x14ac:dyDescent="0.5">
      <c r="A34" s="579">
        <v>32</v>
      </c>
      <c r="B34" s="538" t="s">
        <v>34</v>
      </c>
      <c r="C34" s="538" t="s">
        <v>1502</v>
      </c>
      <c r="D34" s="538" t="s">
        <v>1524</v>
      </c>
      <c r="E34" s="381"/>
      <c r="F34" s="381"/>
      <c r="G34" s="600">
        <v>46100</v>
      </c>
      <c r="H34" s="419">
        <f t="shared" ca="1" si="0"/>
        <v>46102</v>
      </c>
      <c r="I34" s="384" t="str">
        <f t="shared" ca="1" si="10"/>
        <v>0-Months</v>
      </c>
      <c r="J34" s="385" t="s">
        <v>1562</v>
      </c>
      <c r="K34" s="66">
        <v>10000</v>
      </c>
      <c r="L34" s="386"/>
      <c r="M34" s="386"/>
      <c r="N34" s="386"/>
      <c r="O34" s="386"/>
      <c r="P34" s="386">
        <f t="shared" si="9"/>
        <v>10000</v>
      </c>
      <c r="Q34" s="553"/>
    </row>
    <row r="35" spans="1:18" s="9" customFormat="1" ht="19.899999999999999" customHeight="1" x14ac:dyDescent="0.5">
      <c r="A35" s="579">
        <v>33</v>
      </c>
      <c r="B35" s="538" t="s">
        <v>34</v>
      </c>
      <c r="C35" s="538" t="s">
        <v>1502</v>
      </c>
      <c r="D35" s="538" t="s">
        <v>1524</v>
      </c>
      <c r="E35" s="381"/>
      <c r="F35" s="381"/>
      <c r="G35" s="600">
        <v>46100</v>
      </c>
      <c r="H35" s="419">
        <f t="shared" ca="1" si="0"/>
        <v>46102</v>
      </c>
      <c r="I35" s="384" t="str">
        <f t="shared" ca="1" si="10"/>
        <v>0-Months</v>
      </c>
      <c r="J35" s="385" t="s">
        <v>1563</v>
      </c>
      <c r="K35" s="66">
        <v>6000</v>
      </c>
      <c r="L35" s="386"/>
      <c r="M35" s="386"/>
      <c r="N35" s="386"/>
      <c r="O35" s="386"/>
      <c r="P35" s="386">
        <f t="shared" si="9"/>
        <v>6000</v>
      </c>
      <c r="Q35" s="553"/>
    </row>
    <row r="36" spans="1:18" s="9" customFormat="1" ht="19.899999999999999" customHeight="1" x14ac:dyDescent="0.5">
      <c r="A36" s="579">
        <v>34</v>
      </c>
      <c r="B36" s="538" t="s">
        <v>34</v>
      </c>
      <c r="C36" s="538" t="s">
        <v>1502</v>
      </c>
      <c r="D36" s="538" t="s">
        <v>1524</v>
      </c>
      <c r="E36" s="381"/>
      <c r="F36" s="381"/>
      <c r="G36" s="600">
        <v>46101</v>
      </c>
      <c r="H36" s="419">
        <f t="shared" ca="1" si="0"/>
        <v>46102</v>
      </c>
      <c r="I36" s="384" t="str">
        <f t="shared" ref="I36" ca="1" si="11">DATEDIF(G36,H36,"M")&amp;"-Months"</f>
        <v>0-Months</v>
      </c>
      <c r="J36" s="385" t="s">
        <v>1579</v>
      </c>
      <c r="K36" s="66">
        <v>6000</v>
      </c>
      <c r="L36" s="386"/>
      <c r="M36" s="386"/>
      <c r="N36" s="386"/>
      <c r="O36" s="386"/>
      <c r="P36" s="386">
        <f t="shared" si="9"/>
        <v>6000</v>
      </c>
      <c r="Q36" s="553"/>
    </row>
    <row r="37" spans="1:18" s="9" customFormat="1" ht="19.899999999999999" customHeight="1" x14ac:dyDescent="0.25">
      <c r="A37" s="579">
        <v>35</v>
      </c>
      <c r="B37" s="538" t="s">
        <v>21</v>
      </c>
      <c r="C37" s="538" t="s">
        <v>20</v>
      </c>
      <c r="D37" s="538" t="s">
        <v>1524</v>
      </c>
      <c r="E37" s="381"/>
      <c r="F37" s="389"/>
      <c r="G37" s="600">
        <v>45321</v>
      </c>
      <c r="H37" s="419">
        <f t="shared" ca="1" si="0"/>
        <v>46102</v>
      </c>
      <c r="I37" s="420" t="str">
        <f ca="1">DATEDIF(G37,H37,"M")&amp;"-Months"</f>
        <v>25-Months</v>
      </c>
      <c r="J37" s="385" t="s">
        <v>1242</v>
      </c>
      <c r="K37" s="575">
        <v>7475000</v>
      </c>
      <c r="L37" s="390"/>
      <c r="M37" s="390"/>
      <c r="N37" s="390"/>
      <c r="O37" s="390"/>
      <c r="P37" s="656">
        <f t="shared" si="2"/>
        <v>7475000</v>
      </c>
      <c r="Q37" s="553" t="s">
        <v>1243</v>
      </c>
      <c r="R37" s="592"/>
    </row>
    <row r="38" spans="1:18" s="9" customFormat="1" ht="19.899999999999999" customHeight="1" x14ac:dyDescent="0.25">
      <c r="A38" s="579">
        <v>36</v>
      </c>
      <c r="B38" s="595" t="s">
        <v>5</v>
      </c>
      <c r="C38" s="595" t="s">
        <v>6</v>
      </c>
      <c r="D38" s="595" t="s">
        <v>1524</v>
      </c>
      <c r="E38" s="551"/>
      <c r="F38" s="546"/>
      <c r="G38" s="601">
        <v>46087</v>
      </c>
      <c r="H38" s="549">
        <f ca="1">TODAY()</f>
        <v>46102</v>
      </c>
      <c r="I38" s="549" t="str">
        <f t="shared" ref="I38:I43" ca="1" si="12">DATEDIF(G38,H38,"M")&amp;"-Months"</f>
        <v>0-Months</v>
      </c>
      <c r="J38" s="547" t="s">
        <v>1537</v>
      </c>
      <c r="K38" s="581">
        <v>3920000</v>
      </c>
      <c r="L38" s="548"/>
      <c r="M38" s="548"/>
      <c r="N38" s="548"/>
      <c r="O38" s="548"/>
      <c r="P38" s="552">
        <f t="shared" si="2"/>
        <v>3920000</v>
      </c>
      <c r="Q38" s="560"/>
      <c r="R38" s="592"/>
    </row>
    <row r="39" spans="1:18" s="9" customFormat="1" ht="19.899999999999999" customHeight="1" x14ac:dyDescent="0.25">
      <c r="A39" s="579">
        <v>37</v>
      </c>
      <c r="B39" s="595" t="s">
        <v>5</v>
      </c>
      <c r="C39" s="595" t="s">
        <v>6</v>
      </c>
      <c r="D39" s="595" t="s">
        <v>1524</v>
      </c>
      <c r="E39" s="551"/>
      <c r="F39" s="546"/>
      <c r="G39" s="601">
        <v>46087</v>
      </c>
      <c r="H39" s="549">
        <f ca="1">TODAY()</f>
        <v>46102</v>
      </c>
      <c r="I39" s="549" t="str">
        <f t="shared" ca="1" si="12"/>
        <v>0-Months</v>
      </c>
      <c r="J39" s="547" t="s">
        <v>1537</v>
      </c>
      <c r="K39" s="581">
        <v>3960000</v>
      </c>
      <c r="L39" s="548"/>
      <c r="M39" s="548"/>
      <c r="N39" s="548"/>
      <c r="O39" s="548"/>
      <c r="P39" s="552">
        <f t="shared" si="2"/>
        <v>3960000</v>
      </c>
      <c r="Q39" s="560"/>
      <c r="R39" s="592"/>
    </row>
    <row r="40" spans="1:18" s="9" customFormat="1" ht="19.899999999999999" customHeight="1" x14ac:dyDescent="0.25">
      <c r="A40" s="579">
        <v>38</v>
      </c>
      <c r="B40" s="595" t="s">
        <v>5</v>
      </c>
      <c r="C40" s="595" t="s">
        <v>6</v>
      </c>
      <c r="D40" s="595" t="s">
        <v>1524</v>
      </c>
      <c r="E40" s="551"/>
      <c r="F40" s="546"/>
      <c r="G40" s="601">
        <v>46087</v>
      </c>
      <c r="H40" s="549">
        <f t="shared" ref="H40:H135" ca="1" si="13">TODAY()</f>
        <v>46102</v>
      </c>
      <c r="I40" s="549" t="str">
        <f t="shared" ca="1" si="12"/>
        <v>0-Months</v>
      </c>
      <c r="J40" s="547" t="s">
        <v>1537</v>
      </c>
      <c r="K40" s="581">
        <v>678000</v>
      </c>
      <c r="L40" s="548"/>
      <c r="M40" s="548"/>
      <c r="N40" s="548"/>
      <c r="O40" s="548"/>
      <c r="P40" s="552">
        <f t="shared" si="2"/>
        <v>678000</v>
      </c>
      <c r="Q40" s="560"/>
      <c r="R40" s="592"/>
    </row>
    <row r="41" spans="1:18" s="9" customFormat="1" ht="19.899999999999999" customHeight="1" x14ac:dyDescent="0.25">
      <c r="A41" s="579">
        <v>39</v>
      </c>
      <c r="B41" s="595" t="s">
        <v>5</v>
      </c>
      <c r="C41" s="595" t="s">
        <v>6</v>
      </c>
      <c r="D41" s="595" t="s">
        <v>1524</v>
      </c>
      <c r="E41" s="551"/>
      <c r="F41" s="546"/>
      <c r="G41" s="601">
        <v>46087</v>
      </c>
      <c r="H41" s="549">
        <f t="shared" ca="1" si="13"/>
        <v>46102</v>
      </c>
      <c r="I41" s="549" t="str">
        <f t="shared" ca="1" si="12"/>
        <v>0-Months</v>
      </c>
      <c r="J41" s="547" t="s">
        <v>1537</v>
      </c>
      <c r="K41" s="581">
        <v>1335000</v>
      </c>
      <c r="L41" s="548"/>
      <c r="M41" s="548"/>
      <c r="N41" s="548"/>
      <c r="O41" s="548"/>
      <c r="P41" s="552">
        <f t="shared" si="2"/>
        <v>1335000</v>
      </c>
      <c r="Q41" s="560"/>
      <c r="R41" s="592"/>
    </row>
    <row r="42" spans="1:18" s="9" customFormat="1" ht="19.899999999999999" customHeight="1" x14ac:dyDescent="0.25">
      <c r="A42" s="579">
        <v>40</v>
      </c>
      <c r="B42" s="595" t="s">
        <v>5</v>
      </c>
      <c r="C42" s="595" t="s">
        <v>6</v>
      </c>
      <c r="D42" s="595" t="s">
        <v>1524</v>
      </c>
      <c r="E42" s="551"/>
      <c r="F42" s="546"/>
      <c r="G42" s="601">
        <v>46088</v>
      </c>
      <c r="H42" s="549">
        <f t="shared" ca="1" si="13"/>
        <v>46102</v>
      </c>
      <c r="I42" s="549" t="str">
        <f t="shared" ca="1" si="12"/>
        <v>0-Months</v>
      </c>
      <c r="J42" s="547" t="s">
        <v>1538</v>
      </c>
      <c r="K42" s="581">
        <v>1372000</v>
      </c>
      <c r="L42" s="548"/>
      <c r="M42" s="548"/>
      <c r="N42" s="548"/>
      <c r="O42" s="548"/>
      <c r="P42" s="552">
        <f t="shared" si="2"/>
        <v>1372000</v>
      </c>
      <c r="Q42" s="560"/>
      <c r="R42" s="592"/>
    </row>
    <row r="43" spans="1:18" s="9" customFormat="1" ht="19.899999999999999" customHeight="1" x14ac:dyDescent="0.25">
      <c r="A43" s="579">
        <v>41</v>
      </c>
      <c r="B43" s="595" t="s">
        <v>5</v>
      </c>
      <c r="C43" s="595" t="s">
        <v>6</v>
      </c>
      <c r="D43" s="595" t="s">
        <v>1524</v>
      </c>
      <c r="E43" s="551"/>
      <c r="F43" s="546"/>
      <c r="G43" s="601">
        <v>46088</v>
      </c>
      <c r="H43" s="549">
        <f t="shared" ca="1" si="13"/>
        <v>46102</v>
      </c>
      <c r="I43" s="549" t="str">
        <f t="shared" ca="1" si="12"/>
        <v>0-Months</v>
      </c>
      <c r="J43" s="547" t="s">
        <v>1538</v>
      </c>
      <c r="K43" s="581">
        <v>912000</v>
      </c>
      <c r="L43" s="548"/>
      <c r="M43" s="548"/>
      <c r="N43" s="548"/>
      <c r="O43" s="548"/>
      <c r="P43" s="552">
        <f t="shared" si="2"/>
        <v>912000</v>
      </c>
      <c r="Q43" s="560"/>
      <c r="R43" s="592"/>
    </row>
    <row r="44" spans="1:18" s="9" customFormat="1" ht="19.899999999999999" customHeight="1" x14ac:dyDescent="0.25">
      <c r="A44" s="579">
        <v>42</v>
      </c>
      <c r="B44" s="595" t="s">
        <v>5</v>
      </c>
      <c r="C44" s="595" t="s">
        <v>6</v>
      </c>
      <c r="D44" s="595" t="s">
        <v>1524</v>
      </c>
      <c r="E44" s="551"/>
      <c r="F44" s="546"/>
      <c r="G44" s="601">
        <v>46088</v>
      </c>
      <c r="H44" s="549">
        <f t="shared" ca="1" si="13"/>
        <v>46102</v>
      </c>
      <c r="I44" s="549" t="str">
        <f t="shared" ref="I44:I53" ca="1" si="14">DATEDIF(G44,H44,"M")&amp;"-Months"</f>
        <v>0-Months</v>
      </c>
      <c r="J44" s="547" t="s">
        <v>1538</v>
      </c>
      <c r="K44" s="581">
        <v>1584000</v>
      </c>
      <c r="L44" s="548"/>
      <c r="M44" s="548"/>
      <c r="N44" s="548"/>
      <c r="O44" s="548"/>
      <c r="P44" s="552">
        <f t="shared" si="2"/>
        <v>1584000</v>
      </c>
      <c r="Q44" s="560"/>
      <c r="R44" s="592"/>
    </row>
    <row r="45" spans="1:18" s="9" customFormat="1" ht="19.899999999999999" customHeight="1" x14ac:dyDescent="0.25">
      <c r="A45" s="579">
        <v>43</v>
      </c>
      <c r="B45" s="595" t="s">
        <v>5</v>
      </c>
      <c r="C45" s="595" t="s">
        <v>6</v>
      </c>
      <c r="D45" s="595" t="s">
        <v>1524</v>
      </c>
      <c r="E45" s="551"/>
      <c r="F45" s="546"/>
      <c r="G45" s="601">
        <v>46088</v>
      </c>
      <c r="H45" s="549">
        <f t="shared" ca="1" si="13"/>
        <v>46102</v>
      </c>
      <c r="I45" s="549" t="str">
        <f t="shared" ca="1" si="14"/>
        <v>0-Months</v>
      </c>
      <c r="J45" s="547" t="s">
        <v>1538</v>
      </c>
      <c r="K45" s="581">
        <v>837000</v>
      </c>
      <c r="L45" s="548"/>
      <c r="M45" s="548"/>
      <c r="N45" s="548"/>
      <c r="O45" s="548"/>
      <c r="P45" s="552">
        <f t="shared" si="2"/>
        <v>837000</v>
      </c>
      <c r="Q45" s="560"/>
      <c r="R45" s="592"/>
    </row>
    <row r="46" spans="1:18" s="9" customFormat="1" ht="19.899999999999999" customHeight="1" x14ac:dyDescent="0.25">
      <c r="A46" s="579">
        <v>44</v>
      </c>
      <c r="B46" s="595" t="s">
        <v>5</v>
      </c>
      <c r="C46" s="595" t="s">
        <v>6</v>
      </c>
      <c r="D46" s="595" t="s">
        <v>1524</v>
      </c>
      <c r="E46" s="551"/>
      <c r="F46" s="546"/>
      <c r="G46" s="601">
        <v>46092</v>
      </c>
      <c r="H46" s="549">
        <f t="shared" ca="1" si="13"/>
        <v>46102</v>
      </c>
      <c r="I46" s="549" t="str">
        <f t="shared" ca="1" si="14"/>
        <v>0-Months</v>
      </c>
      <c r="J46" s="547" t="s">
        <v>1570</v>
      </c>
      <c r="K46" s="581">
        <v>1156400</v>
      </c>
      <c r="L46" s="548"/>
      <c r="M46" s="548"/>
      <c r="N46" s="548"/>
      <c r="O46" s="548"/>
      <c r="P46" s="552">
        <f t="shared" si="2"/>
        <v>1156400</v>
      </c>
      <c r="Q46" s="560"/>
      <c r="R46" s="592"/>
    </row>
    <row r="47" spans="1:18" s="9" customFormat="1" ht="19.899999999999999" customHeight="1" x14ac:dyDescent="0.25">
      <c r="A47" s="579">
        <v>45</v>
      </c>
      <c r="B47" s="595" t="s">
        <v>5</v>
      </c>
      <c r="C47" s="595" t="s">
        <v>6</v>
      </c>
      <c r="D47" s="595" t="s">
        <v>1524</v>
      </c>
      <c r="E47" s="551"/>
      <c r="F47" s="546"/>
      <c r="G47" s="601">
        <v>46092</v>
      </c>
      <c r="H47" s="549">
        <f t="shared" ca="1" si="13"/>
        <v>46102</v>
      </c>
      <c r="I47" s="549" t="str">
        <f t="shared" ca="1" si="14"/>
        <v>0-Months</v>
      </c>
      <c r="J47" s="547" t="s">
        <v>1570</v>
      </c>
      <c r="K47" s="581">
        <v>304000</v>
      </c>
      <c r="L47" s="548"/>
      <c r="M47" s="548"/>
      <c r="N47" s="548"/>
      <c r="O47" s="548"/>
      <c r="P47" s="552">
        <f t="shared" si="2"/>
        <v>304000</v>
      </c>
      <c r="Q47" s="560"/>
      <c r="R47" s="592"/>
    </row>
    <row r="48" spans="1:18" s="9" customFormat="1" ht="19.899999999999999" customHeight="1" x14ac:dyDescent="0.25">
      <c r="A48" s="579">
        <v>46</v>
      </c>
      <c r="B48" s="595" t="s">
        <v>5</v>
      </c>
      <c r="C48" s="595" t="s">
        <v>6</v>
      </c>
      <c r="D48" s="595" t="s">
        <v>1524</v>
      </c>
      <c r="E48" s="551"/>
      <c r="F48" s="546"/>
      <c r="G48" s="601">
        <v>46092</v>
      </c>
      <c r="H48" s="549">
        <f t="shared" ca="1" si="13"/>
        <v>46102</v>
      </c>
      <c r="I48" s="549" t="str">
        <f t="shared" ca="1" si="14"/>
        <v>0-Months</v>
      </c>
      <c r="J48" s="547" t="s">
        <v>1570</v>
      </c>
      <c r="K48" s="581">
        <v>135600</v>
      </c>
      <c r="L48" s="548"/>
      <c r="M48" s="548"/>
      <c r="N48" s="548"/>
      <c r="O48" s="548"/>
      <c r="P48" s="552">
        <f t="shared" si="2"/>
        <v>135600</v>
      </c>
      <c r="Q48" s="560"/>
      <c r="R48" s="592"/>
    </row>
    <row r="49" spans="1:18" s="9" customFormat="1" ht="19.899999999999999" customHeight="1" x14ac:dyDescent="0.25">
      <c r="A49" s="579">
        <v>47</v>
      </c>
      <c r="B49" s="595" t="s">
        <v>5</v>
      </c>
      <c r="C49" s="595" t="s">
        <v>6</v>
      </c>
      <c r="D49" s="595" t="s">
        <v>1524</v>
      </c>
      <c r="E49" s="551"/>
      <c r="F49" s="546"/>
      <c r="G49" s="601">
        <v>46092</v>
      </c>
      <c r="H49" s="549">
        <f t="shared" ca="1" si="13"/>
        <v>46102</v>
      </c>
      <c r="I49" s="549" t="str">
        <f t="shared" ca="1" si="14"/>
        <v>0-Months</v>
      </c>
      <c r="J49" s="547" t="s">
        <v>1570</v>
      </c>
      <c r="K49" s="581">
        <v>480000</v>
      </c>
      <c r="L49" s="548"/>
      <c r="M49" s="548"/>
      <c r="N49" s="548"/>
      <c r="O49" s="548"/>
      <c r="P49" s="552">
        <f t="shared" si="2"/>
        <v>480000</v>
      </c>
      <c r="Q49" s="560"/>
      <c r="R49" s="592"/>
    </row>
    <row r="50" spans="1:18" s="9" customFormat="1" ht="19.899999999999999" customHeight="1" x14ac:dyDescent="0.25">
      <c r="A50" s="579">
        <v>48</v>
      </c>
      <c r="B50" s="595" t="s">
        <v>5</v>
      </c>
      <c r="C50" s="595" t="s">
        <v>6</v>
      </c>
      <c r="D50" s="595" t="s">
        <v>1524</v>
      </c>
      <c r="E50" s="551"/>
      <c r="F50" s="546"/>
      <c r="G50" s="601">
        <v>46092</v>
      </c>
      <c r="H50" s="549">
        <f t="shared" ca="1" si="13"/>
        <v>46102</v>
      </c>
      <c r="I50" s="549" t="str">
        <f t="shared" ca="1" si="14"/>
        <v>0-Months</v>
      </c>
      <c r="J50" s="547" t="s">
        <v>1570</v>
      </c>
      <c r="K50" s="581">
        <v>1980000</v>
      </c>
      <c r="L50" s="548"/>
      <c r="M50" s="548"/>
      <c r="N50" s="548"/>
      <c r="O50" s="548"/>
      <c r="P50" s="552">
        <f t="shared" si="2"/>
        <v>1980000</v>
      </c>
      <c r="Q50" s="560"/>
      <c r="R50" s="592"/>
    </row>
    <row r="51" spans="1:18" s="9" customFormat="1" ht="19.899999999999999" customHeight="1" x14ac:dyDescent="0.25">
      <c r="A51" s="579">
        <v>49</v>
      </c>
      <c r="B51" s="595" t="s">
        <v>5</v>
      </c>
      <c r="C51" s="595" t="s">
        <v>6</v>
      </c>
      <c r="D51" s="595" t="s">
        <v>1524</v>
      </c>
      <c r="E51" s="551"/>
      <c r="F51" s="546"/>
      <c r="G51" s="601">
        <v>46092</v>
      </c>
      <c r="H51" s="549">
        <f t="shared" ca="1" si="13"/>
        <v>46102</v>
      </c>
      <c r="I51" s="549" t="str">
        <f t="shared" ca="1" si="14"/>
        <v>0-Months</v>
      </c>
      <c r="J51" s="547" t="s">
        <v>1570</v>
      </c>
      <c r="K51" s="581">
        <v>269000</v>
      </c>
      <c r="L51" s="548"/>
      <c r="M51" s="548"/>
      <c r="N51" s="548"/>
      <c r="O51" s="548"/>
      <c r="P51" s="552">
        <f t="shared" si="2"/>
        <v>269000</v>
      </c>
      <c r="Q51" s="560"/>
      <c r="R51" s="592"/>
    </row>
    <row r="52" spans="1:18" s="9" customFormat="1" ht="19.899999999999999" customHeight="1" x14ac:dyDescent="0.25">
      <c r="A52" s="579">
        <v>50</v>
      </c>
      <c r="B52" s="595" t="s">
        <v>5</v>
      </c>
      <c r="C52" s="595" t="s">
        <v>6</v>
      </c>
      <c r="D52" s="595" t="s">
        <v>1524</v>
      </c>
      <c r="E52" s="551"/>
      <c r="F52" s="546"/>
      <c r="G52" s="601">
        <v>46093</v>
      </c>
      <c r="H52" s="549">
        <f t="shared" ca="1" si="13"/>
        <v>46102</v>
      </c>
      <c r="I52" s="549" t="str">
        <f t="shared" ca="1" si="14"/>
        <v>0-Months</v>
      </c>
      <c r="J52" s="547" t="s">
        <v>1571</v>
      </c>
      <c r="K52" s="581">
        <v>1960000</v>
      </c>
      <c r="L52" s="548"/>
      <c r="M52" s="548"/>
      <c r="N52" s="548"/>
      <c r="O52" s="548"/>
      <c r="P52" s="552">
        <f t="shared" si="2"/>
        <v>1960000</v>
      </c>
      <c r="Q52" s="560"/>
      <c r="R52" s="592"/>
    </row>
    <row r="53" spans="1:18" s="9" customFormat="1" ht="19.899999999999999" customHeight="1" x14ac:dyDescent="0.25">
      <c r="A53" s="579">
        <v>51</v>
      </c>
      <c r="B53" s="595" t="s">
        <v>5</v>
      </c>
      <c r="C53" s="595" t="s">
        <v>6</v>
      </c>
      <c r="D53" s="595" t="s">
        <v>1524</v>
      </c>
      <c r="E53" s="551"/>
      <c r="F53" s="546"/>
      <c r="G53" s="601">
        <v>46093</v>
      </c>
      <c r="H53" s="549">
        <f t="shared" ca="1" si="13"/>
        <v>46102</v>
      </c>
      <c r="I53" s="549" t="str">
        <f t="shared" ca="1" si="14"/>
        <v>0-Months</v>
      </c>
      <c r="J53" s="547" t="s">
        <v>1571</v>
      </c>
      <c r="K53" s="581">
        <v>5940000</v>
      </c>
      <c r="L53" s="548"/>
      <c r="M53" s="548"/>
      <c r="N53" s="548"/>
      <c r="O53" s="548"/>
      <c r="P53" s="552">
        <f t="shared" si="2"/>
        <v>5940000</v>
      </c>
      <c r="Q53" s="560"/>
      <c r="R53" s="592"/>
    </row>
    <row r="54" spans="1:18" s="9" customFormat="1" ht="19.899999999999999" customHeight="1" x14ac:dyDescent="0.25">
      <c r="A54" s="579">
        <v>52</v>
      </c>
      <c r="B54" s="595" t="s">
        <v>5</v>
      </c>
      <c r="C54" s="595" t="s">
        <v>6</v>
      </c>
      <c r="D54" s="595" t="s">
        <v>1524</v>
      </c>
      <c r="E54" s="551"/>
      <c r="F54" s="546"/>
      <c r="G54" s="601">
        <v>46093</v>
      </c>
      <c r="H54" s="549">
        <f t="shared" ca="1" si="13"/>
        <v>46102</v>
      </c>
      <c r="I54" s="549" t="str">
        <f t="shared" ref="I54:I67" ca="1" si="15">DATEDIF(G54,H54,"M")&amp;"-Months"</f>
        <v>0-Months</v>
      </c>
      <c r="J54" s="547" t="s">
        <v>1571</v>
      </c>
      <c r="K54" s="581">
        <v>1520000</v>
      </c>
      <c r="L54" s="548"/>
      <c r="M54" s="548"/>
      <c r="N54" s="548"/>
      <c r="O54" s="548"/>
      <c r="P54" s="552">
        <f t="shared" si="2"/>
        <v>1520000</v>
      </c>
      <c r="Q54" s="560"/>
      <c r="R54" s="592"/>
    </row>
    <row r="55" spans="1:18" s="9" customFormat="1" ht="19.899999999999999" customHeight="1" x14ac:dyDescent="0.25">
      <c r="A55" s="579">
        <v>53</v>
      </c>
      <c r="B55" s="595" t="s">
        <v>5</v>
      </c>
      <c r="C55" s="595" t="s">
        <v>6</v>
      </c>
      <c r="D55" s="595" t="s">
        <v>1524</v>
      </c>
      <c r="E55" s="551"/>
      <c r="F55" s="546"/>
      <c r="G55" s="601">
        <v>46093</v>
      </c>
      <c r="H55" s="549">
        <f t="shared" ca="1" si="13"/>
        <v>46102</v>
      </c>
      <c r="I55" s="549" t="str">
        <f t="shared" ca="1" si="15"/>
        <v>0-Months</v>
      </c>
      <c r="J55" s="547" t="s">
        <v>1571</v>
      </c>
      <c r="K55" s="581">
        <v>558000</v>
      </c>
      <c r="L55" s="548"/>
      <c r="M55" s="548"/>
      <c r="N55" s="548"/>
      <c r="O55" s="548"/>
      <c r="P55" s="552">
        <f t="shared" si="2"/>
        <v>558000</v>
      </c>
      <c r="Q55" s="560"/>
      <c r="R55" s="592"/>
    </row>
    <row r="56" spans="1:18" s="9" customFormat="1" ht="19.899999999999999" customHeight="1" x14ac:dyDescent="0.25">
      <c r="A56" s="579">
        <v>54</v>
      </c>
      <c r="B56" s="595" t="s">
        <v>5</v>
      </c>
      <c r="C56" s="595" t="s">
        <v>6</v>
      </c>
      <c r="D56" s="595" t="s">
        <v>1524</v>
      </c>
      <c r="E56" s="551"/>
      <c r="F56" s="546"/>
      <c r="G56" s="601">
        <v>46093</v>
      </c>
      <c r="H56" s="549">
        <f t="shared" ca="1" si="13"/>
        <v>46102</v>
      </c>
      <c r="I56" s="549" t="str">
        <f t="shared" ca="1" si="15"/>
        <v>0-Months</v>
      </c>
      <c r="J56" s="547" t="s">
        <v>1571</v>
      </c>
      <c r="K56" s="581">
        <v>978900</v>
      </c>
      <c r="L56" s="548"/>
      <c r="M56" s="548"/>
      <c r="N56" s="548"/>
      <c r="O56" s="548"/>
      <c r="P56" s="552">
        <f t="shared" si="2"/>
        <v>978900</v>
      </c>
      <c r="Q56" s="560"/>
      <c r="R56" s="592"/>
    </row>
    <row r="57" spans="1:18" s="9" customFormat="1" ht="19.899999999999999" customHeight="1" x14ac:dyDescent="0.25">
      <c r="A57" s="579">
        <v>55</v>
      </c>
      <c r="B57" s="595" t="s">
        <v>5</v>
      </c>
      <c r="C57" s="595" t="s">
        <v>6</v>
      </c>
      <c r="D57" s="595" t="s">
        <v>1524</v>
      </c>
      <c r="E57" s="551"/>
      <c r="F57" s="546"/>
      <c r="G57" s="601">
        <v>46097</v>
      </c>
      <c r="H57" s="549">
        <f t="shared" ca="1" si="13"/>
        <v>46102</v>
      </c>
      <c r="I57" s="549" t="str">
        <f t="shared" ca="1" si="15"/>
        <v>0-Months</v>
      </c>
      <c r="J57" s="547" t="s">
        <v>1572</v>
      </c>
      <c r="K57" s="581">
        <v>2100000</v>
      </c>
      <c r="L57" s="548"/>
      <c r="M57" s="548"/>
      <c r="N57" s="548"/>
      <c r="O57" s="548"/>
      <c r="P57" s="552">
        <f t="shared" si="2"/>
        <v>2100000</v>
      </c>
      <c r="Q57" s="560"/>
      <c r="R57" s="592"/>
    </row>
    <row r="58" spans="1:18" s="9" customFormat="1" ht="19.899999999999999" customHeight="1" x14ac:dyDescent="0.25">
      <c r="A58" s="579">
        <v>56</v>
      </c>
      <c r="B58" s="595" t="s">
        <v>5</v>
      </c>
      <c r="C58" s="595" t="s">
        <v>6</v>
      </c>
      <c r="D58" s="595" t="s">
        <v>1524</v>
      </c>
      <c r="E58" s="551"/>
      <c r="F58" s="546"/>
      <c r="G58" s="601">
        <v>46097</v>
      </c>
      <c r="H58" s="549">
        <f t="shared" ca="1" si="13"/>
        <v>46102</v>
      </c>
      <c r="I58" s="549" t="str">
        <f t="shared" ca="1" si="15"/>
        <v>0-Months</v>
      </c>
      <c r="J58" s="547" t="s">
        <v>1572</v>
      </c>
      <c r="K58" s="581">
        <v>6372000</v>
      </c>
      <c r="L58" s="548"/>
      <c r="M58" s="548"/>
      <c r="N58" s="548"/>
      <c r="O58" s="548"/>
      <c r="P58" s="552">
        <f t="shared" si="2"/>
        <v>6372000</v>
      </c>
      <c r="Q58" s="560"/>
      <c r="R58" s="592"/>
    </row>
    <row r="59" spans="1:18" s="9" customFormat="1" ht="19.899999999999999" customHeight="1" x14ac:dyDescent="0.25">
      <c r="A59" s="579">
        <v>57</v>
      </c>
      <c r="B59" s="595" t="s">
        <v>5</v>
      </c>
      <c r="C59" s="595" t="s">
        <v>6</v>
      </c>
      <c r="D59" s="595" t="s">
        <v>1524</v>
      </c>
      <c r="E59" s="551"/>
      <c r="F59" s="546"/>
      <c r="G59" s="601">
        <v>46097</v>
      </c>
      <c r="H59" s="549">
        <f t="shared" ca="1" si="13"/>
        <v>46102</v>
      </c>
      <c r="I59" s="549" t="str">
        <f t="shared" ca="1" si="15"/>
        <v>0-Months</v>
      </c>
      <c r="J59" s="547" t="s">
        <v>1572</v>
      </c>
      <c r="K59" s="581">
        <v>542850</v>
      </c>
      <c r="L59" s="548"/>
      <c r="M59" s="548"/>
      <c r="N59" s="548"/>
      <c r="O59" s="548"/>
      <c r="P59" s="552">
        <f t="shared" si="2"/>
        <v>542850</v>
      </c>
      <c r="Q59" s="560"/>
      <c r="R59" s="592"/>
    </row>
    <row r="60" spans="1:18" s="9" customFormat="1" ht="19.899999999999999" customHeight="1" x14ac:dyDescent="0.25">
      <c r="A60" s="579">
        <v>58</v>
      </c>
      <c r="B60" s="595" t="s">
        <v>5</v>
      </c>
      <c r="C60" s="595" t="s">
        <v>6</v>
      </c>
      <c r="D60" s="595" t="s">
        <v>1524</v>
      </c>
      <c r="E60" s="551"/>
      <c r="F60" s="546"/>
      <c r="G60" s="601">
        <v>46097</v>
      </c>
      <c r="H60" s="549">
        <f t="shared" ca="1" si="13"/>
        <v>46102</v>
      </c>
      <c r="I60" s="549" t="str">
        <f t="shared" ca="1" si="15"/>
        <v>0-Months</v>
      </c>
      <c r="J60" s="547" t="s">
        <v>1572</v>
      </c>
      <c r="K60" s="581">
        <v>217000</v>
      </c>
      <c r="L60" s="548"/>
      <c r="M60" s="548"/>
      <c r="N60" s="548"/>
      <c r="O60" s="548"/>
      <c r="P60" s="552">
        <f t="shared" si="2"/>
        <v>217000</v>
      </c>
      <c r="Q60" s="560"/>
      <c r="R60" s="592"/>
    </row>
    <row r="61" spans="1:18" s="9" customFormat="1" ht="19.899999999999999" customHeight="1" x14ac:dyDescent="0.25">
      <c r="A61" s="579">
        <v>59</v>
      </c>
      <c r="B61" s="595" t="s">
        <v>5</v>
      </c>
      <c r="C61" s="595" t="s">
        <v>6</v>
      </c>
      <c r="D61" s="595" t="s">
        <v>1524</v>
      </c>
      <c r="E61" s="551"/>
      <c r="F61" s="546"/>
      <c r="G61" s="601">
        <v>46097</v>
      </c>
      <c r="H61" s="549">
        <f t="shared" ca="1" si="13"/>
        <v>46102</v>
      </c>
      <c r="I61" s="549" t="str">
        <f t="shared" ca="1" si="15"/>
        <v>0-Months</v>
      </c>
      <c r="J61" s="547" t="s">
        <v>1573</v>
      </c>
      <c r="K61" s="581">
        <v>3600000</v>
      </c>
      <c r="L61" s="548"/>
      <c r="M61" s="548"/>
      <c r="N61" s="548"/>
      <c r="O61" s="548"/>
      <c r="P61" s="552">
        <f t="shared" si="2"/>
        <v>3600000</v>
      </c>
      <c r="Q61" s="560"/>
      <c r="R61" s="592"/>
    </row>
    <row r="62" spans="1:18" s="9" customFormat="1" ht="19.899999999999999" customHeight="1" x14ac:dyDescent="0.25">
      <c r="A62" s="579">
        <v>60</v>
      </c>
      <c r="B62" s="595" t="s">
        <v>5</v>
      </c>
      <c r="C62" s="595" t="s">
        <v>6</v>
      </c>
      <c r="D62" s="595" t="s">
        <v>1524</v>
      </c>
      <c r="E62" s="551"/>
      <c r="F62" s="546"/>
      <c r="G62" s="601">
        <v>46097</v>
      </c>
      <c r="H62" s="549">
        <f t="shared" ca="1" si="13"/>
        <v>46102</v>
      </c>
      <c r="I62" s="549" t="str">
        <f t="shared" ca="1" si="15"/>
        <v>0-Months</v>
      </c>
      <c r="J62" s="547" t="s">
        <v>1573</v>
      </c>
      <c r="K62" s="581">
        <v>1050000</v>
      </c>
      <c r="L62" s="548"/>
      <c r="M62" s="548"/>
      <c r="N62" s="548"/>
      <c r="O62" s="548"/>
      <c r="P62" s="552">
        <f t="shared" si="2"/>
        <v>1050000</v>
      </c>
      <c r="Q62" s="560"/>
      <c r="R62" s="592"/>
    </row>
    <row r="63" spans="1:18" s="9" customFormat="1" ht="19.899999999999999" customHeight="1" x14ac:dyDescent="0.25">
      <c r="A63" s="579">
        <v>61</v>
      </c>
      <c r="B63" s="595" t="s">
        <v>5</v>
      </c>
      <c r="C63" s="595" t="s">
        <v>6</v>
      </c>
      <c r="D63" s="595" t="s">
        <v>1524</v>
      </c>
      <c r="E63" s="551"/>
      <c r="F63" s="546"/>
      <c r="G63" s="601">
        <v>46097</v>
      </c>
      <c r="H63" s="549">
        <f t="shared" ca="1" si="13"/>
        <v>46102</v>
      </c>
      <c r="I63" s="549" t="str">
        <f t="shared" ca="1" si="15"/>
        <v>0-Months</v>
      </c>
      <c r="J63" s="547" t="s">
        <v>1573</v>
      </c>
      <c r="K63" s="581">
        <v>972000</v>
      </c>
      <c r="L63" s="548"/>
      <c r="M63" s="548"/>
      <c r="N63" s="548"/>
      <c r="O63" s="548"/>
      <c r="P63" s="552">
        <f t="shared" si="2"/>
        <v>972000</v>
      </c>
      <c r="Q63" s="560"/>
      <c r="R63" s="592"/>
    </row>
    <row r="64" spans="1:18" s="9" customFormat="1" ht="19.899999999999999" customHeight="1" x14ac:dyDescent="0.25">
      <c r="A64" s="579">
        <v>62</v>
      </c>
      <c r="B64" s="595" t="s">
        <v>5</v>
      </c>
      <c r="C64" s="595" t="s">
        <v>6</v>
      </c>
      <c r="D64" s="595" t="s">
        <v>1524</v>
      </c>
      <c r="E64" s="551"/>
      <c r="F64" s="546"/>
      <c r="G64" s="601">
        <v>46097</v>
      </c>
      <c r="H64" s="549">
        <f t="shared" ca="1" si="13"/>
        <v>46102</v>
      </c>
      <c r="I64" s="549" t="str">
        <f t="shared" ca="1" si="15"/>
        <v>0-Months</v>
      </c>
      <c r="J64" s="547" t="s">
        <v>1573</v>
      </c>
      <c r="K64" s="581">
        <v>5947200</v>
      </c>
      <c r="L64" s="548"/>
      <c r="M64" s="548"/>
      <c r="N64" s="548"/>
      <c r="O64" s="548"/>
      <c r="P64" s="552">
        <f t="shared" si="2"/>
        <v>5947200</v>
      </c>
      <c r="Q64" s="560"/>
      <c r="R64" s="592"/>
    </row>
    <row r="65" spans="1:18" s="9" customFormat="1" ht="19.899999999999999" customHeight="1" x14ac:dyDescent="0.25">
      <c r="A65" s="579">
        <v>63</v>
      </c>
      <c r="B65" s="595" t="s">
        <v>5</v>
      </c>
      <c r="C65" s="595" t="s">
        <v>6</v>
      </c>
      <c r="D65" s="595" t="s">
        <v>1524</v>
      </c>
      <c r="E65" s="551"/>
      <c r="F65" s="546"/>
      <c r="G65" s="601">
        <v>46097</v>
      </c>
      <c r="H65" s="549">
        <f t="shared" ca="1" si="13"/>
        <v>46102</v>
      </c>
      <c r="I65" s="549" t="str">
        <f t="shared" ca="1" si="15"/>
        <v>0-Months</v>
      </c>
      <c r="J65" s="547" t="s">
        <v>1573</v>
      </c>
      <c r="K65" s="581">
        <v>63800</v>
      </c>
      <c r="L65" s="548"/>
      <c r="M65" s="548"/>
      <c r="N65" s="548"/>
      <c r="O65" s="548"/>
      <c r="P65" s="552">
        <f t="shared" si="2"/>
        <v>63800</v>
      </c>
      <c r="Q65" s="560"/>
      <c r="R65" s="592"/>
    </row>
    <row r="66" spans="1:18" s="9" customFormat="1" ht="19.899999999999999" customHeight="1" x14ac:dyDescent="0.25">
      <c r="A66" s="579">
        <v>64</v>
      </c>
      <c r="B66" s="595" t="s">
        <v>5</v>
      </c>
      <c r="C66" s="595" t="s">
        <v>6</v>
      </c>
      <c r="D66" s="595" t="s">
        <v>1524</v>
      </c>
      <c r="E66" s="551"/>
      <c r="F66" s="546"/>
      <c r="G66" s="601">
        <v>46100</v>
      </c>
      <c r="H66" s="549">
        <f t="shared" ca="1" si="13"/>
        <v>46102</v>
      </c>
      <c r="I66" s="549" t="str">
        <f t="shared" ca="1" si="15"/>
        <v>0-Months</v>
      </c>
      <c r="J66" s="547" t="s">
        <v>1574</v>
      </c>
      <c r="K66" s="581">
        <v>1050000</v>
      </c>
      <c r="L66" s="548"/>
      <c r="M66" s="548"/>
      <c r="N66" s="548"/>
      <c r="O66" s="548"/>
      <c r="P66" s="552">
        <f t="shared" si="2"/>
        <v>1050000</v>
      </c>
      <c r="Q66" s="560"/>
      <c r="R66" s="592"/>
    </row>
    <row r="67" spans="1:18" s="9" customFormat="1" ht="19.899999999999999" customHeight="1" x14ac:dyDescent="0.25">
      <c r="A67" s="579">
        <v>65</v>
      </c>
      <c r="B67" s="595" t="s">
        <v>5</v>
      </c>
      <c r="C67" s="595" t="s">
        <v>6</v>
      </c>
      <c r="D67" s="595" t="s">
        <v>1524</v>
      </c>
      <c r="E67" s="551"/>
      <c r="F67" s="546"/>
      <c r="G67" s="601">
        <v>46100</v>
      </c>
      <c r="H67" s="549">
        <f t="shared" ca="1" si="13"/>
        <v>46102</v>
      </c>
      <c r="I67" s="549" t="str">
        <f t="shared" ca="1" si="15"/>
        <v>0-Months</v>
      </c>
      <c r="J67" s="547" t="s">
        <v>1574</v>
      </c>
      <c r="K67" s="581">
        <v>324000</v>
      </c>
      <c r="L67" s="548"/>
      <c r="M67" s="548"/>
      <c r="N67" s="548"/>
      <c r="O67" s="548"/>
      <c r="P67" s="552">
        <f t="shared" si="2"/>
        <v>324000</v>
      </c>
      <c r="Q67" s="560"/>
      <c r="R67" s="592"/>
    </row>
    <row r="68" spans="1:18" s="9" customFormat="1" ht="19.899999999999999" customHeight="1" x14ac:dyDescent="0.25">
      <c r="A68" s="579">
        <v>66</v>
      </c>
      <c r="B68" s="595" t="s">
        <v>5</v>
      </c>
      <c r="C68" s="595" t="s">
        <v>6</v>
      </c>
      <c r="D68" s="595" t="s">
        <v>1524</v>
      </c>
      <c r="E68" s="551"/>
      <c r="F68" s="546"/>
      <c r="G68" s="601">
        <v>46100</v>
      </c>
      <c r="H68" s="549">
        <f t="shared" ca="1" si="13"/>
        <v>46102</v>
      </c>
      <c r="I68" s="549" t="str">
        <f t="shared" ref="I68:I70" ca="1" si="16">DATEDIF(G68,H68,"M")&amp;"-Months"</f>
        <v>0-Months</v>
      </c>
      <c r="J68" s="547" t="s">
        <v>1574</v>
      </c>
      <c r="K68" s="581">
        <v>145200</v>
      </c>
      <c r="L68" s="548"/>
      <c r="M68" s="548"/>
      <c r="N68" s="548"/>
      <c r="O68" s="548"/>
      <c r="P68" s="552">
        <f t="shared" si="2"/>
        <v>145200</v>
      </c>
      <c r="Q68" s="560"/>
      <c r="R68" s="592"/>
    </row>
    <row r="69" spans="1:18" s="9" customFormat="1" ht="19.899999999999999" customHeight="1" x14ac:dyDescent="0.25">
      <c r="A69" s="579">
        <v>67</v>
      </c>
      <c r="B69" s="595" t="s">
        <v>5</v>
      </c>
      <c r="C69" s="595" t="s">
        <v>6</v>
      </c>
      <c r="D69" s="595" t="s">
        <v>1524</v>
      </c>
      <c r="E69" s="551"/>
      <c r="F69" s="546"/>
      <c r="G69" s="601">
        <v>46100</v>
      </c>
      <c r="H69" s="549">
        <f t="shared" ca="1" si="13"/>
        <v>46102</v>
      </c>
      <c r="I69" s="549" t="str">
        <f t="shared" ca="1" si="16"/>
        <v>0-Months</v>
      </c>
      <c r="J69" s="547" t="s">
        <v>1574</v>
      </c>
      <c r="K69" s="581">
        <v>264000</v>
      </c>
      <c r="L69" s="548"/>
      <c r="M69" s="548"/>
      <c r="N69" s="548"/>
      <c r="O69" s="548"/>
      <c r="P69" s="552">
        <f t="shared" si="2"/>
        <v>264000</v>
      </c>
      <c r="Q69" s="560"/>
      <c r="R69" s="592"/>
    </row>
    <row r="70" spans="1:18" s="9" customFormat="1" ht="19.899999999999999" customHeight="1" x14ac:dyDescent="0.25">
      <c r="A70" s="579">
        <v>68</v>
      </c>
      <c r="B70" s="595" t="s">
        <v>5</v>
      </c>
      <c r="C70" s="595" t="s">
        <v>6</v>
      </c>
      <c r="D70" s="595" t="s">
        <v>1524</v>
      </c>
      <c r="E70" s="551"/>
      <c r="F70" s="546"/>
      <c r="G70" s="601">
        <v>46100</v>
      </c>
      <c r="H70" s="549">
        <f t="shared" ca="1" si="13"/>
        <v>46102</v>
      </c>
      <c r="I70" s="549" t="str">
        <f t="shared" ca="1" si="16"/>
        <v>0-Months</v>
      </c>
      <c r="J70" s="547" t="s">
        <v>1574</v>
      </c>
      <c r="K70" s="581">
        <v>3237400</v>
      </c>
      <c r="L70" s="548"/>
      <c r="M70" s="548"/>
      <c r="N70" s="548"/>
      <c r="O70" s="548"/>
      <c r="P70" s="552">
        <f t="shared" si="2"/>
        <v>3237400</v>
      </c>
      <c r="Q70" s="560"/>
      <c r="R70" s="592"/>
    </row>
    <row r="71" spans="1:18" s="9" customFormat="1" ht="19.899999999999999" customHeight="1" x14ac:dyDescent="0.25">
      <c r="A71" s="579">
        <v>69</v>
      </c>
      <c r="B71" s="595" t="s">
        <v>7</v>
      </c>
      <c r="C71" s="595" t="s">
        <v>8</v>
      </c>
      <c r="D71" s="595" t="s">
        <v>1524</v>
      </c>
      <c r="E71" s="551"/>
      <c r="F71" s="546"/>
      <c r="G71" s="601">
        <v>46091</v>
      </c>
      <c r="H71" s="549">
        <f t="shared" ca="1" si="13"/>
        <v>46102</v>
      </c>
      <c r="I71" s="549" t="str">
        <f t="shared" ref="I71" ca="1" si="17">DATEDIF(G71,H71,"M")&amp;"-Months"</f>
        <v>0-Months</v>
      </c>
      <c r="J71" s="547" t="s">
        <v>1543</v>
      </c>
      <c r="K71" s="581">
        <v>-92000</v>
      </c>
      <c r="L71" s="548"/>
      <c r="M71" s="548"/>
      <c r="N71" s="548"/>
      <c r="O71" s="548"/>
      <c r="P71" s="552">
        <f t="shared" si="2"/>
        <v>-92000</v>
      </c>
      <c r="Q71" s="560"/>
      <c r="R71" s="592"/>
    </row>
    <row r="72" spans="1:18" s="9" customFormat="1" ht="19.899999999999999" customHeight="1" x14ac:dyDescent="0.25">
      <c r="A72" s="579">
        <v>70</v>
      </c>
      <c r="B72" s="595" t="s">
        <v>52</v>
      </c>
      <c r="C72" s="595" t="s">
        <v>53</v>
      </c>
      <c r="D72" s="595" t="s">
        <v>1524</v>
      </c>
      <c r="E72" s="551"/>
      <c r="F72" s="546"/>
      <c r="G72" s="601">
        <v>46095</v>
      </c>
      <c r="H72" s="549">
        <f t="shared" ca="1" si="13"/>
        <v>46102</v>
      </c>
      <c r="I72" s="549" t="str">
        <f t="shared" ref="I72" ca="1" si="18">DATEDIF(G72,H72,"M")&amp;"-Months"</f>
        <v>0-Months</v>
      </c>
      <c r="J72" s="547" t="s">
        <v>1548</v>
      </c>
      <c r="K72" s="581">
        <v>980000</v>
      </c>
      <c r="L72" s="548"/>
      <c r="M72" s="548"/>
      <c r="N72" s="548"/>
      <c r="O72" s="548"/>
      <c r="P72" s="552">
        <f t="shared" si="2"/>
        <v>980000</v>
      </c>
      <c r="Q72" s="560"/>
      <c r="R72" s="592"/>
    </row>
    <row r="73" spans="1:18" s="9" customFormat="1" ht="19.899999999999999" customHeight="1" x14ac:dyDescent="0.25">
      <c r="A73" s="579">
        <v>71</v>
      </c>
      <c r="B73" s="595" t="s">
        <v>52</v>
      </c>
      <c r="C73" s="595" t="s">
        <v>53</v>
      </c>
      <c r="D73" s="595" t="s">
        <v>1524</v>
      </c>
      <c r="E73" s="551"/>
      <c r="F73" s="546"/>
      <c r="G73" s="601">
        <v>46095</v>
      </c>
      <c r="H73" s="549">
        <f t="shared" ca="1" si="13"/>
        <v>46102</v>
      </c>
      <c r="I73" s="549" t="str">
        <f t="shared" ref="I73:I75" ca="1" si="19">DATEDIF(G73,H73,"M")&amp;"-Months"</f>
        <v>0-Months</v>
      </c>
      <c r="J73" s="547" t="s">
        <v>1548</v>
      </c>
      <c r="K73" s="581">
        <v>4752000</v>
      </c>
      <c r="L73" s="548"/>
      <c r="M73" s="548"/>
      <c r="N73" s="548"/>
      <c r="O73" s="548"/>
      <c r="P73" s="552">
        <f t="shared" si="2"/>
        <v>4752000</v>
      </c>
      <c r="Q73" s="560"/>
      <c r="R73" s="592"/>
    </row>
    <row r="74" spans="1:18" s="9" customFormat="1" ht="19.899999999999999" customHeight="1" x14ac:dyDescent="0.25">
      <c r="A74" s="579">
        <v>72</v>
      </c>
      <c r="B74" s="595" t="s">
        <v>52</v>
      </c>
      <c r="C74" s="595" t="s">
        <v>53</v>
      </c>
      <c r="D74" s="595" t="s">
        <v>1524</v>
      </c>
      <c r="E74" s="551"/>
      <c r="F74" s="546"/>
      <c r="G74" s="601">
        <v>46095</v>
      </c>
      <c r="H74" s="549">
        <f t="shared" ca="1" si="13"/>
        <v>46102</v>
      </c>
      <c r="I74" s="549" t="str">
        <f t="shared" ca="1" si="19"/>
        <v>0-Months</v>
      </c>
      <c r="J74" s="547" t="s">
        <v>1548</v>
      </c>
      <c r="K74" s="581">
        <v>3040000</v>
      </c>
      <c r="L74" s="548"/>
      <c r="M74" s="548"/>
      <c r="N74" s="548"/>
      <c r="O74" s="548"/>
      <c r="P74" s="552">
        <f t="shared" si="2"/>
        <v>3040000</v>
      </c>
      <c r="Q74" s="560"/>
      <c r="R74" s="592"/>
    </row>
    <row r="75" spans="1:18" s="9" customFormat="1" ht="19.899999999999999" customHeight="1" x14ac:dyDescent="0.25">
      <c r="A75" s="579">
        <v>73</v>
      </c>
      <c r="B75" s="595" t="s">
        <v>52</v>
      </c>
      <c r="C75" s="595" t="s">
        <v>53</v>
      </c>
      <c r="D75" s="595" t="s">
        <v>1524</v>
      </c>
      <c r="E75" s="551"/>
      <c r="F75" s="546"/>
      <c r="G75" s="601">
        <v>46095</v>
      </c>
      <c r="H75" s="549">
        <f t="shared" ca="1" si="13"/>
        <v>46102</v>
      </c>
      <c r="I75" s="549" t="str">
        <f t="shared" ca="1" si="19"/>
        <v>0-Months</v>
      </c>
      <c r="J75" s="547" t="s">
        <v>1548</v>
      </c>
      <c r="K75" s="581">
        <v>840000</v>
      </c>
      <c r="L75" s="548"/>
      <c r="M75" s="548"/>
      <c r="N75" s="548"/>
      <c r="O75" s="548"/>
      <c r="P75" s="552">
        <f t="shared" si="2"/>
        <v>840000</v>
      </c>
      <c r="Q75" s="560"/>
      <c r="R75" s="592"/>
    </row>
    <row r="76" spans="1:18" s="9" customFormat="1" ht="19.899999999999999" customHeight="1" x14ac:dyDescent="0.25">
      <c r="A76" s="579">
        <v>74</v>
      </c>
      <c r="B76" s="595" t="s">
        <v>52</v>
      </c>
      <c r="C76" s="595" t="s">
        <v>53</v>
      </c>
      <c r="D76" s="595" t="s">
        <v>1524</v>
      </c>
      <c r="E76" s="551"/>
      <c r="F76" s="546"/>
      <c r="G76" s="601">
        <v>46095</v>
      </c>
      <c r="H76" s="549">
        <f t="shared" ca="1" si="13"/>
        <v>46102</v>
      </c>
      <c r="I76" s="549" t="str">
        <f t="shared" ref="I76" ca="1" si="20">DATEDIF(G76,H76,"M")&amp;"-Months"</f>
        <v>0-Months</v>
      </c>
      <c r="J76" s="547" t="s">
        <v>1548</v>
      </c>
      <c r="K76" s="581">
        <v>2232000</v>
      </c>
      <c r="L76" s="548"/>
      <c r="M76" s="548"/>
      <c r="N76" s="548"/>
      <c r="O76" s="548"/>
      <c r="P76" s="552">
        <f t="shared" si="2"/>
        <v>2232000</v>
      </c>
      <c r="Q76" s="560"/>
      <c r="R76" s="592"/>
    </row>
    <row r="77" spans="1:18" s="9" customFormat="1" ht="19.899999999999999" customHeight="1" x14ac:dyDescent="0.25">
      <c r="A77" s="579">
        <v>75</v>
      </c>
      <c r="B77" s="595" t="s">
        <v>52</v>
      </c>
      <c r="C77" s="595" t="s">
        <v>53</v>
      </c>
      <c r="D77" s="595" t="s">
        <v>1524</v>
      </c>
      <c r="E77" s="551"/>
      <c r="F77" s="546"/>
      <c r="G77" s="601">
        <v>46095</v>
      </c>
      <c r="H77" s="549">
        <f t="shared" ca="1" si="13"/>
        <v>46102</v>
      </c>
      <c r="I77" s="549" t="str">
        <f t="shared" ref="I77:I82" ca="1" si="21">DATEDIF(G77,H77,"M")&amp;"-Months"</f>
        <v>0-Months</v>
      </c>
      <c r="J77" s="547" t="s">
        <v>1548</v>
      </c>
      <c r="K77" s="581">
        <v>201200</v>
      </c>
      <c r="L77" s="548"/>
      <c r="M77" s="548"/>
      <c r="N77" s="548"/>
      <c r="O77" s="548"/>
      <c r="P77" s="552">
        <f t="shared" si="2"/>
        <v>201200</v>
      </c>
      <c r="Q77" s="560"/>
      <c r="R77" s="592"/>
    </row>
    <row r="78" spans="1:18" s="9" customFormat="1" ht="19.899999999999999" customHeight="1" x14ac:dyDescent="0.25">
      <c r="A78" s="579">
        <v>76</v>
      </c>
      <c r="B78" s="595" t="s">
        <v>52</v>
      </c>
      <c r="C78" s="595" t="s">
        <v>53</v>
      </c>
      <c r="D78" s="595" t="s">
        <v>1524</v>
      </c>
      <c r="E78" s="551"/>
      <c r="F78" s="546"/>
      <c r="G78" s="601">
        <v>46098</v>
      </c>
      <c r="H78" s="549">
        <f t="shared" ca="1" si="13"/>
        <v>46102</v>
      </c>
      <c r="I78" s="549" t="str">
        <f t="shared" ca="1" si="21"/>
        <v>0-Months</v>
      </c>
      <c r="J78" s="547" t="s">
        <v>1549</v>
      </c>
      <c r="K78" s="581">
        <v>2100000</v>
      </c>
      <c r="L78" s="548"/>
      <c r="M78" s="548"/>
      <c r="N78" s="548"/>
      <c r="O78" s="548"/>
      <c r="P78" s="552">
        <f t="shared" si="2"/>
        <v>2100000</v>
      </c>
      <c r="Q78" s="560"/>
      <c r="R78" s="592"/>
    </row>
    <row r="79" spans="1:18" s="9" customFormat="1" ht="19.899999999999999" customHeight="1" x14ac:dyDescent="0.25">
      <c r="A79" s="579">
        <v>77</v>
      </c>
      <c r="B79" s="595" t="s">
        <v>52</v>
      </c>
      <c r="C79" s="595" t="s">
        <v>53</v>
      </c>
      <c r="D79" s="595" t="s">
        <v>1524</v>
      </c>
      <c r="E79" s="551"/>
      <c r="F79" s="546"/>
      <c r="G79" s="601">
        <v>46098</v>
      </c>
      <c r="H79" s="549">
        <f t="shared" ca="1" si="13"/>
        <v>46102</v>
      </c>
      <c r="I79" s="549" t="str">
        <f t="shared" ca="1" si="21"/>
        <v>0-Months</v>
      </c>
      <c r="J79" s="547" t="s">
        <v>1549</v>
      </c>
      <c r="K79" s="581">
        <v>5310000</v>
      </c>
      <c r="L79" s="548"/>
      <c r="M79" s="548"/>
      <c r="N79" s="548"/>
      <c r="O79" s="548"/>
      <c r="P79" s="552">
        <f t="shared" si="2"/>
        <v>5310000</v>
      </c>
      <c r="Q79" s="560"/>
      <c r="R79" s="592"/>
    </row>
    <row r="80" spans="1:18" s="9" customFormat="1" ht="19.899999999999999" customHeight="1" x14ac:dyDescent="0.25">
      <c r="A80" s="579">
        <v>78</v>
      </c>
      <c r="B80" s="595" t="s">
        <v>52</v>
      </c>
      <c r="C80" s="595" t="s">
        <v>53</v>
      </c>
      <c r="D80" s="595" t="s">
        <v>1524</v>
      </c>
      <c r="E80" s="551"/>
      <c r="F80" s="546"/>
      <c r="G80" s="601">
        <v>46098</v>
      </c>
      <c r="H80" s="549">
        <f t="shared" ca="1" si="13"/>
        <v>46102</v>
      </c>
      <c r="I80" s="549" t="str">
        <f t="shared" ca="1" si="21"/>
        <v>0-Months</v>
      </c>
      <c r="J80" s="547" t="s">
        <v>1549</v>
      </c>
      <c r="K80" s="581">
        <v>1332000</v>
      </c>
      <c r="L80" s="548"/>
      <c r="M80" s="548"/>
      <c r="N80" s="548"/>
      <c r="O80" s="548"/>
      <c r="P80" s="552">
        <f t="shared" si="2"/>
        <v>1332000</v>
      </c>
      <c r="Q80" s="560"/>
      <c r="R80" s="592"/>
    </row>
    <row r="81" spans="1:18" s="9" customFormat="1" ht="19.899999999999999" customHeight="1" x14ac:dyDescent="0.25">
      <c r="A81" s="579">
        <v>79</v>
      </c>
      <c r="B81" s="595" t="s">
        <v>52</v>
      </c>
      <c r="C81" s="595" t="s">
        <v>53</v>
      </c>
      <c r="D81" s="595" t="s">
        <v>1524</v>
      </c>
      <c r="E81" s="551"/>
      <c r="F81" s="546"/>
      <c r="G81" s="601">
        <v>46098</v>
      </c>
      <c r="H81" s="549">
        <f t="shared" ca="1" si="13"/>
        <v>46102</v>
      </c>
      <c r="I81" s="549" t="str">
        <f t="shared" ca="1" si="21"/>
        <v>0-Months</v>
      </c>
      <c r="J81" s="547" t="s">
        <v>1549</v>
      </c>
      <c r="K81" s="581">
        <v>900000</v>
      </c>
      <c r="L81" s="548"/>
      <c r="M81" s="548"/>
      <c r="N81" s="548"/>
      <c r="O81" s="548"/>
      <c r="P81" s="552">
        <f t="shared" si="2"/>
        <v>900000</v>
      </c>
      <c r="Q81" s="560"/>
      <c r="R81" s="592"/>
    </row>
    <row r="82" spans="1:18" s="9" customFormat="1" ht="19.899999999999999" customHeight="1" x14ac:dyDescent="0.25">
      <c r="A82" s="579">
        <v>80</v>
      </c>
      <c r="B82" s="595" t="s">
        <v>52</v>
      </c>
      <c r="C82" s="595" t="s">
        <v>53</v>
      </c>
      <c r="D82" s="595" t="s">
        <v>1524</v>
      </c>
      <c r="E82" s="551"/>
      <c r="F82" s="546"/>
      <c r="G82" s="601">
        <v>46098</v>
      </c>
      <c r="H82" s="549">
        <f t="shared" ca="1" si="13"/>
        <v>46102</v>
      </c>
      <c r="I82" s="549" t="str">
        <f t="shared" ca="1" si="21"/>
        <v>0-Months</v>
      </c>
      <c r="J82" s="547" t="s">
        <v>1549</v>
      </c>
      <c r="K82" s="581">
        <v>1889200</v>
      </c>
      <c r="L82" s="548"/>
      <c r="M82" s="548"/>
      <c r="N82" s="548"/>
      <c r="O82" s="548"/>
      <c r="P82" s="552">
        <f t="shared" si="2"/>
        <v>1889200</v>
      </c>
      <c r="Q82" s="560"/>
      <c r="R82" s="592"/>
    </row>
    <row r="83" spans="1:18" s="9" customFormat="1" ht="19.899999999999999" customHeight="1" x14ac:dyDescent="0.25">
      <c r="A83" s="579">
        <v>81</v>
      </c>
      <c r="B83" s="595" t="s">
        <v>52</v>
      </c>
      <c r="C83" s="595" t="s">
        <v>53</v>
      </c>
      <c r="D83" s="595" t="s">
        <v>1524</v>
      </c>
      <c r="E83" s="551"/>
      <c r="F83" s="546"/>
      <c r="G83" s="601">
        <v>46101</v>
      </c>
      <c r="H83" s="549">
        <f t="shared" ca="1" si="13"/>
        <v>46102</v>
      </c>
      <c r="I83" s="549" t="str">
        <f t="shared" ref="I83:I86" ca="1" si="22">DATEDIF(G83,H83,"M")&amp;"-Months"</f>
        <v>0-Months</v>
      </c>
      <c r="J83" s="547" t="s">
        <v>1578</v>
      </c>
      <c r="K83" s="581">
        <v>1050000</v>
      </c>
      <c r="L83" s="548"/>
      <c r="M83" s="548"/>
      <c r="N83" s="548"/>
      <c r="O83" s="548"/>
      <c r="P83" s="552">
        <f t="shared" si="2"/>
        <v>1050000</v>
      </c>
      <c r="Q83" s="560"/>
      <c r="R83" s="592"/>
    </row>
    <row r="84" spans="1:18" s="9" customFormat="1" ht="19.899999999999999" customHeight="1" x14ac:dyDescent="0.25">
      <c r="A84" s="579">
        <v>82</v>
      </c>
      <c r="B84" s="595" t="s">
        <v>52</v>
      </c>
      <c r="C84" s="595" t="s">
        <v>53</v>
      </c>
      <c r="D84" s="595" t="s">
        <v>1524</v>
      </c>
      <c r="E84" s="551"/>
      <c r="F84" s="546"/>
      <c r="G84" s="601">
        <v>46101</v>
      </c>
      <c r="H84" s="549">
        <f t="shared" ca="1" si="13"/>
        <v>46102</v>
      </c>
      <c r="I84" s="549" t="str">
        <f t="shared" ca="1" si="22"/>
        <v>0-Months</v>
      </c>
      <c r="J84" s="547" t="s">
        <v>1578</v>
      </c>
      <c r="K84" s="581">
        <v>7009200</v>
      </c>
      <c r="L84" s="548"/>
      <c r="M84" s="548"/>
      <c r="N84" s="548"/>
      <c r="O84" s="548"/>
      <c r="P84" s="552">
        <f t="shared" si="2"/>
        <v>7009200</v>
      </c>
      <c r="Q84" s="560"/>
      <c r="R84" s="592"/>
    </row>
    <row r="85" spans="1:18" s="9" customFormat="1" ht="19.899999999999999" customHeight="1" x14ac:dyDescent="0.25">
      <c r="A85" s="579">
        <v>83</v>
      </c>
      <c r="B85" s="595" t="s">
        <v>52</v>
      </c>
      <c r="C85" s="595" t="s">
        <v>53</v>
      </c>
      <c r="D85" s="595" t="s">
        <v>1524</v>
      </c>
      <c r="E85" s="551"/>
      <c r="F85" s="546"/>
      <c r="G85" s="601">
        <v>46101</v>
      </c>
      <c r="H85" s="549">
        <f t="shared" ca="1" si="13"/>
        <v>46102</v>
      </c>
      <c r="I85" s="549" t="str">
        <f t="shared" ca="1" si="22"/>
        <v>0-Months</v>
      </c>
      <c r="J85" s="547" t="s">
        <v>1578</v>
      </c>
      <c r="K85" s="581">
        <v>1944000</v>
      </c>
      <c r="L85" s="548"/>
      <c r="M85" s="548"/>
      <c r="N85" s="548"/>
      <c r="O85" s="548"/>
      <c r="P85" s="552">
        <f t="shared" si="2"/>
        <v>1944000</v>
      </c>
      <c r="Q85" s="560"/>
      <c r="R85" s="592"/>
    </row>
    <row r="86" spans="1:18" s="9" customFormat="1" ht="19.899999999999999" customHeight="1" x14ac:dyDescent="0.25">
      <c r="A86" s="579">
        <v>84</v>
      </c>
      <c r="B86" s="595" t="s">
        <v>52</v>
      </c>
      <c r="C86" s="595" t="s">
        <v>53</v>
      </c>
      <c r="D86" s="595" t="s">
        <v>1524</v>
      </c>
      <c r="E86" s="551"/>
      <c r="F86" s="546"/>
      <c r="G86" s="601">
        <v>46101</v>
      </c>
      <c r="H86" s="549">
        <f t="shared" ca="1" si="13"/>
        <v>46102</v>
      </c>
      <c r="I86" s="549" t="str">
        <f t="shared" ca="1" si="22"/>
        <v>0-Months</v>
      </c>
      <c r="J86" s="547" t="s">
        <v>1578</v>
      </c>
      <c r="K86" s="581">
        <v>1298000</v>
      </c>
      <c r="L86" s="548"/>
      <c r="M86" s="548"/>
      <c r="N86" s="548"/>
      <c r="O86" s="548"/>
      <c r="P86" s="552">
        <f t="shared" si="2"/>
        <v>1298000</v>
      </c>
      <c r="Q86" s="560"/>
      <c r="R86" s="592"/>
    </row>
    <row r="87" spans="1:18" s="9" customFormat="1" ht="19.899999999999999" customHeight="1" x14ac:dyDescent="0.25">
      <c r="A87" s="579">
        <v>85</v>
      </c>
      <c r="B87" s="595" t="s">
        <v>29</v>
      </c>
      <c r="C87" s="595" t="s">
        <v>30</v>
      </c>
      <c r="D87" s="595" t="s">
        <v>1524</v>
      </c>
      <c r="E87" s="551"/>
      <c r="F87" s="546"/>
      <c r="G87" s="601">
        <v>46092</v>
      </c>
      <c r="H87" s="549">
        <f t="shared" ca="1" si="13"/>
        <v>46102</v>
      </c>
      <c r="I87" s="549" t="str">
        <f t="shared" ref="I87:I91" ca="1" si="23">DATEDIF(G87,H87,"M")&amp;"-Months"</f>
        <v>0-Months</v>
      </c>
      <c r="J87" s="547" t="s">
        <v>1550</v>
      </c>
      <c r="K87" s="581">
        <v>1960000</v>
      </c>
      <c r="L87" s="548"/>
      <c r="M87" s="548"/>
      <c r="N87" s="548"/>
      <c r="O87" s="548"/>
      <c r="P87" s="552">
        <f t="shared" ref="P87:P134" si="24">K87+L87+M87</f>
        <v>1960000</v>
      </c>
      <c r="Q87" s="560"/>
      <c r="R87" s="592"/>
    </row>
    <row r="88" spans="1:18" s="9" customFormat="1" ht="19.899999999999999" customHeight="1" x14ac:dyDescent="0.25">
      <c r="A88" s="579">
        <v>86</v>
      </c>
      <c r="B88" s="595" t="s">
        <v>29</v>
      </c>
      <c r="C88" s="595" t="s">
        <v>30</v>
      </c>
      <c r="D88" s="595" t="s">
        <v>1524</v>
      </c>
      <c r="E88" s="551"/>
      <c r="F88" s="546"/>
      <c r="G88" s="601">
        <v>46092</v>
      </c>
      <c r="H88" s="549">
        <f t="shared" ca="1" si="13"/>
        <v>46102</v>
      </c>
      <c r="I88" s="549" t="str">
        <f t="shared" ca="1" si="23"/>
        <v>0-Months</v>
      </c>
      <c r="J88" s="547" t="s">
        <v>1550</v>
      </c>
      <c r="K88" s="581">
        <v>6930000</v>
      </c>
      <c r="L88" s="548"/>
      <c r="M88" s="548"/>
      <c r="N88" s="548"/>
      <c r="O88" s="548"/>
      <c r="P88" s="552">
        <f t="shared" si="24"/>
        <v>6930000</v>
      </c>
      <c r="Q88" s="560"/>
      <c r="R88" s="592"/>
    </row>
    <row r="89" spans="1:18" s="9" customFormat="1" ht="19.899999999999999" customHeight="1" x14ac:dyDescent="0.25">
      <c r="A89" s="579">
        <v>87</v>
      </c>
      <c r="B89" s="595" t="s">
        <v>29</v>
      </c>
      <c r="C89" s="595" t="s">
        <v>30</v>
      </c>
      <c r="D89" s="595" t="s">
        <v>1524</v>
      </c>
      <c r="E89" s="551"/>
      <c r="F89" s="546"/>
      <c r="G89" s="601">
        <v>46092</v>
      </c>
      <c r="H89" s="549">
        <f t="shared" ca="1" si="13"/>
        <v>46102</v>
      </c>
      <c r="I89" s="549" t="str">
        <f t="shared" ca="1" si="23"/>
        <v>0-Months</v>
      </c>
      <c r="J89" s="547" t="s">
        <v>1550</v>
      </c>
      <c r="K89" s="581">
        <v>3040000</v>
      </c>
      <c r="L89" s="548"/>
      <c r="M89" s="548"/>
      <c r="N89" s="548"/>
      <c r="O89" s="548"/>
      <c r="P89" s="552">
        <f t="shared" si="24"/>
        <v>3040000</v>
      </c>
      <c r="Q89" s="560"/>
      <c r="R89" s="592"/>
    </row>
    <row r="90" spans="1:18" s="9" customFormat="1" ht="19.899999999999999" customHeight="1" x14ac:dyDescent="0.25">
      <c r="A90" s="579">
        <v>88</v>
      </c>
      <c r="B90" s="595" t="s">
        <v>29</v>
      </c>
      <c r="C90" s="595" t="s">
        <v>30</v>
      </c>
      <c r="D90" s="595" t="s">
        <v>1524</v>
      </c>
      <c r="E90" s="551"/>
      <c r="F90" s="546"/>
      <c r="G90" s="601">
        <v>46092</v>
      </c>
      <c r="H90" s="549">
        <f t="shared" ca="1" si="13"/>
        <v>46102</v>
      </c>
      <c r="I90" s="549" t="str">
        <f t="shared" ca="1" si="23"/>
        <v>0-Months</v>
      </c>
      <c r="J90" s="547" t="s">
        <v>1550</v>
      </c>
      <c r="K90" s="581">
        <v>823200</v>
      </c>
      <c r="L90" s="548"/>
      <c r="M90" s="548"/>
      <c r="N90" s="548"/>
      <c r="O90" s="548"/>
      <c r="P90" s="552">
        <f t="shared" si="24"/>
        <v>823200</v>
      </c>
      <c r="Q90" s="560"/>
      <c r="R90" s="592"/>
    </row>
    <row r="91" spans="1:18" s="9" customFormat="1" ht="19.899999999999999" customHeight="1" x14ac:dyDescent="0.25">
      <c r="A91" s="579">
        <v>89</v>
      </c>
      <c r="B91" s="595" t="s">
        <v>29</v>
      </c>
      <c r="C91" s="595" t="s">
        <v>30</v>
      </c>
      <c r="D91" s="595" t="s">
        <v>1524</v>
      </c>
      <c r="E91" s="551"/>
      <c r="F91" s="546"/>
      <c r="G91" s="601">
        <v>46094</v>
      </c>
      <c r="H91" s="549">
        <f t="shared" ca="1" si="13"/>
        <v>46102</v>
      </c>
      <c r="I91" s="549" t="str">
        <f t="shared" ca="1" si="23"/>
        <v>0-Months</v>
      </c>
      <c r="J91" s="547" t="s">
        <v>1551</v>
      </c>
      <c r="K91" s="581">
        <v>1960000</v>
      </c>
      <c r="L91" s="548"/>
      <c r="M91" s="548"/>
      <c r="N91" s="548"/>
      <c r="O91" s="548"/>
      <c r="P91" s="552">
        <f t="shared" si="24"/>
        <v>1960000</v>
      </c>
      <c r="Q91" s="560"/>
      <c r="R91" s="592"/>
    </row>
    <row r="92" spans="1:18" s="9" customFormat="1" ht="19.899999999999999" customHeight="1" x14ac:dyDescent="0.25">
      <c r="A92" s="579">
        <v>90</v>
      </c>
      <c r="B92" s="595" t="s">
        <v>29</v>
      </c>
      <c r="C92" s="595" t="s">
        <v>30</v>
      </c>
      <c r="D92" s="595" t="s">
        <v>1524</v>
      </c>
      <c r="E92" s="551"/>
      <c r="F92" s="546"/>
      <c r="G92" s="601">
        <v>46094</v>
      </c>
      <c r="H92" s="549">
        <f t="shared" ca="1" si="13"/>
        <v>46102</v>
      </c>
      <c r="I92" s="549" t="str">
        <f t="shared" ref="I92:I124" ca="1" si="25">DATEDIF(G92,H92,"M")&amp;"-Months"</f>
        <v>0-Months</v>
      </c>
      <c r="J92" s="547" t="s">
        <v>1551</v>
      </c>
      <c r="K92" s="581">
        <v>3960000</v>
      </c>
      <c r="L92" s="548"/>
      <c r="M92" s="548"/>
      <c r="N92" s="548"/>
      <c r="O92" s="548"/>
      <c r="P92" s="552">
        <f t="shared" si="24"/>
        <v>3960000</v>
      </c>
      <c r="Q92" s="560"/>
      <c r="R92" s="592"/>
    </row>
    <row r="93" spans="1:18" s="9" customFormat="1" ht="19.899999999999999" customHeight="1" x14ac:dyDescent="0.25">
      <c r="A93" s="579">
        <v>91</v>
      </c>
      <c r="B93" s="595" t="s">
        <v>29</v>
      </c>
      <c r="C93" s="595" t="s">
        <v>30</v>
      </c>
      <c r="D93" s="595" t="s">
        <v>1524</v>
      </c>
      <c r="E93" s="551"/>
      <c r="F93" s="546"/>
      <c r="G93" s="601">
        <v>46094</v>
      </c>
      <c r="H93" s="549">
        <f t="shared" ca="1" si="13"/>
        <v>46102</v>
      </c>
      <c r="I93" s="549" t="str">
        <f t="shared" ca="1" si="25"/>
        <v>0-Months</v>
      </c>
      <c r="J93" s="547" t="s">
        <v>1551</v>
      </c>
      <c r="K93" s="581">
        <v>1520000</v>
      </c>
      <c r="L93" s="548"/>
      <c r="M93" s="548"/>
      <c r="N93" s="548"/>
      <c r="O93" s="548"/>
      <c r="P93" s="552">
        <f t="shared" si="24"/>
        <v>1520000</v>
      </c>
      <c r="Q93" s="560"/>
      <c r="R93" s="592"/>
    </row>
    <row r="94" spans="1:18" s="9" customFormat="1" ht="19.899999999999999" customHeight="1" x14ac:dyDescent="0.25">
      <c r="A94" s="579">
        <v>92</v>
      </c>
      <c r="B94" s="595" t="s">
        <v>29</v>
      </c>
      <c r="C94" s="595" t="s">
        <v>30</v>
      </c>
      <c r="D94" s="595" t="s">
        <v>1524</v>
      </c>
      <c r="E94" s="551"/>
      <c r="F94" s="546"/>
      <c r="G94" s="601">
        <v>46094</v>
      </c>
      <c r="H94" s="549">
        <f t="shared" ca="1" si="13"/>
        <v>46102</v>
      </c>
      <c r="I94" s="549" t="str">
        <f t="shared" ca="1" si="25"/>
        <v>0-Months</v>
      </c>
      <c r="J94" s="547" t="s">
        <v>1551</v>
      </c>
      <c r="K94" s="581">
        <v>919200</v>
      </c>
      <c r="L94" s="548"/>
      <c r="M94" s="548"/>
      <c r="N94" s="548"/>
      <c r="O94" s="548"/>
      <c r="P94" s="552">
        <f t="shared" si="24"/>
        <v>919200</v>
      </c>
      <c r="Q94" s="560"/>
      <c r="R94" s="592"/>
    </row>
    <row r="95" spans="1:18" s="9" customFormat="1" ht="19.899999999999999" customHeight="1" x14ac:dyDescent="0.25">
      <c r="A95" s="579">
        <v>93</v>
      </c>
      <c r="B95" s="595" t="s">
        <v>29</v>
      </c>
      <c r="C95" s="595" t="s">
        <v>30</v>
      </c>
      <c r="D95" s="595" t="s">
        <v>1524</v>
      </c>
      <c r="E95" s="551"/>
      <c r="F95" s="546"/>
      <c r="G95" s="601">
        <v>46098</v>
      </c>
      <c r="H95" s="549">
        <f t="shared" ca="1" si="13"/>
        <v>46102</v>
      </c>
      <c r="I95" s="549" t="str">
        <f t="shared" ca="1" si="25"/>
        <v>0-Months</v>
      </c>
      <c r="J95" s="547" t="s">
        <v>1552</v>
      </c>
      <c r="K95" s="581">
        <v>2100000</v>
      </c>
      <c r="L95" s="548"/>
      <c r="M95" s="548"/>
      <c r="N95" s="548"/>
      <c r="O95" s="548"/>
      <c r="P95" s="552">
        <f t="shared" si="24"/>
        <v>2100000</v>
      </c>
      <c r="Q95" s="560"/>
      <c r="R95" s="592"/>
    </row>
    <row r="96" spans="1:18" s="9" customFormat="1" ht="19.899999999999999" customHeight="1" x14ac:dyDescent="0.25">
      <c r="A96" s="579">
        <v>94</v>
      </c>
      <c r="B96" s="595" t="s">
        <v>29</v>
      </c>
      <c r="C96" s="595" t="s">
        <v>30</v>
      </c>
      <c r="D96" s="595" t="s">
        <v>1524</v>
      </c>
      <c r="E96" s="551"/>
      <c r="F96" s="546"/>
      <c r="G96" s="601">
        <v>46098</v>
      </c>
      <c r="H96" s="549">
        <f t="shared" ca="1" si="13"/>
        <v>46102</v>
      </c>
      <c r="I96" s="549" t="str">
        <f t="shared" ca="1" si="25"/>
        <v>0-Months</v>
      </c>
      <c r="J96" s="547" t="s">
        <v>1552</v>
      </c>
      <c r="K96" s="581">
        <v>6372000</v>
      </c>
      <c r="L96" s="548"/>
      <c r="M96" s="548"/>
      <c r="N96" s="548"/>
      <c r="O96" s="548"/>
      <c r="P96" s="552">
        <f t="shared" si="24"/>
        <v>6372000</v>
      </c>
      <c r="Q96" s="560"/>
      <c r="R96" s="592"/>
    </row>
    <row r="97" spans="1:18" s="9" customFormat="1" ht="19.899999999999999" customHeight="1" x14ac:dyDescent="0.25">
      <c r="A97" s="579">
        <v>95</v>
      </c>
      <c r="B97" s="595" t="s">
        <v>29</v>
      </c>
      <c r="C97" s="595" t="s">
        <v>30</v>
      </c>
      <c r="D97" s="595" t="s">
        <v>1524</v>
      </c>
      <c r="E97" s="551"/>
      <c r="F97" s="546"/>
      <c r="G97" s="601">
        <v>46098</v>
      </c>
      <c r="H97" s="549">
        <f t="shared" ca="1" si="13"/>
        <v>46102</v>
      </c>
      <c r="I97" s="549" t="str">
        <f t="shared" ca="1" si="25"/>
        <v>0-Months</v>
      </c>
      <c r="J97" s="547" t="s">
        <v>1552</v>
      </c>
      <c r="K97" s="581">
        <v>1620000</v>
      </c>
      <c r="L97" s="548"/>
      <c r="M97" s="548"/>
      <c r="N97" s="548"/>
      <c r="O97" s="548"/>
      <c r="P97" s="552">
        <f t="shared" si="24"/>
        <v>1620000</v>
      </c>
      <c r="Q97" s="560"/>
      <c r="R97" s="592"/>
    </row>
    <row r="98" spans="1:18" s="9" customFormat="1" ht="19.899999999999999" customHeight="1" x14ac:dyDescent="0.25">
      <c r="A98" s="579">
        <v>96</v>
      </c>
      <c r="B98" s="595" t="s">
        <v>29</v>
      </c>
      <c r="C98" s="595" t="s">
        <v>30</v>
      </c>
      <c r="D98" s="595" t="s">
        <v>1524</v>
      </c>
      <c r="E98" s="551"/>
      <c r="F98" s="546"/>
      <c r="G98" s="601">
        <v>46098</v>
      </c>
      <c r="H98" s="549">
        <f t="shared" ca="1" si="13"/>
        <v>46102</v>
      </c>
      <c r="I98" s="549" t="str">
        <f t="shared" ca="1" si="25"/>
        <v>0-Months</v>
      </c>
      <c r="J98" s="547" t="s">
        <v>1552</v>
      </c>
      <c r="K98" s="581">
        <v>142800</v>
      </c>
      <c r="L98" s="548"/>
      <c r="M98" s="548"/>
      <c r="N98" s="548"/>
      <c r="O98" s="548"/>
      <c r="P98" s="552">
        <f t="shared" si="24"/>
        <v>142800</v>
      </c>
      <c r="Q98" s="560"/>
      <c r="R98" s="592"/>
    </row>
    <row r="99" spans="1:18" s="9" customFormat="1" ht="19.899999999999999" customHeight="1" x14ac:dyDescent="0.25">
      <c r="A99" s="579">
        <v>97</v>
      </c>
      <c r="B99" s="595" t="s">
        <v>29</v>
      </c>
      <c r="C99" s="595" t="s">
        <v>30</v>
      </c>
      <c r="D99" s="595" t="s">
        <v>1524</v>
      </c>
      <c r="E99" s="551"/>
      <c r="F99" s="546"/>
      <c r="G99" s="601">
        <v>46098</v>
      </c>
      <c r="H99" s="549">
        <f t="shared" ca="1" si="13"/>
        <v>46102</v>
      </c>
      <c r="I99" s="549" t="str">
        <f t="shared" ca="1" si="25"/>
        <v>0-Months</v>
      </c>
      <c r="J99" s="547" t="s">
        <v>1552</v>
      </c>
      <c r="K99" s="581">
        <v>609000</v>
      </c>
      <c r="L99" s="548"/>
      <c r="M99" s="548"/>
      <c r="N99" s="548"/>
      <c r="O99" s="548"/>
      <c r="P99" s="552">
        <f t="shared" si="24"/>
        <v>609000</v>
      </c>
      <c r="Q99" s="560"/>
      <c r="R99" s="592"/>
    </row>
    <row r="100" spans="1:18" s="9" customFormat="1" ht="19.899999999999999" customHeight="1" x14ac:dyDescent="0.25">
      <c r="A100" s="579">
        <v>98</v>
      </c>
      <c r="B100" s="595" t="s">
        <v>29</v>
      </c>
      <c r="C100" s="595" t="s">
        <v>30</v>
      </c>
      <c r="D100" s="595" t="s">
        <v>1524</v>
      </c>
      <c r="E100" s="551"/>
      <c r="F100" s="546"/>
      <c r="G100" s="601">
        <v>46100</v>
      </c>
      <c r="H100" s="549">
        <f t="shared" ca="1" si="13"/>
        <v>46102</v>
      </c>
      <c r="I100" s="549" t="str">
        <f t="shared" ca="1" si="25"/>
        <v>0-Months</v>
      </c>
      <c r="J100" s="547" t="s">
        <v>1553</v>
      </c>
      <c r="K100" s="581">
        <v>2100000</v>
      </c>
      <c r="L100" s="548"/>
      <c r="M100" s="548"/>
      <c r="N100" s="548"/>
      <c r="O100" s="548"/>
      <c r="P100" s="552">
        <f t="shared" si="24"/>
        <v>2100000</v>
      </c>
      <c r="Q100" s="560"/>
      <c r="R100" s="592"/>
    </row>
    <row r="101" spans="1:18" s="9" customFormat="1" ht="19.899999999999999" customHeight="1" x14ac:dyDescent="0.25">
      <c r="A101" s="579">
        <v>99</v>
      </c>
      <c r="B101" s="595" t="s">
        <v>29</v>
      </c>
      <c r="C101" s="595" t="s">
        <v>30</v>
      </c>
      <c r="D101" s="595" t="s">
        <v>1524</v>
      </c>
      <c r="E101" s="551"/>
      <c r="F101" s="546"/>
      <c r="G101" s="601">
        <v>46100</v>
      </c>
      <c r="H101" s="549">
        <f t="shared" ca="1" si="13"/>
        <v>46102</v>
      </c>
      <c r="I101" s="549" t="str">
        <f t="shared" ca="1" si="25"/>
        <v>0-Months</v>
      </c>
      <c r="J101" s="547" t="s">
        <v>1553</v>
      </c>
      <c r="K101" s="581">
        <v>5310000</v>
      </c>
      <c r="L101" s="548"/>
      <c r="M101" s="548"/>
      <c r="N101" s="548"/>
      <c r="O101" s="548"/>
      <c r="P101" s="552">
        <f t="shared" si="24"/>
        <v>5310000</v>
      </c>
      <c r="Q101" s="560"/>
      <c r="R101" s="592"/>
    </row>
    <row r="102" spans="1:18" s="9" customFormat="1" ht="19.899999999999999" customHeight="1" x14ac:dyDescent="0.25">
      <c r="A102" s="579">
        <v>100</v>
      </c>
      <c r="B102" s="595" t="s">
        <v>29</v>
      </c>
      <c r="C102" s="595" t="s">
        <v>30</v>
      </c>
      <c r="D102" s="595" t="s">
        <v>1524</v>
      </c>
      <c r="E102" s="551"/>
      <c r="F102" s="546"/>
      <c r="G102" s="601">
        <v>46100</v>
      </c>
      <c r="H102" s="549">
        <f t="shared" ca="1" si="13"/>
        <v>46102</v>
      </c>
      <c r="I102" s="549" t="str">
        <f t="shared" ca="1" si="25"/>
        <v>0-Months</v>
      </c>
      <c r="J102" s="547" t="s">
        <v>1553</v>
      </c>
      <c r="K102" s="581">
        <v>1620000</v>
      </c>
      <c r="L102" s="548"/>
      <c r="M102" s="548"/>
      <c r="N102" s="548"/>
      <c r="O102" s="548"/>
      <c r="P102" s="552">
        <f t="shared" si="24"/>
        <v>1620000</v>
      </c>
      <c r="Q102" s="560"/>
      <c r="R102" s="592"/>
    </row>
    <row r="103" spans="1:18" s="9" customFormat="1" ht="19.899999999999999" customHeight="1" x14ac:dyDescent="0.25">
      <c r="A103" s="579">
        <v>101</v>
      </c>
      <c r="B103" s="595" t="s">
        <v>29</v>
      </c>
      <c r="C103" s="595" t="s">
        <v>30</v>
      </c>
      <c r="D103" s="595" t="s">
        <v>1524</v>
      </c>
      <c r="E103" s="551"/>
      <c r="F103" s="546"/>
      <c r="G103" s="601">
        <v>46100</v>
      </c>
      <c r="H103" s="549">
        <f t="shared" ca="1" si="13"/>
        <v>46102</v>
      </c>
      <c r="I103" s="549" t="str">
        <f t="shared" ca="1" si="25"/>
        <v>0-Months</v>
      </c>
      <c r="J103" s="547" t="s">
        <v>1553</v>
      </c>
      <c r="K103" s="581">
        <v>359000</v>
      </c>
      <c r="L103" s="548"/>
      <c r="M103" s="548"/>
      <c r="N103" s="548"/>
      <c r="O103" s="548"/>
      <c r="P103" s="552">
        <f t="shared" si="24"/>
        <v>359000</v>
      </c>
      <c r="Q103" s="560"/>
      <c r="R103" s="592"/>
    </row>
    <row r="104" spans="1:18" s="9" customFormat="1" ht="19.899999999999999" customHeight="1" x14ac:dyDescent="0.25">
      <c r="A104" s="579">
        <v>102</v>
      </c>
      <c r="B104" s="595" t="s">
        <v>14</v>
      </c>
      <c r="C104" s="595" t="s">
        <v>574</v>
      </c>
      <c r="D104" s="595" t="s">
        <v>1524</v>
      </c>
      <c r="E104" s="551"/>
      <c r="F104" s="546"/>
      <c r="G104" s="601">
        <v>46094</v>
      </c>
      <c r="H104" s="549">
        <f t="shared" ca="1" si="13"/>
        <v>46102</v>
      </c>
      <c r="I104" s="549" t="str">
        <f t="shared" ca="1" si="25"/>
        <v>0-Months</v>
      </c>
      <c r="J104" s="547" t="s">
        <v>1564</v>
      </c>
      <c r="K104" s="581">
        <v>2940000</v>
      </c>
      <c r="L104" s="548"/>
      <c r="M104" s="548"/>
      <c r="N104" s="548"/>
      <c r="O104" s="548"/>
      <c r="P104" s="552">
        <f t="shared" si="24"/>
        <v>2940000</v>
      </c>
      <c r="Q104" s="560"/>
      <c r="R104" s="592"/>
    </row>
    <row r="105" spans="1:18" s="9" customFormat="1" ht="19.899999999999999" customHeight="1" x14ac:dyDescent="0.25">
      <c r="A105" s="579">
        <v>103</v>
      </c>
      <c r="B105" s="595" t="s">
        <v>14</v>
      </c>
      <c r="C105" s="595" t="s">
        <v>574</v>
      </c>
      <c r="D105" s="595" t="s">
        <v>1524</v>
      </c>
      <c r="E105" s="551"/>
      <c r="F105" s="546"/>
      <c r="G105" s="601">
        <v>46094</v>
      </c>
      <c r="H105" s="549">
        <f t="shared" ca="1" si="13"/>
        <v>46102</v>
      </c>
      <c r="I105" s="549" t="str">
        <f t="shared" ca="1" si="25"/>
        <v>0-Months</v>
      </c>
      <c r="J105" s="547" t="s">
        <v>1564</v>
      </c>
      <c r="K105" s="581">
        <v>8316000</v>
      </c>
      <c r="L105" s="548"/>
      <c r="M105" s="548"/>
      <c r="N105" s="548"/>
      <c r="O105" s="548"/>
      <c r="P105" s="552">
        <f t="shared" si="24"/>
        <v>8316000</v>
      </c>
      <c r="Q105" s="560"/>
      <c r="R105" s="592"/>
    </row>
    <row r="106" spans="1:18" s="9" customFormat="1" ht="19.899999999999999" customHeight="1" x14ac:dyDescent="0.25">
      <c r="A106" s="579">
        <v>104</v>
      </c>
      <c r="B106" s="595" t="s">
        <v>14</v>
      </c>
      <c r="C106" s="595" t="s">
        <v>574</v>
      </c>
      <c r="D106" s="595" t="s">
        <v>1524</v>
      </c>
      <c r="E106" s="551"/>
      <c r="F106" s="546"/>
      <c r="G106" s="601">
        <v>46094</v>
      </c>
      <c r="H106" s="549">
        <f t="shared" ca="1" si="13"/>
        <v>46102</v>
      </c>
      <c r="I106" s="549" t="str">
        <f t="shared" ref="I106:I111" ca="1" si="26">DATEDIF(G106,H106,"M")&amp;"-Months"</f>
        <v>0-Months</v>
      </c>
      <c r="J106" s="547" t="s">
        <v>1564</v>
      </c>
      <c r="K106" s="581">
        <v>1222400</v>
      </c>
      <c r="L106" s="548"/>
      <c r="M106" s="548"/>
      <c r="N106" s="548"/>
      <c r="O106" s="548"/>
      <c r="P106" s="552">
        <f t="shared" si="24"/>
        <v>1222400</v>
      </c>
      <c r="Q106" s="560"/>
      <c r="R106" s="592"/>
    </row>
    <row r="107" spans="1:18" s="9" customFormat="1" ht="19.899999999999999" customHeight="1" x14ac:dyDescent="0.25">
      <c r="A107" s="579">
        <v>105</v>
      </c>
      <c r="B107" s="595" t="s">
        <v>14</v>
      </c>
      <c r="C107" s="595" t="s">
        <v>574</v>
      </c>
      <c r="D107" s="595" t="s">
        <v>1524</v>
      </c>
      <c r="E107" s="551"/>
      <c r="F107" s="546"/>
      <c r="G107" s="601">
        <v>46095</v>
      </c>
      <c r="H107" s="549">
        <f t="shared" ca="1" si="13"/>
        <v>46102</v>
      </c>
      <c r="I107" s="549" t="str">
        <f t="shared" ca="1" si="26"/>
        <v>0-Months</v>
      </c>
      <c r="J107" s="547" t="s">
        <v>1565</v>
      </c>
      <c r="K107" s="581">
        <v>1960000</v>
      </c>
      <c r="L107" s="548"/>
      <c r="M107" s="548"/>
      <c r="N107" s="548"/>
      <c r="O107" s="548"/>
      <c r="P107" s="552">
        <f t="shared" si="24"/>
        <v>1960000</v>
      </c>
      <c r="Q107" s="560"/>
      <c r="R107" s="592"/>
    </row>
    <row r="108" spans="1:18" s="9" customFormat="1" ht="19.899999999999999" customHeight="1" x14ac:dyDescent="0.25">
      <c r="A108" s="579">
        <v>106</v>
      </c>
      <c r="B108" s="595" t="s">
        <v>14</v>
      </c>
      <c r="C108" s="595" t="s">
        <v>574</v>
      </c>
      <c r="D108" s="595" t="s">
        <v>1524</v>
      </c>
      <c r="E108" s="551"/>
      <c r="F108" s="546"/>
      <c r="G108" s="601">
        <v>46095</v>
      </c>
      <c r="H108" s="549">
        <f t="shared" ca="1" si="13"/>
        <v>46102</v>
      </c>
      <c r="I108" s="549" t="str">
        <f t="shared" ca="1" si="26"/>
        <v>0-Months</v>
      </c>
      <c r="J108" s="547" t="s">
        <v>1565</v>
      </c>
      <c r="K108" s="581">
        <v>4554000</v>
      </c>
      <c r="L108" s="548"/>
      <c r="M108" s="548"/>
      <c r="N108" s="548"/>
      <c r="O108" s="548"/>
      <c r="P108" s="552">
        <f t="shared" si="24"/>
        <v>4554000</v>
      </c>
      <c r="Q108" s="560"/>
      <c r="R108" s="592"/>
    </row>
    <row r="109" spans="1:18" s="9" customFormat="1" ht="19.899999999999999" customHeight="1" x14ac:dyDescent="0.25">
      <c r="A109" s="579">
        <v>107</v>
      </c>
      <c r="B109" s="595" t="s">
        <v>14</v>
      </c>
      <c r="C109" s="595" t="s">
        <v>574</v>
      </c>
      <c r="D109" s="595" t="s">
        <v>1524</v>
      </c>
      <c r="E109" s="551"/>
      <c r="F109" s="546"/>
      <c r="G109" s="601">
        <v>46095</v>
      </c>
      <c r="H109" s="549">
        <f t="shared" ca="1" si="13"/>
        <v>46102</v>
      </c>
      <c r="I109" s="549" t="str">
        <f t="shared" ca="1" si="26"/>
        <v>0-Months</v>
      </c>
      <c r="J109" s="547" t="s">
        <v>1565</v>
      </c>
      <c r="K109" s="581">
        <v>1356000</v>
      </c>
      <c r="L109" s="548"/>
      <c r="M109" s="548"/>
      <c r="N109" s="548"/>
      <c r="O109" s="548"/>
      <c r="P109" s="552">
        <f t="shared" si="24"/>
        <v>1356000</v>
      </c>
      <c r="Q109" s="560"/>
      <c r="R109" s="592"/>
    </row>
    <row r="110" spans="1:18" s="9" customFormat="1" ht="19.899999999999999" customHeight="1" x14ac:dyDescent="0.25">
      <c r="A110" s="579">
        <v>108</v>
      </c>
      <c r="B110" s="595" t="s">
        <v>14</v>
      </c>
      <c r="C110" s="595" t="s">
        <v>574</v>
      </c>
      <c r="D110" s="595" t="s">
        <v>1524</v>
      </c>
      <c r="E110" s="551"/>
      <c r="F110" s="546"/>
      <c r="G110" s="601">
        <v>46095</v>
      </c>
      <c r="H110" s="549">
        <f t="shared" ca="1" si="13"/>
        <v>46102</v>
      </c>
      <c r="I110" s="549" t="str">
        <f t="shared" ca="1" si="26"/>
        <v>0-Months</v>
      </c>
      <c r="J110" s="547" t="s">
        <v>1565</v>
      </c>
      <c r="K110" s="581">
        <v>3040000</v>
      </c>
      <c r="L110" s="548"/>
      <c r="M110" s="548"/>
      <c r="N110" s="548"/>
      <c r="O110" s="548"/>
      <c r="P110" s="552">
        <f t="shared" si="24"/>
        <v>3040000</v>
      </c>
      <c r="Q110" s="560"/>
      <c r="R110" s="592"/>
    </row>
    <row r="111" spans="1:18" s="9" customFormat="1" ht="19.899999999999999" customHeight="1" x14ac:dyDescent="0.25">
      <c r="A111" s="579">
        <v>109</v>
      </c>
      <c r="B111" s="595" t="s">
        <v>14</v>
      </c>
      <c r="C111" s="595" t="s">
        <v>574</v>
      </c>
      <c r="D111" s="595" t="s">
        <v>1524</v>
      </c>
      <c r="E111" s="551"/>
      <c r="F111" s="546"/>
      <c r="G111" s="601">
        <v>46095</v>
      </c>
      <c r="H111" s="549">
        <f t="shared" ca="1" si="13"/>
        <v>46102</v>
      </c>
      <c r="I111" s="549" t="str">
        <f t="shared" ca="1" si="26"/>
        <v>0-Months</v>
      </c>
      <c r="J111" s="547" t="s">
        <v>1565</v>
      </c>
      <c r="K111" s="581">
        <v>567000</v>
      </c>
      <c r="L111" s="548"/>
      <c r="M111" s="548"/>
      <c r="N111" s="548"/>
      <c r="O111" s="548"/>
      <c r="P111" s="552">
        <f t="shared" si="24"/>
        <v>567000</v>
      </c>
      <c r="Q111" s="560"/>
      <c r="R111" s="592"/>
    </row>
    <row r="112" spans="1:18" s="9" customFormat="1" ht="19.899999999999999" customHeight="1" x14ac:dyDescent="0.25">
      <c r="A112" s="579">
        <v>110</v>
      </c>
      <c r="B112" s="595" t="s">
        <v>14</v>
      </c>
      <c r="C112" s="595" t="s">
        <v>574</v>
      </c>
      <c r="D112" s="595" t="s">
        <v>1524</v>
      </c>
      <c r="E112" s="551"/>
      <c r="F112" s="546"/>
      <c r="G112" s="601">
        <v>46095</v>
      </c>
      <c r="H112" s="549">
        <f t="shared" ca="1" si="13"/>
        <v>46102</v>
      </c>
      <c r="I112" s="549" t="str">
        <f t="shared" ref="I112:I121" ca="1" si="27">DATEDIF(G112,H112,"M")&amp;"-Months"</f>
        <v>0-Months</v>
      </c>
      <c r="J112" s="547" t="s">
        <v>1565</v>
      </c>
      <c r="K112" s="581">
        <v>1260000</v>
      </c>
      <c r="L112" s="548"/>
      <c r="M112" s="548"/>
      <c r="N112" s="548"/>
      <c r="O112" s="548"/>
      <c r="P112" s="552">
        <f t="shared" si="24"/>
        <v>1260000</v>
      </c>
      <c r="Q112" s="560"/>
      <c r="R112" s="592"/>
    </row>
    <row r="113" spans="1:18" s="9" customFormat="1" ht="19.899999999999999" customHeight="1" x14ac:dyDescent="0.25">
      <c r="A113" s="579">
        <v>111</v>
      </c>
      <c r="B113" s="595" t="s">
        <v>14</v>
      </c>
      <c r="C113" s="595" t="s">
        <v>574</v>
      </c>
      <c r="D113" s="595" t="s">
        <v>1524</v>
      </c>
      <c r="E113" s="551"/>
      <c r="F113" s="546"/>
      <c r="G113" s="601">
        <v>46095</v>
      </c>
      <c r="H113" s="549">
        <f t="shared" ca="1" si="13"/>
        <v>46102</v>
      </c>
      <c r="I113" s="549" t="str">
        <f t="shared" ca="1" si="27"/>
        <v>0-Months</v>
      </c>
      <c r="J113" s="547" t="s">
        <v>1565</v>
      </c>
      <c r="K113" s="581">
        <v>630600</v>
      </c>
      <c r="L113" s="548"/>
      <c r="M113" s="548"/>
      <c r="N113" s="548"/>
      <c r="O113" s="548"/>
      <c r="P113" s="552">
        <f t="shared" si="24"/>
        <v>630600</v>
      </c>
      <c r="Q113" s="560"/>
      <c r="R113" s="592"/>
    </row>
    <row r="114" spans="1:18" s="9" customFormat="1" ht="19.899999999999999" customHeight="1" x14ac:dyDescent="0.25">
      <c r="A114" s="579">
        <v>112</v>
      </c>
      <c r="B114" s="595" t="s">
        <v>14</v>
      </c>
      <c r="C114" s="595" t="s">
        <v>574</v>
      </c>
      <c r="D114" s="595" t="s">
        <v>1524</v>
      </c>
      <c r="E114" s="551"/>
      <c r="F114" s="546"/>
      <c r="G114" s="601">
        <v>46097</v>
      </c>
      <c r="H114" s="549">
        <f t="shared" ca="1" si="13"/>
        <v>46102</v>
      </c>
      <c r="I114" s="549" t="str">
        <f t="shared" ca="1" si="27"/>
        <v>0-Months</v>
      </c>
      <c r="J114" s="547" t="s">
        <v>1566</v>
      </c>
      <c r="K114" s="581">
        <v>9133200</v>
      </c>
      <c r="L114" s="548"/>
      <c r="M114" s="548"/>
      <c r="N114" s="548"/>
      <c r="O114" s="548"/>
      <c r="P114" s="552">
        <f t="shared" si="24"/>
        <v>9133200</v>
      </c>
      <c r="Q114" s="560"/>
      <c r="R114" s="592"/>
    </row>
    <row r="115" spans="1:18" s="9" customFormat="1" ht="19.899999999999999" customHeight="1" x14ac:dyDescent="0.25">
      <c r="A115" s="579">
        <v>113</v>
      </c>
      <c r="B115" s="595" t="s">
        <v>14</v>
      </c>
      <c r="C115" s="595" t="s">
        <v>574</v>
      </c>
      <c r="D115" s="595" t="s">
        <v>1524</v>
      </c>
      <c r="E115" s="551"/>
      <c r="F115" s="546"/>
      <c r="G115" s="601">
        <v>46097</v>
      </c>
      <c r="H115" s="549">
        <f t="shared" ca="1" si="13"/>
        <v>46102</v>
      </c>
      <c r="I115" s="549" t="str">
        <f t="shared" ca="1" si="27"/>
        <v>0-Months</v>
      </c>
      <c r="J115" s="547" t="s">
        <v>1566</v>
      </c>
      <c r="K115" s="581">
        <v>726000</v>
      </c>
      <c r="L115" s="548"/>
      <c r="M115" s="548"/>
      <c r="N115" s="548"/>
      <c r="O115" s="548"/>
      <c r="P115" s="552">
        <f t="shared" si="24"/>
        <v>726000</v>
      </c>
      <c r="Q115" s="560"/>
      <c r="R115" s="592"/>
    </row>
    <row r="116" spans="1:18" s="9" customFormat="1" ht="19.899999999999999" customHeight="1" x14ac:dyDescent="0.25">
      <c r="A116" s="579">
        <v>114</v>
      </c>
      <c r="B116" s="595" t="s">
        <v>14</v>
      </c>
      <c r="C116" s="595" t="s">
        <v>574</v>
      </c>
      <c r="D116" s="595" t="s">
        <v>1524</v>
      </c>
      <c r="E116" s="551"/>
      <c r="F116" s="546"/>
      <c r="G116" s="601">
        <v>46097</v>
      </c>
      <c r="H116" s="549">
        <f t="shared" ca="1" si="13"/>
        <v>46102</v>
      </c>
      <c r="I116" s="549" t="str">
        <f t="shared" ca="1" si="27"/>
        <v>0-Months</v>
      </c>
      <c r="J116" s="547" t="s">
        <v>1566</v>
      </c>
      <c r="K116" s="581">
        <v>2940000</v>
      </c>
      <c r="L116" s="548"/>
      <c r="M116" s="548"/>
      <c r="N116" s="548"/>
      <c r="O116" s="548"/>
      <c r="P116" s="552">
        <f t="shared" si="24"/>
        <v>2940000</v>
      </c>
      <c r="Q116" s="560"/>
      <c r="R116" s="592"/>
    </row>
    <row r="117" spans="1:18" s="9" customFormat="1" ht="19.899999999999999" customHeight="1" x14ac:dyDescent="0.25">
      <c r="A117" s="579">
        <v>115</v>
      </c>
      <c r="B117" s="595" t="s">
        <v>14</v>
      </c>
      <c r="C117" s="595" t="s">
        <v>574</v>
      </c>
      <c r="D117" s="595" t="s">
        <v>1524</v>
      </c>
      <c r="E117" s="551"/>
      <c r="F117" s="546"/>
      <c r="G117" s="601">
        <v>46097</v>
      </c>
      <c r="H117" s="549">
        <f t="shared" ca="1" si="13"/>
        <v>46102</v>
      </c>
      <c r="I117" s="549" t="str">
        <f t="shared" ca="1" si="27"/>
        <v>0-Months</v>
      </c>
      <c r="J117" s="547" t="s">
        <v>1566</v>
      </c>
      <c r="K117" s="581">
        <v>392800</v>
      </c>
      <c r="L117" s="548"/>
      <c r="M117" s="548"/>
      <c r="N117" s="548"/>
      <c r="O117" s="548"/>
      <c r="P117" s="552">
        <f t="shared" si="24"/>
        <v>392800</v>
      </c>
      <c r="Q117" s="560"/>
      <c r="R117" s="592"/>
    </row>
    <row r="118" spans="1:18" s="9" customFormat="1" ht="19.899999999999999" customHeight="1" x14ac:dyDescent="0.25">
      <c r="A118" s="579">
        <v>116</v>
      </c>
      <c r="B118" s="595" t="s">
        <v>14</v>
      </c>
      <c r="C118" s="595" t="s">
        <v>574</v>
      </c>
      <c r="D118" s="595" t="s">
        <v>1524</v>
      </c>
      <c r="E118" s="551"/>
      <c r="F118" s="546"/>
      <c r="G118" s="601">
        <v>46099</v>
      </c>
      <c r="H118" s="549">
        <f t="shared" ca="1" si="13"/>
        <v>46102</v>
      </c>
      <c r="I118" s="549" t="str">
        <f t="shared" ca="1" si="27"/>
        <v>0-Months</v>
      </c>
      <c r="J118" s="547" t="s">
        <v>1567</v>
      </c>
      <c r="K118" s="581">
        <v>6510000</v>
      </c>
      <c r="L118" s="548"/>
      <c r="M118" s="548"/>
      <c r="N118" s="548"/>
      <c r="O118" s="548"/>
      <c r="P118" s="552">
        <f t="shared" si="24"/>
        <v>6510000</v>
      </c>
      <c r="Q118" s="560"/>
      <c r="R118" s="592"/>
    </row>
    <row r="119" spans="1:18" s="9" customFormat="1" ht="19.899999999999999" customHeight="1" x14ac:dyDescent="0.25">
      <c r="A119" s="579">
        <v>117</v>
      </c>
      <c r="B119" s="595" t="s">
        <v>14</v>
      </c>
      <c r="C119" s="595" t="s">
        <v>574</v>
      </c>
      <c r="D119" s="595" t="s">
        <v>1524</v>
      </c>
      <c r="E119" s="551"/>
      <c r="F119" s="546"/>
      <c r="G119" s="601">
        <v>46099</v>
      </c>
      <c r="H119" s="549">
        <f t="shared" ca="1" si="13"/>
        <v>46102</v>
      </c>
      <c r="I119" s="549" t="str">
        <f t="shared" ca="1" si="27"/>
        <v>0-Months</v>
      </c>
      <c r="J119" s="547" t="s">
        <v>1567</v>
      </c>
      <c r="K119" s="581">
        <v>2124000</v>
      </c>
      <c r="L119" s="548"/>
      <c r="M119" s="548"/>
      <c r="N119" s="548"/>
      <c r="O119" s="548"/>
      <c r="P119" s="552">
        <f t="shared" si="24"/>
        <v>2124000</v>
      </c>
      <c r="Q119" s="560"/>
      <c r="R119" s="592"/>
    </row>
    <row r="120" spans="1:18" s="9" customFormat="1" ht="19.899999999999999" customHeight="1" x14ac:dyDescent="0.25">
      <c r="A120" s="579">
        <v>118</v>
      </c>
      <c r="B120" s="595" t="s">
        <v>14</v>
      </c>
      <c r="C120" s="595" t="s">
        <v>574</v>
      </c>
      <c r="D120" s="595" t="s">
        <v>1524</v>
      </c>
      <c r="E120" s="551"/>
      <c r="F120" s="546"/>
      <c r="G120" s="601">
        <v>46099</v>
      </c>
      <c r="H120" s="549">
        <f t="shared" ca="1" si="13"/>
        <v>46102</v>
      </c>
      <c r="I120" s="549" t="str">
        <f t="shared" ca="1" si="27"/>
        <v>0-Months</v>
      </c>
      <c r="J120" s="547" t="s">
        <v>1567</v>
      </c>
      <c r="K120" s="581">
        <v>1452000</v>
      </c>
      <c r="L120" s="548"/>
      <c r="M120" s="548"/>
      <c r="N120" s="548"/>
      <c r="O120" s="548"/>
      <c r="P120" s="552">
        <f t="shared" si="24"/>
        <v>1452000</v>
      </c>
      <c r="Q120" s="560"/>
      <c r="R120" s="592"/>
    </row>
    <row r="121" spans="1:18" s="9" customFormat="1" ht="19.899999999999999" customHeight="1" x14ac:dyDescent="0.25">
      <c r="A121" s="579">
        <v>119</v>
      </c>
      <c r="B121" s="595" t="s">
        <v>14</v>
      </c>
      <c r="C121" s="595" t="s">
        <v>574</v>
      </c>
      <c r="D121" s="595" t="s">
        <v>1524</v>
      </c>
      <c r="E121" s="551"/>
      <c r="F121" s="546"/>
      <c r="G121" s="601">
        <v>46099</v>
      </c>
      <c r="H121" s="549">
        <f t="shared" ca="1" si="13"/>
        <v>46102</v>
      </c>
      <c r="I121" s="549" t="str">
        <f t="shared" ca="1" si="27"/>
        <v>0-Months</v>
      </c>
      <c r="J121" s="547" t="s">
        <v>1567</v>
      </c>
      <c r="K121" s="581">
        <v>1620000</v>
      </c>
      <c r="L121" s="548"/>
      <c r="M121" s="548"/>
      <c r="N121" s="548"/>
      <c r="O121" s="548"/>
      <c r="P121" s="552">
        <f t="shared" si="24"/>
        <v>1620000</v>
      </c>
      <c r="Q121" s="560"/>
      <c r="R121" s="592"/>
    </row>
    <row r="122" spans="1:18" s="9" customFormat="1" ht="19.899999999999999" customHeight="1" x14ac:dyDescent="0.25">
      <c r="A122" s="579">
        <v>120</v>
      </c>
      <c r="B122" s="595" t="s">
        <v>14</v>
      </c>
      <c r="C122" s="595" t="s">
        <v>574</v>
      </c>
      <c r="D122" s="595" t="s">
        <v>1524</v>
      </c>
      <c r="E122" s="551"/>
      <c r="F122" s="546"/>
      <c r="G122" s="601">
        <v>46099</v>
      </c>
      <c r="H122" s="549">
        <f t="shared" ca="1" si="13"/>
        <v>46102</v>
      </c>
      <c r="I122" s="549" t="str">
        <f t="shared" ca="1" si="25"/>
        <v>0-Months</v>
      </c>
      <c r="J122" s="547" t="s">
        <v>1567</v>
      </c>
      <c r="K122" s="581">
        <v>588000</v>
      </c>
      <c r="L122" s="548"/>
      <c r="M122" s="548"/>
      <c r="N122" s="548"/>
      <c r="O122" s="548"/>
      <c r="P122" s="552">
        <f t="shared" si="24"/>
        <v>588000</v>
      </c>
      <c r="Q122" s="560"/>
      <c r="R122" s="592"/>
    </row>
    <row r="123" spans="1:18" s="9" customFormat="1" ht="19.899999999999999" customHeight="1" x14ac:dyDescent="0.25">
      <c r="A123" s="579">
        <v>121</v>
      </c>
      <c r="B123" s="595" t="s">
        <v>14</v>
      </c>
      <c r="C123" s="595" t="s">
        <v>574</v>
      </c>
      <c r="D123" s="595" t="s">
        <v>1524</v>
      </c>
      <c r="E123" s="551"/>
      <c r="F123" s="546"/>
      <c r="G123" s="601">
        <v>46100</v>
      </c>
      <c r="H123" s="549">
        <f t="shared" ca="1" si="13"/>
        <v>46102</v>
      </c>
      <c r="I123" s="549" t="str">
        <f t="shared" ca="1" si="25"/>
        <v>0-Months</v>
      </c>
      <c r="J123" s="547" t="s">
        <v>1568</v>
      </c>
      <c r="K123" s="581">
        <v>3300</v>
      </c>
      <c r="L123" s="548"/>
      <c r="M123" s="548"/>
      <c r="N123" s="548"/>
      <c r="O123" s="548"/>
      <c r="P123" s="552">
        <f t="shared" si="24"/>
        <v>3300</v>
      </c>
      <c r="Q123" s="560"/>
      <c r="R123" s="592"/>
    </row>
    <row r="124" spans="1:18" s="9" customFormat="1" ht="19.899999999999999" customHeight="1" x14ac:dyDescent="0.25">
      <c r="A124" s="579">
        <v>122</v>
      </c>
      <c r="B124" s="595" t="s">
        <v>14</v>
      </c>
      <c r="C124" s="595" t="s">
        <v>574</v>
      </c>
      <c r="D124" s="595" t="s">
        <v>1524</v>
      </c>
      <c r="E124" s="551"/>
      <c r="F124" s="546"/>
      <c r="G124" s="601">
        <v>46100</v>
      </c>
      <c r="H124" s="549">
        <f t="shared" ca="1" si="13"/>
        <v>46102</v>
      </c>
      <c r="I124" s="549" t="str">
        <f t="shared" ca="1" si="25"/>
        <v>0-Months</v>
      </c>
      <c r="J124" s="547" t="s">
        <v>1569</v>
      </c>
      <c r="K124" s="581">
        <v>1050000</v>
      </c>
      <c r="L124" s="548"/>
      <c r="M124" s="548"/>
      <c r="N124" s="548"/>
      <c r="O124" s="548"/>
      <c r="P124" s="552">
        <f t="shared" si="24"/>
        <v>1050000</v>
      </c>
      <c r="Q124" s="560"/>
      <c r="R124" s="592"/>
    </row>
    <row r="125" spans="1:18" s="9" customFormat="1" ht="19.899999999999999" customHeight="1" x14ac:dyDescent="0.25">
      <c r="A125" s="579">
        <v>123</v>
      </c>
      <c r="B125" s="595" t="s">
        <v>14</v>
      </c>
      <c r="C125" s="595" t="s">
        <v>574</v>
      </c>
      <c r="D125" s="595" t="s">
        <v>1524</v>
      </c>
      <c r="E125" s="551"/>
      <c r="F125" s="546"/>
      <c r="G125" s="601">
        <v>46100</v>
      </c>
      <c r="H125" s="549">
        <f t="shared" ca="1" si="13"/>
        <v>46102</v>
      </c>
      <c r="I125" s="549" t="str">
        <f t="shared" ref="I125:I134" ca="1" si="28">DATEDIF(G125,H125,"M")&amp;"-Months"</f>
        <v>0-Months</v>
      </c>
      <c r="J125" s="547" t="s">
        <v>1569</v>
      </c>
      <c r="K125" s="581">
        <v>4672800</v>
      </c>
      <c r="L125" s="548"/>
      <c r="M125" s="548"/>
      <c r="N125" s="548"/>
      <c r="O125" s="548"/>
      <c r="P125" s="552">
        <f t="shared" si="24"/>
        <v>4672800</v>
      </c>
      <c r="Q125" s="560"/>
      <c r="R125" s="592"/>
    </row>
    <row r="126" spans="1:18" s="9" customFormat="1" ht="19.899999999999999" customHeight="1" x14ac:dyDescent="0.25">
      <c r="A126" s="579">
        <v>124</v>
      </c>
      <c r="B126" s="595" t="s">
        <v>14</v>
      </c>
      <c r="C126" s="595" t="s">
        <v>574</v>
      </c>
      <c r="D126" s="595" t="s">
        <v>1524</v>
      </c>
      <c r="E126" s="551"/>
      <c r="F126" s="546"/>
      <c r="G126" s="601">
        <v>46100</v>
      </c>
      <c r="H126" s="549">
        <f t="shared" ca="1" si="13"/>
        <v>46102</v>
      </c>
      <c r="I126" s="549" t="str">
        <f t="shared" ca="1" si="28"/>
        <v>0-Months</v>
      </c>
      <c r="J126" s="547" t="s">
        <v>1569</v>
      </c>
      <c r="K126" s="581">
        <v>1452000</v>
      </c>
      <c r="L126" s="548"/>
      <c r="M126" s="548"/>
      <c r="N126" s="548"/>
      <c r="O126" s="548"/>
      <c r="P126" s="552">
        <f t="shared" si="24"/>
        <v>1452000</v>
      </c>
      <c r="Q126" s="560"/>
      <c r="R126" s="592"/>
    </row>
    <row r="127" spans="1:18" s="9" customFormat="1" ht="19.899999999999999" customHeight="1" x14ac:dyDescent="0.25">
      <c r="A127" s="579">
        <v>125</v>
      </c>
      <c r="B127" s="595" t="s">
        <v>14</v>
      </c>
      <c r="C127" s="595" t="s">
        <v>574</v>
      </c>
      <c r="D127" s="595" t="s">
        <v>1524</v>
      </c>
      <c r="E127" s="551"/>
      <c r="F127" s="546"/>
      <c r="G127" s="601">
        <v>46100</v>
      </c>
      <c r="H127" s="549">
        <f t="shared" ca="1" si="13"/>
        <v>46102</v>
      </c>
      <c r="I127" s="549" t="str">
        <f t="shared" ca="1" si="28"/>
        <v>0-Months</v>
      </c>
      <c r="J127" s="547" t="s">
        <v>1569</v>
      </c>
      <c r="K127" s="581">
        <v>1620000</v>
      </c>
      <c r="L127" s="548"/>
      <c r="M127" s="548"/>
      <c r="N127" s="548"/>
      <c r="O127" s="548"/>
      <c r="P127" s="552">
        <f t="shared" si="24"/>
        <v>1620000</v>
      </c>
      <c r="Q127" s="560"/>
      <c r="R127" s="592"/>
    </row>
    <row r="128" spans="1:18" s="9" customFormat="1" ht="19.899999999999999" customHeight="1" x14ac:dyDescent="0.25">
      <c r="A128" s="579">
        <v>126</v>
      </c>
      <c r="B128" s="595" t="s">
        <v>14</v>
      </c>
      <c r="C128" s="595" t="s">
        <v>574</v>
      </c>
      <c r="D128" s="595" t="s">
        <v>1524</v>
      </c>
      <c r="E128" s="551"/>
      <c r="F128" s="546"/>
      <c r="G128" s="601">
        <v>46100</v>
      </c>
      <c r="H128" s="549">
        <f t="shared" ca="1" si="13"/>
        <v>46102</v>
      </c>
      <c r="I128" s="549" t="str">
        <f t="shared" ca="1" si="28"/>
        <v>0-Months</v>
      </c>
      <c r="J128" s="547" t="s">
        <v>1569</v>
      </c>
      <c r="K128" s="581">
        <v>3295200</v>
      </c>
      <c r="L128" s="548"/>
      <c r="M128" s="548"/>
      <c r="N128" s="548"/>
      <c r="O128" s="548"/>
      <c r="P128" s="552">
        <f t="shared" si="24"/>
        <v>3295200</v>
      </c>
      <c r="Q128" s="560"/>
      <c r="R128" s="592"/>
    </row>
    <row r="129" spans="1:19" s="9" customFormat="1" ht="19.899999999999999" customHeight="1" x14ac:dyDescent="0.25">
      <c r="A129" s="579">
        <v>127</v>
      </c>
      <c r="B129" s="595" t="s">
        <v>14</v>
      </c>
      <c r="C129" s="595" t="s">
        <v>574</v>
      </c>
      <c r="D129" s="595" t="s">
        <v>1524</v>
      </c>
      <c r="E129" s="551"/>
      <c r="F129" s="546"/>
      <c r="G129" s="601">
        <v>46100</v>
      </c>
      <c r="H129" s="549">
        <f t="shared" ca="1" si="13"/>
        <v>46102</v>
      </c>
      <c r="I129" s="549" t="str">
        <f t="shared" ca="1" si="28"/>
        <v>0-Months</v>
      </c>
      <c r="J129" s="547" t="s">
        <v>1569</v>
      </c>
      <c r="K129" s="581">
        <v>103000</v>
      </c>
      <c r="L129" s="548"/>
      <c r="M129" s="548"/>
      <c r="N129" s="548"/>
      <c r="O129" s="548"/>
      <c r="P129" s="552">
        <f t="shared" si="24"/>
        <v>103000</v>
      </c>
      <c r="Q129" s="560"/>
      <c r="R129" s="592"/>
    </row>
    <row r="130" spans="1:19" s="9" customFormat="1" ht="19.899999999999999" customHeight="1" x14ac:dyDescent="0.25">
      <c r="A130" s="579">
        <v>128</v>
      </c>
      <c r="B130" s="595" t="s">
        <v>14</v>
      </c>
      <c r="C130" s="595" t="s">
        <v>574</v>
      </c>
      <c r="D130" s="595" t="s">
        <v>1524</v>
      </c>
      <c r="E130" s="551"/>
      <c r="F130" s="546"/>
      <c r="G130" s="601">
        <v>46101</v>
      </c>
      <c r="H130" s="549">
        <f t="shared" ca="1" si="13"/>
        <v>46102</v>
      </c>
      <c r="I130" s="549" t="str">
        <f t="shared" ca="1" si="28"/>
        <v>0-Months</v>
      </c>
      <c r="J130" s="547" t="s">
        <v>1580</v>
      </c>
      <c r="K130" s="581">
        <v>2100000</v>
      </c>
      <c r="L130" s="548"/>
      <c r="M130" s="548"/>
      <c r="N130" s="548"/>
      <c r="O130" s="548"/>
      <c r="P130" s="552">
        <f t="shared" si="24"/>
        <v>2100000</v>
      </c>
      <c r="Q130" s="560"/>
      <c r="R130" s="592"/>
    </row>
    <row r="131" spans="1:19" s="9" customFormat="1" ht="19.899999999999999" customHeight="1" x14ac:dyDescent="0.25">
      <c r="A131" s="579">
        <v>129</v>
      </c>
      <c r="B131" s="595" t="s">
        <v>14</v>
      </c>
      <c r="C131" s="595" t="s">
        <v>574</v>
      </c>
      <c r="D131" s="595" t="s">
        <v>1524</v>
      </c>
      <c r="E131" s="551"/>
      <c r="F131" s="546"/>
      <c r="G131" s="601">
        <v>46101</v>
      </c>
      <c r="H131" s="549">
        <f t="shared" ca="1" si="13"/>
        <v>46102</v>
      </c>
      <c r="I131" s="549" t="str">
        <f t="shared" ca="1" si="28"/>
        <v>0-Months</v>
      </c>
      <c r="J131" s="547" t="s">
        <v>1580</v>
      </c>
      <c r="K131" s="581">
        <v>6159600</v>
      </c>
      <c r="L131" s="548"/>
      <c r="M131" s="548"/>
      <c r="N131" s="548"/>
      <c r="O131" s="548"/>
      <c r="P131" s="552">
        <f t="shared" si="24"/>
        <v>6159600</v>
      </c>
      <c r="Q131" s="560"/>
      <c r="R131" s="592"/>
    </row>
    <row r="132" spans="1:19" s="9" customFormat="1" ht="19.899999999999999" customHeight="1" x14ac:dyDescent="0.25">
      <c r="A132" s="579">
        <v>130</v>
      </c>
      <c r="B132" s="595" t="s">
        <v>14</v>
      </c>
      <c r="C132" s="595" t="s">
        <v>574</v>
      </c>
      <c r="D132" s="595" t="s">
        <v>1524</v>
      </c>
      <c r="E132" s="551"/>
      <c r="F132" s="546"/>
      <c r="G132" s="601">
        <v>46101</v>
      </c>
      <c r="H132" s="549">
        <f t="shared" ca="1" si="13"/>
        <v>46102</v>
      </c>
      <c r="I132" s="549" t="str">
        <f t="shared" ca="1" si="28"/>
        <v>0-Months</v>
      </c>
      <c r="J132" s="547" t="s">
        <v>1580</v>
      </c>
      <c r="K132" s="581">
        <v>726000</v>
      </c>
      <c r="L132" s="548"/>
      <c r="M132" s="548"/>
      <c r="N132" s="548"/>
      <c r="O132" s="548"/>
      <c r="P132" s="552">
        <f t="shared" si="24"/>
        <v>726000</v>
      </c>
      <c r="Q132" s="560"/>
      <c r="R132" s="592"/>
    </row>
    <row r="133" spans="1:19" s="9" customFormat="1" ht="19.899999999999999" customHeight="1" x14ac:dyDescent="0.25">
      <c r="A133" s="579">
        <v>131</v>
      </c>
      <c r="B133" s="595" t="s">
        <v>14</v>
      </c>
      <c r="C133" s="595" t="s">
        <v>574</v>
      </c>
      <c r="D133" s="595" t="s">
        <v>1524</v>
      </c>
      <c r="E133" s="551"/>
      <c r="F133" s="546"/>
      <c r="G133" s="601">
        <v>46101</v>
      </c>
      <c r="H133" s="549">
        <f t="shared" ca="1" si="13"/>
        <v>46102</v>
      </c>
      <c r="I133" s="549" t="str">
        <f t="shared" ca="1" si="28"/>
        <v>0-Months</v>
      </c>
      <c r="J133" s="547" t="s">
        <v>1580</v>
      </c>
      <c r="K133" s="581">
        <v>1620000</v>
      </c>
      <c r="L133" s="548"/>
      <c r="M133" s="548"/>
      <c r="N133" s="548"/>
      <c r="O133" s="548"/>
      <c r="P133" s="552">
        <f t="shared" si="24"/>
        <v>1620000</v>
      </c>
      <c r="Q133" s="560"/>
      <c r="R133" s="592"/>
    </row>
    <row r="134" spans="1:19" s="9" customFormat="1" ht="19.899999999999999" customHeight="1" x14ac:dyDescent="0.25">
      <c r="A134" s="579">
        <v>132</v>
      </c>
      <c r="B134" s="595" t="s">
        <v>14</v>
      </c>
      <c r="C134" s="595" t="s">
        <v>574</v>
      </c>
      <c r="D134" s="595" t="s">
        <v>1524</v>
      </c>
      <c r="E134" s="551"/>
      <c r="F134" s="546"/>
      <c r="G134" s="601">
        <v>46101</v>
      </c>
      <c r="H134" s="549">
        <f t="shared" ca="1" si="13"/>
        <v>46102</v>
      </c>
      <c r="I134" s="549" t="str">
        <f t="shared" ca="1" si="28"/>
        <v>0-Months</v>
      </c>
      <c r="J134" s="547" t="s">
        <v>1580</v>
      </c>
      <c r="K134" s="581">
        <v>1501200</v>
      </c>
      <c r="L134" s="548"/>
      <c r="M134" s="548"/>
      <c r="N134" s="548"/>
      <c r="O134" s="548"/>
      <c r="P134" s="552">
        <f t="shared" si="24"/>
        <v>1501200</v>
      </c>
      <c r="Q134" s="560"/>
      <c r="R134" s="592"/>
    </row>
    <row r="135" spans="1:19" s="9" customFormat="1" ht="19.899999999999999" customHeight="1" thickBot="1" x14ac:dyDescent="0.3">
      <c r="A135" s="579">
        <v>133</v>
      </c>
      <c r="B135" s="595" t="s">
        <v>14</v>
      </c>
      <c r="C135" s="595" t="s">
        <v>574</v>
      </c>
      <c r="D135" s="595" t="s">
        <v>1524</v>
      </c>
      <c r="E135" s="551"/>
      <c r="F135" s="546"/>
      <c r="G135" s="601">
        <v>46101</v>
      </c>
      <c r="H135" s="549">
        <f t="shared" ca="1" si="13"/>
        <v>46102</v>
      </c>
      <c r="I135" s="549" t="str">
        <f t="shared" ref="I135" ca="1" si="29">DATEDIF(G135,H135,"M")&amp;"-Months"</f>
        <v>0-Months</v>
      </c>
      <c r="J135" s="547" t="s">
        <v>1580</v>
      </c>
      <c r="K135" s="581">
        <v>109800</v>
      </c>
      <c r="L135" s="548"/>
      <c r="M135" s="548"/>
      <c r="N135" s="548"/>
      <c r="O135" s="548"/>
      <c r="P135" s="552">
        <f t="shared" si="2"/>
        <v>109800</v>
      </c>
      <c r="Q135" s="560"/>
      <c r="R135" s="592"/>
    </row>
    <row r="136" spans="1:19" ht="19.899999999999999" customHeight="1" thickBot="1" x14ac:dyDescent="0.3">
      <c r="A136" s="751" t="s">
        <v>1246</v>
      </c>
      <c r="B136" s="752"/>
      <c r="C136" s="752"/>
      <c r="D136" s="752"/>
      <c r="E136" s="752"/>
      <c r="F136" s="752"/>
      <c r="G136" s="752"/>
      <c r="H136" s="752"/>
      <c r="I136" s="752"/>
      <c r="J136" s="752"/>
      <c r="K136" s="620">
        <f>SUM(K3:K135)</f>
        <v>251356800</v>
      </c>
      <c r="L136" s="562">
        <f>SUM(L3:L135)</f>
        <v>0</v>
      </c>
      <c r="M136" s="562">
        <f>SUM(M3:M135)</f>
        <v>0</v>
      </c>
      <c r="N136" s="562"/>
      <c r="O136" s="562"/>
      <c r="P136" s="562">
        <f>K136+L136+M136</f>
        <v>251356800</v>
      </c>
      <c r="Q136" s="563"/>
      <c r="R136" s="580"/>
    </row>
    <row r="137" spans="1:19" s="9" customFormat="1" ht="19.899999999999999" customHeight="1" x14ac:dyDescent="0.25">
      <c r="A137" s="582">
        <v>1</v>
      </c>
      <c r="B137" s="538" t="s">
        <v>580</v>
      </c>
      <c r="C137" s="538" t="s">
        <v>56</v>
      </c>
      <c r="D137" s="538" t="s">
        <v>1525</v>
      </c>
      <c r="E137" s="381"/>
      <c r="F137" s="389"/>
      <c r="G137" s="600">
        <v>46086</v>
      </c>
      <c r="H137" s="419">
        <f t="shared" ref="H137:H145" ca="1" si="30">TODAY()</f>
        <v>46102</v>
      </c>
      <c r="I137" s="419" t="str">
        <f t="shared" ref="I137:I144" ca="1" si="31">DATEDIF(G137,H137,"M")&amp;"-Months"</f>
        <v>0-Months</v>
      </c>
      <c r="J137" s="385" t="s">
        <v>1539</v>
      </c>
      <c r="K137" s="386">
        <v>892080</v>
      </c>
      <c r="L137" s="386"/>
      <c r="M137" s="386"/>
      <c r="N137" s="390"/>
      <c r="O137" s="390"/>
      <c r="P137" s="386">
        <f>K137+L137+M137</f>
        <v>892080</v>
      </c>
      <c r="Q137" s="554"/>
    </row>
    <row r="138" spans="1:19" s="9" customFormat="1" ht="19.899999999999999" customHeight="1" x14ac:dyDescent="0.25">
      <c r="A138" s="582">
        <v>2</v>
      </c>
      <c r="B138" s="538" t="s">
        <v>580</v>
      </c>
      <c r="C138" s="538" t="s">
        <v>56</v>
      </c>
      <c r="D138" s="538" t="s">
        <v>1525</v>
      </c>
      <c r="E138" s="381"/>
      <c r="F138" s="389"/>
      <c r="G138" s="600">
        <v>46099</v>
      </c>
      <c r="H138" s="419">
        <f t="shared" ca="1" si="30"/>
        <v>46102</v>
      </c>
      <c r="I138" s="419" t="str">
        <f t="shared" ca="1" si="31"/>
        <v>0-Months</v>
      </c>
      <c r="J138" s="385" t="s">
        <v>1577</v>
      </c>
      <c r="K138" s="386">
        <v>892080</v>
      </c>
      <c r="L138" s="386"/>
      <c r="M138" s="386"/>
      <c r="N138" s="390"/>
      <c r="O138" s="390"/>
      <c r="P138" s="386">
        <f t="shared" ref="P138:P149" si="32">K138+L138+M138</f>
        <v>892080</v>
      </c>
      <c r="Q138" s="554"/>
    </row>
    <row r="139" spans="1:19" s="9" customFormat="1" ht="19.899999999999999" customHeight="1" x14ac:dyDescent="0.25">
      <c r="A139" s="582">
        <v>3</v>
      </c>
      <c r="B139" s="538" t="s">
        <v>553</v>
      </c>
      <c r="C139" s="538" t="s">
        <v>30</v>
      </c>
      <c r="D139" s="538" t="s">
        <v>1525</v>
      </c>
      <c r="E139" s="381"/>
      <c r="F139" s="381"/>
      <c r="G139" s="600">
        <v>44813</v>
      </c>
      <c r="H139" s="419">
        <f t="shared" ca="1" si="30"/>
        <v>46102</v>
      </c>
      <c r="I139" s="412" t="str">
        <f t="shared" ca="1" si="31"/>
        <v>42-Months</v>
      </c>
      <c r="J139" s="385" t="s">
        <v>1248</v>
      </c>
      <c r="K139" s="386">
        <v>300000</v>
      </c>
      <c r="L139" s="386"/>
      <c r="M139" s="386"/>
      <c r="N139" s="386"/>
      <c r="O139" s="386"/>
      <c r="P139" s="637">
        <f t="shared" si="32"/>
        <v>300000</v>
      </c>
      <c r="Q139" s="553" t="s">
        <v>1249</v>
      </c>
      <c r="S139" s="592"/>
    </row>
    <row r="140" spans="1:19" s="9" customFormat="1" ht="19.899999999999999" customHeight="1" x14ac:dyDescent="0.25">
      <c r="A140" s="582">
        <v>4</v>
      </c>
      <c r="B140" s="538" t="s">
        <v>464</v>
      </c>
      <c r="C140" s="538" t="s">
        <v>56</v>
      </c>
      <c r="D140" s="538" t="s">
        <v>1525</v>
      </c>
      <c r="E140" s="381"/>
      <c r="F140" s="381"/>
      <c r="G140" s="600">
        <v>46100</v>
      </c>
      <c r="H140" s="419">
        <f t="shared" ca="1" si="30"/>
        <v>46102</v>
      </c>
      <c r="I140" s="419" t="str">
        <f t="shared" ref="I140:I142" ca="1" si="33">DATEDIF(G140,H140,"M")&amp;"-Months"</f>
        <v>0-Months</v>
      </c>
      <c r="J140" s="385" t="s">
        <v>1576</v>
      </c>
      <c r="K140" s="386">
        <v>210000</v>
      </c>
      <c r="L140" s="386"/>
      <c r="M140" s="386"/>
      <c r="N140" s="386"/>
      <c r="O140" s="386"/>
      <c r="P140" s="386">
        <f t="shared" si="32"/>
        <v>210000</v>
      </c>
      <c r="Q140" s="553"/>
      <c r="S140" s="592"/>
    </row>
    <row r="141" spans="1:19" s="9" customFormat="1" ht="19.899999999999999" customHeight="1" x14ac:dyDescent="0.25">
      <c r="A141" s="582">
        <v>5</v>
      </c>
      <c r="B141" s="538" t="s">
        <v>464</v>
      </c>
      <c r="C141" s="538" t="s">
        <v>56</v>
      </c>
      <c r="D141" s="538" t="s">
        <v>1525</v>
      </c>
      <c r="E141" s="381"/>
      <c r="F141" s="381"/>
      <c r="G141" s="600">
        <v>46100</v>
      </c>
      <c r="H141" s="419">
        <f t="shared" ca="1" si="30"/>
        <v>46102</v>
      </c>
      <c r="I141" s="419" t="str">
        <f t="shared" ca="1" si="33"/>
        <v>0-Months</v>
      </c>
      <c r="J141" s="385" t="s">
        <v>1576</v>
      </c>
      <c r="K141" s="386">
        <v>203000</v>
      </c>
      <c r="L141" s="386"/>
      <c r="M141" s="386"/>
      <c r="N141" s="386"/>
      <c r="O141" s="386"/>
      <c r="P141" s="386">
        <f t="shared" si="32"/>
        <v>203000</v>
      </c>
      <c r="Q141" s="553"/>
      <c r="S141" s="592"/>
    </row>
    <row r="142" spans="1:19" s="9" customFormat="1" ht="19.899999999999999" customHeight="1" x14ac:dyDescent="0.25">
      <c r="A142" s="582">
        <v>6</v>
      </c>
      <c r="B142" s="538" t="s">
        <v>464</v>
      </c>
      <c r="C142" s="538" t="s">
        <v>56</v>
      </c>
      <c r="D142" s="538" t="s">
        <v>1525</v>
      </c>
      <c r="E142" s="381"/>
      <c r="F142" s="381"/>
      <c r="G142" s="600">
        <v>46100</v>
      </c>
      <c r="H142" s="419">
        <f t="shared" ca="1" si="30"/>
        <v>46102</v>
      </c>
      <c r="I142" s="419" t="str">
        <f t="shared" ca="1" si="33"/>
        <v>0-Months</v>
      </c>
      <c r="J142" s="385" t="s">
        <v>1576</v>
      </c>
      <c r="K142" s="386">
        <v>392000</v>
      </c>
      <c r="L142" s="386"/>
      <c r="M142" s="386"/>
      <c r="N142" s="386"/>
      <c r="O142" s="386"/>
      <c r="P142" s="386">
        <f t="shared" si="32"/>
        <v>392000</v>
      </c>
      <c r="Q142" s="553"/>
      <c r="S142" s="592"/>
    </row>
    <row r="143" spans="1:19" s="9" customFormat="1" ht="19.899999999999999" customHeight="1" x14ac:dyDescent="0.25">
      <c r="A143" s="582">
        <v>7</v>
      </c>
      <c r="B143" s="538" t="s">
        <v>470</v>
      </c>
      <c r="C143" s="538" t="s">
        <v>472</v>
      </c>
      <c r="D143" s="538" t="s">
        <v>1525</v>
      </c>
      <c r="E143" s="381"/>
      <c r="F143" s="381"/>
      <c r="G143" s="600">
        <v>46087</v>
      </c>
      <c r="H143" s="419">
        <f t="shared" ca="1" si="30"/>
        <v>46102</v>
      </c>
      <c r="I143" s="384" t="str">
        <f t="shared" ca="1" si="31"/>
        <v>0-Months</v>
      </c>
      <c r="J143" s="385" t="s">
        <v>1540</v>
      </c>
      <c r="K143" s="386">
        <v>1372000</v>
      </c>
      <c r="L143" s="386"/>
      <c r="M143" s="386"/>
      <c r="N143" s="386"/>
      <c r="O143" s="386"/>
      <c r="P143" s="386">
        <f t="shared" si="32"/>
        <v>1372000</v>
      </c>
      <c r="Q143" s="553"/>
      <c r="R143" s="592"/>
    </row>
    <row r="144" spans="1:19" s="9" customFormat="1" ht="19.899999999999999" customHeight="1" x14ac:dyDescent="0.25">
      <c r="A144" s="582">
        <v>8</v>
      </c>
      <c r="B144" s="538" t="s">
        <v>470</v>
      </c>
      <c r="C144" s="538" t="s">
        <v>472</v>
      </c>
      <c r="D144" s="538" t="s">
        <v>1525</v>
      </c>
      <c r="E144" s="381"/>
      <c r="F144" s="381"/>
      <c r="G144" s="600">
        <v>46087</v>
      </c>
      <c r="H144" s="419">
        <f t="shared" ca="1" si="30"/>
        <v>46102</v>
      </c>
      <c r="I144" s="384" t="str">
        <f t="shared" ca="1" si="31"/>
        <v>0-Months</v>
      </c>
      <c r="J144" s="385" t="s">
        <v>1540</v>
      </c>
      <c r="K144" s="386">
        <v>990000</v>
      </c>
      <c r="L144" s="386"/>
      <c r="M144" s="386"/>
      <c r="N144" s="386"/>
      <c r="O144" s="386"/>
      <c r="P144" s="386">
        <f>K144+L144+M144</f>
        <v>990000</v>
      </c>
      <c r="Q144" s="553"/>
      <c r="R144" s="592"/>
    </row>
    <row r="145" spans="1:18" s="9" customFormat="1" ht="19.899999999999999" customHeight="1" thickBot="1" x14ac:dyDescent="0.3">
      <c r="A145" s="582">
        <v>9</v>
      </c>
      <c r="B145" s="538" t="s">
        <v>470</v>
      </c>
      <c r="C145" s="538" t="s">
        <v>472</v>
      </c>
      <c r="D145" s="538" t="s">
        <v>1525</v>
      </c>
      <c r="E145" s="381"/>
      <c r="F145" s="381"/>
      <c r="G145" s="600">
        <v>46087</v>
      </c>
      <c r="H145" s="419">
        <f t="shared" ca="1" si="30"/>
        <v>46102</v>
      </c>
      <c r="I145" s="384" t="str">
        <f t="shared" ref="I145" ca="1" si="34">DATEDIF(G145,H145,"M")&amp;"-Months"</f>
        <v>0-Months</v>
      </c>
      <c r="J145" s="385" t="s">
        <v>1540</v>
      </c>
      <c r="K145" s="386">
        <v>91200</v>
      </c>
      <c r="L145" s="386"/>
      <c r="M145" s="386"/>
      <c r="N145" s="386"/>
      <c r="O145" s="386"/>
      <c r="P145" s="386">
        <f t="shared" ref="P145" si="35">K145+L145+M145</f>
        <v>91200</v>
      </c>
      <c r="Q145" s="553"/>
      <c r="R145" s="592"/>
    </row>
    <row r="146" spans="1:18" ht="19.899999999999999" customHeight="1" thickBot="1" x14ac:dyDescent="0.3">
      <c r="A146" s="751" t="s">
        <v>1251</v>
      </c>
      <c r="B146" s="752"/>
      <c r="C146" s="752"/>
      <c r="D146" s="752"/>
      <c r="E146" s="752"/>
      <c r="F146" s="752"/>
      <c r="G146" s="752"/>
      <c r="H146" s="752"/>
      <c r="I146" s="752"/>
      <c r="J146" s="752"/>
      <c r="K146" s="562">
        <f>SUM(K137:K145)</f>
        <v>5342360</v>
      </c>
      <c r="L146" s="562">
        <f>SUM(L137:L145)</f>
        <v>0</v>
      </c>
      <c r="M146" s="562">
        <f>SUM(M137:O145)</f>
        <v>0</v>
      </c>
      <c r="N146" s="562"/>
      <c r="O146" s="562"/>
      <c r="P146" s="562">
        <f>K146+L146+M146</f>
        <v>5342360</v>
      </c>
      <c r="Q146" s="563"/>
      <c r="R146" s="580"/>
    </row>
    <row r="147" spans="1:18" s="9" customFormat="1" ht="19.899999999999999" customHeight="1" x14ac:dyDescent="0.25">
      <c r="A147" s="643">
        <v>1</v>
      </c>
      <c r="B147" s="625" t="s">
        <v>710</v>
      </c>
      <c r="C147" s="625" t="s">
        <v>507</v>
      </c>
      <c r="D147" s="625" t="s">
        <v>1522</v>
      </c>
      <c r="E147" s="626"/>
      <c r="F147" s="626"/>
      <c r="G147" s="629">
        <v>45213</v>
      </c>
      <c r="H147" s="629">
        <f t="shared" ref="H147:H164" ca="1" si="36">TODAY()</f>
        <v>46102</v>
      </c>
      <c r="I147" s="638" t="str">
        <f t="shared" ref="I147:I164" ca="1" si="37">DATEDIF(G147,H147,"M")&amp;"-Months"</f>
        <v>29-Months</v>
      </c>
      <c r="J147" s="630" t="s">
        <v>1403</v>
      </c>
      <c r="K147" s="631"/>
      <c r="L147" s="631">
        <v>51200</v>
      </c>
      <c r="M147" s="631"/>
      <c r="N147" s="631"/>
      <c r="O147" s="631"/>
      <c r="P147" s="644">
        <f t="shared" si="32"/>
        <v>51200</v>
      </c>
      <c r="Q147" s="645" t="s">
        <v>1393</v>
      </c>
    </row>
    <row r="148" spans="1:18" s="9" customFormat="1" ht="19.899999999999999" customHeight="1" x14ac:dyDescent="0.25">
      <c r="A148" s="579">
        <v>2</v>
      </c>
      <c r="B148" s="538" t="s">
        <v>581</v>
      </c>
      <c r="C148" s="538" t="s">
        <v>432</v>
      </c>
      <c r="D148" s="595" t="s">
        <v>1532</v>
      </c>
      <c r="E148" s="381"/>
      <c r="F148" s="381"/>
      <c r="G148" s="419">
        <v>46077</v>
      </c>
      <c r="H148" s="419">
        <f t="shared" ca="1" si="36"/>
        <v>46102</v>
      </c>
      <c r="I148" s="419" t="str">
        <f t="shared" ref="I148:I149" ca="1" si="38">DATEDIF(G148,H148,"M")&amp;"-Months"</f>
        <v>0-Months</v>
      </c>
      <c r="J148" s="385" t="s">
        <v>1541</v>
      </c>
      <c r="K148" s="386">
        <v>273420</v>
      </c>
      <c r="L148" s="386"/>
      <c r="M148" s="386"/>
      <c r="N148" s="386"/>
      <c r="O148" s="386"/>
      <c r="P148" s="386">
        <f t="shared" si="32"/>
        <v>273420</v>
      </c>
      <c r="Q148" s="555"/>
    </row>
    <row r="149" spans="1:18" s="9" customFormat="1" ht="19.899999999999999" customHeight="1" thickBot="1" x14ac:dyDescent="0.3">
      <c r="A149" s="646">
        <v>3</v>
      </c>
      <c r="B149" s="647" t="s">
        <v>527</v>
      </c>
      <c r="C149" s="647" t="s">
        <v>1503</v>
      </c>
      <c r="D149" s="655" t="s">
        <v>1532</v>
      </c>
      <c r="E149" s="648"/>
      <c r="F149" s="648"/>
      <c r="G149" s="649">
        <v>46088</v>
      </c>
      <c r="H149" s="653">
        <f t="shared" ca="1" si="36"/>
        <v>46102</v>
      </c>
      <c r="I149" s="653" t="str">
        <f t="shared" ca="1" si="38"/>
        <v>0-Months</v>
      </c>
      <c r="J149" s="650" t="s">
        <v>1542</v>
      </c>
      <c r="K149" s="651">
        <v>279000</v>
      </c>
      <c r="L149" s="651"/>
      <c r="M149" s="651"/>
      <c r="N149" s="651"/>
      <c r="O149" s="651"/>
      <c r="P149" s="654">
        <f t="shared" si="32"/>
        <v>279000</v>
      </c>
      <c r="Q149" s="652"/>
    </row>
    <row r="150" spans="1:18" ht="19.899999999999999" customHeight="1" thickBot="1" x14ac:dyDescent="0.3">
      <c r="A150" s="751" t="s">
        <v>1504</v>
      </c>
      <c r="B150" s="752"/>
      <c r="C150" s="752"/>
      <c r="D150" s="752"/>
      <c r="E150" s="752"/>
      <c r="F150" s="752"/>
      <c r="G150" s="752"/>
      <c r="H150" s="752"/>
      <c r="I150" s="752"/>
      <c r="J150" s="752"/>
      <c r="K150" s="562">
        <f>SUM(K147:K149)</f>
        <v>552420</v>
      </c>
      <c r="L150" s="562">
        <f>SUM(L147:L149)</f>
        <v>51200</v>
      </c>
      <c r="M150" s="562">
        <f>SUM(M147:M149)</f>
        <v>0</v>
      </c>
      <c r="N150" s="562">
        <f>SUM(N147:N147)</f>
        <v>0</v>
      </c>
      <c r="O150" s="562">
        <f>SUM(O147:O147)</f>
        <v>0</v>
      </c>
      <c r="P150" s="562">
        <f>K150+L150+M150</f>
        <v>603620</v>
      </c>
      <c r="Q150" s="563"/>
      <c r="R150" s="580"/>
    </row>
    <row r="151" spans="1:18" s="9" customFormat="1" ht="19.899999999999999" customHeight="1" x14ac:dyDescent="0.25">
      <c r="A151" s="582">
        <v>1</v>
      </c>
      <c r="B151" s="623" t="s">
        <v>1363</v>
      </c>
      <c r="C151" s="623" t="s">
        <v>118</v>
      </c>
      <c r="D151" s="625" t="s">
        <v>1508</v>
      </c>
      <c r="E151" s="626"/>
      <c r="F151" s="627"/>
      <c r="G151" s="628">
        <v>45223</v>
      </c>
      <c r="H151" s="629">
        <f t="shared" ca="1" si="36"/>
        <v>46102</v>
      </c>
      <c r="I151" s="638" t="str">
        <f t="shared" ca="1" si="37"/>
        <v>28-Months</v>
      </c>
      <c r="J151" s="630" t="s">
        <v>1509</v>
      </c>
      <c r="K151" s="631">
        <v>38400</v>
      </c>
      <c r="L151" s="631"/>
      <c r="M151" s="632"/>
      <c r="N151" s="632"/>
      <c r="O151" s="632"/>
      <c r="P151" s="639">
        <f t="shared" ref="P151:P162" si="39">K151+L151+M151</f>
        <v>38400</v>
      </c>
      <c r="Q151" s="624" t="s">
        <v>1331</v>
      </c>
    </row>
    <row r="152" spans="1:18" s="9" customFormat="1" ht="19.899999999999999" customHeight="1" x14ac:dyDescent="0.25">
      <c r="A152" s="582">
        <v>2</v>
      </c>
      <c r="B152" s="538" t="s">
        <v>1373</v>
      </c>
      <c r="C152" s="538" t="s">
        <v>481</v>
      </c>
      <c r="D152" s="538" t="s">
        <v>1506</v>
      </c>
      <c r="E152" s="381"/>
      <c r="F152" s="381"/>
      <c r="G152" s="600">
        <v>43839</v>
      </c>
      <c r="H152" s="419">
        <f t="shared" ca="1" si="36"/>
        <v>46102</v>
      </c>
      <c r="I152" s="412" t="str">
        <f t="shared" ca="1" si="37"/>
        <v>74-Months</v>
      </c>
      <c r="J152" s="576"/>
      <c r="K152" s="381"/>
      <c r="L152" s="552">
        <v>56980</v>
      </c>
      <c r="M152" s="381"/>
      <c r="N152" s="381"/>
      <c r="O152" s="381"/>
      <c r="P152" s="588">
        <f>K152+L152+M152</f>
        <v>56980</v>
      </c>
      <c r="Q152" s="553" t="s">
        <v>1331</v>
      </c>
    </row>
    <row r="153" spans="1:18" s="9" customFormat="1" ht="19.899999999999999" customHeight="1" x14ac:dyDescent="0.25">
      <c r="A153" s="582">
        <v>3</v>
      </c>
      <c r="B153" s="658" t="s">
        <v>1507</v>
      </c>
      <c r="C153" s="538" t="s">
        <v>1263</v>
      </c>
      <c r="D153" s="538" t="s">
        <v>1505</v>
      </c>
      <c r="E153" s="381"/>
      <c r="F153" s="389"/>
      <c r="G153" s="419">
        <v>44473</v>
      </c>
      <c r="H153" s="419">
        <f t="shared" ca="1" si="36"/>
        <v>46102</v>
      </c>
      <c r="I153" s="412" t="str">
        <f t="shared" ca="1" si="37"/>
        <v>53-Months</v>
      </c>
      <c r="J153" s="385" t="s">
        <v>1264</v>
      </c>
      <c r="K153" s="386">
        <v>11257</v>
      </c>
      <c r="L153" s="613">
        <v>35930</v>
      </c>
      <c r="M153" s="390"/>
      <c r="N153" s="390"/>
      <c r="O153" s="390"/>
      <c r="P153" s="588">
        <f>K153+L153+M153</f>
        <v>47187</v>
      </c>
      <c r="Q153" s="555" t="s">
        <v>1259</v>
      </c>
    </row>
    <row r="154" spans="1:18" s="9" customFormat="1" ht="19.899999999999999" customHeight="1" x14ac:dyDescent="0.25">
      <c r="A154" s="582">
        <v>4</v>
      </c>
      <c r="B154" s="538" t="s">
        <v>667</v>
      </c>
      <c r="C154" s="538" t="s">
        <v>425</v>
      </c>
      <c r="D154" s="538" t="s">
        <v>1505</v>
      </c>
      <c r="E154" s="381"/>
      <c r="F154" s="381"/>
      <c r="G154" s="600">
        <v>45241</v>
      </c>
      <c r="H154" s="419">
        <f t="shared" ca="1" si="36"/>
        <v>46102</v>
      </c>
      <c r="I154" s="420" t="str">
        <f t="shared" ca="1" si="37"/>
        <v>28-Months</v>
      </c>
      <c r="J154" s="576" t="s">
        <v>1412</v>
      </c>
      <c r="K154" s="381"/>
      <c r="L154" s="613">
        <v>98600</v>
      </c>
      <c r="M154" s="381"/>
      <c r="N154" s="381"/>
      <c r="O154" s="381"/>
      <c r="P154" s="641">
        <f t="shared" si="39"/>
        <v>98600</v>
      </c>
      <c r="Q154" s="553" t="s">
        <v>1393</v>
      </c>
    </row>
    <row r="155" spans="1:18" s="9" customFormat="1" ht="19.899999999999999" customHeight="1" x14ac:dyDescent="0.25">
      <c r="A155" s="582">
        <v>5</v>
      </c>
      <c r="B155" s="538" t="s">
        <v>1391</v>
      </c>
      <c r="C155" s="538" t="s">
        <v>507</v>
      </c>
      <c r="D155" s="538" t="s">
        <v>1505</v>
      </c>
      <c r="E155" s="381"/>
      <c r="F155" s="381"/>
      <c r="G155" s="600">
        <v>45372</v>
      </c>
      <c r="H155" s="419">
        <f t="shared" ca="1" si="36"/>
        <v>46102</v>
      </c>
      <c r="I155" s="415" t="str">
        <f t="shared" ca="1" si="37"/>
        <v>24-Months</v>
      </c>
      <c r="J155" s="576" t="s">
        <v>1392</v>
      </c>
      <c r="K155" s="381"/>
      <c r="L155" s="613">
        <v>97000</v>
      </c>
      <c r="M155" s="381"/>
      <c r="N155" s="381"/>
      <c r="O155" s="381"/>
      <c r="P155" s="591">
        <f t="shared" si="39"/>
        <v>97000</v>
      </c>
      <c r="Q155" s="553" t="s">
        <v>1393</v>
      </c>
    </row>
    <row r="156" spans="1:18" s="9" customFormat="1" ht="18.600000000000001" customHeight="1" x14ac:dyDescent="0.25">
      <c r="A156" s="582">
        <v>6</v>
      </c>
      <c r="B156" s="538" t="s">
        <v>1528</v>
      </c>
      <c r="C156" s="538" t="s">
        <v>20</v>
      </c>
      <c r="D156" s="538" t="s">
        <v>1510</v>
      </c>
      <c r="E156" s="381"/>
      <c r="F156" s="381"/>
      <c r="G156" s="600">
        <v>45913</v>
      </c>
      <c r="H156" s="419">
        <f t="shared" ca="1" si="36"/>
        <v>46102</v>
      </c>
      <c r="I156" s="393" t="str">
        <f t="shared" ref="I156:I162" ca="1" si="40">DATEDIF(G156,H156,"M")&amp;"-Months"</f>
        <v>6-Months</v>
      </c>
      <c r="J156" s="576" t="s">
        <v>1529</v>
      </c>
      <c r="K156" s="381">
        <v>16200</v>
      </c>
      <c r="L156" s="613"/>
      <c r="M156" s="381"/>
      <c r="N156" s="381"/>
      <c r="O156" s="381"/>
      <c r="P156" s="642">
        <f t="shared" si="39"/>
        <v>16200</v>
      </c>
      <c r="Q156" s="560"/>
    </row>
    <row r="157" spans="1:18" s="9" customFormat="1" ht="19.899999999999999" customHeight="1" x14ac:dyDescent="0.25">
      <c r="A157" s="582">
        <v>7</v>
      </c>
      <c r="B157" s="538" t="s">
        <v>1528</v>
      </c>
      <c r="C157" s="538" t="s">
        <v>20</v>
      </c>
      <c r="D157" s="538" t="s">
        <v>1510</v>
      </c>
      <c r="E157" s="381"/>
      <c r="F157" s="381"/>
      <c r="G157" s="600">
        <v>45913</v>
      </c>
      <c r="H157" s="419">
        <f t="shared" ca="1" si="36"/>
        <v>46102</v>
      </c>
      <c r="I157" s="393" t="str">
        <f t="shared" ca="1" si="40"/>
        <v>6-Months</v>
      </c>
      <c r="J157" s="576" t="s">
        <v>1529</v>
      </c>
      <c r="K157" s="381">
        <v>66650</v>
      </c>
      <c r="L157" s="613"/>
      <c r="M157" s="381"/>
      <c r="N157" s="381"/>
      <c r="O157" s="381"/>
      <c r="P157" s="642">
        <f t="shared" si="39"/>
        <v>66650</v>
      </c>
      <c r="Q157" s="560"/>
    </row>
    <row r="158" spans="1:18" s="9" customFormat="1" ht="19.899999999999999" customHeight="1" x14ac:dyDescent="0.25">
      <c r="A158" s="582">
        <v>8</v>
      </c>
      <c r="B158" s="538" t="s">
        <v>1528</v>
      </c>
      <c r="C158" s="538" t="s">
        <v>20</v>
      </c>
      <c r="D158" s="538" t="s">
        <v>1510</v>
      </c>
      <c r="E158" s="381"/>
      <c r="F158" s="381"/>
      <c r="G158" s="600">
        <v>45913</v>
      </c>
      <c r="H158" s="419">
        <f t="shared" ca="1" si="36"/>
        <v>46102</v>
      </c>
      <c r="I158" s="393" t="str">
        <f t="shared" ca="1" si="40"/>
        <v>6-Months</v>
      </c>
      <c r="J158" s="576" t="s">
        <v>1529</v>
      </c>
      <c r="K158" s="381">
        <v>66000</v>
      </c>
      <c r="L158" s="613"/>
      <c r="M158" s="381"/>
      <c r="N158" s="381"/>
      <c r="O158" s="381"/>
      <c r="P158" s="642">
        <f t="shared" si="39"/>
        <v>66000</v>
      </c>
      <c r="Q158" s="560"/>
    </row>
    <row r="159" spans="1:18" s="9" customFormat="1" ht="19.899999999999999" customHeight="1" x14ac:dyDescent="0.25">
      <c r="A159" s="582">
        <v>9</v>
      </c>
      <c r="B159" s="538" t="s">
        <v>1528</v>
      </c>
      <c r="C159" s="538" t="s">
        <v>20</v>
      </c>
      <c r="D159" s="538" t="s">
        <v>1510</v>
      </c>
      <c r="E159" s="381"/>
      <c r="F159" s="381"/>
      <c r="G159" s="600">
        <v>45913</v>
      </c>
      <c r="H159" s="419">
        <f t="shared" ca="1" si="36"/>
        <v>46102</v>
      </c>
      <c r="I159" s="393" t="str">
        <f t="shared" ca="1" si="40"/>
        <v>6-Months</v>
      </c>
      <c r="J159" s="576" t="s">
        <v>1529</v>
      </c>
      <c r="K159" s="381">
        <v>193050</v>
      </c>
      <c r="L159" s="613"/>
      <c r="M159" s="381"/>
      <c r="N159" s="381"/>
      <c r="O159" s="381"/>
      <c r="P159" s="642">
        <f t="shared" si="39"/>
        <v>193050</v>
      </c>
      <c r="Q159" s="560"/>
    </row>
    <row r="160" spans="1:18" s="9" customFormat="1" ht="19.899999999999999" customHeight="1" x14ac:dyDescent="0.25">
      <c r="A160" s="582">
        <v>10</v>
      </c>
      <c r="B160" s="538" t="s">
        <v>1528</v>
      </c>
      <c r="C160" s="538" t="s">
        <v>20</v>
      </c>
      <c r="D160" s="538" t="s">
        <v>1510</v>
      </c>
      <c r="E160" s="381"/>
      <c r="F160" s="381"/>
      <c r="G160" s="600">
        <v>45913</v>
      </c>
      <c r="H160" s="419">
        <f t="shared" ca="1" si="36"/>
        <v>46102</v>
      </c>
      <c r="I160" s="393" t="str">
        <f t="shared" ca="1" si="40"/>
        <v>6-Months</v>
      </c>
      <c r="J160" s="576" t="s">
        <v>1529</v>
      </c>
      <c r="K160" s="381">
        <v>22400</v>
      </c>
      <c r="L160" s="613"/>
      <c r="M160" s="381"/>
      <c r="N160" s="381"/>
      <c r="O160" s="381"/>
      <c r="P160" s="642">
        <f t="shared" si="39"/>
        <v>22400</v>
      </c>
      <c r="Q160" s="560"/>
    </row>
    <row r="161" spans="1:18" s="9" customFormat="1" ht="19.899999999999999" customHeight="1" x14ac:dyDescent="0.25">
      <c r="A161" s="582">
        <v>11</v>
      </c>
      <c r="B161" s="538" t="s">
        <v>1528</v>
      </c>
      <c r="C161" s="538" t="s">
        <v>20</v>
      </c>
      <c r="D161" s="538" t="s">
        <v>1510</v>
      </c>
      <c r="E161" s="381"/>
      <c r="F161" s="381"/>
      <c r="G161" s="600">
        <v>45913</v>
      </c>
      <c r="H161" s="419">
        <f t="shared" ca="1" si="36"/>
        <v>46102</v>
      </c>
      <c r="I161" s="393" t="str">
        <f t="shared" ca="1" si="40"/>
        <v>6-Months</v>
      </c>
      <c r="J161" s="576" t="s">
        <v>1529</v>
      </c>
      <c r="K161" s="381">
        <v>18900</v>
      </c>
      <c r="L161" s="613"/>
      <c r="M161" s="381"/>
      <c r="N161" s="381"/>
      <c r="O161" s="381"/>
      <c r="P161" s="642">
        <f t="shared" si="39"/>
        <v>18900</v>
      </c>
      <c r="Q161" s="560"/>
    </row>
    <row r="162" spans="1:18" s="9" customFormat="1" ht="19.899999999999999" customHeight="1" x14ac:dyDescent="0.25">
      <c r="A162" s="582">
        <v>12</v>
      </c>
      <c r="B162" s="538" t="s">
        <v>1528</v>
      </c>
      <c r="C162" s="538" t="s">
        <v>20</v>
      </c>
      <c r="D162" s="538" t="s">
        <v>1510</v>
      </c>
      <c r="E162" s="381"/>
      <c r="F162" s="381"/>
      <c r="G162" s="600">
        <v>45913</v>
      </c>
      <c r="H162" s="419">
        <f t="shared" ca="1" si="36"/>
        <v>46102</v>
      </c>
      <c r="I162" s="393" t="str">
        <f t="shared" ca="1" si="40"/>
        <v>6-Months</v>
      </c>
      <c r="J162" s="576" t="s">
        <v>1529</v>
      </c>
      <c r="K162" s="381">
        <v>18000</v>
      </c>
      <c r="L162" s="613"/>
      <c r="M162" s="381"/>
      <c r="N162" s="381"/>
      <c r="O162" s="381"/>
      <c r="P162" s="642">
        <f t="shared" si="39"/>
        <v>18000</v>
      </c>
      <c r="Q162" s="560"/>
    </row>
    <row r="163" spans="1:18" s="9" customFormat="1" ht="19.899999999999999" customHeight="1" x14ac:dyDescent="0.25">
      <c r="A163" s="582">
        <v>13</v>
      </c>
      <c r="B163" s="538" t="s">
        <v>1528</v>
      </c>
      <c r="C163" s="538" t="s">
        <v>20</v>
      </c>
      <c r="D163" s="538" t="s">
        <v>1510</v>
      </c>
      <c r="E163" s="381"/>
      <c r="F163" s="381"/>
      <c r="G163" s="600">
        <v>45913</v>
      </c>
      <c r="H163" s="419">
        <f t="shared" ca="1" si="36"/>
        <v>46102</v>
      </c>
      <c r="I163" s="393" t="str">
        <f t="shared" ref="I163" ca="1" si="41">DATEDIF(G163,H163,"M")&amp;"-Months"</f>
        <v>6-Months</v>
      </c>
      <c r="J163" s="576" t="s">
        <v>1529</v>
      </c>
      <c r="K163" s="381">
        <v>39600</v>
      </c>
      <c r="L163" s="613"/>
      <c r="M163" s="381"/>
      <c r="N163" s="381"/>
      <c r="O163" s="381"/>
      <c r="P163" s="642">
        <f>K163+L163+M163</f>
        <v>39600</v>
      </c>
      <c r="Q163" s="560"/>
    </row>
    <row r="164" spans="1:18" s="9" customFormat="1" ht="19.899999999999999" customHeight="1" thickBot="1" x14ac:dyDescent="0.3">
      <c r="A164" s="582">
        <v>14</v>
      </c>
      <c r="B164" s="538" t="s">
        <v>1511</v>
      </c>
      <c r="C164" s="538" t="s">
        <v>1512</v>
      </c>
      <c r="D164" s="538" t="s">
        <v>1510</v>
      </c>
      <c r="E164" s="381"/>
      <c r="F164" s="381"/>
      <c r="G164" s="600">
        <v>44297</v>
      </c>
      <c r="H164" s="419">
        <f t="shared" ca="1" si="36"/>
        <v>46102</v>
      </c>
      <c r="I164" s="412" t="str">
        <f t="shared" ca="1" si="37"/>
        <v>59-Months</v>
      </c>
      <c r="J164" s="576" t="s">
        <v>1333</v>
      </c>
      <c r="K164" s="381"/>
      <c r="L164" s="613">
        <v>160200</v>
      </c>
      <c r="M164" s="381"/>
      <c r="N164" s="381"/>
      <c r="O164" s="381"/>
      <c r="P164" s="588">
        <f>K164+L164+M164</f>
        <v>160200</v>
      </c>
      <c r="Q164" s="560" t="s">
        <v>1331</v>
      </c>
      <c r="R164" s="621"/>
    </row>
    <row r="165" spans="1:18" ht="19.899999999999999" customHeight="1" thickBot="1" x14ac:dyDescent="0.3">
      <c r="A165" s="751" t="s">
        <v>1513</v>
      </c>
      <c r="B165" s="752"/>
      <c r="C165" s="752"/>
      <c r="D165" s="752"/>
      <c r="E165" s="752"/>
      <c r="F165" s="752"/>
      <c r="G165" s="752"/>
      <c r="H165" s="752"/>
      <c r="I165" s="752"/>
      <c r="J165" s="752"/>
      <c r="K165" s="562">
        <f>SUM(K151:K164)</f>
        <v>490457</v>
      </c>
      <c r="L165" s="562">
        <f>SUM(L151:L164)</f>
        <v>448710</v>
      </c>
      <c r="M165" s="562">
        <f>SUM(M151:O164)</f>
        <v>0</v>
      </c>
      <c r="N165" s="562"/>
      <c r="O165" s="562"/>
      <c r="P165" s="562">
        <f t="shared" ref="P165" si="42">K165+L165+M165</f>
        <v>939167</v>
      </c>
      <c r="Q165" s="563"/>
      <c r="R165" s="580"/>
    </row>
    <row r="166" spans="1:18" s="9" customFormat="1" ht="19.899999999999999" customHeight="1" x14ac:dyDescent="0.25">
      <c r="A166" s="583">
        <v>1</v>
      </c>
      <c r="B166" s="659" t="s">
        <v>1256</v>
      </c>
      <c r="C166" s="570" t="s">
        <v>1257</v>
      </c>
      <c r="D166" s="570" t="s">
        <v>1514</v>
      </c>
      <c r="E166" s="571"/>
      <c r="F166" s="584"/>
      <c r="G166" s="561">
        <v>44076</v>
      </c>
      <c r="H166" s="561">
        <f t="shared" ref="H166:H175" ca="1" si="43">TODAY()</f>
        <v>46102</v>
      </c>
      <c r="I166" s="564" t="str">
        <f t="shared" ref="I166:I172" ca="1" si="44">DATEDIF(G166,H166,"M")&amp;"-Months"</f>
        <v>66-Months</v>
      </c>
      <c r="J166" s="565" t="s">
        <v>1258</v>
      </c>
      <c r="K166" s="585">
        <v>65232</v>
      </c>
      <c r="L166" s="585"/>
      <c r="M166" s="585"/>
      <c r="N166" s="585"/>
      <c r="O166" s="585"/>
      <c r="P166" s="586">
        <f t="shared" ref="P166:P172" si="45">SUM(K166:O166)</f>
        <v>65232</v>
      </c>
      <c r="Q166" s="566" t="s">
        <v>1259</v>
      </c>
      <c r="R166" s="636"/>
    </row>
    <row r="167" spans="1:18" s="9" customFormat="1" ht="19.899999999999999" customHeight="1" x14ac:dyDescent="0.25">
      <c r="A167" s="587">
        <v>2</v>
      </c>
      <c r="B167" s="452" t="s">
        <v>1329</v>
      </c>
      <c r="C167" s="550" t="s">
        <v>1502</v>
      </c>
      <c r="D167" s="550" t="s">
        <v>1514</v>
      </c>
      <c r="E167" s="435"/>
      <c r="F167" s="435"/>
      <c r="G167" s="419">
        <v>44088</v>
      </c>
      <c r="H167" s="419">
        <f t="shared" ca="1" si="43"/>
        <v>46102</v>
      </c>
      <c r="I167" s="412" t="str">
        <f t="shared" ca="1" si="44"/>
        <v>66-Months</v>
      </c>
      <c r="J167" s="433" t="s">
        <v>1330</v>
      </c>
      <c r="K167" s="434">
        <v>1869203</v>
      </c>
      <c r="L167" s="434"/>
      <c r="M167" s="434"/>
      <c r="N167" s="434"/>
      <c r="O167" s="434"/>
      <c r="P167" s="588">
        <f>SUM(K167:O167)</f>
        <v>1869203</v>
      </c>
      <c r="Q167" s="555" t="s">
        <v>1331</v>
      </c>
      <c r="R167" s="636"/>
    </row>
    <row r="168" spans="1:18" s="9" customFormat="1" ht="19.899999999999999" customHeight="1" x14ac:dyDescent="0.25">
      <c r="A168" s="587">
        <v>3</v>
      </c>
      <c r="B168" s="452" t="s">
        <v>1324</v>
      </c>
      <c r="C168" s="550" t="s">
        <v>113</v>
      </c>
      <c r="D168" s="550" t="s">
        <v>1514</v>
      </c>
      <c r="E168" s="446"/>
      <c r="F168" s="403"/>
      <c r="G168" s="419">
        <v>44716</v>
      </c>
      <c r="H168" s="419">
        <f t="shared" ca="1" si="43"/>
        <v>46102</v>
      </c>
      <c r="I168" s="412" t="str">
        <f t="shared" ca="1" si="44"/>
        <v>45-Months</v>
      </c>
      <c r="J168" s="444" t="s">
        <v>1325</v>
      </c>
      <c r="K168" s="434">
        <v>10520</v>
      </c>
      <c r="L168" s="434"/>
      <c r="M168" s="408"/>
      <c r="N168" s="408">
        <f>SUM(N166:N167)</f>
        <v>0</v>
      </c>
      <c r="O168" s="408">
        <f>SUM(O166:O167)</f>
        <v>0</v>
      </c>
      <c r="P168" s="588">
        <f t="shared" si="45"/>
        <v>10520</v>
      </c>
      <c r="Q168" s="554"/>
      <c r="R168" s="636"/>
    </row>
    <row r="169" spans="1:18" s="9" customFormat="1" ht="19.899999999999999" customHeight="1" x14ac:dyDescent="0.25">
      <c r="A169" s="583">
        <v>4</v>
      </c>
      <c r="B169" s="452" t="s">
        <v>1324</v>
      </c>
      <c r="C169" s="550" t="s">
        <v>113</v>
      </c>
      <c r="D169" s="550" t="s">
        <v>1514</v>
      </c>
      <c r="E169" s="446"/>
      <c r="F169" s="403"/>
      <c r="G169" s="419">
        <v>44716</v>
      </c>
      <c r="H169" s="419">
        <f t="shared" ca="1" si="43"/>
        <v>46102</v>
      </c>
      <c r="I169" s="412" t="str">
        <f t="shared" ca="1" si="44"/>
        <v>45-Months</v>
      </c>
      <c r="J169" s="444" t="s">
        <v>1328</v>
      </c>
      <c r="K169" s="434"/>
      <c r="L169" s="434">
        <v>16200</v>
      </c>
      <c r="M169" s="408"/>
      <c r="N169" s="408"/>
      <c r="O169" s="408"/>
      <c r="P169" s="588">
        <f t="shared" si="45"/>
        <v>16200</v>
      </c>
      <c r="Q169" s="554"/>
      <c r="R169" s="636"/>
    </row>
    <row r="170" spans="1:18" s="9" customFormat="1" ht="19.899999999999999" customHeight="1" x14ac:dyDescent="0.25">
      <c r="A170" s="587">
        <v>5</v>
      </c>
      <c r="B170" s="452" t="s">
        <v>1324</v>
      </c>
      <c r="C170" s="550" t="s">
        <v>113</v>
      </c>
      <c r="D170" s="550" t="s">
        <v>1514</v>
      </c>
      <c r="E170" s="446"/>
      <c r="F170" s="403"/>
      <c r="G170" s="419">
        <v>44716</v>
      </c>
      <c r="H170" s="419">
        <f t="shared" ca="1" si="43"/>
        <v>46102</v>
      </c>
      <c r="I170" s="412" t="str">
        <f t="shared" ca="1" si="44"/>
        <v>45-Months</v>
      </c>
      <c r="J170" s="444" t="s">
        <v>1327</v>
      </c>
      <c r="K170" s="434"/>
      <c r="L170" s="434">
        <v>96025</v>
      </c>
      <c r="M170" s="408"/>
      <c r="N170" s="408"/>
      <c r="O170" s="408"/>
      <c r="P170" s="588">
        <f t="shared" si="45"/>
        <v>96025</v>
      </c>
      <c r="Q170" s="554"/>
      <c r="R170" s="636"/>
    </row>
    <row r="171" spans="1:18" s="9" customFormat="1" ht="19.899999999999999" customHeight="1" x14ac:dyDescent="0.25">
      <c r="A171" s="587">
        <v>6</v>
      </c>
      <c r="B171" s="598" t="s">
        <v>1252</v>
      </c>
      <c r="C171" s="598" t="s">
        <v>1515</v>
      </c>
      <c r="D171" s="599" t="s">
        <v>1514</v>
      </c>
      <c r="E171" s="589"/>
      <c r="F171" s="567"/>
      <c r="G171" s="549">
        <v>45794</v>
      </c>
      <c r="H171" s="549">
        <f t="shared" ca="1" si="43"/>
        <v>46102</v>
      </c>
      <c r="I171" s="633" t="str">
        <f t="shared" ref="I171" ca="1" si="46">DATEDIF(G171,H171,"M")&amp;"-Months"</f>
        <v>10-Months</v>
      </c>
      <c r="J171" s="568" t="s">
        <v>1527</v>
      </c>
      <c r="K171" s="568"/>
      <c r="L171" s="568">
        <v>-462000</v>
      </c>
      <c r="M171" s="573"/>
      <c r="N171" s="590"/>
      <c r="O171" s="590"/>
      <c r="P171" s="634">
        <f t="shared" ref="P171" si="47">SUM(K171:O171)</f>
        <v>-462000</v>
      </c>
      <c r="Q171" s="569"/>
      <c r="R171" s="636"/>
    </row>
    <row r="172" spans="1:18" s="9" customFormat="1" ht="19.899999999999999" customHeight="1" thickBot="1" x14ac:dyDescent="0.3">
      <c r="A172" s="583">
        <v>7</v>
      </c>
      <c r="B172" s="598" t="s">
        <v>1252</v>
      </c>
      <c r="C172" s="598" t="s">
        <v>1515</v>
      </c>
      <c r="D172" s="599" t="s">
        <v>1514</v>
      </c>
      <c r="E172" s="589"/>
      <c r="F172" s="567"/>
      <c r="G172" s="549">
        <v>46025</v>
      </c>
      <c r="H172" s="549">
        <f t="shared" ca="1" si="43"/>
        <v>46102</v>
      </c>
      <c r="I172" s="549" t="str">
        <f t="shared" ca="1" si="44"/>
        <v>2-Months</v>
      </c>
      <c r="J172" s="568" t="s">
        <v>1533</v>
      </c>
      <c r="K172" s="568"/>
      <c r="L172" s="568">
        <v>22500000</v>
      </c>
      <c r="M172" s="573"/>
      <c r="N172" s="590"/>
      <c r="O172" s="590"/>
      <c r="P172" s="568">
        <f t="shared" si="45"/>
        <v>22500000</v>
      </c>
      <c r="Q172" s="569"/>
      <c r="R172" s="592"/>
    </row>
    <row r="173" spans="1:18" ht="19.899999999999999" customHeight="1" thickBot="1" x14ac:dyDescent="0.3">
      <c r="A173" s="753" t="s">
        <v>1516</v>
      </c>
      <c r="B173" s="754"/>
      <c r="C173" s="754"/>
      <c r="D173" s="754"/>
      <c r="E173" s="754"/>
      <c r="F173" s="754"/>
      <c r="G173" s="754"/>
      <c r="H173" s="754"/>
      <c r="I173" s="754"/>
      <c r="J173" s="754"/>
      <c r="K173" s="562">
        <f>SUM(K166:K172)</f>
        <v>1944955</v>
      </c>
      <c r="L173" s="562">
        <f>SUM(L166:L172)</f>
        <v>22150225</v>
      </c>
      <c r="M173" s="562">
        <f>SUM(M166:O172)</f>
        <v>0</v>
      </c>
      <c r="N173" s="562" t="e">
        <f>SUM(#REF!,#REF!,#REF!,#REF!,#REF!,#REF!,#REF!,#REF!,#REF!,N168)</f>
        <v>#REF!</v>
      </c>
      <c r="O173" s="562" t="e">
        <f>SUM(#REF!,#REF!,#REF!,#REF!,#REF!,#REF!,#REF!,#REF!,#REF!,O168)</f>
        <v>#REF!</v>
      </c>
      <c r="P173" s="562">
        <f>K173+L173+M173</f>
        <v>24095180</v>
      </c>
      <c r="Q173" s="572"/>
      <c r="R173" s="580"/>
    </row>
    <row r="174" spans="1:18" s="9" customFormat="1" ht="19.899999999999999" customHeight="1" x14ac:dyDescent="0.25">
      <c r="A174" s="587">
        <v>1</v>
      </c>
      <c r="B174" s="550" t="s">
        <v>1518</v>
      </c>
      <c r="C174" s="550" t="s">
        <v>1519</v>
      </c>
      <c r="D174" s="550" t="s">
        <v>1517</v>
      </c>
      <c r="E174" s="474"/>
      <c r="F174" s="474"/>
      <c r="G174" s="419">
        <v>45952</v>
      </c>
      <c r="H174" s="419">
        <f t="shared" ca="1" si="43"/>
        <v>46102</v>
      </c>
      <c r="I174" s="393" t="str">
        <f t="shared" ref="I174" ca="1" si="48">DATEDIF(G174,H174,"M")&amp;"-Months"</f>
        <v>4-Months</v>
      </c>
      <c r="J174" s="435" t="s">
        <v>1530</v>
      </c>
      <c r="K174" s="635"/>
      <c r="L174" s="434">
        <v>56160</v>
      </c>
      <c r="M174" s="408"/>
      <c r="N174" s="408"/>
      <c r="O174" s="408"/>
      <c r="P174" s="642">
        <f t="shared" ref="P174:P175" si="49">SUM(K174:O174)</f>
        <v>56160</v>
      </c>
      <c r="Q174" s="554"/>
    </row>
    <row r="175" spans="1:18" s="9" customFormat="1" ht="19.899999999999999" customHeight="1" thickBot="1" x14ac:dyDescent="0.3">
      <c r="A175" s="587">
        <v>2</v>
      </c>
      <c r="B175" s="550" t="s">
        <v>1518</v>
      </c>
      <c r="C175" s="550" t="s">
        <v>1519</v>
      </c>
      <c r="D175" s="550" t="s">
        <v>1517</v>
      </c>
      <c r="E175" s="474"/>
      <c r="F175" s="474"/>
      <c r="G175" s="419">
        <v>46022</v>
      </c>
      <c r="H175" s="419">
        <f t="shared" ca="1" si="43"/>
        <v>46102</v>
      </c>
      <c r="I175" s="419" t="str">
        <f t="shared" ref="I175" ca="1" si="50">DATEDIF(G175,H175,"M")&amp;"-Months"</f>
        <v>2-Months</v>
      </c>
      <c r="J175" s="435" t="s">
        <v>1531</v>
      </c>
      <c r="K175" s="635">
        <v>19980</v>
      </c>
      <c r="L175" s="434"/>
      <c r="M175" s="408"/>
      <c r="N175" s="408"/>
      <c r="O175" s="408"/>
      <c r="P175" s="434">
        <f t="shared" si="49"/>
        <v>19980</v>
      </c>
      <c r="Q175" s="554"/>
    </row>
    <row r="176" spans="1:18" ht="19.899999999999999" customHeight="1" thickBot="1" x14ac:dyDescent="0.3">
      <c r="A176" s="746" t="s">
        <v>1520</v>
      </c>
      <c r="B176" s="747"/>
      <c r="C176" s="747"/>
      <c r="D176" s="747"/>
      <c r="E176" s="747"/>
      <c r="F176" s="747"/>
      <c r="G176" s="747"/>
      <c r="H176" s="747"/>
      <c r="I176" s="747"/>
      <c r="J176" s="747"/>
      <c r="K176" s="562">
        <f>SUM(K174:K175)</f>
        <v>19980</v>
      </c>
      <c r="L176" s="562">
        <f>SUM(L174:L175)</f>
        <v>56160</v>
      </c>
      <c r="M176" s="562">
        <f>SUM(M174:M175)</f>
        <v>0</v>
      </c>
      <c r="N176" s="562"/>
      <c r="O176" s="562"/>
      <c r="P176" s="562">
        <f>K176+L176+M176</f>
        <v>76140</v>
      </c>
      <c r="Q176" s="572"/>
      <c r="R176" s="580"/>
    </row>
    <row r="177" spans="1:18" ht="19.899999999999999" customHeight="1" thickBot="1" x14ac:dyDescent="0.3">
      <c r="A177" s="748" t="s">
        <v>1521</v>
      </c>
      <c r="B177" s="749"/>
      <c r="C177" s="749"/>
      <c r="D177" s="749"/>
      <c r="E177" s="749"/>
      <c r="F177" s="749"/>
      <c r="G177" s="749"/>
      <c r="H177" s="749"/>
      <c r="I177" s="749"/>
      <c r="J177" s="749"/>
      <c r="K177" s="593">
        <f>K136+K146+K150+K165+K173+K176</f>
        <v>259706972</v>
      </c>
      <c r="L177" s="593">
        <f>L136+L146+L150+L165+L173+L176</f>
        <v>22706295</v>
      </c>
      <c r="M177" s="593">
        <f>M136+M146+M150+M165+M173+M176</f>
        <v>0</v>
      </c>
      <c r="N177" s="593" t="e">
        <f>SUM(N173,N165,N150,#REF!,N146,N136)</f>
        <v>#REF!</v>
      </c>
      <c r="O177" s="593" t="e">
        <f>SUM(O173,O165,O150,#REF!,O146,O136)</f>
        <v>#REF!</v>
      </c>
      <c r="P177" s="593">
        <f>K177+L177+M177</f>
        <v>282413267</v>
      </c>
      <c r="Q177" s="574"/>
      <c r="R177" s="580"/>
    </row>
    <row r="178" spans="1:18" x14ac:dyDescent="0.25">
      <c r="A178" s="484"/>
      <c r="B178" s="596"/>
      <c r="C178" s="596"/>
      <c r="D178" s="596"/>
      <c r="E178" s="484"/>
      <c r="F178" s="484"/>
      <c r="G178" s="485"/>
      <c r="H178" s="485"/>
      <c r="I178" s="485"/>
      <c r="J178" s="486"/>
      <c r="K178" s="486"/>
      <c r="L178" s="486"/>
      <c r="M178" s="486"/>
      <c r="N178" s="486"/>
      <c r="O178" s="486"/>
      <c r="P178" s="486"/>
      <c r="Q178" s="594"/>
    </row>
    <row r="179" spans="1:18" x14ac:dyDescent="0.25">
      <c r="A179" s="484"/>
      <c r="B179" s="596"/>
      <c r="C179" s="596"/>
      <c r="D179" s="596"/>
      <c r="E179" s="484"/>
      <c r="F179" s="484"/>
      <c r="G179" s="485"/>
      <c r="H179" s="485"/>
      <c r="I179" s="485"/>
      <c r="J179" s="484"/>
      <c r="K179" s="484"/>
      <c r="L179" s="486"/>
      <c r="M179" s="486"/>
      <c r="N179" s="484"/>
      <c r="O179" s="484"/>
      <c r="P179" s="484"/>
      <c r="Q179" s="594"/>
    </row>
    <row r="180" spans="1:18" x14ac:dyDescent="0.25">
      <c r="A180" s="484"/>
      <c r="B180" s="596"/>
      <c r="C180" s="596"/>
      <c r="D180" s="596"/>
      <c r="E180" s="596"/>
      <c r="F180" s="596"/>
      <c r="G180" s="596"/>
      <c r="H180" s="485"/>
      <c r="I180" s="485"/>
      <c r="J180" s="484"/>
      <c r="K180" s="484"/>
      <c r="L180" s="484"/>
      <c r="M180" s="484"/>
      <c r="N180" s="484"/>
      <c r="O180" s="484"/>
      <c r="P180" s="484"/>
      <c r="Q180" s="594"/>
    </row>
    <row r="181" spans="1:18" x14ac:dyDescent="0.25">
      <c r="A181" s="505"/>
      <c r="B181" s="605"/>
      <c r="C181" s="614"/>
      <c r="D181" s="614"/>
      <c r="E181" s="604" t="s">
        <v>1425</v>
      </c>
      <c r="F181" s="604"/>
      <c r="G181" s="605">
        <v>249476580</v>
      </c>
      <c r="H181" s="615"/>
      <c r="I181" s="615"/>
      <c r="J181" s="505"/>
      <c r="K181" s="505"/>
      <c r="L181" s="616"/>
      <c r="M181" s="505"/>
      <c r="N181" s="505"/>
      <c r="O181" s="505"/>
      <c r="P181" s="505"/>
      <c r="Q181" s="617"/>
    </row>
    <row r="182" spans="1:18" x14ac:dyDescent="0.25">
      <c r="A182" s="505"/>
      <c r="B182" s="605"/>
      <c r="C182" s="614"/>
      <c r="D182" s="614"/>
      <c r="E182" s="604" t="s">
        <v>1426</v>
      </c>
      <c r="F182" s="604"/>
      <c r="G182" s="605"/>
      <c r="H182" s="615"/>
      <c r="I182" s="615"/>
      <c r="J182" s="505"/>
      <c r="K182" s="505"/>
      <c r="L182" s="505"/>
      <c r="M182" s="505"/>
      <c r="N182" s="505"/>
      <c r="O182" s="505"/>
      <c r="P182" s="505"/>
      <c r="Q182" s="617"/>
    </row>
    <row r="183" spans="1:18" x14ac:dyDescent="0.25">
      <c r="A183" s="505"/>
      <c r="B183" s="605"/>
      <c r="C183" s="614"/>
      <c r="D183" s="614"/>
      <c r="E183" s="604" t="s">
        <v>1427</v>
      </c>
      <c r="F183" s="604"/>
      <c r="G183" s="622">
        <v>22519980</v>
      </c>
      <c r="H183" s="615"/>
      <c r="I183" s="615"/>
      <c r="J183" s="505"/>
      <c r="K183" s="505"/>
      <c r="L183" s="505"/>
      <c r="M183" s="505"/>
      <c r="N183" s="505"/>
      <c r="O183" s="505"/>
      <c r="P183" s="505"/>
      <c r="Q183" s="617"/>
    </row>
    <row r="184" spans="1:18" x14ac:dyDescent="0.25">
      <c r="A184" s="505"/>
      <c r="B184" s="605"/>
      <c r="C184" s="614"/>
      <c r="D184" s="614"/>
      <c r="E184" s="497" t="s">
        <v>1428</v>
      </c>
      <c r="F184" s="497"/>
      <c r="G184" s="640">
        <v>34960</v>
      </c>
      <c r="H184" s="615"/>
      <c r="I184" s="615"/>
      <c r="J184" s="505"/>
      <c r="K184" s="505"/>
      <c r="L184" s="505"/>
      <c r="M184" s="505"/>
      <c r="N184" s="505"/>
      <c r="O184" s="505"/>
      <c r="P184" s="505"/>
      <c r="Q184" s="617"/>
    </row>
    <row r="185" spans="1:18" x14ac:dyDescent="0.25">
      <c r="A185" s="505"/>
      <c r="B185" s="605"/>
      <c r="C185" s="614"/>
      <c r="D185" s="614"/>
      <c r="E185" s="606" t="s">
        <v>1429</v>
      </c>
      <c r="F185" s="606"/>
      <c r="G185" s="607">
        <v>97000</v>
      </c>
      <c r="H185" s="615"/>
      <c r="I185" s="615"/>
      <c r="J185" s="505"/>
      <c r="K185" s="616"/>
      <c r="L185" s="616"/>
      <c r="M185" s="505"/>
      <c r="N185" s="505"/>
      <c r="O185" s="505"/>
      <c r="P185" s="505"/>
      <c r="Q185" s="617"/>
    </row>
    <row r="186" spans="1:18" x14ac:dyDescent="0.25">
      <c r="A186" s="505"/>
      <c r="B186" s="605"/>
      <c r="C186" s="614"/>
      <c r="D186" s="614"/>
      <c r="E186" s="608" t="s">
        <v>1430</v>
      </c>
      <c r="F186" s="608"/>
      <c r="G186" s="609">
        <v>7663200</v>
      </c>
      <c r="H186" s="615"/>
      <c r="I186" s="615"/>
      <c r="J186" s="505"/>
      <c r="K186" s="505"/>
      <c r="L186" s="505"/>
      <c r="M186" s="505"/>
      <c r="N186" s="505"/>
      <c r="O186" s="505"/>
      <c r="P186" s="505"/>
      <c r="Q186" s="617"/>
    </row>
    <row r="187" spans="1:18" x14ac:dyDescent="0.25">
      <c r="A187" s="505"/>
      <c r="B187" s="605"/>
      <c r="C187" s="614"/>
      <c r="D187" s="614"/>
      <c r="E187" s="610" t="s">
        <v>1431</v>
      </c>
      <c r="F187" s="610"/>
      <c r="G187" s="603">
        <v>422745</v>
      </c>
      <c r="H187" s="615"/>
      <c r="I187" s="615"/>
      <c r="J187" s="505"/>
      <c r="K187" s="505"/>
      <c r="L187" s="505"/>
      <c r="M187" s="505"/>
      <c r="N187" s="505"/>
      <c r="O187" s="505"/>
      <c r="P187" s="505"/>
      <c r="Q187" s="617"/>
    </row>
    <row r="188" spans="1:18" x14ac:dyDescent="0.25">
      <c r="A188" s="505"/>
      <c r="B188" s="605"/>
      <c r="C188" s="614"/>
      <c r="D188" s="614"/>
      <c r="E188" s="610" t="s">
        <v>1432</v>
      </c>
      <c r="F188" s="610"/>
      <c r="G188" s="603">
        <v>207387</v>
      </c>
      <c r="H188" s="615"/>
      <c r="I188" s="615"/>
      <c r="J188" s="505"/>
      <c r="K188" s="505"/>
      <c r="L188" s="505"/>
      <c r="M188" s="505"/>
      <c r="N188" s="505"/>
      <c r="O188" s="505"/>
      <c r="P188" s="505"/>
      <c r="Q188" s="617"/>
    </row>
    <row r="189" spans="1:18" x14ac:dyDescent="0.25">
      <c r="A189" s="505"/>
      <c r="B189" s="605"/>
      <c r="C189" s="614"/>
      <c r="D189" s="614"/>
      <c r="E189" s="610" t="s">
        <v>1526</v>
      </c>
      <c r="F189" s="610"/>
      <c r="G189" s="603">
        <v>1934435</v>
      </c>
      <c r="H189" s="615"/>
      <c r="I189" s="615"/>
      <c r="J189" s="505"/>
      <c r="K189" s="505"/>
      <c r="L189" s="505"/>
      <c r="M189" s="505"/>
      <c r="N189" s="505"/>
      <c r="O189" s="505"/>
      <c r="P189" s="505"/>
      <c r="Q189" s="617"/>
    </row>
    <row r="190" spans="1:18" x14ac:dyDescent="0.25">
      <c r="A190" s="505"/>
      <c r="B190" s="605"/>
      <c r="C190" s="614"/>
      <c r="D190" s="614"/>
      <c r="E190" s="610" t="s">
        <v>1534</v>
      </c>
      <c r="F190" s="610"/>
      <c r="G190" s="603">
        <v>56980</v>
      </c>
      <c r="H190" s="615"/>
      <c r="I190" s="615"/>
      <c r="J190" s="505"/>
      <c r="K190" s="505"/>
      <c r="L190" s="505"/>
      <c r="M190" s="505"/>
      <c r="N190" s="505"/>
      <c r="O190" s="505"/>
      <c r="P190" s="505"/>
      <c r="Q190" s="617"/>
    </row>
    <row r="191" spans="1:18" ht="21.75" thickBot="1" x14ac:dyDescent="0.3">
      <c r="A191" s="505"/>
      <c r="B191" s="604"/>
      <c r="C191" s="604"/>
      <c r="D191" s="604"/>
      <c r="E191" s="604"/>
      <c r="F191" s="604"/>
      <c r="G191" s="611">
        <f>SUBTOTAL(9,G181:G190)</f>
        <v>282413267</v>
      </c>
      <c r="H191" s="618"/>
      <c r="I191" s="618"/>
      <c r="J191" s="619"/>
      <c r="K191" s="505"/>
      <c r="L191" s="505"/>
      <c r="M191" s="505"/>
      <c r="N191" s="505"/>
      <c r="O191" s="505"/>
      <c r="P191" s="505"/>
      <c r="Q191" s="617"/>
    </row>
    <row r="192" spans="1:18" x14ac:dyDescent="0.25">
      <c r="E192" s="597"/>
      <c r="F192" s="597"/>
      <c r="G192" s="612">
        <f>+G191-P177</f>
        <v>0</v>
      </c>
    </row>
  </sheetData>
  <mergeCells count="8">
    <mergeCell ref="A176:J176"/>
    <mergeCell ref="A177:J177"/>
    <mergeCell ref="A1:Q1"/>
    <mergeCell ref="A136:J136"/>
    <mergeCell ref="A146:J146"/>
    <mergeCell ref="A150:J150"/>
    <mergeCell ref="A165:J165"/>
    <mergeCell ref="A173:J173"/>
  </mergeCells>
  <phoneticPr fontId="3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AG98"/>
  <sheetViews>
    <sheetView zoomScaleNormal="100"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J19" sqref="J19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6" width="10.28515625" style="1" customWidth="1"/>
    <col min="7" max="32" width="9.7109375" style="1" customWidth="1"/>
    <col min="33" max="33" width="11.85546875" style="1" customWidth="1"/>
    <col min="34" max="16384" width="9" style="1"/>
  </cols>
  <sheetData>
    <row r="1" spans="1:33" ht="21.75" x14ac:dyDescent="0.6">
      <c r="A1" s="23"/>
      <c r="B1" s="24"/>
      <c r="C1" s="745" t="s">
        <v>93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X1" s="1" t="s">
        <v>68</v>
      </c>
      <c r="Y1" s="1">
        <f>AE30</f>
        <v>4610</v>
      </c>
      <c r="AA1" s="25">
        <v>12</v>
      </c>
      <c r="AB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X2" s="1" t="s">
        <v>67</v>
      </c>
      <c r="Y2" s="27">
        <f>AF30</f>
        <v>68260</v>
      </c>
      <c r="AA2" s="28">
        <v>24</v>
      </c>
      <c r="AB2" s="29">
        <v>40</v>
      </c>
    </row>
    <row r="3" spans="1:33" s="27" customFormat="1" ht="4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320</v>
      </c>
      <c r="AB3" s="755"/>
      <c r="AC3" s="736" t="s">
        <v>321</v>
      </c>
      <c r="AD3" s="737"/>
      <c r="AE3" s="756" t="s">
        <v>322</v>
      </c>
      <c r="AF3" s="757"/>
      <c r="AG3" s="758"/>
    </row>
    <row r="4" spans="1:33" s="32" customFormat="1" ht="31.5" customHeight="1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37.5" customHeight="1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6"/>
      <c r="X5" s="16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45689</v>
      </c>
      <c r="C6" s="11">
        <v>150</v>
      </c>
      <c r="D6" s="11">
        <f>C6*14</f>
        <v>2100</v>
      </c>
      <c r="E6" s="11">
        <v>330</v>
      </c>
      <c r="F6" s="11">
        <f>E6*12</f>
        <v>3960</v>
      </c>
      <c r="G6" s="11"/>
      <c r="H6" s="11">
        <f>G6*12</f>
        <v>0</v>
      </c>
      <c r="I6" s="11">
        <v>30</v>
      </c>
      <c r="J6" s="11">
        <f>I6*40</f>
        <v>1200</v>
      </c>
      <c r="K6" s="11">
        <v>20</v>
      </c>
      <c r="L6" s="11">
        <f>K6*12</f>
        <v>240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530</v>
      </c>
      <c r="AF6" s="11">
        <f>D6+F6+H6+J6+L6+N6+P6+R6+T6+V6+X6+Z6+AB6+AD6</f>
        <v>7500</v>
      </c>
      <c r="AG6" s="11">
        <f>(D6*$D$5)+(F6*$F$5)+(H6*$H$5)+(J6*$J$5)+(L6*$L$5)+(N6*$N$5)+(P6*$P$5)+(R6*$R$5)+(T6*$T$5)+(V6*$V$5)+(X6*$X$5)+(Z6*$Z$5)+(AB6*$AB$5)+(AD6*$AD$5)</f>
        <v>5892</v>
      </c>
    </row>
    <row r="7" spans="1:33" s="19" customFormat="1" ht="25.15" customHeight="1" x14ac:dyDescent="0.25">
      <c r="A7" s="37">
        <v>2</v>
      </c>
      <c r="B7" s="38">
        <v>45717</v>
      </c>
      <c r="C7" s="11">
        <v>250</v>
      </c>
      <c r="D7" s="11">
        <f t="shared" ref="D7:D28" si="0">C7*14</f>
        <v>3500</v>
      </c>
      <c r="E7" s="11">
        <v>250</v>
      </c>
      <c r="F7" s="11">
        <f t="shared" ref="F7:F28" si="1">E7*12</f>
        <v>3000</v>
      </c>
      <c r="G7" s="11">
        <v>20</v>
      </c>
      <c r="H7" s="11">
        <f t="shared" ref="H7:H27" si="2">G7*12</f>
        <v>240</v>
      </c>
      <c r="I7" s="11">
        <v>20</v>
      </c>
      <c r="J7" s="11">
        <f t="shared" ref="J7:J27" si="3">I7*40</f>
        <v>800</v>
      </c>
      <c r="K7" s="11"/>
      <c r="L7" s="11">
        <f t="shared" ref="L7:L28" si="4">K7*12</f>
        <v>0</v>
      </c>
      <c r="M7" s="11"/>
      <c r="N7" s="11">
        <f t="shared" ref="N7:N26" si="5">M7*12</f>
        <v>0</v>
      </c>
      <c r="O7" s="11"/>
      <c r="P7" s="11">
        <f t="shared" ref="P7:P23" si="6">O7*40</f>
        <v>0</v>
      </c>
      <c r="Q7" s="11"/>
      <c r="R7" s="11">
        <f t="shared" ref="R7:R23" si="7">Q7*14</f>
        <v>0</v>
      </c>
      <c r="S7" s="11"/>
      <c r="T7" s="11">
        <f t="shared" ref="T7:T23" si="8">S7*14</f>
        <v>0</v>
      </c>
      <c r="U7" s="11"/>
      <c r="V7" s="11">
        <f t="shared" ref="V7:V29" si="9">U7*24</f>
        <v>0</v>
      </c>
      <c r="W7" s="11"/>
      <c r="X7" s="11">
        <f t="shared" ref="X7:X23" si="10">W7*12</f>
        <v>0</v>
      </c>
      <c r="Y7" s="11"/>
      <c r="Z7" s="11">
        <f t="shared" ref="Z7:Z23" si="11">Y7*12</f>
        <v>0</v>
      </c>
      <c r="AA7" s="11"/>
      <c r="AB7" s="11">
        <f t="shared" ref="AB7:AB23" si="12">AA7*12</f>
        <v>0</v>
      </c>
      <c r="AC7" s="11"/>
      <c r="AD7" s="11">
        <f t="shared" ref="AD7:AD23" si="13">AC7*12</f>
        <v>0</v>
      </c>
      <c r="AE7" s="11">
        <f t="shared" ref="AE7:AF22" si="14">C7+E7+G7+I7+K7+M7+O7+Q7+S7+U7+W7+Y7+AA7+AC7</f>
        <v>540</v>
      </c>
      <c r="AF7" s="11">
        <f t="shared" si="14"/>
        <v>7540</v>
      </c>
      <c r="AG7" s="11">
        <f t="shared" ref="AG7:AG30" si="15">(D7*$D$5)+(F7*$F$5)+(H7*$H$5)+(J7*$J$5)+(L7*$L$5)+(N7*$N$5)+(P7*$P$5)+(R7*$R$5)+(T7*$T$5)+(V7*$V$5)+(X7*$X$5)+(Z7*$Z$5)+(AB7*$AB$5)+(AD7*$AD$5)</f>
        <v>5664</v>
      </c>
    </row>
    <row r="8" spans="1:33" s="19" customFormat="1" ht="25.15" customHeight="1" x14ac:dyDescent="0.25">
      <c r="A8" s="37">
        <v>3</v>
      </c>
      <c r="B8" s="38">
        <v>45748</v>
      </c>
      <c r="C8" s="11">
        <v>300</v>
      </c>
      <c r="D8" s="11">
        <f t="shared" si="0"/>
        <v>4200</v>
      </c>
      <c r="E8" s="11">
        <v>230</v>
      </c>
      <c r="F8" s="11">
        <f t="shared" si="1"/>
        <v>2760</v>
      </c>
      <c r="G8" s="11"/>
      <c r="H8" s="11">
        <f t="shared" si="2"/>
        <v>0</v>
      </c>
      <c r="I8" s="11"/>
      <c r="J8" s="11">
        <f t="shared" si="3"/>
        <v>0</v>
      </c>
      <c r="K8" s="11"/>
      <c r="L8" s="11">
        <f t="shared" si="4"/>
        <v>0</v>
      </c>
      <c r="M8" s="11"/>
      <c r="N8" s="11">
        <f t="shared" si="5"/>
        <v>0</v>
      </c>
      <c r="O8" s="11"/>
      <c r="P8" s="11">
        <f t="shared" si="6"/>
        <v>0</v>
      </c>
      <c r="Q8" s="11"/>
      <c r="R8" s="11">
        <f t="shared" si="7"/>
        <v>0</v>
      </c>
      <c r="S8" s="11"/>
      <c r="T8" s="11">
        <f t="shared" si="8"/>
        <v>0</v>
      </c>
      <c r="U8" s="11"/>
      <c r="V8" s="11">
        <f t="shared" si="9"/>
        <v>0</v>
      </c>
      <c r="W8" s="11"/>
      <c r="X8" s="11">
        <f t="shared" si="10"/>
        <v>0</v>
      </c>
      <c r="Y8" s="11"/>
      <c r="Z8" s="11">
        <f t="shared" si="11"/>
        <v>0</v>
      </c>
      <c r="AA8" s="11"/>
      <c r="AB8" s="11">
        <f t="shared" si="12"/>
        <v>0</v>
      </c>
      <c r="AC8" s="11"/>
      <c r="AD8" s="11">
        <f t="shared" si="13"/>
        <v>0</v>
      </c>
      <c r="AE8" s="11">
        <f t="shared" si="14"/>
        <v>530</v>
      </c>
      <c r="AF8" s="11">
        <f t="shared" si="14"/>
        <v>6960</v>
      </c>
      <c r="AG8" s="11">
        <f t="shared" si="15"/>
        <v>5448</v>
      </c>
    </row>
    <row r="9" spans="1:33" s="19" customFormat="1" ht="25.15" customHeight="1" x14ac:dyDescent="0.25">
      <c r="A9" s="37">
        <v>4</v>
      </c>
      <c r="B9" s="38">
        <v>45809</v>
      </c>
      <c r="C9" s="11">
        <v>500</v>
      </c>
      <c r="D9" s="11">
        <f t="shared" si="0"/>
        <v>7000</v>
      </c>
      <c r="E9" s="11"/>
      <c r="F9" s="11">
        <f t="shared" si="1"/>
        <v>0</v>
      </c>
      <c r="G9" s="11"/>
      <c r="H9" s="11">
        <f t="shared" si="2"/>
        <v>0</v>
      </c>
      <c r="I9" s="11"/>
      <c r="J9" s="11">
        <f t="shared" si="3"/>
        <v>0</v>
      </c>
      <c r="K9" s="11"/>
      <c r="L9" s="11">
        <f t="shared" si="4"/>
        <v>0</v>
      </c>
      <c r="M9" s="11"/>
      <c r="N9" s="11">
        <f t="shared" si="5"/>
        <v>0</v>
      </c>
      <c r="O9" s="11"/>
      <c r="P9" s="11">
        <f t="shared" si="6"/>
        <v>0</v>
      </c>
      <c r="Q9" s="11"/>
      <c r="R9" s="11">
        <f t="shared" si="7"/>
        <v>0</v>
      </c>
      <c r="S9" s="11"/>
      <c r="T9" s="11">
        <f t="shared" si="8"/>
        <v>0</v>
      </c>
      <c r="U9" s="11"/>
      <c r="V9" s="11">
        <f t="shared" si="9"/>
        <v>0</v>
      </c>
      <c r="W9" s="11"/>
      <c r="X9" s="11">
        <f t="shared" si="10"/>
        <v>0</v>
      </c>
      <c r="Y9" s="11"/>
      <c r="Z9" s="11">
        <f t="shared" si="11"/>
        <v>0</v>
      </c>
      <c r="AA9" s="11"/>
      <c r="AB9" s="11">
        <f t="shared" si="12"/>
        <v>0</v>
      </c>
      <c r="AC9" s="11"/>
      <c r="AD9" s="11">
        <f t="shared" si="13"/>
        <v>0</v>
      </c>
      <c r="AE9" s="11">
        <f t="shared" si="14"/>
        <v>500</v>
      </c>
      <c r="AF9" s="11">
        <f t="shared" si="14"/>
        <v>7000</v>
      </c>
      <c r="AG9" s="11">
        <f t="shared" si="15"/>
        <v>4480</v>
      </c>
    </row>
    <row r="10" spans="1:33" s="19" customFormat="1" ht="25.15" customHeight="1" x14ac:dyDescent="0.25">
      <c r="A10" s="37">
        <v>5</v>
      </c>
      <c r="B10" s="38">
        <v>45839</v>
      </c>
      <c r="C10" s="11">
        <v>200</v>
      </c>
      <c r="D10" s="11">
        <f t="shared" si="0"/>
        <v>2800</v>
      </c>
      <c r="E10" s="11">
        <v>260</v>
      </c>
      <c r="F10" s="11">
        <f t="shared" si="1"/>
        <v>3120</v>
      </c>
      <c r="G10" s="11">
        <v>30</v>
      </c>
      <c r="H10" s="11">
        <f t="shared" si="2"/>
        <v>360</v>
      </c>
      <c r="I10" s="11">
        <v>40</v>
      </c>
      <c r="J10" s="11">
        <f t="shared" si="3"/>
        <v>1600</v>
      </c>
      <c r="K10" s="11"/>
      <c r="L10" s="11">
        <f t="shared" si="4"/>
        <v>0</v>
      </c>
      <c r="M10" s="11"/>
      <c r="N10" s="11">
        <f t="shared" si="5"/>
        <v>0</v>
      </c>
      <c r="O10" s="11"/>
      <c r="P10" s="11">
        <f t="shared" si="6"/>
        <v>0</v>
      </c>
      <c r="Q10" s="11"/>
      <c r="R10" s="11">
        <f t="shared" si="7"/>
        <v>0</v>
      </c>
      <c r="S10" s="11"/>
      <c r="T10" s="11">
        <f t="shared" si="8"/>
        <v>0</v>
      </c>
      <c r="U10" s="11"/>
      <c r="V10" s="11">
        <f t="shared" si="9"/>
        <v>0</v>
      </c>
      <c r="W10" s="11"/>
      <c r="X10" s="11">
        <f t="shared" si="10"/>
        <v>0</v>
      </c>
      <c r="Y10" s="11"/>
      <c r="Z10" s="11">
        <f t="shared" si="11"/>
        <v>0</v>
      </c>
      <c r="AA10" s="11"/>
      <c r="AB10" s="11">
        <f t="shared" si="12"/>
        <v>0</v>
      </c>
      <c r="AC10" s="11"/>
      <c r="AD10" s="11">
        <f t="shared" si="13"/>
        <v>0</v>
      </c>
      <c r="AE10" s="11">
        <f t="shared" si="14"/>
        <v>530</v>
      </c>
      <c r="AF10" s="11">
        <f t="shared" si="14"/>
        <v>7880</v>
      </c>
      <c r="AG10" s="11">
        <f t="shared" si="15"/>
        <v>5688</v>
      </c>
    </row>
    <row r="11" spans="1:33" s="19" customFormat="1" ht="25.15" customHeight="1" x14ac:dyDescent="0.25">
      <c r="A11" s="37">
        <v>6</v>
      </c>
      <c r="B11" s="38">
        <v>45870</v>
      </c>
      <c r="C11" s="11">
        <v>150</v>
      </c>
      <c r="D11" s="11">
        <f t="shared" si="0"/>
        <v>2100</v>
      </c>
      <c r="E11" s="11">
        <v>360</v>
      </c>
      <c r="F11" s="11">
        <f t="shared" si="1"/>
        <v>4320</v>
      </c>
      <c r="G11" s="11">
        <v>20</v>
      </c>
      <c r="H11" s="11">
        <f t="shared" si="2"/>
        <v>240</v>
      </c>
      <c r="I11" s="11">
        <v>20</v>
      </c>
      <c r="J11" s="11">
        <f t="shared" si="3"/>
        <v>800</v>
      </c>
      <c r="K11" s="11"/>
      <c r="L11" s="11">
        <f t="shared" si="4"/>
        <v>0</v>
      </c>
      <c r="M11" s="11"/>
      <c r="N11" s="11">
        <f t="shared" si="5"/>
        <v>0</v>
      </c>
      <c r="O11" s="11"/>
      <c r="P11" s="11">
        <f t="shared" si="6"/>
        <v>0</v>
      </c>
      <c r="Q11" s="11"/>
      <c r="R11" s="11">
        <f t="shared" si="7"/>
        <v>0</v>
      </c>
      <c r="S11" s="11"/>
      <c r="T11" s="11">
        <f t="shared" si="8"/>
        <v>0</v>
      </c>
      <c r="U11" s="11">
        <v>400</v>
      </c>
      <c r="V11" s="11">
        <f t="shared" si="9"/>
        <v>9600</v>
      </c>
      <c r="W11" s="11"/>
      <c r="X11" s="11">
        <f t="shared" si="10"/>
        <v>0</v>
      </c>
      <c r="Y11" s="11"/>
      <c r="Z11" s="11">
        <f t="shared" si="11"/>
        <v>0</v>
      </c>
      <c r="AA11" s="11"/>
      <c r="AB11" s="11">
        <f t="shared" si="12"/>
        <v>0</v>
      </c>
      <c r="AC11" s="11"/>
      <c r="AD11" s="11">
        <f t="shared" si="13"/>
        <v>0</v>
      </c>
      <c r="AE11" s="11">
        <f t="shared" si="14"/>
        <v>950</v>
      </c>
      <c r="AF11" s="11">
        <f t="shared" si="14"/>
        <v>17060</v>
      </c>
      <c r="AG11" s="11">
        <f t="shared" si="15"/>
        <v>12232</v>
      </c>
    </row>
    <row r="12" spans="1:33" ht="25.15" customHeight="1" x14ac:dyDescent="0.6">
      <c r="A12" s="37">
        <v>7</v>
      </c>
      <c r="B12" s="38">
        <v>45931</v>
      </c>
      <c r="C12" s="6">
        <v>200</v>
      </c>
      <c r="D12" s="11">
        <f t="shared" si="0"/>
        <v>2800</v>
      </c>
      <c r="E12" s="6">
        <v>300</v>
      </c>
      <c r="F12" s="11">
        <f t="shared" si="1"/>
        <v>3600</v>
      </c>
      <c r="G12" s="6"/>
      <c r="H12" s="11">
        <f t="shared" si="2"/>
        <v>0</v>
      </c>
      <c r="I12" s="6">
        <v>20</v>
      </c>
      <c r="J12" s="11">
        <f t="shared" si="3"/>
        <v>800</v>
      </c>
      <c r="K12" s="6"/>
      <c r="L12" s="11">
        <f t="shared" si="4"/>
        <v>0</v>
      </c>
      <c r="M12" s="6"/>
      <c r="N12" s="11">
        <f t="shared" si="5"/>
        <v>0</v>
      </c>
      <c r="O12" s="6"/>
      <c r="P12" s="11">
        <f t="shared" si="6"/>
        <v>0</v>
      </c>
      <c r="Q12" s="6"/>
      <c r="R12" s="11">
        <f t="shared" si="7"/>
        <v>0</v>
      </c>
      <c r="S12" s="6"/>
      <c r="T12" s="11">
        <f t="shared" si="8"/>
        <v>0</v>
      </c>
      <c r="U12" s="11"/>
      <c r="V12" s="11">
        <f t="shared" si="9"/>
        <v>0</v>
      </c>
      <c r="W12" s="6"/>
      <c r="X12" s="11">
        <f t="shared" si="10"/>
        <v>0</v>
      </c>
      <c r="Y12" s="6"/>
      <c r="Z12" s="11">
        <f t="shared" si="11"/>
        <v>0</v>
      </c>
      <c r="AA12" s="6"/>
      <c r="AB12" s="11">
        <f t="shared" si="12"/>
        <v>0</v>
      </c>
      <c r="AC12" s="6"/>
      <c r="AD12" s="11">
        <f t="shared" si="13"/>
        <v>0</v>
      </c>
      <c r="AE12" s="11">
        <f t="shared" si="14"/>
        <v>520</v>
      </c>
      <c r="AF12" s="11">
        <f t="shared" si="14"/>
        <v>7200</v>
      </c>
      <c r="AG12" s="11">
        <f t="shared" si="15"/>
        <v>5672</v>
      </c>
    </row>
    <row r="13" spans="1:33" ht="25.15" customHeight="1" x14ac:dyDescent="0.6">
      <c r="A13" s="37">
        <v>8</v>
      </c>
      <c r="B13" s="38">
        <v>45962</v>
      </c>
      <c r="C13" s="6">
        <v>220</v>
      </c>
      <c r="D13" s="11">
        <v>3080</v>
      </c>
      <c r="E13" s="6">
        <v>250</v>
      </c>
      <c r="F13" s="11">
        <v>3000</v>
      </c>
      <c r="G13" s="6">
        <v>20</v>
      </c>
      <c r="H13" s="11">
        <v>240</v>
      </c>
      <c r="I13" s="6">
        <v>20</v>
      </c>
      <c r="J13" s="11">
        <v>800</v>
      </c>
      <c r="K13" s="6"/>
      <c r="L13" s="11">
        <f t="shared" si="4"/>
        <v>0</v>
      </c>
      <c r="M13" s="6"/>
      <c r="N13" s="11">
        <f t="shared" si="5"/>
        <v>0</v>
      </c>
      <c r="O13" s="6"/>
      <c r="P13" s="11">
        <f t="shared" si="6"/>
        <v>0</v>
      </c>
      <c r="Q13" s="6"/>
      <c r="R13" s="11">
        <f t="shared" si="7"/>
        <v>0</v>
      </c>
      <c r="S13" s="6"/>
      <c r="T13" s="11">
        <f t="shared" si="8"/>
        <v>0</v>
      </c>
      <c r="U13" s="11"/>
      <c r="V13" s="11">
        <f t="shared" si="9"/>
        <v>0</v>
      </c>
      <c r="W13" s="6"/>
      <c r="X13" s="11">
        <f t="shared" si="10"/>
        <v>0</v>
      </c>
      <c r="Y13" s="6"/>
      <c r="Z13" s="11">
        <f t="shared" si="11"/>
        <v>0</v>
      </c>
      <c r="AA13" s="6"/>
      <c r="AB13" s="11">
        <f t="shared" si="12"/>
        <v>0</v>
      </c>
      <c r="AC13" s="6"/>
      <c r="AD13" s="11">
        <f t="shared" si="13"/>
        <v>0</v>
      </c>
      <c r="AE13" s="11">
        <f t="shared" si="14"/>
        <v>510</v>
      </c>
      <c r="AF13" s="11">
        <f t="shared" si="14"/>
        <v>7120</v>
      </c>
      <c r="AG13" s="11">
        <f t="shared" si="15"/>
        <v>5395.2</v>
      </c>
    </row>
    <row r="14" spans="1:33" ht="25.15" customHeight="1" x14ac:dyDescent="0.6">
      <c r="A14" s="37">
        <v>9</v>
      </c>
      <c r="B14" s="38"/>
      <c r="C14" s="6"/>
      <c r="D14" s="11">
        <f t="shared" si="0"/>
        <v>0</v>
      </c>
      <c r="E14" s="6"/>
      <c r="F14" s="11">
        <f t="shared" si="1"/>
        <v>0</v>
      </c>
      <c r="G14" s="6"/>
      <c r="H14" s="11">
        <f t="shared" si="2"/>
        <v>0</v>
      </c>
      <c r="I14" s="6"/>
      <c r="J14" s="11">
        <f t="shared" si="3"/>
        <v>0</v>
      </c>
      <c r="K14" s="6"/>
      <c r="L14" s="11">
        <f t="shared" si="4"/>
        <v>0</v>
      </c>
      <c r="M14" s="6"/>
      <c r="N14" s="11">
        <f t="shared" si="5"/>
        <v>0</v>
      </c>
      <c r="O14" s="6"/>
      <c r="P14" s="11">
        <f t="shared" si="6"/>
        <v>0</v>
      </c>
      <c r="Q14" s="6"/>
      <c r="R14" s="11">
        <f t="shared" si="7"/>
        <v>0</v>
      </c>
      <c r="S14" s="6"/>
      <c r="T14" s="11">
        <f t="shared" si="8"/>
        <v>0</v>
      </c>
      <c r="U14" s="11"/>
      <c r="V14" s="11">
        <f t="shared" si="9"/>
        <v>0</v>
      </c>
      <c r="W14" s="6"/>
      <c r="X14" s="11">
        <f t="shared" si="10"/>
        <v>0</v>
      </c>
      <c r="Y14" s="6"/>
      <c r="Z14" s="11">
        <f t="shared" si="11"/>
        <v>0</v>
      </c>
      <c r="AA14" s="6"/>
      <c r="AB14" s="11">
        <f t="shared" si="12"/>
        <v>0</v>
      </c>
      <c r="AC14" s="6"/>
      <c r="AD14" s="11">
        <f t="shared" si="13"/>
        <v>0</v>
      </c>
      <c r="AE14" s="11">
        <f t="shared" si="14"/>
        <v>0</v>
      </c>
      <c r="AF14" s="11">
        <f t="shared" si="14"/>
        <v>0</v>
      </c>
      <c r="AG14" s="11">
        <f t="shared" si="15"/>
        <v>0</v>
      </c>
    </row>
    <row r="15" spans="1:33" ht="25.15" customHeight="1" x14ac:dyDescent="0.6">
      <c r="A15" s="37">
        <v>10</v>
      </c>
      <c r="B15" s="38"/>
      <c r="C15" s="6"/>
      <c r="D15" s="11">
        <f t="shared" si="0"/>
        <v>0</v>
      </c>
      <c r="E15" s="6"/>
      <c r="F15" s="11">
        <f t="shared" si="1"/>
        <v>0</v>
      </c>
      <c r="G15" s="6"/>
      <c r="H15" s="11">
        <f t="shared" si="2"/>
        <v>0</v>
      </c>
      <c r="I15" s="6"/>
      <c r="J15" s="11">
        <f t="shared" si="3"/>
        <v>0</v>
      </c>
      <c r="K15" s="6"/>
      <c r="L15" s="11">
        <f t="shared" si="4"/>
        <v>0</v>
      </c>
      <c r="M15" s="6"/>
      <c r="N15" s="11">
        <f t="shared" si="5"/>
        <v>0</v>
      </c>
      <c r="O15" s="6"/>
      <c r="P15" s="11">
        <f t="shared" si="6"/>
        <v>0</v>
      </c>
      <c r="Q15" s="6"/>
      <c r="R15" s="11">
        <f t="shared" si="7"/>
        <v>0</v>
      </c>
      <c r="S15" s="6"/>
      <c r="T15" s="11">
        <f t="shared" si="8"/>
        <v>0</v>
      </c>
      <c r="U15" s="11"/>
      <c r="V15" s="11">
        <f t="shared" si="9"/>
        <v>0</v>
      </c>
      <c r="W15" s="6"/>
      <c r="X15" s="11">
        <f t="shared" si="10"/>
        <v>0</v>
      </c>
      <c r="Y15" s="6"/>
      <c r="Z15" s="11">
        <f t="shared" si="11"/>
        <v>0</v>
      </c>
      <c r="AA15" s="6"/>
      <c r="AB15" s="11">
        <f t="shared" si="12"/>
        <v>0</v>
      </c>
      <c r="AC15" s="6"/>
      <c r="AD15" s="11">
        <f t="shared" si="13"/>
        <v>0</v>
      </c>
      <c r="AE15" s="11">
        <f t="shared" si="14"/>
        <v>0</v>
      </c>
      <c r="AF15" s="11">
        <f t="shared" si="14"/>
        <v>0</v>
      </c>
      <c r="AG15" s="11">
        <f t="shared" si="15"/>
        <v>0</v>
      </c>
    </row>
    <row r="16" spans="1:33" ht="25.15" customHeight="1" x14ac:dyDescent="0.6">
      <c r="A16" s="37">
        <v>11</v>
      </c>
      <c r="B16" s="38"/>
      <c r="C16" s="6"/>
      <c r="D16" s="11">
        <f t="shared" si="0"/>
        <v>0</v>
      </c>
      <c r="E16" s="6"/>
      <c r="F16" s="11">
        <f t="shared" si="1"/>
        <v>0</v>
      </c>
      <c r="G16" s="6"/>
      <c r="H16" s="11">
        <f t="shared" si="2"/>
        <v>0</v>
      </c>
      <c r="I16" s="6"/>
      <c r="J16" s="11">
        <f t="shared" si="3"/>
        <v>0</v>
      </c>
      <c r="K16" s="6"/>
      <c r="L16" s="11">
        <f t="shared" si="4"/>
        <v>0</v>
      </c>
      <c r="M16" s="6"/>
      <c r="N16" s="11">
        <f t="shared" si="5"/>
        <v>0</v>
      </c>
      <c r="O16" s="6"/>
      <c r="P16" s="11">
        <f t="shared" si="6"/>
        <v>0</v>
      </c>
      <c r="Q16" s="6"/>
      <c r="R16" s="11">
        <f t="shared" si="7"/>
        <v>0</v>
      </c>
      <c r="S16" s="6"/>
      <c r="T16" s="11">
        <f t="shared" si="8"/>
        <v>0</v>
      </c>
      <c r="U16" s="11"/>
      <c r="V16" s="11">
        <f t="shared" si="9"/>
        <v>0</v>
      </c>
      <c r="W16" s="6"/>
      <c r="X16" s="11">
        <f t="shared" si="10"/>
        <v>0</v>
      </c>
      <c r="Y16" s="6"/>
      <c r="Z16" s="11">
        <f t="shared" si="11"/>
        <v>0</v>
      </c>
      <c r="AA16" s="6"/>
      <c r="AB16" s="11">
        <f t="shared" si="12"/>
        <v>0</v>
      </c>
      <c r="AC16" s="6"/>
      <c r="AD16" s="11">
        <f t="shared" si="13"/>
        <v>0</v>
      </c>
      <c r="AE16" s="11">
        <f t="shared" si="14"/>
        <v>0</v>
      </c>
      <c r="AF16" s="11">
        <f t="shared" si="14"/>
        <v>0</v>
      </c>
      <c r="AG16" s="11">
        <f t="shared" si="15"/>
        <v>0</v>
      </c>
    </row>
    <row r="17" spans="1:33" ht="25.15" customHeight="1" x14ac:dyDescent="0.6">
      <c r="A17" s="37">
        <v>12</v>
      </c>
      <c r="B17" s="38"/>
      <c r="C17" s="6"/>
      <c r="D17" s="11">
        <f>C17*14</f>
        <v>0</v>
      </c>
      <c r="E17" s="6"/>
      <c r="F17" s="11">
        <f>E17*12</f>
        <v>0</v>
      </c>
      <c r="G17" s="6"/>
      <c r="H17" s="11">
        <f t="shared" si="2"/>
        <v>0</v>
      </c>
      <c r="I17" s="6"/>
      <c r="J17" s="11">
        <f t="shared" si="3"/>
        <v>0</v>
      </c>
      <c r="K17" s="6"/>
      <c r="L17" s="11">
        <f t="shared" si="4"/>
        <v>0</v>
      </c>
      <c r="M17" s="6"/>
      <c r="N17" s="11">
        <f t="shared" si="5"/>
        <v>0</v>
      </c>
      <c r="O17" s="6"/>
      <c r="P17" s="11">
        <f t="shared" si="6"/>
        <v>0</v>
      </c>
      <c r="Q17" s="6"/>
      <c r="R17" s="11">
        <f t="shared" si="7"/>
        <v>0</v>
      </c>
      <c r="S17" s="6"/>
      <c r="T17" s="11">
        <f t="shared" si="8"/>
        <v>0</v>
      </c>
      <c r="U17" s="11"/>
      <c r="V17" s="11">
        <f t="shared" si="9"/>
        <v>0</v>
      </c>
      <c r="W17" s="6"/>
      <c r="X17" s="11">
        <f t="shared" si="10"/>
        <v>0</v>
      </c>
      <c r="Y17" s="6"/>
      <c r="Z17" s="11">
        <f t="shared" si="11"/>
        <v>0</v>
      </c>
      <c r="AA17" s="6"/>
      <c r="AB17" s="11">
        <f t="shared" si="12"/>
        <v>0</v>
      </c>
      <c r="AC17" s="6"/>
      <c r="AD17" s="11">
        <f t="shared" si="13"/>
        <v>0</v>
      </c>
      <c r="AE17" s="11">
        <f t="shared" si="14"/>
        <v>0</v>
      </c>
      <c r="AF17" s="11">
        <f t="shared" si="14"/>
        <v>0</v>
      </c>
      <c r="AG17" s="11">
        <f>(D17*$D$5)+(F17*$F$5)+(H17*$H$5)+(J17*$J$5)+(L17*$L$5)+(N17*$N$5)+(P17*$P$5)+(R17*$R$5)+(T17*$T$5)+(V17*$V$5)+(X17*$X$5)+(Z17*$Z$5)+(AB17*$AB$5)+(AD17*$AD$5)</f>
        <v>0</v>
      </c>
    </row>
    <row r="18" spans="1:33" ht="25.15" customHeight="1" x14ac:dyDescent="0.6">
      <c r="A18" s="37">
        <v>13</v>
      </c>
      <c r="B18" s="38"/>
      <c r="C18" s="6"/>
      <c r="D18" s="11">
        <f t="shared" si="0"/>
        <v>0</v>
      </c>
      <c r="E18" s="6"/>
      <c r="F18" s="11">
        <f t="shared" si="1"/>
        <v>0</v>
      </c>
      <c r="G18" s="6"/>
      <c r="H18" s="11">
        <f t="shared" si="2"/>
        <v>0</v>
      </c>
      <c r="I18" s="6"/>
      <c r="J18" s="11">
        <f t="shared" si="3"/>
        <v>0</v>
      </c>
      <c r="K18" s="6"/>
      <c r="L18" s="11">
        <f t="shared" si="4"/>
        <v>0</v>
      </c>
      <c r="M18" s="6"/>
      <c r="N18" s="11">
        <f t="shared" si="5"/>
        <v>0</v>
      </c>
      <c r="O18" s="6"/>
      <c r="P18" s="11">
        <f t="shared" si="6"/>
        <v>0</v>
      </c>
      <c r="Q18" s="6"/>
      <c r="R18" s="11">
        <f t="shared" si="7"/>
        <v>0</v>
      </c>
      <c r="S18" s="6"/>
      <c r="T18" s="11">
        <f t="shared" si="8"/>
        <v>0</v>
      </c>
      <c r="U18" s="11"/>
      <c r="V18" s="11">
        <f t="shared" si="9"/>
        <v>0</v>
      </c>
      <c r="W18" s="6"/>
      <c r="X18" s="11">
        <f t="shared" si="10"/>
        <v>0</v>
      </c>
      <c r="Y18" s="6"/>
      <c r="Z18" s="11">
        <f t="shared" si="11"/>
        <v>0</v>
      </c>
      <c r="AA18" s="6"/>
      <c r="AB18" s="11">
        <f t="shared" si="12"/>
        <v>0</v>
      </c>
      <c r="AC18" s="6"/>
      <c r="AD18" s="11">
        <f t="shared" si="13"/>
        <v>0</v>
      </c>
      <c r="AE18" s="11">
        <f t="shared" si="14"/>
        <v>0</v>
      </c>
      <c r="AF18" s="11">
        <f t="shared" si="14"/>
        <v>0</v>
      </c>
      <c r="AG18" s="11">
        <f t="shared" si="15"/>
        <v>0</v>
      </c>
    </row>
    <row r="19" spans="1:33" ht="25.15" customHeight="1" x14ac:dyDescent="0.6">
      <c r="A19" s="37">
        <v>14</v>
      </c>
      <c r="B19" s="38"/>
      <c r="C19" s="6"/>
      <c r="D19" s="11">
        <f t="shared" si="0"/>
        <v>0</v>
      </c>
      <c r="E19" s="6"/>
      <c r="F19" s="11">
        <f t="shared" si="1"/>
        <v>0</v>
      </c>
      <c r="G19" s="6"/>
      <c r="H19" s="11">
        <f t="shared" si="2"/>
        <v>0</v>
      </c>
      <c r="I19" s="6"/>
      <c r="J19" s="11">
        <f t="shared" si="3"/>
        <v>0</v>
      </c>
      <c r="K19" s="6"/>
      <c r="L19" s="11">
        <f t="shared" si="4"/>
        <v>0</v>
      </c>
      <c r="M19" s="6"/>
      <c r="N19" s="11">
        <f t="shared" si="5"/>
        <v>0</v>
      </c>
      <c r="O19" s="6"/>
      <c r="P19" s="11">
        <f t="shared" si="6"/>
        <v>0</v>
      </c>
      <c r="Q19" s="6"/>
      <c r="R19" s="11">
        <f t="shared" si="7"/>
        <v>0</v>
      </c>
      <c r="S19" s="6"/>
      <c r="T19" s="11">
        <f t="shared" si="8"/>
        <v>0</v>
      </c>
      <c r="U19" s="11"/>
      <c r="V19" s="11">
        <f t="shared" si="9"/>
        <v>0</v>
      </c>
      <c r="W19" s="6"/>
      <c r="X19" s="11">
        <f t="shared" si="10"/>
        <v>0</v>
      </c>
      <c r="Y19" s="6"/>
      <c r="Z19" s="11">
        <f t="shared" si="11"/>
        <v>0</v>
      </c>
      <c r="AA19" s="6"/>
      <c r="AB19" s="11">
        <f t="shared" si="12"/>
        <v>0</v>
      </c>
      <c r="AC19" s="6"/>
      <c r="AD19" s="11">
        <f t="shared" si="13"/>
        <v>0</v>
      </c>
      <c r="AE19" s="11">
        <f t="shared" si="14"/>
        <v>0</v>
      </c>
      <c r="AF19" s="11">
        <f t="shared" si="14"/>
        <v>0</v>
      </c>
      <c r="AG19" s="11">
        <f t="shared" si="15"/>
        <v>0</v>
      </c>
    </row>
    <row r="20" spans="1:33" ht="25.15" customHeight="1" x14ac:dyDescent="0.6">
      <c r="A20" s="37">
        <v>15</v>
      </c>
      <c r="B20" s="38"/>
      <c r="C20" s="6"/>
      <c r="D20" s="11">
        <f t="shared" si="0"/>
        <v>0</v>
      </c>
      <c r="E20" s="6"/>
      <c r="F20" s="11">
        <f t="shared" si="1"/>
        <v>0</v>
      </c>
      <c r="G20" s="6"/>
      <c r="H20" s="11">
        <f t="shared" si="2"/>
        <v>0</v>
      </c>
      <c r="I20" s="6"/>
      <c r="J20" s="11">
        <f t="shared" si="3"/>
        <v>0</v>
      </c>
      <c r="K20" s="6"/>
      <c r="L20" s="11">
        <f t="shared" si="4"/>
        <v>0</v>
      </c>
      <c r="M20" s="6"/>
      <c r="N20" s="11">
        <f t="shared" si="5"/>
        <v>0</v>
      </c>
      <c r="O20" s="6"/>
      <c r="P20" s="11">
        <f t="shared" si="6"/>
        <v>0</v>
      </c>
      <c r="Q20" s="6"/>
      <c r="R20" s="11">
        <f t="shared" si="7"/>
        <v>0</v>
      </c>
      <c r="S20" s="6"/>
      <c r="T20" s="11">
        <f t="shared" si="8"/>
        <v>0</v>
      </c>
      <c r="U20" s="11"/>
      <c r="V20" s="11">
        <f t="shared" si="9"/>
        <v>0</v>
      </c>
      <c r="W20" s="6"/>
      <c r="X20" s="11">
        <f t="shared" si="10"/>
        <v>0</v>
      </c>
      <c r="Y20" s="6"/>
      <c r="Z20" s="11">
        <f t="shared" si="11"/>
        <v>0</v>
      </c>
      <c r="AA20" s="6"/>
      <c r="AB20" s="11">
        <f t="shared" si="12"/>
        <v>0</v>
      </c>
      <c r="AC20" s="6"/>
      <c r="AD20" s="11">
        <f t="shared" si="13"/>
        <v>0</v>
      </c>
      <c r="AE20" s="11">
        <f t="shared" si="14"/>
        <v>0</v>
      </c>
      <c r="AF20" s="11">
        <f t="shared" si="14"/>
        <v>0</v>
      </c>
      <c r="AG20" s="11">
        <f t="shared" si="15"/>
        <v>0</v>
      </c>
    </row>
    <row r="21" spans="1:33" ht="25.15" customHeight="1" x14ac:dyDescent="0.6">
      <c r="A21" s="37">
        <v>16</v>
      </c>
      <c r="B21" s="38"/>
      <c r="C21" s="6"/>
      <c r="D21" s="11">
        <f t="shared" si="0"/>
        <v>0</v>
      </c>
      <c r="E21" s="6"/>
      <c r="F21" s="11">
        <f t="shared" si="1"/>
        <v>0</v>
      </c>
      <c r="G21" s="6"/>
      <c r="H21" s="11">
        <f t="shared" si="2"/>
        <v>0</v>
      </c>
      <c r="I21" s="6"/>
      <c r="J21" s="11">
        <f t="shared" si="3"/>
        <v>0</v>
      </c>
      <c r="K21" s="6"/>
      <c r="L21" s="11">
        <f t="shared" si="4"/>
        <v>0</v>
      </c>
      <c r="M21" s="6"/>
      <c r="N21" s="11">
        <f t="shared" si="5"/>
        <v>0</v>
      </c>
      <c r="O21" s="6"/>
      <c r="P21" s="11">
        <f t="shared" si="6"/>
        <v>0</v>
      </c>
      <c r="Q21" s="6"/>
      <c r="R21" s="11">
        <f t="shared" si="7"/>
        <v>0</v>
      </c>
      <c r="S21" s="6"/>
      <c r="T21" s="11">
        <f t="shared" si="8"/>
        <v>0</v>
      </c>
      <c r="U21" s="11"/>
      <c r="V21" s="11">
        <f t="shared" si="9"/>
        <v>0</v>
      </c>
      <c r="W21" s="6"/>
      <c r="X21" s="11">
        <f t="shared" si="10"/>
        <v>0</v>
      </c>
      <c r="Y21" s="6"/>
      <c r="Z21" s="11">
        <f t="shared" si="11"/>
        <v>0</v>
      </c>
      <c r="AA21" s="6"/>
      <c r="AB21" s="11">
        <f t="shared" si="12"/>
        <v>0</v>
      </c>
      <c r="AC21" s="6"/>
      <c r="AD21" s="11">
        <f t="shared" si="13"/>
        <v>0</v>
      </c>
      <c r="AE21" s="11">
        <f t="shared" si="14"/>
        <v>0</v>
      </c>
      <c r="AF21" s="11">
        <f t="shared" si="14"/>
        <v>0</v>
      </c>
      <c r="AG21" s="11">
        <f t="shared" si="15"/>
        <v>0</v>
      </c>
    </row>
    <row r="22" spans="1:33" ht="25.15" customHeight="1" x14ac:dyDescent="0.6">
      <c r="A22" s="37">
        <v>17</v>
      </c>
      <c r="B22" s="38"/>
      <c r="C22" s="41"/>
      <c r="D22" s="11">
        <f t="shared" si="0"/>
        <v>0</v>
      </c>
      <c r="E22" s="41"/>
      <c r="F22" s="11">
        <f t="shared" si="1"/>
        <v>0</v>
      </c>
      <c r="G22" s="41"/>
      <c r="H22" s="11">
        <f t="shared" si="2"/>
        <v>0</v>
      </c>
      <c r="I22" s="41"/>
      <c r="J22" s="11">
        <f t="shared" si="3"/>
        <v>0</v>
      </c>
      <c r="K22" s="41"/>
      <c r="L22" s="11">
        <f t="shared" si="4"/>
        <v>0</v>
      </c>
      <c r="M22" s="41"/>
      <c r="N22" s="11">
        <f t="shared" si="5"/>
        <v>0</v>
      </c>
      <c r="O22" s="41"/>
      <c r="P22" s="11">
        <f t="shared" si="6"/>
        <v>0</v>
      </c>
      <c r="Q22" s="41"/>
      <c r="R22" s="11">
        <f t="shared" si="7"/>
        <v>0</v>
      </c>
      <c r="S22" s="41"/>
      <c r="T22" s="11">
        <f t="shared" si="8"/>
        <v>0</v>
      </c>
      <c r="U22" s="42"/>
      <c r="V22" s="11">
        <f t="shared" si="9"/>
        <v>0</v>
      </c>
      <c r="W22" s="6"/>
      <c r="X22" s="11">
        <f t="shared" si="10"/>
        <v>0</v>
      </c>
      <c r="Y22" s="6"/>
      <c r="Z22" s="11">
        <f t="shared" si="11"/>
        <v>0</v>
      </c>
      <c r="AA22" s="6"/>
      <c r="AB22" s="11">
        <f t="shared" si="12"/>
        <v>0</v>
      </c>
      <c r="AC22" s="6"/>
      <c r="AD22" s="11">
        <f t="shared" si="13"/>
        <v>0</v>
      </c>
      <c r="AE22" s="11">
        <f t="shared" si="14"/>
        <v>0</v>
      </c>
      <c r="AF22" s="11">
        <f t="shared" si="14"/>
        <v>0</v>
      </c>
      <c r="AG22" s="11">
        <f t="shared" si="15"/>
        <v>0</v>
      </c>
    </row>
    <row r="23" spans="1:33" ht="25.15" customHeight="1" x14ac:dyDescent="0.6">
      <c r="A23" s="37">
        <v>18</v>
      </c>
      <c r="B23" s="38"/>
      <c r="C23" s="41"/>
      <c r="D23" s="11">
        <f t="shared" si="0"/>
        <v>0</v>
      </c>
      <c r="E23" s="41"/>
      <c r="F23" s="11">
        <f t="shared" si="1"/>
        <v>0</v>
      </c>
      <c r="G23" s="41"/>
      <c r="H23" s="11">
        <f t="shared" si="2"/>
        <v>0</v>
      </c>
      <c r="I23" s="41"/>
      <c r="J23" s="11">
        <f t="shared" si="3"/>
        <v>0</v>
      </c>
      <c r="K23" s="41"/>
      <c r="L23" s="11">
        <f t="shared" si="4"/>
        <v>0</v>
      </c>
      <c r="M23" s="41"/>
      <c r="N23" s="11">
        <f t="shared" si="5"/>
        <v>0</v>
      </c>
      <c r="O23" s="41"/>
      <c r="P23" s="11">
        <f t="shared" si="6"/>
        <v>0</v>
      </c>
      <c r="Q23" s="41"/>
      <c r="R23" s="11">
        <f t="shared" si="7"/>
        <v>0</v>
      </c>
      <c r="S23" s="41"/>
      <c r="T23" s="11">
        <f t="shared" si="8"/>
        <v>0</v>
      </c>
      <c r="U23" s="42"/>
      <c r="V23" s="11">
        <f t="shared" si="9"/>
        <v>0</v>
      </c>
      <c r="W23" s="6"/>
      <c r="X23" s="11">
        <f t="shared" si="10"/>
        <v>0</v>
      </c>
      <c r="Y23" s="6"/>
      <c r="Z23" s="11">
        <f t="shared" si="11"/>
        <v>0</v>
      </c>
      <c r="AA23" s="6"/>
      <c r="AB23" s="11">
        <f t="shared" si="12"/>
        <v>0</v>
      </c>
      <c r="AC23" s="6"/>
      <c r="AD23" s="11">
        <f t="shared" si="13"/>
        <v>0</v>
      </c>
      <c r="AE23" s="11">
        <f t="shared" ref="AE23:AF28" si="16">C23+E23+G23+I23+K23+M23+O23+Q23+S23+U23+W23+Y23+AA23+AC23</f>
        <v>0</v>
      </c>
      <c r="AF23" s="11">
        <f t="shared" si="16"/>
        <v>0</v>
      </c>
      <c r="AG23" s="11">
        <f t="shared" si="15"/>
        <v>0</v>
      </c>
    </row>
    <row r="24" spans="1:33" ht="25.15" customHeight="1" x14ac:dyDescent="0.6">
      <c r="A24" s="37">
        <v>19</v>
      </c>
      <c r="B24" s="38"/>
      <c r="C24" s="41"/>
      <c r="D24" s="42">
        <f t="shared" si="0"/>
        <v>0</v>
      </c>
      <c r="E24" s="41"/>
      <c r="F24" s="42">
        <f t="shared" si="1"/>
        <v>0</v>
      </c>
      <c r="G24" s="41"/>
      <c r="H24" s="11">
        <f t="shared" si="2"/>
        <v>0</v>
      </c>
      <c r="I24" s="41"/>
      <c r="J24" s="11">
        <f t="shared" si="3"/>
        <v>0</v>
      </c>
      <c r="K24" s="41"/>
      <c r="L24" s="11">
        <f t="shared" si="4"/>
        <v>0</v>
      </c>
      <c r="M24" s="41"/>
      <c r="N24" s="11">
        <f t="shared" si="5"/>
        <v>0</v>
      </c>
      <c r="O24" s="41"/>
      <c r="P24" s="42"/>
      <c r="Q24" s="41"/>
      <c r="R24" s="42"/>
      <c r="S24" s="41"/>
      <c r="T24" s="42"/>
      <c r="U24" s="42"/>
      <c r="V24" s="11">
        <f t="shared" si="9"/>
        <v>0</v>
      </c>
      <c r="W24" s="6"/>
      <c r="X24" s="6"/>
      <c r="Y24" s="6"/>
      <c r="Z24" s="6"/>
      <c r="AA24" s="6"/>
      <c r="AB24" s="6"/>
      <c r="AC24" s="6"/>
      <c r="AD24" s="6"/>
      <c r="AE24" s="6">
        <f t="shared" si="16"/>
        <v>0</v>
      </c>
      <c r="AF24" s="11">
        <f t="shared" si="16"/>
        <v>0</v>
      </c>
      <c r="AG24" s="11">
        <f t="shared" si="15"/>
        <v>0</v>
      </c>
    </row>
    <row r="25" spans="1:33" ht="25.15" customHeight="1" x14ac:dyDescent="0.6">
      <c r="A25" s="37">
        <v>20</v>
      </c>
      <c r="B25" s="38"/>
      <c r="C25" s="41"/>
      <c r="D25" s="42">
        <f t="shared" si="0"/>
        <v>0</v>
      </c>
      <c r="E25" s="41"/>
      <c r="F25" s="42">
        <f t="shared" si="1"/>
        <v>0</v>
      </c>
      <c r="G25" s="41"/>
      <c r="H25" s="11">
        <f t="shared" si="2"/>
        <v>0</v>
      </c>
      <c r="I25" s="41"/>
      <c r="J25" s="11">
        <f t="shared" si="3"/>
        <v>0</v>
      </c>
      <c r="K25" s="41"/>
      <c r="L25" s="11">
        <f t="shared" si="4"/>
        <v>0</v>
      </c>
      <c r="M25" s="41"/>
      <c r="N25" s="11">
        <f t="shared" si="5"/>
        <v>0</v>
      </c>
      <c r="O25" s="41"/>
      <c r="P25" s="42"/>
      <c r="Q25" s="41"/>
      <c r="R25" s="42"/>
      <c r="S25" s="41"/>
      <c r="T25" s="42"/>
      <c r="U25" s="42"/>
      <c r="V25" s="11">
        <f t="shared" si="9"/>
        <v>0</v>
      </c>
      <c r="W25" s="6"/>
      <c r="X25" s="6"/>
      <c r="Y25" s="6"/>
      <c r="Z25" s="6"/>
      <c r="AA25" s="6"/>
      <c r="AB25" s="6"/>
      <c r="AC25" s="6"/>
      <c r="AD25" s="6"/>
      <c r="AE25" s="6">
        <f t="shared" si="16"/>
        <v>0</v>
      </c>
      <c r="AF25" s="11">
        <f t="shared" si="16"/>
        <v>0</v>
      </c>
      <c r="AG25" s="11">
        <f t="shared" si="15"/>
        <v>0</v>
      </c>
    </row>
    <row r="26" spans="1:33" ht="25.15" customHeight="1" x14ac:dyDescent="0.6">
      <c r="A26" s="37">
        <v>21</v>
      </c>
      <c r="B26" s="38"/>
      <c r="C26" s="41"/>
      <c r="D26" s="42">
        <f t="shared" si="0"/>
        <v>0</v>
      </c>
      <c r="E26" s="41"/>
      <c r="F26" s="42">
        <f t="shared" si="1"/>
        <v>0</v>
      </c>
      <c r="G26" s="41"/>
      <c r="H26" s="11">
        <f t="shared" si="2"/>
        <v>0</v>
      </c>
      <c r="I26" s="41"/>
      <c r="J26" s="11">
        <f t="shared" si="3"/>
        <v>0</v>
      </c>
      <c r="K26" s="41"/>
      <c r="L26" s="11">
        <f t="shared" si="4"/>
        <v>0</v>
      </c>
      <c r="M26" s="41"/>
      <c r="N26" s="11">
        <f t="shared" si="5"/>
        <v>0</v>
      </c>
      <c r="O26" s="41"/>
      <c r="P26" s="42"/>
      <c r="Q26" s="41"/>
      <c r="R26" s="42"/>
      <c r="S26" s="41"/>
      <c r="T26" s="42"/>
      <c r="U26" s="42"/>
      <c r="V26" s="11">
        <f t="shared" si="9"/>
        <v>0</v>
      </c>
      <c r="W26" s="6"/>
      <c r="X26" s="6"/>
      <c r="Y26" s="6"/>
      <c r="Z26" s="6"/>
      <c r="AA26" s="6"/>
      <c r="AB26" s="6"/>
      <c r="AC26" s="6"/>
      <c r="AD26" s="6"/>
      <c r="AE26" s="6">
        <f t="shared" si="16"/>
        <v>0</v>
      </c>
      <c r="AF26" s="6">
        <f t="shared" si="16"/>
        <v>0</v>
      </c>
      <c r="AG26" s="11">
        <f t="shared" si="15"/>
        <v>0</v>
      </c>
    </row>
    <row r="27" spans="1:33" ht="25.15" customHeight="1" x14ac:dyDescent="0.6">
      <c r="A27" s="37">
        <v>22</v>
      </c>
      <c r="B27" s="38"/>
      <c r="C27" s="41"/>
      <c r="D27" s="42">
        <f t="shared" si="0"/>
        <v>0</v>
      </c>
      <c r="E27" s="41"/>
      <c r="F27" s="42">
        <f t="shared" si="1"/>
        <v>0</v>
      </c>
      <c r="G27" s="41"/>
      <c r="H27" s="11">
        <f t="shared" si="2"/>
        <v>0</v>
      </c>
      <c r="I27" s="41"/>
      <c r="J27" s="11">
        <f t="shared" si="3"/>
        <v>0</v>
      </c>
      <c r="K27" s="41"/>
      <c r="L27" s="11">
        <f t="shared" si="4"/>
        <v>0</v>
      </c>
      <c r="M27" s="41"/>
      <c r="N27" s="42"/>
      <c r="O27" s="41"/>
      <c r="P27" s="42"/>
      <c r="Q27" s="41"/>
      <c r="R27" s="42"/>
      <c r="S27" s="41"/>
      <c r="T27" s="42"/>
      <c r="U27" s="42"/>
      <c r="V27" s="11">
        <f t="shared" si="9"/>
        <v>0</v>
      </c>
      <c r="W27" s="6"/>
      <c r="X27" s="6"/>
      <c r="Y27" s="6"/>
      <c r="Z27" s="6"/>
      <c r="AA27" s="6"/>
      <c r="AB27" s="6"/>
      <c r="AC27" s="6"/>
      <c r="AD27" s="6"/>
      <c r="AE27" s="6">
        <f t="shared" si="16"/>
        <v>0</v>
      </c>
      <c r="AF27" s="6">
        <f t="shared" si="16"/>
        <v>0</v>
      </c>
      <c r="AG27" s="11">
        <f t="shared" si="15"/>
        <v>0</v>
      </c>
    </row>
    <row r="28" spans="1:33" ht="25.15" customHeight="1" x14ac:dyDescent="0.6">
      <c r="A28" s="37"/>
      <c r="B28" s="38"/>
      <c r="C28" s="41"/>
      <c r="D28" s="42">
        <f t="shared" si="0"/>
        <v>0</v>
      </c>
      <c r="E28" s="41"/>
      <c r="F28" s="42">
        <f t="shared" si="1"/>
        <v>0</v>
      </c>
      <c r="G28" s="41"/>
      <c r="H28" s="42"/>
      <c r="I28" s="41"/>
      <c r="J28" s="42"/>
      <c r="K28" s="41"/>
      <c r="L28" s="11">
        <f t="shared" si="4"/>
        <v>0</v>
      </c>
      <c r="M28" s="41"/>
      <c r="N28" s="42"/>
      <c r="O28" s="41"/>
      <c r="P28" s="42"/>
      <c r="Q28" s="41"/>
      <c r="R28" s="42"/>
      <c r="S28" s="41"/>
      <c r="T28" s="42"/>
      <c r="U28" s="42"/>
      <c r="V28" s="11">
        <f t="shared" si="9"/>
        <v>0</v>
      </c>
      <c r="W28" s="6"/>
      <c r="X28" s="6"/>
      <c r="Y28" s="6"/>
      <c r="Z28" s="6"/>
      <c r="AA28" s="6"/>
      <c r="AB28" s="6"/>
      <c r="AC28" s="6"/>
      <c r="AD28" s="6"/>
      <c r="AE28" s="6">
        <f t="shared" si="16"/>
        <v>0</v>
      </c>
      <c r="AF28" s="6">
        <f t="shared" si="16"/>
        <v>0</v>
      </c>
      <c r="AG28" s="11">
        <f t="shared" si="15"/>
        <v>0</v>
      </c>
    </row>
    <row r="29" spans="1:33" ht="25.15" customHeight="1" x14ac:dyDescent="0.6">
      <c r="A29" s="37"/>
      <c r="B29" s="38"/>
      <c r="C29" s="41"/>
      <c r="D29" s="42"/>
      <c r="E29" s="41"/>
      <c r="F29" s="42"/>
      <c r="G29" s="41"/>
      <c r="H29" s="42"/>
      <c r="I29" s="41"/>
      <c r="J29" s="42"/>
      <c r="K29" s="41"/>
      <c r="L29" s="42"/>
      <c r="M29" s="41"/>
      <c r="N29" s="42"/>
      <c r="O29" s="41"/>
      <c r="P29" s="42"/>
      <c r="Q29" s="41"/>
      <c r="R29" s="42"/>
      <c r="S29" s="41"/>
      <c r="T29" s="42"/>
      <c r="U29" s="42"/>
      <c r="V29" s="11">
        <f t="shared" si="9"/>
        <v>0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11">
        <f t="shared" si="15"/>
        <v>0</v>
      </c>
    </row>
    <row r="30" spans="1:33" ht="25.15" customHeight="1" x14ac:dyDescent="0.6">
      <c r="A30" s="37"/>
      <c r="B30" s="38"/>
      <c r="C30" s="50">
        <f>SUM(C6:C29)</f>
        <v>1970</v>
      </c>
      <c r="D30" s="41">
        <f t="shared" ref="D30:AD30" si="17">SUM(D6:D29)</f>
        <v>27580</v>
      </c>
      <c r="E30" s="50">
        <f t="shared" si="17"/>
        <v>1980</v>
      </c>
      <c r="F30" s="41">
        <f t="shared" si="17"/>
        <v>23760</v>
      </c>
      <c r="G30" s="50">
        <f t="shared" si="17"/>
        <v>90</v>
      </c>
      <c r="H30" s="41">
        <f t="shared" si="17"/>
        <v>1080</v>
      </c>
      <c r="I30" s="50">
        <f t="shared" si="17"/>
        <v>150</v>
      </c>
      <c r="J30" s="41">
        <f t="shared" si="17"/>
        <v>6000</v>
      </c>
      <c r="K30" s="50">
        <f t="shared" si="17"/>
        <v>20</v>
      </c>
      <c r="L30" s="41">
        <f t="shared" si="17"/>
        <v>240</v>
      </c>
      <c r="M30" s="50">
        <f t="shared" si="17"/>
        <v>0</v>
      </c>
      <c r="N30" s="41">
        <f t="shared" si="17"/>
        <v>0</v>
      </c>
      <c r="O30" s="41">
        <f t="shared" si="17"/>
        <v>0</v>
      </c>
      <c r="P30" s="41">
        <f t="shared" si="17"/>
        <v>0</v>
      </c>
      <c r="Q30" s="41">
        <f t="shared" si="17"/>
        <v>0</v>
      </c>
      <c r="R30" s="41">
        <f t="shared" si="17"/>
        <v>0</v>
      </c>
      <c r="S30" s="41">
        <f t="shared" si="17"/>
        <v>0</v>
      </c>
      <c r="T30" s="41">
        <f t="shared" si="17"/>
        <v>0</v>
      </c>
      <c r="U30" s="50">
        <f t="shared" si="17"/>
        <v>400</v>
      </c>
      <c r="V30" s="41">
        <f t="shared" si="17"/>
        <v>9600</v>
      </c>
      <c r="W30" s="41">
        <f t="shared" si="17"/>
        <v>0</v>
      </c>
      <c r="X30" s="41">
        <f t="shared" si="17"/>
        <v>0</v>
      </c>
      <c r="Y30" s="41">
        <f t="shared" si="17"/>
        <v>0</v>
      </c>
      <c r="Z30" s="41">
        <f t="shared" si="17"/>
        <v>0</v>
      </c>
      <c r="AA30" s="41">
        <f t="shared" si="17"/>
        <v>0</v>
      </c>
      <c r="AB30" s="41">
        <f t="shared" si="17"/>
        <v>0</v>
      </c>
      <c r="AC30" s="41">
        <f>SUM(AC6:AC29)</f>
        <v>0</v>
      </c>
      <c r="AD30" s="41">
        <f t="shared" si="17"/>
        <v>0</v>
      </c>
      <c r="AE30" s="6">
        <f>SUM(AE6:AE29)</f>
        <v>4610</v>
      </c>
      <c r="AF30" s="6">
        <f>SUM(AF6:AF29)</f>
        <v>68260</v>
      </c>
      <c r="AG30" s="11">
        <f t="shared" si="15"/>
        <v>50471.199999999997</v>
      </c>
    </row>
    <row r="31" spans="1:33" ht="25.15" customHeight="1" x14ac:dyDescent="0.6">
      <c r="A31" s="43"/>
      <c r="B31" s="44"/>
      <c r="D31" s="19"/>
      <c r="F31" s="19"/>
      <c r="H31" s="19"/>
      <c r="J31" s="19"/>
      <c r="L31" s="19"/>
      <c r="N31" s="19"/>
      <c r="P31" s="19"/>
      <c r="R31" s="19"/>
      <c r="T31" s="19"/>
      <c r="U31" s="19"/>
      <c r="V31" s="19"/>
    </row>
    <row r="32" spans="1:33" ht="25.15" customHeight="1" x14ac:dyDescent="0.6"/>
    <row r="33" spans="21:22" ht="25.15" customHeight="1" x14ac:dyDescent="0.6">
      <c r="U33" s="19"/>
      <c r="V33" s="19"/>
    </row>
    <row r="34" spans="21:22" ht="25.15" customHeight="1" x14ac:dyDescent="0.6"/>
    <row r="35" spans="21:22" ht="25.15" customHeight="1" x14ac:dyDescent="0.6"/>
    <row r="36" spans="21:22" ht="25.15" customHeight="1" x14ac:dyDescent="0.6"/>
    <row r="37" spans="21:22" ht="25.15" customHeight="1" x14ac:dyDescent="0.6"/>
    <row r="38" spans="21:22" ht="25.15" customHeight="1" x14ac:dyDescent="0.6"/>
    <row r="39" spans="21:22" ht="25.15" customHeight="1" x14ac:dyDescent="0.6"/>
    <row r="40" spans="21:22" ht="25.15" customHeight="1" x14ac:dyDescent="0.6"/>
    <row r="41" spans="21:22" ht="25.15" customHeight="1" x14ac:dyDescent="0.6"/>
    <row r="42" spans="21:22" ht="25.15" customHeight="1" x14ac:dyDescent="0.6"/>
    <row r="43" spans="21:22" ht="25.15" customHeight="1" x14ac:dyDescent="0.6"/>
    <row r="44" spans="21:22" ht="25.15" customHeight="1" x14ac:dyDescent="0.6"/>
    <row r="45" spans="21:22" ht="25.15" customHeight="1" x14ac:dyDescent="0.6"/>
    <row r="46" spans="21:22" ht="25.15" customHeight="1" x14ac:dyDescent="0.6"/>
    <row r="47" spans="21:22" ht="25.15" customHeight="1" x14ac:dyDescent="0.6"/>
    <row r="48" spans="21:22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  <row r="91" ht="25.15" customHeight="1" x14ac:dyDescent="0.6"/>
    <row r="92" ht="25.15" customHeight="1" x14ac:dyDescent="0.6"/>
    <row r="93" ht="25.15" customHeight="1" x14ac:dyDescent="0.6"/>
    <row r="94" ht="25.15" customHeight="1" x14ac:dyDescent="0.6"/>
    <row r="95" ht="25.15" customHeight="1" x14ac:dyDescent="0.6"/>
    <row r="96" ht="25.15" customHeight="1" x14ac:dyDescent="0.6"/>
    <row r="97" ht="25.15" customHeight="1" x14ac:dyDescent="0.6"/>
    <row r="98" ht="25.15" customHeight="1" x14ac:dyDescent="0.6"/>
  </sheetData>
  <mergeCells count="19">
    <mergeCell ref="C1:V1"/>
    <mergeCell ref="A2:A4"/>
    <mergeCell ref="B2:B4"/>
    <mergeCell ref="C2: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G3"/>
  </mergeCells>
  <hyperlinks>
    <hyperlink ref="C1:V1" location="'SMM YGN '!A1" display="သော်တာထွန်း (လှိုင်သာယာ)" xr:uid="{00000000-0004-0000-0D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AJ96"/>
  <sheetViews>
    <sheetView zoomScaleNormal="100"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E23" sqref="E23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0.28515625" style="1" customWidth="1"/>
    <col min="5" max="32" width="9.28515625" style="1" customWidth="1"/>
    <col min="33" max="37" width="7.7109375" style="1" customWidth="1"/>
    <col min="38" max="16384" width="9" style="1"/>
  </cols>
  <sheetData>
    <row r="1" spans="1:36" ht="21.75" x14ac:dyDescent="0.6">
      <c r="A1" s="23"/>
      <c r="B1" s="24"/>
      <c r="C1" s="745" t="s">
        <v>66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G1" s="1">
        <f>AG27</f>
        <v>0</v>
      </c>
      <c r="AI1" s="25">
        <v>12</v>
      </c>
      <c r="AJ1" s="26">
        <v>14</v>
      </c>
    </row>
    <row r="2" spans="1:36" s="27" customFormat="1" ht="21.75" x14ac:dyDescent="0.6">
      <c r="A2" s="731" t="s">
        <v>1</v>
      </c>
      <c r="B2" s="732" t="s">
        <v>0</v>
      </c>
      <c r="C2" s="763" t="s">
        <v>3</v>
      </c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763"/>
      <c r="AA2" s="763"/>
      <c r="AB2" s="763"/>
      <c r="AD2" s="1" t="s">
        <v>67</v>
      </c>
      <c r="AE2" s="1"/>
      <c r="AF2" s="1"/>
      <c r="AG2" s="27">
        <f>AH27</f>
        <v>0</v>
      </c>
      <c r="AI2" s="28">
        <v>24</v>
      </c>
      <c r="AJ2" s="29">
        <v>40</v>
      </c>
    </row>
    <row r="3" spans="1:36" s="27" customFormat="1" ht="44.2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336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60" t="s">
        <v>334</v>
      </c>
      <c r="AF3" s="760"/>
      <c r="AG3" s="742" t="s">
        <v>322</v>
      </c>
      <c r="AH3" s="743"/>
      <c r="AI3" s="744"/>
    </row>
    <row r="4" spans="1:36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4" t="s">
        <v>63</v>
      </c>
      <c r="AF4" s="14" t="s">
        <v>64</v>
      </c>
      <c r="AG4" s="10" t="s">
        <v>63</v>
      </c>
      <c r="AH4" s="10" t="s">
        <v>64</v>
      </c>
      <c r="AI4" s="104" t="s">
        <v>347</v>
      </c>
    </row>
    <row r="5" spans="1:36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6"/>
      <c r="X5" s="16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4"/>
      <c r="AF5" s="14"/>
      <c r="AG5" s="10"/>
      <c r="AH5" s="10"/>
      <c r="AI5" s="104"/>
    </row>
    <row r="6" spans="1:36" s="19" customFormat="1" ht="25.15" customHeight="1" x14ac:dyDescent="0.25">
      <c r="A6" s="37">
        <v>1</v>
      </c>
      <c r="B6" s="38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/>
      <c r="AF6" s="11">
        <f>AE6*14</f>
        <v>0</v>
      </c>
      <c r="AG6" s="11">
        <f>C6+E6+G6+I6+K6+M6+O6+Q6+S6+U6+W6+Y6+AA6+AC6+AE6</f>
        <v>0</v>
      </c>
      <c r="AH6" s="11">
        <f>D6+F6+H6+J6+L6+N6+P6+R6+T6+V6+X6+Z6+AB6+AD6+AF6</f>
        <v>0</v>
      </c>
      <c r="AI6" s="11">
        <f>(D6*$D$5)+(F6*$F$5)+(H6*$H$5)+(J6*$J$5)+(L6*$L$5)+(N6*$N$5)+(P6*$P$5)+(R6*$R$5)+(T6*$T$5)+(V6*$V$5)+(X6*$X$5)+(Z6*$Z$5)+(AB6*$AB$5)+(AD6*$AD$5)+(AF6*$AF$5)</f>
        <v>0</v>
      </c>
    </row>
    <row r="7" spans="1:36" s="19" customFormat="1" ht="25.15" customHeight="1" x14ac:dyDescent="0.25">
      <c r="A7" s="37">
        <v>2</v>
      </c>
      <c r="B7" s="38"/>
      <c r="C7" s="11"/>
      <c r="D7" s="11">
        <f t="shared" ref="D7:D23" si="0">C7*14</f>
        <v>0</v>
      </c>
      <c r="E7" s="11"/>
      <c r="F7" s="11">
        <f t="shared" ref="F7:F23" si="1">E7*12</f>
        <v>0</v>
      </c>
      <c r="G7" s="11"/>
      <c r="H7" s="11">
        <f t="shared" ref="H7:H25" si="2">G7*12</f>
        <v>0</v>
      </c>
      <c r="I7" s="11"/>
      <c r="J7" s="11">
        <f t="shared" ref="J7:J24" si="3">I7*40</f>
        <v>0</v>
      </c>
      <c r="K7" s="11"/>
      <c r="L7" s="11">
        <f t="shared" ref="L7:L24" si="4">K7*12</f>
        <v>0</v>
      </c>
      <c r="M7" s="11"/>
      <c r="N7" s="11">
        <f t="shared" ref="N7:N20" si="5">M7*12</f>
        <v>0</v>
      </c>
      <c r="O7" s="11"/>
      <c r="P7" s="11">
        <f t="shared" ref="P7:P20" si="6">O7*40</f>
        <v>0</v>
      </c>
      <c r="Q7" s="11"/>
      <c r="R7" s="11">
        <f t="shared" ref="R7:R20" si="7">Q7*14</f>
        <v>0</v>
      </c>
      <c r="S7" s="11"/>
      <c r="T7" s="11">
        <f t="shared" ref="T7:T22" si="8">S7*14</f>
        <v>0</v>
      </c>
      <c r="U7" s="11"/>
      <c r="V7" s="11">
        <f t="shared" ref="V7:V21" si="9">U7*24</f>
        <v>0</v>
      </c>
      <c r="W7" s="11"/>
      <c r="X7" s="11">
        <f t="shared" ref="X7:X20" si="10">W7*12</f>
        <v>0</v>
      </c>
      <c r="Y7" s="11"/>
      <c r="Z7" s="11">
        <f t="shared" ref="Z7:Z20" si="11">Y7*12</f>
        <v>0</v>
      </c>
      <c r="AA7" s="11"/>
      <c r="AB7" s="11">
        <f t="shared" ref="AB7:AB20" si="12">AA7*12</f>
        <v>0</v>
      </c>
      <c r="AC7" s="11"/>
      <c r="AD7" s="11">
        <f t="shared" ref="AD7:AD20" si="13">AC7*12</f>
        <v>0</v>
      </c>
      <c r="AE7" s="11"/>
      <c r="AF7" s="11">
        <f>AE7*14</f>
        <v>0</v>
      </c>
      <c r="AG7" s="11">
        <f t="shared" ref="AG7:AG25" si="14">C7+E7+G7+I7+K7+M7+O7+Q7+S7+U7+W7+Y7+AA7+AC7+AE7</f>
        <v>0</v>
      </c>
      <c r="AH7" s="11">
        <f t="shared" ref="AH7:AH25" si="15">D7+F7+H7+J7+L7+N7+P7+R7+T7+V7+X7+Z7+AB7+AD7+AF7</f>
        <v>0</v>
      </c>
      <c r="AI7" s="11">
        <f t="shared" ref="AI7:AI27" si="16">(D7*$D$5)+(F7*$F$5)+(H7*$H$5)+(J7*$J$5)+(L7*$L$5)+(N7*$N$5)+(P7*$P$5)+(R7*$R$5)+(T7*$T$5)+(V7*$V$5)+(X7*$X$5)+(Z7*$Z$5)+(AB7*$AB$5)+(AD7*$AD$5)+(AF7*$AF$5)</f>
        <v>0</v>
      </c>
    </row>
    <row r="8" spans="1:36" s="19" customFormat="1" ht="25.15" customHeight="1" x14ac:dyDescent="0.25">
      <c r="A8" s="37">
        <v>3</v>
      </c>
      <c r="B8" s="38"/>
      <c r="C8" s="11"/>
      <c r="D8" s="11">
        <f t="shared" si="0"/>
        <v>0</v>
      </c>
      <c r="E8" s="11"/>
      <c r="F8" s="11">
        <f t="shared" si="1"/>
        <v>0</v>
      </c>
      <c r="G8" s="11"/>
      <c r="H8" s="11">
        <f t="shared" si="2"/>
        <v>0</v>
      </c>
      <c r="I8" s="11"/>
      <c r="J8" s="11">
        <f t="shared" si="3"/>
        <v>0</v>
      </c>
      <c r="K8" s="11"/>
      <c r="L8" s="11">
        <f t="shared" si="4"/>
        <v>0</v>
      </c>
      <c r="M8" s="11"/>
      <c r="N8" s="11">
        <f t="shared" si="5"/>
        <v>0</v>
      </c>
      <c r="O8" s="11"/>
      <c r="P8" s="11">
        <f t="shared" si="6"/>
        <v>0</v>
      </c>
      <c r="Q8" s="11"/>
      <c r="R8" s="11">
        <f t="shared" si="7"/>
        <v>0</v>
      </c>
      <c r="S8" s="11"/>
      <c r="T8" s="11">
        <f t="shared" si="8"/>
        <v>0</v>
      </c>
      <c r="U8" s="11"/>
      <c r="V8" s="11">
        <f t="shared" si="9"/>
        <v>0</v>
      </c>
      <c r="W8" s="11"/>
      <c r="X8" s="11">
        <f t="shared" si="10"/>
        <v>0</v>
      </c>
      <c r="Y8" s="11"/>
      <c r="Z8" s="11">
        <f t="shared" si="11"/>
        <v>0</v>
      </c>
      <c r="AA8" s="11"/>
      <c r="AB8" s="11">
        <f t="shared" si="12"/>
        <v>0</v>
      </c>
      <c r="AC8" s="11"/>
      <c r="AD8" s="11">
        <f t="shared" si="13"/>
        <v>0</v>
      </c>
      <c r="AE8" s="11"/>
      <c r="AF8" s="11">
        <f>AE8*14</f>
        <v>0</v>
      </c>
      <c r="AG8" s="11">
        <f t="shared" si="14"/>
        <v>0</v>
      </c>
      <c r="AH8" s="11">
        <f t="shared" si="15"/>
        <v>0</v>
      </c>
      <c r="AI8" s="11">
        <f t="shared" si="16"/>
        <v>0</v>
      </c>
    </row>
    <row r="9" spans="1:36" s="19" customFormat="1" ht="25.15" customHeight="1" x14ac:dyDescent="0.25">
      <c r="A9" s="37">
        <v>4</v>
      </c>
      <c r="B9" s="38"/>
      <c r="C9" s="11"/>
      <c r="D9" s="11">
        <f t="shared" si="0"/>
        <v>0</v>
      </c>
      <c r="E9" s="11"/>
      <c r="F9" s="11">
        <f t="shared" si="1"/>
        <v>0</v>
      </c>
      <c r="G9" s="11"/>
      <c r="H9" s="11">
        <f t="shared" si="2"/>
        <v>0</v>
      </c>
      <c r="I9" s="11"/>
      <c r="J9" s="11">
        <f t="shared" si="3"/>
        <v>0</v>
      </c>
      <c r="K9" s="11"/>
      <c r="L9" s="11">
        <f t="shared" si="4"/>
        <v>0</v>
      </c>
      <c r="M9" s="11"/>
      <c r="N9" s="11">
        <f t="shared" si="5"/>
        <v>0</v>
      </c>
      <c r="O9" s="11"/>
      <c r="P9" s="11">
        <f t="shared" si="6"/>
        <v>0</v>
      </c>
      <c r="Q9" s="11"/>
      <c r="R9" s="11">
        <f t="shared" si="7"/>
        <v>0</v>
      </c>
      <c r="S9" s="11"/>
      <c r="T9" s="11">
        <f t="shared" si="8"/>
        <v>0</v>
      </c>
      <c r="U9" s="11"/>
      <c r="V9" s="11">
        <f t="shared" si="9"/>
        <v>0</v>
      </c>
      <c r="W9" s="11"/>
      <c r="X9" s="11">
        <f t="shared" si="10"/>
        <v>0</v>
      </c>
      <c r="Y9" s="11"/>
      <c r="Z9" s="11">
        <f t="shared" si="11"/>
        <v>0</v>
      </c>
      <c r="AA9" s="11"/>
      <c r="AB9" s="11">
        <f t="shared" si="12"/>
        <v>0</v>
      </c>
      <c r="AC9" s="11"/>
      <c r="AD9" s="11">
        <f t="shared" si="13"/>
        <v>0</v>
      </c>
      <c r="AE9" s="11"/>
      <c r="AF9" s="11">
        <f>AE9*14</f>
        <v>0</v>
      </c>
      <c r="AG9" s="11">
        <f t="shared" si="14"/>
        <v>0</v>
      </c>
      <c r="AH9" s="11">
        <f t="shared" si="15"/>
        <v>0</v>
      </c>
      <c r="AI9" s="11">
        <f t="shared" si="16"/>
        <v>0</v>
      </c>
    </row>
    <row r="10" spans="1:36" s="19" customFormat="1" ht="25.15" customHeight="1" x14ac:dyDescent="0.25">
      <c r="A10" s="37">
        <v>5</v>
      </c>
      <c r="B10" s="38"/>
      <c r="C10" s="11"/>
      <c r="D10" s="11">
        <f t="shared" si="0"/>
        <v>0</v>
      </c>
      <c r="E10" s="11"/>
      <c r="F10" s="11">
        <f t="shared" si="1"/>
        <v>0</v>
      </c>
      <c r="G10" s="11"/>
      <c r="H10" s="11">
        <f t="shared" si="2"/>
        <v>0</v>
      </c>
      <c r="I10" s="11"/>
      <c r="J10" s="11">
        <f t="shared" si="3"/>
        <v>0</v>
      </c>
      <c r="K10" s="11"/>
      <c r="L10" s="11">
        <f t="shared" si="4"/>
        <v>0</v>
      </c>
      <c r="M10" s="11"/>
      <c r="N10" s="11">
        <f t="shared" si="5"/>
        <v>0</v>
      </c>
      <c r="O10" s="11"/>
      <c r="P10" s="11">
        <f t="shared" si="6"/>
        <v>0</v>
      </c>
      <c r="Q10" s="11"/>
      <c r="R10" s="11">
        <f t="shared" si="7"/>
        <v>0</v>
      </c>
      <c r="S10" s="11"/>
      <c r="T10" s="11">
        <f t="shared" si="8"/>
        <v>0</v>
      </c>
      <c r="U10" s="11"/>
      <c r="V10" s="11">
        <f t="shared" si="9"/>
        <v>0</v>
      </c>
      <c r="W10" s="11"/>
      <c r="X10" s="11">
        <f t="shared" si="10"/>
        <v>0</v>
      </c>
      <c r="Y10" s="11"/>
      <c r="Z10" s="11">
        <f t="shared" si="11"/>
        <v>0</v>
      </c>
      <c r="AA10" s="11"/>
      <c r="AB10" s="11">
        <f t="shared" si="12"/>
        <v>0</v>
      </c>
      <c r="AC10" s="11"/>
      <c r="AD10" s="11">
        <f t="shared" si="13"/>
        <v>0</v>
      </c>
      <c r="AE10" s="11"/>
      <c r="AF10" s="11">
        <f t="shared" ref="AF10:AF20" si="17">AE10*14</f>
        <v>0</v>
      </c>
      <c r="AG10" s="11">
        <f t="shared" si="14"/>
        <v>0</v>
      </c>
      <c r="AH10" s="11">
        <f t="shared" si="15"/>
        <v>0</v>
      </c>
      <c r="AI10" s="11">
        <f t="shared" si="16"/>
        <v>0</v>
      </c>
    </row>
    <row r="11" spans="1:36" s="19" customFormat="1" ht="25.15" customHeight="1" x14ac:dyDescent="0.25">
      <c r="A11" s="37">
        <v>6</v>
      </c>
      <c r="B11" s="38"/>
      <c r="C11" s="11"/>
      <c r="D11" s="11">
        <f t="shared" si="0"/>
        <v>0</v>
      </c>
      <c r="E11" s="11"/>
      <c r="F11" s="11">
        <f t="shared" si="1"/>
        <v>0</v>
      </c>
      <c r="G11" s="11"/>
      <c r="H11" s="11">
        <f t="shared" si="2"/>
        <v>0</v>
      </c>
      <c r="I11" s="11"/>
      <c r="J11" s="11">
        <f t="shared" si="3"/>
        <v>0</v>
      </c>
      <c r="K11" s="11"/>
      <c r="L11" s="11">
        <f t="shared" si="4"/>
        <v>0</v>
      </c>
      <c r="M11" s="11"/>
      <c r="N11" s="11">
        <f>M11*12</f>
        <v>0</v>
      </c>
      <c r="O11" s="11"/>
      <c r="P11" s="11">
        <f t="shared" si="6"/>
        <v>0</v>
      </c>
      <c r="Q11" s="11"/>
      <c r="R11" s="11">
        <f t="shared" si="7"/>
        <v>0</v>
      </c>
      <c r="S11" s="11"/>
      <c r="T11" s="11">
        <f t="shared" si="8"/>
        <v>0</v>
      </c>
      <c r="U11" s="11"/>
      <c r="V11" s="11">
        <f t="shared" si="9"/>
        <v>0</v>
      </c>
      <c r="W11" s="11"/>
      <c r="X11" s="11">
        <f t="shared" si="10"/>
        <v>0</v>
      </c>
      <c r="Y11" s="11"/>
      <c r="Z11" s="11">
        <f t="shared" si="11"/>
        <v>0</v>
      </c>
      <c r="AA11" s="11"/>
      <c r="AB11" s="11">
        <f t="shared" si="12"/>
        <v>0</v>
      </c>
      <c r="AC11" s="11"/>
      <c r="AD11" s="11">
        <f t="shared" si="13"/>
        <v>0</v>
      </c>
      <c r="AE11" s="11"/>
      <c r="AF11" s="11">
        <f t="shared" si="17"/>
        <v>0</v>
      </c>
      <c r="AG11" s="11">
        <f t="shared" si="14"/>
        <v>0</v>
      </c>
      <c r="AH11" s="11">
        <f t="shared" si="15"/>
        <v>0</v>
      </c>
      <c r="AI11" s="11">
        <f t="shared" si="16"/>
        <v>0</v>
      </c>
    </row>
    <row r="12" spans="1:36" ht="25.15" customHeight="1" x14ac:dyDescent="0.6">
      <c r="A12" s="37">
        <v>7</v>
      </c>
      <c r="B12" s="38"/>
      <c r="C12" s="6"/>
      <c r="D12" s="11">
        <f t="shared" si="0"/>
        <v>0</v>
      </c>
      <c r="E12" s="6"/>
      <c r="F12" s="11">
        <f t="shared" si="1"/>
        <v>0</v>
      </c>
      <c r="G12" s="6"/>
      <c r="H12" s="11">
        <f t="shared" si="2"/>
        <v>0</v>
      </c>
      <c r="I12" s="6"/>
      <c r="J12" s="11">
        <f t="shared" si="3"/>
        <v>0</v>
      </c>
      <c r="K12" s="6"/>
      <c r="L12" s="11">
        <f t="shared" si="4"/>
        <v>0</v>
      </c>
      <c r="M12" s="6"/>
      <c r="N12" s="11">
        <f t="shared" si="5"/>
        <v>0</v>
      </c>
      <c r="O12" s="6"/>
      <c r="P12" s="11">
        <f t="shared" si="6"/>
        <v>0</v>
      </c>
      <c r="Q12" s="6"/>
      <c r="R12" s="11">
        <f t="shared" si="7"/>
        <v>0</v>
      </c>
      <c r="S12" s="6"/>
      <c r="T12" s="11">
        <f t="shared" si="8"/>
        <v>0</v>
      </c>
      <c r="U12" s="11"/>
      <c r="V12" s="11">
        <f t="shared" si="9"/>
        <v>0</v>
      </c>
      <c r="W12" s="11"/>
      <c r="X12" s="11">
        <f t="shared" si="10"/>
        <v>0</v>
      </c>
      <c r="Y12" s="11"/>
      <c r="Z12" s="11">
        <f t="shared" si="11"/>
        <v>0</v>
      </c>
      <c r="AA12" s="11"/>
      <c r="AB12" s="11">
        <f t="shared" si="12"/>
        <v>0</v>
      </c>
      <c r="AC12" s="6"/>
      <c r="AD12" s="11">
        <f t="shared" si="13"/>
        <v>0</v>
      </c>
      <c r="AE12" s="6"/>
      <c r="AF12" s="11">
        <f t="shared" si="17"/>
        <v>0</v>
      </c>
      <c r="AG12" s="11">
        <f t="shared" si="14"/>
        <v>0</v>
      </c>
      <c r="AH12" s="11">
        <f t="shared" si="15"/>
        <v>0</v>
      </c>
      <c r="AI12" s="11">
        <f t="shared" si="16"/>
        <v>0</v>
      </c>
    </row>
    <row r="13" spans="1:36" ht="25.15" customHeight="1" x14ac:dyDescent="0.6">
      <c r="A13" s="37">
        <v>8</v>
      </c>
      <c r="B13" s="38"/>
      <c r="C13" s="6"/>
      <c r="D13" s="11">
        <f t="shared" si="0"/>
        <v>0</v>
      </c>
      <c r="E13" s="6"/>
      <c r="F13" s="11">
        <f t="shared" si="1"/>
        <v>0</v>
      </c>
      <c r="G13" s="6"/>
      <c r="H13" s="11">
        <f t="shared" si="2"/>
        <v>0</v>
      </c>
      <c r="I13" s="6"/>
      <c r="J13" s="11">
        <f t="shared" si="3"/>
        <v>0</v>
      </c>
      <c r="K13" s="6"/>
      <c r="L13" s="11">
        <f t="shared" si="4"/>
        <v>0</v>
      </c>
      <c r="M13" s="6"/>
      <c r="N13" s="11">
        <f t="shared" si="5"/>
        <v>0</v>
      </c>
      <c r="O13" s="6"/>
      <c r="P13" s="11">
        <f t="shared" si="6"/>
        <v>0</v>
      </c>
      <c r="Q13" s="6"/>
      <c r="R13" s="11">
        <f t="shared" si="7"/>
        <v>0</v>
      </c>
      <c r="S13" s="6"/>
      <c r="T13" s="11">
        <f t="shared" si="8"/>
        <v>0</v>
      </c>
      <c r="U13" s="11"/>
      <c r="V13" s="11">
        <f t="shared" si="9"/>
        <v>0</v>
      </c>
      <c r="W13" s="11"/>
      <c r="X13" s="11">
        <f t="shared" si="10"/>
        <v>0</v>
      </c>
      <c r="Y13" s="11"/>
      <c r="Z13" s="11">
        <f t="shared" si="11"/>
        <v>0</v>
      </c>
      <c r="AA13" s="11"/>
      <c r="AB13" s="11">
        <f t="shared" si="12"/>
        <v>0</v>
      </c>
      <c r="AC13" s="6"/>
      <c r="AD13" s="11">
        <f t="shared" si="13"/>
        <v>0</v>
      </c>
      <c r="AE13" s="6"/>
      <c r="AF13" s="11">
        <f t="shared" si="17"/>
        <v>0</v>
      </c>
      <c r="AG13" s="11">
        <f t="shared" si="14"/>
        <v>0</v>
      </c>
      <c r="AH13" s="11">
        <f t="shared" si="15"/>
        <v>0</v>
      </c>
      <c r="AI13" s="11">
        <f t="shared" si="16"/>
        <v>0</v>
      </c>
    </row>
    <row r="14" spans="1:36" ht="25.15" customHeight="1" x14ac:dyDescent="0.6">
      <c r="A14" s="37">
        <v>9</v>
      </c>
      <c r="B14" s="38"/>
      <c r="C14" s="6"/>
      <c r="D14" s="11">
        <f t="shared" si="0"/>
        <v>0</v>
      </c>
      <c r="E14" s="6"/>
      <c r="F14" s="11">
        <f t="shared" si="1"/>
        <v>0</v>
      </c>
      <c r="G14" s="6"/>
      <c r="H14" s="11">
        <f t="shared" si="2"/>
        <v>0</v>
      </c>
      <c r="I14" s="6"/>
      <c r="J14" s="11">
        <f t="shared" si="3"/>
        <v>0</v>
      </c>
      <c r="K14" s="6"/>
      <c r="L14" s="11">
        <f t="shared" si="4"/>
        <v>0</v>
      </c>
      <c r="M14" s="6"/>
      <c r="N14" s="11">
        <f t="shared" si="5"/>
        <v>0</v>
      </c>
      <c r="O14" s="6"/>
      <c r="P14" s="11">
        <f t="shared" si="6"/>
        <v>0</v>
      </c>
      <c r="Q14" s="6"/>
      <c r="R14" s="11">
        <f t="shared" si="7"/>
        <v>0</v>
      </c>
      <c r="S14" s="6"/>
      <c r="T14" s="11">
        <f t="shared" si="8"/>
        <v>0</v>
      </c>
      <c r="U14" s="11"/>
      <c r="V14" s="11">
        <f t="shared" si="9"/>
        <v>0</v>
      </c>
      <c r="W14" s="11"/>
      <c r="X14" s="11">
        <f t="shared" si="10"/>
        <v>0</v>
      </c>
      <c r="Y14" s="11"/>
      <c r="Z14" s="11">
        <f t="shared" si="11"/>
        <v>0</v>
      </c>
      <c r="AA14" s="11"/>
      <c r="AB14" s="11">
        <f t="shared" si="12"/>
        <v>0</v>
      </c>
      <c r="AC14" s="6"/>
      <c r="AD14" s="11">
        <f t="shared" si="13"/>
        <v>0</v>
      </c>
      <c r="AE14" s="6"/>
      <c r="AF14" s="11">
        <f t="shared" si="17"/>
        <v>0</v>
      </c>
      <c r="AG14" s="11">
        <f t="shared" si="14"/>
        <v>0</v>
      </c>
      <c r="AH14" s="11">
        <f t="shared" si="15"/>
        <v>0</v>
      </c>
      <c r="AI14" s="11">
        <f t="shared" si="16"/>
        <v>0</v>
      </c>
    </row>
    <row r="15" spans="1:36" ht="25.15" customHeight="1" x14ac:dyDescent="0.6">
      <c r="A15" s="37">
        <v>10</v>
      </c>
      <c r="B15" s="38"/>
      <c r="C15" s="6"/>
      <c r="D15" s="11">
        <f t="shared" si="0"/>
        <v>0</v>
      </c>
      <c r="E15" s="6"/>
      <c r="F15" s="11">
        <f t="shared" si="1"/>
        <v>0</v>
      </c>
      <c r="G15" s="6"/>
      <c r="H15" s="11">
        <f t="shared" si="2"/>
        <v>0</v>
      </c>
      <c r="I15" s="6"/>
      <c r="J15" s="11">
        <f t="shared" si="3"/>
        <v>0</v>
      </c>
      <c r="K15" s="6"/>
      <c r="L15" s="11">
        <f t="shared" si="4"/>
        <v>0</v>
      </c>
      <c r="M15" s="6"/>
      <c r="N15" s="11">
        <f t="shared" si="5"/>
        <v>0</v>
      </c>
      <c r="O15" s="6"/>
      <c r="P15" s="11">
        <f t="shared" si="6"/>
        <v>0</v>
      </c>
      <c r="Q15" s="6"/>
      <c r="R15" s="11">
        <f t="shared" si="7"/>
        <v>0</v>
      </c>
      <c r="S15" s="6"/>
      <c r="T15" s="11">
        <f t="shared" si="8"/>
        <v>0</v>
      </c>
      <c r="U15" s="11"/>
      <c r="V15" s="11">
        <f t="shared" si="9"/>
        <v>0</v>
      </c>
      <c r="W15" s="11"/>
      <c r="X15" s="11">
        <f t="shared" si="10"/>
        <v>0</v>
      </c>
      <c r="Y15" s="11"/>
      <c r="Z15" s="11">
        <f t="shared" si="11"/>
        <v>0</v>
      </c>
      <c r="AA15" s="11"/>
      <c r="AB15" s="11">
        <f t="shared" si="12"/>
        <v>0</v>
      </c>
      <c r="AC15" s="6"/>
      <c r="AD15" s="11">
        <f t="shared" si="13"/>
        <v>0</v>
      </c>
      <c r="AE15" s="6"/>
      <c r="AF15" s="11">
        <f t="shared" si="17"/>
        <v>0</v>
      </c>
      <c r="AG15" s="11">
        <f t="shared" si="14"/>
        <v>0</v>
      </c>
      <c r="AH15" s="11">
        <f t="shared" si="15"/>
        <v>0</v>
      </c>
      <c r="AI15" s="11">
        <f t="shared" si="16"/>
        <v>0</v>
      </c>
    </row>
    <row r="16" spans="1:36" ht="25.15" customHeight="1" x14ac:dyDescent="0.6">
      <c r="A16" s="37">
        <v>11</v>
      </c>
      <c r="B16" s="38"/>
      <c r="C16" s="6"/>
      <c r="D16" s="11">
        <f t="shared" si="0"/>
        <v>0</v>
      </c>
      <c r="E16" s="6"/>
      <c r="F16" s="11">
        <f t="shared" si="1"/>
        <v>0</v>
      </c>
      <c r="G16" s="6"/>
      <c r="H16" s="11">
        <f t="shared" si="2"/>
        <v>0</v>
      </c>
      <c r="I16" s="6"/>
      <c r="J16" s="11">
        <f t="shared" si="3"/>
        <v>0</v>
      </c>
      <c r="K16" s="6"/>
      <c r="L16" s="11">
        <f t="shared" si="4"/>
        <v>0</v>
      </c>
      <c r="M16" s="6"/>
      <c r="N16" s="11">
        <f t="shared" si="5"/>
        <v>0</v>
      </c>
      <c r="O16" s="6"/>
      <c r="P16" s="11">
        <f t="shared" si="6"/>
        <v>0</v>
      </c>
      <c r="Q16" s="6"/>
      <c r="R16" s="11">
        <f t="shared" si="7"/>
        <v>0</v>
      </c>
      <c r="S16" s="6"/>
      <c r="T16" s="11">
        <f t="shared" si="8"/>
        <v>0</v>
      </c>
      <c r="U16" s="11"/>
      <c r="V16" s="11">
        <f t="shared" si="9"/>
        <v>0</v>
      </c>
      <c r="W16" s="11"/>
      <c r="X16" s="11">
        <f t="shared" si="10"/>
        <v>0</v>
      </c>
      <c r="Y16" s="11"/>
      <c r="Z16" s="11">
        <f t="shared" si="11"/>
        <v>0</v>
      </c>
      <c r="AA16" s="11"/>
      <c r="AB16" s="11">
        <f t="shared" si="12"/>
        <v>0</v>
      </c>
      <c r="AC16" s="6"/>
      <c r="AD16" s="11">
        <f t="shared" si="13"/>
        <v>0</v>
      </c>
      <c r="AE16" s="6"/>
      <c r="AF16" s="11">
        <f t="shared" si="17"/>
        <v>0</v>
      </c>
      <c r="AG16" s="11">
        <f t="shared" si="14"/>
        <v>0</v>
      </c>
      <c r="AH16" s="11">
        <f t="shared" si="15"/>
        <v>0</v>
      </c>
      <c r="AI16" s="11">
        <f t="shared" si="16"/>
        <v>0</v>
      </c>
    </row>
    <row r="17" spans="1:36" ht="25.15" customHeight="1" x14ac:dyDescent="0.6">
      <c r="A17" s="37">
        <v>12</v>
      </c>
      <c r="B17" s="38"/>
      <c r="C17" s="6"/>
      <c r="D17" s="11">
        <f t="shared" si="0"/>
        <v>0</v>
      </c>
      <c r="E17" s="6"/>
      <c r="F17" s="11">
        <f t="shared" si="1"/>
        <v>0</v>
      </c>
      <c r="G17" s="6"/>
      <c r="H17" s="11">
        <f t="shared" si="2"/>
        <v>0</v>
      </c>
      <c r="I17" s="6"/>
      <c r="J17" s="11">
        <f t="shared" si="3"/>
        <v>0</v>
      </c>
      <c r="K17" s="6"/>
      <c r="L17" s="11">
        <f t="shared" si="4"/>
        <v>0</v>
      </c>
      <c r="M17" s="6"/>
      <c r="N17" s="11">
        <f t="shared" si="5"/>
        <v>0</v>
      </c>
      <c r="O17" s="6"/>
      <c r="P17" s="11">
        <f t="shared" si="6"/>
        <v>0</v>
      </c>
      <c r="Q17" s="6"/>
      <c r="R17" s="11">
        <f t="shared" si="7"/>
        <v>0</v>
      </c>
      <c r="S17" s="6"/>
      <c r="T17" s="11">
        <f t="shared" si="8"/>
        <v>0</v>
      </c>
      <c r="U17" s="11"/>
      <c r="V17" s="11">
        <f t="shared" si="9"/>
        <v>0</v>
      </c>
      <c r="W17" s="11"/>
      <c r="X17" s="11">
        <f t="shared" si="10"/>
        <v>0</v>
      </c>
      <c r="Y17" s="11"/>
      <c r="Z17" s="11">
        <f t="shared" si="11"/>
        <v>0</v>
      </c>
      <c r="AA17" s="11"/>
      <c r="AB17" s="11">
        <f t="shared" si="12"/>
        <v>0</v>
      </c>
      <c r="AC17" s="6"/>
      <c r="AD17" s="11">
        <f t="shared" si="13"/>
        <v>0</v>
      </c>
      <c r="AE17" s="6"/>
      <c r="AF17" s="11">
        <f t="shared" si="17"/>
        <v>0</v>
      </c>
      <c r="AG17" s="11">
        <f t="shared" si="14"/>
        <v>0</v>
      </c>
      <c r="AH17" s="11">
        <f t="shared" si="15"/>
        <v>0</v>
      </c>
      <c r="AI17" s="11">
        <f t="shared" si="16"/>
        <v>0</v>
      </c>
    </row>
    <row r="18" spans="1:36" ht="25.15" customHeight="1" x14ac:dyDescent="0.6">
      <c r="A18" s="37">
        <v>13</v>
      </c>
      <c r="B18" s="38"/>
      <c r="C18" s="6"/>
      <c r="D18" s="11">
        <f t="shared" si="0"/>
        <v>0</v>
      </c>
      <c r="E18" s="6"/>
      <c r="F18" s="11">
        <f t="shared" si="1"/>
        <v>0</v>
      </c>
      <c r="G18" s="6"/>
      <c r="H18" s="11">
        <f t="shared" si="2"/>
        <v>0</v>
      </c>
      <c r="I18" s="6"/>
      <c r="J18" s="11">
        <f t="shared" si="3"/>
        <v>0</v>
      </c>
      <c r="K18" s="6"/>
      <c r="L18" s="11">
        <f t="shared" si="4"/>
        <v>0</v>
      </c>
      <c r="M18" s="6"/>
      <c r="N18" s="11">
        <f t="shared" si="5"/>
        <v>0</v>
      </c>
      <c r="O18" s="6"/>
      <c r="P18" s="11">
        <f t="shared" si="6"/>
        <v>0</v>
      </c>
      <c r="Q18" s="6"/>
      <c r="R18" s="11">
        <f t="shared" si="7"/>
        <v>0</v>
      </c>
      <c r="S18" s="6"/>
      <c r="T18" s="11">
        <f t="shared" si="8"/>
        <v>0</v>
      </c>
      <c r="U18" s="11"/>
      <c r="V18" s="11">
        <f t="shared" si="9"/>
        <v>0</v>
      </c>
      <c r="W18" s="11"/>
      <c r="X18" s="11">
        <f t="shared" si="10"/>
        <v>0</v>
      </c>
      <c r="Y18" s="11"/>
      <c r="Z18" s="11">
        <f t="shared" si="11"/>
        <v>0</v>
      </c>
      <c r="AA18" s="11"/>
      <c r="AB18" s="11">
        <f t="shared" si="12"/>
        <v>0</v>
      </c>
      <c r="AC18" s="6"/>
      <c r="AD18" s="11">
        <f t="shared" si="13"/>
        <v>0</v>
      </c>
      <c r="AE18" s="6"/>
      <c r="AF18" s="11">
        <f t="shared" si="17"/>
        <v>0</v>
      </c>
      <c r="AG18" s="11">
        <f t="shared" si="14"/>
        <v>0</v>
      </c>
      <c r="AH18" s="11">
        <f t="shared" si="15"/>
        <v>0</v>
      </c>
      <c r="AI18" s="11">
        <f t="shared" si="16"/>
        <v>0</v>
      </c>
    </row>
    <row r="19" spans="1:36" ht="25.15" customHeight="1" x14ac:dyDescent="0.6">
      <c r="A19" s="39">
        <v>14</v>
      </c>
      <c r="B19" s="38"/>
      <c r="C19" s="6"/>
      <c r="D19" s="11">
        <f t="shared" si="0"/>
        <v>0</v>
      </c>
      <c r="E19" s="6"/>
      <c r="F19" s="11">
        <f t="shared" si="1"/>
        <v>0</v>
      </c>
      <c r="G19" s="6"/>
      <c r="H19" s="11">
        <f t="shared" si="2"/>
        <v>0</v>
      </c>
      <c r="I19" s="6"/>
      <c r="J19" s="11">
        <f t="shared" si="3"/>
        <v>0</v>
      </c>
      <c r="K19" s="6"/>
      <c r="L19" s="11">
        <f t="shared" si="4"/>
        <v>0</v>
      </c>
      <c r="M19" s="6"/>
      <c r="N19" s="11">
        <f t="shared" si="5"/>
        <v>0</v>
      </c>
      <c r="O19" s="6"/>
      <c r="P19" s="11">
        <f t="shared" si="6"/>
        <v>0</v>
      </c>
      <c r="Q19" s="6"/>
      <c r="R19" s="11">
        <f t="shared" si="7"/>
        <v>0</v>
      </c>
      <c r="S19" s="6"/>
      <c r="T19" s="11">
        <f t="shared" si="8"/>
        <v>0</v>
      </c>
      <c r="U19" s="11"/>
      <c r="V19" s="11">
        <f t="shared" si="9"/>
        <v>0</v>
      </c>
      <c r="W19" s="11"/>
      <c r="X19" s="11">
        <f t="shared" si="10"/>
        <v>0</v>
      </c>
      <c r="Y19" s="11"/>
      <c r="Z19" s="11">
        <f t="shared" si="11"/>
        <v>0</v>
      </c>
      <c r="AA19" s="11"/>
      <c r="AB19" s="11">
        <f t="shared" si="12"/>
        <v>0</v>
      </c>
      <c r="AC19" s="6"/>
      <c r="AD19" s="11">
        <f t="shared" si="13"/>
        <v>0</v>
      </c>
      <c r="AE19" s="6"/>
      <c r="AF19" s="11">
        <f t="shared" si="17"/>
        <v>0</v>
      </c>
      <c r="AG19" s="11">
        <f t="shared" si="14"/>
        <v>0</v>
      </c>
      <c r="AH19" s="11">
        <f t="shared" si="15"/>
        <v>0</v>
      </c>
      <c r="AI19" s="11">
        <f t="shared" si="16"/>
        <v>0</v>
      </c>
    </row>
    <row r="20" spans="1:36" ht="25.15" customHeight="1" x14ac:dyDescent="0.6">
      <c r="A20" s="39">
        <v>16</v>
      </c>
      <c r="B20" s="38"/>
      <c r="C20" s="41"/>
      <c r="D20" s="11">
        <f t="shared" si="0"/>
        <v>0</v>
      </c>
      <c r="E20" s="41"/>
      <c r="F20" s="11">
        <f t="shared" si="1"/>
        <v>0</v>
      </c>
      <c r="G20" s="41"/>
      <c r="H20" s="11">
        <f t="shared" si="2"/>
        <v>0</v>
      </c>
      <c r="I20" s="41"/>
      <c r="J20" s="11">
        <f t="shared" si="3"/>
        <v>0</v>
      </c>
      <c r="K20" s="41"/>
      <c r="L20" s="11">
        <f t="shared" si="4"/>
        <v>0</v>
      </c>
      <c r="M20" s="41"/>
      <c r="N20" s="11">
        <f t="shared" si="5"/>
        <v>0</v>
      </c>
      <c r="O20" s="41"/>
      <c r="P20" s="11">
        <f t="shared" si="6"/>
        <v>0</v>
      </c>
      <c r="Q20" s="41"/>
      <c r="R20" s="11">
        <f t="shared" si="7"/>
        <v>0</v>
      </c>
      <c r="S20" s="41"/>
      <c r="T20" s="11">
        <f t="shared" si="8"/>
        <v>0</v>
      </c>
      <c r="U20" s="46"/>
      <c r="V20" s="11">
        <f t="shared" si="9"/>
        <v>0</v>
      </c>
      <c r="W20" s="11"/>
      <c r="X20" s="11">
        <f t="shared" si="10"/>
        <v>0</v>
      </c>
      <c r="Y20" s="11"/>
      <c r="Z20" s="11">
        <f t="shared" si="11"/>
        <v>0</v>
      </c>
      <c r="AA20" s="11"/>
      <c r="AB20" s="11">
        <f t="shared" si="12"/>
        <v>0</v>
      </c>
      <c r="AC20" s="6"/>
      <c r="AD20" s="11">
        <f t="shared" si="13"/>
        <v>0</v>
      </c>
      <c r="AE20" s="41"/>
      <c r="AF20" s="11">
        <f t="shared" si="17"/>
        <v>0</v>
      </c>
      <c r="AG20" s="11">
        <f t="shared" si="14"/>
        <v>0</v>
      </c>
      <c r="AH20" s="11">
        <f t="shared" si="15"/>
        <v>0</v>
      </c>
      <c r="AI20" s="11">
        <f t="shared" si="16"/>
        <v>0</v>
      </c>
    </row>
    <row r="21" spans="1:36" ht="25.15" customHeight="1" x14ac:dyDescent="0.6">
      <c r="A21" s="39">
        <v>17</v>
      </c>
      <c r="B21" s="38"/>
      <c r="C21" s="41"/>
      <c r="D21" s="42">
        <f t="shared" si="0"/>
        <v>0</v>
      </c>
      <c r="E21" s="41"/>
      <c r="F21" s="46">
        <f t="shared" si="1"/>
        <v>0</v>
      </c>
      <c r="G21" s="41"/>
      <c r="H21" s="11">
        <f t="shared" si="2"/>
        <v>0</v>
      </c>
      <c r="I21" s="41"/>
      <c r="J21" s="11">
        <f t="shared" si="3"/>
        <v>0</v>
      </c>
      <c r="K21" s="41"/>
      <c r="L21" s="11">
        <f t="shared" si="4"/>
        <v>0</v>
      </c>
      <c r="M21" s="41"/>
      <c r="N21" s="46"/>
      <c r="O21" s="41"/>
      <c r="P21" s="46"/>
      <c r="Q21" s="41"/>
      <c r="R21" s="46"/>
      <c r="S21" s="41"/>
      <c r="T21" s="11">
        <f t="shared" si="8"/>
        <v>0</v>
      </c>
      <c r="U21" s="46"/>
      <c r="V21" s="11">
        <f t="shared" si="9"/>
        <v>0</v>
      </c>
      <c r="W21" s="11"/>
      <c r="X21" s="11"/>
      <c r="Y21" s="11"/>
      <c r="Z21" s="11"/>
      <c r="AA21" s="11"/>
      <c r="AB21" s="11"/>
      <c r="AC21" s="6"/>
      <c r="AD21" s="6"/>
      <c r="AE21" s="41"/>
      <c r="AF21" s="46"/>
      <c r="AG21" s="11">
        <f t="shared" si="14"/>
        <v>0</v>
      </c>
      <c r="AH21" s="11">
        <f t="shared" si="15"/>
        <v>0</v>
      </c>
      <c r="AI21" s="11">
        <f t="shared" si="16"/>
        <v>0</v>
      </c>
    </row>
    <row r="22" spans="1:36" ht="25.15" customHeight="1" x14ac:dyDescent="0.6">
      <c r="A22" s="39">
        <v>18</v>
      </c>
      <c r="B22" s="38"/>
      <c r="C22" s="41"/>
      <c r="D22" s="42">
        <f t="shared" si="0"/>
        <v>0</v>
      </c>
      <c r="E22" s="41"/>
      <c r="F22" s="46">
        <f t="shared" si="1"/>
        <v>0</v>
      </c>
      <c r="G22" s="41"/>
      <c r="H22" s="11">
        <f t="shared" si="2"/>
        <v>0</v>
      </c>
      <c r="I22" s="41"/>
      <c r="J22" s="11">
        <f t="shared" si="3"/>
        <v>0</v>
      </c>
      <c r="K22" s="41"/>
      <c r="L22" s="11">
        <f t="shared" si="4"/>
        <v>0</v>
      </c>
      <c r="M22" s="41"/>
      <c r="N22" s="46"/>
      <c r="O22" s="41"/>
      <c r="P22" s="46"/>
      <c r="Q22" s="41"/>
      <c r="R22" s="46"/>
      <c r="S22" s="41"/>
      <c r="T22" s="11">
        <f t="shared" si="8"/>
        <v>0</v>
      </c>
      <c r="U22" s="46"/>
      <c r="V22" s="11"/>
      <c r="W22" s="11"/>
      <c r="X22" s="11"/>
      <c r="Y22" s="11"/>
      <c r="Z22" s="11"/>
      <c r="AA22" s="11"/>
      <c r="AB22" s="11"/>
      <c r="AC22" s="6"/>
      <c r="AD22" s="6"/>
      <c r="AE22" s="41"/>
      <c r="AF22" s="46"/>
      <c r="AG22" s="11">
        <f t="shared" si="14"/>
        <v>0</v>
      </c>
      <c r="AH22" s="11">
        <f t="shared" si="15"/>
        <v>0</v>
      </c>
      <c r="AI22" s="11">
        <f t="shared" si="16"/>
        <v>0</v>
      </c>
    </row>
    <row r="23" spans="1:36" ht="25.15" customHeight="1" x14ac:dyDescent="0.6">
      <c r="A23" s="39"/>
      <c r="B23" s="38"/>
      <c r="C23" s="41"/>
      <c r="D23" s="42">
        <f t="shared" si="0"/>
        <v>0</v>
      </c>
      <c r="E23" s="41"/>
      <c r="F23" s="46">
        <f t="shared" si="1"/>
        <v>0</v>
      </c>
      <c r="G23" s="41"/>
      <c r="H23" s="11">
        <f t="shared" si="2"/>
        <v>0</v>
      </c>
      <c r="I23" s="41"/>
      <c r="J23" s="11">
        <f t="shared" si="3"/>
        <v>0</v>
      </c>
      <c r="K23" s="41"/>
      <c r="L23" s="11">
        <f t="shared" si="4"/>
        <v>0</v>
      </c>
      <c r="M23" s="41"/>
      <c r="N23" s="46"/>
      <c r="O23" s="41"/>
      <c r="P23" s="46"/>
      <c r="Q23" s="41"/>
      <c r="R23" s="46"/>
      <c r="S23" s="41"/>
      <c r="T23" s="46"/>
      <c r="U23" s="46"/>
      <c r="V23" s="11"/>
      <c r="W23" s="11"/>
      <c r="X23" s="11"/>
      <c r="Y23" s="11"/>
      <c r="Z23" s="11"/>
      <c r="AA23" s="11"/>
      <c r="AB23" s="11"/>
      <c r="AC23" s="6"/>
      <c r="AD23" s="6"/>
      <c r="AE23" s="41"/>
      <c r="AF23" s="46"/>
      <c r="AG23" s="11">
        <f t="shared" si="14"/>
        <v>0</v>
      </c>
      <c r="AH23" s="11">
        <f t="shared" si="15"/>
        <v>0</v>
      </c>
      <c r="AI23" s="11">
        <f t="shared" si="16"/>
        <v>0</v>
      </c>
    </row>
    <row r="24" spans="1:36" ht="25.15" customHeight="1" x14ac:dyDescent="0.6">
      <c r="A24" s="39"/>
      <c r="B24" s="38"/>
      <c r="C24" s="41"/>
      <c r="D24" s="42"/>
      <c r="E24" s="41"/>
      <c r="F24" s="46"/>
      <c r="G24" s="41"/>
      <c r="H24" s="11">
        <f t="shared" si="2"/>
        <v>0</v>
      </c>
      <c r="I24" s="41"/>
      <c r="J24" s="11">
        <f t="shared" si="3"/>
        <v>0</v>
      </c>
      <c r="K24" s="41"/>
      <c r="L24" s="11">
        <f t="shared" si="4"/>
        <v>0</v>
      </c>
      <c r="M24" s="41"/>
      <c r="N24" s="46"/>
      <c r="O24" s="41"/>
      <c r="P24" s="46"/>
      <c r="Q24" s="41"/>
      <c r="R24" s="46"/>
      <c r="S24" s="41"/>
      <c r="T24" s="46"/>
      <c r="U24" s="46"/>
      <c r="V24" s="11"/>
      <c r="W24" s="11"/>
      <c r="X24" s="11"/>
      <c r="Y24" s="11"/>
      <c r="Z24" s="11"/>
      <c r="AA24" s="11"/>
      <c r="AB24" s="11"/>
      <c r="AC24" s="6"/>
      <c r="AD24" s="6"/>
      <c r="AE24" s="41"/>
      <c r="AF24" s="46"/>
      <c r="AG24" s="11">
        <f t="shared" si="14"/>
        <v>0</v>
      </c>
      <c r="AH24" s="11">
        <f t="shared" si="15"/>
        <v>0</v>
      </c>
      <c r="AI24" s="11">
        <f t="shared" si="16"/>
        <v>0</v>
      </c>
      <c r="AJ24" s="1">
        <v>50160</v>
      </c>
    </row>
    <row r="25" spans="1:36" ht="25.15" customHeight="1" x14ac:dyDescent="0.6">
      <c r="A25" s="39"/>
      <c r="B25" s="38"/>
      <c r="C25" s="41"/>
      <c r="D25" s="42"/>
      <c r="E25" s="41"/>
      <c r="F25" s="46"/>
      <c r="G25" s="41"/>
      <c r="H25" s="11">
        <f t="shared" si="2"/>
        <v>0</v>
      </c>
      <c r="I25" s="41"/>
      <c r="J25" s="46"/>
      <c r="K25" s="41"/>
      <c r="L25" s="46"/>
      <c r="M25" s="41"/>
      <c r="N25" s="46"/>
      <c r="O25" s="41"/>
      <c r="P25" s="46"/>
      <c r="Q25" s="41"/>
      <c r="R25" s="46"/>
      <c r="S25" s="41"/>
      <c r="T25" s="46"/>
      <c r="U25" s="46"/>
      <c r="V25" s="11"/>
      <c r="W25" s="11"/>
      <c r="X25" s="11"/>
      <c r="Y25" s="11"/>
      <c r="Z25" s="11"/>
      <c r="AA25" s="11"/>
      <c r="AB25" s="11"/>
      <c r="AC25" s="6"/>
      <c r="AD25" s="6"/>
      <c r="AE25" s="41"/>
      <c r="AF25" s="46"/>
      <c r="AG25" s="11">
        <f t="shared" si="14"/>
        <v>0</v>
      </c>
      <c r="AH25" s="11">
        <f t="shared" si="15"/>
        <v>0</v>
      </c>
      <c r="AI25" s="11">
        <f t="shared" si="16"/>
        <v>0</v>
      </c>
      <c r="AJ25" s="1">
        <v>15780</v>
      </c>
    </row>
    <row r="26" spans="1:36" ht="25.15" customHeight="1" x14ac:dyDescent="0.6">
      <c r="A26" s="39"/>
      <c r="B26" s="38"/>
      <c r="C26" s="41"/>
      <c r="D26" s="42"/>
      <c r="E26" s="41"/>
      <c r="F26" s="46"/>
      <c r="G26" s="41"/>
      <c r="H26" s="46"/>
      <c r="I26" s="41"/>
      <c r="J26" s="46"/>
      <c r="K26" s="41"/>
      <c r="L26" s="46"/>
      <c r="M26" s="41"/>
      <c r="N26" s="46"/>
      <c r="O26" s="41"/>
      <c r="P26" s="46"/>
      <c r="Q26" s="41"/>
      <c r="R26" s="46"/>
      <c r="S26" s="41"/>
      <c r="T26" s="46"/>
      <c r="U26" s="46"/>
      <c r="V26" s="11"/>
      <c r="W26" s="11"/>
      <c r="X26" s="11"/>
      <c r="Y26" s="11"/>
      <c r="Z26" s="11"/>
      <c r="AA26" s="11"/>
      <c r="AB26" s="11"/>
      <c r="AC26" s="6"/>
      <c r="AD26" s="6"/>
      <c r="AE26" s="41"/>
      <c r="AF26" s="46"/>
      <c r="AG26" s="6"/>
      <c r="AH26" s="6"/>
      <c r="AI26" s="11">
        <f t="shared" si="16"/>
        <v>0</v>
      </c>
      <c r="AJ26" s="1">
        <f>SUM(AJ24:AJ25)</f>
        <v>65940</v>
      </c>
    </row>
    <row r="27" spans="1:36" ht="25.15" customHeight="1" x14ac:dyDescent="0.6">
      <c r="A27" s="39"/>
      <c r="B27" s="37"/>
      <c r="C27" s="51">
        <f>SUM(C6:C26)</f>
        <v>0</v>
      </c>
      <c r="D27" s="46">
        <f>SUM(D6:D26)</f>
        <v>0</v>
      </c>
      <c r="E27" s="51">
        <f>SUM(E6:E26)</f>
        <v>0</v>
      </c>
      <c r="F27" s="46">
        <f>SUM(F6:F26)</f>
        <v>0</v>
      </c>
      <c r="G27" s="52">
        <f t="shared" ref="G27:AF27" si="18">SUM(G6:G26)</f>
        <v>0</v>
      </c>
      <c r="H27" s="46">
        <f t="shared" si="18"/>
        <v>0</v>
      </c>
      <c r="I27" s="52">
        <f t="shared" si="18"/>
        <v>0</v>
      </c>
      <c r="J27" s="46">
        <f t="shared" si="18"/>
        <v>0</v>
      </c>
      <c r="K27" s="52">
        <f t="shared" si="18"/>
        <v>0</v>
      </c>
      <c r="L27" s="46">
        <f t="shared" si="18"/>
        <v>0</v>
      </c>
      <c r="M27" s="52">
        <f t="shared" si="18"/>
        <v>0</v>
      </c>
      <c r="N27" s="46">
        <f t="shared" si="18"/>
        <v>0</v>
      </c>
      <c r="O27" s="46">
        <f t="shared" si="18"/>
        <v>0</v>
      </c>
      <c r="P27" s="46">
        <f t="shared" si="18"/>
        <v>0</v>
      </c>
      <c r="Q27" s="46">
        <f t="shared" si="18"/>
        <v>0</v>
      </c>
      <c r="R27" s="46">
        <f t="shared" si="18"/>
        <v>0</v>
      </c>
      <c r="S27" s="52">
        <f t="shared" si="18"/>
        <v>0</v>
      </c>
      <c r="T27" s="46">
        <f t="shared" si="18"/>
        <v>0</v>
      </c>
      <c r="U27" s="52">
        <f t="shared" si="18"/>
        <v>0</v>
      </c>
      <c r="V27" s="46">
        <f t="shared" si="18"/>
        <v>0</v>
      </c>
      <c r="W27" s="46">
        <f t="shared" si="18"/>
        <v>0</v>
      </c>
      <c r="X27" s="46">
        <f t="shared" si="18"/>
        <v>0</v>
      </c>
      <c r="Y27" s="46">
        <f t="shared" si="18"/>
        <v>0</v>
      </c>
      <c r="Z27" s="46">
        <f t="shared" si="18"/>
        <v>0</v>
      </c>
      <c r="AA27" s="46">
        <f t="shared" si="18"/>
        <v>0</v>
      </c>
      <c r="AB27" s="46">
        <f t="shared" si="18"/>
        <v>0</v>
      </c>
      <c r="AC27" s="46">
        <f t="shared" si="18"/>
        <v>0</v>
      </c>
      <c r="AD27" s="46">
        <f t="shared" si="18"/>
        <v>0</v>
      </c>
      <c r="AE27" s="46">
        <f t="shared" si="18"/>
        <v>0</v>
      </c>
      <c r="AF27" s="46">
        <f t="shared" si="18"/>
        <v>0</v>
      </c>
      <c r="AG27" s="6">
        <f>SUM(AG6:AG26)</f>
        <v>0</v>
      </c>
      <c r="AH27" s="6">
        <f>SUM(AH6:AH26)</f>
        <v>0</v>
      </c>
      <c r="AI27" s="11">
        <f t="shared" si="16"/>
        <v>0</v>
      </c>
      <c r="AJ27" s="1">
        <v>7200</v>
      </c>
    </row>
    <row r="28" spans="1:36" ht="25.15" customHeight="1" x14ac:dyDescent="0.6">
      <c r="AI28" s="1">
        <f>SUM(AI26:AI27)</f>
        <v>0</v>
      </c>
      <c r="AJ28" s="1">
        <f>SUM(AJ26:AJ27)</f>
        <v>73140</v>
      </c>
    </row>
    <row r="29" spans="1:36" ht="25.15" customHeight="1" x14ac:dyDescent="0.6"/>
    <row r="30" spans="1:36" ht="25.15" customHeight="1" x14ac:dyDescent="0.6"/>
    <row r="31" spans="1:36" ht="25.15" customHeight="1" x14ac:dyDescent="0.6"/>
    <row r="32" spans="1:36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  <row r="91" ht="25.15" customHeight="1" x14ac:dyDescent="0.6"/>
    <row r="92" ht="25.15" customHeight="1" x14ac:dyDescent="0.6"/>
    <row r="93" ht="25.15" customHeight="1" x14ac:dyDescent="0.6"/>
    <row r="94" ht="25.15" customHeight="1" x14ac:dyDescent="0.6"/>
    <row r="95" ht="25.15" customHeight="1" x14ac:dyDescent="0.6"/>
    <row r="96" ht="25.15" customHeight="1" x14ac:dyDescent="0.6"/>
  </sheetData>
  <mergeCells count="20">
    <mergeCell ref="AE3:AF3"/>
    <mergeCell ref="AG3:AI3"/>
    <mergeCell ref="A2:A4"/>
    <mergeCell ref="B2:B4"/>
    <mergeCell ref="C3:D3"/>
    <mergeCell ref="E3:F3"/>
    <mergeCell ref="G3:H3"/>
    <mergeCell ref="AC3:AD3"/>
    <mergeCell ref="AA3:AB3"/>
    <mergeCell ref="C1:AB1"/>
    <mergeCell ref="C2:AB2"/>
    <mergeCell ref="I3:J3"/>
    <mergeCell ref="K3:L3"/>
    <mergeCell ref="M3:N3"/>
    <mergeCell ref="O3:P3"/>
    <mergeCell ref="Q3:R3"/>
    <mergeCell ref="S3:T3"/>
    <mergeCell ref="U3:V3"/>
    <mergeCell ref="W3:X3"/>
    <mergeCell ref="Y3:Z3"/>
  </mergeCells>
  <hyperlinks>
    <hyperlink ref="C1:AB1" location="'SMM YGN '!A1" display="ရွှေဧရာ ( ၁၆ လမ်း)" xr:uid="{00000000-0004-0000-0E00-000000000000}"/>
    <hyperlink ref="AE1:AF1" location="'SMM YGN '!A1" display="ရွှေဧရာ ( ၁၆ လမ်း)" xr:uid="{00000000-0004-0000-0E00-000001000000}"/>
  </hyperlink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1:AG91"/>
  <sheetViews>
    <sheetView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L14" sqref="L14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6" width="10.28515625" style="1" customWidth="1"/>
    <col min="7" max="8" width="10" style="1" customWidth="1"/>
    <col min="9" max="10" width="9.85546875" style="1" customWidth="1"/>
    <col min="11" max="22" width="8.85546875" style="1" customWidth="1"/>
    <col min="23" max="24" width="9.140625" style="1" customWidth="1"/>
    <col min="25" max="32" width="8.85546875" style="1" customWidth="1"/>
    <col min="33" max="16384" width="9" style="1"/>
  </cols>
  <sheetData>
    <row r="1" spans="1:33" ht="21.75" x14ac:dyDescent="0.6">
      <c r="A1" s="23"/>
      <c r="B1" s="24"/>
      <c r="C1" s="745" t="s">
        <v>94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X1" s="1" t="s">
        <v>68</v>
      </c>
      <c r="Y1" s="1">
        <f>AE22</f>
        <v>2760</v>
      </c>
      <c r="AA1" s="25">
        <v>12</v>
      </c>
      <c r="AB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X2" s="1" t="s">
        <v>67</v>
      </c>
      <c r="Y2" s="27">
        <f>AF22</f>
        <v>37440</v>
      </c>
      <c r="AA2" s="28">
        <v>24</v>
      </c>
      <c r="AB2" s="29">
        <v>40</v>
      </c>
    </row>
    <row r="3" spans="1:33" s="27" customFormat="1" ht="47.2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340</v>
      </c>
      <c r="AB3" s="755"/>
      <c r="AC3" s="736" t="s">
        <v>321</v>
      </c>
      <c r="AD3" s="737"/>
      <c r="AE3" s="742" t="s">
        <v>322</v>
      </c>
      <c r="AF3" s="744"/>
      <c r="AG3" s="103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30" customHeight="1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6"/>
      <c r="X5" s="16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45689</v>
      </c>
      <c r="C6" s="11">
        <v>50</v>
      </c>
      <c r="D6" s="11">
        <f>C6*14</f>
        <v>700</v>
      </c>
      <c r="E6" s="11">
        <v>250</v>
      </c>
      <c r="F6" s="11">
        <f>E6*12</f>
        <v>3000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300</v>
      </c>
      <c r="AF6" s="11">
        <f>D6+F6+H6+J6+L6+N6+P6+R6+T6+V6+X6+Z6+AB6+AD6</f>
        <v>3700</v>
      </c>
      <c r="AG6" s="11">
        <f>(D6*$D$5)+(F6*$F$5)+(H6*$H$5)+(J6*$J$5)+(L6*$L$5)+(N6*$N$5)+(P6*$P$5)+(R6*$R$5)+(T6*$T$5)+(V6*$V$5)+(X6*$X$5)+(Z6*$Z$5)+(AB6*$AB$5)+(AD6*$AD$5)</f>
        <v>3448</v>
      </c>
    </row>
    <row r="7" spans="1:33" s="19" customFormat="1" ht="25.15" customHeight="1" x14ac:dyDescent="0.25">
      <c r="A7" s="37">
        <v>2</v>
      </c>
      <c r="B7" s="38">
        <v>45717</v>
      </c>
      <c r="C7" s="11">
        <v>200</v>
      </c>
      <c r="D7" s="11">
        <f t="shared" ref="D7:D18" si="0">C7*14</f>
        <v>2800</v>
      </c>
      <c r="E7" s="11">
        <v>250</v>
      </c>
      <c r="F7" s="11">
        <f>E7*12</f>
        <v>3000</v>
      </c>
      <c r="G7" s="11"/>
      <c r="H7" s="11">
        <f t="shared" ref="H7:H16" si="1">G7*12</f>
        <v>0</v>
      </c>
      <c r="I7" s="11"/>
      <c r="J7" s="11">
        <f t="shared" ref="J7:J12" si="2">I7*40</f>
        <v>0</v>
      </c>
      <c r="K7" s="11"/>
      <c r="L7" s="11">
        <f t="shared" ref="L7:L17" si="3">K7*12</f>
        <v>0</v>
      </c>
      <c r="M7" s="11"/>
      <c r="N7" s="11">
        <f t="shared" ref="N7:N12" si="4">M7*12</f>
        <v>0</v>
      </c>
      <c r="O7" s="11"/>
      <c r="P7" s="11">
        <f t="shared" ref="P7:P17" si="5">O7*40</f>
        <v>0</v>
      </c>
      <c r="Q7" s="11"/>
      <c r="R7" s="11">
        <f t="shared" ref="R7:R12" si="6">Q7*14</f>
        <v>0</v>
      </c>
      <c r="S7" s="11"/>
      <c r="T7" s="11">
        <f>S7*14</f>
        <v>0</v>
      </c>
      <c r="U7" s="11"/>
      <c r="V7" s="11">
        <f t="shared" ref="V7:V17" si="7">U7*24</f>
        <v>0</v>
      </c>
      <c r="W7" s="11"/>
      <c r="X7" s="11">
        <f t="shared" ref="X7:X12" si="8">W7*12</f>
        <v>0</v>
      </c>
      <c r="Y7" s="11"/>
      <c r="Z7" s="11">
        <f t="shared" ref="Z7:Z12" si="9">Y7*12</f>
        <v>0</v>
      </c>
      <c r="AA7" s="11"/>
      <c r="AB7" s="11">
        <f t="shared" ref="AB7:AB16" si="10">AA7*12</f>
        <v>0</v>
      </c>
      <c r="AC7" s="11"/>
      <c r="AD7" s="11">
        <f t="shared" ref="AD7:AD12" si="11">AC7*12</f>
        <v>0</v>
      </c>
      <c r="AE7" s="11">
        <f t="shared" ref="AE7:AF18" si="12">C7+E7+G7+I7+K7+M7+O7+Q7+S7+U7+W7+Y7+AA7+AC7</f>
        <v>450</v>
      </c>
      <c r="AF7" s="11">
        <f t="shared" si="12"/>
        <v>5800</v>
      </c>
      <c r="AG7" s="11">
        <f t="shared" ref="AG7:AG22" si="13">(D7*$D$5)+(F7*$F$5)+(H7*$H$5)+(J7*$J$5)+(L7*$L$5)+(N7*$N$5)+(P7*$P$5)+(R7*$R$5)+(T7*$T$5)+(V7*$V$5)+(X7*$X$5)+(Z7*$Z$5)+(AB7*$AB$5)+(AD7*$AD$5)</f>
        <v>4792</v>
      </c>
    </row>
    <row r="8" spans="1:33" s="19" customFormat="1" ht="25.15" customHeight="1" x14ac:dyDescent="0.25">
      <c r="A8" s="37">
        <v>3</v>
      </c>
      <c r="B8" s="38">
        <v>45809</v>
      </c>
      <c r="C8" s="11">
        <v>400</v>
      </c>
      <c r="D8" s="11">
        <f t="shared" si="0"/>
        <v>5600</v>
      </c>
      <c r="E8" s="11">
        <v>250</v>
      </c>
      <c r="F8" s="11">
        <f>E8*12</f>
        <v>3000</v>
      </c>
      <c r="G8" s="11"/>
      <c r="H8" s="11">
        <f t="shared" si="1"/>
        <v>0</v>
      </c>
      <c r="I8" s="11"/>
      <c r="J8" s="11">
        <f t="shared" si="2"/>
        <v>0</v>
      </c>
      <c r="K8" s="11"/>
      <c r="L8" s="11">
        <f t="shared" si="3"/>
        <v>0</v>
      </c>
      <c r="M8" s="11"/>
      <c r="N8" s="11">
        <f t="shared" si="4"/>
        <v>0</v>
      </c>
      <c r="O8" s="11"/>
      <c r="P8" s="11">
        <f t="shared" si="5"/>
        <v>0</v>
      </c>
      <c r="Q8" s="11"/>
      <c r="R8" s="11">
        <f t="shared" si="6"/>
        <v>0</v>
      </c>
      <c r="S8" s="11"/>
      <c r="T8" s="11">
        <f>S8*14</f>
        <v>0</v>
      </c>
      <c r="U8" s="11"/>
      <c r="V8" s="11">
        <f t="shared" si="7"/>
        <v>0</v>
      </c>
      <c r="W8" s="11"/>
      <c r="X8" s="11">
        <f t="shared" si="8"/>
        <v>0</v>
      </c>
      <c r="Y8" s="11"/>
      <c r="Z8" s="11">
        <f t="shared" si="9"/>
        <v>0</v>
      </c>
      <c r="AA8" s="11"/>
      <c r="AB8" s="11">
        <f t="shared" si="10"/>
        <v>0</v>
      </c>
      <c r="AC8" s="11"/>
      <c r="AD8" s="11">
        <f t="shared" si="11"/>
        <v>0</v>
      </c>
      <c r="AE8" s="11">
        <f t="shared" si="12"/>
        <v>650</v>
      </c>
      <c r="AF8" s="11">
        <f>D8+F8+H8+J8+L8+N8+P8+R8+T8+V8+X8+Z8+AB8+AD8</f>
        <v>8600</v>
      </c>
      <c r="AG8" s="11">
        <f t="shared" si="13"/>
        <v>6584</v>
      </c>
    </row>
    <row r="9" spans="1:33" s="19" customFormat="1" ht="25.15" customHeight="1" x14ac:dyDescent="0.25">
      <c r="A9" s="37">
        <v>4</v>
      </c>
      <c r="B9" s="38">
        <v>45870</v>
      </c>
      <c r="C9" s="11">
        <v>400</v>
      </c>
      <c r="D9" s="11">
        <f t="shared" si="0"/>
        <v>5600</v>
      </c>
      <c r="E9" s="11">
        <v>200</v>
      </c>
      <c r="F9" s="11">
        <f t="shared" ref="F9:F18" si="14">E9*12</f>
        <v>2400</v>
      </c>
      <c r="G9" s="11"/>
      <c r="H9" s="11">
        <f t="shared" si="1"/>
        <v>0</v>
      </c>
      <c r="I9" s="11"/>
      <c r="J9" s="11">
        <f t="shared" si="2"/>
        <v>0</v>
      </c>
      <c r="K9" s="11"/>
      <c r="L9" s="11">
        <f t="shared" si="3"/>
        <v>0</v>
      </c>
      <c r="M9" s="11"/>
      <c r="N9" s="11">
        <f t="shared" si="4"/>
        <v>0</v>
      </c>
      <c r="O9" s="11"/>
      <c r="P9" s="11">
        <f t="shared" si="5"/>
        <v>0</v>
      </c>
      <c r="Q9" s="11"/>
      <c r="R9" s="11">
        <f t="shared" si="6"/>
        <v>0</v>
      </c>
      <c r="S9" s="11"/>
      <c r="T9" s="11">
        <f>S9*14</f>
        <v>0</v>
      </c>
      <c r="U9" s="11">
        <v>30</v>
      </c>
      <c r="V9" s="11">
        <f t="shared" si="7"/>
        <v>720</v>
      </c>
      <c r="W9" s="11"/>
      <c r="X9" s="11">
        <f t="shared" si="8"/>
        <v>0</v>
      </c>
      <c r="Y9" s="11"/>
      <c r="Z9" s="11">
        <f t="shared" si="9"/>
        <v>0</v>
      </c>
      <c r="AA9" s="11"/>
      <c r="AB9" s="11">
        <f t="shared" si="10"/>
        <v>0</v>
      </c>
      <c r="AC9" s="11"/>
      <c r="AD9" s="11">
        <f t="shared" si="11"/>
        <v>0</v>
      </c>
      <c r="AE9" s="11">
        <f>C9+E9+G9+I9+K9+M9+O9+Q9+S9+U9+W9+Y9+AA9+AC9</f>
        <v>630</v>
      </c>
      <c r="AF9" s="11">
        <f t="shared" si="12"/>
        <v>8720</v>
      </c>
      <c r="AG9" s="11">
        <f t="shared" si="13"/>
        <v>6444.8</v>
      </c>
    </row>
    <row r="10" spans="1:33" s="19" customFormat="1" ht="25.15" customHeight="1" x14ac:dyDescent="0.25">
      <c r="A10" s="37">
        <v>5</v>
      </c>
      <c r="B10" s="38">
        <v>45931</v>
      </c>
      <c r="C10" s="11"/>
      <c r="D10" s="11">
        <f t="shared" si="0"/>
        <v>0</v>
      </c>
      <c r="E10" s="11">
        <v>250</v>
      </c>
      <c r="F10" s="11">
        <f t="shared" si="14"/>
        <v>3000</v>
      </c>
      <c r="G10" s="11"/>
      <c r="H10" s="11">
        <f t="shared" si="1"/>
        <v>0</v>
      </c>
      <c r="I10" s="11"/>
      <c r="J10" s="11">
        <f t="shared" si="2"/>
        <v>0</v>
      </c>
      <c r="K10" s="11"/>
      <c r="L10" s="11">
        <f t="shared" si="3"/>
        <v>0</v>
      </c>
      <c r="M10" s="11"/>
      <c r="N10" s="11">
        <f t="shared" si="4"/>
        <v>0</v>
      </c>
      <c r="O10" s="11"/>
      <c r="P10" s="11">
        <f t="shared" si="5"/>
        <v>0</v>
      </c>
      <c r="Q10" s="11"/>
      <c r="R10" s="11">
        <f t="shared" si="6"/>
        <v>0</v>
      </c>
      <c r="S10" s="11"/>
      <c r="T10" s="11">
        <f>S10*14</f>
        <v>0</v>
      </c>
      <c r="U10" s="11"/>
      <c r="V10" s="11">
        <f t="shared" si="7"/>
        <v>0</v>
      </c>
      <c r="W10" s="11"/>
      <c r="X10" s="11">
        <f t="shared" si="8"/>
        <v>0</v>
      </c>
      <c r="Y10" s="11"/>
      <c r="Z10" s="11">
        <f t="shared" si="9"/>
        <v>0</v>
      </c>
      <c r="AA10" s="11"/>
      <c r="AB10" s="11">
        <f t="shared" si="10"/>
        <v>0</v>
      </c>
      <c r="AC10" s="11"/>
      <c r="AD10" s="11">
        <f t="shared" si="11"/>
        <v>0</v>
      </c>
      <c r="AE10" s="11">
        <f t="shared" ref="AE10:AE18" si="15">C10+E10+G10+I10+K10+M10+O10+Q10+S10+U10+W10+Y10+AA10+AC10</f>
        <v>250</v>
      </c>
      <c r="AF10" s="11">
        <f t="shared" si="12"/>
        <v>3000</v>
      </c>
      <c r="AG10" s="11">
        <f t="shared" si="13"/>
        <v>3000</v>
      </c>
    </row>
    <row r="11" spans="1:33" s="19" customFormat="1" ht="25.15" customHeight="1" x14ac:dyDescent="0.25">
      <c r="A11" s="37">
        <v>6</v>
      </c>
      <c r="B11" s="38">
        <v>45962</v>
      </c>
      <c r="C11" s="11">
        <v>150</v>
      </c>
      <c r="D11" s="11">
        <v>2100</v>
      </c>
      <c r="E11" s="11">
        <v>200</v>
      </c>
      <c r="F11" s="11">
        <v>2400</v>
      </c>
      <c r="G11" s="11"/>
      <c r="H11" s="11">
        <v>0</v>
      </c>
      <c r="I11" s="11"/>
      <c r="J11" s="11">
        <v>0</v>
      </c>
      <c r="K11" s="11"/>
      <c r="L11" s="11">
        <v>0</v>
      </c>
      <c r="M11" s="11"/>
      <c r="N11" s="11">
        <v>0</v>
      </c>
      <c r="O11" s="11"/>
      <c r="P11" s="11">
        <v>0</v>
      </c>
      <c r="Q11" s="11"/>
      <c r="R11" s="11">
        <v>0</v>
      </c>
      <c r="S11" s="11"/>
      <c r="T11" s="11">
        <v>0</v>
      </c>
      <c r="U11" s="11">
        <v>130</v>
      </c>
      <c r="V11" s="11">
        <v>3120</v>
      </c>
      <c r="W11" s="11"/>
      <c r="X11" s="11">
        <f t="shared" si="8"/>
        <v>0</v>
      </c>
      <c r="Y11" s="11"/>
      <c r="Z11" s="11">
        <f t="shared" si="9"/>
        <v>0</v>
      </c>
      <c r="AA11" s="11"/>
      <c r="AB11" s="11">
        <f t="shared" si="10"/>
        <v>0</v>
      </c>
      <c r="AC11" s="11"/>
      <c r="AD11" s="11">
        <f t="shared" si="11"/>
        <v>0</v>
      </c>
      <c r="AE11" s="11">
        <f t="shared" si="15"/>
        <v>480</v>
      </c>
      <c r="AF11" s="11">
        <f t="shared" si="12"/>
        <v>7620</v>
      </c>
      <c r="AG11" s="11">
        <f t="shared" si="13"/>
        <v>5740.8</v>
      </c>
    </row>
    <row r="12" spans="1:33" ht="25.15" customHeight="1" x14ac:dyDescent="0.6">
      <c r="A12" s="37">
        <v>7</v>
      </c>
      <c r="B12" s="38"/>
      <c r="C12" s="6"/>
      <c r="D12" s="11">
        <f t="shared" si="0"/>
        <v>0</v>
      </c>
      <c r="E12" s="6"/>
      <c r="F12" s="11">
        <f t="shared" si="14"/>
        <v>0</v>
      </c>
      <c r="G12" s="6"/>
      <c r="H12" s="11">
        <f t="shared" si="1"/>
        <v>0</v>
      </c>
      <c r="I12" s="6"/>
      <c r="J12" s="11">
        <f t="shared" si="2"/>
        <v>0</v>
      </c>
      <c r="K12" s="6"/>
      <c r="L12" s="11">
        <f t="shared" si="3"/>
        <v>0</v>
      </c>
      <c r="M12" s="6"/>
      <c r="N12" s="11">
        <f t="shared" si="4"/>
        <v>0</v>
      </c>
      <c r="O12" s="6"/>
      <c r="P12" s="11">
        <f t="shared" si="5"/>
        <v>0</v>
      </c>
      <c r="Q12" s="6"/>
      <c r="R12" s="11">
        <f t="shared" si="6"/>
        <v>0</v>
      </c>
      <c r="S12" s="6"/>
      <c r="T12" s="11">
        <f>S12*14</f>
        <v>0</v>
      </c>
      <c r="U12" s="11"/>
      <c r="V12" s="11">
        <f t="shared" si="7"/>
        <v>0</v>
      </c>
      <c r="W12" s="6"/>
      <c r="X12" s="11">
        <f t="shared" si="8"/>
        <v>0</v>
      </c>
      <c r="Y12" s="6"/>
      <c r="Z12" s="11">
        <f t="shared" si="9"/>
        <v>0</v>
      </c>
      <c r="AA12" s="6"/>
      <c r="AB12" s="11">
        <f t="shared" si="10"/>
        <v>0</v>
      </c>
      <c r="AC12" s="6"/>
      <c r="AD12" s="11">
        <f t="shared" si="11"/>
        <v>0</v>
      </c>
      <c r="AE12" s="11">
        <f t="shared" si="15"/>
        <v>0</v>
      </c>
      <c r="AF12" s="11">
        <f t="shared" si="12"/>
        <v>0</v>
      </c>
      <c r="AG12" s="11">
        <f t="shared" si="13"/>
        <v>0</v>
      </c>
    </row>
    <row r="13" spans="1:33" ht="25.15" customHeight="1" x14ac:dyDescent="0.6">
      <c r="A13" s="37">
        <v>8</v>
      </c>
      <c r="B13" s="38"/>
      <c r="C13" s="6"/>
      <c r="D13" s="11">
        <f t="shared" si="0"/>
        <v>0</v>
      </c>
      <c r="E13" s="6"/>
      <c r="F13" s="11">
        <f t="shared" si="14"/>
        <v>0</v>
      </c>
      <c r="G13" s="6"/>
      <c r="H13" s="11">
        <f t="shared" si="1"/>
        <v>0</v>
      </c>
      <c r="I13" s="6"/>
      <c r="J13" s="11"/>
      <c r="K13" s="6"/>
      <c r="L13" s="11">
        <f t="shared" si="3"/>
        <v>0</v>
      </c>
      <c r="M13" s="6"/>
      <c r="N13" s="11"/>
      <c r="O13" s="6"/>
      <c r="P13" s="11">
        <f t="shared" si="5"/>
        <v>0</v>
      </c>
      <c r="Q13" s="6"/>
      <c r="R13" s="11"/>
      <c r="S13" s="6"/>
      <c r="T13" s="11"/>
      <c r="U13" s="11"/>
      <c r="V13" s="11">
        <f t="shared" si="7"/>
        <v>0</v>
      </c>
      <c r="W13" s="6"/>
      <c r="X13" s="6"/>
      <c r="Y13" s="6"/>
      <c r="Z13" s="6"/>
      <c r="AA13" s="6"/>
      <c r="AB13" s="11">
        <f t="shared" si="10"/>
        <v>0</v>
      </c>
      <c r="AC13" s="6"/>
      <c r="AD13" s="6"/>
      <c r="AE13" s="6">
        <f t="shared" si="15"/>
        <v>0</v>
      </c>
      <c r="AF13" s="11">
        <f t="shared" si="12"/>
        <v>0</v>
      </c>
      <c r="AG13" s="11">
        <f t="shared" si="13"/>
        <v>0</v>
      </c>
    </row>
    <row r="14" spans="1:33" ht="25.15" customHeight="1" x14ac:dyDescent="0.6">
      <c r="A14" s="37">
        <v>9</v>
      </c>
      <c r="B14" s="38"/>
      <c r="C14" s="6"/>
      <c r="D14" s="11">
        <f t="shared" si="0"/>
        <v>0</v>
      </c>
      <c r="E14" s="6"/>
      <c r="F14" s="11">
        <f t="shared" si="14"/>
        <v>0</v>
      </c>
      <c r="G14" s="6"/>
      <c r="H14" s="11">
        <f t="shared" si="1"/>
        <v>0</v>
      </c>
      <c r="I14" s="6"/>
      <c r="J14" s="11"/>
      <c r="K14" s="6"/>
      <c r="L14" s="11">
        <f t="shared" si="3"/>
        <v>0</v>
      </c>
      <c r="M14" s="6"/>
      <c r="N14" s="11"/>
      <c r="O14" s="6"/>
      <c r="P14" s="11">
        <f t="shared" si="5"/>
        <v>0</v>
      </c>
      <c r="Q14" s="6"/>
      <c r="R14" s="11"/>
      <c r="S14" s="6"/>
      <c r="T14" s="11"/>
      <c r="U14" s="11"/>
      <c r="V14" s="11">
        <f t="shared" si="7"/>
        <v>0</v>
      </c>
      <c r="W14" s="6"/>
      <c r="X14" s="6"/>
      <c r="Y14" s="6"/>
      <c r="Z14" s="6"/>
      <c r="AA14" s="6"/>
      <c r="AB14" s="11">
        <f t="shared" si="10"/>
        <v>0</v>
      </c>
      <c r="AC14" s="6"/>
      <c r="AD14" s="6"/>
      <c r="AE14" s="6">
        <f t="shared" si="15"/>
        <v>0</v>
      </c>
      <c r="AF14" s="6">
        <f t="shared" si="12"/>
        <v>0</v>
      </c>
      <c r="AG14" s="11">
        <f t="shared" si="13"/>
        <v>0</v>
      </c>
    </row>
    <row r="15" spans="1:33" ht="25.15" customHeight="1" x14ac:dyDescent="0.6">
      <c r="A15" s="37">
        <v>10</v>
      </c>
      <c r="B15" s="38"/>
      <c r="C15" s="6"/>
      <c r="D15" s="11">
        <f t="shared" si="0"/>
        <v>0</v>
      </c>
      <c r="E15" s="6"/>
      <c r="F15" s="11">
        <f t="shared" si="14"/>
        <v>0</v>
      </c>
      <c r="G15" s="6"/>
      <c r="H15" s="11">
        <f t="shared" si="1"/>
        <v>0</v>
      </c>
      <c r="I15" s="6"/>
      <c r="J15" s="11"/>
      <c r="K15" s="6"/>
      <c r="L15" s="11">
        <f t="shared" si="3"/>
        <v>0</v>
      </c>
      <c r="M15" s="6"/>
      <c r="N15" s="11"/>
      <c r="O15" s="6"/>
      <c r="P15" s="11">
        <f t="shared" si="5"/>
        <v>0</v>
      </c>
      <c r="Q15" s="6"/>
      <c r="R15" s="11"/>
      <c r="S15" s="6"/>
      <c r="T15" s="11"/>
      <c r="U15" s="11"/>
      <c r="V15" s="11">
        <f t="shared" si="7"/>
        <v>0</v>
      </c>
      <c r="W15" s="6"/>
      <c r="X15" s="6"/>
      <c r="Y15" s="6"/>
      <c r="Z15" s="6"/>
      <c r="AA15" s="6"/>
      <c r="AB15" s="11">
        <f t="shared" si="10"/>
        <v>0</v>
      </c>
      <c r="AC15" s="6"/>
      <c r="AD15" s="6"/>
      <c r="AE15" s="6">
        <f t="shared" si="15"/>
        <v>0</v>
      </c>
      <c r="AF15" s="6">
        <f t="shared" si="12"/>
        <v>0</v>
      </c>
      <c r="AG15" s="11">
        <f t="shared" si="13"/>
        <v>0</v>
      </c>
    </row>
    <row r="16" spans="1:33" ht="25.15" customHeight="1" x14ac:dyDescent="0.6">
      <c r="A16" s="37">
        <v>11</v>
      </c>
      <c r="B16" s="38"/>
      <c r="C16" s="6"/>
      <c r="D16" s="11">
        <f t="shared" si="0"/>
        <v>0</v>
      </c>
      <c r="E16" s="6"/>
      <c r="F16" s="11">
        <f t="shared" si="14"/>
        <v>0</v>
      </c>
      <c r="G16" s="6"/>
      <c r="H16" s="11">
        <f t="shared" si="1"/>
        <v>0</v>
      </c>
      <c r="I16" s="6"/>
      <c r="J16" s="11"/>
      <c r="K16" s="6"/>
      <c r="L16" s="11">
        <f t="shared" si="3"/>
        <v>0</v>
      </c>
      <c r="M16" s="6"/>
      <c r="N16" s="11"/>
      <c r="O16" s="6"/>
      <c r="P16" s="11">
        <f t="shared" si="5"/>
        <v>0</v>
      </c>
      <c r="Q16" s="6"/>
      <c r="R16" s="11"/>
      <c r="S16" s="6"/>
      <c r="T16" s="11"/>
      <c r="U16" s="11"/>
      <c r="V16" s="11">
        <f t="shared" si="7"/>
        <v>0</v>
      </c>
      <c r="W16" s="6"/>
      <c r="X16" s="6"/>
      <c r="Y16" s="6"/>
      <c r="Z16" s="6"/>
      <c r="AA16" s="6"/>
      <c r="AB16" s="11">
        <f t="shared" si="10"/>
        <v>0</v>
      </c>
      <c r="AC16" s="6"/>
      <c r="AD16" s="6"/>
      <c r="AE16" s="6">
        <f t="shared" si="15"/>
        <v>0</v>
      </c>
      <c r="AF16" s="6">
        <f t="shared" si="12"/>
        <v>0</v>
      </c>
      <c r="AG16" s="11">
        <f t="shared" si="13"/>
        <v>0</v>
      </c>
    </row>
    <row r="17" spans="1:33" ht="25.15" customHeight="1" x14ac:dyDescent="0.6">
      <c r="A17" s="39">
        <v>12</v>
      </c>
      <c r="B17" s="38"/>
      <c r="C17" s="6"/>
      <c r="D17" s="11">
        <f t="shared" si="0"/>
        <v>0</v>
      </c>
      <c r="E17" s="6"/>
      <c r="F17" s="11">
        <f t="shared" si="14"/>
        <v>0</v>
      </c>
      <c r="G17" s="6"/>
      <c r="H17" s="11"/>
      <c r="I17" s="6"/>
      <c r="J17" s="11"/>
      <c r="K17" s="6"/>
      <c r="L17" s="11">
        <f t="shared" si="3"/>
        <v>0</v>
      </c>
      <c r="M17" s="6"/>
      <c r="N17" s="11"/>
      <c r="O17" s="6"/>
      <c r="P17" s="11">
        <f t="shared" si="5"/>
        <v>0</v>
      </c>
      <c r="Q17" s="6"/>
      <c r="R17" s="11"/>
      <c r="S17" s="6"/>
      <c r="T17" s="11"/>
      <c r="U17" s="11"/>
      <c r="V17" s="11">
        <f t="shared" si="7"/>
        <v>0</v>
      </c>
      <c r="W17" s="6"/>
      <c r="X17" s="6"/>
      <c r="Y17" s="6"/>
      <c r="Z17" s="6"/>
      <c r="AA17" s="6"/>
      <c r="AB17" s="6"/>
      <c r="AC17" s="6"/>
      <c r="AD17" s="6"/>
      <c r="AE17" s="6">
        <f t="shared" si="15"/>
        <v>0</v>
      </c>
      <c r="AF17" s="6">
        <f t="shared" si="12"/>
        <v>0</v>
      </c>
      <c r="AG17" s="11">
        <f t="shared" si="13"/>
        <v>0</v>
      </c>
    </row>
    <row r="18" spans="1:33" ht="25.15" customHeight="1" x14ac:dyDescent="0.6">
      <c r="A18" s="39">
        <v>13</v>
      </c>
      <c r="B18" s="38"/>
      <c r="C18" s="6"/>
      <c r="D18" s="11">
        <f t="shared" si="0"/>
        <v>0</v>
      </c>
      <c r="E18" s="6"/>
      <c r="F18" s="11">
        <f t="shared" si="14"/>
        <v>0</v>
      </c>
      <c r="G18" s="6"/>
      <c r="H18" s="11"/>
      <c r="I18" s="6"/>
      <c r="J18" s="11"/>
      <c r="K18" s="6"/>
      <c r="L18" s="11"/>
      <c r="M18" s="6"/>
      <c r="N18" s="11"/>
      <c r="O18" s="6"/>
      <c r="P18" s="11"/>
      <c r="Q18" s="6"/>
      <c r="R18" s="11"/>
      <c r="S18" s="6"/>
      <c r="T18" s="11"/>
      <c r="U18" s="11"/>
      <c r="V18" s="11"/>
      <c r="W18" s="6"/>
      <c r="X18" s="6"/>
      <c r="Y18" s="6"/>
      <c r="Z18" s="6"/>
      <c r="AA18" s="6"/>
      <c r="AB18" s="6"/>
      <c r="AC18" s="6"/>
      <c r="AD18" s="6"/>
      <c r="AE18" s="6">
        <f t="shared" si="15"/>
        <v>0</v>
      </c>
      <c r="AF18" s="6">
        <f t="shared" si="12"/>
        <v>0</v>
      </c>
      <c r="AG18" s="11">
        <f t="shared" si="13"/>
        <v>0</v>
      </c>
    </row>
    <row r="19" spans="1:33" ht="25.15" customHeight="1" x14ac:dyDescent="0.6">
      <c r="A19" s="39"/>
      <c r="B19" s="38"/>
      <c r="C19" s="6"/>
      <c r="D19" s="11"/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R19" s="11"/>
      <c r="S19" s="6"/>
      <c r="T19" s="11"/>
      <c r="U19" s="11"/>
      <c r="V19" s="11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11">
        <f t="shared" si="13"/>
        <v>0</v>
      </c>
    </row>
    <row r="20" spans="1:33" ht="25.15" customHeight="1" x14ac:dyDescent="0.6">
      <c r="A20" s="39"/>
      <c r="B20" s="38"/>
      <c r="C20" s="6"/>
      <c r="D20" s="11"/>
      <c r="E20" s="6"/>
      <c r="F20" s="11"/>
      <c r="G20" s="6"/>
      <c r="H20" s="11"/>
      <c r="I20" s="6"/>
      <c r="J20" s="11"/>
      <c r="K20" s="6"/>
      <c r="L20" s="11"/>
      <c r="M20" s="6"/>
      <c r="N20" s="11"/>
      <c r="O20" s="6"/>
      <c r="P20" s="11"/>
      <c r="Q20" s="6"/>
      <c r="R20" s="11"/>
      <c r="S20" s="6"/>
      <c r="T20" s="11"/>
      <c r="U20" s="11"/>
      <c r="V20" s="11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1">
        <f t="shared" si="13"/>
        <v>0</v>
      </c>
    </row>
    <row r="21" spans="1:33" ht="25.15" customHeight="1" x14ac:dyDescent="0.6">
      <c r="A21" s="39"/>
      <c r="B21" s="38"/>
      <c r="C21" s="6"/>
      <c r="D21" s="11"/>
      <c r="E21" s="6"/>
      <c r="F21" s="11"/>
      <c r="G21" s="6"/>
      <c r="H21" s="11"/>
      <c r="I21" s="6"/>
      <c r="J21" s="11"/>
      <c r="K21" s="6"/>
      <c r="L21" s="11"/>
      <c r="M21" s="6"/>
      <c r="N21" s="11"/>
      <c r="O21" s="6"/>
      <c r="P21" s="11"/>
      <c r="Q21" s="6"/>
      <c r="R21" s="11"/>
      <c r="S21" s="6"/>
      <c r="T21" s="11"/>
      <c r="U21" s="11"/>
      <c r="V21" s="11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11">
        <f t="shared" si="13"/>
        <v>0</v>
      </c>
    </row>
    <row r="22" spans="1:33" ht="25.15" customHeight="1" x14ac:dyDescent="0.6">
      <c r="A22" s="39"/>
      <c r="B22" s="40"/>
      <c r="C22" s="49">
        <f>SUM(C6:C21)</f>
        <v>1200</v>
      </c>
      <c r="D22" s="6">
        <f t="shared" ref="D22:AD22" si="16">SUM(D6:D21)</f>
        <v>16800</v>
      </c>
      <c r="E22" s="49">
        <f t="shared" si="16"/>
        <v>1400</v>
      </c>
      <c r="F22" s="6">
        <f t="shared" si="16"/>
        <v>16800</v>
      </c>
      <c r="G22" s="6">
        <f t="shared" si="16"/>
        <v>0</v>
      </c>
      <c r="H22" s="6">
        <f t="shared" si="16"/>
        <v>0</v>
      </c>
      <c r="I22" s="6">
        <f t="shared" si="16"/>
        <v>0</v>
      </c>
      <c r="J22" s="6">
        <f t="shared" si="16"/>
        <v>0</v>
      </c>
      <c r="K22" s="6">
        <f t="shared" si="16"/>
        <v>0</v>
      </c>
      <c r="L22" s="6">
        <f t="shared" si="16"/>
        <v>0</v>
      </c>
      <c r="M22" s="6">
        <f t="shared" si="16"/>
        <v>0</v>
      </c>
      <c r="N22" s="6">
        <f t="shared" si="16"/>
        <v>0</v>
      </c>
      <c r="O22" s="6">
        <f t="shared" si="16"/>
        <v>0</v>
      </c>
      <c r="P22" s="6">
        <f t="shared" si="16"/>
        <v>0</v>
      </c>
      <c r="Q22" s="6">
        <f t="shared" si="16"/>
        <v>0</v>
      </c>
      <c r="R22" s="6">
        <f t="shared" si="16"/>
        <v>0</v>
      </c>
      <c r="S22" s="6">
        <f t="shared" si="16"/>
        <v>0</v>
      </c>
      <c r="T22" s="6">
        <f t="shared" si="16"/>
        <v>0</v>
      </c>
      <c r="U22" s="49">
        <f t="shared" si="16"/>
        <v>160</v>
      </c>
      <c r="V22" s="6">
        <f t="shared" si="16"/>
        <v>3840</v>
      </c>
      <c r="W22" s="6">
        <f t="shared" si="16"/>
        <v>0</v>
      </c>
      <c r="X22" s="6">
        <f t="shared" si="16"/>
        <v>0</v>
      </c>
      <c r="Y22" s="6">
        <f t="shared" si="16"/>
        <v>0</v>
      </c>
      <c r="Z22" s="6">
        <f t="shared" si="16"/>
        <v>0</v>
      </c>
      <c r="AA22" s="6">
        <f t="shared" si="16"/>
        <v>0</v>
      </c>
      <c r="AB22" s="6">
        <f t="shared" si="16"/>
        <v>0</v>
      </c>
      <c r="AC22" s="6">
        <f>SUM(AC6:AC21)</f>
        <v>0</v>
      </c>
      <c r="AD22" s="6">
        <f t="shared" si="16"/>
        <v>0</v>
      </c>
      <c r="AE22" s="6">
        <f>SUM(AE6:AE21)</f>
        <v>2760</v>
      </c>
      <c r="AF22" s="6">
        <f>SUM(AF6:AF21)</f>
        <v>37440</v>
      </c>
      <c r="AG22" s="11">
        <f t="shared" si="13"/>
        <v>30009.599999999999</v>
      </c>
    </row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  <row r="91" ht="25.15" customHeight="1" x14ac:dyDescent="0.6"/>
  </sheetData>
  <mergeCells count="19">
    <mergeCell ref="C1:V1"/>
    <mergeCell ref="A2:A4"/>
    <mergeCell ref="B2:B4"/>
    <mergeCell ref="C2: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</mergeCells>
  <hyperlinks>
    <hyperlink ref="C1:V1" location="'SMM YGN '!A1" display="မိဘမေတ္တာ(လှိုင်သာယာ)" xr:uid="{00000000-0004-0000-0F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3"/>
  <dimension ref="A1:AJ67"/>
  <sheetViews>
    <sheetView workbookViewId="0">
      <pane xSplit="2" ySplit="3" topLeftCell="C4" activePane="bottomRight" state="frozen"/>
      <selection activeCell="CH13" sqref="CH13"/>
      <selection pane="topRight" activeCell="CH13" sqref="CH13"/>
      <selection pane="bottomLeft" activeCell="CH13" sqref="CH13"/>
      <selection pane="bottomRight" activeCell="B9" sqref="B9:O9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1.28515625" style="1" customWidth="1"/>
    <col min="5" max="8" width="10.28515625" style="1" customWidth="1"/>
    <col min="9" max="24" width="9.28515625" style="1" customWidth="1"/>
    <col min="25" max="30" width="8" style="1" customWidth="1"/>
    <col min="31" max="32" width="9.28515625" style="1" customWidth="1"/>
    <col min="33" max="16384" width="9" style="1"/>
  </cols>
  <sheetData>
    <row r="1" spans="1:35" ht="21.75" thickBot="1" x14ac:dyDescent="0.65"/>
    <row r="2" spans="1:35" ht="21.75" x14ac:dyDescent="0.6">
      <c r="A2" s="23"/>
      <c r="B2" s="24"/>
      <c r="C2" s="745" t="s">
        <v>86</v>
      </c>
      <c r="D2" s="745"/>
      <c r="E2" s="745"/>
      <c r="F2" s="745"/>
      <c r="G2" s="745"/>
      <c r="H2" s="745"/>
      <c r="I2" s="745"/>
      <c r="J2" s="745"/>
      <c r="K2" s="745"/>
      <c r="L2" s="745"/>
      <c r="M2" s="745"/>
      <c r="N2" s="745"/>
      <c r="O2" s="745"/>
      <c r="P2" s="745"/>
      <c r="Q2" s="745"/>
      <c r="R2" s="745"/>
      <c r="S2" s="745"/>
      <c r="T2" s="745"/>
      <c r="U2" s="745"/>
      <c r="V2" s="745"/>
      <c r="W2" s="745"/>
      <c r="X2" s="745"/>
      <c r="Y2" s="745"/>
      <c r="Z2" s="745"/>
      <c r="AB2" s="1" t="s">
        <v>68</v>
      </c>
      <c r="AC2" s="1" t="e">
        <f>#REF!</f>
        <v>#REF!</v>
      </c>
      <c r="AE2" s="25">
        <v>12</v>
      </c>
      <c r="AF2" s="26">
        <v>14</v>
      </c>
    </row>
    <row r="3" spans="1:35" s="27" customFormat="1" ht="44.25" customHeight="1" x14ac:dyDescent="0.6">
      <c r="A3" s="117" t="s">
        <v>1</v>
      </c>
      <c r="B3" s="60" t="s">
        <v>0</v>
      </c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60" t="s">
        <v>334</v>
      </c>
      <c r="AF3" s="760"/>
      <c r="AG3" s="742" t="s">
        <v>322</v>
      </c>
      <c r="AH3" s="743"/>
      <c r="AI3" s="744"/>
    </row>
    <row r="4" spans="1:35" s="32" customFormat="1" ht="21.75" x14ac:dyDescent="0.6">
      <c r="A4" s="35"/>
      <c r="B4" s="36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4" t="s">
        <v>63</v>
      </c>
      <c r="AF4" s="14" t="s">
        <v>64</v>
      </c>
      <c r="AG4" s="10" t="s">
        <v>63</v>
      </c>
      <c r="AH4" s="10" t="s">
        <v>64</v>
      </c>
      <c r="AI4" s="104" t="s">
        <v>347</v>
      </c>
    </row>
    <row r="5" spans="1:35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6"/>
      <c r="X5" s="16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4"/>
      <c r="AF5" s="14"/>
      <c r="AG5" s="10"/>
      <c r="AH5" s="10"/>
      <c r="AI5" s="104"/>
    </row>
    <row r="6" spans="1:35" s="19" customFormat="1" ht="25.15" customHeight="1" x14ac:dyDescent="0.25">
      <c r="A6" s="37">
        <v>1</v>
      </c>
      <c r="B6" s="38">
        <v>45717</v>
      </c>
      <c r="C6" s="11">
        <v>100</v>
      </c>
      <c r="D6" s="11">
        <f>C6*14</f>
        <v>1400</v>
      </c>
      <c r="E6" s="11">
        <v>100</v>
      </c>
      <c r="F6" s="11">
        <f>E6*12</f>
        <v>1200</v>
      </c>
      <c r="G6" s="11">
        <v>60</v>
      </c>
      <c r="H6" s="11">
        <f>G6*12</f>
        <v>720</v>
      </c>
      <c r="I6" s="11">
        <v>60</v>
      </c>
      <c r="J6" s="11">
        <f>I6*40</f>
        <v>2400</v>
      </c>
      <c r="K6" s="11"/>
      <c r="L6" s="11">
        <f>K6*12</f>
        <v>0</v>
      </c>
      <c r="M6" s="11">
        <v>180</v>
      </c>
      <c r="N6" s="11">
        <f>M6*12</f>
        <v>2160</v>
      </c>
      <c r="O6" s="11"/>
      <c r="P6" s="11">
        <f>O6*40</f>
        <v>0</v>
      </c>
      <c r="Q6" s="11">
        <v>20</v>
      </c>
      <c r="R6" s="11">
        <f>Q6*14</f>
        <v>280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/>
      <c r="AF6" s="11">
        <f>AE6*14</f>
        <v>0</v>
      </c>
      <c r="AG6" s="11">
        <f>C6+E6+G6+I6+K6+M6+O6+Q6+S6+U6+W6+Y6+AA6+AC6+AE6</f>
        <v>520</v>
      </c>
      <c r="AH6" s="11">
        <f>D6+F6+H6+J6+L6+N6+P6+R6+T6+V6+X6+Z6+AB6+AD6+AF6</f>
        <v>8160</v>
      </c>
      <c r="AI6" s="11">
        <f>(D6*$D$5)+(F6*$F$5)+(H6*$H$5)+(J6*$J$5)+(L6*$L$5)+(N6*$N$5)+(P6*$P$5)+(R6*$R$5)+(T6*$T$5)+(V6*$V$5)+(X6*$X$5)+(Z6*$Z$5)+(AB6*$AB$5)+(AD6*$AD$5)</f>
        <v>5707.2</v>
      </c>
    </row>
    <row r="7" spans="1:35" s="19" customFormat="1" ht="25.15" customHeight="1" x14ac:dyDescent="0.25">
      <c r="A7" s="37">
        <v>2</v>
      </c>
      <c r="B7" s="38">
        <v>45809</v>
      </c>
      <c r="C7" s="11">
        <v>150</v>
      </c>
      <c r="D7" s="11">
        <f t="shared" ref="D7:D23" si="0">C7*14</f>
        <v>2100</v>
      </c>
      <c r="E7" s="11">
        <v>160</v>
      </c>
      <c r="F7" s="11">
        <f t="shared" ref="F7:F23" si="1">E7*12</f>
        <v>1920</v>
      </c>
      <c r="G7" s="11">
        <v>30</v>
      </c>
      <c r="H7" s="11">
        <f t="shared" ref="H7:H25" si="2">G7*12</f>
        <v>360</v>
      </c>
      <c r="I7" s="11">
        <v>30</v>
      </c>
      <c r="J7" s="11">
        <f t="shared" ref="J7:J24" si="3">I7*40</f>
        <v>1200</v>
      </c>
      <c r="K7" s="11"/>
      <c r="L7" s="11">
        <f t="shared" ref="L7:L24" si="4">K7*12</f>
        <v>0</v>
      </c>
      <c r="M7" s="11">
        <v>150</v>
      </c>
      <c r="N7" s="11">
        <f t="shared" ref="N7:N20" si="5">M7*12</f>
        <v>1800</v>
      </c>
      <c r="O7" s="11"/>
      <c r="P7" s="11">
        <f t="shared" ref="P7:P20" si="6">O7*40</f>
        <v>0</v>
      </c>
      <c r="Q7" s="11"/>
      <c r="R7" s="11">
        <f t="shared" ref="R7:R20" si="7">Q7*14</f>
        <v>0</v>
      </c>
      <c r="S7" s="11"/>
      <c r="T7" s="11">
        <f t="shared" ref="T7:T22" si="8">S7*14</f>
        <v>0</v>
      </c>
      <c r="U7" s="11"/>
      <c r="V7" s="11">
        <f t="shared" ref="V7:V21" si="9">U7*24</f>
        <v>0</v>
      </c>
      <c r="W7" s="11"/>
      <c r="X7" s="11">
        <f t="shared" ref="X7:X20" si="10">W7*12</f>
        <v>0</v>
      </c>
      <c r="Y7" s="11"/>
      <c r="Z7" s="11">
        <f t="shared" ref="Z7:Z20" si="11">Y7*12</f>
        <v>0</v>
      </c>
      <c r="AA7" s="11"/>
      <c r="AB7" s="11">
        <f t="shared" ref="AB7:AB20" si="12">AA7*12</f>
        <v>0</v>
      </c>
      <c r="AC7" s="11"/>
      <c r="AD7" s="11">
        <f t="shared" ref="AD7:AD20" si="13">AC7*12</f>
        <v>0</v>
      </c>
      <c r="AE7" s="11"/>
      <c r="AF7" s="11">
        <f>AE7*14</f>
        <v>0</v>
      </c>
      <c r="AG7" s="11">
        <f t="shared" ref="AG7:AH25" si="14">C7+E7+G7+I7+K7+M7+O7+Q7+S7+U7+W7+Y7+AA7+AC7+AE7</f>
        <v>520</v>
      </c>
      <c r="AH7" s="11">
        <f t="shared" si="14"/>
        <v>7380</v>
      </c>
      <c r="AI7" s="11">
        <f t="shared" ref="AI7:AI27" si="15">(D7*$D$5)+(F7*$F$5)+(H7*$H$5)+(J7*$J$5)+(L7*$L$5)+(N7*$N$5)+(P7*$P$5)+(R7*$R$5)+(T7*$T$5)+(V7*$V$5)+(X7*$X$5)+(Z7*$Z$5)+(AB7*$AB$5)+(AD7*$AD$5)</f>
        <v>5700</v>
      </c>
    </row>
    <row r="8" spans="1:35" s="19" customFormat="1" ht="25.15" customHeight="1" x14ac:dyDescent="0.25">
      <c r="A8" s="37">
        <v>3</v>
      </c>
      <c r="B8" s="38">
        <v>45870</v>
      </c>
      <c r="C8" s="11">
        <v>170</v>
      </c>
      <c r="D8" s="11">
        <f t="shared" si="0"/>
        <v>2380</v>
      </c>
      <c r="E8" s="11">
        <v>200</v>
      </c>
      <c r="F8" s="11">
        <f t="shared" si="1"/>
        <v>2400</v>
      </c>
      <c r="G8" s="11"/>
      <c r="H8" s="11">
        <f t="shared" si="2"/>
        <v>0</v>
      </c>
      <c r="I8" s="11">
        <v>30</v>
      </c>
      <c r="J8" s="11">
        <f t="shared" si="3"/>
        <v>1200</v>
      </c>
      <c r="K8" s="11"/>
      <c r="L8" s="11">
        <f t="shared" si="4"/>
        <v>0</v>
      </c>
      <c r="M8" s="11">
        <v>90</v>
      </c>
      <c r="N8" s="11">
        <f t="shared" si="5"/>
        <v>1080</v>
      </c>
      <c r="O8" s="11"/>
      <c r="P8" s="11">
        <f t="shared" si="6"/>
        <v>0</v>
      </c>
      <c r="Q8" s="11">
        <v>30</v>
      </c>
      <c r="R8" s="11">
        <f t="shared" si="7"/>
        <v>420</v>
      </c>
      <c r="S8" s="11"/>
      <c r="T8" s="11">
        <f t="shared" si="8"/>
        <v>0</v>
      </c>
      <c r="U8" s="11"/>
      <c r="V8" s="11">
        <f t="shared" si="9"/>
        <v>0</v>
      </c>
      <c r="W8" s="11"/>
      <c r="X8" s="11">
        <f t="shared" si="10"/>
        <v>0</v>
      </c>
      <c r="Y8" s="11"/>
      <c r="Z8" s="11">
        <f t="shared" si="11"/>
        <v>0</v>
      </c>
      <c r="AA8" s="11"/>
      <c r="AB8" s="11">
        <f t="shared" si="12"/>
        <v>0</v>
      </c>
      <c r="AC8" s="11"/>
      <c r="AD8" s="11">
        <f t="shared" si="13"/>
        <v>0</v>
      </c>
      <c r="AE8" s="11"/>
      <c r="AF8" s="11">
        <f>AE8*14</f>
        <v>0</v>
      </c>
      <c r="AG8" s="11">
        <f t="shared" si="14"/>
        <v>520</v>
      </c>
      <c r="AH8" s="11">
        <f t="shared" si="14"/>
        <v>7480</v>
      </c>
      <c r="AI8" s="11">
        <f t="shared" si="15"/>
        <v>5692</v>
      </c>
    </row>
    <row r="9" spans="1:35" s="19" customFormat="1" ht="25.15" customHeight="1" x14ac:dyDescent="0.25">
      <c r="A9" s="37">
        <v>4</v>
      </c>
      <c r="B9" s="38">
        <v>45962</v>
      </c>
      <c r="C9" s="11">
        <v>150</v>
      </c>
      <c r="D9" s="11">
        <v>2100</v>
      </c>
      <c r="E9" s="11">
        <v>160</v>
      </c>
      <c r="F9" s="11">
        <v>1920</v>
      </c>
      <c r="G9" s="11">
        <v>30</v>
      </c>
      <c r="H9" s="11">
        <v>360</v>
      </c>
      <c r="I9" s="11">
        <v>30</v>
      </c>
      <c r="J9" s="11">
        <v>1200</v>
      </c>
      <c r="K9" s="11"/>
      <c r="L9" s="11">
        <v>0</v>
      </c>
      <c r="M9" s="11">
        <v>150</v>
      </c>
      <c r="N9" s="11">
        <v>1800</v>
      </c>
      <c r="O9" s="11"/>
      <c r="P9" s="11">
        <f t="shared" si="6"/>
        <v>0</v>
      </c>
      <c r="Q9" s="11"/>
      <c r="R9" s="11">
        <f t="shared" si="7"/>
        <v>0</v>
      </c>
      <c r="S9" s="11"/>
      <c r="T9" s="11">
        <f t="shared" si="8"/>
        <v>0</v>
      </c>
      <c r="U9" s="11"/>
      <c r="V9" s="11">
        <f t="shared" si="9"/>
        <v>0</v>
      </c>
      <c r="W9" s="11"/>
      <c r="X9" s="11">
        <f t="shared" si="10"/>
        <v>0</v>
      </c>
      <c r="Y9" s="11"/>
      <c r="Z9" s="11">
        <f t="shared" si="11"/>
        <v>0</v>
      </c>
      <c r="AA9" s="11"/>
      <c r="AB9" s="11">
        <f t="shared" si="12"/>
        <v>0</v>
      </c>
      <c r="AC9" s="11"/>
      <c r="AD9" s="11">
        <f t="shared" si="13"/>
        <v>0</v>
      </c>
      <c r="AE9" s="11"/>
      <c r="AF9" s="11">
        <f>AE9*14</f>
        <v>0</v>
      </c>
      <c r="AG9" s="11">
        <f t="shared" si="14"/>
        <v>520</v>
      </c>
      <c r="AH9" s="11">
        <f t="shared" si="14"/>
        <v>7380</v>
      </c>
      <c r="AI9" s="11">
        <f t="shared" si="15"/>
        <v>5700</v>
      </c>
    </row>
    <row r="10" spans="1:35" s="19" customFormat="1" ht="25.15" customHeight="1" x14ac:dyDescent="0.25">
      <c r="A10" s="37">
        <v>5</v>
      </c>
      <c r="B10" s="38"/>
      <c r="C10" s="11"/>
      <c r="D10" s="11">
        <f t="shared" si="0"/>
        <v>0</v>
      </c>
      <c r="E10" s="11"/>
      <c r="F10" s="11">
        <f t="shared" si="1"/>
        <v>0</v>
      </c>
      <c r="G10" s="11"/>
      <c r="H10" s="11">
        <f t="shared" si="2"/>
        <v>0</v>
      </c>
      <c r="I10" s="11"/>
      <c r="J10" s="11">
        <f t="shared" si="3"/>
        <v>0</v>
      </c>
      <c r="K10" s="11"/>
      <c r="L10" s="11">
        <f t="shared" si="4"/>
        <v>0</v>
      </c>
      <c r="M10" s="11"/>
      <c r="N10" s="11">
        <f t="shared" si="5"/>
        <v>0</v>
      </c>
      <c r="O10" s="11"/>
      <c r="P10" s="11">
        <f t="shared" si="6"/>
        <v>0</v>
      </c>
      <c r="Q10" s="11"/>
      <c r="R10" s="11">
        <f t="shared" si="7"/>
        <v>0</v>
      </c>
      <c r="S10" s="11"/>
      <c r="T10" s="11">
        <f t="shared" si="8"/>
        <v>0</v>
      </c>
      <c r="U10" s="11"/>
      <c r="V10" s="11">
        <f t="shared" si="9"/>
        <v>0</v>
      </c>
      <c r="W10" s="11"/>
      <c r="X10" s="11">
        <f t="shared" si="10"/>
        <v>0</v>
      </c>
      <c r="Y10" s="11"/>
      <c r="Z10" s="11">
        <f t="shared" si="11"/>
        <v>0</v>
      </c>
      <c r="AA10" s="11"/>
      <c r="AB10" s="11">
        <f t="shared" si="12"/>
        <v>0</v>
      </c>
      <c r="AC10" s="11"/>
      <c r="AD10" s="11">
        <f t="shared" si="13"/>
        <v>0</v>
      </c>
      <c r="AE10" s="11"/>
      <c r="AF10" s="11">
        <f t="shared" ref="AF10:AF20" si="16">AE10*14</f>
        <v>0</v>
      </c>
      <c r="AG10" s="11">
        <f t="shared" si="14"/>
        <v>0</v>
      </c>
      <c r="AH10" s="11">
        <f t="shared" si="14"/>
        <v>0</v>
      </c>
      <c r="AI10" s="11">
        <f t="shared" si="15"/>
        <v>0</v>
      </c>
    </row>
    <row r="11" spans="1:35" s="19" customFormat="1" ht="25.15" customHeight="1" x14ac:dyDescent="0.25">
      <c r="A11" s="37">
        <v>6</v>
      </c>
      <c r="B11" s="38"/>
      <c r="C11" s="11"/>
      <c r="D11" s="11">
        <f t="shared" si="0"/>
        <v>0</v>
      </c>
      <c r="E11" s="11"/>
      <c r="F11" s="11">
        <f t="shared" si="1"/>
        <v>0</v>
      </c>
      <c r="G11" s="11"/>
      <c r="H11" s="11">
        <f t="shared" si="2"/>
        <v>0</v>
      </c>
      <c r="I11" s="11"/>
      <c r="J11" s="11">
        <f t="shared" si="3"/>
        <v>0</v>
      </c>
      <c r="K11" s="11"/>
      <c r="L11" s="11">
        <f t="shared" si="4"/>
        <v>0</v>
      </c>
      <c r="M11" s="11"/>
      <c r="N11" s="11">
        <f>M11*12</f>
        <v>0</v>
      </c>
      <c r="O11" s="11"/>
      <c r="P11" s="11">
        <f t="shared" si="6"/>
        <v>0</v>
      </c>
      <c r="Q11" s="11"/>
      <c r="R11" s="11">
        <f t="shared" si="7"/>
        <v>0</v>
      </c>
      <c r="S11" s="11"/>
      <c r="T11" s="11">
        <f t="shared" si="8"/>
        <v>0</v>
      </c>
      <c r="U11" s="11"/>
      <c r="V11" s="11">
        <f t="shared" si="9"/>
        <v>0</v>
      </c>
      <c r="W11" s="11"/>
      <c r="X11" s="11">
        <f t="shared" si="10"/>
        <v>0</v>
      </c>
      <c r="Y11" s="11"/>
      <c r="Z11" s="11">
        <f t="shared" si="11"/>
        <v>0</v>
      </c>
      <c r="AA11" s="11"/>
      <c r="AB11" s="11">
        <f t="shared" si="12"/>
        <v>0</v>
      </c>
      <c r="AC11" s="11"/>
      <c r="AD11" s="11">
        <f t="shared" si="13"/>
        <v>0</v>
      </c>
      <c r="AE11" s="11"/>
      <c r="AF11" s="11">
        <f t="shared" si="16"/>
        <v>0</v>
      </c>
      <c r="AG11" s="11">
        <f t="shared" si="14"/>
        <v>0</v>
      </c>
      <c r="AH11" s="11">
        <f t="shared" si="14"/>
        <v>0</v>
      </c>
      <c r="AI11" s="11">
        <f t="shared" si="15"/>
        <v>0</v>
      </c>
    </row>
    <row r="12" spans="1:35" ht="25.15" customHeight="1" x14ac:dyDescent="0.6">
      <c r="A12" s="37">
        <v>7</v>
      </c>
      <c r="B12" s="38"/>
      <c r="C12" s="6"/>
      <c r="D12" s="11">
        <f t="shared" si="0"/>
        <v>0</v>
      </c>
      <c r="E12" s="6"/>
      <c r="F12" s="11">
        <f t="shared" si="1"/>
        <v>0</v>
      </c>
      <c r="G12" s="6"/>
      <c r="H12" s="11">
        <f t="shared" si="2"/>
        <v>0</v>
      </c>
      <c r="I12" s="6"/>
      <c r="J12" s="11">
        <f t="shared" si="3"/>
        <v>0</v>
      </c>
      <c r="K12" s="6"/>
      <c r="L12" s="11">
        <f t="shared" si="4"/>
        <v>0</v>
      </c>
      <c r="M12" s="6"/>
      <c r="N12" s="11">
        <f t="shared" si="5"/>
        <v>0</v>
      </c>
      <c r="O12" s="6"/>
      <c r="P12" s="11">
        <f t="shared" si="6"/>
        <v>0</v>
      </c>
      <c r="Q12" s="6"/>
      <c r="R12" s="11">
        <f t="shared" si="7"/>
        <v>0</v>
      </c>
      <c r="S12" s="6"/>
      <c r="T12" s="11">
        <f t="shared" si="8"/>
        <v>0</v>
      </c>
      <c r="U12" s="11"/>
      <c r="V12" s="11">
        <f t="shared" si="9"/>
        <v>0</v>
      </c>
      <c r="W12" s="11"/>
      <c r="X12" s="11">
        <f t="shared" si="10"/>
        <v>0</v>
      </c>
      <c r="Y12" s="11"/>
      <c r="Z12" s="11">
        <f t="shared" si="11"/>
        <v>0</v>
      </c>
      <c r="AA12" s="11"/>
      <c r="AB12" s="11">
        <f t="shared" si="12"/>
        <v>0</v>
      </c>
      <c r="AC12" s="6"/>
      <c r="AD12" s="11">
        <f t="shared" si="13"/>
        <v>0</v>
      </c>
      <c r="AE12" s="6"/>
      <c r="AF12" s="11">
        <f t="shared" si="16"/>
        <v>0</v>
      </c>
      <c r="AG12" s="11">
        <f t="shared" si="14"/>
        <v>0</v>
      </c>
      <c r="AH12" s="11">
        <f t="shared" si="14"/>
        <v>0</v>
      </c>
      <c r="AI12" s="11">
        <f t="shared" si="15"/>
        <v>0</v>
      </c>
    </row>
    <row r="13" spans="1:35" ht="25.15" customHeight="1" x14ac:dyDescent="0.6">
      <c r="A13" s="37">
        <v>8</v>
      </c>
      <c r="B13" s="38"/>
      <c r="C13" s="6"/>
      <c r="D13" s="11">
        <f t="shared" si="0"/>
        <v>0</v>
      </c>
      <c r="E13" s="6"/>
      <c r="F13" s="11">
        <f t="shared" si="1"/>
        <v>0</v>
      </c>
      <c r="G13" s="6"/>
      <c r="H13" s="11">
        <f t="shared" si="2"/>
        <v>0</v>
      </c>
      <c r="I13" s="6"/>
      <c r="J13" s="11">
        <f t="shared" si="3"/>
        <v>0</v>
      </c>
      <c r="K13" s="6"/>
      <c r="L13" s="11">
        <f t="shared" si="4"/>
        <v>0</v>
      </c>
      <c r="M13" s="6"/>
      <c r="N13" s="11">
        <f t="shared" si="5"/>
        <v>0</v>
      </c>
      <c r="O13" s="6"/>
      <c r="P13" s="11">
        <f t="shared" si="6"/>
        <v>0</v>
      </c>
      <c r="Q13" s="6"/>
      <c r="R13" s="11">
        <f t="shared" si="7"/>
        <v>0</v>
      </c>
      <c r="S13" s="6"/>
      <c r="T13" s="11">
        <f t="shared" si="8"/>
        <v>0</v>
      </c>
      <c r="U13" s="11"/>
      <c r="V13" s="11">
        <f t="shared" si="9"/>
        <v>0</v>
      </c>
      <c r="W13" s="11"/>
      <c r="X13" s="11">
        <f t="shared" si="10"/>
        <v>0</v>
      </c>
      <c r="Y13" s="11"/>
      <c r="Z13" s="11">
        <f t="shared" si="11"/>
        <v>0</v>
      </c>
      <c r="AA13" s="11"/>
      <c r="AB13" s="11">
        <f t="shared" si="12"/>
        <v>0</v>
      </c>
      <c r="AC13" s="6"/>
      <c r="AD13" s="11">
        <f t="shared" si="13"/>
        <v>0</v>
      </c>
      <c r="AE13" s="6"/>
      <c r="AF13" s="11">
        <f t="shared" si="16"/>
        <v>0</v>
      </c>
      <c r="AG13" s="11">
        <f t="shared" si="14"/>
        <v>0</v>
      </c>
      <c r="AH13" s="11">
        <f t="shared" si="14"/>
        <v>0</v>
      </c>
      <c r="AI13" s="11">
        <f t="shared" si="15"/>
        <v>0</v>
      </c>
    </row>
    <row r="14" spans="1:35" ht="25.15" customHeight="1" x14ac:dyDescent="0.6">
      <c r="A14" s="37">
        <v>9</v>
      </c>
      <c r="B14" s="38"/>
      <c r="C14" s="6"/>
      <c r="D14" s="11">
        <f t="shared" si="0"/>
        <v>0</v>
      </c>
      <c r="E14" s="6"/>
      <c r="F14" s="11">
        <f t="shared" si="1"/>
        <v>0</v>
      </c>
      <c r="G14" s="6"/>
      <c r="H14" s="11">
        <f t="shared" si="2"/>
        <v>0</v>
      </c>
      <c r="I14" s="6"/>
      <c r="J14" s="11">
        <f t="shared" si="3"/>
        <v>0</v>
      </c>
      <c r="K14" s="6"/>
      <c r="L14" s="11">
        <f t="shared" si="4"/>
        <v>0</v>
      </c>
      <c r="M14" s="6"/>
      <c r="N14" s="11">
        <f t="shared" si="5"/>
        <v>0</v>
      </c>
      <c r="O14" s="6"/>
      <c r="P14" s="11">
        <f t="shared" si="6"/>
        <v>0</v>
      </c>
      <c r="Q14" s="6"/>
      <c r="R14" s="11">
        <f t="shared" si="7"/>
        <v>0</v>
      </c>
      <c r="S14" s="6"/>
      <c r="T14" s="11">
        <f t="shared" si="8"/>
        <v>0</v>
      </c>
      <c r="U14" s="11"/>
      <c r="V14" s="11">
        <f t="shared" si="9"/>
        <v>0</v>
      </c>
      <c r="W14" s="11"/>
      <c r="X14" s="11">
        <f t="shared" si="10"/>
        <v>0</v>
      </c>
      <c r="Y14" s="11"/>
      <c r="Z14" s="11">
        <f t="shared" si="11"/>
        <v>0</v>
      </c>
      <c r="AA14" s="11"/>
      <c r="AB14" s="11">
        <f t="shared" si="12"/>
        <v>0</v>
      </c>
      <c r="AC14" s="6"/>
      <c r="AD14" s="11">
        <f t="shared" si="13"/>
        <v>0</v>
      </c>
      <c r="AE14" s="6"/>
      <c r="AF14" s="11">
        <f t="shared" si="16"/>
        <v>0</v>
      </c>
      <c r="AG14" s="11">
        <f t="shared" si="14"/>
        <v>0</v>
      </c>
      <c r="AH14" s="11">
        <f t="shared" si="14"/>
        <v>0</v>
      </c>
      <c r="AI14" s="11">
        <f t="shared" si="15"/>
        <v>0</v>
      </c>
    </row>
    <row r="15" spans="1:35" ht="25.15" customHeight="1" x14ac:dyDescent="0.6">
      <c r="A15" s="37">
        <v>10</v>
      </c>
      <c r="B15" s="38"/>
      <c r="C15" s="6"/>
      <c r="D15" s="11">
        <f t="shared" si="0"/>
        <v>0</v>
      </c>
      <c r="E15" s="6"/>
      <c r="F15" s="11">
        <f t="shared" si="1"/>
        <v>0</v>
      </c>
      <c r="G15" s="6"/>
      <c r="H15" s="11">
        <f t="shared" si="2"/>
        <v>0</v>
      </c>
      <c r="I15" s="6"/>
      <c r="J15" s="11">
        <f t="shared" si="3"/>
        <v>0</v>
      </c>
      <c r="K15" s="6"/>
      <c r="L15" s="11">
        <f t="shared" si="4"/>
        <v>0</v>
      </c>
      <c r="M15" s="6"/>
      <c r="N15" s="11">
        <f t="shared" si="5"/>
        <v>0</v>
      </c>
      <c r="O15" s="6"/>
      <c r="P15" s="11">
        <f t="shared" si="6"/>
        <v>0</v>
      </c>
      <c r="Q15" s="6"/>
      <c r="R15" s="11">
        <f t="shared" si="7"/>
        <v>0</v>
      </c>
      <c r="S15" s="6"/>
      <c r="T15" s="11">
        <f t="shared" si="8"/>
        <v>0</v>
      </c>
      <c r="U15" s="11"/>
      <c r="V15" s="11">
        <f t="shared" si="9"/>
        <v>0</v>
      </c>
      <c r="W15" s="11"/>
      <c r="X15" s="11">
        <f t="shared" si="10"/>
        <v>0</v>
      </c>
      <c r="Y15" s="11"/>
      <c r="Z15" s="11">
        <f t="shared" si="11"/>
        <v>0</v>
      </c>
      <c r="AA15" s="11"/>
      <c r="AB15" s="11">
        <f t="shared" si="12"/>
        <v>0</v>
      </c>
      <c r="AC15" s="6"/>
      <c r="AD15" s="11">
        <f t="shared" si="13"/>
        <v>0</v>
      </c>
      <c r="AE15" s="6"/>
      <c r="AF15" s="11">
        <f t="shared" si="16"/>
        <v>0</v>
      </c>
      <c r="AG15" s="11">
        <f t="shared" si="14"/>
        <v>0</v>
      </c>
      <c r="AH15" s="11">
        <f t="shared" si="14"/>
        <v>0</v>
      </c>
      <c r="AI15" s="11">
        <f t="shared" si="15"/>
        <v>0</v>
      </c>
    </row>
    <row r="16" spans="1:35" ht="25.15" customHeight="1" x14ac:dyDescent="0.6">
      <c r="A16" s="37">
        <v>11</v>
      </c>
      <c r="B16" s="38"/>
      <c r="C16" s="6"/>
      <c r="D16" s="11">
        <f t="shared" si="0"/>
        <v>0</v>
      </c>
      <c r="E16" s="6"/>
      <c r="F16" s="11">
        <f t="shared" si="1"/>
        <v>0</v>
      </c>
      <c r="G16" s="6"/>
      <c r="H16" s="11">
        <f t="shared" si="2"/>
        <v>0</v>
      </c>
      <c r="I16" s="6"/>
      <c r="J16" s="11">
        <f t="shared" si="3"/>
        <v>0</v>
      </c>
      <c r="K16" s="6"/>
      <c r="L16" s="11">
        <f t="shared" si="4"/>
        <v>0</v>
      </c>
      <c r="M16" s="6"/>
      <c r="N16" s="11">
        <f t="shared" si="5"/>
        <v>0</v>
      </c>
      <c r="O16" s="6"/>
      <c r="P16" s="11">
        <f t="shared" si="6"/>
        <v>0</v>
      </c>
      <c r="Q16" s="6"/>
      <c r="R16" s="11">
        <f t="shared" si="7"/>
        <v>0</v>
      </c>
      <c r="S16" s="6"/>
      <c r="T16" s="11">
        <f t="shared" si="8"/>
        <v>0</v>
      </c>
      <c r="U16" s="11"/>
      <c r="V16" s="11">
        <f t="shared" si="9"/>
        <v>0</v>
      </c>
      <c r="W16" s="11"/>
      <c r="X16" s="11">
        <f t="shared" si="10"/>
        <v>0</v>
      </c>
      <c r="Y16" s="11"/>
      <c r="Z16" s="11">
        <f t="shared" si="11"/>
        <v>0</v>
      </c>
      <c r="AA16" s="11"/>
      <c r="AB16" s="11">
        <f t="shared" si="12"/>
        <v>0</v>
      </c>
      <c r="AC16" s="6"/>
      <c r="AD16" s="11">
        <f t="shared" si="13"/>
        <v>0</v>
      </c>
      <c r="AE16" s="6"/>
      <c r="AF16" s="11">
        <f t="shared" si="16"/>
        <v>0</v>
      </c>
      <c r="AG16" s="11">
        <f t="shared" si="14"/>
        <v>0</v>
      </c>
      <c r="AH16" s="11">
        <f t="shared" si="14"/>
        <v>0</v>
      </c>
      <c r="AI16" s="11">
        <f t="shared" si="15"/>
        <v>0</v>
      </c>
    </row>
    <row r="17" spans="1:36" ht="25.15" customHeight="1" x14ac:dyDescent="0.6">
      <c r="A17" s="37">
        <v>12</v>
      </c>
      <c r="B17" s="38"/>
      <c r="C17" s="6"/>
      <c r="D17" s="11">
        <f t="shared" si="0"/>
        <v>0</v>
      </c>
      <c r="E17" s="6"/>
      <c r="F17" s="11">
        <f t="shared" si="1"/>
        <v>0</v>
      </c>
      <c r="G17" s="6"/>
      <c r="H17" s="11">
        <f t="shared" si="2"/>
        <v>0</v>
      </c>
      <c r="I17" s="6"/>
      <c r="J17" s="11">
        <f t="shared" si="3"/>
        <v>0</v>
      </c>
      <c r="K17" s="6"/>
      <c r="L17" s="11">
        <f t="shared" si="4"/>
        <v>0</v>
      </c>
      <c r="M17" s="6"/>
      <c r="N17" s="11">
        <f t="shared" si="5"/>
        <v>0</v>
      </c>
      <c r="O17" s="6"/>
      <c r="P17" s="11">
        <f t="shared" si="6"/>
        <v>0</v>
      </c>
      <c r="Q17" s="6"/>
      <c r="R17" s="11">
        <f t="shared" si="7"/>
        <v>0</v>
      </c>
      <c r="S17" s="6"/>
      <c r="T17" s="11">
        <f t="shared" si="8"/>
        <v>0</v>
      </c>
      <c r="U17" s="11"/>
      <c r="V17" s="11">
        <f t="shared" si="9"/>
        <v>0</v>
      </c>
      <c r="W17" s="11"/>
      <c r="X17" s="11">
        <f t="shared" si="10"/>
        <v>0</v>
      </c>
      <c r="Y17" s="11"/>
      <c r="Z17" s="11">
        <f t="shared" si="11"/>
        <v>0</v>
      </c>
      <c r="AA17" s="11"/>
      <c r="AB17" s="11">
        <f t="shared" si="12"/>
        <v>0</v>
      </c>
      <c r="AC17" s="6"/>
      <c r="AD17" s="11">
        <f t="shared" si="13"/>
        <v>0</v>
      </c>
      <c r="AE17" s="6"/>
      <c r="AF17" s="11">
        <f t="shared" si="16"/>
        <v>0</v>
      </c>
      <c r="AG17" s="11">
        <f t="shared" si="14"/>
        <v>0</v>
      </c>
      <c r="AH17" s="11">
        <f t="shared" si="14"/>
        <v>0</v>
      </c>
      <c r="AI17" s="11">
        <f t="shared" si="15"/>
        <v>0</v>
      </c>
    </row>
    <row r="18" spans="1:36" ht="25.15" customHeight="1" x14ac:dyDescent="0.6">
      <c r="A18" s="37">
        <v>13</v>
      </c>
      <c r="B18" s="38"/>
      <c r="C18" s="6"/>
      <c r="D18" s="11">
        <f t="shared" si="0"/>
        <v>0</v>
      </c>
      <c r="E18" s="6"/>
      <c r="F18" s="11">
        <f t="shared" si="1"/>
        <v>0</v>
      </c>
      <c r="G18" s="6"/>
      <c r="H18" s="11">
        <f t="shared" si="2"/>
        <v>0</v>
      </c>
      <c r="I18" s="6"/>
      <c r="J18" s="11">
        <f t="shared" si="3"/>
        <v>0</v>
      </c>
      <c r="K18" s="6"/>
      <c r="L18" s="11">
        <f t="shared" si="4"/>
        <v>0</v>
      </c>
      <c r="M18" s="6"/>
      <c r="N18" s="11">
        <f t="shared" si="5"/>
        <v>0</v>
      </c>
      <c r="O18" s="6"/>
      <c r="P18" s="11">
        <f t="shared" si="6"/>
        <v>0</v>
      </c>
      <c r="Q18" s="6"/>
      <c r="R18" s="11">
        <f t="shared" si="7"/>
        <v>0</v>
      </c>
      <c r="S18" s="6"/>
      <c r="T18" s="11">
        <f t="shared" si="8"/>
        <v>0</v>
      </c>
      <c r="U18" s="11"/>
      <c r="V18" s="11">
        <f t="shared" si="9"/>
        <v>0</v>
      </c>
      <c r="W18" s="11"/>
      <c r="X18" s="11">
        <f t="shared" si="10"/>
        <v>0</v>
      </c>
      <c r="Y18" s="11"/>
      <c r="Z18" s="11">
        <f t="shared" si="11"/>
        <v>0</v>
      </c>
      <c r="AA18" s="11"/>
      <c r="AB18" s="11">
        <f t="shared" si="12"/>
        <v>0</v>
      </c>
      <c r="AC18" s="6"/>
      <c r="AD18" s="11">
        <f t="shared" si="13"/>
        <v>0</v>
      </c>
      <c r="AE18" s="6"/>
      <c r="AF18" s="11">
        <f t="shared" si="16"/>
        <v>0</v>
      </c>
      <c r="AG18" s="11">
        <f t="shared" si="14"/>
        <v>0</v>
      </c>
      <c r="AH18" s="11">
        <f t="shared" si="14"/>
        <v>0</v>
      </c>
      <c r="AI18" s="11">
        <f t="shared" si="15"/>
        <v>0</v>
      </c>
    </row>
    <row r="19" spans="1:36" ht="25.15" customHeight="1" x14ac:dyDescent="0.6">
      <c r="A19" s="39">
        <v>14</v>
      </c>
      <c r="B19" s="38"/>
      <c r="C19" s="6"/>
      <c r="D19" s="11">
        <f t="shared" si="0"/>
        <v>0</v>
      </c>
      <c r="E19" s="6"/>
      <c r="F19" s="11">
        <f t="shared" si="1"/>
        <v>0</v>
      </c>
      <c r="G19" s="6"/>
      <c r="H19" s="11">
        <f t="shared" si="2"/>
        <v>0</v>
      </c>
      <c r="I19" s="6"/>
      <c r="J19" s="11">
        <f t="shared" si="3"/>
        <v>0</v>
      </c>
      <c r="K19" s="6"/>
      <c r="L19" s="11">
        <f t="shared" si="4"/>
        <v>0</v>
      </c>
      <c r="M19" s="6"/>
      <c r="N19" s="11">
        <f t="shared" si="5"/>
        <v>0</v>
      </c>
      <c r="O19" s="6"/>
      <c r="P19" s="11">
        <f t="shared" si="6"/>
        <v>0</v>
      </c>
      <c r="Q19" s="6"/>
      <c r="R19" s="11">
        <f t="shared" si="7"/>
        <v>0</v>
      </c>
      <c r="S19" s="6"/>
      <c r="T19" s="11">
        <f t="shared" si="8"/>
        <v>0</v>
      </c>
      <c r="U19" s="11"/>
      <c r="V19" s="11">
        <f t="shared" si="9"/>
        <v>0</v>
      </c>
      <c r="W19" s="11"/>
      <c r="X19" s="11">
        <f t="shared" si="10"/>
        <v>0</v>
      </c>
      <c r="Y19" s="11"/>
      <c r="Z19" s="11">
        <f t="shared" si="11"/>
        <v>0</v>
      </c>
      <c r="AA19" s="11"/>
      <c r="AB19" s="11">
        <f t="shared" si="12"/>
        <v>0</v>
      </c>
      <c r="AC19" s="6"/>
      <c r="AD19" s="11">
        <f t="shared" si="13"/>
        <v>0</v>
      </c>
      <c r="AE19" s="6"/>
      <c r="AF19" s="11">
        <f t="shared" si="16"/>
        <v>0</v>
      </c>
      <c r="AG19" s="11">
        <f t="shared" si="14"/>
        <v>0</v>
      </c>
      <c r="AH19" s="11">
        <f t="shared" si="14"/>
        <v>0</v>
      </c>
      <c r="AI19" s="11">
        <f t="shared" si="15"/>
        <v>0</v>
      </c>
    </row>
    <row r="20" spans="1:36" ht="25.15" customHeight="1" x14ac:dyDescent="0.6">
      <c r="A20" s="39">
        <v>16</v>
      </c>
      <c r="B20" s="38"/>
      <c r="C20" s="41"/>
      <c r="D20" s="11">
        <f t="shared" si="0"/>
        <v>0</v>
      </c>
      <c r="E20" s="41"/>
      <c r="F20" s="11">
        <f t="shared" si="1"/>
        <v>0</v>
      </c>
      <c r="G20" s="41"/>
      <c r="H20" s="11">
        <f t="shared" si="2"/>
        <v>0</v>
      </c>
      <c r="I20" s="41"/>
      <c r="J20" s="11">
        <f t="shared" si="3"/>
        <v>0</v>
      </c>
      <c r="K20" s="41"/>
      <c r="L20" s="11">
        <f t="shared" si="4"/>
        <v>0</v>
      </c>
      <c r="M20" s="41"/>
      <c r="N20" s="11">
        <f t="shared" si="5"/>
        <v>0</v>
      </c>
      <c r="O20" s="41"/>
      <c r="P20" s="11">
        <f t="shared" si="6"/>
        <v>0</v>
      </c>
      <c r="Q20" s="41"/>
      <c r="R20" s="11">
        <f t="shared" si="7"/>
        <v>0</v>
      </c>
      <c r="S20" s="41"/>
      <c r="T20" s="11">
        <f t="shared" si="8"/>
        <v>0</v>
      </c>
      <c r="U20" s="46"/>
      <c r="V20" s="11">
        <f t="shared" si="9"/>
        <v>0</v>
      </c>
      <c r="W20" s="11"/>
      <c r="X20" s="11">
        <f t="shared" si="10"/>
        <v>0</v>
      </c>
      <c r="Y20" s="11"/>
      <c r="Z20" s="11">
        <f t="shared" si="11"/>
        <v>0</v>
      </c>
      <c r="AA20" s="11"/>
      <c r="AB20" s="11">
        <f t="shared" si="12"/>
        <v>0</v>
      </c>
      <c r="AC20" s="6"/>
      <c r="AD20" s="11">
        <f t="shared" si="13"/>
        <v>0</v>
      </c>
      <c r="AE20" s="41"/>
      <c r="AF20" s="11">
        <f t="shared" si="16"/>
        <v>0</v>
      </c>
      <c r="AG20" s="11">
        <f t="shared" si="14"/>
        <v>0</v>
      </c>
      <c r="AH20" s="11">
        <f t="shared" si="14"/>
        <v>0</v>
      </c>
      <c r="AI20" s="11">
        <f t="shared" si="15"/>
        <v>0</v>
      </c>
    </row>
    <row r="21" spans="1:36" ht="25.15" customHeight="1" x14ac:dyDescent="0.6">
      <c r="A21" s="39">
        <v>17</v>
      </c>
      <c r="B21" s="38"/>
      <c r="C21" s="41"/>
      <c r="D21" s="42">
        <f t="shared" si="0"/>
        <v>0</v>
      </c>
      <c r="E21" s="41"/>
      <c r="F21" s="46">
        <f t="shared" si="1"/>
        <v>0</v>
      </c>
      <c r="G21" s="41"/>
      <c r="H21" s="11">
        <f t="shared" si="2"/>
        <v>0</v>
      </c>
      <c r="I21" s="41"/>
      <c r="J21" s="11">
        <f t="shared" si="3"/>
        <v>0</v>
      </c>
      <c r="K21" s="41"/>
      <c r="L21" s="11">
        <f t="shared" si="4"/>
        <v>0</v>
      </c>
      <c r="M21" s="41"/>
      <c r="N21" s="46"/>
      <c r="O21" s="41"/>
      <c r="P21" s="46"/>
      <c r="Q21" s="41"/>
      <c r="R21" s="46"/>
      <c r="S21" s="41"/>
      <c r="T21" s="11">
        <f t="shared" si="8"/>
        <v>0</v>
      </c>
      <c r="U21" s="46"/>
      <c r="V21" s="11">
        <f t="shared" si="9"/>
        <v>0</v>
      </c>
      <c r="W21" s="11"/>
      <c r="X21" s="11"/>
      <c r="Y21" s="11"/>
      <c r="Z21" s="11"/>
      <c r="AA21" s="11"/>
      <c r="AB21" s="11"/>
      <c r="AC21" s="6"/>
      <c r="AD21" s="6"/>
      <c r="AE21" s="41"/>
      <c r="AF21" s="46"/>
      <c r="AG21" s="11">
        <f t="shared" si="14"/>
        <v>0</v>
      </c>
      <c r="AH21" s="11">
        <f t="shared" si="14"/>
        <v>0</v>
      </c>
      <c r="AI21" s="11">
        <f t="shared" si="15"/>
        <v>0</v>
      </c>
    </row>
    <row r="22" spans="1:36" ht="25.15" customHeight="1" x14ac:dyDescent="0.6">
      <c r="A22" s="39">
        <v>18</v>
      </c>
      <c r="B22" s="38"/>
      <c r="C22" s="41"/>
      <c r="D22" s="42">
        <f t="shared" si="0"/>
        <v>0</v>
      </c>
      <c r="E22" s="41"/>
      <c r="F22" s="46">
        <f t="shared" si="1"/>
        <v>0</v>
      </c>
      <c r="G22" s="41"/>
      <c r="H22" s="11">
        <f t="shared" si="2"/>
        <v>0</v>
      </c>
      <c r="I22" s="41"/>
      <c r="J22" s="11">
        <f t="shared" si="3"/>
        <v>0</v>
      </c>
      <c r="K22" s="41"/>
      <c r="L22" s="11">
        <f t="shared" si="4"/>
        <v>0</v>
      </c>
      <c r="M22" s="41"/>
      <c r="N22" s="46"/>
      <c r="O22" s="41"/>
      <c r="P22" s="46"/>
      <c r="Q22" s="41"/>
      <c r="R22" s="46"/>
      <c r="S22" s="41"/>
      <c r="T22" s="11">
        <f t="shared" si="8"/>
        <v>0</v>
      </c>
      <c r="U22" s="46"/>
      <c r="V22" s="11"/>
      <c r="W22" s="11"/>
      <c r="X22" s="11"/>
      <c r="Y22" s="11"/>
      <c r="Z22" s="11"/>
      <c r="AA22" s="11"/>
      <c r="AB22" s="11"/>
      <c r="AC22" s="6"/>
      <c r="AD22" s="6"/>
      <c r="AE22" s="41"/>
      <c r="AF22" s="46"/>
      <c r="AG22" s="11">
        <f t="shared" si="14"/>
        <v>0</v>
      </c>
      <c r="AH22" s="11">
        <f t="shared" si="14"/>
        <v>0</v>
      </c>
      <c r="AI22" s="11">
        <f t="shared" si="15"/>
        <v>0</v>
      </c>
    </row>
    <row r="23" spans="1:36" ht="25.15" customHeight="1" x14ac:dyDescent="0.6">
      <c r="A23" s="39"/>
      <c r="B23" s="38"/>
      <c r="C23" s="41"/>
      <c r="D23" s="42">
        <f t="shared" si="0"/>
        <v>0</v>
      </c>
      <c r="E23" s="41"/>
      <c r="F23" s="46">
        <f t="shared" si="1"/>
        <v>0</v>
      </c>
      <c r="G23" s="41"/>
      <c r="H23" s="11">
        <f t="shared" si="2"/>
        <v>0</v>
      </c>
      <c r="I23" s="41"/>
      <c r="J23" s="11">
        <f t="shared" si="3"/>
        <v>0</v>
      </c>
      <c r="K23" s="41"/>
      <c r="L23" s="11">
        <f t="shared" si="4"/>
        <v>0</v>
      </c>
      <c r="M23" s="41"/>
      <c r="N23" s="46"/>
      <c r="O23" s="41"/>
      <c r="P23" s="46"/>
      <c r="Q23" s="41"/>
      <c r="R23" s="46"/>
      <c r="S23" s="41"/>
      <c r="T23" s="46"/>
      <c r="U23" s="46"/>
      <c r="V23" s="11"/>
      <c r="W23" s="11"/>
      <c r="X23" s="11"/>
      <c r="Y23" s="11"/>
      <c r="Z23" s="11"/>
      <c r="AA23" s="11"/>
      <c r="AB23" s="11"/>
      <c r="AC23" s="6"/>
      <c r="AD23" s="6"/>
      <c r="AE23" s="41"/>
      <c r="AF23" s="46"/>
      <c r="AG23" s="11">
        <f t="shared" si="14"/>
        <v>0</v>
      </c>
      <c r="AH23" s="11">
        <f t="shared" si="14"/>
        <v>0</v>
      </c>
      <c r="AI23" s="11">
        <f t="shared" si="15"/>
        <v>0</v>
      </c>
    </row>
    <row r="24" spans="1:36" ht="25.15" customHeight="1" x14ac:dyDescent="0.6">
      <c r="A24" s="39"/>
      <c r="B24" s="38"/>
      <c r="C24" s="41"/>
      <c r="D24" s="42"/>
      <c r="E24" s="41"/>
      <c r="F24" s="46"/>
      <c r="G24" s="41"/>
      <c r="H24" s="11">
        <f t="shared" si="2"/>
        <v>0</v>
      </c>
      <c r="I24" s="41"/>
      <c r="J24" s="11">
        <f t="shared" si="3"/>
        <v>0</v>
      </c>
      <c r="K24" s="41"/>
      <c r="L24" s="11">
        <f t="shared" si="4"/>
        <v>0</v>
      </c>
      <c r="M24" s="41"/>
      <c r="N24" s="46"/>
      <c r="O24" s="41"/>
      <c r="P24" s="46"/>
      <c r="Q24" s="41"/>
      <c r="R24" s="46"/>
      <c r="S24" s="41"/>
      <c r="T24" s="46"/>
      <c r="U24" s="46"/>
      <c r="V24" s="11"/>
      <c r="W24" s="11"/>
      <c r="X24" s="11"/>
      <c r="Y24" s="11"/>
      <c r="Z24" s="11"/>
      <c r="AA24" s="11"/>
      <c r="AB24" s="11"/>
      <c r="AC24" s="6"/>
      <c r="AD24" s="6"/>
      <c r="AE24" s="41"/>
      <c r="AF24" s="46"/>
      <c r="AG24" s="11">
        <f t="shared" si="14"/>
        <v>0</v>
      </c>
      <c r="AH24" s="11">
        <f t="shared" si="14"/>
        <v>0</v>
      </c>
      <c r="AI24" s="11">
        <f t="shared" si="15"/>
        <v>0</v>
      </c>
      <c r="AJ24" s="1">
        <v>50160</v>
      </c>
    </row>
    <row r="25" spans="1:36" ht="25.15" customHeight="1" x14ac:dyDescent="0.6">
      <c r="A25" s="39"/>
      <c r="B25" s="38"/>
      <c r="C25" s="41"/>
      <c r="D25" s="42"/>
      <c r="E25" s="41"/>
      <c r="F25" s="46"/>
      <c r="G25" s="41"/>
      <c r="H25" s="11">
        <f t="shared" si="2"/>
        <v>0</v>
      </c>
      <c r="I25" s="41"/>
      <c r="J25" s="46"/>
      <c r="K25" s="41"/>
      <c r="L25" s="46"/>
      <c r="M25" s="41"/>
      <c r="N25" s="46"/>
      <c r="O25" s="41"/>
      <c r="P25" s="46"/>
      <c r="Q25" s="41"/>
      <c r="R25" s="46"/>
      <c r="S25" s="41"/>
      <c r="T25" s="46"/>
      <c r="U25" s="46"/>
      <c r="V25" s="11"/>
      <c r="W25" s="11"/>
      <c r="X25" s="11"/>
      <c r="Y25" s="11"/>
      <c r="Z25" s="11"/>
      <c r="AA25" s="11"/>
      <c r="AB25" s="11"/>
      <c r="AC25" s="6"/>
      <c r="AD25" s="6"/>
      <c r="AE25" s="41"/>
      <c r="AF25" s="46"/>
      <c r="AG25" s="11">
        <f t="shared" si="14"/>
        <v>0</v>
      </c>
      <c r="AH25" s="11">
        <f t="shared" si="14"/>
        <v>0</v>
      </c>
      <c r="AI25" s="11">
        <f t="shared" si="15"/>
        <v>0</v>
      </c>
      <c r="AJ25" s="1">
        <v>15780</v>
      </c>
    </row>
    <row r="26" spans="1:36" ht="25.15" customHeight="1" x14ac:dyDescent="0.6">
      <c r="A26" s="39"/>
      <c r="B26" s="38"/>
      <c r="C26" s="41"/>
      <c r="D26" s="42"/>
      <c r="E26" s="41"/>
      <c r="F26" s="46"/>
      <c r="G26" s="41"/>
      <c r="H26" s="46"/>
      <c r="I26" s="41"/>
      <c r="J26" s="46"/>
      <c r="K26" s="41"/>
      <c r="L26" s="46"/>
      <c r="M26" s="41"/>
      <c r="N26" s="46"/>
      <c r="O26" s="41"/>
      <c r="P26" s="46"/>
      <c r="Q26" s="41"/>
      <c r="R26" s="46"/>
      <c r="S26" s="41"/>
      <c r="T26" s="46"/>
      <c r="U26" s="46"/>
      <c r="V26" s="11"/>
      <c r="W26" s="11"/>
      <c r="X26" s="11"/>
      <c r="Y26" s="11"/>
      <c r="Z26" s="11"/>
      <c r="AA26" s="11"/>
      <c r="AB26" s="11"/>
      <c r="AC26" s="6"/>
      <c r="AD26" s="6"/>
      <c r="AE26" s="41"/>
      <c r="AF26" s="46"/>
      <c r="AG26" s="6"/>
      <c r="AH26" s="6"/>
      <c r="AI26" s="11">
        <f t="shared" si="15"/>
        <v>0</v>
      </c>
      <c r="AJ26" s="1">
        <f>SUM(AJ24:AJ25)</f>
        <v>65940</v>
      </c>
    </row>
    <row r="27" spans="1:36" ht="25.15" customHeight="1" x14ac:dyDescent="0.6">
      <c r="A27" s="39"/>
      <c r="B27" s="37"/>
      <c r="C27" s="51">
        <f>SUM(C6:C26)</f>
        <v>570</v>
      </c>
      <c r="D27" s="46">
        <f>SUM(D6:D26)</f>
        <v>7980</v>
      </c>
      <c r="E27" s="51">
        <f>SUM(E6:E26)</f>
        <v>620</v>
      </c>
      <c r="F27" s="46">
        <f>SUM(F6:F26)</f>
        <v>7440</v>
      </c>
      <c r="G27" s="52">
        <f t="shared" ref="G27:AF27" si="17">SUM(G6:G26)</f>
        <v>120</v>
      </c>
      <c r="H27" s="46">
        <f t="shared" si="17"/>
        <v>1440</v>
      </c>
      <c r="I27" s="52">
        <f t="shared" si="17"/>
        <v>150</v>
      </c>
      <c r="J27" s="46">
        <f t="shared" si="17"/>
        <v>6000</v>
      </c>
      <c r="K27" s="52">
        <f t="shared" si="17"/>
        <v>0</v>
      </c>
      <c r="L27" s="46">
        <f t="shared" si="17"/>
        <v>0</v>
      </c>
      <c r="M27" s="52">
        <f t="shared" si="17"/>
        <v>570</v>
      </c>
      <c r="N27" s="46">
        <f t="shared" si="17"/>
        <v>6840</v>
      </c>
      <c r="O27" s="46">
        <f t="shared" si="17"/>
        <v>0</v>
      </c>
      <c r="P27" s="46">
        <f t="shared" si="17"/>
        <v>0</v>
      </c>
      <c r="Q27" s="46">
        <f t="shared" si="17"/>
        <v>50</v>
      </c>
      <c r="R27" s="46">
        <f t="shared" si="17"/>
        <v>700</v>
      </c>
      <c r="S27" s="52">
        <f t="shared" si="17"/>
        <v>0</v>
      </c>
      <c r="T27" s="46">
        <f t="shared" si="17"/>
        <v>0</v>
      </c>
      <c r="U27" s="52">
        <f t="shared" si="17"/>
        <v>0</v>
      </c>
      <c r="V27" s="46">
        <f t="shared" si="17"/>
        <v>0</v>
      </c>
      <c r="W27" s="46">
        <f t="shared" si="17"/>
        <v>0</v>
      </c>
      <c r="X27" s="46">
        <f t="shared" si="17"/>
        <v>0</v>
      </c>
      <c r="Y27" s="46">
        <f t="shared" si="17"/>
        <v>0</v>
      </c>
      <c r="Z27" s="46">
        <f t="shared" si="17"/>
        <v>0</v>
      </c>
      <c r="AA27" s="46">
        <f t="shared" si="17"/>
        <v>0</v>
      </c>
      <c r="AB27" s="46">
        <f t="shared" si="17"/>
        <v>0</v>
      </c>
      <c r="AC27" s="46">
        <f t="shared" si="17"/>
        <v>0</v>
      </c>
      <c r="AD27" s="46">
        <f t="shared" si="17"/>
        <v>0</v>
      </c>
      <c r="AE27" s="46">
        <f t="shared" si="17"/>
        <v>0</v>
      </c>
      <c r="AF27" s="46">
        <f t="shared" si="17"/>
        <v>0</v>
      </c>
      <c r="AG27" s="6">
        <f>SUM(AG6:AG26)</f>
        <v>2080</v>
      </c>
      <c r="AH27" s="6">
        <f>SUM(AH6:AH26)</f>
        <v>30400</v>
      </c>
      <c r="AI27" s="11">
        <f t="shared" si="15"/>
        <v>22799.200000000001</v>
      </c>
      <c r="AJ27" s="1">
        <v>7200</v>
      </c>
    </row>
    <row r="28" spans="1:36" ht="25.15" customHeight="1" x14ac:dyDescent="0.6">
      <c r="AI28" s="1">
        <f>SUM(AI26:AI27)</f>
        <v>22799.200000000001</v>
      </c>
      <c r="AJ28" s="1">
        <f>SUM(AJ26:AJ27)</f>
        <v>73140</v>
      </c>
    </row>
    <row r="29" spans="1:36" ht="25.15" customHeight="1" x14ac:dyDescent="0.6"/>
    <row r="30" spans="1:36" ht="25.15" customHeight="1" x14ac:dyDescent="0.6"/>
    <row r="31" spans="1:36" ht="25.15" customHeight="1" x14ac:dyDescent="0.6"/>
    <row r="32" spans="1:36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</sheetData>
  <mergeCells count="17">
    <mergeCell ref="AA3:AB3"/>
    <mergeCell ref="AC3:AD3"/>
    <mergeCell ref="AE3:AF3"/>
    <mergeCell ref="AG3:AI3"/>
    <mergeCell ref="C2:Z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</mergeCells>
  <hyperlinks>
    <hyperlink ref="C2:Z2" location="'SMM YGN '!A1" display="A.A.A (မြောက်ဒဂုံ)" xr:uid="{00000000-0004-0000-10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4"/>
  <dimension ref="A1:AG90"/>
  <sheetViews>
    <sheetView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F12" sqref="F12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1.28515625" style="1" customWidth="1"/>
    <col min="5" max="8" width="10.28515625" style="1" customWidth="1"/>
    <col min="9" max="10" width="9.85546875" style="1" customWidth="1"/>
    <col min="11" max="14" width="8.85546875" style="1" customWidth="1"/>
    <col min="15" max="16" width="9.7109375" style="1" customWidth="1"/>
    <col min="17" max="32" width="8.85546875" style="1" customWidth="1"/>
    <col min="33" max="16384" width="9" style="1"/>
  </cols>
  <sheetData>
    <row r="1" spans="1:33" ht="21.75" x14ac:dyDescent="0.6">
      <c r="A1" s="23"/>
      <c r="B1" s="24"/>
      <c r="C1" s="745" t="s">
        <v>83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Z1" s="1" t="s">
        <v>68</v>
      </c>
      <c r="AA1" s="1">
        <f>AE21</f>
        <v>2500</v>
      </c>
      <c r="AC1" s="25">
        <v>12</v>
      </c>
      <c r="AD1" s="26">
        <v>14</v>
      </c>
    </row>
    <row r="2" spans="1:33" s="27" customFormat="1" ht="27" x14ac:dyDescent="0.75">
      <c r="A2" s="731" t="s">
        <v>1</v>
      </c>
      <c r="B2" s="732" t="s">
        <v>0</v>
      </c>
      <c r="C2" s="766" t="s">
        <v>3</v>
      </c>
      <c r="D2" s="766"/>
      <c r="E2" s="766"/>
      <c r="F2" s="766"/>
      <c r="G2" s="766"/>
      <c r="H2" s="766"/>
      <c r="I2" s="766"/>
      <c r="J2" s="766"/>
      <c r="K2" s="766"/>
      <c r="L2" s="766"/>
      <c r="M2" s="766"/>
      <c r="N2" s="766"/>
      <c r="O2" s="766"/>
      <c r="P2" s="766"/>
      <c r="Q2" s="766"/>
      <c r="R2" s="766"/>
      <c r="S2" s="766"/>
      <c r="T2" s="766"/>
      <c r="U2" s="766"/>
      <c r="V2" s="766"/>
      <c r="W2" s="766"/>
      <c r="X2" s="766"/>
      <c r="Z2" s="1" t="s">
        <v>67</v>
      </c>
      <c r="AA2" s="27">
        <f>AF21</f>
        <v>36240</v>
      </c>
      <c r="AC2" s="28">
        <v>24</v>
      </c>
      <c r="AD2" s="29">
        <v>40</v>
      </c>
    </row>
    <row r="3" spans="1:33" s="27" customFormat="1" ht="45.75" customHeight="1" x14ac:dyDescent="0.6">
      <c r="A3" s="731"/>
      <c r="B3" s="732"/>
      <c r="C3" s="734" t="s">
        <v>59</v>
      </c>
      <c r="D3" s="735"/>
      <c r="E3" s="736" t="s">
        <v>314</v>
      </c>
      <c r="F3" s="737"/>
      <c r="G3" s="736" t="s">
        <v>315</v>
      </c>
      <c r="H3" s="737"/>
      <c r="I3" s="738" t="s">
        <v>316</v>
      </c>
      <c r="J3" s="739"/>
      <c r="K3" s="736" t="s">
        <v>61</v>
      </c>
      <c r="L3" s="737"/>
      <c r="M3" s="736" t="s">
        <v>62</v>
      </c>
      <c r="N3" s="737"/>
      <c r="O3" s="738" t="s">
        <v>317</v>
      </c>
      <c r="P3" s="739"/>
      <c r="Q3" s="734" t="s">
        <v>318</v>
      </c>
      <c r="R3" s="735"/>
      <c r="S3" s="734" t="s">
        <v>65</v>
      </c>
      <c r="T3" s="735"/>
      <c r="U3" s="740" t="s">
        <v>60</v>
      </c>
      <c r="V3" s="741"/>
      <c r="W3" s="736" t="s">
        <v>323</v>
      </c>
      <c r="X3" s="737"/>
      <c r="Y3" s="736" t="s">
        <v>319</v>
      </c>
      <c r="Z3" s="737"/>
      <c r="AA3" s="736" t="s">
        <v>320</v>
      </c>
      <c r="AB3" s="737"/>
      <c r="AC3" s="736" t="s">
        <v>321</v>
      </c>
      <c r="AD3" s="737"/>
      <c r="AE3" s="742" t="s">
        <v>322</v>
      </c>
      <c r="AF3" s="743"/>
      <c r="AG3" s="744"/>
    </row>
    <row r="4" spans="1:33" s="32" customFormat="1" ht="21.75" x14ac:dyDescent="0.6">
      <c r="A4" s="764"/>
      <c r="B4" s="765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19"/>
      <c r="B5" s="118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45809</v>
      </c>
      <c r="C6" s="11">
        <f>250+600</f>
        <v>850</v>
      </c>
      <c r="D6" s="11">
        <f>C6*14</f>
        <v>11900</v>
      </c>
      <c r="E6" s="11">
        <v>200</v>
      </c>
      <c r="F6" s="11">
        <f>E6*12</f>
        <v>2400</v>
      </c>
      <c r="G6" s="11"/>
      <c r="H6" s="11">
        <f>G6*12</f>
        <v>0</v>
      </c>
      <c r="I6" s="11">
        <v>100</v>
      </c>
      <c r="J6" s="11">
        <f>I6*40</f>
        <v>4000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>
        <v>50</v>
      </c>
      <c r="T6" s="11">
        <f>S6*14</f>
        <v>700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1200</v>
      </c>
      <c r="AF6" s="11">
        <f>D6+F6+H6+J6+L6+N6+P6+R6+T6+V6+X6+Z6+AB6+AD6</f>
        <v>19000</v>
      </c>
      <c r="AG6" s="11">
        <f>(D6*$D$5)+(F6*$F$5)+(H6*$H$5)+(J6*$J$5)+(L6*$L$5)+(N6*$N$5)+(P6*$P$5)+(R6*$R$5)+(T6*$T$5)+(V6*$V$5)+(X6*$X$5)+(Z6*$Z$5)+(AB6*$AB$5)+(AD6*$AD$5)</f>
        <v>11864</v>
      </c>
    </row>
    <row r="7" spans="1:33" s="19" customFormat="1" ht="25.15" customHeight="1" x14ac:dyDescent="0.25">
      <c r="A7" s="37">
        <v>2</v>
      </c>
      <c r="B7" s="38">
        <v>45962</v>
      </c>
      <c r="C7" s="11">
        <v>470</v>
      </c>
      <c r="D7" s="11">
        <v>6580</v>
      </c>
      <c r="E7" s="11">
        <v>465</v>
      </c>
      <c r="F7" s="11">
        <v>5580</v>
      </c>
      <c r="G7" s="11"/>
      <c r="H7" s="11">
        <v>0</v>
      </c>
      <c r="I7" s="11"/>
      <c r="J7" s="11">
        <v>0</v>
      </c>
      <c r="K7" s="11"/>
      <c r="L7" s="11">
        <v>0</v>
      </c>
      <c r="M7" s="11">
        <v>15</v>
      </c>
      <c r="N7" s="11">
        <v>180</v>
      </c>
      <c r="O7" s="11"/>
      <c r="P7" s="11">
        <v>0</v>
      </c>
      <c r="Q7" s="11"/>
      <c r="R7" s="11">
        <v>0</v>
      </c>
      <c r="S7" s="11">
        <v>350</v>
      </c>
      <c r="T7" s="11">
        <v>4900</v>
      </c>
      <c r="U7" s="11"/>
      <c r="V7" s="11">
        <f t="shared" ref="V7:V12" si="0">U7*24</f>
        <v>0</v>
      </c>
      <c r="W7" s="11"/>
      <c r="X7" s="11">
        <f t="shared" ref="X7:X12" si="1">W7*12</f>
        <v>0</v>
      </c>
      <c r="Y7" s="11"/>
      <c r="Z7" s="11">
        <f t="shared" ref="Z7:Z12" si="2">Y7*12</f>
        <v>0</v>
      </c>
      <c r="AA7" s="11"/>
      <c r="AB7" s="11">
        <f t="shared" ref="AB7:AB12" si="3">AA7*12</f>
        <v>0</v>
      </c>
      <c r="AC7" s="11"/>
      <c r="AD7" s="11">
        <f t="shared" ref="AD7:AD12" si="4">AC7*12</f>
        <v>0</v>
      </c>
      <c r="AE7" s="11">
        <f t="shared" ref="AE7:AF16" si="5">C7+E7+G7+I7+K7+M7+O7+Q7+S7+U7+W7+Y7+AA7+AC7</f>
        <v>1300</v>
      </c>
      <c r="AF7" s="11">
        <f t="shared" si="5"/>
        <v>17240</v>
      </c>
      <c r="AG7" s="13">
        <f>(D7*$D$5)+(F7*$F$5)+(H7*$H$5)+(J7*$J$5)+(L7*$L$5)+(N7*$N$5)+(P7*$P$5)+(R7*$R$5)+(T7*$T$5)+(V7*$V$5)+(X7*$X$5)+(Z7*$Z$5)+(AB7*$AB$5)+(AD7*$AD$5)</f>
        <v>13107.2</v>
      </c>
    </row>
    <row r="8" spans="1:33" s="19" customFormat="1" ht="25.15" customHeight="1" x14ac:dyDescent="0.25">
      <c r="A8" s="37">
        <v>3</v>
      </c>
      <c r="B8" s="38"/>
      <c r="C8" s="11"/>
      <c r="D8" s="11">
        <f t="shared" ref="D8:D16" si="6">C8*14</f>
        <v>0</v>
      </c>
      <c r="E8" s="11"/>
      <c r="F8" s="11">
        <f t="shared" ref="F8:F16" si="7">E8*12</f>
        <v>0</v>
      </c>
      <c r="G8" s="11"/>
      <c r="H8" s="11">
        <f>G8*12</f>
        <v>0</v>
      </c>
      <c r="I8" s="11"/>
      <c r="J8" s="11">
        <f t="shared" ref="J8:J18" si="8">I8*40</f>
        <v>0</v>
      </c>
      <c r="K8" s="11"/>
      <c r="L8" s="11">
        <f t="shared" ref="L8:L16" si="9">K8*12</f>
        <v>0</v>
      </c>
      <c r="M8" s="11"/>
      <c r="N8" s="11">
        <f t="shared" ref="N8:N16" si="10"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 t="shared" ref="T8:T16" si="11">S8*14</f>
        <v>0</v>
      </c>
      <c r="U8" s="11"/>
      <c r="V8" s="11">
        <f t="shared" si="0"/>
        <v>0</v>
      </c>
      <c r="W8" s="11"/>
      <c r="X8" s="11">
        <f t="shared" si="1"/>
        <v>0</v>
      </c>
      <c r="Y8" s="11"/>
      <c r="Z8" s="11">
        <f t="shared" si="2"/>
        <v>0</v>
      </c>
      <c r="AA8" s="11"/>
      <c r="AB8" s="11">
        <f t="shared" si="3"/>
        <v>0</v>
      </c>
      <c r="AC8" s="11"/>
      <c r="AD8" s="11">
        <f t="shared" si="4"/>
        <v>0</v>
      </c>
      <c r="AE8" s="11">
        <f t="shared" si="5"/>
        <v>0</v>
      </c>
      <c r="AF8" s="11">
        <f t="shared" si="5"/>
        <v>0</v>
      </c>
      <c r="AG8" s="11">
        <f t="shared" ref="AG8:AG20" si="12">(D8*$D$5)+(F8*$F$5)+(H8*$H$5)+(J8*$J$5)+(L8*$L$5)+(N8*$N$5)+(P8*$P$5)+(R8*$R$5)+(T8*$T$5)+(V8*$V$5)+(X8*$X$5)+(Z8*$Z$5)+(AB8*$AB$5)+(AD8*$AD$5)</f>
        <v>0</v>
      </c>
    </row>
    <row r="9" spans="1:33" s="19" customFormat="1" ht="25.15" customHeight="1" x14ac:dyDescent="0.25">
      <c r="A9" s="37">
        <v>4</v>
      </c>
      <c r="B9" s="38"/>
      <c r="C9" s="11"/>
      <c r="D9" s="11">
        <f t="shared" si="6"/>
        <v>0</v>
      </c>
      <c r="E9" s="11"/>
      <c r="F9" s="11">
        <f t="shared" si="7"/>
        <v>0</v>
      </c>
      <c r="G9" s="11"/>
      <c r="H9" s="11">
        <f>G9*12</f>
        <v>0</v>
      </c>
      <c r="I9" s="11"/>
      <c r="J9" s="11">
        <f t="shared" si="8"/>
        <v>0</v>
      </c>
      <c r="K9" s="11"/>
      <c r="L9" s="11">
        <f t="shared" si="9"/>
        <v>0</v>
      </c>
      <c r="M9" s="11"/>
      <c r="N9" s="11">
        <f t="shared" si="10"/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 t="shared" si="11"/>
        <v>0</v>
      </c>
      <c r="U9" s="11"/>
      <c r="V9" s="11">
        <f t="shared" si="0"/>
        <v>0</v>
      </c>
      <c r="W9" s="11"/>
      <c r="X9" s="11">
        <f t="shared" si="1"/>
        <v>0</v>
      </c>
      <c r="Y9" s="11"/>
      <c r="Z9" s="11">
        <f t="shared" si="2"/>
        <v>0</v>
      </c>
      <c r="AA9" s="11"/>
      <c r="AB9" s="11">
        <f t="shared" si="3"/>
        <v>0</v>
      </c>
      <c r="AC9" s="11"/>
      <c r="AD9" s="11">
        <f t="shared" si="4"/>
        <v>0</v>
      </c>
      <c r="AE9" s="11">
        <f t="shared" si="5"/>
        <v>0</v>
      </c>
      <c r="AF9" s="11">
        <f t="shared" si="5"/>
        <v>0</v>
      </c>
      <c r="AG9" s="11">
        <f t="shared" si="12"/>
        <v>0</v>
      </c>
    </row>
    <row r="10" spans="1:33" s="19" customFormat="1" ht="25.15" customHeight="1" x14ac:dyDescent="0.25">
      <c r="A10" s="37">
        <v>5</v>
      </c>
      <c r="B10" s="38"/>
      <c r="C10" s="11"/>
      <c r="D10" s="11">
        <f t="shared" si="6"/>
        <v>0</v>
      </c>
      <c r="E10" s="11"/>
      <c r="F10" s="11">
        <f t="shared" si="7"/>
        <v>0</v>
      </c>
      <c r="G10" s="11"/>
      <c r="H10" s="11">
        <f>G10*12</f>
        <v>0</v>
      </c>
      <c r="I10" s="11"/>
      <c r="J10" s="11">
        <f t="shared" si="8"/>
        <v>0</v>
      </c>
      <c r="K10" s="11"/>
      <c r="L10" s="11">
        <f t="shared" si="9"/>
        <v>0</v>
      </c>
      <c r="M10" s="11"/>
      <c r="N10" s="11">
        <f t="shared" si="10"/>
        <v>0</v>
      </c>
      <c r="O10" s="11"/>
      <c r="P10" s="11">
        <f>O10*40</f>
        <v>0</v>
      </c>
      <c r="Q10" s="11"/>
      <c r="R10" s="11">
        <f>Q10*14</f>
        <v>0</v>
      </c>
      <c r="S10" s="11"/>
      <c r="T10" s="11">
        <f t="shared" si="11"/>
        <v>0</v>
      </c>
      <c r="U10" s="11"/>
      <c r="V10" s="11">
        <f t="shared" si="0"/>
        <v>0</v>
      </c>
      <c r="W10" s="11"/>
      <c r="X10" s="11">
        <f t="shared" si="1"/>
        <v>0</v>
      </c>
      <c r="Y10" s="11"/>
      <c r="Z10" s="11">
        <f t="shared" si="2"/>
        <v>0</v>
      </c>
      <c r="AA10" s="11"/>
      <c r="AB10" s="11">
        <f t="shared" si="3"/>
        <v>0</v>
      </c>
      <c r="AC10" s="11"/>
      <c r="AD10" s="11">
        <f t="shared" si="4"/>
        <v>0</v>
      </c>
      <c r="AE10" s="11">
        <f t="shared" si="5"/>
        <v>0</v>
      </c>
      <c r="AF10" s="11">
        <f t="shared" si="5"/>
        <v>0</v>
      </c>
      <c r="AG10" s="11">
        <f t="shared" si="12"/>
        <v>0</v>
      </c>
    </row>
    <row r="11" spans="1:33" s="19" customFormat="1" ht="25.15" customHeight="1" x14ac:dyDescent="0.25">
      <c r="A11" s="37">
        <v>6</v>
      </c>
      <c r="B11" s="38"/>
      <c r="C11" s="11"/>
      <c r="D11" s="11">
        <f t="shared" si="6"/>
        <v>0</v>
      </c>
      <c r="E11" s="11"/>
      <c r="F11" s="11">
        <f t="shared" si="7"/>
        <v>0</v>
      </c>
      <c r="G11" s="11"/>
      <c r="H11" s="11">
        <f>G11*12</f>
        <v>0</v>
      </c>
      <c r="I11" s="11"/>
      <c r="J11" s="11">
        <f t="shared" si="8"/>
        <v>0</v>
      </c>
      <c r="K11" s="11"/>
      <c r="L11" s="11">
        <f t="shared" si="9"/>
        <v>0</v>
      </c>
      <c r="M11" s="11"/>
      <c r="N11" s="11">
        <f t="shared" si="10"/>
        <v>0</v>
      </c>
      <c r="O11" s="11"/>
      <c r="P11" s="11">
        <f>O11*40</f>
        <v>0</v>
      </c>
      <c r="Q11" s="11"/>
      <c r="R11" s="11">
        <f>Q11*14</f>
        <v>0</v>
      </c>
      <c r="S11" s="11"/>
      <c r="T11" s="11">
        <f t="shared" si="11"/>
        <v>0</v>
      </c>
      <c r="U11" s="11"/>
      <c r="V11" s="11">
        <f t="shared" si="0"/>
        <v>0</v>
      </c>
      <c r="W11" s="11"/>
      <c r="X11" s="11">
        <f t="shared" si="1"/>
        <v>0</v>
      </c>
      <c r="Y11" s="11"/>
      <c r="Z11" s="11">
        <f t="shared" si="2"/>
        <v>0</v>
      </c>
      <c r="AA11" s="11"/>
      <c r="AB11" s="11">
        <f t="shared" si="3"/>
        <v>0</v>
      </c>
      <c r="AC11" s="11"/>
      <c r="AD11" s="11">
        <f t="shared" si="4"/>
        <v>0</v>
      </c>
      <c r="AE11" s="11">
        <f t="shared" si="5"/>
        <v>0</v>
      </c>
      <c r="AF11" s="11">
        <f t="shared" si="5"/>
        <v>0</v>
      </c>
      <c r="AG11" s="11">
        <f t="shared" si="12"/>
        <v>0</v>
      </c>
    </row>
    <row r="12" spans="1:33" ht="25.15" customHeight="1" x14ac:dyDescent="0.6">
      <c r="A12" s="39">
        <v>7</v>
      </c>
      <c r="B12" s="38"/>
      <c r="C12" s="6"/>
      <c r="D12" s="11">
        <f t="shared" si="6"/>
        <v>0</v>
      </c>
      <c r="E12" s="6"/>
      <c r="F12" s="11">
        <f t="shared" si="7"/>
        <v>0</v>
      </c>
      <c r="G12" s="6"/>
      <c r="H12" s="11">
        <f>G12*12</f>
        <v>0</v>
      </c>
      <c r="I12" s="6"/>
      <c r="J12" s="11">
        <f t="shared" si="8"/>
        <v>0</v>
      </c>
      <c r="K12" s="6"/>
      <c r="L12" s="11">
        <f t="shared" si="9"/>
        <v>0</v>
      </c>
      <c r="M12" s="6"/>
      <c r="N12" s="11">
        <f t="shared" si="10"/>
        <v>0</v>
      </c>
      <c r="O12" s="6"/>
      <c r="P12" s="11">
        <f>O12*40</f>
        <v>0</v>
      </c>
      <c r="Q12" s="6"/>
      <c r="R12" s="11">
        <f>Q12*14</f>
        <v>0</v>
      </c>
      <c r="S12" s="6"/>
      <c r="T12" s="11">
        <f t="shared" si="11"/>
        <v>0</v>
      </c>
      <c r="U12" s="11"/>
      <c r="V12" s="11">
        <f t="shared" si="0"/>
        <v>0</v>
      </c>
      <c r="W12" s="11"/>
      <c r="X12" s="11">
        <f t="shared" si="1"/>
        <v>0</v>
      </c>
      <c r="Y12" s="6"/>
      <c r="Z12" s="11">
        <f t="shared" si="2"/>
        <v>0</v>
      </c>
      <c r="AA12" s="6"/>
      <c r="AB12" s="11">
        <f t="shared" si="3"/>
        <v>0</v>
      </c>
      <c r="AC12" s="6"/>
      <c r="AD12" s="11">
        <f t="shared" si="4"/>
        <v>0</v>
      </c>
      <c r="AE12" s="11">
        <f t="shared" si="5"/>
        <v>0</v>
      </c>
      <c r="AF12" s="11">
        <f t="shared" si="5"/>
        <v>0</v>
      </c>
      <c r="AG12" s="11">
        <f t="shared" si="12"/>
        <v>0</v>
      </c>
    </row>
    <row r="13" spans="1:33" ht="25.15" customHeight="1" x14ac:dyDescent="0.6">
      <c r="A13" s="39">
        <v>8</v>
      </c>
      <c r="B13" s="38"/>
      <c r="C13" s="6"/>
      <c r="D13" s="11">
        <f t="shared" si="6"/>
        <v>0</v>
      </c>
      <c r="E13" s="6"/>
      <c r="F13" s="11">
        <f t="shared" si="7"/>
        <v>0</v>
      </c>
      <c r="G13" s="6"/>
      <c r="H13" s="11"/>
      <c r="I13" s="6"/>
      <c r="J13" s="11">
        <f t="shared" si="8"/>
        <v>0</v>
      </c>
      <c r="K13" s="6"/>
      <c r="L13" s="11">
        <f t="shared" si="9"/>
        <v>0</v>
      </c>
      <c r="M13" s="6"/>
      <c r="N13" s="11">
        <f t="shared" si="10"/>
        <v>0</v>
      </c>
      <c r="O13" s="6"/>
      <c r="P13" s="11"/>
      <c r="Q13" s="6"/>
      <c r="R13" s="11"/>
      <c r="S13" s="6"/>
      <c r="T13" s="11">
        <f t="shared" si="11"/>
        <v>0</v>
      </c>
      <c r="U13" s="11"/>
      <c r="V13" s="11"/>
      <c r="W13" s="11"/>
      <c r="X13" s="11"/>
      <c r="Y13" s="6"/>
      <c r="Z13" s="6"/>
      <c r="AA13" s="6"/>
      <c r="AB13" s="6"/>
      <c r="AC13" s="6"/>
      <c r="AD13" s="6"/>
      <c r="AE13" s="11">
        <f t="shared" si="5"/>
        <v>0</v>
      </c>
      <c r="AF13" s="11">
        <f t="shared" si="5"/>
        <v>0</v>
      </c>
      <c r="AG13" s="11">
        <f t="shared" si="12"/>
        <v>0</v>
      </c>
    </row>
    <row r="14" spans="1:33" ht="25.15" customHeight="1" x14ac:dyDescent="0.6">
      <c r="A14" s="39">
        <v>9</v>
      </c>
      <c r="B14" s="38"/>
      <c r="C14" s="6"/>
      <c r="D14" s="11">
        <f t="shared" si="6"/>
        <v>0</v>
      </c>
      <c r="E14" s="6"/>
      <c r="F14" s="11">
        <f t="shared" si="7"/>
        <v>0</v>
      </c>
      <c r="G14" s="6"/>
      <c r="H14" s="11"/>
      <c r="I14" s="6"/>
      <c r="J14" s="11">
        <f t="shared" si="8"/>
        <v>0</v>
      </c>
      <c r="K14" s="6"/>
      <c r="L14" s="11">
        <f t="shared" si="9"/>
        <v>0</v>
      </c>
      <c r="M14" s="6"/>
      <c r="N14" s="11">
        <f t="shared" si="10"/>
        <v>0</v>
      </c>
      <c r="O14" s="6"/>
      <c r="P14" s="11"/>
      <c r="Q14" s="6"/>
      <c r="R14" s="11"/>
      <c r="S14" s="6"/>
      <c r="T14" s="11">
        <f t="shared" si="11"/>
        <v>0</v>
      </c>
      <c r="U14" s="11"/>
      <c r="V14" s="11"/>
      <c r="W14" s="11"/>
      <c r="X14" s="11"/>
      <c r="Y14" s="6"/>
      <c r="Z14" s="6"/>
      <c r="AA14" s="6"/>
      <c r="AB14" s="6"/>
      <c r="AC14" s="6"/>
      <c r="AD14" s="6"/>
      <c r="AE14" s="11">
        <f t="shared" si="5"/>
        <v>0</v>
      </c>
      <c r="AF14" s="11">
        <f t="shared" si="5"/>
        <v>0</v>
      </c>
      <c r="AG14" s="11">
        <f>(D14*$D$5)+(F14*$F$5)+(H14*$H$5)+(J14*$J$5)+(L14*$L$5)+(N14*$N$5)+(P14*$P$5)+(R14*$R$5)+(T14*$T$5)+(V14*$V$5)+(X14*$X$5)+(Z14*$Z$5)+(AB14*$AB$5)+(AD14*$AD$5)</f>
        <v>0</v>
      </c>
    </row>
    <row r="15" spans="1:33" ht="25.15" customHeight="1" x14ac:dyDescent="0.6">
      <c r="A15" s="39">
        <v>10</v>
      </c>
      <c r="B15" s="38"/>
      <c r="C15" s="6"/>
      <c r="D15" s="11">
        <f t="shared" si="6"/>
        <v>0</v>
      </c>
      <c r="E15" s="6"/>
      <c r="F15" s="11">
        <f t="shared" si="7"/>
        <v>0</v>
      </c>
      <c r="G15" s="6"/>
      <c r="H15" s="11"/>
      <c r="I15" s="6"/>
      <c r="J15" s="11">
        <f t="shared" si="8"/>
        <v>0</v>
      </c>
      <c r="K15" s="6"/>
      <c r="L15" s="11">
        <f t="shared" si="9"/>
        <v>0</v>
      </c>
      <c r="M15" s="6"/>
      <c r="N15" s="11">
        <f t="shared" si="10"/>
        <v>0</v>
      </c>
      <c r="O15" s="6"/>
      <c r="P15" s="11"/>
      <c r="Q15" s="6"/>
      <c r="R15" s="11"/>
      <c r="S15" s="6"/>
      <c r="T15" s="11">
        <f t="shared" si="11"/>
        <v>0</v>
      </c>
      <c r="U15" s="11"/>
      <c r="V15" s="11"/>
      <c r="W15" s="11"/>
      <c r="X15" s="11"/>
      <c r="Y15" s="6"/>
      <c r="Z15" s="6"/>
      <c r="AA15" s="6"/>
      <c r="AB15" s="6"/>
      <c r="AC15" s="6"/>
      <c r="AD15" s="6"/>
      <c r="AE15" s="11">
        <f t="shared" si="5"/>
        <v>0</v>
      </c>
      <c r="AF15" s="11">
        <f t="shared" si="5"/>
        <v>0</v>
      </c>
      <c r="AG15" s="11">
        <f t="shared" si="12"/>
        <v>0</v>
      </c>
    </row>
    <row r="16" spans="1:33" ht="25.15" customHeight="1" x14ac:dyDescent="0.6">
      <c r="A16" s="39">
        <v>11</v>
      </c>
      <c r="B16" s="38"/>
      <c r="C16" s="6"/>
      <c r="D16" s="11">
        <f t="shared" si="6"/>
        <v>0</v>
      </c>
      <c r="E16" s="6"/>
      <c r="F16" s="11">
        <f t="shared" si="7"/>
        <v>0</v>
      </c>
      <c r="G16" s="6"/>
      <c r="H16" s="11"/>
      <c r="I16" s="6"/>
      <c r="J16" s="11">
        <f t="shared" si="8"/>
        <v>0</v>
      </c>
      <c r="K16" s="6"/>
      <c r="L16" s="11">
        <f t="shared" si="9"/>
        <v>0</v>
      </c>
      <c r="M16" s="6"/>
      <c r="N16" s="11">
        <f t="shared" si="10"/>
        <v>0</v>
      </c>
      <c r="O16" s="6"/>
      <c r="P16" s="11"/>
      <c r="Q16" s="6"/>
      <c r="R16" s="11"/>
      <c r="S16" s="6"/>
      <c r="T16" s="11">
        <f t="shared" si="11"/>
        <v>0</v>
      </c>
      <c r="U16" s="11"/>
      <c r="V16" s="11"/>
      <c r="W16" s="11"/>
      <c r="X16" s="11"/>
      <c r="Y16" s="6"/>
      <c r="Z16" s="6"/>
      <c r="AA16" s="6"/>
      <c r="AB16" s="6"/>
      <c r="AC16" s="6"/>
      <c r="AD16" s="6"/>
      <c r="AE16" s="11">
        <f t="shared" si="5"/>
        <v>0</v>
      </c>
      <c r="AF16" s="6">
        <f t="shared" si="5"/>
        <v>0</v>
      </c>
      <c r="AG16" s="11">
        <f t="shared" si="12"/>
        <v>0</v>
      </c>
    </row>
    <row r="17" spans="1:33" ht="25.15" customHeight="1" x14ac:dyDescent="0.6">
      <c r="A17" s="39"/>
      <c r="B17" s="38"/>
      <c r="C17" s="6"/>
      <c r="D17" s="11"/>
      <c r="E17" s="6"/>
      <c r="F17" s="11"/>
      <c r="G17" s="6"/>
      <c r="H17" s="11"/>
      <c r="I17" s="6"/>
      <c r="J17" s="11">
        <f t="shared" si="8"/>
        <v>0</v>
      </c>
      <c r="K17" s="6"/>
      <c r="L17" s="11"/>
      <c r="M17" s="6"/>
      <c r="N17" s="11"/>
      <c r="O17" s="6"/>
      <c r="P17" s="11"/>
      <c r="Q17" s="6"/>
      <c r="R17" s="11"/>
      <c r="S17" s="6"/>
      <c r="T17" s="11"/>
      <c r="U17" s="11"/>
      <c r="V17" s="11"/>
      <c r="W17" s="11"/>
      <c r="X17" s="11"/>
      <c r="Y17" s="6"/>
      <c r="Z17" s="6"/>
      <c r="AA17" s="6"/>
      <c r="AB17" s="6"/>
      <c r="AC17" s="6"/>
      <c r="AD17" s="6"/>
      <c r="AE17" s="6"/>
      <c r="AF17" s="6"/>
      <c r="AG17" s="11">
        <f t="shared" si="12"/>
        <v>0</v>
      </c>
    </row>
    <row r="18" spans="1:33" ht="25.15" customHeight="1" x14ac:dyDescent="0.6">
      <c r="A18" s="39"/>
      <c r="B18" s="38"/>
      <c r="C18" s="6"/>
      <c r="D18" s="11"/>
      <c r="E18" s="6"/>
      <c r="F18" s="11"/>
      <c r="G18" s="6"/>
      <c r="H18" s="11"/>
      <c r="I18" s="6"/>
      <c r="J18" s="11">
        <f t="shared" si="8"/>
        <v>0</v>
      </c>
      <c r="K18" s="6"/>
      <c r="L18" s="11"/>
      <c r="M18" s="6"/>
      <c r="N18" s="11"/>
      <c r="O18" s="6"/>
      <c r="P18" s="11"/>
      <c r="Q18" s="6"/>
      <c r="R18" s="11"/>
      <c r="S18" s="6"/>
      <c r="T18" s="11"/>
      <c r="U18" s="11"/>
      <c r="V18" s="11"/>
      <c r="W18" s="11"/>
      <c r="X18" s="11"/>
      <c r="Y18" s="6"/>
      <c r="Z18" s="6"/>
      <c r="AA18" s="6"/>
      <c r="AB18" s="6"/>
      <c r="AC18" s="6"/>
      <c r="AD18" s="6"/>
      <c r="AE18" s="6"/>
      <c r="AF18" s="6"/>
      <c r="AG18" s="11">
        <f t="shared" si="12"/>
        <v>0</v>
      </c>
    </row>
    <row r="19" spans="1:33" ht="25.15" customHeight="1" x14ac:dyDescent="0.6">
      <c r="A19" s="39"/>
      <c r="B19" s="38"/>
      <c r="C19" s="6"/>
      <c r="D19" s="11"/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R19" s="11"/>
      <c r="S19" s="6"/>
      <c r="T19" s="11"/>
      <c r="U19" s="11"/>
      <c r="V19" s="11"/>
      <c r="W19" s="11"/>
      <c r="X19" s="11"/>
      <c r="Y19" s="6"/>
      <c r="Z19" s="6"/>
      <c r="AA19" s="6"/>
      <c r="AB19" s="6"/>
      <c r="AC19" s="6"/>
      <c r="AD19" s="6"/>
      <c r="AE19" s="6"/>
      <c r="AF19" s="6"/>
      <c r="AG19" s="11">
        <f t="shared" si="12"/>
        <v>0</v>
      </c>
    </row>
    <row r="20" spans="1:33" ht="25.15" customHeight="1" x14ac:dyDescent="0.6">
      <c r="A20" s="39"/>
      <c r="B20" s="40"/>
      <c r="C20" s="6"/>
      <c r="D20" s="11"/>
      <c r="E20" s="6"/>
      <c r="F20" s="11"/>
      <c r="G20" s="6"/>
      <c r="H20" s="11"/>
      <c r="I20" s="6"/>
      <c r="J20" s="11"/>
      <c r="K20" s="6"/>
      <c r="L20" s="11"/>
      <c r="M20" s="6"/>
      <c r="N20" s="11"/>
      <c r="O20" s="6"/>
      <c r="P20" s="11"/>
      <c r="Q20" s="6"/>
      <c r="R20" s="11"/>
      <c r="S20" s="6"/>
      <c r="T20" s="11"/>
      <c r="U20" s="11"/>
      <c r="V20" s="11"/>
      <c r="W20" s="11"/>
      <c r="X20" s="11"/>
      <c r="Y20" s="6"/>
      <c r="Z20" s="6"/>
      <c r="AA20" s="6"/>
      <c r="AB20" s="6"/>
      <c r="AC20" s="6"/>
      <c r="AD20" s="6"/>
      <c r="AE20" s="6"/>
      <c r="AF20" s="6"/>
      <c r="AG20" s="11">
        <f t="shared" si="12"/>
        <v>0</v>
      </c>
    </row>
    <row r="21" spans="1:33" ht="25.15" customHeight="1" x14ac:dyDescent="0.6">
      <c r="A21" s="39"/>
      <c r="B21" s="40"/>
      <c r="C21" s="49">
        <f>SUM(C6:C20)</f>
        <v>1320</v>
      </c>
      <c r="D21" s="6">
        <f t="shared" ref="D21:AC21" si="13">SUM(D6:D20)</f>
        <v>18480</v>
      </c>
      <c r="E21" s="49">
        <f t="shared" si="13"/>
        <v>665</v>
      </c>
      <c r="F21" s="6">
        <f t="shared" si="13"/>
        <v>7980</v>
      </c>
      <c r="G21" s="6">
        <f t="shared" si="13"/>
        <v>0</v>
      </c>
      <c r="H21" s="6">
        <f t="shared" si="13"/>
        <v>0</v>
      </c>
      <c r="I21" s="49">
        <f t="shared" si="13"/>
        <v>100</v>
      </c>
      <c r="J21" s="6">
        <f t="shared" si="13"/>
        <v>4000</v>
      </c>
      <c r="K21" s="6">
        <f t="shared" si="13"/>
        <v>0</v>
      </c>
      <c r="L21" s="6">
        <f t="shared" si="13"/>
        <v>0</v>
      </c>
      <c r="M21" s="49">
        <f t="shared" si="13"/>
        <v>15</v>
      </c>
      <c r="N21" s="6">
        <f t="shared" si="13"/>
        <v>180</v>
      </c>
      <c r="O21" s="6">
        <f t="shared" si="13"/>
        <v>0</v>
      </c>
      <c r="P21" s="6">
        <f t="shared" si="13"/>
        <v>0</v>
      </c>
      <c r="Q21" s="6">
        <f t="shared" si="13"/>
        <v>0</v>
      </c>
      <c r="R21" s="6">
        <f t="shared" si="13"/>
        <v>0</v>
      </c>
      <c r="S21" s="49">
        <f t="shared" si="13"/>
        <v>400</v>
      </c>
      <c r="T21" s="6">
        <f t="shared" si="13"/>
        <v>5600</v>
      </c>
      <c r="U21" s="6">
        <f t="shared" si="13"/>
        <v>0</v>
      </c>
      <c r="V21" s="6">
        <f t="shared" si="13"/>
        <v>0</v>
      </c>
      <c r="W21" s="6">
        <f t="shared" si="13"/>
        <v>0</v>
      </c>
      <c r="X21" s="6">
        <f t="shared" si="13"/>
        <v>0</v>
      </c>
      <c r="Y21" s="6">
        <f t="shared" si="13"/>
        <v>0</v>
      </c>
      <c r="Z21" s="6">
        <f t="shared" si="13"/>
        <v>0</v>
      </c>
      <c r="AA21" s="6">
        <f t="shared" si="13"/>
        <v>0</v>
      </c>
      <c r="AB21" s="6">
        <f t="shared" si="13"/>
        <v>0</v>
      </c>
      <c r="AC21" s="6">
        <f t="shared" si="13"/>
        <v>0</v>
      </c>
      <c r="AD21" s="6">
        <f>SUM(AD6:AD20)</f>
        <v>0</v>
      </c>
      <c r="AE21" s="6">
        <f>SUM(AE6:AE20)</f>
        <v>2500</v>
      </c>
      <c r="AF21" s="6">
        <f>SUM(AF6:AF20)</f>
        <v>36240</v>
      </c>
      <c r="AG21" s="6">
        <f>SUM(AG6:AG20)</f>
        <v>24971.200000000001</v>
      </c>
    </row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</sheetData>
  <mergeCells count="19">
    <mergeCell ref="A2:A4"/>
    <mergeCell ref="B2:B4"/>
    <mergeCell ref="C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W3:X3"/>
    <mergeCell ref="U3:V3"/>
    <mergeCell ref="Y3:Z3"/>
    <mergeCell ref="AA3:AB3"/>
    <mergeCell ref="AC3:AD3"/>
    <mergeCell ref="C1:X1"/>
    <mergeCell ref="AE3:AG3"/>
  </mergeCells>
  <hyperlinks>
    <hyperlink ref="C1:X1" location="'SMM YGN '!A1" display="ပေါ်ဦး (ဒလ)" xr:uid="{00000000-0004-0000-11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/>
  <dimension ref="A1:AI91"/>
  <sheetViews>
    <sheetView zoomScaleNormal="100" workbookViewId="0">
      <pane xSplit="2" ySplit="4" topLeftCell="M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X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0.28515625" style="1" customWidth="1"/>
    <col min="5" max="34" width="9.28515625" style="1" customWidth="1"/>
    <col min="35" max="16384" width="9" style="1"/>
  </cols>
  <sheetData>
    <row r="1" spans="1:35" ht="21.75" x14ac:dyDescent="0.6">
      <c r="A1" s="23" t="s">
        <v>339</v>
      </c>
      <c r="B1" s="24"/>
      <c r="C1" s="745" t="s">
        <v>70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Z1" s="1" t="s">
        <v>68</v>
      </c>
      <c r="AA1" s="1">
        <f>AG22</f>
        <v>500</v>
      </c>
      <c r="AC1" s="25">
        <v>12</v>
      </c>
      <c r="AD1" s="26">
        <v>14</v>
      </c>
      <c r="AE1" s="47"/>
      <c r="AF1" s="47"/>
    </row>
    <row r="2" spans="1:35" s="27" customFormat="1" ht="21.75" x14ac:dyDescent="0.6">
      <c r="A2" s="731" t="s">
        <v>1</v>
      </c>
      <c r="B2" s="732" t="s">
        <v>0</v>
      </c>
      <c r="C2" s="763" t="s">
        <v>3</v>
      </c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Z2" s="1" t="s">
        <v>67</v>
      </c>
      <c r="AA2" s="27">
        <f>AH22</f>
        <v>7620</v>
      </c>
      <c r="AC2" s="28">
        <v>24</v>
      </c>
      <c r="AD2" s="29">
        <v>40</v>
      </c>
      <c r="AE2" s="48"/>
      <c r="AF2" s="48"/>
    </row>
    <row r="3" spans="1:35" s="27" customFormat="1" ht="42.7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320</v>
      </c>
      <c r="AB3" s="755"/>
      <c r="AC3" s="736" t="s">
        <v>321</v>
      </c>
      <c r="AD3" s="737"/>
      <c r="AE3" s="760" t="s">
        <v>333</v>
      </c>
      <c r="AF3" s="760"/>
      <c r="AG3" s="742" t="s">
        <v>322</v>
      </c>
      <c r="AH3" s="743"/>
      <c r="AI3" s="744"/>
    </row>
    <row r="4" spans="1:35" s="32" customFormat="1" ht="21.75" customHeight="1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4" t="s">
        <v>63</v>
      </c>
      <c r="AF4" s="14" t="s">
        <v>64</v>
      </c>
      <c r="AG4" s="10" t="s">
        <v>63</v>
      </c>
      <c r="AH4" s="10" t="s">
        <v>64</v>
      </c>
      <c r="AI4" s="106" t="s">
        <v>348</v>
      </c>
    </row>
    <row r="5" spans="1:35" s="32" customFormat="1" ht="21.75" customHeight="1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4"/>
      <c r="AF5" s="14">
        <v>0.64</v>
      </c>
      <c r="AG5" s="10"/>
      <c r="AH5" s="10"/>
    </row>
    <row r="6" spans="1:35" s="19" customFormat="1" ht="25.15" customHeight="1" x14ac:dyDescent="0.25">
      <c r="A6" s="37">
        <v>1</v>
      </c>
      <c r="B6" s="38">
        <v>45809</v>
      </c>
      <c r="C6" s="11">
        <v>120</v>
      </c>
      <c r="D6" s="11">
        <f>C6*14</f>
        <v>1680</v>
      </c>
      <c r="E6" s="11">
        <v>70</v>
      </c>
      <c r="F6" s="11">
        <f>E6*12</f>
        <v>840</v>
      </c>
      <c r="G6" s="11">
        <v>20</v>
      </c>
      <c r="H6" s="11">
        <f>G6*12</f>
        <v>240</v>
      </c>
      <c r="I6" s="11">
        <v>20</v>
      </c>
      <c r="J6" s="11">
        <f>I6*40</f>
        <v>800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/>
      <c r="AF6" s="11">
        <f>AE6*14</f>
        <v>0</v>
      </c>
      <c r="AG6" s="11">
        <f>C6+E6+G6+I6+K6+M6+O6+Q6+S6+U6+W6+Y6+AA6+AC6+AE6</f>
        <v>230</v>
      </c>
      <c r="AH6" s="11">
        <f>D6+F6+H6+J6+L6+N6+P6+R6+T6+V6+X6+Z6+AB6+AD6+AF6</f>
        <v>3560</v>
      </c>
      <c r="AI6" s="13">
        <f>(D6*$D$5)+(F6*$F$5)+(H6*$H$5)+(J6*$J$5)+(L6*$L$5)+(N6*$N$5)+(P6*$P$5)+(R6*$R$5)+(T6*$T$5)+(V6*$V$5)+(X6*$X$5)+(Z6*$Z$5)+(AB6*$AB$5)+(AD6*$AD$5)+(AF6*$AF$5)</f>
        <v>2339.1999999999998</v>
      </c>
    </row>
    <row r="7" spans="1:35" s="19" customFormat="1" ht="25.15" customHeight="1" x14ac:dyDescent="0.25">
      <c r="A7" s="37">
        <v>2</v>
      </c>
      <c r="B7" s="38">
        <v>45870</v>
      </c>
      <c r="C7" s="11">
        <v>30</v>
      </c>
      <c r="D7" s="11">
        <f t="shared" ref="D7:D16" si="0">C7*14</f>
        <v>420</v>
      </c>
      <c r="E7" s="11"/>
      <c r="F7" s="11">
        <f t="shared" ref="F7:F16" si="1">E7*12</f>
        <v>0</v>
      </c>
      <c r="G7" s="11"/>
      <c r="H7" s="11">
        <f t="shared" ref="H7:H16" si="2">G7*12</f>
        <v>0</v>
      </c>
      <c r="I7" s="11"/>
      <c r="J7" s="11">
        <f t="shared" ref="J7:J16" si="3">I7*40</f>
        <v>0</v>
      </c>
      <c r="K7" s="11"/>
      <c r="L7" s="11">
        <f t="shared" ref="L7:L16" si="4">K7*12</f>
        <v>0</v>
      </c>
      <c r="M7" s="11"/>
      <c r="N7" s="11">
        <f t="shared" ref="N7:N16" si="5">M7*12</f>
        <v>0</v>
      </c>
      <c r="O7" s="11"/>
      <c r="P7" s="11">
        <f t="shared" ref="P7:P16" si="6">O7*40</f>
        <v>0</v>
      </c>
      <c r="Q7" s="11"/>
      <c r="R7" s="11">
        <f t="shared" ref="R7:R16" si="7">Q7*14</f>
        <v>0</v>
      </c>
      <c r="S7" s="11"/>
      <c r="T7" s="11">
        <f t="shared" ref="T7:T16" si="8">S7*14</f>
        <v>0</v>
      </c>
      <c r="U7" s="11"/>
      <c r="V7" s="11">
        <f t="shared" ref="V7:V16" si="9">U7*24</f>
        <v>0</v>
      </c>
      <c r="W7" s="11"/>
      <c r="X7" s="11">
        <f t="shared" ref="X7:X16" si="10">W7*12</f>
        <v>0</v>
      </c>
      <c r="Y7" s="11"/>
      <c r="Z7" s="11">
        <f t="shared" ref="Z7:Z16" si="11">Y7*12</f>
        <v>0</v>
      </c>
      <c r="AA7" s="11"/>
      <c r="AB7" s="11">
        <f t="shared" ref="AB7:AB16" si="12">AA7*12</f>
        <v>0</v>
      </c>
      <c r="AC7" s="11"/>
      <c r="AD7" s="11">
        <f t="shared" ref="AD7:AD16" si="13">AC7*12</f>
        <v>0</v>
      </c>
      <c r="AE7" s="11"/>
      <c r="AF7" s="11">
        <f t="shared" ref="AF7:AF16" si="14">AE7*14</f>
        <v>0</v>
      </c>
      <c r="AG7" s="11">
        <f t="shared" ref="AG7:AG17" si="15">C7+E7+G7+I7+K7+M7+O7+Q7+S7+U7+W7+Y7+AA7+AC7+AE7</f>
        <v>30</v>
      </c>
      <c r="AH7" s="11">
        <f t="shared" ref="AH7:AH17" si="16">D7+F7+H7+J7+L7+N7+P7+R7+T7+V7+X7+Z7+AB7+AD7+AF7</f>
        <v>420</v>
      </c>
      <c r="AI7" s="11">
        <f t="shared" ref="AI7:AI22" si="17">(D7*$D$5)+(F7*$F$5)+(H7*$H$5)+(J7*$J$5)+(L7*$L$5)+(N7*$N$5)+(P7*$P$5)+(R7*$R$5)+(T7*$T$5)+(V7*$V$5)+(X7*$X$5)+(Z7*$Z$5)+(AB7*$AB$5)+(AD7*$AD$5)+(AF7*$AF$5)</f>
        <v>268.8</v>
      </c>
    </row>
    <row r="8" spans="1:35" s="19" customFormat="1" ht="25.15" customHeight="1" x14ac:dyDescent="0.25">
      <c r="A8" s="37">
        <v>3</v>
      </c>
      <c r="B8" s="38">
        <v>45931</v>
      </c>
      <c r="C8" s="11">
        <v>100</v>
      </c>
      <c r="D8" s="11">
        <f t="shared" si="0"/>
        <v>1400</v>
      </c>
      <c r="E8" s="11">
        <v>100</v>
      </c>
      <c r="F8" s="11">
        <f t="shared" si="1"/>
        <v>1200</v>
      </c>
      <c r="G8" s="11"/>
      <c r="H8" s="11">
        <f t="shared" si="2"/>
        <v>0</v>
      </c>
      <c r="I8" s="11">
        <v>20</v>
      </c>
      <c r="J8" s="11">
        <f t="shared" si="3"/>
        <v>800</v>
      </c>
      <c r="K8" s="11">
        <v>20</v>
      </c>
      <c r="L8" s="11">
        <f t="shared" si="4"/>
        <v>240</v>
      </c>
      <c r="M8" s="11"/>
      <c r="N8" s="11">
        <f t="shared" si="5"/>
        <v>0</v>
      </c>
      <c r="O8" s="11"/>
      <c r="P8" s="11">
        <f t="shared" si="6"/>
        <v>0</v>
      </c>
      <c r="Q8" s="11"/>
      <c r="R8" s="11">
        <f t="shared" si="7"/>
        <v>0</v>
      </c>
      <c r="S8" s="11"/>
      <c r="T8" s="11">
        <f t="shared" si="8"/>
        <v>0</v>
      </c>
      <c r="U8" s="11"/>
      <c r="V8" s="11">
        <f t="shared" si="9"/>
        <v>0</v>
      </c>
      <c r="W8" s="11"/>
      <c r="X8" s="11">
        <f t="shared" si="10"/>
        <v>0</v>
      </c>
      <c r="Y8" s="11"/>
      <c r="Z8" s="11">
        <f t="shared" si="11"/>
        <v>0</v>
      </c>
      <c r="AA8" s="11"/>
      <c r="AB8" s="11">
        <f t="shared" si="12"/>
        <v>0</v>
      </c>
      <c r="AC8" s="11"/>
      <c r="AD8" s="11">
        <f t="shared" si="13"/>
        <v>0</v>
      </c>
      <c r="AE8" s="11"/>
      <c r="AF8" s="11">
        <f t="shared" si="14"/>
        <v>0</v>
      </c>
      <c r="AG8" s="11">
        <f t="shared" si="15"/>
        <v>240</v>
      </c>
      <c r="AH8" s="11">
        <f t="shared" si="16"/>
        <v>3640</v>
      </c>
      <c r="AI8" s="11">
        <f t="shared" si="17"/>
        <v>2544</v>
      </c>
    </row>
    <row r="9" spans="1:35" s="19" customFormat="1" ht="25.15" customHeight="1" x14ac:dyDescent="0.25">
      <c r="A9" s="37">
        <v>4</v>
      </c>
      <c r="B9" s="38"/>
      <c r="C9" s="11"/>
      <c r="D9" s="11">
        <f t="shared" si="0"/>
        <v>0</v>
      </c>
      <c r="E9" s="11"/>
      <c r="F9" s="11">
        <f t="shared" si="1"/>
        <v>0</v>
      </c>
      <c r="G9" s="11"/>
      <c r="H9" s="11">
        <f t="shared" si="2"/>
        <v>0</v>
      </c>
      <c r="I9" s="11"/>
      <c r="J9" s="11">
        <f t="shared" si="3"/>
        <v>0</v>
      </c>
      <c r="K9" s="11"/>
      <c r="L9" s="11">
        <f t="shared" si="4"/>
        <v>0</v>
      </c>
      <c r="M9" s="11"/>
      <c r="N9" s="11">
        <f t="shared" si="5"/>
        <v>0</v>
      </c>
      <c r="O9" s="11"/>
      <c r="P9" s="11">
        <f t="shared" si="6"/>
        <v>0</v>
      </c>
      <c r="Q9" s="11"/>
      <c r="R9" s="11">
        <f t="shared" si="7"/>
        <v>0</v>
      </c>
      <c r="S9" s="11"/>
      <c r="T9" s="11">
        <f t="shared" si="8"/>
        <v>0</v>
      </c>
      <c r="U9" s="11"/>
      <c r="V9" s="11">
        <f t="shared" si="9"/>
        <v>0</v>
      </c>
      <c r="W9" s="11"/>
      <c r="X9" s="11">
        <f t="shared" si="10"/>
        <v>0</v>
      </c>
      <c r="Y9" s="11"/>
      <c r="Z9" s="11">
        <f t="shared" si="11"/>
        <v>0</v>
      </c>
      <c r="AA9" s="11"/>
      <c r="AB9" s="11">
        <f t="shared" si="12"/>
        <v>0</v>
      </c>
      <c r="AC9" s="11"/>
      <c r="AD9" s="11">
        <f t="shared" si="13"/>
        <v>0</v>
      </c>
      <c r="AE9" s="11"/>
      <c r="AF9" s="11">
        <f t="shared" si="14"/>
        <v>0</v>
      </c>
      <c r="AG9" s="11">
        <f t="shared" si="15"/>
        <v>0</v>
      </c>
      <c r="AH9" s="11">
        <f t="shared" si="16"/>
        <v>0</v>
      </c>
      <c r="AI9" s="11">
        <f t="shared" si="17"/>
        <v>0</v>
      </c>
    </row>
    <row r="10" spans="1:35" s="19" customFormat="1" ht="25.15" customHeight="1" x14ac:dyDescent="0.25">
      <c r="A10" s="37">
        <v>5</v>
      </c>
      <c r="B10" s="38"/>
      <c r="C10" s="11"/>
      <c r="D10" s="11">
        <f t="shared" si="0"/>
        <v>0</v>
      </c>
      <c r="E10" s="11"/>
      <c r="F10" s="11">
        <f t="shared" si="1"/>
        <v>0</v>
      </c>
      <c r="G10" s="11"/>
      <c r="H10" s="11">
        <f t="shared" si="2"/>
        <v>0</v>
      </c>
      <c r="I10" s="11"/>
      <c r="J10" s="11">
        <f t="shared" si="3"/>
        <v>0</v>
      </c>
      <c r="K10" s="11"/>
      <c r="L10" s="11">
        <f t="shared" si="4"/>
        <v>0</v>
      </c>
      <c r="M10" s="11"/>
      <c r="N10" s="11">
        <f t="shared" si="5"/>
        <v>0</v>
      </c>
      <c r="O10" s="11"/>
      <c r="P10" s="11">
        <f t="shared" si="6"/>
        <v>0</v>
      </c>
      <c r="Q10" s="11"/>
      <c r="R10" s="11">
        <f t="shared" si="7"/>
        <v>0</v>
      </c>
      <c r="S10" s="11"/>
      <c r="T10" s="11">
        <f t="shared" si="8"/>
        <v>0</v>
      </c>
      <c r="U10" s="11"/>
      <c r="V10" s="11">
        <f t="shared" si="9"/>
        <v>0</v>
      </c>
      <c r="W10" s="11"/>
      <c r="X10" s="11">
        <f t="shared" si="10"/>
        <v>0</v>
      </c>
      <c r="Y10" s="11"/>
      <c r="Z10" s="11">
        <f t="shared" si="11"/>
        <v>0</v>
      </c>
      <c r="AA10" s="11"/>
      <c r="AB10" s="11">
        <f t="shared" si="12"/>
        <v>0</v>
      </c>
      <c r="AC10" s="11"/>
      <c r="AD10" s="11">
        <f t="shared" si="13"/>
        <v>0</v>
      </c>
      <c r="AE10" s="11"/>
      <c r="AF10" s="11">
        <f t="shared" si="14"/>
        <v>0</v>
      </c>
      <c r="AG10" s="11">
        <f t="shared" si="15"/>
        <v>0</v>
      </c>
      <c r="AH10" s="11">
        <f t="shared" si="16"/>
        <v>0</v>
      </c>
      <c r="AI10" s="11">
        <f t="shared" si="17"/>
        <v>0</v>
      </c>
    </row>
    <row r="11" spans="1:35" s="19" customFormat="1" ht="25.15" customHeight="1" x14ac:dyDescent="0.25">
      <c r="A11" s="37">
        <v>6</v>
      </c>
      <c r="B11" s="38"/>
      <c r="C11" s="11"/>
      <c r="D11" s="11">
        <f t="shared" si="0"/>
        <v>0</v>
      </c>
      <c r="E11" s="11"/>
      <c r="F11" s="11">
        <f t="shared" si="1"/>
        <v>0</v>
      </c>
      <c r="G11" s="11"/>
      <c r="H11" s="11">
        <f t="shared" si="2"/>
        <v>0</v>
      </c>
      <c r="I11" s="11"/>
      <c r="J11" s="11">
        <f t="shared" si="3"/>
        <v>0</v>
      </c>
      <c r="K11" s="11"/>
      <c r="L11" s="11">
        <f t="shared" si="4"/>
        <v>0</v>
      </c>
      <c r="M11" s="11"/>
      <c r="N11" s="11">
        <f t="shared" si="5"/>
        <v>0</v>
      </c>
      <c r="O11" s="11"/>
      <c r="P11" s="11">
        <f t="shared" si="6"/>
        <v>0</v>
      </c>
      <c r="Q11" s="11"/>
      <c r="R11" s="11">
        <f t="shared" si="7"/>
        <v>0</v>
      </c>
      <c r="S11" s="11"/>
      <c r="T11" s="11">
        <f t="shared" si="8"/>
        <v>0</v>
      </c>
      <c r="U11" s="11"/>
      <c r="V11" s="11">
        <f t="shared" si="9"/>
        <v>0</v>
      </c>
      <c r="W11" s="11"/>
      <c r="X11" s="11">
        <f t="shared" si="10"/>
        <v>0</v>
      </c>
      <c r="Y11" s="11"/>
      <c r="Z11" s="11">
        <f t="shared" si="11"/>
        <v>0</v>
      </c>
      <c r="AA11" s="11"/>
      <c r="AB11" s="11">
        <f t="shared" si="12"/>
        <v>0</v>
      </c>
      <c r="AC11" s="11"/>
      <c r="AD11" s="11">
        <f t="shared" si="13"/>
        <v>0</v>
      </c>
      <c r="AE11" s="11"/>
      <c r="AF11" s="11">
        <f t="shared" si="14"/>
        <v>0</v>
      </c>
      <c r="AG11" s="11">
        <f t="shared" si="15"/>
        <v>0</v>
      </c>
      <c r="AH11" s="11">
        <f t="shared" si="16"/>
        <v>0</v>
      </c>
      <c r="AI11" s="11">
        <f t="shared" si="17"/>
        <v>0</v>
      </c>
    </row>
    <row r="12" spans="1:35" ht="25.15" customHeight="1" x14ac:dyDescent="0.6">
      <c r="A12" s="37">
        <v>7</v>
      </c>
      <c r="B12" s="38"/>
      <c r="C12" s="6"/>
      <c r="D12" s="11">
        <f t="shared" si="0"/>
        <v>0</v>
      </c>
      <c r="E12" s="6"/>
      <c r="F12" s="11">
        <f t="shared" si="1"/>
        <v>0</v>
      </c>
      <c r="G12" s="6"/>
      <c r="H12" s="11">
        <f t="shared" si="2"/>
        <v>0</v>
      </c>
      <c r="I12" s="6"/>
      <c r="J12" s="11">
        <f t="shared" si="3"/>
        <v>0</v>
      </c>
      <c r="K12" s="6"/>
      <c r="L12" s="11">
        <f t="shared" si="4"/>
        <v>0</v>
      </c>
      <c r="M12" s="6"/>
      <c r="N12" s="11">
        <f t="shared" si="5"/>
        <v>0</v>
      </c>
      <c r="O12" s="6"/>
      <c r="P12" s="11">
        <f t="shared" si="6"/>
        <v>0</v>
      </c>
      <c r="Q12" s="6"/>
      <c r="R12" s="11">
        <f t="shared" si="7"/>
        <v>0</v>
      </c>
      <c r="S12" s="6"/>
      <c r="T12" s="11">
        <f t="shared" si="8"/>
        <v>0</v>
      </c>
      <c r="U12" s="11"/>
      <c r="V12" s="11">
        <f t="shared" si="9"/>
        <v>0</v>
      </c>
      <c r="W12" s="11"/>
      <c r="X12" s="11">
        <f t="shared" si="10"/>
        <v>0</v>
      </c>
      <c r="Y12" s="6"/>
      <c r="Z12" s="11">
        <f t="shared" si="11"/>
        <v>0</v>
      </c>
      <c r="AA12" s="6"/>
      <c r="AB12" s="11">
        <f t="shared" si="12"/>
        <v>0</v>
      </c>
      <c r="AC12" s="6"/>
      <c r="AD12" s="11">
        <f t="shared" si="13"/>
        <v>0</v>
      </c>
      <c r="AE12" s="6"/>
      <c r="AF12" s="11">
        <f t="shared" si="14"/>
        <v>0</v>
      </c>
      <c r="AG12" s="11">
        <f t="shared" si="15"/>
        <v>0</v>
      </c>
      <c r="AH12" s="11">
        <f t="shared" si="16"/>
        <v>0</v>
      </c>
      <c r="AI12" s="11">
        <f t="shared" si="17"/>
        <v>0</v>
      </c>
    </row>
    <row r="13" spans="1:35" ht="25.15" customHeight="1" x14ac:dyDescent="0.6">
      <c r="A13" s="37">
        <v>8</v>
      </c>
      <c r="B13" s="38"/>
      <c r="C13" s="6"/>
      <c r="D13" s="11">
        <f t="shared" si="0"/>
        <v>0</v>
      </c>
      <c r="E13" s="6"/>
      <c r="F13" s="11">
        <f t="shared" si="1"/>
        <v>0</v>
      </c>
      <c r="G13" s="6"/>
      <c r="H13" s="11">
        <f t="shared" si="2"/>
        <v>0</v>
      </c>
      <c r="I13" s="6"/>
      <c r="J13" s="11">
        <f t="shared" si="3"/>
        <v>0</v>
      </c>
      <c r="K13" s="6"/>
      <c r="L13" s="11">
        <f t="shared" si="4"/>
        <v>0</v>
      </c>
      <c r="M13" s="6"/>
      <c r="N13" s="11">
        <f t="shared" si="5"/>
        <v>0</v>
      </c>
      <c r="O13" s="6"/>
      <c r="P13" s="11">
        <f t="shared" si="6"/>
        <v>0</v>
      </c>
      <c r="Q13" s="6"/>
      <c r="R13" s="11">
        <f t="shared" si="7"/>
        <v>0</v>
      </c>
      <c r="S13" s="6"/>
      <c r="T13" s="11">
        <f t="shared" si="8"/>
        <v>0</v>
      </c>
      <c r="U13" s="11"/>
      <c r="V13" s="11">
        <f t="shared" si="9"/>
        <v>0</v>
      </c>
      <c r="W13" s="11"/>
      <c r="X13" s="11">
        <f t="shared" si="10"/>
        <v>0</v>
      </c>
      <c r="Y13" s="6"/>
      <c r="Z13" s="11">
        <f t="shared" si="11"/>
        <v>0</v>
      </c>
      <c r="AA13" s="6"/>
      <c r="AB13" s="11">
        <f t="shared" si="12"/>
        <v>0</v>
      </c>
      <c r="AC13" s="6"/>
      <c r="AD13" s="11">
        <f t="shared" si="13"/>
        <v>0</v>
      </c>
      <c r="AE13" s="6"/>
      <c r="AF13" s="11">
        <f t="shared" si="14"/>
        <v>0</v>
      </c>
      <c r="AG13" s="11">
        <f t="shared" si="15"/>
        <v>0</v>
      </c>
      <c r="AH13" s="11">
        <f t="shared" si="16"/>
        <v>0</v>
      </c>
      <c r="AI13" s="11">
        <f t="shared" si="17"/>
        <v>0</v>
      </c>
    </row>
    <row r="14" spans="1:35" ht="25.15" customHeight="1" x14ac:dyDescent="0.6">
      <c r="A14" s="37">
        <v>9</v>
      </c>
      <c r="B14" s="38"/>
      <c r="C14" s="6"/>
      <c r="D14" s="11">
        <f t="shared" si="0"/>
        <v>0</v>
      </c>
      <c r="E14" s="6"/>
      <c r="F14" s="11">
        <f t="shared" si="1"/>
        <v>0</v>
      </c>
      <c r="G14" s="6"/>
      <c r="H14" s="11">
        <f t="shared" si="2"/>
        <v>0</v>
      </c>
      <c r="I14" s="6"/>
      <c r="J14" s="11">
        <f t="shared" si="3"/>
        <v>0</v>
      </c>
      <c r="K14" s="6"/>
      <c r="L14" s="11">
        <f t="shared" si="4"/>
        <v>0</v>
      </c>
      <c r="M14" s="6"/>
      <c r="N14" s="11">
        <f t="shared" si="5"/>
        <v>0</v>
      </c>
      <c r="O14" s="6"/>
      <c r="P14" s="11">
        <f t="shared" si="6"/>
        <v>0</v>
      </c>
      <c r="Q14" s="6"/>
      <c r="R14" s="11">
        <f t="shared" si="7"/>
        <v>0</v>
      </c>
      <c r="S14" s="6"/>
      <c r="T14" s="11">
        <f t="shared" si="8"/>
        <v>0</v>
      </c>
      <c r="U14" s="11"/>
      <c r="V14" s="11">
        <f t="shared" si="9"/>
        <v>0</v>
      </c>
      <c r="W14" s="11"/>
      <c r="X14" s="11">
        <f t="shared" si="10"/>
        <v>0</v>
      </c>
      <c r="Y14" s="6"/>
      <c r="Z14" s="11">
        <f t="shared" si="11"/>
        <v>0</v>
      </c>
      <c r="AA14" s="6"/>
      <c r="AB14" s="11">
        <f t="shared" si="12"/>
        <v>0</v>
      </c>
      <c r="AC14" s="6"/>
      <c r="AD14" s="11">
        <f t="shared" si="13"/>
        <v>0</v>
      </c>
      <c r="AE14" s="6"/>
      <c r="AF14" s="11">
        <f t="shared" si="14"/>
        <v>0</v>
      </c>
      <c r="AG14" s="11">
        <f t="shared" si="15"/>
        <v>0</v>
      </c>
      <c r="AH14" s="11">
        <f t="shared" si="16"/>
        <v>0</v>
      </c>
      <c r="AI14" s="11">
        <f t="shared" si="17"/>
        <v>0</v>
      </c>
    </row>
    <row r="15" spans="1:35" ht="25.15" customHeight="1" x14ac:dyDescent="0.6">
      <c r="A15" s="39">
        <v>10</v>
      </c>
      <c r="B15" s="38"/>
      <c r="C15" s="6"/>
      <c r="D15" s="11">
        <f t="shared" si="0"/>
        <v>0</v>
      </c>
      <c r="E15" s="6"/>
      <c r="F15" s="11">
        <f t="shared" si="1"/>
        <v>0</v>
      </c>
      <c r="G15" s="6"/>
      <c r="H15" s="11">
        <f t="shared" si="2"/>
        <v>0</v>
      </c>
      <c r="I15" s="6"/>
      <c r="J15" s="11">
        <f t="shared" si="3"/>
        <v>0</v>
      </c>
      <c r="K15" s="6"/>
      <c r="L15" s="11">
        <f t="shared" si="4"/>
        <v>0</v>
      </c>
      <c r="M15" s="6"/>
      <c r="N15" s="11">
        <f t="shared" si="5"/>
        <v>0</v>
      </c>
      <c r="O15" s="6"/>
      <c r="P15" s="11">
        <f t="shared" si="6"/>
        <v>0</v>
      </c>
      <c r="Q15" s="6"/>
      <c r="R15" s="11">
        <f t="shared" si="7"/>
        <v>0</v>
      </c>
      <c r="S15" s="6"/>
      <c r="T15" s="11">
        <f t="shared" si="8"/>
        <v>0</v>
      </c>
      <c r="U15" s="11"/>
      <c r="V15" s="11">
        <f t="shared" si="9"/>
        <v>0</v>
      </c>
      <c r="W15" s="11"/>
      <c r="X15" s="11">
        <f t="shared" si="10"/>
        <v>0</v>
      </c>
      <c r="Y15" s="6"/>
      <c r="Z15" s="11">
        <f t="shared" si="11"/>
        <v>0</v>
      </c>
      <c r="AA15" s="6"/>
      <c r="AB15" s="11">
        <f t="shared" si="12"/>
        <v>0</v>
      </c>
      <c r="AC15" s="6"/>
      <c r="AD15" s="11">
        <f t="shared" si="13"/>
        <v>0</v>
      </c>
      <c r="AE15" s="6"/>
      <c r="AF15" s="11">
        <f t="shared" si="14"/>
        <v>0</v>
      </c>
      <c r="AG15" s="11">
        <f t="shared" si="15"/>
        <v>0</v>
      </c>
      <c r="AH15" s="11">
        <f t="shared" si="16"/>
        <v>0</v>
      </c>
      <c r="AI15" s="11">
        <f t="shared" si="17"/>
        <v>0</v>
      </c>
    </row>
    <row r="16" spans="1:35" ht="25.15" customHeight="1" x14ac:dyDescent="0.6">
      <c r="A16" s="39">
        <v>11</v>
      </c>
      <c r="B16" s="38"/>
      <c r="C16" s="6"/>
      <c r="D16" s="11">
        <f t="shared" si="0"/>
        <v>0</v>
      </c>
      <c r="E16" s="6"/>
      <c r="F16" s="11">
        <f t="shared" si="1"/>
        <v>0</v>
      </c>
      <c r="G16" s="6"/>
      <c r="H16" s="11">
        <f t="shared" si="2"/>
        <v>0</v>
      </c>
      <c r="I16" s="6"/>
      <c r="J16" s="11">
        <f t="shared" si="3"/>
        <v>0</v>
      </c>
      <c r="K16" s="6"/>
      <c r="L16" s="11">
        <f t="shared" si="4"/>
        <v>0</v>
      </c>
      <c r="M16" s="6"/>
      <c r="N16" s="11">
        <f t="shared" si="5"/>
        <v>0</v>
      </c>
      <c r="O16" s="6"/>
      <c r="P16" s="11">
        <f t="shared" si="6"/>
        <v>0</v>
      </c>
      <c r="Q16" s="6"/>
      <c r="R16" s="11">
        <f t="shared" si="7"/>
        <v>0</v>
      </c>
      <c r="S16" s="6"/>
      <c r="T16" s="11">
        <f t="shared" si="8"/>
        <v>0</v>
      </c>
      <c r="U16" s="11"/>
      <c r="V16" s="11">
        <f t="shared" si="9"/>
        <v>0</v>
      </c>
      <c r="W16" s="11"/>
      <c r="X16" s="11">
        <f t="shared" si="10"/>
        <v>0</v>
      </c>
      <c r="Y16" s="6"/>
      <c r="Z16" s="11">
        <f t="shared" si="11"/>
        <v>0</v>
      </c>
      <c r="AA16" s="6"/>
      <c r="AB16" s="11">
        <f t="shared" si="12"/>
        <v>0</v>
      </c>
      <c r="AC16" s="6"/>
      <c r="AD16" s="11">
        <f t="shared" si="13"/>
        <v>0</v>
      </c>
      <c r="AE16" s="6"/>
      <c r="AF16" s="11">
        <f t="shared" si="14"/>
        <v>0</v>
      </c>
      <c r="AG16" s="11">
        <f t="shared" si="15"/>
        <v>0</v>
      </c>
      <c r="AH16" s="11">
        <f t="shared" si="16"/>
        <v>0</v>
      </c>
      <c r="AI16" s="11">
        <f t="shared" si="17"/>
        <v>0</v>
      </c>
    </row>
    <row r="17" spans="1:35" ht="25.15" customHeight="1" x14ac:dyDescent="0.6">
      <c r="A17" s="39"/>
      <c r="B17" s="38"/>
      <c r="C17" s="6"/>
      <c r="D17" s="6"/>
      <c r="E17" s="6"/>
      <c r="F17" s="11"/>
      <c r="G17" s="6"/>
      <c r="H17" s="11"/>
      <c r="I17" s="6"/>
      <c r="J17" s="11"/>
      <c r="K17" s="6"/>
      <c r="L17" s="11"/>
      <c r="M17" s="6"/>
      <c r="N17" s="11"/>
      <c r="O17" s="6"/>
      <c r="P17" s="11"/>
      <c r="Q17" s="6"/>
      <c r="R17" s="11"/>
      <c r="S17" s="6"/>
      <c r="T17" s="11"/>
      <c r="U17" s="11"/>
      <c r="V17" s="11"/>
      <c r="W17" s="11"/>
      <c r="X17" s="11"/>
      <c r="Y17" s="6"/>
      <c r="Z17" s="6"/>
      <c r="AA17" s="6"/>
      <c r="AB17" s="6"/>
      <c r="AC17" s="6"/>
      <c r="AD17" s="6"/>
      <c r="AE17" s="6"/>
      <c r="AF17" s="11"/>
      <c r="AG17" s="11">
        <f t="shared" si="15"/>
        <v>0</v>
      </c>
      <c r="AH17" s="11">
        <f t="shared" si="16"/>
        <v>0</v>
      </c>
      <c r="AI17" s="11">
        <f t="shared" si="17"/>
        <v>0</v>
      </c>
    </row>
    <row r="18" spans="1:35" ht="25.15" customHeight="1" x14ac:dyDescent="0.6">
      <c r="A18" s="39"/>
      <c r="B18" s="38"/>
      <c r="C18" s="6"/>
      <c r="D18" s="6"/>
      <c r="E18" s="6"/>
      <c r="F18" s="11"/>
      <c r="G18" s="6"/>
      <c r="H18" s="11"/>
      <c r="I18" s="6"/>
      <c r="J18" s="11"/>
      <c r="K18" s="6"/>
      <c r="L18" s="11"/>
      <c r="M18" s="6"/>
      <c r="N18" s="11"/>
      <c r="O18" s="6"/>
      <c r="P18" s="11"/>
      <c r="Q18" s="6"/>
      <c r="R18" s="11"/>
      <c r="S18" s="6"/>
      <c r="T18" s="11"/>
      <c r="U18" s="11"/>
      <c r="V18" s="11"/>
      <c r="W18" s="11"/>
      <c r="X18" s="11"/>
      <c r="Y18" s="6"/>
      <c r="Z18" s="6"/>
      <c r="AA18" s="6"/>
      <c r="AB18" s="6"/>
      <c r="AC18" s="6"/>
      <c r="AD18" s="6"/>
      <c r="AE18" s="6"/>
      <c r="AF18" s="11"/>
      <c r="AG18" s="6"/>
      <c r="AH18" s="6"/>
      <c r="AI18" s="11">
        <f t="shared" si="17"/>
        <v>0</v>
      </c>
    </row>
    <row r="19" spans="1:35" ht="25.15" customHeight="1" x14ac:dyDescent="0.6">
      <c r="A19" s="39"/>
      <c r="B19" s="38"/>
      <c r="C19" s="6"/>
      <c r="D19" s="6"/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R19" s="11"/>
      <c r="S19" s="6"/>
      <c r="T19" s="11"/>
      <c r="U19" s="11"/>
      <c r="V19" s="11"/>
      <c r="W19" s="11"/>
      <c r="X19" s="11"/>
      <c r="Y19" s="6"/>
      <c r="Z19" s="6"/>
      <c r="AA19" s="6"/>
      <c r="AB19" s="6"/>
      <c r="AC19" s="6"/>
      <c r="AD19" s="6"/>
      <c r="AE19" s="6"/>
      <c r="AF19" s="11"/>
      <c r="AG19" s="6"/>
      <c r="AH19" s="6"/>
      <c r="AI19" s="11">
        <f t="shared" si="17"/>
        <v>0</v>
      </c>
    </row>
    <row r="20" spans="1:35" ht="25.15" customHeight="1" x14ac:dyDescent="0.6">
      <c r="A20" s="39"/>
      <c r="B20" s="40"/>
      <c r="C20" s="6"/>
      <c r="D20" s="6"/>
      <c r="E20" s="6"/>
      <c r="F20" s="11"/>
      <c r="G20" s="6"/>
      <c r="H20" s="11"/>
      <c r="I20" s="6"/>
      <c r="J20" s="11"/>
      <c r="K20" s="6"/>
      <c r="L20" s="11"/>
      <c r="M20" s="6"/>
      <c r="N20" s="11"/>
      <c r="O20" s="6"/>
      <c r="P20" s="11"/>
      <c r="Q20" s="6"/>
      <c r="R20" s="11"/>
      <c r="S20" s="6"/>
      <c r="T20" s="11"/>
      <c r="U20" s="11"/>
      <c r="V20" s="11"/>
      <c r="W20" s="11"/>
      <c r="X20" s="11"/>
      <c r="Y20" s="6"/>
      <c r="Z20" s="6"/>
      <c r="AA20" s="6"/>
      <c r="AB20" s="6"/>
      <c r="AC20" s="6"/>
      <c r="AD20" s="6"/>
      <c r="AE20" s="6"/>
      <c r="AF20" s="11"/>
      <c r="AG20" s="6"/>
      <c r="AH20" s="6"/>
      <c r="AI20" s="11">
        <f t="shared" si="17"/>
        <v>0</v>
      </c>
    </row>
    <row r="21" spans="1:35" ht="25.15" customHeight="1" x14ac:dyDescent="0.6">
      <c r="A21" s="39"/>
      <c r="B21" s="40"/>
      <c r="C21" s="6"/>
      <c r="D21" s="6"/>
      <c r="E21" s="6"/>
      <c r="F21" s="11"/>
      <c r="G21" s="6"/>
      <c r="H21" s="11"/>
      <c r="I21" s="6"/>
      <c r="J21" s="11"/>
      <c r="K21" s="6"/>
      <c r="L21" s="11"/>
      <c r="M21" s="6"/>
      <c r="N21" s="11"/>
      <c r="O21" s="6"/>
      <c r="P21" s="11"/>
      <c r="Q21" s="6"/>
      <c r="R21" s="11"/>
      <c r="S21" s="6"/>
      <c r="T21" s="11"/>
      <c r="U21" s="11"/>
      <c r="V21" s="11"/>
      <c r="W21" s="11"/>
      <c r="X21" s="11"/>
      <c r="Y21" s="6"/>
      <c r="Z21" s="6"/>
      <c r="AA21" s="6"/>
      <c r="AB21" s="6"/>
      <c r="AC21" s="6"/>
      <c r="AD21" s="6"/>
      <c r="AE21" s="6"/>
      <c r="AF21" s="11"/>
      <c r="AG21" s="6"/>
      <c r="AH21" s="6"/>
      <c r="AI21" s="11">
        <f t="shared" si="17"/>
        <v>0</v>
      </c>
    </row>
    <row r="22" spans="1:35" ht="25.15" customHeight="1" x14ac:dyDescent="0.6">
      <c r="A22" s="39"/>
      <c r="B22" s="40"/>
      <c r="C22" s="53">
        <f t="shared" ref="C22:AD22" si="18">SUM(C6:C21)</f>
        <v>250</v>
      </c>
      <c r="D22" s="6">
        <f t="shared" si="18"/>
        <v>3500</v>
      </c>
      <c r="E22" s="53">
        <f t="shared" si="18"/>
        <v>170</v>
      </c>
      <c r="F22" s="6">
        <f t="shared" si="18"/>
        <v>2040</v>
      </c>
      <c r="G22" s="6">
        <f t="shared" si="18"/>
        <v>20</v>
      </c>
      <c r="H22" s="6">
        <f t="shared" si="18"/>
        <v>240</v>
      </c>
      <c r="I22" s="49">
        <f t="shared" si="18"/>
        <v>40</v>
      </c>
      <c r="J22" s="6">
        <f t="shared" si="18"/>
        <v>1600</v>
      </c>
      <c r="K22" s="49">
        <f t="shared" si="18"/>
        <v>20</v>
      </c>
      <c r="L22" s="6">
        <f t="shared" si="18"/>
        <v>240</v>
      </c>
      <c r="M22" s="6">
        <f t="shared" si="18"/>
        <v>0</v>
      </c>
      <c r="N22" s="6">
        <f t="shared" si="18"/>
        <v>0</v>
      </c>
      <c r="O22" s="6">
        <f t="shared" si="18"/>
        <v>0</v>
      </c>
      <c r="P22" s="6">
        <f t="shared" si="18"/>
        <v>0</v>
      </c>
      <c r="Q22" s="6">
        <f t="shared" si="18"/>
        <v>0</v>
      </c>
      <c r="R22" s="6">
        <f t="shared" si="18"/>
        <v>0</v>
      </c>
      <c r="S22" s="6">
        <f t="shared" si="18"/>
        <v>0</v>
      </c>
      <c r="T22" s="6">
        <f t="shared" si="18"/>
        <v>0</v>
      </c>
      <c r="U22" s="6">
        <f t="shared" si="18"/>
        <v>0</v>
      </c>
      <c r="V22" s="6">
        <f t="shared" si="18"/>
        <v>0</v>
      </c>
      <c r="W22" s="6">
        <f t="shared" si="18"/>
        <v>0</v>
      </c>
      <c r="X22" s="6">
        <f t="shared" si="18"/>
        <v>0</v>
      </c>
      <c r="Y22" s="6">
        <f t="shared" si="18"/>
        <v>0</v>
      </c>
      <c r="Z22" s="6">
        <f t="shared" si="18"/>
        <v>0</v>
      </c>
      <c r="AA22" s="6">
        <f t="shared" si="18"/>
        <v>0</v>
      </c>
      <c r="AB22" s="6">
        <f t="shared" si="18"/>
        <v>0</v>
      </c>
      <c r="AC22" s="6">
        <f t="shared" si="18"/>
        <v>0</v>
      </c>
      <c r="AD22" s="6">
        <f t="shared" si="18"/>
        <v>0</v>
      </c>
      <c r="AE22" s="6">
        <f>SUM(AE6:AE21)</f>
        <v>0</v>
      </c>
      <c r="AF22" s="6">
        <f>SUM(AF6:AF21)</f>
        <v>0</v>
      </c>
      <c r="AG22" s="6">
        <f>SUM(AG6:AG21)</f>
        <v>500</v>
      </c>
      <c r="AH22" s="6">
        <f>SUM(AH6:AH21)</f>
        <v>7620</v>
      </c>
      <c r="AI22" s="11">
        <f t="shared" si="17"/>
        <v>5152</v>
      </c>
    </row>
    <row r="23" spans="1:35" ht="25.15" customHeight="1" x14ac:dyDescent="0.6"/>
    <row r="24" spans="1:35" ht="25.15" customHeight="1" x14ac:dyDescent="0.6"/>
    <row r="25" spans="1:35" ht="25.15" customHeight="1" x14ac:dyDescent="0.6"/>
    <row r="26" spans="1:35" ht="25.15" customHeight="1" x14ac:dyDescent="0.6"/>
    <row r="27" spans="1:35" ht="25.15" customHeight="1" x14ac:dyDescent="0.6"/>
    <row r="28" spans="1:35" ht="25.15" customHeight="1" x14ac:dyDescent="0.6"/>
    <row r="29" spans="1:35" ht="25.15" customHeight="1" x14ac:dyDescent="0.6"/>
    <row r="30" spans="1:35" ht="25.15" customHeight="1" x14ac:dyDescent="0.6"/>
    <row r="31" spans="1:35" ht="25.15" customHeight="1" x14ac:dyDescent="0.6"/>
    <row r="32" spans="1:35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  <row r="91" ht="25.15" customHeight="1" x14ac:dyDescent="0.6"/>
  </sheetData>
  <mergeCells count="20">
    <mergeCell ref="A2:A4"/>
    <mergeCell ref="B2:B4"/>
    <mergeCell ref="C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W3:X3"/>
    <mergeCell ref="U3:V3"/>
    <mergeCell ref="AA3:AB3"/>
    <mergeCell ref="AC3:AD3"/>
    <mergeCell ref="C1:X1"/>
    <mergeCell ref="AE3:AF3"/>
    <mergeCell ref="AG3:AI3"/>
    <mergeCell ref="Y3:Z3"/>
  </mergeCells>
  <hyperlinks>
    <hyperlink ref="C1:X1" location="'SMM YGN '!A1" display="တော်ဝင် (ကြည့်မြင်တိုင်)" xr:uid="{00000000-0004-0000-1200-000000000000}"/>
    <hyperlink ref="AE1:AF1" location="'SMM YGN '!A1" display="တော်ဝင် (ကြည့်မြင်တိုင်)" xr:uid="{00000000-0004-0000-12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6"/>
  <dimension ref="A1:AG88"/>
  <sheetViews>
    <sheetView zoomScaleNormal="100"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C3" sqref="C3:AG7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1.28515625" style="1" customWidth="1"/>
    <col min="5" max="8" width="9.7109375" style="1" customWidth="1"/>
    <col min="9" max="10" width="10" style="1" customWidth="1"/>
    <col min="11" max="14" width="8.28515625" style="1" customWidth="1"/>
    <col min="15" max="18" width="9.28515625" style="1" customWidth="1"/>
    <col min="19" max="22" width="8.28515625" style="1" customWidth="1"/>
    <col min="23" max="23" width="9.28515625" style="1" customWidth="1"/>
    <col min="24" max="24" width="8.140625" style="1" customWidth="1"/>
    <col min="25" max="32" width="8.28515625" style="1" customWidth="1"/>
    <col min="33" max="16384" width="9" style="1"/>
  </cols>
  <sheetData>
    <row r="1" spans="1:33" ht="21.75" x14ac:dyDescent="0.6">
      <c r="A1" s="23"/>
      <c r="B1" s="24"/>
      <c r="C1" s="745" t="s">
        <v>71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B1" s="1" t="s">
        <v>68</v>
      </c>
      <c r="AC1" s="1">
        <f>AE19</f>
        <v>0</v>
      </c>
      <c r="AE1" s="25">
        <v>12</v>
      </c>
      <c r="AF1" s="26">
        <v>14</v>
      </c>
    </row>
    <row r="2" spans="1:33" s="27" customFormat="1" ht="21.75" x14ac:dyDescent="0.6">
      <c r="A2" s="731" t="s">
        <v>1</v>
      </c>
      <c r="B2" s="732" t="s">
        <v>0</v>
      </c>
      <c r="C2" s="745" t="s">
        <v>3</v>
      </c>
      <c r="D2" s="745"/>
      <c r="E2" s="745"/>
      <c r="F2" s="745"/>
      <c r="G2" s="745"/>
      <c r="H2" s="745"/>
      <c r="I2" s="745"/>
      <c r="J2" s="745"/>
      <c r="K2" s="745"/>
      <c r="L2" s="745"/>
      <c r="M2" s="745"/>
      <c r="N2" s="745"/>
      <c r="O2" s="745"/>
      <c r="P2" s="745"/>
      <c r="Q2" s="745"/>
      <c r="R2" s="745"/>
      <c r="S2" s="745"/>
      <c r="T2" s="745"/>
      <c r="U2" s="745"/>
      <c r="V2" s="745"/>
      <c r="W2" s="745"/>
      <c r="X2" s="745"/>
      <c r="Y2" s="745"/>
      <c r="Z2" s="745"/>
      <c r="AB2" s="1" t="s">
        <v>67</v>
      </c>
      <c r="AC2" s="27">
        <f>AF19</f>
        <v>0</v>
      </c>
      <c r="AE2" s="28">
        <v>24</v>
      </c>
      <c r="AF2" s="29">
        <v>40</v>
      </c>
    </row>
    <row r="3" spans="1:33" s="27" customFormat="1" ht="4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0</v>
      </c>
      <c r="AF6" s="11">
        <f>D6+F6+H6+J6+L6+N6+P6+R6+T6+V6+X6+Z6+AB6+AD6</f>
        <v>0</v>
      </c>
      <c r="AG6" s="11">
        <f>(D6*$D$5)+(F6*$F$5)+(H6*$H$5)+(J6*$J$5)+(L6*$L$5)+(N6*$N$5)+(P6*$P$5)+(R6*$R$5)+(T6*$T$5)+(V6*$V$5)+(X6*$X$5)+(Z6*$Z$5)+(AB6*$AB$5)+(AD6*$AD$5)</f>
        <v>0</v>
      </c>
    </row>
    <row r="7" spans="1:33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ref="AE7:AF9" si="0">C7+E7+G7+I7+K7+M7+O7+Q7+S7+U7+W7+Y7+AA7+AC7</f>
        <v>0</v>
      </c>
      <c r="AF7" s="11">
        <f t="shared" si="0"/>
        <v>0</v>
      </c>
      <c r="AG7" s="11">
        <f t="shared" ref="AG7:AG19" si="1">(D7*$D$5)+(F7*$F$5)+(H7*$H$5)+(J7*$J$5)+(L7*$L$5)+(N7*$N$5)+(P7*$P$5)+(R7*$R$5)+(T7*$T$5)+(V7*$V$5)+(X7*$X$5)+(Z7*$Z$5)+(AB7*$AB$5)+(AD7*$AD$5)</f>
        <v>0</v>
      </c>
    </row>
    <row r="8" spans="1:33" s="19" customFormat="1" ht="25.15" customHeight="1" x14ac:dyDescent="0.25">
      <c r="A8" s="37">
        <v>3</v>
      </c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0"/>
        <v>0</v>
      </c>
      <c r="AF8" s="11">
        <f t="shared" si="0"/>
        <v>0</v>
      </c>
      <c r="AG8" s="11">
        <f t="shared" si="1"/>
        <v>0</v>
      </c>
    </row>
    <row r="9" spans="1:33" s="19" customFormat="1" ht="25.15" customHeight="1" x14ac:dyDescent="0.25">
      <c r="A9" s="37"/>
      <c r="B9" s="38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>
        <f>AA9*12</f>
        <v>0</v>
      </c>
      <c r="AC9" s="11"/>
      <c r="AD9" s="11">
        <f>AC9*12</f>
        <v>0</v>
      </c>
      <c r="AE9" s="11">
        <f t="shared" si="0"/>
        <v>0</v>
      </c>
      <c r="AF9" s="11">
        <f t="shared" si="0"/>
        <v>0</v>
      </c>
      <c r="AG9" s="11">
        <f t="shared" si="1"/>
        <v>0</v>
      </c>
    </row>
    <row r="10" spans="1:33" s="19" customFormat="1" ht="25.15" customHeight="1" x14ac:dyDescent="0.25">
      <c r="A10" s="37"/>
      <c r="B10" s="38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>
        <f t="shared" si="1"/>
        <v>0</v>
      </c>
    </row>
    <row r="11" spans="1:33" s="19" customFormat="1" ht="25.15" customHeight="1" x14ac:dyDescent="0.25">
      <c r="A11" s="37"/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f t="shared" si="1"/>
        <v>0</v>
      </c>
    </row>
    <row r="12" spans="1:33" ht="25.15" customHeight="1" x14ac:dyDescent="0.6">
      <c r="A12" s="39"/>
      <c r="B12" s="40"/>
      <c r="C12" s="6"/>
      <c r="D12" s="11"/>
      <c r="E12" s="6"/>
      <c r="F12" s="11"/>
      <c r="G12" s="6"/>
      <c r="H12" s="11"/>
      <c r="I12" s="6"/>
      <c r="J12" s="11"/>
      <c r="K12" s="6"/>
      <c r="L12" s="11"/>
      <c r="M12" s="6"/>
      <c r="N12" s="11"/>
      <c r="O12" s="6"/>
      <c r="P12" s="11"/>
      <c r="Q12" s="6"/>
      <c r="R12" s="11"/>
      <c r="S12" s="6"/>
      <c r="T12" s="11"/>
      <c r="U12" s="11"/>
      <c r="V12" s="11"/>
      <c r="W12" s="11"/>
      <c r="X12" s="11"/>
      <c r="Y12" s="11"/>
      <c r="Z12" s="11"/>
      <c r="AA12" s="6"/>
      <c r="AB12" s="6"/>
      <c r="AC12" s="6"/>
      <c r="AD12" s="6"/>
      <c r="AE12" s="6"/>
      <c r="AF12" s="6"/>
      <c r="AG12" s="11">
        <f t="shared" si="1"/>
        <v>0</v>
      </c>
    </row>
    <row r="13" spans="1:33" ht="25.15" customHeight="1" x14ac:dyDescent="0.6">
      <c r="A13" s="39"/>
      <c r="B13" s="40"/>
      <c r="C13" s="6"/>
      <c r="D13" s="11"/>
      <c r="E13" s="6"/>
      <c r="F13" s="11"/>
      <c r="G13" s="6"/>
      <c r="H13" s="11"/>
      <c r="I13" s="6"/>
      <c r="J13" s="11"/>
      <c r="K13" s="6"/>
      <c r="L13" s="11"/>
      <c r="M13" s="6"/>
      <c r="N13" s="11"/>
      <c r="O13" s="6"/>
      <c r="P13" s="11"/>
      <c r="Q13" s="6"/>
      <c r="R13" s="11"/>
      <c r="S13" s="6"/>
      <c r="T13" s="11"/>
      <c r="U13" s="11"/>
      <c r="V13" s="11"/>
      <c r="W13" s="11"/>
      <c r="X13" s="11"/>
      <c r="Y13" s="11"/>
      <c r="Z13" s="11"/>
      <c r="AA13" s="6"/>
      <c r="AB13" s="6"/>
      <c r="AC13" s="6"/>
      <c r="AD13" s="6"/>
      <c r="AE13" s="6"/>
      <c r="AF13" s="6"/>
      <c r="AG13" s="11">
        <f t="shared" si="1"/>
        <v>0</v>
      </c>
    </row>
    <row r="14" spans="1:33" ht="25.15" customHeight="1" x14ac:dyDescent="0.6">
      <c r="A14" s="39"/>
      <c r="B14" s="40"/>
      <c r="C14" s="6"/>
      <c r="D14" s="11"/>
      <c r="E14" s="6"/>
      <c r="F14" s="11"/>
      <c r="G14" s="6"/>
      <c r="H14" s="11"/>
      <c r="I14" s="6"/>
      <c r="J14" s="11"/>
      <c r="K14" s="6"/>
      <c r="L14" s="11"/>
      <c r="M14" s="6"/>
      <c r="N14" s="11"/>
      <c r="O14" s="6"/>
      <c r="P14" s="11"/>
      <c r="Q14" s="6"/>
      <c r="R14" s="11"/>
      <c r="S14" s="6"/>
      <c r="T14" s="11"/>
      <c r="U14" s="11"/>
      <c r="V14" s="11"/>
      <c r="W14" s="11"/>
      <c r="X14" s="11"/>
      <c r="Y14" s="11"/>
      <c r="Z14" s="11"/>
      <c r="AA14" s="6"/>
      <c r="AB14" s="6"/>
      <c r="AC14" s="6"/>
      <c r="AD14" s="6"/>
      <c r="AE14" s="6"/>
      <c r="AF14" s="6"/>
      <c r="AG14" s="11">
        <f t="shared" si="1"/>
        <v>0</v>
      </c>
    </row>
    <row r="15" spans="1:33" ht="25.15" customHeight="1" x14ac:dyDescent="0.6">
      <c r="A15" s="39"/>
      <c r="B15" s="40"/>
      <c r="C15" s="6"/>
      <c r="D15" s="11"/>
      <c r="E15" s="6"/>
      <c r="F15" s="11"/>
      <c r="G15" s="6"/>
      <c r="H15" s="11"/>
      <c r="I15" s="6"/>
      <c r="J15" s="11"/>
      <c r="K15" s="6"/>
      <c r="L15" s="11"/>
      <c r="M15" s="6"/>
      <c r="N15" s="11"/>
      <c r="O15" s="6"/>
      <c r="P15" s="11"/>
      <c r="Q15" s="6"/>
      <c r="R15" s="11"/>
      <c r="S15" s="6"/>
      <c r="T15" s="11"/>
      <c r="U15" s="11"/>
      <c r="V15" s="11"/>
      <c r="W15" s="11"/>
      <c r="X15" s="11"/>
      <c r="Y15" s="11"/>
      <c r="Z15" s="11"/>
      <c r="AA15" s="6"/>
      <c r="AB15" s="6"/>
      <c r="AC15" s="6"/>
      <c r="AD15" s="6"/>
      <c r="AE15" s="6"/>
      <c r="AF15" s="6"/>
      <c r="AG15" s="11">
        <f t="shared" si="1"/>
        <v>0</v>
      </c>
    </row>
    <row r="16" spans="1:33" ht="25.15" customHeight="1" x14ac:dyDescent="0.6">
      <c r="A16" s="39"/>
      <c r="B16" s="40"/>
      <c r="C16" s="6"/>
      <c r="D16" s="11"/>
      <c r="E16" s="6"/>
      <c r="F16" s="11"/>
      <c r="G16" s="6"/>
      <c r="H16" s="11"/>
      <c r="I16" s="6"/>
      <c r="J16" s="11"/>
      <c r="K16" s="6"/>
      <c r="L16" s="11"/>
      <c r="M16" s="6"/>
      <c r="N16" s="11"/>
      <c r="O16" s="6"/>
      <c r="P16" s="11"/>
      <c r="Q16" s="6"/>
      <c r="R16" s="11"/>
      <c r="S16" s="6"/>
      <c r="T16" s="11"/>
      <c r="U16" s="11"/>
      <c r="V16" s="11"/>
      <c r="W16" s="11"/>
      <c r="X16" s="11"/>
      <c r="Y16" s="11"/>
      <c r="Z16" s="11"/>
      <c r="AA16" s="6"/>
      <c r="AB16" s="6"/>
      <c r="AC16" s="6"/>
      <c r="AD16" s="6"/>
      <c r="AE16" s="6"/>
      <c r="AF16" s="6"/>
      <c r="AG16" s="11">
        <f t="shared" si="1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11"/>
      <c r="M17" s="6"/>
      <c r="N17" s="11"/>
      <c r="O17" s="6"/>
      <c r="P17" s="11"/>
      <c r="Q17" s="6"/>
      <c r="R17" s="6"/>
      <c r="S17" s="6"/>
      <c r="T17" s="6"/>
      <c r="U17" s="6"/>
      <c r="V17" s="6"/>
      <c r="W17" s="6"/>
      <c r="X17" s="6"/>
      <c r="Y17" s="11"/>
      <c r="Z17" s="11"/>
      <c r="AA17" s="6"/>
      <c r="AB17" s="6"/>
      <c r="AC17" s="6"/>
      <c r="AD17" s="6"/>
      <c r="AE17" s="6"/>
      <c r="AF17" s="6"/>
      <c r="AG17" s="11">
        <f t="shared" si="1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1">
        <f t="shared" si="1"/>
        <v>0</v>
      </c>
    </row>
    <row r="19" spans="1:33" ht="25.15" customHeight="1" x14ac:dyDescent="0.6">
      <c r="A19" s="39"/>
      <c r="B19" s="40"/>
      <c r="C19" s="49">
        <f>SUM(C6:C18)</f>
        <v>0</v>
      </c>
      <c r="D19" s="6">
        <f t="shared" ref="D19:AD19" si="2">SUM(D6:D18)</f>
        <v>0</v>
      </c>
      <c r="E19" s="6">
        <f t="shared" si="2"/>
        <v>0</v>
      </c>
      <c r="F19" s="6">
        <f t="shared" si="2"/>
        <v>0</v>
      </c>
      <c r="G19" s="6">
        <f t="shared" si="2"/>
        <v>0</v>
      </c>
      <c r="H19" s="6">
        <f t="shared" si="2"/>
        <v>0</v>
      </c>
      <c r="I19" s="6">
        <f t="shared" si="2"/>
        <v>0</v>
      </c>
      <c r="J19" s="6">
        <f t="shared" si="2"/>
        <v>0</v>
      </c>
      <c r="K19" s="49">
        <f t="shared" si="2"/>
        <v>0</v>
      </c>
      <c r="L19" s="6">
        <f t="shared" si="2"/>
        <v>0</v>
      </c>
      <c r="M19" s="6">
        <f t="shared" si="2"/>
        <v>0</v>
      </c>
      <c r="N19" s="6">
        <f t="shared" si="2"/>
        <v>0</v>
      </c>
      <c r="O19" s="6">
        <f t="shared" si="2"/>
        <v>0</v>
      </c>
      <c r="P19" s="6">
        <f t="shared" si="2"/>
        <v>0</v>
      </c>
      <c r="Q19" s="49">
        <f t="shared" si="2"/>
        <v>0</v>
      </c>
      <c r="R19" s="6">
        <f t="shared" si="2"/>
        <v>0</v>
      </c>
      <c r="S19" s="49">
        <f t="shared" si="2"/>
        <v>0</v>
      </c>
      <c r="T19" s="6">
        <f t="shared" si="2"/>
        <v>0</v>
      </c>
      <c r="U19" s="6">
        <f t="shared" si="2"/>
        <v>0</v>
      </c>
      <c r="V19" s="6">
        <f t="shared" si="2"/>
        <v>0</v>
      </c>
      <c r="W19" s="6">
        <f t="shared" si="2"/>
        <v>0</v>
      </c>
      <c r="X19" s="6">
        <f t="shared" si="2"/>
        <v>0</v>
      </c>
      <c r="Y19" s="6">
        <f t="shared" si="2"/>
        <v>0</v>
      </c>
      <c r="Z19" s="6">
        <f t="shared" si="2"/>
        <v>0</v>
      </c>
      <c r="AA19" s="6">
        <f t="shared" si="2"/>
        <v>0</v>
      </c>
      <c r="AB19" s="6">
        <f t="shared" si="2"/>
        <v>0</v>
      </c>
      <c r="AC19" s="6">
        <f t="shared" si="2"/>
        <v>0</v>
      </c>
      <c r="AD19" s="6">
        <f t="shared" si="2"/>
        <v>0</v>
      </c>
      <c r="AE19" s="6">
        <f>SUM(AE6:AE18)</f>
        <v>0</v>
      </c>
      <c r="AF19" s="6">
        <f>SUM(AF6:AF18)</f>
        <v>0</v>
      </c>
      <c r="AG19" s="11">
        <f t="shared" si="1"/>
        <v>0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W3:X3"/>
    <mergeCell ref="AA3:AB3"/>
    <mergeCell ref="AC3:AD3"/>
    <mergeCell ref="AE3:AG3"/>
    <mergeCell ref="C1:Z1"/>
    <mergeCell ref="A2:A4"/>
    <mergeCell ref="B2:B4"/>
    <mergeCell ref="C2:Z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Y3:Z3"/>
    <mergeCell ref="U3:V3"/>
  </mergeCells>
  <hyperlinks>
    <hyperlink ref="C2:Z2" location="'SMM YGN '!A1" display="SKU" xr:uid="{00000000-0004-0000-1300-000000000000}"/>
    <hyperlink ref="C1:Z1" location="'SMM YGN '!A1" display="အောင်ချမ်းသာ (ကွမ်းခြံကုန်း)" xr:uid="{00000000-0004-0000-13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7"/>
  <dimension ref="A1:AJ88"/>
  <sheetViews>
    <sheetView zoomScaleNormal="100" workbookViewId="0">
      <pane xSplit="2" ySplit="4" topLeftCell="P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D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0.7109375" style="1" customWidth="1"/>
    <col min="5" max="6" width="10.28515625" style="1" customWidth="1"/>
    <col min="7" max="8" width="9.28515625" style="1" customWidth="1"/>
    <col min="9" max="26" width="10.28515625" style="1" customWidth="1"/>
    <col min="27" max="30" width="8.28515625" style="1" customWidth="1"/>
    <col min="31" max="32" width="9.7109375" style="1" customWidth="1"/>
    <col min="33" max="33" width="11.85546875" style="1" customWidth="1"/>
    <col min="34" max="16384" width="9" style="1"/>
  </cols>
  <sheetData>
    <row r="1" spans="1:36" ht="21.75" x14ac:dyDescent="0.6">
      <c r="A1" s="23"/>
      <c r="B1" s="24"/>
      <c r="C1" s="745" t="s">
        <v>72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C1" s="745"/>
      <c r="AD1" s="745"/>
      <c r="AF1" s="1" t="s">
        <v>68</v>
      </c>
      <c r="AG1" s="1">
        <f>AE19</f>
        <v>300</v>
      </c>
      <c r="AI1" s="25">
        <v>12</v>
      </c>
      <c r="AJ1" s="26">
        <v>14</v>
      </c>
    </row>
    <row r="2" spans="1:36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C2" s="759"/>
      <c r="AD2" s="759"/>
      <c r="AF2" s="1" t="s">
        <v>67</v>
      </c>
      <c r="AG2" s="27">
        <f>AF19</f>
        <v>4100</v>
      </c>
      <c r="AI2" s="28">
        <v>24</v>
      </c>
      <c r="AJ2" s="29">
        <v>40</v>
      </c>
    </row>
    <row r="3" spans="1:36" s="27" customFormat="1" ht="43.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6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  <c r="AI4" s="31"/>
    </row>
    <row r="5" spans="1:36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  <c r="AI5" s="31"/>
    </row>
    <row r="6" spans="1:36" s="19" customFormat="1" ht="25.15" customHeight="1" x14ac:dyDescent="0.25">
      <c r="A6" s="37">
        <v>1</v>
      </c>
      <c r="B6" s="38">
        <v>45839</v>
      </c>
      <c r="C6" s="11">
        <v>180</v>
      </c>
      <c r="D6" s="11">
        <f>C6*14</f>
        <v>2520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>
        <v>50</v>
      </c>
      <c r="L6" s="11">
        <f>K6*12</f>
        <v>600</v>
      </c>
      <c r="M6" s="11"/>
      <c r="N6" s="11">
        <f>M6*12</f>
        <v>0</v>
      </c>
      <c r="O6" s="11"/>
      <c r="P6" s="11">
        <f>O6*40</f>
        <v>0</v>
      </c>
      <c r="Q6" s="11">
        <v>30</v>
      </c>
      <c r="R6" s="11">
        <f t="shared" ref="R6:R12" si="0">Q6*14</f>
        <v>420</v>
      </c>
      <c r="S6" s="11">
        <v>40</v>
      </c>
      <c r="T6" s="11">
        <f t="shared" ref="T6:T11" si="1">S6*14</f>
        <v>560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300</v>
      </c>
      <c r="AF6" s="11">
        <f>D6+F6+H6+J6+L6+N6+P6+R6+T6+V6+X6+Z6+AB6+AD6</f>
        <v>4100</v>
      </c>
      <c r="AG6" s="11">
        <f>(D6*$D$5)+(F6*$F$5)+(H6*$H$5)+(J6*$J$5)+(L6*$L$5)+(N6*$N$5)+(P6*$P$5)+(R6*$R$5)+(T6*$T$5)+(V6*$V$5)+(X6*$X$5)+(Z6*$Z$5)+(AB6*$AB$5)+(AD6*$AD$5)</f>
        <v>2660</v>
      </c>
    </row>
    <row r="7" spans="1:36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 t="shared" si="0"/>
        <v>0</v>
      </c>
      <c r="S7" s="11"/>
      <c r="T7" s="11">
        <f t="shared" si="1"/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>C7+E7+G7+I7+K7+M7+O7+Q7+S7+U7+W7+Y7+AA7+AC7</f>
        <v>0</v>
      </c>
      <c r="AF7" s="11">
        <f>D7+F7+H7+J7+L7+N7+P7+R7+T7+V7+X7+Z7+AB7+AD7</f>
        <v>0</v>
      </c>
      <c r="AG7" s="11">
        <f t="shared" ref="AG7:AG19" si="2">(D7*$D$5)+(F7*$F$5)+(H7*$H$5)+(J7*$J$5)+(L7*$L$5)+(N7*$N$5)+(P7*$P$5)+(R7*$R$5)+(T7*$T$5)+(V7*$V$5)+(X7*$X$5)+(Z7*$Z$5)+(AB7*$AB$5)+(AD7*$AD$5)</f>
        <v>0</v>
      </c>
    </row>
    <row r="8" spans="1:36" s="19" customFormat="1" ht="25.15" customHeight="1" x14ac:dyDescent="0.25">
      <c r="A8" s="37">
        <v>3</v>
      </c>
      <c r="B8" s="38"/>
      <c r="C8" s="54"/>
      <c r="D8" s="54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 t="shared" ref="L8:L14" si="3">K8*12</f>
        <v>0</v>
      </c>
      <c r="M8" s="11"/>
      <c r="N8" s="11">
        <f>M8*12</f>
        <v>0</v>
      </c>
      <c r="O8" s="11"/>
      <c r="P8" s="11">
        <f>O8*40</f>
        <v>0</v>
      </c>
      <c r="Q8" s="54"/>
      <c r="R8" s="54">
        <f t="shared" si="0"/>
        <v>0</v>
      </c>
      <c r="S8" s="54"/>
      <c r="T8" s="54">
        <f t="shared" si="1"/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AA8*14</f>
        <v>0</v>
      </c>
      <c r="AC8" s="11"/>
      <c r="AD8" s="11">
        <f>AC8*12</f>
        <v>0</v>
      </c>
      <c r="AE8" s="11">
        <f t="shared" ref="AE8:AF13" si="4">C8+E8+G8+I8+K8+M8+O8+Q8+S8+U8+W8+Y8+AA8+AC8</f>
        <v>0</v>
      </c>
      <c r="AF8" s="11">
        <f t="shared" si="4"/>
        <v>0</v>
      </c>
      <c r="AG8" s="11">
        <f t="shared" si="2"/>
        <v>0</v>
      </c>
    </row>
    <row r="9" spans="1:36" s="19" customFormat="1" ht="25.15" customHeight="1" x14ac:dyDescent="0.25">
      <c r="A9" s="37">
        <v>4</v>
      </c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 t="shared" si="3"/>
        <v>0</v>
      </c>
      <c r="M9" s="11"/>
      <c r="N9" s="11">
        <f>M9*12</f>
        <v>0</v>
      </c>
      <c r="O9" s="11"/>
      <c r="P9" s="11">
        <f>O9*40</f>
        <v>0</v>
      </c>
      <c r="Q9" s="11"/>
      <c r="R9" s="11">
        <f t="shared" si="0"/>
        <v>0</v>
      </c>
      <c r="S9" s="11"/>
      <c r="T9" s="11">
        <f t="shared" si="1"/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AA9*14</f>
        <v>0</v>
      </c>
      <c r="AC9" s="11"/>
      <c r="AD9" s="11">
        <f>AC9*12</f>
        <v>0</v>
      </c>
      <c r="AE9" s="11">
        <f t="shared" si="4"/>
        <v>0</v>
      </c>
      <c r="AF9" s="11">
        <f t="shared" si="4"/>
        <v>0</v>
      </c>
      <c r="AG9" s="11">
        <f>(D9*$D$5)+(F9*$F$5)+(H9*$H$5)+(J9*$J$5)+(L9*$L$5)+(N9*$N$5)+(P9*$P$5)+(R9*$R$5)+(T9*$T$5)+(V9*$V$5)+(X9*$X$5)+(Z9*$Z$5)+(AB9*$AB$5)+(AD9*$AD$5)</f>
        <v>0</v>
      </c>
    </row>
    <row r="10" spans="1:36" s="19" customFormat="1" ht="25.15" customHeight="1" x14ac:dyDescent="0.6">
      <c r="A10" s="37">
        <v>5</v>
      </c>
      <c r="B10" s="38"/>
      <c r="C10" s="11"/>
      <c r="D10" s="6">
        <f>C10*14</f>
        <v>0</v>
      </c>
      <c r="E10" s="11"/>
      <c r="F10" s="11"/>
      <c r="G10" s="11"/>
      <c r="H10" s="11"/>
      <c r="I10" s="11"/>
      <c r="J10" s="11"/>
      <c r="K10" s="11"/>
      <c r="L10" s="11">
        <f t="shared" si="3"/>
        <v>0</v>
      </c>
      <c r="M10" s="11"/>
      <c r="N10" s="11"/>
      <c r="O10" s="11"/>
      <c r="P10" s="11"/>
      <c r="Q10" s="11"/>
      <c r="R10" s="11">
        <f t="shared" si="0"/>
        <v>0</v>
      </c>
      <c r="S10" s="11"/>
      <c r="T10" s="11">
        <f t="shared" si="1"/>
        <v>0</v>
      </c>
      <c r="U10" s="11"/>
      <c r="V10" s="11"/>
      <c r="W10" s="11"/>
      <c r="X10" s="11"/>
      <c r="Y10" s="11"/>
      <c r="Z10" s="11"/>
      <c r="AA10" s="11"/>
      <c r="AB10" s="11">
        <f>AA10*14</f>
        <v>0</v>
      </c>
      <c r="AC10" s="11"/>
      <c r="AD10" s="11"/>
      <c r="AE10" s="11">
        <f t="shared" si="4"/>
        <v>0</v>
      </c>
      <c r="AF10" s="11">
        <f t="shared" si="4"/>
        <v>0</v>
      </c>
      <c r="AG10" s="11">
        <f t="shared" si="2"/>
        <v>0</v>
      </c>
    </row>
    <row r="11" spans="1:36" s="19" customFormat="1" ht="25.15" customHeight="1" x14ac:dyDescent="0.6">
      <c r="A11" s="37"/>
      <c r="B11" s="38"/>
      <c r="C11" s="11"/>
      <c r="D11" s="6"/>
      <c r="E11" s="11"/>
      <c r="F11" s="11"/>
      <c r="G11" s="11"/>
      <c r="H11" s="11"/>
      <c r="I11" s="11"/>
      <c r="J11" s="11"/>
      <c r="K11" s="11"/>
      <c r="L11" s="11">
        <f t="shared" si="3"/>
        <v>0</v>
      </c>
      <c r="M11" s="11"/>
      <c r="N11" s="11"/>
      <c r="O11" s="11"/>
      <c r="P11" s="11"/>
      <c r="Q11" s="11"/>
      <c r="R11" s="11">
        <f t="shared" si="0"/>
        <v>0</v>
      </c>
      <c r="S11" s="11"/>
      <c r="T11" s="11">
        <f t="shared" si="1"/>
        <v>0</v>
      </c>
      <c r="U11" s="11"/>
      <c r="V11" s="11"/>
      <c r="W11" s="11"/>
      <c r="X11" s="11"/>
      <c r="Y11" s="11"/>
      <c r="Z11" s="11"/>
      <c r="AA11" s="11"/>
      <c r="AB11" s="11">
        <f>AA11*14</f>
        <v>0</v>
      </c>
      <c r="AC11" s="11"/>
      <c r="AD11" s="11"/>
      <c r="AE11" s="11">
        <f t="shared" si="4"/>
        <v>0</v>
      </c>
      <c r="AF11" s="11">
        <f t="shared" si="4"/>
        <v>0</v>
      </c>
      <c r="AG11" s="11">
        <f t="shared" si="2"/>
        <v>0</v>
      </c>
    </row>
    <row r="12" spans="1:36" ht="25.15" customHeight="1" x14ac:dyDescent="0.6">
      <c r="A12" s="39"/>
      <c r="B12" s="38"/>
      <c r="C12" s="6"/>
      <c r="D12" s="6"/>
      <c r="E12" s="6"/>
      <c r="F12" s="11"/>
      <c r="G12" s="6"/>
      <c r="H12" s="11"/>
      <c r="I12" s="6"/>
      <c r="J12" s="11"/>
      <c r="K12" s="6"/>
      <c r="L12" s="11">
        <f t="shared" si="3"/>
        <v>0</v>
      </c>
      <c r="M12" s="6"/>
      <c r="N12" s="11"/>
      <c r="O12" s="6"/>
      <c r="P12" s="11"/>
      <c r="Q12" s="6"/>
      <c r="R12" s="11">
        <f t="shared" si="0"/>
        <v>0</v>
      </c>
      <c r="S12" s="6"/>
      <c r="T12" s="11"/>
      <c r="U12" s="11"/>
      <c r="V12" s="11"/>
      <c r="W12" s="11"/>
      <c r="X12" s="11"/>
      <c r="Y12" s="11"/>
      <c r="Z12" s="11"/>
      <c r="AA12" s="11"/>
      <c r="AB12" s="11">
        <f>AA12*14</f>
        <v>0</v>
      </c>
      <c r="AC12" s="11"/>
      <c r="AD12" s="11"/>
      <c r="AE12" s="11">
        <f t="shared" si="4"/>
        <v>0</v>
      </c>
      <c r="AF12" s="11">
        <f t="shared" si="4"/>
        <v>0</v>
      </c>
      <c r="AG12" s="11">
        <f t="shared" si="2"/>
        <v>0</v>
      </c>
    </row>
    <row r="13" spans="1:36" ht="25.15" customHeight="1" x14ac:dyDescent="0.6">
      <c r="A13" s="39"/>
      <c r="B13" s="40"/>
      <c r="C13" s="6"/>
      <c r="D13" s="6"/>
      <c r="E13" s="6"/>
      <c r="F13" s="11"/>
      <c r="G13" s="6"/>
      <c r="H13" s="11"/>
      <c r="I13" s="6"/>
      <c r="J13" s="11"/>
      <c r="K13" s="6"/>
      <c r="L13" s="11">
        <f t="shared" si="3"/>
        <v>0</v>
      </c>
      <c r="M13" s="6"/>
      <c r="N13" s="11"/>
      <c r="O13" s="6"/>
      <c r="P13" s="11"/>
      <c r="Q13" s="6"/>
      <c r="R13" s="11"/>
      <c r="S13" s="6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>
        <f t="shared" si="4"/>
        <v>0</v>
      </c>
      <c r="AF13" s="11">
        <f t="shared" si="4"/>
        <v>0</v>
      </c>
      <c r="AG13" s="11">
        <f t="shared" si="2"/>
        <v>0</v>
      </c>
    </row>
    <row r="14" spans="1:36" ht="25.15" customHeight="1" x14ac:dyDescent="0.6">
      <c r="A14" s="39"/>
      <c r="B14" s="40"/>
      <c r="C14" s="6"/>
      <c r="D14" s="6"/>
      <c r="E14" s="6"/>
      <c r="F14" s="11"/>
      <c r="G14" s="6"/>
      <c r="H14" s="11"/>
      <c r="I14" s="6"/>
      <c r="J14" s="11"/>
      <c r="K14" s="6"/>
      <c r="L14" s="11">
        <f t="shared" si="3"/>
        <v>0</v>
      </c>
      <c r="M14" s="6"/>
      <c r="N14" s="11"/>
      <c r="O14" s="6"/>
      <c r="P14" s="11"/>
      <c r="Q14" s="6"/>
      <c r="R14" s="11"/>
      <c r="S14" s="6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6"/>
      <c r="AF14" s="6"/>
      <c r="AG14" s="11">
        <f t="shared" si="2"/>
        <v>0</v>
      </c>
    </row>
    <row r="15" spans="1:36" ht="25.15" customHeight="1" x14ac:dyDescent="0.6">
      <c r="A15" s="39"/>
      <c r="B15" s="40"/>
      <c r="C15" s="6"/>
      <c r="D15" s="6"/>
      <c r="E15" s="6"/>
      <c r="F15" s="11"/>
      <c r="G15" s="6"/>
      <c r="H15" s="11"/>
      <c r="I15" s="6"/>
      <c r="J15" s="11"/>
      <c r="K15" s="6"/>
      <c r="L15" s="11"/>
      <c r="M15" s="6"/>
      <c r="N15" s="11"/>
      <c r="O15" s="6"/>
      <c r="P15" s="11"/>
      <c r="Q15" s="6"/>
      <c r="R15" s="11"/>
      <c r="S15" s="6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6"/>
      <c r="AF15" s="6"/>
      <c r="AG15" s="11">
        <f t="shared" si="2"/>
        <v>0</v>
      </c>
    </row>
    <row r="16" spans="1:36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11"/>
      <c r="AD16" s="11"/>
      <c r="AE16" s="6"/>
      <c r="AF16" s="6"/>
      <c r="AG16" s="11">
        <f t="shared" si="2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11"/>
      <c r="AD17" s="11"/>
      <c r="AE17" s="6"/>
      <c r="AF17" s="6"/>
      <c r="AG17" s="11">
        <f t="shared" si="2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11"/>
      <c r="AD18" s="11"/>
      <c r="AE18" s="6"/>
      <c r="AF18" s="6"/>
      <c r="AG18" s="11">
        <f t="shared" si="2"/>
        <v>0</v>
      </c>
    </row>
    <row r="19" spans="1:33" ht="25.15" customHeight="1" x14ac:dyDescent="0.6">
      <c r="A19" s="39"/>
      <c r="B19" s="40"/>
      <c r="C19" s="49">
        <f>SUM(C6:C18)</f>
        <v>180</v>
      </c>
      <c r="D19" s="6">
        <f t="shared" ref="D19:AD19" si="5">SUM(D6:D18)</f>
        <v>2520</v>
      </c>
      <c r="E19" s="49">
        <f t="shared" si="5"/>
        <v>0</v>
      </c>
      <c r="F19" s="6">
        <f t="shared" si="5"/>
        <v>0</v>
      </c>
      <c r="G19" s="6">
        <f t="shared" si="5"/>
        <v>0</v>
      </c>
      <c r="H19" s="6">
        <f t="shared" si="5"/>
        <v>0</v>
      </c>
      <c r="I19" s="6">
        <f t="shared" si="5"/>
        <v>0</v>
      </c>
      <c r="J19" s="6">
        <f t="shared" si="5"/>
        <v>0</v>
      </c>
      <c r="K19" s="49">
        <f t="shared" si="5"/>
        <v>50</v>
      </c>
      <c r="L19" s="6">
        <f t="shared" si="5"/>
        <v>600</v>
      </c>
      <c r="M19" s="6">
        <f t="shared" si="5"/>
        <v>0</v>
      </c>
      <c r="N19" s="6">
        <f t="shared" si="5"/>
        <v>0</v>
      </c>
      <c r="O19" s="6">
        <f t="shared" si="5"/>
        <v>0</v>
      </c>
      <c r="P19" s="6">
        <f t="shared" si="5"/>
        <v>0</v>
      </c>
      <c r="Q19" s="6">
        <f t="shared" si="5"/>
        <v>30</v>
      </c>
      <c r="R19" s="6">
        <f t="shared" si="5"/>
        <v>420</v>
      </c>
      <c r="S19" s="49">
        <f t="shared" si="5"/>
        <v>40</v>
      </c>
      <c r="T19" s="6">
        <f t="shared" si="5"/>
        <v>560</v>
      </c>
      <c r="U19" s="6">
        <f t="shared" si="5"/>
        <v>0</v>
      </c>
      <c r="V19" s="6">
        <f t="shared" si="5"/>
        <v>0</v>
      </c>
      <c r="W19" s="6">
        <f t="shared" si="5"/>
        <v>0</v>
      </c>
      <c r="X19" s="6">
        <f t="shared" si="5"/>
        <v>0</v>
      </c>
      <c r="Y19" s="6">
        <f t="shared" si="5"/>
        <v>0</v>
      </c>
      <c r="Z19" s="6">
        <f t="shared" si="5"/>
        <v>0</v>
      </c>
      <c r="AA19" s="6">
        <f t="shared" si="5"/>
        <v>0</v>
      </c>
      <c r="AB19" s="6">
        <f t="shared" si="5"/>
        <v>0</v>
      </c>
      <c r="AC19" s="6">
        <f t="shared" si="5"/>
        <v>0</v>
      </c>
      <c r="AD19" s="6">
        <f t="shared" si="5"/>
        <v>0</v>
      </c>
      <c r="AE19" s="6">
        <f>SUM(AE6:AE18)</f>
        <v>300</v>
      </c>
      <c r="AF19" s="6">
        <f>SUM(AF6:AF18)</f>
        <v>4100</v>
      </c>
      <c r="AG19" s="11">
        <f t="shared" si="2"/>
        <v>2660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AC3:AD3"/>
    <mergeCell ref="U3:V3"/>
    <mergeCell ref="W3:X3"/>
    <mergeCell ref="AE3:AG3"/>
    <mergeCell ref="Y3:Z3"/>
    <mergeCell ref="AA3:AB3"/>
    <mergeCell ref="C1:AD1"/>
    <mergeCell ref="A2:A4"/>
    <mergeCell ref="B2:B4"/>
    <mergeCell ref="C2:AD2"/>
    <mergeCell ref="C3:D3"/>
    <mergeCell ref="E3:F3"/>
    <mergeCell ref="G3:H3"/>
    <mergeCell ref="I3:J3"/>
    <mergeCell ref="K3:L3"/>
    <mergeCell ref="M3:N3"/>
    <mergeCell ref="O3:P3"/>
    <mergeCell ref="Q3:R3"/>
    <mergeCell ref="S3:T3"/>
  </mergeCells>
  <hyperlinks>
    <hyperlink ref="C1:AD1" location="'SMM YGN '!A1" display="မမွှေးမွှေး(ကွမ်းခြံကုန်း)" xr:uid="{00000000-0004-0000-14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8"/>
  <dimension ref="A1:AH88"/>
  <sheetViews>
    <sheetView zoomScaleNormal="100" workbookViewId="0">
      <pane xSplit="2" ySplit="4" topLeftCell="N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B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6" width="10.28515625" style="1" customWidth="1"/>
    <col min="7" max="8" width="8.7109375" style="1" customWidth="1"/>
    <col min="9" max="10" width="10.28515625" style="1" customWidth="1"/>
    <col min="11" max="12" width="9.28515625" style="1" customWidth="1"/>
    <col min="13" max="32" width="10.28515625" style="1" customWidth="1"/>
    <col min="33" max="16384" width="9" style="1"/>
  </cols>
  <sheetData>
    <row r="1" spans="1:34" ht="21.75" x14ac:dyDescent="0.6">
      <c r="A1" s="23"/>
      <c r="B1" s="24"/>
      <c r="C1" s="745" t="s">
        <v>73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E1" s="1">
        <f>AE19</f>
        <v>280</v>
      </c>
      <c r="AG1" s="25">
        <v>12</v>
      </c>
      <c r="AH1" s="26">
        <v>14</v>
      </c>
    </row>
    <row r="2" spans="1:34" s="27" customFormat="1" ht="21.75" x14ac:dyDescent="0.6">
      <c r="A2" s="731" t="s">
        <v>1</v>
      </c>
      <c r="B2" s="732" t="s">
        <v>0</v>
      </c>
      <c r="C2" s="763" t="s">
        <v>3</v>
      </c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763"/>
      <c r="AA2" s="763"/>
      <c r="AB2" s="763"/>
      <c r="AD2" s="1" t="s">
        <v>67</v>
      </c>
      <c r="AE2" s="27">
        <f>AF19</f>
        <v>4120</v>
      </c>
      <c r="AG2" s="28">
        <v>24</v>
      </c>
      <c r="AH2" s="29">
        <v>40</v>
      </c>
    </row>
    <row r="3" spans="1:34" s="27" customFormat="1" ht="42.7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4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4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4" s="19" customFormat="1" ht="25.15" customHeight="1" x14ac:dyDescent="0.25">
      <c r="A6" s="37">
        <v>1</v>
      </c>
      <c r="B6" s="38">
        <v>45748</v>
      </c>
      <c r="C6" s="11">
        <v>20</v>
      </c>
      <c r="D6" s="11">
        <f t="shared" ref="D6:D12" si="0">C6*14</f>
        <v>280</v>
      </c>
      <c r="E6" s="11">
        <v>50</v>
      </c>
      <c r="F6" s="11">
        <f>E6*12</f>
        <v>600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>
        <v>100</v>
      </c>
      <c r="T6" s="11">
        <f t="shared" ref="T6:T11" si="1">S6*14</f>
        <v>1400</v>
      </c>
      <c r="U6" s="11"/>
      <c r="V6" s="11">
        <f t="shared" ref="V6:V13" si="2"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170</v>
      </c>
      <c r="AF6" s="11">
        <f>D6+F6+H6+J6+L6+N6+P6+R6+T6+V6+X6+Z6+AB6+AD6</f>
        <v>2280</v>
      </c>
      <c r="AG6" s="11">
        <f>(D6*$D$5)+(F6*$F$5)+(H6*$H$5)+(J6*$J$5)+(L6*$L$5)+(N6*$N$5)+(P6*$P$5)+(R6*$R$5)+(T6*$T$5)+(V6*$V$5)+(X6*$X$5)+(Z6*$Z$5)+(AB6*$AB$5)+(AD6*$AD$5)</f>
        <v>1675.2</v>
      </c>
    </row>
    <row r="7" spans="1:34" s="19" customFormat="1" ht="25.15" customHeight="1" x14ac:dyDescent="0.25">
      <c r="A7" s="37">
        <v>2</v>
      </c>
      <c r="B7" s="38">
        <v>45870</v>
      </c>
      <c r="C7" s="11">
        <v>80</v>
      </c>
      <c r="D7" s="11">
        <f t="shared" si="0"/>
        <v>1120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 t="shared" si="1"/>
        <v>0</v>
      </c>
      <c r="U7" s="11">
        <v>30</v>
      </c>
      <c r="V7" s="11">
        <f t="shared" si="2"/>
        <v>720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>C7+E7+G7+I7+K7+M7+O7+Q7+S7+U7+W7+Y7+AA7+AC7</f>
        <v>110</v>
      </c>
      <c r="AF7" s="11">
        <f>D7+F7+H7+J7+L7+N7+P7+R7+T7+V7+X7+Z7+AB7+AD7</f>
        <v>1840</v>
      </c>
      <c r="AG7" s="11">
        <f t="shared" ref="AG7:AG19" si="3">(D7*$D$5)+(F7*$F$5)+(H7*$H$5)+(J7*$J$5)+(L7*$L$5)+(N7*$N$5)+(P7*$P$5)+(R7*$R$5)+(T7*$T$5)+(V7*$V$5)+(X7*$X$5)+(Z7*$Z$5)+(AB7*$AB$5)+(AD7*$AD$5)</f>
        <v>1177.6000000000001</v>
      </c>
    </row>
    <row r="8" spans="1:34" s="19" customFormat="1" ht="25.15" customHeight="1" x14ac:dyDescent="0.25">
      <c r="A8" s="37">
        <v>3</v>
      </c>
      <c r="B8" s="38"/>
      <c r="C8" s="11"/>
      <c r="D8" s="11">
        <f t="shared" si="0"/>
        <v>0</v>
      </c>
      <c r="E8" s="11"/>
      <c r="F8" s="11">
        <f t="shared" ref="F8:F14" si="4"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 t="shared" ref="L8:L13" si="5"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 t="shared" si="1"/>
        <v>0</v>
      </c>
      <c r="U8" s="11"/>
      <c r="V8" s="11">
        <f t="shared" si="2"/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AA8*14</f>
        <v>0</v>
      </c>
      <c r="AC8" s="11"/>
      <c r="AD8" s="11">
        <f>AC8*12</f>
        <v>0</v>
      </c>
      <c r="AE8" s="11">
        <f t="shared" ref="AE8:AF14" si="6">C8+E8+G8+I8+K8+M8+O8+Q8+S8+U8+W8+Y8+AA8+AC8</f>
        <v>0</v>
      </c>
      <c r="AF8" s="11">
        <f t="shared" si="6"/>
        <v>0</v>
      </c>
      <c r="AG8" s="11">
        <f t="shared" si="3"/>
        <v>0</v>
      </c>
    </row>
    <row r="9" spans="1:34" s="19" customFormat="1" ht="25.15" customHeight="1" x14ac:dyDescent="0.25">
      <c r="A9" s="37">
        <v>4</v>
      </c>
      <c r="B9" s="38"/>
      <c r="C9" s="11"/>
      <c r="D9" s="11">
        <f t="shared" si="0"/>
        <v>0</v>
      </c>
      <c r="E9" s="11"/>
      <c r="F9" s="11">
        <f t="shared" si="4"/>
        <v>0</v>
      </c>
      <c r="G9" s="11"/>
      <c r="H9" s="11"/>
      <c r="I9" s="11"/>
      <c r="J9" s="11">
        <f>I9*40</f>
        <v>0</v>
      </c>
      <c r="K9" s="11"/>
      <c r="L9" s="11">
        <f t="shared" si="5"/>
        <v>0</v>
      </c>
      <c r="M9" s="11"/>
      <c r="N9" s="11"/>
      <c r="O9" s="11"/>
      <c r="P9" s="11"/>
      <c r="Q9" s="11"/>
      <c r="R9" s="11"/>
      <c r="S9" s="11"/>
      <c r="T9" s="11">
        <f t="shared" si="1"/>
        <v>0</v>
      </c>
      <c r="U9" s="11"/>
      <c r="V9" s="11">
        <f t="shared" si="2"/>
        <v>0</v>
      </c>
      <c r="W9" s="11"/>
      <c r="X9" s="11"/>
      <c r="Y9" s="11"/>
      <c r="Z9" s="11">
        <f>Y9*12</f>
        <v>0</v>
      </c>
      <c r="AA9" s="11"/>
      <c r="AB9" s="11"/>
      <c r="AC9" s="11"/>
      <c r="AD9" s="11">
        <f>AC9*12</f>
        <v>0</v>
      </c>
      <c r="AE9" s="11">
        <f t="shared" si="6"/>
        <v>0</v>
      </c>
      <c r="AF9" s="11">
        <f t="shared" si="6"/>
        <v>0</v>
      </c>
      <c r="AG9" s="11">
        <f t="shared" si="3"/>
        <v>0</v>
      </c>
    </row>
    <row r="10" spans="1:34" s="19" customFormat="1" ht="25.15" customHeight="1" x14ac:dyDescent="0.25">
      <c r="A10" s="37">
        <v>5</v>
      </c>
      <c r="B10" s="38"/>
      <c r="C10" s="11"/>
      <c r="D10" s="11">
        <f t="shared" si="0"/>
        <v>0</v>
      </c>
      <c r="E10" s="11"/>
      <c r="F10" s="11">
        <f t="shared" si="4"/>
        <v>0</v>
      </c>
      <c r="G10" s="11"/>
      <c r="H10" s="11"/>
      <c r="I10" s="11"/>
      <c r="J10" s="11">
        <f>I10*40</f>
        <v>0</v>
      </c>
      <c r="K10" s="11"/>
      <c r="L10" s="11">
        <f t="shared" si="5"/>
        <v>0</v>
      </c>
      <c r="M10" s="11"/>
      <c r="N10" s="11"/>
      <c r="O10" s="11"/>
      <c r="P10" s="11"/>
      <c r="Q10" s="11"/>
      <c r="R10" s="11"/>
      <c r="S10" s="11"/>
      <c r="T10" s="11">
        <f t="shared" si="1"/>
        <v>0</v>
      </c>
      <c r="U10" s="11"/>
      <c r="V10" s="11">
        <f t="shared" si="2"/>
        <v>0</v>
      </c>
      <c r="W10" s="11"/>
      <c r="X10" s="11"/>
      <c r="Y10" s="11"/>
      <c r="Z10" s="11"/>
      <c r="AA10" s="11"/>
      <c r="AB10" s="11"/>
      <c r="AC10" s="11"/>
      <c r="AD10" s="11"/>
      <c r="AE10" s="11">
        <f t="shared" si="6"/>
        <v>0</v>
      </c>
      <c r="AF10" s="11">
        <f t="shared" si="6"/>
        <v>0</v>
      </c>
      <c r="AG10" s="11">
        <f t="shared" si="3"/>
        <v>0</v>
      </c>
    </row>
    <row r="11" spans="1:34" s="19" customFormat="1" ht="25.15" customHeight="1" x14ac:dyDescent="0.25">
      <c r="A11" s="37"/>
      <c r="B11" s="38"/>
      <c r="C11" s="11"/>
      <c r="D11" s="11">
        <f t="shared" si="0"/>
        <v>0</v>
      </c>
      <c r="E11" s="11"/>
      <c r="F11" s="11">
        <f t="shared" si="4"/>
        <v>0</v>
      </c>
      <c r="G11" s="11"/>
      <c r="H11" s="11"/>
      <c r="I11" s="11"/>
      <c r="J11" s="11"/>
      <c r="K11" s="11"/>
      <c r="L11" s="11">
        <f t="shared" si="5"/>
        <v>0</v>
      </c>
      <c r="M11" s="11"/>
      <c r="N11" s="11"/>
      <c r="O11" s="11"/>
      <c r="P11" s="11"/>
      <c r="Q11" s="11"/>
      <c r="R11" s="11"/>
      <c r="S11" s="11"/>
      <c r="T11" s="11">
        <f t="shared" si="1"/>
        <v>0</v>
      </c>
      <c r="U11" s="11"/>
      <c r="V11" s="11">
        <f t="shared" si="2"/>
        <v>0</v>
      </c>
      <c r="W11" s="11"/>
      <c r="X11" s="11"/>
      <c r="Y11" s="11"/>
      <c r="Z11" s="11"/>
      <c r="AA11" s="11"/>
      <c r="AB11" s="11"/>
      <c r="AC11" s="11"/>
      <c r="AD11" s="11"/>
      <c r="AE11" s="11">
        <f t="shared" si="6"/>
        <v>0</v>
      </c>
      <c r="AF11" s="11">
        <f t="shared" si="6"/>
        <v>0</v>
      </c>
      <c r="AG11" s="11">
        <f t="shared" si="3"/>
        <v>0</v>
      </c>
    </row>
    <row r="12" spans="1:34" ht="25.15" customHeight="1" x14ac:dyDescent="0.6">
      <c r="A12" s="39"/>
      <c r="B12" s="38"/>
      <c r="C12" s="6"/>
      <c r="D12" s="11">
        <f t="shared" si="0"/>
        <v>0</v>
      </c>
      <c r="E12" s="6"/>
      <c r="F12" s="11">
        <f t="shared" si="4"/>
        <v>0</v>
      </c>
      <c r="G12" s="6"/>
      <c r="H12" s="11"/>
      <c r="I12" s="6"/>
      <c r="J12" s="11"/>
      <c r="K12" s="6"/>
      <c r="L12" s="11">
        <f t="shared" si="5"/>
        <v>0</v>
      </c>
      <c r="M12" s="6"/>
      <c r="N12" s="11"/>
      <c r="O12" s="6"/>
      <c r="P12" s="11"/>
      <c r="Q12" s="6"/>
      <c r="R12" s="11"/>
      <c r="S12" s="6"/>
      <c r="T12" s="11"/>
      <c r="U12" s="11"/>
      <c r="V12" s="11">
        <f t="shared" si="2"/>
        <v>0</v>
      </c>
      <c r="W12" s="11"/>
      <c r="X12" s="11"/>
      <c r="Y12" s="11"/>
      <c r="Z12" s="11"/>
      <c r="AA12" s="6"/>
      <c r="AB12" s="11"/>
      <c r="AC12" s="6"/>
      <c r="AD12" s="6"/>
      <c r="AE12" s="11">
        <f t="shared" si="6"/>
        <v>0</v>
      </c>
      <c r="AF12" s="11">
        <f t="shared" si="6"/>
        <v>0</v>
      </c>
      <c r="AG12" s="11">
        <f t="shared" si="3"/>
        <v>0</v>
      </c>
    </row>
    <row r="13" spans="1:34" ht="25.15" customHeight="1" x14ac:dyDescent="0.6">
      <c r="A13" s="39"/>
      <c r="B13" s="40"/>
      <c r="C13" s="6"/>
      <c r="D13" s="11"/>
      <c r="E13" s="6"/>
      <c r="F13" s="11">
        <f t="shared" si="4"/>
        <v>0</v>
      </c>
      <c r="G13" s="6"/>
      <c r="H13" s="11"/>
      <c r="I13" s="6"/>
      <c r="J13" s="11"/>
      <c r="K13" s="6"/>
      <c r="L13" s="11">
        <f t="shared" si="5"/>
        <v>0</v>
      </c>
      <c r="M13" s="6"/>
      <c r="N13" s="11"/>
      <c r="O13" s="6"/>
      <c r="P13" s="11"/>
      <c r="Q13" s="6"/>
      <c r="R13" s="11"/>
      <c r="S13" s="6"/>
      <c r="T13" s="11"/>
      <c r="U13" s="11"/>
      <c r="V13" s="11">
        <f t="shared" si="2"/>
        <v>0</v>
      </c>
      <c r="W13" s="11"/>
      <c r="X13" s="11"/>
      <c r="Y13" s="11"/>
      <c r="Z13" s="11"/>
      <c r="AA13" s="6"/>
      <c r="AB13" s="11"/>
      <c r="AC13" s="6"/>
      <c r="AD13" s="6"/>
      <c r="AE13" s="11">
        <f t="shared" si="6"/>
        <v>0</v>
      </c>
      <c r="AF13" s="11">
        <f t="shared" si="6"/>
        <v>0</v>
      </c>
      <c r="AG13" s="11">
        <f t="shared" si="3"/>
        <v>0</v>
      </c>
    </row>
    <row r="14" spans="1:34" ht="25.15" customHeight="1" x14ac:dyDescent="0.6">
      <c r="A14" s="39"/>
      <c r="B14" s="40"/>
      <c r="C14" s="6"/>
      <c r="D14" s="11"/>
      <c r="E14" s="6"/>
      <c r="F14" s="11">
        <f t="shared" si="4"/>
        <v>0</v>
      </c>
      <c r="G14" s="6"/>
      <c r="H14" s="11"/>
      <c r="I14" s="6"/>
      <c r="J14" s="11"/>
      <c r="K14" s="6"/>
      <c r="L14" s="11"/>
      <c r="M14" s="6"/>
      <c r="N14" s="11"/>
      <c r="O14" s="6"/>
      <c r="P14" s="11"/>
      <c r="Q14" s="6"/>
      <c r="R14" s="6"/>
      <c r="S14" s="6"/>
      <c r="T14" s="11"/>
      <c r="U14" s="11"/>
      <c r="V14" s="11"/>
      <c r="W14" s="11"/>
      <c r="X14" s="11"/>
      <c r="Y14" s="11"/>
      <c r="Z14" s="11"/>
      <c r="AA14" s="6"/>
      <c r="AB14" s="6"/>
      <c r="AC14" s="6"/>
      <c r="AD14" s="6"/>
      <c r="AE14" s="11">
        <f t="shared" si="6"/>
        <v>0</v>
      </c>
      <c r="AF14" s="6"/>
      <c r="AG14" s="11">
        <f t="shared" si="3"/>
        <v>0</v>
      </c>
    </row>
    <row r="15" spans="1:34" ht="25.15" customHeight="1" x14ac:dyDescent="0.6">
      <c r="A15" s="39"/>
      <c r="B15" s="40"/>
      <c r="C15" s="6"/>
      <c r="D15" s="11"/>
      <c r="E15" s="6"/>
      <c r="F15" s="11"/>
      <c r="G15" s="6"/>
      <c r="H15" s="1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11">
        <f t="shared" si="3"/>
        <v>0</v>
      </c>
    </row>
    <row r="16" spans="1:34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11">
        <f t="shared" si="3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11">
        <f t="shared" si="3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1">
        <f t="shared" si="3"/>
        <v>0</v>
      </c>
    </row>
    <row r="19" spans="1:33" ht="25.15" customHeight="1" x14ac:dyDescent="0.6">
      <c r="A19" s="39"/>
      <c r="B19" s="40"/>
      <c r="C19" s="49">
        <f>SUM(C6:C18)</f>
        <v>100</v>
      </c>
      <c r="D19" s="6">
        <f t="shared" ref="D19:AC19" si="7">SUM(D6:D18)</f>
        <v>1400</v>
      </c>
      <c r="E19" s="49">
        <f t="shared" si="7"/>
        <v>50</v>
      </c>
      <c r="F19" s="6">
        <f t="shared" si="7"/>
        <v>600</v>
      </c>
      <c r="G19" s="6">
        <f t="shared" si="7"/>
        <v>0</v>
      </c>
      <c r="H19" s="6">
        <f t="shared" si="7"/>
        <v>0</v>
      </c>
      <c r="I19" s="49">
        <f t="shared" si="7"/>
        <v>0</v>
      </c>
      <c r="J19" s="6">
        <f t="shared" si="7"/>
        <v>0</v>
      </c>
      <c r="K19" s="49">
        <f t="shared" si="7"/>
        <v>0</v>
      </c>
      <c r="L19" s="6">
        <f t="shared" si="7"/>
        <v>0</v>
      </c>
      <c r="M19" s="6">
        <f t="shared" si="7"/>
        <v>0</v>
      </c>
      <c r="N19" s="6">
        <f t="shared" si="7"/>
        <v>0</v>
      </c>
      <c r="O19" s="6">
        <f t="shared" si="7"/>
        <v>0</v>
      </c>
      <c r="P19" s="6">
        <f t="shared" si="7"/>
        <v>0</v>
      </c>
      <c r="Q19" s="6">
        <f t="shared" si="7"/>
        <v>0</v>
      </c>
      <c r="R19" s="6">
        <f t="shared" si="7"/>
        <v>0</v>
      </c>
      <c r="S19" s="49">
        <f t="shared" si="7"/>
        <v>100</v>
      </c>
      <c r="T19" s="6">
        <f t="shared" si="7"/>
        <v>1400</v>
      </c>
      <c r="U19" s="49">
        <f t="shared" si="7"/>
        <v>30</v>
      </c>
      <c r="V19" s="6">
        <f t="shared" si="7"/>
        <v>720</v>
      </c>
      <c r="W19" s="6">
        <f t="shared" si="7"/>
        <v>0</v>
      </c>
      <c r="X19" s="6">
        <f t="shared" si="7"/>
        <v>0</v>
      </c>
      <c r="Y19" s="6">
        <f t="shared" si="7"/>
        <v>0</v>
      </c>
      <c r="Z19" s="6">
        <f t="shared" si="7"/>
        <v>0</v>
      </c>
      <c r="AA19" s="49">
        <f>SUM(AA6:AA18)</f>
        <v>0</v>
      </c>
      <c r="AB19" s="6">
        <f>SUM(AB6:AB18)</f>
        <v>0</v>
      </c>
      <c r="AC19" s="6">
        <f t="shared" si="7"/>
        <v>0</v>
      </c>
      <c r="AD19" s="6">
        <f>SUM(AD6:AD18)</f>
        <v>0</v>
      </c>
      <c r="AE19" s="6">
        <f>SUM(AE6:AE18)</f>
        <v>280</v>
      </c>
      <c r="AF19" s="6">
        <f>SUM(AF6:AF18)</f>
        <v>4120</v>
      </c>
      <c r="AG19" s="11">
        <f t="shared" si="3"/>
        <v>2852.8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AE3:AG3"/>
    <mergeCell ref="U3:V3"/>
    <mergeCell ref="W3:X3"/>
    <mergeCell ref="Y3:Z3"/>
    <mergeCell ref="C1:AB1"/>
    <mergeCell ref="AC3:AD3"/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3:AB3"/>
  </mergeCells>
  <hyperlinks>
    <hyperlink ref="C1:AB1" location="'SMM YGN '!A1" display="ဦးလှဖုန်း (ကော့မှူး)" xr:uid="{00000000-0004-0000-1500-000000000000}"/>
    <hyperlink ref="AA1:AB1" location="'SMM YGN '!A1" display="ဦးလှဖုန်း (ကော့မှူး)" xr:uid="{00000000-0004-0000-15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9"/>
  <dimension ref="A1:AI88"/>
  <sheetViews>
    <sheetView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D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8" width="10.28515625" style="1" customWidth="1"/>
    <col min="9" max="26" width="9.28515625" style="1" customWidth="1"/>
    <col min="27" max="30" width="8.7109375" style="1" customWidth="1"/>
    <col min="31" max="32" width="9.28515625" style="1" customWidth="1"/>
    <col min="33" max="33" width="7.28515625" style="1" customWidth="1"/>
    <col min="34" max="16384" width="9" style="1"/>
  </cols>
  <sheetData>
    <row r="1" spans="1:35" ht="21.75" x14ac:dyDescent="0.6">
      <c r="A1" s="23"/>
      <c r="B1" s="24"/>
      <c r="C1" s="745" t="s">
        <v>75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C1" s="745"/>
      <c r="AD1" s="745"/>
      <c r="AF1" s="1" t="s">
        <v>68</v>
      </c>
      <c r="AG1" s="1">
        <f>AE19</f>
        <v>120</v>
      </c>
      <c r="AH1" s="25">
        <v>12</v>
      </c>
      <c r="AI1" s="26">
        <v>14</v>
      </c>
    </row>
    <row r="2" spans="1:35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C2" s="759"/>
      <c r="AD2" s="759"/>
      <c r="AF2" s="1" t="s">
        <v>67</v>
      </c>
      <c r="AG2" s="27">
        <f>AF19</f>
        <v>1680</v>
      </c>
      <c r="AH2" s="28">
        <v>24</v>
      </c>
      <c r="AI2" s="29">
        <v>40</v>
      </c>
    </row>
    <row r="3" spans="1:35" s="27" customFormat="1" ht="45.7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5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  <c r="AH4" s="31"/>
    </row>
    <row r="5" spans="1:35" s="32" customFormat="1" ht="21.75" x14ac:dyDescent="0.6">
      <c r="A5" s="126"/>
      <c r="B5" s="127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  <c r="AH5" s="31"/>
    </row>
    <row r="6" spans="1:35" s="19" customFormat="1" ht="25.15" customHeight="1" x14ac:dyDescent="0.25">
      <c r="A6" s="37">
        <v>1</v>
      </c>
      <c r="B6" s="38">
        <v>45717</v>
      </c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 t="shared" ref="P6:P11" si="0">O6*40</f>
        <v>0</v>
      </c>
      <c r="Q6" s="11">
        <v>50</v>
      </c>
      <c r="R6" s="11">
        <f t="shared" ref="R6:R11" si="1">Q6*14</f>
        <v>700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50</v>
      </c>
      <c r="AF6" s="11">
        <f>D6+F6+H6+J6+L6+N6+P6+R6+T6+V6+X6+Z6+AB6+AD6</f>
        <v>700</v>
      </c>
      <c r="AG6" s="11">
        <f t="shared" ref="AG6:AG19" si="2">(D6*$D$5)+(F6*$F$5)+(H6*$H$5)+(J6*$J$5)+(L6*$L$5)+(N6*$N$5)+(P6*$P$5)+(R6*$R$5)+(T6*$T$5)+(V6*$V$5)+(X6*$X$5)+(Z6*$Z$5)+(AB6*$AB$5)+(AD6*$AD$5)</f>
        <v>448</v>
      </c>
    </row>
    <row r="7" spans="1:35" s="19" customFormat="1" ht="25.15" customHeight="1" x14ac:dyDescent="0.25">
      <c r="A7" s="37">
        <v>2</v>
      </c>
      <c r="B7" s="38">
        <v>45809</v>
      </c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 t="shared" si="0"/>
        <v>0</v>
      </c>
      <c r="Q7" s="11">
        <v>20</v>
      </c>
      <c r="R7" s="11">
        <f t="shared" si="1"/>
        <v>280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ref="AE7:AF10" si="3">C7+E7+G7+I7+K7+M7+O7+Q7+S7+U7+W7+Y7+AA7+AC7</f>
        <v>20</v>
      </c>
      <c r="AF7" s="11">
        <f t="shared" si="3"/>
        <v>280</v>
      </c>
      <c r="AG7" s="13">
        <f t="shared" si="2"/>
        <v>179.20000000000002</v>
      </c>
    </row>
    <row r="8" spans="1:35" s="19" customFormat="1" ht="25.15" customHeight="1" x14ac:dyDescent="0.25">
      <c r="A8" s="37">
        <v>3</v>
      </c>
      <c r="B8" s="38">
        <v>45839</v>
      </c>
      <c r="C8" s="11">
        <v>10</v>
      </c>
      <c r="D8" s="11">
        <f>C8*14</f>
        <v>140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 t="shared" si="0"/>
        <v>0</v>
      </c>
      <c r="Q8" s="11">
        <v>40</v>
      </c>
      <c r="R8" s="11">
        <f t="shared" si="1"/>
        <v>560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3"/>
        <v>50</v>
      </c>
      <c r="AF8" s="11">
        <f t="shared" si="3"/>
        <v>700</v>
      </c>
      <c r="AG8" s="11">
        <f t="shared" si="2"/>
        <v>448.00000000000006</v>
      </c>
    </row>
    <row r="9" spans="1:35" s="19" customFormat="1" ht="25.15" customHeight="1" x14ac:dyDescent="0.25">
      <c r="A9" s="37">
        <v>4</v>
      </c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 t="shared" si="0"/>
        <v>0</v>
      </c>
      <c r="Q9" s="11"/>
      <c r="R9" s="11">
        <f t="shared" si="1"/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3"/>
        <v>0</v>
      </c>
      <c r="AF9" s="11">
        <f t="shared" si="3"/>
        <v>0</v>
      </c>
      <c r="AG9" s="11">
        <f t="shared" si="2"/>
        <v>0</v>
      </c>
    </row>
    <row r="10" spans="1:35" s="19" customFormat="1" ht="25.15" customHeight="1" x14ac:dyDescent="0.25">
      <c r="A10" s="37">
        <v>5</v>
      </c>
      <c r="B10" s="38"/>
      <c r="C10" s="11"/>
      <c r="D10" s="11">
        <f>C10*14</f>
        <v>0</v>
      </c>
      <c r="E10" s="11"/>
      <c r="F10" s="11">
        <f>E10*12</f>
        <v>0</v>
      </c>
      <c r="G10" s="11"/>
      <c r="H10" s="11">
        <f>G10*12</f>
        <v>0</v>
      </c>
      <c r="I10" s="11"/>
      <c r="J10" s="11">
        <f>I10*40</f>
        <v>0</v>
      </c>
      <c r="K10" s="11"/>
      <c r="L10" s="11"/>
      <c r="M10" s="11"/>
      <c r="N10" s="11">
        <f>M10*12</f>
        <v>0</v>
      </c>
      <c r="O10" s="11"/>
      <c r="P10" s="11">
        <f t="shared" si="0"/>
        <v>0</v>
      </c>
      <c r="Q10" s="11"/>
      <c r="R10" s="11">
        <f t="shared" si="1"/>
        <v>0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>
        <f t="shared" si="3"/>
        <v>0</v>
      </c>
      <c r="AF10" s="11">
        <f t="shared" si="3"/>
        <v>0</v>
      </c>
      <c r="AG10" s="11">
        <f t="shared" si="2"/>
        <v>0</v>
      </c>
    </row>
    <row r="11" spans="1:35" s="19" customFormat="1" ht="25.15" customHeight="1" x14ac:dyDescent="0.25">
      <c r="A11" s="37"/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f t="shared" si="0"/>
        <v>0</v>
      </c>
      <c r="Q11" s="11"/>
      <c r="R11" s="11">
        <f t="shared" si="1"/>
        <v>0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f t="shared" si="2"/>
        <v>0</v>
      </c>
    </row>
    <row r="12" spans="1:35" ht="25.15" customHeight="1" x14ac:dyDescent="0.6">
      <c r="A12" s="39"/>
      <c r="B12" s="40"/>
      <c r="C12" s="6"/>
      <c r="D12" s="11"/>
      <c r="E12" s="6"/>
      <c r="F12" s="11"/>
      <c r="G12" s="6"/>
      <c r="H12" s="11"/>
      <c r="I12" s="6"/>
      <c r="J12" s="11"/>
      <c r="K12" s="6"/>
      <c r="L12" s="11"/>
      <c r="M12" s="6"/>
      <c r="N12" s="11"/>
      <c r="O12" s="6"/>
      <c r="P12" s="11"/>
      <c r="Q12" s="6"/>
      <c r="R12" s="11"/>
      <c r="S12" s="6"/>
      <c r="T12" s="11"/>
      <c r="U12" s="6"/>
      <c r="V12" s="11"/>
      <c r="W12" s="6"/>
      <c r="X12" s="11"/>
      <c r="Y12" s="6"/>
      <c r="Z12" s="11"/>
      <c r="AA12" s="6"/>
      <c r="AB12" s="11"/>
      <c r="AC12" s="11"/>
      <c r="AD12" s="11"/>
      <c r="AE12" s="6"/>
      <c r="AF12" s="6"/>
      <c r="AG12" s="11">
        <f t="shared" si="2"/>
        <v>0</v>
      </c>
    </row>
    <row r="13" spans="1:35" ht="25.15" customHeight="1" x14ac:dyDescent="0.6">
      <c r="A13" s="39"/>
      <c r="B13" s="40"/>
      <c r="C13" s="6"/>
      <c r="D13" s="11"/>
      <c r="E13" s="6"/>
      <c r="F13" s="11"/>
      <c r="G13" s="6"/>
      <c r="H13" s="11"/>
      <c r="I13" s="6"/>
      <c r="J13" s="11"/>
      <c r="K13" s="6"/>
      <c r="L13" s="11"/>
      <c r="M13" s="6"/>
      <c r="N13" s="11"/>
      <c r="O13" s="6"/>
      <c r="P13" s="11"/>
      <c r="Q13" s="6"/>
      <c r="R13" s="11"/>
      <c r="S13" s="6"/>
      <c r="T13" s="11"/>
      <c r="U13" s="6"/>
      <c r="V13" s="11"/>
      <c r="W13" s="6"/>
      <c r="X13" s="11"/>
      <c r="Y13" s="6"/>
      <c r="Z13" s="11"/>
      <c r="AA13" s="6"/>
      <c r="AB13" s="11"/>
      <c r="AC13" s="11"/>
      <c r="AD13" s="11"/>
      <c r="AE13" s="6"/>
      <c r="AF13" s="6"/>
      <c r="AG13" s="11">
        <f t="shared" si="2"/>
        <v>0</v>
      </c>
    </row>
    <row r="14" spans="1:35" ht="25.15" customHeight="1" x14ac:dyDescent="0.6">
      <c r="A14" s="39"/>
      <c r="B14" s="40"/>
      <c r="C14" s="6"/>
      <c r="D14" s="11"/>
      <c r="E14" s="6"/>
      <c r="F14" s="11"/>
      <c r="G14" s="6"/>
      <c r="H14" s="11"/>
      <c r="I14" s="6"/>
      <c r="J14" s="11"/>
      <c r="K14" s="6"/>
      <c r="L14" s="11"/>
      <c r="M14" s="6"/>
      <c r="N14" s="11"/>
      <c r="O14" s="6"/>
      <c r="P14" s="11"/>
      <c r="Q14" s="6"/>
      <c r="R14" s="11"/>
      <c r="S14" s="6"/>
      <c r="T14" s="11"/>
      <c r="U14" s="6"/>
      <c r="V14" s="11"/>
      <c r="W14" s="6"/>
      <c r="X14" s="11"/>
      <c r="Y14" s="6"/>
      <c r="Z14" s="11"/>
      <c r="AA14" s="6"/>
      <c r="AB14" s="11"/>
      <c r="AC14" s="11"/>
      <c r="AD14" s="11"/>
      <c r="AE14" s="6"/>
      <c r="AF14" s="6"/>
      <c r="AG14" s="11">
        <f t="shared" si="2"/>
        <v>0</v>
      </c>
    </row>
    <row r="15" spans="1:35" ht="25.15" customHeight="1" x14ac:dyDescent="0.6">
      <c r="A15" s="39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11"/>
      <c r="AD15" s="11"/>
      <c r="AE15" s="6"/>
      <c r="AF15" s="6"/>
      <c r="AG15" s="11">
        <f t="shared" si="2"/>
        <v>0</v>
      </c>
    </row>
    <row r="16" spans="1:35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11"/>
      <c r="AD16" s="11"/>
      <c r="AE16" s="6"/>
      <c r="AF16" s="6"/>
      <c r="AG16" s="11">
        <f t="shared" si="2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11">
        <f t="shared" si="2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1">
        <f t="shared" si="2"/>
        <v>0</v>
      </c>
    </row>
    <row r="19" spans="1:33" ht="25.15" customHeight="1" x14ac:dyDescent="0.6">
      <c r="A19" s="39"/>
      <c r="B19" s="40"/>
      <c r="C19" s="53">
        <f>SUM(C6:C18)</f>
        <v>10</v>
      </c>
      <c r="D19" s="6">
        <f t="shared" ref="D19:AC19" si="4">SUM(D6:D18)</f>
        <v>140</v>
      </c>
      <c r="E19" s="53">
        <f t="shared" si="4"/>
        <v>0</v>
      </c>
      <c r="F19" s="6">
        <f t="shared" si="4"/>
        <v>0</v>
      </c>
      <c r="G19" s="53">
        <f t="shared" si="4"/>
        <v>0</v>
      </c>
      <c r="H19" s="6">
        <f t="shared" si="4"/>
        <v>0</v>
      </c>
      <c r="I19" s="53">
        <f t="shared" si="4"/>
        <v>0</v>
      </c>
      <c r="J19" s="6">
        <f t="shared" si="4"/>
        <v>0</v>
      </c>
      <c r="K19" s="6">
        <f t="shared" si="4"/>
        <v>0</v>
      </c>
      <c r="L19" s="6">
        <f t="shared" si="4"/>
        <v>0</v>
      </c>
      <c r="M19" s="53">
        <f t="shared" si="4"/>
        <v>0</v>
      </c>
      <c r="N19" s="6">
        <f t="shared" si="4"/>
        <v>0</v>
      </c>
      <c r="O19" s="53">
        <f t="shared" si="4"/>
        <v>0</v>
      </c>
      <c r="P19" s="6">
        <f t="shared" si="4"/>
        <v>0</v>
      </c>
      <c r="Q19" s="53">
        <f t="shared" si="4"/>
        <v>110</v>
      </c>
      <c r="R19" s="6">
        <f t="shared" si="4"/>
        <v>1540</v>
      </c>
      <c r="S19" s="53">
        <f t="shared" si="4"/>
        <v>0</v>
      </c>
      <c r="T19" s="6">
        <f t="shared" si="4"/>
        <v>0</v>
      </c>
      <c r="U19" s="6">
        <f t="shared" si="4"/>
        <v>0</v>
      </c>
      <c r="V19" s="6">
        <f t="shared" si="4"/>
        <v>0</v>
      </c>
      <c r="W19" s="6">
        <f t="shared" si="4"/>
        <v>0</v>
      </c>
      <c r="X19" s="6">
        <f t="shared" si="4"/>
        <v>0</v>
      </c>
      <c r="Y19" s="6">
        <f t="shared" si="4"/>
        <v>0</v>
      </c>
      <c r="Z19" s="6">
        <f t="shared" si="4"/>
        <v>0</v>
      </c>
      <c r="AA19" s="6">
        <f t="shared" si="4"/>
        <v>0</v>
      </c>
      <c r="AB19" s="6">
        <f t="shared" si="4"/>
        <v>0</v>
      </c>
      <c r="AC19" s="6">
        <f t="shared" si="4"/>
        <v>0</v>
      </c>
      <c r="AD19" s="6">
        <f>SUM(AD6:AD18)</f>
        <v>0</v>
      </c>
      <c r="AE19" s="6">
        <f>SUM(AE6:AE18)</f>
        <v>120</v>
      </c>
      <c r="AF19" s="6">
        <f>SUM(AF6:AF18)</f>
        <v>1680</v>
      </c>
      <c r="AG19" s="11">
        <f t="shared" si="2"/>
        <v>1075.2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AE3:AG3"/>
    <mergeCell ref="S3:T3"/>
    <mergeCell ref="AC3:AD3"/>
    <mergeCell ref="W3:X3"/>
    <mergeCell ref="Y3:Z3"/>
    <mergeCell ref="AA3:AB3"/>
    <mergeCell ref="C1:AD1"/>
    <mergeCell ref="A2:A4"/>
    <mergeCell ref="B2:B4"/>
    <mergeCell ref="C2:AD2"/>
    <mergeCell ref="C3:D3"/>
    <mergeCell ref="E3:F3"/>
    <mergeCell ref="G3:H3"/>
    <mergeCell ref="I3:J3"/>
    <mergeCell ref="K3:L3"/>
    <mergeCell ref="M3:N3"/>
    <mergeCell ref="U3:V3"/>
    <mergeCell ref="O3:P3"/>
    <mergeCell ref="Q3:R3"/>
  </mergeCells>
  <hyperlinks>
    <hyperlink ref="C1:AD1" location="'SMM YGN '!A1" display="ရွက်သစ် (တောင်ဒဂုံ)" xr:uid="{00000000-0004-0000-16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0"/>
  <dimension ref="A1:AJ88"/>
  <sheetViews>
    <sheetView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F23" sqref="F23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0.7109375" style="1" customWidth="1"/>
    <col min="5" max="6" width="9.28515625" style="1" customWidth="1"/>
    <col min="7" max="32" width="8.85546875" style="1" customWidth="1"/>
    <col min="33" max="33" width="11.85546875" style="1" customWidth="1"/>
    <col min="34" max="16384" width="9" style="1"/>
  </cols>
  <sheetData>
    <row r="1" spans="1:36" ht="21.75" x14ac:dyDescent="0.6">
      <c r="A1" s="23"/>
      <c r="B1" s="24"/>
      <c r="C1" s="745" t="s">
        <v>76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C1" s="745"/>
      <c r="AD1" s="745"/>
      <c r="AF1" s="1" t="s">
        <v>68</v>
      </c>
      <c r="AG1" s="1">
        <f>AE19</f>
        <v>0</v>
      </c>
      <c r="AI1" s="25">
        <v>12</v>
      </c>
      <c r="AJ1" s="26">
        <v>14</v>
      </c>
    </row>
    <row r="2" spans="1:36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C2" s="759"/>
      <c r="AD2" s="759"/>
      <c r="AF2" s="1" t="s">
        <v>67</v>
      </c>
      <c r="AG2" s="27">
        <f>AF19</f>
        <v>0</v>
      </c>
      <c r="AI2" s="28">
        <v>24</v>
      </c>
      <c r="AJ2" s="29">
        <v>40</v>
      </c>
    </row>
    <row r="3" spans="1:36" s="27" customFormat="1" ht="38.450000000000003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6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  <c r="AI4" s="31"/>
    </row>
    <row r="5" spans="1:36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  <c r="AI5" s="31"/>
    </row>
    <row r="6" spans="1:36" s="19" customFormat="1" ht="25.15" customHeight="1" x14ac:dyDescent="0.25">
      <c r="A6" s="37">
        <v>1</v>
      </c>
      <c r="B6" s="38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 t="shared" ref="P6:P11" si="0"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0</v>
      </c>
      <c r="AF6" s="11">
        <f>D6+F6+H6+J6+L6+N6+P6+R6+T6+V6+X6+Z6+AB6+AD6</f>
        <v>0</v>
      </c>
      <c r="AG6" s="11">
        <f>(D6*$D$5)+(F6*$F$5)+(H6*$H$5)+(J6*$J$5)+(L6*$L$5)+(N6*$N$5)+(P6*$P$5)+(R6*$R$5)+(T6*$T$5)+(V6*$V$5)+(X6*$X$5)+(Z6*$Z$5)+(AB6*$AB$5)+(AD6*$AD$5)</f>
        <v>0</v>
      </c>
    </row>
    <row r="7" spans="1:36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 t="shared" si="0"/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>C7+E7+G7+I7+K7+M7+O7+Q7+S7+U7+W7+Y7+AA7+AC7</f>
        <v>0</v>
      </c>
      <c r="AF7" s="11">
        <f>D7+F7+H7+J7+L7+N7+P7+R7+T7+V7+X7+Z7+AB7+AD7</f>
        <v>0</v>
      </c>
      <c r="AG7" s="11">
        <f t="shared" ref="AG7:AG19" si="1">(D7*$D$5)+(F7*$F$5)+(H7*$H$5)+(J7*$J$5)+(L7*$L$5)+(N7*$N$5)+(P7*$P$5)+(R7*$R$5)+(T7*$T$5)+(V7*$V$5)+(X7*$X$5)+(Z7*$Z$5)+(AB7*$AB$5)+(AD7*$AD$5)</f>
        <v>0</v>
      </c>
    </row>
    <row r="8" spans="1:36" s="19" customFormat="1" ht="25.15" customHeight="1" x14ac:dyDescent="0.25">
      <c r="A8" s="37">
        <v>3</v>
      </c>
      <c r="B8" s="38"/>
      <c r="C8" s="11"/>
      <c r="D8" s="11">
        <f t="shared" ref="D8:D17" si="2">C8*14</f>
        <v>0</v>
      </c>
      <c r="E8" s="11"/>
      <c r="F8" s="11">
        <f t="shared" ref="F8:F17" si="3">E8*12</f>
        <v>0</v>
      </c>
      <c r="G8" s="11"/>
      <c r="H8" s="11">
        <f t="shared" ref="H8:H18" si="4">G8*12</f>
        <v>0</v>
      </c>
      <c r="I8" s="11"/>
      <c r="J8" s="11">
        <f t="shared" ref="J8:J18" si="5">I8*40</f>
        <v>0</v>
      </c>
      <c r="K8" s="11"/>
      <c r="L8" s="11">
        <f t="shared" ref="L8:L18" si="6">K8*12</f>
        <v>0</v>
      </c>
      <c r="M8" s="11"/>
      <c r="N8" s="11">
        <f t="shared" ref="N8:N18" si="7">M8*12</f>
        <v>0</v>
      </c>
      <c r="O8" s="11"/>
      <c r="P8" s="11">
        <f t="shared" si="0"/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54">
        <f t="shared" ref="AE8:AF17" si="8">C8+E8+G8+I8+K8+M8+O8+Q8+S8+U8+W8+Y8+AA8+AC8</f>
        <v>0</v>
      </c>
      <c r="AF8" s="11">
        <f t="shared" si="8"/>
        <v>0</v>
      </c>
      <c r="AG8" s="11">
        <f t="shared" si="1"/>
        <v>0</v>
      </c>
    </row>
    <row r="9" spans="1:36" s="19" customFormat="1" ht="24" customHeight="1" x14ac:dyDescent="0.25">
      <c r="A9" s="37">
        <v>4</v>
      </c>
      <c r="B9" s="38"/>
      <c r="C9" s="11"/>
      <c r="D9" s="11">
        <f t="shared" si="2"/>
        <v>0</v>
      </c>
      <c r="E9" s="11"/>
      <c r="F9" s="11">
        <f t="shared" si="3"/>
        <v>0</v>
      </c>
      <c r="G9" s="11"/>
      <c r="H9" s="11">
        <f t="shared" si="4"/>
        <v>0</v>
      </c>
      <c r="I9" s="11"/>
      <c r="J9" s="11">
        <f t="shared" si="5"/>
        <v>0</v>
      </c>
      <c r="K9" s="11"/>
      <c r="L9" s="11">
        <f t="shared" si="6"/>
        <v>0</v>
      </c>
      <c r="M9" s="11"/>
      <c r="N9" s="11">
        <f t="shared" si="7"/>
        <v>0</v>
      </c>
      <c r="O9" s="11"/>
      <c r="P9" s="11">
        <f t="shared" si="0"/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54">
        <f t="shared" si="8"/>
        <v>0</v>
      </c>
      <c r="AF9" s="11">
        <f t="shared" si="8"/>
        <v>0</v>
      </c>
      <c r="AG9" s="11">
        <f t="shared" si="1"/>
        <v>0</v>
      </c>
    </row>
    <row r="10" spans="1:36" s="19" customFormat="1" ht="25.15" customHeight="1" x14ac:dyDescent="0.25">
      <c r="A10" s="37">
        <v>5</v>
      </c>
      <c r="B10" s="38"/>
      <c r="C10" s="11"/>
      <c r="D10" s="11">
        <f t="shared" si="2"/>
        <v>0</v>
      </c>
      <c r="E10" s="11"/>
      <c r="F10" s="11">
        <f t="shared" si="3"/>
        <v>0</v>
      </c>
      <c r="G10" s="11"/>
      <c r="H10" s="11">
        <f t="shared" si="4"/>
        <v>0</v>
      </c>
      <c r="I10" s="11"/>
      <c r="J10" s="11">
        <f t="shared" si="5"/>
        <v>0</v>
      </c>
      <c r="K10" s="11"/>
      <c r="L10" s="11">
        <f t="shared" si="6"/>
        <v>0</v>
      </c>
      <c r="M10" s="11"/>
      <c r="N10" s="11">
        <f t="shared" si="7"/>
        <v>0</v>
      </c>
      <c r="O10" s="11"/>
      <c r="P10" s="11">
        <f t="shared" si="0"/>
        <v>0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54">
        <f t="shared" si="8"/>
        <v>0</v>
      </c>
      <c r="AF10" s="11">
        <f t="shared" si="8"/>
        <v>0</v>
      </c>
      <c r="AG10" s="11">
        <f t="shared" si="1"/>
        <v>0</v>
      </c>
    </row>
    <row r="11" spans="1:36" s="19" customFormat="1" ht="25.15" customHeight="1" x14ac:dyDescent="0.25">
      <c r="A11" s="37">
        <v>6</v>
      </c>
      <c r="B11" s="38"/>
      <c r="C11" s="11"/>
      <c r="D11" s="11">
        <f t="shared" si="2"/>
        <v>0</v>
      </c>
      <c r="E11" s="11"/>
      <c r="F11" s="11">
        <f t="shared" si="3"/>
        <v>0</v>
      </c>
      <c r="G11" s="11"/>
      <c r="H11" s="11">
        <f t="shared" si="4"/>
        <v>0</v>
      </c>
      <c r="I11" s="11"/>
      <c r="J11" s="11">
        <f t="shared" si="5"/>
        <v>0</v>
      </c>
      <c r="K11" s="11"/>
      <c r="L11" s="11">
        <f t="shared" si="6"/>
        <v>0</v>
      </c>
      <c r="M11" s="11"/>
      <c r="N11" s="11">
        <f t="shared" si="7"/>
        <v>0</v>
      </c>
      <c r="O11" s="11"/>
      <c r="P11" s="11">
        <f t="shared" si="0"/>
        <v>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54">
        <f t="shared" si="8"/>
        <v>0</v>
      </c>
      <c r="AF11" s="11">
        <f t="shared" si="8"/>
        <v>0</v>
      </c>
      <c r="AG11" s="11">
        <f t="shared" si="1"/>
        <v>0</v>
      </c>
    </row>
    <row r="12" spans="1:36" ht="25.15" customHeight="1" x14ac:dyDescent="0.6">
      <c r="A12" s="37">
        <v>7</v>
      </c>
      <c r="B12" s="38"/>
      <c r="C12" s="6"/>
      <c r="D12" s="11">
        <f t="shared" si="2"/>
        <v>0</v>
      </c>
      <c r="E12" s="6"/>
      <c r="F12" s="11">
        <f t="shared" si="3"/>
        <v>0</v>
      </c>
      <c r="G12" s="6"/>
      <c r="H12" s="11">
        <f t="shared" si="4"/>
        <v>0</v>
      </c>
      <c r="I12" s="6"/>
      <c r="J12" s="11">
        <f t="shared" si="5"/>
        <v>0</v>
      </c>
      <c r="K12" s="6"/>
      <c r="L12" s="11">
        <f t="shared" si="6"/>
        <v>0</v>
      </c>
      <c r="M12" s="6"/>
      <c r="N12" s="11">
        <f t="shared" si="7"/>
        <v>0</v>
      </c>
      <c r="O12" s="6"/>
      <c r="P12" s="11"/>
      <c r="Q12" s="6"/>
      <c r="R12" s="11"/>
      <c r="S12" s="6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54">
        <f t="shared" si="8"/>
        <v>0</v>
      </c>
      <c r="AF12" s="11">
        <f t="shared" si="8"/>
        <v>0</v>
      </c>
      <c r="AG12" s="11">
        <f t="shared" si="1"/>
        <v>0</v>
      </c>
    </row>
    <row r="13" spans="1:36" ht="25.15" customHeight="1" x14ac:dyDescent="0.6">
      <c r="A13" s="39">
        <v>8</v>
      </c>
      <c r="B13" s="38"/>
      <c r="C13" s="6"/>
      <c r="D13" s="11">
        <f t="shared" si="2"/>
        <v>0</v>
      </c>
      <c r="E13" s="6"/>
      <c r="F13" s="11">
        <f t="shared" si="3"/>
        <v>0</v>
      </c>
      <c r="G13" s="6"/>
      <c r="H13" s="11">
        <f t="shared" si="4"/>
        <v>0</v>
      </c>
      <c r="I13" s="6"/>
      <c r="J13" s="11">
        <f t="shared" si="5"/>
        <v>0</v>
      </c>
      <c r="K13" s="6"/>
      <c r="L13" s="11">
        <f t="shared" si="6"/>
        <v>0</v>
      </c>
      <c r="M13" s="6"/>
      <c r="N13" s="11">
        <f t="shared" si="7"/>
        <v>0</v>
      </c>
      <c r="O13" s="6"/>
      <c r="P13" s="11"/>
      <c r="Q13" s="6"/>
      <c r="R13" s="11"/>
      <c r="S13" s="6"/>
      <c r="T13" s="11"/>
      <c r="U13" s="6"/>
      <c r="V13" s="11"/>
      <c r="W13" s="11"/>
      <c r="X13" s="11"/>
      <c r="Y13" s="11"/>
      <c r="Z13" s="11"/>
      <c r="AA13" s="11"/>
      <c r="AB13" s="11"/>
      <c r="AC13" s="11"/>
      <c r="AD13" s="11"/>
      <c r="AE13" s="11">
        <f t="shared" si="8"/>
        <v>0</v>
      </c>
      <c r="AF13" s="6">
        <f t="shared" si="8"/>
        <v>0</v>
      </c>
      <c r="AG13" s="11">
        <f t="shared" si="1"/>
        <v>0</v>
      </c>
    </row>
    <row r="14" spans="1:36" ht="25.15" customHeight="1" x14ac:dyDescent="0.6">
      <c r="A14" s="39">
        <v>9</v>
      </c>
      <c r="B14" s="40"/>
      <c r="C14" s="6"/>
      <c r="D14" s="11">
        <f t="shared" si="2"/>
        <v>0</v>
      </c>
      <c r="E14" s="6"/>
      <c r="F14" s="11">
        <f t="shared" si="3"/>
        <v>0</v>
      </c>
      <c r="G14" s="6"/>
      <c r="H14" s="11">
        <f t="shared" si="4"/>
        <v>0</v>
      </c>
      <c r="I14" s="6"/>
      <c r="J14" s="11">
        <f t="shared" si="5"/>
        <v>0</v>
      </c>
      <c r="K14" s="6"/>
      <c r="L14" s="11">
        <f t="shared" si="6"/>
        <v>0</v>
      </c>
      <c r="M14" s="6"/>
      <c r="N14" s="11">
        <f t="shared" si="7"/>
        <v>0</v>
      </c>
      <c r="O14" s="6"/>
      <c r="P14" s="11"/>
      <c r="Q14" s="6"/>
      <c r="R14" s="11"/>
      <c r="S14" s="6"/>
      <c r="T14" s="11"/>
      <c r="U14" s="6"/>
      <c r="V14" s="11"/>
      <c r="W14" s="6"/>
      <c r="X14" s="11"/>
      <c r="Y14" s="6"/>
      <c r="Z14" s="11"/>
      <c r="AA14" s="6"/>
      <c r="AB14" s="11"/>
      <c r="AC14" s="11"/>
      <c r="AD14" s="11"/>
      <c r="AE14" s="54">
        <f t="shared" si="8"/>
        <v>0</v>
      </c>
      <c r="AF14" s="6">
        <f t="shared" si="8"/>
        <v>0</v>
      </c>
      <c r="AG14" s="11">
        <f t="shared" si="1"/>
        <v>0</v>
      </c>
    </row>
    <row r="15" spans="1:36" ht="25.15" customHeight="1" x14ac:dyDescent="0.6">
      <c r="A15" s="39">
        <v>10</v>
      </c>
      <c r="B15" s="40"/>
      <c r="C15" s="6"/>
      <c r="D15" s="11">
        <f t="shared" si="2"/>
        <v>0</v>
      </c>
      <c r="E15" s="6"/>
      <c r="F15" s="11">
        <f t="shared" si="3"/>
        <v>0</v>
      </c>
      <c r="G15" s="6"/>
      <c r="H15" s="11">
        <f t="shared" si="4"/>
        <v>0</v>
      </c>
      <c r="I15" s="6"/>
      <c r="J15" s="11">
        <f t="shared" si="5"/>
        <v>0</v>
      </c>
      <c r="K15" s="6"/>
      <c r="L15" s="11">
        <f t="shared" si="6"/>
        <v>0</v>
      </c>
      <c r="M15" s="6"/>
      <c r="N15" s="11">
        <f t="shared" si="7"/>
        <v>0</v>
      </c>
      <c r="O15" s="6"/>
      <c r="P15" s="11"/>
      <c r="Q15" s="6"/>
      <c r="R15" s="11"/>
      <c r="S15" s="6"/>
      <c r="T15" s="11"/>
      <c r="U15" s="6"/>
      <c r="V15" s="11"/>
      <c r="W15" s="6"/>
      <c r="X15" s="11"/>
      <c r="Y15" s="6"/>
      <c r="Z15" s="11"/>
      <c r="AA15" s="6"/>
      <c r="AB15" s="11"/>
      <c r="AC15" s="11"/>
      <c r="AD15" s="11"/>
      <c r="AE15" s="54">
        <f t="shared" si="8"/>
        <v>0</v>
      </c>
      <c r="AF15" s="6">
        <f t="shared" si="8"/>
        <v>0</v>
      </c>
      <c r="AG15" s="11">
        <f t="shared" si="1"/>
        <v>0</v>
      </c>
    </row>
    <row r="16" spans="1:36" ht="25.15" customHeight="1" x14ac:dyDescent="0.6">
      <c r="A16" s="39"/>
      <c r="B16" s="40"/>
      <c r="C16" s="6"/>
      <c r="D16" s="11">
        <f t="shared" si="2"/>
        <v>0</v>
      </c>
      <c r="E16" s="6"/>
      <c r="F16" s="11">
        <f t="shared" si="3"/>
        <v>0</v>
      </c>
      <c r="G16" s="6"/>
      <c r="H16" s="11">
        <f t="shared" si="4"/>
        <v>0</v>
      </c>
      <c r="I16" s="6"/>
      <c r="J16" s="11">
        <f t="shared" si="5"/>
        <v>0</v>
      </c>
      <c r="K16" s="6"/>
      <c r="L16" s="11">
        <f t="shared" si="6"/>
        <v>0</v>
      </c>
      <c r="M16" s="6"/>
      <c r="N16" s="11">
        <f t="shared" si="7"/>
        <v>0</v>
      </c>
      <c r="O16" s="6"/>
      <c r="P16" s="11"/>
      <c r="Q16" s="6"/>
      <c r="R16" s="11"/>
      <c r="S16" s="6"/>
      <c r="T16" s="11"/>
      <c r="U16" s="6"/>
      <c r="V16" s="11"/>
      <c r="W16" s="6"/>
      <c r="X16" s="11"/>
      <c r="Y16" s="6"/>
      <c r="Z16" s="11"/>
      <c r="AA16" s="6"/>
      <c r="AB16" s="11"/>
      <c r="AC16" s="11"/>
      <c r="AD16" s="11"/>
      <c r="AE16" s="54">
        <f t="shared" si="8"/>
        <v>0</v>
      </c>
      <c r="AF16" s="6">
        <f t="shared" si="8"/>
        <v>0</v>
      </c>
      <c r="AG16" s="11">
        <f t="shared" si="1"/>
        <v>0</v>
      </c>
    </row>
    <row r="17" spans="1:33" ht="25.15" customHeight="1" x14ac:dyDescent="0.6">
      <c r="A17" s="39"/>
      <c r="B17" s="40"/>
      <c r="C17" s="6"/>
      <c r="D17" s="11">
        <f t="shared" si="2"/>
        <v>0</v>
      </c>
      <c r="E17" s="6"/>
      <c r="F17" s="11">
        <f t="shared" si="3"/>
        <v>0</v>
      </c>
      <c r="G17" s="6"/>
      <c r="H17" s="11">
        <f t="shared" si="4"/>
        <v>0</v>
      </c>
      <c r="I17" s="6"/>
      <c r="J17" s="11">
        <f t="shared" si="5"/>
        <v>0</v>
      </c>
      <c r="K17" s="6"/>
      <c r="L17" s="11">
        <f t="shared" si="6"/>
        <v>0</v>
      </c>
      <c r="M17" s="6"/>
      <c r="N17" s="11">
        <f t="shared" si="7"/>
        <v>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11"/>
      <c r="AD17" s="11"/>
      <c r="AE17" s="54">
        <f t="shared" si="8"/>
        <v>0</v>
      </c>
      <c r="AF17" s="6">
        <f t="shared" si="8"/>
        <v>0</v>
      </c>
      <c r="AG17" s="11">
        <f t="shared" si="1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11">
        <f t="shared" si="4"/>
        <v>0</v>
      </c>
      <c r="I18" s="6"/>
      <c r="J18" s="11">
        <f t="shared" si="5"/>
        <v>0</v>
      </c>
      <c r="K18" s="6"/>
      <c r="L18" s="11">
        <f t="shared" si="6"/>
        <v>0</v>
      </c>
      <c r="M18" s="6"/>
      <c r="N18" s="11">
        <f t="shared" si="7"/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11"/>
      <c r="AD18" s="11"/>
      <c r="AE18" s="6"/>
      <c r="AF18" s="6"/>
      <c r="AG18" s="11">
        <f t="shared" si="1"/>
        <v>0</v>
      </c>
    </row>
    <row r="19" spans="1:33" ht="25.15" customHeight="1" x14ac:dyDescent="0.6">
      <c r="A19" s="39"/>
      <c r="B19" s="40"/>
      <c r="C19" s="53">
        <f>SUM(C6:C18)</f>
        <v>0</v>
      </c>
      <c r="D19" s="6">
        <f t="shared" ref="D19:AC19" si="9">SUM(D6:D18)</f>
        <v>0</v>
      </c>
      <c r="E19" s="53">
        <f t="shared" si="9"/>
        <v>0</v>
      </c>
      <c r="F19" s="6">
        <f t="shared" si="9"/>
        <v>0</v>
      </c>
      <c r="G19" s="53">
        <f t="shared" si="9"/>
        <v>0</v>
      </c>
      <c r="H19" s="6">
        <f t="shared" si="9"/>
        <v>0</v>
      </c>
      <c r="I19" s="53">
        <f t="shared" si="9"/>
        <v>0</v>
      </c>
      <c r="J19" s="6">
        <f t="shared" si="9"/>
        <v>0</v>
      </c>
      <c r="K19" s="53">
        <f t="shared" si="9"/>
        <v>0</v>
      </c>
      <c r="L19" s="6">
        <f t="shared" si="9"/>
        <v>0</v>
      </c>
      <c r="M19" s="53">
        <f t="shared" si="9"/>
        <v>0</v>
      </c>
      <c r="N19" s="6">
        <f t="shared" si="9"/>
        <v>0</v>
      </c>
      <c r="O19" s="53">
        <f t="shared" si="9"/>
        <v>0</v>
      </c>
      <c r="P19" s="6">
        <f t="shared" si="9"/>
        <v>0</v>
      </c>
      <c r="Q19" s="6">
        <f t="shared" si="9"/>
        <v>0</v>
      </c>
      <c r="R19" s="6">
        <f t="shared" si="9"/>
        <v>0</v>
      </c>
      <c r="S19" s="6">
        <f t="shared" si="9"/>
        <v>0</v>
      </c>
      <c r="T19" s="6">
        <f t="shared" si="9"/>
        <v>0</v>
      </c>
      <c r="U19" s="6">
        <f t="shared" si="9"/>
        <v>0</v>
      </c>
      <c r="V19" s="6">
        <f t="shared" si="9"/>
        <v>0</v>
      </c>
      <c r="W19" s="6">
        <f t="shared" si="9"/>
        <v>0</v>
      </c>
      <c r="X19" s="6">
        <f t="shared" si="9"/>
        <v>0</v>
      </c>
      <c r="Y19" s="6">
        <f t="shared" si="9"/>
        <v>0</v>
      </c>
      <c r="Z19" s="6">
        <f t="shared" si="9"/>
        <v>0</v>
      </c>
      <c r="AA19" s="6">
        <f t="shared" si="9"/>
        <v>0</v>
      </c>
      <c r="AB19" s="6">
        <f t="shared" si="9"/>
        <v>0</v>
      </c>
      <c r="AC19" s="6">
        <f t="shared" si="9"/>
        <v>0</v>
      </c>
      <c r="AD19" s="6">
        <f>SUM(AD6:AD18)</f>
        <v>0</v>
      </c>
      <c r="AE19" s="6">
        <f>SUM(AE6:AE18)</f>
        <v>0</v>
      </c>
      <c r="AF19" s="6">
        <f>SUM(AF6:AF18)</f>
        <v>0</v>
      </c>
      <c r="AG19" s="11">
        <f t="shared" si="1"/>
        <v>0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U3:V3"/>
    <mergeCell ref="W3:X3"/>
    <mergeCell ref="AA3:AB3"/>
    <mergeCell ref="Y3:Z3"/>
    <mergeCell ref="C1:AD1"/>
    <mergeCell ref="AE3:AG3"/>
    <mergeCell ref="A2:A4"/>
    <mergeCell ref="B2:B4"/>
    <mergeCell ref="C2:AD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C3:AD3"/>
  </mergeCells>
  <hyperlinks>
    <hyperlink ref="C1:AD1" location="'SMM YGN '!A1" display="ကိုရွှေသီး (တောင်ဉက္ကလာ)" xr:uid="{00000000-0004-0000-17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1"/>
  <dimension ref="A1:AH88"/>
  <sheetViews>
    <sheetView workbookViewId="0">
      <pane xSplit="2" ySplit="4" topLeftCell="K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B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0.85546875" style="1" customWidth="1"/>
    <col min="5" max="10" width="9.7109375" style="1" customWidth="1"/>
    <col min="11" max="18" width="8.28515625" style="1" customWidth="1"/>
    <col min="19" max="20" width="9.28515625" style="1" customWidth="1"/>
    <col min="21" max="32" width="8.28515625" style="1" customWidth="1"/>
    <col min="33" max="16384" width="9" style="1"/>
  </cols>
  <sheetData>
    <row r="1" spans="1:34" ht="21.75" x14ac:dyDescent="0.6">
      <c r="A1" s="23"/>
      <c r="B1" s="24"/>
      <c r="C1" s="745" t="s">
        <v>77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E1" s="1">
        <f>AE25</f>
        <v>1175</v>
      </c>
      <c r="AG1" s="25">
        <v>12</v>
      </c>
      <c r="AH1" s="26">
        <v>14</v>
      </c>
    </row>
    <row r="2" spans="1:34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D2" s="1" t="s">
        <v>67</v>
      </c>
      <c r="AE2" s="27">
        <f>AF25</f>
        <v>16620</v>
      </c>
      <c r="AG2" s="28">
        <v>24</v>
      </c>
      <c r="AH2" s="29">
        <v>40</v>
      </c>
    </row>
    <row r="3" spans="1:34" s="27" customFormat="1" ht="46.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4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4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4" s="19" customFormat="1" ht="21.75" customHeight="1" x14ac:dyDescent="0.25">
      <c r="A6" s="37">
        <v>1</v>
      </c>
      <c r="B6" s="38">
        <v>45689</v>
      </c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>
        <v>180</v>
      </c>
      <c r="T6" s="11">
        <f>S6*14</f>
        <v>2520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AA6*14</f>
        <v>0</v>
      </c>
      <c r="AC6" s="11"/>
      <c r="AD6" s="11">
        <f>AC6*12</f>
        <v>0</v>
      </c>
      <c r="AE6" s="11">
        <f t="shared" ref="AE6:AE11" si="0">C6+E6+G6+I6+K6+M6+O6+Q6+S6+U6+W6+Y6+AA6+AC6</f>
        <v>180</v>
      </c>
      <c r="AF6" s="11">
        <f>D6+F6+H6+J6+L6+N6+P6+R6+T6+V6+X6+Z6+AB6+AD6</f>
        <v>2520</v>
      </c>
      <c r="AG6" s="13">
        <f t="shared" ref="AG6:AG25" si="1">(D6*$D$5)+(F6*$F$5)+(H6*$H$5)+(J6*$J$5)+(L6*$L$5)+(N6*$N$5)+(P6*$P$5)+(R6*$R$5)+(T6*$T$5)+(V6*$V$5)+(X6*$X$5)+(Z6*$Z$5)+(AB6*$AB$5)+(AD6*$AD$5)</f>
        <v>1612.8</v>
      </c>
    </row>
    <row r="7" spans="1:34" s="19" customFormat="1" ht="21.75" customHeight="1" x14ac:dyDescent="0.25">
      <c r="A7" s="37">
        <v>2</v>
      </c>
      <c r="B7" s="38">
        <v>45717</v>
      </c>
      <c r="C7" s="11">
        <v>60</v>
      </c>
      <c r="D7" s="11">
        <f t="shared" ref="D7:D23" si="2">C7*14</f>
        <v>840</v>
      </c>
      <c r="E7" s="11">
        <v>25</v>
      </c>
      <c r="F7" s="11">
        <f t="shared" ref="F7:F24" si="3">E7*12</f>
        <v>300</v>
      </c>
      <c r="G7" s="11"/>
      <c r="H7" s="11">
        <f t="shared" ref="H7:H14" si="4">G7*12</f>
        <v>0</v>
      </c>
      <c r="I7" s="11"/>
      <c r="J7" s="11">
        <f t="shared" ref="J7:J22" si="5">I7*40</f>
        <v>0</v>
      </c>
      <c r="K7" s="11"/>
      <c r="L7" s="11">
        <f t="shared" ref="L7:L22" si="6">K7*12</f>
        <v>0</v>
      </c>
      <c r="M7" s="11"/>
      <c r="N7" s="11">
        <f t="shared" ref="N7:N14" si="7">M7*12</f>
        <v>0</v>
      </c>
      <c r="O7" s="11"/>
      <c r="P7" s="11">
        <f t="shared" ref="P7:P14" si="8">O7*40</f>
        <v>0</v>
      </c>
      <c r="Q7" s="11"/>
      <c r="R7" s="11">
        <f t="shared" ref="R7:R14" si="9">Q7*14</f>
        <v>0</v>
      </c>
      <c r="S7" s="11">
        <v>390</v>
      </c>
      <c r="T7" s="11">
        <f t="shared" ref="T7:T22" si="10">S7*14</f>
        <v>5460</v>
      </c>
      <c r="U7" s="11"/>
      <c r="V7" s="11">
        <f t="shared" ref="V7:V14" si="11">U7*24</f>
        <v>0</v>
      </c>
      <c r="W7" s="11"/>
      <c r="X7" s="11">
        <f t="shared" ref="X7:X18" si="12">W7*12</f>
        <v>0</v>
      </c>
      <c r="Y7" s="11"/>
      <c r="Z7" s="11">
        <f t="shared" ref="Z7:Z14" si="13">Y7*12</f>
        <v>0</v>
      </c>
      <c r="AA7" s="11"/>
      <c r="AB7" s="11">
        <f t="shared" ref="AB7:AB23" si="14">AA7*14</f>
        <v>0</v>
      </c>
      <c r="AC7" s="11"/>
      <c r="AD7" s="11">
        <f t="shared" ref="AD7:AD14" si="15">AC7*12</f>
        <v>0</v>
      </c>
      <c r="AE7" s="11">
        <f t="shared" si="0"/>
        <v>475</v>
      </c>
      <c r="AF7" s="11">
        <f>D7+F7+H7+J7+L7+N7+P7+R7+T7+V7+X7+Z7+AB7+AD7</f>
        <v>6600</v>
      </c>
      <c r="AG7" s="11">
        <f t="shared" si="1"/>
        <v>4332</v>
      </c>
    </row>
    <row r="8" spans="1:34" s="19" customFormat="1" ht="21.75" customHeight="1" x14ac:dyDescent="0.25">
      <c r="A8" s="37">
        <v>3</v>
      </c>
      <c r="B8" s="38">
        <v>45809</v>
      </c>
      <c r="C8" s="11"/>
      <c r="D8" s="11">
        <f t="shared" si="2"/>
        <v>0</v>
      </c>
      <c r="E8" s="11"/>
      <c r="F8" s="11">
        <f t="shared" si="3"/>
        <v>0</v>
      </c>
      <c r="G8" s="11"/>
      <c r="H8" s="11">
        <f t="shared" si="4"/>
        <v>0</v>
      </c>
      <c r="I8" s="11"/>
      <c r="J8" s="11">
        <f t="shared" si="5"/>
        <v>0</v>
      </c>
      <c r="K8" s="11"/>
      <c r="L8" s="11">
        <f t="shared" si="6"/>
        <v>0</v>
      </c>
      <c r="M8" s="11"/>
      <c r="N8" s="11">
        <f t="shared" si="7"/>
        <v>0</v>
      </c>
      <c r="O8" s="11"/>
      <c r="P8" s="11">
        <f t="shared" si="8"/>
        <v>0</v>
      </c>
      <c r="Q8" s="11"/>
      <c r="R8" s="11">
        <f t="shared" si="9"/>
        <v>0</v>
      </c>
      <c r="S8" s="11">
        <v>100</v>
      </c>
      <c r="T8" s="11">
        <f t="shared" si="10"/>
        <v>1400</v>
      </c>
      <c r="U8" s="11"/>
      <c r="V8" s="11">
        <f t="shared" si="11"/>
        <v>0</v>
      </c>
      <c r="W8" s="11"/>
      <c r="X8" s="11">
        <f t="shared" si="12"/>
        <v>0</v>
      </c>
      <c r="Y8" s="11"/>
      <c r="Z8" s="11">
        <f t="shared" si="13"/>
        <v>0</v>
      </c>
      <c r="AA8" s="11"/>
      <c r="AB8" s="11">
        <f t="shared" si="14"/>
        <v>0</v>
      </c>
      <c r="AC8" s="11"/>
      <c r="AD8" s="11">
        <f t="shared" si="15"/>
        <v>0</v>
      </c>
      <c r="AE8" s="11">
        <f t="shared" si="0"/>
        <v>100</v>
      </c>
      <c r="AF8" s="11">
        <f>D8+F8+H8+J8+L8+N8+P8+R8+T8+V8+X8+Z8+AB8+AD8</f>
        <v>1400</v>
      </c>
      <c r="AG8" s="11">
        <f t="shared" si="1"/>
        <v>896</v>
      </c>
    </row>
    <row r="9" spans="1:34" s="19" customFormat="1" ht="21.75" customHeight="1" x14ac:dyDescent="0.25">
      <c r="A9" s="37">
        <v>4</v>
      </c>
      <c r="B9" s="38">
        <v>45870</v>
      </c>
      <c r="C9" s="11">
        <v>50</v>
      </c>
      <c r="D9" s="11">
        <f t="shared" si="2"/>
        <v>700</v>
      </c>
      <c r="E9" s="11">
        <v>100</v>
      </c>
      <c r="F9" s="11">
        <f t="shared" si="3"/>
        <v>1200</v>
      </c>
      <c r="G9" s="11"/>
      <c r="H9" s="11">
        <f t="shared" si="4"/>
        <v>0</v>
      </c>
      <c r="I9" s="11">
        <v>20</v>
      </c>
      <c r="J9" s="11">
        <f t="shared" si="5"/>
        <v>800</v>
      </c>
      <c r="K9" s="11"/>
      <c r="L9" s="11">
        <f t="shared" si="6"/>
        <v>0</v>
      </c>
      <c r="M9" s="11"/>
      <c r="N9" s="11">
        <f t="shared" si="7"/>
        <v>0</v>
      </c>
      <c r="O9" s="11"/>
      <c r="P9" s="11">
        <f t="shared" si="8"/>
        <v>0</v>
      </c>
      <c r="Q9" s="11"/>
      <c r="R9" s="11">
        <f t="shared" si="9"/>
        <v>0</v>
      </c>
      <c r="S9" s="11">
        <v>100</v>
      </c>
      <c r="T9" s="11">
        <f t="shared" si="10"/>
        <v>1400</v>
      </c>
      <c r="U9" s="11"/>
      <c r="V9" s="11">
        <f t="shared" si="11"/>
        <v>0</v>
      </c>
      <c r="W9" s="11"/>
      <c r="X9" s="11">
        <f t="shared" si="12"/>
        <v>0</v>
      </c>
      <c r="Y9" s="11"/>
      <c r="Z9" s="11">
        <f t="shared" si="13"/>
        <v>0</v>
      </c>
      <c r="AA9" s="11"/>
      <c r="AB9" s="11">
        <f t="shared" si="14"/>
        <v>0</v>
      </c>
      <c r="AC9" s="11"/>
      <c r="AD9" s="11">
        <f t="shared" si="15"/>
        <v>0</v>
      </c>
      <c r="AE9" s="11">
        <f t="shared" si="0"/>
        <v>270</v>
      </c>
      <c r="AF9" s="11">
        <f>D9+F9+H9+J9+L9+N9+P9+R9+T9+V9+X9+Z9+AB9+AD9</f>
        <v>4100</v>
      </c>
      <c r="AG9" s="11">
        <f t="shared" si="1"/>
        <v>2824</v>
      </c>
    </row>
    <row r="10" spans="1:34" s="19" customFormat="1" ht="21.75" customHeight="1" x14ac:dyDescent="0.25">
      <c r="A10" s="37">
        <v>5</v>
      </c>
      <c r="B10" s="38">
        <v>45931</v>
      </c>
      <c r="C10" s="11">
        <v>50</v>
      </c>
      <c r="D10" s="11">
        <f t="shared" si="2"/>
        <v>700</v>
      </c>
      <c r="E10" s="11">
        <v>50</v>
      </c>
      <c r="F10" s="11">
        <f t="shared" si="3"/>
        <v>600</v>
      </c>
      <c r="G10" s="11"/>
      <c r="H10" s="11">
        <f t="shared" si="4"/>
        <v>0</v>
      </c>
      <c r="I10" s="11"/>
      <c r="J10" s="11">
        <f t="shared" si="5"/>
        <v>0</v>
      </c>
      <c r="K10" s="11"/>
      <c r="L10" s="11">
        <f t="shared" si="6"/>
        <v>0</v>
      </c>
      <c r="M10" s="11"/>
      <c r="N10" s="11">
        <f t="shared" si="7"/>
        <v>0</v>
      </c>
      <c r="O10" s="11"/>
      <c r="P10" s="11">
        <f t="shared" si="8"/>
        <v>0</v>
      </c>
      <c r="Q10" s="11"/>
      <c r="R10" s="11">
        <f t="shared" si="9"/>
        <v>0</v>
      </c>
      <c r="S10" s="11">
        <v>50</v>
      </c>
      <c r="T10" s="11">
        <f t="shared" si="10"/>
        <v>700</v>
      </c>
      <c r="U10" s="11"/>
      <c r="V10" s="11">
        <f t="shared" si="11"/>
        <v>0</v>
      </c>
      <c r="W10" s="11"/>
      <c r="X10" s="11">
        <f t="shared" si="12"/>
        <v>0</v>
      </c>
      <c r="Y10" s="11"/>
      <c r="Z10" s="11">
        <f t="shared" si="13"/>
        <v>0</v>
      </c>
      <c r="AA10" s="11"/>
      <c r="AB10" s="11">
        <f t="shared" si="14"/>
        <v>0</v>
      </c>
      <c r="AC10" s="11"/>
      <c r="AD10" s="11">
        <f t="shared" si="15"/>
        <v>0</v>
      </c>
      <c r="AE10" s="11">
        <f t="shared" si="0"/>
        <v>150</v>
      </c>
      <c r="AF10" s="11">
        <f>D10+F10+H10+J10+L10+N10+P10+R10+T10+V10+X10+Z10+AB10+AD10</f>
        <v>2000</v>
      </c>
      <c r="AG10" s="11">
        <f t="shared" si="1"/>
        <v>1496</v>
      </c>
    </row>
    <row r="11" spans="1:34" s="19" customFormat="1" ht="21.75" customHeight="1" x14ac:dyDescent="0.25">
      <c r="A11" s="37">
        <v>6</v>
      </c>
      <c r="B11" s="38"/>
      <c r="C11" s="11"/>
      <c r="D11" s="11">
        <f t="shared" si="2"/>
        <v>0</v>
      </c>
      <c r="E11" s="11"/>
      <c r="F11" s="11">
        <f t="shared" si="3"/>
        <v>0</v>
      </c>
      <c r="G11" s="11"/>
      <c r="H11" s="11">
        <f t="shared" si="4"/>
        <v>0</v>
      </c>
      <c r="I11" s="11"/>
      <c r="J11" s="11">
        <f t="shared" si="5"/>
        <v>0</v>
      </c>
      <c r="K11" s="11"/>
      <c r="L11" s="11">
        <f t="shared" si="6"/>
        <v>0</v>
      </c>
      <c r="M11" s="11"/>
      <c r="N11" s="11">
        <f t="shared" si="7"/>
        <v>0</v>
      </c>
      <c r="O11" s="11"/>
      <c r="P11" s="11">
        <f t="shared" si="8"/>
        <v>0</v>
      </c>
      <c r="Q11" s="11"/>
      <c r="R11" s="11">
        <f t="shared" si="9"/>
        <v>0</v>
      </c>
      <c r="S11" s="11"/>
      <c r="T11" s="11">
        <f t="shared" si="10"/>
        <v>0</v>
      </c>
      <c r="U11" s="11"/>
      <c r="V11" s="11">
        <f t="shared" si="11"/>
        <v>0</v>
      </c>
      <c r="W11" s="11"/>
      <c r="X11" s="11">
        <f t="shared" si="12"/>
        <v>0</v>
      </c>
      <c r="Y11" s="11"/>
      <c r="Z11" s="11">
        <f t="shared" si="13"/>
        <v>0</v>
      </c>
      <c r="AA11" s="11"/>
      <c r="AB11" s="11">
        <f t="shared" si="14"/>
        <v>0</v>
      </c>
      <c r="AC11" s="11"/>
      <c r="AD11" s="11">
        <f t="shared" si="15"/>
        <v>0</v>
      </c>
      <c r="AE11" s="11">
        <f t="shared" si="0"/>
        <v>0</v>
      </c>
      <c r="AF11" s="11">
        <f t="shared" ref="AE11:AF24" si="16">D11+F11+H11+J11+L11+N11+P11+R11+T11+V11+X11+Z11+AB11+AD11</f>
        <v>0</v>
      </c>
      <c r="AG11" s="11">
        <f t="shared" si="1"/>
        <v>0</v>
      </c>
    </row>
    <row r="12" spans="1:34" ht="21.75" customHeight="1" x14ac:dyDescent="0.6">
      <c r="A12" s="37">
        <v>7</v>
      </c>
      <c r="B12" s="38"/>
      <c r="C12" s="6"/>
      <c r="D12" s="11">
        <f t="shared" si="2"/>
        <v>0</v>
      </c>
      <c r="E12" s="6"/>
      <c r="F12" s="11">
        <f t="shared" si="3"/>
        <v>0</v>
      </c>
      <c r="G12" s="6"/>
      <c r="H12" s="11">
        <f t="shared" si="4"/>
        <v>0</v>
      </c>
      <c r="I12" s="6"/>
      <c r="J12" s="11">
        <f t="shared" si="5"/>
        <v>0</v>
      </c>
      <c r="K12" s="6"/>
      <c r="L12" s="11">
        <f t="shared" si="6"/>
        <v>0</v>
      </c>
      <c r="M12" s="6"/>
      <c r="N12" s="11">
        <f t="shared" si="7"/>
        <v>0</v>
      </c>
      <c r="O12" s="6"/>
      <c r="P12" s="11">
        <f t="shared" si="8"/>
        <v>0</v>
      </c>
      <c r="Q12" s="6"/>
      <c r="R12" s="11">
        <f t="shared" si="9"/>
        <v>0</v>
      </c>
      <c r="S12" s="6"/>
      <c r="T12" s="11">
        <f t="shared" si="10"/>
        <v>0</v>
      </c>
      <c r="U12" s="11"/>
      <c r="V12" s="11">
        <f t="shared" si="11"/>
        <v>0</v>
      </c>
      <c r="W12" s="11"/>
      <c r="X12" s="11">
        <f t="shared" si="12"/>
        <v>0</v>
      </c>
      <c r="Y12" s="11"/>
      <c r="Z12" s="11">
        <f t="shared" si="13"/>
        <v>0</v>
      </c>
      <c r="AA12" s="6"/>
      <c r="AB12" s="11">
        <f t="shared" si="14"/>
        <v>0</v>
      </c>
      <c r="AC12" s="6"/>
      <c r="AD12" s="11">
        <f t="shared" si="15"/>
        <v>0</v>
      </c>
      <c r="AE12" s="54">
        <f t="shared" si="16"/>
        <v>0</v>
      </c>
      <c r="AF12" s="11">
        <f t="shared" si="16"/>
        <v>0</v>
      </c>
      <c r="AG12" s="11">
        <f t="shared" si="1"/>
        <v>0</v>
      </c>
    </row>
    <row r="13" spans="1:34" ht="21.75" customHeight="1" x14ac:dyDescent="0.6">
      <c r="A13" s="37">
        <v>8</v>
      </c>
      <c r="B13" s="38"/>
      <c r="C13" s="6"/>
      <c r="D13" s="11">
        <f t="shared" si="2"/>
        <v>0</v>
      </c>
      <c r="E13" s="6"/>
      <c r="F13" s="11">
        <f t="shared" si="3"/>
        <v>0</v>
      </c>
      <c r="G13" s="6"/>
      <c r="H13" s="11">
        <f t="shared" si="4"/>
        <v>0</v>
      </c>
      <c r="I13" s="6"/>
      <c r="J13" s="11">
        <f t="shared" si="5"/>
        <v>0</v>
      </c>
      <c r="K13" s="6"/>
      <c r="L13" s="11">
        <f t="shared" si="6"/>
        <v>0</v>
      </c>
      <c r="M13" s="6"/>
      <c r="N13" s="11">
        <f t="shared" si="7"/>
        <v>0</v>
      </c>
      <c r="O13" s="6"/>
      <c r="P13" s="11">
        <f t="shared" si="8"/>
        <v>0</v>
      </c>
      <c r="Q13" s="6"/>
      <c r="R13" s="11">
        <f t="shared" si="9"/>
        <v>0</v>
      </c>
      <c r="S13" s="6"/>
      <c r="T13" s="11">
        <f t="shared" si="10"/>
        <v>0</v>
      </c>
      <c r="U13" s="11"/>
      <c r="V13" s="11">
        <f t="shared" si="11"/>
        <v>0</v>
      </c>
      <c r="W13" s="11"/>
      <c r="X13" s="11">
        <f t="shared" si="12"/>
        <v>0</v>
      </c>
      <c r="Y13" s="11"/>
      <c r="Z13" s="11">
        <f t="shared" si="13"/>
        <v>0</v>
      </c>
      <c r="AA13" s="11"/>
      <c r="AB13" s="11">
        <f t="shared" si="14"/>
        <v>0</v>
      </c>
      <c r="AC13" s="6"/>
      <c r="AD13" s="11">
        <f t="shared" si="15"/>
        <v>0</v>
      </c>
      <c r="AE13" s="54">
        <f t="shared" si="16"/>
        <v>0</v>
      </c>
      <c r="AF13" s="11">
        <f t="shared" si="16"/>
        <v>0</v>
      </c>
      <c r="AG13" s="11">
        <f t="shared" si="1"/>
        <v>0</v>
      </c>
    </row>
    <row r="14" spans="1:34" ht="21.75" customHeight="1" x14ac:dyDescent="0.6">
      <c r="A14" s="37">
        <v>9</v>
      </c>
      <c r="B14" s="38"/>
      <c r="C14" s="6"/>
      <c r="D14" s="11">
        <f t="shared" si="2"/>
        <v>0</v>
      </c>
      <c r="E14" s="6"/>
      <c r="F14" s="11">
        <f t="shared" si="3"/>
        <v>0</v>
      </c>
      <c r="G14" s="6"/>
      <c r="H14" s="11">
        <f t="shared" si="4"/>
        <v>0</v>
      </c>
      <c r="I14" s="6"/>
      <c r="J14" s="11">
        <f t="shared" si="5"/>
        <v>0</v>
      </c>
      <c r="K14" s="6"/>
      <c r="L14" s="11">
        <f t="shared" si="6"/>
        <v>0</v>
      </c>
      <c r="M14" s="6"/>
      <c r="N14" s="11">
        <f t="shared" si="7"/>
        <v>0</v>
      </c>
      <c r="O14" s="6"/>
      <c r="P14" s="11">
        <f t="shared" si="8"/>
        <v>0</v>
      </c>
      <c r="Q14" s="6"/>
      <c r="R14" s="11">
        <f t="shared" si="9"/>
        <v>0</v>
      </c>
      <c r="S14" s="6"/>
      <c r="T14" s="11">
        <f>S14*14</f>
        <v>0</v>
      </c>
      <c r="U14" s="11"/>
      <c r="V14" s="11">
        <f t="shared" si="11"/>
        <v>0</v>
      </c>
      <c r="W14" s="11"/>
      <c r="X14" s="11">
        <f t="shared" si="12"/>
        <v>0</v>
      </c>
      <c r="Y14" s="11"/>
      <c r="Z14" s="11">
        <f t="shared" si="13"/>
        <v>0</v>
      </c>
      <c r="AA14" s="11"/>
      <c r="AB14" s="11">
        <f t="shared" si="14"/>
        <v>0</v>
      </c>
      <c r="AC14" s="6"/>
      <c r="AD14" s="11">
        <f t="shared" si="15"/>
        <v>0</v>
      </c>
      <c r="AE14" s="54">
        <f t="shared" si="16"/>
        <v>0</v>
      </c>
      <c r="AF14" s="11">
        <f t="shared" si="16"/>
        <v>0</v>
      </c>
      <c r="AG14" s="11">
        <f t="shared" si="1"/>
        <v>0</v>
      </c>
    </row>
    <row r="15" spans="1:34" ht="21.75" customHeight="1" x14ac:dyDescent="0.6">
      <c r="A15" s="37">
        <v>10</v>
      </c>
      <c r="B15" s="38"/>
      <c r="C15" s="6"/>
      <c r="D15" s="11">
        <f>C15*14</f>
        <v>0</v>
      </c>
      <c r="E15" s="6"/>
      <c r="F15" s="11">
        <f t="shared" si="3"/>
        <v>0</v>
      </c>
      <c r="G15" s="6"/>
      <c r="H15" s="11"/>
      <c r="I15" s="6"/>
      <c r="J15" s="11">
        <f t="shared" si="5"/>
        <v>0</v>
      </c>
      <c r="K15" s="6"/>
      <c r="L15" s="11">
        <f t="shared" si="6"/>
        <v>0</v>
      </c>
      <c r="M15" s="6"/>
      <c r="N15" s="11"/>
      <c r="O15" s="6"/>
      <c r="P15" s="11"/>
      <c r="Q15" s="6"/>
      <c r="R15" s="11"/>
      <c r="S15" s="6"/>
      <c r="T15" s="11">
        <f t="shared" si="10"/>
        <v>0</v>
      </c>
      <c r="U15" s="11"/>
      <c r="V15" s="11"/>
      <c r="W15" s="11"/>
      <c r="X15" s="11">
        <f t="shared" si="12"/>
        <v>0</v>
      </c>
      <c r="Y15" s="11"/>
      <c r="Z15" s="11"/>
      <c r="AA15" s="11"/>
      <c r="AB15" s="11">
        <f t="shared" si="14"/>
        <v>0</v>
      </c>
      <c r="AC15" s="6"/>
      <c r="AD15" s="11"/>
      <c r="AE15" s="54">
        <f t="shared" si="16"/>
        <v>0</v>
      </c>
      <c r="AF15" s="11">
        <f t="shared" si="16"/>
        <v>0</v>
      </c>
      <c r="AG15" s="11">
        <f t="shared" si="1"/>
        <v>0</v>
      </c>
    </row>
    <row r="16" spans="1:34" ht="21.75" customHeight="1" x14ac:dyDescent="0.6">
      <c r="A16" s="37">
        <v>11</v>
      </c>
      <c r="B16" s="38"/>
      <c r="C16" s="6"/>
      <c r="D16" s="11">
        <f t="shared" si="2"/>
        <v>0</v>
      </c>
      <c r="E16" s="6"/>
      <c r="F16" s="11">
        <f t="shared" si="3"/>
        <v>0</v>
      </c>
      <c r="G16" s="6"/>
      <c r="H16" s="11"/>
      <c r="I16" s="6"/>
      <c r="J16" s="11">
        <f t="shared" si="5"/>
        <v>0</v>
      </c>
      <c r="K16" s="6"/>
      <c r="L16" s="11">
        <f t="shared" si="6"/>
        <v>0</v>
      </c>
      <c r="M16" s="6"/>
      <c r="N16" s="11"/>
      <c r="O16" s="6"/>
      <c r="P16" s="11"/>
      <c r="Q16" s="6"/>
      <c r="R16" s="11"/>
      <c r="S16" s="6"/>
      <c r="T16" s="11">
        <f t="shared" si="10"/>
        <v>0</v>
      </c>
      <c r="U16" s="11"/>
      <c r="V16" s="11"/>
      <c r="W16" s="11"/>
      <c r="X16" s="11">
        <f t="shared" si="12"/>
        <v>0</v>
      </c>
      <c r="Y16" s="11"/>
      <c r="Z16" s="11"/>
      <c r="AA16" s="11"/>
      <c r="AB16" s="11">
        <f t="shared" si="14"/>
        <v>0</v>
      </c>
      <c r="AC16" s="6"/>
      <c r="AD16" s="11"/>
      <c r="AE16" s="54">
        <f t="shared" si="16"/>
        <v>0</v>
      </c>
      <c r="AF16" s="11">
        <f t="shared" si="16"/>
        <v>0</v>
      </c>
      <c r="AG16" s="11">
        <f t="shared" si="1"/>
        <v>0</v>
      </c>
    </row>
    <row r="17" spans="1:33" ht="21.75" customHeight="1" x14ac:dyDescent="0.6">
      <c r="A17" s="37">
        <v>12</v>
      </c>
      <c r="B17" s="38"/>
      <c r="C17" s="6"/>
      <c r="D17" s="11">
        <f t="shared" si="2"/>
        <v>0</v>
      </c>
      <c r="E17" s="6"/>
      <c r="F17" s="11">
        <f t="shared" si="3"/>
        <v>0</v>
      </c>
      <c r="G17" s="6"/>
      <c r="H17" s="11"/>
      <c r="I17" s="6"/>
      <c r="J17" s="11">
        <f t="shared" si="5"/>
        <v>0</v>
      </c>
      <c r="K17" s="6"/>
      <c r="L17" s="11">
        <f t="shared" si="6"/>
        <v>0</v>
      </c>
      <c r="M17" s="6"/>
      <c r="N17" s="11"/>
      <c r="O17" s="6"/>
      <c r="P17" s="11"/>
      <c r="Q17" s="6"/>
      <c r="R17" s="11"/>
      <c r="S17" s="6"/>
      <c r="T17" s="11">
        <f t="shared" si="10"/>
        <v>0</v>
      </c>
      <c r="U17" s="11"/>
      <c r="V17" s="11"/>
      <c r="W17" s="11"/>
      <c r="X17" s="11">
        <f t="shared" si="12"/>
        <v>0</v>
      </c>
      <c r="Y17" s="11"/>
      <c r="Z17" s="11"/>
      <c r="AA17" s="11"/>
      <c r="AB17" s="11">
        <f t="shared" si="14"/>
        <v>0</v>
      </c>
      <c r="AC17" s="6"/>
      <c r="AD17" s="11"/>
      <c r="AE17" s="54">
        <f t="shared" si="16"/>
        <v>0</v>
      </c>
      <c r="AF17" s="11">
        <f t="shared" si="16"/>
        <v>0</v>
      </c>
      <c r="AG17" s="11">
        <f t="shared" si="1"/>
        <v>0</v>
      </c>
    </row>
    <row r="18" spans="1:33" ht="21.75" customHeight="1" x14ac:dyDescent="0.6">
      <c r="A18" s="37">
        <v>13</v>
      </c>
      <c r="B18" s="38"/>
      <c r="C18" s="6"/>
      <c r="D18" s="11">
        <f t="shared" si="2"/>
        <v>0</v>
      </c>
      <c r="E18" s="6"/>
      <c r="F18" s="11">
        <f t="shared" si="3"/>
        <v>0</v>
      </c>
      <c r="G18" s="6"/>
      <c r="H18" s="11"/>
      <c r="I18" s="6"/>
      <c r="J18" s="11">
        <f t="shared" si="5"/>
        <v>0</v>
      </c>
      <c r="K18" s="6"/>
      <c r="L18" s="11">
        <f t="shared" si="6"/>
        <v>0</v>
      </c>
      <c r="M18" s="6"/>
      <c r="N18" s="11"/>
      <c r="O18" s="6"/>
      <c r="P18" s="11"/>
      <c r="Q18" s="6"/>
      <c r="R18" s="11"/>
      <c r="S18" s="6"/>
      <c r="T18" s="11">
        <f t="shared" si="10"/>
        <v>0</v>
      </c>
      <c r="U18" s="11"/>
      <c r="V18" s="11"/>
      <c r="W18" s="11"/>
      <c r="X18" s="11">
        <f t="shared" si="12"/>
        <v>0</v>
      </c>
      <c r="Y18" s="11"/>
      <c r="Z18" s="11"/>
      <c r="AA18" s="11"/>
      <c r="AB18" s="11">
        <f t="shared" si="14"/>
        <v>0</v>
      </c>
      <c r="AC18" s="6"/>
      <c r="AD18" s="11"/>
      <c r="AE18" s="54">
        <f t="shared" si="16"/>
        <v>0</v>
      </c>
      <c r="AF18" s="11">
        <f t="shared" si="16"/>
        <v>0</v>
      </c>
      <c r="AG18" s="11">
        <f t="shared" si="1"/>
        <v>0</v>
      </c>
    </row>
    <row r="19" spans="1:33" ht="21.75" customHeight="1" x14ac:dyDescent="0.6">
      <c r="A19" s="37">
        <v>14</v>
      </c>
      <c r="B19" s="38"/>
      <c r="C19" s="6"/>
      <c r="D19" s="11">
        <f t="shared" si="2"/>
        <v>0</v>
      </c>
      <c r="E19" s="6"/>
      <c r="F19" s="11">
        <f t="shared" si="3"/>
        <v>0</v>
      </c>
      <c r="G19" s="6"/>
      <c r="H19" s="11"/>
      <c r="I19" s="6"/>
      <c r="J19" s="11">
        <f t="shared" si="5"/>
        <v>0</v>
      </c>
      <c r="K19" s="6"/>
      <c r="L19" s="11">
        <f t="shared" si="6"/>
        <v>0</v>
      </c>
      <c r="M19" s="6"/>
      <c r="N19" s="11"/>
      <c r="O19" s="6"/>
      <c r="P19" s="11"/>
      <c r="Q19" s="6"/>
      <c r="R19" s="11"/>
      <c r="S19" s="6"/>
      <c r="T19" s="11">
        <f t="shared" si="10"/>
        <v>0</v>
      </c>
      <c r="U19" s="11"/>
      <c r="V19" s="11"/>
      <c r="W19" s="11"/>
      <c r="X19" s="11"/>
      <c r="Y19" s="11"/>
      <c r="Z19" s="11"/>
      <c r="AA19" s="11"/>
      <c r="AB19" s="11">
        <f t="shared" si="14"/>
        <v>0</v>
      </c>
      <c r="AC19" s="6"/>
      <c r="AD19" s="11"/>
      <c r="AE19" s="54">
        <f t="shared" si="16"/>
        <v>0</v>
      </c>
      <c r="AF19" s="11">
        <f t="shared" si="16"/>
        <v>0</v>
      </c>
      <c r="AG19" s="11">
        <f t="shared" si="1"/>
        <v>0</v>
      </c>
    </row>
    <row r="20" spans="1:33" ht="21.75" customHeight="1" x14ac:dyDescent="0.6">
      <c r="A20" s="37">
        <v>15</v>
      </c>
      <c r="B20" s="38"/>
      <c r="C20" s="6"/>
      <c r="D20" s="11">
        <f t="shared" si="2"/>
        <v>0</v>
      </c>
      <c r="E20" s="6"/>
      <c r="F20" s="11">
        <f t="shared" si="3"/>
        <v>0</v>
      </c>
      <c r="G20" s="6"/>
      <c r="H20" s="11"/>
      <c r="I20" s="6"/>
      <c r="J20" s="11">
        <f t="shared" si="5"/>
        <v>0</v>
      </c>
      <c r="K20" s="6"/>
      <c r="L20" s="11">
        <f t="shared" si="6"/>
        <v>0</v>
      </c>
      <c r="M20" s="6"/>
      <c r="N20" s="11"/>
      <c r="O20" s="6"/>
      <c r="P20" s="11"/>
      <c r="Q20" s="6"/>
      <c r="R20" s="11"/>
      <c r="S20" s="6"/>
      <c r="T20" s="11">
        <f t="shared" si="10"/>
        <v>0</v>
      </c>
      <c r="U20" s="11"/>
      <c r="V20" s="11"/>
      <c r="W20" s="11"/>
      <c r="X20" s="11"/>
      <c r="Y20" s="11"/>
      <c r="Z20" s="11"/>
      <c r="AA20" s="11"/>
      <c r="AB20" s="11">
        <f t="shared" si="14"/>
        <v>0</v>
      </c>
      <c r="AC20" s="6"/>
      <c r="AD20" s="11"/>
      <c r="AE20" s="54">
        <f t="shared" si="16"/>
        <v>0</v>
      </c>
      <c r="AF20" s="11">
        <f t="shared" si="16"/>
        <v>0</v>
      </c>
      <c r="AG20" s="11">
        <f t="shared" si="1"/>
        <v>0</v>
      </c>
    </row>
    <row r="21" spans="1:33" ht="21.75" customHeight="1" x14ac:dyDescent="0.6">
      <c r="A21" s="37">
        <v>16</v>
      </c>
      <c r="B21" s="38"/>
      <c r="C21" s="6"/>
      <c r="D21" s="11">
        <f t="shared" si="2"/>
        <v>0</v>
      </c>
      <c r="E21" s="6"/>
      <c r="F21" s="11">
        <f t="shared" si="3"/>
        <v>0</v>
      </c>
      <c r="G21" s="6"/>
      <c r="H21" s="11"/>
      <c r="I21" s="6"/>
      <c r="J21" s="11">
        <f t="shared" si="5"/>
        <v>0</v>
      </c>
      <c r="K21" s="6"/>
      <c r="L21" s="11">
        <f t="shared" si="6"/>
        <v>0</v>
      </c>
      <c r="M21" s="6"/>
      <c r="N21" s="11"/>
      <c r="O21" s="6"/>
      <c r="P21" s="11"/>
      <c r="Q21" s="6"/>
      <c r="R21" s="11"/>
      <c r="S21" s="6"/>
      <c r="T21" s="11">
        <f t="shared" si="10"/>
        <v>0</v>
      </c>
      <c r="U21" s="11"/>
      <c r="V21" s="11"/>
      <c r="W21" s="11"/>
      <c r="X21" s="11"/>
      <c r="Y21" s="11"/>
      <c r="Z21" s="11"/>
      <c r="AA21" s="11"/>
      <c r="AB21" s="11">
        <f t="shared" si="14"/>
        <v>0</v>
      </c>
      <c r="AC21" s="6"/>
      <c r="AD21" s="11"/>
      <c r="AE21" s="11">
        <f t="shared" si="16"/>
        <v>0</v>
      </c>
      <c r="AF21" s="11">
        <f t="shared" si="16"/>
        <v>0</v>
      </c>
      <c r="AG21" s="11">
        <f t="shared" si="1"/>
        <v>0</v>
      </c>
    </row>
    <row r="22" spans="1:33" ht="21.75" customHeight="1" x14ac:dyDescent="0.6">
      <c r="A22" s="37">
        <v>17</v>
      </c>
      <c r="B22" s="38"/>
      <c r="C22" s="6"/>
      <c r="D22" s="11">
        <f t="shared" si="2"/>
        <v>0</v>
      </c>
      <c r="E22" s="6"/>
      <c r="F22" s="11">
        <f t="shared" si="3"/>
        <v>0</v>
      </c>
      <c r="G22" s="6"/>
      <c r="H22" s="11"/>
      <c r="I22" s="6"/>
      <c r="J22" s="11">
        <f t="shared" si="5"/>
        <v>0</v>
      </c>
      <c r="K22" s="6"/>
      <c r="L22" s="11">
        <f t="shared" si="6"/>
        <v>0</v>
      </c>
      <c r="M22" s="6"/>
      <c r="N22" s="11"/>
      <c r="O22" s="6"/>
      <c r="P22" s="11"/>
      <c r="Q22" s="6"/>
      <c r="R22" s="11"/>
      <c r="S22" s="6"/>
      <c r="T22" s="11">
        <f t="shared" si="10"/>
        <v>0</v>
      </c>
      <c r="U22" s="11"/>
      <c r="V22" s="11"/>
      <c r="W22" s="11"/>
      <c r="X22" s="11"/>
      <c r="Y22" s="11"/>
      <c r="Z22" s="11"/>
      <c r="AA22" s="11"/>
      <c r="AB22" s="11">
        <f t="shared" si="14"/>
        <v>0</v>
      </c>
      <c r="AC22" s="6"/>
      <c r="AD22" s="11"/>
      <c r="AE22" s="11">
        <f t="shared" si="16"/>
        <v>0</v>
      </c>
      <c r="AF22" s="11">
        <f t="shared" si="16"/>
        <v>0</v>
      </c>
      <c r="AG22" s="11">
        <f t="shared" si="1"/>
        <v>0</v>
      </c>
    </row>
    <row r="23" spans="1:33" ht="21.75" customHeight="1" x14ac:dyDescent="0.6">
      <c r="A23" s="37">
        <v>18</v>
      </c>
      <c r="B23" s="38"/>
      <c r="C23" s="6"/>
      <c r="D23" s="11">
        <f t="shared" si="2"/>
        <v>0</v>
      </c>
      <c r="E23" s="6"/>
      <c r="F23" s="11">
        <f t="shared" si="3"/>
        <v>0</v>
      </c>
      <c r="G23" s="6"/>
      <c r="H23" s="11"/>
      <c r="I23" s="6"/>
      <c r="J23" s="11"/>
      <c r="K23" s="6"/>
      <c r="L23" s="11"/>
      <c r="M23" s="6"/>
      <c r="N23" s="11"/>
      <c r="O23" s="6"/>
      <c r="P23" s="11"/>
      <c r="Q23" s="6"/>
      <c r="R23" s="11"/>
      <c r="S23" s="6"/>
      <c r="T23" s="11">
        <f>S23*14</f>
        <v>0</v>
      </c>
      <c r="U23" s="11"/>
      <c r="V23" s="11"/>
      <c r="W23" s="11"/>
      <c r="X23" s="11"/>
      <c r="Y23" s="11"/>
      <c r="Z23" s="11"/>
      <c r="AA23" s="11"/>
      <c r="AB23" s="11">
        <f t="shared" si="14"/>
        <v>0</v>
      </c>
      <c r="AC23" s="6"/>
      <c r="AD23" s="11"/>
      <c r="AE23" s="11">
        <f t="shared" si="16"/>
        <v>0</v>
      </c>
      <c r="AF23" s="11">
        <f t="shared" si="16"/>
        <v>0</v>
      </c>
      <c r="AG23" s="11">
        <f t="shared" si="1"/>
        <v>0</v>
      </c>
    </row>
    <row r="24" spans="1:33" ht="21.75" customHeight="1" x14ac:dyDescent="0.6">
      <c r="A24" s="37">
        <v>19</v>
      </c>
      <c r="B24" s="38"/>
      <c r="C24" s="6"/>
      <c r="D24" s="11"/>
      <c r="E24" s="6"/>
      <c r="F24" s="11">
        <f t="shared" si="3"/>
        <v>0</v>
      </c>
      <c r="G24" s="6"/>
      <c r="H24" s="11"/>
      <c r="I24" s="6"/>
      <c r="J24" s="11"/>
      <c r="K24" s="6"/>
      <c r="L24" s="11"/>
      <c r="M24" s="6"/>
      <c r="N24" s="11"/>
      <c r="O24" s="6"/>
      <c r="P24" s="11"/>
      <c r="Q24" s="6"/>
      <c r="R24" s="11"/>
      <c r="S24" s="6"/>
      <c r="T24" s="11">
        <f>S24*14</f>
        <v>0</v>
      </c>
      <c r="U24" s="11"/>
      <c r="V24" s="11"/>
      <c r="W24" s="11"/>
      <c r="X24" s="11"/>
      <c r="Y24" s="11"/>
      <c r="Z24" s="11"/>
      <c r="AA24" s="11"/>
      <c r="AB24" s="11"/>
      <c r="AC24" s="6"/>
      <c r="AD24" s="6"/>
      <c r="AE24" s="11">
        <f t="shared" si="16"/>
        <v>0</v>
      </c>
      <c r="AF24" s="11">
        <f t="shared" si="16"/>
        <v>0</v>
      </c>
      <c r="AG24" s="11">
        <f t="shared" si="1"/>
        <v>0</v>
      </c>
    </row>
    <row r="25" spans="1:33" ht="21.75" customHeight="1" x14ac:dyDescent="0.6">
      <c r="A25" s="39">
        <v>11</v>
      </c>
      <c r="B25" s="38"/>
      <c r="C25" s="49">
        <f>SUM(C6:C24)</f>
        <v>160</v>
      </c>
      <c r="D25" s="6">
        <f t="shared" ref="D25:AC25" si="17">SUM(D6:D24)</f>
        <v>2240</v>
      </c>
      <c r="E25" s="49">
        <f t="shared" si="17"/>
        <v>175</v>
      </c>
      <c r="F25" s="6">
        <f t="shared" si="17"/>
        <v>2100</v>
      </c>
      <c r="G25" s="6">
        <f t="shared" si="17"/>
        <v>0</v>
      </c>
      <c r="H25" s="6">
        <f t="shared" si="17"/>
        <v>0</v>
      </c>
      <c r="I25" s="49">
        <f t="shared" si="17"/>
        <v>20</v>
      </c>
      <c r="J25" s="6">
        <f t="shared" si="17"/>
        <v>800</v>
      </c>
      <c r="K25" s="49">
        <f t="shared" si="17"/>
        <v>0</v>
      </c>
      <c r="L25" s="6">
        <f t="shared" si="17"/>
        <v>0</v>
      </c>
      <c r="M25" s="6">
        <f t="shared" si="17"/>
        <v>0</v>
      </c>
      <c r="N25" s="6">
        <f t="shared" si="17"/>
        <v>0</v>
      </c>
      <c r="O25" s="6">
        <f t="shared" si="17"/>
        <v>0</v>
      </c>
      <c r="P25" s="6">
        <f t="shared" si="17"/>
        <v>0</v>
      </c>
      <c r="Q25" s="6">
        <f t="shared" si="17"/>
        <v>0</v>
      </c>
      <c r="R25" s="6">
        <f t="shared" si="17"/>
        <v>0</v>
      </c>
      <c r="S25" s="49">
        <f t="shared" si="17"/>
        <v>820</v>
      </c>
      <c r="T25" s="6">
        <f t="shared" si="17"/>
        <v>11480</v>
      </c>
      <c r="U25" s="6">
        <f t="shared" si="17"/>
        <v>0</v>
      </c>
      <c r="V25" s="6">
        <f t="shared" si="17"/>
        <v>0</v>
      </c>
      <c r="W25" s="6">
        <f t="shared" si="17"/>
        <v>0</v>
      </c>
      <c r="X25" s="6">
        <f t="shared" si="17"/>
        <v>0</v>
      </c>
      <c r="Y25" s="6">
        <f t="shared" si="17"/>
        <v>0</v>
      </c>
      <c r="Z25" s="6">
        <f t="shared" si="17"/>
        <v>0</v>
      </c>
      <c r="AA25" s="6">
        <f t="shared" si="17"/>
        <v>0</v>
      </c>
      <c r="AB25" s="6">
        <f t="shared" si="17"/>
        <v>0</v>
      </c>
      <c r="AC25" s="6">
        <f t="shared" si="17"/>
        <v>0</v>
      </c>
      <c r="AD25" s="6">
        <f>SUM(AD6:AD24)</f>
        <v>0</v>
      </c>
      <c r="AE25" s="6">
        <f>SUM(AE6:AE24)</f>
        <v>1175</v>
      </c>
      <c r="AF25" s="6">
        <f>SUM(AF6:AF24)</f>
        <v>16620</v>
      </c>
      <c r="AG25" s="11">
        <f t="shared" si="1"/>
        <v>11160.8</v>
      </c>
    </row>
    <row r="26" spans="1:33" ht="25.15" customHeight="1" x14ac:dyDescent="0.6">
      <c r="AE26" s="1">
        <f>SUM(AE25)</f>
        <v>1175</v>
      </c>
      <c r="AF26" s="1">
        <f>SUM(AF25)</f>
        <v>16620</v>
      </c>
    </row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3:AB3"/>
    <mergeCell ref="U3:V3"/>
    <mergeCell ref="AC3:AD3"/>
    <mergeCell ref="W3:X3"/>
    <mergeCell ref="Y3:Z3"/>
    <mergeCell ref="C1:AB1"/>
    <mergeCell ref="AE3:AG3"/>
  </mergeCells>
  <hyperlinks>
    <hyperlink ref="C1:AB1" location="'SMM YGN '!A1" display="ကိုဖိုးသက် (တွံတေး)" xr:uid="{00000000-0004-0000-18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2"/>
  <dimension ref="A1:AJ90"/>
  <sheetViews>
    <sheetView zoomScaleNormal="100"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D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0.7109375" style="1" customWidth="1"/>
    <col min="5" max="6" width="12.7109375" style="1" customWidth="1"/>
    <col min="7" max="8" width="11" style="1" customWidth="1"/>
    <col min="9" max="10" width="9.85546875" style="1" customWidth="1"/>
    <col min="11" max="26" width="9" style="1" customWidth="1"/>
    <col min="27" max="30" width="8" style="1" customWidth="1"/>
    <col min="31" max="32" width="9" style="1" customWidth="1"/>
    <col min="33" max="33" width="11.85546875" style="1" customWidth="1"/>
    <col min="34" max="16384" width="9" style="1"/>
  </cols>
  <sheetData>
    <row r="1" spans="1:36" ht="21.75" x14ac:dyDescent="0.6">
      <c r="A1" s="23"/>
      <c r="B1" s="24"/>
      <c r="C1" s="745" t="s">
        <v>78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C1" s="745"/>
      <c r="AD1" s="745"/>
      <c r="AF1" s="1" t="s">
        <v>68</v>
      </c>
      <c r="AG1" s="1">
        <f>AE21</f>
        <v>250</v>
      </c>
      <c r="AI1" s="25">
        <v>12</v>
      </c>
      <c r="AJ1" s="26">
        <v>14</v>
      </c>
    </row>
    <row r="2" spans="1:36" s="27" customFormat="1" ht="21.75" x14ac:dyDescent="0.6">
      <c r="A2" s="731" t="s">
        <v>1</v>
      </c>
      <c r="B2" s="732" t="s">
        <v>0</v>
      </c>
      <c r="C2" s="745" t="s">
        <v>3</v>
      </c>
      <c r="D2" s="745"/>
      <c r="E2" s="745"/>
      <c r="F2" s="745"/>
      <c r="G2" s="745"/>
      <c r="H2" s="745"/>
      <c r="I2" s="745"/>
      <c r="J2" s="745"/>
      <c r="K2" s="745"/>
      <c r="L2" s="745"/>
      <c r="M2" s="745"/>
      <c r="N2" s="745"/>
      <c r="O2" s="745"/>
      <c r="P2" s="745"/>
      <c r="Q2" s="745"/>
      <c r="R2" s="745"/>
      <c r="S2" s="745"/>
      <c r="T2" s="745"/>
      <c r="U2" s="745"/>
      <c r="V2" s="745"/>
      <c r="W2" s="745"/>
      <c r="X2" s="745"/>
      <c r="Y2" s="745"/>
      <c r="Z2" s="745"/>
      <c r="AA2" s="745"/>
      <c r="AB2" s="745"/>
      <c r="AC2" s="745"/>
      <c r="AD2" s="745"/>
      <c r="AF2" s="1" t="s">
        <v>67</v>
      </c>
      <c r="AG2" s="27">
        <f>AF21</f>
        <v>3240</v>
      </c>
      <c r="AI2" s="28">
        <v>24</v>
      </c>
      <c r="AJ2" s="29">
        <v>40</v>
      </c>
    </row>
    <row r="3" spans="1:36" s="27" customFormat="1" ht="42.7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6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  <c r="AI4" s="31"/>
    </row>
    <row r="5" spans="1:36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  <c r="AI5" s="31"/>
    </row>
    <row r="6" spans="1:36" s="19" customFormat="1" ht="25.15" customHeight="1" x14ac:dyDescent="0.25">
      <c r="A6" s="37">
        <v>1</v>
      </c>
      <c r="B6" s="38" t="s">
        <v>345</v>
      </c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>
        <v>15</v>
      </c>
      <c r="N6" s="11">
        <f>M6*12</f>
        <v>180</v>
      </c>
      <c r="O6" s="11"/>
      <c r="P6" s="11">
        <f>O6*40</f>
        <v>0</v>
      </c>
      <c r="Q6" s="11"/>
      <c r="R6" s="11">
        <f>Q6*14</f>
        <v>0</v>
      </c>
      <c r="S6" s="11">
        <v>20</v>
      </c>
      <c r="T6" s="11">
        <f>S6*14</f>
        <v>280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 t="shared" ref="AE6:AF9" si="0">C6+E6+G6+I6+K6+M6+O6+Q6+S6+U6+W6+Y6+AA6+AC6</f>
        <v>35</v>
      </c>
      <c r="AF6" s="11">
        <f t="shared" si="0"/>
        <v>460</v>
      </c>
      <c r="AG6" s="13">
        <f t="shared" ref="AG6:AG21" si="1">(D6*$D$5)+(F6*$F$5)+(H6*$H$5)+(J6*$J$5)+(L6*$L$5)+(N6*$N$5)+(P6*$P$5)+(R6*$R$5)+(T6*$T$5)+(V6*$V$5)+(X6*$X$5)+(Z6*$Z$5)+(AB6*$AB$5)+(AD6*$AD$5)</f>
        <v>359.20000000000005</v>
      </c>
    </row>
    <row r="7" spans="1:36" s="19" customFormat="1" ht="25.15" customHeight="1" x14ac:dyDescent="0.25">
      <c r="A7" s="37">
        <v>2</v>
      </c>
      <c r="B7" s="38">
        <v>45809</v>
      </c>
      <c r="C7" s="11"/>
      <c r="D7" s="11">
        <f t="shared" ref="D7:D19" si="2">C7*14</f>
        <v>0</v>
      </c>
      <c r="E7" s="11">
        <v>100</v>
      </c>
      <c r="F7" s="11">
        <f t="shared" ref="F7:F19" si="3">E7*12</f>
        <v>1200</v>
      </c>
      <c r="G7" s="11"/>
      <c r="H7" s="11">
        <f t="shared" ref="H7:H15" si="4">G7*12</f>
        <v>0</v>
      </c>
      <c r="I7" s="11"/>
      <c r="J7" s="11">
        <f t="shared" ref="J7:J15" si="5">I7*40</f>
        <v>0</v>
      </c>
      <c r="K7" s="11"/>
      <c r="L7" s="11">
        <f t="shared" ref="L7:L15" si="6">K7*12</f>
        <v>0</v>
      </c>
      <c r="M7" s="11"/>
      <c r="N7" s="11">
        <f t="shared" ref="N7:N15" si="7">M7*12</f>
        <v>0</v>
      </c>
      <c r="O7" s="11"/>
      <c r="P7" s="11">
        <f t="shared" ref="P7:P15" si="8">O7*40</f>
        <v>0</v>
      </c>
      <c r="Q7" s="11"/>
      <c r="R7" s="11">
        <f t="shared" ref="R7:R15" si="9">Q7*14</f>
        <v>0</v>
      </c>
      <c r="S7" s="11"/>
      <c r="T7" s="11">
        <f t="shared" ref="T7:T15" si="10">S7*14</f>
        <v>0</v>
      </c>
      <c r="U7" s="11"/>
      <c r="V7" s="11">
        <f t="shared" ref="V7:V15" si="11">U7*24</f>
        <v>0</v>
      </c>
      <c r="W7" s="11"/>
      <c r="X7" s="11">
        <f t="shared" ref="X7:X15" si="12">W7*12</f>
        <v>0</v>
      </c>
      <c r="Y7" s="11"/>
      <c r="Z7" s="11">
        <f t="shared" ref="Z7:Z15" si="13">Y7*12</f>
        <v>0</v>
      </c>
      <c r="AA7" s="11"/>
      <c r="AB7" s="11">
        <f t="shared" ref="AB7:AB15" si="14">AA7*12</f>
        <v>0</v>
      </c>
      <c r="AC7" s="11"/>
      <c r="AD7" s="11">
        <f t="shared" ref="AD7:AD15" si="15">AC7*12</f>
        <v>0</v>
      </c>
      <c r="AE7" s="11">
        <f t="shared" si="0"/>
        <v>100</v>
      </c>
      <c r="AF7" s="11">
        <f t="shared" si="0"/>
        <v>1200</v>
      </c>
      <c r="AG7" s="11">
        <f t="shared" si="1"/>
        <v>1200</v>
      </c>
    </row>
    <row r="8" spans="1:36" s="19" customFormat="1" ht="25.15" customHeight="1" x14ac:dyDescent="0.25">
      <c r="A8" s="37">
        <v>3</v>
      </c>
      <c r="B8" s="38">
        <v>45901</v>
      </c>
      <c r="C8" s="11">
        <v>100</v>
      </c>
      <c r="D8" s="11">
        <f t="shared" si="2"/>
        <v>1400</v>
      </c>
      <c r="E8" s="11"/>
      <c r="F8" s="11">
        <f t="shared" si="3"/>
        <v>0</v>
      </c>
      <c r="G8" s="11"/>
      <c r="H8" s="11">
        <f t="shared" si="4"/>
        <v>0</v>
      </c>
      <c r="I8" s="11"/>
      <c r="J8" s="11">
        <f t="shared" si="5"/>
        <v>0</v>
      </c>
      <c r="K8" s="11"/>
      <c r="L8" s="11">
        <f t="shared" si="6"/>
        <v>0</v>
      </c>
      <c r="M8" s="11">
        <v>15</v>
      </c>
      <c r="N8" s="11">
        <f t="shared" si="7"/>
        <v>180</v>
      </c>
      <c r="O8" s="11"/>
      <c r="P8" s="11">
        <f t="shared" si="8"/>
        <v>0</v>
      </c>
      <c r="Q8" s="11"/>
      <c r="R8" s="11">
        <f t="shared" si="9"/>
        <v>0</v>
      </c>
      <c r="S8" s="11"/>
      <c r="T8" s="11">
        <f t="shared" si="10"/>
        <v>0</v>
      </c>
      <c r="U8" s="11"/>
      <c r="V8" s="11">
        <f t="shared" si="11"/>
        <v>0</v>
      </c>
      <c r="W8" s="11"/>
      <c r="X8" s="11">
        <f t="shared" si="12"/>
        <v>0</v>
      </c>
      <c r="Y8" s="11"/>
      <c r="Z8" s="11">
        <f t="shared" si="13"/>
        <v>0</v>
      </c>
      <c r="AA8" s="11"/>
      <c r="AB8" s="11">
        <f t="shared" si="14"/>
        <v>0</v>
      </c>
      <c r="AC8" s="11"/>
      <c r="AD8" s="11">
        <f t="shared" si="15"/>
        <v>0</v>
      </c>
      <c r="AE8" s="11">
        <f t="shared" si="0"/>
        <v>115</v>
      </c>
      <c r="AF8" s="11">
        <f t="shared" si="0"/>
        <v>1580</v>
      </c>
      <c r="AG8" s="11">
        <f t="shared" si="1"/>
        <v>1076</v>
      </c>
    </row>
    <row r="9" spans="1:36" s="19" customFormat="1" ht="25.15" customHeight="1" x14ac:dyDescent="0.25">
      <c r="A9" s="37">
        <v>4</v>
      </c>
      <c r="B9" s="38"/>
      <c r="C9" s="11"/>
      <c r="D9" s="11">
        <f t="shared" si="2"/>
        <v>0</v>
      </c>
      <c r="E9" s="11"/>
      <c r="F9" s="11">
        <f t="shared" si="3"/>
        <v>0</v>
      </c>
      <c r="G9" s="11"/>
      <c r="H9" s="11">
        <f t="shared" si="4"/>
        <v>0</v>
      </c>
      <c r="I9" s="11"/>
      <c r="J9" s="11">
        <f t="shared" si="5"/>
        <v>0</v>
      </c>
      <c r="K9" s="11"/>
      <c r="L9" s="11">
        <f t="shared" si="6"/>
        <v>0</v>
      </c>
      <c r="M9" s="11"/>
      <c r="N9" s="11">
        <f t="shared" si="7"/>
        <v>0</v>
      </c>
      <c r="O9" s="11"/>
      <c r="P9" s="11">
        <f t="shared" si="8"/>
        <v>0</v>
      </c>
      <c r="Q9" s="11"/>
      <c r="R9" s="11">
        <f t="shared" si="9"/>
        <v>0</v>
      </c>
      <c r="S9" s="11"/>
      <c r="T9" s="11">
        <f t="shared" si="10"/>
        <v>0</v>
      </c>
      <c r="U9" s="11"/>
      <c r="V9" s="11">
        <f t="shared" si="11"/>
        <v>0</v>
      </c>
      <c r="W9" s="11"/>
      <c r="X9" s="11">
        <f t="shared" si="12"/>
        <v>0</v>
      </c>
      <c r="Y9" s="11"/>
      <c r="Z9" s="11">
        <f t="shared" si="13"/>
        <v>0</v>
      </c>
      <c r="AA9" s="11"/>
      <c r="AB9" s="11">
        <f t="shared" si="14"/>
        <v>0</v>
      </c>
      <c r="AC9" s="11"/>
      <c r="AD9" s="11">
        <f t="shared" si="15"/>
        <v>0</v>
      </c>
      <c r="AE9" s="11">
        <f t="shared" ref="AE9:AF19" si="16">C9+E9+G9+I9+K9+M9+O9+Q9+S9+U9+W9+Y9+AA9+AC9</f>
        <v>0</v>
      </c>
      <c r="AF9" s="11">
        <f t="shared" si="0"/>
        <v>0</v>
      </c>
      <c r="AG9" s="11">
        <f t="shared" si="1"/>
        <v>0</v>
      </c>
    </row>
    <row r="10" spans="1:36" s="19" customFormat="1" ht="25.15" customHeight="1" x14ac:dyDescent="0.25">
      <c r="A10" s="37">
        <v>5</v>
      </c>
      <c r="B10" s="38"/>
      <c r="C10" s="11"/>
      <c r="D10" s="11">
        <f t="shared" si="2"/>
        <v>0</v>
      </c>
      <c r="E10" s="11"/>
      <c r="F10" s="11">
        <f t="shared" si="3"/>
        <v>0</v>
      </c>
      <c r="G10" s="11"/>
      <c r="H10" s="11">
        <f t="shared" si="4"/>
        <v>0</v>
      </c>
      <c r="I10" s="11"/>
      <c r="J10" s="11">
        <f t="shared" si="5"/>
        <v>0</v>
      </c>
      <c r="K10" s="11"/>
      <c r="L10" s="11">
        <f t="shared" si="6"/>
        <v>0</v>
      </c>
      <c r="M10" s="11"/>
      <c r="N10" s="11">
        <f t="shared" si="7"/>
        <v>0</v>
      </c>
      <c r="O10" s="11"/>
      <c r="P10" s="11">
        <f t="shared" si="8"/>
        <v>0</v>
      </c>
      <c r="Q10" s="11"/>
      <c r="R10" s="11">
        <f t="shared" si="9"/>
        <v>0</v>
      </c>
      <c r="S10" s="11"/>
      <c r="T10" s="11">
        <f t="shared" si="10"/>
        <v>0</v>
      </c>
      <c r="U10" s="11"/>
      <c r="V10" s="11">
        <f t="shared" si="11"/>
        <v>0</v>
      </c>
      <c r="W10" s="11"/>
      <c r="X10" s="11">
        <f t="shared" si="12"/>
        <v>0</v>
      </c>
      <c r="Y10" s="11"/>
      <c r="Z10" s="11">
        <f t="shared" si="13"/>
        <v>0</v>
      </c>
      <c r="AA10" s="11"/>
      <c r="AB10" s="11">
        <f t="shared" si="14"/>
        <v>0</v>
      </c>
      <c r="AC10" s="11"/>
      <c r="AD10" s="11">
        <f t="shared" si="15"/>
        <v>0</v>
      </c>
      <c r="AE10" s="11">
        <f t="shared" si="16"/>
        <v>0</v>
      </c>
      <c r="AF10" s="11">
        <f t="shared" si="16"/>
        <v>0</v>
      </c>
      <c r="AG10" s="11">
        <f t="shared" si="1"/>
        <v>0</v>
      </c>
    </row>
    <row r="11" spans="1:36" s="19" customFormat="1" ht="25.15" customHeight="1" x14ac:dyDescent="0.25">
      <c r="A11" s="37">
        <v>6</v>
      </c>
      <c r="B11" s="38"/>
      <c r="C11" s="11"/>
      <c r="D11" s="11">
        <f t="shared" si="2"/>
        <v>0</v>
      </c>
      <c r="E11" s="11"/>
      <c r="F11" s="11">
        <f t="shared" si="3"/>
        <v>0</v>
      </c>
      <c r="G11" s="11"/>
      <c r="H11" s="11">
        <f t="shared" si="4"/>
        <v>0</v>
      </c>
      <c r="I11" s="11"/>
      <c r="J11" s="11">
        <f t="shared" si="5"/>
        <v>0</v>
      </c>
      <c r="K11" s="11"/>
      <c r="L11" s="11">
        <f t="shared" si="6"/>
        <v>0</v>
      </c>
      <c r="M11" s="11"/>
      <c r="N11" s="11">
        <f t="shared" si="7"/>
        <v>0</v>
      </c>
      <c r="O11" s="11"/>
      <c r="P11" s="11">
        <f t="shared" si="8"/>
        <v>0</v>
      </c>
      <c r="Q11" s="11"/>
      <c r="R11" s="11">
        <f t="shared" si="9"/>
        <v>0</v>
      </c>
      <c r="S11" s="11"/>
      <c r="T11" s="11">
        <f t="shared" si="10"/>
        <v>0</v>
      </c>
      <c r="U11" s="11"/>
      <c r="V11" s="11">
        <f t="shared" si="11"/>
        <v>0</v>
      </c>
      <c r="W11" s="11"/>
      <c r="X11" s="11">
        <f t="shared" si="12"/>
        <v>0</v>
      </c>
      <c r="Y11" s="11"/>
      <c r="Z11" s="11">
        <f t="shared" si="13"/>
        <v>0</v>
      </c>
      <c r="AA11" s="11"/>
      <c r="AB11" s="11">
        <f t="shared" si="14"/>
        <v>0</v>
      </c>
      <c r="AC11" s="11"/>
      <c r="AD11" s="11">
        <f t="shared" si="15"/>
        <v>0</v>
      </c>
      <c r="AE11" s="11">
        <f t="shared" si="16"/>
        <v>0</v>
      </c>
      <c r="AF11" s="11">
        <f t="shared" si="16"/>
        <v>0</v>
      </c>
      <c r="AG11" s="11">
        <f t="shared" si="1"/>
        <v>0</v>
      </c>
    </row>
    <row r="12" spans="1:36" ht="25.15" customHeight="1" x14ac:dyDescent="0.6">
      <c r="A12" s="37">
        <v>7</v>
      </c>
      <c r="B12" s="38"/>
      <c r="C12" s="6"/>
      <c r="D12" s="11">
        <f t="shared" si="2"/>
        <v>0</v>
      </c>
      <c r="E12" s="6"/>
      <c r="F12" s="11">
        <f t="shared" si="3"/>
        <v>0</v>
      </c>
      <c r="G12" s="6"/>
      <c r="H12" s="11">
        <f t="shared" si="4"/>
        <v>0</v>
      </c>
      <c r="I12" s="6"/>
      <c r="J12" s="11">
        <f t="shared" si="5"/>
        <v>0</v>
      </c>
      <c r="K12" s="6"/>
      <c r="L12" s="11">
        <f t="shared" si="6"/>
        <v>0</v>
      </c>
      <c r="M12" s="6"/>
      <c r="N12" s="11">
        <f t="shared" si="7"/>
        <v>0</v>
      </c>
      <c r="O12" s="6"/>
      <c r="P12" s="11">
        <f t="shared" si="8"/>
        <v>0</v>
      </c>
      <c r="Q12" s="6"/>
      <c r="R12" s="11">
        <f t="shared" si="9"/>
        <v>0</v>
      </c>
      <c r="S12" s="6"/>
      <c r="T12" s="11">
        <f t="shared" si="10"/>
        <v>0</v>
      </c>
      <c r="U12" s="11"/>
      <c r="V12" s="11">
        <f t="shared" si="11"/>
        <v>0</v>
      </c>
      <c r="W12" s="11"/>
      <c r="X12" s="11">
        <f t="shared" si="12"/>
        <v>0</v>
      </c>
      <c r="Y12" s="11"/>
      <c r="Z12" s="11">
        <f t="shared" si="13"/>
        <v>0</v>
      </c>
      <c r="AA12" s="11"/>
      <c r="AB12" s="11">
        <f t="shared" si="14"/>
        <v>0</v>
      </c>
      <c r="AC12" s="11"/>
      <c r="AD12" s="11">
        <f t="shared" si="15"/>
        <v>0</v>
      </c>
      <c r="AE12" s="11">
        <f t="shared" si="16"/>
        <v>0</v>
      </c>
      <c r="AF12" s="11">
        <f t="shared" si="16"/>
        <v>0</v>
      </c>
      <c r="AG12" s="11">
        <f t="shared" si="1"/>
        <v>0</v>
      </c>
    </row>
    <row r="13" spans="1:36" ht="25.15" customHeight="1" x14ac:dyDescent="0.6">
      <c r="A13" s="39">
        <v>8</v>
      </c>
      <c r="B13" s="38"/>
      <c r="C13" s="6"/>
      <c r="D13" s="11">
        <f t="shared" si="2"/>
        <v>0</v>
      </c>
      <c r="E13" s="6"/>
      <c r="F13" s="11">
        <f t="shared" si="3"/>
        <v>0</v>
      </c>
      <c r="G13" s="6"/>
      <c r="H13" s="11">
        <f t="shared" si="4"/>
        <v>0</v>
      </c>
      <c r="I13" s="6"/>
      <c r="J13" s="11">
        <f t="shared" si="5"/>
        <v>0</v>
      </c>
      <c r="K13" s="6"/>
      <c r="L13" s="11">
        <f t="shared" si="6"/>
        <v>0</v>
      </c>
      <c r="M13" s="6"/>
      <c r="N13" s="11">
        <f t="shared" si="7"/>
        <v>0</v>
      </c>
      <c r="O13" s="6"/>
      <c r="P13" s="11">
        <f t="shared" si="8"/>
        <v>0</v>
      </c>
      <c r="Q13" s="6"/>
      <c r="R13" s="11">
        <f t="shared" si="9"/>
        <v>0</v>
      </c>
      <c r="S13" s="6"/>
      <c r="T13" s="11">
        <f t="shared" si="10"/>
        <v>0</v>
      </c>
      <c r="U13" s="11"/>
      <c r="V13" s="11">
        <f t="shared" si="11"/>
        <v>0</v>
      </c>
      <c r="W13" s="11"/>
      <c r="X13" s="11">
        <f t="shared" si="12"/>
        <v>0</v>
      </c>
      <c r="Y13" s="11"/>
      <c r="Z13" s="11">
        <f t="shared" si="13"/>
        <v>0</v>
      </c>
      <c r="AA13" s="11"/>
      <c r="AB13" s="11">
        <f t="shared" si="14"/>
        <v>0</v>
      </c>
      <c r="AC13" s="11"/>
      <c r="AD13" s="11">
        <f t="shared" si="15"/>
        <v>0</v>
      </c>
      <c r="AE13" s="11">
        <f t="shared" si="16"/>
        <v>0</v>
      </c>
      <c r="AF13" s="11">
        <f t="shared" si="16"/>
        <v>0</v>
      </c>
      <c r="AG13" s="11">
        <f t="shared" si="1"/>
        <v>0</v>
      </c>
    </row>
    <row r="14" spans="1:36" ht="25.15" customHeight="1" x14ac:dyDescent="0.6">
      <c r="A14" s="39">
        <v>9</v>
      </c>
      <c r="B14" s="38"/>
      <c r="C14" s="6"/>
      <c r="D14" s="11">
        <f t="shared" si="2"/>
        <v>0</v>
      </c>
      <c r="E14" s="6"/>
      <c r="F14" s="11">
        <f t="shared" si="3"/>
        <v>0</v>
      </c>
      <c r="G14" s="6"/>
      <c r="H14" s="11">
        <f t="shared" si="4"/>
        <v>0</v>
      </c>
      <c r="I14" s="6"/>
      <c r="J14" s="11">
        <f t="shared" si="5"/>
        <v>0</v>
      </c>
      <c r="K14" s="6"/>
      <c r="L14" s="11">
        <f t="shared" si="6"/>
        <v>0</v>
      </c>
      <c r="M14" s="6"/>
      <c r="N14" s="11">
        <f t="shared" si="7"/>
        <v>0</v>
      </c>
      <c r="O14" s="6"/>
      <c r="P14" s="11">
        <f t="shared" si="8"/>
        <v>0</v>
      </c>
      <c r="Q14" s="6"/>
      <c r="R14" s="11">
        <f t="shared" si="9"/>
        <v>0</v>
      </c>
      <c r="S14" s="6"/>
      <c r="T14" s="11">
        <f t="shared" si="10"/>
        <v>0</v>
      </c>
      <c r="U14" s="11"/>
      <c r="V14" s="11">
        <f t="shared" si="11"/>
        <v>0</v>
      </c>
      <c r="W14" s="11"/>
      <c r="X14" s="11">
        <f t="shared" si="12"/>
        <v>0</v>
      </c>
      <c r="Y14" s="11"/>
      <c r="Z14" s="11">
        <f t="shared" si="13"/>
        <v>0</v>
      </c>
      <c r="AA14" s="11"/>
      <c r="AB14" s="11">
        <f t="shared" si="14"/>
        <v>0</v>
      </c>
      <c r="AC14" s="11"/>
      <c r="AD14" s="11">
        <f t="shared" si="15"/>
        <v>0</v>
      </c>
      <c r="AE14" s="11">
        <f t="shared" si="16"/>
        <v>0</v>
      </c>
      <c r="AF14" s="11">
        <f t="shared" si="16"/>
        <v>0</v>
      </c>
      <c r="AG14" s="11">
        <f t="shared" si="1"/>
        <v>0</v>
      </c>
    </row>
    <row r="15" spans="1:36" ht="25.15" customHeight="1" x14ac:dyDescent="0.6">
      <c r="A15" s="39">
        <v>10</v>
      </c>
      <c r="B15" s="38"/>
      <c r="C15" s="6"/>
      <c r="D15" s="11">
        <f t="shared" si="2"/>
        <v>0</v>
      </c>
      <c r="E15" s="6"/>
      <c r="F15" s="11">
        <f t="shared" si="3"/>
        <v>0</v>
      </c>
      <c r="G15" s="6"/>
      <c r="H15" s="11">
        <f t="shared" si="4"/>
        <v>0</v>
      </c>
      <c r="I15" s="6"/>
      <c r="J15" s="11">
        <f t="shared" si="5"/>
        <v>0</v>
      </c>
      <c r="K15" s="6"/>
      <c r="L15" s="11">
        <f t="shared" si="6"/>
        <v>0</v>
      </c>
      <c r="M15" s="6"/>
      <c r="N15" s="11">
        <f t="shared" si="7"/>
        <v>0</v>
      </c>
      <c r="O15" s="6"/>
      <c r="P15" s="11">
        <f t="shared" si="8"/>
        <v>0</v>
      </c>
      <c r="Q15" s="6"/>
      <c r="R15" s="11">
        <f t="shared" si="9"/>
        <v>0</v>
      </c>
      <c r="S15" s="6"/>
      <c r="T15" s="11">
        <f t="shared" si="10"/>
        <v>0</v>
      </c>
      <c r="U15" s="11"/>
      <c r="V15" s="11">
        <f t="shared" si="11"/>
        <v>0</v>
      </c>
      <c r="W15" s="11"/>
      <c r="X15" s="11">
        <f t="shared" si="12"/>
        <v>0</v>
      </c>
      <c r="Y15" s="11"/>
      <c r="Z15" s="11">
        <f t="shared" si="13"/>
        <v>0</v>
      </c>
      <c r="AA15" s="11"/>
      <c r="AB15" s="11">
        <f t="shared" si="14"/>
        <v>0</v>
      </c>
      <c r="AC15" s="11"/>
      <c r="AD15" s="11">
        <f t="shared" si="15"/>
        <v>0</v>
      </c>
      <c r="AE15" s="11">
        <f t="shared" si="16"/>
        <v>0</v>
      </c>
      <c r="AF15" s="11">
        <f t="shared" si="16"/>
        <v>0</v>
      </c>
      <c r="AG15" s="11">
        <f t="shared" si="1"/>
        <v>0</v>
      </c>
    </row>
    <row r="16" spans="1:36" ht="25.15" customHeight="1" x14ac:dyDescent="0.6">
      <c r="A16" s="39">
        <v>11</v>
      </c>
      <c r="B16" s="38"/>
      <c r="C16" s="6"/>
      <c r="D16" s="11">
        <f t="shared" si="2"/>
        <v>0</v>
      </c>
      <c r="E16" s="6"/>
      <c r="F16" s="11">
        <f t="shared" si="3"/>
        <v>0</v>
      </c>
      <c r="G16" s="6"/>
      <c r="H16" s="11"/>
      <c r="I16" s="6"/>
      <c r="J16" s="11"/>
      <c r="K16" s="6"/>
      <c r="L16" s="11"/>
      <c r="M16" s="6"/>
      <c r="N16" s="11"/>
      <c r="O16" s="6"/>
      <c r="P16" s="11"/>
      <c r="Q16" s="6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6">
        <f t="shared" si="16"/>
        <v>0</v>
      </c>
      <c r="AF16" s="11">
        <f t="shared" si="16"/>
        <v>0</v>
      </c>
      <c r="AG16" s="11">
        <f t="shared" si="1"/>
        <v>0</v>
      </c>
    </row>
    <row r="17" spans="1:33" ht="25.15" customHeight="1" x14ac:dyDescent="0.6">
      <c r="A17" s="39">
        <v>12</v>
      </c>
      <c r="B17" s="38"/>
      <c r="C17" s="6"/>
      <c r="D17" s="11">
        <f t="shared" si="2"/>
        <v>0</v>
      </c>
      <c r="E17" s="6"/>
      <c r="F17" s="11">
        <f t="shared" si="3"/>
        <v>0</v>
      </c>
      <c r="G17" s="6"/>
      <c r="H17" s="11"/>
      <c r="I17" s="6"/>
      <c r="J17" s="11"/>
      <c r="K17" s="6"/>
      <c r="L17" s="11"/>
      <c r="M17" s="6"/>
      <c r="N17" s="11"/>
      <c r="O17" s="6"/>
      <c r="P17" s="11"/>
      <c r="Q17" s="6"/>
      <c r="R17" s="11"/>
      <c r="S17" s="6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6">
        <f t="shared" si="16"/>
        <v>0</v>
      </c>
      <c r="AF17" s="11">
        <f t="shared" si="16"/>
        <v>0</v>
      </c>
      <c r="AG17" s="11">
        <f t="shared" si="1"/>
        <v>0</v>
      </c>
    </row>
    <row r="18" spans="1:33" ht="25.15" customHeight="1" x14ac:dyDescent="0.6">
      <c r="A18" s="39">
        <v>13</v>
      </c>
      <c r="B18" s="38"/>
      <c r="C18" s="6"/>
      <c r="D18" s="11">
        <f t="shared" si="2"/>
        <v>0</v>
      </c>
      <c r="E18" s="6"/>
      <c r="F18" s="11">
        <f t="shared" si="3"/>
        <v>0</v>
      </c>
      <c r="G18" s="6"/>
      <c r="H18" s="11"/>
      <c r="I18" s="6"/>
      <c r="J18" s="11"/>
      <c r="K18" s="6"/>
      <c r="L18" s="11"/>
      <c r="M18" s="6"/>
      <c r="N18" s="11"/>
      <c r="O18" s="6"/>
      <c r="P18" s="11"/>
      <c r="Q18" s="6"/>
      <c r="R18" s="11"/>
      <c r="S18" s="6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6">
        <f t="shared" si="16"/>
        <v>0</v>
      </c>
      <c r="AF18" s="11">
        <f t="shared" si="16"/>
        <v>0</v>
      </c>
      <c r="AG18" s="11">
        <f t="shared" si="1"/>
        <v>0</v>
      </c>
    </row>
    <row r="19" spans="1:33" ht="25.15" customHeight="1" x14ac:dyDescent="0.6">
      <c r="A19" s="39">
        <v>14</v>
      </c>
      <c r="B19" s="40"/>
      <c r="C19" s="6"/>
      <c r="D19" s="11">
        <f t="shared" si="2"/>
        <v>0</v>
      </c>
      <c r="E19" s="6"/>
      <c r="F19" s="11">
        <f t="shared" si="3"/>
        <v>0</v>
      </c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R19" s="11"/>
      <c r="S19" s="6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6">
        <f t="shared" si="16"/>
        <v>0</v>
      </c>
      <c r="AF19" s="6">
        <f t="shared" si="16"/>
        <v>0</v>
      </c>
      <c r="AG19" s="11">
        <f t="shared" si="1"/>
        <v>0</v>
      </c>
    </row>
    <row r="20" spans="1:33" ht="25.15" customHeight="1" x14ac:dyDescent="0.6">
      <c r="A20" s="39"/>
      <c r="B20" s="40"/>
      <c r="C20" s="6"/>
      <c r="D20" s="11"/>
      <c r="E20" s="6"/>
      <c r="F20" s="11"/>
      <c r="G20" s="6"/>
      <c r="H20" s="11"/>
      <c r="I20" s="6"/>
      <c r="J20" s="11"/>
      <c r="K20" s="6"/>
      <c r="L20" s="11"/>
      <c r="M20" s="6"/>
      <c r="N20" s="11"/>
      <c r="O20" s="6"/>
      <c r="P20" s="11"/>
      <c r="Q20" s="6"/>
      <c r="R20" s="11"/>
      <c r="S20" s="6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6"/>
      <c r="AF20" s="6"/>
      <c r="AG20" s="11">
        <f t="shared" si="1"/>
        <v>0</v>
      </c>
    </row>
    <row r="21" spans="1:33" ht="25.15" customHeight="1" x14ac:dyDescent="0.6">
      <c r="A21" s="39"/>
      <c r="B21" s="40"/>
      <c r="C21" s="49">
        <f>SUM(C6:C20)</f>
        <v>100</v>
      </c>
      <c r="D21" s="6">
        <f t="shared" ref="D21:AC21" si="17">SUM(D6:D20)</f>
        <v>1400</v>
      </c>
      <c r="E21" s="49">
        <f t="shared" si="17"/>
        <v>100</v>
      </c>
      <c r="F21" s="6">
        <f t="shared" si="17"/>
        <v>1200</v>
      </c>
      <c r="G21" s="6">
        <f t="shared" si="17"/>
        <v>0</v>
      </c>
      <c r="H21" s="6">
        <f t="shared" si="17"/>
        <v>0</v>
      </c>
      <c r="I21" s="6">
        <f t="shared" si="17"/>
        <v>0</v>
      </c>
      <c r="J21" s="6">
        <f t="shared" si="17"/>
        <v>0</v>
      </c>
      <c r="K21" s="6">
        <f t="shared" si="17"/>
        <v>0</v>
      </c>
      <c r="L21" s="6">
        <f t="shared" si="17"/>
        <v>0</v>
      </c>
      <c r="M21" s="49">
        <f t="shared" si="17"/>
        <v>30</v>
      </c>
      <c r="N21" s="6">
        <f t="shared" si="17"/>
        <v>360</v>
      </c>
      <c r="O21" s="6">
        <f t="shared" si="17"/>
        <v>0</v>
      </c>
      <c r="P21" s="6">
        <f t="shared" si="17"/>
        <v>0</v>
      </c>
      <c r="Q21" s="6">
        <f t="shared" si="17"/>
        <v>0</v>
      </c>
      <c r="R21" s="6">
        <f t="shared" si="17"/>
        <v>0</v>
      </c>
      <c r="S21" s="49">
        <f t="shared" si="17"/>
        <v>20</v>
      </c>
      <c r="T21" s="6">
        <f t="shared" si="17"/>
        <v>280</v>
      </c>
      <c r="U21" s="6">
        <f t="shared" si="17"/>
        <v>0</v>
      </c>
      <c r="V21" s="6">
        <f t="shared" si="17"/>
        <v>0</v>
      </c>
      <c r="W21" s="6">
        <f t="shared" si="17"/>
        <v>0</v>
      </c>
      <c r="X21" s="6">
        <f t="shared" si="17"/>
        <v>0</v>
      </c>
      <c r="Y21" s="49">
        <f t="shared" si="17"/>
        <v>0</v>
      </c>
      <c r="Z21" s="6">
        <f t="shared" si="17"/>
        <v>0</v>
      </c>
      <c r="AA21" s="49">
        <f t="shared" si="17"/>
        <v>0</v>
      </c>
      <c r="AB21" s="6">
        <f t="shared" si="17"/>
        <v>0</v>
      </c>
      <c r="AC21" s="6">
        <f t="shared" si="17"/>
        <v>0</v>
      </c>
      <c r="AD21" s="6">
        <f>SUM(AD6:AD20)</f>
        <v>0</v>
      </c>
      <c r="AE21" s="6">
        <f>SUM(AE6:AE20)</f>
        <v>250</v>
      </c>
      <c r="AF21" s="6">
        <f>SUM(AF6:AF20)</f>
        <v>3240</v>
      </c>
      <c r="AG21" s="11">
        <f t="shared" si="1"/>
        <v>2635.2</v>
      </c>
    </row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</sheetData>
  <mergeCells count="19">
    <mergeCell ref="C1:AD1"/>
    <mergeCell ref="AE3:AG3"/>
    <mergeCell ref="U3:V3"/>
    <mergeCell ref="AA3:AB3"/>
    <mergeCell ref="W3:X3"/>
    <mergeCell ref="Y3:Z3"/>
    <mergeCell ref="A2:A4"/>
    <mergeCell ref="B2:B4"/>
    <mergeCell ref="C2:AD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C3:AD3"/>
  </mergeCells>
  <hyperlinks>
    <hyperlink ref="C2:AD2" location="'SMM YGN '!A1" display="SKU" xr:uid="{00000000-0004-0000-1900-000000000000}"/>
    <hyperlink ref="C1:AD1" location="'SMM YGN '!A1" display="ဦးအိရွှေ (တွံတေး)" xr:uid="{00000000-0004-0000-1900-000001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3"/>
  <dimension ref="A1:AH88"/>
  <sheetViews>
    <sheetView workbookViewId="0">
      <pane xSplit="2" ySplit="4" topLeftCell="K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B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6" width="10" style="1" customWidth="1"/>
    <col min="7" max="8" width="9.140625" style="1" customWidth="1"/>
    <col min="9" max="28" width="8.7109375" style="1" customWidth="1"/>
    <col min="29" max="30" width="8.28515625" style="1" customWidth="1"/>
    <col min="31" max="32" width="8.7109375" style="1" customWidth="1"/>
    <col min="33" max="16384" width="9" style="1"/>
  </cols>
  <sheetData>
    <row r="1" spans="1:34" ht="21.75" x14ac:dyDescent="0.6">
      <c r="A1" s="23"/>
      <c r="B1" s="24"/>
      <c r="C1" s="745" t="s">
        <v>79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E1" s="1">
        <f>AE19</f>
        <v>530</v>
      </c>
      <c r="AG1" s="25">
        <v>12</v>
      </c>
      <c r="AH1" s="26">
        <v>14</v>
      </c>
    </row>
    <row r="2" spans="1:34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D2" s="1" t="s">
        <v>67</v>
      </c>
      <c r="AE2" s="27">
        <f>AF19</f>
        <v>7320</v>
      </c>
      <c r="AG2" s="28">
        <v>24</v>
      </c>
      <c r="AH2" s="29">
        <v>40</v>
      </c>
    </row>
    <row r="3" spans="1:34" s="27" customFormat="1" ht="43.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4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4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4" s="19" customFormat="1" ht="25.15" customHeight="1" x14ac:dyDescent="0.25">
      <c r="A6" s="37">
        <v>1</v>
      </c>
      <c r="B6" s="38">
        <v>45809</v>
      </c>
      <c r="C6" s="11">
        <v>200</v>
      </c>
      <c r="D6" s="11">
        <f>C6*14</f>
        <v>2800</v>
      </c>
      <c r="E6" s="11">
        <v>280</v>
      </c>
      <c r="F6" s="11">
        <f>E6*12</f>
        <v>3360</v>
      </c>
      <c r="G6" s="11"/>
      <c r="H6" s="11">
        <f>G6*12</f>
        <v>0</v>
      </c>
      <c r="I6" s="11">
        <v>20</v>
      </c>
      <c r="J6" s="11">
        <f>I6*40</f>
        <v>800</v>
      </c>
      <c r="K6" s="11"/>
      <c r="L6" s="11">
        <f>K6*12</f>
        <v>0</v>
      </c>
      <c r="M6" s="11">
        <v>30</v>
      </c>
      <c r="N6" s="11">
        <f>M6*12</f>
        <v>360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 t="shared" ref="AE6:AF9" si="0">C6+E6+G6+I6+K6+M6+O6+Q6+S6+U6+W6+Y6+AA6+AC6</f>
        <v>530</v>
      </c>
      <c r="AF6" s="11">
        <f t="shared" si="0"/>
        <v>7320</v>
      </c>
      <c r="AG6" s="11">
        <f>(D6*$D$5)+(F6*$F$5)+(H6*$H$5)+(J6*$J$5)+(L6*$L$5)+(N6*$N$5)+(P6*$P$5)+(R6*$R$5)+(T6*$T$5)+(V6*$V$5)+(X6*$X$5)+(Z6*$Z$5)+(AB6*$AB$5)+(AD6*$AD$5)</f>
        <v>5792</v>
      </c>
    </row>
    <row r="7" spans="1:34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si="0"/>
        <v>0</v>
      </c>
      <c r="AF7" s="11">
        <f t="shared" si="0"/>
        <v>0</v>
      </c>
      <c r="AG7" s="11">
        <f>(D7*$D$5)+(F7*$F$5)+(H7*$H$5)+(J7*$J$5)+(L7*$L$5)+(N7*$N$5)+(P7*$P$5)+(R7*$R$5)+(T7*$T$5)+(V7*$V$5)+(X7*$X$5)+(Z7*$Z$5)+(AB7*$AB$5)+(AD7*$AD$5)</f>
        <v>0</v>
      </c>
    </row>
    <row r="8" spans="1:34" s="19" customFormat="1" ht="25.15" customHeight="1" x14ac:dyDescent="0.25">
      <c r="A8" s="37">
        <v>3</v>
      </c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0"/>
        <v>0</v>
      </c>
      <c r="AF8" s="11">
        <f t="shared" si="0"/>
        <v>0</v>
      </c>
      <c r="AG8" s="11">
        <f t="shared" ref="AG8:AG19" si="1">(D8*$D$5)+(F8*$F$5)+(H8*$H$5)+(J8*$J$5)+(L8*$L$5)+(N8*$N$5)+(P8*$P$5)+(R8*$R$5)+(T8*$T$5)+(V8*$V$5)+(X8*$X$5)+(Z8*$Z$5)+(AB8*$AB$5)+(AD8*$AD$5)</f>
        <v>0</v>
      </c>
    </row>
    <row r="9" spans="1:34" s="19" customFormat="1" ht="25.15" customHeight="1" x14ac:dyDescent="0.25">
      <c r="A9" s="37"/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0"/>
        <v>0</v>
      </c>
      <c r="AF9" s="11">
        <f t="shared" si="0"/>
        <v>0</v>
      </c>
      <c r="AG9" s="11">
        <f t="shared" si="1"/>
        <v>0</v>
      </c>
    </row>
    <row r="10" spans="1:34" s="19" customFormat="1" ht="25.15" customHeight="1" x14ac:dyDescent="0.25">
      <c r="A10" s="37"/>
      <c r="B10" s="38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>
        <f t="shared" si="1"/>
        <v>0</v>
      </c>
    </row>
    <row r="11" spans="1:34" s="19" customFormat="1" ht="25.15" customHeight="1" x14ac:dyDescent="0.25">
      <c r="A11" s="37"/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f t="shared" si="1"/>
        <v>0</v>
      </c>
    </row>
    <row r="12" spans="1:34" ht="25.15" customHeight="1" x14ac:dyDescent="0.6">
      <c r="A12" s="37"/>
      <c r="B12" s="38"/>
      <c r="C12" s="6"/>
      <c r="D12" s="11"/>
      <c r="E12" s="6"/>
      <c r="F12" s="11"/>
      <c r="G12" s="6"/>
      <c r="H12" s="11"/>
      <c r="I12" s="6"/>
      <c r="J12" s="11"/>
      <c r="K12" s="6"/>
      <c r="L12" s="11"/>
      <c r="M12" s="6"/>
      <c r="N12" s="11"/>
      <c r="O12" s="6"/>
      <c r="P12" s="11"/>
      <c r="Q12" s="6"/>
      <c r="R12" s="11"/>
      <c r="S12" s="6"/>
      <c r="T12" s="11"/>
      <c r="U12" s="11"/>
      <c r="V12" s="11"/>
      <c r="W12" s="11"/>
      <c r="X12" s="11"/>
      <c r="Y12" s="11"/>
      <c r="Z12" s="11"/>
      <c r="AA12" s="11"/>
      <c r="AB12" s="11"/>
      <c r="AC12" s="6"/>
      <c r="AD12" s="6"/>
      <c r="AE12" s="6"/>
      <c r="AF12" s="6"/>
      <c r="AG12" s="11">
        <f t="shared" si="1"/>
        <v>0</v>
      </c>
    </row>
    <row r="13" spans="1:34" ht="25.15" customHeight="1" x14ac:dyDescent="0.6">
      <c r="A13" s="37"/>
      <c r="B13" s="38"/>
      <c r="C13" s="6"/>
      <c r="D13" s="6"/>
      <c r="E13" s="6"/>
      <c r="F13" s="11"/>
      <c r="G13" s="6"/>
      <c r="H13" s="11"/>
      <c r="I13" s="6"/>
      <c r="J13" s="11"/>
      <c r="K13" s="6"/>
      <c r="L13" s="11"/>
      <c r="M13" s="6"/>
      <c r="N13" s="11"/>
      <c r="O13" s="6"/>
      <c r="P13" s="11"/>
      <c r="Q13" s="6"/>
      <c r="R13" s="11"/>
      <c r="S13" s="6"/>
      <c r="T13" s="11"/>
      <c r="U13" s="11"/>
      <c r="V13" s="11"/>
      <c r="W13" s="11"/>
      <c r="X13" s="11"/>
      <c r="Y13" s="11"/>
      <c r="Z13" s="11"/>
      <c r="AA13" s="11"/>
      <c r="AB13" s="11"/>
      <c r="AC13" s="6"/>
      <c r="AD13" s="6"/>
      <c r="AE13" s="6"/>
      <c r="AF13" s="6"/>
      <c r="AG13" s="11">
        <f t="shared" si="1"/>
        <v>0</v>
      </c>
    </row>
    <row r="14" spans="1:34" ht="25.15" customHeight="1" x14ac:dyDescent="0.6">
      <c r="A14" s="37"/>
      <c r="B14" s="38"/>
      <c r="C14" s="6"/>
      <c r="D14" s="6"/>
      <c r="E14" s="6"/>
      <c r="F14" s="11"/>
      <c r="G14" s="6"/>
      <c r="H14" s="11"/>
      <c r="I14" s="6"/>
      <c r="J14" s="11"/>
      <c r="K14" s="6"/>
      <c r="L14" s="11"/>
      <c r="M14" s="6"/>
      <c r="N14" s="11"/>
      <c r="O14" s="6"/>
      <c r="P14" s="11"/>
      <c r="Q14" s="6"/>
      <c r="R14" s="11"/>
      <c r="S14" s="6"/>
      <c r="T14" s="11"/>
      <c r="U14" s="11"/>
      <c r="V14" s="11"/>
      <c r="W14" s="11"/>
      <c r="X14" s="11"/>
      <c r="Y14" s="11"/>
      <c r="Z14" s="11"/>
      <c r="AA14" s="11"/>
      <c r="AB14" s="11"/>
      <c r="AC14" s="6"/>
      <c r="AD14" s="6"/>
      <c r="AE14" s="6"/>
      <c r="AF14" s="6"/>
      <c r="AG14" s="11">
        <f t="shared" si="1"/>
        <v>0</v>
      </c>
    </row>
    <row r="15" spans="1:34" ht="25.15" customHeight="1" x14ac:dyDescent="0.6">
      <c r="A15" s="39"/>
      <c r="B15" s="38"/>
      <c r="C15" s="6"/>
      <c r="D15" s="6"/>
      <c r="E15" s="6"/>
      <c r="F15" s="11"/>
      <c r="G15" s="6"/>
      <c r="H15" s="11"/>
      <c r="I15" s="6"/>
      <c r="J15" s="11"/>
      <c r="K15" s="6"/>
      <c r="L15" s="11"/>
      <c r="M15" s="6"/>
      <c r="N15" s="11"/>
      <c r="O15" s="6"/>
      <c r="P15" s="11"/>
      <c r="Q15" s="6"/>
      <c r="R15" s="11"/>
      <c r="S15" s="6"/>
      <c r="T15" s="11"/>
      <c r="U15" s="11"/>
      <c r="V15" s="11"/>
      <c r="W15" s="11"/>
      <c r="X15" s="11"/>
      <c r="Y15" s="11"/>
      <c r="Z15" s="11"/>
      <c r="AA15" s="11"/>
      <c r="AB15" s="11"/>
      <c r="AC15" s="6"/>
      <c r="AD15" s="6"/>
      <c r="AE15" s="6"/>
      <c r="AF15" s="6"/>
      <c r="AG15" s="11">
        <f t="shared" si="1"/>
        <v>0</v>
      </c>
    </row>
    <row r="16" spans="1:34" ht="25.15" customHeight="1" x14ac:dyDescent="0.6">
      <c r="A16" s="39"/>
      <c r="B16" s="38"/>
      <c r="C16" s="6"/>
      <c r="D16" s="6"/>
      <c r="E16" s="6"/>
      <c r="F16" s="11"/>
      <c r="G16" s="6"/>
      <c r="H16" s="11"/>
      <c r="I16" s="6"/>
      <c r="J16" s="11"/>
      <c r="K16" s="6"/>
      <c r="L16" s="11"/>
      <c r="M16" s="6"/>
      <c r="N16" s="11"/>
      <c r="O16" s="6"/>
      <c r="P16" s="11"/>
      <c r="Q16" s="6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6"/>
      <c r="AD16" s="6"/>
      <c r="AE16" s="6"/>
      <c r="AF16" s="6"/>
      <c r="AG16" s="11">
        <f t="shared" si="1"/>
        <v>0</v>
      </c>
    </row>
    <row r="17" spans="1:33" ht="25.15" customHeight="1" x14ac:dyDescent="0.6">
      <c r="A17" s="39"/>
      <c r="B17" s="38"/>
      <c r="C17" s="6"/>
      <c r="D17" s="6"/>
      <c r="E17" s="6"/>
      <c r="F17" s="11"/>
      <c r="G17" s="6"/>
      <c r="H17" s="11"/>
      <c r="I17" s="6"/>
      <c r="J17" s="11"/>
      <c r="K17" s="6"/>
      <c r="L17" s="11"/>
      <c r="M17" s="6"/>
      <c r="N17" s="11"/>
      <c r="O17" s="6"/>
      <c r="P17" s="11"/>
      <c r="Q17" s="6"/>
      <c r="R17" s="11"/>
      <c r="S17" s="6"/>
      <c r="T17" s="11"/>
      <c r="U17" s="11"/>
      <c r="V17" s="11"/>
      <c r="W17" s="11"/>
      <c r="X17" s="11"/>
      <c r="Y17" s="11"/>
      <c r="Z17" s="11"/>
      <c r="AA17" s="11"/>
      <c r="AB17" s="11"/>
      <c r="AC17" s="6"/>
      <c r="AD17" s="6"/>
      <c r="AE17" s="6"/>
      <c r="AF17" s="6"/>
      <c r="AG17" s="11">
        <f t="shared" si="1"/>
        <v>0</v>
      </c>
    </row>
    <row r="18" spans="1:33" ht="25.15" customHeight="1" x14ac:dyDescent="0.6">
      <c r="A18" s="39"/>
      <c r="B18" s="40"/>
      <c r="C18" s="6"/>
      <c r="D18" s="6"/>
      <c r="E18" s="6"/>
      <c r="F18" s="11"/>
      <c r="G18" s="6"/>
      <c r="H18" s="11"/>
      <c r="I18" s="6"/>
      <c r="J18" s="11"/>
      <c r="K18" s="6"/>
      <c r="L18" s="11"/>
      <c r="M18" s="6"/>
      <c r="N18" s="11"/>
      <c r="O18" s="6"/>
      <c r="P18" s="11"/>
      <c r="Q18" s="6"/>
      <c r="R18" s="11"/>
      <c r="S18" s="6"/>
      <c r="T18" s="11"/>
      <c r="U18" s="11"/>
      <c r="V18" s="11"/>
      <c r="W18" s="11"/>
      <c r="X18" s="11"/>
      <c r="Y18" s="11"/>
      <c r="Z18" s="11"/>
      <c r="AA18" s="11"/>
      <c r="AB18" s="11"/>
      <c r="AC18" s="6"/>
      <c r="AD18" s="6"/>
      <c r="AE18" s="6"/>
      <c r="AF18" s="6"/>
      <c r="AG18" s="11">
        <f t="shared" si="1"/>
        <v>0</v>
      </c>
    </row>
    <row r="19" spans="1:33" ht="25.15" customHeight="1" x14ac:dyDescent="0.6">
      <c r="A19" s="39"/>
      <c r="B19" s="40"/>
      <c r="C19" s="53">
        <f>SUM(C6:C18)</f>
        <v>200</v>
      </c>
      <c r="D19" s="6">
        <f t="shared" ref="D19:AB19" si="2">SUM(D6:D18)</f>
        <v>2800</v>
      </c>
      <c r="E19" s="53">
        <f t="shared" si="2"/>
        <v>280</v>
      </c>
      <c r="F19" s="6">
        <f t="shared" si="2"/>
        <v>3360</v>
      </c>
      <c r="G19" s="6">
        <f t="shared" si="2"/>
        <v>0</v>
      </c>
      <c r="H19" s="6">
        <f t="shared" si="2"/>
        <v>0</v>
      </c>
      <c r="I19" s="6">
        <f t="shared" si="2"/>
        <v>20</v>
      </c>
      <c r="J19" s="6">
        <f t="shared" si="2"/>
        <v>800</v>
      </c>
      <c r="K19" s="6">
        <f t="shared" si="2"/>
        <v>0</v>
      </c>
      <c r="L19" s="6">
        <f t="shared" si="2"/>
        <v>0</v>
      </c>
      <c r="M19" s="53">
        <f t="shared" si="2"/>
        <v>30</v>
      </c>
      <c r="N19" s="6">
        <f t="shared" si="2"/>
        <v>360</v>
      </c>
      <c r="O19" s="6">
        <f t="shared" si="2"/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s="6">
        <f t="shared" si="2"/>
        <v>0</v>
      </c>
      <c r="W19" s="6">
        <f t="shared" si="2"/>
        <v>0</v>
      </c>
      <c r="X19" s="6">
        <f t="shared" si="2"/>
        <v>0</v>
      </c>
      <c r="Y19" s="6">
        <f t="shared" si="2"/>
        <v>0</v>
      </c>
      <c r="Z19" s="6">
        <f t="shared" si="2"/>
        <v>0</v>
      </c>
      <c r="AA19" s="6">
        <f t="shared" si="2"/>
        <v>0</v>
      </c>
      <c r="AB19" s="6">
        <f t="shared" si="2"/>
        <v>0</v>
      </c>
      <c r="AC19" s="6">
        <f>SUM(AC6:AC18)</f>
        <v>0</v>
      </c>
      <c r="AD19" s="6">
        <f>SUM(AD6:AD18)</f>
        <v>0</v>
      </c>
      <c r="AE19" s="6">
        <f>SUM(AE6:AE18)</f>
        <v>530</v>
      </c>
      <c r="AF19" s="6">
        <f>SUM(AF6:AF18)</f>
        <v>7320</v>
      </c>
      <c r="AG19" s="11">
        <f t="shared" si="1"/>
        <v>5792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AE3:AG3"/>
    <mergeCell ref="U3:V3"/>
    <mergeCell ref="W3:X3"/>
    <mergeCell ref="Y3:Z3"/>
    <mergeCell ref="C1:AB1"/>
    <mergeCell ref="AC3:AD3"/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3:AB3"/>
  </mergeCells>
  <hyperlinks>
    <hyperlink ref="C1:AB1" location="'SMM YGN '!A1" display="ပန်းသတင်း (တွံတေး)" xr:uid="{00000000-0004-0000-1A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4"/>
  <dimension ref="A1:AH88"/>
  <sheetViews>
    <sheetView workbookViewId="0">
      <pane xSplit="2" ySplit="4" topLeftCell="L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B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9.85546875" style="1" customWidth="1"/>
    <col min="5" max="6" width="10.140625" style="1" customWidth="1"/>
    <col min="7" max="32" width="9" style="1" customWidth="1"/>
    <col min="33" max="16384" width="9" style="1"/>
  </cols>
  <sheetData>
    <row r="1" spans="1:34" ht="21.75" x14ac:dyDescent="0.6">
      <c r="A1" s="23"/>
      <c r="B1" s="24"/>
      <c r="C1" s="745" t="s">
        <v>80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E1" s="1">
        <f>AE19</f>
        <v>205</v>
      </c>
      <c r="AG1" s="25">
        <v>12</v>
      </c>
      <c r="AH1" s="26">
        <v>14</v>
      </c>
    </row>
    <row r="2" spans="1:34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D2" s="1" t="s">
        <v>67</v>
      </c>
      <c r="AE2" s="27">
        <f>AF19</f>
        <v>2940</v>
      </c>
      <c r="AG2" s="28">
        <v>24</v>
      </c>
      <c r="AH2" s="29">
        <v>40</v>
      </c>
    </row>
    <row r="3" spans="1:34" s="27" customFormat="1" ht="44.2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4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4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4" s="19" customFormat="1" ht="25.15" customHeight="1" x14ac:dyDescent="0.25">
      <c r="A6" s="37">
        <v>1</v>
      </c>
      <c r="B6" s="38">
        <v>45839</v>
      </c>
      <c r="C6" s="11">
        <v>170</v>
      </c>
      <c r="D6" s="11">
        <f>C6*14</f>
        <v>2380</v>
      </c>
      <c r="E6" s="11">
        <v>30</v>
      </c>
      <c r="F6" s="11">
        <f>E6*12</f>
        <v>360</v>
      </c>
      <c r="G6" s="11"/>
      <c r="H6" s="11">
        <f>G6*12</f>
        <v>0</v>
      </c>
      <c r="I6" s="11">
        <v>5</v>
      </c>
      <c r="J6" s="11">
        <f>I6*40</f>
        <v>200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205</v>
      </c>
      <c r="AF6" s="11">
        <f>D6+F6+H6+J6+L6+N6+P6+R6+T6+V6+X6+Z6+AB6+AD6</f>
        <v>2940</v>
      </c>
      <c r="AG6" s="11">
        <f>(D6*$D$5)+(F6*$F$5)+(H6*$H$5)+(J6*$J$5)+(L6*$L$5)+(N6*$N$5)+(P6*$P$5)+(R6*$R$5)+(T6*$T$5)+(V6*$V$5)+(X6*$X$5)+(Z6*$Z$5)+(AB6*$AB$5)+(AD6*$AD$5)</f>
        <v>1953.2</v>
      </c>
    </row>
    <row r="7" spans="1:34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>C7+E7+G7+I7+K7+M7+O7+Q7+S7+U7+W7+Y7+AA7+AC7</f>
        <v>0</v>
      </c>
      <c r="AF7" s="11">
        <f>D7+F7+H7+J7+L7+N7+P7+R7+T7+V7+X7+Z7+AB7+AD7</f>
        <v>0</v>
      </c>
      <c r="AG7" s="11">
        <f>(D7*$D$5)+(F7*$F$5)+(H7*$H$5)+(J7*$J$5)+(L7*$L$5)+(N7*$N$5)+(P7*$P$5)+(R7*$R$5)+(T7*$T$5)+(V7*$V$5)+(X7*$X$5)+(Z7*$Z$5)+(AB7*$AB$5)+(AD7*$AD$5)</f>
        <v>0</v>
      </c>
    </row>
    <row r="8" spans="1:34" s="19" customFormat="1" ht="25.15" customHeight="1" x14ac:dyDescent="0.25">
      <c r="A8" s="37">
        <v>3</v>
      </c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ref="AE8:AF10" si="0">C8+E8+G8+I8+K8+M8+O8+Q8+S8+U8+W8+Y8+AA8+AC8</f>
        <v>0</v>
      </c>
      <c r="AF8" s="11">
        <f t="shared" si="0"/>
        <v>0</v>
      </c>
      <c r="AG8" s="11">
        <f t="shared" ref="AG8:AG19" si="1">(D8*$D$5)+(F8*$F$5)+(H8*$H$5)+(J8*$J$5)+(L8*$L$5)+(N8*$N$5)+(P8*$P$5)+(R8*$R$5)+(T8*$T$5)+(V8*$V$5)+(X8*$X$5)+(Z8*$Z$5)+(AB8*$AB$5)+(AD8*$AD$5)</f>
        <v>0</v>
      </c>
    </row>
    <row r="9" spans="1:34" s="19" customFormat="1" ht="25.15" customHeight="1" x14ac:dyDescent="0.25">
      <c r="A9" s="37">
        <v>4</v>
      </c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0"/>
        <v>0</v>
      </c>
      <c r="AF9" s="11">
        <f t="shared" si="0"/>
        <v>0</v>
      </c>
      <c r="AG9" s="11">
        <f t="shared" si="1"/>
        <v>0</v>
      </c>
    </row>
    <row r="10" spans="1:34" s="19" customFormat="1" ht="25.15" customHeight="1" x14ac:dyDescent="0.25">
      <c r="A10" s="37">
        <v>5</v>
      </c>
      <c r="B10" s="38"/>
      <c r="C10" s="11"/>
      <c r="D10" s="11">
        <f>C10*14</f>
        <v>0</v>
      </c>
      <c r="E10" s="11"/>
      <c r="F10" s="11">
        <f>E10*12</f>
        <v>0</v>
      </c>
      <c r="G10" s="11"/>
      <c r="H10" s="11"/>
      <c r="I10" s="11"/>
      <c r="J10" s="11">
        <f>I10*40</f>
        <v>0</v>
      </c>
      <c r="K10" s="11"/>
      <c r="L10" s="11">
        <f>K10*12</f>
        <v>0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>
        <f t="shared" si="0"/>
        <v>0</v>
      </c>
      <c r="AF10" s="11">
        <f t="shared" si="0"/>
        <v>0</v>
      </c>
      <c r="AG10" s="11">
        <f t="shared" si="1"/>
        <v>0</v>
      </c>
    </row>
    <row r="11" spans="1:34" s="19" customFormat="1" ht="25.15" customHeight="1" x14ac:dyDescent="0.25">
      <c r="A11" s="37"/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f t="shared" si="1"/>
        <v>0</v>
      </c>
    </row>
    <row r="12" spans="1:34" ht="25.15" customHeight="1" x14ac:dyDescent="0.6">
      <c r="A12" s="39"/>
      <c r="B12" s="40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1"/>
      <c r="AB12" s="11"/>
      <c r="AC12" s="6"/>
      <c r="AD12" s="6"/>
      <c r="AE12" s="6"/>
      <c r="AF12" s="6"/>
      <c r="AG12" s="11">
        <f t="shared" si="1"/>
        <v>0</v>
      </c>
    </row>
    <row r="13" spans="1:34" ht="25.15" customHeight="1" x14ac:dyDescent="0.6">
      <c r="A13" s="39"/>
      <c r="B13" s="40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1"/>
      <c r="AB13" s="11"/>
      <c r="AC13" s="6"/>
      <c r="AD13" s="6"/>
      <c r="AE13" s="6"/>
      <c r="AF13" s="6"/>
      <c r="AG13" s="11">
        <f t="shared" si="1"/>
        <v>0</v>
      </c>
    </row>
    <row r="14" spans="1:34" ht="25.15" customHeight="1" x14ac:dyDescent="0.6">
      <c r="A14" s="39"/>
      <c r="B14" s="40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1"/>
      <c r="AB14" s="11"/>
      <c r="AC14" s="6"/>
      <c r="AD14" s="6"/>
      <c r="AE14" s="6"/>
      <c r="AF14" s="6"/>
      <c r="AG14" s="11">
        <f t="shared" si="1"/>
        <v>0</v>
      </c>
    </row>
    <row r="15" spans="1:34" ht="25.15" customHeight="1" x14ac:dyDescent="0.6">
      <c r="A15" s="39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1"/>
      <c r="AB15" s="11"/>
      <c r="AC15" s="6"/>
      <c r="AD15" s="6"/>
      <c r="AE15" s="6"/>
      <c r="AF15" s="6"/>
      <c r="AG15" s="11">
        <f t="shared" si="1"/>
        <v>0</v>
      </c>
    </row>
    <row r="16" spans="1:34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1"/>
      <c r="AB16" s="11"/>
      <c r="AC16" s="6"/>
      <c r="AD16" s="6"/>
      <c r="AE16" s="6"/>
      <c r="AF16" s="6"/>
      <c r="AG16" s="11">
        <f t="shared" si="1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1"/>
      <c r="AB17" s="11"/>
      <c r="AC17" s="6"/>
      <c r="AD17" s="6"/>
      <c r="AE17" s="6"/>
      <c r="AF17" s="6"/>
      <c r="AG17" s="11">
        <f t="shared" si="1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1"/>
      <c r="AB18" s="11"/>
      <c r="AC18" s="6"/>
      <c r="AD18" s="6"/>
      <c r="AE18" s="6"/>
      <c r="AF18" s="6"/>
      <c r="AG18" s="11">
        <f t="shared" si="1"/>
        <v>0</v>
      </c>
    </row>
    <row r="19" spans="1:33" ht="25.15" customHeight="1" x14ac:dyDescent="0.6">
      <c r="A19" s="39"/>
      <c r="B19" s="40"/>
      <c r="C19" s="49">
        <f>SUM(C6:C18)</f>
        <v>170</v>
      </c>
      <c r="D19" s="6">
        <f t="shared" ref="D19:AC19" si="2">SUM(D6:D18)</f>
        <v>2380</v>
      </c>
      <c r="E19" s="49">
        <f t="shared" si="2"/>
        <v>30</v>
      </c>
      <c r="F19" s="6">
        <f t="shared" si="2"/>
        <v>360</v>
      </c>
      <c r="G19" s="6">
        <f t="shared" si="2"/>
        <v>0</v>
      </c>
      <c r="H19" s="6">
        <f t="shared" si="2"/>
        <v>0</v>
      </c>
      <c r="I19" s="49">
        <f t="shared" si="2"/>
        <v>5</v>
      </c>
      <c r="J19" s="6">
        <f t="shared" si="2"/>
        <v>200</v>
      </c>
      <c r="K19" s="49">
        <f t="shared" si="2"/>
        <v>0</v>
      </c>
      <c r="L19" s="6">
        <f t="shared" si="2"/>
        <v>0</v>
      </c>
      <c r="M19" s="6">
        <f t="shared" si="2"/>
        <v>0</v>
      </c>
      <c r="N19" s="6">
        <f t="shared" si="2"/>
        <v>0</v>
      </c>
      <c r="O19" s="6">
        <f t="shared" si="2"/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s="6">
        <f t="shared" si="2"/>
        <v>0</v>
      </c>
      <c r="W19" s="6">
        <f t="shared" si="2"/>
        <v>0</v>
      </c>
      <c r="X19" s="6">
        <f t="shared" si="2"/>
        <v>0</v>
      </c>
      <c r="Y19" s="6">
        <f t="shared" si="2"/>
        <v>0</v>
      </c>
      <c r="Z19" s="6">
        <f t="shared" si="2"/>
        <v>0</v>
      </c>
      <c r="AA19" s="6">
        <f t="shared" si="2"/>
        <v>0</v>
      </c>
      <c r="AB19" s="6">
        <f t="shared" si="2"/>
        <v>0</v>
      </c>
      <c r="AC19" s="6">
        <f t="shared" si="2"/>
        <v>0</v>
      </c>
      <c r="AD19" s="6">
        <f>SUM(AD6:AD18)</f>
        <v>0</v>
      </c>
      <c r="AE19" s="6">
        <f>SUM(AE6:AE18)</f>
        <v>205</v>
      </c>
      <c r="AF19" s="6">
        <f>SUM(AF6:AF18)</f>
        <v>2940</v>
      </c>
      <c r="AG19" s="11">
        <f t="shared" si="1"/>
        <v>1953.2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AE3:AG3"/>
    <mergeCell ref="U3:V3"/>
    <mergeCell ref="W3:X3"/>
    <mergeCell ref="Y3:Z3"/>
    <mergeCell ref="C1:AB1"/>
    <mergeCell ref="AC3:AD3"/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3:AB3"/>
  </mergeCells>
  <hyperlinks>
    <hyperlink ref="C1:AB1" location="'SMM YGN '!A1" display="ကောင်းမွန် (တိုက်ကြီး)" xr:uid="{00000000-0004-0000-1B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/>
  <dimension ref="A1:AG88"/>
  <sheetViews>
    <sheetView workbookViewId="0">
      <pane xSplit="2" ySplit="4" topLeftCell="K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V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6" width="10" style="1" customWidth="1"/>
    <col min="7" max="24" width="9" style="1" customWidth="1"/>
    <col min="25" max="25" width="9.28515625" style="1" customWidth="1"/>
    <col min="26" max="26" width="9" style="1" customWidth="1"/>
    <col min="27" max="30" width="8.28515625" style="1" customWidth="1"/>
    <col min="31" max="32" width="9" style="1" customWidth="1"/>
    <col min="33" max="16384" width="9" style="1"/>
  </cols>
  <sheetData>
    <row r="1" spans="1:33" ht="21.75" x14ac:dyDescent="0.6">
      <c r="A1" s="23"/>
      <c r="B1" s="24"/>
      <c r="C1" s="745" t="s">
        <v>81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X1" s="1" t="s">
        <v>68</v>
      </c>
      <c r="Y1" s="1">
        <f>AE19</f>
        <v>275</v>
      </c>
      <c r="AA1" s="25">
        <v>12</v>
      </c>
      <c r="AB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X2" s="1" t="s">
        <v>67</v>
      </c>
      <c r="Y2" s="27">
        <f>AF19</f>
        <v>3790</v>
      </c>
      <c r="AA2" s="28">
        <v>24</v>
      </c>
      <c r="AB2" s="29">
        <v>40</v>
      </c>
    </row>
    <row r="3" spans="1:33" s="27" customFormat="1" ht="42.7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45717</v>
      </c>
      <c r="C6" s="11">
        <v>245</v>
      </c>
      <c r="D6" s="11">
        <f>C6*14</f>
        <v>3430</v>
      </c>
      <c r="E6" s="11">
        <v>30</v>
      </c>
      <c r="F6" s="11">
        <f>E6*12</f>
        <v>360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275</v>
      </c>
      <c r="AF6" s="11">
        <f>D6+F6+H6+J6+L6+N6+P6+R6+T6+V6+X6+Z6+AB6+AD6</f>
        <v>3790</v>
      </c>
      <c r="AG6" s="11">
        <f t="shared" ref="AG6:AG19" si="0">(D6*$D$5)+(F6*$F$5)+(H6*$H$5)+(J6*$J$5)+(L6*$L$5)+(N6*$N$5)+(P6*$P$5)+(R6*$R$5)+(T6*$T$5)+(V6*$V$5)+(X6*$X$5)+(Z6*$Z$5)+(AB6*$AB$5)+(AD6*$AD$5)</f>
        <v>2555.2000000000003</v>
      </c>
    </row>
    <row r="7" spans="1:33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ref="AE7:AF9" si="1">C7+E7+G7+I7+K7+M7+O7+Q7+S7+U7+W7+Y7+AA7+AC7</f>
        <v>0</v>
      </c>
      <c r="AF7" s="11">
        <f t="shared" si="1"/>
        <v>0</v>
      </c>
      <c r="AG7" s="11">
        <f t="shared" si="0"/>
        <v>0</v>
      </c>
    </row>
    <row r="8" spans="1:33" s="19" customFormat="1" ht="25.15" customHeight="1" x14ac:dyDescent="0.25">
      <c r="A8" s="37">
        <v>3</v>
      </c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1"/>
        <v>0</v>
      </c>
      <c r="AF8" s="11">
        <f t="shared" si="1"/>
        <v>0</v>
      </c>
      <c r="AG8" s="11">
        <f t="shared" si="0"/>
        <v>0</v>
      </c>
    </row>
    <row r="9" spans="1:33" s="19" customFormat="1" ht="25.15" customHeight="1" x14ac:dyDescent="0.25">
      <c r="A9" s="37"/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1"/>
        <v>0</v>
      </c>
      <c r="AF9" s="11">
        <f t="shared" si="1"/>
        <v>0</v>
      </c>
      <c r="AG9" s="11">
        <f t="shared" si="0"/>
        <v>0</v>
      </c>
    </row>
    <row r="10" spans="1:33" s="19" customFormat="1" ht="25.15" customHeight="1" x14ac:dyDescent="0.25">
      <c r="A10" s="37"/>
      <c r="B10" s="38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>
        <f t="shared" si="0"/>
        <v>0</v>
      </c>
    </row>
    <row r="11" spans="1:33" s="19" customFormat="1" ht="25.15" customHeight="1" x14ac:dyDescent="0.25">
      <c r="A11" s="37"/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f t="shared" si="0"/>
        <v>0</v>
      </c>
    </row>
    <row r="12" spans="1:33" ht="25.15" customHeight="1" x14ac:dyDescent="0.6">
      <c r="A12" s="39"/>
      <c r="B12" s="40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1"/>
      <c r="V12" s="11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11">
        <f t="shared" si="0"/>
        <v>0</v>
      </c>
    </row>
    <row r="13" spans="1:33" ht="25.15" customHeight="1" x14ac:dyDescent="0.6">
      <c r="A13" s="39"/>
      <c r="B13" s="40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1"/>
      <c r="V13" s="11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11">
        <f t="shared" si="0"/>
        <v>0</v>
      </c>
    </row>
    <row r="14" spans="1:33" ht="25.15" customHeight="1" x14ac:dyDescent="0.6">
      <c r="A14" s="39"/>
      <c r="B14" s="40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1"/>
      <c r="V14" s="11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1">
        <f t="shared" si="0"/>
        <v>0</v>
      </c>
    </row>
    <row r="15" spans="1:33" ht="25.15" customHeight="1" x14ac:dyDescent="0.6">
      <c r="A15" s="39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1"/>
      <c r="V15" s="11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11">
        <f t="shared" si="0"/>
        <v>0</v>
      </c>
    </row>
    <row r="16" spans="1:33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1"/>
      <c r="V16" s="11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11">
        <f t="shared" si="0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1"/>
      <c r="V17" s="11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11">
        <f t="shared" si="0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1"/>
      <c r="V18" s="11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1">
        <f t="shared" si="0"/>
        <v>0</v>
      </c>
    </row>
    <row r="19" spans="1:33" ht="25.15" customHeight="1" x14ac:dyDescent="0.6">
      <c r="A19" s="39"/>
      <c r="B19" s="40"/>
      <c r="C19" s="49">
        <f>SUM(C6:C18)</f>
        <v>245</v>
      </c>
      <c r="D19" s="6">
        <f t="shared" ref="D19:AB19" si="2">SUM(D6:D18)</f>
        <v>3430</v>
      </c>
      <c r="E19" s="49">
        <f t="shared" si="2"/>
        <v>30</v>
      </c>
      <c r="F19" s="6">
        <f t="shared" si="2"/>
        <v>360</v>
      </c>
      <c r="G19" s="6">
        <f t="shared" si="2"/>
        <v>0</v>
      </c>
      <c r="H19" s="6">
        <f t="shared" si="2"/>
        <v>0</v>
      </c>
      <c r="I19" s="49">
        <f t="shared" si="2"/>
        <v>0</v>
      </c>
      <c r="J19" s="6">
        <f t="shared" si="2"/>
        <v>0</v>
      </c>
      <c r="K19" s="6">
        <f t="shared" si="2"/>
        <v>0</v>
      </c>
      <c r="L19" s="6">
        <f t="shared" si="2"/>
        <v>0</v>
      </c>
      <c r="M19" s="6">
        <f t="shared" si="2"/>
        <v>0</v>
      </c>
      <c r="N19" s="6">
        <f t="shared" si="2"/>
        <v>0</v>
      </c>
      <c r="O19" s="6">
        <f t="shared" si="2"/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s="6">
        <f t="shared" si="2"/>
        <v>0</v>
      </c>
      <c r="W19" s="6">
        <f t="shared" si="2"/>
        <v>0</v>
      </c>
      <c r="X19" s="6">
        <f t="shared" si="2"/>
        <v>0</v>
      </c>
      <c r="Y19" s="6">
        <f t="shared" si="2"/>
        <v>0</v>
      </c>
      <c r="Z19" s="6">
        <f t="shared" si="2"/>
        <v>0</v>
      </c>
      <c r="AA19" s="6">
        <f t="shared" si="2"/>
        <v>0</v>
      </c>
      <c r="AB19" s="6">
        <f t="shared" si="2"/>
        <v>0</v>
      </c>
      <c r="AC19" s="6">
        <f>SUM(AC6:AC18)</f>
        <v>0</v>
      </c>
      <c r="AD19" s="6">
        <f>SUM(AD6:AD18)</f>
        <v>0</v>
      </c>
      <c r="AE19" s="6">
        <f>SUM(AE6:AE18)</f>
        <v>275</v>
      </c>
      <c r="AF19" s="6">
        <f>SUM(AF6:AF18)</f>
        <v>3790</v>
      </c>
      <c r="AG19" s="11">
        <f t="shared" si="0"/>
        <v>2555.2000000000003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C1:V1"/>
    <mergeCell ref="A2:A4"/>
    <mergeCell ref="B2:B4"/>
    <mergeCell ref="C2: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G3"/>
  </mergeCells>
  <hyperlinks>
    <hyperlink ref="C1:V1" location="'SMM YGN '!A1" display="နေလ (တိုက်ကြီး)" xr:uid="{00000000-0004-0000-1C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6"/>
  <dimension ref="A1:AG89"/>
  <sheetViews>
    <sheetView workbookViewId="0">
      <pane xSplit="2" ySplit="4" topLeftCell="K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Z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6" width="10.85546875" style="1" customWidth="1"/>
    <col min="7" max="8" width="9.28515625" style="1" customWidth="1"/>
    <col min="9" max="10" width="9.7109375" style="1" customWidth="1"/>
    <col min="11" max="16" width="8.85546875" style="1" customWidth="1"/>
    <col min="17" max="18" width="9.28515625" style="1" customWidth="1"/>
    <col min="19" max="26" width="8.85546875" style="1" customWidth="1"/>
    <col min="27" max="28" width="8.7109375" style="1" customWidth="1"/>
    <col min="29" max="30" width="8.28515625" style="1" customWidth="1"/>
    <col min="31" max="32" width="8.85546875" style="1" customWidth="1"/>
    <col min="33" max="16384" width="9" style="1"/>
  </cols>
  <sheetData>
    <row r="1" spans="1:33" ht="21.75" x14ac:dyDescent="0.6">
      <c r="A1" s="23"/>
      <c r="B1" s="24"/>
      <c r="C1" s="745" t="s">
        <v>82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B1" s="1" t="s">
        <v>68</v>
      </c>
      <c r="AC1" s="1">
        <f>AE20</f>
        <v>1160</v>
      </c>
      <c r="AE1" s="25">
        <v>12</v>
      </c>
      <c r="AF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B2" s="1" t="s">
        <v>67</v>
      </c>
      <c r="AC2" s="27">
        <f>AF20</f>
        <v>16920</v>
      </c>
      <c r="AE2" s="28">
        <v>24</v>
      </c>
      <c r="AF2" s="29">
        <v>40</v>
      </c>
    </row>
    <row r="3" spans="1:33" s="27" customFormat="1" ht="45.7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34" t="s">
        <v>330</v>
      </c>
      <c r="X3" s="73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4" t="s">
        <v>63</v>
      </c>
      <c r="X4" s="14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0.64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45689</v>
      </c>
      <c r="C6" s="11">
        <v>50</v>
      </c>
      <c r="D6" s="11">
        <f>C6*14</f>
        <v>700</v>
      </c>
      <c r="E6" s="11">
        <v>200</v>
      </c>
      <c r="F6" s="11">
        <f>E6*12</f>
        <v>2400</v>
      </c>
      <c r="G6" s="11"/>
      <c r="H6" s="11">
        <f>G6*12</f>
        <v>0</v>
      </c>
      <c r="I6" s="11">
        <v>20</v>
      </c>
      <c r="J6" s="11">
        <f>I6*40</f>
        <v>800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>
        <v>10</v>
      </c>
      <c r="R6" s="11">
        <f>Q6*14</f>
        <v>140</v>
      </c>
      <c r="S6" s="11"/>
      <c r="T6" s="11">
        <f>S6*14</f>
        <v>0</v>
      </c>
      <c r="U6" s="11"/>
      <c r="V6" s="11">
        <f>U6*24</f>
        <v>0</v>
      </c>
      <c r="W6" s="11">
        <v>10</v>
      </c>
      <c r="X6" s="11">
        <f>W6*14</f>
        <v>140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54">
        <f>C6+E6+G6+I6+K6+M6+O6+Q6+S6+U6+W6+Y6+AA6+AC6</f>
        <v>290</v>
      </c>
      <c r="AF6" s="11">
        <f>D6+F6+H6+J6+L6+N6+P6+R6+T6+V6+X6+Z6+AB6+AD6</f>
        <v>4180</v>
      </c>
      <c r="AG6" s="13">
        <f t="shared" ref="AG6:AG19" si="0">(D6*$D$5)+(F6*$F$5)+(H6*$H$5)+(J6*$J$5)+(L6*$L$5)+(N6*$N$5)+(P6*$P$5)+(R6*$R$5)+(T6*$T$5)+(V6*$V$5)+(X6*$X$5)+(Z6*$Z$5)+(AB6*$AB$5)+(AD6*$AD$5)</f>
        <v>3307.2</v>
      </c>
    </row>
    <row r="7" spans="1:33" s="19" customFormat="1" ht="25.15" customHeight="1" x14ac:dyDescent="0.25">
      <c r="A7" s="37">
        <v>2</v>
      </c>
      <c r="B7" s="38">
        <v>45748</v>
      </c>
      <c r="C7" s="11">
        <v>100</v>
      </c>
      <c r="D7" s="11">
        <f t="shared" ref="D7:D19" si="1">C7*14</f>
        <v>1400</v>
      </c>
      <c r="E7" s="11"/>
      <c r="F7" s="11">
        <f t="shared" ref="F7:F19" si="2">E7*12</f>
        <v>0</v>
      </c>
      <c r="G7" s="11"/>
      <c r="H7" s="11">
        <f t="shared" ref="H7:H19" si="3">G7*12</f>
        <v>0</v>
      </c>
      <c r="I7" s="11"/>
      <c r="J7" s="11">
        <f t="shared" ref="J7:J19" si="4">I7*40</f>
        <v>0</v>
      </c>
      <c r="K7" s="11"/>
      <c r="L7" s="11">
        <f t="shared" ref="L7:L14" si="5">K7*12</f>
        <v>0</v>
      </c>
      <c r="M7" s="11"/>
      <c r="N7" s="11">
        <f t="shared" ref="N7:N19" si="6">M7*12</f>
        <v>0</v>
      </c>
      <c r="O7" s="11"/>
      <c r="P7" s="11">
        <f>O7*40</f>
        <v>0</v>
      </c>
      <c r="Q7" s="11"/>
      <c r="R7" s="11">
        <f t="shared" ref="R7:R18" si="7">Q7*14</f>
        <v>0</v>
      </c>
      <c r="S7" s="11"/>
      <c r="T7" s="11">
        <f t="shared" ref="T7:T19" si="8">S7*14</f>
        <v>0</v>
      </c>
      <c r="U7" s="11"/>
      <c r="V7" s="11">
        <f>U7*24</f>
        <v>0</v>
      </c>
      <c r="W7" s="11"/>
      <c r="X7" s="11">
        <f t="shared" ref="X7:X16" si="9">W7*14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54">
        <f t="shared" ref="AE7:AF19" si="10">C7+E7+G7+I7+K7+M7+O7+Q7+S7+U7+W7+Y7+AA7+AC7</f>
        <v>100</v>
      </c>
      <c r="AF7" s="11">
        <f t="shared" si="10"/>
        <v>1400</v>
      </c>
      <c r="AG7" s="11">
        <f t="shared" si="0"/>
        <v>896</v>
      </c>
    </row>
    <row r="8" spans="1:33" s="19" customFormat="1" ht="25.15" customHeight="1" x14ac:dyDescent="0.25">
      <c r="A8" s="37">
        <v>3</v>
      </c>
      <c r="B8" s="38">
        <v>45809</v>
      </c>
      <c r="C8" s="11">
        <v>100</v>
      </c>
      <c r="D8" s="11">
        <f t="shared" si="1"/>
        <v>1400</v>
      </c>
      <c r="E8" s="11">
        <v>100</v>
      </c>
      <c r="F8" s="11">
        <f t="shared" si="2"/>
        <v>1200</v>
      </c>
      <c r="G8" s="11"/>
      <c r="H8" s="11">
        <f t="shared" si="3"/>
        <v>0</v>
      </c>
      <c r="I8" s="11">
        <v>30</v>
      </c>
      <c r="J8" s="11">
        <f t="shared" si="4"/>
        <v>1200</v>
      </c>
      <c r="K8" s="11"/>
      <c r="L8" s="11">
        <f t="shared" si="5"/>
        <v>0</v>
      </c>
      <c r="M8" s="11">
        <v>30</v>
      </c>
      <c r="N8" s="11">
        <f t="shared" si="6"/>
        <v>360</v>
      </c>
      <c r="O8" s="11"/>
      <c r="P8" s="11">
        <f>O8*40</f>
        <v>0</v>
      </c>
      <c r="Q8" s="11"/>
      <c r="R8" s="11">
        <f t="shared" si="7"/>
        <v>0</v>
      </c>
      <c r="S8" s="11"/>
      <c r="T8" s="11">
        <f t="shared" si="8"/>
        <v>0</v>
      </c>
      <c r="U8" s="11"/>
      <c r="V8" s="11">
        <f>U8*24</f>
        <v>0</v>
      </c>
      <c r="W8" s="11"/>
      <c r="X8" s="11">
        <f t="shared" si="9"/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54">
        <f t="shared" si="10"/>
        <v>260</v>
      </c>
      <c r="AF8" s="11">
        <f t="shared" si="10"/>
        <v>4160</v>
      </c>
      <c r="AG8" s="11">
        <f t="shared" si="0"/>
        <v>2876</v>
      </c>
    </row>
    <row r="9" spans="1:33" s="19" customFormat="1" ht="25.15" customHeight="1" x14ac:dyDescent="0.25">
      <c r="A9" s="37">
        <v>4</v>
      </c>
      <c r="B9" s="38">
        <v>45901</v>
      </c>
      <c r="C9" s="11">
        <v>50</v>
      </c>
      <c r="D9" s="11">
        <f t="shared" si="1"/>
        <v>700</v>
      </c>
      <c r="E9" s="11">
        <v>100</v>
      </c>
      <c r="F9" s="11">
        <f t="shared" si="2"/>
        <v>1200</v>
      </c>
      <c r="G9" s="11">
        <v>50</v>
      </c>
      <c r="H9" s="11">
        <f t="shared" si="3"/>
        <v>600</v>
      </c>
      <c r="I9" s="11">
        <v>30</v>
      </c>
      <c r="J9" s="11">
        <f t="shared" si="4"/>
        <v>1200</v>
      </c>
      <c r="K9" s="11">
        <v>20</v>
      </c>
      <c r="L9" s="11">
        <f t="shared" si="5"/>
        <v>240</v>
      </c>
      <c r="M9" s="11"/>
      <c r="N9" s="11">
        <f t="shared" si="6"/>
        <v>0</v>
      </c>
      <c r="O9" s="11"/>
      <c r="P9" s="11">
        <f>O9*40</f>
        <v>0</v>
      </c>
      <c r="Q9" s="11">
        <v>10</v>
      </c>
      <c r="R9" s="11">
        <f t="shared" si="7"/>
        <v>140</v>
      </c>
      <c r="S9" s="11"/>
      <c r="T9" s="11">
        <f t="shared" si="8"/>
        <v>0</v>
      </c>
      <c r="U9" s="11"/>
      <c r="V9" s="11">
        <f>U9*24</f>
        <v>0</v>
      </c>
      <c r="W9" s="11"/>
      <c r="X9" s="11">
        <f t="shared" si="9"/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54">
        <f t="shared" si="10"/>
        <v>260</v>
      </c>
      <c r="AF9" s="11">
        <f t="shared" si="10"/>
        <v>4080</v>
      </c>
      <c r="AG9" s="11">
        <f t="shared" si="0"/>
        <v>2685.6</v>
      </c>
    </row>
    <row r="10" spans="1:33" s="19" customFormat="1" ht="25.15" customHeight="1" x14ac:dyDescent="0.25">
      <c r="A10" s="37">
        <v>5</v>
      </c>
      <c r="B10" s="38">
        <v>45931</v>
      </c>
      <c r="C10" s="11">
        <v>50</v>
      </c>
      <c r="D10" s="11">
        <f t="shared" si="1"/>
        <v>700</v>
      </c>
      <c r="E10" s="11">
        <v>200</v>
      </c>
      <c r="F10" s="11">
        <f t="shared" si="2"/>
        <v>2400</v>
      </c>
      <c r="G10" s="11"/>
      <c r="H10" s="11">
        <f t="shared" si="3"/>
        <v>0</v>
      </c>
      <c r="I10" s="11"/>
      <c r="J10" s="11">
        <f t="shared" si="4"/>
        <v>0</v>
      </c>
      <c r="K10" s="11"/>
      <c r="L10" s="11">
        <f t="shared" si="5"/>
        <v>0</v>
      </c>
      <c r="M10" s="11"/>
      <c r="N10" s="11">
        <f t="shared" si="6"/>
        <v>0</v>
      </c>
      <c r="O10" s="11"/>
      <c r="P10" s="11"/>
      <c r="Q10" s="11"/>
      <c r="R10" s="11">
        <f t="shared" si="7"/>
        <v>0</v>
      </c>
      <c r="S10" s="11"/>
      <c r="T10" s="11">
        <f t="shared" si="8"/>
        <v>0</v>
      </c>
      <c r="U10" s="11"/>
      <c r="V10" s="11"/>
      <c r="W10" s="11"/>
      <c r="X10" s="11">
        <f t="shared" si="9"/>
        <v>0</v>
      </c>
      <c r="Y10" s="11"/>
      <c r="Z10" s="11"/>
      <c r="AA10" s="11"/>
      <c r="AB10" s="11"/>
      <c r="AC10" s="11"/>
      <c r="AD10" s="11"/>
      <c r="AE10" s="54">
        <f t="shared" si="10"/>
        <v>250</v>
      </c>
      <c r="AF10" s="11">
        <f t="shared" si="10"/>
        <v>3100</v>
      </c>
      <c r="AG10" s="11">
        <f t="shared" si="0"/>
        <v>2848</v>
      </c>
    </row>
    <row r="11" spans="1:33" s="19" customFormat="1" ht="25.15" customHeight="1" x14ac:dyDescent="0.25">
      <c r="A11" s="37">
        <v>6</v>
      </c>
      <c r="B11" s="38"/>
      <c r="C11" s="11"/>
      <c r="D11" s="11">
        <f t="shared" si="1"/>
        <v>0</v>
      </c>
      <c r="E11" s="11"/>
      <c r="F11" s="11">
        <f t="shared" si="2"/>
        <v>0</v>
      </c>
      <c r="G11" s="11"/>
      <c r="H11" s="11">
        <f t="shared" si="3"/>
        <v>0</v>
      </c>
      <c r="I11" s="11"/>
      <c r="J11" s="11">
        <f t="shared" si="4"/>
        <v>0</v>
      </c>
      <c r="K11" s="11"/>
      <c r="L11" s="11">
        <f t="shared" si="5"/>
        <v>0</v>
      </c>
      <c r="M11" s="11"/>
      <c r="N11" s="11">
        <f t="shared" si="6"/>
        <v>0</v>
      </c>
      <c r="O11" s="11"/>
      <c r="P11" s="11"/>
      <c r="Q11" s="11"/>
      <c r="R11" s="11">
        <f t="shared" si="7"/>
        <v>0</v>
      </c>
      <c r="S11" s="11"/>
      <c r="T11" s="11">
        <f t="shared" si="8"/>
        <v>0</v>
      </c>
      <c r="U11" s="11"/>
      <c r="V11" s="11"/>
      <c r="W11" s="11"/>
      <c r="X11" s="11">
        <f t="shared" si="9"/>
        <v>0</v>
      </c>
      <c r="Y11" s="11"/>
      <c r="Z11" s="11"/>
      <c r="AA11" s="11"/>
      <c r="AB11" s="11"/>
      <c r="AC11" s="11"/>
      <c r="AD11" s="11"/>
      <c r="AE11" s="54">
        <f t="shared" si="10"/>
        <v>0</v>
      </c>
      <c r="AF11" s="11">
        <f t="shared" si="10"/>
        <v>0</v>
      </c>
      <c r="AG11" s="11">
        <f t="shared" si="0"/>
        <v>0</v>
      </c>
    </row>
    <row r="12" spans="1:33" s="19" customFormat="1" ht="25.15" customHeight="1" x14ac:dyDescent="0.25">
      <c r="A12" s="37">
        <v>7</v>
      </c>
      <c r="B12" s="38"/>
      <c r="C12" s="11"/>
      <c r="D12" s="11">
        <f t="shared" si="1"/>
        <v>0</v>
      </c>
      <c r="E12" s="11"/>
      <c r="F12" s="11">
        <f t="shared" si="2"/>
        <v>0</v>
      </c>
      <c r="G12" s="11"/>
      <c r="H12" s="11"/>
      <c r="I12" s="11"/>
      <c r="J12" s="11">
        <f t="shared" si="4"/>
        <v>0</v>
      </c>
      <c r="K12" s="11"/>
      <c r="L12" s="11">
        <f t="shared" si="5"/>
        <v>0</v>
      </c>
      <c r="M12" s="11"/>
      <c r="N12" s="11">
        <f t="shared" si="6"/>
        <v>0</v>
      </c>
      <c r="O12" s="11"/>
      <c r="P12" s="11"/>
      <c r="Q12" s="11"/>
      <c r="R12" s="11">
        <f t="shared" si="7"/>
        <v>0</v>
      </c>
      <c r="S12" s="11"/>
      <c r="T12" s="11">
        <f t="shared" si="8"/>
        <v>0</v>
      </c>
      <c r="U12" s="11"/>
      <c r="V12" s="11"/>
      <c r="W12" s="11"/>
      <c r="X12" s="11">
        <f t="shared" si="9"/>
        <v>0</v>
      </c>
      <c r="Y12" s="11"/>
      <c r="Z12" s="11"/>
      <c r="AA12" s="11"/>
      <c r="AB12" s="11"/>
      <c r="AC12" s="11"/>
      <c r="AD12" s="11"/>
      <c r="AE12" s="54">
        <f t="shared" si="10"/>
        <v>0</v>
      </c>
      <c r="AF12" s="11">
        <f t="shared" si="10"/>
        <v>0</v>
      </c>
      <c r="AG12" s="11">
        <f t="shared" si="0"/>
        <v>0</v>
      </c>
    </row>
    <row r="13" spans="1:33" ht="25.15" customHeight="1" x14ac:dyDescent="0.6">
      <c r="A13" s="37">
        <v>8</v>
      </c>
      <c r="B13" s="38"/>
      <c r="C13" s="6"/>
      <c r="D13" s="11">
        <f t="shared" si="1"/>
        <v>0</v>
      </c>
      <c r="E13" s="6"/>
      <c r="F13" s="11">
        <f t="shared" si="2"/>
        <v>0</v>
      </c>
      <c r="G13" s="6"/>
      <c r="H13" s="11">
        <f t="shared" si="3"/>
        <v>0</v>
      </c>
      <c r="I13" s="6"/>
      <c r="J13" s="11">
        <f t="shared" si="4"/>
        <v>0</v>
      </c>
      <c r="K13" s="6"/>
      <c r="L13" s="11">
        <f t="shared" si="5"/>
        <v>0</v>
      </c>
      <c r="M13" s="6"/>
      <c r="N13" s="11">
        <f t="shared" si="6"/>
        <v>0</v>
      </c>
      <c r="O13" s="6"/>
      <c r="P13" s="11"/>
      <c r="Q13" s="6"/>
      <c r="R13" s="11">
        <f t="shared" si="7"/>
        <v>0</v>
      </c>
      <c r="S13" s="6"/>
      <c r="T13" s="11">
        <f t="shared" si="8"/>
        <v>0</v>
      </c>
      <c r="U13" s="11"/>
      <c r="V13" s="11"/>
      <c r="W13" s="6"/>
      <c r="X13" s="11">
        <f t="shared" si="9"/>
        <v>0</v>
      </c>
      <c r="Y13" s="11"/>
      <c r="Z13" s="11"/>
      <c r="AA13" s="6"/>
      <c r="AB13" s="6"/>
      <c r="AC13" s="6"/>
      <c r="AD13" s="6"/>
      <c r="AE13" s="54">
        <f t="shared" si="10"/>
        <v>0</v>
      </c>
      <c r="AF13" s="6">
        <f t="shared" si="10"/>
        <v>0</v>
      </c>
      <c r="AG13" s="11">
        <f t="shared" si="0"/>
        <v>0</v>
      </c>
    </row>
    <row r="14" spans="1:33" ht="25.15" customHeight="1" x14ac:dyDescent="0.6">
      <c r="A14" s="37">
        <v>9</v>
      </c>
      <c r="B14" s="38"/>
      <c r="C14" s="6"/>
      <c r="D14" s="11">
        <f t="shared" si="1"/>
        <v>0</v>
      </c>
      <c r="E14" s="6"/>
      <c r="F14" s="11">
        <f t="shared" si="2"/>
        <v>0</v>
      </c>
      <c r="G14" s="6"/>
      <c r="H14" s="11">
        <f t="shared" si="3"/>
        <v>0</v>
      </c>
      <c r="I14" s="6"/>
      <c r="J14" s="11">
        <f t="shared" si="4"/>
        <v>0</v>
      </c>
      <c r="K14" s="6"/>
      <c r="L14" s="11">
        <f t="shared" si="5"/>
        <v>0</v>
      </c>
      <c r="M14" s="6"/>
      <c r="N14" s="11">
        <f t="shared" si="6"/>
        <v>0</v>
      </c>
      <c r="O14" s="6"/>
      <c r="P14" s="11"/>
      <c r="Q14" s="6"/>
      <c r="R14" s="11">
        <f t="shared" si="7"/>
        <v>0</v>
      </c>
      <c r="S14" s="6"/>
      <c r="T14" s="11">
        <f t="shared" si="8"/>
        <v>0</v>
      </c>
      <c r="U14" s="11"/>
      <c r="V14" s="11"/>
      <c r="W14" s="6"/>
      <c r="X14" s="11">
        <f t="shared" si="9"/>
        <v>0</v>
      </c>
      <c r="Y14" s="11"/>
      <c r="Z14" s="11"/>
      <c r="AA14" s="6"/>
      <c r="AB14" s="6"/>
      <c r="AC14" s="6"/>
      <c r="AD14" s="6"/>
      <c r="AE14" s="54">
        <f t="shared" si="10"/>
        <v>0</v>
      </c>
      <c r="AF14" s="6">
        <f t="shared" si="10"/>
        <v>0</v>
      </c>
      <c r="AG14" s="11">
        <f t="shared" si="0"/>
        <v>0</v>
      </c>
    </row>
    <row r="15" spans="1:33" ht="25.15" customHeight="1" x14ac:dyDescent="0.6">
      <c r="A15" s="37">
        <v>10</v>
      </c>
      <c r="B15" s="38"/>
      <c r="C15" s="6"/>
      <c r="D15" s="11">
        <f t="shared" si="1"/>
        <v>0</v>
      </c>
      <c r="E15" s="6"/>
      <c r="F15" s="11">
        <f t="shared" si="2"/>
        <v>0</v>
      </c>
      <c r="G15" s="6"/>
      <c r="H15" s="11">
        <f t="shared" si="3"/>
        <v>0</v>
      </c>
      <c r="I15" s="6"/>
      <c r="J15" s="11">
        <f t="shared" si="4"/>
        <v>0</v>
      </c>
      <c r="K15" s="6"/>
      <c r="L15" s="11"/>
      <c r="M15" s="6"/>
      <c r="N15" s="11">
        <f t="shared" si="6"/>
        <v>0</v>
      </c>
      <c r="O15" s="6"/>
      <c r="P15" s="11"/>
      <c r="Q15" s="6"/>
      <c r="R15" s="11">
        <f t="shared" si="7"/>
        <v>0</v>
      </c>
      <c r="S15" s="6"/>
      <c r="T15" s="11">
        <f t="shared" si="8"/>
        <v>0</v>
      </c>
      <c r="U15" s="11"/>
      <c r="V15" s="11"/>
      <c r="W15" s="6"/>
      <c r="X15" s="11">
        <f t="shared" si="9"/>
        <v>0</v>
      </c>
      <c r="Y15" s="11"/>
      <c r="Z15" s="11"/>
      <c r="AA15" s="6"/>
      <c r="AB15" s="6"/>
      <c r="AC15" s="6"/>
      <c r="AD15" s="6"/>
      <c r="AE15" s="11">
        <f t="shared" si="10"/>
        <v>0</v>
      </c>
      <c r="AF15" s="6">
        <f t="shared" si="10"/>
        <v>0</v>
      </c>
      <c r="AG15" s="11">
        <f t="shared" si="0"/>
        <v>0</v>
      </c>
    </row>
    <row r="16" spans="1:33" ht="25.15" customHeight="1" x14ac:dyDescent="0.6">
      <c r="A16" s="39">
        <v>11</v>
      </c>
      <c r="B16" s="38"/>
      <c r="C16" s="6"/>
      <c r="D16" s="11">
        <f t="shared" si="1"/>
        <v>0</v>
      </c>
      <c r="E16" s="6"/>
      <c r="F16" s="11">
        <f t="shared" si="2"/>
        <v>0</v>
      </c>
      <c r="G16" s="6"/>
      <c r="H16" s="11">
        <f t="shared" si="3"/>
        <v>0</v>
      </c>
      <c r="I16" s="6"/>
      <c r="J16" s="11">
        <f t="shared" si="4"/>
        <v>0</v>
      </c>
      <c r="K16" s="6"/>
      <c r="L16" s="11"/>
      <c r="M16" s="6"/>
      <c r="N16" s="11">
        <f t="shared" si="6"/>
        <v>0</v>
      </c>
      <c r="O16" s="6"/>
      <c r="P16" s="11"/>
      <c r="Q16" s="6"/>
      <c r="R16" s="11">
        <f t="shared" si="7"/>
        <v>0</v>
      </c>
      <c r="S16" s="6"/>
      <c r="T16" s="11">
        <f t="shared" si="8"/>
        <v>0</v>
      </c>
      <c r="U16" s="6"/>
      <c r="V16" s="11"/>
      <c r="W16" s="6"/>
      <c r="X16" s="11">
        <f t="shared" si="9"/>
        <v>0</v>
      </c>
      <c r="Y16" s="11"/>
      <c r="Z16" s="11"/>
      <c r="AA16" s="6"/>
      <c r="AB16" s="6"/>
      <c r="AC16" s="6"/>
      <c r="AD16" s="6"/>
      <c r="AE16" s="11">
        <f t="shared" si="10"/>
        <v>0</v>
      </c>
      <c r="AF16" s="6">
        <f t="shared" si="10"/>
        <v>0</v>
      </c>
      <c r="AG16" s="11">
        <f t="shared" si="0"/>
        <v>0</v>
      </c>
    </row>
    <row r="17" spans="1:33" ht="25.15" customHeight="1" x14ac:dyDescent="0.6">
      <c r="A17" s="39"/>
      <c r="B17" s="38"/>
      <c r="C17" s="6"/>
      <c r="D17" s="11">
        <f t="shared" si="1"/>
        <v>0</v>
      </c>
      <c r="E17" s="6"/>
      <c r="F17" s="11">
        <f t="shared" si="2"/>
        <v>0</v>
      </c>
      <c r="G17" s="6"/>
      <c r="H17" s="11">
        <f t="shared" si="3"/>
        <v>0</v>
      </c>
      <c r="I17" s="6"/>
      <c r="J17" s="11">
        <f t="shared" si="4"/>
        <v>0</v>
      </c>
      <c r="K17" s="6"/>
      <c r="L17" s="11"/>
      <c r="M17" s="6"/>
      <c r="N17" s="11">
        <f t="shared" si="6"/>
        <v>0</v>
      </c>
      <c r="O17" s="6"/>
      <c r="P17" s="11"/>
      <c r="Q17" s="6"/>
      <c r="R17" s="11">
        <f t="shared" si="7"/>
        <v>0</v>
      </c>
      <c r="S17" s="6"/>
      <c r="T17" s="11">
        <f t="shared" si="8"/>
        <v>0</v>
      </c>
      <c r="U17" s="6"/>
      <c r="V17" s="11"/>
      <c r="W17" s="6"/>
      <c r="X17" s="11"/>
      <c r="Y17" s="11"/>
      <c r="Z17" s="11"/>
      <c r="AA17" s="6"/>
      <c r="AB17" s="6"/>
      <c r="AC17" s="6"/>
      <c r="AD17" s="6"/>
      <c r="AE17" s="6">
        <f t="shared" si="10"/>
        <v>0</v>
      </c>
      <c r="AF17" s="6">
        <f t="shared" si="10"/>
        <v>0</v>
      </c>
      <c r="AG17" s="11">
        <f t="shared" si="0"/>
        <v>0</v>
      </c>
    </row>
    <row r="18" spans="1:33" ht="25.15" customHeight="1" x14ac:dyDescent="0.6">
      <c r="A18" s="39"/>
      <c r="B18" s="38"/>
      <c r="C18" s="6"/>
      <c r="D18" s="11">
        <f t="shared" si="1"/>
        <v>0</v>
      </c>
      <c r="E18" s="6"/>
      <c r="F18" s="11">
        <f t="shared" si="2"/>
        <v>0</v>
      </c>
      <c r="G18" s="6"/>
      <c r="H18" s="11">
        <f t="shared" si="3"/>
        <v>0</v>
      </c>
      <c r="I18" s="6"/>
      <c r="J18" s="11">
        <f t="shared" si="4"/>
        <v>0</v>
      </c>
      <c r="K18" s="6"/>
      <c r="L18" s="11"/>
      <c r="M18" s="6"/>
      <c r="N18" s="11">
        <f t="shared" si="6"/>
        <v>0</v>
      </c>
      <c r="O18" s="6"/>
      <c r="P18" s="11"/>
      <c r="Q18" s="6"/>
      <c r="R18" s="11">
        <f t="shared" si="7"/>
        <v>0</v>
      </c>
      <c r="S18" s="6"/>
      <c r="T18" s="11">
        <f t="shared" si="8"/>
        <v>0</v>
      </c>
      <c r="U18" s="6"/>
      <c r="V18" s="11"/>
      <c r="W18" s="6"/>
      <c r="X18" s="11"/>
      <c r="Y18" s="11"/>
      <c r="Z18" s="11"/>
      <c r="AA18" s="6"/>
      <c r="AB18" s="6"/>
      <c r="AC18" s="6"/>
      <c r="AD18" s="6"/>
      <c r="AE18" s="6">
        <f t="shared" si="10"/>
        <v>0</v>
      </c>
      <c r="AF18" s="6">
        <f t="shared" si="10"/>
        <v>0</v>
      </c>
      <c r="AG18" s="11">
        <f t="shared" si="0"/>
        <v>0</v>
      </c>
    </row>
    <row r="19" spans="1:33" ht="25.15" customHeight="1" x14ac:dyDescent="0.6">
      <c r="A19" s="39"/>
      <c r="B19" s="40"/>
      <c r="C19" s="6"/>
      <c r="D19" s="11">
        <f t="shared" si="1"/>
        <v>0</v>
      </c>
      <c r="E19" s="6"/>
      <c r="F19" s="11">
        <f t="shared" si="2"/>
        <v>0</v>
      </c>
      <c r="G19" s="6"/>
      <c r="H19" s="11">
        <f t="shared" si="3"/>
        <v>0</v>
      </c>
      <c r="I19" s="6"/>
      <c r="J19" s="11">
        <f t="shared" si="4"/>
        <v>0</v>
      </c>
      <c r="K19" s="6"/>
      <c r="L19" s="11"/>
      <c r="M19" s="6"/>
      <c r="N19" s="11">
        <f t="shared" si="6"/>
        <v>0</v>
      </c>
      <c r="O19" s="6"/>
      <c r="P19" s="11"/>
      <c r="Q19" s="6"/>
      <c r="R19" s="11"/>
      <c r="S19" s="6"/>
      <c r="T19" s="11">
        <f t="shared" si="8"/>
        <v>0</v>
      </c>
      <c r="U19" s="6"/>
      <c r="V19" s="11"/>
      <c r="W19" s="6"/>
      <c r="X19" s="11"/>
      <c r="Y19" s="11"/>
      <c r="Z19" s="11"/>
      <c r="AA19" s="6"/>
      <c r="AB19" s="6"/>
      <c r="AC19" s="6"/>
      <c r="AD19" s="6"/>
      <c r="AE19" s="6">
        <f t="shared" si="10"/>
        <v>0</v>
      </c>
      <c r="AF19" s="6">
        <f t="shared" si="10"/>
        <v>0</v>
      </c>
      <c r="AG19" s="11">
        <f t="shared" si="0"/>
        <v>0</v>
      </c>
    </row>
    <row r="20" spans="1:33" ht="25.15" customHeight="1" x14ac:dyDescent="0.6">
      <c r="A20" s="39"/>
      <c r="B20" s="40"/>
      <c r="C20" s="49">
        <f>SUM(C6:C19)</f>
        <v>350</v>
      </c>
      <c r="D20" s="6">
        <f t="shared" ref="D20:AB20" si="11">SUM(D6:D19)</f>
        <v>4900</v>
      </c>
      <c r="E20" s="49">
        <f t="shared" si="11"/>
        <v>600</v>
      </c>
      <c r="F20" s="6">
        <f t="shared" si="11"/>
        <v>7200</v>
      </c>
      <c r="G20" s="49">
        <f t="shared" si="11"/>
        <v>50</v>
      </c>
      <c r="H20" s="6">
        <f t="shared" si="11"/>
        <v>600</v>
      </c>
      <c r="I20" s="49">
        <f t="shared" si="11"/>
        <v>80</v>
      </c>
      <c r="J20" s="6">
        <f t="shared" si="11"/>
        <v>3200</v>
      </c>
      <c r="K20" s="49">
        <f t="shared" si="11"/>
        <v>20</v>
      </c>
      <c r="L20" s="6">
        <f t="shared" si="11"/>
        <v>240</v>
      </c>
      <c r="M20" s="49">
        <f t="shared" si="11"/>
        <v>30</v>
      </c>
      <c r="N20" s="6">
        <f t="shared" si="11"/>
        <v>360</v>
      </c>
      <c r="O20" s="6">
        <f t="shared" si="11"/>
        <v>0</v>
      </c>
      <c r="P20" s="6">
        <f t="shared" si="11"/>
        <v>0</v>
      </c>
      <c r="Q20" s="49">
        <f t="shared" si="11"/>
        <v>20</v>
      </c>
      <c r="R20" s="6">
        <f t="shared" si="11"/>
        <v>280</v>
      </c>
      <c r="S20" s="6">
        <f t="shared" si="11"/>
        <v>0</v>
      </c>
      <c r="T20" s="6">
        <f t="shared" si="11"/>
        <v>0</v>
      </c>
      <c r="U20" s="6">
        <f t="shared" si="11"/>
        <v>0</v>
      </c>
      <c r="V20" s="6">
        <f t="shared" si="11"/>
        <v>0</v>
      </c>
      <c r="W20" s="49">
        <f>SUM(W6:W19)</f>
        <v>10</v>
      </c>
      <c r="X20" s="6">
        <f>SUM(X6:X19)</f>
        <v>140</v>
      </c>
      <c r="Y20" s="6">
        <f t="shared" si="11"/>
        <v>0</v>
      </c>
      <c r="Z20" s="6">
        <f t="shared" si="11"/>
        <v>0</v>
      </c>
      <c r="AA20" s="6">
        <f t="shared" si="11"/>
        <v>0</v>
      </c>
      <c r="AB20" s="6">
        <f t="shared" si="11"/>
        <v>0</v>
      </c>
      <c r="AC20" s="6">
        <f>SUM(AC6:AC19)</f>
        <v>0</v>
      </c>
      <c r="AD20" s="6">
        <f>SUM(AD6:AD19)</f>
        <v>0</v>
      </c>
      <c r="AE20" s="6">
        <f>SUM(AE6:AE19)</f>
        <v>1160</v>
      </c>
      <c r="AF20" s="6">
        <f>SUM(AF6:AF19)</f>
        <v>16920</v>
      </c>
      <c r="AG20" s="13">
        <f>SUM(AG6:AG19)</f>
        <v>12612.8</v>
      </c>
    </row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</sheetData>
  <mergeCells count="19">
    <mergeCell ref="Y3:Z3"/>
    <mergeCell ref="AA3:AB3"/>
    <mergeCell ref="AC3:AD3"/>
    <mergeCell ref="C1:Z1"/>
    <mergeCell ref="U3:V3"/>
    <mergeCell ref="W3:X3"/>
    <mergeCell ref="AE3:AG3"/>
    <mergeCell ref="A2:A4"/>
    <mergeCell ref="B2:B4"/>
    <mergeCell ref="C2:Z2"/>
    <mergeCell ref="C3:D3"/>
    <mergeCell ref="E3:F3"/>
    <mergeCell ref="G3:H3"/>
    <mergeCell ref="I3:J3"/>
    <mergeCell ref="K3:L3"/>
    <mergeCell ref="M3:N3"/>
    <mergeCell ref="O3:P3"/>
    <mergeCell ref="Q3:R3"/>
    <mergeCell ref="S3:T3"/>
  </mergeCells>
  <hyperlinks>
    <hyperlink ref="C1:Z1" location="'SMM YGN '!A1" display="ရွှေစည်းစိမ် (တိုက်ကြီး)" xr:uid="{00000000-0004-0000-1D00-000000000000}"/>
    <hyperlink ref="W1:X1" location="'SMM YGN '!A1" display="ရွှေစည်းစိမ် (တိုက်ကြီး)" xr:uid="{00000000-0004-0000-1D00-000001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7"/>
  <dimension ref="A1:AG91"/>
  <sheetViews>
    <sheetView workbookViewId="0">
      <pane xSplit="2" ySplit="4" topLeftCell="H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X1"/>
    </sheetView>
  </sheetViews>
  <sheetFormatPr defaultColWidth="9" defaultRowHeight="21" x14ac:dyDescent="0.6"/>
  <cols>
    <col min="1" max="1" width="9" style="35"/>
    <col min="2" max="2" width="12.28515625" style="36" customWidth="1"/>
    <col min="3" max="6" width="10.7109375" style="1" customWidth="1"/>
    <col min="7" max="8" width="9.28515625" style="1" customWidth="1"/>
    <col min="9" max="10" width="8.7109375" style="1" customWidth="1"/>
    <col min="11" max="14" width="8.28515625" style="1" customWidth="1"/>
    <col min="15" max="18" width="8.140625" style="1" customWidth="1"/>
    <col min="19" max="22" width="7.28515625" style="1" customWidth="1"/>
    <col min="23" max="24" width="8" style="1" customWidth="1"/>
    <col min="25" max="25" width="7.28515625" style="1" customWidth="1"/>
    <col min="26" max="26" width="8.7109375" style="1" customWidth="1"/>
    <col min="27" max="30" width="7.28515625" style="1" customWidth="1"/>
    <col min="31" max="32" width="7.7109375" style="1" customWidth="1"/>
    <col min="33" max="16384" width="9" style="1"/>
  </cols>
  <sheetData>
    <row r="1" spans="1:33" ht="21.75" x14ac:dyDescent="0.6">
      <c r="A1" s="23"/>
      <c r="B1" s="24"/>
      <c r="C1" s="745" t="s">
        <v>29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Z1" s="1" t="s">
        <v>68</v>
      </c>
      <c r="AA1" s="1">
        <f>AE22</f>
        <v>1020</v>
      </c>
      <c r="AC1" s="25">
        <v>12</v>
      </c>
      <c r="AD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Z2" s="1" t="s">
        <v>67</v>
      </c>
      <c r="AA2" s="27">
        <f>AF22</f>
        <v>15700</v>
      </c>
      <c r="AC2" s="28">
        <v>24</v>
      </c>
      <c r="AD2" s="29">
        <v>40</v>
      </c>
    </row>
    <row r="3" spans="1:33" s="27" customFormat="1" ht="46.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45839</v>
      </c>
      <c r="C6" s="11">
        <v>200</v>
      </c>
      <c r="D6" s="11">
        <f t="shared" ref="D6:D11" si="0">C6*14</f>
        <v>2800</v>
      </c>
      <c r="E6" s="11">
        <v>200</v>
      </c>
      <c r="F6" s="11">
        <f t="shared" ref="F6:F11" si="1">E6*12</f>
        <v>2400</v>
      </c>
      <c r="G6" s="11"/>
      <c r="H6" s="11">
        <f>G6*12</f>
        <v>0</v>
      </c>
      <c r="I6" s="11">
        <v>50</v>
      </c>
      <c r="J6" s="11">
        <f>I6*40</f>
        <v>2000</v>
      </c>
      <c r="K6" s="11"/>
      <c r="L6" s="11">
        <f>K6*12</f>
        <v>0</v>
      </c>
      <c r="M6" s="11">
        <v>60</v>
      </c>
      <c r="N6" s="11">
        <f>M6*12</f>
        <v>720</v>
      </c>
      <c r="O6" s="11"/>
      <c r="P6" s="11">
        <f t="shared" ref="P6:P12" si="2"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510</v>
      </c>
      <c r="AF6" s="11">
        <f>D6+F6+H6+J6+L6+N6+P6+R6+T6+V6+X6+Z6+AB6+AD6</f>
        <v>7920</v>
      </c>
      <c r="AG6" s="11">
        <f>(D6*$D$5)+(F6*$F$5)+(H6*$H$5)+(J6*$J$5)+(L6*$L$5)+(N6*$N$5)+(P6*$P$5)+(R6*$R$5)+(T6*$T$5)+(V6*$V$5)+(X6*$X$5)+(Z6*$Z$5)+(AB6*$AB$5)+(AD6*$AD$5)</f>
        <v>5612</v>
      </c>
    </row>
    <row r="7" spans="1:33" s="19" customFormat="1" ht="25.15" customHeight="1" x14ac:dyDescent="0.25">
      <c r="A7" s="37">
        <v>2</v>
      </c>
      <c r="B7" s="38">
        <v>45931</v>
      </c>
      <c r="C7" s="11">
        <v>100</v>
      </c>
      <c r="D7" s="11">
        <f t="shared" si="0"/>
        <v>1400</v>
      </c>
      <c r="E7" s="11">
        <v>300</v>
      </c>
      <c r="F7" s="11">
        <f t="shared" si="1"/>
        <v>3600</v>
      </c>
      <c r="G7" s="11"/>
      <c r="H7" s="11">
        <f>G7*12</f>
        <v>0</v>
      </c>
      <c r="I7" s="11">
        <v>50</v>
      </c>
      <c r="J7" s="11">
        <f>I7*40</f>
        <v>2000</v>
      </c>
      <c r="K7" s="11">
        <v>30</v>
      </c>
      <c r="L7" s="11">
        <f>K7*12</f>
        <v>360</v>
      </c>
      <c r="M7" s="11"/>
      <c r="N7" s="11">
        <f>M7*12</f>
        <v>0</v>
      </c>
      <c r="O7" s="11"/>
      <c r="P7" s="11">
        <f t="shared" si="2"/>
        <v>0</v>
      </c>
      <c r="Q7" s="11">
        <v>30</v>
      </c>
      <c r="R7" s="11">
        <f>Q7*14</f>
        <v>420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>C7+E7+G7+I7+K7+M7+O7+Q7+S7+U7+W7+Y7+AA7+AC7</f>
        <v>510</v>
      </c>
      <c r="AF7" s="11">
        <f>D7+F7+H7+J7+L7+N7+P7+R7+T7+V7+X7+Z7+AB7+AD7</f>
        <v>7780</v>
      </c>
      <c r="AG7" s="11">
        <f>(D7*$D$5)+(F7*$F$5)+(H7*$H$5)+(J7*$J$5)+(L7*$L$5)+(N7*$N$5)+(P7*$P$5)+(R7*$R$5)+(T7*$T$5)+(V7*$V$5)+(X7*$X$5)+(Z7*$Z$5)+(AB7*$AB$5)+(AD7*$AD$5)</f>
        <v>5716.8</v>
      </c>
    </row>
    <row r="8" spans="1:33" s="19" customFormat="1" ht="25.15" customHeight="1" x14ac:dyDescent="0.25">
      <c r="A8" s="37">
        <v>3</v>
      </c>
      <c r="B8" s="38"/>
      <c r="C8" s="11"/>
      <c r="D8" s="11">
        <f t="shared" si="0"/>
        <v>0</v>
      </c>
      <c r="E8" s="11"/>
      <c r="F8" s="11">
        <f t="shared" si="1"/>
        <v>0</v>
      </c>
      <c r="G8" s="11"/>
      <c r="H8" s="11">
        <f>G8*12</f>
        <v>0</v>
      </c>
      <c r="I8" s="11"/>
      <c r="J8" s="11">
        <f t="shared" ref="J8:J21" si="3">I8*40</f>
        <v>0</v>
      </c>
      <c r="K8" s="11"/>
      <c r="L8" s="11">
        <f t="shared" ref="L8:L15" si="4">K8*12</f>
        <v>0</v>
      </c>
      <c r="M8" s="11"/>
      <c r="N8" s="11">
        <f t="shared" ref="N8:N13" si="5">M8*12</f>
        <v>0</v>
      </c>
      <c r="O8" s="11"/>
      <c r="P8" s="11">
        <f t="shared" si="2"/>
        <v>0</v>
      </c>
      <c r="Q8" s="11"/>
      <c r="R8" s="11">
        <f t="shared" ref="R8:R19" si="6"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ref="AE8:AF17" si="7">C8+E8+G8+I8+K8+M8+O8+Q8+S8+U8+W8+Y8+AA8+AC8</f>
        <v>0</v>
      </c>
      <c r="AF8" s="11">
        <f t="shared" si="7"/>
        <v>0</v>
      </c>
      <c r="AG8" s="11">
        <f t="shared" ref="AG8:AG22" si="8">(D8*$D$5)+(F8*$F$5)+(H8*$H$5)+(J8*$J$5)+(L8*$L$5)+(N8*$N$5)+(P8*$P$5)+(R8*$R$5)+(T8*$T$5)+(V8*$V$5)+(X8*$X$5)+(Z8*$Z$5)+(AB8*$AB$5)+(AD8*$AD$5)</f>
        <v>0</v>
      </c>
    </row>
    <row r="9" spans="1:33" s="19" customFormat="1" ht="25.15" customHeight="1" x14ac:dyDescent="0.25">
      <c r="A9" s="37">
        <v>4</v>
      </c>
      <c r="B9" s="38"/>
      <c r="C9" s="11"/>
      <c r="D9" s="11">
        <f t="shared" si="0"/>
        <v>0</v>
      </c>
      <c r="E9" s="11"/>
      <c r="F9" s="11">
        <f t="shared" si="1"/>
        <v>0</v>
      </c>
      <c r="G9" s="11"/>
      <c r="H9" s="11"/>
      <c r="I9" s="11"/>
      <c r="J9" s="11">
        <f t="shared" si="3"/>
        <v>0</v>
      </c>
      <c r="K9" s="11"/>
      <c r="L9" s="11"/>
      <c r="M9" s="11"/>
      <c r="N9" s="11"/>
      <c r="O9" s="11"/>
      <c r="P9" s="11">
        <f t="shared" si="2"/>
        <v>0</v>
      </c>
      <c r="Q9" s="11"/>
      <c r="R9" s="11">
        <f t="shared" si="6"/>
        <v>0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>
        <f t="shared" si="7"/>
        <v>0</v>
      </c>
      <c r="AF9" s="11">
        <f t="shared" si="7"/>
        <v>0</v>
      </c>
      <c r="AG9" s="11">
        <f t="shared" si="8"/>
        <v>0</v>
      </c>
    </row>
    <row r="10" spans="1:33" s="19" customFormat="1" ht="25.15" customHeight="1" x14ac:dyDescent="0.25">
      <c r="A10" s="37">
        <v>5</v>
      </c>
      <c r="B10" s="38"/>
      <c r="C10" s="11"/>
      <c r="D10" s="11">
        <f t="shared" si="0"/>
        <v>0</v>
      </c>
      <c r="E10" s="11"/>
      <c r="F10" s="11">
        <f t="shared" si="1"/>
        <v>0</v>
      </c>
      <c r="G10" s="11"/>
      <c r="H10" s="11"/>
      <c r="I10" s="11"/>
      <c r="J10" s="11">
        <f t="shared" si="3"/>
        <v>0</v>
      </c>
      <c r="K10" s="11"/>
      <c r="L10" s="11">
        <f t="shared" si="4"/>
        <v>0</v>
      </c>
      <c r="M10" s="11"/>
      <c r="N10" s="11">
        <f t="shared" si="5"/>
        <v>0</v>
      </c>
      <c r="O10" s="11"/>
      <c r="P10" s="11">
        <f t="shared" si="2"/>
        <v>0</v>
      </c>
      <c r="Q10" s="11"/>
      <c r="R10" s="11">
        <f t="shared" si="6"/>
        <v>0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>
        <f t="shared" si="7"/>
        <v>0</v>
      </c>
      <c r="AF10" s="11">
        <f t="shared" si="7"/>
        <v>0</v>
      </c>
      <c r="AG10" s="11">
        <f t="shared" si="8"/>
        <v>0</v>
      </c>
    </row>
    <row r="11" spans="1:33" s="19" customFormat="1" ht="25.15" customHeight="1" x14ac:dyDescent="0.25">
      <c r="A11" s="37">
        <v>6</v>
      </c>
      <c r="B11" s="38"/>
      <c r="C11" s="11"/>
      <c r="D11" s="11">
        <f t="shared" si="0"/>
        <v>0</v>
      </c>
      <c r="E11" s="11"/>
      <c r="F11" s="11">
        <f t="shared" si="1"/>
        <v>0</v>
      </c>
      <c r="G11" s="11"/>
      <c r="H11" s="11"/>
      <c r="I11" s="11"/>
      <c r="J11" s="11">
        <f t="shared" si="3"/>
        <v>0</v>
      </c>
      <c r="K11" s="11"/>
      <c r="L11" s="11">
        <f t="shared" si="4"/>
        <v>0</v>
      </c>
      <c r="M11" s="11"/>
      <c r="N11" s="11">
        <f t="shared" si="5"/>
        <v>0</v>
      </c>
      <c r="O11" s="11"/>
      <c r="P11" s="11">
        <f t="shared" si="2"/>
        <v>0</v>
      </c>
      <c r="Q11" s="11"/>
      <c r="R11" s="11">
        <f t="shared" si="6"/>
        <v>0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>
        <f t="shared" si="7"/>
        <v>0</v>
      </c>
      <c r="AF11" s="11">
        <f t="shared" si="7"/>
        <v>0</v>
      </c>
      <c r="AG11" s="11">
        <f t="shared" si="8"/>
        <v>0</v>
      </c>
    </row>
    <row r="12" spans="1:33" s="19" customFormat="1" ht="25.15" customHeight="1" x14ac:dyDescent="0.25">
      <c r="A12" s="37">
        <v>7</v>
      </c>
      <c r="B12" s="38"/>
      <c r="C12" s="11"/>
      <c r="D12" s="11"/>
      <c r="E12" s="11"/>
      <c r="F12" s="11"/>
      <c r="G12" s="11"/>
      <c r="H12" s="11"/>
      <c r="I12" s="11"/>
      <c r="J12" s="11">
        <f t="shared" si="3"/>
        <v>0</v>
      </c>
      <c r="K12" s="11"/>
      <c r="L12" s="11">
        <f t="shared" si="4"/>
        <v>0</v>
      </c>
      <c r="M12" s="11"/>
      <c r="N12" s="11">
        <f t="shared" si="5"/>
        <v>0</v>
      </c>
      <c r="O12" s="11"/>
      <c r="P12" s="11">
        <f t="shared" si="2"/>
        <v>0</v>
      </c>
      <c r="Q12" s="11"/>
      <c r="R12" s="11">
        <f t="shared" si="6"/>
        <v>0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>
        <f t="shared" si="7"/>
        <v>0</v>
      </c>
      <c r="AF12" s="11">
        <f t="shared" si="7"/>
        <v>0</v>
      </c>
      <c r="AG12" s="11">
        <f t="shared" si="8"/>
        <v>0</v>
      </c>
    </row>
    <row r="13" spans="1:33" ht="25.15" customHeight="1" x14ac:dyDescent="0.6">
      <c r="A13" s="37">
        <v>8</v>
      </c>
      <c r="B13" s="38"/>
      <c r="C13" s="6"/>
      <c r="D13" s="11"/>
      <c r="E13" s="6"/>
      <c r="F13" s="11"/>
      <c r="G13" s="6"/>
      <c r="H13" s="11"/>
      <c r="I13" s="6"/>
      <c r="J13" s="11">
        <f t="shared" si="3"/>
        <v>0</v>
      </c>
      <c r="K13" s="6"/>
      <c r="L13" s="11">
        <f t="shared" si="4"/>
        <v>0</v>
      </c>
      <c r="M13" s="6"/>
      <c r="N13" s="11">
        <f t="shared" si="5"/>
        <v>0</v>
      </c>
      <c r="O13" s="6"/>
      <c r="P13" s="11"/>
      <c r="Q13" s="6"/>
      <c r="R13" s="11">
        <f t="shared" si="6"/>
        <v>0</v>
      </c>
      <c r="S13" s="6"/>
      <c r="T13" s="11"/>
      <c r="U13" s="11"/>
      <c r="V13" s="11"/>
      <c r="W13" s="11"/>
      <c r="X13" s="11"/>
      <c r="Y13" s="6"/>
      <c r="Z13" s="6"/>
      <c r="AA13" s="6"/>
      <c r="AB13" s="6"/>
      <c r="AC13" s="6"/>
      <c r="AD13" s="6"/>
      <c r="AE13" s="11">
        <f t="shared" si="7"/>
        <v>0</v>
      </c>
      <c r="AF13" s="11">
        <f t="shared" si="7"/>
        <v>0</v>
      </c>
      <c r="AG13" s="11">
        <f t="shared" si="8"/>
        <v>0</v>
      </c>
    </row>
    <row r="14" spans="1:33" ht="25.15" customHeight="1" x14ac:dyDescent="0.6">
      <c r="A14" s="39"/>
      <c r="B14" s="38"/>
      <c r="C14" s="6"/>
      <c r="D14" s="11"/>
      <c r="E14" s="6"/>
      <c r="F14" s="11"/>
      <c r="G14" s="6"/>
      <c r="H14" s="11"/>
      <c r="I14" s="6"/>
      <c r="J14" s="11">
        <f t="shared" si="3"/>
        <v>0</v>
      </c>
      <c r="K14" s="6"/>
      <c r="L14" s="11">
        <f t="shared" si="4"/>
        <v>0</v>
      </c>
      <c r="M14" s="6"/>
      <c r="N14" s="11"/>
      <c r="O14" s="6"/>
      <c r="P14" s="11"/>
      <c r="Q14" s="6"/>
      <c r="R14" s="11">
        <f t="shared" si="6"/>
        <v>0</v>
      </c>
      <c r="S14" s="6"/>
      <c r="T14" s="11"/>
      <c r="U14" s="11"/>
      <c r="V14" s="11"/>
      <c r="W14" s="11"/>
      <c r="X14" s="11"/>
      <c r="Y14" s="6"/>
      <c r="Z14" s="6"/>
      <c r="AA14" s="6"/>
      <c r="AB14" s="6"/>
      <c r="AC14" s="6"/>
      <c r="AD14" s="6"/>
      <c r="AE14" s="11">
        <f t="shared" si="7"/>
        <v>0</v>
      </c>
      <c r="AF14" s="11">
        <f t="shared" si="7"/>
        <v>0</v>
      </c>
      <c r="AG14" s="11">
        <f t="shared" si="8"/>
        <v>0</v>
      </c>
    </row>
    <row r="15" spans="1:33" ht="25.15" customHeight="1" x14ac:dyDescent="0.6">
      <c r="A15" s="39"/>
      <c r="B15" s="38"/>
      <c r="C15" s="6"/>
      <c r="D15" s="11"/>
      <c r="E15" s="6"/>
      <c r="F15" s="11"/>
      <c r="G15" s="6"/>
      <c r="H15" s="11"/>
      <c r="I15" s="6"/>
      <c r="J15" s="11">
        <f t="shared" si="3"/>
        <v>0</v>
      </c>
      <c r="K15" s="6"/>
      <c r="L15" s="11">
        <f t="shared" si="4"/>
        <v>0</v>
      </c>
      <c r="M15" s="6"/>
      <c r="N15" s="11"/>
      <c r="O15" s="6"/>
      <c r="P15" s="11"/>
      <c r="Q15" s="6"/>
      <c r="R15" s="11">
        <f t="shared" si="6"/>
        <v>0</v>
      </c>
      <c r="S15" s="6"/>
      <c r="T15" s="11"/>
      <c r="U15" s="11"/>
      <c r="V15" s="11"/>
      <c r="W15" s="11"/>
      <c r="X15" s="11"/>
      <c r="Y15" s="6"/>
      <c r="Z15" s="6"/>
      <c r="AA15" s="6"/>
      <c r="AB15" s="6"/>
      <c r="AC15" s="6"/>
      <c r="AD15" s="6"/>
      <c r="AE15" s="11">
        <f t="shared" si="7"/>
        <v>0</v>
      </c>
      <c r="AF15" s="11">
        <f t="shared" si="7"/>
        <v>0</v>
      </c>
      <c r="AG15" s="11">
        <f t="shared" si="8"/>
        <v>0</v>
      </c>
    </row>
    <row r="16" spans="1:33" ht="25.15" customHeight="1" x14ac:dyDescent="0.6">
      <c r="A16" s="39"/>
      <c r="B16" s="38"/>
      <c r="C16" s="6"/>
      <c r="D16" s="11"/>
      <c r="E16" s="6"/>
      <c r="F16" s="11"/>
      <c r="G16" s="6"/>
      <c r="H16" s="11"/>
      <c r="I16" s="6"/>
      <c r="J16" s="11">
        <f t="shared" si="3"/>
        <v>0</v>
      </c>
      <c r="K16" s="6"/>
      <c r="L16" s="11"/>
      <c r="M16" s="6"/>
      <c r="N16" s="11"/>
      <c r="O16" s="6"/>
      <c r="P16" s="11"/>
      <c r="Q16" s="6"/>
      <c r="R16" s="11">
        <f t="shared" si="6"/>
        <v>0</v>
      </c>
      <c r="S16" s="6"/>
      <c r="T16" s="11"/>
      <c r="U16" s="11"/>
      <c r="V16" s="11"/>
      <c r="W16" s="11"/>
      <c r="X16" s="11"/>
      <c r="Y16" s="6"/>
      <c r="Z16" s="6"/>
      <c r="AA16" s="6"/>
      <c r="AB16" s="6"/>
      <c r="AC16" s="6"/>
      <c r="AD16" s="6"/>
      <c r="AE16" s="11">
        <f t="shared" si="7"/>
        <v>0</v>
      </c>
      <c r="AF16" s="11">
        <f t="shared" si="7"/>
        <v>0</v>
      </c>
      <c r="AG16" s="11">
        <f t="shared" si="8"/>
        <v>0</v>
      </c>
    </row>
    <row r="17" spans="1:33" ht="25.15" customHeight="1" x14ac:dyDescent="0.6">
      <c r="A17" s="39"/>
      <c r="B17" s="38"/>
      <c r="C17" s="6"/>
      <c r="D17" s="11"/>
      <c r="E17" s="6"/>
      <c r="F17" s="11"/>
      <c r="G17" s="6"/>
      <c r="H17" s="11"/>
      <c r="I17" s="6"/>
      <c r="J17" s="11">
        <f t="shared" si="3"/>
        <v>0</v>
      </c>
      <c r="K17" s="6"/>
      <c r="L17" s="11"/>
      <c r="M17" s="6"/>
      <c r="N17" s="11"/>
      <c r="O17" s="6"/>
      <c r="P17" s="11"/>
      <c r="Q17" s="6"/>
      <c r="R17" s="11">
        <f t="shared" si="6"/>
        <v>0</v>
      </c>
      <c r="S17" s="6"/>
      <c r="T17" s="11"/>
      <c r="U17" s="11"/>
      <c r="V17" s="11"/>
      <c r="W17" s="11"/>
      <c r="X17" s="11"/>
      <c r="Y17" s="6"/>
      <c r="Z17" s="6"/>
      <c r="AA17" s="6"/>
      <c r="AB17" s="6"/>
      <c r="AC17" s="6"/>
      <c r="AD17" s="6"/>
      <c r="AE17" s="11">
        <f t="shared" si="7"/>
        <v>0</v>
      </c>
      <c r="AF17" s="11">
        <f t="shared" si="7"/>
        <v>0</v>
      </c>
      <c r="AG17" s="11">
        <f t="shared" si="8"/>
        <v>0</v>
      </c>
    </row>
    <row r="18" spans="1:33" ht="25.15" customHeight="1" x14ac:dyDescent="0.6">
      <c r="A18" s="39"/>
      <c r="B18" s="38"/>
      <c r="C18" s="6"/>
      <c r="D18" s="11"/>
      <c r="E18" s="6"/>
      <c r="F18" s="11"/>
      <c r="G18" s="6"/>
      <c r="H18" s="11"/>
      <c r="I18" s="6"/>
      <c r="J18" s="11">
        <f t="shared" si="3"/>
        <v>0</v>
      </c>
      <c r="K18" s="6"/>
      <c r="L18" s="11"/>
      <c r="M18" s="6"/>
      <c r="N18" s="11"/>
      <c r="O18" s="6"/>
      <c r="P18" s="11"/>
      <c r="Q18" s="6"/>
      <c r="R18" s="11">
        <f t="shared" si="6"/>
        <v>0</v>
      </c>
      <c r="S18" s="6"/>
      <c r="T18" s="11"/>
      <c r="U18" s="11"/>
      <c r="V18" s="11"/>
      <c r="W18" s="11"/>
      <c r="X18" s="11"/>
      <c r="Y18" s="6"/>
      <c r="Z18" s="6"/>
      <c r="AA18" s="6"/>
      <c r="AB18" s="6"/>
      <c r="AC18" s="6"/>
      <c r="AD18" s="6"/>
      <c r="AE18" s="6"/>
      <c r="AF18" s="6"/>
      <c r="AG18" s="11">
        <f t="shared" si="8"/>
        <v>0</v>
      </c>
    </row>
    <row r="19" spans="1:33" ht="25.15" customHeight="1" x14ac:dyDescent="0.6">
      <c r="A19" s="39"/>
      <c r="B19" s="38"/>
      <c r="C19" s="6"/>
      <c r="D19" s="11"/>
      <c r="E19" s="6"/>
      <c r="F19" s="11"/>
      <c r="G19" s="6"/>
      <c r="H19" s="11"/>
      <c r="I19" s="6"/>
      <c r="J19" s="11">
        <f t="shared" si="3"/>
        <v>0</v>
      </c>
      <c r="K19" s="6"/>
      <c r="L19" s="11"/>
      <c r="M19" s="6"/>
      <c r="N19" s="11"/>
      <c r="O19" s="6"/>
      <c r="P19" s="11"/>
      <c r="Q19" s="6"/>
      <c r="R19" s="11">
        <f t="shared" si="6"/>
        <v>0</v>
      </c>
      <c r="S19" s="6"/>
      <c r="T19" s="11"/>
      <c r="U19" s="11"/>
      <c r="V19" s="11"/>
      <c r="W19" s="11"/>
      <c r="X19" s="11"/>
      <c r="Y19" s="6"/>
      <c r="Z19" s="6"/>
      <c r="AA19" s="6"/>
      <c r="AB19" s="6"/>
      <c r="AC19" s="6"/>
      <c r="AD19" s="6"/>
      <c r="AE19" s="6"/>
      <c r="AF19" s="6"/>
      <c r="AG19" s="11">
        <f t="shared" si="8"/>
        <v>0</v>
      </c>
    </row>
    <row r="20" spans="1:33" ht="25.15" customHeight="1" x14ac:dyDescent="0.6">
      <c r="A20" s="39"/>
      <c r="B20" s="38"/>
      <c r="C20" s="6"/>
      <c r="D20" s="11"/>
      <c r="E20" s="6"/>
      <c r="F20" s="11"/>
      <c r="G20" s="6"/>
      <c r="H20" s="11"/>
      <c r="I20" s="6"/>
      <c r="J20" s="11">
        <f t="shared" si="3"/>
        <v>0</v>
      </c>
      <c r="K20" s="6"/>
      <c r="L20" s="11"/>
      <c r="M20" s="6"/>
      <c r="N20" s="11"/>
      <c r="O20" s="6"/>
      <c r="P20" s="11"/>
      <c r="Q20" s="6"/>
      <c r="R20" s="11"/>
      <c r="S20" s="6"/>
      <c r="T20" s="11"/>
      <c r="U20" s="11"/>
      <c r="V20" s="11"/>
      <c r="W20" s="11"/>
      <c r="X20" s="11"/>
      <c r="Y20" s="6"/>
      <c r="Z20" s="6"/>
      <c r="AA20" s="6"/>
      <c r="AB20" s="6"/>
      <c r="AC20" s="6"/>
      <c r="AD20" s="6"/>
      <c r="AE20" s="6"/>
      <c r="AF20" s="6"/>
      <c r="AG20" s="11">
        <f t="shared" si="8"/>
        <v>0</v>
      </c>
    </row>
    <row r="21" spans="1:33" ht="25.15" customHeight="1" x14ac:dyDescent="0.6">
      <c r="A21" s="39"/>
      <c r="B21" s="40"/>
      <c r="C21" s="6"/>
      <c r="D21" s="11"/>
      <c r="E21" s="6"/>
      <c r="F21" s="11"/>
      <c r="G21" s="6"/>
      <c r="H21" s="11"/>
      <c r="I21" s="6"/>
      <c r="J21" s="11">
        <f t="shared" si="3"/>
        <v>0</v>
      </c>
      <c r="K21" s="6"/>
      <c r="L21" s="11"/>
      <c r="M21" s="6"/>
      <c r="N21" s="11"/>
      <c r="O21" s="6"/>
      <c r="P21" s="11"/>
      <c r="Q21" s="6"/>
      <c r="R21" s="11"/>
      <c r="S21" s="6"/>
      <c r="T21" s="11"/>
      <c r="U21" s="11"/>
      <c r="V21" s="11"/>
      <c r="W21" s="11"/>
      <c r="X21" s="11"/>
      <c r="Y21" s="6"/>
      <c r="Z21" s="6"/>
      <c r="AA21" s="6"/>
      <c r="AB21" s="6"/>
      <c r="AC21" s="6"/>
      <c r="AD21" s="6"/>
      <c r="AE21" s="6"/>
      <c r="AF21" s="6"/>
      <c r="AG21" s="11">
        <f t="shared" si="8"/>
        <v>0</v>
      </c>
    </row>
    <row r="22" spans="1:33" ht="25.15" customHeight="1" x14ac:dyDescent="0.6">
      <c r="A22" s="39"/>
      <c r="B22" s="40"/>
      <c r="C22" s="53">
        <f>SUM(C6:C21)</f>
        <v>300</v>
      </c>
      <c r="D22" s="6">
        <f t="shared" ref="D22:AC22" si="9">SUM(D6:D21)</f>
        <v>4200</v>
      </c>
      <c r="E22" s="53">
        <f t="shared" si="9"/>
        <v>500</v>
      </c>
      <c r="F22" s="6">
        <f t="shared" si="9"/>
        <v>6000</v>
      </c>
      <c r="G22" s="6">
        <f t="shared" si="9"/>
        <v>0</v>
      </c>
      <c r="H22" s="6">
        <f t="shared" si="9"/>
        <v>0</v>
      </c>
      <c r="I22" s="49">
        <f t="shared" si="9"/>
        <v>100</v>
      </c>
      <c r="J22" s="6">
        <f t="shared" si="9"/>
        <v>4000</v>
      </c>
      <c r="K22" s="49">
        <f t="shared" si="9"/>
        <v>30</v>
      </c>
      <c r="L22" s="6">
        <f t="shared" si="9"/>
        <v>360</v>
      </c>
      <c r="M22" s="49">
        <f t="shared" si="9"/>
        <v>60</v>
      </c>
      <c r="N22" s="6">
        <f t="shared" si="9"/>
        <v>720</v>
      </c>
      <c r="O22" s="6">
        <f t="shared" si="9"/>
        <v>0</v>
      </c>
      <c r="P22" s="6">
        <f t="shared" si="9"/>
        <v>0</v>
      </c>
      <c r="Q22" s="6">
        <f t="shared" si="9"/>
        <v>30</v>
      </c>
      <c r="R22" s="6">
        <f t="shared" si="9"/>
        <v>420</v>
      </c>
      <c r="S22" s="6">
        <f t="shared" si="9"/>
        <v>0</v>
      </c>
      <c r="T22" s="6">
        <f t="shared" si="9"/>
        <v>0</v>
      </c>
      <c r="U22" s="6">
        <f t="shared" si="9"/>
        <v>0</v>
      </c>
      <c r="V22" s="6">
        <f t="shared" si="9"/>
        <v>0</v>
      </c>
      <c r="W22" s="6">
        <f t="shared" si="9"/>
        <v>0</v>
      </c>
      <c r="X22" s="6">
        <f t="shared" si="9"/>
        <v>0</v>
      </c>
      <c r="Y22" s="6">
        <f t="shared" si="9"/>
        <v>0</v>
      </c>
      <c r="Z22" s="6">
        <f t="shared" si="9"/>
        <v>0</v>
      </c>
      <c r="AA22" s="6">
        <f t="shared" si="9"/>
        <v>0</v>
      </c>
      <c r="AB22" s="6">
        <f t="shared" si="9"/>
        <v>0</v>
      </c>
      <c r="AC22" s="6">
        <f t="shared" si="9"/>
        <v>0</v>
      </c>
      <c r="AD22" s="6">
        <f>SUM(AD6:AD21)</f>
        <v>0</v>
      </c>
      <c r="AE22" s="6">
        <f>SUM(AE6:AE21)</f>
        <v>1020</v>
      </c>
      <c r="AF22" s="6">
        <f>SUM(AF6:AF21)</f>
        <v>15700</v>
      </c>
      <c r="AG22" s="11">
        <f t="shared" si="8"/>
        <v>11328.8</v>
      </c>
    </row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  <row r="91" ht="25.15" customHeight="1" x14ac:dyDescent="0.6"/>
  </sheetData>
  <mergeCells count="19">
    <mergeCell ref="AE3:AG3"/>
    <mergeCell ref="AA3:AB3"/>
    <mergeCell ref="AC3:AD3"/>
    <mergeCell ref="O3:P3"/>
    <mergeCell ref="Q3:R3"/>
    <mergeCell ref="S3:T3"/>
    <mergeCell ref="U3:V3"/>
    <mergeCell ref="W3:X3"/>
    <mergeCell ref="Y3:Z3"/>
    <mergeCell ref="C1:X1"/>
    <mergeCell ref="A2:A4"/>
    <mergeCell ref="B2:B4"/>
    <mergeCell ref="C2:X2"/>
    <mergeCell ref="C3:D3"/>
    <mergeCell ref="E3:F3"/>
    <mergeCell ref="G3:H3"/>
    <mergeCell ref="I3:J3"/>
    <mergeCell ref="K3:L3"/>
    <mergeCell ref="M3:N3"/>
  </mergeCells>
  <hyperlinks>
    <hyperlink ref="C1:X1" location="'SMM YGN '!A1" display="မပို့မချို" xr:uid="{00000000-0004-0000-1E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8"/>
  <dimension ref="A1:AJ99"/>
  <sheetViews>
    <sheetView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AG6" sqref="AG6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0.7109375" style="1" customWidth="1"/>
    <col min="5" max="6" width="10" style="1" customWidth="1"/>
    <col min="7" max="8" width="8.85546875" style="1" customWidth="1"/>
    <col min="9" max="10" width="10" style="1" customWidth="1"/>
    <col min="11" max="14" width="8.85546875" style="1" customWidth="1"/>
    <col min="15" max="16" width="9.7109375" style="1" customWidth="1"/>
    <col min="17" max="18" width="10" style="1" customWidth="1"/>
    <col min="19" max="22" width="8.85546875" style="1" customWidth="1"/>
    <col min="23" max="32" width="8.7109375" style="1" customWidth="1"/>
    <col min="33" max="33" width="11.85546875" style="1" customWidth="1"/>
    <col min="34" max="16384" width="9" style="1"/>
  </cols>
  <sheetData>
    <row r="1" spans="1:36" ht="21.75" x14ac:dyDescent="0.6">
      <c r="A1" s="23"/>
      <c r="B1" s="24"/>
      <c r="C1" s="745" t="s">
        <v>85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C1" s="745"/>
      <c r="AD1" s="745"/>
      <c r="AF1" s="1" t="s">
        <v>68</v>
      </c>
      <c r="AG1" s="1">
        <f>AE29</f>
        <v>0</v>
      </c>
      <c r="AI1" s="25">
        <v>12</v>
      </c>
      <c r="AJ1" s="26">
        <v>14</v>
      </c>
    </row>
    <row r="2" spans="1:36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C2" s="759"/>
      <c r="AD2" s="759"/>
      <c r="AF2" s="1" t="s">
        <v>67</v>
      </c>
      <c r="AG2" s="27">
        <f>AF29</f>
        <v>0</v>
      </c>
      <c r="AI2" s="28">
        <v>24</v>
      </c>
      <c r="AJ2" s="29">
        <v>40</v>
      </c>
    </row>
    <row r="3" spans="1:36" s="27" customFormat="1" ht="47.2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6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  <c r="AI4" s="31"/>
    </row>
    <row r="5" spans="1:36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  <c r="AI5" s="31"/>
    </row>
    <row r="6" spans="1:36" s="19" customFormat="1" ht="25.15" customHeight="1" x14ac:dyDescent="0.25">
      <c r="A6" s="37">
        <v>1</v>
      </c>
      <c r="B6" s="38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0</v>
      </c>
      <c r="AF6" s="11">
        <f>D6+F6+H6+J6+L6+N6+P6+R6+T6+V6+X6+Z6+AB6+AD6</f>
        <v>0</v>
      </c>
      <c r="AG6" s="11">
        <f>(D6*$D$5)+(F6*$F$5)+(H6*$H$5)+(J6*$J$5)+(L6*$L$5)+(N6*$N$5)+(P6*$P$5)+(R6*$R$5)+(T6*$T$5)+(V6*$V$5)+(X6*$X$5)+(Z6*$Z$5)+(AB6*$AB$5)+(AD6*$AD$5)</f>
        <v>0</v>
      </c>
    </row>
    <row r="7" spans="1:36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>C7+E7+G7+I7+K7+M7+O7+Q7+S7+U7+W7+Y7+AA7+AC7</f>
        <v>0</v>
      </c>
      <c r="AF7" s="11">
        <f>D7+F7+H7+J7+L7+N7+P7+R7+T7+V7+X7+Z7+AB7+AD7</f>
        <v>0</v>
      </c>
      <c r="AG7" s="11">
        <f>(D7*$D$5)+(F7*$F$5)+(H7*$H$5)+(J7*$J$5)+(L7*$L$5)+(N7*$N$5)+(P7*$P$5)+(R7*$R$5)+(T7*$T$5)+(V7*$V$5)+(X7*$X$5)+(Z7*$Z$5)+(AB7*$AB$5)+(AD7*$AD$5)</f>
        <v>0</v>
      </c>
    </row>
    <row r="8" spans="1:36" s="19" customFormat="1" ht="25.15" customHeight="1" x14ac:dyDescent="0.25">
      <c r="A8" s="37">
        <v>3</v>
      </c>
      <c r="B8" s="38"/>
      <c r="C8" s="11"/>
      <c r="D8" s="11">
        <f t="shared" ref="D8:D28" si="0">C8*14</f>
        <v>0</v>
      </c>
      <c r="E8" s="11"/>
      <c r="F8" s="11">
        <f t="shared" ref="F8:F28" si="1">E8*12</f>
        <v>0</v>
      </c>
      <c r="G8" s="11"/>
      <c r="H8" s="11">
        <f t="shared" ref="H8:H28" si="2">G8*12</f>
        <v>0</v>
      </c>
      <c r="I8" s="11"/>
      <c r="J8" s="11">
        <f t="shared" ref="J8:J28" si="3">I8*40</f>
        <v>0</v>
      </c>
      <c r="K8" s="11"/>
      <c r="L8" s="11">
        <f t="shared" ref="L8:L28" si="4">K8*12</f>
        <v>0</v>
      </c>
      <c r="M8" s="11"/>
      <c r="N8" s="11">
        <f t="shared" ref="N8:N28" si="5">M8*12</f>
        <v>0</v>
      </c>
      <c r="O8" s="11"/>
      <c r="P8" s="11">
        <f t="shared" ref="P8:P28" si="6">O8*40</f>
        <v>0</v>
      </c>
      <c r="Q8" s="11"/>
      <c r="R8" s="11">
        <f t="shared" ref="R8:R28" si="7">Q8*14</f>
        <v>0</v>
      </c>
      <c r="S8" s="11"/>
      <c r="T8" s="11">
        <f t="shared" ref="T8:T28" si="8">S8*14</f>
        <v>0</v>
      </c>
      <c r="U8" s="11"/>
      <c r="V8" s="11">
        <f t="shared" ref="V8:V28" si="9">U8*24</f>
        <v>0</v>
      </c>
      <c r="W8" s="11"/>
      <c r="X8" s="11">
        <f t="shared" ref="X8:X28" si="10">W8*12</f>
        <v>0</v>
      </c>
      <c r="Y8" s="11"/>
      <c r="Z8" s="11">
        <f t="shared" ref="Z8:Z28" si="11">Y8*12</f>
        <v>0</v>
      </c>
      <c r="AA8" s="11"/>
      <c r="AB8" s="11">
        <f t="shared" ref="AB8:AB28" si="12">AA8*12</f>
        <v>0</v>
      </c>
      <c r="AC8" s="11"/>
      <c r="AD8" s="11">
        <f t="shared" ref="AD8:AD28" si="13">AC8*12</f>
        <v>0</v>
      </c>
      <c r="AE8" s="11">
        <f t="shared" ref="AE8:AF22" si="14">C8+E8+G8+I8+K8+M8+O8+Q8+S8+U8+W8+Y8+AA8+AC8</f>
        <v>0</v>
      </c>
      <c r="AF8" s="11">
        <f t="shared" si="14"/>
        <v>0</v>
      </c>
      <c r="AG8" s="11">
        <f t="shared" ref="AG8:AG29" si="15">(D8*$D$5)+(F8*$F$5)+(H8*$H$5)+(J8*$J$5)+(L8*$L$5)+(N8*$N$5)+(P8*$P$5)+(R8*$R$5)+(T8*$T$5)+(V8*$V$5)+(X8*$X$5)+(Z8*$Z$5)+(AB8*$AB$5)+(AD8*$AD$5)</f>
        <v>0</v>
      </c>
    </row>
    <row r="9" spans="1:36" s="19" customFormat="1" ht="25.15" customHeight="1" x14ac:dyDescent="0.25">
      <c r="A9" s="37">
        <v>4</v>
      </c>
      <c r="B9" s="38"/>
      <c r="C9" s="11"/>
      <c r="D9" s="11">
        <f t="shared" si="0"/>
        <v>0</v>
      </c>
      <c r="E9" s="11"/>
      <c r="F9" s="11">
        <f t="shared" si="1"/>
        <v>0</v>
      </c>
      <c r="G9" s="11"/>
      <c r="H9" s="11">
        <f t="shared" si="2"/>
        <v>0</v>
      </c>
      <c r="I9" s="11"/>
      <c r="J9" s="11">
        <f t="shared" si="3"/>
        <v>0</v>
      </c>
      <c r="K9" s="11"/>
      <c r="L9" s="11">
        <f t="shared" si="4"/>
        <v>0</v>
      </c>
      <c r="M9" s="11"/>
      <c r="N9" s="11">
        <f t="shared" si="5"/>
        <v>0</v>
      </c>
      <c r="O9" s="11"/>
      <c r="P9" s="11">
        <f t="shared" si="6"/>
        <v>0</v>
      </c>
      <c r="Q9" s="11"/>
      <c r="R9" s="11">
        <f t="shared" si="7"/>
        <v>0</v>
      </c>
      <c r="S9" s="11"/>
      <c r="T9" s="11">
        <f t="shared" si="8"/>
        <v>0</v>
      </c>
      <c r="U9" s="11"/>
      <c r="V9" s="11">
        <f t="shared" si="9"/>
        <v>0</v>
      </c>
      <c r="W9" s="11"/>
      <c r="X9" s="11">
        <f t="shared" si="10"/>
        <v>0</v>
      </c>
      <c r="Y9" s="11"/>
      <c r="Z9" s="11">
        <f t="shared" si="11"/>
        <v>0</v>
      </c>
      <c r="AA9" s="11"/>
      <c r="AB9" s="11">
        <f t="shared" si="12"/>
        <v>0</v>
      </c>
      <c r="AC9" s="11"/>
      <c r="AD9" s="11">
        <f t="shared" si="13"/>
        <v>0</v>
      </c>
      <c r="AE9" s="11">
        <f t="shared" si="14"/>
        <v>0</v>
      </c>
      <c r="AF9" s="11">
        <f t="shared" si="14"/>
        <v>0</v>
      </c>
      <c r="AG9" s="11">
        <f t="shared" si="15"/>
        <v>0</v>
      </c>
    </row>
    <row r="10" spans="1:36" s="19" customFormat="1" ht="25.15" customHeight="1" x14ac:dyDescent="0.25">
      <c r="A10" s="37">
        <v>5</v>
      </c>
      <c r="B10" s="38"/>
      <c r="C10" s="11"/>
      <c r="D10" s="11">
        <f t="shared" si="0"/>
        <v>0</v>
      </c>
      <c r="E10" s="11"/>
      <c r="F10" s="11">
        <f t="shared" si="1"/>
        <v>0</v>
      </c>
      <c r="G10" s="11"/>
      <c r="H10" s="11">
        <f t="shared" si="2"/>
        <v>0</v>
      </c>
      <c r="I10" s="11"/>
      <c r="J10" s="11">
        <f t="shared" si="3"/>
        <v>0</v>
      </c>
      <c r="K10" s="11"/>
      <c r="L10" s="11">
        <f t="shared" si="4"/>
        <v>0</v>
      </c>
      <c r="M10" s="11"/>
      <c r="N10" s="11">
        <f t="shared" si="5"/>
        <v>0</v>
      </c>
      <c r="O10" s="11"/>
      <c r="P10" s="11">
        <f t="shared" si="6"/>
        <v>0</v>
      </c>
      <c r="Q10" s="11"/>
      <c r="R10" s="11">
        <f t="shared" si="7"/>
        <v>0</v>
      </c>
      <c r="S10" s="11"/>
      <c r="T10" s="11">
        <f t="shared" si="8"/>
        <v>0</v>
      </c>
      <c r="U10" s="11"/>
      <c r="V10" s="11">
        <f t="shared" si="9"/>
        <v>0</v>
      </c>
      <c r="W10" s="11"/>
      <c r="X10" s="11">
        <f t="shared" si="10"/>
        <v>0</v>
      </c>
      <c r="Y10" s="11"/>
      <c r="Z10" s="11">
        <f t="shared" si="11"/>
        <v>0</v>
      </c>
      <c r="AA10" s="11"/>
      <c r="AB10" s="11">
        <f t="shared" si="12"/>
        <v>0</v>
      </c>
      <c r="AC10" s="11"/>
      <c r="AD10" s="11">
        <f t="shared" si="13"/>
        <v>0</v>
      </c>
      <c r="AE10" s="11">
        <f>C10+E10+G10+I10+K10+M10+O10+Q10+S10+U10+W10+Y10+AA10+AC10</f>
        <v>0</v>
      </c>
      <c r="AF10" s="11">
        <f t="shared" si="14"/>
        <v>0</v>
      </c>
      <c r="AG10" s="11">
        <f t="shared" si="15"/>
        <v>0</v>
      </c>
    </row>
    <row r="11" spans="1:36" s="19" customFormat="1" ht="25.15" customHeight="1" x14ac:dyDescent="0.25">
      <c r="A11" s="37">
        <v>6</v>
      </c>
      <c r="B11" s="38"/>
      <c r="C11" s="11"/>
      <c r="D11" s="11">
        <f t="shared" si="0"/>
        <v>0</v>
      </c>
      <c r="E11" s="11"/>
      <c r="F11" s="11">
        <f t="shared" si="1"/>
        <v>0</v>
      </c>
      <c r="G11" s="11"/>
      <c r="H11" s="11">
        <f t="shared" si="2"/>
        <v>0</v>
      </c>
      <c r="I11" s="11"/>
      <c r="J11" s="11">
        <f t="shared" si="3"/>
        <v>0</v>
      </c>
      <c r="K11" s="11"/>
      <c r="L11" s="11">
        <f t="shared" si="4"/>
        <v>0</v>
      </c>
      <c r="M11" s="11"/>
      <c r="N11" s="11">
        <f t="shared" si="5"/>
        <v>0</v>
      </c>
      <c r="O11" s="11"/>
      <c r="P11" s="11">
        <f t="shared" si="6"/>
        <v>0</v>
      </c>
      <c r="Q11" s="11"/>
      <c r="R11" s="11">
        <f t="shared" si="7"/>
        <v>0</v>
      </c>
      <c r="S11" s="11"/>
      <c r="T11" s="11">
        <f t="shared" si="8"/>
        <v>0</v>
      </c>
      <c r="U11" s="11"/>
      <c r="V11" s="11">
        <f t="shared" si="9"/>
        <v>0</v>
      </c>
      <c r="W11" s="11"/>
      <c r="X11" s="11">
        <f t="shared" si="10"/>
        <v>0</v>
      </c>
      <c r="Y11" s="11"/>
      <c r="Z11" s="11">
        <f t="shared" si="11"/>
        <v>0</v>
      </c>
      <c r="AA11" s="11"/>
      <c r="AB11" s="11">
        <f t="shared" si="12"/>
        <v>0</v>
      </c>
      <c r="AC11" s="11"/>
      <c r="AD11" s="11">
        <f t="shared" si="13"/>
        <v>0</v>
      </c>
      <c r="AE11" s="11">
        <f t="shared" si="14"/>
        <v>0</v>
      </c>
      <c r="AF11" s="11">
        <f t="shared" si="14"/>
        <v>0</v>
      </c>
      <c r="AG11" s="11">
        <f t="shared" si="15"/>
        <v>0</v>
      </c>
    </row>
    <row r="12" spans="1:36" ht="25.15" customHeight="1" x14ac:dyDescent="0.6">
      <c r="A12" s="37">
        <v>7</v>
      </c>
      <c r="B12" s="38"/>
      <c r="C12" s="6"/>
      <c r="D12" s="11">
        <f t="shared" si="0"/>
        <v>0</v>
      </c>
      <c r="E12" s="6"/>
      <c r="F12" s="11">
        <f t="shared" si="1"/>
        <v>0</v>
      </c>
      <c r="G12" s="6"/>
      <c r="H12" s="11">
        <f t="shared" si="2"/>
        <v>0</v>
      </c>
      <c r="I12" s="6"/>
      <c r="J12" s="11">
        <f t="shared" si="3"/>
        <v>0</v>
      </c>
      <c r="K12" s="6"/>
      <c r="L12" s="11">
        <f t="shared" si="4"/>
        <v>0</v>
      </c>
      <c r="M12" s="6"/>
      <c r="N12" s="11">
        <f t="shared" si="5"/>
        <v>0</v>
      </c>
      <c r="O12" s="6"/>
      <c r="P12" s="11">
        <f t="shared" si="6"/>
        <v>0</v>
      </c>
      <c r="Q12" s="6"/>
      <c r="R12" s="11">
        <f t="shared" si="7"/>
        <v>0</v>
      </c>
      <c r="S12" s="6"/>
      <c r="T12" s="11">
        <f t="shared" si="8"/>
        <v>0</v>
      </c>
      <c r="U12" s="6"/>
      <c r="V12" s="11">
        <f t="shared" si="9"/>
        <v>0</v>
      </c>
      <c r="W12" s="11"/>
      <c r="X12" s="11">
        <f t="shared" si="10"/>
        <v>0</v>
      </c>
      <c r="Y12" s="11"/>
      <c r="Z12" s="11">
        <f t="shared" si="11"/>
        <v>0</v>
      </c>
      <c r="AA12" s="11"/>
      <c r="AB12" s="11">
        <f t="shared" si="12"/>
        <v>0</v>
      </c>
      <c r="AC12" s="11"/>
      <c r="AD12" s="11">
        <f t="shared" si="13"/>
        <v>0</v>
      </c>
      <c r="AE12" s="11">
        <f t="shared" si="14"/>
        <v>0</v>
      </c>
      <c r="AF12" s="11">
        <f t="shared" si="14"/>
        <v>0</v>
      </c>
      <c r="AG12" s="11">
        <f t="shared" si="15"/>
        <v>0</v>
      </c>
    </row>
    <row r="13" spans="1:36" ht="25.15" customHeight="1" x14ac:dyDescent="0.6">
      <c r="A13" s="37">
        <v>8</v>
      </c>
      <c r="B13" s="38"/>
      <c r="C13" s="6"/>
      <c r="D13" s="11">
        <f t="shared" si="0"/>
        <v>0</v>
      </c>
      <c r="E13" s="6"/>
      <c r="F13" s="11">
        <f t="shared" si="1"/>
        <v>0</v>
      </c>
      <c r="G13" s="6"/>
      <c r="H13" s="11">
        <f t="shared" si="2"/>
        <v>0</v>
      </c>
      <c r="I13" s="6"/>
      <c r="J13" s="11">
        <f t="shared" si="3"/>
        <v>0</v>
      </c>
      <c r="K13" s="6"/>
      <c r="L13" s="11">
        <f t="shared" si="4"/>
        <v>0</v>
      </c>
      <c r="M13" s="6"/>
      <c r="N13" s="11">
        <f t="shared" si="5"/>
        <v>0</v>
      </c>
      <c r="O13" s="6"/>
      <c r="P13" s="11">
        <f t="shared" si="6"/>
        <v>0</v>
      </c>
      <c r="Q13" s="6"/>
      <c r="R13" s="11">
        <f t="shared" si="7"/>
        <v>0</v>
      </c>
      <c r="S13" s="6"/>
      <c r="T13" s="11">
        <f t="shared" si="8"/>
        <v>0</v>
      </c>
      <c r="U13" s="6"/>
      <c r="V13" s="11">
        <f t="shared" si="9"/>
        <v>0</v>
      </c>
      <c r="W13" s="11"/>
      <c r="X13" s="11">
        <f t="shared" si="10"/>
        <v>0</v>
      </c>
      <c r="Y13" s="11"/>
      <c r="Z13" s="11">
        <f t="shared" si="11"/>
        <v>0</v>
      </c>
      <c r="AA13" s="11"/>
      <c r="AB13" s="11">
        <f t="shared" si="12"/>
        <v>0</v>
      </c>
      <c r="AC13" s="11"/>
      <c r="AD13" s="11">
        <f t="shared" si="13"/>
        <v>0</v>
      </c>
      <c r="AE13" s="11">
        <f t="shared" si="14"/>
        <v>0</v>
      </c>
      <c r="AF13" s="11">
        <f t="shared" si="14"/>
        <v>0</v>
      </c>
      <c r="AG13" s="11">
        <f t="shared" si="15"/>
        <v>0</v>
      </c>
    </row>
    <row r="14" spans="1:36" ht="25.15" customHeight="1" x14ac:dyDescent="0.6">
      <c r="A14" s="37">
        <v>9</v>
      </c>
      <c r="B14" s="38"/>
      <c r="C14" s="6"/>
      <c r="D14" s="11">
        <f t="shared" si="0"/>
        <v>0</v>
      </c>
      <c r="E14" s="6"/>
      <c r="F14" s="11">
        <f t="shared" si="1"/>
        <v>0</v>
      </c>
      <c r="G14" s="6"/>
      <c r="H14" s="11">
        <f t="shared" si="2"/>
        <v>0</v>
      </c>
      <c r="I14" s="6"/>
      <c r="J14" s="11">
        <f t="shared" si="3"/>
        <v>0</v>
      </c>
      <c r="K14" s="6"/>
      <c r="L14" s="11">
        <f t="shared" si="4"/>
        <v>0</v>
      </c>
      <c r="M14" s="6"/>
      <c r="N14" s="11">
        <f t="shared" si="5"/>
        <v>0</v>
      </c>
      <c r="O14" s="6"/>
      <c r="P14" s="11">
        <f t="shared" si="6"/>
        <v>0</v>
      </c>
      <c r="Q14" s="6"/>
      <c r="R14" s="11">
        <f t="shared" si="7"/>
        <v>0</v>
      </c>
      <c r="S14" s="6"/>
      <c r="T14" s="11">
        <f t="shared" si="8"/>
        <v>0</v>
      </c>
      <c r="U14" s="6"/>
      <c r="V14" s="11">
        <f t="shared" si="9"/>
        <v>0</v>
      </c>
      <c r="W14" s="11"/>
      <c r="X14" s="11">
        <f t="shared" si="10"/>
        <v>0</v>
      </c>
      <c r="Y14" s="11"/>
      <c r="Z14" s="11">
        <f t="shared" si="11"/>
        <v>0</v>
      </c>
      <c r="AA14" s="11"/>
      <c r="AB14" s="11">
        <f t="shared" si="12"/>
        <v>0</v>
      </c>
      <c r="AC14" s="11"/>
      <c r="AD14" s="11">
        <f t="shared" si="13"/>
        <v>0</v>
      </c>
      <c r="AE14" s="11">
        <f t="shared" si="14"/>
        <v>0</v>
      </c>
      <c r="AF14" s="11">
        <f t="shared" si="14"/>
        <v>0</v>
      </c>
      <c r="AG14" s="11">
        <f t="shared" si="15"/>
        <v>0</v>
      </c>
    </row>
    <row r="15" spans="1:36" ht="25.15" customHeight="1" x14ac:dyDescent="0.6">
      <c r="A15" s="37">
        <v>10</v>
      </c>
      <c r="B15" s="38"/>
      <c r="C15" s="6"/>
      <c r="D15" s="11">
        <f t="shared" si="0"/>
        <v>0</v>
      </c>
      <c r="E15" s="6"/>
      <c r="F15" s="11">
        <f t="shared" si="1"/>
        <v>0</v>
      </c>
      <c r="G15" s="6"/>
      <c r="H15" s="11">
        <f t="shared" si="2"/>
        <v>0</v>
      </c>
      <c r="I15" s="6"/>
      <c r="J15" s="11">
        <f t="shared" si="3"/>
        <v>0</v>
      </c>
      <c r="K15" s="6"/>
      <c r="L15" s="11">
        <f t="shared" si="4"/>
        <v>0</v>
      </c>
      <c r="M15" s="6"/>
      <c r="N15" s="11">
        <f t="shared" si="5"/>
        <v>0</v>
      </c>
      <c r="O15" s="6"/>
      <c r="P15" s="11">
        <f t="shared" si="6"/>
        <v>0</v>
      </c>
      <c r="Q15" s="6"/>
      <c r="R15" s="11">
        <f t="shared" si="7"/>
        <v>0</v>
      </c>
      <c r="S15" s="6"/>
      <c r="T15" s="11">
        <f t="shared" si="8"/>
        <v>0</v>
      </c>
      <c r="U15" s="6"/>
      <c r="V15" s="11">
        <f t="shared" si="9"/>
        <v>0</v>
      </c>
      <c r="W15" s="11"/>
      <c r="X15" s="11">
        <f t="shared" si="10"/>
        <v>0</v>
      </c>
      <c r="Y15" s="11"/>
      <c r="Z15" s="11">
        <f t="shared" si="11"/>
        <v>0</v>
      </c>
      <c r="AA15" s="11"/>
      <c r="AB15" s="11">
        <f t="shared" si="12"/>
        <v>0</v>
      </c>
      <c r="AC15" s="11"/>
      <c r="AD15" s="11">
        <f t="shared" si="13"/>
        <v>0</v>
      </c>
      <c r="AE15" s="11">
        <f t="shared" si="14"/>
        <v>0</v>
      </c>
      <c r="AF15" s="11">
        <f t="shared" si="14"/>
        <v>0</v>
      </c>
      <c r="AG15" s="11">
        <f t="shared" si="15"/>
        <v>0</v>
      </c>
    </row>
    <row r="16" spans="1:36" ht="25.15" customHeight="1" x14ac:dyDescent="0.6">
      <c r="A16" s="37">
        <v>11</v>
      </c>
      <c r="B16" s="38"/>
      <c r="C16" s="6"/>
      <c r="D16" s="11">
        <f t="shared" si="0"/>
        <v>0</v>
      </c>
      <c r="E16" s="6"/>
      <c r="F16" s="11">
        <f t="shared" si="1"/>
        <v>0</v>
      </c>
      <c r="G16" s="6"/>
      <c r="H16" s="11">
        <f t="shared" si="2"/>
        <v>0</v>
      </c>
      <c r="I16" s="6"/>
      <c r="J16" s="11">
        <f t="shared" si="3"/>
        <v>0</v>
      </c>
      <c r="K16" s="6"/>
      <c r="L16" s="11">
        <f t="shared" si="4"/>
        <v>0</v>
      </c>
      <c r="M16" s="6"/>
      <c r="N16" s="11">
        <f t="shared" si="5"/>
        <v>0</v>
      </c>
      <c r="O16" s="6"/>
      <c r="P16" s="11">
        <f t="shared" si="6"/>
        <v>0</v>
      </c>
      <c r="Q16" s="6"/>
      <c r="R16" s="11">
        <f t="shared" si="7"/>
        <v>0</v>
      </c>
      <c r="S16" s="6"/>
      <c r="T16" s="11">
        <f t="shared" si="8"/>
        <v>0</v>
      </c>
      <c r="U16" s="6"/>
      <c r="V16" s="11">
        <f t="shared" si="9"/>
        <v>0</v>
      </c>
      <c r="W16" s="11"/>
      <c r="X16" s="11">
        <f t="shared" si="10"/>
        <v>0</v>
      </c>
      <c r="Y16" s="11"/>
      <c r="Z16" s="11">
        <f t="shared" si="11"/>
        <v>0</v>
      </c>
      <c r="AA16" s="11"/>
      <c r="AB16" s="11">
        <f t="shared" si="12"/>
        <v>0</v>
      </c>
      <c r="AC16" s="11"/>
      <c r="AD16" s="11">
        <f t="shared" si="13"/>
        <v>0</v>
      </c>
      <c r="AE16" s="11">
        <f t="shared" si="14"/>
        <v>0</v>
      </c>
      <c r="AF16" s="11">
        <f t="shared" si="14"/>
        <v>0</v>
      </c>
      <c r="AG16" s="11">
        <f t="shared" si="15"/>
        <v>0</v>
      </c>
    </row>
    <row r="17" spans="1:33" ht="25.15" customHeight="1" x14ac:dyDescent="0.6">
      <c r="A17" s="37">
        <v>12</v>
      </c>
      <c r="B17" s="38"/>
      <c r="C17" s="6"/>
      <c r="D17" s="11">
        <f t="shared" si="0"/>
        <v>0</v>
      </c>
      <c r="E17" s="6"/>
      <c r="F17" s="11">
        <f t="shared" si="1"/>
        <v>0</v>
      </c>
      <c r="G17" s="6"/>
      <c r="H17" s="11">
        <f t="shared" si="2"/>
        <v>0</v>
      </c>
      <c r="I17" s="6"/>
      <c r="J17" s="11">
        <f t="shared" si="3"/>
        <v>0</v>
      </c>
      <c r="K17" s="6"/>
      <c r="L17" s="11">
        <f t="shared" si="4"/>
        <v>0</v>
      </c>
      <c r="M17" s="6"/>
      <c r="N17" s="11">
        <f t="shared" si="5"/>
        <v>0</v>
      </c>
      <c r="O17" s="6"/>
      <c r="P17" s="11">
        <f t="shared" si="6"/>
        <v>0</v>
      </c>
      <c r="Q17" s="6"/>
      <c r="R17" s="11">
        <f t="shared" si="7"/>
        <v>0</v>
      </c>
      <c r="S17" s="6"/>
      <c r="T17" s="11">
        <f t="shared" si="8"/>
        <v>0</v>
      </c>
      <c r="U17" s="6"/>
      <c r="V17" s="11">
        <f t="shared" si="9"/>
        <v>0</v>
      </c>
      <c r="W17" s="11"/>
      <c r="X17" s="11">
        <f t="shared" si="10"/>
        <v>0</v>
      </c>
      <c r="Y17" s="11"/>
      <c r="Z17" s="11">
        <f t="shared" si="11"/>
        <v>0</v>
      </c>
      <c r="AA17" s="11"/>
      <c r="AB17" s="11">
        <f t="shared" si="12"/>
        <v>0</v>
      </c>
      <c r="AC17" s="11"/>
      <c r="AD17" s="11">
        <f t="shared" si="13"/>
        <v>0</v>
      </c>
      <c r="AE17" s="11">
        <f t="shared" si="14"/>
        <v>0</v>
      </c>
      <c r="AF17" s="11">
        <f t="shared" si="14"/>
        <v>0</v>
      </c>
      <c r="AG17" s="11">
        <f t="shared" si="15"/>
        <v>0</v>
      </c>
    </row>
    <row r="18" spans="1:33" ht="25.15" customHeight="1" x14ac:dyDescent="0.6">
      <c r="A18" s="37">
        <v>13</v>
      </c>
      <c r="B18" s="38"/>
      <c r="C18" s="6"/>
      <c r="D18" s="11">
        <f t="shared" si="0"/>
        <v>0</v>
      </c>
      <c r="E18" s="6"/>
      <c r="F18" s="11">
        <f t="shared" si="1"/>
        <v>0</v>
      </c>
      <c r="G18" s="6"/>
      <c r="H18" s="11">
        <f t="shared" si="2"/>
        <v>0</v>
      </c>
      <c r="I18" s="6"/>
      <c r="J18" s="11">
        <f t="shared" si="3"/>
        <v>0</v>
      </c>
      <c r="K18" s="6"/>
      <c r="L18" s="11">
        <f t="shared" si="4"/>
        <v>0</v>
      </c>
      <c r="M18" s="6"/>
      <c r="N18" s="11">
        <f t="shared" si="5"/>
        <v>0</v>
      </c>
      <c r="O18" s="6"/>
      <c r="P18" s="11">
        <f t="shared" si="6"/>
        <v>0</v>
      </c>
      <c r="Q18" s="6"/>
      <c r="R18" s="11">
        <f t="shared" si="7"/>
        <v>0</v>
      </c>
      <c r="S18" s="6"/>
      <c r="T18" s="11">
        <f t="shared" si="8"/>
        <v>0</v>
      </c>
      <c r="U18" s="6"/>
      <c r="V18" s="11">
        <f t="shared" si="9"/>
        <v>0</v>
      </c>
      <c r="W18" s="11"/>
      <c r="X18" s="11">
        <f t="shared" si="10"/>
        <v>0</v>
      </c>
      <c r="Y18" s="11"/>
      <c r="Z18" s="11">
        <f t="shared" si="11"/>
        <v>0</v>
      </c>
      <c r="AA18" s="11"/>
      <c r="AB18" s="11">
        <f t="shared" si="12"/>
        <v>0</v>
      </c>
      <c r="AC18" s="11"/>
      <c r="AD18" s="11">
        <f t="shared" si="13"/>
        <v>0</v>
      </c>
      <c r="AE18" s="11">
        <f t="shared" si="14"/>
        <v>0</v>
      </c>
      <c r="AF18" s="11">
        <f t="shared" si="14"/>
        <v>0</v>
      </c>
      <c r="AG18" s="11">
        <f t="shared" si="15"/>
        <v>0</v>
      </c>
    </row>
    <row r="19" spans="1:33" ht="25.15" customHeight="1" x14ac:dyDescent="0.6">
      <c r="A19" s="39">
        <v>14</v>
      </c>
      <c r="B19" s="38"/>
      <c r="C19" s="6"/>
      <c r="D19" s="11">
        <f t="shared" si="0"/>
        <v>0</v>
      </c>
      <c r="E19" s="6"/>
      <c r="F19" s="11">
        <f t="shared" si="1"/>
        <v>0</v>
      </c>
      <c r="G19" s="6"/>
      <c r="H19" s="11">
        <f t="shared" si="2"/>
        <v>0</v>
      </c>
      <c r="I19" s="6"/>
      <c r="J19" s="11">
        <f t="shared" si="3"/>
        <v>0</v>
      </c>
      <c r="K19" s="6"/>
      <c r="L19" s="11">
        <f t="shared" si="4"/>
        <v>0</v>
      </c>
      <c r="M19" s="6"/>
      <c r="N19" s="11">
        <f t="shared" si="5"/>
        <v>0</v>
      </c>
      <c r="O19" s="6"/>
      <c r="P19" s="11">
        <f t="shared" si="6"/>
        <v>0</v>
      </c>
      <c r="Q19" s="6"/>
      <c r="R19" s="11">
        <f t="shared" si="7"/>
        <v>0</v>
      </c>
      <c r="S19" s="6"/>
      <c r="T19" s="11">
        <f t="shared" si="8"/>
        <v>0</v>
      </c>
      <c r="U19" s="6"/>
      <c r="V19" s="11">
        <f t="shared" si="9"/>
        <v>0</v>
      </c>
      <c r="W19" s="11"/>
      <c r="X19" s="11">
        <f t="shared" si="10"/>
        <v>0</v>
      </c>
      <c r="Y19" s="11"/>
      <c r="Z19" s="11">
        <f t="shared" si="11"/>
        <v>0</v>
      </c>
      <c r="AA19" s="11"/>
      <c r="AB19" s="11">
        <f t="shared" si="12"/>
        <v>0</v>
      </c>
      <c r="AC19" s="11"/>
      <c r="AD19" s="11">
        <f t="shared" si="13"/>
        <v>0</v>
      </c>
      <c r="AE19" s="11">
        <f t="shared" si="14"/>
        <v>0</v>
      </c>
      <c r="AF19" s="11">
        <f t="shared" si="14"/>
        <v>0</v>
      </c>
      <c r="AG19" s="11">
        <f t="shared" si="15"/>
        <v>0</v>
      </c>
    </row>
    <row r="20" spans="1:33" ht="25.15" customHeight="1" x14ac:dyDescent="0.6">
      <c r="A20" s="39">
        <v>15</v>
      </c>
      <c r="B20" s="38"/>
      <c r="C20" s="41"/>
      <c r="D20" s="11">
        <f t="shared" si="0"/>
        <v>0</v>
      </c>
      <c r="E20" s="41"/>
      <c r="F20" s="11">
        <f t="shared" si="1"/>
        <v>0</v>
      </c>
      <c r="G20" s="41"/>
      <c r="H20" s="11">
        <f t="shared" si="2"/>
        <v>0</v>
      </c>
      <c r="I20" s="41"/>
      <c r="J20" s="11">
        <f t="shared" si="3"/>
        <v>0</v>
      </c>
      <c r="K20" s="41"/>
      <c r="L20" s="11">
        <f t="shared" si="4"/>
        <v>0</v>
      </c>
      <c r="M20" s="41"/>
      <c r="N20" s="11">
        <f t="shared" si="5"/>
        <v>0</v>
      </c>
      <c r="O20" s="41"/>
      <c r="P20" s="11">
        <f t="shared" si="6"/>
        <v>0</v>
      </c>
      <c r="Q20" s="41"/>
      <c r="R20" s="11">
        <f t="shared" si="7"/>
        <v>0</v>
      </c>
      <c r="S20" s="41"/>
      <c r="T20" s="11">
        <f t="shared" si="8"/>
        <v>0</v>
      </c>
      <c r="U20" s="41"/>
      <c r="V20" s="11">
        <f t="shared" si="9"/>
        <v>0</v>
      </c>
      <c r="W20" s="46"/>
      <c r="X20" s="11">
        <f t="shared" si="10"/>
        <v>0</v>
      </c>
      <c r="Y20" s="11"/>
      <c r="Z20" s="11">
        <f t="shared" si="11"/>
        <v>0</v>
      </c>
      <c r="AA20" s="11"/>
      <c r="AB20" s="11">
        <f t="shared" si="12"/>
        <v>0</v>
      </c>
      <c r="AC20" s="11"/>
      <c r="AD20" s="11">
        <f t="shared" si="13"/>
        <v>0</v>
      </c>
      <c r="AE20" s="11">
        <f t="shared" si="14"/>
        <v>0</v>
      </c>
      <c r="AF20" s="11">
        <f t="shared" si="14"/>
        <v>0</v>
      </c>
      <c r="AG20" s="11">
        <f t="shared" si="15"/>
        <v>0</v>
      </c>
    </row>
    <row r="21" spans="1:33" ht="25.15" customHeight="1" x14ac:dyDescent="0.6">
      <c r="A21" s="39">
        <v>16</v>
      </c>
      <c r="B21" s="38"/>
      <c r="C21" s="41"/>
      <c r="D21" s="11">
        <f t="shared" si="0"/>
        <v>0</v>
      </c>
      <c r="E21" s="41"/>
      <c r="F21" s="11">
        <f t="shared" si="1"/>
        <v>0</v>
      </c>
      <c r="G21" s="41"/>
      <c r="H21" s="11">
        <f t="shared" si="2"/>
        <v>0</v>
      </c>
      <c r="I21" s="41"/>
      <c r="J21" s="11">
        <f t="shared" si="3"/>
        <v>0</v>
      </c>
      <c r="K21" s="41"/>
      <c r="L21" s="11">
        <f t="shared" si="4"/>
        <v>0</v>
      </c>
      <c r="M21" s="41"/>
      <c r="N21" s="11">
        <f t="shared" si="5"/>
        <v>0</v>
      </c>
      <c r="O21" s="41"/>
      <c r="P21" s="11">
        <f t="shared" si="6"/>
        <v>0</v>
      </c>
      <c r="Q21" s="41"/>
      <c r="R21" s="11">
        <f t="shared" si="7"/>
        <v>0</v>
      </c>
      <c r="S21" s="41"/>
      <c r="T21" s="11">
        <f t="shared" si="8"/>
        <v>0</v>
      </c>
      <c r="U21" s="41"/>
      <c r="V21" s="11">
        <f t="shared" si="9"/>
        <v>0</v>
      </c>
      <c r="W21" s="46"/>
      <c r="X21" s="11">
        <f t="shared" si="10"/>
        <v>0</v>
      </c>
      <c r="Y21" s="11"/>
      <c r="Z21" s="11">
        <f t="shared" si="11"/>
        <v>0</v>
      </c>
      <c r="AA21" s="11"/>
      <c r="AB21" s="11">
        <f t="shared" si="12"/>
        <v>0</v>
      </c>
      <c r="AC21" s="11"/>
      <c r="AD21" s="11">
        <f t="shared" si="13"/>
        <v>0</v>
      </c>
      <c r="AE21" s="11">
        <f t="shared" si="14"/>
        <v>0</v>
      </c>
      <c r="AF21" s="11">
        <f t="shared" si="14"/>
        <v>0</v>
      </c>
      <c r="AG21" s="11">
        <f t="shared" si="15"/>
        <v>0</v>
      </c>
    </row>
    <row r="22" spans="1:33" ht="25.15" customHeight="1" x14ac:dyDescent="0.6">
      <c r="A22" s="39">
        <v>17</v>
      </c>
      <c r="B22" s="38"/>
      <c r="C22" s="41"/>
      <c r="D22" s="11">
        <f t="shared" si="0"/>
        <v>0</v>
      </c>
      <c r="E22" s="41"/>
      <c r="F22" s="11">
        <f t="shared" si="1"/>
        <v>0</v>
      </c>
      <c r="G22" s="41"/>
      <c r="H22" s="11">
        <f t="shared" si="2"/>
        <v>0</v>
      </c>
      <c r="I22" s="41"/>
      <c r="J22" s="11">
        <f t="shared" si="3"/>
        <v>0</v>
      </c>
      <c r="K22" s="41"/>
      <c r="L22" s="11">
        <f t="shared" si="4"/>
        <v>0</v>
      </c>
      <c r="M22" s="41"/>
      <c r="N22" s="11">
        <f t="shared" si="5"/>
        <v>0</v>
      </c>
      <c r="O22" s="41"/>
      <c r="P22" s="11">
        <f t="shared" si="6"/>
        <v>0</v>
      </c>
      <c r="Q22" s="41"/>
      <c r="R22" s="11">
        <f t="shared" si="7"/>
        <v>0</v>
      </c>
      <c r="S22" s="41"/>
      <c r="T22" s="11">
        <f t="shared" si="8"/>
        <v>0</v>
      </c>
      <c r="U22" s="41"/>
      <c r="V22" s="11">
        <f t="shared" si="9"/>
        <v>0</v>
      </c>
      <c r="W22" s="46"/>
      <c r="X22" s="11">
        <f t="shared" si="10"/>
        <v>0</v>
      </c>
      <c r="Y22" s="11"/>
      <c r="Z22" s="11">
        <f t="shared" si="11"/>
        <v>0</v>
      </c>
      <c r="AA22" s="11"/>
      <c r="AB22" s="11">
        <f t="shared" si="12"/>
        <v>0</v>
      </c>
      <c r="AC22" s="11"/>
      <c r="AD22" s="11">
        <f t="shared" si="13"/>
        <v>0</v>
      </c>
      <c r="AE22" s="11">
        <f t="shared" si="14"/>
        <v>0</v>
      </c>
      <c r="AF22" s="11">
        <f t="shared" si="14"/>
        <v>0</v>
      </c>
      <c r="AG22" s="11">
        <f t="shared" si="15"/>
        <v>0</v>
      </c>
    </row>
    <row r="23" spans="1:33" ht="25.15" customHeight="1" x14ac:dyDescent="0.6">
      <c r="A23" s="39">
        <v>18</v>
      </c>
      <c r="B23" s="38"/>
      <c r="C23" s="41"/>
      <c r="D23" s="11">
        <f t="shared" si="0"/>
        <v>0</v>
      </c>
      <c r="E23" s="41"/>
      <c r="F23" s="11">
        <f t="shared" si="1"/>
        <v>0</v>
      </c>
      <c r="G23" s="41"/>
      <c r="H23" s="11">
        <f t="shared" si="2"/>
        <v>0</v>
      </c>
      <c r="I23" s="41"/>
      <c r="J23" s="11">
        <f t="shared" si="3"/>
        <v>0</v>
      </c>
      <c r="K23" s="41"/>
      <c r="L23" s="11">
        <f t="shared" si="4"/>
        <v>0</v>
      </c>
      <c r="M23" s="41"/>
      <c r="N23" s="11">
        <f t="shared" si="5"/>
        <v>0</v>
      </c>
      <c r="O23" s="41"/>
      <c r="P23" s="11">
        <f t="shared" si="6"/>
        <v>0</v>
      </c>
      <c r="Q23" s="41"/>
      <c r="R23" s="11">
        <f t="shared" si="7"/>
        <v>0</v>
      </c>
      <c r="S23" s="41"/>
      <c r="T23" s="11">
        <f t="shared" si="8"/>
        <v>0</v>
      </c>
      <c r="U23" s="41"/>
      <c r="V23" s="11">
        <f t="shared" si="9"/>
        <v>0</v>
      </c>
      <c r="W23" s="46"/>
      <c r="X23" s="11">
        <f t="shared" si="10"/>
        <v>0</v>
      </c>
      <c r="Y23" s="11"/>
      <c r="Z23" s="11">
        <f t="shared" si="11"/>
        <v>0</v>
      </c>
      <c r="AA23" s="11"/>
      <c r="AB23" s="11">
        <f t="shared" si="12"/>
        <v>0</v>
      </c>
      <c r="AC23" s="11"/>
      <c r="AD23" s="11">
        <f t="shared" si="13"/>
        <v>0</v>
      </c>
      <c r="AE23" s="11">
        <f t="shared" ref="AE23:AF28" si="16">C23+E23+G23+I23+K23+M23+O23+Q23+S23+U23+W23+Y23+AA23+AC23</f>
        <v>0</v>
      </c>
      <c r="AF23" s="11">
        <f t="shared" si="16"/>
        <v>0</v>
      </c>
      <c r="AG23" s="11">
        <f t="shared" si="15"/>
        <v>0</v>
      </c>
    </row>
    <row r="24" spans="1:33" ht="25.15" customHeight="1" x14ac:dyDescent="0.6">
      <c r="A24" s="39">
        <v>19</v>
      </c>
      <c r="B24" s="38"/>
      <c r="C24" s="41"/>
      <c r="D24" s="11">
        <f t="shared" si="0"/>
        <v>0</v>
      </c>
      <c r="E24" s="41"/>
      <c r="F24" s="11">
        <f t="shared" si="1"/>
        <v>0</v>
      </c>
      <c r="G24" s="41"/>
      <c r="H24" s="11">
        <f t="shared" si="2"/>
        <v>0</v>
      </c>
      <c r="I24" s="41"/>
      <c r="J24" s="11">
        <f t="shared" si="3"/>
        <v>0</v>
      </c>
      <c r="K24" s="41"/>
      <c r="L24" s="11">
        <f t="shared" si="4"/>
        <v>0</v>
      </c>
      <c r="M24" s="41"/>
      <c r="N24" s="11">
        <f t="shared" si="5"/>
        <v>0</v>
      </c>
      <c r="O24" s="41"/>
      <c r="P24" s="11">
        <f t="shared" si="6"/>
        <v>0</v>
      </c>
      <c r="Q24" s="41"/>
      <c r="R24" s="11">
        <f t="shared" si="7"/>
        <v>0</v>
      </c>
      <c r="S24" s="41"/>
      <c r="T24" s="11">
        <f t="shared" si="8"/>
        <v>0</v>
      </c>
      <c r="U24" s="41"/>
      <c r="V24" s="11">
        <f t="shared" si="9"/>
        <v>0</v>
      </c>
      <c r="W24" s="46"/>
      <c r="X24" s="11">
        <f t="shared" si="10"/>
        <v>0</v>
      </c>
      <c r="Y24" s="11"/>
      <c r="Z24" s="11">
        <f t="shared" si="11"/>
        <v>0</v>
      </c>
      <c r="AA24" s="11"/>
      <c r="AB24" s="11">
        <f t="shared" si="12"/>
        <v>0</v>
      </c>
      <c r="AC24" s="11"/>
      <c r="AD24" s="11">
        <f t="shared" si="13"/>
        <v>0</v>
      </c>
      <c r="AE24" s="11">
        <f t="shared" si="16"/>
        <v>0</v>
      </c>
      <c r="AF24" s="11">
        <f t="shared" si="16"/>
        <v>0</v>
      </c>
      <c r="AG24" s="11">
        <f t="shared" si="15"/>
        <v>0</v>
      </c>
    </row>
    <row r="25" spans="1:33" ht="25.15" customHeight="1" x14ac:dyDescent="0.6">
      <c r="A25" s="39">
        <v>20</v>
      </c>
      <c r="B25" s="38"/>
      <c r="C25" s="41"/>
      <c r="D25" s="11">
        <f t="shared" si="0"/>
        <v>0</v>
      </c>
      <c r="E25" s="41"/>
      <c r="F25" s="11">
        <f t="shared" si="1"/>
        <v>0</v>
      </c>
      <c r="G25" s="41"/>
      <c r="H25" s="11">
        <f t="shared" si="2"/>
        <v>0</v>
      </c>
      <c r="I25" s="41"/>
      <c r="J25" s="11">
        <f t="shared" si="3"/>
        <v>0</v>
      </c>
      <c r="K25" s="41"/>
      <c r="L25" s="11">
        <f t="shared" si="4"/>
        <v>0</v>
      </c>
      <c r="M25" s="41"/>
      <c r="N25" s="11">
        <f t="shared" si="5"/>
        <v>0</v>
      </c>
      <c r="O25" s="41"/>
      <c r="P25" s="11">
        <f t="shared" si="6"/>
        <v>0</v>
      </c>
      <c r="Q25" s="41"/>
      <c r="R25" s="11">
        <f t="shared" si="7"/>
        <v>0</v>
      </c>
      <c r="S25" s="41"/>
      <c r="T25" s="11">
        <f t="shared" si="8"/>
        <v>0</v>
      </c>
      <c r="U25" s="41"/>
      <c r="V25" s="11">
        <f t="shared" si="9"/>
        <v>0</v>
      </c>
      <c r="W25" s="46"/>
      <c r="X25" s="11">
        <f t="shared" si="10"/>
        <v>0</v>
      </c>
      <c r="Y25" s="11"/>
      <c r="Z25" s="11">
        <f t="shared" si="11"/>
        <v>0</v>
      </c>
      <c r="AA25" s="11"/>
      <c r="AB25" s="11">
        <f t="shared" si="12"/>
        <v>0</v>
      </c>
      <c r="AC25" s="11"/>
      <c r="AD25" s="11">
        <f t="shared" si="13"/>
        <v>0</v>
      </c>
      <c r="AE25" s="11">
        <f t="shared" si="16"/>
        <v>0</v>
      </c>
      <c r="AF25" s="11">
        <f t="shared" si="16"/>
        <v>0</v>
      </c>
      <c r="AG25" s="11">
        <f t="shared" si="15"/>
        <v>0</v>
      </c>
    </row>
    <row r="26" spans="1:33" ht="25.15" customHeight="1" x14ac:dyDescent="0.6">
      <c r="A26" s="39">
        <v>21</v>
      </c>
      <c r="B26" s="38"/>
      <c r="C26" s="41"/>
      <c r="D26" s="11">
        <f t="shared" si="0"/>
        <v>0</v>
      </c>
      <c r="E26" s="41"/>
      <c r="F26" s="11">
        <f t="shared" si="1"/>
        <v>0</v>
      </c>
      <c r="G26" s="41"/>
      <c r="H26" s="11">
        <f t="shared" si="2"/>
        <v>0</v>
      </c>
      <c r="I26" s="41"/>
      <c r="J26" s="11">
        <f t="shared" si="3"/>
        <v>0</v>
      </c>
      <c r="K26" s="41"/>
      <c r="L26" s="11">
        <f t="shared" si="4"/>
        <v>0</v>
      </c>
      <c r="M26" s="41"/>
      <c r="N26" s="11">
        <f t="shared" si="5"/>
        <v>0</v>
      </c>
      <c r="O26" s="41"/>
      <c r="P26" s="11">
        <f t="shared" si="6"/>
        <v>0</v>
      </c>
      <c r="Q26" s="41"/>
      <c r="R26" s="11">
        <f t="shared" si="7"/>
        <v>0</v>
      </c>
      <c r="S26" s="41"/>
      <c r="T26" s="11">
        <f t="shared" si="8"/>
        <v>0</v>
      </c>
      <c r="U26" s="41"/>
      <c r="V26" s="11">
        <f t="shared" si="9"/>
        <v>0</v>
      </c>
      <c r="W26" s="46"/>
      <c r="X26" s="11">
        <f t="shared" si="10"/>
        <v>0</v>
      </c>
      <c r="Y26" s="11"/>
      <c r="Z26" s="11">
        <f t="shared" si="11"/>
        <v>0</v>
      </c>
      <c r="AA26" s="11"/>
      <c r="AB26" s="11">
        <f t="shared" si="12"/>
        <v>0</v>
      </c>
      <c r="AC26" s="11"/>
      <c r="AD26" s="11">
        <f t="shared" si="13"/>
        <v>0</v>
      </c>
      <c r="AE26" s="11">
        <f t="shared" si="16"/>
        <v>0</v>
      </c>
      <c r="AF26" s="11">
        <f t="shared" si="16"/>
        <v>0</v>
      </c>
      <c r="AG26" s="11">
        <f t="shared" si="15"/>
        <v>0</v>
      </c>
    </row>
    <row r="27" spans="1:33" ht="25.15" customHeight="1" x14ac:dyDescent="0.6">
      <c r="A27" s="39"/>
      <c r="B27" s="38"/>
      <c r="C27" s="41"/>
      <c r="D27" s="11">
        <f t="shared" si="0"/>
        <v>0</v>
      </c>
      <c r="E27" s="41"/>
      <c r="F27" s="11">
        <f t="shared" si="1"/>
        <v>0</v>
      </c>
      <c r="G27" s="41"/>
      <c r="H27" s="11">
        <f t="shared" si="2"/>
        <v>0</v>
      </c>
      <c r="I27" s="41"/>
      <c r="J27" s="11">
        <f t="shared" si="3"/>
        <v>0</v>
      </c>
      <c r="K27" s="41"/>
      <c r="L27" s="11">
        <f t="shared" si="4"/>
        <v>0</v>
      </c>
      <c r="M27" s="41"/>
      <c r="N27" s="11">
        <f t="shared" si="5"/>
        <v>0</v>
      </c>
      <c r="O27" s="41"/>
      <c r="P27" s="11">
        <f t="shared" si="6"/>
        <v>0</v>
      </c>
      <c r="Q27" s="41"/>
      <c r="R27" s="11">
        <f t="shared" si="7"/>
        <v>0</v>
      </c>
      <c r="S27" s="41"/>
      <c r="T27" s="11">
        <f t="shared" si="8"/>
        <v>0</v>
      </c>
      <c r="U27" s="41"/>
      <c r="V27" s="11">
        <f t="shared" si="9"/>
        <v>0</v>
      </c>
      <c r="W27" s="46"/>
      <c r="X27" s="11">
        <f t="shared" si="10"/>
        <v>0</v>
      </c>
      <c r="Y27" s="11"/>
      <c r="Z27" s="11">
        <f t="shared" si="11"/>
        <v>0</v>
      </c>
      <c r="AA27" s="11"/>
      <c r="AB27" s="11">
        <f t="shared" si="12"/>
        <v>0</v>
      </c>
      <c r="AC27" s="11"/>
      <c r="AD27" s="11">
        <f t="shared" si="13"/>
        <v>0</v>
      </c>
      <c r="AE27" s="11">
        <f t="shared" si="16"/>
        <v>0</v>
      </c>
      <c r="AF27" s="11">
        <f t="shared" si="16"/>
        <v>0</v>
      </c>
      <c r="AG27" s="11">
        <f t="shared" si="15"/>
        <v>0</v>
      </c>
    </row>
    <row r="28" spans="1:33" ht="25.15" customHeight="1" x14ac:dyDescent="0.6">
      <c r="A28" s="39"/>
      <c r="B28" s="38"/>
      <c r="C28" s="41"/>
      <c r="D28" s="11">
        <f t="shared" si="0"/>
        <v>0</v>
      </c>
      <c r="E28" s="41"/>
      <c r="F28" s="11">
        <f t="shared" si="1"/>
        <v>0</v>
      </c>
      <c r="G28" s="41"/>
      <c r="H28" s="11">
        <f t="shared" si="2"/>
        <v>0</v>
      </c>
      <c r="I28" s="41"/>
      <c r="J28" s="11">
        <f t="shared" si="3"/>
        <v>0</v>
      </c>
      <c r="K28" s="41"/>
      <c r="L28" s="11">
        <f t="shared" si="4"/>
        <v>0</v>
      </c>
      <c r="M28" s="41"/>
      <c r="N28" s="11">
        <f t="shared" si="5"/>
        <v>0</v>
      </c>
      <c r="O28" s="41"/>
      <c r="P28" s="11">
        <f t="shared" si="6"/>
        <v>0</v>
      </c>
      <c r="Q28" s="41"/>
      <c r="R28" s="11">
        <f t="shared" si="7"/>
        <v>0</v>
      </c>
      <c r="S28" s="41"/>
      <c r="T28" s="11">
        <f t="shared" si="8"/>
        <v>0</v>
      </c>
      <c r="U28" s="41"/>
      <c r="V28" s="11">
        <f t="shared" si="9"/>
        <v>0</v>
      </c>
      <c r="W28" s="46"/>
      <c r="X28" s="11">
        <f t="shared" si="10"/>
        <v>0</v>
      </c>
      <c r="Y28" s="11"/>
      <c r="Z28" s="11">
        <f t="shared" si="11"/>
        <v>0</v>
      </c>
      <c r="AA28" s="11"/>
      <c r="AB28" s="11">
        <f t="shared" si="12"/>
        <v>0</v>
      </c>
      <c r="AC28" s="11"/>
      <c r="AD28" s="11">
        <f t="shared" si="13"/>
        <v>0</v>
      </c>
      <c r="AE28" s="11">
        <f t="shared" si="16"/>
        <v>0</v>
      </c>
      <c r="AF28" s="11">
        <f t="shared" si="16"/>
        <v>0</v>
      </c>
      <c r="AG28" s="11">
        <f t="shared" si="15"/>
        <v>0</v>
      </c>
    </row>
    <row r="29" spans="1:33" ht="25.15" customHeight="1" x14ac:dyDescent="0.6">
      <c r="A29" s="39"/>
      <c r="B29" s="38"/>
      <c r="C29" s="50">
        <f>SUM(C6:C28)</f>
        <v>0</v>
      </c>
      <c r="D29" s="41">
        <f t="shared" ref="D29:AD29" si="17">SUM(D6:D28)</f>
        <v>0</v>
      </c>
      <c r="E29" s="50">
        <f t="shared" si="17"/>
        <v>0</v>
      </c>
      <c r="F29" s="41">
        <f t="shared" si="17"/>
        <v>0</v>
      </c>
      <c r="G29" s="50">
        <f t="shared" si="17"/>
        <v>0</v>
      </c>
      <c r="H29" s="41">
        <f t="shared" si="17"/>
        <v>0</v>
      </c>
      <c r="I29" s="50">
        <f t="shared" si="17"/>
        <v>0</v>
      </c>
      <c r="J29" s="41">
        <f t="shared" si="17"/>
        <v>0</v>
      </c>
      <c r="K29" s="41">
        <f t="shared" si="17"/>
        <v>0</v>
      </c>
      <c r="L29" s="41">
        <f t="shared" si="17"/>
        <v>0</v>
      </c>
      <c r="M29" s="50">
        <f t="shared" si="17"/>
        <v>0</v>
      </c>
      <c r="N29" s="41">
        <f t="shared" si="17"/>
        <v>0</v>
      </c>
      <c r="O29" s="41">
        <f t="shared" si="17"/>
        <v>0</v>
      </c>
      <c r="P29" s="41">
        <f t="shared" si="17"/>
        <v>0</v>
      </c>
      <c r="Q29" s="50">
        <f t="shared" si="17"/>
        <v>0</v>
      </c>
      <c r="R29" s="41">
        <f t="shared" si="17"/>
        <v>0</v>
      </c>
      <c r="S29" s="41">
        <f t="shared" si="17"/>
        <v>0</v>
      </c>
      <c r="T29" s="41">
        <f t="shared" si="17"/>
        <v>0</v>
      </c>
      <c r="U29" s="41">
        <f t="shared" si="17"/>
        <v>0</v>
      </c>
      <c r="V29" s="41">
        <f t="shared" si="17"/>
        <v>0</v>
      </c>
      <c r="W29" s="41">
        <f t="shared" si="17"/>
        <v>0</v>
      </c>
      <c r="X29" s="41">
        <f t="shared" si="17"/>
        <v>0</v>
      </c>
      <c r="Y29" s="41">
        <f t="shared" si="17"/>
        <v>0</v>
      </c>
      <c r="Z29" s="41">
        <f t="shared" si="17"/>
        <v>0</v>
      </c>
      <c r="AA29" s="41">
        <f t="shared" si="17"/>
        <v>0</v>
      </c>
      <c r="AB29" s="41">
        <f t="shared" si="17"/>
        <v>0</v>
      </c>
      <c r="AC29" s="41">
        <f t="shared" si="17"/>
        <v>0</v>
      </c>
      <c r="AD29" s="41">
        <f t="shared" si="17"/>
        <v>0</v>
      </c>
      <c r="AE29" s="6">
        <f>SUM(AE6:AE28)</f>
        <v>0</v>
      </c>
      <c r="AF29" s="6">
        <f>SUM(AF6:AF28)</f>
        <v>0</v>
      </c>
      <c r="AG29" s="11">
        <f t="shared" si="15"/>
        <v>0</v>
      </c>
    </row>
    <row r="30" spans="1:33" ht="25.15" customHeight="1" x14ac:dyDescent="0.6">
      <c r="A30" s="36"/>
      <c r="B30" s="1"/>
      <c r="V30" s="19"/>
      <c r="W30" s="19"/>
      <c r="X30" s="19"/>
      <c r="Y30" s="19"/>
      <c r="Z30" s="19"/>
      <c r="AA30" s="19"/>
      <c r="AB30" s="19"/>
    </row>
    <row r="31" spans="1:33" ht="25.15" customHeight="1" x14ac:dyDescent="0.6">
      <c r="A31" s="36"/>
      <c r="B31" s="1"/>
    </row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  <row r="91" ht="25.15" customHeight="1" x14ac:dyDescent="0.6"/>
    <row r="92" ht="25.15" customHeight="1" x14ac:dyDescent="0.6"/>
    <row r="93" ht="25.15" customHeight="1" x14ac:dyDescent="0.6"/>
    <row r="94" ht="25.15" customHeight="1" x14ac:dyDescent="0.6"/>
    <row r="95" ht="25.15" customHeight="1" x14ac:dyDescent="0.6"/>
    <row r="96" ht="25.15" customHeight="1" x14ac:dyDescent="0.6"/>
    <row r="97" ht="25.15" customHeight="1" x14ac:dyDescent="0.6"/>
    <row r="98" ht="25.15" customHeight="1" x14ac:dyDescent="0.6"/>
    <row r="99" ht="25.15" customHeight="1" x14ac:dyDescent="0.6"/>
  </sheetData>
  <mergeCells count="19">
    <mergeCell ref="C1:AD1"/>
    <mergeCell ref="U3:V3"/>
    <mergeCell ref="AE3:AG3"/>
    <mergeCell ref="AC3:AD3"/>
    <mergeCell ref="W3:X3"/>
    <mergeCell ref="Y3:Z3"/>
    <mergeCell ref="AA3:AB3"/>
    <mergeCell ref="A2:A4"/>
    <mergeCell ref="B2:B4"/>
    <mergeCell ref="C2:AD2"/>
    <mergeCell ref="C3:D3"/>
    <mergeCell ref="E3:F3"/>
    <mergeCell ref="G3:H3"/>
    <mergeCell ref="I3:J3"/>
    <mergeCell ref="K3:L3"/>
    <mergeCell ref="M3:N3"/>
    <mergeCell ref="O3:P3"/>
    <mergeCell ref="Q3:R3"/>
    <mergeCell ref="S3:T3"/>
  </mergeCells>
  <hyperlinks>
    <hyperlink ref="C1:AD1" location="'SMM YGN '!A1" display="ရွှေဇီးကွက် (မြောက်ဒဂုံ)" xr:uid="{00000000-0004-0000-1F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9"/>
  <dimension ref="A1:AI104"/>
  <sheetViews>
    <sheetView zoomScaleNormal="100" workbookViewId="0">
      <pane xSplit="2" ySplit="4" topLeftCell="M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Z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1.140625" style="1" customWidth="1"/>
    <col min="5" max="28" width="9.28515625" style="1" customWidth="1"/>
    <col min="29" max="30" width="7.85546875" style="1" customWidth="1"/>
    <col min="31" max="34" width="9.28515625" style="1" customWidth="1"/>
    <col min="35" max="16384" width="9" style="1"/>
  </cols>
  <sheetData>
    <row r="1" spans="1:35" ht="21.75" x14ac:dyDescent="0.6">
      <c r="A1" s="23"/>
      <c r="B1" s="24"/>
      <c r="C1" s="745" t="s">
        <v>84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B1" s="1" t="s">
        <v>68</v>
      </c>
      <c r="AC1" s="1">
        <f>AG33</f>
        <v>1481</v>
      </c>
      <c r="AF1" s="1" t="s">
        <v>68</v>
      </c>
      <c r="AG1" s="25">
        <v>12</v>
      </c>
      <c r="AH1" s="26">
        <v>14</v>
      </c>
    </row>
    <row r="2" spans="1:35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B2" s="1" t="s">
        <v>67</v>
      </c>
      <c r="AC2" s="27">
        <f>AH33</f>
        <v>21072</v>
      </c>
      <c r="AF2" s="1" t="s">
        <v>67</v>
      </c>
      <c r="AG2" s="28">
        <v>24</v>
      </c>
      <c r="AH2" s="29">
        <v>40</v>
      </c>
    </row>
    <row r="3" spans="1:35" s="27" customFormat="1" ht="42.75" customHeight="1" x14ac:dyDescent="0.6">
      <c r="A3" s="731"/>
      <c r="B3" s="732"/>
      <c r="C3" s="734" t="s">
        <v>59</v>
      </c>
      <c r="D3" s="735"/>
      <c r="E3" s="736" t="s">
        <v>314</v>
      </c>
      <c r="F3" s="737"/>
      <c r="G3" s="736" t="s">
        <v>315</v>
      </c>
      <c r="H3" s="737"/>
      <c r="I3" s="738" t="s">
        <v>316</v>
      </c>
      <c r="J3" s="739"/>
      <c r="K3" s="736" t="s">
        <v>61</v>
      </c>
      <c r="L3" s="737"/>
      <c r="M3" s="736" t="s">
        <v>62</v>
      </c>
      <c r="N3" s="737"/>
      <c r="O3" s="738" t="s">
        <v>317</v>
      </c>
      <c r="P3" s="739"/>
      <c r="Q3" s="734" t="s">
        <v>318</v>
      </c>
      <c r="R3" s="735"/>
      <c r="S3" s="734" t="s">
        <v>65</v>
      </c>
      <c r="T3" s="735"/>
      <c r="U3" s="740" t="s">
        <v>60</v>
      </c>
      <c r="V3" s="741"/>
      <c r="W3" s="736" t="s">
        <v>323</v>
      </c>
      <c r="X3" s="737"/>
      <c r="Y3" s="736" t="s">
        <v>319</v>
      </c>
      <c r="Z3" s="737"/>
      <c r="AA3" s="734" t="s">
        <v>331</v>
      </c>
      <c r="AB3" s="735"/>
      <c r="AC3" s="736" t="s">
        <v>321</v>
      </c>
      <c r="AD3" s="737"/>
      <c r="AE3" s="760" t="s">
        <v>333</v>
      </c>
      <c r="AF3" s="760"/>
      <c r="AG3" s="756" t="s">
        <v>322</v>
      </c>
      <c r="AH3" s="757"/>
      <c r="AI3" s="758"/>
    </row>
    <row r="4" spans="1:35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4" t="s">
        <v>63</v>
      </c>
      <c r="AB4" s="14" t="s">
        <v>64</v>
      </c>
      <c r="AC4" s="16" t="s">
        <v>63</v>
      </c>
      <c r="AD4" s="16" t="s">
        <v>64</v>
      </c>
      <c r="AE4" s="14" t="s">
        <v>63</v>
      </c>
      <c r="AF4" s="14" t="s">
        <v>64</v>
      </c>
      <c r="AG4" s="10" t="s">
        <v>63</v>
      </c>
      <c r="AH4" s="10" t="s">
        <v>64</v>
      </c>
      <c r="AI4" s="106" t="s">
        <v>348</v>
      </c>
    </row>
    <row r="5" spans="1:35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4"/>
      <c r="AF5" s="14">
        <v>0.64</v>
      </c>
      <c r="AG5" s="10"/>
      <c r="AH5" s="10"/>
      <c r="AI5" s="106"/>
    </row>
    <row r="6" spans="1:35" s="19" customFormat="1" ht="25.15" customHeight="1" x14ac:dyDescent="0.25">
      <c r="A6" s="37">
        <v>1</v>
      </c>
      <c r="B6" s="38" t="s">
        <v>345</v>
      </c>
      <c r="C6" s="11">
        <v>100</v>
      </c>
      <c r="D6" s="11">
        <f>C6*14</f>
        <v>1400</v>
      </c>
      <c r="E6" s="11">
        <v>25</v>
      </c>
      <c r="F6" s="11">
        <f>E6*12</f>
        <v>300</v>
      </c>
      <c r="G6" s="11">
        <v>5</v>
      </c>
      <c r="H6" s="11">
        <f>G6*12</f>
        <v>60</v>
      </c>
      <c r="I6" s="11"/>
      <c r="J6" s="11">
        <f>I6*40</f>
        <v>0</v>
      </c>
      <c r="K6" s="11"/>
      <c r="L6" s="11">
        <f>K6*12</f>
        <v>0</v>
      </c>
      <c r="M6" s="11">
        <v>15</v>
      </c>
      <c r="N6" s="11">
        <f>M6*12</f>
        <v>180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AA6*14</f>
        <v>0</v>
      </c>
      <c r="AC6" s="11"/>
      <c r="AD6" s="11">
        <f>AC6*12</f>
        <v>0</v>
      </c>
      <c r="AE6" s="11"/>
      <c r="AF6" s="11">
        <f>AE6*14</f>
        <v>0</v>
      </c>
      <c r="AG6" s="11">
        <f>C6+E6+G6+I6+K6+M6+O6+Q6+S6+U6+W6+Y6+AA6+AC6+AE6</f>
        <v>145</v>
      </c>
      <c r="AH6" s="11">
        <f>D6+F6+H6+J6+L6+N6+P6+R6+T6+V6+X6+Z6+AB6+AD6+AF6</f>
        <v>1940</v>
      </c>
      <c r="AI6" s="140">
        <f>(D6*$D$5)+(F6*$F$5)+(H6*$H$5)+(J6*$J$5)+(L6*$L$5)+(N6*$N$5)+(P6*$P$5)+(R6*$R$5)+(T6*$T$5)+(V6*$V$5)+(X6*$X$5)+(Z6*$Z$5)+(AB6*$AB$5)+(AD6*$AD$5)+(AF6*$AF$5)</f>
        <v>1412</v>
      </c>
    </row>
    <row r="7" spans="1:35" s="19" customFormat="1" ht="25.15" customHeight="1" x14ac:dyDescent="0.25">
      <c r="A7" s="37">
        <v>2</v>
      </c>
      <c r="B7" s="38">
        <v>45717</v>
      </c>
      <c r="C7" s="11">
        <v>80</v>
      </c>
      <c r="D7" s="11">
        <f t="shared" ref="D7:D29" si="0">C7*14</f>
        <v>1120</v>
      </c>
      <c r="E7" s="11">
        <v>120</v>
      </c>
      <c r="F7" s="11">
        <f t="shared" ref="F7:F29" si="1">E7*12</f>
        <v>1440</v>
      </c>
      <c r="G7" s="11">
        <v>5</v>
      </c>
      <c r="H7" s="11">
        <f t="shared" ref="H7:H30" si="2">G7*12</f>
        <v>60</v>
      </c>
      <c r="I7" s="11">
        <v>15</v>
      </c>
      <c r="J7" s="11">
        <f t="shared" ref="J7:J27" si="3">I7*40</f>
        <v>600</v>
      </c>
      <c r="K7" s="11">
        <v>3</v>
      </c>
      <c r="L7" s="11">
        <f t="shared" ref="L7:L29" si="4">K7*12</f>
        <v>36</v>
      </c>
      <c r="M7" s="11">
        <v>90</v>
      </c>
      <c r="N7" s="11">
        <f t="shared" ref="N7:N30" si="5">M7*12</f>
        <v>1080</v>
      </c>
      <c r="O7" s="11"/>
      <c r="P7" s="11">
        <f t="shared" ref="P7:P30" si="6">O7*40</f>
        <v>0</v>
      </c>
      <c r="Q7" s="11"/>
      <c r="R7" s="11">
        <f t="shared" ref="R7:R28" si="7">Q7*14</f>
        <v>0</v>
      </c>
      <c r="S7" s="11"/>
      <c r="T7" s="11">
        <f t="shared" ref="T7:T26" si="8">S7*14</f>
        <v>0</v>
      </c>
      <c r="U7" s="11"/>
      <c r="V7" s="11">
        <f t="shared" ref="V7:V26" si="9">U7*24</f>
        <v>0</v>
      </c>
      <c r="W7" s="11"/>
      <c r="X7" s="11">
        <f t="shared" ref="X7:X26" si="10">W7*12</f>
        <v>0</v>
      </c>
      <c r="Y7" s="11"/>
      <c r="Z7" s="11">
        <f t="shared" ref="Z7:Z26" si="11">Y7*12</f>
        <v>0</v>
      </c>
      <c r="AA7" s="11"/>
      <c r="AB7" s="11">
        <f t="shared" ref="AB7:AB25" si="12">AA7*14</f>
        <v>0</v>
      </c>
      <c r="AC7" s="11"/>
      <c r="AD7" s="11">
        <f t="shared" ref="AD7:AD26" si="13">AC7*12</f>
        <v>0</v>
      </c>
      <c r="AE7" s="11"/>
      <c r="AF7" s="11">
        <f t="shared" ref="AF7:AF25" si="14">AE7*14</f>
        <v>0</v>
      </c>
      <c r="AG7" s="11">
        <f t="shared" ref="AG7:AG29" si="15">C7+E7+G7+I7+K7+M7+O7+Q7+S7+U7+W7+Y7+AA7+AC7+AE7</f>
        <v>313</v>
      </c>
      <c r="AH7" s="11">
        <f t="shared" ref="AH7:AH25" si="16">D7+F7+H7+J7+L7+N7+P7+R7+T7+V7+X7+Z7+AB7+AD7+AF7</f>
        <v>4336</v>
      </c>
      <c r="AI7" s="140">
        <f t="shared" ref="AI7:AI32" si="17">(D7*$D$5)+(F7*$F$5)+(H7*$H$5)+(J7*$J$5)+(L7*$L$5)+(N7*$N$5)+(P7*$P$5)+(R7*$R$5)+(T7*$T$5)+(V7*$V$5)+(X7*$X$5)+(Z7*$Z$5)+(AB7*$AB$5)+(AD7*$AD$5)+(AF7*$AF$5)</f>
        <v>3508</v>
      </c>
    </row>
    <row r="8" spans="1:35" s="19" customFormat="1" ht="25.15" customHeight="1" x14ac:dyDescent="0.25">
      <c r="A8" s="37">
        <v>3</v>
      </c>
      <c r="B8" s="38">
        <v>45748</v>
      </c>
      <c r="C8" s="11">
        <v>30</v>
      </c>
      <c r="D8" s="11">
        <f t="shared" si="0"/>
        <v>420</v>
      </c>
      <c r="E8" s="11">
        <v>10</v>
      </c>
      <c r="F8" s="11">
        <f t="shared" si="1"/>
        <v>120</v>
      </c>
      <c r="G8" s="11">
        <v>5</v>
      </c>
      <c r="H8" s="11">
        <f t="shared" si="2"/>
        <v>60</v>
      </c>
      <c r="I8" s="11">
        <v>5</v>
      </c>
      <c r="J8" s="11">
        <f t="shared" si="3"/>
        <v>200</v>
      </c>
      <c r="K8" s="11"/>
      <c r="L8" s="11">
        <f t="shared" si="4"/>
        <v>0</v>
      </c>
      <c r="M8" s="11">
        <v>15</v>
      </c>
      <c r="N8" s="11">
        <f t="shared" si="5"/>
        <v>180</v>
      </c>
      <c r="O8" s="11"/>
      <c r="P8" s="11">
        <f t="shared" si="6"/>
        <v>0</v>
      </c>
      <c r="Q8" s="11">
        <v>15</v>
      </c>
      <c r="R8" s="11">
        <f t="shared" si="7"/>
        <v>210</v>
      </c>
      <c r="S8" s="11"/>
      <c r="T8" s="11">
        <f t="shared" si="8"/>
        <v>0</v>
      </c>
      <c r="U8" s="11"/>
      <c r="V8" s="11">
        <f t="shared" si="9"/>
        <v>0</v>
      </c>
      <c r="W8" s="11"/>
      <c r="X8" s="11">
        <f t="shared" si="10"/>
        <v>0</v>
      </c>
      <c r="Y8" s="11"/>
      <c r="Z8" s="11">
        <f t="shared" si="11"/>
        <v>0</v>
      </c>
      <c r="AA8" s="11"/>
      <c r="AB8" s="11">
        <f t="shared" si="12"/>
        <v>0</v>
      </c>
      <c r="AC8" s="11"/>
      <c r="AD8" s="11">
        <f t="shared" si="13"/>
        <v>0</v>
      </c>
      <c r="AE8" s="11"/>
      <c r="AF8" s="11">
        <f t="shared" si="14"/>
        <v>0</v>
      </c>
      <c r="AG8" s="11">
        <f t="shared" si="15"/>
        <v>80</v>
      </c>
      <c r="AH8" s="11">
        <f t="shared" si="16"/>
        <v>1190</v>
      </c>
      <c r="AI8" s="11">
        <f t="shared" si="17"/>
        <v>809.19999999999993</v>
      </c>
    </row>
    <row r="9" spans="1:35" s="19" customFormat="1" ht="25.15" customHeight="1" x14ac:dyDescent="0.25">
      <c r="A9" s="37">
        <v>4</v>
      </c>
      <c r="B9" s="38">
        <v>45809</v>
      </c>
      <c r="C9" s="11">
        <v>60</v>
      </c>
      <c r="D9" s="11">
        <f t="shared" si="0"/>
        <v>840</v>
      </c>
      <c r="E9" s="11"/>
      <c r="F9" s="11">
        <f t="shared" si="1"/>
        <v>0</v>
      </c>
      <c r="G9" s="11"/>
      <c r="H9" s="11">
        <f t="shared" si="2"/>
        <v>0</v>
      </c>
      <c r="I9" s="11"/>
      <c r="J9" s="11">
        <f t="shared" si="3"/>
        <v>0</v>
      </c>
      <c r="K9" s="11">
        <v>15</v>
      </c>
      <c r="L9" s="11">
        <f t="shared" si="4"/>
        <v>180</v>
      </c>
      <c r="M9" s="11"/>
      <c r="N9" s="11">
        <f t="shared" si="5"/>
        <v>0</v>
      </c>
      <c r="O9" s="11"/>
      <c r="P9" s="11">
        <f t="shared" si="6"/>
        <v>0</v>
      </c>
      <c r="Q9" s="11"/>
      <c r="R9" s="11">
        <f t="shared" si="7"/>
        <v>0</v>
      </c>
      <c r="S9" s="11"/>
      <c r="T9" s="11">
        <f t="shared" si="8"/>
        <v>0</v>
      </c>
      <c r="U9" s="11"/>
      <c r="V9" s="11">
        <f t="shared" si="9"/>
        <v>0</v>
      </c>
      <c r="W9" s="11"/>
      <c r="X9" s="11">
        <f t="shared" si="10"/>
        <v>0</v>
      </c>
      <c r="Y9" s="11"/>
      <c r="Z9" s="11">
        <f t="shared" si="11"/>
        <v>0</v>
      </c>
      <c r="AA9" s="11"/>
      <c r="AB9" s="11">
        <f t="shared" si="12"/>
        <v>0</v>
      </c>
      <c r="AC9" s="11"/>
      <c r="AD9" s="11">
        <f t="shared" si="13"/>
        <v>0</v>
      </c>
      <c r="AE9" s="11"/>
      <c r="AF9" s="11">
        <f t="shared" si="14"/>
        <v>0</v>
      </c>
      <c r="AG9" s="11">
        <f t="shared" si="15"/>
        <v>75</v>
      </c>
      <c r="AH9" s="11">
        <f t="shared" si="16"/>
        <v>1020</v>
      </c>
      <c r="AI9" s="11">
        <f t="shared" si="17"/>
        <v>663.6</v>
      </c>
    </row>
    <row r="10" spans="1:35" s="19" customFormat="1" ht="25.15" customHeight="1" x14ac:dyDescent="0.25">
      <c r="A10" s="37">
        <v>5</v>
      </c>
      <c r="B10" s="38">
        <v>45839</v>
      </c>
      <c r="C10" s="11">
        <v>130</v>
      </c>
      <c r="D10" s="11">
        <f t="shared" si="0"/>
        <v>1820</v>
      </c>
      <c r="E10" s="11">
        <v>100</v>
      </c>
      <c r="F10" s="11">
        <f t="shared" si="1"/>
        <v>1200</v>
      </c>
      <c r="G10" s="11">
        <v>5</v>
      </c>
      <c r="H10" s="11">
        <f t="shared" si="2"/>
        <v>60</v>
      </c>
      <c r="I10" s="11">
        <v>10</v>
      </c>
      <c r="J10" s="11">
        <f t="shared" si="3"/>
        <v>400</v>
      </c>
      <c r="K10" s="11">
        <v>3</v>
      </c>
      <c r="L10" s="11">
        <f t="shared" si="4"/>
        <v>36</v>
      </c>
      <c r="M10" s="11">
        <v>120</v>
      </c>
      <c r="N10" s="11">
        <f t="shared" si="5"/>
        <v>1440</v>
      </c>
      <c r="O10" s="11">
        <v>15</v>
      </c>
      <c r="P10" s="11">
        <f t="shared" si="6"/>
        <v>600</v>
      </c>
      <c r="Q10" s="11"/>
      <c r="R10" s="11">
        <f t="shared" si="7"/>
        <v>0</v>
      </c>
      <c r="S10" s="11"/>
      <c r="T10" s="11">
        <f t="shared" si="8"/>
        <v>0</v>
      </c>
      <c r="U10" s="11"/>
      <c r="V10" s="11">
        <f t="shared" si="9"/>
        <v>0</v>
      </c>
      <c r="W10" s="11"/>
      <c r="X10" s="11">
        <f t="shared" si="10"/>
        <v>0</v>
      </c>
      <c r="Y10" s="11"/>
      <c r="Z10" s="11">
        <f t="shared" si="11"/>
        <v>0</v>
      </c>
      <c r="AA10" s="11"/>
      <c r="AB10" s="11">
        <f t="shared" si="12"/>
        <v>0</v>
      </c>
      <c r="AC10" s="11"/>
      <c r="AD10" s="11">
        <f t="shared" si="13"/>
        <v>0</v>
      </c>
      <c r="AE10" s="11"/>
      <c r="AF10" s="11">
        <f t="shared" si="14"/>
        <v>0</v>
      </c>
      <c r="AG10" s="11">
        <f t="shared" si="15"/>
        <v>383</v>
      </c>
      <c r="AH10" s="11">
        <f t="shared" si="16"/>
        <v>5556</v>
      </c>
      <c r="AI10" s="11">
        <f t="shared" si="17"/>
        <v>4216</v>
      </c>
    </row>
    <row r="11" spans="1:35" s="19" customFormat="1" ht="25.15" customHeight="1" x14ac:dyDescent="0.25">
      <c r="A11" s="37">
        <v>6</v>
      </c>
      <c r="B11" s="38">
        <v>45870</v>
      </c>
      <c r="C11" s="11">
        <v>4</v>
      </c>
      <c r="D11" s="11">
        <f t="shared" si="0"/>
        <v>56</v>
      </c>
      <c r="E11" s="11">
        <v>40</v>
      </c>
      <c r="F11" s="11">
        <f t="shared" si="1"/>
        <v>480</v>
      </c>
      <c r="G11" s="11">
        <v>15</v>
      </c>
      <c r="H11" s="11">
        <f t="shared" si="2"/>
        <v>180</v>
      </c>
      <c r="I11" s="11">
        <v>9</v>
      </c>
      <c r="J11" s="11">
        <f t="shared" si="3"/>
        <v>360</v>
      </c>
      <c r="K11" s="11"/>
      <c r="L11" s="11">
        <f t="shared" si="4"/>
        <v>0</v>
      </c>
      <c r="M11" s="11"/>
      <c r="N11" s="11">
        <f t="shared" si="5"/>
        <v>0</v>
      </c>
      <c r="O11" s="11"/>
      <c r="P11" s="11">
        <f t="shared" si="6"/>
        <v>0</v>
      </c>
      <c r="Q11" s="11"/>
      <c r="R11" s="11">
        <f t="shared" si="7"/>
        <v>0</v>
      </c>
      <c r="S11" s="11"/>
      <c r="T11" s="11">
        <f t="shared" si="8"/>
        <v>0</v>
      </c>
      <c r="U11" s="11"/>
      <c r="V11" s="11">
        <f t="shared" si="9"/>
        <v>0</v>
      </c>
      <c r="W11" s="11"/>
      <c r="X11" s="11">
        <f t="shared" si="10"/>
        <v>0</v>
      </c>
      <c r="Y11" s="11"/>
      <c r="Z11" s="11">
        <f t="shared" si="11"/>
        <v>0</v>
      </c>
      <c r="AA11" s="11"/>
      <c r="AB11" s="11">
        <f t="shared" si="12"/>
        <v>0</v>
      </c>
      <c r="AC11" s="11"/>
      <c r="AD11" s="11">
        <f t="shared" si="13"/>
        <v>0</v>
      </c>
      <c r="AE11" s="11"/>
      <c r="AF11" s="11">
        <f t="shared" si="14"/>
        <v>0</v>
      </c>
      <c r="AG11" s="11">
        <f t="shared" si="15"/>
        <v>68</v>
      </c>
      <c r="AH11" s="11">
        <f t="shared" si="16"/>
        <v>1076</v>
      </c>
      <c r="AI11" s="11">
        <f t="shared" si="17"/>
        <v>749.84</v>
      </c>
    </row>
    <row r="12" spans="1:35" ht="25.15" customHeight="1" x14ac:dyDescent="0.6">
      <c r="A12" s="37">
        <v>7</v>
      </c>
      <c r="B12" s="38">
        <v>45901</v>
      </c>
      <c r="C12" s="6">
        <v>20</v>
      </c>
      <c r="D12" s="11">
        <f t="shared" si="0"/>
        <v>280</v>
      </c>
      <c r="E12" s="6">
        <v>30</v>
      </c>
      <c r="F12" s="11">
        <f t="shared" si="1"/>
        <v>360</v>
      </c>
      <c r="G12" s="6"/>
      <c r="H12" s="11">
        <f t="shared" si="2"/>
        <v>0</v>
      </c>
      <c r="I12" s="6"/>
      <c r="J12" s="11">
        <f t="shared" si="3"/>
        <v>0</v>
      </c>
      <c r="K12" s="6">
        <v>10</v>
      </c>
      <c r="L12" s="11">
        <f t="shared" si="4"/>
        <v>120</v>
      </c>
      <c r="M12" s="6"/>
      <c r="N12" s="11">
        <f t="shared" si="5"/>
        <v>0</v>
      </c>
      <c r="O12" s="6"/>
      <c r="P12" s="11">
        <f t="shared" si="6"/>
        <v>0</v>
      </c>
      <c r="Q12" s="6"/>
      <c r="R12" s="11">
        <f t="shared" si="7"/>
        <v>0</v>
      </c>
      <c r="S12" s="6"/>
      <c r="T12" s="11">
        <f t="shared" si="8"/>
        <v>0</v>
      </c>
      <c r="U12" s="6"/>
      <c r="V12" s="11">
        <f t="shared" si="9"/>
        <v>0</v>
      </c>
      <c r="W12" s="6"/>
      <c r="X12" s="11">
        <f t="shared" si="10"/>
        <v>0</v>
      </c>
      <c r="Y12" s="11"/>
      <c r="Z12" s="11">
        <f t="shared" si="11"/>
        <v>0</v>
      </c>
      <c r="AA12" s="6"/>
      <c r="AB12" s="11">
        <f t="shared" si="12"/>
        <v>0</v>
      </c>
      <c r="AC12" s="6"/>
      <c r="AD12" s="11">
        <f t="shared" si="13"/>
        <v>0</v>
      </c>
      <c r="AE12" s="6"/>
      <c r="AF12" s="11">
        <f t="shared" si="14"/>
        <v>0</v>
      </c>
      <c r="AG12" s="11">
        <f>C12+E12+G12+I12+K12+M12+O12+Q12+S12+U12+W12+Y12+AA12+AC12+AE12</f>
        <v>60</v>
      </c>
      <c r="AH12" s="11">
        <f t="shared" si="16"/>
        <v>760</v>
      </c>
      <c r="AI12" s="11">
        <f t="shared" si="17"/>
        <v>623.20000000000005</v>
      </c>
    </row>
    <row r="13" spans="1:35" ht="25.15" customHeight="1" x14ac:dyDescent="0.6">
      <c r="A13" s="37">
        <v>8</v>
      </c>
      <c r="B13" s="38">
        <v>45931</v>
      </c>
      <c r="C13" s="6">
        <v>100</v>
      </c>
      <c r="D13" s="11">
        <f t="shared" si="0"/>
        <v>1400</v>
      </c>
      <c r="E13" s="6">
        <v>120</v>
      </c>
      <c r="F13" s="11">
        <f t="shared" si="1"/>
        <v>1440</v>
      </c>
      <c r="G13" s="6">
        <v>5</v>
      </c>
      <c r="H13" s="11">
        <f t="shared" si="2"/>
        <v>60</v>
      </c>
      <c r="I13" s="6">
        <v>25</v>
      </c>
      <c r="J13" s="11">
        <f t="shared" si="3"/>
        <v>1000</v>
      </c>
      <c r="K13" s="6">
        <v>12</v>
      </c>
      <c r="L13" s="11">
        <f t="shared" si="4"/>
        <v>144</v>
      </c>
      <c r="M13" s="6">
        <v>90</v>
      </c>
      <c r="N13" s="11">
        <f t="shared" si="5"/>
        <v>1080</v>
      </c>
      <c r="O13" s="6"/>
      <c r="P13" s="11">
        <f t="shared" si="6"/>
        <v>0</v>
      </c>
      <c r="Q13" s="6"/>
      <c r="R13" s="11">
        <f t="shared" si="7"/>
        <v>0</v>
      </c>
      <c r="S13" s="6"/>
      <c r="T13" s="11">
        <f t="shared" si="8"/>
        <v>0</v>
      </c>
      <c r="U13" s="6"/>
      <c r="V13" s="11">
        <f t="shared" si="9"/>
        <v>0</v>
      </c>
      <c r="W13" s="6"/>
      <c r="X13" s="11">
        <f t="shared" si="10"/>
        <v>0</v>
      </c>
      <c r="Y13" s="11"/>
      <c r="Z13" s="11">
        <f t="shared" si="11"/>
        <v>0</v>
      </c>
      <c r="AA13" s="6">
        <v>5</v>
      </c>
      <c r="AB13" s="11">
        <f t="shared" si="12"/>
        <v>70</v>
      </c>
      <c r="AC13" s="6"/>
      <c r="AD13" s="11">
        <f t="shared" si="13"/>
        <v>0</v>
      </c>
      <c r="AE13" s="6"/>
      <c r="AF13" s="11">
        <f t="shared" si="14"/>
        <v>0</v>
      </c>
      <c r="AG13" s="11">
        <f t="shared" si="15"/>
        <v>357</v>
      </c>
      <c r="AH13" s="11">
        <f t="shared" si="16"/>
        <v>5194</v>
      </c>
      <c r="AI13" s="11">
        <f t="shared" si="17"/>
        <v>3972.8</v>
      </c>
    </row>
    <row r="14" spans="1:35" ht="25.15" customHeight="1" x14ac:dyDescent="0.6">
      <c r="A14" s="37">
        <v>9</v>
      </c>
      <c r="B14" s="38"/>
      <c r="C14" s="6"/>
      <c r="D14" s="11">
        <f t="shared" si="0"/>
        <v>0</v>
      </c>
      <c r="E14" s="6"/>
      <c r="F14" s="11">
        <f t="shared" si="1"/>
        <v>0</v>
      </c>
      <c r="G14" s="6"/>
      <c r="H14" s="11">
        <f t="shared" si="2"/>
        <v>0</v>
      </c>
      <c r="I14" s="6"/>
      <c r="J14" s="11">
        <f t="shared" si="3"/>
        <v>0</v>
      </c>
      <c r="K14" s="6"/>
      <c r="L14" s="11">
        <f t="shared" si="4"/>
        <v>0</v>
      </c>
      <c r="M14" s="6"/>
      <c r="N14" s="11">
        <f t="shared" si="5"/>
        <v>0</v>
      </c>
      <c r="O14" s="6"/>
      <c r="P14" s="11">
        <f t="shared" si="6"/>
        <v>0</v>
      </c>
      <c r="Q14" s="6"/>
      <c r="R14" s="11">
        <f t="shared" si="7"/>
        <v>0</v>
      </c>
      <c r="S14" s="6"/>
      <c r="T14" s="11">
        <f t="shared" si="8"/>
        <v>0</v>
      </c>
      <c r="U14" s="6"/>
      <c r="V14" s="11">
        <f t="shared" si="9"/>
        <v>0</v>
      </c>
      <c r="W14" s="6"/>
      <c r="X14" s="11">
        <f t="shared" si="10"/>
        <v>0</v>
      </c>
      <c r="Y14" s="11"/>
      <c r="Z14" s="11">
        <f t="shared" si="11"/>
        <v>0</v>
      </c>
      <c r="AA14" s="6"/>
      <c r="AB14" s="11">
        <f t="shared" si="12"/>
        <v>0</v>
      </c>
      <c r="AC14" s="6"/>
      <c r="AD14" s="11">
        <f t="shared" si="13"/>
        <v>0</v>
      </c>
      <c r="AE14" s="6"/>
      <c r="AF14" s="11">
        <f t="shared" si="14"/>
        <v>0</v>
      </c>
      <c r="AG14" s="11">
        <f t="shared" si="15"/>
        <v>0</v>
      </c>
      <c r="AH14" s="11">
        <f t="shared" si="16"/>
        <v>0</v>
      </c>
      <c r="AI14" s="11">
        <f t="shared" si="17"/>
        <v>0</v>
      </c>
    </row>
    <row r="15" spans="1:35" ht="25.15" customHeight="1" x14ac:dyDescent="0.6">
      <c r="A15" s="37">
        <v>10</v>
      </c>
      <c r="B15" s="38"/>
      <c r="C15" s="6"/>
      <c r="D15" s="11">
        <f t="shared" si="0"/>
        <v>0</v>
      </c>
      <c r="E15" s="6"/>
      <c r="F15" s="11">
        <f t="shared" si="1"/>
        <v>0</v>
      </c>
      <c r="G15" s="6"/>
      <c r="H15" s="11">
        <f t="shared" si="2"/>
        <v>0</v>
      </c>
      <c r="I15" s="6"/>
      <c r="J15" s="11">
        <f t="shared" si="3"/>
        <v>0</v>
      </c>
      <c r="K15" s="6"/>
      <c r="L15" s="11">
        <f t="shared" si="4"/>
        <v>0</v>
      </c>
      <c r="M15" s="6"/>
      <c r="N15" s="11">
        <f t="shared" si="5"/>
        <v>0</v>
      </c>
      <c r="O15" s="6"/>
      <c r="P15" s="11">
        <f t="shared" si="6"/>
        <v>0</v>
      </c>
      <c r="Q15" s="6"/>
      <c r="R15" s="11">
        <f t="shared" si="7"/>
        <v>0</v>
      </c>
      <c r="S15" s="6"/>
      <c r="T15" s="11">
        <f t="shared" si="8"/>
        <v>0</v>
      </c>
      <c r="U15" s="6"/>
      <c r="V15" s="11">
        <f t="shared" si="9"/>
        <v>0</v>
      </c>
      <c r="W15" s="6"/>
      <c r="X15" s="11">
        <f t="shared" si="10"/>
        <v>0</v>
      </c>
      <c r="Y15" s="11"/>
      <c r="Z15" s="11">
        <f t="shared" si="11"/>
        <v>0</v>
      </c>
      <c r="AA15" s="6"/>
      <c r="AB15" s="11">
        <f t="shared" si="12"/>
        <v>0</v>
      </c>
      <c r="AC15" s="6"/>
      <c r="AD15" s="11">
        <f t="shared" si="13"/>
        <v>0</v>
      </c>
      <c r="AE15" s="6"/>
      <c r="AF15" s="11">
        <f t="shared" si="14"/>
        <v>0</v>
      </c>
      <c r="AG15" s="11">
        <f t="shared" si="15"/>
        <v>0</v>
      </c>
      <c r="AH15" s="11">
        <f t="shared" si="16"/>
        <v>0</v>
      </c>
      <c r="AI15" s="11">
        <f t="shared" si="17"/>
        <v>0</v>
      </c>
    </row>
    <row r="16" spans="1:35" ht="25.15" customHeight="1" x14ac:dyDescent="0.6">
      <c r="A16" s="37">
        <v>11</v>
      </c>
      <c r="B16" s="38"/>
      <c r="C16" s="6"/>
      <c r="D16" s="11">
        <f t="shared" si="0"/>
        <v>0</v>
      </c>
      <c r="E16" s="6"/>
      <c r="F16" s="11">
        <f t="shared" si="1"/>
        <v>0</v>
      </c>
      <c r="G16" s="6"/>
      <c r="H16" s="11">
        <f t="shared" si="2"/>
        <v>0</v>
      </c>
      <c r="I16" s="6"/>
      <c r="J16" s="11">
        <f t="shared" si="3"/>
        <v>0</v>
      </c>
      <c r="K16" s="6"/>
      <c r="L16" s="11">
        <f t="shared" si="4"/>
        <v>0</v>
      </c>
      <c r="M16" s="6"/>
      <c r="N16" s="11">
        <f t="shared" si="5"/>
        <v>0</v>
      </c>
      <c r="O16" s="6"/>
      <c r="P16" s="11">
        <f t="shared" si="6"/>
        <v>0</v>
      </c>
      <c r="Q16" s="6"/>
      <c r="R16" s="11">
        <f t="shared" si="7"/>
        <v>0</v>
      </c>
      <c r="S16" s="6"/>
      <c r="T16" s="11">
        <f t="shared" si="8"/>
        <v>0</v>
      </c>
      <c r="U16" s="6"/>
      <c r="V16" s="11">
        <f t="shared" si="9"/>
        <v>0</v>
      </c>
      <c r="W16" s="6"/>
      <c r="X16" s="11">
        <f t="shared" si="10"/>
        <v>0</v>
      </c>
      <c r="Y16" s="11"/>
      <c r="Z16" s="11">
        <f t="shared" si="11"/>
        <v>0</v>
      </c>
      <c r="AA16" s="6"/>
      <c r="AB16" s="11">
        <f t="shared" si="12"/>
        <v>0</v>
      </c>
      <c r="AC16" s="6"/>
      <c r="AD16" s="11">
        <f t="shared" si="13"/>
        <v>0</v>
      </c>
      <c r="AE16" s="6"/>
      <c r="AF16" s="11">
        <f t="shared" si="14"/>
        <v>0</v>
      </c>
      <c r="AG16" s="11">
        <f t="shared" si="15"/>
        <v>0</v>
      </c>
      <c r="AH16" s="11">
        <f t="shared" si="16"/>
        <v>0</v>
      </c>
      <c r="AI16" s="11">
        <f t="shared" si="17"/>
        <v>0</v>
      </c>
    </row>
    <row r="17" spans="1:35" ht="25.15" customHeight="1" x14ac:dyDescent="0.6">
      <c r="A17" s="37">
        <v>12</v>
      </c>
      <c r="B17" s="38"/>
      <c r="C17" s="6"/>
      <c r="D17" s="11">
        <f t="shared" si="0"/>
        <v>0</v>
      </c>
      <c r="E17" s="6"/>
      <c r="F17" s="11">
        <f t="shared" si="1"/>
        <v>0</v>
      </c>
      <c r="G17" s="6"/>
      <c r="H17" s="11"/>
      <c r="I17" s="6"/>
      <c r="J17" s="11"/>
      <c r="K17" s="6"/>
      <c r="L17" s="11">
        <f t="shared" si="4"/>
        <v>0</v>
      </c>
      <c r="M17" s="6"/>
      <c r="N17" s="11"/>
      <c r="O17" s="6"/>
      <c r="P17" s="11"/>
      <c r="Q17" s="6"/>
      <c r="R17" s="11"/>
      <c r="S17" s="6"/>
      <c r="T17" s="11"/>
      <c r="U17" s="6"/>
      <c r="V17" s="11"/>
      <c r="W17" s="6"/>
      <c r="X17" s="11"/>
      <c r="Y17" s="11"/>
      <c r="Z17" s="11"/>
      <c r="AA17" s="6"/>
      <c r="AB17" s="11"/>
      <c r="AC17" s="6"/>
      <c r="AD17" s="11"/>
      <c r="AE17" s="6"/>
      <c r="AF17" s="11"/>
      <c r="AG17" s="11">
        <f t="shared" si="15"/>
        <v>0</v>
      </c>
      <c r="AH17" s="11">
        <f t="shared" si="16"/>
        <v>0</v>
      </c>
      <c r="AI17" s="11">
        <f t="shared" si="17"/>
        <v>0</v>
      </c>
    </row>
    <row r="18" spans="1:35" ht="25.15" customHeight="1" x14ac:dyDescent="0.6">
      <c r="A18" s="37">
        <v>13</v>
      </c>
      <c r="B18" s="38"/>
      <c r="C18" s="6"/>
      <c r="D18" s="11">
        <f t="shared" si="0"/>
        <v>0</v>
      </c>
      <c r="E18" s="6"/>
      <c r="F18" s="11">
        <f t="shared" si="1"/>
        <v>0</v>
      </c>
      <c r="G18" s="6"/>
      <c r="H18" s="11">
        <f t="shared" si="2"/>
        <v>0</v>
      </c>
      <c r="I18" s="6"/>
      <c r="J18" s="11">
        <f t="shared" si="3"/>
        <v>0</v>
      </c>
      <c r="K18" s="6"/>
      <c r="L18" s="11">
        <f t="shared" si="4"/>
        <v>0</v>
      </c>
      <c r="M18" s="6"/>
      <c r="N18" s="11">
        <f t="shared" si="5"/>
        <v>0</v>
      </c>
      <c r="O18" s="6"/>
      <c r="P18" s="11">
        <f t="shared" si="6"/>
        <v>0</v>
      </c>
      <c r="Q18" s="6"/>
      <c r="R18" s="11">
        <f t="shared" si="7"/>
        <v>0</v>
      </c>
      <c r="S18" s="6"/>
      <c r="T18" s="11">
        <f t="shared" si="8"/>
        <v>0</v>
      </c>
      <c r="U18" s="6"/>
      <c r="V18" s="11">
        <f t="shared" si="9"/>
        <v>0</v>
      </c>
      <c r="W18" s="6"/>
      <c r="X18" s="11">
        <f t="shared" si="10"/>
        <v>0</v>
      </c>
      <c r="Y18" s="11"/>
      <c r="Z18" s="11">
        <f t="shared" si="11"/>
        <v>0</v>
      </c>
      <c r="AA18" s="6"/>
      <c r="AB18" s="11">
        <f t="shared" si="12"/>
        <v>0</v>
      </c>
      <c r="AC18" s="6"/>
      <c r="AD18" s="11">
        <f t="shared" si="13"/>
        <v>0</v>
      </c>
      <c r="AE18" s="6"/>
      <c r="AF18" s="11">
        <f t="shared" si="14"/>
        <v>0</v>
      </c>
      <c r="AG18" s="11">
        <f t="shared" si="15"/>
        <v>0</v>
      </c>
      <c r="AH18" s="11">
        <f t="shared" si="16"/>
        <v>0</v>
      </c>
      <c r="AI18" s="11">
        <f t="shared" si="17"/>
        <v>0</v>
      </c>
    </row>
    <row r="19" spans="1:35" ht="25.15" customHeight="1" x14ac:dyDescent="0.6">
      <c r="A19" s="37">
        <v>14</v>
      </c>
      <c r="B19" s="38"/>
      <c r="C19" s="6"/>
      <c r="D19" s="11">
        <f t="shared" si="0"/>
        <v>0</v>
      </c>
      <c r="E19" s="6"/>
      <c r="F19" s="11">
        <f t="shared" si="1"/>
        <v>0</v>
      </c>
      <c r="G19" s="6"/>
      <c r="H19" s="11">
        <f t="shared" si="2"/>
        <v>0</v>
      </c>
      <c r="I19" s="6"/>
      <c r="J19" s="11">
        <f t="shared" si="3"/>
        <v>0</v>
      </c>
      <c r="K19" s="6"/>
      <c r="L19" s="11">
        <f t="shared" si="4"/>
        <v>0</v>
      </c>
      <c r="M19" s="6"/>
      <c r="N19" s="11">
        <f t="shared" si="5"/>
        <v>0</v>
      </c>
      <c r="O19" s="6"/>
      <c r="P19" s="11">
        <f t="shared" si="6"/>
        <v>0</v>
      </c>
      <c r="Q19" s="6"/>
      <c r="R19" s="11">
        <f t="shared" si="7"/>
        <v>0</v>
      </c>
      <c r="S19" s="6"/>
      <c r="T19" s="11">
        <f t="shared" si="8"/>
        <v>0</v>
      </c>
      <c r="U19" s="6"/>
      <c r="V19" s="11">
        <f t="shared" si="9"/>
        <v>0</v>
      </c>
      <c r="W19" s="6"/>
      <c r="X19" s="11">
        <f t="shared" si="10"/>
        <v>0</v>
      </c>
      <c r="Y19" s="11"/>
      <c r="Z19" s="11">
        <f t="shared" si="11"/>
        <v>0</v>
      </c>
      <c r="AA19" s="6"/>
      <c r="AB19" s="11">
        <f t="shared" si="12"/>
        <v>0</v>
      </c>
      <c r="AC19" s="6"/>
      <c r="AD19" s="11">
        <f t="shared" si="13"/>
        <v>0</v>
      </c>
      <c r="AE19" s="6"/>
      <c r="AF19" s="11">
        <f t="shared" si="14"/>
        <v>0</v>
      </c>
      <c r="AG19" s="11">
        <f t="shared" si="15"/>
        <v>0</v>
      </c>
      <c r="AH19" s="11">
        <f t="shared" si="16"/>
        <v>0</v>
      </c>
      <c r="AI19" s="11">
        <f t="shared" si="17"/>
        <v>0</v>
      </c>
    </row>
    <row r="20" spans="1:35" ht="25.15" customHeight="1" x14ac:dyDescent="0.6">
      <c r="A20" s="37">
        <v>15</v>
      </c>
      <c r="B20" s="38"/>
      <c r="C20" s="6"/>
      <c r="D20" s="11">
        <f t="shared" si="0"/>
        <v>0</v>
      </c>
      <c r="E20" s="6"/>
      <c r="F20" s="11">
        <f t="shared" si="1"/>
        <v>0</v>
      </c>
      <c r="G20" s="6"/>
      <c r="H20" s="11">
        <f t="shared" si="2"/>
        <v>0</v>
      </c>
      <c r="I20" s="6"/>
      <c r="J20" s="11">
        <f t="shared" si="3"/>
        <v>0</v>
      </c>
      <c r="K20" s="6"/>
      <c r="L20" s="11">
        <f t="shared" si="4"/>
        <v>0</v>
      </c>
      <c r="M20" s="6"/>
      <c r="N20" s="11">
        <f t="shared" si="5"/>
        <v>0</v>
      </c>
      <c r="O20" s="6"/>
      <c r="P20" s="11">
        <f t="shared" si="6"/>
        <v>0</v>
      </c>
      <c r="Q20" s="6"/>
      <c r="R20" s="11">
        <f t="shared" si="7"/>
        <v>0</v>
      </c>
      <c r="S20" s="6"/>
      <c r="T20" s="11">
        <f t="shared" si="8"/>
        <v>0</v>
      </c>
      <c r="U20" s="6"/>
      <c r="V20" s="11">
        <f t="shared" si="9"/>
        <v>0</v>
      </c>
      <c r="W20" s="6"/>
      <c r="X20" s="11">
        <f t="shared" si="10"/>
        <v>0</v>
      </c>
      <c r="Y20" s="11"/>
      <c r="Z20" s="11">
        <f t="shared" si="11"/>
        <v>0</v>
      </c>
      <c r="AA20" s="6"/>
      <c r="AB20" s="11">
        <f t="shared" si="12"/>
        <v>0</v>
      </c>
      <c r="AC20" s="6"/>
      <c r="AD20" s="11">
        <f t="shared" si="13"/>
        <v>0</v>
      </c>
      <c r="AE20" s="6"/>
      <c r="AF20" s="11">
        <f t="shared" si="14"/>
        <v>0</v>
      </c>
      <c r="AG20" s="11">
        <f t="shared" si="15"/>
        <v>0</v>
      </c>
      <c r="AH20" s="11">
        <f t="shared" si="16"/>
        <v>0</v>
      </c>
      <c r="AI20" s="11">
        <f t="shared" si="17"/>
        <v>0</v>
      </c>
    </row>
    <row r="21" spans="1:35" ht="25.15" customHeight="1" x14ac:dyDescent="0.6">
      <c r="A21" s="37">
        <v>15</v>
      </c>
      <c r="B21" s="38"/>
      <c r="C21" s="41"/>
      <c r="D21" s="11">
        <f t="shared" si="0"/>
        <v>0</v>
      </c>
      <c r="E21" s="41"/>
      <c r="F21" s="11">
        <f t="shared" si="1"/>
        <v>0</v>
      </c>
      <c r="G21" s="41"/>
      <c r="H21" s="11">
        <f t="shared" si="2"/>
        <v>0</v>
      </c>
      <c r="I21" s="41"/>
      <c r="J21" s="11">
        <f t="shared" si="3"/>
        <v>0</v>
      </c>
      <c r="K21" s="41"/>
      <c r="L21" s="11">
        <f t="shared" si="4"/>
        <v>0</v>
      </c>
      <c r="M21" s="41"/>
      <c r="N21" s="11">
        <f t="shared" si="5"/>
        <v>0</v>
      </c>
      <c r="O21" s="41"/>
      <c r="P21" s="11">
        <f t="shared" si="6"/>
        <v>0</v>
      </c>
      <c r="Q21" s="41"/>
      <c r="R21" s="11">
        <f t="shared" si="7"/>
        <v>0</v>
      </c>
      <c r="S21" s="41"/>
      <c r="T21" s="11">
        <f t="shared" si="8"/>
        <v>0</v>
      </c>
      <c r="U21" s="41"/>
      <c r="V21" s="11">
        <f t="shared" si="9"/>
        <v>0</v>
      </c>
      <c r="W21" s="41"/>
      <c r="X21" s="11">
        <f t="shared" si="10"/>
        <v>0</v>
      </c>
      <c r="Y21" s="11"/>
      <c r="Z21" s="11">
        <f t="shared" si="11"/>
        <v>0</v>
      </c>
      <c r="AA21" s="41"/>
      <c r="AB21" s="11">
        <f t="shared" si="12"/>
        <v>0</v>
      </c>
      <c r="AC21" s="6"/>
      <c r="AD21" s="11">
        <f t="shared" si="13"/>
        <v>0</v>
      </c>
      <c r="AE21" s="41"/>
      <c r="AF21" s="11">
        <f t="shared" si="14"/>
        <v>0</v>
      </c>
      <c r="AG21" s="11">
        <f t="shared" si="15"/>
        <v>0</v>
      </c>
      <c r="AH21" s="11">
        <f t="shared" si="16"/>
        <v>0</v>
      </c>
      <c r="AI21" s="11">
        <f t="shared" si="17"/>
        <v>0</v>
      </c>
    </row>
    <row r="22" spans="1:35" ht="25.15" customHeight="1" x14ac:dyDescent="0.6">
      <c r="A22" s="37">
        <v>16</v>
      </c>
      <c r="B22" s="38"/>
      <c r="C22" s="41"/>
      <c r="D22" s="11">
        <f t="shared" si="0"/>
        <v>0</v>
      </c>
      <c r="E22" s="41"/>
      <c r="F22" s="11">
        <f t="shared" si="1"/>
        <v>0</v>
      </c>
      <c r="G22" s="41"/>
      <c r="H22" s="11">
        <f t="shared" si="2"/>
        <v>0</v>
      </c>
      <c r="I22" s="41"/>
      <c r="J22" s="11">
        <f t="shared" si="3"/>
        <v>0</v>
      </c>
      <c r="K22" s="41"/>
      <c r="L22" s="11"/>
      <c r="M22" s="41"/>
      <c r="N22" s="11">
        <f t="shared" si="5"/>
        <v>0</v>
      </c>
      <c r="O22" s="41"/>
      <c r="P22" s="11">
        <f t="shared" si="6"/>
        <v>0</v>
      </c>
      <c r="Q22" s="41"/>
      <c r="R22" s="11">
        <f t="shared" si="7"/>
        <v>0</v>
      </c>
      <c r="S22" s="41"/>
      <c r="T22" s="11">
        <f t="shared" si="8"/>
        <v>0</v>
      </c>
      <c r="U22" s="41"/>
      <c r="V22" s="11">
        <f t="shared" si="9"/>
        <v>0</v>
      </c>
      <c r="W22" s="41"/>
      <c r="X22" s="11">
        <f t="shared" si="10"/>
        <v>0</v>
      </c>
      <c r="Y22" s="11"/>
      <c r="Z22" s="11">
        <f t="shared" si="11"/>
        <v>0</v>
      </c>
      <c r="AA22" s="41"/>
      <c r="AB22" s="11">
        <f t="shared" si="12"/>
        <v>0</v>
      </c>
      <c r="AC22" s="6"/>
      <c r="AD22" s="11">
        <f t="shared" si="13"/>
        <v>0</v>
      </c>
      <c r="AE22" s="41"/>
      <c r="AF22" s="11">
        <f t="shared" si="14"/>
        <v>0</v>
      </c>
      <c r="AG22" s="11">
        <f t="shared" si="15"/>
        <v>0</v>
      </c>
      <c r="AH22" s="11">
        <f t="shared" si="16"/>
        <v>0</v>
      </c>
      <c r="AI22" s="11">
        <f t="shared" si="17"/>
        <v>0</v>
      </c>
    </row>
    <row r="23" spans="1:35" ht="25.15" customHeight="1" x14ac:dyDescent="0.6">
      <c r="A23" s="37">
        <v>17</v>
      </c>
      <c r="B23" s="38"/>
      <c r="C23" s="41"/>
      <c r="D23" s="11">
        <f t="shared" si="0"/>
        <v>0</v>
      </c>
      <c r="E23" s="41"/>
      <c r="F23" s="11">
        <f t="shared" si="1"/>
        <v>0</v>
      </c>
      <c r="G23" s="41"/>
      <c r="H23" s="11">
        <f t="shared" si="2"/>
        <v>0</v>
      </c>
      <c r="I23" s="41"/>
      <c r="J23" s="11">
        <f t="shared" si="3"/>
        <v>0</v>
      </c>
      <c r="K23" s="41"/>
      <c r="L23" s="11">
        <f t="shared" si="4"/>
        <v>0</v>
      </c>
      <c r="M23" s="41"/>
      <c r="N23" s="11">
        <f t="shared" si="5"/>
        <v>0</v>
      </c>
      <c r="O23" s="41"/>
      <c r="P23" s="11">
        <f t="shared" si="6"/>
        <v>0</v>
      </c>
      <c r="Q23" s="41"/>
      <c r="R23" s="11">
        <f t="shared" si="7"/>
        <v>0</v>
      </c>
      <c r="S23" s="41"/>
      <c r="T23" s="11">
        <f t="shared" si="8"/>
        <v>0</v>
      </c>
      <c r="U23" s="41"/>
      <c r="V23" s="11">
        <f t="shared" si="9"/>
        <v>0</v>
      </c>
      <c r="W23" s="41"/>
      <c r="X23" s="11">
        <f t="shared" si="10"/>
        <v>0</v>
      </c>
      <c r="Y23" s="11"/>
      <c r="Z23" s="11">
        <f t="shared" si="11"/>
        <v>0</v>
      </c>
      <c r="AA23" s="41"/>
      <c r="AB23" s="11">
        <f t="shared" si="12"/>
        <v>0</v>
      </c>
      <c r="AC23" s="6"/>
      <c r="AD23" s="11">
        <f t="shared" si="13"/>
        <v>0</v>
      </c>
      <c r="AE23" s="41"/>
      <c r="AF23" s="11">
        <f t="shared" si="14"/>
        <v>0</v>
      </c>
      <c r="AG23" s="11">
        <f t="shared" si="15"/>
        <v>0</v>
      </c>
      <c r="AH23" s="11">
        <f t="shared" si="16"/>
        <v>0</v>
      </c>
      <c r="AI23" s="11">
        <f t="shared" si="17"/>
        <v>0</v>
      </c>
    </row>
    <row r="24" spans="1:35" ht="25.15" customHeight="1" x14ac:dyDescent="0.6">
      <c r="A24" s="37">
        <v>18</v>
      </c>
      <c r="B24" s="38"/>
      <c r="C24" s="41"/>
      <c r="D24" s="11">
        <f t="shared" si="0"/>
        <v>0</v>
      </c>
      <c r="E24" s="41"/>
      <c r="F24" s="11">
        <f t="shared" si="1"/>
        <v>0</v>
      </c>
      <c r="G24" s="41"/>
      <c r="H24" s="11">
        <f t="shared" si="2"/>
        <v>0</v>
      </c>
      <c r="I24" s="41"/>
      <c r="J24" s="11">
        <f t="shared" si="3"/>
        <v>0</v>
      </c>
      <c r="K24" s="41"/>
      <c r="L24" s="11">
        <f t="shared" si="4"/>
        <v>0</v>
      </c>
      <c r="M24" s="41"/>
      <c r="N24" s="11">
        <f t="shared" si="5"/>
        <v>0</v>
      </c>
      <c r="O24" s="41"/>
      <c r="P24" s="11">
        <f t="shared" si="6"/>
        <v>0</v>
      </c>
      <c r="Q24" s="41"/>
      <c r="R24" s="11">
        <f t="shared" si="7"/>
        <v>0</v>
      </c>
      <c r="S24" s="41"/>
      <c r="T24" s="11">
        <f t="shared" si="8"/>
        <v>0</v>
      </c>
      <c r="U24" s="41"/>
      <c r="V24" s="11">
        <f t="shared" si="9"/>
        <v>0</v>
      </c>
      <c r="W24" s="41"/>
      <c r="X24" s="11">
        <f t="shared" si="10"/>
        <v>0</v>
      </c>
      <c r="Y24" s="11"/>
      <c r="Z24" s="11">
        <f t="shared" si="11"/>
        <v>0</v>
      </c>
      <c r="AA24" s="41"/>
      <c r="AB24" s="11">
        <f t="shared" si="12"/>
        <v>0</v>
      </c>
      <c r="AC24" s="6"/>
      <c r="AD24" s="11">
        <f t="shared" si="13"/>
        <v>0</v>
      </c>
      <c r="AE24" s="41"/>
      <c r="AF24" s="11">
        <f t="shared" si="14"/>
        <v>0</v>
      </c>
      <c r="AG24" s="11">
        <f t="shared" si="15"/>
        <v>0</v>
      </c>
      <c r="AH24" s="11">
        <f t="shared" si="16"/>
        <v>0</v>
      </c>
      <c r="AI24" s="11">
        <f t="shared" si="17"/>
        <v>0</v>
      </c>
    </row>
    <row r="25" spans="1:35" ht="25.15" customHeight="1" x14ac:dyDescent="0.6">
      <c r="A25" s="37">
        <v>19</v>
      </c>
      <c r="B25" s="38"/>
      <c r="C25" s="41"/>
      <c r="D25" s="11">
        <f t="shared" si="0"/>
        <v>0</v>
      </c>
      <c r="E25" s="41"/>
      <c r="F25" s="11">
        <f t="shared" si="1"/>
        <v>0</v>
      </c>
      <c r="G25" s="41"/>
      <c r="H25" s="11">
        <f t="shared" si="2"/>
        <v>0</v>
      </c>
      <c r="I25" s="41"/>
      <c r="J25" s="11">
        <f t="shared" si="3"/>
        <v>0</v>
      </c>
      <c r="K25" s="41"/>
      <c r="L25" s="11">
        <f t="shared" si="4"/>
        <v>0</v>
      </c>
      <c r="M25" s="41"/>
      <c r="N25" s="11">
        <f t="shared" si="5"/>
        <v>0</v>
      </c>
      <c r="O25" s="41"/>
      <c r="P25" s="11">
        <f t="shared" si="6"/>
        <v>0</v>
      </c>
      <c r="Q25" s="41"/>
      <c r="R25" s="11">
        <f t="shared" si="7"/>
        <v>0</v>
      </c>
      <c r="S25" s="41"/>
      <c r="T25" s="11">
        <f t="shared" si="8"/>
        <v>0</v>
      </c>
      <c r="U25" s="41"/>
      <c r="V25" s="11">
        <f t="shared" si="9"/>
        <v>0</v>
      </c>
      <c r="W25" s="41"/>
      <c r="X25" s="11">
        <f t="shared" si="10"/>
        <v>0</v>
      </c>
      <c r="Y25" s="11"/>
      <c r="Z25" s="11">
        <f t="shared" si="11"/>
        <v>0</v>
      </c>
      <c r="AA25" s="41"/>
      <c r="AB25" s="11">
        <f t="shared" si="12"/>
        <v>0</v>
      </c>
      <c r="AC25" s="6"/>
      <c r="AD25" s="11">
        <f t="shared" si="13"/>
        <v>0</v>
      </c>
      <c r="AE25" s="41"/>
      <c r="AF25" s="11">
        <f t="shared" si="14"/>
        <v>0</v>
      </c>
      <c r="AG25" s="11">
        <f t="shared" si="15"/>
        <v>0</v>
      </c>
      <c r="AH25" s="11">
        <f t="shared" si="16"/>
        <v>0</v>
      </c>
      <c r="AI25" s="11">
        <f t="shared" si="17"/>
        <v>0</v>
      </c>
    </row>
    <row r="26" spans="1:35" ht="25.15" customHeight="1" x14ac:dyDescent="0.6">
      <c r="A26" s="37">
        <v>20</v>
      </c>
      <c r="B26" s="38"/>
      <c r="C26" s="41"/>
      <c r="D26" s="11">
        <f t="shared" si="0"/>
        <v>0</v>
      </c>
      <c r="E26" s="41"/>
      <c r="F26" s="11">
        <f t="shared" si="1"/>
        <v>0</v>
      </c>
      <c r="G26" s="41"/>
      <c r="H26" s="11">
        <f t="shared" si="2"/>
        <v>0</v>
      </c>
      <c r="I26" s="41"/>
      <c r="J26" s="11">
        <f t="shared" si="3"/>
        <v>0</v>
      </c>
      <c r="K26" s="41"/>
      <c r="L26" s="11">
        <f t="shared" si="4"/>
        <v>0</v>
      </c>
      <c r="M26" s="41"/>
      <c r="N26" s="11">
        <f t="shared" si="5"/>
        <v>0</v>
      </c>
      <c r="O26" s="41"/>
      <c r="P26" s="11">
        <f t="shared" si="6"/>
        <v>0</v>
      </c>
      <c r="Q26" s="41"/>
      <c r="R26" s="11">
        <f t="shared" si="7"/>
        <v>0</v>
      </c>
      <c r="S26" s="41"/>
      <c r="T26" s="11">
        <f t="shared" si="8"/>
        <v>0</v>
      </c>
      <c r="U26" s="41"/>
      <c r="V26" s="11">
        <f t="shared" si="9"/>
        <v>0</v>
      </c>
      <c r="W26" s="41"/>
      <c r="X26" s="11">
        <f t="shared" si="10"/>
        <v>0</v>
      </c>
      <c r="Y26" s="11"/>
      <c r="Z26" s="11">
        <f t="shared" si="11"/>
        <v>0</v>
      </c>
      <c r="AA26" s="41"/>
      <c r="AB26" s="11">
        <f>AA26*14</f>
        <v>0</v>
      </c>
      <c r="AC26" s="6"/>
      <c r="AD26" s="11">
        <f t="shared" si="13"/>
        <v>0</v>
      </c>
      <c r="AE26" s="41"/>
      <c r="AF26" s="11">
        <f>AE26*14</f>
        <v>0</v>
      </c>
      <c r="AG26" s="11">
        <f t="shared" si="15"/>
        <v>0</v>
      </c>
      <c r="AH26" s="11">
        <f t="shared" ref="AH26:AH31" si="18">D26+F26+H26+J26+L26+N26+P26+R26+T26+V26+X26+Z26+AB26+AD26+AF26</f>
        <v>0</v>
      </c>
      <c r="AI26" s="11">
        <f t="shared" si="17"/>
        <v>0</v>
      </c>
    </row>
    <row r="27" spans="1:35" ht="25.15" customHeight="1" x14ac:dyDescent="0.6">
      <c r="A27" s="37">
        <v>21</v>
      </c>
      <c r="B27" s="38"/>
      <c r="C27" s="41"/>
      <c r="D27" s="42">
        <f t="shared" si="0"/>
        <v>0</v>
      </c>
      <c r="E27" s="41"/>
      <c r="F27" s="42">
        <f t="shared" si="1"/>
        <v>0</v>
      </c>
      <c r="G27" s="41"/>
      <c r="H27" s="11">
        <f t="shared" si="2"/>
        <v>0</v>
      </c>
      <c r="I27" s="41"/>
      <c r="J27" s="11">
        <f t="shared" si="3"/>
        <v>0</v>
      </c>
      <c r="K27" s="41"/>
      <c r="L27" s="11">
        <f t="shared" si="4"/>
        <v>0</v>
      </c>
      <c r="M27" s="41"/>
      <c r="N27" s="11">
        <f t="shared" si="5"/>
        <v>0</v>
      </c>
      <c r="O27" s="41"/>
      <c r="P27" s="11">
        <f t="shared" si="6"/>
        <v>0</v>
      </c>
      <c r="Q27" s="41"/>
      <c r="R27" s="11">
        <f t="shared" si="7"/>
        <v>0</v>
      </c>
      <c r="S27" s="41"/>
      <c r="T27" s="42"/>
      <c r="U27" s="41"/>
      <c r="V27" s="42"/>
      <c r="W27" s="41"/>
      <c r="X27" s="42"/>
      <c r="Y27" s="11"/>
      <c r="Z27" s="11"/>
      <c r="AA27" s="41"/>
      <c r="AB27" s="42"/>
      <c r="AC27" s="6"/>
      <c r="AD27" s="6"/>
      <c r="AE27" s="41"/>
      <c r="AF27" s="42"/>
      <c r="AG27" s="11">
        <f t="shared" si="15"/>
        <v>0</v>
      </c>
      <c r="AH27" s="11">
        <f t="shared" si="18"/>
        <v>0</v>
      </c>
      <c r="AI27" s="11">
        <f t="shared" si="17"/>
        <v>0</v>
      </c>
    </row>
    <row r="28" spans="1:35" ht="25.15" customHeight="1" x14ac:dyDescent="0.6">
      <c r="A28" s="37">
        <v>22</v>
      </c>
      <c r="B28" s="38"/>
      <c r="C28" s="41"/>
      <c r="D28" s="42">
        <f t="shared" si="0"/>
        <v>0</v>
      </c>
      <c r="E28" s="41"/>
      <c r="F28" s="42">
        <f t="shared" si="1"/>
        <v>0</v>
      </c>
      <c r="G28" s="41"/>
      <c r="H28" s="11">
        <f t="shared" si="2"/>
        <v>0</v>
      </c>
      <c r="I28" s="41"/>
      <c r="J28" s="42">
        <f>I28*40</f>
        <v>0</v>
      </c>
      <c r="K28" s="41"/>
      <c r="L28" s="11">
        <f t="shared" si="4"/>
        <v>0</v>
      </c>
      <c r="M28" s="41"/>
      <c r="N28" s="11">
        <f t="shared" si="5"/>
        <v>0</v>
      </c>
      <c r="O28" s="41"/>
      <c r="P28" s="11">
        <f t="shared" si="6"/>
        <v>0</v>
      </c>
      <c r="Q28" s="41"/>
      <c r="R28" s="11">
        <f t="shared" si="7"/>
        <v>0</v>
      </c>
      <c r="S28" s="41"/>
      <c r="T28" s="42"/>
      <c r="U28" s="41"/>
      <c r="V28" s="42"/>
      <c r="W28" s="41"/>
      <c r="X28" s="42"/>
      <c r="Y28" s="11"/>
      <c r="Z28" s="11"/>
      <c r="AA28" s="41"/>
      <c r="AB28" s="42"/>
      <c r="AC28" s="6"/>
      <c r="AD28" s="6"/>
      <c r="AE28" s="41"/>
      <c r="AF28" s="42"/>
      <c r="AG28" s="11">
        <f t="shared" si="15"/>
        <v>0</v>
      </c>
      <c r="AH28" s="11">
        <f t="shared" si="18"/>
        <v>0</v>
      </c>
      <c r="AI28" s="11">
        <f t="shared" si="17"/>
        <v>0</v>
      </c>
    </row>
    <row r="29" spans="1:35" ht="25.15" customHeight="1" x14ac:dyDescent="0.6">
      <c r="A29" s="37"/>
      <c r="B29" s="38"/>
      <c r="C29" s="41"/>
      <c r="D29" s="42">
        <f t="shared" si="0"/>
        <v>0</v>
      </c>
      <c r="E29" s="41"/>
      <c r="F29" s="42">
        <f t="shared" si="1"/>
        <v>0</v>
      </c>
      <c r="G29" s="41"/>
      <c r="H29" s="11">
        <f t="shared" si="2"/>
        <v>0</v>
      </c>
      <c r="I29" s="41"/>
      <c r="J29" s="42">
        <f>I29*40</f>
        <v>0</v>
      </c>
      <c r="K29" s="41"/>
      <c r="L29" s="42">
        <f t="shared" si="4"/>
        <v>0</v>
      </c>
      <c r="M29" s="41"/>
      <c r="N29" s="11">
        <f t="shared" si="5"/>
        <v>0</v>
      </c>
      <c r="O29" s="41"/>
      <c r="P29" s="11">
        <f t="shared" si="6"/>
        <v>0</v>
      </c>
      <c r="Q29" s="41"/>
      <c r="R29" s="42"/>
      <c r="S29" s="41"/>
      <c r="T29" s="42"/>
      <c r="U29" s="41"/>
      <c r="V29" s="42"/>
      <c r="W29" s="41"/>
      <c r="X29" s="42"/>
      <c r="Y29" s="11"/>
      <c r="Z29" s="11"/>
      <c r="AA29" s="41"/>
      <c r="AB29" s="42"/>
      <c r="AC29" s="6"/>
      <c r="AD29" s="6"/>
      <c r="AE29" s="41"/>
      <c r="AF29" s="42"/>
      <c r="AG29" s="6">
        <f t="shared" si="15"/>
        <v>0</v>
      </c>
      <c r="AH29" s="11">
        <f t="shared" si="18"/>
        <v>0</v>
      </c>
      <c r="AI29" s="11">
        <f t="shared" si="17"/>
        <v>0</v>
      </c>
    </row>
    <row r="30" spans="1:35" ht="25.15" customHeight="1" x14ac:dyDescent="0.6">
      <c r="A30" s="37"/>
      <c r="B30" s="38"/>
      <c r="C30" s="41"/>
      <c r="D30" s="42"/>
      <c r="E30" s="41"/>
      <c r="F30" s="42"/>
      <c r="G30" s="41"/>
      <c r="H30" s="11">
        <f t="shared" si="2"/>
        <v>0</v>
      </c>
      <c r="I30" s="41"/>
      <c r="J30" s="42"/>
      <c r="K30" s="41"/>
      <c r="L30" s="42"/>
      <c r="M30" s="41"/>
      <c r="N30" s="11">
        <f t="shared" si="5"/>
        <v>0</v>
      </c>
      <c r="O30" s="41"/>
      <c r="P30" s="11">
        <f t="shared" si="6"/>
        <v>0</v>
      </c>
      <c r="Q30" s="41"/>
      <c r="R30" s="42"/>
      <c r="S30" s="41"/>
      <c r="T30" s="42"/>
      <c r="U30" s="41"/>
      <c r="V30" s="42"/>
      <c r="W30" s="41"/>
      <c r="X30" s="42"/>
      <c r="Y30" s="11"/>
      <c r="Z30" s="11"/>
      <c r="AA30" s="41"/>
      <c r="AB30" s="42"/>
      <c r="AC30" s="6"/>
      <c r="AD30" s="6"/>
      <c r="AE30" s="41"/>
      <c r="AF30" s="42"/>
      <c r="AG30" s="6"/>
      <c r="AH30" s="11">
        <f t="shared" si="18"/>
        <v>0</v>
      </c>
      <c r="AI30" s="11">
        <f t="shared" si="17"/>
        <v>0</v>
      </c>
    </row>
    <row r="31" spans="1:35" ht="25.15" customHeight="1" x14ac:dyDescent="0.6">
      <c r="A31" s="37"/>
      <c r="B31" s="38"/>
      <c r="C31" s="41"/>
      <c r="D31" s="42"/>
      <c r="E31" s="41"/>
      <c r="F31" s="42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2"/>
      <c r="S31" s="41"/>
      <c r="T31" s="42"/>
      <c r="U31" s="41"/>
      <c r="V31" s="42"/>
      <c r="W31" s="41"/>
      <c r="X31" s="42"/>
      <c r="Y31" s="11"/>
      <c r="Z31" s="11"/>
      <c r="AA31" s="41"/>
      <c r="AB31" s="42"/>
      <c r="AC31" s="6"/>
      <c r="AD31" s="6"/>
      <c r="AE31" s="41"/>
      <c r="AF31" s="42"/>
      <c r="AG31" s="6"/>
      <c r="AH31" s="11">
        <f t="shared" si="18"/>
        <v>0</v>
      </c>
      <c r="AI31" s="11">
        <f t="shared" si="17"/>
        <v>0</v>
      </c>
    </row>
    <row r="32" spans="1:35" ht="25.15" customHeight="1" x14ac:dyDescent="0.6">
      <c r="A32" s="37"/>
      <c r="B32" s="38"/>
      <c r="C32" s="41"/>
      <c r="D32" s="42"/>
      <c r="E32" s="41"/>
      <c r="F32" s="42"/>
      <c r="G32" s="41"/>
      <c r="H32" s="42"/>
      <c r="I32" s="41"/>
      <c r="J32" s="42"/>
      <c r="K32" s="41"/>
      <c r="L32" s="42"/>
      <c r="M32" s="41"/>
      <c r="N32" s="42"/>
      <c r="O32" s="41"/>
      <c r="P32" s="42"/>
      <c r="Q32" s="41"/>
      <c r="R32" s="42"/>
      <c r="S32" s="41"/>
      <c r="T32" s="42"/>
      <c r="U32" s="41"/>
      <c r="V32" s="42"/>
      <c r="W32" s="41"/>
      <c r="X32" s="42"/>
      <c r="Y32" s="11"/>
      <c r="Z32" s="11"/>
      <c r="AA32" s="41"/>
      <c r="AB32" s="42"/>
      <c r="AC32" s="6"/>
      <c r="AD32" s="6"/>
      <c r="AE32" s="41"/>
      <c r="AF32" s="42"/>
      <c r="AG32" s="6"/>
      <c r="AH32" s="6"/>
      <c r="AI32" s="11">
        <f t="shared" si="17"/>
        <v>0</v>
      </c>
    </row>
    <row r="33" spans="1:35" ht="25.15" customHeight="1" x14ac:dyDescent="0.6">
      <c r="A33" s="37"/>
      <c r="B33" s="38"/>
      <c r="C33" s="50">
        <f>SUM(C6:C32)</f>
        <v>524</v>
      </c>
      <c r="D33" s="41">
        <f t="shared" ref="D33:AE33" si="19">SUM(D6:D32)</f>
        <v>7336</v>
      </c>
      <c r="E33" s="50">
        <f t="shared" si="19"/>
        <v>445</v>
      </c>
      <c r="F33" s="41">
        <f t="shared" si="19"/>
        <v>5340</v>
      </c>
      <c r="G33" s="50">
        <f t="shared" si="19"/>
        <v>40</v>
      </c>
      <c r="H33" s="41">
        <f t="shared" si="19"/>
        <v>480</v>
      </c>
      <c r="I33" s="50">
        <f t="shared" si="19"/>
        <v>64</v>
      </c>
      <c r="J33" s="41">
        <f t="shared" si="19"/>
        <v>2560</v>
      </c>
      <c r="K33" s="50">
        <f t="shared" si="19"/>
        <v>43</v>
      </c>
      <c r="L33" s="41">
        <f t="shared" si="19"/>
        <v>516</v>
      </c>
      <c r="M33" s="50">
        <f t="shared" si="19"/>
        <v>330</v>
      </c>
      <c r="N33" s="41">
        <f t="shared" si="19"/>
        <v>3960</v>
      </c>
      <c r="O33" s="50">
        <f t="shared" si="19"/>
        <v>15</v>
      </c>
      <c r="P33" s="41">
        <f t="shared" si="19"/>
        <v>600</v>
      </c>
      <c r="Q33" s="50">
        <f t="shared" si="19"/>
        <v>15</v>
      </c>
      <c r="R33" s="41">
        <f t="shared" si="19"/>
        <v>210</v>
      </c>
      <c r="S33" s="41">
        <f t="shared" si="19"/>
        <v>0</v>
      </c>
      <c r="T33" s="41">
        <f t="shared" si="19"/>
        <v>0</v>
      </c>
      <c r="U33" s="41">
        <f t="shared" si="19"/>
        <v>0</v>
      </c>
      <c r="V33" s="41">
        <f t="shared" si="19"/>
        <v>0</v>
      </c>
      <c r="W33" s="41">
        <f t="shared" si="19"/>
        <v>0</v>
      </c>
      <c r="X33" s="41">
        <f t="shared" si="19"/>
        <v>0</v>
      </c>
      <c r="Y33" s="41">
        <f t="shared" si="19"/>
        <v>0</v>
      </c>
      <c r="Z33" s="41">
        <f t="shared" si="19"/>
        <v>0</v>
      </c>
      <c r="AA33" s="41">
        <f>SUM(AA6:AA32)</f>
        <v>5</v>
      </c>
      <c r="AB33" s="41">
        <f>SUM(AB6:AB32)</f>
        <v>70</v>
      </c>
      <c r="AC33" s="41">
        <f t="shared" si="19"/>
        <v>0</v>
      </c>
      <c r="AD33" s="41">
        <f t="shared" si="19"/>
        <v>0</v>
      </c>
      <c r="AE33" s="41">
        <f t="shared" si="19"/>
        <v>0</v>
      </c>
      <c r="AF33" s="41">
        <f>SUM(AF6:AF32)</f>
        <v>0</v>
      </c>
      <c r="AG33" s="6">
        <f>SUM(AG6:AG32)</f>
        <v>1481</v>
      </c>
      <c r="AH33" s="6">
        <f>SUM(AH6:AH32)</f>
        <v>21072</v>
      </c>
      <c r="AI33" s="6">
        <f>SUM(AI6:AI32)</f>
        <v>15954.64</v>
      </c>
    </row>
    <row r="34" spans="1:35" ht="25.15" customHeight="1" x14ac:dyDescent="0.6">
      <c r="A34" s="43"/>
      <c r="B34" s="44"/>
      <c r="D34" s="19"/>
      <c r="F34" s="19"/>
      <c r="H34" s="19"/>
      <c r="J34" s="19"/>
      <c r="L34" s="19"/>
      <c r="N34" s="19"/>
      <c r="P34" s="19"/>
      <c r="R34" s="19"/>
      <c r="T34" s="19"/>
      <c r="V34" s="19"/>
      <c r="X34" s="19"/>
      <c r="Y34" s="19"/>
      <c r="Z34" s="19"/>
      <c r="AB34" s="19"/>
      <c r="AF34" s="19"/>
    </row>
    <row r="35" spans="1:35" ht="25.15" customHeight="1" x14ac:dyDescent="0.6">
      <c r="A35" s="43"/>
      <c r="B35" s="44"/>
      <c r="D35" s="19"/>
      <c r="F35" s="19"/>
      <c r="H35" s="19"/>
      <c r="J35" s="19"/>
      <c r="L35" s="19"/>
      <c r="N35" s="19"/>
      <c r="P35" s="19"/>
      <c r="R35" s="19"/>
      <c r="T35" s="19"/>
      <c r="V35" s="19"/>
      <c r="X35" s="19"/>
      <c r="Y35" s="19"/>
      <c r="Z35" s="19"/>
      <c r="AB35" s="19"/>
      <c r="AF35" s="19"/>
    </row>
    <row r="36" spans="1:35" ht="25.15" customHeight="1" x14ac:dyDescent="0.6"/>
    <row r="37" spans="1:35" ht="25.15" customHeight="1" x14ac:dyDescent="0.6"/>
    <row r="38" spans="1:35" ht="25.15" customHeight="1" x14ac:dyDescent="0.6"/>
    <row r="39" spans="1:35" ht="25.15" customHeight="1" x14ac:dyDescent="0.6"/>
    <row r="40" spans="1:35" ht="25.15" customHeight="1" x14ac:dyDescent="0.6"/>
    <row r="41" spans="1:35" ht="25.15" customHeight="1" x14ac:dyDescent="0.6"/>
    <row r="42" spans="1:35" ht="25.15" customHeight="1" x14ac:dyDescent="0.6"/>
    <row r="43" spans="1:35" ht="25.15" customHeight="1" x14ac:dyDescent="0.6"/>
    <row r="44" spans="1:35" ht="25.15" customHeight="1" x14ac:dyDescent="0.6"/>
    <row r="45" spans="1:35" ht="25.15" customHeight="1" x14ac:dyDescent="0.6"/>
    <row r="46" spans="1:35" ht="25.15" customHeight="1" x14ac:dyDescent="0.6"/>
    <row r="47" spans="1:35" ht="25.15" customHeight="1" x14ac:dyDescent="0.6"/>
    <row r="48" spans="1:35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  <row r="91" ht="25.15" customHeight="1" x14ac:dyDescent="0.6"/>
    <row r="92" ht="25.15" customHeight="1" x14ac:dyDescent="0.6"/>
    <row r="93" ht="25.15" customHeight="1" x14ac:dyDescent="0.6"/>
    <row r="94" ht="25.15" customHeight="1" x14ac:dyDescent="0.6"/>
    <row r="95" ht="25.15" customHeight="1" x14ac:dyDescent="0.6"/>
    <row r="96" ht="25.15" customHeight="1" x14ac:dyDescent="0.6"/>
    <row r="97" ht="25.15" customHeight="1" x14ac:dyDescent="0.6"/>
    <row r="98" ht="25.15" customHeight="1" x14ac:dyDescent="0.6"/>
    <row r="99" ht="25.15" customHeight="1" x14ac:dyDescent="0.6"/>
    <row r="100" ht="25.15" customHeight="1" x14ac:dyDescent="0.6"/>
    <row r="101" ht="25.15" customHeight="1" x14ac:dyDescent="0.6"/>
    <row r="102" ht="25.15" customHeight="1" x14ac:dyDescent="0.6"/>
    <row r="103" ht="25.15" customHeight="1" x14ac:dyDescent="0.6"/>
    <row r="104" ht="25.15" customHeight="1" x14ac:dyDescent="0.6"/>
  </sheetData>
  <mergeCells count="20">
    <mergeCell ref="A2:A4"/>
    <mergeCell ref="B2:B4"/>
    <mergeCell ref="C2:Z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Y3:Z3"/>
    <mergeCell ref="AE3:AF3"/>
    <mergeCell ref="AG3:AI3"/>
    <mergeCell ref="AA3:AB3"/>
    <mergeCell ref="AC3:AD3"/>
    <mergeCell ref="C1:Z1"/>
    <mergeCell ref="U3:V3"/>
    <mergeCell ref="W3:X3"/>
  </mergeCells>
  <hyperlinks>
    <hyperlink ref="C1:Z1" location="'SMM YGN '!A1" display="မြတ်မွှေး(မြောက်ဉက္ကလာ)" xr:uid="{00000000-0004-0000-2000-000000000000}"/>
    <hyperlink ref="AA1:AB1" location="'SMM YGN '!A1" display="မြတ်မွှေး(မြောက်ဉက္ကလာ)" xr:uid="{00000000-0004-0000-2000-000001000000}"/>
    <hyperlink ref="AE1:AF1" location="'SMM YGN '!A1" display="မြတ်မွှေး(မြောက်ဉက္ကလာ)" xr:uid="{00000000-0004-0000-2000-000002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0"/>
  <dimension ref="A1:AH96"/>
  <sheetViews>
    <sheetView workbookViewId="0">
      <pane xSplit="2" ySplit="4" topLeftCell="M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B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1.28515625" style="1" customWidth="1"/>
    <col min="5" max="26" width="10" style="1" customWidth="1"/>
    <col min="27" max="28" width="8.7109375" style="1" customWidth="1"/>
    <col min="29" max="32" width="9.28515625" style="1" customWidth="1"/>
    <col min="33" max="16384" width="9" style="1"/>
  </cols>
  <sheetData>
    <row r="1" spans="1:34" ht="21.75" x14ac:dyDescent="0.6">
      <c r="A1" s="23"/>
      <c r="B1" s="24"/>
      <c r="C1" s="745" t="s">
        <v>87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E1" s="1">
        <f>AE27</f>
        <v>20</v>
      </c>
      <c r="AG1" s="25">
        <v>12</v>
      </c>
      <c r="AH1" s="26">
        <v>14</v>
      </c>
    </row>
    <row r="2" spans="1:34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D2" s="1" t="s">
        <v>67</v>
      </c>
      <c r="AE2" s="27">
        <f>AF27</f>
        <v>800</v>
      </c>
      <c r="AG2" s="28">
        <v>24</v>
      </c>
      <c r="AH2" s="29">
        <v>40</v>
      </c>
    </row>
    <row r="3" spans="1:34" s="27" customFormat="1" ht="44.2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4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4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4" s="19" customFormat="1" ht="25.15" customHeight="1" x14ac:dyDescent="0.25">
      <c r="A6" s="37">
        <v>1</v>
      </c>
      <c r="B6" s="38">
        <v>45901</v>
      </c>
      <c r="C6" s="11"/>
      <c r="D6" s="11">
        <f>C6*14</f>
        <v>0</v>
      </c>
      <c r="E6" s="11"/>
      <c r="F6" s="11">
        <f>E6*12</f>
        <v>0</v>
      </c>
      <c r="G6" s="11"/>
      <c r="H6" s="11">
        <f t="shared" ref="H6:H11" si="0">G6*12</f>
        <v>0</v>
      </c>
      <c r="I6" s="11">
        <v>20</v>
      </c>
      <c r="J6" s="11">
        <f>I6*40</f>
        <v>800</v>
      </c>
      <c r="K6" s="11"/>
      <c r="L6" s="11">
        <f>K6*12</f>
        <v>0</v>
      </c>
      <c r="M6" s="11"/>
      <c r="N6" s="11">
        <f>M6*12</f>
        <v>0</v>
      </c>
      <c r="O6" s="11"/>
      <c r="P6" s="11">
        <f t="shared" ref="P6:P11" si="1"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20</v>
      </c>
      <c r="AF6" s="11">
        <f>D6+F6+H6+J6+L6+N6+P6+R6+T6+V6+X6+Z6+AB6+AD6</f>
        <v>800</v>
      </c>
      <c r="AG6" s="11">
        <f>(D6*$D$5)+(F6*$F$5)+(H6*$H$5)+(J6*$J$5)+(L6*$L$5)+(N6*$N$5)+(P6*$P$5)+(R6*$R$5)+(T6*$T$5)+(V6*$V$5)+(X6*$X$5)+(Z6*$Z$5)+(AB6*$AB$5)+(AD6*$AD$5)</f>
        <v>280</v>
      </c>
    </row>
    <row r="7" spans="1:34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 t="shared" si="0"/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 t="shared" si="1"/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>C7+E7+G7+I7+K7+M7+O7+Q7+S7+U7+W7+Y7+AA7+AC7</f>
        <v>0</v>
      </c>
      <c r="AF7" s="11">
        <f>D7+F7+H7+J7+L7+N7+P7+R7+T7+V7+X7+Z7+AB7+AD7</f>
        <v>0</v>
      </c>
      <c r="AG7" s="11">
        <f>(D7*$D$5)+(F7*$F$5)+(H7*$H$5)+(J7*$J$5)+(L7*$L$5)+(N7*$N$5)+(P7*$P$5)+(R7*$R$5)+(T7*$T$5)+(V7*$V$5)+(X7*$X$5)+(Z7*$Z$5)+(AB7*$AB$5)+(AD7*$AD$5)</f>
        <v>0</v>
      </c>
    </row>
    <row r="8" spans="1:34" s="19" customFormat="1" ht="25.15" customHeight="1" x14ac:dyDescent="0.25">
      <c r="A8" s="37">
        <v>3</v>
      </c>
      <c r="B8" s="38"/>
      <c r="C8" s="11"/>
      <c r="D8" s="11">
        <f t="shared" ref="D8:D18" si="2">C8*14</f>
        <v>0</v>
      </c>
      <c r="E8" s="11"/>
      <c r="F8" s="11">
        <f t="shared" ref="F8:F18" si="3">E8*12</f>
        <v>0</v>
      </c>
      <c r="G8" s="11"/>
      <c r="H8" s="11">
        <f t="shared" si="0"/>
        <v>0</v>
      </c>
      <c r="I8" s="11"/>
      <c r="J8" s="11">
        <f t="shared" ref="J8:J14" si="4">I8*40</f>
        <v>0</v>
      </c>
      <c r="K8" s="11"/>
      <c r="L8" s="11">
        <f>K8*12</f>
        <v>0</v>
      </c>
      <c r="M8" s="11"/>
      <c r="N8" s="11">
        <f t="shared" ref="N8:N18" si="5">M8*12</f>
        <v>0</v>
      </c>
      <c r="O8" s="11"/>
      <c r="P8" s="11">
        <f t="shared" si="1"/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ref="AE8:AF18" si="6">C8+E8+G8+I8+K8+M8+O8+Q8+S8+U8+W8+Y8+AA8+AC8</f>
        <v>0</v>
      </c>
      <c r="AF8" s="11">
        <f t="shared" si="6"/>
        <v>0</v>
      </c>
      <c r="AG8" s="11">
        <f t="shared" ref="AG8:AG27" si="7">(D8*$D$5)+(F8*$F$5)+(H8*$H$5)+(J8*$J$5)+(L8*$L$5)+(N8*$N$5)+(P8*$P$5)+(R8*$R$5)+(T8*$T$5)+(V8*$V$5)+(X8*$X$5)+(Z8*$Z$5)+(AB8*$AB$5)+(AD8*$AD$5)</f>
        <v>0</v>
      </c>
    </row>
    <row r="9" spans="1:34" s="19" customFormat="1" ht="25.15" customHeight="1" x14ac:dyDescent="0.25">
      <c r="A9" s="37">
        <v>4</v>
      </c>
      <c r="B9" s="38"/>
      <c r="C9" s="11"/>
      <c r="D9" s="11">
        <f t="shared" si="2"/>
        <v>0</v>
      </c>
      <c r="E9" s="11"/>
      <c r="F9" s="11">
        <f t="shared" si="3"/>
        <v>0</v>
      </c>
      <c r="G9" s="11"/>
      <c r="H9" s="11">
        <f t="shared" si="0"/>
        <v>0</v>
      </c>
      <c r="I9" s="11"/>
      <c r="J9" s="11">
        <f t="shared" si="4"/>
        <v>0</v>
      </c>
      <c r="K9" s="11"/>
      <c r="L9" s="11">
        <f>K9*12</f>
        <v>0</v>
      </c>
      <c r="M9" s="11"/>
      <c r="N9" s="11">
        <f t="shared" si="5"/>
        <v>0</v>
      </c>
      <c r="O9" s="11"/>
      <c r="P9" s="11">
        <f t="shared" si="1"/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6"/>
        <v>0</v>
      </c>
      <c r="AF9" s="11">
        <f t="shared" si="6"/>
        <v>0</v>
      </c>
      <c r="AG9" s="11">
        <f t="shared" si="7"/>
        <v>0</v>
      </c>
    </row>
    <row r="10" spans="1:34" s="19" customFormat="1" ht="25.15" customHeight="1" x14ac:dyDescent="0.25">
      <c r="A10" s="37">
        <v>5</v>
      </c>
      <c r="B10" s="38"/>
      <c r="C10" s="11"/>
      <c r="D10" s="11">
        <f t="shared" si="2"/>
        <v>0</v>
      </c>
      <c r="E10" s="11"/>
      <c r="F10" s="11">
        <f t="shared" si="3"/>
        <v>0</v>
      </c>
      <c r="G10" s="11"/>
      <c r="H10" s="11">
        <f t="shared" si="0"/>
        <v>0</v>
      </c>
      <c r="I10" s="11"/>
      <c r="J10" s="11">
        <f t="shared" si="4"/>
        <v>0</v>
      </c>
      <c r="K10" s="11"/>
      <c r="L10" s="11"/>
      <c r="M10" s="11"/>
      <c r="N10" s="11">
        <f t="shared" si="5"/>
        <v>0</v>
      </c>
      <c r="O10" s="11"/>
      <c r="P10" s="11">
        <f t="shared" si="1"/>
        <v>0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>
        <f t="shared" si="6"/>
        <v>0</v>
      </c>
      <c r="AF10" s="11">
        <f t="shared" si="6"/>
        <v>0</v>
      </c>
      <c r="AG10" s="11">
        <f t="shared" si="7"/>
        <v>0</v>
      </c>
    </row>
    <row r="11" spans="1:34" s="19" customFormat="1" ht="25.15" customHeight="1" x14ac:dyDescent="0.25">
      <c r="A11" s="37">
        <v>6</v>
      </c>
      <c r="B11" s="38"/>
      <c r="C11" s="11"/>
      <c r="D11" s="11">
        <f t="shared" si="2"/>
        <v>0</v>
      </c>
      <c r="E11" s="11"/>
      <c r="F11" s="11">
        <f t="shared" si="3"/>
        <v>0</v>
      </c>
      <c r="G11" s="11"/>
      <c r="H11" s="11">
        <f t="shared" si="0"/>
        <v>0</v>
      </c>
      <c r="I11" s="11"/>
      <c r="J11" s="11">
        <f t="shared" si="4"/>
        <v>0</v>
      </c>
      <c r="K11" s="11"/>
      <c r="L11" s="11"/>
      <c r="M11" s="11"/>
      <c r="N11" s="11">
        <f t="shared" si="5"/>
        <v>0</v>
      </c>
      <c r="O11" s="11"/>
      <c r="P11" s="11">
        <f t="shared" si="1"/>
        <v>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>
        <f t="shared" si="6"/>
        <v>0</v>
      </c>
      <c r="AF11" s="11">
        <f t="shared" si="6"/>
        <v>0</v>
      </c>
      <c r="AG11" s="11">
        <f t="shared" si="7"/>
        <v>0</v>
      </c>
    </row>
    <row r="12" spans="1:34" ht="25.15" customHeight="1" x14ac:dyDescent="0.6">
      <c r="A12" s="37">
        <v>7</v>
      </c>
      <c r="B12" s="38"/>
      <c r="C12" s="6"/>
      <c r="D12" s="11">
        <f t="shared" si="2"/>
        <v>0</v>
      </c>
      <c r="E12" s="6"/>
      <c r="F12" s="11">
        <f t="shared" si="3"/>
        <v>0</v>
      </c>
      <c r="G12" s="6"/>
      <c r="H12" s="11"/>
      <c r="I12" s="6"/>
      <c r="J12" s="11">
        <f t="shared" si="4"/>
        <v>0</v>
      </c>
      <c r="K12" s="6"/>
      <c r="L12" s="11"/>
      <c r="M12" s="6"/>
      <c r="N12" s="11">
        <f t="shared" si="5"/>
        <v>0</v>
      </c>
      <c r="O12" s="6"/>
      <c r="P12" s="11"/>
      <c r="Q12" s="6"/>
      <c r="R12" s="11"/>
      <c r="S12" s="6"/>
      <c r="T12" s="11"/>
      <c r="U12" s="11"/>
      <c r="V12" s="11"/>
      <c r="W12" s="11"/>
      <c r="X12" s="11"/>
      <c r="Y12" s="11"/>
      <c r="Z12" s="11"/>
      <c r="AA12" s="11"/>
      <c r="AB12" s="11"/>
      <c r="AC12" s="6"/>
      <c r="AD12" s="6"/>
      <c r="AE12" s="11">
        <f t="shared" si="6"/>
        <v>0</v>
      </c>
      <c r="AF12" s="11">
        <f t="shared" si="6"/>
        <v>0</v>
      </c>
      <c r="AG12" s="11">
        <f t="shared" si="7"/>
        <v>0</v>
      </c>
    </row>
    <row r="13" spans="1:34" ht="25.15" customHeight="1" x14ac:dyDescent="0.6">
      <c r="A13" s="37">
        <v>8</v>
      </c>
      <c r="B13" s="38"/>
      <c r="C13" s="6"/>
      <c r="D13" s="11">
        <f t="shared" si="2"/>
        <v>0</v>
      </c>
      <c r="E13" s="6"/>
      <c r="F13" s="11">
        <f t="shared" si="3"/>
        <v>0</v>
      </c>
      <c r="G13" s="6"/>
      <c r="H13" s="11"/>
      <c r="I13" s="6"/>
      <c r="J13" s="11">
        <f t="shared" si="4"/>
        <v>0</v>
      </c>
      <c r="K13" s="6"/>
      <c r="L13" s="11"/>
      <c r="M13" s="6"/>
      <c r="N13" s="11">
        <f t="shared" si="5"/>
        <v>0</v>
      </c>
      <c r="O13" s="6"/>
      <c r="P13" s="11"/>
      <c r="Q13" s="6"/>
      <c r="R13" s="11"/>
      <c r="S13" s="6"/>
      <c r="T13" s="11"/>
      <c r="U13" s="11"/>
      <c r="V13" s="11"/>
      <c r="W13" s="11"/>
      <c r="X13" s="11"/>
      <c r="Y13" s="11"/>
      <c r="Z13" s="11"/>
      <c r="AA13" s="11"/>
      <c r="AB13" s="11"/>
      <c r="AC13" s="6"/>
      <c r="AD13" s="6"/>
      <c r="AE13" s="11">
        <f t="shared" si="6"/>
        <v>0</v>
      </c>
      <c r="AF13" s="11">
        <f t="shared" si="6"/>
        <v>0</v>
      </c>
      <c r="AG13" s="11">
        <f t="shared" si="7"/>
        <v>0</v>
      </c>
    </row>
    <row r="14" spans="1:34" ht="25.15" customHeight="1" x14ac:dyDescent="0.6">
      <c r="A14" s="37"/>
      <c r="B14" s="38"/>
      <c r="C14" s="6"/>
      <c r="D14" s="11">
        <f t="shared" si="2"/>
        <v>0</v>
      </c>
      <c r="E14" s="6"/>
      <c r="F14" s="11">
        <f t="shared" si="3"/>
        <v>0</v>
      </c>
      <c r="G14" s="6"/>
      <c r="H14" s="11"/>
      <c r="I14" s="6"/>
      <c r="J14" s="11">
        <f t="shared" si="4"/>
        <v>0</v>
      </c>
      <c r="K14" s="6"/>
      <c r="L14" s="11"/>
      <c r="M14" s="6"/>
      <c r="N14" s="11">
        <f t="shared" si="5"/>
        <v>0</v>
      </c>
      <c r="O14" s="6"/>
      <c r="P14" s="11"/>
      <c r="Q14" s="6"/>
      <c r="R14" s="11"/>
      <c r="S14" s="6"/>
      <c r="T14" s="11"/>
      <c r="U14" s="11"/>
      <c r="V14" s="11"/>
      <c r="W14" s="11"/>
      <c r="X14" s="11"/>
      <c r="Y14" s="11"/>
      <c r="Z14" s="11"/>
      <c r="AA14" s="11"/>
      <c r="AB14" s="11"/>
      <c r="AC14" s="6"/>
      <c r="AD14" s="6"/>
      <c r="AE14" s="11">
        <f t="shared" si="6"/>
        <v>0</v>
      </c>
      <c r="AF14" s="11">
        <f t="shared" si="6"/>
        <v>0</v>
      </c>
      <c r="AG14" s="11">
        <f t="shared" si="7"/>
        <v>0</v>
      </c>
    </row>
    <row r="15" spans="1:34" ht="25.15" customHeight="1" x14ac:dyDescent="0.6">
      <c r="A15" s="37"/>
      <c r="B15" s="38"/>
      <c r="C15" s="6"/>
      <c r="D15" s="11">
        <f t="shared" si="2"/>
        <v>0</v>
      </c>
      <c r="E15" s="6"/>
      <c r="F15" s="11">
        <f t="shared" si="3"/>
        <v>0</v>
      </c>
      <c r="G15" s="6"/>
      <c r="H15" s="11"/>
      <c r="I15" s="6"/>
      <c r="J15" s="11"/>
      <c r="K15" s="6"/>
      <c r="L15" s="11"/>
      <c r="M15" s="6"/>
      <c r="N15" s="11">
        <f t="shared" si="5"/>
        <v>0</v>
      </c>
      <c r="O15" s="6"/>
      <c r="P15" s="11"/>
      <c r="Q15" s="6"/>
      <c r="R15" s="11"/>
      <c r="S15" s="6"/>
      <c r="T15" s="11"/>
      <c r="U15" s="11"/>
      <c r="V15" s="11"/>
      <c r="W15" s="11"/>
      <c r="X15" s="11"/>
      <c r="Y15" s="11"/>
      <c r="Z15" s="11"/>
      <c r="AA15" s="11"/>
      <c r="AB15" s="11"/>
      <c r="AC15" s="6"/>
      <c r="AD15" s="6"/>
      <c r="AE15" s="11">
        <f t="shared" si="6"/>
        <v>0</v>
      </c>
      <c r="AF15" s="11">
        <f t="shared" si="6"/>
        <v>0</v>
      </c>
      <c r="AG15" s="11">
        <f t="shared" si="7"/>
        <v>0</v>
      </c>
    </row>
    <row r="16" spans="1:34" ht="25.15" customHeight="1" x14ac:dyDescent="0.6">
      <c r="A16" s="39"/>
      <c r="B16" s="38"/>
      <c r="C16" s="6"/>
      <c r="D16" s="11">
        <f t="shared" si="2"/>
        <v>0</v>
      </c>
      <c r="E16" s="6"/>
      <c r="F16" s="11">
        <f t="shared" si="3"/>
        <v>0</v>
      </c>
      <c r="G16" s="6"/>
      <c r="H16" s="11"/>
      <c r="I16" s="6"/>
      <c r="J16" s="11"/>
      <c r="K16" s="6"/>
      <c r="L16" s="11"/>
      <c r="M16" s="6"/>
      <c r="N16" s="11">
        <f t="shared" si="5"/>
        <v>0</v>
      </c>
      <c r="O16" s="6"/>
      <c r="P16" s="11"/>
      <c r="Q16" s="6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6"/>
      <c r="AD16" s="6"/>
      <c r="AE16" s="11">
        <f t="shared" si="6"/>
        <v>0</v>
      </c>
      <c r="AF16" s="11">
        <f t="shared" si="6"/>
        <v>0</v>
      </c>
      <c r="AG16" s="11">
        <f t="shared" si="7"/>
        <v>0</v>
      </c>
    </row>
    <row r="17" spans="1:33" ht="25.15" customHeight="1" x14ac:dyDescent="0.6">
      <c r="A17" s="39"/>
      <c r="B17" s="38"/>
      <c r="C17" s="6"/>
      <c r="D17" s="11">
        <f t="shared" si="2"/>
        <v>0</v>
      </c>
      <c r="E17" s="6"/>
      <c r="F17" s="11">
        <f t="shared" si="3"/>
        <v>0</v>
      </c>
      <c r="G17" s="6"/>
      <c r="H17" s="11"/>
      <c r="I17" s="6"/>
      <c r="J17" s="11"/>
      <c r="K17" s="6"/>
      <c r="L17" s="11"/>
      <c r="M17" s="6"/>
      <c r="N17" s="11">
        <f t="shared" si="5"/>
        <v>0</v>
      </c>
      <c r="O17" s="6"/>
      <c r="P17" s="11"/>
      <c r="Q17" s="6"/>
      <c r="R17" s="11"/>
      <c r="S17" s="6"/>
      <c r="T17" s="11"/>
      <c r="U17" s="11"/>
      <c r="V17" s="11"/>
      <c r="W17" s="11"/>
      <c r="X17" s="11"/>
      <c r="Y17" s="11"/>
      <c r="Z17" s="11"/>
      <c r="AA17" s="11"/>
      <c r="AB17" s="11"/>
      <c r="AC17" s="6"/>
      <c r="AD17" s="6"/>
      <c r="AE17" s="11">
        <f t="shared" si="6"/>
        <v>0</v>
      </c>
      <c r="AF17" s="11">
        <f t="shared" si="6"/>
        <v>0</v>
      </c>
      <c r="AG17" s="11">
        <f t="shared" si="7"/>
        <v>0</v>
      </c>
    </row>
    <row r="18" spans="1:33" ht="25.15" customHeight="1" x14ac:dyDescent="0.6">
      <c r="A18" s="39"/>
      <c r="B18" s="38"/>
      <c r="C18" s="6"/>
      <c r="D18" s="11">
        <f t="shared" si="2"/>
        <v>0</v>
      </c>
      <c r="E18" s="6"/>
      <c r="F18" s="11">
        <f t="shared" si="3"/>
        <v>0</v>
      </c>
      <c r="G18" s="6"/>
      <c r="H18" s="11"/>
      <c r="I18" s="6"/>
      <c r="J18" s="11"/>
      <c r="K18" s="6"/>
      <c r="L18" s="11"/>
      <c r="M18" s="6"/>
      <c r="N18" s="11">
        <f t="shared" si="5"/>
        <v>0</v>
      </c>
      <c r="O18" s="6"/>
      <c r="P18" s="11"/>
      <c r="Q18" s="6"/>
      <c r="R18" s="11"/>
      <c r="S18" s="6"/>
      <c r="T18" s="11"/>
      <c r="U18" s="11"/>
      <c r="V18" s="11"/>
      <c r="W18" s="11"/>
      <c r="X18" s="11"/>
      <c r="Y18" s="11"/>
      <c r="Z18" s="11"/>
      <c r="AA18" s="11"/>
      <c r="AB18" s="11"/>
      <c r="AC18" s="6"/>
      <c r="AD18" s="6"/>
      <c r="AE18" s="11">
        <f t="shared" si="6"/>
        <v>0</v>
      </c>
      <c r="AF18" s="6">
        <f t="shared" si="6"/>
        <v>0</v>
      </c>
      <c r="AG18" s="11">
        <f t="shared" si="7"/>
        <v>0</v>
      </c>
    </row>
    <row r="19" spans="1:33" ht="25.15" customHeight="1" x14ac:dyDescent="0.6">
      <c r="A19" s="39"/>
      <c r="B19" s="38"/>
      <c r="C19" s="6"/>
      <c r="D19" s="11"/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R19" s="11"/>
      <c r="S19" s="6"/>
      <c r="T19" s="11"/>
      <c r="U19" s="11"/>
      <c r="V19" s="11"/>
      <c r="W19" s="11"/>
      <c r="X19" s="11"/>
      <c r="Y19" s="11"/>
      <c r="Z19" s="11"/>
      <c r="AA19" s="11"/>
      <c r="AB19" s="11"/>
      <c r="AC19" s="6"/>
      <c r="AD19" s="6"/>
      <c r="AE19" s="6"/>
      <c r="AF19" s="6"/>
      <c r="AG19" s="11">
        <f t="shared" si="7"/>
        <v>0</v>
      </c>
    </row>
    <row r="20" spans="1:33" ht="25.15" customHeight="1" x14ac:dyDescent="0.6">
      <c r="A20" s="39"/>
      <c r="B20" s="38"/>
      <c r="C20" s="6"/>
      <c r="D20" s="11"/>
      <c r="E20" s="6"/>
      <c r="F20" s="11"/>
      <c r="G20" s="6"/>
      <c r="H20" s="11"/>
      <c r="I20" s="6"/>
      <c r="J20" s="11"/>
      <c r="K20" s="6"/>
      <c r="L20" s="11"/>
      <c r="M20" s="6"/>
      <c r="N20" s="11"/>
      <c r="O20" s="6"/>
      <c r="P20" s="11"/>
      <c r="Q20" s="6"/>
      <c r="R20" s="11"/>
      <c r="S20" s="6"/>
      <c r="T20" s="11"/>
      <c r="U20" s="11"/>
      <c r="V20" s="11"/>
      <c r="W20" s="11"/>
      <c r="X20" s="11"/>
      <c r="Y20" s="11"/>
      <c r="Z20" s="11"/>
      <c r="AA20" s="11"/>
      <c r="AB20" s="11"/>
      <c r="AC20" s="6"/>
      <c r="AD20" s="6"/>
      <c r="AE20" s="6"/>
      <c r="AF20" s="6"/>
      <c r="AG20" s="11">
        <f t="shared" si="7"/>
        <v>0</v>
      </c>
    </row>
    <row r="21" spans="1:33" ht="25.15" customHeight="1" x14ac:dyDescent="0.6">
      <c r="A21" s="39"/>
      <c r="B21" s="38"/>
      <c r="C21" s="6"/>
      <c r="D21" s="11"/>
      <c r="E21" s="6"/>
      <c r="F21" s="11"/>
      <c r="G21" s="6"/>
      <c r="H21" s="11"/>
      <c r="I21" s="6"/>
      <c r="J21" s="11"/>
      <c r="K21" s="6"/>
      <c r="L21" s="11"/>
      <c r="M21" s="6"/>
      <c r="N21" s="11"/>
      <c r="O21" s="6"/>
      <c r="P21" s="11"/>
      <c r="Q21" s="6"/>
      <c r="R21" s="11"/>
      <c r="S21" s="6"/>
      <c r="T21" s="11"/>
      <c r="U21" s="11"/>
      <c r="V21" s="11"/>
      <c r="W21" s="11"/>
      <c r="X21" s="11"/>
      <c r="Y21" s="11"/>
      <c r="Z21" s="11"/>
      <c r="AA21" s="11"/>
      <c r="AB21" s="11"/>
      <c r="AC21" s="6"/>
      <c r="AD21" s="6"/>
      <c r="AE21" s="6"/>
      <c r="AF21" s="6"/>
      <c r="AG21" s="11">
        <f t="shared" si="7"/>
        <v>0</v>
      </c>
    </row>
    <row r="22" spans="1:33" ht="25.15" customHeight="1" x14ac:dyDescent="0.6">
      <c r="A22" s="39"/>
      <c r="B22" s="38"/>
      <c r="C22" s="6"/>
      <c r="D22" s="11"/>
      <c r="E22" s="6"/>
      <c r="F22" s="11"/>
      <c r="G22" s="6"/>
      <c r="H22" s="11"/>
      <c r="I22" s="6"/>
      <c r="J22" s="11"/>
      <c r="K22" s="6"/>
      <c r="L22" s="11"/>
      <c r="M22" s="6"/>
      <c r="N22" s="11"/>
      <c r="O22" s="6"/>
      <c r="P22" s="11"/>
      <c r="Q22" s="6"/>
      <c r="R22" s="11"/>
      <c r="S22" s="6"/>
      <c r="T22" s="11"/>
      <c r="U22" s="11"/>
      <c r="V22" s="11"/>
      <c r="W22" s="11"/>
      <c r="X22" s="11"/>
      <c r="Y22" s="11"/>
      <c r="Z22" s="11"/>
      <c r="AA22" s="11"/>
      <c r="AB22" s="11"/>
      <c r="AC22" s="6"/>
      <c r="AD22" s="6"/>
      <c r="AE22" s="6"/>
      <c r="AF22" s="6"/>
      <c r="AG22" s="11">
        <f t="shared" si="7"/>
        <v>0</v>
      </c>
    </row>
    <row r="23" spans="1:33" ht="25.15" customHeight="1" x14ac:dyDescent="0.6">
      <c r="A23" s="39"/>
      <c r="B23" s="38"/>
      <c r="C23" s="6"/>
      <c r="D23" s="11"/>
      <c r="E23" s="6"/>
      <c r="F23" s="11"/>
      <c r="G23" s="6"/>
      <c r="H23" s="11"/>
      <c r="I23" s="6"/>
      <c r="J23" s="11"/>
      <c r="K23" s="6"/>
      <c r="L23" s="11"/>
      <c r="M23" s="6"/>
      <c r="N23" s="11"/>
      <c r="O23" s="6"/>
      <c r="P23" s="11"/>
      <c r="Q23" s="6"/>
      <c r="R23" s="11"/>
      <c r="S23" s="6"/>
      <c r="T23" s="11"/>
      <c r="U23" s="11"/>
      <c r="V23" s="11"/>
      <c r="W23" s="11"/>
      <c r="X23" s="11"/>
      <c r="Y23" s="11"/>
      <c r="Z23" s="11"/>
      <c r="AA23" s="11"/>
      <c r="AB23" s="11"/>
      <c r="AC23" s="6"/>
      <c r="AD23" s="6"/>
      <c r="AE23" s="6"/>
      <c r="AF23" s="6"/>
      <c r="AG23" s="11">
        <f t="shared" si="7"/>
        <v>0</v>
      </c>
    </row>
    <row r="24" spans="1:33" ht="25.15" customHeight="1" x14ac:dyDescent="0.6">
      <c r="A24" s="39"/>
      <c r="B24" s="38"/>
      <c r="C24" s="6"/>
      <c r="D24" s="11"/>
      <c r="E24" s="6"/>
      <c r="F24" s="11"/>
      <c r="G24" s="6"/>
      <c r="H24" s="11"/>
      <c r="I24" s="6"/>
      <c r="J24" s="11"/>
      <c r="K24" s="6"/>
      <c r="L24" s="11"/>
      <c r="M24" s="6"/>
      <c r="N24" s="11"/>
      <c r="O24" s="6"/>
      <c r="P24" s="11"/>
      <c r="Q24" s="6"/>
      <c r="R24" s="11"/>
      <c r="S24" s="6"/>
      <c r="T24" s="11"/>
      <c r="U24" s="11"/>
      <c r="V24" s="11"/>
      <c r="W24" s="11"/>
      <c r="X24" s="11"/>
      <c r="Y24" s="11"/>
      <c r="Z24" s="11"/>
      <c r="AA24" s="11"/>
      <c r="AB24" s="11"/>
      <c r="AC24" s="6"/>
      <c r="AD24" s="6"/>
      <c r="AE24" s="6"/>
      <c r="AF24" s="6"/>
      <c r="AG24" s="11">
        <f t="shared" si="7"/>
        <v>0</v>
      </c>
    </row>
    <row r="25" spans="1:33" ht="25.15" customHeight="1" x14ac:dyDescent="0.6">
      <c r="A25" s="39"/>
      <c r="B25" s="38"/>
      <c r="C25" s="6"/>
      <c r="D25" s="11"/>
      <c r="E25" s="6"/>
      <c r="F25" s="11"/>
      <c r="G25" s="6"/>
      <c r="H25" s="11"/>
      <c r="I25" s="6"/>
      <c r="J25" s="11"/>
      <c r="K25" s="6"/>
      <c r="L25" s="11"/>
      <c r="M25" s="6"/>
      <c r="N25" s="11"/>
      <c r="O25" s="6"/>
      <c r="P25" s="11"/>
      <c r="Q25" s="6"/>
      <c r="R25" s="11"/>
      <c r="S25" s="6"/>
      <c r="T25" s="11"/>
      <c r="U25" s="11"/>
      <c r="V25" s="11"/>
      <c r="W25" s="11"/>
      <c r="X25" s="11"/>
      <c r="Y25" s="11"/>
      <c r="Z25" s="11"/>
      <c r="AA25" s="11"/>
      <c r="AB25" s="11"/>
      <c r="AC25" s="6"/>
      <c r="AD25" s="6"/>
      <c r="AE25" s="6"/>
      <c r="AF25" s="6"/>
      <c r="AG25" s="11">
        <f t="shared" si="7"/>
        <v>0</v>
      </c>
    </row>
    <row r="26" spans="1:33" ht="25.15" customHeight="1" x14ac:dyDescent="0.6">
      <c r="A26" s="39"/>
      <c r="B26" s="38"/>
      <c r="C26" s="6"/>
      <c r="D26" s="11"/>
      <c r="E26" s="6"/>
      <c r="F26" s="11"/>
      <c r="G26" s="6"/>
      <c r="H26" s="11"/>
      <c r="I26" s="6"/>
      <c r="J26" s="11"/>
      <c r="K26" s="6"/>
      <c r="L26" s="11"/>
      <c r="M26" s="6"/>
      <c r="N26" s="11"/>
      <c r="O26" s="6"/>
      <c r="P26" s="11"/>
      <c r="Q26" s="6"/>
      <c r="R26" s="11"/>
      <c r="S26" s="6"/>
      <c r="T26" s="11"/>
      <c r="U26" s="11"/>
      <c r="V26" s="11"/>
      <c r="W26" s="11"/>
      <c r="X26" s="11"/>
      <c r="Y26" s="11"/>
      <c r="Z26" s="11"/>
      <c r="AA26" s="11"/>
      <c r="AB26" s="11"/>
      <c r="AC26" s="6"/>
      <c r="AD26" s="6"/>
      <c r="AE26" s="6"/>
      <c r="AF26" s="6"/>
      <c r="AG26" s="11">
        <f t="shared" si="7"/>
        <v>0</v>
      </c>
    </row>
    <row r="27" spans="1:33" ht="25.15" customHeight="1" x14ac:dyDescent="0.6">
      <c r="A27" s="39"/>
      <c r="B27" s="40"/>
      <c r="C27" s="49">
        <f>SUM(C6:C26)</f>
        <v>0</v>
      </c>
      <c r="D27" s="6">
        <f t="shared" ref="D27:AD27" si="8">SUM(D6:D26)</f>
        <v>0</v>
      </c>
      <c r="E27" s="49">
        <f t="shared" si="8"/>
        <v>0</v>
      </c>
      <c r="F27" s="6">
        <f t="shared" si="8"/>
        <v>0</v>
      </c>
      <c r="G27" s="6">
        <f t="shared" si="8"/>
        <v>0</v>
      </c>
      <c r="H27" s="6">
        <f t="shared" si="8"/>
        <v>0</v>
      </c>
      <c r="I27" s="49">
        <f t="shared" si="8"/>
        <v>20</v>
      </c>
      <c r="J27" s="6">
        <f t="shared" si="8"/>
        <v>800</v>
      </c>
      <c r="K27" s="6">
        <f t="shared" si="8"/>
        <v>0</v>
      </c>
      <c r="L27" s="6">
        <f t="shared" si="8"/>
        <v>0</v>
      </c>
      <c r="M27" s="49">
        <f t="shared" si="8"/>
        <v>0</v>
      </c>
      <c r="N27" s="6">
        <f t="shared" si="8"/>
        <v>0</v>
      </c>
      <c r="O27" s="49">
        <f t="shared" si="8"/>
        <v>0</v>
      </c>
      <c r="P27" s="6">
        <f t="shared" si="8"/>
        <v>0</v>
      </c>
      <c r="Q27" s="6">
        <f t="shared" si="8"/>
        <v>0</v>
      </c>
      <c r="R27" s="6">
        <f t="shared" si="8"/>
        <v>0</v>
      </c>
      <c r="S27" s="6">
        <f t="shared" si="8"/>
        <v>0</v>
      </c>
      <c r="T27" s="6">
        <f t="shared" si="8"/>
        <v>0</v>
      </c>
      <c r="U27" s="6">
        <f t="shared" si="8"/>
        <v>0</v>
      </c>
      <c r="V27" s="6">
        <f t="shared" si="8"/>
        <v>0</v>
      </c>
      <c r="W27" s="6">
        <f t="shared" si="8"/>
        <v>0</v>
      </c>
      <c r="X27" s="6">
        <f t="shared" si="8"/>
        <v>0</v>
      </c>
      <c r="Y27" s="6">
        <f t="shared" si="8"/>
        <v>0</v>
      </c>
      <c r="Z27" s="6">
        <f t="shared" si="8"/>
        <v>0</v>
      </c>
      <c r="AA27" s="6">
        <f t="shared" si="8"/>
        <v>0</v>
      </c>
      <c r="AB27" s="6">
        <f t="shared" si="8"/>
        <v>0</v>
      </c>
      <c r="AC27" s="6">
        <f>SUM(AC6:AC26)</f>
        <v>0</v>
      </c>
      <c r="AD27" s="6">
        <f t="shared" si="8"/>
        <v>0</v>
      </c>
      <c r="AE27" s="6">
        <f>SUM(AE6:AE26)</f>
        <v>20</v>
      </c>
      <c r="AF27" s="6">
        <f>SUM(AF6:AF26)</f>
        <v>800</v>
      </c>
      <c r="AG27" s="11">
        <f t="shared" si="7"/>
        <v>280</v>
      </c>
    </row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  <row r="91" ht="25.15" customHeight="1" x14ac:dyDescent="0.6"/>
    <row r="92" ht="25.15" customHeight="1" x14ac:dyDescent="0.6"/>
    <row r="93" ht="25.15" customHeight="1" x14ac:dyDescent="0.6"/>
    <row r="94" ht="25.15" customHeight="1" x14ac:dyDescent="0.6"/>
    <row r="95" ht="25.15" customHeight="1" x14ac:dyDescent="0.6"/>
    <row r="96" ht="25.15" customHeight="1" x14ac:dyDescent="0.6"/>
  </sheetData>
  <mergeCells count="19"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3:AB3"/>
    <mergeCell ref="U3:V3"/>
    <mergeCell ref="AC3:AD3"/>
    <mergeCell ref="W3:X3"/>
    <mergeCell ref="Y3:Z3"/>
    <mergeCell ref="C1:AB1"/>
    <mergeCell ref="AE3:AG3"/>
  </mergeCells>
  <hyperlinks>
    <hyperlink ref="C1:AB1" location="'SMM YGN '!A1" display="ဘဘကြီး(မြောက်ဉက္ကလာ)" xr:uid="{00000000-0004-0000-21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1"/>
  <dimension ref="A1:AG93"/>
  <sheetViews>
    <sheetView workbookViewId="0">
      <pane xSplit="2" ySplit="4" topLeftCell="K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V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1.28515625" style="1" customWidth="1"/>
    <col min="5" max="8" width="9.85546875" style="1" customWidth="1"/>
    <col min="9" max="10" width="9.28515625" style="1" customWidth="1"/>
    <col min="11" max="26" width="9" style="1" customWidth="1"/>
    <col min="27" max="30" width="8.28515625" style="1" customWidth="1"/>
    <col min="31" max="32" width="9" style="1" customWidth="1"/>
    <col min="33" max="16384" width="9" style="1"/>
  </cols>
  <sheetData>
    <row r="1" spans="1:33" ht="21.75" x14ac:dyDescent="0.6">
      <c r="A1" s="23"/>
      <c r="B1" s="24"/>
      <c r="C1" s="745" t="s">
        <v>88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X1" s="1" t="s">
        <v>68</v>
      </c>
      <c r="Y1" s="1">
        <f>AE24</f>
        <v>770</v>
      </c>
      <c r="AA1" s="25">
        <v>12</v>
      </c>
      <c r="AB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X2" s="1" t="s">
        <v>67</v>
      </c>
      <c r="Y2" s="27">
        <f>AF24</f>
        <v>10480</v>
      </c>
      <c r="AA2" s="28">
        <v>24</v>
      </c>
      <c r="AB2" s="29">
        <v>40</v>
      </c>
    </row>
    <row r="3" spans="1:33" s="27" customFormat="1" ht="42.7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32" customFormat="1" ht="21.75" x14ac:dyDescent="0.6">
      <c r="A6" s="105"/>
      <c r="B6" s="60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 t="shared" ref="P6:P13" si="0">O6*40</f>
        <v>0</v>
      </c>
      <c r="Q6" s="11"/>
      <c r="R6" s="11">
        <f t="shared" ref="R6:R13" si="1">Q6*14</f>
        <v>0</v>
      </c>
      <c r="S6" s="11"/>
      <c r="T6" s="11">
        <f t="shared" ref="T6:T13" si="2">S6*14</f>
        <v>0</v>
      </c>
      <c r="U6" s="11"/>
      <c r="V6" s="11">
        <f t="shared" ref="V6:V13" si="3"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 t="shared" ref="AE6:AF8" si="4">C6+E6+G6+I6+K6+M6+O6+Q6+S6+U6+W6+Y6+AA6+AC6</f>
        <v>0</v>
      </c>
      <c r="AF6" s="11">
        <f t="shared" si="4"/>
        <v>0</v>
      </c>
      <c r="AG6" s="11">
        <f>(D6*$D$5)+(F6*$F$5)+(H6*$H$5)+(J6*$J$5)+(L6*$L$5)+(N6*$N$5)+(P6*$P$5)+(R6*$R$5)+(T6*$T$5)+(V6*$V$5)+(X6*$X$5)+(Z6*$Z$5)+(AB6*$AB$5)+(AD6*$AD$5)</f>
        <v>0</v>
      </c>
    </row>
    <row r="7" spans="1:33" s="32" customFormat="1" ht="21.75" x14ac:dyDescent="0.6">
      <c r="A7" s="105"/>
      <c r="B7" s="60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 t="shared" si="0"/>
        <v>0</v>
      </c>
      <c r="Q7" s="11"/>
      <c r="R7" s="11">
        <f t="shared" si="1"/>
        <v>0</v>
      </c>
      <c r="S7" s="11"/>
      <c r="T7" s="11">
        <f t="shared" si="2"/>
        <v>0</v>
      </c>
      <c r="U7" s="11"/>
      <c r="V7" s="11">
        <f t="shared" si="3"/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si="4"/>
        <v>0</v>
      </c>
      <c r="AF7" s="11">
        <f t="shared" si="4"/>
        <v>0</v>
      </c>
      <c r="AG7" s="11">
        <f>(D7*$D$5)+(F7*$F$5)+(H7*$H$5)+(J7*$J$5)+(L7*$L$5)+(N7*$N$5)+(P7*$P$5)+(R7*$R$5)+(T7*$T$5)+(V7*$V$5)+(X7*$X$5)+(Z7*$Z$5)+(AB7*$AB$5)+(AD7*$AD$5)</f>
        <v>0</v>
      </c>
    </row>
    <row r="8" spans="1:33" s="19" customFormat="1" ht="25.15" customHeight="1" x14ac:dyDescent="0.25">
      <c r="A8" s="37">
        <v>1</v>
      </c>
      <c r="B8" s="38">
        <v>45717</v>
      </c>
      <c r="C8" s="11">
        <v>150</v>
      </c>
      <c r="D8" s="11">
        <f>C8*14</f>
        <v>2100</v>
      </c>
      <c r="E8" s="11">
        <v>100</v>
      </c>
      <c r="F8" s="11">
        <f>E8*12</f>
        <v>1200</v>
      </c>
      <c r="G8" s="11"/>
      <c r="H8" s="11">
        <f>G8*12</f>
        <v>0</v>
      </c>
      <c r="I8" s="11">
        <v>5</v>
      </c>
      <c r="J8" s="11">
        <f>I8*40</f>
        <v>200</v>
      </c>
      <c r="K8" s="11"/>
      <c r="L8" s="11">
        <f>K8*12</f>
        <v>0</v>
      </c>
      <c r="M8" s="11">
        <v>15</v>
      </c>
      <c r="N8" s="11">
        <f>M8*12</f>
        <v>180</v>
      </c>
      <c r="O8" s="11"/>
      <c r="P8" s="11">
        <f t="shared" si="0"/>
        <v>0</v>
      </c>
      <c r="Q8" s="11"/>
      <c r="R8" s="11">
        <f t="shared" si="1"/>
        <v>0</v>
      </c>
      <c r="S8" s="11"/>
      <c r="T8" s="11">
        <f t="shared" si="2"/>
        <v>0</v>
      </c>
      <c r="U8" s="11"/>
      <c r="V8" s="11">
        <f t="shared" si="3"/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4"/>
        <v>270</v>
      </c>
      <c r="AF8" s="11">
        <f t="shared" si="4"/>
        <v>3680</v>
      </c>
      <c r="AG8" s="11">
        <f t="shared" ref="AG8:AG23" si="5">(D8*$D$5)+(F8*$F$5)+(H8*$H$5)+(J8*$J$5)+(L8*$L$5)+(N8*$N$5)+(P8*$P$5)+(R8*$R$5)+(T8*$T$5)+(V8*$V$5)+(X8*$X$5)+(Z8*$Z$5)+(AB8*$AB$5)+(AD8*$AD$5)</f>
        <v>2794</v>
      </c>
    </row>
    <row r="9" spans="1:33" s="19" customFormat="1" ht="25.15" customHeight="1" x14ac:dyDescent="0.25">
      <c r="A9" s="37">
        <v>2</v>
      </c>
      <c r="B9" s="38">
        <v>45839</v>
      </c>
      <c r="C9" s="11">
        <v>200</v>
      </c>
      <c r="D9" s="11">
        <f t="shared" ref="D9:D22" si="6">C9*14</f>
        <v>2800</v>
      </c>
      <c r="E9" s="11">
        <v>50</v>
      </c>
      <c r="F9" s="11">
        <f t="shared" ref="F9:F22" si="7">E9*12</f>
        <v>600</v>
      </c>
      <c r="G9" s="11"/>
      <c r="H9" s="11">
        <f t="shared" ref="H9:H19" si="8">G9*12</f>
        <v>0</v>
      </c>
      <c r="I9" s="11"/>
      <c r="J9" s="11">
        <f t="shared" ref="J9:J23" si="9">I9*40</f>
        <v>0</v>
      </c>
      <c r="K9" s="11"/>
      <c r="L9" s="11">
        <f t="shared" ref="L9:L14" si="10">K9*12</f>
        <v>0</v>
      </c>
      <c r="M9" s="11"/>
      <c r="N9" s="11">
        <f t="shared" ref="N9:N18" si="11">M9*12</f>
        <v>0</v>
      </c>
      <c r="O9" s="11"/>
      <c r="P9" s="11">
        <f t="shared" si="0"/>
        <v>0</v>
      </c>
      <c r="Q9" s="11"/>
      <c r="R9" s="11">
        <f t="shared" si="1"/>
        <v>0</v>
      </c>
      <c r="S9" s="11"/>
      <c r="T9" s="11">
        <f t="shared" si="2"/>
        <v>0</v>
      </c>
      <c r="U9" s="11"/>
      <c r="V9" s="11">
        <f t="shared" si="3"/>
        <v>0</v>
      </c>
      <c r="W9" s="11"/>
      <c r="X9" s="11">
        <f t="shared" ref="X9:X14" si="12">W9*12</f>
        <v>0</v>
      </c>
      <c r="Y9" s="11"/>
      <c r="Z9" s="11">
        <f t="shared" ref="Z9:Z15" si="13">Y9*12</f>
        <v>0</v>
      </c>
      <c r="AA9" s="11"/>
      <c r="AB9" s="11">
        <f t="shared" ref="AB9:AB15" si="14">AA9*12</f>
        <v>0</v>
      </c>
      <c r="AC9" s="11"/>
      <c r="AD9" s="11">
        <f t="shared" ref="AD9:AD15" si="15">AC9*12</f>
        <v>0</v>
      </c>
      <c r="AE9" s="11">
        <f t="shared" ref="AE9:AF22" si="16">C9+E9+G9+I9+K9+M9+O9+Q9+S9+U9+W9+Y9+AA9+AC9</f>
        <v>250</v>
      </c>
      <c r="AF9" s="11">
        <f t="shared" si="16"/>
        <v>3400</v>
      </c>
      <c r="AG9" s="11">
        <f t="shared" si="5"/>
        <v>2392</v>
      </c>
    </row>
    <row r="10" spans="1:33" s="19" customFormat="1" ht="25.15" customHeight="1" x14ac:dyDescent="0.25">
      <c r="A10" s="37">
        <v>3</v>
      </c>
      <c r="B10" s="38">
        <v>45901</v>
      </c>
      <c r="C10" s="11">
        <v>200</v>
      </c>
      <c r="D10" s="11">
        <f t="shared" si="6"/>
        <v>2800</v>
      </c>
      <c r="E10" s="11">
        <v>50</v>
      </c>
      <c r="F10" s="11">
        <f t="shared" si="7"/>
        <v>600</v>
      </c>
      <c r="G10" s="11"/>
      <c r="H10" s="11">
        <f t="shared" si="8"/>
        <v>0</v>
      </c>
      <c r="I10" s="11"/>
      <c r="J10" s="11">
        <f t="shared" si="9"/>
        <v>0</v>
      </c>
      <c r="K10" s="11"/>
      <c r="L10" s="11">
        <f t="shared" si="10"/>
        <v>0</v>
      </c>
      <c r="M10" s="11"/>
      <c r="N10" s="11">
        <f t="shared" si="11"/>
        <v>0</v>
      </c>
      <c r="O10" s="11"/>
      <c r="P10" s="11">
        <f t="shared" si="0"/>
        <v>0</v>
      </c>
      <c r="Q10" s="11"/>
      <c r="R10" s="11">
        <f t="shared" si="1"/>
        <v>0</v>
      </c>
      <c r="S10" s="11"/>
      <c r="T10" s="11">
        <f t="shared" si="2"/>
        <v>0</v>
      </c>
      <c r="U10" s="11"/>
      <c r="V10" s="11">
        <f t="shared" si="3"/>
        <v>0</v>
      </c>
      <c r="W10" s="11"/>
      <c r="X10" s="11">
        <f t="shared" si="12"/>
        <v>0</v>
      </c>
      <c r="Y10" s="11"/>
      <c r="Z10" s="11">
        <f t="shared" si="13"/>
        <v>0</v>
      </c>
      <c r="AA10" s="11"/>
      <c r="AB10" s="11">
        <f t="shared" si="14"/>
        <v>0</v>
      </c>
      <c r="AC10" s="11"/>
      <c r="AD10" s="11">
        <f t="shared" si="15"/>
        <v>0</v>
      </c>
      <c r="AE10" s="11">
        <f t="shared" si="16"/>
        <v>250</v>
      </c>
      <c r="AF10" s="11">
        <f t="shared" si="16"/>
        <v>3400</v>
      </c>
      <c r="AG10" s="11">
        <f t="shared" si="5"/>
        <v>2392</v>
      </c>
    </row>
    <row r="11" spans="1:33" s="19" customFormat="1" ht="25.15" customHeight="1" x14ac:dyDescent="0.25">
      <c r="A11" s="37">
        <v>4</v>
      </c>
      <c r="B11" s="38"/>
      <c r="C11" s="11"/>
      <c r="D11" s="11">
        <f t="shared" si="6"/>
        <v>0</v>
      </c>
      <c r="E11" s="11"/>
      <c r="F11" s="11">
        <f t="shared" si="7"/>
        <v>0</v>
      </c>
      <c r="G11" s="11"/>
      <c r="H11" s="11">
        <f t="shared" si="8"/>
        <v>0</v>
      </c>
      <c r="I11" s="11"/>
      <c r="J11" s="11">
        <f t="shared" si="9"/>
        <v>0</v>
      </c>
      <c r="K11" s="11"/>
      <c r="L11" s="11">
        <f t="shared" si="10"/>
        <v>0</v>
      </c>
      <c r="M11" s="11"/>
      <c r="N11" s="11">
        <f t="shared" si="11"/>
        <v>0</v>
      </c>
      <c r="O11" s="11"/>
      <c r="P11" s="11">
        <f t="shared" si="0"/>
        <v>0</v>
      </c>
      <c r="Q11" s="11"/>
      <c r="R11" s="11">
        <f t="shared" si="1"/>
        <v>0</v>
      </c>
      <c r="S11" s="11"/>
      <c r="T11" s="11">
        <f t="shared" si="2"/>
        <v>0</v>
      </c>
      <c r="U11" s="11"/>
      <c r="V11" s="11">
        <f t="shared" si="3"/>
        <v>0</v>
      </c>
      <c r="W11" s="11"/>
      <c r="X11" s="11">
        <f t="shared" si="12"/>
        <v>0</v>
      </c>
      <c r="Y11" s="11"/>
      <c r="Z11" s="11">
        <f t="shared" si="13"/>
        <v>0</v>
      </c>
      <c r="AA11" s="11"/>
      <c r="AB11" s="11">
        <f t="shared" si="14"/>
        <v>0</v>
      </c>
      <c r="AC11" s="11"/>
      <c r="AD11" s="11">
        <f t="shared" si="15"/>
        <v>0</v>
      </c>
      <c r="AE11" s="11">
        <f t="shared" si="16"/>
        <v>0</v>
      </c>
      <c r="AF11" s="11">
        <f t="shared" si="16"/>
        <v>0</v>
      </c>
      <c r="AG11" s="11">
        <f t="shared" si="5"/>
        <v>0</v>
      </c>
    </row>
    <row r="12" spans="1:33" s="19" customFormat="1" ht="25.15" customHeight="1" x14ac:dyDescent="0.25">
      <c r="A12" s="37">
        <v>5</v>
      </c>
      <c r="B12" s="38"/>
      <c r="C12" s="11"/>
      <c r="D12" s="11">
        <f t="shared" si="6"/>
        <v>0</v>
      </c>
      <c r="E12" s="11"/>
      <c r="F12" s="11">
        <f t="shared" si="7"/>
        <v>0</v>
      </c>
      <c r="G12" s="11"/>
      <c r="H12" s="11">
        <f t="shared" si="8"/>
        <v>0</v>
      </c>
      <c r="I12" s="11"/>
      <c r="J12" s="11">
        <f t="shared" si="9"/>
        <v>0</v>
      </c>
      <c r="K12" s="11"/>
      <c r="L12" s="11">
        <f t="shared" si="10"/>
        <v>0</v>
      </c>
      <c r="M12" s="11"/>
      <c r="N12" s="11">
        <f t="shared" si="11"/>
        <v>0</v>
      </c>
      <c r="O12" s="11"/>
      <c r="P12" s="11">
        <f t="shared" si="0"/>
        <v>0</v>
      </c>
      <c r="Q12" s="11"/>
      <c r="R12" s="11">
        <f t="shared" si="1"/>
        <v>0</v>
      </c>
      <c r="S12" s="11"/>
      <c r="T12" s="11">
        <f t="shared" si="2"/>
        <v>0</v>
      </c>
      <c r="U12" s="11"/>
      <c r="V12" s="11">
        <f t="shared" si="3"/>
        <v>0</v>
      </c>
      <c r="W12" s="11"/>
      <c r="X12" s="11">
        <f t="shared" si="12"/>
        <v>0</v>
      </c>
      <c r="Y12" s="11"/>
      <c r="Z12" s="11">
        <f t="shared" si="13"/>
        <v>0</v>
      </c>
      <c r="AA12" s="11"/>
      <c r="AB12" s="11">
        <f t="shared" si="14"/>
        <v>0</v>
      </c>
      <c r="AC12" s="11"/>
      <c r="AD12" s="11">
        <f t="shared" si="15"/>
        <v>0</v>
      </c>
      <c r="AE12" s="11">
        <f t="shared" si="16"/>
        <v>0</v>
      </c>
      <c r="AF12" s="11">
        <f t="shared" si="16"/>
        <v>0</v>
      </c>
      <c r="AG12" s="11">
        <f t="shared" si="5"/>
        <v>0</v>
      </c>
    </row>
    <row r="13" spans="1:33" s="19" customFormat="1" ht="25.15" customHeight="1" x14ac:dyDescent="0.25">
      <c r="A13" s="37">
        <v>6</v>
      </c>
      <c r="B13" s="38"/>
      <c r="C13" s="11"/>
      <c r="D13" s="11">
        <f t="shared" si="6"/>
        <v>0</v>
      </c>
      <c r="E13" s="11"/>
      <c r="F13" s="11">
        <f t="shared" si="7"/>
        <v>0</v>
      </c>
      <c r="G13" s="11"/>
      <c r="H13" s="11">
        <f t="shared" si="8"/>
        <v>0</v>
      </c>
      <c r="I13" s="11"/>
      <c r="J13" s="11">
        <f t="shared" si="9"/>
        <v>0</v>
      </c>
      <c r="K13" s="11"/>
      <c r="L13" s="11">
        <f t="shared" si="10"/>
        <v>0</v>
      </c>
      <c r="M13" s="11"/>
      <c r="N13" s="11">
        <f t="shared" si="11"/>
        <v>0</v>
      </c>
      <c r="O13" s="11"/>
      <c r="P13" s="11">
        <f t="shared" si="0"/>
        <v>0</v>
      </c>
      <c r="Q13" s="11"/>
      <c r="R13" s="11">
        <f t="shared" si="1"/>
        <v>0</v>
      </c>
      <c r="S13" s="11"/>
      <c r="T13" s="11">
        <f t="shared" si="2"/>
        <v>0</v>
      </c>
      <c r="U13" s="11"/>
      <c r="V13" s="11">
        <f t="shared" si="3"/>
        <v>0</v>
      </c>
      <c r="W13" s="11"/>
      <c r="X13" s="11">
        <f t="shared" si="12"/>
        <v>0</v>
      </c>
      <c r="Y13" s="11"/>
      <c r="Z13" s="11">
        <f t="shared" si="13"/>
        <v>0</v>
      </c>
      <c r="AA13" s="11"/>
      <c r="AB13" s="11">
        <f t="shared" si="14"/>
        <v>0</v>
      </c>
      <c r="AC13" s="11"/>
      <c r="AD13" s="11">
        <f t="shared" si="15"/>
        <v>0</v>
      </c>
      <c r="AE13" s="11">
        <f t="shared" si="16"/>
        <v>0</v>
      </c>
      <c r="AF13" s="11">
        <f t="shared" si="16"/>
        <v>0</v>
      </c>
      <c r="AG13" s="11">
        <f t="shared" si="5"/>
        <v>0</v>
      </c>
    </row>
    <row r="14" spans="1:33" ht="25.15" customHeight="1" x14ac:dyDescent="0.6">
      <c r="A14" s="37">
        <v>7</v>
      </c>
      <c r="B14" s="38"/>
      <c r="C14" s="6"/>
      <c r="D14" s="11">
        <f t="shared" si="6"/>
        <v>0</v>
      </c>
      <c r="E14" s="6"/>
      <c r="F14" s="11">
        <f t="shared" si="7"/>
        <v>0</v>
      </c>
      <c r="G14" s="6"/>
      <c r="H14" s="11">
        <f t="shared" si="8"/>
        <v>0</v>
      </c>
      <c r="I14" s="6"/>
      <c r="J14" s="11">
        <f t="shared" si="9"/>
        <v>0</v>
      </c>
      <c r="K14" s="6"/>
      <c r="L14" s="11">
        <f t="shared" si="10"/>
        <v>0</v>
      </c>
      <c r="M14" s="6"/>
      <c r="N14" s="11">
        <f t="shared" si="11"/>
        <v>0</v>
      </c>
      <c r="O14" s="6"/>
      <c r="P14" s="11"/>
      <c r="Q14" s="6"/>
      <c r="R14" s="11"/>
      <c r="S14" s="6"/>
      <c r="T14" s="11"/>
      <c r="U14" s="11"/>
      <c r="V14" s="11"/>
      <c r="W14" s="6"/>
      <c r="X14" s="11">
        <f t="shared" si="12"/>
        <v>0</v>
      </c>
      <c r="Y14" s="6"/>
      <c r="Z14" s="11">
        <f t="shared" si="13"/>
        <v>0</v>
      </c>
      <c r="AA14" s="6"/>
      <c r="AB14" s="11">
        <f t="shared" si="14"/>
        <v>0</v>
      </c>
      <c r="AC14" s="6"/>
      <c r="AD14" s="11">
        <f t="shared" si="15"/>
        <v>0</v>
      </c>
      <c r="AE14" s="11">
        <f t="shared" si="16"/>
        <v>0</v>
      </c>
      <c r="AF14" s="11">
        <f t="shared" si="16"/>
        <v>0</v>
      </c>
      <c r="AG14" s="11">
        <f t="shared" si="5"/>
        <v>0</v>
      </c>
    </row>
    <row r="15" spans="1:33" ht="25.15" customHeight="1" x14ac:dyDescent="0.6">
      <c r="A15" s="37">
        <v>8</v>
      </c>
      <c r="B15" s="38"/>
      <c r="C15" s="6"/>
      <c r="D15" s="11">
        <f t="shared" si="6"/>
        <v>0</v>
      </c>
      <c r="E15" s="6"/>
      <c r="F15" s="11">
        <f t="shared" si="7"/>
        <v>0</v>
      </c>
      <c r="G15" s="6"/>
      <c r="H15" s="11">
        <f t="shared" si="8"/>
        <v>0</v>
      </c>
      <c r="I15" s="6"/>
      <c r="J15" s="11">
        <f t="shared" si="9"/>
        <v>0</v>
      </c>
      <c r="K15" s="6"/>
      <c r="L15" s="11"/>
      <c r="M15" s="6"/>
      <c r="N15" s="11">
        <f t="shared" si="11"/>
        <v>0</v>
      </c>
      <c r="O15" s="6"/>
      <c r="P15" s="11"/>
      <c r="Q15" s="6"/>
      <c r="R15" s="11"/>
      <c r="S15" s="6"/>
      <c r="T15" s="11"/>
      <c r="U15" s="11"/>
      <c r="V15" s="11"/>
      <c r="W15" s="6"/>
      <c r="X15" s="6"/>
      <c r="Y15" s="6"/>
      <c r="Z15" s="11">
        <f t="shared" si="13"/>
        <v>0</v>
      </c>
      <c r="AA15" s="6"/>
      <c r="AB15" s="11">
        <f t="shared" si="14"/>
        <v>0</v>
      </c>
      <c r="AC15" s="6"/>
      <c r="AD15" s="11">
        <f t="shared" si="15"/>
        <v>0</v>
      </c>
      <c r="AE15" s="11">
        <f t="shared" si="16"/>
        <v>0</v>
      </c>
      <c r="AF15" s="11">
        <f t="shared" si="16"/>
        <v>0</v>
      </c>
      <c r="AG15" s="11">
        <f t="shared" si="5"/>
        <v>0</v>
      </c>
    </row>
    <row r="16" spans="1:33" ht="25.15" customHeight="1" x14ac:dyDescent="0.6">
      <c r="A16" s="37">
        <v>9</v>
      </c>
      <c r="B16" s="38"/>
      <c r="C16" s="6"/>
      <c r="D16" s="11">
        <f t="shared" si="6"/>
        <v>0</v>
      </c>
      <c r="E16" s="6"/>
      <c r="F16" s="11">
        <f t="shared" si="7"/>
        <v>0</v>
      </c>
      <c r="G16" s="6"/>
      <c r="H16" s="11">
        <f t="shared" si="8"/>
        <v>0</v>
      </c>
      <c r="I16" s="6"/>
      <c r="J16" s="11">
        <f t="shared" si="9"/>
        <v>0</v>
      </c>
      <c r="K16" s="6"/>
      <c r="L16" s="11"/>
      <c r="M16" s="6"/>
      <c r="N16" s="11">
        <f t="shared" si="11"/>
        <v>0</v>
      </c>
      <c r="O16" s="6"/>
      <c r="P16" s="11"/>
      <c r="Q16" s="6"/>
      <c r="R16" s="11"/>
      <c r="S16" s="6"/>
      <c r="T16" s="11"/>
      <c r="U16" s="11"/>
      <c r="V16" s="11"/>
      <c r="W16" s="6"/>
      <c r="X16" s="6"/>
      <c r="Y16" s="6"/>
      <c r="Z16" s="6"/>
      <c r="AA16" s="6"/>
      <c r="AB16" s="6"/>
      <c r="AC16" s="6"/>
      <c r="AD16" s="6"/>
      <c r="AE16" s="11">
        <f t="shared" si="16"/>
        <v>0</v>
      </c>
      <c r="AF16" s="11">
        <f t="shared" si="16"/>
        <v>0</v>
      </c>
      <c r="AG16" s="11">
        <f t="shared" si="5"/>
        <v>0</v>
      </c>
    </row>
    <row r="17" spans="1:33" ht="25.15" customHeight="1" x14ac:dyDescent="0.6">
      <c r="A17" s="37">
        <v>10</v>
      </c>
      <c r="B17" s="38"/>
      <c r="C17" s="6"/>
      <c r="D17" s="11">
        <f t="shared" si="6"/>
        <v>0</v>
      </c>
      <c r="E17" s="6"/>
      <c r="F17" s="11">
        <f t="shared" si="7"/>
        <v>0</v>
      </c>
      <c r="G17" s="6"/>
      <c r="H17" s="11">
        <f t="shared" si="8"/>
        <v>0</v>
      </c>
      <c r="I17" s="6"/>
      <c r="J17" s="11">
        <f t="shared" si="9"/>
        <v>0</v>
      </c>
      <c r="K17" s="6"/>
      <c r="L17" s="11"/>
      <c r="M17" s="6"/>
      <c r="N17" s="11">
        <f t="shared" si="11"/>
        <v>0</v>
      </c>
      <c r="O17" s="6"/>
      <c r="P17" s="11"/>
      <c r="Q17" s="6"/>
      <c r="R17" s="11"/>
      <c r="S17" s="6"/>
      <c r="T17" s="11"/>
      <c r="U17" s="11"/>
      <c r="V17" s="11"/>
      <c r="W17" s="6"/>
      <c r="X17" s="6"/>
      <c r="Y17" s="6"/>
      <c r="Z17" s="6"/>
      <c r="AA17" s="6"/>
      <c r="AB17" s="6"/>
      <c r="AC17" s="6"/>
      <c r="AD17" s="6"/>
      <c r="AE17" s="11">
        <f t="shared" si="16"/>
        <v>0</v>
      </c>
      <c r="AF17" s="11">
        <f t="shared" si="16"/>
        <v>0</v>
      </c>
      <c r="AG17" s="11">
        <f t="shared" si="5"/>
        <v>0</v>
      </c>
    </row>
    <row r="18" spans="1:33" ht="25.15" customHeight="1" x14ac:dyDescent="0.6">
      <c r="A18" s="39">
        <v>11</v>
      </c>
      <c r="B18" s="38"/>
      <c r="C18" s="6"/>
      <c r="D18" s="11">
        <f t="shared" si="6"/>
        <v>0</v>
      </c>
      <c r="E18" s="6"/>
      <c r="F18" s="11">
        <f t="shared" si="7"/>
        <v>0</v>
      </c>
      <c r="G18" s="6"/>
      <c r="H18" s="11">
        <f t="shared" si="8"/>
        <v>0</v>
      </c>
      <c r="I18" s="6"/>
      <c r="J18" s="11">
        <f t="shared" si="9"/>
        <v>0</v>
      </c>
      <c r="K18" s="6"/>
      <c r="L18" s="11"/>
      <c r="M18" s="6"/>
      <c r="N18" s="11">
        <f t="shared" si="11"/>
        <v>0</v>
      </c>
      <c r="O18" s="6"/>
      <c r="P18" s="11"/>
      <c r="Q18" s="6"/>
      <c r="R18" s="11"/>
      <c r="S18" s="6"/>
      <c r="T18" s="11"/>
      <c r="U18" s="11"/>
      <c r="V18" s="11"/>
      <c r="W18" s="6"/>
      <c r="X18" s="6"/>
      <c r="Y18" s="6"/>
      <c r="Z18" s="6"/>
      <c r="AA18" s="6"/>
      <c r="AB18" s="6"/>
      <c r="AC18" s="6"/>
      <c r="AD18" s="6"/>
      <c r="AE18" s="11">
        <f t="shared" si="16"/>
        <v>0</v>
      </c>
      <c r="AF18" s="11">
        <f t="shared" si="16"/>
        <v>0</v>
      </c>
      <c r="AG18" s="11">
        <f t="shared" si="5"/>
        <v>0</v>
      </c>
    </row>
    <row r="19" spans="1:33" ht="25.15" customHeight="1" x14ac:dyDescent="0.6">
      <c r="A19" s="39">
        <v>12</v>
      </c>
      <c r="B19" s="38"/>
      <c r="C19" s="6"/>
      <c r="D19" s="11">
        <f t="shared" si="6"/>
        <v>0</v>
      </c>
      <c r="E19" s="6"/>
      <c r="F19" s="11">
        <f t="shared" si="7"/>
        <v>0</v>
      </c>
      <c r="G19" s="6"/>
      <c r="H19" s="11">
        <f t="shared" si="8"/>
        <v>0</v>
      </c>
      <c r="I19" s="6"/>
      <c r="J19" s="11">
        <f t="shared" si="9"/>
        <v>0</v>
      </c>
      <c r="K19" s="6"/>
      <c r="L19" s="11"/>
      <c r="M19" s="6"/>
      <c r="N19" s="11"/>
      <c r="O19" s="6"/>
      <c r="P19" s="11"/>
      <c r="Q19" s="6"/>
      <c r="R19" s="11"/>
      <c r="S19" s="6"/>
      <c r="T19" s="11"/>
      <c r="U19" s="11"/>
      <c r="V19" s="11"/>
      <c r="W19" s="6"/>
      <c r="X19" s="6"/>
      <c r="Y19" s="6"/>
      <c r="Z19" s="6"/>
      <c r="AA19" s="6"/>
      <c r="AB19" s="6"/>
      <c r="AC19" s="6"/>
      <c r="AD19" s="6"/>
      <c r="AE19" s="11">
        <f t="shared" si="16"/>
        <v>0</v>
      </c>
      <c r="AF19" s="11">
        <f t="shared" si="16"/>
        <v>0</v>
      </c>
      <c r="AG19" s="11">
        <f t="shared" si="5"/>
        <v>0</v>
      </c>
    </row>
    <row r="20" spans="1:33" ht="25.15" customHeight="1" x14ac:dyDescent="0.6">
      <c r="A20" s="39">
        <v>13</v>
      </c>
      <c r="B20" s="38"/>
      <c r="C20" s="6"/>
      <c r="D20" s="11">
        <f t="shared" si="6"/>
        <v>0</v>
      </c>
      <c r="E20" s="6"/>
      <c r="F20" s="11">
        <f t="shared" si="7"/>
        <v>0</v>
      </c>
      <c r="G20" s="6"/>
      <c r="H20" s="11"/>
      <c r="I20" s="6"/>
      <c r="J20" s="11">
        <f t="shared" si="9"/>
        <v>0</v>
      </c>
      <c r="K20" s="6"/>
      <c r="L20" s="11"/>
      <c r="M20" s="6"/>
      <c r="N20" s="11"/>
      <c r="O20" s="6"/>
      <c r="P20" s="11"/>
      <c r="Q20" s="6"/>
      <c r="R20" s="11"/>
      <c r="S20" s="6"/>
      <c r="T20" s="11"/>
      <c r="U20" s="11"/>
      <c r="V20" s="11"/>
      <c r="W20" s="6"/>
      <c r="X20" s="6"/>
      <c r="Y20" s="6"/>
      <c r="Z20" s="6"/>
      <c r="AA20" s="6"/>
      <c r="AB20" s="6"/>
      <c r="AC20" s="6"/>
      <c r="AD20" s="6"/>
      <c r="AE20" s="11">
        <f t="shared" si="16"/>
        <v>0</v>
      </c>
      <c r="AF20" s="11">
        <f t="shared" si="16"/>
        <v>0</v>
      </c>
      <c r="AG20" s="11">
        <f t="shared" si="5"/>
        <v>0</v>
      </c>
    </row>
    <row r="21" spans="1:33" ht="25.15" customHeight="1" x14ac:dyDescent="0.6">
      <c r="A21" s="39"/>
      <c r="B21" s="38"/>
      <c r="C21" s="6"/>
      <c r="D21" s="11">
        <f t="shared" si="6"/>
        <v>0</v>
      </c>
      <c r="E21" s="6"/>
      <c r="F21" s="11">
        <f t="shared" si="7"/>
        <v>0</v>
      </c>
      <c r="G21" s="6"/>
      <c r="H21" s="11"/>
      <c r="I21" s="6"/>
      <c r="J21" s="11">
        <f t="shared" si="9"/>
        <v>0</v>
      </c>
      <c r="K21" s="6"/>
      <c r="L21" s="11"/>
      <c r="M21" s="6"/>
      <c r="N21" s="11"/>
      <c r="O21" s="6"/>
      <c r="P21" s="11"/>
      <c r="Q21" s="6"/>
      <c r="R21" s="11"/>
      <c r="S21" s="6"/>
      <c r="T21" s="11"/>
      <c r="U21" s="11"/>
      <c r="V21" s="11"/>
      <c r="W21" s="6"/>
      <c r="X21" s="6"/>
      <c r="Y21" s="6"/>
      <c r="Z21" s="6"/>
      <c r="AA21" s="6"/>
      <c r="AB21" s="6"/>
      <c r="AC21" s="6"/>
      <c r="AD21" s="6"/>
      <c r="AE21" s="11">
        <f t="shared" si="16"/>
        <v>0</v>
      </c>
      <c r="AF21" s="11">
        <f t="shared" si="16"/>
        <v>0</v>
      </c>
      <c r="AG21" s="11">
        <f t="shared" si="5"/>
        <v>0</v>
      </c>
    </row>
    <row r="22" spans="1:33" ht="25.15" customHeight="1" x14ac:dyDescent="0.6">
      <c r="A22" s="39"/>
      <c r="B22" s="38"/>
      <c r="C22" s="6"/>
      <c r="D22" s="11">
        <f t="shared" si="6"/>
        <v>0</v>
      </c>
      <c r="E22" s="6"/>
      <c r="F22" s="11">
        <f t="shared" si="7"/>
        <v>0</v>
      </c>
      <c r="G22" s="6"/>
      <c r="H22" s="11"/>
      <c r="I22" s="6"/>
      <c r="J22" s="11">
        <f t="shared" si="9"/>
        <v>0</v>
      </c>
      <c r="K22" s="6"/>
      <c r="L22" s="11"/>
      <c r="M22" s="6"/>
      <c r="N22" s="11"/>
      <c r="O22" s="6"/>
      <c r="P22" s="11"/>
      <c r="Q22" s="6"/>
      <c r="R22" s="11"/>
      <c r="S22" s="6"/>
      <c r="T22" s="11"/>
      <c r="U22" s="11"/>
      <c r="V22" s="11"/>
      <c r="W22" s="6"/>
      <c r="X22" s="6"/>
      <c r="Y22" s="6"/>
      <c r="Z22" s="6"/>
      <c r="AA22" s="6"/>
      <c r="AB22" s="6"/>
      <c r="AC22" s="6"/>
      <c r="AD22" s="6"/>
      <c r="AE22" s="11">
        <f t="shared" si="16"/>
        <v>0</v>
      </c>
      <c r="AF22" s="11">
        <f t="shared" si="16"/>
        <v>0</v>
      </c>
      <c r="AG22" s="11">
        <f t="shared" si="5"/>
        <v>0</v>
      </c>
    </row>
    <row r="23" spans="1:33" ht="25.15" customHeight="1" x14ac:dyDescent="0.6">
      <c r="A23" s="39"/>
      <c r="B23" s="38"/>
      <c r="C23" s="6"/>
      <c r="D23" s="11"/>
      <c r="E23" s="6"/>
      <c r="F23" s="11"/>
      <c r="G23" s="6"/>
      <c r="H23" s="11"/>
      <c r="I23" s="6"/>
      <c r="J23" s="11">
        <f t="shared" si="9"/>
        <v>0</v>
      </c>
      <c r="K23" s="6"/>
      <c r="L23" s="11"/>
      <c r="M23" s="6"/>
      <c r="N23" s="11"/>
      <c r="O23" s="6"/>
      <c r="P23" s="11"/>
      <c r="Q23" s="6"/>
      <c r="R23" s="11"/>
      <c r="S23" s="6"/>
      <c r="T23" s="11"/>
      <c r="U23" s="11"/>
      <c r="V23" s="11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11">
        <f t="shared" si="5"/>
        <v>0</v>
      </c>
    </row>
    <row r="24" spans="1:33" ht="25.15" customHeight="1" x14ac:dyDescent="0.6">
      <c r="A24" s="39"/>
      <c r="B24" s="40"/>
      <c r="C24" s="49">
        <f>SUM(C8:C23)</f>
        <v>550</v>
      </c>
      <c r="D24" s="6">
        <f t="shared" ref="D24:AD24" si="17">SUM(D8:D23)</f>
        <v>7700</v>
      </c>
      <c r="E24" s="49">
        <f t="shared" si="17"/>
        <v>200</v>
      </c>
      <c r="F24" s="6">
        <f t="shared" si="17"/>
        <v>2400</v>
      </c>
      <c r="G24" s="49">
        <f t="shared" si="17"/>
        <v>0</v>
      </c>
      <c r="H24" s="6">
        <f t="shared" si="17"/>
        <v>0</v>
      </c>
      <c r="I24" s="49">
        <f t="shared" si="17"/>
        <v>5</v>
      </c>
      <c r="J24" s="6">
        <f t="shared" si="17"/>
        <v>200</v>
      </c>
      <c r="K24" s="6">
        <f t="shared" si="17"/>
        <v>0</v>
      </c>
      <c r="L24" s="6">
        <f t="shared" si="17"/>
        <v>0</v>
      </c>
      <c r="M24" s="49">
        <f t="shared" si="17"/>
        <v>15</v>
      </c>
      <c r="N24" s="6">
        <f t="shared" si="17"/>
        <v>180</v>
      </c>
      <c r="O24" s="6">
        <f t="shared" si="17"/>
        <v>0</v>
      </c>
      <c r="P24" s="6">
        <f t="shared" si="17"/>
        <v>0</v>
      </c>
      <c r="Q24" s="6">
        <f t="shared" si="17"/>
        <v>0</v>
      </c>
      <c r="R24" s="6">
        <f t="shared" si="17"/>
        <v>0</v>
      </c>
      <c r="S24" s="6">
        <f t="shared" si="17"/>
        <v>0</v>
      </c>
      <c r="T24" s="6">
        <f t="shared" si="17"/>
        <v>0</v>
      </c>
      <c r="U24" s="6">
        <f t="shared" si="17"/>
        <v>0</v>
      </c>
      <c r="V24" s="6">
        <f t="shared" si="17"/>
        <v>0</v>
      </c>
      <c r="W24" s="6">
        <f t="shared" si="17"/>
        <v>0</v>
      </c>
      <c r="X24" s="6">
        <f t="shared" si="17"/>
        <v>0</v>
      </c>
      <c r="Y24" s="6">
        <f t="shared" si="17"/>
        <v>0</v>
      </c>
      <c r="Z24" s="6">
        <f t="shared" si="17"/>
        <v>0</v>
      </c>
      <c r="AA24" s="6">
        <f t="shared" si="17"/>
        <v>0</v>
      </c>
      <c r="AB24" s="6">
        <f>SUM(AB8:AB23)</f>
        <v>0</v>
      </c>
      <c r="AC24" s="6">
        <f>SUM(AC8:AC23)</f>
        <v>0</v>
      </c>
      <c r="AD24" s="6">
        <f t="shared" si="17"/>
        <v>0</v>
      </c>
      <c r="AE24" s="6">
        <f>SUM(AE8:AE23)</f>
        <v>770</v>
      </c>
      <c r="AF24" s="6">
        <f>SUM(AF8:AF23)</f>
        <v>10480</v>
      </c>
      <c r="AG24" s="6">
        <f>SUM(AG6:AG23)</f>
        <v>7578</v>
      </c>
    </row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  <row r="91" ht="25.15" customHeight="1" x14ac:dyDescent="0.6"/>
    <row r="92" ht="25.15" customHeight="1" x14ac:dyDescent="0.6"/>
    <row r="93" ht="25.15" customHeight="1" x14ac:dyDescent="0.6"/>
  </sheetData>
  <mergeCells count="19">
    <mergeCell ref="C1:V1"/>
    <mergeCell ref="A2:A4"/>
    <mergeCell ref="B2:B4"/>
    <mergeCell ref="C2: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G3"/>
  </mergeCells>
  <hyperlinks>
    <hyperlink ref="C1:V1" location="'SMM YGN '!A1" display="ဦးတင်အေး (မှော်ဘီ)" xr:uid="{00000000-0004-0000-22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2"/>
  <dimension ref="A1:AH96"/>
  <sheetViews>
    <sheetView workbookViewId="0">
      <pane xSplit="2" ySplit="4" topLeftCell="J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B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6" width="10.28515625" style="1" customWidth="1"/>
    <col min="7" max="10" width="9.85546875" style="1" customWidth="1"/>
    <col min="11" max="12" width="8.140625" style="1" customWidth="1"/>
    <col min="13" max="16" width="8.7109375" style="1" customWidth="1"/>
    <col min="17" max="18" width="8.85546875" style="1" customWidth="1"/>
    <col min="19" max="22" width="8.140625" style="1" customWidth="1"/>
    <col min="23" max="24" width="8.28515625" style="1" customWidth="1"/>
    <col min="25" max="26" width="8.7109375" style="1" customWidth="1"/>
    <col min="27" max="32" width="8.140625" style="1" customWidth="1"/>
    <col min="33" max="16384" width="9" style="1"/>
  </cols>
  <sheetData>
    <row r="1" spans="1:34" ht="21.75" x14ac:dyDescent="0.6">
      <c r="A1" s="23"/>
      <c r="B1" s="24"/>
      <c r="C1" s="745" t="s">
        <v>89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E1" s="1">
        <f>AE27</f>
        <v>520</v>
      </c>
      <c r="AG1" s="25">
        <v>12</v>
      </c>
      <c r="AH1" s="26">
        <v>14</v>
      </c>
    </row>
    <row r="2" spans="1:34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D2" s="1" t="s">
        <v>67</v>
      </c>
      <c r="AE2" s="27">
        <f>AF27</f>
        <v>7480</v>
      </c>
      <c r="AG2" s="28">
        <v>24</v>
      </c>
      <c r="AH2" s="29">
        <v>40</v>
      </c>
    </row>
    <row r="3" spans="1:34" s="27" customFormat="1" ht="42.7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4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4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4" s="32" customFormat="1" ht="21.75" x14ac:dyDescent="0.6">
      <c r="A6" s="105"/>
      <c r="B6" s="60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 t="shared" ref="AE6:AF8" si="0">C6+E6+G6+I6+K6+M6+O6+Q6+S6+U6+W6+Y6+AA6+AC6</f>
        <v>0</v>
      </c>
      <c r="AF6" s="11">
        <f t="shared" si="0"/>
        <v>0</v>
      </c>
      <c r="AG6" s="11">
        <f>(D6*$D$5)+(F6*$F$5)+(H6*$H$5)+(J6*$J$5)+(L6*$L$5)+(N6*$N$5)+(P6*$P$5)+(R6*$R$5)+(T6*$T$5)+(V6*$V$5)+(X6*$X$5)+(Z6*$Z$5)+(AB6*$AB$5)+(AD6*$AD$5)</f>
        <v>0</v>
      </c>
    </row>
    <row r="7" spans="1:34" s="32" customFormat="1" ht="21.75" x14ac:dyDescent="0.6">
      <c r="A7" s="105"/>
      <c r="B7" s="60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si="0"/>
        <v>0</v>
      </c>
      <c r="AF7" s="11">
        <f t="shared" si="0"/>
        <v>0</v>
      </c>
      <c r="AG7" s="11">
        <f>(D7*$D$5)+(F7*$F$5)+(H7*$H$5)+(J7*$J$5)+(L7*$L$5)+(N7*$N$5)+(P7*$P$5)+(R7*$R$5)+(T7*$T$5)+(V7*$V$5)+(X7*$X$5)+(Z7*$Z$5)+(AB7*$AB$5)+(AD7*$AD$5)</f>
        <v>0</v>
      </c>
    </row>
    <row r="8" spans="1:34" s="19" customFormat="1" ht="25.15" customHeight="1" x14ac:dyDescent="0.25">
      <c r="A8" s="37">
        <v>1</v>
      </c>
      <c r="B8" s="38">
        <v>45689</v>
      </c>
      <c r="C8" s="11">
        <v>70</v>
      </c>
      <c r="D8" s="11">
        <f>C8*14</f>
        <v>980</v>
      </c>
      <c r="E8" s="11">
        <v>150</v>
      </c>
      <c r="F8" s="11">
        <f>E8*12</f>
        <v>1800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W8*14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0"/>
        <v>220</v>
      </c>
      <c r="AF8" s="11">
        <f t="shared" si="0"/>
        <v>2780</v>
      </c>
      <c r="AG8" s="11">
        <f t="shared" ref="AG8:AG27" si="1">(D8*$D$5)+(F8*$F$5)+(H8*$H$5)+(J8*$J$5)+(L8*$L$5)+(N8*$N$5)+(P8*$P$5)+(R8*$R$5)+(T8*$T$5)+(V8*$V$5)+(X8*$X$5)+(Z8*$Z$5)+(AB8*$AB$5)+(AD8*$AD$5)</f>
        <v>2427.1999999999998</v>
      </c>
    </row>
    <row r="9" spans="1:34" s="19" customFormat="1" ht="25.15" customHeight="1" x14ac:dyDescent="0.25">
      <c r="A9" s="37">
        <v>2</v>
      </c>
      <c r="B9" s="38">
        <v>45809</v>
      </c>
      <c r="C9" s="11">
        <v>100</v>
      </c>
      <c r="D9" s="11">
        <f t="shared" ref="D9:D26" si="2">C9*14</f>
        <v>1400</v>
      </c>
      <c r="E9" s="11">
        <v>100</v>
      </c>
      <c r="F9" s="11">
        <f t="shared" ref="F9:F26" si="3">E9*12</f>
        <v>1200</v>
      </c>
      <c r="G9" s="11"/>
      <c r="H9" s="11">
        <f t="shared" ref="H9:H25" si="4">G9*12</f>
        <v>0</v>
      </c>
      <c r="I9" s="11"/>
      <c r="J9" s="11">
        <f t="shared" ref="J9:J14" si="5">I9*40</f>
        <v>0</v>
      </c>
      <c r="K9" s="11"/>
      <c r="L9" s="11">
        <f t="shared" ref="L9:L26" si="6">K9*12</f>
        <v>0</v>
      </c>
      <c r="M9" s="11"/>
      <c r="N9" s="11">
        <f t="shared" ref="N9:N25" si="7">M9*12</f>
        <v>0</v>
      </c>
      <c r="O9" s="11"/>
      <c r="P9" s="11">
        <f t="shared" ref="P9:P15" si="8">O9*40</f>
        <v>0</v>
      </c>
      <c r="Q9" s="11"/>
      <c r="R9" s="11">
        <f t="shared" ref="R9:R15" si="9">Q9*14</f>
        <v>0</v>
      </c>
      <c r="S9" s="11"/>
      <c r="T9" s="11">
        <f t="shared" ref="T9:T15" si="10">S9*14</f>
        <v>0</v>
      </c>
      <c r="U9" s="11"/>
      <c r="V9" s="11">
        <f t="shared" ref="V9:V15" si="11">U9*24</f>
        <v>0</v>
      </c>
      <c r="W9" s="11"/>
      <c r="X9" s="11">
        <f t="shared" ref="X9:X25" si="12">W9*14</f>
        <v>0</v>
      </c>
      <c r="Y9" s="11"/>
      <c r="Z9" s="11">
        <f t="shared" ref="Z9:Z15" si="13">Y9*12</f>
        <v>0</v>
      </c>
      <c r="AA9" s="11"/>
      <c r="AB9" s="11">
        <f t="shared" ref="AB9:AB15" si="14">AA9*12</f>
        <v>0</v>
      </c>
      <c r="AC9" s="11"/>
      <c r="AD9" s="11">
        <f t="shared" ref="AD9:AD15" si="15">AC9*12</f>
        <v>0</v>
      </c>
      <c r="AE9" s="11">
        <f t="shared" ref="AE9:AF26" si="16">C9+E9+G9+I9+K9+M9+O9+Q9+S9+U9+W9+Y9+AA9+AC9</f>
        <v>200</v>
      </c>
      <c r="AF9" s="11">
        <f t="shared" si="16"/>
        <v>2600</v>
      </c>
      <c r="AG9" s="11">
        <f t="shared" si="1"/>
        <v>2096</v>
      </c>
    </row>
    <row r="10" spans="1:34" s="19" customFormat="1" ht="25.15" customHeight="1" x14ac:dyDescent="0.25">
      <c r="A10" s="37">
        <v>3</v>
      </c>
      <c r="B10" s="38">
        <v>45870</v>
      </c>
      <c r="C10" s="11">
        <v>30</v>
      </c>
      <c r="D10" s="11">
        <f t="shared" si="2"/>
        <v>420</v>
      </c>
      <c r="E10" s="11">
        <v>40</v>
      </c>
      <c r="F10" s="11">
        <f t="shared" si="3"/>
        <v>480</v>
      </c>
      <c r="G10" s="11"/>
      <c r="H10" s="11">
        <f t="shared" si="4"/>
        <v>0</v>
      </c>
      <c r="I10" s="11">
        <v>30</v>
      </c>
      <c r="J10" s="11">
        <f t="shared" si="5"/>
        <v>1200</v>
      </c>
      <c r="K10" s="11"/>
      <c r="L10" s="11">
        <f t="shared" si="6"/>
        <v>0</v>
      </c>
      <c r="M10" s="11"/>
      <c r="N10" s="11">
        <f t="shared" si="7"/>
        <v>0</v>
      </c>
      <c r="O10" s="11"/>
      <c r="P10" s="11">
        <f t="shared" si="8"/>
        <v>0</v>
      </c>
      <c r="Q10" s="11"/>
      <c r="R10" s="11">
        <f t="shared" si="9"/>
        <v>0</v>
      </c>
      <c r="S10" s="11"/>
      <c r="T10" s="11">
        <f t="shared" si="10"/>
        <v>0</v>
      </c>
      <c r="U10" s="11"/>
      <c r="V10" s="11">
        <f t="shared" si="11"/>
        <v>0</v>
      </c>
      <c r="W10" s="11"/>
      <c r="X10" s="11">
        <f t="shared" si="12"/>
        <v>0</v>
      </c>
      <c r="Y10" s="11"/>
      <c r="Z10" s="11">
        <f t="shared" si="13"/>
        <v>0</v>
      </c>
      <c r="AA10" s="11"/>
      <c r="AB10" s="11">
        <f t="shared" si="14"/>
        <v>0</v>
      </c>
      <c r="AC10" s="11"/>
      <c r="AD10" s="11">
        <f t="shared" si="15"/>
        <v>0</v>
      </c>
      <c r="AE10" s="11">
        <f t="shared" si="16"/>
        <v>100</v>
      </c>
      <c r="AF10" s="11">
        <f t="shared" si="16"/>
        <v>2100</v>
      </c>
      <c r="AG10" s="11">
        <f t="shared" si="1"/>
        <v>1168.8</v>
      </c>
    </row>
    <row r="11" spans="1:34" s="19" customFormat="1" ht="25.15" customHeight="1" x14ac:dyDescent="0.25">
      <c r="A11" s="37">
        <v>4</v>
      </c>
      <c r="B11" s="38"/>
      <c r="C11" s="11"/>
      <c r="D11" s="11">
        <f t="shared" si="2"/>
        <v>0</v>
      </c>
      <c r="E11" s="11"/>
      <c r="F11" s="11">
        <f t="shared" si="3"/>
        <v>0</v>
      </c>
      <c r="G11" s="11"/>
      <c r="H11" s="11">
        <f t="shared" si="4"/>
        <v>0</v>
      </c>
      <c r="I11" s="11"/>
      <c r="J11" s="11">
        <f t="shared" si="5"/>
        <v>0</v>
      </c>
      <c r="K11" s="11"/>
      <c r="L11" s="11">
        <f t="shared" si="6"/>
        <v>0</v>
      </c>
      <c r="M11" s="11"/>
      <c r="N11" s="11">
        <f t="shared" si="7"/>
        <v>0</v>
      </c>
      <c r="O11" s="11"/>
      <c r="P11" s="11">
        <f t="shared" si="8"/>
        <v>0</v>
      </c>
      <c r="Q11" s="11"/>
      <c r="R11" s="11">
        <f t="shared" si="9"/>
        <v>0</v>
      </c>
      <c r="S11" s="11"/>
      <c r="T11" s="11">
        <f t="shared" si="10"/>
        <v>0</v>
      </c>
      <c r="U11" s="11"/>
      <c r="V11" s="11">
        <f t="shared" si="11"/>
        <v>0</v>
      </c>
      <c r="W11" s="11"/>
      <c r="X11" s="11">
        <f t="shared" si="12"/>
        <v>0</v>
      </c>
      <c r="Y11" s="11"/>
      <c r="Z11" s="11">
        <f t="shared" si="13"/>
        <v>0</v>
      </c>
      <c r="AA11" s="11"/>
      <c r="AB11" s="11">
        <f t="shared" si="14"/>
        <v>0</v>
      </c>
      <c r="AC11" s="11"/>
      <c r="AD11" s="11">
        <f t="shared" si="15"/>
        <v>0</v>
      </c>
      <c r="AE11" s="11">
        <f t="shared" si="16"/>
        <v>0</v>
      </c>
      <c r="AF11" s="11">
        <f t="shared" si="16"/>
        <v>0</v>
      </c>
      <c r="AG11" s="11">
        <f t="shared" si="1"/>
        <v>0</v>
      </c>
    </row>
    <row r="12" spans="1:34" s="19" customFormat="1" ht="25.15" customHeight="1" x14ac:dyDescent="0.25">
      <c r="A12" s="37">
        <v>5</v>
      </c>
      <c r="B12" s="38"/>
      <c r="C12" s="11"/>
      <c r="D12" s="11">
        <f t="shared" si="2"/>
        <v>0</v>
      </c>
      <c r="E12" s="11"/>
      <c r="F12" s="11">
        <f t="shared" si="3"/>
        <v>0</v>
      </c>
      <c r="G12" s="11"/>
      <c r="H12" s="11">
        <f t="shared" si="4"/>
        <v>0</v>
      </c>
      <c r="I12" s="11"/>
      <c r="J12" s="11">
        <f t="shared" si="5"/>
        <v>0</v>
      </c>
      <c r="K12" s="11"/>
      <c r="L12" s="11">
        <f t="shared" si="6"/>
        <v>0</v>
      </c>
      <c r="M12" s="11"/>
      <c r="N12" s="11">
        <f t="shared" si="7"/>
        <v>0</v>
      </c>
      <c r="O12" s="11"/>
      <c r="P12" s="11">
        <f t="shared" si="8"/>
        <v>0</v>
      </c>
      <c r="Q12" s="11"/>
      <c r="R12" s="11">
        <f t="shared" si="9"/>
        <v>0</v>
      </c>
      <c r="S12" s="11"/>
      <c r="T12" s="11">
        <f t="shared" si="10"/>
        <v>0</v>
      </c>
      <c r="U12" s="11"/>
      <c r="V12" s="11">
        <f t="shared" si="11"/>
        <v>0</v>
      </c>
      <c r="W12" s="11"/>
      <c r="X12" s="11">
        <f t="shared" si="12"/>
        <v>0</v>
      </c>
      <c r="Y12" s="11"/>
      <c r="Z12" s="11">
        <f t="shared" si="13"/>
        <v>0</v>
      </c>
      <c r="AA12" s="11"/>
      <c r="AB12" s="11">
        <f t="shared" si="14"/>
        <v>0</v>
      </c>
      <c r="AC12" s="11"/>
      <c r="AD12" s="11">
        <f t="shared" si="15"/>
        <v>0</v>
      </c>
      <c r="AE12" s="11">
        <f t="shared" si="16"/>
        <v>0</v>
      </c>
      <c r="AF12" s="11">
        <f t="shared" si="16"/>
        <v>0</v>
      </c>
      <c r="AG12" s="11">
        <f t="shared" si="1"/>
        <v>0</v>
      </c>
    </row>
    <row r="13" spans="1:34" s="19" customFormat="1" ht="25.15" customHeight="1" x14ac:dyDescent="0.25">
      <c r="A13" s="37">
        <v>6</v>
      </c>
      <c r="B13" s="38"/>
      <c r="C13" s="11"/>
      <c r="D13" s="11">
        <f t="shared" si="2"/>
        <v>0</v>
      </c>
      <c r="E13" s="11"/>
      <c r="F13" s="11">
        <f t="shared" si="3"/>
        <v>0</v>
      </c>
      <c r="G13" s="11"/>
      <c r="H13" s="11">
        <f t="shared" si="4"/>
        <v>0</v>
      </c>
      <c r="I13" s="11"/>
      <c r="J13" s="11">
        <f t="shared" si="5"/>
        <v>0</v>
      </c>
      <c r="K13" s="11"/>
      <c r="L13" s="11">
        <f t="shared" si="6"/>
        <v>0</v>
      </c>
      <c r="M13" s="11"/>
      <c r="N13" s="11">
        <f t="shared" si="7"/>
        <v>0</v>
      </c>
      <c r="O13" s="11"/>
      <c r="P13" s="11">
        <f t="shared" si="8"/>
        <v>0</v>
      </c>
      <c r="Q13" s="11"/>
      <c r="R13" s="11">
        <f t="shared" si="9"/>
        <v>0</v>
      </c>
      <c r="S13" s="11"/>
      <c r="T13" s="11">
        <f t="shared" si="10"/>
        <v>0</v>
      </c>
      <c r="U13" s="11"/>
      <c r="V13" s="11">
        <f t="shared" si="11"/>
        <v>0</v>
      </c>
      <c r="W13" s="11"/>
      <c r="X13" s="11">
        <f t="shared" si="12"/>
        <v>0</v>
      </c>
      <c r="Y13" s="11"/>
      <c r="Z13" s="11">
        <f t="shared" si="13"/>
        <v>0</v>
      </c>
      <c r="AA13" s="11"/>
      <c r="AB13" s="11">
        <f t="shared" si="14"/>
        <v>0</v>
      </c>
      <c r="AC13" s="11"/>
      <c r="AD13" s="11">
        <f t="shared" si="15"/>
        <v>0</v>
      </c>
      <c r="AE13" s="11">
        <f t="shared" si="16"/>
        <v>0</v>
      </c>
      <c r="AF13" s="11">
        <f t="shared" si="16"/>
        <v>0</v>
      </c>
      <c r="AG13" s="11">
        <f t="shared" si="1"/>
        <v>0</v>
      </c>
    </row>
    <row r="14" spans="1:34" ht="25.15" customHeight="1" x14ac:dyDescent="0.6">
      <c r="A14" s="37">
        <v>7</v>
      </c>
      <c r="B14" s="38"/>
      <c r="C14" s="6"/>
      <c r="D14" s="11">
        <f t="shared" si="2"/>
        <v>0</v>
      </c>
      <c r="E14" s="6"/>
      <c r="F14" s="11">
        <f t="shared" si="3"/>
        <v>0</v>
      </c>
      <c r="G14" s="6"/>
      <c r="H14" s="11">
        <f t="shared" si="4"/>
        <v>0</v>
      </c>
      <c r="I14" s="6"/>
      <c r="J14" s="11">
        <f t="shared" si="5"/>
        <v>0</v>
      </c>
      <c r="K14" s="6"/>
      <c r="L14" s="11">
        <f t="shared" si="6"/>
        <v>0</v>
      </c>
      <c r="M14" s="6"/>
      <c r="N14" s="11">
        <f t="shared" si="7"/>
        <v>0</v>
      </c>
      <c r="O14" s="6"/>
      <c r="P14" s="11">
        <f t="shared" si="8"/>
        <v>0</v>
      </c>
      <c r="Q14" s="6"/>
      <c r="R14" s="11">
        <f t="shared" si="9"/>
        <v>0</v>
      </c>
      <c r="S14" s="6"/>
      <c r="T14" s="11">
        <f t="shared" si="10"/>
        <v>0</v>
      </c>
      <c r="U14" s="6"/>
      <c r="V14" s="11">
        <f t="shared" si="11"/>
        <v>0</v>
      </c>
      <c r="W14" s="6"/>
      <c r="X14" s="11">
        <f t="shared" si="12"/>
        <v>0</v>
      </c>
      <c r="Y14" s="11"/>
      <c r="Z14" s="11">
        <f t="shared" si="13"/>
        <v>0</v>
      </c>
      <c r="AA14" s="11"/>
      <c r="AB14" s="11">
        <f t="shared" si="14"/>
        <v>0</v>
      </c>
      <c r="AC14" s="6"/>
      <c r="AD14" s="11">
        <f t="shared" si="15"/>
        <v>0</v>
      </c>
      <c r="AE14" s="11">
        <f t="shared" si="16"/>
        <v>0</v>
      </c>
      <c r="AF14" s="11">
        <f t="shared" si="16"/>
        <v>0</v>
      </c>
      <c r="AG14" s="11">
        <f t="shared" si="1"/>
        <v>0</v>
      </c>
    </row>
    <row r="15" spans="1:34" ht="25.15" customHeight="1" x14ac:dyDescent="0.6">
      <c r="A15" s="37">
        <v>8</v>
      </c>
      <c r="B15" s="38"/>
      <c r="C15" s="6"/>
      <c r="D15" s="11">
        <f t="shared" si="2"/>
        <v>0</v>
      </c>
      <c r="E15" s="6"/>
      <c r="F15" s="11">
        <f t="shared" si="3"/>
        <v>0</v>
      </c>
      <c r="G15" s="6"/>
      <c r="H15" s="11">
        <f t="shared" si="4"/>
        <v>0</v>
      </c>
      <c r="I15" s="6"/>
      <c r="J15" s="11">
        <f>I15*40</f>
        <v>0</v>
      </c>
      <c r="K15" s="6"/>
      <c r="L15" s="11">
        <f t="shared" si="6"/>
        <v>0</v>
      </c>
      <c r="M15" s="6"/>
      <c r="N15" s="11">
        <f t="shared" si="7"/>
        <v>0</v>
      </c>
      <c r="O15" s="6"/>
      <c r="P15" s="11">
        <f t="shared" si="8"/>
        <v>0</v>
      </c>
      <c r="Q15" s="6"/>
      <c r="R15" s="11">
        <f t="shared" si="9"/>
        <v>0</v>
      </c>
      <c r="S15" s="6"/>
      <c r="T15" s="11">
        <f t="shared" si="10"/>
        <v>0</v>
      </c>
      <c r="U15" s="6"/>
      <c r="V15" s="11">
        <f t="shared" si="11"/>
        <v>0</v>
      </c>
      <c r="W15" s="6"/>
      <c r="X15" s="11">
        <f t="shared" si="12"/>
        <v>0</v>
      </c>
      <c r="Y15" s="11"/>
      <c r="Z15" s="11">
        <f t="shared" si="13"/>
        <v>0</v>
      </c>
      <c r="AA15" s="11"/>
      <c r="AB15" s="11">
        <f t="shared" si="14"/>
        <v>0</v>
      </c>
      <c r="AC15" s="6"/>
      <c r="AD15" s="11">
        <f t="shared" si="15"/>
        <v>0</v>
      </c>
      <c r="AE15" s="11">
        <f t="shared" si="16"/>
        <v>0</v>
      </c>
      <c r="AF15" s="11">
        <f t="shared" si="16"/>
        <v>0</v>
      </c>
      <c r="AG15" s="11">
        <f t="shared" si="1"/>
        <v>0</v>
      </c>
    </row>
    <row r="16" spans="1:34" ht="25.15" customHeight="1" x14ac:dyDescent="0.6">
      <c r="A16" s="37">
        <v>9</v>
      </c>
      <c r="B16" s="38"/>
      <c r="C16" s="6"/>
      <c r="D16" s="11">
        <f t="shared" si="2"/>
        <v>0</v>
      </c>
      <c r="E16" s="6"/>
      <c r="F16" s="11">
        <f t="shared" si="3"/>
        <v>0</v>
      </c>
      <c r="G16" s="6"/>
      <c r="H16" s="11">
        <f t="shared" si="4"/>
        <v>0</v>
      </c>
      <c r="I16" s="6"/>
      <c r="J16" s="11">
        <f t="shared" ref="J16:J25" si="17">I16*40</f>
        <v>0</v>
      </c>
      <c r="K16" s="6"/>
      <c r="L16" s="11">
        <f t="shared" si="6"/>
        <v>0</v>
      </c>
      <c r="M16" s="6"/>
      <c r="N16" s="11">
        <f t="shared" si="7"/>
        <v>0</v>
      </c>
      <c r="O16" s="6"/>
      <c r="P16" s="11"/>
      <c r="Q16" s="6"/>
      <c r="R16" s="11"/>
      <c r="S16" s="6"/>
      <c r="T16" s="11"/>
      <c r="U16" s="6"/>
      <c r="V16" s="11"/>
      <c r="W16" s="6"/>
      <c r="X16" s="11">
        <f t="shared" si="12"/>
        <v>0</v>
      </c>
      <c r="Y16" s="11"/>
      <c r="Z16" s="11"/>
      <c r="AA16" s="11"/>
      <c r="AB16" s="11"/>
      <c r="AC16" s="6"/>
      <c r="AD16" s="6"/>
      <c r="AE16" s="11">
        <f t="shared" si="16"/>
        <v>0</v>
      </c>
      <c r="AF16" s="11">
        <f t="shared" si="16"/>
        <v>0</v>
      </c>
      <c r="AG16" s="11">
        <f t="shared" si="1"/>
        <v>0</v>
      </c>
    </row>
    <row r="17" spans="1:33" ht="25.15" customHeight="1" x14ac:dyDescent="0.6">
      <c r="A17" s="39">
        <v>10</v>
      </c>
      <c r="B17" s="38"/>
      <c r="C17" s="6"/>
      <c r="D17" s="11">
        <f t="shared" si="2"/>
        <v>0</v>
      </c>
      <c r="E17" s="6"/>
      <c r="F17" s="11">
        <f t="shared" si="3"/>
        <v>0</v>
      </c>
      <c r="G17" s="6"/>
      <c r="H17" s="11">
        <f t="shared" si="4"/>
        <v>0</v>
      </c>
      <c r="I17" s="6"/>
      <c r="J17" s="11">
        <f t="shared" si="17"/>
        <v>0</v>
      </c>
      <c r="K17" s="6"/>
      <c r="L17" s="11">
        <f t="shared" si="6"/>
        <v>0</v>
      </c>
      <c r="M17" s="6"/>
      <c r="N17" s="11">
        <f t="shared" si="7"/>
        <v>0</v>
      </c>
      <c r="O17" s="6"/>
      <c r="P17" s="11"/>
      <c r="Q17" s="6"/>
      <c r="R17" s="11"/>
      <c r="S17" s="6"/>
      <c r="T17" s="11"/>
      <c r="U17" s="6"/>
      <c r="V17" s="11"/>
      <c r="W17" s="6"/>
      <c r="X17" s="11">
        <f t="shared" si="12"/>
        <v>0</v>
      </c>
      <c r="Y17" s="11"/>
      <c r="Z17" s="11"/>
      <c r="AA17" s="11"/>
      <c r="AB17" s="11"/>
      <c r="AC17" s="6"/>
      <c r="AD17" s="6"/>
      <c r="AE17" s="11">
        <f t="shared" si="16"/>
        <v>0</v>
      </c>
      <c r="AF17" s="6">
        <f t="shared" si="16"/>
        <v>0</v>
      </c>
      <c r="AG17" s="11">
        <f t="shared" si="1"/>
        <v>0</v>
      </c>
    </row>
    <row r="18" spans="1:33" ht="25.15" customHeight="1" x14ac:dyDescent="0.6">
      <c r="A18" s="39">
        <v>11</v>
      </c>
      <c r="B18" s="38"/>
      <c r="C18" s="6"/>
      <c r="D18" s="11">
        <f t="shared" si="2"/>
        <v>0</v>
      </c>
      <c r="E18" s="6"/>
      <c r="F18" s="11">
        <f t="shared" si="3"/>
        <v>0</v>
      </c>
      <c r="G18" s="6"/>
      <c r="H18" s="11">
        <f t="shared" si="4"/>
        <v>0</v>
      </c>
      <c r="I18" s="6"/>
      <c r="J18" s="11">
        <f t="shared" si="17"/>
        <v>0</v>
      </c>
      <c r="K18" s="6"/>
      <c r="L18" s="11">
        <f t="shared" si="6"/>
        <v>0</v>
      </c>
      <c r="M18" s="6"/>
      <c r="N18" s="11">
        <f t="shared" si="7"/>
        <v>0</v>
      </c>
      <c r="O18" s="6"/>
      <c r="P18" s="11"/>
      <c r="Q18" s="6"/>
      <c r="R18" s="11"/>
      <c r="S18" s="6"/>
      <c r="T18" s="11"/>
      <c r="U18" s="6"/>
      <c r="V18" s="11"/>
      <c r="W18" s="6"/>
      <c r="X18" s="11">
        <f t="shared" si="12"/>
        <v>0</v>
      </c>
      <c r="Y18" s="11"/>
      <c r="Z18" s="11"/>
      <c r="AA18" s="11"/>
      <c r="AB18" s="11"/>
      <c r="AC18" s="6"/>
      <c r="AD18" s="6"/>
      <c r="AE18" s="11">
        <f t="shared" si="16"/>
        <v>0</v>
      </c>
      <c r="AF18" s="6">
        <f t="shared" si="16"/>
        <v>0</v>
      </c>
      <c r="AG18" s="11">
        <f t="shared" si="1"/>
        <v>0</v>
      </c>
    </row>
    <row r="19" spans="1:33" ht="25.15" customHeight="1" x14ac:dyDescent="0.6">
      <c r="A19" s="39">
        <v>12</v>
      </c>
      <c r="B19" s="38"/>
      <c r="C19" s="6"/>
      <c r="D19" s="11">
        <f t="shared" si="2"/>
        <v>0</v>
      </c>
      <c r="E19" s="6"/>
      <c r="F19" s="11">
        <f t="shared" si="3"/>
        <v>0</v>
      </c>
      <c r="G19" s="6"/>
      <c r="H19" s="11">
        <f t="shared" si="4"/>
        <v>0</v>
      </c>
      <c r="I19" s="6"/>
      <c r="J19" s="11">
        <f t="shared" si="17"/>
        <v>0</v>
      </c>
      <c r="K19" s="6"/>
      <c r="L19" s="11">
        <f t="shared" si="6"/>
        <v>0</v>
      </c>
      <c r="M19" s="6"/>
      <c r="N19" s="11">
        <f t="shared" si="7"/>
        <v>0</v>
      </c>
      <c r="O19" s="6"/>
      <c r="P19" s="11"/>
      <c r="Q19" s="6"/>
      <c r="R19" s="11"/>
      <c r="S19" s="6"/>
      <c r="T19" s="11"/>
      <c r="U19" s="6"/>
      <c r="V19" s="11"/>
      <c r="W19" s="6"/>
      <c r="X19" s="11">
        <f t="shared" si="12"/>
        <v>0</v>
      </c>
      <c r="Y19" s="11"/>
      <c r="Z19" s="11"/>
      <c r="AA19" s="11"/>
      <c r="AB19" s="11"/>
      <c r="AC19" s="6"/>
      <c r="AD19" s="6"/>
      <c r="AE19" s="11">
        <f t="shared" si="16"/>
        <v>0</v>
      </c>
      <c r="AF19" s="6">
        <f t="shared" si="16"/>
        <v>0</v>
      </c>
      <c r="AG19" s="11">
        <f t="shared" si="1"/>
        <v>0</v>
      </c>
    </row>
    <row r="20" spans="1:33" ht="25.15" customHeight="1" x14ac:dyDescent="0.6">
      <c r="A20" s="39">
        <v>13</v>
      </c>
      <c r="B20" s="38"/>
      <c r="C20" s="6"/>
      <c r="D20" s="11">
        <f t="shared" si="2"/>
        <v>0</v>
      </c>
      <c r="E20" s="6"/>
      <c r="F20" s="11">
        <f t="shared" si="3"/>
        <v>0</v>
      </c>
      <c r="G20" s="6"/>
      <c r="H20" s="11">
        <f t="shared" si="4"/>
        <v>0</v>
      </c>
      <c r="I20" s="6"/>
      <c r="J20" s="11">
        <f t="shared" si="17"/>
        <v>0</v>
      </c>
      <c r="K20" s="6"/>
      <c r="L20" s="11"/>
      <c r="M20" s="6"/>
      <c r="N20" s="11">
        <f t="shared" si="7"/>
        <v>0</v>
      </c>
      <c r="O20" s="6"/>
      <c r="P20" s="11"/>
      <c r="Q20" s="6"/>
      <c r="R20" s="11"/>
      <c r="S20" s="6"/>
      <c r="T20" s="11"/>
      <c r="U20" s="6"/>
      <c r="V20" s="11"/>
      <c r="W20" s="6"/>
      <c r="X20" s="11">
        <f t="shared" si="12"/>
        <v>0</v>
      </c>
      <c r="Y20" s="11"/>
      <c r="Z20" s="11"/>
      <c r="AA20" s="11"/>
      <c r="AB20" s="11"/>
      <c r="AC20" s="6"/>
      <c r="AD20" s="6"/>
      <c r="AE20" s="11">
        <f t="shared" si="16"/>
        <v>0</v>
      </c>
      <c r="AF20" s="6">
        <f t="shared" si="16"/>
        <v>0</v>
      </c>
      <c r="AG20" s="11">
        <f t="shared" si="1"/>
        <v>0</v>
      </c>
    </row>
    <row r="21" spans="1:33" ht="25.15" customHeight="1" x14ac:dyDescent="0.6">
      <c r="A21" s="39">
        <v>13</v>
      </c>
      <c r="B21" s="38"/>
      <c r="C21" s="6"/>
      <c r="D21" s="11">
        <f t="shared" si="2"/>
        <v>0</v>
      </c>
      <c r="E21" s="6"/>
      <c r="F21" s="11">
        <f t="shared" si="3"/>
        <v>0</v>
      </c>
      <c r="G21" s="6"/>
      <c r="H21" s="11">
        <f t="shared" si="4"/>
        <v>0</v>
      </c>
      <c r="I21" s="6"/>
      <c r="J21" s="11">
        <f t="shared" si="17"/>
        <v>0</v>
      </c>
      <c r="K21" s="6"/>
      <c r="L21" s="11">
        <f t="shared" si="6"/>
        <v>0</v>
      </c>
      <c r="M21" s="6"/>
      <c r="N21" s="11">
        <f t="shared" si="7"/>
        <v>0</v>
      </c>
      <c r="O21" s="6"/>
      <c r="P21" s="11"/>
      <c r="Q21" s="6"/>
      <c r="R21" s="11"/>
      <c r="S21" s="6"/>
      <c r="T21" s="11"/>
      <c r="U21" s="6"/>
      <c r="V21" s="11"/>
      <c r="W21" s="6"/>
      <c r="X21" s="11">
        <f t="shared" si="12"/>
        <v>0</v>
      </c>
      <c r="Y21" s="11"/>
      <c r="Z21" s="11"/>
      <c r="AA21" s="11"/>
      <c r="AB21" s="11"/>
      <c r="AC21" s="6"/>
      <c r="AD21" s="6"/>
      <c r="AE21" s="11">
        <f t="shared" si="16"/>
        <v>0</v>
      </c>
      <c r="AF21" s="6">
        <f t="shared" si="16"/>
        <v>0</v>
      </c>
      <c r="AG21" s="11">
        <f t="shared" si="1"/>
        <v>0</v>
      </c>
    </row>
    <row r="22" spans="1:33" ht="25.15" customHeight="1" x14ac:dyDescent="0.6">
      <c r="A22" s="39">
        <v>14</v>
      </c>
      <c r="B22" s="38"/>
      <c r="C22" s="6"/>
      <c r="D22" s="11">
        <f t="shared" si="2"/>
        <v>0</v>
      </c>
      <c r="E22" s="6"/>
      <c r="F22" s="11">
        <f t="shared" si="3"/>
        <v>0</v>
      </c>
      <c r="G22" s="6"/>
      <c r="H22" s="11">
        <f t="shared" si="4"/>
        <v>0</v>
      </c>
      <c r="I22" s="6"/>
      <c r="J22" s="11">
        <f t="shared" si="17"/>
        <v>0</v>
      </c>
      <c r="K22" s="6"/>
      <c r="L22" s="11">
        <f t="shared" si="6"/>
        <v>0</v>
      </c>
      <c r="M22" s="6"/>
      <c r="N22" s="11">
        <f t="shared" si="7"/>
        <v>0</v>
      </c>
      <c r="O22" s="6"/>
      <c r="P22" s="11"/>
      <c r="Q22" s="6"/>
      <c r="R22" s="11"/>
      <c r="S22" s="6"/>
      <c r="T22" s="11"/>
      <c r="U22" s="6"/>
      <c r="V22" s="11"/>
      <c r="W22" s="6"/>
      <c r="X22" s="11">
        <f t="shared" si="12"/>
        <v>0</v>
      </c>
      <c r="Y22" s="11"/>
      <c r="Z22" s="11"/>
      <c r="AA22" s="11"/>
      <c r="AB22" s="11"/>
      <c r="AC22" s="6"/>
      <c r="AD22" s="6"/>
      <c r="AE22" s="11">
        <f t="shared" si="16"/>
        <v>0</v>
      </c>
      <c r="AF22" s="6">
        <f t="shared" si="16"/>
        <v>0</v>
      </c>
      <c r="AG22" s="11">
        <f t="shared" si="1"/>
        <v>0</v>
      </c>
    </row>
    <row r="23" spans="1:33" ht="25.15" customHeight="1" x14ac:dyDescent="0.6">
      <c r="A23" s="39">
        <v>15</v>
      </c>
      <c r="B23" s="38"/>
      <c r="C23" s="6"/>
      <c r="D23" s="11">
        <f t="shared" si="2"/>
        <v>0</v>
      </c>
      <c r="E23" s="6"/>
      <c r="F23" s="11">
        <f t="shared" si="3"/>
        <v>0</v>
      </c>
      <c r="G23" s="6"/>
      <c r="H23" s="11">
        <f t="shared" si="4"/>
        <v>0</v>
      </c>
      <c r="I23" s="6"/>
      <c r="J23" s="11">
        <f t="shared" si="17"/>
        <v>0</v>
      </c>
      <c r="K23" s="6"/>
      <c r="L23" s="11">
        <f t="shared" si="6"/>
        <v>0</v>
      </c>
      <c r="M23" s="6"/>
      <c r="N23" s="11">
        <f t="shared" si="7"/>
        <v>0</v>
      </c>
      <c r="O23" s="6"/>
      <c r="P23" s="11"/>
      <c r="Q23" s="6"/>
      <c r="R23" s="11"/>
      <c r="S23" s="6"/>
      <c r="T23" s="11"/>
      <c r="U23" s="6"/>
      <c r="V23" s="11"/>
      <c r="W23" s="6"/>
      <c r="X23" s="11">
        <f t="shared" si="12"/>
        <v>0</v>
      </c>
      <c r="Y23" s="11"/>
      <c r="Z23" s="11"/>
      <c r="AA23" s="11"/>
      <c r="AB23" s="11"/>
      <c r="AC23" s="6"/>
      <c r="AD23" s="6"/>
      <c r="AE23" s="11">
        <f t="shared" si="16"/>
        <v>0</v>
      </c>
      <c r="AF23" s="6">
        <f t="shared" si="16"/>
        <v>0</v>
      </c>
      <c r="AG23" s="11">
        <f t="shared" si="1"/>
        <v>0</v>
      </c>
    </row>
    <row r="24" spans="1:33" ht="25.15" customHeight="1" x14ac:dyDescent="0.6">
      <c r="A24" s="39">
        <v>16</v>
      </c>
      <c r="B24" s="38"/>
      <c r="C24" s="6"/>
      <c r="D24" s="11">
        <f t="shared" si="2"/>
        <v>0</v>
      </c>
      <c r="E24" s="6"/>
      <c r="F24" s="11">
        <f t="shared" si="3"/>
        <v>0</v>
      </c>
      <c r="G24" s="6"/>
      <c r="H24" s="11">
        <f t="shared" si="4"/>
        <v>0</v>
      </c>
      <c r="I24" s="6"/>
      <c r="J24" s="11">
        <f t="shared" si="17"/>
        <v>0</v>
      </c>
      <c r="K24" s="6"/>
      <c r="L24" s="11">
        <f t="shared" si="6"/>
        <v>0</v>
      </c>
      <c r="M24" s="6"/>
      <c r="N24" s="11">
        <f t="shared" si="7"/>
        <v>0</v>
      </c>
      <c r="O24" s="6"/>
      <c r="P24" s="11"/>
      <c r="Q24" s="6"/>
      <c r="R24" s="11"/>
      <c r="S24" s="6"/>
      <c r="T24" s="11"/>
      <c r="U24" s="6"/>
      <c r="V24" s="11"/>
      <c r="W24" s="6"/>
      <c r="X24" s="11">
        <f t="shared" si="12"/>
        <v>0</v>
      </c>
      <c r="Y24" s="11"/>
      <c r="Z24" s="11"/>
      <c r="AA24" s="11"/>
      <c r="AB24" s="11"/>
      <c r="AC24" s="6"/>
      <c r="AD24" s="6"/>
      <c r="AE24" s="11">
        <f t="shared" si="16"/>
        <v>0</v>
      </c>
      <c r="AF24" s="6">
        <f t="shared" si="16"/>
        <v>0</v>
      </c>
      <c r="AG24" s="11">
        <f t="shared" si="1"/>
        <v>0</v>
      </c>
    </row>
    <row r="25" spans="1:33" ht="25.15" customHeight="1" x14ac:dyDescent="0.6">
      <c r="A25" s="39">
        <v>17</v>
      </c>
      <c r="B25" s="38"/>
      <c r="C25" s="6"/>
      <c r="D25" s="11">
        <f t="shared" si="2"/>
        <v>0</v>
      </c>
      <c r="E25" s="6"/>
      <c r="F25" s="11">
        <f t="shared" si="3"/>
        <v>0</v>
      </c>
      <c r="G25" s="6"/>
      <c r="H25" s="11">
        <f t="shared" si="4"/>
        <v>0</v>
      </c>
      <c r="I25" s="6"/>
      <c r="J25" s="11">
        <f t="shared" si="17"/>
        <v>0</v>
      </c>
      <c r="K25" s="6"/>
      <c r="L25" s="11">
        <f t="shared" si="6"/>
        <v>0</v>
      </c>
      <c r="M25" s="6"/>
      <c r="N25" s="11">
        <f t="shared" si="7"/>
        <v>0</v>
      </c>
      <c r="O25" s="6"/>
      <c r="P25" s="11"/>
      <c r="Q25" s="6"/>
      <c r="R25" s="11"/>
      <c r="S25" s="6"/>
      <c r="T25" s="11"/>
      <c r="U25" s="6"/>
      <c r="V25" s="11"/>
      <c r="W25" s="6"/>
      <c r="X25" s="11">
        <f t="shared" si="12"/>
        <v>0</v>
      </c>
      <c r="Y25" s="11"/>
      <c r="Z25" s="11"/>
      <c r="AA25" s="11"/>
      <c r="AB25" s="11"/>
      <c r="AC25" s="6"/>
      <c r="AD25" s="6"/>
      <c r="AE25" s="11">
        <f t="shared" si="16"/>
        <v>0</v>
      </c>
      <c r="AF25" s="6">
        <f t="shared" si="16"/>
        <v>0</v>
      </c>
      <c r="AG25" s="11">
        <f t="shared" si="1"/>
        <v>0</v>
      </c>
    </row>
    <row r="26" spans="1:33" ht="25.15" customHeight="1" x14ac:dyDescent="0.6">
      <c r="A26" s="39">
        <v>18</v>
      </c>
      <c r="B26" s="38"/>
      <c r="C26" s="6"/>
      <c r="D26" s="11">
        <f t="shared" si="2"/>
        <v>0</v>
      </c>
      <c r="E26" s="6"/>
      <c r="F26" s="11">
        <f t="shared" si="3"/>
        <v>0</v>
      </c>
      <c r="G26" s="6"/>
      <c r="H26" s="11"/>
      <c r="I26" s="6"/>
      <c r="J26" s="11"/>
      <c r="K26" s="6"/>
      <c r="L26" s="11">
        <f t="shared" si="6"/>
        <v>0</v>
      </c>
      <c r="M26" s="6"/>
      <c r="N26" s="11"/>
      <c r="O26" s="6"/>
      <c r="P26" s="11"/>
      <c r="Q26" s="6"/>
      <c r="R26" s="11"/>
      <c r="S26" s="6"/>
      <c r="T26" s="11"/>
      <c r="U26" s="6"/>
      <c r="V26" s="11"/>
      <c r="W26" s="6"/>
      <c r="X26" s="11"/>
      <c r="Y26" s="11"/>
      <c r="Z26" s="11"/>
      <c r="AA26" s="11"/>
      <c r="AB26" s="11"/>
      <c r="AC26" s="6"/>
      <c r="AD26" s="6"/>
      <c r="AE26" s="11">
        <f t="shared" si="16"/>
        <v>0</v>
      </c>
      <c r="AF26" s="6">
        <f t="shared" si="16"/>
        <v>0</v>
      </c>
      <c r="AG26" s="11">
        <f t="shared" si="1"/>
        <v>0</v>
      </c>
    </row>
    <row r="27" spans="1:33" ht="25.15" customHeight="1" x14ac:dyDescent="0.6">
      <c r="A27" s="39"/>
      <c r="B27" s="38"/>
      <c r="C27" s="53">
        <f>SUM(C8:C26)</f>
        <v>200</v>
      </c>
      <c r="D27" s="6">
        <f t="shared" ref="D27:AD27" si="18">SUM(D8:D26)</f>
        <v>2800</v>
      </c>
      <c r="E27" s="53">
        <f t="shared" si="18"/>
        <v>290</v>
      </c>
      <c r="F27" s="6">
        <f t="shared" si="18"/>
        <v>3480</v>
      </c>
      <c r="G27" s="53">
        <f t="shared" si="18"/>
        <v>0</v>
      </c>
      <c r="H27" s="6">
        <f t="shared" si="18"/>
        <v>0</v>
      </c>
      <c r="I27" s="53">
        <f t="shared" si="18"/>
        <v>30</v>
      </c>
      <c r="J27" s="6">
        <f t="shared" si="18"/>
        <v>1200</v>
      </c>
      <c r="K27" s="49">
        <f t="shared" si="18"/>
        <v>0</v>
      </c>
      <c r="L27" s="6">
        <f t="shared" si="18"/>
        <v>0</v>
      </c>
      <c r="M27" s="49">
        <f t="shared" si="18"/>
        <v>0</v>
      </c>
      <c r="N27" s="6">
        <f t="shared" si="18"/>
        <v>0</v>
      </c>
      <c r="O27" s="6">
        <f t="shared" si="18"/>
        <v>0</v>
      </c>
      <c r="P27" s="6">
        <f t="shared" si="18"/>
        <v>0</v>
      </c>
      <c r="Q27" s="6">
        <f t="shared" si="18"/>
        <v>0</v>
      </c>
      <c r="R27" s="6">
        <f t="shared" si="18"/>
        <v>0</v>
      </c>
      <c r="S27" s="6">
        <f t="shared" si="18"/>
        <v>0</v>
      </c>
      <c r="T27" s="6">
        <f t="shared" si="18"/>
        <v>0</v>
      </c>
      <c r="U27" s="6">
        <f t="shared" si="18"/>
        <v>0</v>
      </c>
      <c r="V27" s="6">
        <f t="shared" si="18"/>
        <v>0</v>
      </c>
      <c r="W27" s="53">
        <f>SUM(W8:W26)</f>
        <v>0</v>
      </c>
      <c r="X27" s="6">
        <f>SUM(X8:X26)</f>
        <v>0</v>
      </c>
      <c r="Y27" s="6">
        <f t="shared" si="18"/>
        <v>0</v>
      </c>
      <c r="Z27" s="6">
        <f t="shared" si="18"/>
        <v>0</v>
      </c>
      <c r="AA27" s="6">
        <f t="shared" si="18"/>
        <v>0</v>
      </c>
      <c r="AB27" s="6">
        <f t="shared" si="18"/>
        <v>0</v>
      </c>
      <c r="AC27" s="6">
        <f>SUM(AC8:AC26)</f>
        <v>0</v>
      </c>
      <c r="AD27" s="6">
        <f t="shared" si="18"/>
        <v>0</v>
      </c>
      <c r="AE27" s="6">
        <f>SUM(AE8:AE26)</f>
        <v>520</v>
      </c>
      <c r="AF27" s="6">
        <f>SUM(AF8:AF26)</f>
        <v>7480</v>
      </c>
      <c r="AG27" s="11">
        <f t="shared" si="1"/>
        <v>5692</v>
      </c>
    </row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  <row r="91" ht="25.15" customHeight="1" x14ac:dyDescent="0.6"/>
    <row r="92" ht="25.15" customHeight="1" x14ac:dyDescent="0.6"/>
    <row r="93" ht="25.15" customHeight="1" x14ac:dyDescent="0.6"/>
    <row r="94" ht="25.15" customHeight="1" x14ac:dyDescent="0.6"/>
    <row r="95" ht="25.15" customHeight="1" x14ac:dyDescent="0.6"/>
    <row r="96" ht="25.15" customHeight="1" x14ac:dyDescent="0.6"/>
  </sheetData>
  <mergeCells count="19">
    <mergeCell ref="Y3:Z3"/>
    <mergeCell ref="C1:AB1"/>
    <mergeCell ref="U3:V3"/>
    <mergeCell ref="AE3:AG3"/>
    <mergeCell ref="AC3:AD3"/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3:AB3"/>
    <mergeCell ref="W3:X3"/>
  </mergeCells>
  <hyperlinks>
    <hyperlink ref="C1:AB1" location="'SMM YGN '!A1" display="ရတနာတိုး (မှော်ဘီ)" xr:uid="{00000000-0004-0000-2300-000000000000}"/>
    <hyperlink ref="W1:X1" location="'SMM YGN '!A1" display="ရတနာတိုး (မှော်ဘီ)" xr:uid="{00000000-0004-0000-2300-000001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3"/>
  <dimension ref="A1:AL88"/>
  <sheetViews>
    <sheetView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G7" sqref="G7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6" width="10.28515625" style="1" customWidth="1"/>
    <col min="7" max="8" width="9.7109375" style="1" customWidth="1"/>
    <col min="9" max="10" width="9.28515625" style="1" customWidth="1"/>
    <col min="11" max="14" width="8.28515625" style="1" customWidth="1"/>
    <col min="15" max="16" width="9" style="1" customWidth="1"/>
    <col min="17" max="22" width="8.28515625" style="1" customWidth="1"/>
    <col min="23" max="24" width="9.28515625" style="1" customWidth="1"/>
    <col min="25" max="36" width="8.28515625" style="1" customWidth="1"/>
    <col min="37" max="16384" width="9" style="1"/>
  </cols>
  <sheetData>
    <row r="1" spans="1:38" ht="21.75" x14ac:dyDescent="0.6">
      <c r="A1" s="45"/>
      <c r="B1" s="24"/>
      <c r="C1" s="745" t="s">
        <v>90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I1" s="1">
        <f>AI19</f>
        <v>875</v>
      </c>
      <c r="AK1" s="25">
        <v>12</v>
      </c>
      <c r="AL1" s="26">
        <v>14</v>
      </c>
    </row>
    <row r="2" spans="1:38" s="27" customFormat="1" ht="24.75" customHeight="1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D2" s="1" t="s">
        <v>67</v>
      </c>
      <c r="AE2" s="1"/>
      <c r="AF2" s="1"/>
      <c r="AG2" s="1"/>
      <c r="AH2" s="1"/>
      <c r="AI2" s="27">
        <f>AJ19</f>
        <v>13250</v>
      </c>
      <c r="AK2" s="28">
        <v>24</v>
      </c>
      <c r="AL2" s="29">
        <v>40</v>
      </c>
    </row>
    <row r="3" spans="1:38" s="27" customFormat="1" ht="45.7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320</v>
      </c>
      <c r="AB3" s="755"/>
      <c r="AC3" s="736" t="s">
        <v>321</v>
      </c>
      <c r="AD3" s="737"/>
      <c r="AE3" s="734" t="s">
        <v>338</v>
      </c>
      <c r="AF3" s="735"/>
      <c r="AG3" s="734" t="s">
        <v>335</v>
      </c>
      <c r="AH3" s="735"/>
      <c r="AI3" s="742" t="s">
        <v>322</v>
      </c>
      <c r="AJ3" s="743"/>
      <c r="AK3" s="744"/>
    </row>
    <row r="4" spans="1:38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4" t="s">
        <v>63</v>
      </c>
      <c r="AF4" s="14" t="s">
        <v>64</v>
      </c>
      <c r="AG4" s="14" t="s">
        <v>63</v>
      </c>
      <c r="AH4" s="14" t="s">
        <v>64</v>
      </c>
      <c r="AI4" s="10" t="s">
        <v>63</v>
      </c>
      <c r="AJ4" s="10" t="s">
        <v>64</v>
      </c>
      <c r="AK4" s="104" t="s">
        <v>347</v>
      </c>
    </row>
    <row r="5" spans="1:38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4"/>
      <c r="AF5" s="14">
        <v>0.35</v>
      </c>
      <c r="AG5" s="14"/>
      <c r="AH5" s="14">
        <v>0.7</v>
      </c>
      <c r="AI5" s="10"/>
      <c r="AJ5" s="10"/>
      <c r="AK5" s="104"/>
    </row>
    <row r="6" spans="1:38" s="19" customFormat="1" ht="25.15" customHeight="1" x14ac:dyDescent="0.25">
      <c r="A6" s="37">
        <v>1</v>
      </c>
      <c r="B6" s="38">
        <v>45717</v>
      </c>
      <c r="C6" s="11">
        <v>250</v>
      </c>
      <c r="D6" s="11">
        <f>C6*14</f>
        <v>3500</v>
      </c>
      <c r="E6" s="11">
        <v>200</v>
      </c>
      <c r="F6" s="11">
        <f>E6*12</f>
        <v>2400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>
        <v>25</v>
      </c>
      <c r="R6" s="11">
        <f>Q6*14</f>
        <v>350</v>
      </c>
      <c r="S6" s="11">
        <v>30</v>
      </c>
      <c r="T6" s="11">
        <f>S6*14</f>
        <v>420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v>10</v>
      </c>
      <c r="AF6" s="11">
        <f>AE6*24</f>
        <v>240</v>
      </c>
      <c r="AG6" s="11">
        <v>10</v>
      </c>
      <c r="AH6" s="11">
        <f>AG6*12</f>
        <v>120</v>
      </c>
      <c r="AI6" s="11">
        <f>C6+E6+G6+I6+K6+M6+O6+Q6+S6+U6+W6+Y6+AA6+AC6+AE6+AG6</f>
        <v>525</v>
      </c>
      <c r="AJ6" s="11">
        <f>D6+F6+H6+J6+L6+N6+P6+R6+T6+V6+X6+Z6+AB6+AD6+AF6+AH6</f>
        <v>7030</v>
      </c>
      <c r="AK6" s="146">
        <f>(D6*$D$5)+(F6*$F$5)+(H6*$H$5)+(J6*$J$5)+(L6*$L$5)+(N6*$N$5)+(P6*$P$5)+(R6*$R$5)+(T6*$T$5)+(V6*$V$5)+(X6*$X$5)+(Z6*$Z$5)+(AB6*$AB$5)+(AD6*$AD$5)+(AF6*$AF$5)+(AH6*$AH$5)</f>
        <v>5300.8</v>
      </c>
    </row>
    <row r="7" spans="1:38" s="19" customFormat="1" ht="25.15" customHeight="1" x14ac:dyDescent="0.25">
      <c r="A7" s="37">
        <v>2</v>
      </c>
      <c r="B7" s="38">
        <v>45901</v>
      </c>
      <c r="C7" s="11"/>
      <c r="D7" s="11">
        <f t="shared" ref="D7:D13" si="0">C7*14</f>
        <v>0</v>
      </c>
      <c r="E7" s="11">
        <v>200</v>
      </c>
      <c r="F7" s="11">
        <f t="shared" ref="F7:F14" si="1">E7*12</f>
        <v>2400</v>
      </c>
      <c r="G7" s="11">
        <v>50</v>
      </c>
      <c r="H7" s="11">
        <f t="shared" ref="H7:H12" si="2">G7*12</f>
        <v>600</v>
      </c>
      <c r="I7" s="11">
        <v>70</v>
      </c>
      <c r="J7" s="11">
        <f t="shared" ref="J7:J13" si="3">I7*40</f>
        <v>2800</v>
      </c>
      <c r="K7" s="11"/>
      <c r="L7" s="11">
        <f t="shared" ref="L7:L15" si="4">K7*12</f>
        <v>0</v>
      </c>
      <c r="M7" s="11"/>
      <c r="N7" s="11">
        <f t="shared" ref="N7:N16" si="5">M7*12</f>
        <v>0</v>
      </c>
      <c r="O7" s="11"/>
      <c r="P7" s="11">
        <f>O7*40</f>
        <v>0</v>
      </c>
      <c r="Q7" s="11">
        <v>30</v>
      </c>
      <c r="R7" s="11">
        <f t="shared" ref="R7:R12" si="6">Q7*14</f>
        <v>420</v>
      </c>
      <c r="S7" s="11"/>
      <c r="T7" s="11">
        <f t="shared" ref="T7:T13" si="7"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/>
      <c r="AF7" s="11">
        <f t="shared" ref="AF7:AF15" si="8">AE7*24</f>
        <v>0</v>
      </c>
      <c r="AG7" s="11"/>
      <c r="AH7" s="11">
        <f>AG7*12</f>
        <v>0</v>
      </c>
      <c r="AI7" s="11">
        <f t="shared" ref="AI7:AI14" si="9">C7+E7+G7+I7+K7+M7+O7+Q7+S7+U7+W7+Y7+AA7+AC7+AE7+AG7</f>
        <v>350</v>
      </c>
      <c r="AJ7" s="11">
        <f t="shared" ref="AJ7:AJ15" si="10">D7+F7+H7+J7+L7+N7+P7+R7+T7+V7+X7+Z7+AB7+AD7+AF7+AH7</f>
        <v>6220</v>
      </c>
      <c r="AK7" s="146">
        <f t="shared" ref="AK7:AK18" si="11">(D7*$D$5)+(F7*$F$5)+(H7*$H$5)+(J7*$J$5)+(L7*$L$5)+(N7*$N$5)+(P7*$P$5)+(R7*$R$5)+(T7*$T$5)+(V7*$V$5)+(X7*$X$5)+(Z7*$Z$5)+(AB7*$AB$5)+(AD7*$AD$5)+(AF7*$AF$5)+(AH7*$AH$5)</f>
        <v>4008.8</v>
      </c>
    </row>
    <row r="8" spans="1:38" s="19" customFormat="1" ht="25.15" customHeight="1" x14ac:dyDescent="0.25">
      <c r="A8" s="37">
        <v>3</v>
      </c>
      <c r="B8" s="38"/>
      <c r="C8" s="11"/>
      <c r="D8" s="11">
        <f t="shared" si="0"/>
        <v>0</v>
      </c>
      <c r="E8" s="11"/>
      <c r="F8" s="11">
        <f t="shared" si="1"/>
        <v>0</v>
      </c>
      <c r="G8" s="11"/>
      <c r="H8" s="11">
        <f t="shared" si="2"/>
        <v>0</v>
      </c>
      <c r="I8" s="11"/>
      <c r="J8" s="11">
        <f t="shared" si="3"/>
        <v>0</v>
      </c>
      <c r="K8" s="11"/>
      <c r="L8" s="11">
        <f t="shared" si="4"/>
        <v>0</v>
      </c>
      <c r="M8" s="11"/>
      <c r="N8" s="11">
        <f t="shared" si="5"/>
        <v>0</v>
      </c>
      <c r="O8" s="11"/>
      <c r="P8" s="11">
        <f>O8*40</f>
        <v>0</v>
      </c>
      <c r="Q8" s="11"/>
      <c r="R8" s="11">
        <f t="shared" si="6"/>
        <v>0</v>
      </c>
      <c r="S8" s="11"/>
      <c r="T8" s="11">
        <f t="shared" si="7"/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/>
      <c r="AF8" s="11">
        <f t="shared" si="8"/>
        <v>0</v>
      </c>
      <c r="AG8" s="11"/>
      <c r="AH8" s="11">
        <f>AG8*12</f>
        <v>0</v>
      </c>
      <c r="AI8" s="11">
        <f t="shared" si="9"/>
        <v>0</v>
      </c>
      <c r="AJ8" s="11">
        <f t="shared" si="10"/>
        <v>0</v>
      </c>
      <c r="AK8" s="13">
        <f t="shared" si="11"/>
        <v>0</v>
      </c>
    </row>
    <row r="9" spans="1:38" s="19" customFormat="1" ht="25.15" customHeight="1" x14ac:dyDescent="0.25">
      <c r="A9" s="37">
        <v>4</v>
      </c>
      <c r="B9" s="38"/>
      <c r="C9" s="11"/>
      <c r="D9" s="11">
        <f t="shared" si="0"/>
        <v>0</v>
      </c>
      <c r="E9" s="11"/>
      <c r="F9" s="11">
        <f t="shared" si="1"/>
        <v>0</v>
      </c>
      <c r="G9" s="11"/>
      <c r="H9" s="11">
        <f t="shared" si="2"/>
        <v>0</v>
      </c>
      <c r="I9" s="11"/>
      <c r="J9" s="11">
        <f t="shared" si="3"/>
        <v>0</v>
      </c>
      <c r="K9" s="11"/>
      <c r="L9" s="11">
        <f t="shared" si="4"/>
        <v>0</v>
      </c>
      <c r="M9" s="11"/>
      <c r="N9" s="11">
        <f t="shared" si="5"/>
        <v>0</v>
      </c>
      <c r="O9" s="11"/>
      <c r="P9" s="11"/>
      <c r="Q9" s="11"/>
      <c r="R9" s="11">
        <f t="shared" si="6"/>
        <v>0</v>
      </c>
      <c r="S9" s="11"/>
      <c r="T9" s="11">
        <f t="shared" si="7"/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/>
      <c r="AF9" s="11">
        <f t="shared" si="8"/>
        <v>0</v>
      </c>
      <c r="AG9" s="11"/>
      <c r="AH9" s="11">
        <f>AG9*12</f>
        <v>0</v>
      </c>
      <c r="AI9" s="11">
        <f t="shared" si="9"/>
        <v>0</v>
      </c>
      <c r="AJ9" s="11">
        <f t="shared" si="10"/>
        <v>0</v>
      </c>
      <c r="AK9" s="13">
        <f t="shared" si="11"/>
        <v>0</v>
      </c>
    </row>
    <row r="10" spans="1:38" s="19" customFormat="1" ht="25.15" customHeight="1" x14ac:dyDescent="0.25">
      <c r="A10" s="37">
        <v>5</v>
      </c>
      <c r="B10" s="38"/>
      <c r="C10" s="11"/>
      <c r="D10" s="11">
        <f t="shared" si="0"/>
        <v>0</v>
      </c>
      <c r="E10" s="11"/>
      <c r="F10" s="11">
        <f t="shared" si="1"/>
        <v>0</v>
      </c>
      <c r="G10" s="11"/>
      <c r="H10" s="11">
        <f t="shared" si="2"/>
        <v>0</v>
      </c>
      <c r="I10" s="11"/>
      <c r="J10" s="11">
        <f t="shared" si="3"/>
        <v>0</v>
      </c>
      <c r="K10" s="11"/>
      <c r="L10" s="11">
        <f t="shared" si="4"/>
        <v>0</v>
      </c>
      <c r="M10" s="11"/>
      <c r="N10" s="11">
        <f t="shared" si="5"/>
        <v>0</v>
      </c>
      <c r="O10" s="11"/>
      <c r="P10" s="11"/>
      <c r="Q10" s="11"/>
      <c r="R10" s="11">
        <f t="shared" si="6"/>
        <v>0</v>
      </c>
      <c r="S10" s="11"/>
      <c r="T10" s="11">
        <f t="shared" si="7"/>
        <v>0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>
        <f t="shared" si="8"/>
        <v>0</v>
      </c>
      <c r="AG10" s="11"/>
      <c r="AH10" s="11"/>
      <c r="AI10" s="11">
        <f t="shared" si="9"/>
        <v>0</v>
      </c>
      <c r="AJ10" s="11">
        <f t="shared" si="10"/>
        <v>0</v>
      </c>
      <c r="AK10" s="13">
        <f t="shared" si="11"/>
        <v>0</v>
      </c>
    </row>
    <row r="11" spans="1:38" s="19" customFormat="1" ht="25.15" customHeight="1" x14ac:dyDescent="0.25">
      <c r="A11" s="37">
        <v>6</v>
      </c>
      <c r="B11" s="38"/>
      <c r="C11" s="11"/>
      <c r="D11" s="11">
        <f t="shared" si="0"/>
        <v>0</v>
      </c>
      <c r="E11" s="11"/>
      <c r="F11" s="11">
        <f t="shared" si="1"/>
        <v>0</v>
      </c>
      <c r="G11" s="11"/>
      <c r="H11" s="11">
        <f t="shared" si="2"/>
        <v>0</v>
      </c>
      <c r="I11" s="11"/>
      <c r="J11" s="11">
        <f t="shared" si="3"/>
        <v>0</v>
      </c>
      <c r="K11" s="11"/>
      <c r="L11" s="11">
        <f t="shared" si="4"/>
        <v>0</v>
      </c>
      <c r="M11" s="11"/>
      <c r="N11" s="11">
        <f t="shared" si="5"/>
        <v>0</v>
      </c>
      <c r="O11" s="11"/>
      <c r="P11" s="11"/>
      <c r="Q11" s="11"/>
      <c r="R11" s="11">
        <f t="shared" si="6"/>
        <v>0</v>
      </c>
      <c r="S11" s="11"/>
      <c r="T11" s="11">
        <f t="shared" si="7"/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>
        <f t="shared" si="8"/>
        <v>0</v>
      </c>
      <c r="AG11" s="11"/>
      <c r="AH11" s="11"/>
      <c r="AI11" s="11">
        <f t="shared" si="9"/>
        <v>0</v>
      </c>
      <c r="AJ11" s="11">
        <f t="shared" si="10"/>
        <v>0</v>
      </c>
      <c r="AK11" s="13">
        <f t="shared" si="11"/>
        <v>0</v>
      </c>
    </row>
    <row r="12" spans="1:38" ht="25.15" customHeight="1" x14ac:dyDescent="0.6">
      <c r="A12" s="39">
        <v>7</v>
      </c>
      <c r="B12" s="38"/>
      <c r="C12" s="6"/>
      <c r="D12" s="11">
        <f t="shared" si="0"/>
        <v>0</v>
      </c>
      <c r="E12" s="6"/>
      <c r="F12" s="11">
        <f t="shared" si="1"/>
        <v>0</v>
      </c>
      <c r="G12" s="6"/>
      <c r="H12" s="11">
        <f t="shared" si="2"/>
        <v>0</v>
      </c>
      <c r="I12" s="6"/>
      <c r="J12" s="11">
        <f t="shared" si="3"/>
        <v>0</v>
      </c>
      <c r="K12" s="6"/>
      <c r="L12" s="11">
        <f t="shared" si="4"/>
        <v>0</v>
      </c>
      <c r="M12" s="6"/>
      <c r="N12" s="11">
        <f t="shared" si="5"/>
        <v>0</v>
      </c>
      <c r="O12" s="6"/>
      <c r="P12" s="11"/>
      <c r="Q12" s="6"/>
      <c r="R12" s="11">
        <f t="shared" si="6"/>
        <v>0</v>
      </c>
      <c r="S12" s="6"/>
      <c r="T12" s="11">
        <f t="shared" si="7"/>
        <v>0</v>
      </c>
      <c r="U12" s="6"/>
      <c r="V12" s="11"/>
      <c r="W12" s="6"/>
      <c r="X12" s="11"/>
      <c r="Y12" s="6"/>
      <c r="Z12" s="11"/>
      <c r="AA12" s="11"/>
      <c r="AB12" s="11"/>
      <c r="AC12" s="6"/>
      <c r="AD12" s="6"/>
      <c r="AE12" s="6"/>
      <c r="AF12" s="11">
        <f t="shared" si="8"/>
        <v>0</v>
      </c>
      <c r="AG12" s="6"/>
      <c r="AH12" s="6"/>
      <c r="AI12" s="11">
        <f t="shared" si="9"/>
        <v>0</v>
      </c>
      <c r="AJ12" s="11">
        <f t="shared" si="10"/>
        <v>0</v>
      </c>
      <c r="AK12" s="13">
        <f t="shared" si="11"/>
        <v>0</v>
      </c>
    </row>
    <row r="13" spans="1:38" ht="25.15" customHeight="1" x14ac:dyDescent="0.6">
      <c r="A13" s="39">
        <v>8</v>
      </c>
      <c r="B13" s="38"/>
      <c r="C13" s="6"/>
      <c r="D13" s="11">
        <f t="shared" si="0"/>
        <v>0</v>
      </c>
      <c r="E13" s="6"/>
      <c r="F13" s="11">
        <f t="shared" si="1"/>
        <v>0</v>
      </c>
      <c r="G13" s="6"/>
      <c r="H13" s="11"/>
      <c r="I13" s="6"/>
      <c r="J13" s="11">
        <f t="shared" si="3"/>
        <v>0</v>
      </c>
      <c r="K13" s="6"/>
      <c r="L13" s="11">
        <f t="shared" si="4"/>
        <v>0</v>
      </c>
      <c r="M13" s="6"/>
      <c r="N13" s="11">
        <f t="shared" si="5"/>
        <v>0</v>
      </c>
      <c r="O13" s="6"/>
      <c r="P13" s="11"/>
      <c r="Q13" s="6"/>
      <c r="R13" s="11"/>
      <c r="S13" s="6"/>
      <c r="T13" s="11">
        <f t="shared" si="7"/>
        <v>0</v>
      </c>
      <c r="U13" s="6"/>
      <c r="V13" s="11"/>
      <c r="W13" s="6"/>
      <c r="X13" s="11"/>
      <c r="Y13" s="6"/>
      <c r="Z13" s="11"/>
      <c r="AA13" s="11"/>
      <c r="AB13" s="11"/>
      <c r="AC13" s="6"/>
      <c r="AD13" s="6"/>
      <c r="AE13" s="6"/>
      <c r="AF13" s="11">
        <f t="shared" si="8"/>
        <v>0</v>
      </c>
      <c r="AG13" s="6"/>
      <c r="AH13" s="6"/>
      <c r="AI13" s="11">
        <f t="shared" si="9"/>
        <v>0</v>
      </c>
      <c r="AJ13" s="11">
        <f t="shared" si="10"/>
        <v>0</v>
      </c>
      <c r="AK13" s="13">
        <f t="shared" si="11"/>
        <v>0</v>
      </c>
    </row>
    <row r="14" spans="1:38" ht="25.15" customHeight="1" x14ac:dyDescent="0.6">
      <c r="A14" s="39">
        <v>9</v>
      </c>
      <c r="B14" s="38"/>
      <c r="C14" s="6"/>
      <c r="D14" s="11"/>
      <c r="E14" s="6"/>
      <c r="F14" s="11">
        <f t="shared" si="1"/>
        <v>0</v>
      </c>
      <c r="G14" s="6"/>
      <c r="H14" s="11"/>
      <c r="I14" s="6"/>
      <c r="J14" s="11"/>
      <c r="K14" s="6"/>
      <c r="L14" s="11">
        <f t="shared" si="4"/>
        <v>0</v>
      </c>
      <c r="M14" s="6"/>
      <c r="N14" s="11">
        <f t="shared" si="5"/>
        <v>0</v>
      </c>
      <c r="O14" s="6"/>
      <c r="P14" s="11"/>
      <c r="Q14" s="6"/>
      <c r="R14" s="11"/>
      <c r="S14" s="6"/>
      <c r="T14" s="11"/>
      <c r="U14" s="6"/>
      <c r="V14" s="11"/>
      <c r="W14" s="6"/>
      <c r="X14" s="11"/>
      <c r="Y14" s="6"/>
      <c r="Z14" s="11"/>
      <c r="AA14" s="11"/>
      <c r="AB14" s="11"/>
      <c r="AC14" s="6"/>
      <c r="AD14" s="6"/>
      <c r="AE14" s="6"/>
      <c r="AF14" s="11">
        <f t="shared" si="8"/>
        <v>0</v>
      </c>
      <c r="AG14" s="6"/>
      <c r="AH14" s="6"/>
      <c r="AI14" s="11">
        <f t="shared" si="9"/>
        <v>0</v>
      </c>
      <c r="AJ14" s="11">
        <f t="shared" si="10"/>
        <v>0</v>
      </c>
      <c r="AK14" s="13">
        <f t="shared" si="11"/>
        <v>0</v>
      </c>
    </row>
    <row r="15" spans="1:38" ht="25.15" customHeight="1" x14ac:dyDescent="0.6">
      <c r="A15" s="39"/>
      <c r="B15" s="38"/>
      <c r="C15" s="6"/>
      <c r="D15" s="11"/>
      <c r="E15" s="6"/>
      <c r="F15" s="11"/>
      <c r="G15" s="6"/>
      <c r="H15" s="11"/>
      <c r="I15" s="6"/>
      <c r="J15" s="11"/>
      <c r="K15" s="6"/>
      <c r="L15" s="11">
        <f t="shared" si="4"/>
        <v>0</v>
      </c>
      <c r="M15" s="6"/>
      <c r="N15" s="11">
        <f t="shared" si="5"/>
        <v>0</v>
      </c>
      <c r="O15" s="6"/>
      <c r="P15" s="11"/>
      <c r="Q15" s="6"/>
      <c r="R15" s="11"/>
      <c r="S15" s="6"/>
      <c r="T15" s="11"/>
      <c r="U15" s="6"/>
      <c r="V15" s="11"/>
      <c r="W15" s="6"/>
      <c r="X15" s="11"/>
      <c r="Y15" s="6"/>
      <c r="Z15" s="11"/>
      <c r="AA15" s="11"/>
      <c r="AB15" s="11"/>
      <c r="AC15" s="6"/>
      <c r="AD15" s="6"/>
      <c r="AE15" s="6"/>
      <c r="AF15" s="11">
        <f t="shared" si="8"/>
        <v>0</v>
      </c>
      <c r="AG15" s="6"/>
      <c r="AH15" s="6"/>
      <c r="AI15" s="6"/>
      <c r="AJ15" s="11">
        <f t="shared" si="10"/>
        <v>0</v>
      </c>
      <c r="AK15" s="13">
        <f t="shared" si="11"/>
        <v>0</v>
      </c>
    </row>
    <row r="16" spans="1:38" ht="25.15" customHeight="1" x14ac:dyDescent="0.6">
      <c r="A16" s="39"/>
      <c r="B16" s="38"/>
      <c r="C16" s="6"/>
      <c r="D16" s="11"/>
      <c r="E16" s="6"/>
      <c r="F16" s="11"/>
      <c r="G16" s="6"/>
      <c r="H16" s="11"/>
      <c r="I16" s="6"/>
      <c r="J16" s="11"/>
      <c r="K16" s="6"/>
      <c r="L16" s="11"/>
      <c r="M16" s="6"/>
      <c r="N16" s="11">
        <f t="shared" si="5"/>
        <v>0</v>
      </c>
      <c r="O16" s="6"/>
      <c r="P16" s="11"/>
      <c r="Q16" s="6"/>
      <c r="R16" s="11"/>
      <c r="S16" s="6"/>
      <c r="T16" s="11"/>
      <c r="U16" s="6"/>
      <c r="V16" s="11"/>
      <c r="W16" s="6"/>
      <c r="X16" s="11"/>
      <c r="Y16" s="6"/>
      <c r="Z16" s="11"/>
      <c r="AA16" s="11"/>
      <c r="AB16" s="11"/>
      <c r="AC16" s="6"/>
      <c r="AD16" s="6"/>
      <c r="AE16" s="6"/>
      <c r="AF16" s="6"/>
      <c r="AG16" s="6"/>
      <c r="AH16" s="6"/>
      <c r="AI16" s="6"/>
      <c r="AJ16" s="6"/>
      <c r="AK16" s="13">
        <f t="shared" si="11"/>
        <v>0</v>
      </c>
    </row>
    <row r="17" spans="1:37" ht="25.15" customHeight="1" x14ac:dyDescent="0.6">
      <c r="A17" s="39"/>
      <c r="B17" s="38"/>
      <c r="C17" s="6"/>
      <c r="D17" s="11"/>
      <c r="E17" s="6"/>
      <c r="F17" s="11"/>
      <c r="G17" s="6"/>
      <c r="H17" s="11"/>
      <c r="I17" s="6"/>
      <c r="J17" s="11"/>
      <c r="K17" s="6"/>
      <c r="L17" s="11"/>
      <c r="M17" s="6"/>
      <c r="N17" s="11"/>
      <c r="O17" s="6"/>
      <c r="P17" s="11"/>
      <c r="Q17" s="6"/>
      <c r="R17" s="11"/>
      <c r="S17" s="6"/>
      <c r="T17" s="11"/>
      <c r="U17" s="6"/>
      <c r="V17" s="11"/>
      <c r="W17" s="6"/>
      <c r="X17" s="11"/>
      <c r="Y17" s="6"/>
      <c r="Z17" s="11"/>
      <c r="AA17" s="11"/>
      <c r="AB17" s="11"/>
      <c r="AC17" s="6"/>
      <c r="AD17" s="6"/>
      <c r="AE17" s="6"/>
      <c r="AF17" s="6"/>
      <c r="AG17" s="6"/>
      <c r="AH17" s="6"/>
      <c r="AI17" s="6"/>
      <c r="AJ17" s="6"/>
      <c r="AK17" s="13">
        <f t="shared" si="11"/>
        <v>0</v>
      </c>
    </row>
    <row r="18" spans="1:37" ht="25.15" customHeight="1" x14ac:dyDescent="0.6">
      <c r="A18" s="39"/>
      <c r="B18" s="40"/>
      <c r="C18" s="6"/>
      <c r="D18" s="11"/>
      <c r="E18" s="6"/>
      <c r="F18" s="11"/>
      <c r="G18" s="6"/>
      <c r="H18" s="11"/>
      <c r="I18" s="6"/>
      <c r="J18" s="11"/>
      <c r="K18" s="6"/>
      <c r="L18" s="11"/>
      <c r="M18" s="6"/>
      <c r="N18" s="11"/>
      <c r="O18" s="6"/>
      <c r="P18" s="11"/>
      <c r="Q18" s="6"/>
      <c r="R18" s="11"/>
      <c r="S18" s="6"/>
      <c r="T18" s="11"/>
      <c r="U18" s="6"/>
      <c r="V18" s="11"/>
      <c r="W18" s="6"/>
      <c r="X18" s="11"/>
      <c r="Y18" s="6"/>
      <c r="Z18" s="11"/>
      <c r="AA18" s="11"/>
      <c r="AB18" s="11"/>
      <c r="AC18" s="6"/>
      <c r="AD18" s="6"/>
      <c r="AE18" s="6"/>
      <c r="AF18" s="6"/>
      <c r="AG18" s="6"/>
      <c r="AH18" s="6"/>
      <c r="AI18" s="6"/>
      <c r="AJ18" s="6"/>
      <c r="AK18" s="13">
        <f t="shared" si="11"/>
        <v>0</v>
      </c>
    </row>
    <row r="19" spans="1:37" ht="25.15" customHeight="1" x14ac:dyDescent="0.6">
      <c r="A19" s="39"/>
      <c r="B19" s="40"/>
      <c r="C19" s="49">
        <f>SUM(C6:C18)</f>
        <v>250</v>
      </c>
      <c r="D19" s="6">
        <f t="shared" ref="D19:AD19" si="12">SUM(D6:D18)</f>
        <v>3500</v>
      </c>
      <c r="E19" s="49">
        <f t="shared" si="12"/>
        <v>400</v>
      </c>
      <c r="F19" s="6">
        <f t="shared" si="12"/>
        <v>4800</v>
      </c>
      <c r="G19" s="49">
        <f t="shared" si="12"/>
        <v>50</v>
      </c>
      <c r="H19" s="6">
        <f t="shared" si="12"/>
        <v>600</v>
      </c>
      <c r="I19" s="49">
        <f t="shared" si="12"/>
        <v>70</v>
      </c>
      <c r="J19" s="6">
        <f t="shared" si="12"/>
        <v>2800</v>
      </c>
      <c r="K19" s="6">
        <f t="shared" si="12"/>
        <v>0</v>
      </c>
      <c r="L19" s="6">
        <f t="shared" si="12"/>
        <v>0</v>
      </c>
      <c r="M19" s="49">
        <f t="shared" si="12"/>
        <v>0</v>
      </c>
      <c r="N19" s="6">
        <f t="shared" si="12"/>
        <v>0</v>
      </c>
      <c r="O19" s="49">
        <f t="shared" si="12"/>
        <v>0</v>
      </c>
      <c r="P19" s="6">
        <f t="shared" si="12"/>
        <v>0</v>
      </c>
      <c r="Q19" s="49">
        <f t="shared" si="12"/>
        <v>55</v>
      </c>
      <c r="R19" s="6">
        <f t="shared" si="12"/>
        <v>770</v>
      </c>
      <c r="S19" s="49">
        <f t="shared" si="12"/>
        <v>30</v>
      </c>
      <c r="T19" s="6">
        <f t="shared" si="12"/>
        <v>420</v>
      </c>
      <c r="U19" s="6">
        <f t="shared" si="12"/>
        <v>0</v>
      </c>
      <c r="V19" s="6">
        <f t="shared" si="12"/>
        <v>0</v>
      </c>
      <c r="W19" s="6">
        <f t="shared" si="12"/>
        <v>0</v>
      </c>
      <c r="X19" s="6">
        <f t="shared" si="12"/>
        <v>0</v>
      </c>
      <c r="Y19" s="6">
        <f t="shared" si="12"/>
        <v>0</v>
      </c>
      <c r="Z19" s="6">
        <f t="shared" si="12"/>
        <v>0</v>
      </c>
      <c r="AA19" s="6">
        <f t="shared" si="12"/>
        <v>0</v>
      </c>
      <c r="AB19" s="6">
        <f t="shared" si="12"/>
        <v>0</v>
      </c>
      <c r="AC19" s="6">
        <f>SUM(AC6:AC18)</f>
        <v>0</v>
      </c>
      <c r="AD19" s="6">
        <f t="shared" si="12"/>
        <v>0</v>
      </c>
      <c r="AE19" s="6"/>
      <c r="AF19" s="6"/>
      <c r="AG19" s="49">
        <f>SUM(AG6:AG18)</f>
        <v>10</v>
      </c>
      <c r="AH19" s="6">
        <f>SUM(AH6:AH18)</f>
        <v>120</v>
      </c>
      <c r="AI19" s="6">
        <f>SUM(AI6:AI18)</f>
        <v>875</v>
      </c>
      <c r="AJ19" s="6">
        <f>SUM(AJ6:AJ18)</f>
        <v>13250</v>
      </c>
      <c r="AK19" s="140">
        <f>SUM(AK6:AK18)</f>
        <v>9309.6</v>
      </c>
    </row>
    <row r="20" spans="1:37" ht="25.15" customHeight="1" x14ac:dyDescent="0.6"/>
    <row r="21" spans="1:37" ht="25.15" customHeight="1" x14ac:dyDescent="0.6"/>
    <row r="22" spans="1:37" ht="25.15" customHeight="1" x14ac:dyDescent="0.6"/>
    <row r="23" spans="1:37" ht="25.15" customHeight="1" x14ac:dyDescent="0.6"/>
    <row r="24" spans="1:37" ht="25.15" customHeight="1" x14ac:dyDescent="0.6"/>
    <row r="25" spans="1:37" ht="25.15" customHeight="1" x14ac:dyDescent="0.6"/>
    <row r="26" spans="1:37" ht="25.15" customHeight="1" x14ac:dyDescent="0.6"/>
    <row r="27" spans="1:37" ht="25.15" customHeight="1" x14ac:dyDescent="0.6"/>
    <row r="28" spans="1:37" ht="25.15" customHeight="1" x14ac:dyDescent="0.6"/>
    <row r="29" spans="1:37" ht="25.15" customHeight="1" x14ac:dyDescent="0.6"/>
    <row r="30" spans="1:37" ht="25.15" customHeight="1" x14ac:dyDescent="0.6"/>
    <row r="31" spans="1:37" ht="25.15" customHeight="1" x14ac:dyDescent="0.6"/>
    <row r="32" spans="1:37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21"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3:AB3"/>
    <mergeCell ref="W3:X3"/>
    <mergeCell ref="Y3:Z3"/>
    <mergeCell ref="AI3:AK3"/>
    <mergeCell ref="AC3:AD3"/>
    <mergeCell ref="C1:AB1"/>
    <mergeCell ref="U3:V3"/>
    <mergeCell ref="AE3:AF3"/>
    <mergeCell ref="AG3:AH3"/>
  </mergeCells>
  <hyperlinks>
    <hyperlink ref="C1:AB1" location="'SMM YGN '!A1" display="မွန်မလေး (ရွှေပြည်သာ)" xr:uid="{00000000-0004-0000-2400-000000000000}"/>
    <hyperlink ref="W1:X1" location="'SMM YGN '!A1" display="မွန်မလေး (ရွှေပြည်သာ)" xr:uid="{00000000-0004-0000-2400-000001000000}"/>
    <hyperlink ref="Y1:Z1" location="'SMM YGN '!A1" display="မွန်မလေး (ရွှေပြည်သာ)" xr:uid="{00000000-0004-0000-2400-000002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4"/>
  <dimension ref="A1:AG90"/>
  <sheetViews>
    <sheetView workbookViewId="0">
      <pane xSplit="2" ySplit="4" topLeftCell="K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Z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8" width="10.7109375" style="1" customWidth="1"/>
    <col min="9" max="10" width="10.28515625" style="1" customWidth="1"/>
    <col min="11" max="14" width="8.7109375" style="1" customWidth="1"/>
    <col min="15" max="20" width="10" style="1" customWidth="1"/>
    <col min="21" max="22" width="8.7109375" style="1" customWidth="1"/>
    <col min="23" max="24" width="10" style="1" customWidth="1"/>
    <col min="25" max="32" width="8.7109375" style="1" customWidth="1"/>
    <col min="33" max="16384" width="9" style="1"/>
  </cols>
  <sheetData>
    <row r="1" spans="1:33" ht="21.75" x14ac:dyDescent="0.6">
      <c r="A1" s="23"/>
      <c r="B1" s="24"/>
      <c r="C1" s="745" t="s">
        <v>91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B1" s="1" t="s">
        <v>68</v>
      </c>
      <c r="AC1" s="1">
        <f>AE21</f>
        <v>490</v>
      </c>
      <c r="AE1" s="25">
        <v>12</v>
      </c>
      <c r="AF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B2" s="1" t="s">
        <v>67</v>
      </c>
      <c r="AC2" s="27">
        <f>AF21</f>
        <v>6980</v>
      </c>
      <c r="AE2" s="28">
        <v>24</v>
      </c>
      <c r="AF2" s="29">
        <v>40</v>
      </c>
    </row>
    <row r="3" spans="1:33" s="27" customFormat="1" ht="47.2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45689</v>
      </c>
      <c r="C6" s="11">
        <v>170</v>
      </c>
      <c r="D6" s="11">
        <f>C6*14</f>
        <v>2380</v>
      </c>
      <c r="E6" s="11">
        <v>100</v>
      </c>
      <c r="F6" s="11">
        <f>E6*12</f>
        <v>1200</v>
      </c>
      <c r="G6" s="11"/>
      <c r="H6" s="11">
        <f>G6*12</f>
        <v>0</v>
      </c>
      <c r="I6" s="11">
        <v>20</v>
      </c>
      <c r="J6" s="11">
        <f>I6*40</f>
        <v>800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W6*14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290</v>
      </c>
      <c r="AF6" s="11">
        <f>D6+F6+H6+J6+L6+N6+P6+R6+T6+V6+X6+Z6+AB6+AD6</f>
        <v>4380</v>
      </c>
      <c r="AG6" s="13">
        <f t="shared" ref="AG6:AG20" si="0">(D6*$D$5)+(F6*$F$5)+(H6*$H$5)+(J6*$J$5)+(L6*$L$5)+(N6*$N$5)+(P6*$P$5)+(R6*$R$5)+(T6*$T$5)+(V6*$V$5)+(X6*$X$5)+(Z6*$Z$5)+(AB6*$AB$5)+(AD6*$AD$5)</f>
        <v>3003.2</v>
      </c>
    </row>
    <row r="7" spans="1:33" s="19" customFormat="1" ht="25.15" customHeight="1" x14ac:dyDescent="0.25">
      <c r="A7" s="37">
        <v>2</v>
      </c>
      <c r="B7" s="38">
        <v>45839</v>
      </c>
      <c r="C7" s="11">
        <v>100</v>
      </c>
      <c r="D7" s="11">
        <f t="shared" ref="D7:D17" si="1">C7*14</f>
        <v>1400</v>
      </c>
      <c r="E7" s="11">
        <v>100</v>
      </c>
      <c r="F7" s="11">
        <f t="shared" ref="F7:F16" si="2">E7*12</f>
        <v>1200</v>
      </c>
      <c r="G7" s="11"/>
      <c r="H7" s="11">
        <f t="shared" ref="H7:H17" si="3">G7*12</f>
        <v>0</v>
      </c>
      <c r="I7" s="11"/>
      <c r="J7" s="11">
        <f t="shared" ref="J7:J17" si="4">I7*40</f>
        <v>0</v>
      </c>
      <c r="K7" s="11"/>
      <c r="L7" s="11">
        <f t="shared" ref="L7:L17" si="5">K7*12</f>
        <v>0</v>
      </c>
      <c r="M7" s="11"/>
      <c r="N7" s="11">
        <f t="shared" ref="N7:N12" si="6">M7*12</f>
        <v>0</v>
      </c>
      <c r="O7" s="11"/>
      <c r="P7" s="11">
        <f>O7*40</f>
        <v>0</v>
      </c>
      <c r="Q7" s="11"/>
      <c r="R7" s="11">
        <f t="shared" ref="R7:R12" si="7">Q7*14</f>
        <v>0</v>
      </c>
      <c r="S7" s="11"/>
      <c r="T7" s="11">
        <f t="shared" ref="T7:T18" si="8">S7*14</f>
        <v>0</v>
      </c>
      <c r="U7" s="11"/>
      <c r="V7" s="11">
        <f t="shared" ref="V7:V12" si="9">U7*24</f>
        <v>0</v>
      </c>
      <c r="W7" s="11"/>
      <c r="X7" s="11">
        <f t="shared" ref="X7:X16" si="10">W7*14</f>
        <v>0</v>
      </c>
      <c r="Y7" s="11"/>
      <c r="Z7" s="11">
        <f t="shared" ref="Z7:Z12" si="11">Y7*12</f>
        <v>0</v>
      </c>
      <c r="AA7" s="11"/>
      <c r="AB7" s="11">
        <f t="shared" ref="AB7:AB12" si="12">AA7*12</f>
        <v>0</v>
      </c>
      <c r="AC7" s="11"/>
      <c r="AD7" s="11">
        <f t="shared" ref="AD7:AD12" si="13">AC7*12</f>
        <v>0</v>
      </c>
      <c r="AE7" s="11">
        <f t="shared" ref="AE7:AF17" si="14">C7+E7+G7+I7+K7+M7+O7+Q7+S7+U7+W7+Y7+AA7+AC7</f>
        <v>200</v>
      </c>
      <c r="AF7" s="11">
        <f t="shared" si="14"/>
        <v>2600</v>
      </c>
      <c r="AG7" s="13">
        <f t="shared" si="0"/>
        <v>2096</v>
      </c>
    </row>
    <row r="8" spans="1:33" s="19" customFormat="1" ht="25.15" customHeight="1" x14ac:dyDescent="0.25">
      <c r="A8" s="37">
        <v>3</v>
      </c>
      <c r="B8" s="38"/>
      <c r="C8" s="11"/>
      <c r="D8" s="11">
        <f t="shared" si="1"/>
        <v>0</v>
      </c>
      <c r="E8" s="11"/>
      <c r="F8" s="11">
        <f t="shared" si="2"/>
        <v>0</v>
      </c>
      <c r="G8" s="11"/>
      <c r="H8" s="11"/>
      <c r="I8" s="11"/>
      <c r="J8" s="11">
        <f t="shared" si="4"/>
        <v>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>
        <f t="shared" si="14"/>
        <v>0</v>
      </c>
      <c r="AF8" s="11">
        <f t="shared" si="14"/>
        <v>0</v>
      </c>
      <c r="AG8" s="13">
        <f t="shared" si="0"/>
        <v>0</v>
      </c>
    </row>
    <row r="9" spans="1:33" s="19" customFormat="1" ht="25.15" customHeight="1" x14ac:dyDescent="0.25">
      <c r="A9" s="37">
        <v>4</v>
      </c>
      <c r="B9" s="38"/>
      <c r="C9" s="11"/>
      <c r="D9" s="11">
        <f t="shared" si="1"/>
        <v>0</v>
      </c>
      <c r="E9" s="11"/>
      <c r="F9" s="11">
        <f t="shared" si="2"/>
        <v>0</v>
      </c>
      <c r="G9" s="11"/>
      <c r="H9" s="11">
        <f t="shared" si="3"/>
        <v>0</v>
      </c>
      <c r="I9" s="11"/>
      <c r="J9" s="11">
        <f t="shared" si="4"/>
        <v>0</v>
      </c>
      <c r="K9" s="11"/>
      <c r="L9" s="11">
        <f t="shared" si="5"/>
        <v>0</v>
      </c>
      <c r="M9" s="11"/>
      <c r="N9" s="11">
        <f t="shared" si="6"/>
        <v>0</v>
      </c>
      <c r="O9" s="11"/>
      <c r="P9" s="11">
        <f>O9*40</f>
        <v>0</v>
      </c>
      <c r="Q9" s="11"/>
      <c r="R9" s="11">
        <f t="shared" si="7"/>
        <v>0</v>
      </c>
      <c r="S9" s="11"/>
      <c r="T9" s="11">
        <f t="shared" si="8"/>
        <v>0</v>
      </c>
      <c r="U9" s="11"/>
      <c r="V9" s="11">
        <f t="shared" si="9"/>
        <v>0</v>
      </c>
      <c r="W9" s="11"/>
      <c r="X9" s="11">
        <f t="shared" si="10"/>
        <v>0</v>
      </c>
      <c r="Y9" s="11"/>
      <c r="Z9" s="11">
        <f t="shared" si="11"/>
        <v>0</v>
      </c>
      <c r="AA9" s="11"/>
      <c r="AB9" s="11">
        <f t="shared" si="12"/>
        <v>0</v>
      </c>
      <c r="AC9" s="11"/>
      <c r="AD9" s="11">
        <f t="shared" si="13"/>
        <v>0</v>
      </c>
      <c r="AE9" s="11">
        <f t="shared" si="14"/>
        <v>0</v>
      </c>
      <c r="AF9" s="11">
        <f t="shared" si="14"/>
        <v>0</v>
      </c>
      <c r="AG9" s="13">
        <f t="shared" si="0"/>
        <v>0</v>
      </c>
    </row>
    <row r="10" spans="1:33" s="19" customFormat="1" ht="25.15" customHeight="1" x14ac:dyDescent="0.25">
      <c r="A10" s="37">
        <v>5</v>
      </c>
      <c r="B10" s="38"/>
      <c r="C10" s="11"/>
      <c r="D10" s="11">
        <f t="shared" si="1"/>
        <v>0</v>
      </c>
      <c r="E10" s="11"/>
      <c r="F10" s="11">
        <f t="shared" si="2"/>
        <v>0</v>
      </c>
      <c r="G10" s="11"/>
      <c r="H10" s="11"/>
      <c r="I10" s="11"/>
      <c r="J10" s="11">
        <f t="shared" si="4"/>
        <v>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>
        <f t="shared" si="14"/>
        <v>0</v>
      </c>
      <c r="AF10" s="11">
        <f t="shared" si="14"/>
        <v>0</v>
      </c>
      <c r="AG10" s="13">
        <f t="shared" si="0"/>
        <v>0</v>
      </c>
    </row>
    <row r="11" spans="1:33" s="19" customFormat="1" ht="25.15" customHeight="1" x14ac:dyDescent="0.25">
      <c r="A11" s="37">
        <v>6</v>
      </c>
      <c r="B11" s="38"/>
      <c r="C11" s="11"/>
      <c r="D11" s="11">
        <f t="shared" si="1"/>
        <v>0</v>
      </c>
      <c r="E11" s="11"/>
      <c r="F11" s="11">
        <f t="shared" si="2"/>
        <v>0</v>
      </c>
      <c r="G11" s="11"/>
      <c r="H11" s="11">
        <f t="shared" si="3"/>
        <v>0</v>
      </c>
      <c r="I11" s="11"/>
      <c r="J11" s="11">
        <f t="shared" si="4"/>
        <v>0</v>
      </c>
      <c r="K11" s="11"/>
      <c r="L11" s="11">
        <f t="shared" si="5"/>
        <v>0</v>
      </c>
      <c r="M11" s="11"/>
      <c r="N11" s="11">
        <f t="shared" si="6"/>
        <v>0</v>
      </c>
      <c r="O11" s="11"/>
      <c r="P11" s="11">
        <f>O11*40</f>
        <v>0</v>
      </c>
      <c r="Q11" s="11"/>
      <c r="R11" s="11">
        <f t="shared" si="7"/>
        <v>0</v>
      </c>
      <c r="S11" s="11"/>
      <c r="T11" s="11">
        <f t="shared" si="8"/>
        <v>0</v>
      </c>
      <c r="U11" s="11"/>
      <c r="V11" s="11">
        <f t="shared" si="9"/>
        <v>0</v>
      </c>
      <c r="W11" s="11"/>
      <c r="X11" s="11">
        <f t="shared" si="10"/>
        <v>0</v>
      </c>
      <c r="Y11" s="11"/>
      <c r="Z11" s="11">
        <f t="shared" si="11"/>
        <v>0</v>
      </c>
      <c r="AA11" s="11"/>
      <c r="AB11" s="11">
        <f t="shared" si="12"/>
        <v>0</v>
      </c>
      <c r="AC11" s="11"/>
      <c r="AD11" s="11">
        <f t="shared" si="13"/>
        <v>0</v>
      </c>
      <c r="AE11" s="11">
        <f t="shared" si="14"/>
        <v>0</v>
      </c>
      <c r="AF11" s="11">
        <f t="shared" si="14"/>
        <v>0</v>
      </c>
      <c r="AG11" s="13">
        <f t="shared" si="0"/>
        <v>0</v>
      </c>
    </row>
    <row r="12" spans="1:33" s="19" customFormat="1" ht="25.15" customHeight="1" x14ac:dyDescent="0.25">
      <c r="A12" s="37">
        <v>7</v>
      </c>
      <c r="B12" s="38"/>
      <c r="C12" s="11"/>
      <c r="D12" s="11">
        <f t="shared" si="1"/>
        <v>0</v>
      </c>
      <c r="E12" s="11"/>
      <c r="F12" s="11">
        <f t="shared" si="2"/>
        <v>0</v>
      </c>
      <c r="G12" s="11"/>
      <c r="H12" s="11">
        <f t="shared" si="3"/>
        <v>0</v>
      </c>
      <c r="I12" s="11"/>
      <c r="J12" s="11">
        <f t="shared" si="4"/>
        <v>0</v>
      </c>
      <c r="K12" s="11"/>
      <c r="L12" s="11">
        <f t="shared" si="5"/>
        <v>0</v>
      </c>
      <c r="M12" s="11"/>
      <c r="N12" s="11">
        <f t="shared" si="6"/>
        <v>0</v>
      </c>
      <c r="O12" s="11"/>
      <c r="P12" s="11"/>
      <c r="Q12" s="11"/>
      <c r="R12" s="11">
        <f t="shared" si="7"/>
        <v>0</v>
      </c>
      <c r="S12" s="11"/>
      <c r="T12" s="11">
        <f t="shared" si="8"/>
        <v>0</v>
      </c>
      <c r="U12" s="11"/>
      <c r="V12" s="11">
        <f t="shared" si="9"/>
        <v>0</v>
      </c>
      <c r="W12" s="11"/>
      <c r="X12" s="11">
        <f t="shared" si="10"/>
        <v>0</v>
      </c>
      <c r="Y12" s="11"/>
      <c r="Z12" s="11">
        <f t="shared" si="11"/>
        <v>0</v>
      </c>
      <c r="AA12" s="11"/>
      <c r="AB12" s="11">
        <f t="shared" si="12"/>
        <v>0</v>
      </c>
      <c r="AC12" s="11"/>
      <c r="AD12" s="11">
        <f t="shared" si="13"/>
        <v>0</v>
      </c>
      <c r="AE12" s="11">
        <f t="shared" si="14"/>
        <v>0</v>
      </c>
      <c r="AF12" s="11">
        <f t="shared" si="14"/>
        <v>0</v>
      </c>
      <c r="AG12" s="13">
        <f t="shared" si="0"/>
        <v>0</v>
      </c>
    </row>
    <row r="13" spans="1:33" s="19" customFormat="1" ht="25.15" customHeight="1" x14ac:dyDescent="0.25">
      <c r="A13" s="37">
        <v>8</v>
      </c>
      <c r="B13" s="38"/>
      <c r="C13" s="11"/>
      <c r="D13" s="11">
        <f t="shared" si="1"/>
        <v>0</v>
      </c>
      <c r="E13" s="11"/>
      <c r="F13" s="11">
        <f t="shared" si="2"/>
        <v>0</v>
      </c>
      <c r="G13" s="11"/>
      <c r="H13" s="11">
        <f t="shared" si="3"/>
        <v>0</v>
      </c>
      <c r="I13" s="11"/>
      <c r="J13" s="11">
        <f t="shared" si="4"/>
        <v>0</v>
      </c>
      <c r="K13" s="11"/>
      <c r="L13" s="11">
        <f t="shared" si="5"/>
        <v>0</v>
      </c>
      <c r="M13" s="11"/>
      <c r="N13" s="11"/>
      <c r="O13" s="11"/>
      <c r="P13" s="11"/>
      <c r="Q13" s="11"/>
      <c r="R13" s="11"/>
      <c r="S13" s="11"/>
      <c r="T13" s="11">
        <f t="shared" si="8"/>
        <v>0</v>
      </c>
      <c r="U13" s="11"/>
      <c r="V13" s="11"/>
      <c r="W13" s="11"/>
      <c r="X13" s="11">
        <f t="shared" si="10"/>
        <v>0</v>
      </c>
      <c r="Y13" s="11"/>
      <c r="Z13" s="11"/>
      <c r="AA13" s="11"/>
      <c r="AB13" s="11"/>
      <c r="AC13" s="11"/>
      <c r="AD13" s="11"/>
      <c r="AE13" s="11">
        <f t="shared" si="14"/>
        <v>0</v>
      </c>
      <c r="AF13" s="11">
        <f t="shared" si="14"/>
        <v>0</v>
      </c>
      <c r="AG13" s="13">
        <f t="shared" si="0"/>
        <v>0</v>
      </c>
    </row>
    <row r="14" spans="1:33" ht="25.15" customHeight="1" x14ac:dyDescent="0.6">
      <c r="A14" s="37">
        <v>9</v>
      </c>
      <c r="B14" s="38"/>
      <c r="C14" s="6"/>
      <c r="D14" s="11">
        <f t="shared" si="1"/>
        <v>0</v>
      </c>
      <c r="E14" s="6"/>
      <c r="F14" s="11">
        <f t="shared" si="2"/>
        <v>0</v>
      </c>
      <c r="G14" s="6"/>
      <c r="H14" s="11">
        <f t="shared" si="3"/>
        <v>0</v>
      </c>
      <c r="I14" s="6"/>
      <c r="J14" s="11">
        <f t="shared" si="4"/>
        <v>0</v>
      </c>
      <c r="K14" s="6"/>
      <c r="L14" s="11">
        <f t="shared" si="5"/>
        <v>0</v>
      </c>
      <c r="M14" s="6"/>
      <c r="N14" s="11"/>
      <c r="O14" s="6"/>
      <c r="P14" s="11"/>
      <c r="Q14" s="6"/>
      <c r="R14" s="11"/>
      <c r="S14" s="6"/>
      <c r="T14" s="11">
        <f t="shared" si="8"/>
        <v>0</v>
      </c>
      <c r="U14" s="6"/>
      <c r="V14" s="11"/>
      <c r="W14" s="6"/>
      <c r="X14" s="11">
        <f t="shared" si="10"/>
        <v>0</v>
      </c>
      <c r="Y14" s="11"/>
      <c r="Z14" s="11"/>
      <c r="AA14" s="6"/>
      <c r="AB14" s="6"/>
      <c r="AC14" s="6"/>
      <c r="AD14" s="6"/>
      <c r="AE14" s="11">
        <f t="shared" si="14"/>
        <v>0</v>
      </c>
      <c r="AF14" s="11">
        <f t="shared" si="14"/>
        <v>0</v>
      </c>
      <c r="AG14" s="13">
        <f t="shared" si="0"/>
        <v>0</v>
      </c>
    </row>
    <row r="15" spans="1:33" ht="25.15" customHeight="1" x14ac:dyDescent="0.6">
      <c r="A15" s="37">
        <v>10</v>
      </c>
      <c r="B15" s="38"/>
      <c r="C15" s="6"/>
      <c r="D15" s="11">
        <f t="shared" si="1"/>
        <v>0</v>
      </c>
      <c r="E15" s="6"/>
      <c r="F15" s="11">
        <f t="shared" si="2"/>
        <v>0</v>
      </c>
      <c r="G15" s="6"/>
      <c r="H15" s="11">
        <f t="shared" si="3"/>
        <v>0</v>
      </c>
      <c r="I15" s="6"/>
      <c r="J15" s="11">
        <f t="shared" si="4"/>
        <v>0</v>
      </c>
      <c r="K15" s="6"/>
      <c r="L15" s="11">
        <f t="shared" si="5"/>
        <v>0</v>
      </c>
      <c r="M15" s="6"/>
      <c r="N15" s="11"/>
      <c r="O15" s="6"/>
      <c r="P15" s="11"/>
      <c r="Q15" s="6"/>
      <c r="R15" s="11"/>
      <c r="S15" s="6"/>
      <c r="T15" s="11">
        <f t="shared" si="8"/>
        <v>0</v>
      </c>
      <c r="U15" s="6"/>
      <c r="V15" s="11"/>
      <c r="W15" s="6"/>
      <c r="X15" s="11">
        <f t="shared" si="10"/>
        <v>0</v>
      </c>
      <c r="Y15" s="11"/>
      <c r="Z15" s="11"/>
      <c r="AA15" s="6"/>
      <c r="AB15" s="6"/>
      <c r="AC15" s="6"/>
      <c r="AD15" s="6"/>
      <c r="AE15" s="11">
        <f t="shared" si="14"/>
        <v>0</v>
      </c>
      <c r="AF15" s="11">
        <f t="shared" si="14"/>
        <v>0</v>
      </c>
      <c r="AG15" s="13">
        <f t="shared" si="0"/>
        <v>0</v>
      </c>
    </row>
    <row r="16" spans="1:33" ht="25.15" customHeight="1" x14ac:dyDescent="0.6">
      <c r="A16" s="37">
        <v>11</v>
      </c>
      <c r="B16" s="38"/>
      <c r="C16" s="6"/>
      <c r="D16" s="11">
        <f t="shared" si="1"/>
        <v>0</v>
      </c>
      <c r="E16" s="6"/>
      <c r="F16" s="11">
        <f t="shared" si="2"/>
        <v>0</v>
      </c>
      <c r="G16" s="6"/>
      <c r="H16" s="11">
        <f t="shared" si="3"/>
        <v>0</v>
      </c>
      <c r="I16" s="6"/>
      <c r="J16" s="11">
        <f t="shared" si="4"/>
        <v>0</v>
      </c>
      <c r="K16" s="6"/>
      <c r="L16" s="11">
        <f t="shared" si="5"/>
        <v>0</v>
      </c>
      <c r="M16" s="6"/>
      <c r="N16" s="11"/>
      <c r="O16" s="6"/>
      <c r="P16" s="11"/>
      <c r="Q16" s="6"/>
      <c r="R16" s="11"/>
      <c r="S16" s="6"/>
      <c r="T16" s="11">
        <f t="shared" si="8"/>
        <v>0</v>
      </c>
      <c r="U16" s="6"/>
      <c r="V16" s="11"/>
      <c r="W16" s="6"/>
      <c r="X16" s="11">
        <f t="shared" si="10"/>
        <v>0</v>
      </c>
      <c r="Y16" s="11"/>
      <c r="Z16" s="11"/>
      <c r="AA16" s="6"/>
      <c r="AB16" s="6"/>
      <c r="AC16" s="6"/>
      <c r="AD16" s="6"/>
      <c r="AE16" s="11">
        <f t="shared" si="14"/>
        <v>0</v>
      </c>
      <c r="AF16" s="11">
        <f t="shared" si="14"/>
        <v>0</v>
      </c>
      <c r="AG16" s="13">
        <f t="shared" si="0"/>
        <v>0</v>
      </c>
    </row>
    <row r="17" spans="1:33" ht="25.15" customHeight="1" x14ac:dyDescent="0.6">
      <c r="A17" s="39">
        <v>12</v>
      </c>
      <c r="B17" s="38"/>
      <c r="C17" s="6"/>
      <c r="D17" s="11">
        <f t="shared" si="1"/>
        <v>0</v>
      </c>
      <c r="E17" s="6"/>
      <c r="F17" s="11"/>
      <c r="G17" s="6"/>
      <c r="H17" s="11">
        <f t="shared" si="3"/>
        <v>0</v>
      </c>
      <c r="I17" s="6"/>
      <c r="J17" s="11">
        <f t="shared" si="4"/>
        <v>0</v>
      </c>
      <c r="K17" s="6"/>
      <c r="L17" s="11">
        <f t="shared" si="5"/>
        <v>0</v>
      </c>
      <c r="M17" s="6"/>
      <c r="N17" s="11"/>
      <c r="O17" s="6"/>
      <c r="P17" s="11"/>
      <c r="Q17" s="6"/>
      <c r="R17" s="11"/>
      <c r="S17" s="6"/>
      <c r="T17" s="11">
        <f t="shared" si="8"/>
        <v>0</v>
      </c>
      <c r="U17" s="6"/>
      <c r="V17" s="11"/>
      <c r="W17" s="6"/>
      <c r="X17" s="11"/>
      <c r="Y17" s="11"/>
      <c r="Z17" s="11"/>
      <c r="AA17" s="6"/>
      <c r="AB17" s="6"/>
      <c r="AC17" s="6"/>
      <c r="AD17" s="6"/>
      <c r="AE17" s="11">
        <f t="shared" si="14"/>
        <v>0</v>
      </c>
      <c r="AF17" s="11">
        <f t="shared" si="14"/>
        <v>0</v>
      </c>
      <c r="AG17" s="13">
        <f t="shared" si="0"/>
        <v>0</v>
      </c>
    </row>
    <row r="18" spans="1:33" ht="25.15" customHeight="1" x14ac:dyDescent="0.6">
      <c r="A18" s="39"/>
      <c r="B18" s="38"/>
      <c r="C18" s="6"/>
      <c r="D18" s="11"/>
      <c r="E18" s="6"/>
      <c r="F18" s="11"/>
      <c r="G18" s="6"/>
      <c r="H18" s="11"/>
      <c r="I18" s="6"/>
      <c r="J18" s="11"/>
      <c r="K18" s="6"/>
      <c r="L18" s="11"/>
      <c r="M18" s="6"/>
      <c r="N18" s="11"/>
      <c r="O18" s="6"/>
      <c r="P18" s="11"/>
      <c r="Q18" s="6"/>
      <c r="R18" s="11"/>
      <c r="S18" s="6"/>
      <c r="T18" s="11">
        <f t="shared" si="8"/>
        <v>0</v>
      </c>
      <c r="U18" s="6"/>
      <c r="V18" s="11"/>
      <c r="W18" s="6"/>
      <c r="X18" s="11"/>
      <c r="Y18" s="11"/>
      <c r="Z18" s="11"/>
      <c r="AA18" s="6"/>
      <c r="AB18" s="6"/>
      <c r="AC18" s="6"/>
      <c r="AD18" s="6"/>
      <c r="AE18" s="6"/>
      <c r="AF18" s="6"/>
      <c r="AG18" s="13">
        <f t="shared" si="0"/>
        <v>0</v>
      </c>
    </row>
    <row r="19" spans="1:33" ht="25.15" customHeight="1" x14ac:dyDescent="0.6">
      <c r="A19" s="39"/>
      <c r="B19" s="40"/>
      <c r="C19" s="6"/>
      <c r="D19" s="11"/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R19" s="11"/>
      <c r="S19" s="6"/>
      <c r="T19" s="11"/>
      <c r="U19" s="6"/>
      <c r="V19" s="11"/>
      <c r="W19" s="6"/>
      <c r="X19" s="11"/>
      <c r="Y19" s="11"/>
      <c r="Z19" s="11"/>
      <c r="AA19" s="6"/>
      <c r="AB19" s="6"/>
      <c r="AC19" s="6"/>
      <c r="AD19" s="6"/>
      <c r="AE19" s="6"/>
      <c r="AF19" s="6"/>
      <c r="AG19" s="13">
        <f t="shared" si="0"/>
        <v>0</v>
      </c>
    </row>
    <row r="20" spans="1:33" ht="25.15" customHeight="1" x14ac:dyDescent="0.6">
      <c r="A20" s="39"/>
      <c r="B20" s="40"/>
      <c r="C20" s="6"/>
      <c r="D20" s="11"/>
      <c r="E20" s="6"/>
      <c r="F20" s="11"/>
      <c r="G20" s="6"/>
      <c r="H20" s="11"/>
      <c r="I20" s="6"/>
      <c r="J20" s="11"/>
      <c r="K20" s="6"/>
      <c r="L20" s="11"/>
      <c r="M20" s="6"/>
      <c r="N20" s="11"/>
      <c r="O20" s="6"/>
      <c r="P20" s="11"/>
      <c r="Q20" s="6"/>
      <c r="R20" s="11"/>
      <c r="S20" s="6"/>
      <c r="T20" s="11"/>
      <c r="U20" s="6"/>
      <c r="V20" s="11"/>
      <c r="W20" s="6"/>
      <c r="X20" s="11"/>
      <c r="Y20" s="11"/>
      <c r="Z20" s="11"/>
      <c r="AA20" s="6"/>
      <c r="AB20" s="6"/>
      <c r="AC20" s="6"/>
      <c r="AD20" s="6"/>
      <c r="AE20" s="6"/>
      <c r="AF20" s="6"/>
      <c r="AG20" s="13">
        <f t="shared" si="0"/>
        <v>0</v>
      </c>
    </row>
    <row r="21" spans="1:33" ht="25.15" customHeight="1" x14ac:dyDescent="0.6">
      <c r="A21" s="39"/>
      <c r="B21" s="40"/>
      <c r="C21" s="53">
        <f>SUM(C6:C20)</f>
        <v>270</v>
      </c>
      <c r="D21" s="6">
        <f t="shared" ref="D21:AD21" si="15">SUM(D6:D20)</f>
        <v>3780</v>
      </c>
      <c r="E21" s="53">
        <f t="shared" si="15"/>
        <v>200</v>
      </c>
      <c r="F21" s="6">
        <f t="shared" si="15"/>
        <v>2400</v>
      </c>
      <c r="G21" s="53">
        <f t="shared" si="15"/>
        <v>0</v>
      </c>
      <c r="H21" s="6">
        <f t="shared" si="15"/>
        <v>0</v>
      </c>
      <c r="I21" s="53">
        <f t="shared" si="15"/>
        <v>20</v>
      </c>
      <c r="J21" s="6">
        <f t="shared" si="15"/>
        <v>800</v>
      </c>
      <c r="K21" s="6">
        <f t="shared" si="15"/>
        <v>0</v>
      </c>
      <c r="L21" s="6">
        <f t="shared" si="15"/>
        <v>0</v>
      </c>
      <c r="M21" s="6">
        <f t="shared" si="15"/>
        <v>0</v>
      </c>
      <c r="N21" s="6">
        <f t="shared" si="15"/>
        <v>0</v>
      </c>
      <c r="O21" s="6">
        <f t="shared" si="15"/>
        <v>0</v>
      </c>
      <c r="P21" s="6">
        <f t="shared" si="15"/>
        <v>0</v>
      </c>
      <c r="Q21" s="6">
        <f t="shared" si="15"/>
        <v>0</v>
      </c>
      <c r="R21" s="6">
        <f t="shared" si="15"/>
        <v>0</v>
      </c>
      <c r="S21" s="6">
        <f t="shared" si="15"/>
        <v>0</v>
      </c>
      <c r="T21" s="6">
        <f t="shared" si="15"/>
        <v>0</v>
      </c>
      <c r="U21" s="6">
        <f t="shared" si="15"/>
        <v>0</v>
      </c>
      <c r="V21" s="6">
        <f t="shared" si="15"/>
        <v>0</v>
      </c>
      <c r="W21" s="53">
        <f>SUM(W6:W20)</f>
        <v>0</v>
      </c>
      <c r="X21" s="6">
        <f>SUM(X6:X20)</f>
        <v>0</v>
      </c>
      <c r="Y21" s="6">
        <f t="shared" si="15"/>
        <v>0</v>
      </c>
      <c r="Z21" s="6">
        <f t="shared" si="15"/>
        <v>0</v>
      </c>
      <c r="AA21" s="6">
        <f t="shared" si="15"/>
        <v>0</v>
      </c>
      <c r="AB21" s="6">
        <f t="shared" si="15"/>
        <v>0</v>
      </c>
      <c r="AC21" s="6">
        <f>SUM(AC6:AC20)</f>
        <v>0</v>
      </c>
      <c r="AD21" s="6">
        <f t="shared" si="15"/>
        <v>0</v>
      </c>
      <c r="AE21" s="6">
        <f>SUM(AE6:AE20)</f>
        <v>490</v>
      </c>
      <c r="AF21" s="6">
        <f>SUM(AF6:AF20)</f>
        <v>6980</v>
      </c>
      <c r="AG21" s="6">
        <f>SUM(AG6:AG20)</f>
        <v>5099.2</v>
      </c>
    </row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</sheetData>
  <mergeCells count="19">
    <mergeCell ref="A2:A4"/>
    <mergeCell ref="B2:B4"/>
    <mergeCell ref="C2:Z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Y3:Z3"/>
    <mergeCell ref="W3:X3"/>
    <mergeCell ref="AA3:AB3"/>
    <mergeCell ref="AC3:AD3"/>
    <mergeCell ref="C1:Z1"/>
    <mergeCell ref="U3:V3"/>
    <mergeCell ref="AE3:AG3"/>
  </mergeCells>
  <hyperlinks>
    <hyperlink ref="C1:Z1" location="'SMM YGN '!A1" display="ရွှေဉယျာဉ် (ရွှေပြည်သာ)" xr:uid="{00000000-0004-0000-2500-000000000000}"/>
    <hyperlink ref="W1:X1" location="'SMM YGN '!A1" display="ရွှေဉယျာဉ် (ရွှေပြည်သာ)" xr:uid="{00000000-0004-0000-2500-000001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5"/>
  <dimension ref="A1:AG90"/>
  <sheetViews>
    <sheetView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V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0.85546875" style="1" customWidth="1"/>
    <col min="5" max="6" width="10.28515625" style="1" customWidth="1"/>
    <col min="7" max="10" width="9.85546875" style="1" customWidth="1"/>
    <col min="11" max="22" width="9.28515625" style="1" customWidth="1"/>
    <col min="23" max="24" width="10.140625" style="1" customWidth="1"/>
    <col min="25" max="26" width="9.28515625" style="1" customWidth="1"/>
    <col min="27" max="30" width="8.7109375" style="1" customWidth="1"/>
    <col min="31" max="32" width="9.28515625" style="1" customWidth="1"/>
    <col min="33" max="16384" width="9" style="1"/>
  </cols>
  <sheetData>
    <row r="1" spans="1:33" ht="21.75" x14ac:dyDescent="0.6">
      <c r="A1" s="23"/>
      <c r="B1" s="24"/>
      <c r="C1" s="745" t="s">
        <v>92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X1" s="1" t="s">
        <v>68</v>
      </c>
      <c r="Y1" s="1">
        <f>AE21</f>
        <v>0</v>
      </c>
      <c r="AA1" s="25">
        <v>12</v>
      </c>
      <c r="AB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X2" s="1" t="s">
        <v>67</v>
      </c>
      <c r="Y2" s="27">
        <f>AF21</f>
        <v>0</v>
      </c>
      <c r="AA2" s="28">
        <v>24</v>
      </c>
      <c r="AB2" s="29">
        <v>40</v>
      </c>
    </row>
    <row r="3" spans="1:33" s="27" customFormat="1" ht="44.2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0</v>
      </c>
      <c r="AF6" s="11">
        <f>D6+F6+H6+J6+L6+N6+P6+R6+T6+V6+X6+Z6+AB6+AD6</f>
        <v>0</v>
      </c>
      <c r="AG6" s="11">
        <f>(D6*$D$5)+(F6*$F$5)+(H6*$H$5)+(J6*$J$5)+(L6*$L$5)+(N6*$N$5)+(P6*$P$5)+(R6*$R$5)+(T6*$T$5)+(V6*$V$5)+(X6*$X$5)+(Z6*$Z$5)+(AB6*$AB$5)+(AD6*$AD$5)</f>
        <v>0</v>
      </c>
    </row>
    <row r="7" spans="1:33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>C7+E7+G7+I7+K7+M7+O7+Q7+S7+U7+W7+Y7+AA7+AC7</f>
        <v>0</v>
      </c>
      <c r="AF7" s="11">
        <f>D7+F7+H7+J7+L7+N7+P7+R7+T7+V7+X7+Z7+AB7+AD7</f>
        <v>0</v>
      </c>
      <c r="AG7" s="11">
        <f t="shared" ref="AG7:AG20" si="0">(D7*$D$5)+(F7*$F$5)+(H7*$H$5)+(J7*$J$5)+(L7*$L$5)+(N7*$N$5)+(P7*$P$5)+(R7*$R$5)+(T7*$T$5)+(V7*$V$5)+(X7*$X$5)+(Z7*$Z$5)+(AB7*$AB$5)+(AD7*$AD$5)</f>
        <v>0</v>
      </c>
    </row>
    <row r="8" spans="1:33" s="19" customFormat="1" ht="25.15" customHeight="1" x14ac:dyDescent="0.25">
      <c r="A8" s="37"/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>
        <f t="shared" ref="AE8:AF10" si="1">C8+E8+G8+I8+K8+M8+O8+Q8+S8+U8+W8+Y8+AA8+AC8</f>
        <v>0</v>
      </c>
      <c r="AF8" s="11">
        <f t="shared" si="1"/>
        <v>0</v>
      </c>
      <c r="AG8" s="11">
        <f t="shared" si="0"/>
        <v>0</v>
      </c>
    </row>
    <row r="9" spans="1:33" s="19" customFormat="1" ht="25.15" customHeight="1" x14ac:dyDescent="0.25">
      <c r="A9" s="37">
        <v>3</v>
      </c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1"/>
        <v>0</v>
      </c>
      <c r="AF9" s="11">
        <f t="shared" si="1"/>
        <v>0</v>
      </c>
      <c r="AG9" s="11">
        <f t="shared" si="0"/>
        <v>0</v>
      </c>
    </row>
    <row r="10" spans="1:33" s="19" customFormat="1" ht="25.15" customHeight="1" x14ac:dyDescent="0.25">
      <c r="A10" s="37">
        <v>4</v>
      </c>
      <c r="B10" s="38"/>
      <c r="C10" s="11"/>
      <c r="D10" s="11">
        <f>C10*14</f>
        <v>0</v>
      </c>
      <c r="E10" s="11"/>
      <c r="F10" s="11">
        <f>E10*12</f>
        <v>0</v>
      </c>
      <c r="G10" s="11"/>
      <c r="H10" s="11">
        <f>G10*12</f>
        <v>0</v>
      </c>
      <c r="I10" s="11"/>
      <c r="J10" s="11">
        <f>I10*40</f>
        <v>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>
        <f>W10*12</f>
        <v>0</v>
      </c>
      <c r="Y10" s="11"/>
      <c r="Z10" s="11">
        <f>Y10*12</f>
        <v>0</v>
      </c>
      <c r="AA10" s="11"/>
      <c r="AB10" s="11">
        <f>AA10*12</f>
        <v>0</v>
      </c>
      <c r="AC10" s="11"/>
      <c r="AD10" s="11">
        <f>AC10*12</f>
        <v>0</v>
      </c>
      <c r="AE10" s="11">
        <f t="shared" si="1"/>
        <v>0</v>
      </c>
      <c r="AF10" s="11">
        <f t="shared" si="1"/>
        <v>0</v>
      </c>
      <c r="AG10" s="11">
        <f t="shared" si="0"/>
        <v>0</v>
      </c>
    </row>
    <row r="11" spans="1:33" s="19" customFormat="1" ht="25.15" customHeight="1" x14ac:dyDescent="0.25">
      <c r="A11" s="37">
        <v>5</v>
      </c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f t="shared" si="0"/>
        <v>0</v>
      </c>
    </row>
    <row r="12" spans="1:33" s="19" customFormat="1" ht="25.15" customHeight="1" x14ac:dyDescent="0.25">
      <c r="A12" s="37"/>
      <c r="B12" s="3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>
        <f t="shared" si="0"/>
        <v>0</v>
      </c>
    </row>
    <row r="13" spans="1:33" s="19" customFormat="1" ht="25.15" customHeight="1" x14ac:dyDescent="0.25">
      <c r="A13" s="37"/>
      <c r="B13" s="38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>
        <f t="shared" si="0"/>
        <v>0</v>
      </c>
    </row>
    <row r="14" spans="1:33" ht="25.15" customHeight="1" x14ac:dyDescent="0.6">
      <c r="A14" s="39"/>
      <c r="B14" s="38"/>
      <c r="C14" s="6"/>
      <c r="D14" s="11"/>
      <c r="E14" s="6"/>
      <c r="F14" s="11"/>
      <c r="G14" s="6"/>
      <c r="H14" s="11"/>
      <c r="I14" s="6"/>
      <c r="J14" s="11"/>
      <c r="K14" s="6"/>
      <c r="L14" s="11"/>
      <c r="M14" s="6"/>
      <c r="N14" s="11"/>
      <c r="O14" s="6"/>
      <c r="P14" s="11"/>
      <c r="Q14" s="6"/>
      <c r="R14" s="11"/>
      <c r="S14" s="6"/>
      <c r="T14" s="11"/>
      <c r="U14" s="11"/>
      <c r="V14" s="11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1">
        <f t="shared" si="0"/>
        <v>0</v>
      </c>
    </row>
    <row r="15" spans="1:33" ht="25.15" customHeight="1" x14ac:dyDescent="0.6">
      <c r="A15" s="39"/>
      <c r="B15" s="40"/>
      <c r="C15" s="6"/>
      <c r="D15" s="11"/>
      <c r="E15" s="6"/>
      <c r="F15" s="11"/>
      <c r="G15" s="6"/>
      <c r="H15" s="11"/>
      <c r="I15" s="6"/>
      <c r="J15" s="11"/>
      <c r="K15" s="6"/>
      <c r="L15" s="11"/>
      <c r="M15" s="6"/>
      <c r="N15" s="11"/>
      <c r="O15" s="6"/>
      <c r="P15" s="11"/>
      <c r="Q15" s="6"/>
      <c r="R15" s="11"/>
      <c r="S15" s="6"/>
      <c r="T15" s="11"/>
      <c r="U15" s="11"/>
      <c r="V15" s="11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11">
        <f t="shared" si="0"/>
        <v>0</v>
      </c>
    </row>
    <row r="16" spans="1:33" ht="25.15" customHeight="1" x14ac:dyDescent="0.6">
      <c r="A16" s="39"/>
      <c r="B16" s="40"/>
      <c r="C16" s="6"/>
      <c r="D16" s="11"/>
      <c r="E16" s="6"/>
      <c r="F16" s="11"/>
      <c r="G16" s="6"/>
      <c r="H16" s="11"/>
      <c r="I16" s="6"/>
      <c r="J16" s="11"/>
      <c r="K16" s="6"/>
      <c r="L16" s="11"/>
      <c r="M16" s="6"/>
      <c r="N16" s="11"/>
      <c r="O16" s="6"/>
      <c r="P16" s="11"/>
      <c r="Q16" s="6"/>
      <c r="R16" s="11"/>
      <c r="S16" s="6"/>
      <c r="T16" s="11"/>
      <c r="U16" s="11"/>
      <c r="V16" s="11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11">
        <f t="shared" si="0"/>
        <v>0</v>
      </c>
    </row>
    <row r="17" spans="1:33" ht="25.15" customHeight="1" x14ac:dyDescent="0.6">
      <c r="A17" s="39"/>
      <c r="B17" s="40"/>
      <c r="C17" s="6"/>
      <c r="D17" s="11"/>
      <c r="E17" s="6"/>
      <c r="F17" s="11"/>
      <c r="G17" s="6"/>
      <c r="H17" s="11"/>
      <c r="I17" s="6"/>
      <c r="J17" s="11"/>
      <c r="K17" s="6"/>
      <c r="L17" s="11"/>
      <c r="M17" s="6"/>
      <c r="N17" s="11"/>
      <c r="O17" s="6"/>
      <c r="P17" s="11"/>
      <c r="Q17" s="6"/>
      <c r="R17" s="11"/>
      <c r="S17" s="6"/>
      <c r="T17" s="11"/>
      <c r="U17" s="11"/>
      <c r="V17" s="11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11">
        <f t="shared" si="0"/>
        <v>0</v>
      </c>
    </row>
    <row r="18" spans="1:33" ht="25.15" customHeight="1" x14ac:dyDescent="0.6">
      <c r="A18" s="39"/>
      <c r="B18" s="40"/>
      <c r="C18" s="6"/>
      <c r="D18" s="11"/>
      <c r="E18" s="6"/>
      <c r="F18" s="11"/>
      <c r="G18" s="6"/>
      <c r="H18" s="11"/>
      <c r="I18" s="6"/>
      <c r="J18" s="11"/>
      <c r="K18" s="6"/>
      <c r="L18" s="11"/>
      <c r="M18" s="6"/>
      <c r="N18" s="11"/>
      <c r="O18" s="6"/>
      <c r="P18" s="11"/>
      <c r="Q18" s="6"/>
      <c r="R18" s="11"/>
      <c r="S18" s="6"/>
      <c r="T18" s="11"/>
      <c r="U18" s="11"/>
      <c r="V18" s="11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1">
        <f t="shared" si="0"/>
        <v>0</v>
      </c>
    </row>
    <row r="19" spans="1:33" ht="25.15" customHeight="1" x14ac:dyDescent="0.6">
      <c r="A19" s="39"/>
      <c r="B19" s="40"/>
      <c r="C19" s="6"/>
      <c r="D19" s="11"/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R19" s="11"/>
      <c r="S19" s="6"/>
      <c r="T19" s="11"/>
      <c r="U19" s="11"/>
      <c r="V19" s="11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11">
        <f t="shared" si="0"/>
        <v>0</v>
      </c>
    </row>
    <row r="20" spans="1:33" ht="25.15" customHeight="1" x14ac:dyDescent="0.6">
      <c r="A20" s="39"/>
      <c r="B20" s="40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1">
        <f t="shared" si="0"/>
        <v>0</v>
      </c>
    </row>
    <row r="21" spans="1:33" ht="25.15" customHeight="1" x14ac:dyDescent="0.6">
      <c r="A21" s="39"/>
      <c r="B21" s="40"/>
      <c r="C21" s="49">
        <f>SUM(C6:C20)</f>
        <v>0</v>
      </c>
      <c r="D21" s="6">
        <f t="shared" ref="D21:AB21" si="2">SUM(D6:D20)</f>
        <v>0</v>
      </c>
      <c r="E21" s="49">
        <f t="shared" si="2"/>
        <v>0</v>
      </c>
      <c r="F21" s="6">
        <f t="shared" si="2"/>
        <v>0</v>
      </c>
      <c r="G21" s="49">
        <f t="shared" si="2"/>
        <v>0</v>
      </c>
      <c r="H21" s="6">
        <f t="shared" si="2"/>
        <v>0</v>
      </c>
      <c r="I21" s="49">
        <f t="shared" si="2"/>
        <v>0</v>
      </c>
      <c r="J21" s="6">
        <f t="shared" si="2"/>
        <v>0</v>
      </c>
      <c r="K21" s="6">
        <f t="shared" si="2"/>
        <v>0</v>
      </c>
      <c r="L21" s="6">
        <f t="shared" si="2"/>
        <v>0</v>
      </c>
      <c r="M21" s="6">
        <f t="shared" si="2"/>
        <v>0</v>
      </c>
      <c r="N21" s="6">
        <f t="shared" si="2"/>
        <v>0</v>
      </c>
      <c r="O21" s="6">
        <f t="shared" si="2"/>
        <v>0</v>
      </c>
      <c r="P21" s="6">
        <f t="shared" si="2"/>
        <v>0</v>
      </c>
      <c r="Q21" s="6">
        <f t="shared" si="2"/>
        <v>0</v>
      </c>
      <c r="R21" s="6">
        <f t="shared" si="2"/>
        <v>0</v>
      </c>
      <c r="S21" s="6">
        <f t="shared" si="2"/>
        <v>0</v>
      </c>
      <c r="T21" s="6">
        <f t="shared" si="2"/>
        <v>0</v>
      </c>
      <c r="U21" s="6">
        <f t="shared" si="2"/>
        <v>0</v>
      </c>
      <c r="V21" s="6">
        <f t="shared" si="2"/>
        <v>0</v>
      </c>
      <c r="W21" s="6">
        <f t="shared" si="2"/>
        <v>0</v>
      </c>
      <c r="X21" s="6">
        <f t="shared" si="2"/>
        <v>0</v>
      </c>
      <c r="Y21" s="6">
        <f t="shared" si="2"/>
        <v>0</v>
      </c>
      <c r="Z21" s="6">
        <f t="shared" si="2"/>
        <v>0</v>
      </c>
      <c r="AA21" s="6">
        <f t="shared" si="2"/>
        <v>0</v>
      </c>
      <c r="AB21" s="6">
        <f t="shared" si="2"/>
        <v>0</v>
      </c>
      <c r="AC21" s="6">
        <f>SUM(AC6:AC20)</f>
        <v>0</v>
      </c>
      <c r="AD21" s="6">
        <f>SUM(AD6:AD20)</f>
        <v>0</v>
      </c>
      <c r="AE21" s="6">
        <f>SUM(AE6:AE20)</f>
        <v>0</v>
      </c>
      <c r="AF21" s="6">
        <f>SUM(AF6:AF20)</f>
        <v>0</v>
      </c>
      <c r="AG21" s="6">
        <f>SUM(AG6:AG20)</f>
        <v>0</v>
      </c>
    </row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</sheetData>
  <mergeCells count="19">
    <mergeCell ref="C1:V1"/>
    <mergeCell ref="A2:A4"/>
    <mergeCell ref="B2:B4"/>
    <mergeCell ref="C2:V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G3"/>
  </mergeCells>
  <hyperlinks>
    <hyperlink ref="C1:V1" location="'SMM YGN '!A1" display="ဆွေသဟာ (လှိုင်သာယာ)" xr:uid="{00000000-0004-0000-26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6"/>
  <dimension ref="A1:AH89"/>
  <sheetViews>
    <sheetView workbookViewId="0">
      <pane xSplit="2" ySplit="4" topLeftCell="L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B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1.28515625" style="1" customWidth="1"/>
    <col min="5" max="5" width="11.28515625" style="1" bestFit="1" customWidth="1"/>
    <col min="6" max="6" width="11.28515625" style="1" customWidth="1"/>
    <col min="7" max="22" width="9" style="1"/>
    <col min="23" max="26" width="9.28515625" style="1" customWidth="1"/>
    <col min="27" max="28" width="9" style="1"/>
    <col min="29" max="30" width="8.7109375" style="1" customWidth="1"/>
    <col min="31" max="31" width="9.140625" style="1" customWidth="1"/>
    <col min="32" max="16384" width="9" style="1"/>
  </cols>
  <sheetData>
    <row r="1" spans="1:34" ht="21.75" x14ac:dyDescent="0.6">
      <c r="A1" s="23"/>
      <c r="B1" s="24"/>
      <c r="C1" s="745" t="s">
        <v>95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E1" s="1">
        <f>AE20</f>
        <v>1030</v>
      </c>
      <c r="AG1" s="25">
        <v>12</v>
      </c>
      <c r="AH1" s="26">
        <v>14</v>
      </c>
    </row>
    <row r="2" spans="1:34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D2" s="1" t="s">
        <v>67</v>
      </c>
      <c r="AE2" s="27">
        <f>AF20</f>
        <v>15180</v>
      </c>
      <c r="AG2" s="28">
        <v>24</v>
      </c>
      <c r="AH2" s="29">
        <v>40</v>
      </c>
    </row>
    <row r="3" spans="1:34" s="27" customFormat="1" ht="43.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4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4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4" s="19" customFormat="1" ht="25.15" customHeight="1" x14ac:dyDescent="0.25">
      <c r="A6" s="37">
        <v>1</v>
      </c>
      <c r="B6" s="38">
        <v>45748</v>
      </c>
      <c r="C6" s="11">
        <v>80</v>
      </c>
      <c r="D6" s="11">
        <f>C6*14</f>
        <v>1120</v>
      </c>
      <c r="E6" s="11">
        <v>100</v>
      </c>
      <c r="F6" s="11">
        <f>E6*12</f>
        <v>1200</v>
      </c>
      <c r="G6" s="11"/>
      <c r="H6" s="11">
        <f>G6*12</f>
        <v>0</v>
      </c>
      <c r="I6" s="11">
        <v>20</v>
      </c>
      <c r="J6" s="11">
        <f>I6*40</f>
        <v>800</v>
      </c>
      <c r="K6" s="11"/>
      <c r="L6" s="11">
        <f>K6*12</f>
        <v>0</v>
      </c>
      <c r="M6" s="11">
        <v>45</v>
      </c>
      <c r="N6" s="11">
        <f>M6*12</f>
        <v>540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245</v>
      </c>
      <c r="AF6" s="11">
        <f>D6+F6+H6+J6+L6+N6+P6+R6+T6+V6+X6+Z6+AB6+AD6</f>
        <v>3660</v>
      </c>
      <c r="AG6" s="13">
        <f>(D6*$D$5)+(F6*$F$5)+(H6*$H$5)+(J6*$J$5)+(L6*$L$5)+(N6*$N$5)+(P6*$P$5)+(R6*$R$5)+(T6*$T$5)+(V6*$V$5)+(X6*$X$5)+(Z6*$Z$5)+(AB6*$AB$5)+(AD6*$AD$5)</f>
        <v>2736.8</v>
      </c>
    </row>
    <row r="7" spans="1:34" s="19" customFormat="1" ht="25.15" customHeight="1" x14ac:dyDescent="0.25">
      <c r="A7" s="37">
        <v>2</v>
      </c>
      <c r="B7" s="38">
        <v>45809</v>
      </c>
      <c r="C7" s="11">
        <v>50</v>
      </c>
      <c r="D7" s="11">
        <f>C7*14</f>
        <v>700</v>
      </c>
      <c r="E7" s="11">
        <v>100</v>
      </c>
      <c r="F7" s="11">
        <f>E7*12</f>
        <v>1200</v>
      </c>
      <c r="G7" s="11"/>
      <c r="H7" s="11">
        <f>G7*12</f>
        <v>0</v>
      </c>
      <c r="I7" s="11">
        <v>20</v>
      </c>
      <c r="J7" s="11">
        <f>I7*40</f>
        <v>800</v>
      </c>
      <c r="K7" s="11"/>
      <c r="L7" s="11">
        <f>K7*12</f>
        <v>0</v>
      </c>
      <c r="M7" s="11">
        <v>120</v>
      </c>
      <c r="N7" s="11">
        <f>M7*12</f>
        <v>1440</v>
      </c>
      <c r="O7" s="11"/>
      <c r="P7" s="11">
        <f>O7*40</f>
        <v>0</v>
      </c>
      <c r="Q7" s="11">
        <v>30</v>
      </c>
      <c r="R7" s="11">
        <f>Q7*14</f>
        <v>420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>C7+E7+G7+I7+K7+M7+O7+Q7+S7+U7+W7+Y7+AA7+AC7</f>
        <v>320</v>
      </c>
      <c r="AF7" s="11">
        <f>D7+F7+H7+J7+L7+N7+P7+R7+T7+V7+X7+Z7+AB7+AD7</f>
        <v>4560</v>
      </c>
      <c r="AG7" s="13">
        <f t="shared" ref="AG7:AG19" si="0">(D7*$D$5)+(F7*$F$5)+(H7*$H$5)+(J7*$J$5)+(L7*$L$5)+(N7*$N$5)+(P7*$P$5)+(R7*$R$5)+(T7*$T$5)+(V7*$V$5)+(X7*$X$5)+(Z7*$Z$5)+(AB7*$AB$5)+(AD7*$AD$5)</f>
        <v>3636.8</v>
      </c>
    </row>
    <row r="8" spans="1:34" s="19" customFormat="1" ht="25.15" customHeight="1" x14ac:dyDescent="0.25">
      <c r="A8" s="37">
        <v>3</v>
      </c>
      <c r="B8" s="38">
        <v>45870</v>
      </c>
      <c r="C8" s="11">
        <v>80</v>
      </c>
      <c r="D8" s="11">
        <f t="shared" ref="D8:D18" si="1">C8*14</f>
        <v>1120</v>
      </c>
      <c r="E8" s="11">
        <v>100</v>
      </c>
      <c r="F8" s="11">
        <f t="shared" ref="F8:F18" si="2">E8*12</f>
        <v>1200</v>
      </c>
      <c r="G8" s="11"/>
      <c r="H8" s="11">
        <f t="shared" ref="H8:H17" si="3">G8*12</f>
        <v>0</v>
      </c>
      <c r="I8" s="11">
        <v>10</v>
      </c>
      <c r="J8" s="11">
        <f t="shared" ref="J8:J18" si="4">I8*40</f>
        <v>400</v>
      </c>
      <c r="K8" s="11"/>
      <c r="L8" s="11">
        <f t="shared" ref="L8:L15" si="5">K8*12</f>
        <v>0</v>
      </c>
      <c r="M8" s="11">
        <v>45</v>
      </c>
      <c r="N8" s="11">
        <f t="shared" ref="N8:N18" si="6">M8*12</f>
        <v>540</v>
      </c>
      <c r="O8" s="11"/>
      <c r="P8" s="11">
        <f t="shared" ref="P8:P17" si="7">O8*40</f>
        <v>0</v>
      </c>
      <c r="Q8" s="11"/>
      <c r="R8" s="11">
        <f t="shared" ref="R8:R18" si="8">Q8*14</f>
        <v>0</v>
      </c>
      <c r="S8" s="11"/>
      <c r="T8" s="11">
        <f t="shared" ref="T8:T13" si="9">S8*14</f>
        <v>0</v>
      </c>
      <c r="U8" s="11"/>
      <c r="V8" s="11">
        <f t="shared" ref="V8:V13" si="10">U8*24</f>
        <v>0</v>
      </c>
      <c r="W8" s="11"/>
      <c r="X8" s="11">
        <f t="shared" ref="X8:X13" si="11">W8*12</f>
        <v>0</v>
      </c>
      <c r="Y8" s="11"/>
      <c r="Z8" s="11">
        <f t="shared" ref="Z8:Z13" si="12">Y8*12</f>
        <v>0</v>
      </c>
      <c r="AA8" s="11"/>
      <c r="AB8" s="11">
        <f t="shared" ref="AB8:AB16" si="13">AA8*12</f>
        <v>0</v>
      </c>
      <c r="AC8" s="11"/>
      <c r="AD8" s="11">
        <f t="shared" ref="AD8:AD16" si="14">AC8*12</f>
        <v>0</v>
      </c>
      <c r="AE8" s="11">
        <f t="shared" ref="AE8:AF18" si="15">C8+E8+G8+I8+K8+M8+O8+Q8+S8+U8+W8+Y8+AA8+AC8</f>
        <v>235</v>
      </c>
      <c r="AF8" s="11">
        <f t="shared" si="15"/>
        <v>3260</v>
      </c>
      <c r="AG8" s="13">
        <f t="shared" si="0"/>
        <v>2596.8000000000002</v>
      </c>
    </row>
    <row r="9" spans="1:34" s="19" customFormat="1" ht="25.15" customHeight="1" x14ac:dyDescent="0.25">
      <c r="A9" s="37">
        <v>4</v>
      </c>
      <c r="B9" s="38">
        <v>45931</v>
      </c>
      <c r="C9" s="11">
        <v>50</v>
      </c>
      <c r="D9" s="11">
        <f t="shared" si="1"/>
        <v>700</v>
      </c>
      <c r="E9" s="11">
        <v>100</v>
      </c>
      <c r="F9" s="11">
        <f t="shared" si="2"/>
        <v>1200</v>
      </c>
      <c r="G9" s="11">
        <v>20</v>
      </c>
      <c r="H9" s="11">
        <f t="shared" si="3"/>
        <v>240</v>
      </c>
      <c r="I9" s="11">
        <v>30</v>
      </c>
      <c r="J9" s="11">
        <f t="shared" si="4"/>
        <v>1200</v>
      </c>
      <c r="K9" s="11"/>
      <c r="L9" s="11">
        <f t="shared" si="5"/>
        <v>0</v>
      </c>
      <c r="M9" s="11">
        <v>30</v>
      </c>
      <c r="N9" s="11">
        <f t="shared" si="6"/>
        <v>360</v>
      </c>
      <c r="O9" s="11"/>
      <c r="P9" s="11">
        <f t="shared" si="7"/>
        <v>0</v>
      </c>
      <c r="Q9" s="11"/>
      <c r="R9" s="11">
        <f t="shared" si="8"/>
        <v>0</v>
      </c>
      <c r="S9" s="11"/>
      <c r="T9" s="11">
        <f t="shared" si="9"/>
        <v>0</v>
      </c>
      <c r="U9" s="11"/>
      <c r="V9" s="11">
        <f t="shared" si="10"/>
        <v>0</v>
      </c>
      <c r="W9" s="11"/>
      <c r="X9" s="11">
        <f t="shared" si="11"/>
        <v>0</v>
      </c>
      <c r="Y9" s="11"/>
      <c r="Z9" s="11">
        <f t="shared" si="12"/>
        <v>0</v>
      </c>
      <c r="AA9" s="11"/>
      <c r="AB9" s="11">
        <f t="shared" si="13"/>
        <v>0</v>
      </c>
      <c r="AC9" s="11"/>
      <c r="AD9" s="11">
        <f t="shared" si="14"/>
        <v>0</v>
      </c>
      <c r="AE9" s="11">
        <f t="shared" si="15"/>
        <v>230</v>
      </c>
      <c r="AF9" s="11">
        <f t="shared" si="15"/>
        <v>3700</v>
      </c>
      <c r="AG9" s="13">
        <f t="shared" si="0"/>
        <v>2572</v>
      </c>
    </row>
    <row r="10" spans="1:34" s="19" customFormat="1" ht="25.15" customHeight="1" x14ac:dyDescent="0.25">
      <c r="A10" s="37">
        <v>5</v>
      </c>
      <c r="B10" s="38"/>
      <c r="C10" s="11"/>
      <c r="D10" s="11">
        <f t="shared" si="1"/>
        <v>0</v>
      </c>
      <c r="E10" s="11"/>
      <c r="F10" s="11">
        <f t="shared" si="2"/>
        <v>0</v>
      </c>
      <c r="G10" s="11"/>
      <c r="H10" s="11">
        <f t="shared" si="3"/>
        <v>0</v>
      </c>
      <c r="I10" s="11"/>
      <c r="J10" s="11">
        <f t="shared" si="4"/>
        <v>0</v>
      </c>
      <c r="K10" s="11"/>
      <c r="L10" s="11">
        <f t="shared" si="5"/>
        <v>0</v>
      </c>
      <c r="M10" s="11"/>
      <c r="N10" s="11">
        <f t="shared" si="6"/>
        <v>0</v>
      </c>
      <c r="O10" s="11"/>
      <c r="P10" s="11">
        <f t="shared" si="7"/>
        <v>0</v>
      </c>
      <c r="Q10" s="11"/>
      <c r="R10" s="11">
        <f t="shared" si="8"/>
        <v>0</v>
      </c>
      <c r="S10" s="11"/>
      <c r="T10" s="11">
        <f t="shared" si="9"/>
        <v>0</v>
      </c>
      <c r="U10" s="11"/>
      <c r="V10" s="11">
        <f t="shared" si="10"/>
        <v>0</v>
      </c>
      <c r="W10" s="11"/>
      <c r="X10" s="11">
        <f t="shared" si="11"/>
        <v>0</v>
      </c>
      <c r="Y10" s="11"/>
      <c r="Z10" s="11">
        <f t="shared" si="12"/>
        <v>0</v>
      </c>
      <c r="AA10" s="11"/>
      <c r="AB10" s="11">
        <f t="shared" si="13"/>
        <v>0</v>
      </c>
      <c r="AC10" s="11"/>
      <c r="AD10" s="11">
        <f t="shared" si="14"/>
        <v>0</v>
      </c>
      <c r="AE10" s="11">
        <f t="shared" si="15"/>
        <v>0</v>
      </c>
      <c r="AF10" s="11">
        <f t="shared" si="15"/>
        <v>0</v>
      </c>
      <c r="AG10" s="13">
        <f t="shared" si="0"/>
        <v>0</v>
      </c>
    </row>
    <row r="11" spans="1:34" s="19" customFormat="1" ht="25.15" customHeight="1" x14ac:dyDescent="0.25">
      <c r="A11" s="37">
        <v>6</v>
      </c>
      <c r="B11" s="38"/>
      <c r="C11" s="11"/>
      <c r="D11" s="11">
        <f t="shared" si="1"/>
        <v>0</v>
      </c>
      <c r="E11" s="11"/>
      <c r="F11" s="11">
        <f t="shared" si="2"/>
        <v>0</v>
      </c>
      <c r="G11" s="11"/>
      <c r="H11" s="11">
        <f t="shared" si="3"/>
        <v>0</v>
      </c>
      <c r="I11" s="11"/>
      <c r="J11" s="11">
        <f t="shared" si="4"/>
        <v>0</v>
      </c>
      <c r="K11" s="11"/>
      <c r="L11" s="11">
        <f t="shared" si="5"/>
        <v>0</v>
      </c>
      <c r="M11" s="11"/>
      <c r="N11" s="11">
        <f t="shared" si="6"/>
        <v>0</v>
      </c>
      <c r="O11" s="11"/>
      <c r="P11" s="11">
        <f t="shared" si="7"/>
        <v>0</v>
      </c>
      <c r="Q11" s="11"/>
      <c r="R11" s="11">
        <f t="shared" si="8"/>
        <v>0</v>
      </c>
      <c r="S11" s="11"/>
      <c r="T11" s="11">
        <f t="shared" si="9"/>
        <v>0</v>
      </c>
      <c r="U11" s="11"/>
      <c r="V11" s="11">
        <f t="shared" si="10"/>
        <v>0</v>
      </c>
      <c r="W11" s="11"/>
      <c r="X11" s="11">
        <f t="shared" si="11"/>
        <v>0</v>
      </c>
      <c r="Y11" s="11"/>
      <c r="Z11" s="11">
        <f t="shared" si="12"/>
        <v>0</v>
      </c>
      <c r="AA11" s="11"/>
      <c r="AB11" s="11">
        <f t="shared" si="13"/>
        <v>0</v>
      </c>
      <c r="AC11" s="11"/>
      <c r="AD11" s="11">
        <f t="shared" si="14"/>
        <v>0</v>
      </c>
      <c r="AE11" s="11">
        <f t="shared" si="15"/>
        <v>0</v>
      </c>
      <c r="AF11" s="11">
        <f t="shared" si="15"/>
        <v>0</v>
      </c>
      <c r="AG11" s="13">
        <f t="shared" si="0"/>
        <v>0</v>
      </c>
    </row>
    <row r="12" spans="1:34" ht="25.15" customHeight="1" x14ac:dyDescent="0.6">
      <c r="A12" s="37">
        <v>7</v>
      </c>
      <c r="B12" s="38"/>
      <c r="C12" s="6"/>
      <c r="D12" s="11">
        <f t="shared" si="1"/>
        <v>0</v>
      </c>
      <c r="E12" s="6"/>
      <c r="F12" s="11">
        <f t="shared" si="2"/>
        <v>0</v>
      </c>
      <c r="G12" s="6"/>
      <c r="H12" s="11">
        <f t="shared" si="3"/>
        <v>0</v>
      </c>
      <c r="I12" s="6"/>
      <c r="J12" s="11">
        <f t="shared" si="4"/>
        <v>0</v>
      </c>
      <c r="K12" s="6"/>
      <c r="L12" s="11">
        <f t="shared" si="5"/>
        <v>0</v>
      </c>
      <c r="M12" s="6"/>
      <c r="N12" s="11">
        <f t="shared" si="6"/>
        <v>0</v>
      </c>
      <c r="O12" s="6"/>
      <c r="P12" s="11">
        <f t="shared" si="7"/>
        <v>0</v>
      </c>
      <c r="Q12" s="6"/>
      <c r="R12" s="11">
        <f t="shared" si="8"/>
        <v>0</v>
      </c>
      <c r="S12" s="6"/>
      <c r="T12" s="11">
        <f t="shared" si="9"/>
        <v>0</v>
      </c>
      <c r="U12" s="6"/>
      <c r="V12" s="11">
        <f t="shared" si="10"/>
        <v>0</v>
      </c>
      <c r="W12" s="11"/>
      <c r="X12" s="11">
        <f t="shared" si="11"/>
        <v>0</v>
      </c>
      <c r="Y12" s="11"/>
      <c r="Z12" s="11">
        <f t="shared" si="12"/>
        <v>0</v>
      </c>
      <c r="AA12" s="11"/>
      <c r="AB12" s="11">
        <f t="shared" si="13"/>
        <v>0</v>
      </c>
      <c r="AC12" s="6"/>
      <c r="AD12" s="11">
        <f t="shared" si="14"/>
        <v>0</v>
      </c>
      <c r="AE12" s="11">
        <f t="shared" si="15"/>
        <v>0</v>
      </c>
      <c r="AF12" s="11">
        <f t="shared" si="15"/>
        <v>0</v>
      </c>
      <c r="AG12" s="13">
        <f t="shared" si="0"/>
        <v>0</v>
      </c>
    </row>
    <row r="13" spans="1:34" ht="25.15" customHeight="1" x14ac:dyDescent="0.6">
      <c r="A13" s="37">
        <v>8</v>
      </c>
      <c r="B13" s="38"/>
      <c r="C13" s="6"/>
      <c r="D13" s="11">
        <f t="shared" si="1"/>
        <v>0</v>
      </c>
      <c r="E13" s="6"/>
      <c r="F13" s="11">
        <f t="shared" si="2"/>
        <v>0</v>
      </c>
      <c r="G13" s="6"/>
      <c r="H13" s="11">
        <f t="shared" si="3"/>
        <v>0</v>
      </c>
      <c r="I13" s="6"/>
      <c r="J13" s="11">
        <f t="shared" si="4"/>
        <v>0</v>
      </c>
      <c r="K13" s="6"/>
      <c r="L13" s="11">
        <f t="shared" si="5"/>
        <v>0</v>
      </c>
      <c r="M13" s="6"/>
      <c r="N13" s="11">
        <f t="shared" si="6"/>
        <v>0</v>
      </c>
      <c r="O13" s="6"/>
      <c r="P13" s="11">
        <f t="shared" si="7"/>
        <v>0</v>
      </c>
      <c r="Q13" s="6"/>
      <c r="R13" s="11">
        <f t="shared" si="8"/>
        <v>0</v>
      </c>
      <c r="S13" s="6"/>
      <c r="T13" s="11">
        <f t="shared" si="9"/>
        <v>0</v>
      </c>
      <c r="U13" s="6"/>
      <c r="V13" s="11">
        <f t="shared" si="10"/>
        <v>0</v>
      </c>
      <c r="W13" s="11"/>
      <c r="X13" s="11">
        <f t="shared" si="11"/>
        <v>0</v>
      </c>
      <c r="Y13" s="11"/>
      <c r="Z13" s="11">
        <f t="shared" si="12"/>
        <v>0</v>
      </c>
      <c r="AA13" s="11"/>
      <c r="AB13" s="11">
        <f t="shared" si="13"/>
        <v>0</v>
      </c>
      <c r="AC13" s="6"/>
      <c r="AD13" s="11">
        <f t="shared" si="14"/>
        <v>0</v>
      </c>
      <c r="AE13" s="11">
        <f t="shared" si="15"/>
        <v>0</v>
      </c>
      <c r="AF13" s="11">
        <f t="shared" si="15"/>
        <v>0</v>
      </c>
      <c r="AG13" s="13">
        <f t="shared" si="0"/>
        <v>0</v>
      </c>
    </row>
    <row r="14" spans="1:34" ht="25.15" customHeight="1" x14ac:dyDescent="0.6">
      <c r="A14" s="39">
        <v>9</v>
      </c>
      <c r="B14" s="38"/>
      <c r="C14" s="6"/>
      <c r="D14" s="11">
        <f t="shared" si="1"/>
        <v>0</v>
      </c>
      <c r="E14" s="6"/>
      <c r="F14" s="11">
        <f t="shared" si="2"/>
        <v>0</v>
      </c>
      <c r="G14" s="6"/>
      <c r="H14" s="11">
        <f t="shared" si="3"/>
        <v>0</v>
      </c>
      <c r="I14" s="6"/>
      <c r="J14" s="11">
        <f t="shared" si="4"/>
        <v>0</v>
      </c>
      <c r="K14" s="6"/>
      <c r="L14" s="11">
        <f t="shared" si="5"/>
        <v>0</v>
      </c>
      <c r="M14" s="6"/>
      <c r="N14" s="11">
        <f t="shared" si="6"/>
        <v>0</v>
      </c>
      <c r="O14" s="6"/>
      <c r="P14" s="11">
        <f t="shared" si="7"/>
        <v>0</v>
      </c>
      <c r="Q14" s="6"/>
      <c r="R14" s="11">
        <f t="shared" si="8"/>
        <v>0</v>
      </c>
      <c r="S14" s="6"/>
      <c r="T14" s="11"/>
      <c r="U14" s="6"/>
      <c r="V14" s="11"/>
      <c r="W14" s="11"/>
      <c r="X14" s="11"/>
      <c r="Y14" s="11"/>
      <c r="Z14" s="11"/>
      <c r="AA14" s="11"/>
      <c r="AB14" s="11">
        <f t="shared" si="13"/>
        <v>0</v>
      </c>
      <c r="AC14" s="6"/>
      <c r="AD14" s="11">
        <f t="shared" si="14"/>
        <v>0</v>
      </c>
      <c r="AE14" s="11">
        <f t="shared" si="15"/>
        <v>0</v>
      </c>
      <c r="AF14" s="11">
        <f t="shared" si="15"/>
        <v>0</v>
      </c>
      <c r="AG14" s="13">
        <f t="shared" si="0"/>
        <v>0</v>
      </c>
    </row>
    <row r="15" spans="1:34" ht="25.15" customHeight="1" x14ac:dyDescent="0.6">
      <c r="A15" s="39">
        <v>10</v>
      </c>
      <c r="B15" s="38"/>
      <c r="C15" s="6"/>
      <c r="D15" s="11">
        <f t="shared" si="1"/>
        <v>0</v>
      </c>
      <c r="E15" s="6"/>
      <c r="F15" s="11">
        <f t="shared" si="2"/>
        <v>0</v>
      </c>
      <c r="G15" s="6"/>
      <c r="H15" s="11">
        <f t="shared" si="3"/>
        <v>0</v>
      </c>
      <c r="I15" s="6"/>
      <c r="J15" s="11">
        <f t="shared" si="4"/>
        <v>0</v>
      </c>
      <c r="K15" s="6"/>
      <c r="L15" s="11">
        <f t="shared" si="5"/>
        <v>0</v>
      </c>
      <c r="M15" s="6"/>
      <c r="N15" s="11">
        <f t="shared" si="6"/>
        <v>0</v>
      </c>
      <c r="O15" s="6"/>
      <c r="P15" s="11">
        <f t="shared" si="7"/>
        <v>0</v>
      </c>
      <c r="Q15" s="6"/>
      <c r="R15" s="11">
        <f t="shared" si="8"/>
        <v>0</v>
      </c>
      <c r="S15" s="6"/>
      <c r="T15" s="11"/>
      <c r="U15" s="6"/>
      <c r="V15" s="11"/>
      <c r="W15" s="11"/>
      <c r="X15" s="11"/>
      <c r="Y15" s="11"/>
      <c r="Z15" s="11"/>
      <c r="AA15" s="11"/>
      <c r="AB15" s="11">
        <f t="shared" si="13"/>
        <v>0</v>
      </c>
      <c r="AC15" s="6"/>
      <c r="AD15" s="11">
        <f t="shared" si="14"/>
        <v>0</v>
      </c>
      <c r="AE15" s="11">
        <f t="shared" si="15"/>
        <v>0</v>
      </c>
      <c r="AF15" s="11">
        <f t="shared" si="15"/>
        <v>0</v>
      </c>
      <c r="AG15" s="13">
        <f t="shared" si="0"/>
        <v>0</v>
      </c>
    </row>
    <row r="16" spans="1:34" ht="25.15" customHeight="1" x14ac:dyDescent="0.6">
      <c r="A16" s="39">
        <v>11</v>
      </c>
      <c r="B16" s="38"/>
      <c r="C16" s="6"/>
      <c r="D16" s="11">
        <f t="shared" si="1"/>
        <v>0</v>
      </c>
      <c r="E16" s="6"/>
      <c r="F16" s="11">
        <f t="shared" si="2"/>
        <v>0</v>
      </c>
      <c r="G16" s="6"/>
      <c r="H16" s="11">
        <f t="shared" si="3"/>
        <v>0</v>
      </c>
      <c r="I16" s="6"/>
      <c r="J16" s="11">
        <f t="shared" si="4"/>
        <v>0</v>
      </c>
      <c r="K16" s="6"/>
      <c r="L16" s="11"/>
      <c r="M16" s="6"/>
      <c r="N16" s="11">
        <f t="shared" si="6"/>
        <v>0</v>
      </c>
      <c r="O16" s="6"/>
      <c r="P16" s="11">
        <f t="shared" si="7"/>
        <v>0</v>
      </c>
      <c r="Q16" s="6"/>
      <c r="R16" s="11">
        <f t="shared" si="8"/>
        <v>0</v>
      </c>
      <c r="S16" s="6"/>
      <c r="T16" s="11"/>
      <c r="U16" s="6"/>
      <c r="V16" s="11"/>
      <c r="W16" s="11"/>
      <c r="X16" s="11"/>
      <c r="Y16" s="11"/>
      <c r="Z16" s="11"/>
      <c r="AA16" s="11"/>
      <c r="AB16" s="11">
        <f t="shared" si="13"/>
        <v>0</v>
      </c>
      <c r="AC16" s="6"/>
      <c r="AD16" s="11">
        <f t="shared" si="14"/>
        <v>0</v>
      </c>
      <c r="AE16" s="11">
        <f t="shared" si="15"/>
        <v>0</v>
      </c>
      <c r="AF16" s="11">
        <f t="shared" si="15"/>
        <v>0</v>
      </c>
      <c r="AG16" s="13">
        <f t="shared" si="0"/>
        <v>0</v>
      </c>
    </row>
    <row r="17" spans="1:33" ht="25.15" customHeight="1" x14ac:dyDescent="0.6">
      <c r="A17" s="39">
        <v>12</v>
      </c>
      <c r="B17" s="38"/>
      <c r="C17" s="6"/>
      <c r="D17" s="11">
        <f t="shared" si="1"/>
        <v>0</v>
      </c>
      <c r="E17" s="6"/>
      <c r="F17" s="11">
        <f t="shared" si="2"/>
        <v>0</v>
      </c>
      <c r="G17" s="6"/>
      <c r="H17" s="11">
        <f t="shared" si="3"/>
        <v>0</v>
      </c>
      <c r="I17" s="6"/>
      <c r="J17" s="11">
        <f t="shared" si="4"/>
        <v>0</v>
      </c>
      <c r="K17" s="6"/>
      <c r="L17" s="11"/>
      <c r="M17" s="6"/>
      <c r="N17" s="11">
        <f t="shared" si="6"/>
        <v>0</v>
      </c>
      <c r="O17" s="6"/>
      <c r="P17" s="11">
        <f t="shared" si="7"/>
        <v>0</v>
      </c>
      <c r="Q17" s="6"/>
      <c r="R17" s="11">
        <f t="shared" si="8"/>
        <v>0</v>
      </c>
      <c r="S17" s="6"/>
      <c r="T17" s="11"/>
      <c r="U17" s="6"/>
      <c r="V17" s="11"/>
      <c r="W17" s="11"/>
      <c r="X17" s="11"/>
      <c r="Y17" s="11"/>
      <c r="Z17" s="11"/>
      <c r="AA17" s="11"/>
      <c r="AB17" s="11"/>
      <c r="AC17" s="6"/>
      <c r="AD17" s="6"/>
      <c r="AE17" s="11">
        <f t="shared" si="15"/>
        <v>0</v>
      </c>
      <c r="AF17" s="11">
        <f t="shared" si="15"/>
        <v>0</v>
      </c>
      <c r="AG17" s="13">
        <f t="shared" si="0"/>
        <v>0</v>
      </c>
    </row>
    <row r="18" spans="1:33" ht="25.15" customHeight="1" x14ac:dyDescent="0.6">
      <c r="A18" s="39">
        <v>13</v>
      </c>
      <c r="B18" s="38"/>
      <c r="C18" s="6"/>
      <c r="D18" s="11">
        <f t="shared" si="1"/>
        <v>0</v>
      </c>
      <c r="E18" s="6"/>
      <c r="F18" s="11">
        <f t="shared" si="2"/>
        <v>0</v>
      </c>
      <c r="G18" s="6"/>
      <c r="H18" s="11"/>
      <c r="I18" s="6"/>
      <c r="J18" s="11">
        <f t="shared" si="4"/>
        <v>0</v>
      </c>
      <c r="K18" s="6"/>
      <c r="L18" s="11"/>
      <c r="M18" s="6"/>
      <c r="N18" s="11">
        <f t="shared" si="6"/>
        <v>0</v>
      </c>
      <c r="O18" s="6"/>
      <c r="P18" s="11"/>
      <c r="Q18" s="6"/>
      <c r="R18" s="11">
        <f t="shared" si="8"/>
        <v>0</v>
      </c>
      <c r="S18" s="6"/>
      <c r="T18" s="11"/>
      <c r="U18" s="6"/>
      <c r="V18" s="11"/>
      <c r="W18" s="11"/>
      <c r="X18" s="11"/>
      <c r="Y18" s="11"/>
      <c r="Z18" s="11"/>
      <c r="AA18" s="11"/>
      <c r="AB18" s="11"/>
      <c r="AC18" s="6"/>
      <c r="AD18" s="6"/>
      <c r="AE18" s="11">
        <f t="shared" si="15"/>
        <v>0</v>
      </c>
      <c r="AF18" s="11">
        <f t="shared" si="15"/>
        <v>0</v>
      </c>
      <c r="AG18" s="13">
        <f t="shared" si="0"/>
        <v>0</v>
      </c>
    </row>
    <row r="19" spans="1:33" ht="25.15" customHeight="1" x14ac:dyDescent="0.6">
      <c r="A19" s="39"/>
      <c r="B19" s="38"/>
      <c r="C19" s="6"/>
      <c r="D19" s="11"/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R19" s="11"/>
      <c r="S19" s="6"/>
      <c r="T19" s="11"/>
      <c r="U19" s="6"/>
      <c r="V19" s="11"/>
      <c r="W19" s="11"/>
      <c r="X19" s="11"/>
      <c r="Y19" s="11"/>
      <c r="Z19" s="11"/>
      <c r="AA19" s="11"/>
      <c r="AB19" s="11"/>
      <c r="AC19" s="6"/>
      <c r="AD19" s="6"/>
      <c r="AE19" s="6"/>
      <c r="AF19" s="6"/>
      <c r="AG19" s="13">
        <f t="shared" si="0"/>
        <v>0</v>
      </c>
    </row>
    <row r="20" spans="1:33" ht="25.15" customHeight="1" x14ac:dyDescent="0.6">
      <c r="A20" s="39"/>
      <c r="B20" s="38"/>
      <c r="C20" s="53">
        <f>SUM(C6:C19)</f>
        <v>260</v>
      </c>
      <c r="D20" s="6">
        <f t="shared" ref="D20:AC20" si="16">SUM(D6:D19)</f>
        <v>3640</v>
      </c>
      <c r="E20" s="53">
        <f t="shared" si="16"/>
        <v>400</v>
      </c>
      <c r="F20" s="6">
        <f t="shared" si="16"/>
        <v>4800</v>
      </c>
      <c r="G20" s="53">
        <f t="shared" si="16"/>
        <v>20</v>
      </c>
      <c r="H20" s="6">
        <f t="shared" si="16"/>
        <v>240</v>
      </c>
      <c r="I20" s="53">
        <f t="shared" si="16"/>
        <v>80</v>
      </c>
      <c r="J20" s="6">
        <f t="shared" si="16"/>
        <v>3200</v>
      </c>
      <c r="K20" s="53">
        <f t="shared" si="16"/>
        <v>0</v>
      </c>
      <c r="L20" s="6">
        <f t="shared" si="16"/>
        <v>0</v>
      </c>
      <c r="M20" s="53">
        <f t="shared" si="16"/>
        <v>240</v>
      </c>
      <c r="N20" s="6">
        <f t="shared" si="16"/>
        <v>2880</v>
      </c>
      <c r="O20" s="53">
        <f t="shared" si="16"/>
        <v>0</v>
      </c>
      <c r="P20" s="6">
        <f t="shared" si="16"/>
        <v>0</v>
      </c>
      <c r="Q20" s="53">
        <f t="shared" si="16"/>
        <v>30</v>
      </c>
      <c r="R20" s="6">
        <f t="shared" si="16"/>
        <v>420</v>
      </c>
      <c r="S20" s="6">
        <f t="shared" si="16"/>
        <v>0</v>
      </c>
      <c r="T20" s="6">
        <f t="shared" si="16"/>
        <v>0</v>
      </c>
      <c r="U20" s="6">
        <f t="shared" si="16"/>
        <v>0</v>
      </c>
      <c r="V20" s="6">
        <f t="shared" si="16"/>
        <v>0</v>
      </c>
      <c r="W20" s="6">
        <f t="shared" si="16"/>
        <v>0</v>
      </c>
      <c r="X20" s="6">
        <f t="shared" si="16"/>
        <v>0</v>
      </c>
      <c r="Y20" s="6">
        <f t="shared" si="16"/>
        <v>0</v>
      </c>
      <c r="Z20" s="6">
        <f t="shared" si="16"/>
        <v>0</v>
      </c>
      <c r="AA20" s="53">
        <f t="shared" si="16"/>
        <v>0</v>
      </c>
      <c r="AB20" s="6">
        <f t="shared" si="16"/>
        <v>0</v>
      </c>
      <c r="AC20" s="6">
        <f t="shared" si="16"/>
        <v>0</v>
      </c>
      <c r="AD20" s="6">
        <f>SUM(AD6:AD19)</f>
        <v>0</v>
      </c>
      <c r="AE20" s="6">
        <f>SUM(AE6:AE19)</f>
        <v>1030</v>
      </c>
      <c r="AF20" s="6">
        <f>SUM(AF6:AF19)</f>
        <v>15180</v>
      </c>
      <c r="AG20" s="17">
        <f>SUM(AG6:AG19)</f>
        <v>11542.400000000001</v>
      </c>
    </row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</sheetData>
  <mergeCells count="19">
    <mergeCell ref="AA3:AB3"/>
    <mergeCell ref="W3:X3"/>
    <mergeCell ref="Y3:Z3"/>
    <mergeCell ref="AE3:AG3"/>
    <mergeCell ref="AC3:AD3"/>
    <mergeCell ref="C1:AB1"/>
    <mergeCell ref="U3:V3"/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</mergeCells>
  <hyperlinks>
    <hyperlink ref="C1:AB1" location="'SMM YGN '!A1" display="ရှယ်ထူး (လေးထောင့်ကန်)" xr:uid="{00000000-0004-0000-27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7"/>
  <dimension ref="A1:AG90"/>
  <sheetViews>
    <sheetView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Z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26" width="10.140625" style="1" customWidth="1"/>
    <col min="27" max="30" width="8.7109375" style="1" customWidth="1"/>
    <col min="31" max="32" width="9.28515625" style="1" customWidth="1"/>
    <col min="33" max="16384" width="9" style="1"/>
  </cols>
  <sheetData>
    <row r="1" spans="1:33" ht="21.75" x14ac:dyDescent="0.6">
      <c r="A1" s="23"/>
      <c r="B1" s="24"/>
      <c r="C1" s="745" t="s">
        <v>96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B1" s="1" t="s">
        <v>68</v>
      </c>
      <c r="AC1" s="1">
        <f>AE21</f>
        <v>500</v>
      </c>
      <c r="AE1" s="25">
        <v>12</v>
      </c>
      <c r="AF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B2" s="1" t="s">
        <v>67</v>
      </c>
      <c r="AC2" s="27">
        <f>AF21</f>
        <v>7240</v>
      </c>
      <c r="AE2" s="28">
        <v>24</v>
      </c>
      <c r="AF2" s="29">
        <v>40</v>
      </c>
    </row>
    <row r="3" spans="1:33" s="27" customFormat="1" ht="4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45839</v>
      </c>
      <c r="C6" s="11">
        <v>200</v>
      </c>
      <c r="D6" s="11">
        <f>C6*14</f>
        <v>2800</v>
      </c>
      <c r="E6" s="11">
        <v>200</v>
      </c>
      <c r="F6" s="11">
        <f>E6*12</f>
        <v>2400</v>
      </c>
      <c r="G6" s="11">
        <v>20</v>
      </c>
      <c r="H6" s="11">
        <f>G6*12</f>
        <v>240</v>
      </c>
      <c r="I6" s="11">
        <v>30</v>
      </c>
      <c r="J6" s="11">
        <f>I6*40</f>
        <v>1200</v>
      </c>
      <c r="K6" s="11">
        <v>5</v>
      </c>
      <c r="L6" s="11">
        <f>K6*12</f>
        <v>60</v>
      </c>
      <c r="M6" s="11">
        <v>45</v>
      </c>
      <c r="N6" s="11">
        <f>M6*12</f>
        <v>540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 t="shared" ref="AE6:AF9" si="0">C6+E6+G6+I6+K6+M6+O6+Q6+S6+U6+W6+Y6+AA6+AC6</f>
        <v>500</v>
      </c>
      <c r="AF6" s="11">
        <f t="shared" si="0"/>
        <v>7240</v>
      </c>
      <c r="AG6" s="11">
        <f>(D6*$D$5)+(F6*$F$5)+(H6*$H$5)+(J6*$J$5)+(L6*$L$5)+(N6*$N$5)+(P6*$P$5)+(R6*$R$5)+(T6*$T$5)+(V6*$V$5)+(X6*$X$5)+(Z6*$Z$5)+(AB6*$AB$5)+(AD6*$AD$5)</f>
        <v>5338</v>
      </c>
    </row>
    <row r="7" spans="1:33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si="0"/>
        <v>0</v>
      </c>
      <c r="AF7" s="11">
        <f t="shared" si="0"/>
        <v>0</v>
      </c>
      <c r="AG7" s="11">
        <f>(D7*$D$5)+(F7*$F$5)+(H7*$H$5)+(J7*$J$5)+(L7*$L$5)+(N7*$N$5)+(P7*$P$5)+(R7*$R$5)+(T7*$T$5)+(V7*$V$5)+(X7*$X$5)+(Z7*$Z$5)+(AB7*$AB$5)+(AD7*$AD$5)</f>
        <v>0</v>
      </c>
    </row>
    <row r="8" spans="1:33" s="19" customFormat="1" ht="25.15" customHeight="1" x14ac:dyDescent="0.25">
      <c r="A8" s="37">
        <v>3</v>
      </c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0"/>
        <v>0</v>
      </c>
      <c r="AF8" s="11">
        <f t="shared" si="0"/>
        <v>0</v>
      </c>
      <c r="AG8" s="11">
        <f t="shared" ref="AG8:AG20" si="1">(D8*$D$5)+(F8*$F$5)+(H8*$H$5)+(J8*$J$5)+(L8*$L$5)+(N8*$N$5)+(P8*$P$5)+(R8*$R$5)+(T8*$T$5)+(V8*$V$5)+(X8*$X$5)+(Z8*$Z$5)+(AB8*$AB$5)+(AD8*$AD$5)</f>
        <v>0</v>
      </c>
    </row>
    <row r="9" spans="1:33" s="19" customFormat="1" ht="25.15" customHeight="1" x14ac:dyDescent="0.25">
      <c r="A9" s="37">
        <v>4</v>
      </c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0"/>
        <v>0</v>
      </c>
      <c r="AF9" s="11">
        <f t="shared" si="0"/>
        <v>0</v>
      </c>
      <c r="AG9" s="11">
        <f t="shared" si="1"/>
        <v>0</v>
      </c>
    </row>
    <row r="10" spans="1:33" s="19" customFormat="1" ht="25.15" customHeight="1" x14ac:dyDescent="0.25">
      <c r="A10" s="37">
        <v>5</v>
      </c>
      <c r="B10" s="38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>
        <f t="shared" si="1"/>
        <v>0</v>
      </c>
    </row>
    <row r="11" spans="1:33" s="19" customFormat="1" ht="25.15" customHeight="1" x14ac:dyDescent="0.25">
      <c r="A11" s="37">
        <v>6</v>
      </c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f t="shared" si="1"/>
        <v>0</v>
      </c>
    </row>
    <row r="12" spans="1:33" ht="25.15" customHeight="1" x14ac:dyDescent="0.6">
      <c r="A12" s="37">
        <v>7</v>
      </c>
      <c r="B12" s="38"/>
      <c r="C12" s="6"/>
      <c r="D12" s="11"/>
      <c r="E12" s="6"/>
      <c r="F12" s="11"/>
      <c r="G12" s="6"/>
      <c r="H12" s="11"/>
      <c r="I12" s="6"/>
      <c r="J12" s="11"/>
      <c r="K12" s="6"/>
      <c r="L12" s="11"/>
      <c r="M12" s="6"/>
      <c r="N12" s="11"/>
      <c r="O12" s="6"/>
      <c r="P12" s="11"/>
      <c r="Q12" s="6"/>
      <c r="R12" s="11"/>
      <c r="S12" s="6"/>
      <c r="T12" s="11"/>
      <c r="U12" s="6"/>
      <c r="V12" s="11"/>
      <c r="W12" s="11"/>
      <c r="X12" s="11"/>
      <c r="Y12" s="11"/>
      <c r="Z12" s="11"/>
      <c r="AA12" s="6"/>
      <c r="AB12" s="6"/>
      <c r="AC12" s="6"/>
      <c r="AD12" s="6"/>
      <c r="AE12" s="6"/>
      <c r="AF12" s="6"/>
      <c r="AG12" s="11">
        <f t="shared" si="1"/>
        <v>0</v>
      </c>
    </row>
    <row r="13" spans="1:33" ht="25.15" customHeight="1" x14ac:dyDescent="0.6">
      <c r="A13" s="37">
        <v>8</v>
      </c>
      <c r="B13" s="38"/>
      <c r="C13" s="6"/>
      <c r="D13" s="11"/>
      <c r="E13" s="6"/>
      <c r="F13" s="11"/>
      <c r="G13" s="6"/>
      <c r="H13" s="11"/>
      <c r="I13" s="6"/>
      <c r="J13" s="11"/>
      <c r="K13" s="6"/>
      <c r="L13" s="11"/>
      <c r="M13" s="6"/>
      <c r="N13" s="11"/>
      <c r="O13" s="6"/>
      <c r="P13" s="11"/>
      <c r="Q13" s="6"/>
      <c r="R13" s="11"/>
      <c r="S13" s="6"/>
      <c r="T13" s="11"/>
      <c r="U13" s="6"/>
      <c r="V13" s="11"/>
      <c r="W13" s="11"/>
      <c r="X13" s="11"/>
      <c r="Y13" s="11"/>
      <c r="Z13" s="11"/>
      <c r="AA13" s="6"/>
      <c r="AB13" s="6"/>
      <c r="AC13" s="6"/>
      <c r="AD13" s="6"/>
      <c r="AE13" s="6"/>
      <c r="AF13" s="6"/>
      <c r="AG13" s="11">
        <f t="shared" si="1"/>
        <v>0</v>
      </c>
    </row>
    <row r="14" spans="1:33" ht="25.15" customHeight="1" x14ac:dyDescent="0.6">
      <c r="A14" s="37">
        <v>9</v>
      </c>
      <c r="B14" s="38"/>
      <c r="C14" s="6"/>
      <c r="D14" s="11"/>
      <c r="E14" s="6"/>
      <c r="F14" s="11"/>
      <c r="G14" s="6"/>
      <c r="H14" s="11"/>
      <c r="I14" s="6"/>
      <c r="J14" s="11"/>
      <c r="K14" s="6"/>
      <c r="L14" s="11"/>
      <c r="M14" s="6"/>
      <c r="N14" s="11"/>
      <c r="O14" s="6"/>
      <c r="P14" s="11"/>
      <c r="Q14" s="6"/>
      <c r="R14" s="11"/>
      <c r="S14" s="6"/>
      <c r="T14" s="11"/>
      <c r="U14" s="6"/>
      <c r="V14" s="11"/>
      <c r="W14" s="11"/>
      <c r="X14" s="11"/>
      <c r="Y14" s="11"/>
      <c r="Z14" s="11"/>
      <c r="AA14" s="6"/>
      <c r="AB14" s="6"/>
      <c r="AC14" s="6"/>
      <c r="AD14" s="6"/>
      <c r="AE14" s="6"/>
      <c r="AF14" s="6"/>
      <c r="AG14" s="11">
        <f t="shared" si="1"/>
        <v>0</v>
      </c>
    </row>
    <row r="15" spans="1:33" ht="25.15" customHeight="1" x14ac:dyDescent="0.6">
      <c r="A15" s="39"/>
      <c r="B15" s="38"/>
      <c r="C15" s="6"/>
      <c r="D15" s="11"/>
      <c r="E15" s="6"/>
      <c r="F15" s="11"/>
      <c r="G15" s="6"/>
      <c r="H15" s="11"/>
      <c r="I15" s="6"/>
      <c r="J15" s="11"/>
      <c r="K15" s="6"/>
      <c r="L15" s="11"/>
      <c r="M15" s="6"/>
      <c r="N15" s="11"/>
      <c r="O15" s="6"/>
      <c r="P15" s="11"/>
      <c r="Q15" s="6"/>
      <c r="R15" s="11"/>
      <c r="S15" s="6"/>
      <c r="T15" s="11"/>
      <c r="U15" s="6"/>
      <c r="V15" s="11"/>
      <c r="W15" s="11"/>
      <c r="X15" s="11"/>
      <c r="Y15" s="11"/>
      <c r="Z15" s="11"/>
      <c r="AA15" s="6"/>
      <c r="AB15" s="6"/>
      <c r="AC15" s="6"/>
      <c r="AD15" s="6"/>
      <c r="AE15" s="6"/>
      <c r="AF15" s="6"/>
      <c r="AG15" s="11">
        <f t="shared" si="1"/>
        <v>0</v>
      </c>
    </row>
    <row r="16" spans="1:33" ht="25.15" customHeight="1" x14ac:dyDescent="0.6">
      <c r="A16" s="39"/>
      <c r="B16" s="38"/>
      <c r="C16" s="6"/>
      <c r="D16" s="11"/>
      <c r="E16" s="6"/>
      <c r="F16" s="11"/>
      <c r="G16" s="6"/>
      <c r="H16" s="11"/>
      <c r="I16" s="6"/>
      <c r="J16" s="11"/>
      <c r="K16" s="6"/>
      <c r="L16" s="11"/>
      <c r="M16" s="6"/>
      <c r="N16" s="11"/>
      <c r="O16" s="6"/>
      <c r="P16" s="11"/>
      <c r="Q16" s="6"/>
      <c r="R16" s="11"/>
      <c r="S16" s="6"/>
      <c r="T16" s="11"/>
      <c r="U16" s="6"/>
      <c r="V16" s="11"/>
      <c r="W16" s="11"/>
      <c r="X16" s="11"/>
      <c r="Y16" s="11"/>
      <c r="Z16" s="11"/>
      <c r="AA16" s="6"/>
      <c r="AB16" s="6"/>
      <c r="AC16" s="6"/>
      <c r="AD16" s="6"/>
      <c r="AE16" s="6"/>
      <c r="AF16" s="6"/>
      <c r="AG16" s="11">
        <f t="shared" si="1"/>
        <v>0</v>
      </c>
    </row>
    <row r="17" spans="1:33" ht="25.15" customHeight="1" x14ac:dyDescent="0.6">
      <c r="A17" s="39"/>
      <c r="B17" s="38"/>
      <c r="C17" s="6"/>
      <c r="D17" s="11"/>
      <c r="E17" s="6"/>
      <c r="F17" s="11"/>
      <c r="G17" s="6"/>
      <c r="H17" s="11"/>
      <c r="I17" s="6"/>
      <c r="J17" s="11"/>
      <c r="K17" s="6"/>
      <c r="L17" s="11"/>
      <c r="M17" s="6"/>
      <c r="N17" s="11"/>
      <c r="O17" s="6"/>
      <c r="P17" s="11"/>
      <c r="Q17" s="6"/>
      <c r="R17" s="11"/>
      <c r="S17" s="6"/>
      <c r="T17" s="11"/>
      <c r="U17" s="6"/>
      <c r="V17" s="11"/>
      <c r="W17" s="11"/>
      <c r="X17" s="11"/>
      <c r="Y17" s="11"/>
      <c r="Z17" s="11"/>
      <c r="AA17" s="6"/>
      <c r="AB17" s="6"/>
      <c r="AC17" s="6"/>
      <c r="AD17" s="6"/>
      <c r="AE17" s="6"/>
      <c r="AF17" s="6"/>
      <c r="AG17" s="11">
        <f t="shared" si="1"/>
        <v>0</v>
      </c>
    </row>
    <row r="18" spans="1:33" ht="25.15" customHeight="1" x14ac:dyDescent="0.6">
      <c r="A18" s="39"/>
      <c r="B18" s="38"/>
      <c r="C18" s="6"/>
      <c r="D18" s="11"/>
      <c r="E18" s="6"/>
      <c r="F18" s="11"/>
      <c r="G18" s="6"/>
      <c r="H18" s="11"/>
      <c r="I18" s="6"/>
      <c r="J18" s="11"/>
      <c r="K18" s="6"/>
      <c r="L18" s="11"/>
      <c r="M18" s="6"/>
      <c r="N18" s="11"/>
      <c r="O18" s="6"/>
      <c r="P18" s="11"/>
      <c r="Q18" s="6"/>
      <c r="R18" s="11"/>
      <c r="S18" s="6"/>
      <c r="T18" s="11"/>
      <c r="U18" s="6"/>
      <c r="V18" s="11"/>
      <c r="W18" s="11"/>
      <c r="X18" s="11"/>
      <c r="Y18" s="11"/>
      <c r="Z18" s="11"/>
      <c r="AA18" s="6"/>
      <c r="AB18" s="6"/>
      <c r="AC18" s="6"/>
      <c r="AD18" s="6"/>
      <c r="AE18" s="6"/>
      <c r="AF18" s="6"/>
      <c r="AG18" s="11">
        <f t="shared" si="1"/>
        <v>0</v>
      </c>
    </row>
    <row r="19" spans="1:33" ht="25.15" customHeight="1" x14ac:dyDescent="0.6">
      <c r="A19" s="39"/>
      <c r="B19" s="38"/>
      <c r="C19" s="6"/>
      <c r="D19" s="11"/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R19" s="11"/>
      <c r="S19" s="6"/>
      <c r="T19" s="11"/>
      <c r="U19" s="6"/>
      <c r="V19" s="11"/>
      <c r="W19" s="11"/>
      <c r="X19" s="11"/>
      <c r="Y19" s="11"/>
      <c r="Z19" s="11"/>
      <c r="AA19" s="6"/>
      <c r="AB19" s="6"/>
      <c r="AC19" s="6"/>
      <c r="AD19" s="6"/>
      <c r="AE19" s="6"/>
      <c r="AF19" s="6"/>
      <c r="AG19" s="11">
        <f t="shared" si="1"/>
        <v>0</v>
      </c>
    </row>
    <row r="20" spans="1:33" ht="25.15" customHeight="1" x14ac:dyDescent="0.6">
      <c r="A20" s="39"/>
      <c r="B20" s="38"/>
      <c r="C20" s="6"/>
      <c r="D20" s="11"/>
      <c r="E20" s="6"/>
      <c r="F20" s="11"/>
      <c r="G20" s="6"/>
      <c r="H20" s="11"/>
      <c r="I20" s="6"/>
      <c r="J20" s="11"/>
      <c r="K20" s="6"/>
      <c r="L20" s="11"/>
      <c r="M20" s="6"/>
      <c r="N20" s="11"/>
      <c r="O20" s="6"/>
      <c r="P20" s="11"/>
      <c r="Q20" s="6"/>
      <c r="R20" s="11"/>
      <c r="S20" s="6"/>
      <c r="T20" s="11"/>
      <c r="U20" s="6"/>
      <c r="V20" s="11"/>
      <c r="W20" s="11"/>
      <c r="X20" s="11"/>
      <c r="Y20" s="11"/>
      <c r="Z20" s="11"/>
      <c r="AA20" s="6"/>
      <c r="AB20" s="6"/>
      <c r="AC20" s="6"/>
      <c r="AD20" s="6"/>
      <c r="AE20" s="6"/>
      <c r="AF20" s="6"/>
      <c r="AG20" s="11">
        <f t="shared" si="1"/>
        <v>0</v>
      </c>
    </row>
    <row r="21" spans="1:33" ht="25.15" customHeight="1" x14ac:dyDescent="0.6">
      <c r="A21" s="39"/>
      <c r="B21" s="40"/>
      <c r="C21" s="53">
        <f>SUM(C6:C20)</f>
        <v>200</v>
      </c>
      <c r="D21" s="6">
        <f t="shared" ref="D21:AB21" si="2">SUM(D6:D20)</f>
        <v>2800</v>
      </c>
      <c r="E21" s="53">
        <f t="shared" si="2"/>
        <v>200</v>
      </c>
      <c r="F21" s="6">
        <f t="shared" si="2"/>
        <v>2400</v>
      </c>
      <c r="G21" s="53">
        <f t="shared" si="2"/>
        <v>20</v>
      </c>
      <c r="H21" s="6">
        <f t="shared" si="2"/>
        <v>240</v>
      </c>
      <c r="I21" s="53">
        <f t="shared" si="2"/>
        <v>30</v>
      </c>
      <c r="J21" s="6">
        <f t="shared" si="2"/>
        <v>1200</v>
      </c>
      <c r="K21" s="6">
        <f t="shared" si="2"/>
        <v>5</v>
      </c>
      <c r="L21" s="6">
        <f t="shared" si="2"/>
        <v>60</v>
      </c>
      <c r="M21" s="53">
        <f t="shared" si="2"/>
        <v>45</v>
      </c>
      <c r="N21" s="6">
        <f t="shared" si="2"/>
        <v>540</v>
      </c>
      <c r="O21" s="6">
        <f t="shared" si="2"/>
        <v>0</v>
      </c>
      <c r="P21" s="6">
        <f t="shared" si="2"/>
        <v>0</v>
      </c>
      <c r="Q21" s="53">
        <f t="shared" si="2"/>
        <v>0</v>
      </c>
      <c r="R21" s="6">
        <f t="shared" si="2"/>
        <v>0</v>
      </c>
      <c r="S21" s="6">
        <f t="shared" si="2"/>
        <v>0</v>
      </c>
      <c r="T21" s="6">
        <f t="shared" si="2"/>
        <v>0</v>
      </c>
      <c r="U21" s="6">
        <f t="shared" si="2"/>
        <v>0</v>
      </c>
      <c r="V21" s="6">
        <f t="shared" si="2"/>
        <v>0</v>
      </c>
      <c r="W21" s="6">
        <f t="shared" si="2"/>
        <v>0</v>
      </c>
      <c r="X21" s="6">
        <f t="shared" si="2"/>
        <v>0</v>
      </c>
      <c r="Y21" s="6">
        <f t="shared" si="2"/>
        <v>0</v>
      </c>
      <c r="Z21" s="6">
        <f t="shared" si="2"/>
        <v>0</v>
      </c>
      <c r="AA21" s="6">
        <f t="shared" si="2"/>
        <v>0</v>
      </c>
      <c r="AB21" s="6">
        <f t="shared" si="2"/>
        <v>0</v>
      </c>
      <c r="AC21" s="6">
        <f>SUM(AC6:AC20)</f>
        <v>0</v>
      </c>
      <c r="AD21" s="6">
        <f>SUM(AD6:AD20)</f>
        <v>0</v>
      </c>
      <c r="AE21" s="6">
        <f>SUM(AE6:AE20)</f>
        <v>500</v>
      </c>
      <c r="AF21" s="6">
        <f>SUM(AF6:AF20)</f>
        <v>7240</v>
      </c>
      <c r="AG21" s="6">
        <f>SUM(AG6:AG20)</f>
        <v>5338</v>
      </c>
    </row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</sheetData>
  <mergeCells count="19">
    <mergeCell ref="A2:A4"/>
    <mergeCell ref="B2:B4"/>
    <mergeCell ref="C2:Z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Y3:Z3"/>
    <mergeCell ref="W3:X3"/>
    <mergeCell ref="AA3:AB3"/>
    <mergeCell ref="AC3:AD3"/>
    <mergeCell ref="C1:Z1"/>
    <mergeCell ref="U3:V3"/>
    <mergeCell ref="AE3:AG3"/>
  </mergeCells>
  <hyperlinks>
    <hyperlink ref="C1:Z1" location="'SMM YGN '!A1" display="မချိုချိုလွင် (သင်္ဃန်းကျွန်း)" xr:uid="{00000000-0004-0000-28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8"/>
  <dimension ref="A1:AG88"/>
  <sheetViews>
    <sheetView workbookViewId="0">
      <pane xSplit="2" ySplit="4" topLeftCell="L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X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10" width="10.28515625" style="1" customWidth="1"/>
    <col min="11" max="12" width="9.140625" style="1" customWidth="1"/>
    <col min="13" max="16" width="9.85546875" style="1" customWidth="1"/>
    <col min="17" max="18" width="10.28515625" style="1" customWidth="1"/>
    <col min="19" max="22" width="9.140625" style="1" customWidth="1"/>
    <col min="23" max="24" width="10" style="1" customWidth="1"/>
    <col min="25" max="26" width="9" style="1" customWidth="1"/>
    <col min="27" max="30" width="8" style="1" customWidth="1"/>
    <col min="31" max="32" width="9.7109375" style="1" customWidth="1"/>
    <col min="33" max="16384" width="9" style="1"/>
  </cols>
  <sheetData>
    <row r="1" spans="1:33" ht="21.75" x14ac:dyDescent="0.6">
      <c r="A1" s="23"/>
      <c r="B1" s="24"/>
      <c r="C1" s="745" t="s">
        <v>97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Z1" s="1" t="s">
        <v>68</v>
      </c>
      <c r="AA1" s="1">
        <f>AE19</f>
        <v>561</v>
      </c>
      <c r="AC1" s="25">
        <v>12</v>
      </c>
      <c r="AD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Z2" s="1" t="s">
        <v>67</v>
      </c>
      <c r="AA2" s="27">
        <f>AF19</f>
        <v>7902</v>
      </c>
      <c r="AC2" s="28">
        <v>24</v>
      </c>
      <c r="AD2" s="29">
        <v>40</v>
      </c>
    </row>
    <row r="3" spans="1:33" s="27" customFormat="1" ht="38.450000000000003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45689</v>
      </c>
      <c r="C6" s="11">
        <v>65</v>
      </c>
      <c r="D6" s="11">
        <f>C6*14</f>
        <v>910</v>
      </c>
      <c r="E6" s="11">
        <v>176</v>
      </c>
      <c r="F6" s="11">
        <f>E6*12</f>
        <v>2112</v>
      </c>
      <c r="G6" s="11"/>
      <c r="H6" s="11">
        <f>G6*12</f>
        <v>0</v>
      </c>
      <c r="I6" s="11">
        <v>10</v>
      </c>
      <c r="J6" s="11">
        <f>I6*40</f>
        <v>400</v>
      </c>
      <c r="K6" s="11">
        <v>20</v>
      </c>
      <c r="L6" s="11">
        <f>K6*12</f>
        <v>240</v>
      </c>
      <c r="M6" s="11"/>
      <c r="N6" s="11">
        <f>M6*12</f>
        <v>0</v>
      </c>
      <c r="O6" s="11"/>
      <c r="P6" s="11">
        <f t="shared" ref="P6:P11" si="0">O6*40</f>
        <v>0</v>
      </c>
      <c r="Q6" s="11"/>
      <c r="R6" s="11">
        <f t="shared" ref="R6:R11" si="1">Q6*14</f>
        <v>0</v>
      </c>
      <c r="S6" s="11"/>
      <c r="T6" s="11">
        <f t="shared" ref="T6:T11" si="2">S6*14</f>
        <v>0</v>
      </c>
      <c r="U6" s="11"/>
      <c r="V6" s="11">
        <f t="shared" ref="V6:V11" si="3">U6*24</f>
        <v>0</v>
      </c>
      <c r="W6" s="11"/>
      <c r="X6" s="11">
        <f>W6*12</f>
        <v>0</v>
      </c>
      <c r="Y6" s="11"/>
      <c r="Z6" s="11">
        <f t="shared" ref="Z6:Z11" si="4">Y6*12</f>
        <v>0</v>
      </c>
      <c r="AA6" s="11"/>
      <c r="AB6" s="11">
        <f t="shared" ref="AB6:AB11" si="5">AA6*12</f>
        <v>0</v>
      </c>
      <c r="AC6" s="11"/>
      <c r="AD6" s="11">
        <f>AC6*12</f>
        <v>0</v>
      </c>
      <c r="AE6" s="11">
        <f>C6+E6+G6+I6+K6+M6+O6+Q6+S6+U6+W6+Y6+AA6+AC6</f>
        <v>271</v>
      </c>
      <c r="AF6" s="11">
        <f>D6+F6+H6+J6+L6+N6+P6+R6+T6+V6+X6+Z6+AB6+AD6</f>
        <v>3662</v>
      </c>
      <c r="AG6" s="140">
        <f t="shared" ref="AG6:AG18" si="6">(D6*$D$5)+(F6*$F$5)+(H6*$H$5)+(J6*$J$5)+(L6*$L$5)+(N6*$N$5)+(P6*$P$5)+(R6*$R$5)+(T6*$T$5)+(V6*$V$5)+(X6*$X$5)+(Z6*$Z$5)+(AB6*$AB$5)+(AD6*$AD$5)</f>
        <v>3002.4</v>
      </c>
    </row>
    <row r="7" spans="1:33" s="19" customFormat="1" ht="25.15" customHeight="1" x14ac:dyDescent="0.25">
      <c r="A7" s="37">
        <v>2</v>
      </c>
      <c r="B7" s="38">
        <v>45901</v>
      </c>
      <c r="C7" s="11">
        <v>100</v>
      </c>
      <c r="D7" s="11">
        <f>C7*14</f>
        <v>1400</v>
      </c>
      <c r="E7" s="11">
        <v>150</v>
      </c>
      <c r="F7" s="11">
        <f>E7*12</f>
        <v>1800</v>
      </c>
      <c r="G7" s="11"/>
      <c r="H7" s="11">
        <f>G7*12</f>
        <v>0</v>
      </c>
      <c r="I7" s="11">
        <v>20</v>
      </c>
      <c r="J7" s="11">
        <f>I7*40</f>
        <v>800</v>
      </c>
      <c r="K7" s="11">
        <v>20</v>
      </c>
      <c r="L7" s="11">
        <f>K7*12</f>
        <v>240</v>
      </c>
      <c r="M7" s="11"/>
      <c r="N7" s="11">
        <f>M7*12</f>
        <v>0</v>
      </c>
      <c r="O7" s="11"/>
      <c r="P7" s="11">
        <f t="shared" si="0"/>
        <v>0</v>
      </c>
      <c r="Q7" s="11"/>
      <c r="R7" s="11">
        <f t="shared" si="1"/>
        <v>0</v>
      </c>
      <c r="S7" s="11"/>
      <c r="T7" s="11">
        <f t="shared" si="2"/>
        <v>0</v>
      </c>
      <c r="U7" s="11"/>
      <c r="V7" s="11">
        <f t="shared" si="3"/>
        <v>0</v>
      </c>
      <c r="W7" s="11"/>
      <c r="X7" s="11">
        <f t="shared" ref="X7:X12" si="7">W7*12</f>
        <v>0</v>
      </c>
      <c r="Y7" s="11"/>
      <c r="Z7" s="11">
        <f t="shared" si="4"/>
        <v>0</v>
      </c>
      <c r="AA7" s="11"/>
      <c r="AB7" s="11">
        <f t="shared" si="5"/>
        <v>0</v>
      </c>
      <c r="AC7" s="11"/>
      <c r="AD7" s="11">
        <f t="shared" ref="AD7:AD12" si="8">AC7*12</f>
        <v>0</v>
      </c>
      <c r="AE7" s="11">
        <f t="shared" ref="AE7:AF10" si="9">C7+E7+G7+I7+K7+M7+O7+Q7+S7+U7+W7+Y7+AA7+AC7</f>
        <v>290</v>
      </c>
      <c r="AF7" s="11">
        <f t="shared" si="9"/>
        <v>4240</v>
      </c>
      <c r="AG7" s="11">
        <f t="shared" si="6"/>
        <v>3144</v>
      </c>
    </row>
    <row r="8" spans="1:33" s="19" customFormat="1" ht="25.15" customHeight="1" x14ac:dyDescent="0.25">
      <c r="A8" s="37">
        <v>3</v>
      </c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 t="shared" si="0"/>
        <v>0</v>
      </c>
      <c r="Q8" s="11"/>
      <c r="R8" s="11">
        <f t="shared" si="1"/>
        <v>0</v>
      </c>
      <c r="S8" s="11"/>
      <c r="T8" s="11">
        <f t="shared" si="2"/>
        <v>0</v>
      </c>
      <c r="U8" s="11"/>
      <c r="V8" s="11">
        <f t="shared" si="3"/>
        <v>0</v>
      </c>
      <c r="W8" s="11"/>
      <c r="X8" s="11">
        <f t="shared" si="7"/>
        <v>0</v>
      </c>
      <c r="Y8" s="11"/>
      <c r="Z8" s="11">
        <f t="shared" si="4"/>
        <v>0</v>
      </c>
      <c r="AA8" s="11"/>
      <c r="AB8" s="11">
        <f t="shared" si="5"/>
        <v>0</v>
      </c>
      <c r="AC8" s="11"/>
      <c r="AD8" s="11">
        <f t="shared" si="8"/>
        <v>0</v>
      </c>
      <c r="AE8" s="11">
        <f t="shared" si="9"/>
        <v>0</v>
      </c>
      <c r="AF8" s="11">
        <f t="shared" si="9"/>
        <v>0</v>
      </c>
      <c r="AG8" s="11">
        <f t="shared" si="6"/>
        <v>0</v>
      </c>
    </row>
    <row r="9" spans="1:33" s="19" customFormat="1" ht="25.15" customHeight="1" x14ac:dyDescent="0.25">
      <c r="A9" s="37">
        <v>4</v>
      </c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 t="shared" si="0"/>
        <v>0</v>
      </c>
      <c r="Q9" s="11"/>
      <c r="R9" s="11">
        <f t="shared" si="1"/>
        <v>0</v>
      </c>
      <c r="S9" s="11"/>
      <c r="T9" s="11">
        <f t="shared" si="2"/>
        <v>0</v>
      </c>
      <c r="U9" s="11"/>
      <c r="V9" s="11">
        <f t="shared" si="3"/>
        <v>0</v>
      </c>
      <c r="W9" s="11"/>
      <c r="X9" s="11">
        <f t="shared" si="7"/>
        <v>0</v>
      </c>
      <c r="Y9" s="11"/>
      <c r="Z9" s="11">
        <f t="shared" si="4"/>
        <v>0</v>
      </c>
      <c r="AA9" s="11"/>
      <c r="AB9" s="11">
        <f t="shared" si="5"/>
        <v>0</v>
      </c>
      <c r="AC9" s="11"/>
      <c r="AD9" s="11">
        <f t="shared" si="8"/>
        <v>0</v>
      </c>
      <c r="AE9" s="11">
        <f t="shared" si="9"/>
        <v>0</v>
      </c>
      <c r="AF9" s="11">
        <f t="shared" si="9"/>
        <v>0</v>
      </c>
      <c r="AG9" s="11">
        <f t="shared" si="6"/>
        <v>0</v>
      </c>
    </row>
    <row r="10" spans="1:33" s="19" customFormat="1" ht="25.15" customHeight="1" x14ac:dyDescent="0.25">
      <c r="A10" s="37">
        <v>5</v>
      </c>
      <c r="B10" s="38"/>
      <c r="C10" s="11"/>
      <c r="D10" s="11">
        <f>C10*14</f>
        <v>0</v>
      </c>
      <c r="E10" s="11"/>
      <c r="F10" s="11">
        <f>E10*12</f>
        <v>0</v>
      </c>
      <c r="G10" s="11"/>
      <c r="H10" s="11">
        <f>G10*12</f>
        <v>0</v>
      </c>
      <c r="I10" s="11"/>
      <c r="J10" s="11">
        <f>I10*40</f>
        <v>0</v>
      </c>
      <c r="K10" s="11"/>
      <c r="L10" s="11"/>
      <c r="M10" s="11"/>
      <c r="N10" s="11">
        <f>M10*12</f>
        <v>0</v>
      </c>
      <c r="O10" s="11"/>
      <c r="P10" s="11">
        <f t="shared" si="0"/>
        <v>0</v>
      </c>
      <c r="Q10" s="11"/>
      <c r="R10" s="11">
        <f t="shared" si="1"/>
        <v>0</v>
      </c>
      <c r="S10" s="11"/>
      <c r="T10" s="11">
        <f t="shared" si="2"/>
        <v>0</v>
      </c>
      <c r="U10" s="11"/>
      <c r="V10" s="11">
        <f t="shared" si="3"/>
        <v>0</v>
      </c>
      <c r="W10" s="11"/>
      <c r="X10" s="11">
        <f t="shared" si="7"/>
        <v>0</v>
      </c>
      <c r="Y10" s="11"/>
      <c r="Z10" s="11">
        <f t="shared" si="4"/>
        <v>0</v>
      </c>
      <c r="AA10" s="11"/>
      <c r="AB10" s="11">
        <f t="shared" si="5"/>
        <v>0</v>
      </c>
      <c r="AC10" s="11"/>
      <c r="AD10" s="11">
        <f t="shared" si="8"/>
        <v>0</v>
      </c>
      <c r="AE10" s="11">
        <f t="shared" si="9"/>
        <v>0</v>
      </c>
      <c r="AF10" s="11">
        <f t="shared" si="9"/>
        <v>0</v>
      </c>
      <c r="AG10" s="11">
        <f t="shared" si="6"/>
        <v>0</v>
      </c>
    </row>
    <row r="11" spans="1:33" s="19" customFormat="1" ht="25.15" customHeight="1" x14ac:dyDescent="0.25">
      <c r="A11" s="37"/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f t="shared" si="0"/>
        <v>0</v>
      </c>
      <c r="Q11" s="11"/>
      <c r="R11" s="11">
        <f t="shared" si="1"/>
        <v>0</v>
      </c>
      <c r="S11" s="11"/>
      <c r="T11" s="11">
        <f t="shared" si="2"/>
        <v>0</v>
      </c>
      <c r="U11" s="11"/>
      <c r="V11" s="11">
        <f t="shared" si="3"/>
        <v>0</v>
      </c>
      <c r="W11" s="11"/>
      <c r="X11" s="11">
        <f t="shared" si="7"/>
        <v>0</v>
      </c>
      <c r="Y11" s="11"/>
      <c r="Z11" s="11">
        <f t="shared" si="4"/>
        <v>0</v>
      </c>
      <c r="AA11" s="11"/>
      <c r="AB11" s="11">
        <f t="shared" si="5"/>
        <v>0</v>
      </c>
      <c r="AC11" s="11"/>
      <c r="AD11" s="11">
        <f t="shared" si="8"/>
        <v>0</v>
      </c>
      <c r="AE11" s="11"/>
      <c r="AF11" s="11"/>
      <c r="AG11" s="11">
        <f t="shared" si="6"/>
        <v>0</v>
      </c>
    </row>
    <row r="12" spans="1:33" ht="25.15" customHeight="1" x14ac:dyDescent="0.6">
      <c r="A12" s="39"/>
      <c r="B12" s="40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1"/>
      <c r="X12" s="11">
        <f t="shared" si="7"/>
        <v>0</v>
      </c>
      <c r="Y12" s="6"/>
      <c r="Z12" s="6"/>
      <c r="AA12" s="6"/>
      <c r="AB12" s="6"/>
      <c r="AC12" s="6"/>
      <c r="AD12" s="11">
        <f t="shared" si="8"/>
        <v>0</v>
      </c>
      <c r="AE12" s="6"/>
      <c r="AF12" s="6"/>
      <c r="AG12" s="11">
        <f t="shared" si="6"/>
        <v>0</v>
      </c>
    </row>
    <row r="13" spans="1:33" ht="25.15" customHeight="1" x14ac:dyDescent="0.6">
      <c r="A13" s="39"/>
      <c r="B13" s="40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1"/>
      <c r="X13" s="11"/>
      <c r="Y13" s="6"/>
      <c r="Z13" s="6"/>
      <c r="AA13" s="6"/>
      <c r="AB13" s="6"/>
      <c r="AC13" s="6"/>
      <c r="AD13" s="6"/>
      <c r="AE13" s="6"/>
      <c r="AF13" s="6"/>
      <c r="AG13" s="11">
        <f t="shared" si="6"/>
        <v>0</v>
      </c>
    </row>
    <row r="14" spans="1:33" ht="25.15" customHeight="1" x14ac:dyDescent="0.6">
      <c r="A14" s="39"/>
      <c r="B14" s="40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1"/>
      <c r="X14" s="11"/>
      <c r="Y14" s="6"/>
      <c r="Z14" s="6"/>
      <c r="AA14" s="6"/>
      <c r="AB14" s="6"/>
      <c r="AC14" s="6"/>
      <c r="AD14" s="6"/>
      <c r="AE14" s="6"/>
      <c r="AF14" s="6"/>
      <c r="AG14" s="11">
        <f t="shared" si="6"/>
        <v>0</v>
      </c>
    </row>
    <row r="15" spans="1:33" ht="25.15" customHeight="1" x14ac:dyDescent="0.6">
      <c r="A15" s="39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11"/>
      <c r="X15" s="11"/>
      <c r="Y15" s="6"/>
      <c r="Z15" s="6"/>
      <c r="AA15" s="6"/>
      <c r="AB15" s="6"/>
      <c r="AC15" s="6"/>
      <c r="AD15" s="6"/>
      <c r="AE15" s="6"/>
      <c r="AF15" s="6"/>
      <c r="AG15" s="11">
        <f t="shared" si="6"/>
        <v>0</v>
      </c>
    </row>
    <row r="16" spans="1:33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11"/>
      <c r="X16" s="11"/>
      <c r="Y16" s="6"/>
      <c r="Z16" s="6"/>
      <c r="AA16" s="6"/>
      <c r="AB16" s="6"/>
      <c r="AC16" s="6"/>
      <c r="AD16" s="6"/>
      <c r="AE16" s="6"/>
      <c r="AF16" s="6"/>
      <c r="AG16" s="11">
        <f t="shared" si="6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11">
        <f t="shared" si="6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 t="s">
        <v>324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1">
        <f t="shared" si="6"/>
        <v>0</v>
      </c>
    </row>
    <row r="19" spans="1:33" ht="25.15" customHeight="1" x14ac:dyDescent="0.6">
      <c r="A19" s="39"/>
      <c r="B19" s="40"/>
      <c r="C19" s="49">
        <f>SUM(C6:C18)</f>
        <v>165</v>
      </c>
      <c r="D19" s="6">
        <f t="shared" ref="D19:AB19" si="10">SUM(D6:D18)</f>
        <v>2310</v>
      </c>
      <c r="E19" s="49">
        <f t="shared" si="10"/>
        <v>326</v>
      </c>
      <c r="F19" s="6">
        <f t="shared" si="10"/>
        <v>3912</v>
      </c>
      <c r="G19" s="49">
        <f t="shared" si="10"/>
        <v>0</v>
      </c>
      <c r="H19" s="6">
        <f t="shared" si="10"/>
        <v>0</v>
      </c>
      <c r="I19" s="49">
        <f t="shared" si="10"/>
        <v>30</v>
      </c>
      <c r="J19" s="6">
        <f t="shared" si="10"/>
        <v>1200</v>
      </c>
      <c r="K19" s="49">
        <f t="shared" si="10"/>
        <v>40</v>
      </c>
      <c r="L19" s="6">
        <f t="shared" si="10"/>
        <v>480</v>
      </c>
      <c r="M19" s="6">
        <f t="shared" si="10"/>
        <v>0</v>
      </c>
      <c r="N19" s="6">
        <f t="shared" si="10"/>
        <v>0</v>
      </c>
      <c r="O19" s="6">
        <f t="shared" si="10"/>
        <v>0</v>
      </c>
      <c r="P19" s="6">
        <f t="shared" si="10"/>
        <v>0</v>
      </c>
      <c r="Q19" s="6">
        <f t="shared" si="10"/>
        <v>0</v>
      </c>
      <c r="R19" s="6">
        <f t="shared" si="10"/>
        <v>0</v>
      </c>
      <c r="S19" s="6">
        <f t="shared" si="10"/>
        <v>0</v>
      </c>
      <c r="T19" s="6">
        <f t="shared" si="10"/>
        <v>0</v>
      </c>
      <c r="U19" s="6">
        <f t="shared" si="10"/>
        <v>0</v>
      </c>
      <c r="V19" s="6">
        <f t="shared" si="10"/>
        <v>0</v>
      </c>
      <c r="W19" s="6">
        <f t="shared" si="10"/>
        <v>0</v>
      </c>
      <c r="X19" s="6">
        <f t="shared" si="10"/>
        <v>0</v>
      </c>
      <c r="Y19" s="6">
        <f t="shared" si="10"/>
        <v>0</v>
      </c>
      <c r="Z19" s="6">
        <f t="shared" si="10"/>
        <v>0</v>
      </c>
      <c r="AA19" s="6">
        <f t="shared" si="10"/>
        <v>0</v>
      </c>
      <c r="AB19" s="6">
        <f t="shared" si="10"/>
        <v>0</v>
      </c>
      <c r="AC19" s="6">
        <f>SUM(AC6:AC18)</f>
        <v>0</v>
      </c>
      <c r="AD19" s="6">
        <f>SUM(AD6:AD18)</f>
        <v>0</v>
      </c>
      <c r="AE19" s="6">
        <f>SUM(AE6:AE18)</f>
        <v>561</v>
      </c>
      <c r="AF19" s="6">
        <f>SUM(AF6:AF18)</f>
        <v>7902</v>
      </c>
      <c r="AG19" s="6">
        <f>SUM(AG6:AG18)</f>
        <v>6146.4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A2:A4"/>
    <mergeCell ref="B2:B4"/>
    <mergeCell ref="C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W3:X3"/>
    <mergeCell ref="U3:V3"/>
    <mergeCell ref="Y3:Z3"/>
    <mergeCell ref="AA3:AB3"/>
    <mergeCell ref="AC3:AD3"/>
    <mergeCell ref="C1:X1"/>
    <mergeCell ref="AE3:AG3"/>
  </mergeCells>
  <hyperlinks>
    <hyperlink ref="C1:X1" location="'SMM YGN '!A1" display="အနွယ်တော် (သင်္ဃန်းကျွန်းကြီး)" xr:uid="{00000000-0004-0000-2900-000000000000}"/>
    <hyperlink ref="U1:V1" location="'SMM YGN '!A1" display="အနွယ်တော် (သင်္ဃန်းကျွန်းကြီး)" xr:uid="{00000000-0004-0000-2900-000001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9"/>
  <dimension ref="A1:AJ90"/>
  <sheetViews>
    <sheetView workbookViewId="0">
      <pane xSplit="2" ySplit="4" topLeftCell="N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D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6" width="10.7109375" style="1" customWidth="1"/>
    <col min="7" max="8" width="9.85546875" style="1" customWidth="1"/>
    <col min="9" max="10" width="10.140625" style="1" customWidth="1"/>
    <col min="11" max="14" width="9.7109375" style="1" customWidth="1"/>
    <col min="15" max="16" width="10.28515625" style="1" customWidth="1"/>
    <col min="17" max="26" width="9.7109375" style="1" customWidth="1"/>
    <col min="27" max="30" width="8" style="1" customWidth="1"/>
    <col min="31" max="32" width="9.7109375" style="1" customWidth="1"/>
    <col min="33" max="33" width="9.140625" style="1" customWidth="1"/>
    <col min="34" max="34" width="5" style="1" customWidth="1"/>
    <col min="35" max="16384" width="9" style="1"/>
  </cols>
  <sheetData>
    <row r="1" spans="1:36" ht="21.75" x14ac:dyDescent="0.6">
      <c r="A1" s="23"/>
      <c r="B1" s="24"/>
      <c r="C1" s="745" t="s">
        <v>98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C1" s="745"/>
      <c r="AD1" s="745"/>
      <c r="AF1" s="1" t="s">
        <v>68</v>
      </c>
      <c r="AG1" s="1">
        <f>AE21</f>
        <v>1665</v>
      </c>
      <c r="AI1" s="25">
        <v>12</v>
      </c>
      <c r="AJ1" s="26">
        <v>14</v>
      </c>
    </row>
    <row r="2" spans="1:36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C2" s="759"/>
      <c r="AD2" s="759"/>
      <c r="AF2" s="1" t="s">
        <v>67</v>
      </c>
      <c r="AG2" s="27">
        <f>AF21</f>
        <v>23490</v>
      </c>
      <c r="AI2" s="28">
        <v>24</v>
      </c>
      <c r="AJ2" s="29">
        <v>40</v>
      </c>
    </row>
    <row r="3" spans="1:36" s="27" customFormat="1" ht="42.7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6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  <c r="AI4" s="31"/>
    </row>
    <row r="5" spans="1:36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  <c r="AI5" s="31"/>
    </row>
    <row r="6" spans="1:36" s="32" customFormat="1" ht="21.75" x14ac:dyDescent="0.6">
      <c r="A6" s="105"/>
      <c r="B6" s="60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 t="shared" ref="AE6:AF8" si="0">C6+E6+G6+I6+K6+M6+O6+Q6+S6+U6+W6+Y6+AA6+AC6</f>
        <v>0</v>
      </c>
      <c r="AF6" s="11">
        <f t="shared" si="0"/>
        <v>0</v>
      </c>
      <c r="AG6" s="11">
        <f>(D6*$D$5)+(F6*$F$5)+(H6*$H$5)+(J6*$J$5)+(L6*$L$5)+(N6*$N$5)+(P6*$P$5)+(R6*$R$5)+(T6*$T$5)+(V6*$V$5)+(X6*$X$5)+(Z6*$Z$5)+(AB6*$AB$5)+(AD6*$AD$5)</f>
        <v>0</v>
      </c>
      <c r="AI6" s="31"/>
    </row>
    <row r="7" spans="1:36" s="32" customFormat="1" ht="21.75" x14ac:dyDescent="0.6">
      <c r="A7" s="105"/>
      <c r="B7" s="60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si="0"/>
        <v>0</v>
      </c>
      <c r="AF7" s="11">
        <f t="shared" si="0"/>
        <v>0</v>
      </c>
      <c r="AG7" s="11">
        <f>(D7*$D$5)+(F7*$F$5)+(H7*$H$5)+(J7*$J$5)+(L7*$L$5)+(N7*$N$5)+(P7*$P$5)+(R7*$R$5)+(T7*$T$5)+(V7*$V$5)+(X7*$X$5)+(Z7*$Z$5)+(AB7*$AB$5)+(AD7*$AD$5)</f>
        <v>0</v>
      </c>
      <c r="AI7" s="31"/>
    </row>
    <row r="8" spans="1:36" s="19" customFormat="1" ht="25.15" customHeight="1" x14ac:dyDescent="0.25">
      <c r="A8" s="37">
        <v>1</v>
      </c>
      <c r="B8" s="38">
        <v>45689</v>
      </c>
      <c r="C8" s="11">
        <v>100</v>
      </c>
      <c r="D8" s="11">
        <f>C8*14</f>
        <v>1400</v>
      </c>
      <c r="E8" s="11">
        <v>250</v>
      </c>
      <c r="F8" s="11">
        <f>E8*12</f>
        <v>3000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>
        <v>150</v>
      </c>
      <c r="N8" s="11">
        <f>M8*12</f>
        <v>1800</v>
      </c>
      <c r="O8" s="11"/>
      <c r="P8" s="11">
        <f>O8*40</f>
        <v>0</v>
      </c>
      <c r="Q8" s="11"/>
      <c r="R8" s="11">
        <f>Q8*20</f>
        <v>0</v>
      </c>
      <c r="S8" s="11">
        <v>5</v>
      </c>
      <c r="T8" s="11">
        <f>S8*14</f>
        <v>70</v>
      </c>
      <c r="U8" s="11"/>
      <c r="V8" s="11">
        <f>U8*24</f>
        <v>0</v>
      </c>
      <c r="W8" s="11">
        <v>60</v>
      </c>
      <c r="X8" s="11">
        <f>W8*12</f>
        <v>720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0"/>
        <v>565</v>
      </c>
      <c r="AF8" s="11">
        <f t="shared" si="0"/>
        <v>6990</v>
      </c>
      <c r="AG8" s="11">
        <f t="shared" ref="AG8:AG21" si="1">(D8*$D$5)+(F8*$F$5)+(H8*$H$5)+(J8*$J$5)+(L8*$L$5)+(N8*$N$5)+(P8*$P$5)+(R8*$R$5)+(T8*$T$5)+(V8*$V$5)+(X8*$X$5)+(Z8*$Z$5)+(AB8*$AB$5)+(AD8*$AD$5)</f>
        <v>6460.8</v>
      </c>
    </row>
    <row r="9" spans="1:36" s="19" customFormat="1" ht="25.15" customHeight="1" x14ac:dyDescent="0.25">
      <c r="A9" s="37">
        <v>2</v>
      </c>
      <c r="B9" s="38">
        <v>45809</v>
      </c>
      <c r="C9" s="11">
        <v>150</v>
      </c>
      <c r="D9" s="11">
        <f t="shared" ref="D9:D17" si="2">C9*14</f>
        <v>2100</v>
      </c>
      <c r="E9" s="11">
        <v>210</v>
      </c>
      <c r="F9" s="11">
        <f t="shared" ref="F9:F17" si="3">E9*12</f>
        <v>2520</v>
      </c>
      <c r="G9" s="11">
        <v>20</v>
      </c>
      <c r="H9" s="11">
        <f t="shared" ref="H9:H16" si="4">G9*12</f>
        <v>240</v>
      </c>
      <c r="I9" s="11">
        <v>50</v>
      </c>
      <c r="J9" s="11">
        <f t="shared" ref="J9:J16" si="5">I9*40</f>
        <v>2000</v>
      </c>
      <c r="K9" s="11"/>
      <c r="L9" s="11">
        <f t="shared" ref="L9:L17" si="6">K9*12</f>
        <v>0</v>
      </c>
      <c r="M9" s="11">
        <v>120</v>
      </c>
      <c r="N9" s="11">
        <f>M9*12</f>
        <v>1440</v>
      </c>
      <c r="O9" s="11"/>
      <c r="P9" s="11">
        <f t="shared" ref="P9:P18" si="7">O9*40</f>
        <v>0</v>
      </c>
      <c r="Q9" s="11"/>
      <c r="R9" s="11">
        <f t="shared" ref="R9:R17" si="8">Q9*20</f>
        <v>0</v>
      </c>
      <c r="S9" s="11"/>
      <c r="T9" s="11">
        <f t="shared" ref="T9:T16" si="9">S9*14</f>
        <v>0</v>
      </c>
      <c r="U9" s="11"/>
      <c r="V9" s="11">
        <f>U9*24</f>
        <v>0</v>
      </c>
      <c r="W9" s="11"/>
      <c r="X9" s="11">
        <f t="shared" ref="X9:X16" si="10"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ref="AE9:AF19" si="11">C9+E9+G9+I9+K9+M9+O9+Q9+S9+U9+W9+Y9+AA9+AC9</f>
        <v>550</v>
      </c>
      <c r="AF9" s="11">
        <f t="shared" si="11"/>
        <v>8300</v>
      </c>
      <c r="AG9" s="11">
        <f t="shared" si="1"/>
        <v>6148</v>
      </c>
    </row>
    <row r="10" spans="1:36" s="19" customFormat="1" ht="25.15" customHeight="1" x14ac:dyDescent="0.25">
      <c r="A10" s="37">
        <v>3</v>
      </c>
      <c r="B10" s="38">
        <v>45931</v>
      </c>
      <c r="C10" s="11">
        <v>100</v>
      </c>
      <c r="D10" s="11">
        <f t="shared" si="2"/>
        <v>1400</v>
      </c>
      <c r="E10" s="11">
        <v>280</v>
      </c>
      <c r="F10" s="11">
        <f t="shared" si="3"/>
        <v>3360</v>
      </c>
      <c r="G10" s="11"/>
      <c r="H10" s="11">
        <f t="shared" si="4"/>
        <v>0</v>
      </c>
      <c r="I10" s="11">
        <v>35</v>
      </c>
      <c r="J10" s="11">
        <f t="shared" si="5"/>
        <v>1400</v>
      </c>
      <c r="K10" s="11"/>
      <c r="L10" s="11">
        <f t="shared" si="6"/>
        <v>0</v>
      </c>
      <c r="M10" s="11">
        <v>120</v>
      </c>
      <c r="N10" s="11">
        <f t="shared" ref="N10:N17" si="12">M10*12</f>
        <v>1440</v>
      </c>
      <c r="O10" s="11">
        <v>15</v>
      </c>
      <c r="P10" s="11">
        <f t="shared" si="7"/>
        <v>600</v>
      </c>
      <c r="Q10" s="11"/>
      <c r="R10" s="11">
        <f t="shared" si="8"/>
        <v>0</v>
      </c>
      <c r="S10" s="11"/>
      <c r="T10" s="11">
        <f t="shared" si="9"/>
        <v>0</v>
      </c>
      <c r="U10" s="11"/>
      <c r="V10" s="11">
        <f>U10*24</f>
        <v>0</v>
      </c>
      <c r="W10" s="11"/>
      <c r="X10" s="11">
        <f t="shared" si="10"/>
        <v>0</v>
      </c>
      <c r="Y10" s="11"/>
      <c r="Z10" s="11">
        <f>Y10*12</f>
        <v>0</v>
      </c>
      <c r="AA10" s="11"/>
      <c r="AB10" s="11">
        <f>AA10*12</f>
        <v>0</v>
      </c>
      <c r="AC10" s="11"/>
      <c r="AD10" s="11">
        <f>AC10*12</f>
        <v>0</v>
      </c>
      <c r="AE10" s="11">
        <f t="shared" si="11"/>
        <v>550</v>
      </c>
      <c r="AF10" s="11">
        <f t="shared" si="11"/>
        <v>8200</v>
      </c>
      <c r="AG10" s="11">
        <f t="shared" si="1"/>
        <v>6396</v>
      </c>
    </row>
    <row r="11" spans="1:36" s="19" customFormat="1" ht="25.15" customHeight="1" x14ac:dyDescent="0.25">
      <c r="A11" s="37">
        <v>4</v>
      </c>
      <c r="B11" s="38"/>
      <c r="C11" s="11"/>
      <c r="D11" s="11">
        <f t="shared" si="2"/>
        <v>0</v>
      </c>
      <c r="E11" s="11"/>
      <c r="F11" s="11">
        <f t="shared" si="3"/>
        <v>0</v>
      </c>
      <c r="G11" s="11"/>
      <c r="H11" s="11">
        <f t="shared" si="4"/>
        <v>0</v>
      </c>
      <c r="I11" s="11"/>
      <c r="J11" s="11">
        <f t="shared" si="5"/>
        <v>0</v>
      </c>
      <c r="K11" s="11"/>
      <c r="L11" s="11">
        <f t="shared" si="6"/>
        <v>0</v>
      </c>
      <c r="M11" s="11"/>
      <c r="N11" s="11">
        <f t="shared" si="12"/>
        <v>0</v>
      </c>
      <c r="O11" s="11"/>
      <c r="P11" s="11">
        <f t="shared" si="7"/>
        <v>0</v>
      </c>
      <c r="Q11" s="11"/>
      <c r="R11" s="11">
        <f t="shared" si="8"/>
        <v>0</v>
      </c>
      <c r="S11" s="11"/>
      <c r="T11" s="11">
        <f t="shared" si="9"/>
        <v>0</v>
      </c>
      <c r="U11" s="11"/>
      <c r="V11" s="11"/>
      <c r="W11" s="11"/>
      <c r="X11" s="11">
        <f t="shared" si="10"/>
        <v>0</v>
      </c>
      <c r="Y11" s="11"/>
      <c r="Z11" s="11"/>
      <c r="AA11" s="11"/>
      <c r="AB11" s="11"/>
      <c r="AC11" s="11"/>
      <c r="AD11" s="11"/>
      <c r="AE11" s="11">
        <f t="shared" si="11"/>
        <v>0</v>
      </c>
      <c r="AF11" s="11">
        <f t="shared" si="11"/>
        <v>0</v>
      </c>
      <c r="AG11" s="11">
        <f t="shared" si="1"/>
        <v>0</v>
      </c>
    </row>
    <row r="12" spans="1:36" s="19" customFormat="1" ht="25.15" customHeight="1" x14ac:dyDescent="0.25">
      <c r="A12" s="37">
        <v>5</v>
      </c>
      <c r="B12" s="38"/>
      <c r="C12" s="11"/>
      <c r="D12" s="11">
        <f t="shared" si="2"/>
        <v>0</v>
      </c>
      <c r="E12" s="11"/>
      <c r="F12" s="11">
        <f t="shared" si="3"/>
        <v>0</v>
      </c>
      <c r="G12" s="11"/>
      <c r="H12" s="11">
        <f t="shared" si="4"/>
        <v>0</v>
      </c>
      <c r="I12" s="11"/>
      <c r="J12" s="11">
        <f t="shared" si="5"/>
        <v>0</v>
      </c>
      <c r="K12" s="11"/>
      <c r="L12" s="11">
        <f t="shared" si="6"/>
        <v>0</v>
      </c>
      <c r="M12" s="11"/>
      <c r="N12" s="11">
        <f t="shared" si="12"/>
        <v>0</v>
      </c>
      <c r="O12" s="11"/>
      <c r="P12" s="11">
        <f t="shared" si="7"/>
        <v>0</v>
      </c>
      <c r="Q12" s="11"/>
      <c r="R12" s="11">
        <f t="shared" si="8"/>
        <v>0</v>
      </c>
      <c r="S12" s="11"/>
      <c r="T12" s="11">
        <f t="shared" si="9"/>
        <v>0</v>
      </c>
      <c r="U12" s="11"/>
      <c r="V12" s="11"/>
      <c r="W12" s="11"/>
      <c r="X12" s="11">
        <f t="shared" si="10"/>
        <v>0</v>
      </c>
      <c r="Y12" s="11"/>
      <c r="Z12" s="11"/>
      <c r="AA12" s="11"/>
      <c r="AB12" s="11"/>
      <c r="AC12" s="11"/>
      <c r="AD12" s="11"/>
      <c r="AE12" s="11">
        <f t="shared" si="11"/>
        <v>0</v>
      </c>
      <c r="AF12" s="11">
        <f t="shared" si="11"/>
        <v>0</v>
      </c>
      <c r="AG12" s="11">
        <f t="shared" si="1"/>
        <v>0</v>
      </c>
    </row>
    <row r="13" spans="1:36" s="19" customFormat="1" ht="25.15" customHeight="1" x14ac:dyDescent="0.25">
      <c r="A13" s="37">
        <v>6</v>
      </c>
      <c r="B13" s="38"/>
      <c r="C13" s="11"/>
      <c r="D13" s="11">
        <f t="shared" si="2"/>
        <v>0</v>
      </c>
      <c r="E13" s="11"/>
      <c r="F13" s="11">
        <f t="shared" si="3"/>
        <v>0</v>
      </c>
      <c r="G13" s="11"/>
      <c r="H13" s="11">
        <f t="shared" si="4"/>
        <v>0</v>
      </c>
      <c r="I13" s="11"/>
      <c r="J13" s="11">
        <f t="shared" si="5"/>
        <v>0</v>
      </c>
      <c r="K13" s="11"/>
      <c r="L13" s="11">
        <f t="shared" si="6"/>
        <v>0</v>
      </c>
      <c r="M13" s="11"/>
      <c r="N13" s="11">
        <f t="shared" si="12"/>
        <v>0</v>
      </c>
      <c r="O13" s="11"/>
      <c r="P13" s="11">
        <f t="shared" si="7"/>
        <v>0</v>
      </c>
      <c r="Q13" s="11"/>
      <c r="R13" s="11">
        <f t="shared" si="8"/>
        <v>0</v>
      </c>
      <c r="S13" s="11"/>
      <c r="T13" s="11">
        <f t="shared" si="9"/>
        <v>0</v>
      </c>
      <c r="U13" s="11"/>
      <c r="V13" s="11"/>
      <c r="W13" s="11"/>
      <c r="X13" s="11">
        <f t="shared" si="10"/>
        <v>0</v>
      </c>
      <c r="Y13" s="11"/>
      <c r="Z13" s="11"/>
      <c r="AA13" s="11"/>
      <c r="AB13" s="11"/>
      <c r="AC13" s="11"/>
      <c r="AD13" s="11"/>
      <c r="AE13" s="11">
        <f t="shared" si="11"/>
        <v>0</v>
      </c>
      <c r="AF13" s="11">
        <f t="shared" si="11"/>
        <v>0</v>
      </c>
      <c r="AG13" s="11">
        <f t="shared" si="1"/>
        <v>0</v>
      </c>
    </row>
    <row r="14" spans="1:36" ht="25.15" customHeight="1" x14ac:dyDescent="0.6">
      <c r="A14" s="39">
        <v>7</v>
      </c>
      <c r="B14" s="38"/>
      <c r="C14" s="6"/>
      <c r="D14" s="11">
        <f t="shared" si="2"/>
        <v>0</v>
      </c>
      <c r="E14" s="6"/>
      <c r="F14" s="11">
        <f t="shared" si="3"/>
        <v>0</v>
      </c>
      <c r="G14" s="6"/>
      <c r="H14" s="11">
        <f t="shared" si="4"/>
        <v>0</v>
      </c>
      <c r="I14" s="6"/>
      <c r="J14" s="11">
        <f t="shared" si="5"/>
        <v>0</v>
      </c>
      <c r="K14" s="6"/>
      <c r="L14" s="11">
        <f t="shared" si="6"/>
        <v>0</v>
      </c>
      <c r="M14" s="6"/>
      <c r="N14" s="11">
        <f t="shared" si="12"/>
        <v>0</v>
      </c>
      <c r="O14" s="6"/>
      <c r="P14" s="11">
        <f t="shared" si="7"/>
        <v>0</v>
      </c>
      <c r="Q14" s="6"/>
      <c r="R14" s="11">
        <f t="shared" si="8"/>
        <v>0</v>
      </c>
      <c r="S14" s="6"/>
      <c r="T14" s="11">
        <f t="shared" si="9"/>
        <v>0</v>
      </c>
      <c r="U14" s="6"/>
      <c r="V14" s="11"/>
      <c r="W14" s="11"/>
      <c r="X14" s="11">
        <f t="shared" si="10"/>
        <v>0</v>
      </c>
      <c r="Y14" s="11"/>
      <c r="Z14" s="11"/>
      <c r="AA14" s="11"/>
      <c r="AB14" s="11"/>
      <c r="AC14" s="11"/>
      <c r="AD14" s="11"/>
      <c r="AE14" s="11">
        <f t="shared" si="11"/>
        <v>0</v>
      </c>
      <c r="AF14" s="11">
        <f t="shared" si="11"/>
        <v>0</v>
      </c>
      <c r="AG14" s="11">
        <f t="shared" si="1"/>
        <v>0</v>
      </c>
    </row>
    <row r="15" spans="1:36" ht="25.15" customHeight="1" x14ac:dyDescent="0.6">
      <c r="A15" s="39">
        <v>8</v>
      </c>
      <c r="B15" s="38"/>
      <c r="C15" s="6"/>
      <c r="D15" s="11">
        <f t="shared" si="2"/>
        <v>0</v>
      </c>
      <c r="E15" s="6"/>
      <c r="F15" s="11">
        <f t="shared" si="3"/>
        <v>0</v>
      </c>
      <c r="G15" s="6"/>
      <c r="H15" s="11">
        <f t="shared" si="4"/>
        <v>0</v>
      </c>
      <c r="I15" s="6"/>
      <c r="J15" s="11">
        <f t="shared" si="5"/>
        <v>0</v>
      </c>
      <c r="K15" s="6"/>
      <c r="L15" s="11">
        <f t="shared" si="6"/>
        <v>0</v>
      </c>
      <c r="M15" s="6"/>
      <c r="N15" s="11">
        <f t="shared" si="12"/>
        <v>0</v>
      </c>
      <c r="O15" s="6"/>
      <c r="P15" s="11">
        <f t="shared" si="7"/>
        <v>0</v>
      </c>
      <c r="Q15" s="6"/>
      <c r="R15" s="11">
        <f t="shared" si="8"/>
        <v>0</v>
      </c>
      <c r="S15" s="6"/>
      <c r="T15" s="11">
        <f t="shared" si="9"/>
        <v>0</v>
      </c>
      <c r="U15" s="6"/>
      <c r="V15" s="11"/>
      <c r="W15" s="11"/>
      <c r="X15" s="11">
        <f t="shared" si="10"/>
        <v>0</v>
      </c>
      <c r="Y15" s="11"/>
      <c r="Z15" s="11"/>
      <c r="AA15" s="11"/>
      <c r="AB15" s="11"/>
      <c r="AC15" s="11"/>
      <c r="AD15" s="11"/>
      <c r="AE15" s="11">
        <f t="shared" si="11"/>
        <v>0</v>
      </c>
      <c r="AF15" s="11">
        <f t="shared" si="11"/>
        <v>0</v>
      </c>
      <c r="AG15" s="11">
        <f t="shared" si="1"/>
        <v>0</v>
      </c>
    </row>
    <row r="16" spans="1:36" ht="25.15" customHeight="1" x14ac:dyDescent="0.6">
      <c r="A16" s="39">
        <v>9</v>
      </c>
      <c r="B16" s="38"/>
      <c r="C16" s="6"/>
      <c r="D16" s="11">
        <f t="shared" si="2"/>
        <v>0</v>
      </c>
      <c r="E16" s="6"/>
      <c r="F16" s="11">
        <f t="shared" si="3"/>
        <v>0</v>
      </c>
      <c r="G16" s="6"/>
      <c r="H16" s="11">
        <f t="shared" si="4"/>
        <v>0</v>
      </c>
      <c r="I16" s="6"/>
      <c r="J16" s="11">
        <f t="shared" si="5"/>
        <v>0</v>
      </c>
      <c r="K16" s="6"/>
      <c r="L16" s="11">
        <f t="shared" si="6"/>
        <v>0</v>
      </c>
      <c r="M16" s="6"/>
      <c r="N16" s="11">
        <f t="shared" si="12"/>
        <v>0</v>
      </c>
      <c r="O16" s="6"/>
      <c r="P16" s="11">
        <f t="shared" si="7"/>
        <v>0</v>
      </c>
      <c r="Q16" s="6"/>
      <c r="R16" s="11">
        <f t="shared" si="8"/>
        <v>0</v>
      </c>
      <c r="S16" s="6"/>
      <c r="T16" s="11">
        <f t="shared" si="9"/>
        <v>0</v>
      </c>
      <c r="U16" s="6"/>
      <c r="V16" s="11"/>
      <c r="W16" s="11"/>
      <c r="X16" s="11">
        <f t="shared" si="10"/>
        <v>0</v>
      </c>
      <c r="Y16" s="11"/>
      <c r="Z16" s="11"/>
      <c r="AA16" s="11"/>
      <c r="AB16" s="11"/>
      <c r="AC16" s="11"/>
      <c r="AD16" s="11"/>
      <c r="AE16" s="11">
        <f t="shared" si="11"/>
        <v>0</v>
      </c>
      <c r="AF16" s="6">
        <f t="shared" si="11"/>
        <v>0</v>
      </c>
      <c r="AG16" s="11">
        <f t="shared" si="1"/>
        <v>0</v>
      </c>
    </row>
    <row r="17" spans="1:33" ht="25.15" customHeight="1" x14ac:dyDescent="0.6">
      <c r="A17" s="39"/>
      <c r="B17" s="38"/>
      <c r="C17" s="6"/>
      <c r="D17" s="11">
        <f t="shared" si="2"/>
        <v>0</v>
      </c>
      <c r="E17" s="6"/>
      <c r="F17" s="11">
        <f t="shared" si="3"/>
        <v>0</v>
      </c>
      <c r="G17" s="6"/>
      <c r="H17" s="11"/>
      <c r="I17" s="6"/>
      <c r="J17" s="11"/>
      <c r="K17" s="6"/>
      <c r="L17" s="11">
        <f t="shared" si="6"/>
        <v>0</v>
      </c>
      <c r="M17" s="6"/>
      <c r="N17" s="11">
        <f t="shared" si="12"/>
        <v>0</v>
      </c>
      <c r="O17" s="6"/>
      <c r="P17" s="11">
        <f t="shared" si="7"/>
        <v>0</v>
      </c>
      <c r="Q17" s="6"/>
      <c r="R17" s="11">
        <f t="shared" si="8"/>
        <v>0</v>
      </c>
      <c r="S17" s="6"/>
      <c r="T17" s="11"/>
      <c r="U17" s="6"/>
      <c r="V17" s="11"/>
      <c r="W17" s="11"/>
      <c r="X17" s="11"/>
      <c r="Y17" s="11"/>
      <c r="Z17" s="11"/>
      <c r="AA17" s="11"/>
      <c r="AB17" s="11"/>
      <c r="AC17" s="11"/>
      <c r="AD17" s="11"/>
      <c r="AE17" s="11">
        <f t="shared" si="11"/>
        <v>0</v>
      </c>
      <c r="AF17" s="6">
        <f t="shared" si="11"/>
        <v>0</v>
      </c>
      <c r="AG17" s="11">
        <f t="shared" si="1"/>
        <v>0</v>
      </c>
    </row>
    <row r="18" spans="1:33" ht="25.15" customHeight="1" x14ac:dyDescent="0.6">
      <c r="A18" s="39"/>
      <c r="B18" s="38"/>
      <c r="C18" s="6"/>
      <c r="D18" s="11"/>
      <c r="E18" s="6"/>
      <c r="F18" s="11"/>
      <c r="G18" s="6"/>
      <c r="H18" s="11"/>
      <c r="I18" s="6"/>
      <c r="J18" s="11"/>
      <c r="K18" s="6"/>
      <c r="L18" s="11"/>
      <c r="M18" s="6"/>
      <c r="N18" s="11"/>
      <c r="O18" s="6"/>
      <c r="P18" s="11">
        <f t="shared" si="7"/>
        <v>0</v>
      </c>
      <c r="Q18" s="6"/>
      <c r="R18" s="11"/>
      <c r="S18" s="6"/>
      <c r="T18" s="11"/>
      <c r="U18" s="6"/>
      <c r="V18" s="11"/>
      <c r="W18" s="11"/>
      <c r="X18" s="11"/>
      <c r="Y18" s="11"/>
      <c r="Z18" s="11"/>
      <c r="AA18" s="11"/>
      <c r="AB18" s="11"/>
      <c r="AC18" s="11"/>
      <c r="AD18" s="11"/>
      <c r="AE18" s="11">
        <f t="shared" si="11"/>
        <v>0</v>
      </c>
      <c r="AF18" s="6">
        <f t="shared" si="11"/>
        <v>0</v>
      </c>
      <c r="AG18" s="11">
        <f t="shared" si="1"/>
        <v>0</v>
      </c>
    </row>
    <row r="19" spans="1:33" ht="25.15" customHeight="1" x14ac:dyDescent="0.6">
      <c r="A19" s="39"/>
      <c r="B19" s="40"/>
      <c r="C19" s="6"/>
      <c r="D19" s="11"/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R19" s="11"/>
      <c r="S19" s="6"/>
      <c r="T19" s="11"/>
      <c r="U19" s="6"/>
      <c r="V19" s="11"/>
      <c r="W19" s="11"/>
      <c r="X19" s="11"/>
      <c r="Y19" s="11"/>
      <c r="Z19" s="11"/>
      <c r="AA19" s="11"/>
      <c r="AB19" s="11"/>
      <c r="AC19" s="11"/>
      <c r="AD19" s="11"/>
      <c r="AE19" s="11">
        <f t="shared" si="11"/>
        <v>0</v>
      </c>
      <c r="AF19" s="6">
        <f t="shared" si="11"/>
        <v>0</v>
      </c>
      <c r="AG19" s="11">
        <f t="shared" si="1"/>
        <v>0</v>
      </c>
    </row>
    <row r="20" spans="1:33" ht="25.15" customHeight="1" x14ac:dyDescent="0.6">
      <c r="A20" s="39"/>
      <c r="B20" s="40"/>
      <c r="C20" s="6"/>
      <c r="D20" s="11"/>
      <c r="E20" s="6"/>
      <c r="F20" s="11"/>
      <c r="G20" s="6"/>
      <c r="H20" s="11"/>
      <c r="I20" s="6"/>
      <c r="J20" s="11"/>
      <c r="K20" s="6"/>
      <c r="L20" s="11"/>
      <c r="M20" s="6"/>
      <c r="N20" s="11"/>
      <c r="O20" s="6"/>
      <c r="P20" s="11"/>
      <c r="Q20" s="6"/>
      <c r="R20" s="11"/>
      <c r="S20" s="6"/>
      <c r="T20" s="11"/>
      <c r="U20" s="6"/>
      <c r="V20" s="11"/>
      <c r="W20" s="11"/>
      <c r="X20" s="11"/>
      <c r="Y20" s="11"/>
      <c r="Z20" s="11"/>
      <c r="AA20" s="11"/>
      <c r="AB20" s="11"/>
      <c r="AC20" s="11"/>
      <c r="AD20" s="11"/>
      <c r="AE20" s="6"/>
      <c r="AF20" s="6"/>
      <c r="AG20" s="11">
        <f t="shared" si="1"/>
        <v>0</v>
      </c>
    </row>
    <row r="21" spans="1:33" ht="25.15" customHeight="1" x14ac:dyDescent="0.6">
      <c r="A21" s="39"/>
      <c r="B21" s="40"/>
      <c r="C21" s="49">
        <f>SUM(C8:C20)</f>
        <v>350</v>
      </c>
      <c r="D21" s="6">
        <f t="shared" ref="D21:AB21" si="13">SUM(D8:D20)</f>
        <v>4900</v>
      </c>
      <c r="E21" s="49">
        <f t="shared" si="13"/>
        <v>740</v>
      </c>
      <c r="F21" s="6">
        <f t="shared" si="13"/>
        <v>8880</v>
      </c>
      <c r="G21" s="49">
        <f t="shared" si="13"/>
        <v>20</v>
      </c>
      <c r="H21" s="6">
        <f t="shared" si="13"/>
        <v>240</v>
      </c>
      <c r="I21" s="49">
        <f t="shared" si="13"/>
        <v>85</v>
      </c>
      <c r="J21" s="6">
        <f t="shared" si="13"/>
        <v>3400</v>
      </c>
      <c r="K21" s="49">
        <f t="shared" si="13"/>
        <v>0</v>
      </c>
      <c r="L21" s="6">
        <f t="shared" si="13"/>
        <v>0</v>
      </c>
      <c r="M21" s="49">
        <f t="shared" si="13"/>
        <v>390</v>
      </c>
      <c r="N21" s="6">
        <f t="shared" si="13"/>
        <v>4680</v>
      </c>
      <c r="O21" s="49">
        <f t="shared" si="13"/>
        <v>15</v>
      </c>
      <c r="P21" s="6">
        <f t="shared" si="13"/>
        <v>600</v>
      </c>
      <c r="Q21" s="6">
        <f t="shared" si="13"/>
        <v>0</v>
      </c>
      <c r="R21" s="6">
        <f t="shared" si="13"/>
        <v>0</v>
      </c>
      <c r="S21" s="6">
        <f t="shared" si="13"/>
        <v>5</v>
      </c>
      <c r="T21" s="6">
        <f t="shared" si="13"/>
        <v>70</v>
      </c>
      <c r="U21" s="6">
        <f t="shared" si="13"/>
        <v>0</v>
      </c>
      <c r="V21" s="6">
        <f t="shared" si="13"/>
        <v>0</v>
      </c>
      <c r="W21" s="49">
        <f t="shared" si="13"/>
        <v>60</v>
      </c>
      <c r="X21" s="6">
        <f t="shared" si="13"/>
        <v>720</v>
      </c>
      <c r="Y21" s="6">
        <f t="shared" si="13"/>
        <v>0</v>
      </c>
      <c r="Z21" s="6">
        <f t="shared" si="13"/>
        <v>0</v>
      </c>
      <c r="AA21" s="6">
        <f t="shared" si="13"/>
        <v>0</v>
      </c>
      <c r="AB21" s="6">
        <f t="shared" si="13"/>
        <v>0</v>
      </c>
      <c r="AC21" s="6">
        <f>SUM(AC8:AC20)</f>
        <v>0</v>
      </c>
      <c r="AD21" s="6">
        <f>SUM(AD8:AD20)</f>
        <v>0</v>
      </c>
      <c r="AE21" s="6">
        <f>SUM(AE8:AE20)</f>
        <v>1665</v>
      </c>
      <c r="AF21" s="6">
        <f>SUM(AF8:AF20)</f>
        <v>23490</v>
      </c>
      <c r="AG21" s="11">
        <f t="shared" si="1"/>
        <v>19004.8</v>
      </c>
    </row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</sheetData>
  <mergeCells count="19">
    <mergeCell ref="AE3:AG3"/>
    <mergeCell ref="AC3:AD3"/>
    <mergeCell ref="W3:X3"/>
    <mergeCell ref="Y3:Z3"/>
    <mergeCell ref="C1:AD1"/>
    <mergeCell ref="U3:V3"/>
    <mergeCell ref="AA3:AB3"/>
    <mergeCell ref="A2:A4"/>
    <mergeCell ref="B2:B4"/>
    <mergeCell ref="C2:AD2"/>
    <mergeCell ref="C3:D3"/>
    <mergeCell ref="E3:F3"/>
    <mergeCell ref="G3:H3"/>
    <mergeCell ref="I3:J3"/>
    <mergeCell ref="K3:L3"/>
    <mergeCell ref="M3:N3"/>
    <mergeCell ref="O3:P3"/>
    <mergeCell ref="Q3:R3"/>
    <mergeCell ref="S3:T3"/>
  </mergeCells>
  <hyperlinks>
    <hyperlink ref="C1:AD1" location="'SMM YGN '!A1" display="ဘောဂ (သန်လျင်)" xr:uid="{00000000-0004-0000-2A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0"/>
  <dimension ref="A1:AG89"/>
  <sheetViews>
    <sheetView zoomScaleNormal="100"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X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1.7109375" style="1" customWidth="1"/>
    <col min="5" max="6" width="10.85546875" style="1" customWidth="1"/>
    <col min="7" max="8" width="10.28515625" style="1" customWidth="1"/>
    <col min="9" max="10" width="9.85546875" style="1" customWidth="1"/>
    <col min="11" max="26" width="9.28515625" style="1" customWidth="1"/>
    <col min="27" max="28" width="9" style="1" customWidth="1"/>
    <col min="29" max="30" width="8.28515625" style="1" customWidth="1"/>
    <col min="31" max="32" width="9.7109375" style="1" customWidth="1"/>
    <col min="33" max="16384" width="9" style="1"/>
  </cols>
  <sheetData>
    <row r="1" spans="1:33" ht="21.75" x14ac:dyDescent="0.6">
      <c r="A1" s="23"/>
      <c r="B1" s="24"/>
      <c r="C1" s="745" t="s">
        <v>99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Z1" s="1" t="s">
        <v>68</v>
      </c>
      <c r="AA1" s="1">
        <f>AE20</f>
        <v>75</v>
      </c>
      <c r="AC1" s="25">
        <v>12</v>
      </c>
      <c r="AD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Z2" s="1" t="s">
        <v>67</v>
      </c>
      <c r="AA2" s="27">
        <f>AF20</f>
        <v>960</v>
      </c>
      <c r="AC2" s="28">
        <v>24</v>
      </c>
      <c r="AD2" s="29">
        <v>40</v>
      </c>
    </row>
    <row r="3" spans="1:33" s="27" customFormat="1" ht="43.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45748</v>
      </c>
      <c r="C6" s="11">
        <v>30</v>
      </c>
      <c r="D6" s="11">
        <f t="shared" ref="D6:D11" si="0">C6*14</f>
        <v>420</v>
      </c>
      <c r="E6" s="11">
        <v>30</v>
      </c>
      <c r="F6" s="11">
        <f t="shared" ref="F6:F11" si="1">E6*12</f>
        <v>360</v>
      </c>
      <c r="G6" s="11"/>
      <c r="H6" s="11">
        <f>G6*12</f>
        <v>0</v>
      </c>
      <c r="I6" s="11"/>
      <c r="J6" s="11">
        <f t="shared" ref="J6:J11" si="2">I6*40</f>
        <v>0</v>
      </c>
      <c r="K6" s="11"/>
      <c r="L6" s="11">
        <f>K6*12</f>
        <v>0</v>
      </c>
      <c r="M6" s="11">
        <v>15</v>
      </c>
      <c r="N6" s="11">
        <f t="shared" ref="N6:N11" si="3">M6*12</f>
        <v>180</v>
      </c>
      <c r="O6" s="11"/>
      <c r="P6" s="11">
        <f t="shared" ref="P6:P11" si="4">O6*40</f>
        <v>0</v>
      </c>
      <c r="Q6" s="11"/>
      <c r="R6" s="11">
        <f t="shared" ref="R6:R11" si="5">Q6*14</f>
        <v>0</v>
      </c>
      <c r="S6" s="11"/>
      <c r="T6" s="11">
        <f t="shared" ref="T6:T12" si="6">S6*14</f>
        <v>0</v>
      </c>
      <c r="U6" s="11"/>
      <c r="V6" s="11">
        <f t="shared" ref="V6:V12" si="7">U6*24</f>
        <v>0</v>
      </c>
      <c r="W6" s="11"/>
      <c r="X6" s="11">
        <f>W6*12</f>
        <v>0</v>
      </c>
      <c r="Y6" s="11"/>
      <c r="Z6" s="11">
        <f t="shared" ref="Z6:Z12" si="8">Y6*12</f>
        <v>0</v>
      </c>
      <c r="AA6" s="11"/>
      <c r="AB6" s="11">
        <f t="shared" ref="AB6:AB11" si="9">AA6*12</f>
        <v>0</v>
      </c>
      <c r="AC6" s="11"/>
      <c r="AD6" s="11">
        <f t="shared" ref="AD6:AD12" si="10">AC6*12</f>
        <v>0</v>
      </c>
      <c r="AE6" s="11">
        <f>C6+E6+G6+I6+K6+M6+O6+Q6+S6+U6+W6+Y6+AA6+AC6</f>
        <v>75</v>
      </c>
      <c r="AF6" s="11">
        <f>D6+F6+H6+J6+L6+N6+P6+R6+T6+V6+X6+Z6+AB6+AD6</f>
        <v>960</v>
      </c>
      <c r="AG6" s="13">
        <f>(D6*$D$5)+(F6*$F$5)+(H6*$H$5)+(J6*$J$5)+(L6*$L$5)+(N6*$N$5)+(P6*$P$5)+(R6*$R$5)+(T6*$T$5)+(V6*$V$5)+(X6*$X$5)+(Z6*$Z$5)+(AB6*$AB$5)+(AD6*$AD$5)</f>
        <v>808.8</v>
      </c>
    </row>
    <row r="7" spans="1:33" s="19" customFormat="1" ht="25.15" customHeight="1" x14ac:dyDescent="0.25">
      <c r="A7" s="37">
        <v>2</v>
      </c>
      <c r="B7" s="38"/>
      <c r="C7" s="11"/>
      <c r="D7" s="11">
        <f t="shared" si="0"/>
        <v>0</v>
      </c>
      <c r="E7" s="11"/>
      <c r="F7" s="11">
        <f t="shared" si="1"/>
        <v>0</v>
      </c>
      <c r="G7" s="11"/>
      <c r="H7" s="11">
        <f>G7*12</f>
        <v>0</v>
      </c>
      <c r="I7" s="11"/>
      <c r="J7" s="11">
        <f t="shared" si="2"/>
        <v>0</v>
      </c>
      <c r="K7" s="11"/>
      <c r="L7" s="11">
        <f>K7*12</f>
        <v>0</v>
      </c>
      <c r="M7" s="11"/>
      <c r="N7" s="11">
        <f t="shared" si="3"/>
        <v>0</v>
      </c>
      <c r="O7" s="11"/>
      <c r="P7" s="11">
        <f t="shared" si="4"/>
        <v>0</v>
      </c>
      <c r="Q7" s="11"/>
      <c r="R7" s="11">
        <f t="shared" si="5"/>
        <v>0</v>
      </c>
      <c r="S7" s="11"/>
      <c r="T7" s="11">
        <f t="shared" si="6"/>
        <v>0</v>
      </c>
      <c r="U7" s="11"/>
      <c r="V7" s="11">
        <f t="shared" si="7"/>
        <v>0</v>
      </c>
      <c r="W7" s="11"/>
      <c r="X7" s="11">
        <f>W7*12</f>
        <v>0</v>
      </c>
      <c r="Y7" s="11"/>
      <c r="Z7" s="11">
        <f t="shared" si="8"/>
        <v>0</v>
      </c>
      <c r="AA7" s="11"/>
      <c r="AB7" s="11">
        <f t="shared" si="9"/>
        <v>0</v>
      </c>
      <c r="AC7" s="11"/>
      <c r="AD7" s="11">
        <f t="shared" si="10"/>
        <v>0</v>
      </c>
      <c r="AE7" s="11">
        <f>C7+E7+G7+I7+K7+M7+O7+Q7+S7+U7+W7+Y7+AA7+AC7</f>
        <v>0</v>
      </c>
      <c r="AF7" s="11">
        <f>D7+F7+H7+J7+L7+N7+P7+R7+T7+V7+X7+Z7+AB7+AD7</f>
        <v>0</v>
      </c>
      <c r="AG7" s="11">
        <f t="shared" ref="AG7:AG20" si="11">(D7*$D$5)+(F7*$F$5)+(H7*$H$5)+(J7*$J$5)+(L7*$L$5)+(N7*$N$5)+(P7*$P$5)+(R7*$R$5)+(T7*$T$5)+(V7*$V$5)+(X7*$X$5)+(Z7*$Z$5)+(AB7*$AB$5)+(AD7*$AD$5)</f>
        <v>0</v>
      </c>
    </row>
    <row r="8" spans="1:33" s="19" customFormat="1" ht="25.15" customHeight="1" x14ac:dyDescent="0.25">
      <c r="A8" s="37">
        <v>3</v>
      </c>
      <c r="B8" s="38"/>
      <c r="C8" s="11"/>
      <c r="D8" s="11">
        <f t="shared" si="0"/>
        <v>0</v>
      </c>
      <c r="E8" s="11"/>
      <c r="F8" s="11">
        <f t="shared" si="1"/>
        <v>0</v>
      </c>
      <c r="G8" s="11"/>
      <c r="H8" s="11">
        <f>G8*12</f>
        <v>0</v>
      </c>
      <c r="I8" s="11"/>
      <c r="J8" s="11">
        <f t="shared" si="2"/>
        <v>0</v>
      </c>
      <c r="K8" s="11"/>
      <c r="L8" s="11">
        <f>K8*12</f>
        <v>0</v>
      </c>
      <c r="M8" s="11"/>
      <c r="N8" s="11">
        <f t="shared" si="3"/>
        <v>0</v>
      </c>
      <c r="O8" s="11"/>
      <c r="P8" s="11">
        <f t="shared" si="4"/>
        <v>0</v>
      </c>
      <c r="Q8" s="11"/>
      <c r="R8" s="11">
        <f t="shared" si="5"/>
        <v>0</v>
      </c>
      <c r="S8" s="11"/>
      <c r="T8" s="11">
        <f t="shared" si="6"/>
        <v>0</v>
      </c>
      <c r="U8" s="11"/>
      <c r="V8" s="11">
        <f t="shared" si="7"/>
        <v>0</v>
      </c>
      <c r="W8" s="11"/>
      <c r="X8" s="11">
        <f t="shared" ref="X8:X13" si="12">W8*12</f>
        <v>0</v>
      </c>
      <c r="Y8" s="11"/>
      <c r="Z8" s="11">
        <f t="shared" si="8"/>
        <v>0</v>
      </c>
      <c r="AA8" s="11"/>
      <c r="AB8" s="11">
        <f t="shared" si="9"/>
        <v>0</v>
      </c>
      <c r="AC8" s="11"/>
      <c r="AD8" s="11">
        <f t="shared" si="10"/>
        <v>0</v>
      </c>
      <c r="AE8" s="11">
        <f t="shared" ref="AE8:AF11" si="13">C8+E8+G8+I8+K8+M8+O8+Q8+S8+U8+W8+Y8+AA8+AC8</f>
        <v>0</v>
      </c>
      <c r="AF8" s="11">
        <f t="shared" si="13"/>
        <v>0</v>
      </c>
      <c r="AG8" s="11">
        <f t="shared" si="11"/>
        <v>0</v>
      </c>
    </row>
    <row r="9" spans="1:33" s="19" customFormat="1" ht="25.15" customHeight="1" x14ac:dyDescent="0.25">
      <c r="A9" s="37">
        <v>4</v>
      </c>
      <c r="B9" s="38"/>
      <c r="C9" s="11"/>
      <c r="D9" s="11">
        <f t="shared" si="0"/>
        <v>0</v>
      </c>
      <c r="E9" s="11"/>
      <c r="F9" s="11">
        <f t="shared" si="1"/>
        <v>0</v>
      </c>
      <c r="G9" s="11"/>
      <c r="H9" s="11"/>
      <c r="I9" s="11"/>
      <c r="J9" s="11">
        <f t="shared" si="2"/>
        <v>0</v>
      </c>
      <c r="K9" s="11"/>
      <c r="L9" s="11">
        <f>K9*12</f>
        <v>0</v>
      </c>
      <c r="M9" s="11"/>
      <c r="N9" s="11">
        <f t="shared" si="3"/>
        <v>0</v>
      </c>
      <c r="O9" s="11"/>
      <c r="P9" s="11">
        <f t="shared" si="4"/>
        <v>0</v>
      </c>
      <c r="Q9" s="11"/>
      <c r="R9" s="11">
        <f t="shared" si="5"/>
        <v>0</v>
      </c>
      <c r="S9" s="11"/>
      <c r="T9" s="11">
        <f t="shared" si="6"/>
        <v>0</v>
      </c>
      <c r="U9" s="11"/>
      <c r="V9" s="11">
        <f t="shared" si="7"/>
        <v>0</v>
      </c>
      <c r="W9" s="11"/>
      <c r="X9" s="11">
        <f t="shared" si="12"/>
        <v>0</v>
      </c>
      <c r="Y9" s="11"/>
      <c r="Z9" s="11">
        <f t="shared" si="8"/>
        <v>0</v>
      </c>
      <c r="AA9" s="11"/>
      <c r="AB9" s="11">
        <f t="shared" si="9"/>
        <v>0</v>
      </c>
      <c r="AC9" s="11"/>
      <c r="AD9" s="11">
        <f t="shared" si="10"/>
        <v>0</v>
      </c>
      <c r="AE9" s="11">
        <f t="shared" si="13"/>
        <v>0</v>
      </c>
      <c r="AF9" s="11">
        <f t="shared" si="13"/>
        <v>0</v>
      </c>
      <c r="AG9" s="11">
        <f t="shared" si="11"/>
        <v>0</v>
      </c>
    </row>
    <row r="10" spans="1:33" s="19" customFormat="1" ht="25.15" customHeight="1" x14ac:dyDescent="0.25">
      <c r="A10" s="37">
        <v>5</v>
      </c>
      <c r="B10" s="38"/>
      <c r="C10" s="11"/>
      <c r="D10" s="11">
        <f t="shared" si="0"/>
        <v>0</v>
      </c>
      <c r="E10" s="11"/>
      <c r="F10" s="11">
        <f t="shared" si="1"/>
        <v>0</v>
      </c>
      <c r="G10" s="11"/>
      <c r="H10" s="11"/>
      <c r="I10" s="11"/>
      <c r="J10" s="11">
        <f t="shared" si="2"/>
        <v>0</v>
      </c>
      <c r="K10" s="11"/>
      <c r="L10" s="11">
        <f>K10*12</f>
        <v>0</v>
      </c>
      <c r="M10" s="11"/>
      <c r="N10" s="11">
        <f t="shared" si="3"/>
        <v>0</v>
      </c>
      <c r="O10" s="11"/>
      <c r="P10" s="11">
        <f t="shared" si="4"/>
        <v>0</v>
      </c>
      <c r="Q10" s="11"/>
      <c r="R10" s="11">
        <f t="shared" si="5"/>
        <v>0</v>
      </c>
      <c r="S10" s="11"/>
      <c r="T10" s="11">
        <f t="shared" si="6"/>
        <v>0</v>
      </c>
      <c r="U10" s="11"/>
      <c r="V10" s="11">
        <f t="shared" si="7"/>
        <v>0</v>
      </c>
      <c r="W10" s="11"/>
      <c r="X10" s="11">
        <f t="shared" si="12"/>
        <v>0</v>
      </c>
      <c r="Y10" s="11"/>
      <c r="Z10" s="11">
        <f t="shared" si="8"/>
        <v>0</v>
      </c>
      <c r="AA10" s="11"/>
      <c r="AB10" s="11">
        <f t="shared" si="9"/>
        <v>0</v>
      </c>
      <c r="AC10" s="11"/>
      <c r="AD10" s="11">
        <f t="shared" si="10"/>
        <v>0</v>
      </c>
      <c r="AE10" s="11">
        <f t="shared" si="13"/>
        <v>0</v>
      </c>
      <c r="AF10" s="11">
        <f t="shared" si="13"/>
        <v>0</v>
      </c>
      <c r="AG10" s="11">
        <f t="shared" si="11"/>
        <v>0</v>
      </c>
    </row>
    <row r="11" spans="1:33" s="19" customFormat="1" ht="25.15" customHeight="1" x14ac:dyDescent="0.25">
      <c r="A11" s="37">
        <v>6</v>
      </c>
      <c r="B11" s="38"/>
      <c r="C11" s="11"/>
      <c r="D11" s="11">
        <f t="shared" si="0"/>
        <v>0</v>
      </c>
      <c r="E11" s="11"/>
      <c r="F11" s="11">
        <f t="shared" si="1"/>
        <v>0</v>
      </c>
      <c r="G11" s="11"/>
      <c r="H11" s="11"/>
      <c r="I11" s="11"/>
      <c r="J11" s="11">
        <f t="shared" si="2"/>
        <v>0</v>
      </c>
      <c r="K11" s="11"/>
      <c r="L11" s="11"/>
      <c r="M11" s="11"/>
      <c r="N11" s="11">
        <f t="shared" si="3"/>
        <v>0</v>
      </c>
      <c r="O11" s="11"/>
      <c r="P11" s="11">
        <f t="shared" si="4"/>
        <v>0</v>
      </c>
      <c r="Q11" s="11"/>
      <c r="R11" s="11">
        <f t="shared" si="5"/>
        <v>0</v>
      </c>
      <c r="S11" s="11"/>
      <c r="T11" s="11">
        <f t="shared" si="6"/>
        <v>0</v>
      </c>
      <c r="U11" s="11"/>
      <c r="V11" s="11">
        <f t="shared" si="7"/>
        <v>0</v>
      </c>
      <c r="W11" s="11"/>
      <c r="X11" s="11">
        <f t="shared" si="12"/>
        <v>0</v>
      </c>
      <c r="Y11" s="11"/>
      <c r="Z11" s="11">
        <f t="shared" si="8"/>
        <v>0</v>
      </c>
      <c r="AA11" s="11"/>
      <c r="AB11" s="11">
        <f t="shared" si="9"/>
        <v>0</v>
      </c>
      <c r="AC11" s="11"/>
      <c r="AD11" s="11">
        <f t="shared" si="10"/>
        <v>0</v>
      </c>
      <c r="AE11" s="11">
        <f t="shared" si="13"/>
        <v>0</v>
      </c>
      <c r="AF11" s="11">
        <f t="shared" si="13"/>
        <v>0</v>
      </c>
      <c r="AG11" s="11">
        <f t="shared" si="11"/>
        <v>0</v>
      </c>
    </row>
    <row r="12" spans="1:33" s="19" customFormat="1" ht="25.15" customHeight="1" x14ac:dyDescent="0.25">
      <c r="A12" s="37"/>
      <c r="B12" s="3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>
        <f t="shared" si="6"/>
        <v>0</v>
      </c>
      <c r="U12" s="11"/>
      <c r="V12" s="11">
        <f t="shared" si="7"/>
        <v>0</v>
      </c>
      <c r="W12" s="11"/>
      <c r="X12" s="11">
        <f t="shared" si="12"/>
        <v>0</v>
      </c>
      <c r="Y12" s="11"/>
      <c r="Z12" s="11">
        <f t="shared" si="8"/>
        <v>0</v>
      </c>
      <c r="AA12" s="11"/>
      <c r="AB12" s="11"/>
      <c r="AC12" s="11"/>
      <c r="AD12" s="11">
        <f t="shared" si="10"/>
        <v>0</v>
      </c>
      <c r="AE12" s="11"/>
      <c r="AF12" s="11"/>
      <c r="AG12" s="11">
        <f t="shared" si="11"/>
        <v>0</v>
      </c>
    </row>
    <row r="13" spans="1:33" ht="25.15" customHeight="1" x14ac:dyDescent="0.6">
      <c r="A13" s="39"/>
      <c r="B13" s="38"/>
      <c r="C13" s="6"/>
      <c r="D13" s="11"/>
      <c r="E13" s="6"/>
      <c r="F13" s="11"/>
      <c r="G13" s="6"/>
      <c r="H13" s="11"/>
      <c r="I13" s="6"/>
      <c r="J13" s="11"/>
      <c r="K13" s="6"/>
      <c r="L13" s="11"/>
      <c r="M13" s="6"/>
      <c r="N13" s="11"/>
      <c r="O13" s="6"/>
      <c r="P13" s="11"/>
      <c r="Q13" s="6"/>
      <c r="R13" s="11"/>
      <c r="S13" s="6"/>
      <c r="T13" s="11"/>
      <c r="U13" s="6"/>
      <c r="V13" s="11"/>
      <c r="W13" s="11"/>
      <c r="X13" s="11">
        <f t="shared" si="12"/>
        <v>0</v>
      </c>
      <c r="Y13" s="6"/>
      <c r="Z13" s="6"/>
      <c r="AA13" s="6"/>
      <c r="AB13" s="6"/>
      <c r="AC13" s="6"/>
      <c r="AD13" s="6"/>
      <c r="AE13" s="6"/>
      <c r="AF13" s="6"/>
      <c r="AG13" s="11">
        <f t="shared" si="11"/>
        <v>0</v>
      </c>
    </row>
    <row r="14" spans="1:33" ht="25.15" customHeight="1" x14ac:dyDescent="0.6">
      <c r="A14" s="39"/>
      <c r="B14" s="40"/>
      <c r="C14" s="6"/>
      <c r="D14" s="11"/>
      <c r="E14" s="6"/>
      <c r="F14" s="11"/>
      <c r="G14" s="6"/>
      <c r="H14" s="11"/>
      <c r="I14" s="6"/>
      <c r="J14" s="11"/>
      <c r="K14" s="6"/>
      <c r="L14" s="11"/>
      <c r="M14" s="6"/>
      <c r="N14" s="11"/>
      <c r="O14" s="6"/>
      <c r="P14" s="11"/>
      <c r="Q14" s="6"/>
      <c r="R14" s="11"/>
      <c r="S14" s="6"/>
      <c r="T14" s="11"/>
      <c r="U14" s="6"/>
      <c r="V14" s="11"/>
      <c r="W14" s="11"/>
      <c r="X14" s="11"/>
      <c r="Y14" s="6"/>
      <c r="Z14" s="6"/>
      <c r="AA14" s="6"/>
      <c r="AB14" s="6"/>
      <c r="AC14" s="6"/>
      <c r="AD14" s="6"/>
      <c r="AE14" s="6"/>
      <c r="AF14" s="6"/>
      <c r="AG14" s="11">
        <f t="shared" si="11"/>
        <v>0</v>
      </c>
    </row>
    <row r="15" spans="1:33" ht="25.15" customHeight="1" x14ac:dyDescent="0.6">
      <c r="A15" s="39"/>
      <c r="B15" s="40"/>
      <c r="C15" s="6"/>
      <c r="D15" s="11"/>
      <c r="E15" s="6"/>
      <c r="F15" s="11"/>
      <c r="G15" s="6"/>
      <c r="H15" s="11"/>
      <c r="I15" s="6"/>
      <c r="J15" s="11"/>
      <c r="K15" s="6"/>
      <c r="L15" s="11"/>
      <c r="M15" s="6"/>
      <c r="N15" s="11"/>
      <c r="O15" s="6"/>
      <c r="P15" s="11"/>
      <c r="Q15" s="6"/>
      <c r="R15" s="11"/>
      <c r="S15" s="6"/>
      <c r="T15" s="11"/>
      <c r="U15" s="6"/>
      <c r="V15" s="11"/>
      <c r="W15" s="11"/>
      <c r="X15" s="11"/>
      <c r="Y15" s="6"/>
      <c r="Z15" s="6"/>
      <c r="AA15" s="6"/>
      <c r="AB15" s="6"/>
      <c r="AC15" s="6"/>
      <c r="AD15" s="6"/>
      <c r="AE15" s="6"/>
      <c r="AF15" s="6"/>
      <c r="AG15" s="11">
        <f t="shared" si="11"/>
        <v>0</v>
      </c>
    </row>
    <row r="16" spans="1:33" ht="25.15" customHeight="1" x14ac:dyDescent="0.6">
      <c r="A16" s="39"/>
      <c r="B16" s="40"/>
      <c r="C16" s="6"/>
      <c r="D16" s="11"/>
      <c r="E16" s="6"/>
      <c r="F16" s="11"/>
      <c r="G16" s="6"/>
      <c r="H16" s="11"/>
      <c r="I16" s="6"/>
      <c r="J16" s="11"/>
      <c r="K16" s="6"/>
      <c r="L16" s="11"/>
      <c r="M16" s="6"/>
      <c r="N16" s="11"/>
      <c r="O16" s="6"/>
      <c r="P16" s="11"/>
      <c r="Q16" s="6"/>
      <c r="R16" s="11"/>
      <c r="S16" s="6"/>
      <c r="T16" s="11"/>
      <c r="U16" s="6"/>
      <c r="V16" s="11"/>
      <c r="W16" s="11"/>
      <c r="X16" s="11"/>
      <c r="Y16" s="6"/>
      <c r="Z16" s="6"/>
      <c r="AA16" s="6"/>
      <c r="AB16" s="6"/>
      <c r="AC16" s="6"/>
      <c r="AD16" s="6"/>
      <c r="AE16" s="6"/>
      <c r="AF16" s="6"/>
      <c r="AG16" s="11">
        <f t="shared" si="11"/>
        <v>0</v>
      </c>
    </row>
    <row r="17" spans="1:33" ht="25.15" customHeight="1" x14ac:dyDescent="0.6">
      <c r="A17" s="39"/>
      <c r="B17" s="40"/>
      <c r="C17" s="6"/>
      <c r="D17" s="11"/>
      <c r="E17" s="6"/>
      <c r="F17" s="11"/>
      <c r="G17" s="6"/>
      <c r="H17" s="11"/>
      <c r="I17" s="6"/>
      <c r="J17" s="11"/>
      <c r="K17" s="6"/>
      <c r="L17" s="11"/>
      <c r="M17" s="6"/>
      <c r="N17" s="11"/>
      <c r="O17" s="6"/>
      <c r="P17" s="11"/>
      <c r="Q17" s="6"/>
      <c r="R17" s="11"/>
      <c r="S17" s="6"/>
      <c r="T17" s="11"/>
      <c r="U17" s="6"/>
      <c r="V17" s="11"/>
      <c r="W17" s="11"/>
      <c r="X17" s="11"/>
      <c r="Y17" s="6"/>
      <c r="Z17" s="6"/>
      <c r="AA17" s="6"/>
      <c r="AB17" s="6"/>
      <c r="AC17" s="6"/>
      <c r="AD17" s="6"/>
      <c r="AE17" s="6"/>
      <c r="AF17" s="6"/>
      <c r="AG17" s="11">
        <f t="shared" si="11"/>
        <v>0</v>
      </c>
    </row>
    <row r="18" spans="1:33" ht="25.15" customHeight="1" x14ac:dyDescent="0.6">
      <c r="A18" s="39"/>
      <c r="B18" s="40"/>
      <c r="C18" s="6"/>
      <c r="D18" s="11"/>
      <c r="E18" s="6"/>
      <c r="F18" s="11"/>
      <c r="G18" s="6"/>
      <c r="H18" s="11"/>
      <c r="I18" s="6"/>
      <c r="J18" s="11"/>
      <c r="K18" s="6"/>
      <c r="L18" s="11"/>
      <c r="M18" s="6"/>
      <c r="N18" s="11"/>
      <c r="O18" s="6"/>
      <c r="P18" s="11"/>
      <c r="Q18" s="6"/>
      <c r="R18" s="11"/>
      <c r="S18" s="6"/>
      <c r="T18" s="11"/>
      <c r="U18" s="6"/>
      <c r="V18" s="11"/>
      <c r="W18" s="11"/>
      <c r="X18" s="11"/>
      <c r="Y18" s="6"/>
      <c r="Z18" s="6"/>
      <c r="AA18" s="6"/>
      <c r="AB18" s="6"/>
      <c r="AC18" s="6"/>
      <c r="AD18" s="6"/>
      <c r="AE18" s="6"/>
      <c r="AF18" s="6"/>
      <c r="AG18" s="11">
        <f t="shared" si="11"/>
        <v>0</v>
      </c>
    </row>
    <row r="19" spans="1:33" ht="25.15" customHeight="1" x14ac:dyDescent="0.6">
      <c r="A19" s="39"/>
      <c r="B19" s="40"/>
      <c r="C19" s="6"/>
      <c r="D19" s="11"/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R19" s="11"/>
      <c r="S19" s="6"/>
      <c r="T19" s="11"/>
      <c r="U19" s="6"/>
      <c r="V19" s="11"/>
      <c r="W19" s="11"/>
      <c r="X19" s="11"/>
      <c r="Y19" s="6"/>
      <c r="Z19" s="6"/>
      <c r="AA19" s="6"/>
      <c r="AB19" s="6"/>
      <c r="AC19" s="6"/>
      <c r="AD19" s="6"/>
      <c r="AE19" s="6"/>
      <c r="AF19" s="6"/>
      <c r="AG19" s="11">
        <f t="shared" si="11"/>
        <v>0</v>
      </c>
    </row>
    <row r="20" spans="1:33" ht="25.15" customHeight="1" x14ac:dyDescent="0.6">
      <c r="A20" s="39"/>
      <c r="B20" s="40"/>
      <c r="C20" s="49">
        <f>SUM(C6:C19)</f>
        <v>30</v>
      </c>
      <c r="D20" s="6">
        <f t="shared" ref="D20:AD20" si="14">SUM(D6:D19)</f>
        <v>420</v>
      </c>
      <c r="E20" s="49">
        <f t="shared" si="14"/>
        <v>30</v>
      </c>
      <c r="F20" s="6">
        <f t="shared" si="14"/>
        <v>360</v>
      </c>
      <c r="G20" s="6">
        <f t="shared" si="14"/>
        <v>0</v>
      </c>
      <c r="H20" s="6">
        <f t="shared" si="14"/>
        <v>0</v>
      </c>
      <c r="I20" s="49">
        <f t="shared" si="14"/>
        <v>0</v>
      </c>
      <c r="J20" s="6">
        <f t="shared" si="14"/>
        <v>0</v>
      </c>
      <c r="K20" s="6">
        <f t="shared" si="14"/>
        <v>0</v>
      </c>
      <c r="L20" s="6">
        <f t="shared" si="14"/>
        <v>0</v>
      </c>
      <c r="M20" s="49">
        <f t="shared" si="14"/>
        <v>15</v>
      </c>
      <c r="N20" s="6">
        <f t="shared" si="14"/>
        <v>180</v>
      </c>
      <c r="O20" s="49">
        <f t="shared" si="14"/>
        <v>0</v>
      </c>
      <c r="P20" s="6">
        <f t="shared" si="14"/>
        <v>0</v>
      </c>
      <c r="Q20" s="6">
        <f t="shared" si="14"/>
        <v>0</v>
      </c>
      <c r="R20" s="6">
        <f t="shared" si="14"/>
        <v>0</v>
      </c>
      <c r="S20" s="6">
        <f t="shared" si="14"/>
        <v>0</v>
      </c>
      <c r="T20" s="6">
        <f t="shared" si="14"/>
        <v>0</v>
      </c>
      <c r="U20" s="6">
        <f t="shared" si="14"/>
        <v>0</v>
      </c>
      <c r="V20" s="6">
        <f t="shared" si="14"/>
        <v>0</v>
      </c>
      <c r="W20" s="6">
        <f t="shared" si="14"/>
        <v>0</v>
      </c>
      <c r="X20" s="6">
        <f t="shared" si="14"/>
        <v>0</v>
      </c>
      <c r="Y20" s="6">
        <f t="shared" si="14"/>
        <v>0</v>
      </c>
      <c r="Z20" s="6">
        <f t="shared" si="14"/>
        <v>0</v>
      </c>
      <c r="AA20" s="6">
        <f t="shared" si="14"/>
        <v>0</v>
      </c>
      <c r="AB20" s="6">
        <f t="shared" si="14"/>
        <v>0</v>
      </c>
      <c r="AC20" s="6">
        <f>SUM(AC6:AC19)</f>
        <v>0</v>
      </c>
      <c r="AD20" s="6">
        <f t="shared" si="14"/>
        <v>0</v>
      </c>
      <c r="AE20" s="6">
        <f>SUM(AE6:AE19)</f>
        <v>75</v>
      </c>
      <c r="AF20" s="6">
        <f>SUM(AF6:AF19)</f>
        <v>960</v>
      </c>
      <c r="AG20" s="11">
        <f t="shared" si="11"/>
        <v>808.8</v>
      </c>
    </row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</sheetData>
  <mergeCells count="19">
    <mergeCell ref="A2:A4"/>
    <mergeCell ref="B2:B4"/>
    <mergeCell ref="C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W3:X3"/>
    <mergeCell ref="U3:V3"/>
    <mergeCell ref="Y3:Z3"/>
    <mergeCell ref="AA3:AB3"/>
    <mergeCell ref="AC3:AD3"/>
    <mergeCell ref="C1:X1"/>
    <mergeCell ref="AE3:AG3"/>
  </mergeCells>
  <hyperlinks>
    <hyperlink ref="C1:X1" location="'SMM YGN '!A1" display="ကိုကျော်ဆွေ (သန်လျင်)" xr:uid="{00000000-0004-0000-2B00-000000000000}"/>
    <hyperlink ref="U1:V1" location="'SMM YGN '!A1" display="ကိုကျော်ဆွေ (သန်လျင်)" xr:uid="{00000000-0004-0000-2B00-000001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1"/>
  <dimension ref="A1:AH89"/>
  <sheetViews>
    <sheetView workbookViewId="0">
      <pane xSplit="2" ySplit="4" topLeftCell="M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B1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0.28515625" style="1" customWidth="1"/>
    <col min="5" max="22" width="10" style="1" customWidth="1"/>
    <col min="23" max="24" width="10.28515625" style="1" customWidth="1"/>
    <col min="25" max="26" width="9.7109375" style="1" customWidth="1"/>
    <col min="27" max="28" width="7.85546875" style="1" customWidth="1"/>
    <col min="29" max="30" width="8.7109375" style="1" customWidth="1"/>
    <col min="31" max="32" width="7.85546875" style="1" customWidth="1"/>
    <col min="33" max="16384" width="9" style="1"/>
  </cols>
  <sheetData>
    <row r="1" spans="1:34" ht="21.75" x14ac:dyDescent="0.6">
      <c r="A1" s="23"/>
      <c r="B1" s="24"/>
      <c r="C1" s="745" t="s">
        <v>100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E1" s="1">
        <f>AE25</f>
        <v>295</v>
      </c>
      <c r="AG1" s="25">
        <v>12</v>
      </c>
      <c r="AH1" s="26">
        <v>14</v>
      </c>
    </row>
    <row r="2" spans="1:34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D2" s="1" t="s">
        <v>67</v>
      </c>
      <c r="AE2" s="1">
        <f>AF25</f>
        <v>4540</v>
      </c>
      <c r="AG2" s="28">
        <v>24</v>
      </c>
      <c r="AH2" s="29">
        <v>40</v>
      </c>
    </row>
    <row r="3" spans="1:34" s="27" customFormat="1" ht="46.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4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4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4" s="19" customFormat="1" ht="25.15" customHeight="1" x14ac:dyDescent="0.25">
      <c r="A6" s="37">
        <v>1</v>
      </c>
      <c r="B6" s="38" t="s">
        <v>345</v>
      </c>
      <c r="C6" s="11"/>
      <c r="D6" s="11">
        <f>C6*14</f>
        <v>0</v>
      </c>
      <c r="E6" s="11">
        <v>50</v>
      </c>
      <c r="F6" s="11">
        <f>E6*12</f>
        <v>600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50</v>
      </c>
      <c r="AF6" s="11">
        <f>D6+F6+H6+J6+L6+N6+P6+R6+T6+V6+X6+Z6+AB6+AD6</f>
        <v>600</v>
      </c>
      <c r="AG6" s="11">
        <f t="shared" ref="AG6:AG24" si="0">(D6*$D$5)+(F6*$F$5)+(H6*$H$5)+(J6*$J$5)+(L6*$L$5)+(N6*$N$5)+(P6*$P$5)+(R6*$R$5)+(T6*$T$5)+(V6*$V$5)+(X6*$X$5)+(Z6*$Z$5)+(AB6*$AB$5)+(AD6*$AD$5)</f>
        <v>600</v>
      </c>
    </row>
    <row r="7" spans="1:34" s="19" customFormat="1" ht="25.15" customHeight="1" x14ac:dyDescent="0.25">
      <c r="A7" s="37">
        <v>2</v>
      </c>
      <c r="B7" s="38">
        <v>45717</v>
      </c>
      <c r="C7" s="11">
        <v>30</v>
      </c>
      <c r="D7" s="11">
        <f t="shared" ref="D7:D22" si="1">C7*14</f>
        <v>420</v>
      </c>
      <c r="E7" s="11">
        <v>50</v>
      </c>
      <c r="F7" s="11">
        <f t="shared" ref="F7:F22" si="2">E7*12</f>
        <v>600</v>
      </c>
      <c r="G7" s="11"/>
      <c r="H7" s="11">
        <f t="shared" ref="H7:H19" si="3">G7*12</f>
        <v>0</v>
      </c>
      <c r="I7" s="11">
        <v>20</v>
      </c>
      <c r="J7" s="11">
        <f t="shared" ref="J7:J22" si="4">I7*40</f>
        <v>800</v>
      </c>
      <c r="K7" s="11"/>
      <c r="L7" s="11">
        <f t="shared" ref="L7:L21" si="5">K7*12</f>
        <v>0</v>
      </c>
      <c r="M7" s="11"/>
      <c r="N7" s="11">
        <f t="shared" ref="N7:N20" si="6">M7*12</f>
        <v>0</v>
      </c>
      <c r="O7" s="11"/>
      <c r="P7" s="11">
        <f t="shared" ref="P7:P18" si="7">O7*40</f>
        <v>0</v>
      </c>
      <c r="Q7" s="11"/>
      <c r="R7" s="11">
        <f t="shared" ref="R7:R21" si="8">Q7*14</f>
        <v>0</v>
      </c>
      <c r="S7" s="11"/>
      <c r="T7" s="11">
        <f t="shared" ref="T7:T18" si="9">S7*14</f>
        <v>0</v>
      </c>
      <c r="U7" s="11"/>
      <c r="V7" s="11">
        <f t="shared" ref="V7:V18" si="10">U7*24</f>
        <v>0</v>
      </c>
      <c r="W7" s="11"/>
      <c r="X7" s="11">
        <f t="shared" ref="X7:X18" si="11">W7*12</f>
        <v>0</v>
      </c>
      <c r="Y7" s="11"/>
      <c r="Z7" s="11">
        <f t="shared" ref="Z7:Z18" si="12">Y7*12</f>
        <v>0</v>
      </c>
      <c r="AA7" s="11"/>
      <c r="AB7" s="11">
        <f t="shared" ref="AB7:AB18" si="13">AA7*12</f>
        <v>0</v>
      </c>
      <c r="AC7" s="11"/>
      <c r="AD7" s="11">
        <f t="shared" ref="AD7:AD18" si="14">AC7*12</f>
        <v>0</v>
      </c>
      <c r="AE7" s="11">
        <f t="shared" ref="AE7:AF22" si="15">C7+E7+G7+I7+K7+M7+O7+Q7+S7+U7+W7+Y7+AA7+AC7</f>
        <v>100</v>
      </c>
      <c r="AF7" s="11">
        <f t="shared" si="15"/>
        <v>1820</v>
      </c>
      <c r="AG7" s="13">
        <f t="shared" si="0"/>
        <v>1148.8</v>
      </c>
    </row>
    <row r="8" spans="1:34" s="19" customFormat="1" ht="25.15" customHeight="1" x14ac:dyDescent="0.25">
      <c r="A8" s="37">
        <v>3</v>
      </c>
      <c r="B8" s="38">
        <v>45839</v>
      </c>
      <c r="C8" s="11">
        <v>30</v>
      </c>
      <c r="D8" s="11">
        <f t="shared" si="1"/>
        <v>420</v>
      </c>
      <c r="E8" s="11">
        <v>50</v>
      </c>
      <c r="F8" s="11">
        <f t="shared" si="2"/>
        <v>600</v>
      </c>
      <c r="G8" s="11">
        <v>5</v>
      </c>
      <c r="H8" s="11">
        <f t="shared" si="3"/>
        <v>60</v>
      </c>
      <c r="I8" s="11">
        <v>10</v>
      </c>
      <c r="J8" s="11">
        <f t="shared" si="4"/>
        <v>400</v>
      </c>
      <c r="K8" s="11"/>
      <c r="L8" s="11">
        <f t="shared" si="5"/>
        <v>0</v>
      </c>
      <c r="M8" s="11"/>
      <c r="N8" s="11">
        <f t="shared" si="6"/>
        <v>0</v>
      </c>
      <c r="O8" s="11"/>
      <c r="P8" s="11">
        <f t="shared" si="7"/>
        <v>0</v>
      </c>
      <c r="Q8" s="11"/>
      <c r="R8" s="11">
        <f t="shared" si="8"/>
        <v>0</v>
      </c>
      <c r="S8" s="11"/>
      <c r="T8" s="11">
        <f t="shared" si="9"/>
        <v>0</v>
      </c>
      <c r="U8" s="11"/>
      <c r="V8" s="11">
        <f t="shared" si="10"/>
        <v>0</v>
      </c>
      <c r="W8" s="11"/>
      <c r="X8" s="11">
        <f t="shared" si="11"/>
        <v>0</v>
      </c>
      <c r="Y8" s="11"/>
      <c r="Z8" s="11">
        <f t="shared" si="12"/>
        <v>0</v>
      </c>
      <c r="AA8" s="11"/>
      <c r="AB8" s="11">
        <f t="shared" si="13"/>
        <v>0</v>
      </c>
      <c r="AC8" s="11"/>
      <c r="AD8" s="11">
        <f t="shared" si="14"/>
        <v>0</v>
      </c>
      <c r="AE8" s="11">
        <f t="shared" si="15"/>
        <v>95</v>
      </c>
      <c r="AF8" s="11">
        <f t="shared" si="15"/>
        <v>1480</v>
      </c>
      <c r="AG8" s="13">
        <f t="shared" si="0"/>
        <v>1044.8</v>
      </c>
    </row>
    <row r="9" spans="1:34" s="19" customFormat="1" ht="25.15" customHeight="1" x14ac:dyDescent="0.25">
      <c r="A9" s="37">
        <v>4</v>
      </c>
      <c r="B9" s="38">
        <v>45901</v>
      </c>
      <c r="C9" s="11">
        <v>20</v>
      </c>
      <c r="D9" s="11">
        <f t="shared" si="1"/>
        <v>280</v>
      </c>
      <c r="E9" s="11">
        <v>30</v>
      </c>
      <c r="F9" s="11">
        <f t="shared" si="2"/>
        <v>360</v>
      </c>
      <c r="G9" s="11"/>
      <c r="H9" s="11">
        <f t="shared" si="3"/>
        <v>0</v>
      </c>
      <c r="I9" s="11"/>
      <c r="J9" s="11">
        <f t="shared" si="4"/>
        <v>0</v>
      </c>
      <c r="K9" s="11"/>
      <c r="L9" s="11">
        <f t="shared" si="5"/>
        <v>0</v>
      </c>
      <c r="M9" s="11"/>
      <c r="N9" s="11">
        <f t="shared" si="6"/>
        <v>0</v>
      </c>
      <c r="O9" s="11"/>
      <c r="P9" s="11">
        <f t="shared" si="7"/>
        <v>0</v>
      </c>
      <c r="Q9" s="11"/>
      <c r="R9" s="11">
        <f t="shared" si="8"/>
        <v>0</v>
      </c>
      <c r="S9" s="11"/>
      <c r="T9" s="11">
        <f t="shared" si="9"/>
        <v>0</v>
      </c>
      <c r="U9" s="11"/>
      <c r="V9" s="11">
        <f t="shared" si="10"/>
        <v>0</v>
      </c>
      <c r="W9" s="11"/>
      <c r="X9" s="11">
        <f t="shared" si="11"/>
        <v>0</v>
      </c>
      <c r="Y9" s="11"/>
      <c r="Z9" s="11">
        <f t="shared" si="12"/>
        <v>0</v>
      </c>
      <c r="AA9" s="11"/>
      <c r="AB9" s="11">
        <f t="shared" si="13"/>
        <v>0</v>
      </c>
      <c r="AC9" s="11"/>
      <c r="AD9" s="11">
        <f t="shared" si="14"/>
        <v>0</v>
      </c>
      <c r="AE9" s="11">
        <f t="shared" si="15"/>
        <v>50</v>
      </c>
      <c r="AF9" s="11">
        <f t="shared" si="15"/>
        <v>640</v>
      </c>
      <c r="AG9" s="13">
        <f t="shared" si="0"/>
        <v>539.20000000000005</v>
      </c>
    </row>
    <row r="10" spans="1:34" s="19" customFormat="1" ht="25.15" customHeight="1" x14ac:dyDescent="0.25">
      <c r="A10" s="37">
        <v>5</v>
      </c>
      <c r="B10" s="38"/>
      <c r="C10" s="11"/>
      <c r="D10" s="11">
        <f t="shared" si="1"/>
        <v>0</v>
      </c>
      <c r="E10" s="11"/>
      <c r="F10" s="11">
        <f t="shared" si="2"/>
        <v>0</v>
      </c>
      <c r="G10" s="11"/>
      <c r="H10" s="11">
        <f t="shared" si="3"/>
        <v>0</v>
      </c>
      <c r="I10" s="11"/>
      <c r="J10" s="11">
        <f t="shared" si="4"/>
        <v>0</v>
      </c>
      <c r="K10" s="11"/>
      <c r="L10" s="11">
        <f t="shared" si="5"/>
        <v>0</v>
      </c>
      <c r="M10" s="11"/>
      <c r="N10" s="11">
        <f t="shared" si="6"/>
        <v>0</v>
      </c>
      <c r="O10" s="11"/>
      <c r="P10" s="11">
        <f t="shared" si="7"/>
        <v>0</v>
      </c>
      <c r="Q10" s="11"/>
      <c r="R10" s="11">
        <f t="shared" si="8"/>
        <v>0</v>
      </c>
      <c r="S10" s="11"/>
      <c r="T10" s="11">
        <f t="shared" si="9"/>
        <v>0</v>
      </c>
      <c r="U10" s="11"/>
      <c r="V10" s="11">
        <f t="shared" si="10"/>
        <v>0</v>
      </c>
      <c r="W10" s="11"/>
      <c r="X10" s="11">
        <f t="shared" si="11"/>
        <v>0</v>
      </c>
      <c r="Y10" s="11"/>
      <c r="Z10" s="11">
        <f t="shared" si="12"/>
        <v>0</v>
      </c>
      <c r="AA10" s="11"/>
      <c r="AB10" s="11">
        <f t="shared" si="13"/>
        <v>0</v>
      </c>
      <c r="AC10" s="11"/>
      <c r="AD10" s="11">
        <f t="shared" si="14"/>
        <v>0</v>
      </c>
      <c r="AE10" s="11">
        <f t="shared" si="15"/>
        <v>0</v>
      </c>
      <c r="AF10" s="11">
        <f t="shared" si="15"/>
        <v>0</v>
      </c>
      <c r="AG10" s="13">
        <f t="shared" si="0"/>
        <v>0</v>
      </c>
    </row>
    <row r="11" spans="1:34" s="19" customFormat="1" ht="25.15" customHeight="1" x14ac:dyDescent="0.25">
      <c r="A11" s="37">
        <v>6</v>
      </c>
      <c r="B11" s="38"/>
      <c r="C11" s="11"/>
      <c r="D11" s="11">
        <f t="shared" si="1"/>
        <v>0</v>
      </c>
      <c r="E11" s="11"/>
      <c r="F11" s="11">
        <f t="shared" si="2"/>
        <v>0</v>
      </c>
      <c r="G11" s="11"/>
      <c r="H11" s="11">
        <f t="shared" si="3"/>
        <v>0</v>
      </c>
      <c r="I11" s="11"/>
      <c r="J11" s="11">
        <f t="shared" si="4"/>
        <v>0</v>
      </c>
      <c r="K11" s="11"/>
      <c r="L11" s="11">
        <f t="shared" si="5"/>
        <v>0</v>
      </c>
      <c r="M11" s="11"/>
      <c r="N11" s="11">
        <f t="shared" si="6"/>
        <v>0</v>
      </c>
      <c r="O11" s="11"/>
      <c r="P11" s="11">
        <f t="shared" si="7"/>
        <v>0</v>
      </c>
      <c r="Q11" s="11"/>
      <c r="R11" s="11">
        <f t="shared" si="8"/>
        <v>0</v>
      </c>
      <c r="S11" s="11"/>
      <c r="T11" s="11">
        <f t="shared" si="9"/>
        <v>0</v>
      </c>
      <c r="U11" s="11"/>
      <c r="V11" s="11">
        <f t="shared" si="10"/>
        <v>0</v>
      </c>
      <c r="W11" s="11"/>
      <c r="X11" s="11">
        <f t="shared" si="11"/>
        <v>0</v>
      </c>
      <c r="Y11" s="11"/>
      <c r="Z11" s="11">
        <f t="shared" si="12"/>
        <v>0</v>
      </c>
      <c r="AA11" s="11"/>
      <c r="AB11" s="11">
        <f t="shared" si="13"/>
        <v>0</v>
      </c>
      <c r="AC11" s="11"/>
      <c r="AD11" s="11">
        <f t="shared" si="14"/>
        <v>0</v>
      </c>
      <c r="AE11" s="11">
        <f t="shared" si="15"/>
        <v>0</v>
      </c>
      <c r="AF11" s="11">
        <f t="shared" si="15"/>
        <v>0</v>
      </c>
      <c r="AG11" s="13">
        <f t="shared" si="0"/>
        <v>0</v>
      </c>
    </row>
    <row r="12" spans="1:34" ht="25.15" customHeight="1" x14ac:dyDescent="0.6">
      <c r="A12" s="37">
        <v>7</v>
      </c>
      <c r="B12" s="38"/>
      <c r="C12" s="6"/>
      <c r="D12" s="11">
        <f t="shared" si="1"/>
        <v>0</v>
      </c>
      <c r="E12" s="6"/>
      <c r="F12" s="11">
        <f t="shared" si="2"/>
        <v>0</v>
      </c>
      <c r="G12" s="6"/>
      <c r="H12" s="11">
        <f t="shared" si="3"/>
        <v>0</v>
      </c>
      <c r="I12" s="6"/>
      <c r="J12" s="11">
        <f t="shared" si="4"/>
        <v>0</v>
      </c>
      <c r="K12" s="6"/>
      <c r="L12" s="11">
        <f t="shared" si="5"/>
        <v>0</v>
      </c>
      <c r="M12" s="6"/>
      <c r="N12" s="11">
        <f t="shared" si="6"/>
        <v>0</v>
      </c>
      <c r="O12" s="6"/>
      <c r="P12" s="11">
        <f t="shared" si="7"/>
        <v>0</v>
      </c>
      <c r="Q12" s="6"/>
      <c r="R12" s="11">
        <f t="shared" si="8"/>
        <v>0</v>
      </c>
      <c r="S12" s="6"/>
      <c r="T12" s="11">
        <f t="shared" si="9"/>
        <v>0</v>
      </c>
      <c r="U12" s="6"/>
      <c r="V12" s="11">
        <f t="shared" si="10"/>
        <v>0</v>
      </c>
      <c r="W12" s="11"/>
      <c r="X12" s="11">
        <f t="shared" si="11"/>
        <v>0</v>
      </c>
      <c r="Y12" s="11"/>
      <c r="Z12" s="11">
        <f t="shared" si="12"/>
        <v>0</v>
      </c>
      <c r="AA12" s="11"/>
      <c r="AB12" s="11">
        <f t="shared" si="13"/>
        <v>0</v>
      </c>
      <c r="AC12" s="6"/>
      <c r="AD12" s="11">
        <f t="shared" si="14"/>
        <v>0</v>
      </c>
      <c r="AE12" s="11">
        <f t="shared" si="15"/>
        <v>0</v>
      </c>
      <c r="AF12" s="11">
        <f t="shared" si="15"/>
        <v>0</v>
      </c>
      <c r="AG12" s="13">
        <f t="shared" si="0"/>
        <v>0</v>
      </c>
    </row>
    <row r="13" spans="1:34" ht="25.15" customHeight="1" x14ac:dyDescent="0.6">
      <c r="A13" s="37">
        <v>8</v>
      </c>
      <c r="B13" s="38"/>
      <c r="C13" s="6"/>
      <c r="D13" s="11">
        <f t="shared" si="1"/>
        <v>0</v>
      </c>
      <c r="E13" s="6"/>
      <c r="F13" s="11">
        <f t="shared" si="2"/>
        <v>0</v>
      </c>
      <c r="G13" s="6"/>
      <c r="H13" s="11">
        <f t="shared" si="3"/>
        <v>0</v>
      </c>
      <c r="I13" s="6"/>
      <c r="J13" s="11">
        <f t="shared" si="4"/>
        <v>0</v>
      </c>
      <c r="K13" s="6"/>
      <c r="L13" s="11">
        <f t="shared" si="5"/>
        <v>0</v>
      </c>
      <c r="M13" s="6"/>
      <c r="N13" s="11">
        <f t="shared" si="6"/>
        <v>0</v>
      </c>
      <c r="O13" s="6"/>
      <c r="P13" s="11">
        <f t="shared" si="7"/>
        <v>0</v>
      </c>
      <c r="Q13" s="6"/>
      <c r="R13" s="11">
        <f t="shared" si="8"/>
        <v>0</v>
      </c>
      <c r="S13" s="6"/>
      <c r="T13" s="11">
        <f t="shared" si="9"/>
        <v>0</v>
      </c>
      <c r="U13" s="6"/>
      <c r="V13" s="11">
        <f t="shared" si="10"/>
        <v>0</v>
      </c>
      <c r="W13" s="11"/>
      <c r="X13" s="11">
        <f t="shared" si="11"/>
        <v>0</v>
      </c>
      <c r="Y13" s="11"/>
      <c r="Z13" s="11">
        <f t="shared" si="12"/>
        <v>0</v>
      </c>
      <c r="AA13" s="11"/>
      <c r="AB13" s="11">
        <f t="shared" si="13"/>
        <v>0</v>
      </c>
      <c r="AC13" s="6"/>
      <c r="AD13" s="11">
        <f t="shared" si="14"/>
        <v>0</v>
      </c>
      <c r="AE13" s="11">
        <f t="shared" si="15"/>
        <v>0</v>
      </c>
      <c r="AF13" s="11">
        <f t="shared" si="15"/>
        <v>0</v>
      </c>
      <c r="AG13" s="13">
        <f t="shared" si="0"/>
        <v>0</v>
      </c>
    </row>
    <row r="14" spans="1:34" ht="25.15" customHeight="1" x14ac:dyDescent="0.6">
      <c r="A14" s="37">
        <v>9</v>
      </c>
      <c r="B14" s="38"/>
      <c r="C14" s="6"/>
      <c r="D14" s="11">
        <f t="shared" si="1"/>
        <v>0</v>
      </c>
      <c r="E14" s="6"/>
      <c r="F14" s="11">
        <f t="shared" si="2"/>
        <v>0</v>
      </c>
      <c r="G14" s="6"/>
      <c r="H14" s="11">
        <f t="shared" si="3"/>
        <v>0</v>
      </c>
      <c r="I14" s="6"/>
      <c r="J14" s="11">
        <f t="shared" si="4"/>
        <v>0</v>
      </c>
      <c r="K14" s="6"/>
      <c r="L14" s="11">
        <f t="shared" si="5"/>
        <v>0</v>
      </c>
      <c r="M14" s="6"/>
      <c r="N14" s="11">
        <f t="shared" si="6"/>
        <v>0</v>
      </c>
      <c r="O14" s="6"/>
      <c r="P14" s="11">
        <f t="shared" si="7"/>
        <v>0</v>
      </c>
      <c r="Q14" s="6"/>
      <c r="R14" s="11">
        <f t="shared" si="8"/>
        <v>0</v>
      </c>
      <c r="S14" s="6"/>
      <c r="T14" s="11">
        <f t="shared" si="9"/>
        <v>0</v>
      </c>
      <c r="U14" s="6"/>
      <c r="V14" s="11">
        <f t="shared" si="10"/>
        <v>0</v>
      </c>
      <c r="W14" s="11"/>
      <c r="X14" s="11">
        <f t="shared" si="11"/>
        <v>0</v>
      </c>
      <c r="Y14" s="11"/>
      <c r="Z14" s="11">
        <f t="shared" si="12"/>
        <v>0</v>
      </c>
      <c r="AA14" s="11"/>
      <c r="AB14" s="11">
        <f t="shared" si="13"/>
        <v>0</v>
      </c>
      <c r="AC14" s="6"/>
      <c r="AD14" s="11">
        <f t="shared" si="14"/>
        <v>0</v>
      </c>
      <c r="AE14" s="11">
        <f t="shared" si="15"/>
        <v>0</v>
      </c>
      <c r="AF14" s="11">
        <f t="shared" si="15"/>
        <v>0</v>
      </c>
      <c r="AG14" s="13">
        <f t="shared" si="0"/>
        <v>0</v>
      </c>
    </row>
    <row r="15" spans="1:34" ht="25.15" customHeight="1" x14ac:dyDescent="0.6">
      <c r="A15" s="37">
        <v>10</v>
      </c>
      <c r="B15" s="38"/>
      <c r="C15" s="6"/>
      <c r="D15" s="11">
        <f t="shared" si="1"/>
        <v>0</v>
      </c>
      <c r="E15" s="6"/>
      <c r="F15" s="11">
        <f t="shared" si="2"/>
        <v>0</v>
      </c>
      <c r="G15" s="6"/>
      <c r="H15" s="11">
        <f t="shared" si="3"/>
        <v>0</v>
      </c>
      <c r="I15" s="6"/>
      <c r="J15" s="11">
        <f t="shared" si="4"/>
        <v>0</v>
      </c>
      <c r="K15" s="6"/>
      <c r="L15" s="11">
        <f t="shared" si="5"/>
        <v>0</v>
      </c>
      <c r="M15" s="6"/>
      <c r="N15" s="11">
        <f t="shared" si="6"/>
        <v>0</v>
      </c>
      <c r="O15" s="6"/>
      <c r="P15" s="11">
        <f t="shared" si="7"/>
        <v>0</v>
      </c>
      <c r="Q15" s="6"/>
      <c r="R15" s="11">
        <f t="shared" si="8"/>
        <v>0</v>
      </c>
      <c r="S15" s="6"/>
      <c r="T15" s="11">
        <f t="shared" si="9"/>
        <v>0</v>
      </c>
      <c r="U15" s="6"/>
      <c r="V15" s="11">
        <f t="shared" si="10"/>
        <v>0</v>
      </c>
      <c r="W15" s="11"/>
      <c r="X15" s="11">
        <f t="shared" si="11"/>
        <v>0</v>
      </c>
      <c r="Y15" s="11"/>
      <c r="Z15" s="11">
        <f t="shared" si="12"/>
        <v>0</v>
      </c>
      <c r="AA15" s="11"/>
      <c r="AB15" s="11">
        <f t="shared" si="13"/>
        <v>0</v>
      </c>
      <c r="AC15" s="6"/>
      <c r="AD15" s="11">
        <f t="shared" si="14"/>
        <v>0</v>
      </c>
      <c r="AE15" s="11">
        <f t="shared" si="15"/>
        <v>0</v>
      </c>
      <c r="AF15" s="11">
        <f t="shared" si="15"/>
        <v>0</v>
      </c>
      <c r="AG15" s="13">
        <f t="shared" si="0"/>
        <v>0</v>
      </c>
    </row>
    <row r="16" spans="1:34" ht="25.15" customHeight="1" x14ac:dyDescent="0.6">
      <c r="A16" s="37">
        <v>11</v>
      </c>
      <c r="B16" s="38"/>
      <c r="C16" s="6"/>
      <c r="D16" s="11">
        <f t="shared" si="1"/>
        <v>0</v>
      </c>
      <c r="E16" s="6"/>
      <c r="F16" s="11">
        <f t="shared" si="2"/>
        <v>0</v>
      </c>
      <c r="G16" s="6"/>
      <c r="H16" s="11">
        <f t="shared" si="3"/>
        <v>0</v>
      </c>
      <c r="I16" s="6"/>
      <c r="J16" s="11">
        <f t="shared" si="4"/>
        <v>0</v>
      </c>
      <c r="K16" s="6"/>
      <c r="L16" s="11">
        <f t="shared" si="5"/>
        <v>0</v>
      </c>
      <c r="M16" s="6"/>
      <c r="N16" s="11">
        <f t="shared" si="6"/>
        <v>0</v>
      </c>
      <c r="O16" s="6"/>
      <c r="P16" s="11">
        <f t="shared" si="7"/>
        <v>0</v>
      </c>
      <c r="Q16" s="6"/>
      <c r="R16" s="11">
        <f t="shared" si="8"/>
        <v>0</v>
      </c>
      <c r="S16" s="6"/>
      <c r="T16" s="11">
        <f t="shared" si="9"/>
        <v>0</v>
      </c>
      <c r="U16" s="6"/>
      <c r="V16" s="11">
        <f t="shared" si="10"/>
        <v>0</v>
      </c>
      <c r="W16" s="11"/>
      <c r="X16" s="11">
        <f t="shared" si="11"/>
        <v>0</v>
      </c>
      <c r="Y16" s="11"/>
      <c r="Z16" s="11">
        <f t="shared" si="12"/>
        <v>0</v>
      </c>
      <c r="AA16" s="11"/>
      <c r="AB16" s="11">
        <f t="shared" si="13"/>
        <v>0</v>
      </c>
      <c r="AC16" s="6"/>
      <c r="AD16" s="11">
        <f t="shared" si="14"/>
        <v>0</v>
      </c>
      <c r="AE16" s="11">
        <f t="shared" si="15"/>
        <v>0</v>
      </c>
      <c r="AF16" s="11">
        <f t="shared" si="15"/>
        <v>0</v>
      </c>
      <c r="AG16" s="13">
        <f t="shared" si="0"/>
        <v>0</v>
      </c>
    </row>
    <row r="17" spans="1:33" ht="25.15" customHeight="1" x14ac:dyDescent="0.6">
      <c r="A17" s="37">
        <v>12</v>
      </c>
      <c r="B17" s="38"/>
      <c r="C17" s="6"/>
      <c r="D17" s="11">
        <f t="shared" si="1"/>
        <v>0</v>
      </c>
      <c r="E17" s="6"/>
      <c r="F17" s="11">
        <f t="shared" si="2"/>
        <v>0</v>
      </c>
      <c r="G17" s="6"/>
      <c r="H17" s="11">
        <f t="shared" si="3"/>
        <v>0</v>
      </c>
      <c r="I17" s="6"/>
      <c r="J17" s="11">
        <f t="shared" si="4"/>
        <v>0</v>
      </c>
      <c r="K17" s="6"/>
      <c r="L17" s="11">
        <f t="shared" si="5"/>
        <v>0</v>
      </c>
      <c r="M17" s="6"/>
      <c r="N17" s="11">
        <f t="shared" si="6"/>
        <v>0</v>
      </c>
      <c r="O17" s="6"/>
      <c r="P17" s="11">
        <f t="shared" si="7"/>
        <v>0</v>
      </c>
      <c r="Q17" s="6"/>
      <c r="R17" s="11">
        <f t="shared" si="8"/>
        <v>0</v>
      </c>
      <c r="S17" s="6"/>
      <c r="T17" s="11">
        <f t="shared" si="9"/>
        <v>0</v>
      </c>
      <c r="U17" s="6"/>
      <c r="V17" s="11">
        <f t="shared" si="10"/>
        <v>0</v>
      </c>
      <c r="W17" s="11"/>
      <c r="X17" s="11">
        <f t="shared" si="11"/>
        <v>0</v>
      </c>
      <c r="Y17" s="11"/>
      <c r="Z17" s="11">
        <f t="shared" si="12"/>
        <v>0</v>
      </c>
      <c r="AA17" s="11"/>
      <c r="AB17" s="11">
        <f t="shared" si="13"/>
        <v>0</v>
      </c>
      <c r="AC17" s="6"/>
      <c r="AD17" s="11">
        <f t="shared" si="14"/>
        <v>0</v>
      </c>
      <c r="AE17" s="11">
        <f t="shared" si="15"/>
        <v>0</v>
      </c>
      <c r="AF17" s="11">
        <f t="shared" si="15"/>
        <v>0</v>
      </c>
      <c r="AG17" s="13">
        <f t="shared" si="0"/>
        <v>0</v>
      </c>
    </row>
    <row r="18" spans="1:33" ht="25.15" customHeight="1" x14ac:dyDescent="0.6">
      <c r="A18" s="37">
        <v>13</v>
      </c>
      <c r="B18" s="38"/>
      <c r="C18" s="6"/>
      <c r="D18" s="11">
        <f t="shared" si="1"/>
        <v>0</v>
      </c>
      <c r="E18" s="6"/>
      <c r="F18" s="11">
        <f t="shared" si="2"/>
        <v>0</v>
      </c>
      <c r="G18" s="6"/>
      <c r="H18" s="11">
        <f t="shared" si="3"/>
        <v>0</v>
      </c>
      <c r="I18" s="6"/>
      <c r="J18" s="11">
        <f t="shared" si="4"/>
        <v>0</v>
      </c>
      <c r="K18" s="6"/>
      <c r="L18" s="11">
        <f t="shared" si="5"/>
        <v>0</v>
      </c>
      <c r="M18" s="6"/>
      <c r="N18" s="11">
        <f t="shared" si="6"/>
        <v>0</v>
      </c>
      <c r="O18" s="6"/>
      <c r="P18" s="11">
        <f t="shared" si="7"/>
        <v>0</v>
      </c>
      <c r="Q18" s="6"/>
      <c r="R18" s="11">
        <f t="shared" si="8"/>
        <v>0</v>
      </c>
      <c r="S18" s="6"/>
      <c r="T18" s="11">
        <f t="shared" si="9"/>
        <v>0</v>
      </c>
      <c r="U18" s="6"/>
      <c r="V18" s="11">
        <f t="shared" si="10"/>
        <v>0</v>
      </c>
      <c r="W18" s="11"/>
      <c r="X18" s="11">
        <f t="shared" si="11"/>
        <v>0</v>
      </c>
      <c r="Y18" s="11"/>
      <c r="Z18" s="11">
        <f t="shared" si="12"/>
        <v>0</v>
      </c>
      <c r="AA18" s="11"/>
      <c r="AB18" s="11">
        <f t="shared" si="13"/>
        <v>0</v>
      </c>
      <c r="AC18" s="6"/>
      <c r="AD18" s="11">
        <f t="shared" si="14"/>
        <v>0</v>
      </c>
      <c r="AE18" s="11">
        <f t="shared" si="15"/>
        <v>0</v>
      </c>
      <c r="AF18" s="11">
        <f t="shared" si="15"/>
        <v>0</v>
      </c>
      <c r="AG18" s="13">
        <f t="shared" si="0"/>
        <v>0</v>
      </c>
    </row>
    <row r="19" spans="1:33" ht="25.15" customHeight="1" x14ac:dyDescent="0.6">
      <c r="A19" s="39">
        <v>14</v>
      </c>
      <c r="B19" s="38"/>
      <c r="C19" s="6"/>
      <c r="D19" s="11">
        <f t="shared" si="1"/>
        <v>0</v>
      </c>
      <c r="E19" s="6"/>
      <c r="F19" s="11">
        <f t="shared" si="2"/>
        <v>0</v>
      </c>
      <c r="G19" s="6"/>
      <c r="H19" s="11">
        <f t="shared" si="3"/>
        <v>0</v>
      </c>
      <c r="I19" s="6"/>
      <c r="J19" s="11">
        <f t="shared" si="4"/>
        <v>0</v>
      </c>
      <c r="K19" s="6"/>
      <c r="L19" s="11">
        <f t="shared" si="5"/>
        <v>0</v>
      </c>
      <c r="M19" s="6"/>
      <c r="N19" s="11">
        <f t="shared" si="6"/>
        <v>0</v>
      </c>
      <c r="O19" s="6"/>
      <c r="P19" s="11"/>
      <c r="Q19" s="6"/>
      <c r="R19" s="11">
        <f t="shared" si="8"/>
        <v>0</v>
      </c>
      <c r="S19" s="6"/>
      <c r="T19" s="11"/>
      <c r="U19" s="6"/>
      <c r="V19" s="11"/>
      <c r="W19" s="11"/>
      <c r="X19" s="11"/>
      <c r="Y19" s="11"/>
      <c r="Z19" s="11"/>
      <c r="AA19" s="11"/>
      <c r="AB19" s="11"/>
      <c r="AC19" s="6"/>
      <c r="AD19" s="6"/>
      <c r="AE19" s="11">
        <f t="shared" si="15"/>
        <v>0</v>
      </c>
      <c r="AF19" s="11">
        <f t="shared" si="15"/>
        <v>0</v>
      </c>
      <c r="AG19" s="13">
        <f t="shared" si="0"/>
        <v>0</v>
      </c>
    </row>
    <row r="20" spans="1:33" ht="25.15" customHeight="1" x14ac:dyDescent="0.6">
      <c r="A20" s="39">
        <v>15</v>
      </c>
      <c r="B20" s="38"/>
      <c r="C20" s="6"/>
      <c r="D20" s="11">
        <f t="shared" si="1"/>
        <v>0</v>
      </c>
      <c r="E20" s="6"/>
      <c r="F20" s="11">
        <f t="shared" si="2"/>
        <v>0</v>
      </c>
      <c r="G20" s="6"/>
      <c r="H20" s="11"/>
      <c r="I20" s="6"/>
      <c r="J20" s="11">
        <f t="shared" si="4"/>
        <v>0</v>
      </c>
      <c r="K20" s="6"/>
      <c r="L20" s="11">
        <f t="shared" si="5"/>
        <v>0</v>
      </c>
      <c r="M20" s="6"/>
      <c r="N20" s="11">
        <f t="shared" si="6"/>
        <v>0</v>
      </c>
      <c r="O20" s="6"/>
      <c r="P20" s="11"/>
      <c r="Q20" s="6"/>
      <c r="R20" s="11">
        <f t="shared" si="8"/>
        <v>0</v>
      </c>
      <c r="S20" s="6"/>
      <c r="T20" s="11"/>
      <c r="U20" s="6"/>
      <c r="V20" s="11"/>
      <c r="W20" s="11"/>
      <c r="X20" s="11"/>
      <c r="Y20" s="11"/>
      <c r="Z20" s="11"/>
      <c r="AA20" s="11"/>
      <c r="AB20" s="11"/>
      <c r="AC20" s="6"/>
      <c r="AD20" s="6"/>
      <c r="AE20" s="11">
        <f t="shared" si="15"/>
        <v>0</v>
      </c>
      <c r="AF20" s="11">
        <f t="shared" si="15"/>
        <v>0</v>
      </c>
      <c r="AG20" s="13">
        <f t="shared" si="0"/>
        <v>0</v>
      </c>
    </row>
    <row r="21" spans="1:33" ht="25.15" customHeight="1" x14ac:dyDescent="0.6">
      <c r="A21" s="39">
        <v>16</v>
      </c>
      <c r="B21" s="38"/>
      <c r="C21" s="6"/>
      <c r="D21" s="11">
        <f t="shared" si="1"/>
        <v>0</v>
      </c>
      <c r="E21" s="6"/>
      <c r="F21" s="11">
        <f t="shared" si="2"/>
        <v>0</v>
      </c>
      <c r="G21" s="6"/>
      <c r="H21" s="11"/>
      <c r="I21" s="6"/>
      <c r="J21" s="11">
        <f t="shared" si="4"/>
        <v>0</v>
      </c>
      <c r="K21" s="6"/>
      <c r="L21" s="11">
        <f t="shared" si="5"/>
        <v>0</v>
      </c>
      <c r="M21" s="6"/>
      <c r="N21" s="11"/>
      <c r="O21" s="6"/>
      <c r="P21" s="11"/>
      <c r="Q21" s="6"/>
      <c r="R21" s="11">
        <f t="shared" si="8"/>
        <v>0</v>
      </c>
      <c r="S21" s="6"/>
      <c r="T21" s="11"/>
      <c r="U21" s="6"/>
      <c r="V21" s="11"/>
      <c r="W21" s="11"/>
      <c r="X21" s="11"/>
      <c r="Y21" s="11"/>
      <c r="Z21" s="11"/>
      <c r="AA21" s="11"/>
      <c r="AB21" s="11"/>
      <c r="AC21" s="6"/>
      <c r="AD21" s="6"/>
      <c r="AE21" s="11">
        <f t="shared" si="15"/>
        <v>0</v>
      </c>
      <c r="AF21" s="11">
        <f t="shared" si="15"/>
        <v>0</v>
      </c>
      <c r="AG21" s="13">
        <f t="shared" si="0"/>
        <v>0</v>
      </c>
    </row>
    <row r="22" spans="1:33" ht="25.15" customHeight="1" x14ac:dyDescent="0.6">
      <c r="A22" s="39">
        <v>17</v>
      </c>
      <c r="B22" s="38"/>
      <c r="C22" s="6"/>
      <c r="D22" s="11">
        <f t="shared" si="1"/>
        <v>0</v>
      </c>
      <c r="E22" s="6"/>
      <c r="F22" s="11">
        <f t="shared" si="2"/>
        <v>0</v>
      </c>
      <c r="G22" s="6"/>
      <c r="H22" s="11"/>
      <c r="I22" s="6"/>
      <c r="J22" s="11">
        <f t="shared" si="4"/>
        <v>0</v>
      </c>
      <c r="K22" s="6"/>
      <c r="L22" s="11"/>
      <c r="M22" s="6"/>
      <c r="N22" s="11"/>
      <c r="O22" s="6"/>
      <c r="P22" s="11"/>
      <c r="Q22" s="6"/>
      <c r="R22" s="11"/>
      <c r="S22" s="6"/>
      <c r="T22" s="11"/>
      <c r="U22" s="6"/>
      <c r="V22" s="11"/>
      <c r="W22" s="11"/>
      <c r="X22" s="11"/>
      <c r="Y22" s="11"/>
      <c r="Z22" s="11"/>
      <c r="AA22" s="11"/>
      <c r="AB22" s="11"/>
      <c r="AC22" s="6"/>
      <c r="AD22" s="6"/>
      <c r="AE22" s="6">
        <f t="shared" si="15"/>
        <v>0</v>
      </c>
      <c r="AF22" s="6">
        <f t="shared" si="15"/>
        <v>0</v>
      </c>
      <c r="AG22" s="13">
        <f t="shared" si="0"/>
        <v>0</v>
      </c>
    </row>
    <row r="23" spans="1:33" ht="25.15" customHeight="1" x14ac:dyDescent="0.6">
      <c r="A23" s="39"/>
      <c r="B23" s="38"/>
      <c r="C23" s="6"/>
      <c r="D23" s="11"/>
      <c r="E23" s="6"/>
      <c r="F23" s="11"/>
      <c r="G23" s="6"/>
      <c r="H23" s="11"/>
      <c r="I23" s="6"/>
      <c r="J23" s="11"/>
      <c r="K23" s="6"/>
      <c r="L23" s="11"/>
      <c r="M23" s="6"/>
      <c r="N23" s="11"/>
      <c r="O23" s="6"/>
      <c r="P23" s="11"/>
      <c r="Q23" s="6"/>
      <c r="R23" s="11"/>
      <c r="S23" s="6"/>
      <c r="T23" s="11"/>
      <c r="U23" s="6"/>
      <c r="V23" s="11"/>
      <c r="W23" s="11"/>
      <c r="X23" s="11"/>
      <c r="Y23" s="11"/>
      <c r="Z23" s="11"/>
      <c r="AA23" s="11"/>
      <c r="AB23" s="11"/>
      <c r="AC23" s="6"/>
      <c r="AD23" s="6"/>
      <c r="AE23" s="6"/>
      <c r="AF23" s="6"/>
      <c r="AG23" s="13">
        <f t="shared" si="0"/>
        <v>0</v>
      </c>
    </row>
    <row r="24" spans="1:33" ht="25.15" customHeight="1" x14ac:dyDescent="0.6">
      <c r="A24" s="39"/>
      <c r="B24" s="38"/>
      <c r="C24" s="6"/>
      <c r="D24" s="11"/>
      <c r="E24" s="6"/>
      <c r="F24" s="11"/>
      <c r="G24" s="6"/>
      <c r="H24" s="11"/>
      <c r="I24" s="6"/>
      <c r="J24" s="11"/>
      <c r="K24" s="6"/>
      <c r="L24" s="11"/>
      <c r="M24" s="6"/>
      <c r="N24" s="11"/>
      <c r="O24" s="6"/>
      <c r="P24" s="11"/>
      <c r="Q24" s="6"/>
      <c r="R24" s="11"/>
      <c r="S24" s="6"/>
      <c r="T24" s="11"/>
      <c r="U24" s="6"/>
      <c r="V24" s="11"/>
      <c r="W24" s="11"/>
      <c r="X24" s="11"/>
      <c r="Y24" s="11"/>
      <c r="Z24" s="11"/>
      <c r="AA24" s="11"/>
      <c r="AB24" s="11"/>
      <c r="AC24" s="6"/>
      <c r="AD24" s="6"/>
      <c r="AE24" s="6"/>
      <c r="AF24" s="6"/>
      <c r="AG24" s="13">
        <f t="shared" si="0"/>
        <v>0</v>
      </c>
    </row>
    <row r="25" spans="1:33" ht="25.15" customHeight="1" x14ac:dyDescent="0.6">
      <c r="A25" s="39"/>
      <c r="B25" s="38"/>
      <c r="C25" s="53">
        <f>SUM(C6:C24)</f>
        <v>80</v>
      </c>
      <c r="D25" s="6">
        <f t="shared" ref="D25:AB25" si="16">SUM(D6:D24)</f>
        <v>1120</v>
      </c>
      <c r="E25" s="53">
        <f t="shared" si="16"/>
        <v>180</v>
      </c>
      <c r="F25" s="6">
        <f t="shared" si="16"/>
        <v>2160</v>
      </c>
      <c r="G25" s="6">
        <f t="shared" si="16"/>
        <v>5</v>
      </c>
      <c r="H25" s="6">
        <f t="shared" si="16"/>
        <v>60</v>
      </c>
      <c r="I25" s="49">
        <f t="shared" si="16"/>
        <v>30</v>
      </c>
      <c r="J25" s="6">
        <f t="shared" si="16"/>
        <v>1200</v>
      </c>
      <c r="K25" s="49">
        <f t="shared" si="16"/>
        <v>0</v>
      </c>
      <c r="L25" s="6">
        <f t="shared" si="16"/>
        <v>0</v>
      </c>
      <c r="M25" s="49">
        <f t="shared" si="16"/>
        <v>0</v>
      </c>
      <c r="N25" s="6">
        <f t="shared" si="16"/>
        <v>0</v>
      </c>
      <c r="O25" s="6">
        <f t="shared" si="16"/>
        <v>0</v>
      </c>
      <c r="P25" s="6">
        <f t="shared" si="16"/>
        <v>0</v>
      </c>
      <c r="Q25" s="49">
        <f t="shared" si="16"/>
        <v>0</v>
      </c>
      <c r="R25" s="6">
        <f t="shared" si="16"/>
        <v>0</v>
      </c>
      <c r="S25" s="6">
        <f t="shared" si="16"/>
        <v>0</v>
      </c>
      <c r="T25" s="6">
        <f t="shared" si="16"/>
        <v>0</v>
      </c>
      <c r="U25" s="6">
        <f t="shared" si="16"/>
        <v>0</v>
      </c>
      <c r="V25" s="6">
        <f t="shared" si="16"/>
        <v>0</v>
      </c>
      <c r="W25" s="6">
        <f t="shared" si="16"/>
        <v>0</v>
      </c>
      <c r="X25" s="6">
        <f t="shared" si="16"/>
        <v>0</v>
      </c>
      <c r="Y25" s="6">
        <f t="shared" si="16"/>
        <v>0</v>
      </c>
      <c r="Z25" s="6">
        <f t="shared" si="16"/>
        <v>0</v>
      </c>
      <c r="AA25" s="6">
        <f t="shared" si="16"/>
        <v>0</v>
      </c>
      <c r="AB25" s="6">
        <f t="shared" si="16"/>
        <v>0</v>
      </c>
      <c r="AC25" s="6">
        <f>SUM(AC6:AC24)</f>
        <v>0</v>
      </c>
      <c r="AD25" s="6">
        <f>SUM(AD6:AD24)</f>
        <v>0</v>
      </c>
      <c r="AE25" s="6">
        <f>SUM(AE6:AE24)</f>
        <v>295</v>
      </c>
      <c r="AF25" s="6">
        <f>SUM(AF6:AF24)</f>
        <v>4540</v>
      </c>
      <c r="AG25" s="6">
        <f>SUM(AG6:AG24)</f>
        <v>3332.8</v>
      </c>
    </row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</sheetData>
  <mergeCells count="19"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3:AB3"/>
    <mergeCell ref="W3:X3"/>
    <mergeCell ref="AC3:AD3"/>
    <mergeCell ref="Y3:Z3"/>
    <mergeCell ref="C1:AB1"/>
    <mergeCell ref="U3:V3"/>
    <mergeCell ref="AE3:AG3"/>
  </mergeCells>
  <hyperlinks>
    <hyperlink ref="C1:AB1" location="'SMM YGN '!A1" display="ဒေလီယာ (သာကေတ)" xr:uid="{00000000-0004-0000-2C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2"/>
  <dimension ref="A1:AG88"/>
  <sheetViews>
    <sheetView workbookViewId="0">
      <pane xSplit="2" ySplit="4" topLeftCell="L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Z1"/>
    </sheetView>
  </sheetViews>
  <sheetFormatPr defaultColWidth="9" defaultRowHeight="21" x14ac:dyDescent="0.6"/>
  <cols>
    <col min="1" max="1" width="9" style="35"/>
    <col min="2" max="2" width="12.28515625" style="36" customWidth="1"/>
    <col min="3" max="4" width="11.28515625" style="1" customWidth="1"/>
    <col min="5" max="6" width="10.85546875" style="1" customWidth="1"/>
    <col min="7" max="8" width="9.7109375" style="1" customWidth="1"/>
    <col min="9" max="10" width="10.28515625" style="1" customWidth="1"/>
    <col min="11" max="14" width="9.28515625" style="1" customWidth="1"/>
    <col min="15" max="16" width="10.140625" style="1" customWidth="1"/>
    <col min="17" max="18" width="9.85546875" style="1" customWidth="1"/>
    <col min="19" max="22" width="9.28515625" style="1" customWidth="1"/>
    <col min="23" max="24" width="9.85546875" style="1" customWidth="1"/>
    <col min="25" max="26" width="9.28515625" style="1" customWidth="1"/>
    <col min="27" max="30" width="8.28515625" style="1" customWidth="1"/>
    <col min="31" max="32" width="9.85546875" style="1" customWidth="1"/>
    <col min="33" max="16384" width="9" style="1"/>
  </cols>
  <sheetData>
    <row r="1" spans="1:33" ht="21.75" x14ac:dyDescent="0.6">
      <c r="A1" s="23"/>
      <c r="B1" s="24"/>
      <c r="C1" s="745" t="s">
        <v>119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B1" s="1" t="s">
        <v>68</v>
      </c>
      <c r="AC1" s="1">
        <f>AE19</f>
        <v>285</v>
      </c>
      <c r="AE1" s="25">
        <v>12</v>
      </c>
      <c r="AF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B2" s="1" t="s">
        <v>67</v>
      </c>
      <c r="AC2" s="27">
        <f>AF19</f>
        <v>4100</v>
      </c>
      <c r="AE2" s="28">
        <v>24</v>
      </c>
      <c r="AF2" s="29">
        <v>40</v>
      </c>
    </row>
    <row r="3" spans="1:33" s="27" customFormat="1" ht="46.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45717</v>
      </c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>
        <v>45</v>
      </c>
      <c r="N6" s="11">
        <f t="shared" ref="N6:N11" si="0">M6*12</f>
        <v>540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45</v>
      </c>
      <c r="AF6" s="11">
        <f>D6+F6+H6+J6+L6+N6+P6+R6+T6+V6+X6+Z6+AB6+AD6</f>
        <v>540</v>
      </c>
      <c r="AG6" s="11">
        <f t="shared" ref="AG6:AG18" si="1">(D6*$D$5)+(F6*$F$5)+(H6*$H$5)+(J6*$J$5)+(L6*$L$5)+(N6*$N$5)+(P6*$P$5)+(R6*$R$5)+(T6*$T$5)+(V6*$V$5)+(X6*$X$5)+(Z6*$Z$5)+(AB6*$AB$5)+(AD6*$AD$5)</f>
        <v>540</v>
      </c>
    </row>
    <row r="7" spans="1:33" s="19" customFormat="1" ht="25.15" customHeight="1" x14ac:dyDescent="0.25">
      <c r="A7" s="37">
        <v>2</v>
      </c>
      <c r="B7" s="38">
        <v>45839</v>
      </c>
      <c r="C7" s="11">
        <v>60</v>
      </c>
      <c r="D7" s="11">
        <f t="shared" ref="D7:D12" si="2">C7*14</f>
        <v>840</v>
      </c>
      <c r="E7" s="11">
        <v>80</v>
      </c>
      <c r="F7" s="11">
        <f t="shared" ref="F7:F12" si="3">E7*12</f>
        <v>960</v>
      </c>
      <c r="G7" s="11">
        <v>20</v>
      </c>
      <c r="H7" s="11">
        <f t="shared" ref="H7:H12" si="4">G7*12</f>
        <v>240</v>
      </c>
      <c r="I7" s="11">
        <v>20</v>
      </c>
      <c r="J7" s="11">
        <f t="shared" ref="J7:J12" si="5">I7*40</f>
        <v>800</v>
      </c>
      <c r="K7" s="11"/>
      <c r="L7" s="11">
        <f>K7*12</f>
        <v>0</v>
      </c>
      <c r="M7" s="11">
        <v>60</v>
      </c>
      <c r="N7" s="11">
        <f t="shared" si="0"/>
        <v>720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ref="AE7:AF14" si="6">C7+E7+G7+I7+K7+M7+O7+Q7+S7+U7+W7+Y7+AA7+AC7</f>
        <v>240</v>
      </c>
      <c r="AF7" s="11">
        <f t="shared" si="6"/>
        <v>3560</v>
      </c>
      <c r="AG7" s="11">
        <f t="shared" si="1"/>
        <v>2641.6</v>
      </c>
    </row>
    <row r="8" spans="1:33" s="19" customFormat="1" ht="25.15" customHeight="1" x14ac:dyDescent="0.25">
      <c r="A8" s="37">
        <v>3</v>
      </c>
      <c r="B8" s="38"/>
      <c r="C8" s="11"/>
      <c r="D8" s="11">
        <f t="shared" si="2"/>
        <v>0</v>
      </c>
      <c r="E8" s="11"/>
      <c r="F8" s="11">
        <f t="shared" si="3"/>
        <v>0</v>
      </c>
      <c r="G8" s="11"/>
      <c r="H8" s="11">
        <f t="shared" si="4"/>
        <v>0</v>
      </c>
      <c r="I8" s="11"/>
      <c r="J8" s="11">
        <f t="shared" si="5"/>
        <v>0</v>
      </c>
      <c r="K8" s="11"/>
      <c r="L8" s="11">
        <f>K8*12</f>
        <v>0</v>
      </c>
      <c r="M8" s="11"/>
      <c r="N8" s="11">
        <f t="shared" si="0"/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6"/>
        <v>0</v>
      </c>
      <c r="AF8" s="11">
        <f t="shared" si="6"/>
        <v>0</v>
      </c>
      <c r="AG8" s="11">
        <f t="shared" si="1"/>
        <v>0</v>
      </c>
    </row>
    <row r="9" spans="1:33" s="19" customFormat="1" ht="25.15" customHeight="1" x14ac:dyDescent="0.25">
      <c r="A9" s="37">
        <v>4</v>
      </c>
      <c r="B9" s="38"/>
      <c r="C9" s="11"/>
      <c r="D9" s="11">
        <f t="shared" si="2"/>
        <v>0</v>
      </c>
      <c r="E9" s="11"/>
      <c r="F9" s="11">
        <f t="shared" si="3"/>
        <v>0</v>
      </c>
      <c r="G9" s="11"/>
      <c r="H9" s="11">
        <f t="shared" si="4"/>
        <v>0</v>
      </c>
      <c r="I9" s="11"/>
      <c r="J9" s="11">
        <f t="shared" si="5"/>
        <v>0</v>
      </c>
      <c r="K9" s="11"/>
      <c r="L9" s="11">
        <f>K9*12</f>
        <v>0</v>
      </c>
      <c r="M9" s="11"/>
      <c r="N9" s="11">
        <f t="shared" si="0"/>
        <v>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>
        <f>AC9*12</f>
        <v>0</v>
      </c>
      <c r="AE9" s="11">
        <f t="shared" si="6"/>
        <v>0</v>
      </c>
      <c r="AF9" s="11">
        <f t="shared" si="6"/>
        <v>0</v>
      </c>
      <c r="AG9" s="11">
        <f t="shared" si="1"/>
        <v>0</v>
      </c>
    </row>
    <row r="10" spans="1:33" s="19" customFormat="1" ht="25.15" customHeight="1" x14ac:dyDescent="0.25">
      <c r="A10" s="37">
        <v>5</v>
      </c>
      <c r="B10" s="38"/>
      <c r="C10" s="11"/>
      <c r="D10" s="11">
        <f t="shared" si="2"/>
        <v>0</v>
      </c>
      <c r="E10" s="11"/>
      <c r="F10" s="11">
        <f t="shared" si="3"/>
        <v>0</v>
      </c>
      <c r="G10" s="11"/>
      <c r="H10" s="11">
        <f t="shared" si="4"/>
        <v>0</v>
      </c>
      <c r="I10" s="11"/>
      <c r="J10" s="11">
        <f t="shared" si="5"/>
        <v>0</v>
      </c>
      <c r="K10" s="11"/>
      <c r="L10" s="11"/>
      <c r="M10" s="11"/>
      <c r="N10" s="11">
        <f t="shared" si="0"/>
        <v>0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>
        <f t="shared" si="6"/>
        <v>0</v>
      </c>
      <c r="AF10" s="11">
        <f t="shared" si="6"/>
        <v>0</v>
      </c>
      <c r="AG10" s="11">
        <f t="shared" si="1"/>
        <v>0</v>
      </c>
    </row>
    <row r="11" spans="1:33" s="19" customFormat="1" ht="25.15" customHeight="1" x14ac:dyDescent="0.25">
      <c r="A11" s="37">
        <v>6</v>
      </c>
      <c r="B11" s="38"/>
      <c r="C11" s="11"/>
      <c r="D11" s="11">
        <f t="shared" si="2"/>
        <v>0</v>
      </c>
      <c r="E11" s="11"/>
      <c r="F11" s="11">
        <f t="shared" si="3"/>
        <v>0</v>
      </c>
      <c r="G11" s="11"/>
      <c r="H11" s="11">
        <f t="shared" si="4"/>
        <v>0</v>
      </c>
      <c r="I11" s="11"/>
      <c r="J11" s="11">
        <f t="shared" si="5"/>
        <v>0</v>
      </c>
      <c r="K11" s="11"/>
      <c r="L11" s="11"/>
      <c r="M11" s="11"/>
      <c r="N11" s="11">
        <f t="shared" si="0"/>
        <v>0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>
        <f t="shared" si="6"/>
        <v>0</v>
      </c>
      <c r="AF11" s="11">
        <f t="shared" si="6"/>
        <v>0</v>
      </c>
      <c r="AG11" s="11">
        <f t="shared" si="1"/>
        <v>0</v>
      </c>
    </row>
    <row r="12" spans="1:33" ht="25.15" customHeight="1" x14ac:dyDescent="0.6">
      <c r="A12" s="39"/>
      <c r="B12" s="38"/>
      <c r="C12" s="6"/>
      <c r="D12" s="11">
        <f t="shared" si="2"/>
        <v>0</v>
      </c>
      <c r="E12" s="6"/>
      <c r="F12" s="11">
        <f t="shared" si="3"/>
        <v>0</v>
      </c>
      <c r="G12" s="6"/>
      <c r="H12" s="11">
        <f t="shared" si="4"/>
        <v>0</v>
      </c>
      <c r="I12" s="6"/>
      <c r="J12" s="11">
        <f t="shared" si="5"/>
        <v>0</v>
      </c>
      <c r="K12" s="6"/>
      <c r="L12" s="11"/>
      <c r="M12" s="6"/>
      <c r="N12" s="11"/>
      <c r="O12" s="6"/>
      <c r="P12" s="11"/>
      <c r="Q12" s="6"/>
      <c r="R12" s="11"/>
      <c r="S12" s="6"/>
      <c r="T12" s="11"/>
      <c r="U12" s="6"/>
      <c r="V12" s="11"/>
      <c r="W12" s="6"/>
      <c r="X12" s="11"/>
      <c r="Y12" s="11"/>
      <c r="Z12" s="11"/>
      <c r="AA12" s="6"/>
      <c r="AB12" s="6"/>
      <c r="AC12" s="6"/>
      <c r="AD12" s="6"/>
      <c r="AE12" s="6">
        <f t="shared" si="6"/>
        <v>0</v>
      </c>
      <c r="AF12" s="11">
        <f t="shared" si="6"/>
        <v>0</v>
      </c>
      <c r="AG12" s="11">
        <f t="shared" si="1"/>
        <v>0</v>
      </c>
    </row>
    <row r="13" spans="1:33" ht="25.15" customHeight="1" x14ac:dyDescent="0.6">
      <c r="A13" s="39"/>
      <c r="B13" s="38"/>
      <c r="C13" s="6"/>
      <c r="D13" s="11"/>
      <c r="E13" s="6"/>
      <c r="F13" s="11"/>
      <c r="G13" s="6"/>
      <c r="H13" s="11"/>
      <c r="I13" s="6"/>
      <c r="J13" s="11"/>
      <c r="K13" s="6"/>
      <c r="L13" s="11"/>
      <c r="M13" s="6"/>
      <c r="N13" s="11"/>
      <c r="O13" s="6"/>
      <c r="P13" s="11"/>
      <c r="Q13" s="6"/>
      <c r="R13" s="11"/>
      <c r="S13" s="6"/>
      <c r="T13" s="11"/>
      <c r="U13" s="6"/>
      <c r="V13" s="11"/>
      <c r="W13" s="6"/>
      <c r="X13" s="11"/>
      <c r="Y13" s="11"/>
      <c r="Z13" s="11"/>
      <c r="AA13" s="6"/>
      <c r="AB13" s="6"/>
      <c r="AC13" s="6"/>
      <c r="AD13" s="6"/>
      <c r="AE13" s="6"/>
      <c r="AF13" s="11">
        <f t="shared" si="6"/>
        <v>0</v>
      </c>
      <c r="AG13" s="11">
        <f t="shared" si="1"/>
        <v>0</v>
      </c>
    </row>
    <row r="14" spans="1:33" ht="25.15" customHeight="1" x14ac:dyDescent="0.6">
      <c r="A14" s="39"/>
      <c r="B14" s="40"/>
      <c r="C14" s="6"/>
      <c r="D14" s="11"/>
      <c r="E14" s="6"/>
      <c r="F14" s="11"/>
      <c r="G14" s="6"/>
      <c r="H14" s="11"/>
      <c r="I14" s="6"/>
      <c r="J14" s="11"/>
      <c r="K14" s="6"/>
      <c r="L14" s="11"/>
      <c r="M14" s="6"/>
      <c r="N14" s="11"/>
      <c r="O14" s="6"/>
      <c r="P14" s="11"/>
      <c r="Q14" s="6"/>
      <c r="R14" s="11"/>
      <c r="S14" s="6"/>
      <c r="T14" s="11"/>
      <c r="U14" s="6"/>
      <c r="V14" s="11"/>
      <c r="W14" s="6"/>
      <c r="X14" s="11"/>
      <c r="Y14" s="11"/>
      <c r="Z14" s="11"/>
      <c r="AA14" s="6"/>
      <c r="AB14" s="6"/>
      <c r="AC14" s="6"/>
      <c r="AD14" s="6"/>
      <c r="AE14" s="6"/>
      <c r="AF14" s="11">
        <f t="shared" si="6"/>
        <v>0</v>
      </c>
      <c r="AG14" s="11">
        <f t="shared" si="1"/>
        <v>0</v>
      </c>
    </row>
    <row r="15" spans="1:33" ht="25.15" customHeight="1" x14ac:dyDescent="0.6">
      <c r="A15" s="39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1"/>
      <c r="Z15" s="11"/>
      <c r="AA15" s="6"/>
      <c r="AB15" s="6"/>
      <c r="AC15" s="6"/>
      <c r="AD15" s="6"/>
      <c r="AE15" s="6"/>
      <c r="AF15" s="6"/>
      <c r="AG15" s="11">
        <f t="shared" si="1"/>
        <v>0</v>
      </c>
    </row>
    <row r="16" spans="1:33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11"/>
      <c r="Z16" s="11"/>
      <c r="AA16" s="6"/>
      <c r="AB16" s="6"/>
      <c r="AC16" s="6"/>
      <c r="AD16" s="6"/>
      <c r="AE16" s="6"/>
      <c r="AF16" s="6"/>
      <c r="AG16" s="11">
        <f t="shared" si="1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1"/>
      <c r="Z17" s="11"/>
      <c r="AA17" s="6"/>
      <c r="AB17" s="6"/>
      <c r="AC17" s="6"/>
      <c r="AD17" s="6"/>
      <c r="AE17" s="6"/>
      <c r="AF17" s="6"/>
      <c r="AG17" s="11">
        <f t="shared" si="1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1"/>
      <c r="Z18" s="11"/>
      <c r="AA18" s="6"/>
      <c r="AB18" s="6"/>
      <c r="AC18" s="6"/>
      <c r="AD18" s="6"/>
      <c r="AE18" s="6"/>
      <c r="AF18" s="6"/>
      <c r="AG18" s="11">
        <f t="shared" si="1"/>
        <v>0</v>
      </c>
    </row>
    <row r="19" spans="1:33" ht="25.15" customHeight="1" x14ac:dyDescent="0.6">
      <c r="A19" s="39"/>
      <c r="B19" s="40"/>
      <c r="C19" s="49">
        <f>SUM(C6:C18)</f>
        <v>60</v>
      </c>
      <c r="D19" s="6">
        <f t="shared" ref="D19:AB19" si="7">SUM(D6:D18)</f>
        <v>840</v>
      </c>
      <c r="E19" s="49">
        <f t="shared" si="7"/>
        <v>80</v>
      </c>
      <c r="F19" s="6">
        <f t="shared" si="7"/>
        <v>960</v>
      </c>
      <c r="G19" s="49">
        <f t="shared" si="7"/>
        <v>20</v>
      </c>
      <c r="H19" s="6">
        <f t="shared" si="7"/>
        <v>240</v>
      </c>
      <c r="I19" s="49">
        <f t="shared" si="7"/>
        <v>20</v>
      </c>
      <c r="J19" s="6">
        <f t="shared" si="7"/>
        <v>800</v>
      </c>
      <c r="K19" s="49">
        <f t="shared" si="7"/>
        <v>0</v>
      </c>
      <c r="L19" s="6">
        <f t="shared" si="7"/>
        <v>0</v>
      </c>
      <c r="M19" s="49">
        <f t="shared" si="7"/>
        <v>105</v>
      </c>
      <c r="N19" s="6">
        <f t="shared" si="7"/>
        <v>1260</v>
      </c>
      <c r="O19" s="6">
        <f t="shared" si="7"/>
        <v>0</v>
      </c>
      <c r="P19" s="6">
        <f t="shared" si="7"/>
        <v>0</v>
      </c>
      <c r="Q19" s="6">
        <f t="shared" si="7"/>
        <v>0</v>
      </c>
      <c r="R19" s="6">
        <f t="shared" si="7"/>
        <v>0</v>
      </c>
      <c r="S19" s="6">
        <f t="shared" si="7"/>
        <v>0</v>
      </c>
      <c r="T19" s="6">
        <f t="shared" si="7"/>
        <v>0</v>
      </c>
      <c r="U19" s="6">
        <f t="shared" si="7"/>
        <v>0</v>
      </c>
      <c r="V19" s="6">
        <f t="shared" si="7"/>
        <v>0</v>
      </c>
      <c r="W19" s="6">
        <f t="shared" si="7"/>
        <v>0</v>
      </c>
      <c r="X19" s="6">
        <f t="shared" si="7"/>
        <v>0</v>
      </c>
      <c r="Y19" s="6">
        <f t="shared" si="7"/>
        <v>0</v>
      </c>
      <c r="Z19" s="6">
        <f t="shared" si="7"/>
        <v>0</v>
      </c>
      <c r="AA19" s="6">
        <f t="shared" si="7"/>
        <v>0</v>
      </c>
      <c r="AB19" s="6">
        <f t="shared" si="7"/>
        <v>0</v>
      </c>
      <c r="AC19" s="6">
        <f>SUM(AC6:AC18)</f>
        <v>0</v>
      </c>
      <c r="AD19" s="6">
        <f>SUM(AD6:AD18)</f>
        <v>0</v>
      </c>
      <c r="AE19" s="6">
        <f>SUM(AE6:AE18)</f>
        <v>285</v>
      </c>
      <c r="AF19" s="6">
        <f>SUM(AF6:AF18)</f>
        <v>4100</v>
      </c>
      <c r="AG19" s="6">
        <f>SUM(AG6:AG18)</f>
        <v>3181.6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A2:A4"/>
    <mergeCell ref="B2:B4"/>
    <mergeCell ref="C2:Z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A3:AB3"/>
    <mergeCell ref="AC3:AD3"/>
    <mergeCell ref="Y3:Z3"/>
    <mergeCell ref="C1:Z1"/>
    <mergeCell ref="AE3:AG3"/>
  </mergeCells>
  <hyperlinks>
    <hyperlink ref="C1:Z1" location="'SMM YGN '!A1" display="သုခအောင်(အင်းစိန်)" xr:uid="{00000000-0004-0000-2D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3"/>
  <dimension ref="A1:AG88"/>
  <sheetViews>
    <sheetView workbookViewId="0">
      <pane xSplit="2" ySplit="4" topLeftCell="K5" activePane="bottomRight" state="frozen"/>
      <selection activeCell="CH13" sqref="CH13"/>
      <selection pane="topRight" activeCell="CH13" sqref="CH13"/>
      <selection pane="bottomLeft" activeCell="CH13" sqref="CH13"/>
      <selection pane="bottomRight" activeCell="B6" sqref="B6:B14"/>
    </sheetView>
  </sheetViews>
  <sheetFormatPr defaultColWidth="9" defaultRowHeight="21" x14ac:dyDescent="0.6"/>
  <cols>
    <col min="1" max="1" width="8.85546875" style="35"/>
    <col min="2" max="2" width="12.28515625" style="36" customWidth="1"/>
    <col min="3" max="4" width="11.28515625" style="1" customWidth="1"/>
    <col min="5" max="8" width="10.28515625" style="1" customWidth="1"/>
    <col min="9" max="22" width="9.28515625" style="1" customWidth="1"/>
    <col min="23" max="24" width="9.85546875" style="1" customWidth="1"/>
    <col min="25" max="26" width="9.28515625" style="1" customWidth="1"/>
    <col min="27" max="30" width="8" style="1" customWidth="1"/>
    <col min="31" max="32" width="9.140625" style="1" customWidth="1"/>
    <col min="33" max="16384" width="9" style="1"/>
  </cols>
  <sheetData>
    <row r="1" spans="1:33" ht="19.5" customHeight="1" x14ac:dyDescent="0.6">
      <c r="A1" s="23"/>
      <c r="B1" s="24"/>
      <c r="C1" s="745" t="s">
        <v>101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B1" s="1" t="s">
        <v>68</v>
      </c>
      <c r="AC1" s="1">
        <f>AE19</f>
        <v>0</v>
      </c>
      <c r="AE1" s="25">
        <v>12</v>
      </c>
      <c r="AF1" s="26">
        <v>14</v>
      </c>
    </row>
    <row r="2" spans="1:33" s="27" customFormat="1" ht="25.5" customHeight="1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B2" s="1" t="s">
        <v>67</v>
      </c>
      <c r="AC2" s="27">
        <f>AF19</f>
        <v>0</v>
      </c>
      <c r="AE2" s="28">
        <v>24</v>
      </c>
      <c r="AF2" s="29">
        <v>40</v>
      </c>
    </row>
    <row r="3" spans="1:33" s="27" customFormat="1" ht="45.7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/>
      <c r="C6" s="11"/>
      <c r="D6" s="11">
        <f t="shared" ref="D6:D13" si="0"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 t="shared" ref="N6:N14" si="1"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0</v>
      </c>
      <c r="AF6" s="11">
        <f>D6+F6+H6+J6+L6+N6+P6+R6+T6+V6+X6+Z6+AB6+AD6</f>
        <v>0</v>
      </c>
      <c r="AG6" s="11">
        <f>(D6*$D$5)+(F6*$F$5)+(H6*$H$5)+(J6*$J$5)+(L6*$L$5)+(N6*$N$5)+(P6*$P$5)+(R6*$R$5)+(T6*$T$5)+(V6*$V$5)+(X6*$X$5)+(Z6*$Z$5)+(AB6*$AB$5)+(AD6*$AD$5)</f>
        <v>0</v>
      </c>
    </row>
    <row r="7" spans="1:33" s="19" customFormat="1" ht="25.15" customHeight="1" x14ac:dyDescent="0.25">
      <c r="A7" s="37">
        <v>2</v>
      </c>
      <c r="B7" s="38"/>
      <c r="C7" s="11"/>
      <c r="D7" s="11">
        <f t="shared" si="0"/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 t="shared" si="1"/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ref="AE7:AF14" si="2">C7+E7+G7+I7+K7+M7+O7+Q7+S7+U7+W7+Y7+AA7+AC7</f>
        <v>0</v>
      </c>
      <c r="AF7" s="11">
        <f t="shared" si="2"/>
        <v>0</v>
      </c>
      <c r="AG7" s="11">
        <f t="shared" ref="AG7:AG18" si="3">(D7*$D$5)+(F7*$F$5)+(H7*$H$5)+(J7*$J$5)+(L7*$L$5)+(N7*$N$5)+(P7*$P$5)+(R7*$R$5)+(T7*$T$5)+(V7*$V$5)+(X7*$X$5)+(Z7*$Z$5)+(AB7*$AB$5)+(AD7*$AD$5)</f>
        <v>0</v>
      </c>
    </row>
    <row r="8" spans="1:33" s="19" customFormat="1" ht="25.15" customHeight="1" x14ac:dyDescent="0.25">
      <c r="A8" s="37">
        <v>3</v>
      </c>
      <c r="B8" s="38"/>
      <c r="C8" s="11"/>
      <c r="D8" s="11">
        <f t="shared" si="0"/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 t="shared" si="1"/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2"/>
        <v>0</v>
      </c>
      <c r="AF8" s="11">
        <f t="shared" si="2"/>
        <v>0</v>
      </c>
      <c r="AG8" s="11">
        <f t="shared" si="3"/>
        <v>0</v>
      </c>
    </row>
    <row r="9" spans="1:33" s="19" customFormat="1" ht="25.15" customHeight="1" x14ac:dyDescent="0.25">
      <c r="A9" s="37">
        <v>4</v>
      </c>
      <c r="B9" s="38"/>
      <c r="C9" s="11"/>
      <c r="D9" s="11">
        <f t="shared" si="0"/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 t="shared" si="1"/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2"/>
        <v>0</v>
      </c>
      <c r="AF9" s="11">
        <f t="shared" si="2"/>
        <v>0</v>
      </c>
      <c r="AG9" s="11">
        <f t="shared" si="3"/>
        <v>0</v>
      </c>
    </row>
    <row r="10" spans="1:33" s="19" customFormat="1" ht="25.15" customHeight="1" x14ac:dyDescent="0.25">
      <c r="A10" s="37">
        <v>5</v>
      </c>
      <c r="B10" s="38"/>
      <c r="C10" s="11"/>
      <c r="D10" s="11">
        <f t="shared" si="0"/>
        <v>0</v>
      </c>
      <c r="E10" s="11"/>
      <c r="F10" s="11">
        <f>E10*24</f>
        <v>0</v>
      </c>
      <c r="G10" s="11"/>
      <c r="H10" s="11">
        <f>G10*12</f>
        <v>0</v>
      </c>
      <c r="I10" s="11"/>
      <c r="J10" s="11">
        <f>I10*14</f>
        <v>0</v>
      </c>
      <c r="K10" s="11"/>
      <c r="L10" s="11">
        <f>K10*24</f>
        <v>0</v>
      </c>
      <c r="M10" s="11"/>
      <c r="N10" s="11">
        <f t="shared" si="1"/>
        <v>0</v>
      </c>
      <c r="O10" s="11"/>
      <c r="P10" s="11">
        <f t="shared" ref="P10:P15" si="4">O10*12</f>
        <v>0</v>
      </c>
      <c r="Q10" s="11"/>
      <c r="R10" s="11">
        <f>Q10*40</f>
        <v>0</v>
      </c>
      <c r="S10" s="11"/>
      <c r="T10" s="11">
        <f>S10*12</f>
        <v>0</v>
      </c>
      <c r="U10" s="11"/>
      <c r="V10" s="11">
        <f>U10*14</f>
        <v>0</v>
      </c>
      <c r="W10" s="11"/>
      <c r="X10" s="11">
        <f>W10*40</f>
        <v>0</v>
      </c>
      <c r="Y10" s="11"/>
      <c r="Z10" s="11"/>
      <c r="AA10" s="11"/>
      <c r="AB10" s="11"/>
      <c r="AC10" s="11"/>
      <c r="AD10" s="11"/>
      <c r="AE10" s="11">
        <f t="shared" si="2"/>
        <v>0</v>
      </c>
      <c r="AF10" s="11">
        <f t="shared" si="2"/>
        <v>0</v>
      </c>
      <c r="AG10" s="11">
        <f t="shared" si="3"/>
        <v>0</v>
      </c>
    </row>
    <row r="11" spans="1:33" s="19" customFormat="1" ht="25.15" customHeight="1" x14ac:dyDescent="0.25">
      <c r="A11" s="37"/>
      <c r="B11" s="38"/>
      <c r="C11" s="11"/>
      <c r="D11" s="11">
        <f t="shared" si="0"/>
        <v>0</v>
      </c>
      <c r="E11" s="11"/>
      <c r="F11" s="11">
        <f>E11*24</f>
        <v>0</v>
      </c>
      <c r="G11" s="11"/>
      <c r="H11" s="11"/>
      <c r="I11" s="11"/>
      <c r="J11" s="11">
        <f>I11*14</f>
        <v>0</v>
      </c>
      <c r="K11" s="11"/>
      <c r="L11" s="11"/>
      <c r="M11" s="11"/>
      <c r="N11" s="11">
        <f t="shared" si="1"/>
        <v>0</v>
      </c>
      <c r="O11" s="11"/>
      <c r="P11" s="11">
        <f t="shared" si="4"/>
        <v>0</v>
      </c>
      <c r="Q11" s="11"/>
      <c r="R11" s="11">
        <f>Q11*40</f>
        <v>0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>
        <f t="shared" si="2"/>
        <v>0</v>
      </c>
      <c r="AF11" s="11">
        <f t="shared" si="2"/>
        <v>0</v>
      </c>
      <c r="AG11" s="11">
        <f t="shared" si="3"/>
        <v>0</v>
      </c>
    </row>
    <row r="12" spans="1:33" ht="25.15" customHeight="1" x14ac:dyDescent="0.6">
      <c r="A12" s="39"/>
      <c r="B12" s="40"/>
      <c r="C12" s="6"/>
      <c r="D12" s="11">
        <f t="shared" si="0"/>
        <v>0</v>
      </c>
      <c r="E12" s="6"/>
      <c r="F12" s="11">
        <f>E12*24</f>
        <v>0</v>
      </c>
      <c r="G12" s="6"/>
      <c r="H12" s="6"/>
      <c r="I12" s="6"/>
      <c r="J12" s="11">
        <f>I12*14</f>
        <v>0</v>
      </c>
      <c r="K12" s="6"/>
      <c r="L12" s="6"/>
      <c r="M12" s="6"/>
      <c r="N12" s="11">
        <f t="shared" si="1"/>
        <v>0</v>
      </c>
      <c r="O12" s="6"/>
      <c r="P12" s="11">
        <f t="shared" si="4"/>
        <v>0</v>
      </c>
      <c r="Q12" s="6"/>
      <c r="R12" s="11">
        <f>Q12*40</f>
        <v>0</v>
      </c>
      <c r="S12" s="6"/>
      <c r="T12" s="6"/>
      <c r="U12" s="6"/>
      <c r="V12" s="6"/>
      <c r="W12" s="6"/>
      <c r="X12" s="6"/>
      <c r="Y12" s="11"/>
      <c r="Z12" s="11"/>
      <c r="AA12" s="6"/>
      <c r="AB12" s="6"/>
      <c r="AC12" s="6"/>
      <c r="AD12" s="6"/>
      <c r="AE12" s="11">
        <f t="shared" si="2"/>
        <v>0</v>
      </c>
      <c r="AF12" s="11">
        <f t="shared" si="2"/>
        <v>0</v>
      </c>
      <c r="AG12" s="11">
        <f t="shared" si="3"/>
        <v>0</v>
      </c>
    </row>
    <row r="13" spans="1:33" ht="25.15" customHeight="1" x14ac:dyDescent="0.6">
      <c r="A13" s="39"/>
      <c r="B13" s="40"/>
      <c r="C13" s="6"/>
      <c r="D13" s="11">
        <f t="shared" si="0"/>
        <v>0</v>
      </c>
      <c r="E13" s="6"/>
      <c r="F13" s="11">
        <f>E13*24</f>
        <v>0</v>
      </c>
      <c r="G13" s="6"/>
      <c r="H13" s="6"/>
      <c r="I13" s="6"/>
      <c r="J13" s="11">
        <f>I13*14</f>
        <v>0</v>
      </c>
      <c r="K13" s="6"/>
      <c r="L13" s="6"/>
      <c r="M13" s="6"/>
      <c r="N13" s="11">
        <f t="shared" si="1"/>
        <v>0</v>
      </c>
      <c r="O13" s="6"/>
      <c r="P13" s="11">
        <f t="shared" si="4"/>
        <v>0</v>
      </c>
      <c r="Q13" s="6"/>
      <c r="R13" s="11">
        <f>Q13*40</f>
        <v>0</v>
      </c>
      <c r="S13" s="6"/>
      <c r="T13" s="6"/>
      <c r="U13" s="6"/>
      <c r="V13" s="6"/>
      <c r="W13" s="6"/>
      <c r="X13" s="6"/>
      <c r="Y13" s="11"/>
      <c r="Z13" s="11"/>
      <c r="AA13" s="6"/>
      <c r="AB13" s="6"/>
      <c r="AC13" s="6"/>
      <c r="AD13" s="6"/>
      <c r="AE13" s="11">
        <f t="shared" si="2"/>
        <v>0</v>
      </c>
      <c r="AF13" s="11">
        <f t="shared" si="2"/>
        <v>0</v>
      </c>
      <c r="AG13" s="11">
        <f t="shared" si="3"/>
        <v>0</v>
      </c>
    </row>
    <row r="14" spans="1:33" ht="25.15" customHeight="1" x14ac:dyDescent="0.6">
      <c r="A14" s="39"/>
      <c r="B14" s="40"/>
      <c r="C14" s="6"/>
      <c r="D14" s="6"/>
      <c r="E14" s="6"/>
      <c r="F14" s="6"/>
      <c r="G14" s="6"/>
      <c r="H14" s="6"/>
      <c r="I14" s="6"/>
      <c r="J14" s="11">
        <f>I14*14</f>
        <v>0</v>
      </c>
      <c r="K14" s="6"/>
      <c r="L14" s="6"/>
      <c r="M14" s="6"/>
      <c r="N14" s="11">
        <f t="shared" si="1"/>
        <v>0</v>
      </c>
      <c r="O14" s="6"/>
      <c r="P14" s="11">
        <f t="shared" si="4"/>
        <v>0</v>
      </c>
      <c r="Q14" s="6"/>
      <c r="R14" s="11">
        <f>Q14*40</f>
        <v>0</v>
      </c>
      <c r="S14" s="6"/>
      <c r="T14" s="6"/>
      <c r="U14" s="6"/>
      <c r="V14" s="6"/>
      <c r="W14" s="6"/>
      <c r="X14" s="6"/>
      <c r="Y14" s="11"/>
      <c r="Z14" s="11"/>
      <c r="AA14" s="6"/>
      <c r="AB14" s="6"/>
      <c r="AC14" s="6"/>
      <c r="AD14" s="6"/>
      <c r="AE14" s="11">
        <f t="shared" si="2"/>
        <v>0</v>
      </c>
      <c r="AF14" s="11">
        <f t="shared" si="2"/>
        <v>0</v>
      </c>
      <c r="AG14" s="11">
        <f t="shared" si="3"/>
        <v>0</v>
      </c>
    </row>
    <row r="15" spans="1:33" ht="25.15" customHeight="1" x14ac:dyDescent="0.6">
      <c r="A15" s="39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1">
        <f t="shared" si="4"/>
        <v>0</v>
      </c>
      <c r="Q15" s="6"/>
      <c r="R15" s="6"/>
      <c r="S15" s="6"/>
      <c r="T15" s="6"/>
      <c r="U15" s="6"/>
      <c r="V15" s="6"/>
      <c r="W15" s="6"/>
      <c r="X15" s="6"/>
      <c r="Y15" s="11"/>
      <c r="Z15" s="11"/>
      <c r="AA15" s="6"/>
      <c r="AB15" s="6"/>
      <c r="AC15" s="6"/>
      <c r="AD15" s="6"/>
      <c r="AE15" s="6"/>
      <c r="AF15" s="6"/>
      <c r="AG15" s="11">
        <f t="shared" si="3"/>
        <v>0</v>
      </c>
    </row>
    <row r="16" spans="1:33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11"/>
      <c r="Z16" s="11"/>
      <c r="AA16" s="6"/>
      <c r="AB16" s="6"/>
      <c r="AC16" s="6"/>
      <c r="AD16" s="6"/>
      <c r="AE16" s="6"/>
      <c r="AF16" s="6"/>
      <c r="AG16" s="11">
        <f t="shared" si="3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1"/>
      <c r="Z17" s="11"/>
      <c r="AA17" s="6"/>
      <c r="AB17" s="6"/>
      <c r="AC17" s="6"/>
      <c r="AD17" s="6"/>
      <c r="AE17" s="6"/>
      <c r="AF17" s="6"/>
      <c r="AG17" s="11">
        <f t="shared" si="3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1"/>
      <c r="Z18" s="11"/>
      <c r="AA18" s="6"/>
      <c r="AB18" s="6"/>
      <c r="AC18" s="6"/>
      <c r="AD18" s="6"/>
      <c r="AE18" s="6"/>
      <c r="AF18" s="6"/>
      <c r="AG18" s="11">
        <f t="shared" si="3"/>
        <v>0</v>
      </c>
    </row>
    <row r="19" spans="1:33" ht="25.15" customHeight="1" x14ac:dyDescent="0.6">
      <c r="A19" s="39"/>
      <c r="B19" s="40"/>
      <c r="C19" s="53">
        <f>SUM(C6:C18)</f>
        <v>0</v>
      </c>
      <c r="D19" s="6">
        <f t="shared" ref="D19:AB19" si="5">SUM(D6:D18)</f>
        <v>0</v>
      </c>
      <c r="E19" s="53">
        <f t="shared" si="5"/>
        <v>0</v>
      </c>
      <c r="F19" s="6">
        <f t="shared" si="5"/>
        <v>0</v>
      </c>
      <c r="G19" s="6">
        <f t="shared" si="5"/>
        <v>0</v>
      </c>
      <c r="H19" s="6">
        <f t="shared" si="5"/>
        <v>0</v>
      </c>
      <c r="I19" s="53">
        <f t="shared" si="5"/>
        <v>0</v>
      </c>
      <c r="J19" s="6">
        <f t="shared" si="5"/>
        <v>0</v>
      </c>
      <c r="K19" s="6">
        <f t="shared" si="5"/>
        <v>0</v>
      </c>
      <c r="L19" s="6">
        <f t="shared" si="5"/>
        <v>0</v>
      </c>
      <c r="M19" s="53">
        <f t="shared" si="5"/>
        <v>0</v>
      </c>
      <c r="N19" s="6">
        <f t="shared" si="5"/>
        <v>0</v>
      </c>
      <c r="O19" s="53">
        <f t="shared" si="5"/>
        <v>0</v>
      </c>
      <c r="P19" s="6">
        <f t="shared" si="5"/>
        <v>0</v>
      </c>
      <c r="Q19" s="53">
        <f t="shared" si="5"/>
        <v>0</v>
      </c>
      <c r="R19" s="6">
        <f t="shared" si="5"/>
        <v>0</v>
      </c>
      <c r="S19" s="6">
        <f t="shared" si="5"/>
        <v>0</v>
      </c>
      <c r="T19" s="6">
        <f t="shared" si="5"/>
        <v>0</v>
      </c>
      <c r="U19" s="6">
        <f t="shared" si="5"/>
        <v>0</v>
      </c>
      <c r="V19" s="6">
        <f t="shared" si="5"/>
        <v>0</v>
      </c>
      <c r="W19" s="6">
        <f t="shared" si="5"/>
        <v>0</v>
      </c>
      <c r="X19" s="6">
        <f t="shared" si="5"/>
        <v>0</v>
      </c>
      <c r="Y19" s="6">
        <f t="shared" si="5"/>
        <v>0</v>
      </c>
      <c r="Z19" s="6">
        <f t="shared" si="5"/>
        <v>0</v>
      </c>
      <c r="AA19" s="6">
        <f t="shared" si="5"/>
        <v>0</v>
      </c>
      <c r="AB19" s="6">
        <f t="shared" si="5"/>
        <v>0</v>
      </c>
      <c r="AC19" s="6">
        <f>SUM(AC6:AC18)</f>
        <v>0</v>
      </c>
      <c r="AD19" s="6">
        <f>SUM(AD6:AD18)</f>
        <v>0</v>
      </c>
      <c r="AE19" s="6">
        <f>SUM(AE6:AE18)</f>
        <v>0</v>
      </c>
      <c r="AF19" s="6">
        <f>SUM(AF6:AF18)</f>
        <v>0</v>
      </c>
      <c r="AG19" s="6">
        <f>SUM(AG6:AG18)</f>
        <v>0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W3:X3"/>
    <mergeCell ref="AA3:AB3"/>
    <mergeCell ref="AC3:AD3"/>
    <mergeCell ref="AE3:AG3"/>
    <mergeCell ref="C1:Z1"/>
    <mergeCell ref="A2:A4"/>
    <mergeCell ref="B2:B4"/>
    <mergeCell ref="C2:Z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Y3:Z3"/>
    <mergeCell ref="U3:V3"/>
  </mergeCells>
  <hyperlinks>
    <hyperlink ref="C1:Z1" location="'SMM YGN '!A1" display="မသီတာ (သာကေတ)" xr:uid="{00000000-0004-0000-2E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4"/>
  <dimension ref="A1:AG93"/>
  <sheetViews>
    <sheetView workbookViewId="0">
      <pane xSplit="2" ySplit="4" topLeftCell="L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Z1"/>
    </sheetView>
  </sheetViews>
  <sheetFormatPr defaultColWidth="9" defaultRowHeight="21" x14ac:dyDescent="0.6"/>
  <cols>
    <col min="1" max="1" width="9" style="35"/>
    <col min="2" max="2" width="12.28515625" style="36" customWidth="1"/>
    <col min="3" max="10" width="10.7109375" style="1" customWidth="1"/>
    <col min="11" max="12" width="10.28515625" style="1" customWidth="1"/>
    <col min="13" max="16" width="10.140625" style="1" customWidth="1"/>
    <col min="17" max="20" width="10.28515625" style="1" customWidth="1"/>
    <col min="21" max="22" width="9.28515625" style="1" customWidth="1"/>
    <col min="23" max="24" width="9.85546875" style="1" customWidth="1"/>
    <col min="25" max="26" width="9.28515625" style="1" customWidth="1"/>
    <col min="27" max="28" width="8" style="1" customWidth="1"/>
    <col min="29" max="30" width="8.28515625" style="1" customWidth="1"/>
    <col min="31" max="32" width="8" style="1" customWidth="1"/>
    <col min="33" max="16384" width="9" style="1"/>
  </cols>
  <sheetData>
    <row r="1" spans="1:33" ht="21.75" x14ac:dyDescent="0.6">
      <c r="A1" s="23"/>
      <c r="B1" s="24"/>
      <c r="C1" s="745" t="s">
        <v>120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B1" s="1" t="s">
        <v>68</v>
      </c>
      <c r="AC1" s="1">
        <f>AE24</f>
        <v>220</v>
      </c>
      <c r="AE1" s="25">
        <v>12</v>
      </c>
      <c r="AF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B2" s="1" t="s">
        <v>67</v>
      </c>
      <c r="AC2" s="27">
        <f>AF24</f>
        <v>3280</v>
      </c>
      <c r="AE2" s="28">
        <v>24</v>
      </c>
      <c r="AF2" s="29">
        <v>40</v>
      </c>
    </row>
    <row r="3" spans="1:33" s="27" customFormat="1" ht="38.450000000000003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32" customFormat="1" ht="21.75" x14ac:dyDescent="0.6">
      <c r="A6" s="105"/>
      <c r="B6" s="60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0</v>
      </c>
      <c r="AF6" s="11">
        <f>D6+F6+H6+J6+L6+N6+P6+R6+T6+V6+X6+Z6+AB6+AD6</f>
        <v>0</v>
      </c>
      <c r="AG6" s="11">
        <f>(D6*$D$5)+(F6*$F$5)+(H6*$H$5)+(J6*$J$5)+(L6*$L$5)+(N6*$N$5)+(P6*$P$5)+(R6*$R$5)+(T6*$T$5)+(V6*$V$5)+(X6*$X$5)+(Z6*$Z$5)+(AB6*$AB$5)+(AD6*$AD$5)</f>
        <v>0</v>
      </c>
    </row>
    <row r="7" spans="1:33" s="19" customFormat="1" ht="25.15" customHeight="1" x14ac:dyDescent="0.25">
      <c r="A7" s="37">
        <v>1</v>
      </c>
      <c r="B7" s="38">
        <v>45717</v>
      </c>
      <c r="C7" s="11">
        <v>10</v>
      </c>
      <c r="D7" s="11">
        <f>C7*14</f>
        <v>140</v>
      </c>
      <c r="E7" s="11">
        <v>30</v>
      </c>
      <c r="F7" s="11">
        <f>E7*12</f>
        <v>360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>C7+E7+G7+I7+K7+M7+O7+Q7+S7+U7+W7+Y7+AA7+AC7</f>
        <v>40</v>
      </c>
      <c r="AF7" s="11">
        <f>D7+F7+H7+J7+L7+N7+P7+R7+T7+V7+X7+Z7+AB7+AD7</f>
        <v>500</v>
      </c>
      <c r="AG7" s="13">
        <f t="shared" ref="AG7:AG23" si="0">(D7*$D$5)+(F7*$F$5)+(H7*$H$5)+(J7*$J$5)+(L7*$L$5)+(N7*$N$5)+(P7*$P$5)+(R7*$R$5)+(T7*$T$5)+(V7*$V$5)+(X7*$X$5)+(Z7*$Z$5)+(AB7*$AB$5)+(AD7*$AD$5)</f>
        <v>449.6</v>
      </c>
    </row>
    <row r="8" spans="1:33" s="19" customFormat="1" ht="25.15" customHeight="1" x14ac:dyDescent="0.25">
      <c r="A8" s="37">
        <v>2</v>
      </c>
      <c r="B8" s="38">
        <v>45809</v>
      </c>
      <c r="C8" s="11">
        <v>30</v>
      </c>
      <c r="D8" s="11">
        <f t="shared" ref="D8:D23" si="1">C8*14</f>
        <v>420</v>
      </c>
      <c r="E8" s="11">
        <v>30</v>
      </c>
      <c r="F8" s="11">
        <f t="shared" ref="F8:F23" si="2">E8*12</f>
        <v>360</v>
      </c>
      <c r="G8" s="11">
        <v>20</v>
      </c>
      <c r="H8" s="11">
        <f t="shared" ref="H8:H23" si="3">G8*12</f>
        <v>240</v>
      </c>
      <c r="I8" s="11">
        <v>10</v>
      </c>
      <c r="J8" s="11">
        <f t="shared" ref="J8:J23" si="4">I8*40</f>
        <v>400</v>
      </c>
      <c r="K8" s="11">
        <v>5</v>
      </c>
      <c r="L8" s="11">
        <f t="shared" ref="L8:L23" si="5">K8*12</f>
        <v>60</v>
      </c>
      <c r="M8" s="11"/>
      <c r="N8" s="11">
        <f t="shared" ref="N8:N23" si="6">M8*12</f>
        <v>0</v>
      </c>
      <c r="O8" s="11"/>
      <c r="P8" s="11">
        <f t="shared" ref="P8:P23" si="7">O8*40</f>
        <v>0</v>
      </c>
      <c r="Q8" s="11"/>
      <c r="R8" s="11">
        <f t="shared" ref="R8:R23" si="8">Q8*14</f>
        <v>0</v>
      </c>
      <c r="S8" s="11"/>
      <c r="T8" s="11">
        <f t="shared" ref="T8:T23" si="9">S8*14</f>
        <v>0</v>
      </c>
      <c r="U8" s="11"/>
      <c r="V8" s="11">
        <f t="shared" ref="V8:V23" si="10">U8*24</f>
        <v>0</v>
      </c>
      <c r="W8" s="11"/>
      <c r="X8" s="11">
        <f t="shared" ref="X8:X23" si="11">W8*12</f>
        <v>0</v>
      </c>
      <c r="Y8" s="11"/>
      <c r="Z8" s="11">
        <f t="shared" ref="Z8:Z23" si="12">Y8*12</f>
        <v>0</v>
      </c>
      <c r="AA8" s="11"/>
      <c r="AB8" s="11">
        <f t="shared" ref="AB8:AB23" si="13">AA8*12</f>
        <v>0</v>
      </c>
      <c r="AC8" s="11"/>
      <c r="AD8" s="11">
        <f t="shared" ref="AD8:AD23" si="14">AC8*12</f>
        <v>0</v>
      </c>
      <c r="AE8" s="11">
        <f t="shared" ref="AE8:AF23" si="15">C8+E8+G8+I8+K8+M8+O8+Q8+S8+U8+W8+Y8+AA8+AC8</f>
        <v>95</v>
      </c>
      <c r="AF8" s="11">
        <f t="shared" si="15"/>
        <v>1480</v>
      </c>
      <c r="AG8" s="13">
        <f t="shared" si="0"/>
        <v>954.8</v>
      </c>
    </row>
    <row r="9" spans="1:33" s="19" customFormat="1" ht="25.15" customHeight="1" x14ac:dyDescent="0.25">
      <c r="A9" s="37">
        <v>3</v>
      </c>
      <c r="B9" s="38">
        <v>45870</v>
      </c>
      <c r="C9" s="11"/>
      <c r="D9" s="11">
        <f t="shared" si="1"/>
        <v>0</v>
      </c>
      <c r="E9" s="11">
        <v>30</v>
      </c>
      <c r="F9" s="11">
        <f t="shared" si="2"/>
        <v>360</v>
      </c>
      <c r="G9" s="11"/>
      <c r="H9" s="11">
        <f t="shared" si="3"/>
        <v>0</v>
      </c>
      <c r="I9" s="11"/>
      <c r="J9" s="11">
        <f t="shared" si="4"/>
        <v>0</v>
      </c>
      <c r="K9" s="11"/>
      <c r="L9" s="11">
        <f t="shared" si="5"/>
        <v>0</v>
      </c>
      <c r="M9" s="11">
        <v>15</v>
      </c>
      <c r="N9" s="11">
        <f t="shared" si="6"/>
        <v>180</v>
      </c>
      <c r="O9" s="11"/>
      <c r="P9" s="11">
        <f t="shared" si="7"/>
        <v>0</v>
      </c>
      <c r="Q9" s="11"/>
      <c r="R9" s="11">
        <f t="shared" si="8"/>
        <v>0</v>
      </c>
      <c r="S9" s="11"/>
      <c r="T9" s="11">
        <f t="shared" si="9"/>
        <v>0</v>
      </c>
      <c r="U9" s="11"/>
      <c r="V9" s="11">
        <f t="shared" si="10"/>
        <v>0</v>
      </c>
      <c r="W9" s="11"/>
      <c r="X9" s="11">
        <f t="shared" si="11"/>
        <v>0</v>
      </c>
      <c r="Y9" s="11"/>
      <c r="Z9" s="11">
        <f t="shared" si="12"/>
        <v>0</v>
      </c>
      <c r="AA9" s="11"/>
      <c r="AB9" s="11">
        <f t="shared" si="13"/>
        <v>0</v>
      </c>
      <c r="AC9" s="11"/>
      <c r="AD9" s="11">
        <f t="shared" si="14"/>
        <v>0</v>
      </c>
      <c r="AE9" s="11">
        <f t="shared" si="15"/>
        <v>45</v>
      </c>
      <c r="AF9" s="11">
        <f t="shared" si="15"/>
        <v>540</v>
      </c>
      <c r="AG9" s="11">
        <f t="shared" si="0"/>
        <v>540</v>
      </c>
    </row>
    <row r="10" spans="1:33" s="19" customFormat="1" ht="25.15" customHeight="1" x14ac:dyDescent="0.25">
      <c r="A10" s="37">
        <v>4</v>
      </c>
      <c r="B10" s="38">
        <v>45901</v>
      </c>
      <c r="C10" s="11"/>
      <c r="D10" s="11">
        <f t="shared" si="1"/>
        <v>0</v>
      </c>
      <c r="E10" s="11">
        <v>30</v>
      </c>
      <c r="F10" s="11">
        <f t="shared" si="2"/>
        <v>360</v>
      </c>
      <c r="G10" s="11"/>
      <c r="H10" s="11">
        <f t="shared" si="3"/>
        <v>0</v>
      </c>
      <c r="I10" s="11">
        <v>10</v>
      </c>
      <c r="J10" s="11">
        <f t="shared" si="4"/>
        <v>400</v>
      </c>
      <c r="K10" s="11"/>
      <c r="L10" s="11">
        <f t="shared" si="5"/>
        <v>0</v>
      </c>
      <c r="M10" s="11"/>
      <c r="N10" s="11">
        <f t="shared" si="6"/>
        <v>0</v>
      </c>
      <c r="O10" s="11"/>
      <c r="P10" s="11">
        <f t="shared" si="7"/>
        <v>0</v>
      </c>
      <c r="Q10" s="11"/>
      <c r="R10" s="11">
        <f t="shared" si="8"/>
        <v>0</v>
      </c>
      <c r="S10" s="11"/>
      <c r="T10" s="11">
        <f t="shared" si="9"/>
        <v>0</v>
      </c>
      <c r="U10" s="11"/>
      <c r="V10" s="11">
        <f t="shared" si="10"/>
        <v>0</v>
      </c>
      <c r="W10" s="11"/>
      <c r="X10" s="11">
        <f t="shared" si="11"/>
        <v>0</v>
      </c>
      <c r="Y10" s="11"/>
      <c r="Z10" s="11">
        <f t="shared" si="12"/>
        <v>0</v>
      </c>
      <c r="AA10" s="11"/>
      <c r="AB10" s="11">
        <f t="shared" si="13"/>
        <v>0</v>
      </c>
      <c r="AC10" s="11"/>
      <c r="AD10" s="11">
        <f t="shared" si="14"/>
        <v>0</v>
      </c>
      <c r="AE10" s="11">
        <f t="shared" si="15"/>
        <v>40</v>
      </c>
      <c r="AF10" s="11">
        <f t="shared" si="15"/>
        <v>760</v>
      </c>
      <c r="AG10" s="11">
        <f t="shared" si="0"/>
        <v>500</v>
      </c>
    </row>
    <row r="11" spans="1:33" s="19" customFormat="1" ht="25.15" customHeight="1" x14ac:dyDescent="0.25">
      <c r="A11" s="37">
        <v>5</v>
      </c>
      <c r="B11" s="38"/>
      <c r="C11" s="11"/>
      <c r="D11" s="11">
        <f t="shared" si="1"/>
        <v>0</v>
      </c>
      <c r="E11" s="11"/>
      <c r="F11" s="11">
        <f t="shared" si="2"/>
        <v>0</v>
      </c>
      <c r="G11" s="11"/>
      <c r="H11" s="11">
        <f t="shared" si="3"/>
        <v>0</v>
      </c>
      <c r="I11" s="11"/>
      <c r="J11" s="11">
        <f t="shared" si="4"/>
        <v>0</v>
      </c>
      <c r="K11" s="11"/>
      <c r="L11" s="11">
        <f t="shared" si="5"/>
        <v>0</v>
      </c>
      <c r="M11" s="11"/>
      <c r="N11" s="11">
        <f t="shared" si="6"/>
        <v>0</v>
      </c>
      <c r="O11" s="11"/>
      <c r="P11" s="11">
        <f t="shared" si="7"/>
        <v>0</v>
      </c>
      <c r="Q11" s="11"/>
      <c r="R11" s="11">
        <f t="shared" si="8"/>
        <v>0</v>
      </c>
      <c r="S11" s="11"/>
      <c r="T11" s="11">
        <f t="shared" si="9"/>
        <v>0</v>
      </c>
      <c r="U11" s="11"/>
      <c r="V11" s="11">
        <f t="shared" si="10"/>
        <v>0</v>
      </c>
      <c r="W11" s="11"/>
      <c r="X11" s="11">
        <f t="shared" si="11"/>
        <v>0</v>
      </c>
      <c r="Y11" s="11"/>
      <c r="Z11" s="11">
        <f t="shared" si="12"/>
        <v>0</v>
      </c>
      <c r="AA11" s="11"/>
      <c r="AB11" s="11">
        <f t="shared" si="13"/>
        <v>0</v>
      </c>
      <c r="AC11" s="11"/>
      <c r="AD11" s="11">
        <f t="shared" si="14"/>
        <v>0</v>
      </c>
      <c r="AE11" s="11">
        <f t="shared" si="15"/>
        <v>0</v>
      </c>
      <c r="AF11" s="11">
        <f t="shared" si="15"/>
        <v>0</v>
      </c>
      <c r="AG11" s="11">
        <f t="shared" si="0"/>
        <v>0</v>
      </c>
    </row>
    <row r="12" spans="1:33" s="19" customFormat="1" ht="25.15" customHeight="1" x14ac:dyDescent="0.25">
      <c r="A12" s="37">
        <v>6</v>
      </c>
      <c r="B12" s="38"/>
      <c r="C12" s="11"/>
      <c r="D12" s="11">
        <f t="shared" si="1"/>
        <v>0</v>
      </c>
      <c r="E12" s="11"/>
      <c r="F12" s="11">
        <f t="shared" si="2"/>
        <v>0</v>
      </c>
      <c r="G12" s="11"/>
      <c r="H12" s="11">
        <f t="shared" si="3"/>
        <v>0</v>
      </c>
      <c r="I12" s="11"/>
      <c r="J12" s="11">
        <f t="shared" si="4"/>
        <v>0</v>
      </c>
      <c r="K12" s="11"/>
      <c r="L12" s="11">
        <f t="shared" si="5"/>
        <v>0</v>
      </c>
      <c r="M12" s="11"/>
      <c r="N12" s="11">
        <f t="shared" si="6"/>
        <v>0</v>
      </c>
      <c r="O12" s="11"/>
      <c r="P12" s="11">
        <f t="shared" si="7"/>
        <v>0</v>
      </c>
      <c r="Q12" s="11"/>
      <c r="R12" s="11">
        <f t="shared" si="8"/>
        <v>0</v>
      </c>
      <c r="S12" s="11"/>
      <c r="T12" s="11">
        <f t="shared" si="9"/>
        <v>0</v>
      </c>
      <c r="U12" s="11"/>
      <c r="V12" s="11">
        <f t="shared" si="10"/>
        <v>0</v>
      </c>
      <c r="W12" s="11"/>
      <c r="X12" s="11">
        <f t="shared" si="11"/>
        <v>0</v>
      </c>
      <c r="Y12" s="11"/>
      <c r="Z12" s="11">
        <f t="shared" si="12"/>
        <v>0</v>
      </c>
      <c r="AA12" s="11"/>
      <c r="AB12" s="11">
        <f t="shared" si="13"/>
        <v>0</v>
      </c>
      <c r="AC12" s="11"/>
      <c r="AD12" s="11">
        <f t="shared" si="14"/>
        <v>0</v>
      </c>
      <c r="AE12" s="11">
        <f t="shared" si="15"/>
        <v>0</v>
      </c>
      <c r="AF12" s="11">
        <f t="shared" si="15"/>
        <v>0</v>
      </c>
      <c r="AG12" s="11">
        <f t="shared" si="0"/>
        <v>0</v>
      </c>
    </row>
    <row r="13" spans="1:33" ht="25.15" customHeight="1" x14ac:dyDescent="0.6">
      <c r="A13" s="37">
        <v>7</v>
      </c>
      <c r="B13" s="38"/>
      <c r="C13" s="11"/>
      <c r="D13" s="11">
        <f t="shared" si="1"/>
        <v>0</v>
      </c>
      <c r="E13" s="6"/>
      <c r="F13" s="11">
        <f t="shared" si="2"/>
        <v>0</v>
      </c>
      <c r="G13" s="6"/>
      <c r="H13" s="11">
        <f t="shared" si="3"/>
        <v>0</v>
      </c>
      <c r="I13" s="6"/>
      <c r="J13" s="11">
        <f t="shared" si="4"/>
        <v>0</v>
      </c>
      <c r="K13" s="6"/>
      <c r="L13" s="11">
        <f t="shared" si="5"/>
        <v>0</v>
      </c>
      <c r="M13" s="11"/>
      <c r="N13" s="11">
        <f t="shared" si="6"/>
        <v>0</v>
      </c>
      <c r="O13" s="11"/>
      <c r="P13" s="11">
        <f t="shared" si="7"/>
        <v>0</v>
      </c>
      <c r="Q13" s="11"/>
      <c r="R13" s="11">
        <f t="shared" si="8"/>
        <v>0</v>
      </c>
      <c r="S13" s="6"/>
      <c r="T13" s="11">
        <f t="shared" si="9"/>
        <v>0</v>
      </c>
      <c r="U13" s="6"/>
      <c r="V13" s="11">
        <f t="shared" si="10"/>
        <v>0</v>
      </c>
      <c r="W13" s="6"/>
      <c r="X13" s="11">
        <f t="shared" si="11"/>
        <v>0</v>
      </c>
      <c r="Y13" s="11"/>
      <c r="Z13" s="11">
        <f t="shared" si="12"/>
        <v>0</v>
      </c>
      <c r="AA13" s="6"/>
      <c r="AB13" s="11">
        <f t="shared" si="13"/>
        <v>0</v>
      </c>
      <c r="AC13" s="6"/>
      <c r="AD13" s="11">
        <f t="shared" si="14"/>
        <v>0</v>
      </c>
      <c r="AE13" s="11">
        <f t="shared" si="15"/>
        <v>0</v>
      </c>
      <c r="AF13" s="11">
        <f t="shared" si="15"/>
        <v>0</v>
      </c>
      <c r="AG13" s="11">
        <f t="shared" si="0"/>
        <v>0</v>
      </c>
    </row>
    <row r="14" spans="1:33" ht="25.15" customHeight="1" x14ac:dyDescent="0.6">
      <c r="A14" s="37">
        <v>8</v>
      </c>
      <c r="B14" s="38"/>
      <c r="C14" s="6"/>
      <c r="D14" s="11">
        <f t="shared" si="1"/>
        <v>0</v>
      </c>
      <c r="E14" s="6"/>
      <c r="F14" s="11">
        <f t="shared" si="2"/>
        <v>0</v>
      </c>
      <c r="G14" s="6"/>
      <c r="H14" s="11">
        <f t="shared" si="3"/>
        <v>0</v>
      </c>
      <c r="I14" s="6"/>
      <c r="J14" s="11">
        <f t="shared" si="4"/>
        <v>0</v>
      </c>
      <c r="K14" s="6"/>
      <c r="L14" s="11">
        <f t="shared" si="5"/>
        <v>0</v>
      </c>
      <c r="M14" s="6"/>
      <c r="N14" s="11">
        <f t="shared" si="6"/>
        <v>0</v>
      </c>
      <c r="O14" s="6"/>
      <c r="P14" s="11">
        <f t="shared" si="7"/>
        <v>0</v>
      </c>
      <c r="Q14" s="6"/>
      <c r="R14" s="11">
        <f t="shared" si="8"/>
        <v>0</v>
      </c>
      <c r="S14" s="6"/>
      <c r="T14" s="11">
        <f t="shared" si="9"/>
        <v>0</v>
      </c>
      <c r="U14" s="6"/>
      <c r="V14" s="11">
        <f t="shared" si="10"/>
        <v>0</v>
      </c>
      <c r="W14" s="6"/>
      <c r="X14" s="11">
        <f t="shared" si="11"/>
        <v>0</v>
      </c>
      <c r="Y14" s="11"/>
      <c r="Z14" s="11">
        <f t="shared" si="12"/>
        <v>0</v>
      </c>
      <c r="AA14" s="6"/>
      <c r="AB14" s="11">
        <f t="shared" si="13"/>
        <v>0</v>
      </c>
      <c r="AC14" s="6"/>
      <c r="AD14" s="11">
        <f t="shared" si="14"/>
        <v>0</v>
      </c>
      <c r="AE14" s="11">
        <f>C14+E14+G14+I14+K14+M14+O14+Q14+S14+U14+W14+Y14+AA14+AC14</f>
        <v>0</v>
      </c>
      <c r="AF14" s="11">
        <f t="shared" si="15"/>
        <v>0</v>
      </c>
      <c r="AG14" s="11">
        <f t="shared" si="0"/>
        <v>0</v>
      </c>
    </row>
    <row r="15" spans="1:33" ht="25.15" customHeight="1" x14ac:dyDescent="0.6">
      <c r="A15" s="37">
        <v>9</v>
      </c>
      <c r="B15" s="38"/>
      <c r="C15" s="6"/>
      <c r="D15" s="11">
        <f t="shared" si="1"/>
        <v>0</v>
      </c>
      <c r="E15" s="6"/>
      <c r="F15" s="11">
        <f t="shared" si="2"/>
        <v>0</v>
      </c>
      <c r="G15" s="6"/>
      <c r="H15" s="11">
        <f t="shared" si="3"/>
        <v>0</v>
      </c>
      <c r="I15" s="6"/>
      <c r="J15" s="11">
        <f t="shared" si="4"/>
        <v>0</v>
      </c>
      <c r="K15" s="6"/>
      <c r="L15" s="11">
        <f t="shared" si="5"/>
        <v>0</v>
      </c>
      <c r="M15" s="6"/>
      <c r="N15" s="11">
        <f t="shared" si="6"/>
        <v>0</v>
      </c>
      <c r="O15" s="6"/>
      <c r="P15" s="11">
        <f t="shared" si="7"/>
        <v>0</v>
      </c>
      <c r="Q15" s="6"/>
      <c r="R15" s="11">
        <f t="shared" si="8"/>
        <v>0</v>
      </c>
      <c r="S15" s="6"/>
      <c r="T15" s="11">
        <f t="shared" si="9"/>
        <v>0</v>
      </c>
      <c r="U15" s="6"/>
      <c r="V15" s="11">
        <f t="shared" si="10"/>
        <v>0</v>
      </c>
      <c r="W15" s="6"/>
      <c r="X15" s="11">
        <f t="shared" si="11"/>
        <v>0</v>
      </c>
      <c r="Y15" s="11"/>
      <c r="Z15" s="11">
        <f t="shared" si="12"/>
        <v>0</v>
      </c>
      <c r="AA15" s="6"/>
      <c r="AB15" s="11">
        <f t="shared" si="13"/>
        <v>0</v>
      </c>
      <c r="AC15" s="6"/>
      <c r="AD15" s="11">
        <f t="shared" si="14"/>
        <v>0</v>
      </c>
      <c r="AE15" s="11">
        <f t="shared" si="15"/>
        <v>0</v>
      </c>
      <c r="AF15" s="11">
        <f t="shared" si="15"/>
        <v>0</v>
      </c>
      <c r="AG15" s="11">
        <f t="shared" si="0"/>
        <v>0</v>
      </c>
    </row>
    <row r="16" spans="1:33" ht="25.15" customHeight="1" x14ac:dyDescent="0.6">
      <c r="A16" s="37">
        <v>10</v>
      </c>
      <c r="B16" s="38"/>
      <c r="C16" s="6"/>
      <c r="D16" s="11">
        <f t="shared" si="1"/>
        <v>0</v>
      </c>
      <c r="E16" s="6"/>
      <c r="F16" s="11">
        <f t="shared" si="2"/>
        <v>0</v>
      </c>
      <c r="G16" s="6"/>
      <c r="H16" s="11">
        <f t="shared" si="3"/>
        <v>0</v>
      </c>
      <c r="I16" s="6"/>
      <c r="J16" s="11">
        <f t="shared" si="4"/>
        <v>0</v>
      </c>
      <c r="K16" s="6"/>
      <c r="L16" s="11">
        <f t="shared" si="5"/>
        <v>0</v>
      </c>
      <c r="M16" s="6"/>
      <c r="N16" s="11">
        <f t="shared" si="6"/>
        <v>0</v>
      </c>
      <c r="O16" s="6"/>
      <c r="P16" s="11">
        <f t="shared" si="7"/>
        <v>0</v>
      </c>
      <c r="Q16" s="6"/>
      <c r="R16" s="11">
        <f t="shared" si="8"/>
        <v>0</v>
      </c>
      <c r="S16" s="6"/>
      <c r="T16" s="11">
        <f t="shared" si="9"/>
        <v>0</v>
      </c>
      <c r="U16" s="6"/>
      <c r="V16" s="11">
        <f t="shared" si="10"/>
        <v>0</v>
      </c>
      <c r="W16" s="6"/>
      <c r="X16" s="11">
        <f t="shared" si="11"/>
        <v>0</v>
      </c>
      <c r="Y16" s="11"/>
      <c r="Z16" s="11">
        <f t="shared" si="12"/>
        <v>0</v>
      </c>
      <c r="AA16" s="6"/>
      <c r="AB16" s="11">
        <f t="shared" si="13"/>
        <v>0</v>
      </c>
      <c r="AC16" s="6"/>
      <c r="AD16" s="11">
        <f t="shared" si="14"/>
        <v>0</v>
      </c>
      <c r="AE16" s="11">
        <f t="shared" si="15"/>
        <v>0</v>
      </c>
      <c r="AF16" s="11">
        <f t="shared" si="15"/>
        <v>0</v>
      </c>
      <c r="AG16" s="11">
        <f t="shared" si="0"/>
        <v>0</v>
      </c>
    </row>
    <row r="17" spans="1:33" ht="25.15" customHeight="1" x14ac:dyDescent="0.6">
      <c r="A17" s="37">
        <v>11</v>
      </c>
      <c r="B17" s="38"/>
      <c r="C17" s="6"/>
      <c r="D17" s="11">
        <f t="shared" si="1"/>
        <v>0</v>
      </c>
      <c r="E17" s="6"/>
      <c r="F17" s="11">
        <f t="shared" si="2"/>
        <v>0</v>
      </c>
      <c r="G17" s="6"/>
      <c r="H17" s="11">
        <f t="shared" si="3"/>
        <v>0</v>
      </c>
      <c r="I17" s="6"/>
      <c r="J17" s="11">
        <f t="shared" si="4"/>
        <v>0</v>
      </c>
      <c r="K17" s="6"/>
      <c r="L17" s="11">
        <f t="shared" si="5"/>
        <v>0</v>
      </c>
      <c r="M17" s="6"/>
      <c r="N17" s="11">
        <f t="shared" si="6"/>
        <v>0</v>
      </c>
      <c r="O17" s="6"/>
      <c r="P17" s="11"/>
      <c r="Q17" s="6"/>
      <c r="R17" s="11"/>
      <c r="S17" s="6"/>
      <c r="T17" s="11"/>
      <c r="U17" s="6"/>
      <c r="V17" s="11"/>
      <c r="W17" s="6"/>
      <c r="X17" s="11"/>
      <c r="Y17" s="11"/>
      <c r="Z17" s="11"/>
      <c r="AA17" s="6"/>
      <c r="AB17" s="11"/>
      <c r="AC17" s="6"/>
      <c r="AD17" s="11"/>
      <c r="AE17" s="11">
        <f t="shared" si="15"/>
        <v>0</v>
      </c>
      <c r="AF17" s="11">
        <f t="shared" si="15"/>
        <v>0</v>
      </c>
      <c r="AG17" s="11">
        <f t="shared" si="0"/>
        <v>0</v>
      </c>
    </row>
    <row r="18" spans="1:33" ht="25.15" customHeight="1" x14ac:dyDescent="0.6">
      <c r="A18" s="37">
        <v>12</v>
      </c>
      <c r="B18" s="38"/>
      <c r="C18" s="6"/>
      <c r="D18" s="11">
        <f t="shared" si="1"/>
        <v>0</v>
      </c>
      <c r="E18" s="6"/>
      <c r="F18" s="11">
        <f t="shared" si="2"/>
        <v>0</v>
      </c>
      <c r="G18" s="6"/>
      <c r="H18" s="11">
        <f t="shared" si="3"/>
        <v>0</v>
      </c>
      <c r="I18" s="6"/>
      <c r="J18" s="11">
        <f t="shared" si="4"/>
        <v>0</v>
      </c>
      <c r="K18" s="6"/>
      <c r="L18" s="11">
        <f t="shared" si="5"/>
        <v>0</v>
      </c>
      <c r="M18" s="6"/>
      <c r="N18" s="11">
        <f t="shared" si="6"/>
        <v>0</v>
      </c>
      <c r="O18" s="6"/>
      <c r="P18" s="11">
        <f t="shared" si="7"/>
        <v>0</v>
      </c>
      <c r="Q18" s="6"/>
      <c r="R18" s="11">
        <f t="shared" si="8"/>
        <v>0</v>
      </c>
      <c r="S18" s="6"/>
      <c r="T18" s="11">
        <f t="shared" si="9"/>
        <v>0</v>
      </c>
      <c r="U18" s="6"/>
      <c r="V18" s="11">
        <f t="shared" si="10"/>
        <v>0</v>
      </c>
      <c r="W18" s="6"/>
      <c r="X18" s="11">
        <f t="shared" si="11"/>
        <v>0</v>
      </c>
      <c r="Y18" s="11"/>
      <c r="Z18" s="11">
        <f t="shared" si="12"/>
        <v>0</v>
      </c>
      <c r="AA18" s="6"/>
      <c r="AB18" s="11">
        <f t="shared" si="13"/>
        <v>0</v>
      </c>
      <c r="AC18" s="6"/>
      <c r="AD18" s="11">
        <f t="shared" si="14"/>
        <v>0</v>
      </c>
      <c r="AE18" s="11">
        <f t="shared" si="15"/>
        <v>0</v>
      </c>
      <c r="AF18" s="11">
        <f t="shared" si="15"/>
        <v>0</v>
      </c>
      <c r="AG18" s="11">
        <f t="shared" si="0"/>
        <v>0</v>
      </c>
    </row>
    <row r="19" spans="1:33" ht="25.15" customHeight="1" x14ac:dyDescent="0.6">
      <c r="A19" s="37">
        <v>13</v>
      </c>
      <c r="B19" s="38"/>
      <c r="C19" s="6"/>
      <c r="D19" s="11">
        <f t="shared" si="1"/>
        <v>0</v>
      </c>
      <c r="E19" s="6"/>
      <c r="F19" s="11">
        <f t="shared" si="2"/>
        <v>0</v>
      </c>
      <c r="G19" s="6"/>
      <c r="H19" s="11">
        <f t="shared" si="3"/>
        <v>0</v>
      </c>
      <c r="I19" s="6"/>
      <c r="J19" s="11">
        <f t="shared" si="4"/>
        <v>0</v>
      </c>
      <c r="K19" s="6"/>
      <c r="L19" s="11">
        <f t="shared" si="5"/>
        <v>0</v>
      </c>
      <c r="M19" s="6"/>
      <c r="N19" s="11">
        <f t="shared" si="6"/>
        <v>0</v>
      </c>
      <c r="O19" s="6"/>
      <c r="P19" s="11">
        <f t="shared" si="7"/>
        <v>0</v>
      </c>
      <c r="Q19" s="6"/>
      <c r="R19" s="11">
        <f t="shared" si="8"/>
        <v>0</v>
      </c>
      <c r="S19" s="6"/>
      <c r="T19" s="11">
        <f t="shared" si="9"/>
        <v>0</v>
      </c>
      <c r="U19" s="6"/>
      <c r="V19" s="11">
        <f t="shared" si="10"/>
        <v>0</v>
      </c>
      <c r="W19" s="6"/>
      <c r="X19" s="11">
        <f t="shared" si="11"/>
        <v>0</v>
      </c>
      <c r="Y19" s="11"/>
      <c r="Z19" s="11">
        <f t="shared" si="12"/>
        <v>0</v>
      </c>
      <c r="AA19" s="6"/>
      <c r="AB19" s="11">
        <f t="shared" si="13"/>
        <v>0</v>
      </c>
      <c r="AC19" s="6"/>
      <c r="AD19" s="11">
        <f t="shared" si="14"/>
        <v>0</v>
      </c>
      <c r="AE19" s="11">
        <f>C19+E19+G19+I19+K19+M19+O19+Q19+S19+U19+W19+Y19+AA19+AC19</f>
        <v>0</v>
      </c>
      <c r="AF19" s="11">
        <f t="shared" si="15"/>
        <v>0</v>
      </c>
      <c r="AG19" s="11">
        <f t="shared" si="0"/>
        <v>0</v>
      </c>
    </row>
    <row r="20" spans="1:33" ht="25.15" customHeight="1" x14ac:dyDescent="0.6">
      <c r="A20" s="37">
        <v>14</v>
      </c>
      <c r="B20" s="38"/>
      <c r="C20" s="6"/>
      <c r="D20" s="11">
        <f t="shared" si="1"/>
        <v>0</v>
      </c>
      <c r="E20" s="6"/>
      <c r="F20" s="11">
        <f t="shared" si="2"/>
        <v>0</v>
      </c>
      <c r="G20" s="6"/>
      <c r="H20" s="11">
        <f t="shared" si="3"/>
        <v>0</v>
      </c>
      <c r="I20" s="6"/>
      <c r="J20" s="11">
        <f t="shared" si="4"/>
        <v>0</v>
      </c>
      <c r="K20" s="6"/>
      <c r="L20" s="11"/>
      <c r="M20" s="6"/>
      <c r="N20" s="11">
        <f t="shared" si="6"/>
        <v>0</v>
      </c>
      <c r="O20" s="6"/>
      <c r="P20" s="11">
        <f t="shared" si="7"/>
        <v>0</v>
      </c>
      <c r="Q20" s="6"/>
      <c r="R20" s="11"/>
      <c r="S20" s="6"/>
      <c r="T20" s="11"/>
      <c r="U20" s="6"/>
      <c r="V20" s="11"/>
      <c r="W20" s="6"/>
      <c r="X20" s="11"/>
      <c r="Y20" s="11"/>
      <c r="Z20" s="11"/>
      <c r="AA20" s="6"/>
      <c r="AB20" s="11"/>
      <c r="AC20" s="6"/>
      <c r="AD20" s="11"/>
      <c r="AE20" s="11">
        <f>C20+E20+G20+I20+K20+M20+O20+Q20+S20+U20+W20+Y20+AA20+AC20</f>
        <v>0</v>
      </c>
      <c r="AF20" s="11">
        <f t="shared" si="15"/>
        <v>0</v>
      </c>
      <c r="AG20" s="11">
        <f t="shared" si="0"/>
        <v>0</v>
      </c>
    </row>
    <row r="21" spans="1:33" ht="25.15" customHeight="1" x14ac:dyDescent="0.6">
      <c r="A21" s="37">
        <v>15</v>
      </c>
      <c r="B21" s="38"/>
      <c r="C21" s="6"/>
      <c r="D21" s="11"/>
      <c r="E21" s="6"/>
      <c r="F21" s="11">
        <f t="shared" si="2"/>
        <v>0</v>
      </c>
      <c r="G21" s="6"/>
      <c r="H21" s="11">
        <f t="shared" si="3"/>
        <v>0</v>
      </c>
      <c r="I21" s="6"/>
      <c r="J21" s="11"/>
      <c r="K21" s="6"/>
      <c r="L21" s="11"/>
      <c r="M21" s="6"/>
      <c r="N21" s="11">
        <f t="shared" si="6"/>
        <v>0</v>
      </c>
      <c r="O21" s="6"/>
      <c r="P21" s="11"/>
      <c r="Q21" s="6"/>
      <c r="R21" s="11"/>
      <c r="S21" s="6"/>
      <c r="T21" s="11"/>
      <c r="U21" s="6"/>
      <c r="V21" s="11"/>
      <c r="W21" s="6"/>
      <c r="X21" s="11"/>
      <c r="Y21" s="11"/>
      <c r="Z21" s="11"/>
      <c r="AA21" s="6"/>
      <c r="AB21" s="11"/>
      <c r="AC21" s="6"/>
      <c r="AD21" s="11"/>
      <c r="AE21" s="11">
        <f>C21+E21+G21+I21+K21+M21+O21+Q21+S21+U21+W21+Y21+AA21+AC21</f>
        <v>0</v>
      </c>
      <c r="AF21" s="11">
        <f t="shared" si="15"/>
        <v>0</v>
      </c>
      <c r="AG21" s="11">
        <f t="shared" si="0"/>
        <v>0</v>
      </c>
    </row>
    <row r="22" spans="1:33" ht="25.15" customHeight="1" x14ac:dyDescent="0.6">
      <c r="A22" s="37">
        <v>16</v>
      </c>
      <c r="B22" s="38"/>
      <c r="C22" s="6"/>
      <c r="D22" s="11"/>
      <c r="E22" s="6"/>
      <c r="F22" s="11">
        <f t="shared" si="2"/>
        <v>0</v>
      </c>
      <c r="G22" s="6"/>
      <c r="H22" s="11">
        <f t="shared" si="3"/>
        <v>0</v>
      </c>
      <c r="I22" s="6"/>
      <c r="J22" s="11"/>
      <c r="K22" s="6"/>
      <c r="L22" s="11"/>
      <c r="M22" s="6"/>
      <c r="N22" s="11">
        <f t="shared" si="6"/>
        <v>0</v>
      </c>
      <c r="O22" s="6"/>
      <c r="P22" s="11"/>
      <c r="Q22" s="6"/>
      <c r="R22" s="11"/>
      <c r="S22" s="6"/>
      <c r="T22" s="11"/>
      <c r="U22" s="6"/>
      <c r="V22" s="11"/>
      <c r="W22" s="6"/>
      <c r="X22" s="11"/>
      <c r="Y22" s="11"/>
      <c r="Z22" s="11"/>
      <c r="AA22" s="6"/>
      <c r="AB22" s="11"/>
      <c r="AC22" s="6"/>
      <c r="AD22" s="11"/>
      <c r="AE22" s="11">
        <f>C22+E22+G22+I22+K22+M22+O22+Q22+S22+U22+W22+Y22+AA22+AC22</f>
        <v>0</v>
      </c>
      <c r="AF22" s="11">
        <f t="shared" si="15"/>
        <v>0</v>
      </c>
      <c r="AG22" s="11">
        <f t="shared" si="0"/>
        <v>0</v>
      </c>
    </row>
    <row r="23" spans="1:33" ht="25.15" customHeight="1" x14ac:dyDescent="0.6">
      <c r="A23" s="39">
        <v>17</v>
      </c>
      <c r="B23" s="38"/>
      <c r="C23" s="6"/>
      <c r="D23" s="11">
        <f t="shared" si="1"/>
        <v>0</v>
      </c>
      <c r="E23" s="6"/>
      <c r="F23" s="11">
        <f t="shared" si="2"/>
        <v>0</v>
      </c>
      <c r="G23" s="6"/>
      <c r="H23" s="11">
        <f t="shared" si="3"/>
        <v>0</v>
      </c>
      <c r="I23" s="6"/>
      <c r="J23" s="11">
        <f t="shared" si="4"/>
        <v>0</v>
      </c>
      <c r="K23" s="6"/>
      <c r="L23" s="11">
        <f t="shared" si="5"/>
        <v>0</v>
      </c>
      <c r="M23" s="6"/>
      <c r="N23" s="11">
        <f t="shared" si="6"/>
        <v>0</v>
      </c>
      <c r="O23" s="6"/>
      <c r="P23" s="11">
        <f t="shared" si="7"/>
        <v>0</v>
      </c>
      <c r="Q23" s="6"/>
      <c r="R23" s="11">
        <f t="shared" si="8"/>
        <v>0</v>
      </c>
      <c r="S23" s="6"/>
      <c r="T23" s="11">
        <f t="shared" si="9"/>
        <v>0</v>
      </c>
      <c r="U23" s="6"/>
      <c r="V23" s="11">
        <f t="shared" si="10"/>
        <v>0</v>
      </c>
      <c r="W23" s="6"/>
      <c r="X23" s="11">
        <f t="shared" si="11"/>
        <v>0</v>
      </c>
      <c r="Y23" s="11"/>
      <c r="Z23" s="11">
        <f t="shared" si="12"/>
        <v>0</v>
      </c>
      <c r="AA23" s="6"/>
      <c r="AB23" s="11">
        <f t="shared" si="13"/>
        <v>0</v>
      </c>
      <c r="AC23" s="6"/>
      <c r="AD23" s="11">
        <f t="shared" si="14"/>
        <v>0</v>
      </c>
      <c r="AE23" s="11">
        <f t="shared" si="15"/>
        <v>0</v>
      </c>
      <c r="AF23" s="11">
        <f t="shared" si="15"/>
        <v>0</v>
      </c>
      <c r="AG23" s="11">
        <f t="shared" si="0"/>
        <v>0</v>
      </c>
    </row>
    <row r="24" spans="1:33" ht="25.15" customHeight="1" x14ac:dyDescent="0.6">
      <c r="A24" s="39"/>
      <c r="B24" s="40"/>
      <c r="C24" s="49">
        <f>SUM(C7:C23)</f>
        <v>40</v>
      </c>
      <c r="D24" s="6">
        <f t="shared" ref="D24:AB24" si="16">SUM(D7:D23)</f>
        <v>560</v>
      </c>
      <c r="E24" s="49">
        <f t="shared" si="16"/>
        <v>120</v>
      </c>
      <c r="F24" s="6">
        <f t="shared" si="16"/>
        <v>1440</v>
      </c>
      <c r="G24" s="49">
        <f t="shared" si="16"/>
        <v>20</v>
      </c>
      <c r="H24" s="6">
        <f t="shared" si="16"/>
        <v>240</v>
      </c>
      <c r="I24" s="49">
        <f t="shared" si="16"/>
        <v>20</v>
      </c>
      <c r="J24" s="6">
        <f t="shared" si="16"/>
        <v>800</v>
      </c>
      <c r="K24" s="49">
        <f t="shared" si="16"/>
        <v>5</v>
      </c>
      <c r="L24" s="6">
        <f t="shared" si="16"/>
        <v>60</v>
      </c>
      <c r="M24" s="49">
        <f t="shared" si="16"/>
        <v>15</v>
      </c>
      <c r="N24" s="6">
        <f t="shared" si="16"/>
        <v>180</v>
      </c>
      <c r="O24" s="6">
        <f t="shared" si="16"/>
        <v>0</v>
      </c>
      <c r="P24" s="6">
        <f t="shared" si="16"/>
        <v>0</v>
      </c>
      <c r="Q24" s="6">
        <f t="shared" si="16"/>
        <v>0</v>
      </c>
      <c r="R24" s="6">
        <f t="shared" si="16"/>
        <v>0</v>
      </c>
      <c r="S24" s="6">
        <f t="shared" si="16"/>
        <v>0</v>
      </c>
      <c r="T24" s="6">
        <f t="shared" si="16"/>
        <v>0</v>
      </c>
      <c r="U24" s="6">
        <f t="shared" si="16"/>
        <v>0</v>
      </c>
      <c r="V24" s="6">
        <f t="shared" si="16"/>
        <v>0</v>
      </c>
      <c r="W24" s="6">
        <f t="shared" si="16"/>
        <v>0</v>
      </c>
      <c r="X24" s="6">
        <f t="shared" si="16"/>
        <v>0</v>
      </c>
      <c r="Y24" s="6">
        <f t="shared" si="16"/>
        <v>0</v>
      </c>
      <c r="Z24" s="6">
        <f t="shared" si="16"/>
        <v>0</v>
      </c>
      <c r="AA24" s="6">
        <f t="shared" si="16"/>
        <v>0</v>
      </c>
      <c r="AB24" s="6">
        <f t="shared" si="16"/>
        <v>0</v>
      </c>
      <c r="AC24" s="6">
        <f>SUM(AC7:AC23)</f>
        <v>0</v>
      </c>
      <c r="AD24" s="6">
        <f>SUM(AD7:AD23)</f>
        <v>0</v>
      </c>
      <c r="AE24" s="6">
        <f>SUM(AE7:AE23)</f>
        <v>220</v>
      </c>
      <c r="AF24" s="6">
        <f>SUM(AF7:AF23)</f>
        <v>3280</v>
      </c>
      <c r="AG24" s="6">
        <f>SUM(AG6:AG23)</f>
        <v>2444.4</v>
      </c>
    </row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  <row r="90" ht="25.15" customHeight="1" x14ac:dyDescent="0.6"/>
    <row r="91" ht="25.15" customHeight="1" x14ac:dyDescent="0.6"/>
    <row r="92" ht="25.15" customHeight="1" x14ac:dyDescent="0.6"/>
    <row r="93" ht="25.15" customHeight="1" x14ac:dyDescent="0.6"/>
  </sheetData>
  <mergeCells count="19">
    <mergeCell ref="A2:A4"/>
    <mergeCell ref="B2:B4"/>
    <mergeCell ref="C2:Z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A3:AB3"/>
    <mergeCell ref="AC3:AD3"/>
    <mergeCell ref="Y3:Z3"/>
    <mergeCell ref="C1:Z1"/>
    <mergeCell ref="AE3:AG3"/>
  </mergeCells>
  <hyperlinks>
    <hyperlink ref="C1:Z1" location="'SMM YGN '!A1" display="လမင်းသာ(သမိုင်း)" xr:uid="{00000000-0004-0000-2F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5"/>
  <dimension ref="A1:AG89"/>
  <sheetViews>
    <sheetView workbookViewId="0">
      <pane xSplit="2" ySplit="4" topLeftCell="L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Z1"/>
    </sheetView>
  </sheetViews>
  <sheetFormatPr defaultColWidth="9" defaultRowHeight="21" x14ac:dyDescent="0.6"/>
  <cols>
    <col min="1" max="1" width="9" style="35"/>
    <col min="2" max="2" width="12.28515625" style="36" customWidth="1"/>
    <col min="3" max="6" width="10.7109375" style="1" customWidth="1"/>
    <col min="7" max="24" width="9.85546875" style="1" customWidth="1"/>
    <col min="25" max="28" width="8.7109375" style="1" customWidth="1"/>
    <col min="29" max="32" width="8.28515625" style="1" customWidth="1"/>
    <col min="33" max="16384" width="9" style="1"/>
  </cols>
  <sheetData>
    <row r="1" spans="1:33" ht="21.75" x14ac:dyDescent="0.6">
      <c r="A1" s="23"/>
      <c r="B1" s="24"/>
      <c r="C1" s="745" t="s">
        <v>121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B1" s="1" t="s">
        <v>68</v>
      </c>
      <c r="AC1" s="1">
        <f>AE20</f>
        <v>305</v>
      </c>
      <c r="AE1" s="25">
        <v>12</v>
      </c>
      <c r="AF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B2" s="1" t="s">
        <v>67</v>
      </c>
      <c r="AC2" s="27">
        <f>AF20</f>
        <v>4200</v>
      </c>
      <c r="AE2" s="28">
        <v>24</v>
      </c>
      <c r="AF2" s="29">
        <v>40</v>
      </c>
    </row>
    <row r="3" spans="1:33" s="27" customFormat="1" ht="46.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>
        <v>45717</v>
      </c>
      <c r="C6" s="11">
        <v>50</v>
      </c>
      <c r="D6" s="11">
        <f>C6*14</f>
        <v>700</v>
      </c>
      <c r="E6" s="11">
        <v>100</v>
      </c>
      <c r="F6" s="11">
        <f>E6*12</f>
        <v>1200</v>
      </c>
      <c r="G6" s="11"/>
      <c r="H6" s="11">
        <f>G6*12</f>
        <v>0</v>
      </c>
      <c r="I6" s="11">
        <v>5</v>
      </c>
      <c r="J6" s="11">
        <f>I6*40</f>
        <v>200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155</v>
      </c>
      <c r="AF6" s="11">
        <f>D6+F6+H6+J6+L6+N6+P6+R6+T6+V6+X6+Z6+AB6+AD6</f>
        <v>2100</v>
      </c>
      <c r="AG6" s="11">
        <f t="shared" ref="AG6:AG19" si="0">(D6*$D$5)+(F6*$F$5)+(H6*$H$5)+(J6*$J$5)+(L6*$L$5)+(N6*$N$5)+(P6*$P$5)+(R6*$R$5)+(T6*$T$5)+(V6*$V$5)+(X6*$X$5)+(Z6*$Z$5)+(AB6*$AB$5)+(AD6*$AD$5)</f>
        <v>1718</v>
      </c>
    </row>
    <row r="7" spans="1:33" s="19" customFormat="1" ht="25.15" customHeight="1" x14ac:dyDescent="0.25">
      <c r="A7" s="37">
        <v>2</v>
      </c>
      <c r="B7" s="38">
        <v>45839</v>
      </c>
      <c r="C7" s="11">
        <v>150</v>
      </c>
      <c r="D7" s="11">
        <f>C7*14</f>
        <v>2100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 t="shared" ref="Z7:Z14" si="1">Y7*12</f>
        <v>0</v>
      </c>
      <c r="AA7" s="11"/>
      <c r="AB7" s="11">
        <f t="shared" ref="AB7:AB14" si="2">AA7*12</f>
        <v>0</v>
      </c>
      <c r="AC7" s="11"/>
      <c r="AD7" s="11">
        <f t="shared" ref="AD7:AD14" si="3">AC7*12</f>
        <v>0</v>
      </c>
      <c r="AE7" s="11">
        <f t="shared" ref="AE7:AF14" si="4">C7+E7+G7+I7+K7+M7+O7+Q7+S7+U7+W7+Y7+AA7+AC7</f>
        <v>150</v>
      </c>
      <c r="AF7" s="11">
        <f t="shared" si="4"/>
        <v>2100</v>
      </c>
      <c r="AG7" s="11">
        <f t="shared" si="0"/>
        <v>1344</v>
      </c>
    </row>
    <row r="8" spans="1:33" s="19" customFormat="1" ht="25.15" customHeight="1" x14ac:dyDescent="0.25">
      <c r="A8" s="37">
        <v>3</v>
      </c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 t="shared" si="1"/>
        <v>0</v>
      </c>
      <c r="AA8" s="11"/>
      <c r="AB8" s="11">
        <f t="shared" si="2"/>
        <v>0</v>
      </c>
      <c r="AC8" s="11"/>
      <c r="AD8" s="11">
        <f t="shared" si="3"/>
        <v>0</v>
      </c>
      <c r="AE8" s="11">
        <f t="shared" si="4"/>
        <v>0</v>
      </c>
      <c r="AF8" s="11">
        <f t="shared" si="4"/>
        <v>0</v>
      </c>
      <c r="AG8" s="11">
        <f t="shared" si="0"/>
        <v>0</v>
      </c>
    </row>
    <row r="9" spans="1:33" s="19" customFormat="1" ht="25.15" customHeight="1" x14ac:dyDescent="0.25">
      <c r="A9" s="37">
        <v>4</v>
      </c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 t="shared" si="1"/>
        <v>0</v>
      </c>
      <c r="AA9" s="11"/>
      <c r="AB9" s="11">
        <f t="shared" si="2"/>
        <v>0</v>
      </c>
      <c r="AC9" s="11"/>
      <c r="AD9" s="11">
        <f t="shared" si="3"/>
        <v>0</v>
      </c>
      <c r="AE9" s="11">
        <f t="shared" si="4"/>
        <v>0</v>
      </c>
      <c r="AF9" s="11">
        <f t="shared" si="4"/>
        <v>0</v>
      </c>
      <c r="AG9" s="11">
        <f t="shared" si="0"/>
        <v>0</v>
      </c>
    </row>
    <row r="10" spans="1:33" s="19" customFormat="1" ht="25.15" customHeight="1" x14ac:dyDescent="0.25">
      <c r="A10" s="37">
        <v>5</v>
      </c>
      <c r="B10" s="38"/>
      <c r="C10" s="11"/>
      <c r="D10" s="11"/>
      <c r="E10" s="11"/>
      <c r="F10" s="11">
        <f>E10*12</f>
        <v>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>
        <f t="shared" si="4"/>
        <v>0</v>
      </c>
      <c r="AF10" s="11">
        <f t="shared" si="4"/>
        <v>0</v>
      </c>
      <c r="AG10" s="11">
        <f t="shared" si="0"/>
        <v>0</v>
      </c>
    </row>
    <row r="11" spans="1:33" s="19" customFormat="1" ht="25.15" customHeight="1" x14ac:dyDescent="0.25">
      <c r="A11" s="37">
        <v>6</v>
      </c>
      <c r="B11" s="38"/>
      <c r="C11" s="11"/>
      <c r="D11" s="11">
        <f>C11*14</f>
        <v>0</v>
      </c>
      <c r="E11" s="11"/>
      <c r="F11" s="11">
        <f>E11*24</f>
        <v>0</v>
      </c>
      <c r="G11" s="11"/>
      <c r="H11" s="11">
        <f>G11*12</f>
        <v>0</v>
      </c>
      <c r="I11" s="11"/>
      <c r="J11" s="11">
        <f>I11*14</f>
        <v>0</v>
      </c>
      <c r="K11" s="11"/>
      <c r="L11" s="11">
        <f>K11*24</f>
        <v>0</v>
      </c>
      <c r="M11" s="11"/>
      <c r="N11" s="11">
        <f>M11*12</f>
        <v>0</v>
      </c>
      <c r="O11" s="11"/>
      <c r="P11" s="11">
        <f>O11*12</f>
        <v>0</v>
      </c>
      <c r="Q11" s="11"/>
      <c r="R11" s="11">
        <f>Q11*40</f>
        <v>0</v>
      </c>
      <c r="S11" s="11"/>
      <c r="T11" s="11">
        <f>S11*12</f>
        <v>0</v>
      </c>
      <c r="U11" s="11"/>
      <c r="V11" s="11">
        <f>U11*14</f>
        <v>0</v>
      </c>
      <c r="W11" s="11"/>
      <c r="X11" s="11">
        <f>W11*40</f>
        <v>0</v>
      </c>
      <c r="Y11" s="11"/>
      <c r="Z11" s="11">
        <f t="shared" si="1"/>
        <v>0</v>
      </c>
      <c r="AA11" s="11"/>
      <c r="AB11" s="11">
        <f t="shared" si="2"/>
        <v>0</v>
      </c>
      <c r="AC11" s="11"/>
      <c r="AD11" s="11">
        <f t="shared" si="3"/>
        <v>0</v>
      </c>
      <c r="AE11" s="11">
        <f t="shared" si="4"/>
        <v>0</v>
      </c>
      <c r="AF11" s="11">
        <f t="shared" si="4"/>
        <v>0</v>
      </c>
      <c r="AG11" s="11">
        <f t="shared" si="0"/>
        <v>0</v>
      </c>
    </row>
    <row r="12" spans="1:33" s="19" customFormat="1" ht="25.15" customHeight="1" x14ac:dyDescent="0.25">
      <c r="A12" s="37"/>
      <c r="B12" s="38"/>
      <c r="C12" s="11"/>
      <c r="D12" s="11">
        <f>C12*14</f>
        <v>0</v>
      </c>
      <c r="E12" s="11"/>
      <c r="F12" s="11">
        <f>E12*24</f>
        <v>0</v>
      </c>
      <c r="G12" s="11"/>
      <c r="H12" s="11">
        <f>G12*12</f>
        <v>0</v>
      </c>
      <c r="I12" s="11"/>
      <c r="J12" s="11">
        <f>I12*14</f>
        <v>0</v>
      </c>
      <c r="K12" s="11"/>
      <c r="L12" s="11">
        <f>K12*24</f>
        <v>0</v>
      </c>
      <c r="M12" s="11"/>
      <c r="N12" s="11">
        <f>M12*12</f>
        <v>0</v>
      </c>
      <c r="O12" s="11"/>
      <c r="P12" s="11">
        <f>O12*12</f>
        <v>0</v>
      </c>
      <c r="Q12" s="11"/>
      <c r="R12" s="11">
        <f>Q12*40</f>
        <v>0</v>
      </c>
      <c r="S12" s="11"/>
      <c r="T12" s="11">
        <f>S12*12</f>
        <v>0</v>
      </c>
      <c r="U12" s="11"/>
      <c r="V12" s="11">
        <f>U12*14</f>
        <v>0</v>
      </c>
      <c r="W12" s="11"/>
      <c r="X12" s="11">
        <f>W12*40</f>
        <v>0</v>
      </c>
      <c r="Y12" s="11"/>
      <c r="Z12" s="11">
        <f t="shared" si="1"/>
        <v>0</v>
      </c>
      <c r="AA12" s="11"/>
      <c r="AB12" s="11">
        <f t="shared" si="2"/>
        <v>0</v>
      </c>
      <c r="AC12" s="11"/>
      <c r="AD12" s="11">
        <f t="shared" si="3"/>
        <v>0</v>
      </c>
      <c r="AE12" s="11">
        <f>C12+E12+G12+I12+K12+M12+O12+Q12+S12+U12+W12+Y12+AA12+AC12</f>
        <v>0</v>
      </c>
      <c r="AF12" s="11">
        <f t="shared" si="4"/>
        <v>0</v>
      </c>
      <c r="AG12" s="11">
        <f t="shared" si="0"/>
        <v>0</v>
      </c>
    </row>
    <row r="13" spans="1:33" ht="25.15" customHeight="1" x14ac:dyDescent="0.6">
      <c r="A13" s="39"/>
      <c r="B13" s="40"/>
      <c r="C13" s="6"/>
      <c r="D13" s="11">
        <f>C13*14</f>
        <v>0</v>
      </c>
      <c r="E13" s="6"/>
      <c r="F13" s="11">
        <f>E13*24</f>
        <v>0</v>
      </c>
      <c r="G13" s="6"/>
      <c r="H13" s="11">
        <f>G13*12</f>
        <v>0</v>
      </c>
      <c r="I13" s="6"/>
      <c r="J13" s="11">
        <f>I13*14</f>
        <v>0</v>
      </c>
      <c r="K13" s="6"/>
      <c r="L13" s="11">
        <f>K13*24</f>
        <v>0</v>
      </c>
      <c r="M13" s="6"/>
      <c r="N13" s="11">
        <f>M13*12</f>
        <v>0</v>
      </c>
      <c r="O13" s="6"/>
      <c r="P13" s="11">
        <f>O13*12</f>
        <v>0</v>
      </c>
      <c r="Q13" s="6"/>
      <c r="R13" s="11">
        <f>Q13*40</f>
        <v>0</v>
      </c>
      <c r="S13" s="6"/>
      <c r="T13" s="11">
        <f>S13*12</f>
        <v>0</v>
      </c>
      <c r="U13" s="6"/>
      <c r="V13" s="11">
        <f>U13*14</f>
        <v>0</v>
      </c>
      <c r="W13" s="6"/>
      <c r="X13" s="11">
        <f>W13*40</f>
        <v>0</v>
      </c>
      <c r="Y13" s="11"/>
      <c r="Z13" s="11">
        <f t="shared" si="1"/>
        <v>0</v>
      </c>
      <c r="AA13" s="6"/>
      <c r="AB13" s="11">
        <f t="shared" si="2"/>
        <v>0</v>
      </c>
      <c r="AC13" s="6"/>
      <c r="AD13" s="11">
        <f t="shared" si="3"/>
        <v>0</v>
      </c>
      <c r="AE13" s="11">
        <f t="shared" si="4"/>
        <v>0</v>
      </c>
      <c r="AF13" s="11">
        <f t="shared" si="4"/>
        <v>0</v>
      </c>
      <c r="AG13" s="11">
        <f t="shared" si="0"/>
        <v>0</v>
      </c>
    </row>
    <row r="14" spans="1:33" ht="25.15" customHeight="1" x14ac:dyDescent="0.6">
      <c r="A14" s="39"/>
      <c r="B14" s="40"/>
      <c r="C14" s="6"/>
      <c r="D14" s="11">
        <f>C14*14</f>
        <v>0</v>
      </c>
      <c r="E14" s="6"/>
      <c r="F14" s="11">
        <f>E14*24</f>
        <v>0</v>
      </c>
      <c r="G14" s="6"/>
      <c r="H14" s="11">
        <f>G14*12</f>
        <v>0</v>
      </c>
      <c r="I14" s="6"/>
      <c r="J14" s="11">
        <f>I14*14</f>
        <v>0</v>
      </c>
      <c r="K14" s="6"/>
      <c r="L14" s="11">
        <f>K14*24</f>
        <v>0</v>
      </c>
      <c r="M14" s="6"/>
      <c r="N14" s="11">
        <f>M14*12</f>
        <v>0</v>
      </c>
      <c r="O14" s="6"/>
      <c r="P14" s="11">
        <f>O14*12</f>
        <v>0</v>
      </c>
      <c r="Q14" s="6"/>
      <c r="R14" s="11">
        <f>Q14*40</f>
        <v>0</v>
      </c>
      <c r="S14" s="6"/>
      <c r="T14" s="11">
        <f>S14*12</f>
        <v>0</v>
      </c>
      <c r="U14" s="6"/>
      <c r="V14" s="11">
        <f>U14*14</f>
        <v>0</v>
      </c>
      <c r="W14" s="6"/>
      <c r="X14" s="11">
        <f>W14*40</f>
        <v>0</v>
      </c>
      <c r="Y14" s="11"/>
      <c r="Z14" s="11">
        <f t="shared" si="1"/>
        <v>0</v>
      </c>
      <c r="AA14" s="6"/>
      <c r="AB14" s="11">
        <f t="shared" si="2"/>
        <v>0</v>
      </c>
      <c r="AC14" s="6"/>
      <c r="AD14" s="11">
        <f t="shared" si="3"/>
        <v>0</v>
      </c>
      <c r="AE14" s="11">
        <f t="shared" si="4"/>
        <v>0</v>
      </c>
      <c r="AF14" s="11">
        <f t="shared" si="4"/>
        <v>0</v>
      </c>
      <c r="AG14" s="11">
        <f t="shared" si="0"/>
        <v>0</v>
      </c>
    </row>
    <row r="15" spans="1:33" ht="25.15" customHeight="1" x14ac:dyDescent="0.6">
      <c r="A15" s="39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1"/>
      <c r="Z15" s="11"/>
      <c r="AA15" s="6"/>
      <c r="AB15" s="6"/>
      <c r="AC15" s="6"/>
      <c r="AD15" s="6"/>
      <c r="AE15" s="6"/>
      <c r="AF15" s="6"/>
      <c r="AG15" s="11">
        <f t="shared" si="0"/>
        <v>0</v>
      </c>
    </row>
    <row r="16" spans="1:33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11"/>
      <c r="Z16" s="11"/>
      <c r="AA16" s="6"/>
      <c r="AB16" s="6"/>
      <c r="AC16" s="6"/>
      <c r="AD16" s="6"/>
      <c r="AE16" s="6"/>
      <c r="AF16" s="6"/>
      <c r="AG16" s="11">
        <f t="shared" si="0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1"/>
      <c r="Z17" s="11"/>
      <c r="AA17" s="6"/>
      <c r="AB17" s="6"/>
      <c r="AC17" s="6"/>
      <c r="AD17" s="6"/>
      <c r="AE17" s="6"/>
      <c r="AF17" s="6"/>
      <c r="AG17" s="11">
        <f t="shared" si="0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1"/>
      <c r="Z18" s="11"/>
      <c r="AA18" s="6"/>
      <c r="AB18" s="6"/>
      <c r="AC18" s="6"/>
      <c r="AD18" s="6"/>
      <c r="AE18" s="6"/>
      <c r="AF18" s="6"/>
      <c r="AG18" s="11">
        <f t="shared" si="0"/>
        <v>0</v>
      </c>
    </row>
    <row r="19" spans="1:33" ht="25.15" customHeight="1" x14ac:dyDescent="0.6">
      <c r="A19" s="39"/>
      <c r="B19" s="40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1"/>
      <c r="Z19" s="11"/>
      <c r="AA19" s="6"/>
      <c r="AB19" s="6"/>
      <c r="AC19" s="6"/>
      <c r="AD19" s="6"/>
      <c r="AE19" s="6"/>
      <c r="AF19" s="6"/>
      <c r="AG19" s="11">
        <f t="shared" si="0"/>
        <v>0</v>
      </c>
    </row>
    <row r="20" spans="1:33" ht="25.15" customHeight="1" x14ac:dyDescent="0.6">
      <c r="A20" s="39"/>
      <c r="B20" s="40"/>
      <c r="C20" s="49">
        <f>SUM(C6:C19)</f>
        <v>200</v>
      </c>
      <c r="D20" s="6">
        <f t="shared" ref="D20:AB20" si="5">SUM(D6:D19)</f>
        <v>2800</v>
      </c>
      <c r="E20" s="49">
        <f t="shared" si="5"/>
        <v>100</v>
      </c>
      <c r="F20" s="6">
        <f t="shared" si="5"/>
        <v>1200</v>
      </c>
      <c r="G20" s="49">
        <f t="shared" si="5"/>
        <v>0</v>
      </c>
      <c r="H20" s="6">
        <f t="shared" si="5"/>
        <v>0</v>
      </c>
      <c r="I20" s="49">
        <f t="shared" si="5"/>
        <v>5</v>
      </c>
      <c r="J20" s="6">
        <f t="shared" si="5"/>
        <v>200</v>
      </c>
      <c r="K20" s="6">
        <f t="shared" si="5"/>
        <v>0</v>
      </c>
      <c r="L20" s="6">
        <f t="shared" si="5"/>
        <v>0</v>
      </c>
      <c r="M20" s="49">
        <f t="shared" si="5"/>
        <v>0</v>
      </c>
      <c r="N20" s="6">
        <f t="shared" si="5"/>
        <v>0</v>
      </c>
      <c r="O20" s="6">
        <f t="shared" si="5"/>
        <v>0</v>
      </c>
      <c r="P20" s="6">
        <f t="shared" si="5"/>
        <v>0</v>
      </c>
      <c r="Q20" s="6">
        <f t="shared" si="5"/>
        <v>0</v>
      </c>
      <c r="R20" s="6">
        <f t="shared" si="5"/>
        <v>0</v>
      </c>
      <c r="S20" s="6">
        <f t="shared" si="5"/>
        <v>0</v>
      </c>
      <c r="T20" s="6">
        <f t="shared" si="5"/>
        <v>0</v>
      </c>
      <c r="U20" s="6">
        <f t="shared" si="5"/>
        <v>0</v>
      </c>
      <c r="V20" s="6">
        <f t="shared" si="5"/>
        <v>0</v>
      </c>
      <c r="W20" s="6">
        <f t="shared" si="5"/>
        <v>0</v>
      </c>
      <c r="X20" s="6">
        <f t="shared" si="5"/>
        <v>0</v>
      </c>
      <c r="Y20" s="6">
        <f t="shared" si="5"/>
        <v>0</v>
      </c>
      <c r="Z20" s="6">
        <f t="shared" si="5"/>
        <v>0</v>
      </c>
      <c r="AA20" s="6">
        <f t="shared" si="5"/>
        <v>0</v>
      </c>
      <c r="AB20" s="6">
        <f t="shared" si="5"/>
        <v>0</v>
      </c>
      <c r="AC20" s="6">
        <f>SUM(AC6:AC19)</f>
        <v>0</v>
      </c>
      <c r="AD20" s="6">
        <f>SUM(AD6:AD19)</f>
        <v>0</v>
      </c>
      <c r="AE20" s="6">
        <f>SUM(AE6:AE19)</f>
        <v>305</v>
      </c>
      <c r="AF20" s="6">
        <f>SUM(AF6:AF19)</f>
        <v>4200</v>
      </c>
      <c r="AG20" s="6">
        <f>SUM(AG6:AG19)</f>
        <v>3062</v>
      </c>
    </row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  <row r="89" ht="25.15" customHeight="1" x14ac:dyDescent="0.6"/>
  </sheetData>
  <mergeCells count="19">
    <mergeCell ref="A2:A4"/>
    <mergeCell ref="B2:B4"/>
    <mergeCell ref="C2:Z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A3:AB3"/>
    <mergeCell ref="AC3:AD3"/>
    <mergeCell ref="Y3:Z3"/>
    <mergeCell ref="C1:Z1"/>
    <mergeCell ref="AE3:AG3"/>
  </mergeCells>
  <hyperlinks>
    <hyperlink ref="C1:Z1" location="'SMM YGN '!A1" display="ဆင်မင်း(လှိုင်သာယာ)" xr:uid="{00000000-0004-0000-30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6"/>
  <dimension ref="A1:AH88"/>
  <sheetViews>
    <sheetView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B1"/>
    </sheetView>
  </sheetViews>
  <sheetFormatPr defaultColWidth="9" defaultRowHeight="21" x14ac:dyDescent="0.6"/>
  <cols>
    <col min="1" max="1" width="9" style="35"/>
    <col min="2" max="2" width="12.28515625" style="36" customWidth="1"/>
    <col min="3" max="4" width="10.28515625" style="1" customWidth="1"/>
    <col min="5" max="6" width="11.7109375" style="1" customWidth="1"/>
    <col min="7" max="10" width="10.28515625" style="1" customWidth="1"/>
    <col min="11" max="26" width="9.7109375" style="1" customWidth="1"/>
    <col min="27" max="32" width="9.28515625" style="1" customWidth="1"/>
    <col min="33" max="16384" width="9" style="1"/>
  </cols>
  <sheetData>
    <row r="1" spans="1:34" ht="21.75" x14ac:dyDescent="0.6">
      <c r="A1" s="23"/>
      <c r="B1" s="24"/>
      <c r="C1" s="745" t="s">
        <v>122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E1" s="1">
        <f>AE19</f>
        <v>0</v>
      </c>
      <c r="AG1" s="25">
        <v>12</v>
      </c>
      <c r="AH1" s="26">
        <v>14</v>
      </c>
    </row>
    <row r="2" spans="1:34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D2" s="1" t="s">
        <v>67</v>
      </c>
      <c r="AE2" s="27">
        <f>AF19</f>
        <v>0</v>
      </c>
      <c r="AG2" s="28">
        <v>24</v>
      </c>
      <c r="AH2" s="29">
        <v>40</v>
      </c>
    </row>
    <row r="3" spans="1:34" s="27" customFormat="1" ht="38.450000000000003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4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4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4" s="19" customFormat="1" ht="25.15" customHeight="1" x14ac:dyDescent="0.25">
      <c r="A6" s="37">
        <v>1</v>
      </c>
      <c r="B6" s="38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0</v>
      </c>
      <c r="AF6" s="11">
        <f>D6+F6+H6+J6+L6+N6+P6+R6+T6+V6+X6+Z6+AB6+AD6</f>
        <v>0</v>
      </c>
      <c r="AG6" s="11">
        <f>(D6*$D$5)+(F6*$F$5)+(H6*$H$5)+(J6*$J$5)+(L6*$L$5)+(N6*$N$5)+(P6*$P$5)+(R6*$R$5)+(T6*$T$5)+(V6*$V$5)+(X6*$X$5)+(Z6*$Z$5)+(AB6*$AB$5)+(AD6*$AD$5)</f>
        <v>0</v>
      </c>
    </row>
    <row r="7" spans="1:34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ref="AE7:AF9" si="0">C7+E7+G7+I7+K7+M7+O7+Q7+S7+U7+W7+Y7+AA7+AC7</f>
        <v>0</v>
      </c>
      <c r="AF7" s="11">
        <f t="shared" si="0"/>
        <v>0</v>
      </c>
      <c r="AG7" s="11">
        <f t="shared" ref="AG7:AG18" si="1">(D7*$D$5)+(F7*$F$5)+(H7*$H$5)+(J7*$J$5)+(L7*$L$5)+(N7*$N$5)+(P7*$P$5)+(R7*$R$5)+(T7*$T$5)+(V7*$V$5)+(X7*$X$5)+(Z7*$Z$5)+(AB7*$AB$5)+(AD7*$AD$5)</f>
        <v>0</v>
      </c>
    </row>
    <row r="8" spans="1:34" s="19" customFormat="1" ht="25.15" customHeight="1" x14ac:dyDescent="0.25">
      <c r="A8" s="37">
        <v>3</v>
      </c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0"/>
        <v>0</v>
      </c>
      <c r="AF8" s="11">
        <f t="shared" si="0"/>
        <v>0</v>
      </c>
      <c r="AG8" s="11">
        <f t="shared" si="1"/>
        <v>0</v>
      </c>
    </row>
    <row r="9" spans="1:34" s="19" customFormat="1" ht="25.15" customHeight="1" x14ac:dyDescent="0.25">
      <c r="A9" s="37"/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0"/>
        <v>0</v>
      </c>
      <c r="AF9" s="11">
        <f t="shared" si="0"/>
        <v>0</v>
      </c>
      <c r="AG9" s="11">
        <f t="shared" si="1"/>
        <v>0</v>
      </c>
    </row>
    <row r="10" spans="1:34" s="19" customFormat="1" ht="25.15" customHeight="1" x14ac:dyDescent="0.25">
      <c r="A10" s="37"/>
      <c r="B10" s="38"/>
      <c r="C10" s="11"/>
      <c r="D10" s="11">
        <f>C10*14</f>
        <v>0</v>
      </c>
      <c r="E10" s="11"/>
      <c r="F10" s="11">
        <f>E10*24</f>
        <v>0</v>
      </c>
      <c r="G10" s="11"/>
      <c r="H10" s="11">
        <f>G10*12</f>
        <v>0</v>
      </c>
      <c r="I10" s="11"/>
      <c r="J10" s="11">
        <f>I10*14</f>
        <v>0</v>
      </c>
      <c r="K10" s="11"/>
      <c r="L10" s="11">
        <f>K10*24</f>
        <v>0</v>
      </c>
      <c r="M10" s="11"/>
      <c r="N10" s="11">
        <f>M10*12</f>
        <v>0</v>
      </c>
      <c r="O10" s="11"/>
      <c r="P10" s="11">
        <f>O10*12</f>
        <v>0</v>
      </c>
      <c r="Q10" s="11"/>
      <c r="R10" s="11">
        <f>Q10*40</f>
        <v>0</v>
      </c>
      <c r="S10" s="11"/>
      <c r="T10" s="11">
        <f>S10*12</f>
        <v>0</v>
      </c>
      <c r="U10" s="11"/>
      <c r="V10" s="11">
        <f>U10*14</f>
        <v>0</v>
      </c>
      <c r="W10" s="11"/>
      <c r="X10" s="11">
        <f>W10*40</f>
        <v>0</v>
      </c>
      <c r="Y10" s="11"/>
      <c r="Z10" s="11">
        <f>Y10*14</f>
        <v>0</v>
      </c>
      <c r="AA10" s="11"/>
      <c r="AB10" s="11"/>
      <c r="AC10" s="11"/>
      <c r="AD10" s="11"/>
      <c r="AE10" s="11"/>
      <c r="AF10" s="11"/>
      <c r="AG10" s="11">
        <f t="shared" si="1"/>
        <v>0</v>
      </c>
    </row>
    <row r="11" spans="1:34" s="19" customFormat="1" ht="25.15" customHeight="1" x14ac:dyDescent="0.25">
      <c r="A11" s="37"/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f t="shared" si="1"/>
        <v>0</v>
      </c>
    </row>
    <row r="12" spans="1:34" ht="25.15" customHeight="1" x14ac:dyDescent="0.6">
      <c r="A12" s="39"/>
      <c r="B12" s="40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1"/>
      <c r="AB12" s="11"/>
      <c r="AC12" s="6"/>
      <c r="AD12" s="6"/>
      <c r="AE12" s="6"/>
      <c r="AF12" s="6"/>
      <c r="AG12" s="11">
        <f t="shared" si="1"/>
        <v>0</v>
      </c>
    </row>
    <row r="13" spans="1:34" ht="25.15" customHeight="1" x14ac:dyDescent="0.6">
      <c r="A13" s="39"/>
      <c r="B13" s="40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1"/>
      <c r="AB13" s="11"/>
      <c r="AC13" s="6"/>
      <c r="AD13" s="6"/>
      <c r="AE13" s="6"/>
      <c r="AF13" s="6"/>
      <c r="AG13" s="11">
        <f t="shared" si="1"/>
        <v>0</v>
      </c>
    </row>
    <row r="14" spans="1:34" ht="25.15" customHeight="1" x14ac:dyDescent="0.6">
      <c r="A14" s="39"/>
      <c r="B14" s="40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1"/>
      <c r="AB14" s="11"/>
      <c r="AC14" s="6"/>
      <c r="AD14" s="6"/>
      <c r="AE14" s="6"/>
      <c r="AF14" s="6"/>
      <c r="AG14" s="11">
        <f t="shared" si="1"/>
        <v>0</v>
      </c>
    </row>
    <row r="15" spans="1:34" ht="25.15" customHeight="1" x14ac:dyDescent="0.6">
      <c r="A15" s="39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1"/>
      <c r="AB15" s="11"/>
      <c r="AC15" s="6"/>
      <c r="AD15" s="6"/>
      <c r="AE15" s="6"/>
      <c r="AF15" s="6"/>
      <c r="AG15" s="11">
        <f t="shared" si="1"/>
        <v>0</v>
      </c>
    </row>
    <row r="16" spans="1:34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1"/>
      <c r="AB16" s="11"/>
      <c r="AC16" s="6"/>
      <c r="AD16" s="6"/>
      <c r="AE16" s="6"/>
      <c r="AF16" s="6"/>
      <c r="AG16" s="11">
        <f t="shared" si="1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1"/>
      <c r="AB17" s="11"/>
      <c r="AC17" s="6"/>
      <c r="AD17" s="6"/>
      <c r="AE17" s="6"/>
      <c r="AF17" s="6"/>
      <c r="AG17" s="11">
        <f t="shared" si="1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1"/>
      <c r="AB18" s="11"/>
      <c r="AC18" s="6"/>
      <c r="AD18" s="6"/>
      <c r="AE18" s="6"/>
      <c r="AF18" s="6"/>
      <c r="AG18" s="11">
        <f t="shared" si="1"/>
        <v>0</v>
      </c>
    </row>
    <row r="19" spans="1:33" ht="25.15" customHeight="1" x14ac:dyDescent="0.6">
      <c r="A19" s="39"/>
      <c r="B19" s="40"/>
      <c r="C19" s="49">
        <f>SUM(C6:C18)</f>
        <v>0</v>
      </c>
      <c r="D19" s="6">
        <f t="shared" ref="D19:AB19" si="2">SUM(D6:D18)</f>
        <v>0</v>
      </c>
      <c r="E19" s="49">
        <f t="shared" si="2"/>
        <v>0</v>
      </c>
      <c r="F19" s="6">
        <f t="shared" si="2"/>
        <v>0</v>
      </c>
      <c r="G19" s="6">
        <f t="shared" si="2"/>
        <v>0</v>
      </c>
      <c r="H19" s="6">
        <f t="shared" si="2"/>
        <v>0</v>
      </c>
      <c r="I19" s="49">
        <f t="shared" si="2"/>
        <v>0</v>
      </c>
      <c r="J19" s="6">
        <f t="shared" si="2"/>
        <v>0</v>
      </c>
      <c r="K19" s="6">
        <f t="shared" si="2"/>
        <v>0</v>
      </c>
      <c r="L19" s="6">
        <f t="shared" si="2"/>
        <v>0</v>
      </c>
      <c r="M19" s="6">
        <f t="shared" si="2"/>
        <v>0</v>
      </c>
      <c r="N19" s="6">
        <f t="shared" si="2"/>
        <v>0</v>
      </c>
      <c r="O19" s="6">
        <f t="shared" si="2"/>
        <v>0</v>
      </c>
      <c r="P19" s="6">
        <f t="shared" si="2"/>
        <v>0</v>
      </c>
      <c r="Q19" s="49">
        <f t="shared" si="2"/>
        <v>0</v>
      </c>
      <c r="R19" s="6">
        <f t="shared" si="2"/>
        <v>0</v>
      </c>
      <c r="S19" s="49">
        <f t="shared" si="2"/>
        <v>0</v>
      </c>
      <c r="T19" s="6">
        <f t="shared" si="2"/>
        <v>0</v>
      </c>
      <c r="U19" s="6">
        <f t="shared" si="2"/>
        <v>0</v>
      </c>
      <c r="V19" s="6">
        <f t="shared" si="2"/>
        <v>0</v>
      </c>
      <c r="W19" s="6">
        <f t="shared" si="2"/>
        <v>0</v>
      </c>
      <c r="X19" s="6">
        <f t="shared" si="2"/>
        <v>0</v>
      </c>
      <c r="Y19" s="6">
        <f t="shared" si="2"/>
        <v>0</v>
      </c>
      <c r="Z19" s="6">
        <f t="shared" si="2"/>
        <v>0</v>
      </c>
      <c r="AA19" s="6">
        <f t="shared" si="2"/>
        <v>0</v>
      </c>
      <c r="AB19" s="6">
        <f t="shared" si="2"/>
        <v>0</v>
      </c>
      <c r="AC19" s="6">
        <f>SUM(AC6:AC18)</f>
        <v>0</v>
      </c>
      <c r="AD19" s="6">
        <f>SUM(AD6:AD18)</f>
        <v>0</v>
      </c>
      <c r="AE19" s="6">
        <f>SUM(AE6:AE18)</f>
        <v>0</v>
      </c>
      <c r="AF19" s="6">
        <f>SUM(AF6:AF18)</f>
        <v>0</v>
      </c>
      <c r="AG19" s="6">
        <f>SUM(AG6:AG18)</f>
        <v>0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AE3:AG3"/>
    <mergeCell ref="W3:X3"/>
    <mergeCell ref="Y3:Z3"/>
    <mergeCell ref="AA3:AB3"/>
    <mergeCell ref="C1:AB1"/>
    <mergeCell ref="AC3:AD3"/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</mergeCells>
  <hyperlinks>
    <hyperlink ref="C1:AB1" location="'SMM YGN '!A1" display="မာဟန်(မှော်ဘီ)" xr:uid="{00000000-0004-0000-31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47"/>
  <dimension ref="A1:AH88"/>
  <sheetViews>
    <sheetView workbookViewId="0">
      <pane xSplit="2" ySplit="4" topLeftCell="M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B1"/>
    </sheetView>
  </sheetViews>
  <sheetFormatPr defaultColWidth="9" defaultRowHeight="21" x14ac:dyDescent="0.6"/>
  <cols>
    <col min="1" max="1" width="9" style="35"/>
    <col min="2" max="2" width="12.28515625" style="36" customWidth="1"/>
    <col min="3" max="4" width="11" style="1" customWidth="1"/>
    <col min="5" max="8" width="10" style="1" customWidth="1"/>
    <col min="9" max="10" width="9.85546875" style="1" customWidth="1"/>
    <col min="11" max="12" width="10" style="1" customWidth="1"/>
    <col min="13" max="16" width="10.140625" style="1" customWidth="1"/>
    <col min="17" max="18" width="10.28515625" style="1" customWidth="1"/>
    <col min="19" max="20" width="9.85546875" style="1" customWidth="1"/>
    <col min="21" max="26" width="9.7109375" style="1" customWidth="1"/>
    <col min="27" max="30" width="7.7109375" style="1" customWidth="1"/>
    <col min="31" max="32" width="9.85546875" style="1" customWidth="1"/>
    <col min="33" max="16384" width="9" style="1"/>
  </cols>
  <sheetData>
    <row r="1" spans="1:34" ht="21.75" x14ac:dyDescent="0.6">
      <c r="A1" s="23"/>
      <c r="B1" s="24"/>
      <c r="C1" s="745" t="s">
        <v>123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E1" s="1">
        <f>AE19</f>
        <v>470</v>
      </c>
      <c r="AG1" s="25">
        <v>12</v>
      </c>
      <c r="AH1" s="26">
        <v>14</v>
      </c>
    </row>
    <row r="2" spans="1:34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D2" s="1" t="s">
        <v>67</v>
      </c>
      <c r="AE2" s="27">
        <f>AF19</f>
        <v>5780</v>
      </c>
      <c r="AG2" s="28">
        <v>24</v>
      </c>
      <c r="AH2" s="29">
        <v>40</v>
      </c>
    </row>
    <row r="3" spans="1:34" s="27" customFormat="1" ht="43.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4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4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4" s="19" customFormat="1" ht="25.15" customHeight="1" x14ac:dyDescent="0.25">
      <c r="A6" s="37">
        <v>1</v>
      </c>
      <c r="B6" s="38">
        <v>45870</v>
      </c>
      <c r="C6" s="11">
        <v>70</v>
      </c>
      <c r="D6" s="11">
        <f>C6*14</f>
        <v>980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>
        <v>400</v>
      </c>
      <c r="N6" s="11">
        <f>M6*12</f>
        <v>4800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470</v>
      </c>
      <c r="AF6" s="11">
        <f>D6+F6+H6+J6+L6+N6+P6+R6+T6+V6+X6+Z6+AB6+AD6</f>
        <v>5780</v>
      </c>
      <c r="AG6" s="11">
        <f>(D6*$D$5)+(F6*$F$5)+(H6*$H$5)+(J6*$J$5)+(L6*$L$5)+(N6*$N$5)+(P6*$P$5)+(R6*$R$5)+(T6*$T$5)+(V6*$V$5)+(X6*$X$5)+(Z6*$Z$5)+(AB6*$AB$5)+(AD6*$AD$5)</f>
        <v>5427.2</v>
      </c>
    </row>
    <row r="7" spans="1:34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ref="AE7:AF9" si="0">C7+E7+G7+I7+K7+M7+O7+Q7+S7+U7+W7+Y7+AA7+AC7</f>
        <v>0</v>
      </c>
      <c r="AF7" s="11">
        <f t="shared" si="0"/>
        <v>0</v>
      </c>
      <c r="AG7" s="11">
        <f t="shared" ref="AG7:AG18" si="1">(D7*$D$5)+(F7*$F$5)+(H7*$H$5)+(J7*$J$5)+(L7*$L$5)+(N7*$N$5)+(P7*$P$5)+(R7*$R$5)+(T7*$T$5)+(V7*$V$5)+(X7*$X$5)+(Z7*$Z$5)+(AB7*$AB$5)+(AD7*$AD$5)</f>
        <v>0</v>
      </c>
    </row>
    <row r="8" spans="1:34" s="19" customFormat="1" ht="25.15" customHeight="1" x14ac:dyDescent="0.25">
      <c r="A8" s="37">
        <v>3</v>
      </c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0"/>
        <v>0</v>
      </c>
      <c r="AF8" s="11">
        <f t="shared" si="0"/>
        <v>0</v>
      </c>
      <c r="AG8" s="11">
        <f t="shared" si="1"/>
        <v>0</v>
      </c>
    </row>
    <row r="9" spans="1:34" s="19" customFormat="1" ht="25.15" customHeight="1" x14ac:dyDescent="0.25">
      <c r="A9" s="37"/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0"/>
        <v>0</v>
      </c>
      <c r="AF9" s="11">
        <f t="shared" si="0"/>
        <v>0</v>
      </c>
      <c r="AG9" s="11">
        <f t="shared" si="1"/>
        <v>0</v>
      </c>
    </row>
    <row r="10" spans="1:34" s="19" customFormat="1" ht="25.15" customHeight="1" x14ac:dyDescent="0.25">
      <c r="A10" s="37"/>
      <c r="B10" s="38"/>
      <c r="C10" s="11"/>
      <c r="D10" s="11">
        <f>C10*14</f>
        <v>0</v>
      </c>
      <c r="E10" s="11"/>
      <c r="F10" s="11">
        <f>E10*24</f>
        <v>0</v>
      </c>
      <c r="G10" s="11"/>
      <c r="H10" s="11">
        <f>G10*12</f>
        <v>0</v>
      </c>
      <c r="I10" s="11"/>
      <c r="J10" s="11">
        <f>I10*14</f>
        <v>0</v>
      </c>
      <c r="K10" s="11"/>
      <c r="L10" s="11">
        <f>K10*24</f>
        <v>0</v>
      </c>
      <c r="M10" s="11"/>
      <c r="N10" s="11">
        <f>M10*12</f>
        <v>0</v>
      </c>
      <c r="O10" s="11"/>
      <c r="P10" s="11">
        <f>O10*12</f>
        <v>0</v>
      </c>
      <c r="Q10" s="11"/>
      <c r="R10" s="11">
        <f>Q10*40</f>
        <v>0</v>
      </c>
      <c r="S10" s="11"/>
      <c r="T10" s="11">
        <f>S10*12</f>
        <v>0</v>
      </c>
      <c r="U10" s="11"/>
      <c r="V10" s="11">
        <f>U10*14</f>
        <v>0</v>
      </c>
      <c r="W10" s="11"/>
      <c r="X10" s="11"/>
      <c r="Y10" s="11"/>
      <c r="Z10" s="11">
        <f>Y10*40</f>
        <v>0</v>
      </c>
      <c r="AA10" s="11"/>
      <c r="AB10" s="11"/>
      <c r="AC10" s="11"/>
      <c r="AD10" s="11"/>
      <c r="AE10" s="11"/>
      <c r="AF10" s="11"/>
      <c r="AG10" s="11">
        <f t="shared" si="1"/>
        <v>0</v>
      </c>
    </row>
    <row r="11" spans="1:34" s="19" customFormat="1" ht="25.15" customHeight="1" x14ac:dyDescent="0.25">
      <c r="A11" s="37"/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f t="shared" si="1"/>
        <v>0</v>
      </c>
    </row>
    <row r="12" spans="1:34" ht="25.15" customHeight="1" x14ac:dyDescent="0.6">
      <c r="A12" s="39"/>
      <c r="B12" s="40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1"/>
      <c r="AB12" s="11"/>
      <c r="AC12" s="6"/>
      <c r="AD12" s="6"/>
      <c r="AE12" s="6"/>
      <c r="AF12" s="6"/>
      <c r="AG12" s="11">
        <f t="shared" si="1"/>
        <v>0</v>
      </c>
    </row>
    <row r="13" spans="1:34" ht="25.15" customHeight="1" x14ac:dyDescent="0.6">
      <c r="A13" s="39"/>
      <c r="B13" s="40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1"/>
      <c r="AB13" s="11"/>
      <c r="AC13" s="6"/>
      <c r="AD13" s="6"/>
      <c r="AE13" s="6"/>
      <c r="AF13" s="6"/>
      <c r="AG13" s="11">
        <f t="shared" si="1"/>
        <v>0</v>
      </c>
    </row>
    <row r="14" spans="1:34" ht="25.15" customHeight="1" x14ac:dyDescent="0.6">
      <c r="A14" s="39"/>
      <c r="B14" s="40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1"/>
      <c r="AB14" s="11"/>
      <c r="AC14" s="6"/>
      <c r="AD14" s="6"/>
      <c r="AE14" s="6"/>
      <c r="AF14" s="6"/>
      <c r="AG14" s="11">
        <f t="shared" si="1"/>
        <v>0</v>
      </c>
    </row>
    <row r="15" spans="1:34" ht="25.15" customHeight="1" x14ac:dyDescent="0.6">
      <c r="A15" s="39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1"/>
      <c r="AB15" s="11"/>
      <c r="AC15" s="6"/>
      <c r="AD15" s="6"/>
      <c r="AE15" s="6"/>
      <c r="AF15" s="6"/>
      <c r="AG15" s="11">
        <f t="shared" si="1"/>
        <v>0</v>
      </c>
    </row>
    <row r="16" spans="1:34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1"/>
      <c r="AB16" s="11"/>
      <c r="AC16" s="6"/>
      <c r="AD16" s="6"/>
      <c r="AE16" s="6"/>
      <c r="AF16" s="6"/>
      <c r="AG16" s="11">
        <f t="shared" si="1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1"/>
      <c r="AB17" s="11"/>
      <c r="AC17" s="6"/>
      <c r="AD17" s="6"/>
      <c r="AE17" s="6"/>
      <c r="AF17" s="6"/>
      <c r="AG17" s="11">
        <f t="shared" si="1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1"/>
      <c r="AB18" s="11"/>
      <c r="AC18" s="6"/>
      <c r="AD18" s="6"/>
      <c r="AE18" s="6"/>
      <c r="AF18" s="6"/>
      <c r="AG18" s="11">
        <f t="shared" si="1"/>
        <v>0</v>
      </c>
    </row>
    <row r="19" spans="1:33" ht="25.15" customHeight="1" x14ac:dyDescent="0.6">
      <c r="A19" s="39"/>
      <c r="B19" s="40"/>
      <c r="C19" s="49">
        <f>SUM(C6:C18)</f>
        <v>70</v>
      </c>
      <c r="D19" s="6">
        <f t="shared" ref="D19:AB19" si="2">SUM(D6:D18)</f>
        <v>980</v>
      </c>
      <c r="E19" s="49">
        <f t="shared" si="2"/>
        <v>0</v>
      </c>
      <c r="F19" s="6">
        <f t="shared" si="2"/>
        <v>0</v>
      </c>
      <c r="G19" s="6">
        <f t="shared" si="2"/>
        <v>0</v>
      </c>
      <c r="H19" s="6">
        <f t="shared" si="2"/>
        <v>0</v>
      </c>
      <c r="I19" s="6">
        <f t="shared" si="2"/>
        <v>0</v>
      </c>
      <c r="J19" s="6">
        <f t="shared" si="2"/>
        <v>0</v>
      </c>
      <c r="K19" s="6">
        <f t="shared" si="2"/>
        <v>0</v>
      </c>
      <c r="L19" s="6">
        <f t="shared" si="2"/>
        <v>0</v>
      </c>
      <c r="M19" s="6">
        <f t="shared" si="2"/>
        <v>400</v>
      </c>
      <c r="N19" s="6">
        <f t="shared" si="2"/>
        <v>4800</v>
      </c>
      <c r="O19" s="6">
        <f t="shared" si="2"/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s="6">
        <f t="shared" si="2"/>
        <v>0</v>
      </c>
      <c r="W19" s="6">
        <f t="shared" si="2"/>
        <v>0</v>
      </c>
      <c r="X19" s="6">
        <f t="shared" si="2"/>
        <v>0</v>
      </c>
      <c r="Y19" s="6">
        <f t="shared" si="2"/>
        <v>0</v>
      </c>
      <c r="Z19" s="6">
        <f t="shared" si="2"/>
        <v>0</v>
      </c>
      <c r="AA19" s="6">
        <f t="shared" si="2"/>
        <v>0</v>
      </c>
      <c r="AB19" s="6">
        <f t="shared" si="2"/>
        <v>0</v>
      </c>
      <c r="AC19" s="6">
        <f>SUM(AC6:AC18)</f>
        <v>0</v>
      </c>
      <c r="AD19" s="6">
        <f>SUM(AD6:AD18)</f>
        <v>0</v>
      </c>
      <c r="AE19" s="6">
        <f>SUM(AE6:AE18)</f>
        <v>470</v>
      </c>
      <c r="AF19" s="6">
        <f>SUM(AF6:AF18)</f>
        <v>5780</v>
      </c>
      <c r="AG19" s="6">
        <f>SUM(AG6:AG18)</f>
        <v>5427.2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Y3:Z3"/>
    <mergeCell ref="AC3:AD3"/>
    <mergeCell ref="W3:X3"/>
    <mergeCell ref="AA3:AB3"/>
    <mergeCell ref="C1:AB1"/>
    <mergeCell ref="AE3:AG3"/>
  </mergeCells>
  <hyperlinks>
    <hyperlink ref="C1:AB1" location="'SMM YGN '!A1" display="အောင်ပြည့်စုံ(ခရမ်း)" xr:uid="{00000000-0004-0000-32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48"/>
  <dimension ref="A1:AG88"/>
  <sheetViews>
    <sheetView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Z1"/>
    </sheetView>
  </sheetViews>
  <sheetFormatPr defaultColWidth="9" defaultRowHeight="21" x14ac:dyDescent="0.6"/>
  <cols>
    <col min="1" max="1" width="9" style="35"/>
    <col min="2" max="2" width="12.28515625" style="36" customWidth="1"/>
    <col min="3" max="4" width="11.28515625" style="1" customWidth="1"/>
    <col min="5" max="6" width="10.28515625" style="1" customWidth="1"/>
    <col min="7" max="8" width="9.7109375" style="1" customWidth="1"/>
    <col min="9" max="16" width="8.7109375" style="1" customWidth="1"/>
    <col min="17" max="18" width="10" style="1" customWidth="1"/>
    <col min="19" max="22" width="9" style="1" customWidth="1"/>
    <col min="23" max="24" width="9.85546875" style="1" customWidth="1"/>
    <col min="25" max="26" width="9" style="1" customWidth="1"/>
    <col min="27" max="30" width="8.28515625" style="1" customWidth="1"/>
    <col min="31" max="32" width="8.7109375" style="1" customWidth="1"/>
    <col min="33" max="16384" width="9" style="1"/>
  </cols>
  <sheetData>
    <row r="1" spans="1:33" ht="21.75" x14ac:dyDescent="0.6">
      <c r="A1" s="23"/>
      <c r="B1" s="24"/>
      <c r="C1" s="745" t="s">
        <v>124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B1" s="1" t="s">
        <v>68</v>
      </c>
      <c r="AC1" s="1">
        <f>AE19</f>
        <v>0</v>
      </c>
      <c r="AE1" s="25">
        <v>12</v>
      </c>
      <c r="AF1" s="26">
        <v>14</v>
      </c>
    </row>
    <row r="2" spans="1:33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B2" s="1" t="s">
        <v>67</v>
      </c>
      <c r="AC2" s="27">
        <f>AF19</f>
        <v>0</v>
      </c>
      <c r="AE2" s="28">
        <v>24</v>
      </c>
      <c r="AF2" s="29">
        <v>40</v>
      </c>
    </row>
    <row r="3" spans="1:33" s="27" customFormat="1" ht="45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3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3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3" s="19" customFormat="1" ht="25.15" customHeight="1" x14ac:dyDescent="0.25">
      <c r="A6" s="37">
        <v>1</v>
      </c>
      <c r="B6" s="38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0</v>
      </c>
      <c r="AF6" s="11">
        <f>D6+F6+H6+J6+L6+N6+P6+R6+T6+V6+X6+Z6+AB6+AD6</f>
        <v>0</v>
      </c>
      <c r="AG6" s="11">
        <f>(D6*$D$5)+(F6*$F$5)+(H6*$H$5)+(J6*$J$5)+(L6*$L$5)+(N6*$N$5)+(P6*$P$5)+(R6*$R$5)+(T6*$T$5)+(V6*$V$5)+(X6*$X$5)+(Z6*$Z$5)+(AB6*$AB$5)+(AD6*$AD$5)</f>
        <v>0</v>
      </c>
    </row>
    <row r="7" spans="1:33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ref="AE7:AF9" si="0">C7+E7+G7+I7+K7+M7+O7+Q7+S7+U7+W7+Y7+AA7+AC7</f>
        <v>0</v>
      </c>
      <c r="AF7" s="11">
        <f t="shared" si="0"/>
        <v>0</v>
      </c>
      <c r="AG7" s="11">
        <f t="shared" ref="AG7:AG18" si="1">(D7*$D$5)+(F7*$F$5)+(H7*$H$5)+(J7*$J$5)+(L7*$L$5)+(N7*$N$5)+(P7*$P$5)+(R7*$R$5)+(T7*$T$5)+(V7*$V$5)+(X7*$X$5)+(Z7*$Z$5)+(AB7*$AB$5)+(AD7*$AD$5)</f>
        <v>0</v>
      </c>
    </row>
    <row r="8" spans="1:33" s="19" customFormat="1" ht="25.15" customHeight="1" x14ac:dyDescent="0.25">
      <c r="A8" s="37">
        <v>3</v>
      </c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0"/>
        <v>0</v>
      </c>
      <c r="AF8" s="11">
        <f t="shared" si="0"/>
        <v>0</v>
      </c>
      <c r="AG8" s="11">
        <f t="shared" si="1"/>
        <v>0</v>
      </c>
    </row>
    <row r="9" spans="1:33" s="19" customFormat="1" ht="25.15" customHeight="1" x14ac:dyDescent="0.25">
      <c r="A9" s="37"/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0"/>
        <v>0</v>
      </c>
      <c r="AF9" s="11">
        <f t="shared" si="0"/>
        <v>0</v>
      </c>
      <c r="AG9" s="11">
        <f t="shared" si="1"/>
        <v>0</v>
      </c>
    </row>
    <row r="10" spans="1:33" s="19" customFormat="1" ht="25.15" customHeight="1" x14ac:dyDescent="0.25">
      <c r="A10" s="37"/>
      <c r="B10" s="38"/>
      <c r="C10" s="11"/>
      <c r="D10" s="11">
        <f>C10*14</f>
        <v>0</v>
      </c>
      <c r="E10" s="11"/>
      <c r="F10" s="11">
        <f>E10*24</f>
        <v>0</v>
      </c>
      <c r="G10" s="11"/>
      <c r="H10" s="11">
        <f>G10*12</f>
        <v>0</v>
      </c>
      <c r="I10" s="11"/>
      <c r="J10" s="11">
        <f>I10*14</f>
        <v>0</v>
      </c>
      <c r="K10" s="11"/>
      <c r="L10" s="11">
        <f>K10*24</f>
        <v>0</v>
      </c>
      <c r="M10" s="11"/>
      <c r="N10" s="11">
        <f>M10*12</f>
        <v>0</v>
      </c>
      <c r="O10" s="11"/>
      <c r="P10" s="11">
        <f>O10*12</f>
        <v>0</v>
      </c>
      <c r="Q10" s="11"/>
      <c r="R10" s="11">
        <f>Q10*40</f>
        <v>0</v>
      </c>
      <c r="S10" s="11"/>
      <c r="T10" s="11">
        <f>S10*12</f>
        <v>0</v>
      </c>
      <c r="U10" s="11"/>
      <c r="V10" s="11">
        <f>U10*14</f>
        <v>0</v>
      </c>
      <c r="W10" s="11"/>
      <c r="X10" s="11">
        <f>W10*40</f>
        <v>0</v>
      </c>
      <c r="Y10" s="11"/>
      <c r="Z10" s="11"/>
      <c r="AA10" s="11"/>
      <c r="AB10" s="11"/>
      <c r="AC10" s="11"/>
      <c r="AD10" s="11"/>
      <c r="AE10" s="11"/>
      <c r="AF10" s="11"/>
      <c r="AG10" s="11">
        <f t="shared" si="1"/>
        <v>0</v>
      </c>
    </row>
    <row r="11" spans="1:33" s="19" customFormat="1" ht="25.15" customHeight="1" x14ac:dyDescent="0.25">
      <c r="A11" s="37"/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f t="shared" si="1"/>
        <v>0</v>
      </c>
    </row>
    <row r="12" spans="1:33" ht="25.15" customHeight="1" x14ac:dyDescent="0.6">
      <c r="A12" s="39"/>
      <c r="B12" s="40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11"/>
      <c r="Z12" s="11"/>
      <c r="AA12" s="6"/>
      <c r="AB12" s="6"/>
      <c r="AC12" s="6"/>
      <c r="AD12" s="6"/>
      <c r="AE12" s="6"/>
      <c r="AF12" s="6"/>
      <c r="AG12" s="11">
        <f t="shared" si="1"/>
        <v>0</v>
      </c>
    </row>
    <row r="13" spans="1:33" ht="25.15" customHeight="1" x14ac:dyDescent="0.6">
      <c r="A13" s="39"/>
      <c r="B13" s="40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11"/>
      <c r="Z13" s="11"/>
      <c r="AA13" s="6"/>
      <c r="AB13" s="6"/>
      <c r="AC13" s="6"/>
      <c r="AD13" s="6"/>
      <c r="AE13" s="6"/>
      <c r="AF13" s="6"/>
      <c r="AG13" s="11">
        <f t="shared" si="1"/>
        <v>0</v>
      </c>
    </row>
    <row r="14" spans="1:33" ht="25.15" customHeight="1" x14ac:dyDescent="0.6">
      <c r="A14" s="39"/>
      <c r="B14" s="40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11"/>
      <c r="Z14" s="11"/>
      <c r="AA14" s="6"/>
      <c r="AB14" s="6"/>
      <c r="AC14" s="6"/>
      <c r="AD14" s="6"/>
      <c r="AE14" s="6"/>
      <c r="AF14" s="6"/>
      <c r="AG14" s="11">
        <f t="shared" si="1"/>
        <v>0</v>
      </c>
    </row>
    <row r="15" spans="1:33" ht="25.15" customHeight="1" x14ac:dyDescent="0.6">
      <c r="A15" s="39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1"/>
      <c r="Z15" s="11"/>
      <c r="AA15" s="6"/>
      <c r="AB15" s="6"/>
      <c r="AC15" s="6"/>
      <c r="AD15" s="6"/>
      <c r="AE15" s="6"/>
      <c r="AF15" s="6"/>
      <c r="AG15" s="11">
        <f t="shared" si="1"/>
        <v>0</v>
      </c>
    </row>
    <row r="16" spans="1:33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11"/>
      <c r="Z16" s="11"/>
      <c r="AA16" s="6"/>
      <c r="AB16" s="6"/>
      <c r="AC16" s="6"/>
      <c r="AD16" s="6"/>
      <c r="AE16" s="6"/>
      <c r="AF16" s="6"/>
      <c r="AG16" s="11">
        <f t="shared" si="1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1"/>
      <c r="Z17" s="11"/>
      <c r="AA17" s="6"/>
      <c r="AB17" s="6"/>
      <c r="AC17" s="6"/>
      <c r="AD17" s="6"/>
      <c r="AE17" s="6"/>
      <c r="AF17" s="6"/>
      <c r="AG17" s="11">
        <f t="shared" si="1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1"/>
      <c r="Z18" s="11"/>
      <c r="AA18" s="6"/>
      <c r="AB18" s="6"/>
      <c r="AC18" s="6"/>
      <c r="AD18" s="6"/>
      <c r="AE18" s="6"/>
      <c r="AF18" s="6"/>
      <c r="AG18" s="11">
        <f t="shared" si="1"/>
        <v>0</v>
      </c>
    </row>
    <row r="19" spans="1:33" ht="25.15" customHeight="1" x14ac:dyDescent="0.6">
      <c r="A19" s="39"/>
      <c r="B19" s="40"/>
      <c r="C19" s="49">
        <f>SUM(C6:C18)</f>
        <v>0</v>
      </c>
      <c r="D19" s="6">
        <f t="shared" ref="D19:AB19" si="2">SUM(D6:D18)</f>
        <v>0</v>
      </c>
      <c r="E19" s="49">
        <f t="shared" si="2"/>
        <v>0</v>
      </c>
      <c r="F19" s="6">
        <f t="shared" si="2"/>
        <v>0</v>
      </c>
      <c r="G19" s="6">
        <f t="shared" si="2"/>
        <v>0</v>
      </c>
      <c r="H19" s="6">
        <f t="shared" si="2"/>
        <v>0</v>
      </c>
      <c r="I19" s="6">
        <f t="shared" si="2"/>
        <v>0</v>
      </c>
      <c r="J19" s="6">
        <f t="shared" si="2"/>
        <v>0</v>
      </c>
      <c r="K19" s="6">
        <f t="shared" si="2"/>
        <v>0</v>
      </c>
      <c r="L19" s="6">
        <f t="shared" si="2"/>
        <v>0</v>
      </c>
      <c r="M19" s="6">
        <f t="shared" si="2"/>
        <v>0</v>
      </c>
      <c r="N19" s="6">
        <f t="shared" si="2"/>
        <v>0</v>
      </c>
      <c r="O19" s="6">
        <f t="shared" si="2"/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s="6">
        <f t="shared" si="2"/>
        <v>0</v>
      </c>
      <c r="W19" s="6">
        <f t="shared" si="2"/>
        <v>0</v>
      </c>
      <c r="X19" s="6">
        <f t="shared" si="2"/>
        <v>0</v>
      </c>
      <c r="Y19" s="6">
        <f t="shared" si="2"/>
        <v>0</v>
      </c>
      <c r="Z19" s="6">
        <f t="shared" si="2"/>
        <v>0</v>
      </c>
      <c r="AA19" s="6">
        <f t="shared" si="2"/>
        <v>0</v>
      </c>
      <c r="AB19" s="6">
        <f t="shared" si="2"/>
        <v>0</v>
      </c>
      <c r="AC19" s="6">
        <f>SUM(AC6:AC18)</f>
        <v>0</v>
      </c>
      <c r="AD19" s="6">
        <f>SUM(AD6:AD18)</f>
        <v>0</v>
      </c>
      <c r="AE19" s="6">
        <f>SUM(AE6:AE18)</f>
        <v>0</v>
      </c>
      <c r="AF19" s="6">
        <f>SUM(AF6:AF18)</f>
        <v>0</v>
      </c>
      <c r="AG19" s="6">
        <f>SUM(AG6:AG18)</f>
        <v>0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A2:A4"/>
    <mergeCell ref="B2:B4"/>
    <mergeCell ref="C2:Z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A3:AB3"/>
    <mergeCell ref="AC3:AD3"/>
    <mergeCell ref="Y3:Z3"/>
    <mergeCell ref="C1:Z1"/>
    <mergeCell ref="AE3:AG3"/>
  </mergeCells>
  <hyperlinks>
    <hyperlink ref="C1:Z1" location="'SMM YGN '!A1" display="ဂျက်ကြီး(ဒေးဒရဲ)" xr:uid="{00000000-0004-0000-33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49"/>
  <dimension ref="A1:AH88"/>
  <sheetViews>
    <sheetView workbookViewId="0">
      <pane xSplit="2" ySplit="4" topLeftCell="C5" activePane="bottomRight" state="frozen"/>
      <selection activeCell="CH13" sqref="CH13"/>
      <selection pane="topRight" activeCell="CH13" sqref="CH13"/>
      <selection pane="bottomLeft" activeCell="CH13" sqref="CH13"/>
      <selection pane="bottomRight" activeCell="C1" sqref="C1:AB1"/>
    </sheetView>
  </sheetViews>
  <sheetFormatPr defaultColWidth="9" defaultRowHeight="21" x14ac:dyDescent="0.6"/>
  <cols>
    <col min="1" max="1" width="9" style="35"/>
    <col min="2" max="2" width="12.28515625" style="36" customWidth="1"/>
    <col min="3" max="4" width="10.28515625" style="1" customWidth="1"/>
    <col min="5" max="8" width="9.28515625" style="1" customWidth="1"/>
    <col min="9" max="10" width="10.28515625" style="1" customWidth="1"/>
    <col min="11" max="14" width="9.28515625" style="1" customWidth="1"/>
    <col min="15" max="16" width="10.140625" style="1" customWidth="1"/>
    <col min="17" max="26" width="9.28515625" style="1" customWidth="1"/>
    <col min="27" max="28" width="8.28515625" style="1" customWidth="1"/>
    <col min="29" max="29" width="7.28515625" style="1" customWidth="1"/>
    <col min="30" max="30" width="10.140625" style="1" customWidth="1"/>
    <col min="31" max="32" width="9.140625" style="1" customWidth="1"/>
    <col min="33" max="16384" width="9" style="1"/>
  </cols>
  <sheetData>
    <row r="1" spans="1:34" ht="21.75" x14ac:dyDescent="0.6">
      <c r="A1" s="23"/>
      <c r="B1" s="24"/>
      <c r="C1" s="745" t="s">
        <v>125</v>
      </c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D1" s="1" t="s">
        <v>68</v>
      </c>
      <c r="AE1" s="1">
        <f>AE19</f>
        <v>0</v>
      </c>
      <c r="AG1" s="25">
        <v>12</v>
      </c>
      <c r="AH1" s="26">
        <v>14</v>
      </c>
    </row>
    <row r="2" spans="1:34" s="27" customFormat="1" ht="27" x14ac:dyDescent="0.75">
      <c r="A2" s="731" t="s">
        <v>1</v>
      </c>
      <c r="B2" s="732" t="s">
        <v>0</v>
      </c>
      <c r="C2" s="759" t="s">
        <v>3</v>
      </c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D2" s="1" t="s">
        <v>67</v>
      </c>
      <c r="AE2" s="27">
        <f>AF19</f>
        <v>0</v>
      </c>
      <c r="AG2" s="28">
        <v>24</v>
      </c>
      <c r="AH2" s="29">
        <v>40</v>
      </c>
    </row>
    <row r="3" spans="1:34" s="27" customFormat="1" ht="38.450000000000003" customHeight="1" x14ac:dyDescent="0.6">
      <c r="A3" s="731"/>
      <c r="B3" s="732"/>
      <c r="C3" s="760" t="s">
        <v>59</v>
      </c>
      <c r="D3" s="760"/>
      <c r="E3" s="755" t="s">
        <v>314</v>
      </c>
      <c r="F3" s="755"/>
      <c r="G3" s="755" t="s">
        <v>315</v>
      </c>
      <c r="H3" s="755"/>
      <c r="I3" s="761" t="s">
        <v>316</v>
      </c>
      <c r="J3" s="761"/>
      <c r="K3" s="755" t="s">
        <v>61</v>
      </c>
      <c r="L3" s="755"/>
      <c r="M3" s="755" t="s">
        <v>62</v>
      </c>
      <c r="N3" s="755"/>
      <c r="O3" s="761" t="s">
        <v>317</v>
      </c>
      <c r="P3" s="761"/>
      <c r="Q3" s="760" t="s">
        <v>318</v>
      </c>
      <c r="R3" s="760"/>
      <c r="S3" s="760" t="s">
        <v>65</v>
      </c>
      <c r="T3" s="760"/>
      <c r="U3" s="762" t="s">
        <v>60</v>
      </c>
      <c r="V3" s="762"/>
      <c r="W3" s="755" t="s">
        <v>323</v>
      </c>
      <c r="X3" s="755"/>
      <c r="Y3" s="755" t="s">
        <v>319</v>
      </c>
      <c r="Z3" s="755"/>
      <c r="AA3" s="755" t="s">
        <v>328</v>
      </c>
      <c r="AB3" s="755"/>
      <c r="AC3" s="736" t="s">
        <v>329</v>
      </c>
      <c r="AD3" s="737"/>
      <c r="AE3" s="742" t="s">
        <v>322</v>
      </c>
      <c r="AF3" s="743"/>
      <c r="AG3" s="744"/>
    </row>
    <row r="4" spans="1:34" s="32" customFormat="1" ht="21.75" x14ac:dyDescent="0.6">
      <c r="A4" s="731"/>
      <c r="B4" s="732"/>
      <c r="C4" s="14" t="s">
        <v>63</v>
      </c>
      <c r="D4" s="14" t="s">
        <v>64</v>
      </c>
      <c r="E4" s="16" t="s">
        <v>63</v>
      </c>
      <c r="F4" s="16" t="s">
        <v>64</v>
      </c>
      <c r="G4" s="16" t="s">
        <v>63</v>
      </c>
      <c r="H4" s="16" t="s">
        <v>64</v>
      </c>
      <c r="I4" s="15" t="s">
        <v>63</v>
      </c>
      <c r="J4" s="15" t="s">
        <v>64</v>
      </c>
      <c r="K4" s="16" t="s">
        <v>63</v>
      </c>
      <c r="L4" s="16" t="s">
        <v>64</v>
      </c>
      <c r="M4" s="16" t="s">
        <v>63</v>
      </c>
      <c r="N4" s="16" t="s">
        <v>64</v>
      </c>
      <c r="O4" s="15" t="s">
        <v>63</v>
      </c>
      <c r="P4" s="15" t="s">
        <v>64</v>
      </c>
      <c r="Q4" s="14" t="s">
        <v>63</v>
      </c>
      <c r="R4" s="14" t="s">
        <v>64</v>
      </c>
      <c r="S4" s="14" t="s">
        <v>63</v>
      </c>
      <c r="T4" s="14" t="s">
        <v>64</v>
      </c>
      <c r="U4" s="30" t="s">
        <v>63</v>
      </c>
      <c r="V4" s="30" t="s">
        <v>64</v>
      </c>
      <c r="W4" s="16" t="s">
        <v>63</v>
      </c>
      <c r="X4" s="16" t="s">
        <v>64</v>
      </c>
      <c r="Y4" s="16" t="s">
        <v>63</v>
      </c>
      <c r="Z4" s="16" t="s">
        <v>64</v>
      </c>
      <c r="AA4" s="16" t="s">
        <v>63</v>
      </c>
      <c r="AB4" s="16" t="s">
        <v>64</v>
      </c>
      <c r="AC4" s="16" t="s">
        <v>63</v>
      </c>
      <c r="AD4" s="16" t="s">
        <v>64</v>
      </c>
      <c r="AE4" s="10" t="s">
        <v>63</v>
      </c>
      <c r="AF4" s="10" t="s">
        <v>64</v>
      </c>
      <c r="AG4" s="106" t="s">
        <v>347</v>
      </c>
    </row>
    <row r="5" spans="1:34" s="32" customFormat="1" ht="21.75" x14ac:dyDescent="0.6">
      <c r="A5" s="105"/>
      <c r="B5" s="60"/>
      <c r="C5" s="14"/>
      <c r="D5" s="14">
        <v>0.64</v>
      </c>
      <c r="E5" s="16"/>
      <c r="F5" s="16">
        <v>1</v>
      </c>
      <c r="G5" s="16"/>
      <c r="H5" s="16">
        <v>0.6</v>
      </c>
      <c r="I5" s="15"/>
      <c r="J5" s="15">
        <v>0.35</v>
      </c>
      <c r="K5" s="16"/>
      <c r="L5" s="16">
        <v>0.7</v>
      </c>
      <c r="M5" s="16"/>
      <c r="N5" s="16">
        <v>1</v>
      </c>
      <c r="O5" s="15"/>
      <c r="P5" s="15">
        <v>0.35</v>
      </c>
      <c r="Q5" s="14"/>
      <c r="R5" s="14">
        <v>0.64</v>
      </c>
      <c r="S5" s="14"/>
      <c r="T5" s="14">
        <v>0.64</v>
      </c>
      <c r="U5" s="30"/>
      <c r="V5" s="30">
        <v>0.64</v>
      </c>
      <c r="W5" s="14"/>
      <c r="X5" s="14">
        <v>1</v>
      </c>
      <c r="Y5" s="16"/>
      <c r="Z5" s="16">
        <v>1</v>
      </c>
      <c r="AA5" s="16"/>
      <c r="AB5" s="16">
        <v>1</v>
      </c>
      <c r="AC5" s="16"/>
      <c r="AD5" s="16">
        <v>0.64</v>
      </c>
      <c r="AE5" s="10"/>
      <c r="AF5" s="10"/>
      <c r="AG5" s="106"/>
    </row>
    <row r="6" spans="1:34" s="19" customFormat="1" ht="25.15" customHeight="1" x14ac:dyDescent="0.25">
      <c r="A6" s="37">
        <v>1</v>
      </c>
      <c r="B6" s="38"/>
      <c r="C6" s="11"/>
      <c r="D6" s="11">
        <f>C6*14</f>
        <v>0</v>
      </c>
      <c r="E6" s="11"/>
      <c r="F6" s="11">
        <f>E6*12</f>
        <v>0</v>
      </c>
      <c r="G6" s="11"/>
      <c r="H6" s="11">
        <f>G6*12</f>
        <v>0</v>
      </c>
      <c r="I6" s="11"/>
      <c r="J6" s="11">
        <f>I6*40</f>
        <v>0</v>
      </c>
      <c r="K6" s="11"/>
      <c r="L6" s="11">
        <f>K6*12</f>
        <v>0</v>
      </c>
      <c r="M6" s="11"/>
      <c r="N6" s="11">
        <f>M6*12</f>
        <v>0</v>
      </c>
      <c r="O6" s="11"/>
      <c r="P6" s="11">
        <f>O6*40</f>
        <v>0</v>
      </c>
      <c r="Q6" s="11"/>
      <c r="R6" s="11">
        <f>Q6*14</f>
        <v>0</v>
      </c>
      <c r="S6" s="11"/>
      <c r="T6" s="11">
        <f>S6*14</f>
        <v>0</v>
      </c>
      <c r="U6" s="11"/>
      <c r="V6" s="11">
        <f>U6*24</f>
        <v>0</v>
      </c>
      <c r="W6" s="11"/>
      <c r="X6" s="11">
        <f>W6*12</f>
        <v>0</v>
      </c>
      <c r="Y6" s="11"/>
      <c r="Z6" s="11">
        <f>Y6*12</f>
        <v>0</v>
      </c>
      <c r="AA6" s="11"/>
      <c r="AB6" s="11">
        <f>AA6*12</f>
        <v>0</v>
      </c>
      <c r="AC6" s="11"/>
      <c r="AD6" s="11">
        <f>AC6*12</f>
        <v>0</v>
      </c>
      <c r="AE6" s="11">
        <f>C6+E6+G6+I6+K6+M6+O6+Q6+S6+U6+W6+Y6+AA6+AC6</f>
        <v>0</v>
      </c>
      <c r="AF6" s="11">
        <f>D6+F6+H6+J6+L6+N6+P6+R6+T6+V6+X6+Z6+AB6+AD6</f>
        <v>0</v>
      </c>
      <c r="AG6" s="11">
        <f>(D6*$D$5)+(F6*$F$5)+(H6*$H$5)+(J6*$J$5)+(L6*$L$5)+(N6*$N$5)+(P6*$P$5)+(R6*$R$5)+(T6*$T$5)+(V6*$V$5)+(X6*$X$5)+(Z6*$Z$5)+(AB6*$AB$5)+(AD6*$AD$5)</f>
        <v>0</v>
      </c>
    </row>
    <row r="7" spans="1:34" s="19" customFormat="1" ht="25.15" customHeight="1" x14ac:dyDescent="0.25">
      <c r="A7" s="37">
        <v>2</v>
      </c>
      <c r="B7" s="38"/>
      <c r="C7" s="11"/>
      <c r="D7" s="11">
        <f>C7*14</f>
        <v>0</v>
      </c>
      <c r="E7" s="11"/>
      <c r="F7" s="11">
        <f>E7*12</f>
        <v>0</v>
      </c>
      <c r="G7" s="11"/>
      <c r="H7" s="11">
        <f>G7*12</f>
        <v>0</v>
      </c>
      <c r="I7" s="11"/>
      <c r="J7" s="11">
        <f>I7*40</f>
        <v>0</v>
      </c>
      <c r="K7" s="11"/>
      <c r="L7" s="11">
        <f>K7*12</f>
        <v>0</v>
      </c>
      <c r="M7" s="11"/>
      <c r="N7" s="11">
        <f>M7*12</f>
        <v>0</v>
      </c>
      <c r="O7" s="11"/>
      <c r="P7" s="11">
        <f>O7*40</f>
        <v>0</v>
      </c>
      <c r="Q7" s="11"/>
      <c r="R7" s="11">
        <f>Q7*14</f>
        <v>0</v>
      </c>
      <c r="S7" s="11"/>
      <c r="T7" s="11">
        <f>S7*14</f>
        <v>0</v>
      </c>
      <c r="U7" s="11"/>
      <c r="V7" s="11">
        <f>U7*24</f>
        <v>0</v>
      </c>
      <c r="W7" s="11"/>
      <c r="X7" s="11">
        <f>W7*12</f>
        <v>0</v>
      </c>
      <c r="Y7" s="11"/>
      <c r="Z7" s="11">
        <f>Y7*12</f>
        <v>0</v>
      </c>
      <c r="AA7" s="11"/>
      <c r="AB7" s="11">
        <f>AA7*12</f>
        <v>0</v>
      </c>
      <c r="AC7" s="11"/>
      <c r="AD7" s="11">
        <f>AC7*12</f>
        <v>0</v>
      </c>
      <c r="AE7" s="11">
        <f t="shared" ref="AE7:AF9" si="0">C7+E7+G7+I7+K7+M7+O7+Q7+S7+U7+W7+Y7+AA7+AC7</f>
        <v>0</v>
      </c>
      <c r="AF7" s="11">
        <f t="shared" si="0"/>
        <v>0</v>
      </c>
      <c r="AG7" s="11">
        <f t="shared" ref="AG7:AG18" si="1">(D7*$D$5)+(F7*$F$5)+(H7*$H$5)+(J7*$J$5)+(L7*$L$5)+(N7*$N$5)+(P7*$P$5)+(R7*$R$5)+(T7*$T$5)+(V7*$V$5)+(X7*$X$5)+(Z7*$Z$5)+(AB7*$AB$5)+(AD7*$AD$5)</f>
        <v>0</v>
      </c>
    </row>
    <row r="8" spans="1:34" s="19" customFormat="1" ht="25.15" customHeight="1" x14ac:dyDescent="0.25">
      <c r="A8" s="37"/>
      <c r="B8" s="38"/>
      <c r="C8" s="11"/>
      <c r="D8" s="11">
        <f>C8*14</f>
        <v>0</v>
      </c>
      <c r="E8" s="11"/>
      <c r="F8" s="11">
        <f>E8*12</f>
        <v>0</v>
      </c>
      <c r="G8" s="11"/>
      <c r="H8" s="11">
        <f>G8*12</f>
        <v>0</v>
      </c>
      <c r="I8" s="11"/>
      <c r="J8" s="11">
        <f>I8*40</f>
        <v>0</v>
      </c>
      <c r="K8" s="11"/>
      <c r="L8" s="11">
        <f>K8*12</f>
        <v>0</v>
      </c>
      <c r="M8" s="11"/>
      <c r="N8" s="11">
        <f>M8*12</f>
        <v>0</v>
      </c>
      <c r="O8" s="11"/>
      <c r="P8" s="11">
        <f>O8*40</f>
        <v>0</v>
      </c>
      <c r="Q8" s="11"/>
      <c r="R8" s="11">
        <f>Q8*14</f>
        <v>0</v>
      </c>
      <c r="S8" s="11"/>
      <c r="T8" s="11">
        <f>S8*14</f>
        <v>0</v>
      </c>
      <c r="U8" s="11"/>
      <c r="V8" s="11">
        <f>U8*24</f>
        <v>0</v>
      </c>
      <c r="W8" s="11"/>
      <c r="X8" s="11">
        <f>W8*12</f>
        <v>0</v>
      </c>
      <c r="Y8" s="11"/>
      <c r="Z8" s="11">
        <f>Y8*12</f>
        <v>0</v>
      </c>
      <c r="AA8" s="11"/>
      <c r="AB8" s="11">
        <f>AA8*12</f>
        <v>0</v>
      </c>
      <c r="AC8" s="11"/>
      <c r="AD8" s="11">
        <f>AC8*12</f>
        <v>0</v>
      </c>
      <c r="AE8" s="11">
        <f t="shared" si="0"/>
        <v>0</v>
      </c>
      <c r="AF8" s="11">
        <f t="shared" si="0"/>
        <v>0</v>
      </c>
      <c r="AG8" s="11">
        <f t="shared" si="1"/>
        <v>0</v>
      </c>
    </row>
    <row r="9" spans="1:34" s="19" customFormat="1" ht="25.15" customHeight="1" x14ac:dyDescent="0.25">
      <c r="A9" s="37"/>
      <c r="B9" s="38"/>
      <c r="C9" s="11"/>
      <c r="D9" s="11">
        <f>C9*14</f>
        <v>0</v>
      </c>
      <c r="E9" s="11"/>
      <c r="F9" s="11">
        <f>E9*12</f>
        <v>0</v>
      </c>
      <c r="G9" s="11"/>
      <c r="H9" s="11">
        <f>G9*12</f>
        <v>0</v>
      </c>
      <c r="I9" s="11"/>
      <c r="J9" s="11">
        <f>I9*40</f>
        <v>0</v>
      </c>
      <c r="K9" s="11"/>
      <c r="L9" s="11">
        <f>K9*12</f>
        <v>0</v>
      </c>
      <c r="M9" s="11"/>
      <c r="N9" s="11">
        <f>M9*12</f>
        <v>0</v>
      </c>
      <c r="O9" s="11"/>
      <c r="P9" s="11">
        <f>O9*40</f>
        <v>0</v>
      </c>
      <c r="Q9" s="11"/>
      <c r="R9" s="11">
        <f>Q9*14</f>
        <v>0</v>
      </c>
      <c r="S9" s="11"/>
      <c r="T9" s="11">
        <f>S9*14</f>
        <v>0</v>
      </c>
      <c r="U9" s="11"/>
      <c r="V9" s="11">
        <f>U9*24</f>
        <v>0</v>
      </c>
      <c r="W9" s="11"/>
      <c r="X9" s="11">
        <f>W9*12</f>
        <v>0</v>
      </c>
      <c r="Y9" s="11"/>
      <c r="Z9" s="11">
        <f>Y9*12</f>
        <v>0</v>
      </c>
      <c r="AA9" s="11"/>
      <c r="AB9" s="11">
        <f>AA9*12</f>
        <v>0</v>
      </c>
      <c r="AC9" s="11"/>
      <c r="AD9" s="11">
        <f>AC9*12</f>
        <v>0</v>
      </c>
      <c r="AE9" s="11">
        <f t="shared" si="0"/>
        <v>0</v>
      </c>
      <c r="AF9" s="11">
        <f t="shared" si="0"/>
        <v>0</v>
      </c>
      <c r="AG9" s="11">
        <f t="shared" si="1"/>
        <v>0</v>
      </c>
    </row>
    <row r="10" spans="1:34" s="19" customFormat="1" ht="25.15" customHeight="1" x14ac:dyDescent="0.25">
      <c r="A10" s="37"/>
      <c r="B10" s="38"/>
      <c r="C10" s="11"/>
      <c r="D10" s="11">
        <f>C10*14</f>
        <v>0</v>
      </c>
      <c r="E10" s="11"/>
      <c r="F10" s="11">
        <f>E10*24</f>
        <v>0</v>
      </c>
      <c r="G10" s="11"/>
      <c r="H10" s="11">
        <f>G10*12</f>
        <v>0</v>
      </c>
      <c r="I10" s="11"/>
      <c r="J10" s="11">
        <f>I10*14</f>
        <v>0</v>
      </c>
      <c r="K10" s="11"/>
      <c r="L10" s="11">
        <f>K10*24</f>
        <v>0</v>
      </c>
      <c r="M10" s="11"/>
      <c r="N10" s="11">
        <f>M10*12</f>
        <v>0</v>
      </c>
      <c r="O10" s="11"/>
      <c r="P10" s="11">
        <f>O10*12</f>
        <v>0</v>
      </c>
      <c r="Q10" s="11"/>
      <c r="R10" s="11">
        <f>Q10*40</f>
        <v>0</v>
      </c>
      <c r="S10" s="11"/>
      <c r="T10" s="11">
        <f>S10*12</f>
        <v>0</v>
      </c>
      <c r="U10" s="11"/>
      <c r="V10" s="11">
        <f>U10*14</f>
        <v>0</v>
      </c>
      <c r="W10" s="11"/>
      <c r="X10" s="11">
        <f>W10*40</f>
        <v>0</v>
      </c>
      <c r="Y10" s="11"/>
      <c r="Z10" s="11">
        <f>Y10*12</f>
        <v>0</v>
      </c>
      <c r="AA10" s="11"/>
      <c r="AB10" s="11"/>
      <c r="AC10" s="11"/>
      <c r="AD10" s="11"/>
      <c r="AE10" s="11"/>
      <c r="AF10" s="11"/>
      <c r="AG10" s="11">
        <f t="shared" si="1"/>
        <v>0</v>
      </c>
    </row>
    <row r="11" spans="1:34" s="19" customFormat="1" ht="25.15" customHeight="1" x14ac:dyDescent="0.25">
      <c r="A11" s="37"/>
      <c r="B11" s="3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f t="shared" si="1"/>
        <v>0</v>
      </c>
    </row>
    <row r="12" spans="1:34" ht="25.15" customHeight="1" x14ac:dyDescent="0.6">
      <c r="A12" s="39"/>
      <c r="B12" s="40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1"/>
      <c r="AB12" s="11"/>
      <c r="AC12" s="6"/>
      <c r="AD12" s="6"/>
      <c r="AE12" s="6"/>
      <c r="AF12" s="6"/>
      <c r="AG12" s="11">
        <f t="shared" si="1"/>
        <v>0</v>
      </c>
    </row>
    <row r="13" spans="1:34" ht="25.15" customHeight="1" x14ac:dyDescent="0.6">
      <c r="A13" s="39"/>
      <c r="B13" s="40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1"/>
      <c r="AB13" s="11"/>
      <c r="AC13" s="6"/>
      <c r="AD13" s="6"/>
      <c r="AE13" s="6"/>
      <c r="AF13" s="6"/>
      <c r="AG13" s="11">
        <f t="shared" si="1"/>
        <v>0</v>
      </c>
    </row>
    <row r="14" spans="1:34" ht="25.15" customHeight="1" x14ac:dyDescent="0.6">
      <c r="A14" s="39"/>
      <c r="B14" s="40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1"/>
      <c r="AB14" s="11"/>
      <c r="AC14" s="6"/>
      <c r="AD14" s="6"/>
      <c r="AE14" s="6"/>
      <c r="AF14" s="6"/>
      <c r="AG14" s="11">
        <f t="shared" si="1"/>
        <v>0</v>
      </c>
    </row>
    <row r="15" spans="1:34" ht="25.15" customHeight="1" x14ac:dyDescent="0.6">
      <c r="A15" s="39"/>
      <c r="B15" s="4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1"/>
      <c r="AB15" s="11"/>
      <c r="AC15" s="6"/>
      <c r="AD15" s="6"/>
      <c r="AE15" s="6"/>
      <c r="AF15" s="6"/>
      <c r="AG15" s="11">
        <f t="shared" si="1"/>
        <v>0</v>
      </c>
    </row>
    <row r="16" spans="1:34" ht="25.15" customHeight="1" x14ac:dyDescent="0.6">
      <c r="A16" s="39"/>
      <c r="B16" s="4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1"/>
      <c r="AB16" s="11"/>
      <c r="AC16" s="6"/>
      <c r="AD16" s="6"/>
      <c r="AE16" s="6"/>
      <c r="AF16" s="6"/>
      <c r="AG16" s="11">
        <f t="shared" si="1"/>
        <v>0</v>
      </c>
    </row>
    <row r="17" spans="1:33" ht="25.15" customHeight="1" x14ac:dyDescent="0.6">
      <c r="A17" s="39"/>
      <c r="B17" s="4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1"/>
      <c r="AB17" s="11"/>
      <c r="AC17" s="6"/>
      <c r="AD17" s="6"/>
      <c r="AE17" s="6"/>
      <c r="AF17" s="6"/>
      <c r="AG17" s="11">
        <f t="shared" si="1"/>
        <v>0</v>
      </c>
    </row>
    <row r="18" spans="1:33" ht="25.15" customHeight="1" x14ac:dyDescent="0.6">
      <c r="A18" s="39"/>
      <c r="B18" s="4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1"/>
      <c r="AB18" s="11"/>
      <c r="AC18" s="6"/>
      <c r="AD18" s="6"/>
      <c r="AE18" s="6"/>
      <c r="AF18" s="6"/>
      <c r="AG18" s="11">
        <f t="shared" si="1"/>
        <v>0</v>
      </c>
    </row>
    <row r="19" spans="1:33" ht="25.15" customHeight="1" x14ac:dyDescent="0.6">
      <c r="A19" s="39"/>
      <c r="B19" s="40"/>
      <c r="C19" s="6">
        <f>SUM(C6:C18)</f>
        <v>0</v>
      </c>
      <c r="D19" s="6">
        <f t="shared" ref="D19:AB19" si="2">SUM(D6:D18)</f>
        <v>0</v>
      </c>
      <c r="E19" s="6">
        <f t="shared" si="2"/>
        <v>0</v>
      </c>
      <c r="F19" s="6">
        <f t="shared" si="2"/>
        <v>0</v>
      </c>
      <c r="G19" s="6">
        <f t="shared" si="2"/>
        <v>0</v>
      </c>
      <c r="H19" s="6">
        <f t="shared" si="2"/>
        <v>0</v>
      </c>
      <c r="I19" s="6">
        <f t="shared" si="2"/>
        <v>0</v>
      </c>
      <c r="J19" s="6">
        <f t="shared" si="2"/>
        <v>0</v>
      </c>
      <c r="K19" s="6">
        <f t="shared" si="2"/>
        <v>0</v>
      </c>
      <c r="L19" s="6">
        <f t="shared" si="2"/>
        <v>0</v>
      </c>
      <c r="M19" s="6">
        <f t="shared" si="2"/>
        <v>0</v>
      </c>
      <c r="N19" s="6">
        <f t="shared" si="2"/>
        <v>0</v>
      </c>
      <c r="O19" s="6">
        <f t="shared" si="2"/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s="6">
        <f t="shared" si="2"/>
        <v>0</v>
      </c>
      <c r="W19" s="6">
        <f t="shared" si="2"/>
        <v>0</v>
      </c>
      <c r="X19" s="6">
        <f t="shared" si="2"/>
        <v>0</v>
      </c>
      <c r="Y19" s="6">
        <f t="shared" si="2"/>
        <v>0</v>
      </c>
      <c r="Z19" s="6">
        <f t="shared" si="2"/>
        <v>0</v>
      </c>
      <c r="AA19" s="6">
        <f t="shared" si="2"/>
        <v>0</v>
      </c>
      <c r="AB19" s="6">
        <f t="shared" si="2"/>
        <v>0</v>
      </c>
      <c r="AC19" s="6">
        <f>SUM(AC6:AC18)</f>
        <v>0</v>
      </c>
      <c r="AD19" s="6">
        <f>SUM(AD6:AD18)</f>
        <v>0</v>
      </c>
      <c r="AE19" s="6">
        <f>SUM(AE6:AE18)</f>
        <v>0</v>
      </c>
      <c r="AF19" s="6">
        <f>SUM(AF6:AF18)</f>
        <v>0</v>
      </c>
      <c r="AG19" s="6">
        <f>SUM(AG6:AG18)</f>
        <v>0</v>
      </c>
    </row>
    <row r="20" spans="1:33" ht="25.15" customHeight="1" x14ac:dyDescent="0.6"/>
    <row r="21" spans="1:33" ht="25.15" customHeight="1" x14ac:dyDescent="0.6"/>
    <row r="22" spans="1:33" ht="25.15" customHeight="1" x14ac:dyDescent="0.6"/>
    <row r="23" spans="1:33" ht="25.15" customHeight="1" x14ac:dyDescent="0.6"/>
    <row r="24" spans="1:33" ht="25.15" customHeight="1" x14ac:dyDescent="0.6"/>
    <row r="25" spans="1:33" ht="25.15" customHeight="1" x14ac:dyDescent="0.6"/>
    <row r="26" spans="1:33" ht="25.15" customHeight="1" x14ac:dyDescent="0.6"/>
    <row r="27" spans="1:33" ht="25.15" customHeight="1" x14ac:dyDescent="0.6"/>
    <row r="28" spans="1:33" ht="25.15" customHeight="1" x14ac:dyDescent="0.6"/>
    <row r="29" spans="1:33" ht="25.15" customHeight="1" x14ac:dyDescent="0.6"/>
    <row r="30" spans="1:33" ht="25.15" customHeight="1" x14ac:dyDescent="0.6"/>
    <row r="31" spans="1:33" ht="25.15" customHeight="1" x14ac:dyDescent="0.6"/>
    <row r="32" spans="1:33" ht="25.15" customHeight="1" x14ac:dyDescent="0.6"/>
    <row r="33" ht="25.15" customHeight="1" x14ac:dyDescent="0.6"/>
    <row r="34" ht="25.15" customHeight="1" x14ac:dyDescent="0.6"/>
    <row r="35" ht="25.15" customHeight="1" x14ac:dyDescent="0.6"/>
    <row r="36" ht="25.15" customHeight="1" x14ac:dyDescent="0.6"/>
    <row r="37" ht="25.15" customHeight="1" x14ac:dyDescent="0.6"/>
    <row r="38" ht="25.15" customHeight="1" x14ac:dyDescent="0.6"/>
    <row r="39" ht="25.15" customHeight="1" x14ac:dyDescent="0.6"/>
    <row r="40" ht="25.15" customHeight="1" x14ac:dyDescent="0.6"/>
    <row r="41" ht="25.15" customHeight="1" x14ac:dyDescent="0.6"/>
    <row r="42" ht="25.15" customHeight="1" x14ac:dyDescent="0.6"/>
    <row r="43" ht="25.15" customHeight="1" x14ac:dyDescent="0.6"/>
    <row r="44" ht="25.15" customHeight="1" x14ac:dyDescent="0.6"/>
    <row r="45" ht="25.15" customHeight="1" x14ac:dyDescent="0.6"/>
    <row r="46" ht="25.15" customHeight="1" x14ac:dyDescent="0.6"/>
    <row r="47" ht="25.15" customHeight="1" x14ac:dyDescent="0.6"/>
    <row r="48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19">
    <mergeCell ref="U3:V3"/>
    <mergeCell ref="W3:X3"/>
    <mergeCell ref="Y3:Z3"/>
    <mergeCell ref="AE3:AG3"/>
    <mergeCell ref="AC3:AD3"/>
    <mergeCell ref="AA3:AB3"/>
    <mergeCell ref="C1:AB1"/>
    <mergeCell ref="A2:A4"/>
    <mergeCell ref="B2:B4"/>
    <mergeCell ref="C2:AB2"/>
    <mergeCell ref="C3:D3"/>
    <mergeCell ref="E3:F3"/>
    <mergeCell ref="G3:H3"/>
    <mergeCell ref="I3:J3"/>
    <mergeCell ref="K3:L3"/>
    <mergeCell ref="M3:N3"/>
    <mergeCell ref="O3:P3"/>
    <mergeCell ref="Q3:R3"/>
    <mergeCell ref="S3:T3"/>
  </mergeCells>
  <hyperlinks>
    <hyperlink ref="C1:AB1" location="'SMM YGN '!A1" display="မိုးမြင့်ထက်(မြောက်ဒဂုံ)" xr:uid="{00000000-0004-0000-34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0"/>
  <dimension ref="A1:AK88"/>
  <sheetViews>
    <sheetView workbookViewId="0">
      <pane xSplit="3" ySplit="4" topLeftCell="D14" activePane="bottomRight" state="frozen"/>
      <selection activeCell="CH13" sqref="CH13"/>
      <selection pane="topRight" activeCell="CH13" sqref="CH13"/>
      <selection pane="bottomLeft" activeCell="CH13" sqref="CH13"/>
      <selection pane="bottomRight" activeCell="C29" sqref="C29"/>
    </sheetView>
  </sheetViews>
  <sheetFormatPr defaultColWidth="9" defaultRowHeight="21" x14ac:dyDescent="0.6"/>
  <cols>
    <col min="1" max="1" width="5.7109375" style="1" customWidth="1"/>
    <col min="2" max="2" width="13.7109375" style="35" customWidth="1"/>
    <col min="3" max="3" width="14.28515625" style="36" customWidth="1"/>
    <col min="4" max="5" width="10.7109375" style="1" customWidth="1"/>
    <col min="6" max="11" width="9.85546875" style="1" customWidth="1"/>
    <col min="12" max="35" width="8.28515625" style="1" customWidth="1"/>
    <col min="36" max="16384" width="9" style="1"/>
  </cols>
  <sheetData>
    <row r="1" spans="1:37" ht="21.75" x14ac:dyDescent="0.6">
      <c r="B1" s="23"/>
      <c r="C1" s="24"/>
      <c r="D1" s="745" t="s">
        <v>332</v>
      </c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C1" s="745"/>
      <c r="AE1" s="1" t="s">
        <v>68</v>
      </c>
      <c r="AH1" s="1">
        <f>AH18</f>
        <v>1160</v>
      </c>
      <c r="AJ1" s="25">
        <v>12</v>
      </c>
      <c r="AK1" s="26">
        <v>14</v>
      </c>
    </row>
    <row r="2" spans="1:37" s="27" customFormat="1" ht="21.75" x14ac:dyDescent="0.6">
      <c r="A2" s="767" t="s">
        <v>325</v>
      </c>
      <c r="B2" s="731" t="s">
        <v>326</v>
      </c>
      <c r="C2" s="732" t="s">
        <v>327</v>
      </c>
      <c r="D2" s="745" t="s">
        <v>3</v>
      </c>
      <c r="E2" s="745"/>
      <c r="F2" s="745"/>
      <c r="G2" s="745"/>
      <c r="H2" s="745"/>
      <c r="I2" s="745"/>
      <c r="J2" s="745"/>
      <c r="K2" s="745"/>
      <c r="L2" s="745"/>
      <c r="M2" s="745"/>
      <c r="N2" s="745"/>
      <c r="O2" s="745"/>
      <c r="P2" s="745"/>
      <c r="Q2" s="745"/>
      <c r="R2" s="745"/>
      <c r="S2" s="745"/>
      <c r="T2" s="745"/>
      <c r="U2" s="745"/>
      <c r="V2" s="745"/>
      <c r="W2" s="745"/>
      <c r="X2" s="745"/>
      <c r="Y2" s="745"/>
      <c r="Z2" s="745"/>
      <c r="AA2" s="745"/>
      <c r="AB2" s="745"/>
      <c r="AC2" s="745"/>
      <c r="AE2" s="1" t="s">
        <v>67</v>
      </c>
      <c r="AF2" s="1"/>
      <c r="AG2" s="1"/>
      <c r="AH2" s="27">
        <f>AI18</f>
        <v>16920</v>
      </c>
      <c r="AJ2" s="28">
        <v>24</v>
      </c>
      <c r="AK2" s="29">
        <v>40</v>
      </c>
    </row>
    <row r="3" spans="1:37" s="27" customFormat="1" ht="38.450000000000003" customHeight="1" x14ac:dyDescent="0.6">
      <c r="A3" s="767"/>
      <c r="B3" s="731"/>
      <c r="C3" s="732"/>
      <c r="D3" s="760" t="s">
        <v>59</v>
      </c>
      <c r="E3" s="760"/>
      <c r="F3" s="755" t="s">
        <v>314</v>
      </c>
      <c r="G3" s="755"/>
      <c r="H3" s="755" t="s">
        <v>315</v>
      </c>
      <c r="I3" s="755"/>
      <c r="J3" s="761" t="s">
        <v>316</v>
      </c>
      <c r="K3" s="761"/>
      <c r="L3" s="755" t="s">
        <v>61</v>
      </c>
      <c r="M3" s="755"/>
      <c r="N3" s="755" t="s">
        <v>62</v>
      </c>
      <c r="O3" s="755"/>
      <c r="P3" s="761" t="s">
        <v>317</v>
      </c>
      <c r="Q3" s="761"/>
      <c r="R3" s="760" t="s">
        <v>318</v>
      </c>
      <c r="S3" s="760"/>
      <c r="T3" s="760" t="s">
        <v>65</v>
      </c>
      <c r="U3" s="760"/>
      <c r="V3" s="762" t="s">
        <v>60</v>
      </c>
      <c r="W3" s="762"/>
      <c r="X3" s="755" t="s">
        <v>323</v>
      </c>
      <c r="Y3" s="755"/>
      <c r="Z3" s="755" t="s">
        <v>319</v>
      </c>
      <c r="AA3" s="755"/>
      <c r="AB3" s="755" t="s">
        <v>320</v>
      </c>
      <c r="AC3" s="755"/>
      <c r="AD3" s="736" t="s">
        <v>321</v>
      </c>
      <c r="AE3" s="737"/>
      <c r="AF3" s="760" t="s">
        <v>333</v>
      </c>
      <c r="AG3" s="760"/>
      <c r="AH3" s="742" t="s">
        <v>322</v>
      </c>
      <c r="AI3" s="744"/>
    </row>
    <row r="4" spans="1:37" s="32" customFormat="1" ht="21.75" x14ac:dyDescent="0.6">
      <c r="A4" s="767"/>
      <c r="B4" s="731"/>
      <c r="C4" s="732"/>
      <c r="D4" s="14" t="s">
        <v>63</v>
      </c>
      <c r="E4" s="14" t="s">
        <v>64</v>
      </c>
      <c r="F4" s="16" t="s">
        <v>63</v>
      </c>
      <c r="G4" s="16" t="s">
        <v>64</v>
      </c>
      <c r="H4" s="16" t="s">
        <v>63</v>
      </c>
      <c r="I4" s="16" t="s">
        <v>64</v>
      </c>
      <c r="J4" s="15" t="s">
        <v>63</v>
      </c>
      <c r="K4" s="15" t="s">
        <v>64</v>
      </c>
      <c r="L4" s="16" t="s">
        <v>63</v>
      </c>
      <c r="M4" s="16" t="s">
        <v>64</v>
      </c>
      <c r="N4" s="16" t="s">
        <v>63</v>
      </c>
      <c r="O4" s="16" t="s">
        <v>64</v>
      </c>
      <c r="P4" s="15" t="s">
        <v>63</v>
      </c>
      <c r="Q4" s="15" t="s">
        <v>64</v>
      </c>
      <c r="R4" s="14" t="s">
        <v>63</v>
      </c>
      <c r="S4" s="14" t="s">
        <v>64</v>
      </c>
      <c r="T4" s="14" t="s">
        <v>63</v>
      </c>
      <c r="U4" s="14" t="s">
        <v>64</v>
      </c>
      <c r="V4" s="30" t="s">
        <v>63</v>
      </c>
      <c r="W4" s="30" t="s">
        <v>64</v>
      </c>
      <c r="X4" s="16" t="s">
        <v>63</v>
      </c>
      <c r="Y4" s="16" t="s">
        <v>64</v>
      </c>
      <c r="Z4" s="16" t="s">
        <v>63</v>
      </c>
      <c r="AA4" s="16" t="s">
        <v>64</v>
      </c>
      <c r="AB4" s="16" t="s">
        <v>63</v>
      </c>
      <c r="AC4" s="16" t="s">
        <v>64</v>
      </c>
      <c r="AD4" s="16" t="s">
        <v>63</v>
      </c>
      <c r="AE4" s="16" t="s">
        <v>64</v>
      </c>
      <c r="AF4" s="14" t="s">
        <v>63</v>
      </c>
      <c r="AG4" s="14" t="s">
        <v>64</v>
      </c>
      <c r="AH4" s="12" t="s">
        <v>63</v>
      </c>
      <c r="AI4" s="12" t="s">
        <v>64</v>
      </c>
      <c r="AJ4" s="31"/>
    </row>
    <row r="5" spans="1:37" s="19" customFormat="1" ht="25.15" customHeight="1" x14ac:dyDescent="0.6">
      <c r="A5" s="33">
        <v>1</v>
      </c>
      <c r="B5" s="18" t="s">
        <v>5</v>
      </c>
      <c r="C5" s="8" t="s">
        <v>6</v>
      </c>
      <c r="D5" s="13">
        <f>ရွှေဧရာ!C27</f>
        <v>0</v>
      </c>
      <c r="E5" s="13">
        <f>ရွှေဧရာ!D27</f>
        <v>0</v>
      </c>
      <c r="F5" s="13">
        <f>ရွှေဧရာ!E27</f>
        <v>0</v>
      </c>
      <c r="G5" s="13">
        <f>ရွှေဧရာ!F27</f>
        <v>0</v>
      </c>
      <c r="H5" s="13">
        <f>ရွှေဧရာ!G27</f>
        <v>0</v>
      </c>
      <c r="I5" s="13">
        <f>ရွှေဧရာ!H27</f>
        <v>0</v>
      </c>
      <c r="J5" s="13">
        <f>ရွှေဧရာ!I27</f>
        <v>0</v>
      </c>
      <c r="K5" s="13">
        <f>ရွှေဧရာ!J27</f>
        <v>0</v>
      </c>
      <c r="L5" s="13">
        <f>ရွှေဧရာ!K27</f>
        <v>0</v>
      </c>
      <c r="M5" s="13">
        <f>ရွှေဧရာ!L27</f>
        <v>0</v>
      </c>
      <c r="N5" s="13">
        <f>ရွှေဧရာ!M27</f>
        <v>0</v>
      </c>
      <c r="O5" s="13">
        <f>ရွှေဧရာ!N27</f>
        <v>0</v>
      </c>
      <c r="P5" s="13">
        <f>ရွှေဧရာ!O27</f>
        <v>0</v>
      </c>
      <c r="Q5" s="13">
        <f>ရွှေဧရာ!P27</f>
        <v>0</v>
      </c>
      <c r="R5" s="13">
        <f>ရွှေဧရာ!Q27</f>
        <v>0</v>
      </c>
      <c r="S5" s="13">
        <f>ရွှေဧရာ!R27</f>
        <v>0</v>
      </c>
      <c r="T5" s="13">
        <f>ရွှေဧရာ!S27</f>
        <v>0</v>
      </c>
      <c r="U5" s="13">
        <f>ရွှေဧရာ!T27</f>
        <v>0</v>
      </c>
      <c r="V5" s="13">
        <f>ရွှေဧရာ!U27</f>
        <v>0</v>
      </c>
      <c r="W5" s="13">
        <f>ရွှေဧရာ!V27</f>
        <v>0</v>
      </c>
      <c r="X5" s="13">
        <f>ရွှေဧရာ!W27</f>
        <v>0</v>
      </c>
      <c r="Y5" s="13">
        <f>ရွှေဧရာ!X27</f>
        <v>0</v>
      </c>
      <c r="Z5" s="13">
        <f>ရွှေဧရာ!Y27</f>
        <v>0</v>
      </c>
      <c r="AA5" s="13">
        <f>ရွှေဧရာ!Z27</f>
        <v>0</v>
      </c>
      <c r="AB5" s="13">
        <f>ရွှေဧရာ!AA27</f>
        <v>0</v>
      </c>
      <c r="AC5" s="13">
        <f>ရွှေဧရာ!AB27</f>
        <v>0</v>
      </c>
      <c r="AD5" s="13">
        <f>ရွှေဧရာ!AC27</f>
        <v>0</v>
      </c>
      <c r="AE5" s="13">
        <f>ရွှေဧရာ!AD27</f>
        <v>0</v>
      </c>
      <c r="AF5" s="13">
        <f>ရွှေဧရာ!AE27</f>
        <v>0</v>
      </c>
      <c r="AG5" s="13">
        <f>ရွှေဧရာ!AE27</f>
        <v>0</v>
      </c>
      <c r="AH5" s="13">
        <f>ရွှေဧရာ!AG27</f>
        <v>0</v>
      </c>
      <c r="AI5" s="13">
        <f>ရွှေဧရာ!AH27</f>
        <v>0</v>
      </c>
    </row>
    <row r="6" spans="1:37" s="19" customFormat="1" ht="25.15" customHeight="1" x14ac:dyDescent="0.6">
      <c r="A6" s="33">
        <v>2</v>
      </c>
      <c r="B6" s="18" t="s">
        <v>7</v>
      </c>
      <c r="C6" s="8" t="s">
        <v>8</v>
      </c>
      <c r="D6" s="11">
        <f>တော်ဝင်!C22</f>
        <v>250</v>
      </c>
      <c r="E6" s="11">
        <f>တော်ဝင်!D22</f>
        <v>3500</v>
      </c>
      <c r="F6" s="11">
        <f>တော်ဝင်!E22</f>
        <v>170</v>
      </c>
      <c r="G6" s="11">
        <f>တော်ဝင်!F22</f>
        <v>2040</v>
      </c>
      <c r="H6" s="11">
        <f>တော်ဝင်!G22</f>
        <v>20</v>
      </c>
      <c r="I6" s="11">
        <f>တော်ဝင်!H22</f>
        <v>240</v>
      </c>
      <c r="J6" s="11">
        <f>တော်ဝင်!I22</f>
        <v>40</v>
      </c>
      <c r="K6" s="11">
        <f>တော်ဝင်!J22</f>
        <v>1600</v>
      </c>
      <c r="L6" s="11">
        <f>တော်ဝင်!K22</f>
        <v>20</v>
      </c>
      <c r="M6" s="11">
        <f>တော်ဝင်!L22</f>
        <v>240</v>
      </c>
      <c r="N6" s="11">
        <f>တော်ဝင်!M22</f>
        <v>0</v>
      </c>
      <c r="O6" s="11">
        <f>တော်ဝင်!N22</f>
        <v>0</v>
      </c>
      <c r="P6" s="11">
        <f>တော်ဝင်!O22</f>
        <v>0</v>
      </c>
      <c r="Q6" s="11">
        <f>တော်ဝင်!P22</f>
        <v>0</v>
      </c>
      <c r="R6" s="11">
        <f>တော်ဝင်!Q22</f>
        <v>0</v>
      </c>
      <c r="S6" s="11">
        <f>တော်ဝင်!R22</f>
        <v>0</v>
      </c>
      <c r="T6" s="11">
        <f>တော်ဝင်!S22</f>
        <v>0</v>
      </c>
      <c r="U6" s="11">
        <f>တော်ဝင်!T22</f>
        <v>0</v>
      </c>
      <c r="V6" s="11">
        <f>တော်ဝင်!U22</f>
        <v>0</v>
      </c>
      <c r="W6" s="11">
        <f>တော်ဝင်!V22</f>
        <v>0</v>
      </c>
      <c r="X6" s="11">
        <f>တော်ဝင်!W22</f>
        <v>0</v>
      </c>
      <c r="Y6" s="11">
        <f>တော်ဝင်!X22</f>
        <v>0</v>
      </c>
      <c r="Z6" s="11">
        <f>တော်ဝင်!Y22</f>
        <v>0</v>
      </c>
      <c r="AA6" s="11">
        <f>တော်ဝင်!Z22</f>
        <v>0</v>
      </c>
      <c r="AB6" s="11">
        <f>တော်ဝင်!AA22</f>
        <v>0</v>
      </c>
      <c r="AC6" s="11">
        <f>တော်ဝင်!AB22</f>
        <v>0</v>
      </c>
      <c r="AD6" s="11">
        <f>တော်ဝင်!AC22</f>
        <v>0</v>
      </c>
      <c r="AE6" s="11">
        <f>တော်ဝင်!AD22</f>
        <v>0</v>
      </c>
      <c r="AF6" s="11"/>
      <c r="AG6" s="11"/>
      <c r="AH6" s="11">
        <f>တော်ဝင်!AG22</f>
        <v>500</v>
      </c>
      <c r="AI6" s="11">
        <f>တော်ဝင်!AH22</f>
        <v>7620</v>
      </c>
    </row>
    <row r="7" spans="1:37" s="19" customFormat="1" ht="25.15" customHeight="1" x14ac:dyDescent="0.6">
      <c r="A7" s="33">
        <v>3</v>
      </c>
      <c r="B7" s="18" t="s">
        <v>9</v>
      </c>
      <c r="C7" s="8" t="s">
        <v>10</v>
      </c>
      <c r="D7" s="11">
        <f>'အောင်ချမ်းသာ '!C19</f>
        <v>0</v>
      </c>
      <c r="E7" s="11">
        <f>'အောင်ချမ်းသာ '!D19</f>
        <v>0</v>
      </c>
      <c r="F7" s="11">
        <f>'အောင်ချမ်းသာ '!E19</f>
        <v>0</v>
      </c>
      <c r="G7" s="11">
        <f>'အောင်ချမ်းသာ '!F19</f>
        <v>0</v>
      </c>
      <c r="H7" s="11">
        <f>'အောင်ချမ်းသာ '!G19</f>
        <v>0</v>
      </c>
      <c r="I7" s="11">
        <f>'အောင်ချမ်းသာ '!H19</f>
        <v>0</v>
      </c>
      <c r="J7" s="11">
        <f>'အောင်ချမ်းသာ '!I19</f>
        <v>0</v>
      </c>
      <c r="K7" s="11">
        <f>'အောင်ချမ်းသာ '!J19</f>
        <v>0</v>
      </c>
      <c r="L7" s="11">
        <f>'အောင်ချမ်းသာ '!K19</f>
        <v>0</v>
      </c>
      <c r="M7" s="11">
        <f>'အောင်ချမ်းသာ '!L19</f>
        <v>0</v>
      </c>
      <c r="N7" s="11">
        <f>'အောင်ချမ်းသာ '!M19</f>
        <v>0</v>
      </c>
      <c r="O7" s="11">
        <f>'အောင်ချမ်းသာ '!N19</f>
        <v>0</v>
      </c>
      <c r="P7" s="11">
        <f>'အောင်ချမ်းသာ '!O19</f>
        <v>0</v>
      </c>
      <c r="Q7" s="11">
        <f>'အောင်ချမ်းသာ '!P19</f>
        <v>0</v>
      </c>
      <c r="R7" s="11">
        <f>'အောင်ချမ်းသာ '!Q19</f>
        <v>0</v>
      </c>
      <c r="S7" s="11">
        <f>'အောင်ချမ်းသာ '!R19</f>
        <v>0</v>
      </c>
      <c r="T7" s="11">
        <f>'အောင်ချမ်းသာ '!S19</f>
        <v>0</v>
      </c>
      <c r="U7" s="11">
        <f>'အောင်ချမ်းသာ '!T19</f>
        <v>0</v>
      </c>
      <c r="V7" s="11">
        <f>'အောင်ချမ်းသာ '!U19</f>
        <v>0</v>
      </c>
      <c r="W7" s="11">
        <f>'အောင်ချမ်းသာ '!V19</f>
        <v>0</v>
      </c>
      <c r="X7" s="11">
        <f>'အောင်ချမ်းသာ '!W19</f>
        <v>0</v>
      </c>
      <c r="Y7" s="11">
        <f>'အောင်ချမ်းသာ '!X19</f>
        <v>0</v>
      </c>
      <c r="Z7" s="11">
        <f>'အောင်ချမ်းသာ '!Y19</f>
        <v>0</v>
      </c>
      <c r="AA7" s="11">
        <f>'အောင်ချမ်းသာ '!Z19</f>
        <v>0</v>
      </c>
      <c r="AB7" s="11">
        <f>'အောင်ချမ်းသာ '!AA19</f>
        <v>0</v>
      </c>
      <c r="AC7" s="11">
        <f>'အောင်ချမ်းသာ '!AB19</f>
        <v>0</v>
      </c>
      <c r="AD7" s="11">
        <f>'အောင်ချမ်းသာ '!AC19</f>
        <v>0</v>
      </c>
      <c r="AE7" s="11">
        <f>'အောင်ချမ်းသာ '!AD19</f>
        <v>0</v>
      </c>
      <c r="AF7" s="11"/>
      <c r="AG7" s="11"/>
      <c r="AH7" s="11">
        <f>'အောင်ချမ်းသာ '!AE19</f>
        <v>0</v>
      </c>
      <c r="AI7" s="11">
        <f>'အောင်ချမ်းသာ '!AF19</f>
        <v>0</v>
      </c>
    </row>
    <row r="8" spans="1:37" s="19" customFormat="1" ht="25.15" customHeight="1" x14ac:dyDescent="0.6">
      <c r="A8" s="33">
        <v>4</v>
      </c>
      <c r="B8" s="18" t="s">
        <v>11</v>
      </c>
      <c r="C8" s="8" t="s">
        <v>10</v>
      </c>
      <c r="D8" s="11">
        <f>မမွှေးမွှေး!C19</f>
        <v>180</v>
      </c>
      <c r="E8" s="11">
        <f>မမွှေးမွှေး!D19</f>
        <v>2520</v>
      </c>
      <c r="F8" s="11">
        <f>မမွှေးမွှေး!E19</f>
        <v>0</v>
      </c>
      <c r="G8" s="11">
        <f>မမွှေးမွှေး!F19</f>
        <v>0</v>
      </c>
      <c r="H8" s="11">
        <f>မမွှေးမွှေး!G19</f>
        <v>0</v>
      </c>
      <c r="I8" s="11">
        <f>မမွှေးမွှေး!H19</f>
        <v>0</v>
      </c>
      <c r="J8" s="11">
        <f>မမွှေးမွှေး!I19</f>
        <v>0</v>
      </c>
      <c r="K8" s="11">
        <f>မမွှေးမွှေး!J19</f>
        <v>0</v>
      </c>
      <c r="L8" s="11">
        <f>မမွှေးမွှေး!K19</f>
        <v>50</v>
      </c>
      <c r="M8" s="11">
        <f>မမွှေးမွှေး!L19</f>
        <v>600</v>
      </c>
      <c r="N8" s="11">
        <f>မမွှေးမွှေး!M19</f>
        <v>0</v>
      </c>
      <c r="O8" s="11">
        <f>မမွှေးမွှေး!N19</f>
        <v>0</v>
      </c>
      <c r="P8" s="11">
        <f>မမွှေးမွှေး!O19</f>
        <v>0</v>
      </c>
      <c r="Q8" s="11">
        <f>မမွှေးမွှေး!P19</f>
        <v>0</v>
      </c>
      <c r="R8" s="11">
        <f>မမွှေးမွှေး!Q19</f>
        <v>30</v>
      </c>
      <c r="S8" s="11">
        <f>မမွှေးမွှေး!R19</f>
        <v>420</v>
      </c>
      <c r="T8" s="11">
        <f>မမွှေးမွှေး!S19</f>
        <v>40</v>
      </c>
      <c r="U8" s="11">
        <f>မမွှေးမွှေး!T19</f>
        <v>560</v>
      </c>
      <c r="V8" s="11">
        <f>မမွှေးမွှေး!U19</f>
        <v>0</v>
      </c>
      <c r="W8" s="11">
        <f>မမွှေးမွှေး!V19</f>
        <v>0</v>
      </c>
      <c r="X8" s="11">
        <f>မမွှေးမွှေး!W19</f>
        <v>0</v>
      </c>
      <c r="Y8" s="11">
        <f>မမွှေးမွှေး!X19</f>
        <v>0</v>
      </c>
      <c r="Z8" s="11">
        <f>မမွှေးမွှေး!Y19</f>
        <v>0</v>
      </c>
      <c r="AA8" s="11">
        <f>မမွှေးမွှေး!Z19</f>
        <v>0</v>
      </c>
      <c r="AB8" s="11">
        <f>မမွှေးမွှေး!AA19</f>
        <v>0</v>
      </c>
      <c r="AC8" s="11">
        <f>မမွှေးမွှေး!AB19</f>
        <v>0</v>
      </c>
      <c r="AD8" s="11">
        <f>မမွှေးမွှေး!AC19</f>
        <v>0</v>
      </c>
      <c r="AE8" s="11">
        <f>မမွှေးမွှေး!AD19</f>
        <v>0</v>
      </c>
      <c r="AF8" s="11"/>
      <c r="AG8" s="11"/>
      <c r="AH8" s="11">
        <f>မမွှေးမွှေး!AE19</f>
        <v>300</v>
      </c>
      <c r="AI8" s="11">
        <f>မမွှေးမွှေး!AF19</f>
        <v>4100</v>
      </c>
    </row>
    <row r="9" spans="1:37" s="19" customFormat="1" ht="25.15" customHeight="1" x14ac:dyDescent="0.6">
      <c r="A9" s="33">
        <v>5</v>
      </c>
      <c r="B9" s="18" t="s">
        <v>12</v>
      </c>
      <c r="C9" s="8" t="s">
        <v>13</v>
      </c>
      <c r="D9" s="11">
        <f>ဦးလှဖုန်း!C19</f>
        <v>100</v>
      </c>
      <c r="E9" s="11">
        <f>ဦးလှဖုန်း!D19</f>
        <v>1400</v>
      </c>
      <c r="F9" s="11">
        <f>ဦးလှဖုန်း!E19</f>
        <v>50</v>
      </c>
      <c r="G9" s="11">
        <f>ဦးလှဖုန်း!F19</f>
        <v>600</v>
      </c>
      <c r="H9" s="11">
        <f>ဦးလှဖုန်း!G19</f>
        <v>0</v>
      </c>
      <c r="I9" s="11">
        <f>ဦးလှဖုန်း!H19</f>
        <v>0</v>
      </c>
      <c r="J9" s="11">
        <f>ဦးလှဖုန်း!I19</f>
        <v>0</v>
      </c>
      <c r="K9" s="11">
        <f>ဦးလှဖုန်း!J19</f>
        <v>0</v>
      </c>
      <c r="L9" s="11">
        <f>ဦးလှဖုန်း!K19</f>
        <v>0</v>
      </c>
      <c r="M9" s="11">
        <f>ဦးလှဖုန်း!L19</f>
        <v>0</v>
      </c>
      <c r="N9" s="11">
        <f>ဦးလှဖုန်း!M19</f>
        <v>0</v>
      </c>
      <c r="O9" s="11">
        <f>ဦးလှဖုန်း!N19</f>
        <v>0</v>
      </c>
      <c r="P9" s="11">
        <f>ဦးလှဖုန်း!O19</f>
        <v>0</v>
      </c>
      <c r="Q9" s="11">
        <f>ဦးလှဖုန်း!P19</f>
        <v>0</v>
      </c>
      <c r="R9" s="11">
        <f>ဦးလှဖုန်း!Q19</f>
        <v>0</v>
      </c>
      <c r="S9" s="11">
        <f>ဦးလှဖုန်း!R19</f>
        <v>0</v>
      </c>
      <c r="T9" s="11">
        <f>ဦးလှဖုန်း!S19</f>
        <v>100</v>
      </c>
      <c r="U9" s="11">
        <f>ဦးလှဖုန်း!T19</f>
        <v>1400</v>
      </c>
      <c r="V9" s="11">
        <f>ဦးလှဖုန်း!U19</f>
        <v>30</v>
      </c>
      <c r="W9" s="11">
        <f>ဦးလှဖုန်း!V19</f>
        <v>720</v>
      </c>
      <c r="X9" s="11">
        <f>ဦးလှဖုန်း!W19</f>
        <v>0</v>
      </c>
      <c r="Y9" s="11">
        <f>ဦးလှဖုန်း!X19</f>
        <v>0</v>
      </c>
      <c r="Z9" s="11">
        <f>ဦးလှဖုန်း!Y19</f>
        <v>0</v>
      </c>
      <c r="AA9" s="11">
        <f>ဦးလှဖုန်း!Z19</f>
        <v>0</v>
      </c>
      <c r="AB9" s="11">
        <f>ဦးလှဖုန်း!AA19</f>
        <v>0</v>
      </c>
      <c r="AC9" s="11">
        <f>ဦးလှဖုန်း!AB19</f>
        <v>0</v>
      </c>
      <c r="AD9" s="11">
        <f>ဦးလှဖုန်း!AC19</f>
        <v>0</v>
      </c>
      <c r="AE9" s="11">
        <f>ဦးလှဖုန်း!AD19</f>
        <v>0</v>
      </c>
      <c r="AF9" s="11"/>
      <c r="AG9" s="11"/>
      <c r="AH9" s="11">
        <f>ဦးလှဖုန်း!AE19</f>
        <v>280</v>
      </c>
      <c r="AI9" s="11">
        <f>ဦးလှဖုန်း!AF19</f>
        <v>4120</v>
      </c>
    </row>
    <row r="10" spans="1:37" s="19" customFormat="1" ht="25.15" customHeight="1" x14ac:dyDescent="0.6">
      <c r="A10" s="33">
        <v>6</v>
      </c>
      <c r="B10" s="18" t="s">
        <v>14</v>
      </c>
      <c r="C10" s="8" t="s">
        <v>15</v>
      </c>
      <c r="D10" s="11">
        <f>မိုးအောင်!C27</f>
        <v>1185</v>
      </c>
      <c r="E10" s="11">
        <f>မိုးအောင်!D27</f>
        <v>16590</v>
      </c>
      <c r="F10" s="11">
        <f>မိုးအောင်!E27</f>
        <v>1970</v>
      </c>
      <c r="G10" s="11">
        <f>မိုးအောင်!F27</f>
        <v>23640</v>
      </c>
      <c r="H10" s="11">
        <f>မိုးအောင်!G27</f>
        <v>350</v>
      </c>
      <c r="I10" s="11">
        <f>မိုးအောင်!H27</f>
        <v>4200</v>
      </c>
      <c r="J10" s="11">
        <f>မိုးအောင်!I27</f>
        <v>300</v>
      </c>
      <c r="K10" s="11">
        <f>မိုးအောင်!J27</f>
        <v>12000</v>
      </c>
      <c r="L10" s="11">
        <f>မိုးအောင်!K27</f>
        <v>0</v>
      </c>
      <c r="M10" s="11">
        <f>မိုးအောင်!L27</f>
        <v>0</v>
      </c>
      <c r="N10" s="11">
        <f>မိုးအောင်!M27</f>
        <v>735</v>
      </c>
      <c r="O10" s="11">
        <f>မိုးအောင်!N27</f>
        <v>8820</v>
      </c>
      <c r="P10" s="11">
        <f>မိုးအောင်!O27</f>
        <v>90</v>
      </c>
      <c r="Q10" s="11">
        <f>မိုးအောင်!P27</f>
        <v>3600</v>
      </c>
      <c r="R10" s="11">
        <f>မိုးအောင်!Q27</f>
        <v>190</v>
      </c>
      <c r="S10" s="11">
        <f>မိုးအောင်!R27</f>
        <v>2660</v>
      </c>
      <c r="T10" s="11">
        <f>မိုးအောင်!S27</f>
        <v>50</v>
      </c>
      <c r="U10" s="11">
        <f>မိုးအောင်!T27</f>
        <v>700</v>
      </c>
      <c r="V10" s="11">
        <f>မိုးအောင်!U27</f>
        <v>0</v>
      </c>
      <c r="W10" s="11">
        <f>မိုးအောင်!V27</f>
        <v>0</v>
      </c>
      <c r="X10" s="11">
        <f>မိုးအောင်!W27</f>
        <v>0</v>
      </c>
      <c r="Y10" s="11">
        <f>မိုးအောင်!X27</f>
        <v>0</v>
      </c>
      <c r="Z10" s="11">
        <f>မိုးအောင်!Y27</f>
        <v>10</v>
      </c>
      <c r="AA10" s="11">
        <f>မိုးအောင်!Z27</f>
        <v>140</v>
      </c>
      <c r="AB10" s="11">
        <f>မိုးအောင်!AA27</f>
        <v>0</v>
      </c>
      <c r="AC10" s="11">
        <f>မိုးအောင်!AB27</f>
        <v>0</v>
      </c>
      <c r="AD10" s="11">
        <f>မိုးအောင်!AC27</f>
        <v>0</v>
      </c>
      <c r="AE10" s="11">
        <f>မိုးအောင်!AD27</f>
        <v>0</v>
      </c>
      <c r="AF10" s="11"/>
      <c r="AG10" s="11"/>
      <c r="AH10" s="11">
        <f>မိုးအောင်!AE27</f>
        <v>4880</v>
      </c>
      <c r="AI10" s="11">
        <f>မိုးအောင်!AF27</f>
        <v>72350</v>
      </c>
    </row>
    <row r="11" spans="1:37" ht="25.15" customHeight="1" x14ac:dyDescent="0.6">
      <c r="A11" s="33">
        <v>7</v>
      </c>
      <c r="B11" s="18" t="s">
        <v>16</v>
      </c>
      <c r="C11" s="8" t="s">
        <v>15</v>
      </c>
      <c r="D11" s="6">
        <f>ရွက်သစ်!C19</f>
        <v>10</v>
      </c>
      <c r="E11" s="6">
        <f>ရွက်သစ်!D19</f>
        <v>140</v>
      </c>
      <c r="F11" s="6">
        <f>ရွက်သစ်!E19</f>
        <v>0</v>
      </c>
      <c r="G11" s="6">
        <f>ရွက်သစ်!F19</f>
        <v>0</v>
      </c>
      <c r="H11" s="6">
        <f>ရွက်သစ်!G19</f>
        <v>0</v>
      </c>
      <c r="I11" s="6">
        <f>ရွက်သစ်!H19</f>
        <v>0</v>
      </c>
      <c r="J11" s="6">
        <f>ရွက်သစ်!I19</f>
        <v>0</v>
      </c>
      <c r="K11" s="6">
        <f>ရွက်သစ်!J19</f>
        <v>0</v>
      </c>
      <c r="L11" s="6">
        <f>ရွက်သစ်!K19</f>
        <v>0</v>
      </c>
      <c r="M11" s="6">
        <f>ရွက်သစ်!L19</f>
        <v>0</v>
      </c>
      <c r="N11" s="6">
        <f>ရွက်သစ်!M19</f>
        <v>0</v>
      </c>
      <c r="O11" s="6">
        <f>ရွက်သစ်!N19</f>
        <v>0</v>
      </c>
      <c r="P11" s="6">
        <f>ရွက်သစ်!O19</f>
        <v>0</v>
      </c>
      <c r="Q11" s="6">
        <f>ရွက်သစ်!P19</f>
        <v>0</v>
      </c>
      <c r="R11" s="6">
        <f>ရွက်သစ်!Q19</f>
        <v>110</v>
      </c>
      <c r="S11" s="6">
        <f>ရွက်သစ်!R19</f>
        <v>1540</v>
      </c>
      <c r="T11" s="6">
        <f>ရွက်သစ်!S19</f>
        <v>0</v>
      </c>
      <c r="U11" s="6">
        <f>ရွက်သစ်!T19</f>
        <v>0</v>
      </c>
      <c r="V11" s="6">
        <f>ရွက်သစ်!U19</f>
        <v>0</v>
      </c>
      <c r="W11" s="6">
        <f>ရွက်သစ်!V19</f>
        <v>0</v>
      </c>
      <c r="X11" s="6">
        <f>ရွက်သစ်!W19</f>
        <v>0</v>
      </c>
      <c r="Y11" s="6">
        <f>ရွက်သစ်!X19</f>
        <v>0</v>
      </c>
      <c r="Z11" s="6">
        <f>ရွက်သစ်!Y19</f>
        <v>0</v>
      </c>
      <c r="AA11" s="6">
        <f>ရွက်သစ်!Z19</f>
        <v>0</v>
      </c>
      <c r="AB11" s="6">
        <f>ရွက်သစ်!AA19</f>
        <v>0</v>
      </c>
      <c r="AC11" s="6">
        <f>ရွက်သစ်!AB19</f>
        <v>0</v>
      </c>
      <c r="AD11" s="6">
        <f>ရွက်သစ်!AC19</f>
        <v>0</v>
      </c>
      <c r="AE11" s="6">
        <f>ရွက်သစ်!AD19</f>
        <v>0</v>
      </c>
      <c r="AF11" s="6"/>
      <c r="AG11" s="6"/>
      <c r="AH11" s="6">
        <f>ရွက်သစ်!AE19</f>
        <v>120</v>
      </c>
      <c r="AI11" s="6">
        <f>ရွက်သစ်!AF19</f>
        <v>1680</v>
      </c>
    </row>
    <row r="12" spans="1:37" ht="25.15" customHeight="1" x14ac:dyDescent="0.6">
      <c r="A12" s="33">
        <v>8</v>
      </c>
      <c r="B12" s="18" t="s">
        <v>17</v>
      </c>
      <c r="C12" s="8" t="s">
        <v>18</v>
      </c>
      <c r="D12" s="6">
        <f>ကိုရွှေသီး!C19</f>
        <v>0</v>
      </c>
      <c r="E12" s="6">
        <f>ကိုရွှေသီး!D19</f>
        <v>0</v>
      </c>
      <c r="F12" s="6">
        <f>ကိုရွှေသီး!E19</f>
        <v>0</v>
      </c>
      <c r="G12" s="6">
        <f>ကိုရွှေသီး!F19</f>
        <v>0</v>
      </c>
      <c r="H12" s="6">
        <f>ကိုရွှေသီး!G19</f>
        <v>0</v>
      </c>
      <c r="I12" s="6">
        <f>ကိုရွှေသီး!H19</f>
        <v>0</v>
      </c>
      <c r="J12" s="6">
        <f>ကိုရွှေသီး!I19</f>
        <v>0</v>
      </c>
      <c r="K12" s="6">
        <f>ကိုရွှေသီး!J19</f>
        <v>0</v>
      </c>
      <c r="L12" s="6">
        <f>ကိုရွှေသီး!K19</f>
        <v>0</v>
      </c>
      <c r="M12" s="6">
        <f>ကိုရွှေသီး!L19</f>
        <v>0</v>
      </c>
      <c r="N12" s="6">
        <f>ကိုရွှေသီး!M19</f>
        <v>0</v>
      </c>
      <c r="O12" s="6">
        <f>ကိုရွှေသီး!N19</f>
        <v>0</v>
      </c>
      <c r="P12" s="6">
        <f>ကိုရွှေသီး!O19</f>
        <v>0</v>
      </c>
      <c r="Q12" s="6">
        <f>ကိုရွှေသီး!P19</f>
        <v>0</v>
      </c>
      <c r="R12" s="6">
        <f>ကိုရွှေသီး!Q19</f>
        <v>0</v>
      </c>
      <c r="S12" s="6">
        <f>ကိုရွှေသီး!R19</f>
        <v>0</v>
      </c>
      <c r="T12" s="6">
        <f>ကိုရွှေသီး!S19</f>
        <v>0</v>
      </c>
      <c r="U12" s="6">
        <f>ကိုရွှေသီး!T19</f>
        <v>0</v>
      </c>
      <c r="V12" s="6">
        <f>ကိုရွှေသီး!U19</f>
        <v>0</v>
      </c>
      <c r="W12" s="6">
        <f>ကိုရွှေသီး!V19</f>
        <v>0</v>
      </c>
      <c r="X12" s="6">
        <f>ကိုရွှေသီး!W19</f>
        <v>0</v>
      </c>
      <c r="Y12" s="6">
        <f>ကိုရွှေသီး!X19</f>
        <v>0</v>
      </c>
      <c r="Z12" s="6">
        <f>ကိုရွှေသီး!Y19</f>
        <v>0</v>
      </c>
      <c r="AA12" s="6">
        <f>ကိုရွှေသီး!Z19</f>
        <v>0</v>
      </c>
      <c r="AB12" s="6">
        <f>ကိုရွှေသီး!AA19</f>
        <v>0</v>
      </c>
      <c r="AC12" s="6">
        <f>ကိုရွှေသီး!AB19</f>
        <v>0</v>
      </c>
      <c r="AD12" s="6">
        <f>ကိုရွှေသီး!AC19</f>
        <v>0</v>
      </c>
      <c r="AE12" s="6">
        <f>ကိုရွှေသီး!AD19</f>
        <v>0</v>
      </c>
      <c r="AF12" s="6"/>
      <c r="AG12" s="6"/>
      <c r="AH12" s="6">
        <f>ကိုရွှေသီး!AE19</f>
        <v>0</v>
      </c>
      <c r="AI12" s="6">
        <f>ကိုရွှေသီး!AF19</f>
        <v>0</v>
      </c>
    </row>
    <row r="13" spans="1:37" ht="25.15" customHeight="1" x14ac:dyDescent="0.6">
      <c r="A13" s="33">
        <v>9</v>
      </c>
      <c r="B13" s="18" t="s">
        <v>19</v>
      </c>
      <c r="C13" s="8" t="s">
        <v>20</v>
      </c>
      <c r="D13" s="6">
        <f>ကိုဖိုးသက်!C25</f>
        <v>160</v>
      </c>
      <c r="E13" s="6">
        <f>ကိုဖိုးသက်!D25</f>
        <v>2240</v>
      </c>
      <c r="F13" s="6">
        <f>ကိုဖိုးသက်!E25</f>
        <v>175</v>
      </c>
      <c r="G13" s="6">
        <f>ကိုဖိုးသက်!F25</f>
        <v>2100</v>
      </c>
      <c r="H13" s="6">
        <f>ကိုဖိုးသက်!G25</f>
        <v>0</v>
      </c>
      <c r="I13" s="6">
        <f>ကိုဖိုးသက်!H25</f>
        <v>0</v>
      </c>
      <c r="J13" s="6">
        <f>ကိုဖိုးသက်!I25</f>
        <v>20</v>
      </c>
      <c r="K13" s="6">
        <f>ကိုဖိုးသက်!J25</f>
        <v>800</v>
      </c>
      <c r="L13" s="6">
        <f>ကိုဖိုးသက်!K25</f>
        <v>0</v>
      </c>
      <c r="M13" s="6">
        <f>ကိုဖိုးသက်!L25</f>
        <v>0</v>
      </c>
      <c r="N13" s="6">
        <f>ကိုဖိုးသက်!M25</f>
        <v>0</v>
      </c>
      <c r="O13" s="6">
        <f>ကိုဖိုးသက်!N25</f>
        <v>0</v>
      </c>
      <c r="P13" s="6">
        <f>ကိုဖိုးသက်!O25</f>
        <v>0</v>
      </c>
      <c r="Q13" s="6">
        <f>ကိုဖိုးသက်!P25</f>
        <v>0</v>
      </c>
      <c r="R13" s="6">
        <f>ကိုဖိုးသက်!Q25</f>
        <v>0</v>
      </c>
      <c r="S13" s="6">
        <f>ကိုဖိုးသက်!R25</f>
        <v>0</v>
      </c>
      <c r="T13" s="6">
        <f>ကိုဖိုးသက်!S25</f>
        <v>820</v>
      </c>
      <c r="U13" s="6">
        <f>ကိုဖိုးသက်!T25</f>
        <v>11480</v>
      </c>
      <c r="V13" s="6">
        <f>ကိုဖိုးသက်!U25</f>
        <v>0</v>
      </c>
      <c r="W13" s="6">
        <f>ကိုဖိုးသက်!V25</f>
        <v>0</v>
      </c>
      <c r="X13" s="6">
        <f>ကိုဖိုးသက်!W25</f>
        <v>0</v>
      </c>
      <c r="Y13" s="6">
        <f>ကိုဖိုးသက်!X25</f>
        <v>0</v>
      </c>
      <c r="Z13" s="6">
        <f>ကိုဖိုးသက်!Y25</f>
        <v>0</v>
      </c>
      <c r="AA13" s="6">
        <f>ကိုဖိုးသက်!Z25</f>
        <v>0</v>
      </c>
      <c r="AB13" s="6">
        <f>ကိုဖိုးသက်!AA25</f>
        <v>0</v>
      </c>
      <c r="AC13" s="6">
        <f>ကိုဖိုးသက်!AB25</f>
        <v>0</v>
      </c>
      <c r="AD13" s="6">
        <f>ကိုဖိုးသက်!AC25</f>
        <v>0</v>
      </c>
      <c r="AE13" s="6">
        <f>ကိုဖိုးသက်!AD25</f>
        <v>0</v>
      </c>
      <c r="AF13" s="6"/>
      <c r="AG13" s="6"/>
      <c r="AH13" s="6">
        <f>ကိုဖိုးသက်!AE25</f>
        <v>1175</v>
      </c>
      <c r="AI13" s="6">
        <f>ကိုဖိုးသက်!AF25</f>
        <v>16620</v>
      </c>
    </row>
    <row r="14" spans="1:37" ht="25.15" customHeight="1" x14ac:dyDescent="0.6">
      <c r="A14" s="33">
        <v>10</v>
      </c>
      <c r="B14" s="18" t="s">
        <v>21</v>
      </c>
      <c r="C14" s="8" t="s">
        <v>20</v>
      </c>
      <c r="D14" s="6">
        <f>ဦးအိရွှေ!C21</f>
        <v>100</v>
      </c>
      <c r="E14" s="6">
        <f>ဦးအိရွှေ!D21</f>
        <v>1400</v>
      </c>
      <c r="F14" s="6">
        <f>ဦးအိရွှေ!E21</f>
        <v>100</v>
      </c>
      <c r="G14" s="6">
        <f>ဦးအိရွှေ!F21</f>
        <v>1200</v>
      </c>
      <c r="H14" s="6">
        <f>ဦးအိရွှေ!G21</f>
        <v>0</v>
      </c>
      <c r="I14" s="6">
        <f>ဦးအိရွှေ!H21</f>
        <v>0</v>
      </c>
      <c r="J14" s="6">
        <f>ဦးအိရွှေ!I21</f>
        <v>0</v>
      </c>
      <c r="K14" s="6">
        <f>ဦးအိရွှေ!J21</f>
        <v>0</v>
      </c>
      <c r="L14" s="6">
        <f>ဦးအိရွှေ!K21</f>
        <v>0</v>
      </c>
      <c r="M14" s="6">
        <f>ဦးအိရွှေ!L21</f>
        <v>0</v>
      </c>
      <c r="N14" s="6">
        <f>ဦးအိရွှေ!M21</f>
        <v>30</v>
      </c>
      <c r="O14" s="6">
        <f>ဦးအိရွှေ!N21</f>
        <v>360</v>
      </c>
      <c r="P14" s="6">
        <f>ဦးအိရွှေ!O21</f>
        <v>0</v>
      </c>
      <c r="Q14" s="6">
        <f>ဦးအိရွှေ!P21</f>
        <v>0</v>
      </c>
      <c r="R14" s="6">
        <f>ဦးအိရွှေ!Q21</f>
        <v>0</v>
      </c>
      <c r="S14" s="6">
        <f>ဦးအိရွှေ!R21</f>
        <v>0</v>
      </c>
      <c r="T14" s="6">
        <f>ဦးအိရွှေ!S21</f>
        <v>20</v>
      </c>
      <c r="U14" s="6">
        <f>ဦးအိရွှေ!T21</f>
        <v>280</v>
      </c>
      <c r="V14" s="6">
        <f>ဦးအိရွှေ!U21</f>
        <v>0</v>
      </c>
      <c r="W14" s="6">
        <f>ဦးအိရွှေ!V21</f>
        <v>0</v>
      </c>
      <c r="X14" s="6">
        <f>ဦးအိရွှေ!W21</f>
        <v>0</v>
      </c>
      <c r="Y14" s="6">
        <f>ဦးအိရွှေ!X21</f>
        <v>0</v>
      </c>
      <c r="Z14" s="6">
        <f>ဦးအိရွှေ!Y21</f>
        <v>0</v>
      </c>
      <c r="AA14" s="6">
        <f>ဦးအိရွှေ!Z21</f>
        <v>0</v>
      </c>
      <c r="AB14" s="6">
        <f>ဦးအိရွှေ!AA21</f>
        <v>0</v>
      </c>
      <c r="AC14" s="6">
        <f>ဦးအိရွှေ!AB21</f>
        <v>0</v>
      </c>
      <c r="AD14" s="6">
        <f>ဦးအိရွှေ!AC21</f>
        <v>0</v>
      </c>
      <c r="AE14" s="6">
        <f>ဦးအိရွှေ!AD21</f>
        <v>0</v>
      </c>
      <c r="AF14" s="6"/>
      <c r="AG14" s="6"/>
      <c r="AH14" s="6">
        <f>ဦးအိရွှေ!AE21</f>
        <v>250</v>
      </c>
      <c r="AI14" s="6">
        <f>ဦးအိရွှေ!AF21</f>
        <v>3240</v>
      </c>
    </row>
    <row r="15" spans="1:37" ht="25.15" customHeight="1" x14ac:dyDescent="0.6">
      <c r="A15" s="33">
        <v>11</v>
      </c>
      <c r="B15" s="18" t="s">
        <v>22</v>
      </c>
      <c r="C15" s="8" t="s">
        <v>20</v>
      </c>
      <c r="D15" s="6">
        <f>ပန်းသတင်း!C19</f>
        <v>200</v>
      </c>
      <c r="E15" s="6">
        <f>ပန်းသတင်း!D19</f>
        <v>2800</v>
      </c>
      <c r="F15" s="6">
        <f>ပန်းသတင်း!E19</f>
        <v>280</v>
      </c>
      <c r="G15" s="6">
        <f>ပန်းသတင်း!F19</f>
        <v>3360</v>
      </c>
      <c r="H15" s="6">
        <f>ပန်းသတင်း!G19</f>
        <v>0</v>
      </c>
      <c r="I15" s="6">
        <f>ပန်းသတင်း!H19</f>
        <v>0</v>
      </c>
      <c r="J15" s="6">
        <f>ပန်းသတင်း!I19</f>
        <v>20</v>
      </c>
      <c r="K15" s="6">
        <f>ပန်းသတင်း!J19</f>
        <v>800</v>
      </c>
      <c r="L15" s="6">
        <f>ပန်းသတင်း!K19</f>
        <v>0</v>
      </c>
      <c r="M15" s="6">
        <f>ပန်းသတင်း!L19</f>
        <v>0</v>
      </c>
      <c r="N15" s="6">
        <f>ပန်းသတင်း!M19</f>
        <v>30</v>
      </c>
      <c r="O15" s="6">
        <f>ပန်းသတင်း!N19</f>
        <v>360</v>
      </c>
      <c r="P15" s="6">
        <f>ပန်းသတင်း!O19</f>
        <v>0</v>
      </c>
      <c r="Q15" s="6">
        <f>ပန်းသတင်း!P19</f>
        <v>0</v>
      </c>
      <c r="R15" s="6">
        <f>ပန်းသတင်း!Q19</f>
        <v>0</v>
      </c>
      <c r="S15" s="6">
        <f>ပန်းသတင်း!R19</f>
        <v>0</v>
      </c>
      <c r="T15" s="6">
        <f>ပန်းသတင်း!S19</f>
        <v>0</v>
      </c>
      <c r="U15" s="6">
        <f>ပန်းသတင်း!T19</f>
        <v>0</v>
      </c>
      <c r="V15" s="6">
        <f>ပန်းသတင်း!U19</f>
        <v>0</v>
      </c>
      <c r="W15" s="6">
        <f>ပန်းသတင်း!V19</f>
        <v>0</v>
      </c>
      <c r="X15" s="6">
        <f>ပန်းသတင်း!W19</f>
        <v>0</v>
      </c>
      <c r="Y15" s="6">
        <f>ပန်းသတင်း!X19</f>
        <v>0</v>
      </c>
      <c r="Z15" s="6">
        <f>ပန်းသတင်း!Y19</f>
        <v>0</v>
      </c>
      <c r="AA15" s="6">
        <f>ပန်းသတင်း!Z19</f>
        <v>0</v>
      </c>
      <c r="AB15" s="6">
        <f>ပန်းသတင်း!AA19</f>
        <v>0</v>
      </c>
      <c r="AC15" s="6">
        <f>ပန်းသတင်း!AB19</f>
        <v>0</v>
      </c>
      <c r="AD15" s="6">
        <f>ပန်းသတင်း!AC19</f>
        <v>0</v>
      </c>
      <c r="AE15" s="6">
        <f>ပန်းသတင်း!AD19</f>
        <v>0</v>
      </c>
      <c r="AF15" s="6"/>
      <c r="AG15" s="6">
        <f>ပန်းသတင်း!AF19</f>
        <v>7320</v>
      </c>
      <c r="AH15" s="6">
        <f>ပန်းသတင်း!AE19</f>
        <v>530</v>
      </c>
      <c r="AI15" s="6">
        <f>ပန်းသတင်း!AF19</f>
        <v>7320</v>
      </c>
    </row>
    <row r="16" spans="1:37" ht="25.15" customHeight="1" x14ac:dyDescent="0.6">
      <c r="A16" s="33">
        <v>12</v>
      </c>
      <c r="B16" s="18" t="s">
        <v>23</v>
      </c>
      <c r="C16" s="8" t="s">
        <v>24</v>
      </c>
      <c r="D16" s="6">
        <f>ကောင်းမွန်!C19</f>
        <v>170</v>
      </c>
      <c r="E16" s="6">
        <f>ကောင်းမွန်!D19</f>
        <v>2380</v>
      </c>
      <c r="F16" s="6">
        <f>ကောင်းမွန်!E19</f>
        <v>30</v>
      </c>
      <c r="G16" s="6">
        <f>ကောင်းမွန်!F19</f>
        <v>360</v>
      </c>
      <c r="H16" s="6">
        <f>ကောင်းမွန်!G19</f>
        <v>0</v>
      </c>
      <c r="I16" s="6">
        <f>ကောင်းမွန်!H19</f>
        <v>0</v>
      </c>
      <c r="J16" s="6">
        <f>ကောင်းမွန်!I19</f>
        <v>5</v>
      </c>
      <c r="K16" s="6">
        <f>ကောင်းမွန်!J19</f>
        <v>200</v>
      </c>
      <c r="L16" s="6">
        <f>ကောင်းမွန်!K19</f>
        <v>0</v>
      </c>
      <c r="M16" s="6">
        <f>ကောင်းမွန်!L19</f>
        <v>0</v>
      </c>
      <c r="N16" s="6">
        <f>ကောင်းမွန်!M19</f>
        <v>0</v>
      </c>
      <c r="O16" s="6">
        <f>ကောင်းမွန်!N19</f>
        <v>0</v>
      </c>
      <c r="P16" s="6">
        <f>ကောင်းမွန်!O19</f>
        <v>0</v>
      </c>
      <c r="Q16" s="6">
        <f>ကောင်းမွန်!P19</f>
        <v>0</v>
      </c>
      <c r="R16" s="6">
        <f>ကောင်းမွန်!Q19</f>
        <v>0</v>
      </c>
      <c r="S16" s="6">
        <f>ကောင်းမွန်!R19</f>
        <v>0</v>
      </c>
      <c r="T16" s="6">
        <f>ကောင်းမွန်!S19</f>
        <v>0</v>
      </c>
      <c r="U16" s="6">
        <f>ကောင်းမွန်!T19</f>
        <v>0</v>
      </c>
      <c r="V16" s="6">
        <f>ကောင်းမွန်!U19</f>
        <v>0</v>
      </c>
      <c r="W16" s="6">
        <f>ကောင်းမွန်!V19</f>
        <v>0</v>
      </c>
      <c r="X16" s="6">
        <f>ကောင်းမွန်!W19</f>
        <v>0</v>
      </c>
      <c r="Y16" s="6">
        <f>ကောင်းမွန်!X19</f>
        <v>0</v>
      </c>
      <c r="Z16" s="6">
        <f>ကောင်းမွန်!Y19</f>
        <v>0</v>
      </c>
      <c r="AA16" s="6">
        <f>ကောင်းမွန်!Z19</f>
        <v>0</v>
      </c>
      <c r="AB16" s="6">
        <f>ကောင်းမွန်!AA19</f>
        <v>0</v>
      </c>
      <c r="AC16" s="6">
        <f>ကောင်းမွန်!AB19</f>
        <v>0</v>
      </c>
      <c r="AD16" s="6">
        <f>ကောင်းမွန်!AC19</f>
        <v>0</v>
      </c>
      <c r="AE16" s="6">
        <f>ကောင်းမွန်!AD19</f>
        <v>0</v>
      </c>
      <c r="AF16" s="6"/>
      <c r="AG16" s="6"/>
      <c r="AH16" s="6">
        <f>ကောင်းမွန်!AE19</f>
        <v>205</v>
      </c>
      <c r="AI16" s="6">
        <f>ကောင်းမွန်!AF19</f>
        <v>2940</v>
      </c>
    </row>
    <row r="17" spans="1:35" ht="25.15" customHeight="1" x14ac:dyDescent="0.6">
      <c r="A17" s="33">
        <v>13</v>
      </c>
      <c r="B17" s="18" t="s">
        <v>25</v>
      </c>
      <c r="C17" s="8" t="s">
        <v>24</v>
      </c>
      <c r="D17" s="6">
        <f>နေလ!C19</f>
        <v>245</v>
      </c>
      <c r="E17" s="6">
        <f>နေလ!D19</f>
        <v>3430</v>
      </c>
      <c r="F17" s="6">
        <f>နေလ!E19</f>
        <v>30</v>
      </c>
      <c r="G17" s="6">
        <f>နေလ!F19</f>
        <v>360</v>
      </c>
      <c r="H17" s="6">
        <f>နေလ!G19</f>
        <v>0</v>
      </c>
      <c r="I17" s="6">
        <f>နေလ!H19</f>
        <v>0</v>
      </c>
      <c r="J17" s="6">
        <f>နေလ!I19</f>
        <v>0</v>
      </c>
      <c r="K17" s="6">
        <f>နေလ!J19</f>
        <v>0</v>
      </c>
      <c r="L17" s="6">
        <f>နေလ!K19</f>
        <v>0</v>
      </c>
      <c r="M17" s="6">
        <f>နေလ!L19</f>
        <v>0</v>
      </c>
      <c r="N17" s="6">
        <f>နေလ!M19</f>
        <v>0</v>
      </c>
      <c r="O17" s="6">
        <f>နေလ!N19</f>
        <v>0</v>
      </c>
      <c r="P17" s="6">
        <f>နေလ!O19</f>
        <v>0</v>
      </c>
      <c r="Q17" s="6">
        <f>နေလ!P19</f>
        <v>0</v>
      </c>
      <c r="R17" s="6">
        <f>နေလ!Q19</f>
        <v>0</v>
      </c>
      <c r="S17" s="6">
        <f>နေလ!R19</f>
        <v>0</v>
      </c>
      <c r="T17" s="6">
        <f>နေလ!S19</f>
        <v>0</v>
      </c>
      <c r="U17" s="6">
        <f>နေလ!T19</f>
        <v>0</v>
      </c>
      <c r="V17" s="6">
        <f>နေလ!U19</f>
        <v>0</v>
      </c>
      <c r="W17" s="6">
        <f>နေလ!V19</f>
        <v>0</v>
      </c>
      <c r="X17" s="6">
        <f>နေလ!W19</f>
        <v>0</v>
      </c>
      <c r="Y17" s="6">
        <f>နေလ!X19</f>
        <v>0</v>
      </c>
      <c r="Z17" s="6">
        <f>နေလ!Y19</f>
        <v>0</v>
      </c>
      <c r="AA17" s="6">
        <f>နေလ!Z19</f>
        <v>0</v>
      </c>
      <c r="AB17" s="6">
        <f>နေလ!AA19</f>
        <v>0</v>
      </c>
      <c r="AC17" s="6">
        <f>နေလ!AB19</f>
        <v>0</v>
      </c>
      <c r="AD17" s="6">
        <f>နေလ!AC19</f>
        <v>0</v>
      </c>
      <c r="AE17" s="6">
        <f>နေလ!AD19</f>
        <v>0</v>
      </c>
      <c r="AF17" s="6"/>
      <c r="AG17" s="6">
        <f>နေလ!AF19</f>
        <v>3790</v>
      </c>
      <c r="AH17" s="6">
        <f>နေလ!AE19</f>
        <v>275</v>
      </c>
      <c r="AI17" s="6">
        <f>နေလ!AF19</f>
        <v>3790</v>
      </c>
    </row>
    <row r="18" spans="1:35" ht="25.15" customHeight="1" x14ac:dyDescent="0.6">
      <c r="A18" s="33">
        <v>14</v>
      </c>
      <c r="B18" s="18" t="s">
        <v>26</v>
      </c>
      <c r="C18" s="8" t="s">
        <v>24</v>
      </c>
      <c r="D18" s="6">
        <f>ရွှေစည်းစိမ်!C20</f>
        <v>350</v>
      </c>
      <c r="E18" s="6">
        <f>ရွှေစည်းစိမ်!D20</f>
        <v>4900</v>
      </c>
      <c r="F18" s="6">
        <f>ရွှေစည်းစိမ်!E20</f>
        <v>600</v>
      </c>
      <c r="G18" s="6">
        <f>ရွှေစည်းစိမ်!F20</f>
        <v>7200</v>
      </c>
      <c r="H18" s="6">
        <f>ရွှေစည်းစိမ်!G20</f>
        <v>50</v>
      </c>
      <c r="I18" s="6">
        <f>ရွှေစည်းစိမ်!H20</f>
        <v>600</v>
      </c>
      <c r="J18" s="6">
        <f>ရွှေစည်းစိမ်!I20</f>
        <v>80</v>
      </c>
      <c r="K18" s="6">
        <f>ရွှေစည်းစိမ်!J20</f>
        <v>3200</v>
      </c>
      <c r="L18" s="6">
        <f>ရွှေစည်းစိမ်!K20</f>
        <v>20</v>
      </c>
      <c r="M18" s="6">
        <f>ရွှေစည်းစိမ်!L20</f>
        <v>240</v>
      </c>
      <c r="N18" s="6">
        <f>ရွှေစည်းစိမ်!M20</f>
        <v>30</v>
      </c>
      <c r="O18" s="6">
        <f>ရွှေစည်းစိမ်!N20</f>
        <v>360</v>
      </c>
      <c r="P18" s="6">
        <f>ရွှေစည်းစိမ်!O20</f>
        <v>0</v>
      </c>
      <c r="Q18" s="6">
        <f>ရွှေစည်းစိမ်!P20</f>
        <v>0</v>
      </c>
      <c r="R18" s="6">
        <f>ရွှေစည်းစိမ်!Q20</f>
        <v>20</v>
      </c>
      <c r="S18" s="6">
        <f>ရွှေစည်းစိမ်!R20</f>
        <v>280</v>
      </c>
      <c r="T18" s="6">
        <f>ရွှေစည်းစိမ်!S20</f>
        <v>0</v>
      </c>
      <c r="U18" s="6">
        <f>ရွှေစည်းစိမ်!T20</f>
        <v>0</v>
      </c>
      <c r="V18" s="6">
        <f>ရွှေစည်းစိမ်!U20</f>
        <v>0</v>
      </c>
      <c r="W18" s="6">
        <f>ရွှေစည်းစိမ်!V20</f>
        <v>0</v>
      </c>
      <c r="X18" s="6">
        <f>ရွှေစည်းစိမ်!W20</f>
        <v>10</v>
      </c>
      <c r="Y18" s="6">
        <f>ရွှေစည်းစိမ်!X20</f>
        <v>140</v>
      </c>
      <c r="Z18" s="6">
        <f>ရွှေစည်းစိမ်!Y20</f>
        <v>0</v>
      </c>
      <c r="AA18" s="6">
        <f>ရွှေစည်းစိမ်!Z20</f>
        <v>0</v>
      </c>
      <c r="AB18" s="6">
        <f>ရွှေစည်းစိမ်!AA20</f>
        <v>0</v>
      </c>
      <c r="AC18" s="6">
        <f>ရွှေစည်းစိမ်!AB20</f>
        <v>0</v>
      </c>
      <c r="AD18" s="6">
        <f>ရွှေစည်းစိမ်!AC20</f>
        <v>0</v>
      </c>
      <c r="AE18" s="6">
        <f>ရွှေစည်းစိမ်!AD20</f>
        <v>0</v>
      </c>
      <c r="AF18" s="6"/>
      <c r="AG18" s="6"/>
      <c r="AH18" s="6">
        <f>ရွှေစည်းစိမ်!AE20</f>
        <v>1160</v>
      </c>
      <c r="AI18" s="6">
        <f>ရွှေစည်းစိမ်!AF20</f>
        <v>16920</v>
      </c>
    </row>
    <row r="19" spans="1:35" ht="25.15" customHeight="1" x14ac:dyDescent="0.6">
      <c r="A19" s="33">
        <v>15</v>
      </c>
      <c r="B19" s="18" t="s">
        <v>27</v>
      </c>
      <c r="C19" s="8" t="s">
        <v>28</v>
      </c>
      <c r="D19" s="6">
        <f>ပေါ်ဦး!C21</f>
        <v>1320</v>
      </c>
      <c r="E19" s="6">
        <f>ပေါ်ဦး!D21</f>
        <v>18480</v>
      </c>
      <c r="F19" s="6">
        <f>ပေါ်ဦး!E21</f>
        <v>665</v>
      </c>
      <c r="G19" s="6">
        <f>ပေါ်ဦး!F21</f>
        <v>7980</v>
      </c>
      <c r="H19" s="6">
        <f>ပေါ်ဦး!G21</f>
        <v>0</v>
      </c>
      <c r="I19" s="6">
        <f>ပေါ်ဦး!H21</f>
        <v>0</v>
      </c>
      <c r="J19" s="6">
        <f>ပေါ်ဦး!I21</f>
        <v>100</v>
      </c>
      <c r="K19" s="6">
        <f>ပေါ်ဦး!J21</f>
        <v>4000</v>
      </c>
      <c r="L19" s="6">
        <f>ပေါ်ဦး!K21</f>
        <v>0</v>
      </c>
      <c r="M19" s="6">
        <f>ပေါ်ဦး!L21</f>
        <v>0</v>
      </c>
      <c r="N19" s="6">
        <f>ပေါ်ဦး!M21</f>
        <v>15</v>
      </c>
      <c r="O19" s="6">
        <f>ပေါ်ဦး!N21</f>
        <v>180</v>
      </c>
      <c r="P19" s="6">
        <f>ပေါ်ဦး!O21</f>
        <v>0</v>
      </c>
      <c r="Q19" s="6">
        <f>ပေါ်ဦး!P21</f>
        <v>0</v>
      </c>
      <c r="R19" s="6">
        <f>ပေါ်ဦး!Q21</f>
        <v>0</v>
      </c>
      <c r="S19" s="6">
        <f>ပေါ်ဦး!R21</f>
        <v>0</v>
      </c>
      <c r="T19" s="6">
        <f>ပေါ်ဦး!S21</f>
        <v>400</v>
      </c>
      <c r="U19" s="6">
        <f>ပေါ်ဦး!T21</f>
        <v>5600</v>
      </c>
      <c r="V19" s="6">
        <f>ပေါ်ဦး!U21</f>
        <v>0</v>
      </c>
      <c r="W19" s="6">
        <f>ပေါ်ဦး!V21</f>
        <v>0</v>
      </c>
      <c r="X19" s="6">
        <f>ပေါ်ဦး!W21</f>
        <v>0</v>
      </c>
      <c r="Y19" s="6">
        <f>ပေါ်ဦး!X21</f>
        <v>0</v>
      </c>
      <c r="Z19" s="6">
        <f>ပေါ်ဦး!Y21</f>
        <v>0</v>
      </c>
      <c r="AA19" s="6">
        <f>ပေါ်ဦး!Z21</f>
        <v>0</v>
      </c>
      <c r="AB19" s="6">
        <f>ပေါ်ဦး!AA21</f>
        <v>0</v>
      </c>
      <c r="AC19" s="6">
        <f>ပေါ်ဦး!AB21</f>
        <v>0</v>
      </c>
      <c r="AD19" s="6">
        <f>ပေါ်ဦး!AC21</f>
        <v>0</v>
      </c>
      <c r="AE19" s="6">
        <f>ပေါ်ဦး!AD21</f>
        <v>0</v>
      </c>
      <c r="AF19" s="6"/>
      <c r="AG19" s="6"/>
      <c r="AH19" s="6">
        <f>ပေါ်ဦး!AE21</f>
        <v>2500</v>
      </c>
      <c r="AI19" s="6">
        <f>ပေါ်ဦး!AF21</f>
        <v>36240</v>
      </c>
    </row>
    <row r="20" spans="1:35" ht="25.15" customHeight="1" x14ac:dyDescent="0.6">
      <c r="A20" s="33">
        <v>16</v>
      </c>
      <c r="B20" s="18" t="s">
        <v>29</v>
      </c>
      <c r="C20" s="8" t="s">
        <v>30</v>
      </c>
      <c r="D20" s="6">
        <f>မပို့မချို!C22</f>
        <v>300</v>
      </c>
      <c r="E20" s="6">
        <f>မပို့မချို!D22</f>
        <v>4200</v>
      </c>
      <c r="F20" s="6">
        <f>မပို့မချို!E22</f>
        <v>500</v>
      </c>
      <c r="G20" s="6">
        <f>မပို့မချို!F22</f>
        <v>6000</v>
      </c>
      <c r="H20" s="6">
        <f>မပို့မချို!G22</f>
        <v>0</v>
      </c>
      <c r="I20" s="6">
        <f>မပို့မချို!H22</f>
        <v>0</v>
      </c>
      <c r="J20" s="6">
        <f>မပို့မချို!I22</f>
        <v>100</v>
      </c>
      <c r="K20" s="6">
        <f>မပို့မချို!J22</f>
        <v>4000</v>
      </c>
      <c r="L20" s="6">
        <f>မပို့မချို!K22</f>
        <v>30</v>
      </c>
      <c r="M20" s="6">
        <f>မပို့မချို!L22</f>
        <v>360</v>
      </c>
      <c r="N20" s="6">
        <f>မပို့မချို!M22</f>
        <v>60</v>
      </c>
      <c r="O20" s="6">
        <f>မပို့မချို!N22</f>
        <v>720</v>
      </c>
      <c r="P20" s="6">
        <f>မပို့မချို!O22</f>
        <v>0</v>
      </c>
      <c r="Q20" s="6">
        <f>မပို့မချို!P22</f>
        <v>0</v>
      </c>
      <c r="R20" s="6">
        <f>မပို့မချို!Q22</f>
        <v>30</v>
      </c>
      <c r="S20" s="6">
        <f>မပို့မချို!R22</f>
        <v>420</v>
      </c>
      <c r="T20" s="6">
        <f>မပို့မချို!S22</f>
        <v>0</v>
      </c>
      <c r="U20" s="6">
        <f>မပို့မချို!T22</f>
        <v>0</v>
      </c>
      <c r="V20" s="6">
        <f>မပို့မချို!U22</f>
        <v>0</v>
      </c>
      <c r="W20" s="6">
        <f>မပို့မချို!V22</f>
        <v>0</v>
      </c>
      <c r="X20" s="6">
        <f>မပို့မချို!W22</f>
        <v>0</v>
      </c>
      <c r="Y20" s="6">
        <f>မပို့မချို!X22</f>
        <v>0</v>
      </c>
      <c r="Z20" s="6">
        <f>မပို့မချို!Y22</f>
        <v>0</v>
      </c>
      <c r="AA20" s="6">
        <f>မပို့မချို!Z22</f>
        <v>0</v>
      </c>
      <c r="AB20" s="6">
        <f>မပို့မချို!AA22</f>
        <v>0</v>
      </c>
      <c r="AC20" s="6">
        <f>မပို့မချို!AB22</f>
        <v>0</v>
      </c>
      <c r="AD20" s="6">
        <f>မပို့မချို!AC22</f>
        <v>0</v>
      </c>
      <c r="AE20" s="6">
        <f>မပို့မချို!AD22</f>
        <v>0</v>
      </c>
      <c r="AF20" s="6"/>
      <c r="AG20" s="6"/>
      <c r="AH20" s="6">
        <f>မပို့မချို!AE22</f>
        <v>1020</v>
      </c>
      <c r="AI20" s="6">
        <f>မပို့မချို!AF22</f>
        <v>15700</v>
      </c>
    </row>
    <row r="21" spans="1:35" ht="25.15" customHeight="1" x14ac:dyDescent="0.6">
      <c r="A21" s="33">
        <v>17</v>
      </c>
      <c r="B21" s="18" t="s">
        <v>31</v>
      </c>
      <c r="C21" s="8" t="s">
        <v>32</v>
      </c>
      <c r="D21" s="6" t="e">
        <f>AAA!#REF!</f>
        <v>#REF!</v>
      </c>
      <c r="E21" s="6" t="e">
        <f>AAA!#REF!</f>
        <v>#REF!</v>
      </c>
      <c r="F21" s="6" t="e">
        <f>AAA!#REF!</f>
        <v>#REF!</v>
      </c>
      <c r="G21" s="6" t="e">
        <f>AAA!#REF!</f>
        <v>#REF!</v>
      </c>
      <c r="H21" s="6" t="e">
        <f>AAA!#REF!</f>
        <v>#REF!</v>
      </c>
      <c r="I21" s="6" t="e">
        <f>AAA!#REF!</f>
        <v>#REF!</v>
      </c>
      <c r="J21" s="6" t="e">
        <f>AAA!#REF!</f>
        <v>#REF!</v>
      </c>
      <c r="K21" s="6" t="e">
        <f>AAA!#REF!</f>
        <v>#REF!</v>
      </c>
      <c r="L21" s="6" t="e">
        <f>AAA!#REF!</f>
        <v>#REF!</v>
      </c>
      <c r="M21" s="6" t="e">
        <f>AAA!#REF!</f>
        <v>#REF!</v>
      </c>
      <c r="N21" s="6" t="e">
        <f>AAA!#REF!</f>
        <v>#REF!</v>
      </c>
      <c r="O21" s="6" t="e">
        <f>AAA!#REF!</f>
        <v>#REF!</v>
      </c>
      <c r="P21" s="6" t="e">
        <f>AAA!#REF!</f>
        <v>#REF!</v>
      </c>
      <c r="Q21" s="6" t="e">
        <f>AAA!#REF!</f>
        <v>#REF!</v>
      </c>
      <c r="R21" s="6" t="e">
        <f>AAA!#REF!</f>
        <v>#REF!</v>
      </c>
      <c r="S21" s="6" t="e">
        <f>AAA!#REF!</f>
        <v>#REF!</v>
      </c>
      <c r="T21" s="6" t="e">
        <f>AAA!#REF!</f>
        <v>#REF!</v>
      </c>
      <c r="U21" s="6" t="e">
        <f>AAA!#REF!</f>
        <v>#REF!</v>
      </c>
      <c r="V21" s="6" t="e">
        <f>AAA!#REF!</f>
        <v>#REF!</v>
      </c>
      <c r="W21" s="6" t="e">
        <f>AAA!#REF!</f>
        <v>#REF!</v>
      </c>
      <c r="X21" s="6" t="e">
        <f>AAA!#REF!</f>
        <v>#REF!</v>
      </c>
      <c r="Y21" s="6" t="e">
        <f>AAA!#REF!</f>
        <v>#REF!</v>
      </c>
      <c r="Z21" s="6" t="e">
        <f>AAA!#REF!</f>
        <v>#REF!</v>
      </c>
      <c r="AA21" s="6" t="e">
        <f>AAA!#REF!</f>
        <v>#REF!</v>
      </c>
      <c r="AB21" s="6" t="e">
        <f>AAA!#REF!</f>
        <v>#REF!</v>
      </c>
      <c r="AC21" s="6" t="e">
        <f>AAA!#REF!</f>
        <v>#REF!</v>
      </c>
      <c r="AD21" s="6" t="e">
        <f>AAA!#REF!</f>
        <v>#REF!</v>
      </c>
      <c r="AE21" s="6" t="e">
        <f>AAA!#REF!</f>
        <v>#REF!</v>
      </c>
      <c r="AF21" s="6"/>
      <c r="AG21" s="6"/>
      <c r="AH21" s="6" t="e">
        <f>AAA!#REF!</f>
        <v>#REF!</v>
      </c>
      <c r="AI21" s="6" t="e">
        <f>AAA!#REF!</f>
        <v>#REF!</v>
      </c>
    </row>
    <row r="22" spans="1:35" ht="25.15" customHeight="1" x14ac:dyDescent="0.6">
      <c r="A22" s="33">
        <v>18</v>
      </c>
      <c r="B22" s="18" t="s">
        <v>33</v>
      </c>
      <c r="C22" s="8" t="s">
        <v>32</v>
      </c>
      <c r="D22" s="17">
        <f>ရွှေဇီးကွက်!C29</f>
        <v>0</v>
      </c>
      <c r="E22" s="17">
        <f>ရွှေဇီးကွက်!D29</f>
        <v>0</v>
      </c>
      <c r="F22" s="17">
        <f>ရွှေဇီးကွက်!E29</f>
        <v>0</v>
      </c>
      <c r="G22" s="17">
        <f>ရွှေဇီးကွက်!F29</f>
        <v>0</v>
      </c>
      <c r="H22" s="17">
        <f>ရွှေဇီးကွက်!G29</f>
        <v>0</v>
      </c>
      <c r="I22" s="17">
        <f>ရွှေဇီးကွက်!H29</f>
        <v>0</v>
      </c>
      <c r="J22" s="17">
        <f>ရွှေဇီးကွက်!I29</f>
        <v>0</v>
      </c>
      <c r="K22" s="17">
        <f>ရွှေဇီးကွက်!J29</f>
        <v>0</v>
      </c>
      <c r="L22" s="17">
        <f>ရွှေဇီးကွက်!K29</f>
        <v>0</v>
      </c>
      <c r="M22" s="17">
        <f>ရွှေဇီးကွက်!L29</f>
        <v>0</v>
      </c>
      <c r="N22" s="17">
        <f>ရွှေဇီးကွက်!M29</f>
        <v>0</v>
      </c>
      <c r="O22" s="17">
        <f>ရွှေဇီးကွက်!N29</f>
        <v>0</v>
      </c>
      <c r="P22" s="17">
        <f>ရွှေဇီးကွက်!O29</f>
        <v>0</v>
      </c>
      <c r="Q22" s="17">
        <f>ရွှေဇီးကွက်!P29</f>
        <v>0</v>
      </c>
      <c r="R22" s="17">
        <f>ရွှေဇီးကွက်!Q29</f>
        <v>0</v>
      </c>
      <c r="S22" s="17">
        <f>ရွှေဇီးကွက်!R29</f>
        <v>0</v>
      </c>
      <c r="T22" s="17">
        <f>ရွှေဇီးကွက်!S29</f>
        <v>0</v>
      </c>
      <c r="U22" s="17">
        <f>ရွှေဇီးကွက်!T29</f>
        <v>0</v>
      </c>
      <c r="V22" s="17">
        <f>ရွှေဇီးကွက်!U29</f>
        <v>0</v>
      </c>
      <c r="W22" s="17">
        <f>ရွှေဇီးကွက်!V29</f>
        <v>0</v>
      </c>
      <c r="X22" s="17">
        <f>ရွှေဇီးကွက်!W29</f>
        <v>0</v>
      </c>
      <c r="Y22" s="17">
        <f>ရွှေဇီးကွက်!X29</f>
        <v>0</v>
      </c>
      <c r="Z22" s="17">
        <f>ရွှေဇီးကွက်!Y29</f>
        <v>0</v>
      </c>
      <c r="AA22" s="17">
        <f>ရွှေဇီးကွက်!Z29</f>
        <v>0</v>
      </c>
      <c r="AB22" s="17">
        <f>ရွှေဇီးကွက်!AA29</f>
        <v>0</v>
      </c>
      <c r="AC22" s="17">
        <f>ရွှေဇီးကွက်!AB29</f>
        <v>0</v>
      </c>
      <c r="AD22" s="17">
        <f>ရွှေဇီးကွက်!AC29</f>
        <v>0</v>
      </c>
      <c r="AE22" s="17">
        <f>ရွှေဇီးကွက်!AD29</f>
        <v>0</v>
      </c>
      <c r="AF22" s="17"/>
      <c r="AG22" s="17"/>
      <c r="AH22" s="17">
        <f>ရွှေဇီးကွက်!AE29</f>
        <v>0</v>
      </c>
      <c r="AI22" s="17">
        <f>ရွှေဇီးကွက်!AF29</f>
        <v>0</v>
      </c>
    </row>
    <row r="23" spans="1:35" ht="25.15" customHeight="1" x14ac:dyDescent="0.6">
      <c r="A23" s="33">
        <v>19</v>
      </c>
      <c r="B23" s="18" t="s">
        <v>34</v>
      </c>
      <c r="C23" s="8" t="s">
        <v>35</v>
      </c>
      <c r="D23" s="17">
        <f>မြတ်မွှေး!C33</f>
        <v>524</v>
      </c>
      <c r="E23" s="17">
        <f>မြတ်မွှေး!D33</f>
        <v>7336</v>
      </c>
      <c r="F23" s="17">
        <f>မြတ်မွှေး!E33</f>
        <v>445</v>
      </c>
      <c r="G23" s="17">
        <f>မြတ်မွှေး!F33</f>
        <v>5340</v>
      </c>
      <c r="H23" s="17">
        <f>မြတ်မွှေး!G33</f>
        <v>40</v>
      </c>
      <c r="I23" s="17">
        <f>မြတ်မွှေး!H33</f>
        <v>480</v>
      </c>
      <c r="J23" s="17">
        <f>မြတ်မွှေး!I33</f>
        <v>64</v>
      </c>
      <c r="K23" s="17">
        <f>မြတ်မွှေး!J33</f>
        <v>2560</v>
      </c>
      <c r="L23" s="17">
        <f>မြတ်မွှေး!K33</f>
        <v>43</v>
      </c>
      <c r="M23" s="17">
        <f>မြတ်မွှေး!L33</f>
        <v>516</v>
      </c>
      <c r="N23" s="17">
        <f>မြတ်မွှေး!M33</f>
        <v>330</v>
      </c>
      <c r="O23" s="17">
        <f>မြတ်မွှေး!N33</f>
        <v>3960</v>
      </c>
      <c r="P23" s="17">
        <f>မြတ်မွှေး!O33</f>
        <v>15</v>
      </c>
      <c r="Q23" s="17">
        <f>မြတ်မွှေး!P33</f>
        <v>600</v>
      </c>
      <c r="R23" s="17">
        <f>မြတ်မွှေး!Q33</f>
        <v>15</v>
      </c>
      <c r="S23" s="17">
        <f>မြတ်မွှေး!R33</f>
        <v>210</v>
      </c>
      <c r="T23" s="17">
        <f>မြတ်မွှေး!S33</f>
        <v>0</v>
      </c>
      <c r="U23" s="17">
        <f>မြတ်မွှေး!T33</f>
        <v>0</v>
      </c>
      <c r="V23" s="17">
        <f>မြတ်မွှေး!U33</f>
        <v>0</v>
      </c>
      <c r="W23" s="17">
        <f>မြတ်မွှေး!V33</f>
        <v>0</v>
      </c>
      <c r="X23" s="17">
        <f>မြတ်မွှေး!W33</f>
        <v>0</v>
      </c>
      <c r="Y23" s="17">
        <f>မြတ်မွှေး!X33</f>
        <v>0</v>
      </c>
      <c r="Z23" s="17">
        <f>မြတ်မွှေး!Y33</f>
        <v>0</v>
      </c>
      <c r="AA23" s="17">
        <f>မြတ်မွှေး!Z33</f>
        <v>0</v>
      </c>
      <c r="AB23" s="17">
        <f>မြတ်မွှေး!AA33</f>
        <v>5</v>
      </c>
      <c r="AC23" s="17">
        <f>မြတ်မွှေး!AB33</f>
        <v>70</v>
      </c>
      <c r="AD23" s="17">
        <f>မြတ်မွှေး!AC33</f>
        <v>0</v>
      </c>
      <c r="AE23" s="17">
        <f>မြတ်မွှေး!AD33</f>
        <v>0</v>
      </c>
      <c r="AF23" s="17"/>
      <c r="AG23" s="17">
        <f>မြတ်မွှေး!AF33</f>
        <v>0</v>
      </c>
      <c r="AH23" s="17">
        <f>မြတ်မွှေး!AG33</f>
        <v>1481</v>
      </c>
      <c r="AI23" s="17">
        <f>မြတ်မွှေး!AH33</f>
        <v>21072</v>
      </c>
    </row>
    <row r="24" spans="1:35" ht="25.15" customHeight="1" x14ac:dyDescent="0.6">
      <c r="A24" s="33">
        <v>20</v>
      </c>
      <c r="B24" s="18" t="s">
        <v>36</v>
      </c>
      <c r="C24" s="8" t="s">
        <v>35</v>
      </c>
      <c r="D24" s="6">
        <f>ဘဘကြီး!C27</f>
        <v>0</v>
      </c>
      <c r="E24" s="6">
        <f>ဘဘကြီး!D27</f>
        <v>0</v>
      </c>
      <c r="F24" s="6">
        <f>ဘဘကြီး!E27</f>
        <v>0</v>
      </c>
      <c r="G24" s="6">
        <f>ဘဘကြီး!F27</f>
        <v>0</v>
      </c>
      <c r="H24" s="6">
        <f>ဘဘကြီး!G27</f>
        <v>0</v>
      </c>
      <c r="I24" s="6">
        <f>ဘဘကြီး!H27</f>
        <v>0</v>
      </c>
      <c r="J24" s="6">
        <f>ဘဘကြီး!I27</f>
        <v>20</v>
      </c>
      <c r="K24" s="6">
        <f>ဘဘကြီး!J27</f>
        <v>800</v>
      </c>
      <c r="L24" s="6">
        <f>ဘဘကြီး!K27</f>
        <v>0</v>
      </c>
      <c r="M24" s="6">
        <f>ဘဘကြီး!L27</f>
        <v>0</v>
      </c>
      <c r="N24" s="6">
        <f>ဘဘကြီး!M27</f>
        <v>0</v>
      </c>
      <c r="O24" s="6">
        <f>ဘဘကြီး!N27</f>
        <v>0</v>
      </c>
      <c r="P24" s="6">
        <f>ဘဘကြီး!O27</f>
        <v>0</v>
      </c>
      <c r="Q24" s="6">
        <f>ဘဘကြီး!P27</f>
        <v>0</v>
      </c>
      <c r="R24" s="6">
        <f>ဘဘကြီး!Q27</f>
        <v>0</v>
      </c>
      <c r="S24" s="6">
        <f>ဘဘကြီး!R27</f>
        <v>0</v>
      </c>
      <c r="T24" s="6">
        <f>ဘဘကြီး!S27</f>
        <v>0</v>
      </c>
      <c r="U24" s="6">
        <f>ဘဘကြီး!T27</f>
        <v>0</v>
      </c>
      <c r="V24" s="6">
        <f>ဘဘကြီး!U27</f>
        <v>0</v>
      </c>
      <c r="W24" s="6">
        <f>ဘဘကြီး!V27</f>
        <v>0</v>
      </c>
      <c r="X24" s="6">
        <f>ဘဘကြီး!W27</f>
        <v>0</v>
      </c>
      <c r="Y24" s="6">
        <f>ဘဘကြီး!X27</f>
        <v>0</v>
      </c>
      <c r="Z24" s="6">
        <f>ဘဘကြီး!Y27</f>
        <v>0</v>
      </c>
      <c r="AA24" s="6">
        <f>ဘဘကြီး!Z27</f>
        <v>0</v>
      </c>
      <c r="AB24" s="6">
        <f>ဘဘကြီး!AA27</f>
        <v>0</v>
      </c>
      <c r="AC24" s="6">
        <f>ဘဘကြီး!AB27</f>
        <v>0</v>
      </c>
      <c r="AD24" s="6">
        <f>ဘဘကြီး!AC27</f>
        <v>0</v>
      </c>
      <c r="AE24" s="6">
        <f>ဘဘကြီး!AD27</f>
        <v>0</v>
      </c>
      <c r="AF24" s="6"/>
      <c r="AG24" s="6">
        <f>ဘဘကြီး!AF27</f>
        <v>800</v>
      </c>
      <c r="AH24" s="6">
        <f>ဘဘကြီး!AE27</f>
        <v>20</v>
      </c>
      <c r="AI24" s="6">
        <f>ဘဘကြီး!AF27</f>
        <v>800</v>
      </c>
    </row>
    <row r="25" spans="1:35" ht="25.15" customHeight="1" x14ac:dyDescent="0.6">
      <c r="A25" s="33">
        <v>21</v>
      </c>
      <c r="B25" s="18" t="s">
        <v>37</v>
      </c>
      <c r="C25" s="8" t="s">
        <v>38</v>
      </c>
      <c r="D25" s="6">
        <f>ဦးတင်အေး!C24</f>
        <v>550</v>
      </c>
      <c r="E25" s="6">
        <f>ဦးတင်အေး!D24</f>
        <v>7700</v>
      </c>
      <c r="F25" s="6">
        <f>ဦးတင်အေး!E24</f>
        <v>200</v>
      </c>
      <c r="G25" s="6">
        <f>ဦးတင်အေး!F24</f>
        <v>2400</v>
      </c>
      <c r="H25" s="6">
        <f>ဦးတင်အေး!G24</f>
        <v>0</v>
      </c>
      <c r="I25" s="6">
        <f>ဦးတင်အေး!H24</f>
        <v>0</v>
      </c>
      <c r="J25" s="6">
        <f>ဦးတင်အေး!I24</f>
        <v>5</v>
      </c>
      <c r="K25" s="6">
        <f>ဦးတင်အေး!J24</f>
        <v>200</v>
      </c>
      <c r="L25" s="6">
        <f>ဦးတင်အေး!K24</f>
        <v>0</v>
      </c>
      <c r="M25" s="6">
        <f>ဦးတင်အေး!L24</f>
        <v>0</v>
      </c>
      <c r="N25" s="6">
        <f>ဦးတင်အေး!M24</f>
        <v>15</v>
      </c>
      <c r="O25" s="6">
        <f>ဦးတင်အေး!N24</f>
        <v>180</v>
      </c>
      <c r="P25" s="6">
        <f>ဦးတင်အေး!O24</f>
        <v>0</v>
      </c>
      <c r="Q25" s="6">
        <f>ဦးတင်အေး!P24</f>
        <v>0</v>
      </c>
      <c r="R25" s="6">
        <f>ဦးတင်အေး!Q24</f>
        <v>0</v>
      </c>
      <c r="S25" s="6">
        <f>ဦးတင်အေး!R24</f>
        <v>0</v>
      </c>
      <c r="T25" s="6">
        <f>ဦးတင်အေး!S24</f>
        <v>0</v>
      </c>
      <c r="U25" s="6">
        <f>ဦးတင်အေး!T24</f>
        <v>0</v>
      </c>
      <c r="V25" s="6">
        <f>ဦးတင်အေး!U24</f>
        <v>0</v>
      </c>
      <c r="W25" s="6">
        <f>ဦးတင်အေး!V24</f>
        <v>0</v>
      </c>
      <c r="X25" s="6">
        <f>ဦးတင်အေး!W24</f>
        <v>0</v>
      </c>
      <c r="Y25" s="6">
        <f>ဦးတင်အေး!X24</f>
        <v>0</v>
      </c>
      <c r="Z25" s="6">
        <f>ဦးတင်အေး!Y24</f>
        <v>0</v>
      </c>
      <c r="AA25" s="6">
        <f>ဦးတင်အေး!Z24</f>
        <v>0</v>
      </c>
      <c r="AB25" s="6">
        <f>ဦးတင်အေး!AA24</f>
        <v>0</v>
      </c>
      <c r="AC25" s="6">
        <f>ဦးတင်အေး!AB24</f>
        <v>0</v>
      </c>
      <c r="AD25" s="6">
        <f>ဦးတင်အေး!AC24</f>
        <v>0</v>
      </c>
      <c r="AE25" s="6">
        <f>ဦးတင်အေး!AD24</f>
        <v>0</v>
      </c>
      <c r="AF25" s="6"/>
      <c r="AG25" s="6"/>
      <c r="AH25" s="6">
        <f>ဦးတင်အေး!AE24</f>
        <v>770</v>
      </c>
      <c r="AI25" s="6">
        <f>ဦးတင်အေး!AF24</f>
        <v>10480</v>
      </c>
    </row>
    <row r="26" spans="1:35" ht="25.15" customHeight="1" x14ac:dyDescent="0.6">
      <c r="A26" s="33">
        <v>22</v>
      </c>
      <c r="B26" s="18" t="s">
        <v>227</v>
      </c>
      <c r="C26" s="8" t="s">
        <v>38</v>
      </c>
      <c r="D26" s="6">
        <f>ရတနာတိုး!C27</f>
        <v>200</v>
      </c>
      <c r="E26" s="6">
        <f>ရတနာတိုး!D27</f>
        <v>2800</v>
      </c>
      <c r="F26" s="6">
        <f>ရတနာတိုး!E27</f>
        <v>290</v>
      </c>
      <c r="G26" s="6">
        <f>ရတနာတိုး!F27</f>
        <v>3480</v>
      </c>
      <c r="H26" s="6">
        <f>ရတနာတိုး!G27</f>
        <v>0</v>
      </c>
      <c r="I26" s="6">
        <f>ရတနာတိုး!H27</f>
        <v>0</v>
      </c>
      <c r="J26" s="6">
        <f>ရတနာတိုး!I27</f>
        <v>30</v>
      </c>
      <c r="K26" s="6">
        <f>ရတနာတိုး!J27</f>
        <v>1200</v>
      </c>
      <c r="L26" s="6">
        <f>ရတနာတိုး!K27</f>
        <v>0</v>
      </c>
      <c r="M26" s="6">
        <f>ရတနာတိုး!L27</f>
        <v>0</v>
      </c>
      <c r="N26" s="6">
        <f>ရတနာတိုး!M27</f>
        <v>0</v>
      </c>
      <c r="O26" s="6">
        <f>ရတနာတိုး!N27</f>
        <v>0</v>
      </c>
      <c r="P26" s="6">
        <f>ရတနာတိုး!O27</f>
        <v>0</v>
      </c>
      <c r="Q26" s="6">
        <f>ရတနာတိုး!P27</f>
        <v>0</v>
      </c>
      <c r="R26" s="6">
        <f>ရတနာတိုး!Q27</f>
        <v>0</v>
      </c>
      <c r="S26" s="6">
        <f>ရတနာတိုး!R27</f>
        <v>0</v>
      </c>
      <c r="T26" s="6">
        <f>ရတနာတိုး!S27</f>
        <v>0</v>
      </c>
      <c r="U26" s="6">
        <f>ရတနာတိုး!T27</f>
        <v>0</v>
      </c>
      <c r="V26" s="6">
        <f>ရတနာတိုး!U27</f>
        <v>0</v>
      </c>
      <c r="W26" s="6">
        <f>ရတနာတိုး!V27</f>
        <v>0</v>
      </c>
      <c r="X26" s="6">
        <f>ရတနာတိုး!W27</f>
        <v>0</v>
      </c>
      <c r="Y26" s="6">
        <f>ရတနာတိုး!X27</f>
        <v>0</v>
      </c>
      <c r="Z26" s="6">
        <f>ရတနာတိုး!Y27</f>
        <v>0</v>
      </c>
      <c r="AA26" s="6">
        <f>ရတနာတိုး!Z27</f>
        <v>0</v>
      </c>
      <c r="AB26" s="6">
        <f>ရတနာတိုး!AA27</f>
        <v>0</v>
      </c>
      <c r="AC26" s="6">
        <f>ရတနာတိုး!AB27</f>
        <v>0</v>
      </c>
      <c r="AD26" s="6">
        <f>ရတနာတိုး!AC27</f>
        <v>0</v>
      </c>
      <c r="AE26" s="6">
        <f>ရတနာတိုး!AD27</f>
        <v>0</v>
      </c>
      <c r="AF26" s="6"/>
      <c r="AG26" s="6"/>
      <c r="AH26" s="6">
        <f>ရတနာတိုး!AE27</f>
        <v>520</v>
      </c>
      <c r="AI26" s="6">
        <f>ရတနာတိုး!AF27</f>
        <v>7480</v>
      </c>
    </row>
    <row r="27" spans="1:35" ht="25.15" customHeight="1" x14ac:dyDescent="0.6">
      <c r="A27" s="33">
        <v>23</v>
      </c>
      <c r="B27" s="18" t="s">
        <v>39</v>
      </c>
      <c r="C27" s="8" t="s">
        <v>40</v>
      </c>
      <c r="D27" s="6">
        <f>မွန်မလေး!C19</f>
        <v>250</v>
      </c>
      <c r="E27" s="6">
        <f>မွန်မလေး!D19</f>
        <v>3500</v>
      </c>
      <c r="F27" s="6">
        <f>မွန်မလေး!E19</f>
        <v>400</v>
      </c>
      <c r="G27" s="6">
        <f>မွန်မလေး!F19</f>
        <v>4800</v>
      </c>
      <c r="H27" s="6">
        <f>မွန်မလေး!G19</f>
        <v>50</v>
      </c>
      <c r="I27" s="6">
        <f>မွန်မလေး!H19</f>
        <v>600</v>
      </c>
      <c r="J27" s="6">
        <f>မွန်မလေး!I19</f>
        <v>70</v>
      </c>
      <c r="K27" s="6">
        <f>မွန်မလေး!J19</f>
        <v>2800</v>
      </c>
      <c r="L27" s="6">
        <f>မွန်မလေး!K19</f>
        <v>0</v>
      </c>
      <c r="M27" s="6">
        <f>မွန်မလေး!L19</f>
        <v>0</v>
      </c>
      <c r="N27" s="6">
        <f>မွန်မလေး!M19</f>
        <v>0</v>
      </c>
      <c r="O27" s="6">
        <f>မွန်မလေး!N19</f>
        <v>0</v>
      </c>
      <c r="P27" s="6">
        <f>မွန်မလေး!O19</f>
        <v>0</v>
      </c>
      <c r="Q27" s="6">
        <f>မွန်မလေး!P19</f>
        <v>0</v>
      </c>
      <c r="R27" s="6">
        <f>မွန်မလေး!Q19</f>
        <v>55</v>
      </c>
      <c r="S27" s="6">
        <f>မွန်မလေး!R19</f>
        <v>770</v>
      </c>
      <c r="T27" s="6">
        <f>မွန်မလေး!S19</f>
        <v>30</v>
      </c>
      <c r="U27" s="6">
        <f>မွန်မလေး!T19</f>
        <v>420</v>
      </c>
      <c r="V27" s="6">
        <f>မွန်မလေး!U19</f>
        <v>0</v>
      </c>
      <c r="W27" s="6">
        <f>မွန်မလေး!V19</f>
        <v>0</v>
      </c>
      <c r="X27" s="6">
        <f>မွန်မလေး!W19</f>
        <v>0</v>
      </c>
      <c r="Y27" s="6">
        <f>မွန်မလေး!X19</f>
        <v>0</v>
      </c>
      <c r="Z27" s="6">
        <f>မွန်မလေး!Y19</f>
        <v>0</v>
      </c>
      <c r="AA27" s="6">
        <f>မွန်မလေး!Z19</f>
        <v>0</v>
      </c>
      <c r="AB27" s="6">
        <f>မွန်မလေး!AA19</f>
        <v>0</v>
      </c>
      <c r="AC27" s="6">
        <f>မွန်မလေး!AB19</f>
        <v>0</v>
      </c>
      <c r="AD27" s="6">
        <f>မွန်မလေး!AC19</f>
        <v>0</v>
      </c>
      <c r="AE27" s="6">
        <f>မွန်မလေး!AD19</f>
        <v>0</v>
      </c>
      <c r="AF27" s="6"/>
      <c r="AG27" s="6"/>
      <c r="AH27" s="6">
        <f>မွန်မလေး!AI19</f>
        <v>875</v>
      </c>
      <c r="AI27" s="6">
        <f>မွန်မလေး!AJ19</f>
        <v>13250</v>
      </c>
    </row>
    <row r="28" spans="1:35" ht="25.15" customHeight="1" x14ac:dyDescent="0.6">
      <c r="A28" s="33">
        <v>24</v>
      </c>
      <c r="B28" s="20" t="s">
        <v>41</v>
      </c>
      <c r="C28" s="8" t="s">
        <v>40</v>
      </c>
      <c r="D28" s="6">
        <f>ရွှေဉယျာဉ်!C21</f>
        <v>270</v>
      </c>
      <c r="E28" s="6">
        <f>ရွှေဉယျာဉ်!D21</f>
        <v>3780</v>
      </c>
      <c r="F28" s="6">
        <f>ရွှေဉယျာဉ်!E21</f>
        <v>200</v>
      </c>
      <c r="G28" s="6">
        <f>ရွှေဉယျာဉ်!F21</f>
        <v>2400</v>
      </c>
      <c r="H28" s="6">
        <f>ရွှေဉယျာဉ်!G21</f>
        <v>0</v>
      </c>
      <c r="I28" s="6">
        <f>ရွှေဉယျာဉ်!H21</f>
        <v>0</v>
      </c>
      <c r="J28" s="6">
        <f>ရွှေဉယျာဉ်!I21</f>
        <v>20</v>
      </c>
      <c r="K28" s="6">
        <f>ရွှေဉယျာဉ်!J21</f>
        <v>800</v>
      </c>
      <c r="L28" s="6">
        <f>ရွှေဉယျာဉ်!K21</f>
        <v>0</v>
      </c>
      <c r="M28" s="6">
        <f>ရွှေဉယျာဉ်!L21</f>
        <v>0</v>
      </c>
      <c r="N28" s="6">
        <f>ရွှေဉယျာဉ်!M21</f>
        <v>0</v>
      </c>
      <c r="O28" s="6">
        <f>ရွှေဉယျာဉ်!N21</f>
        <v>0</v>
      </c>
      <c r="P28" s="6">
        <f>ရွှေဉယျာဉ်!O21</f>
        <v>0</v>
      </c>
      <c r="Q28" s="6">
        <f>ရွှေဉယျာဉ်!P21</f>
        <v>0</v>
      </c>
      <c r="R28" s="6">
        <f>ရွှေဉယျာဉ်!Q21</f>
        <v>0</v>
      </c>
      <c r="S28" s="6">
        <f>ရွှေဉယျာဉ်!R21</f>
        <v>0</v>
      </c>
      <c r="T28" s="6">
        <f>ရွှေဉယျာဉ်!S21</f>
        <v>0</v>
      </c>
      <c r="U28" s="6">
        <f>ရွှေဉယျာဉ်!T21</f>
        <v>0</v>
      </c>
      <c r="V28" s="6">
        <f>ရွှေဉယျာဉ်!U21</f>
        <v>0</v>
      </c>
      <c r="W28" s="6">
        <f>ရွှေဉယျာဉ်!V21</f>
        <v>0</v>
      </c>
      <c r="X28" s="6">
        <f>ရွှေဉယျာဉ်!W21</f>
        <v>0</v>
      </c>
      <c r="Y28" s="6">
        <f>ရွှေဉယျာဉ်!X21</f>
        <v>0</v>
      </c>
      <c r="Z28" s="6">
        <f>ရွှေဉယျာဉ်!Y21</f>
        <v>0</v>
      </c>
      <c r="AA28" s="6">
        <f>ရွှေဉယျာဉ်!Z21</f>
        <v>0</v>
      </c>
      <c r="AB28" s="6">
        <f>ရွှေဉယျာဉ်!AA21</f>
        <v>0</v>
      </c>
      <c r="AC28" s="6">
        <f>ရွှေဉယျာဉ်!AB21</f>
        <v>0</v>
      </c>
      <c r="AD28" s="6">
        <f>ရွှေဉယျာဉ်!AC21</f>
        <v>0</v>
      </c>
      <c r="AE28" s="6">
        <f>ရွှေဉယျာဉ်!AD21</f>
        <v>0</v>
      </c>
      <c r="AF28" s="6"/>
      <c r="AG28" s="6"/>
      <c r="AH28" s="6">
        <f>ရွှေဉယျာဉ်!AE21</f>
        <v>490</v>
      </c>
      <c r="AI28" s="6">
        <f>ရွှေဉယျာဉ်!AF21</f>
        <v>6980</v>
      </c>
    </row>
    <row r="29" spans="1:35" ht="25.15" customHeight="1" x14ac:dyDescent="0.6">
      <c r="A29" s="33">
        <v>25</v>
      </c>
      <c r="B29" s="18" t="s">
        <v>42</v>
      </c>
      <c r="C29" s="8" t="s">
        <v>43</v>
      </c>
      <c r="D29" s="6">
        <f>ဆွေသဟာ!C21</f>
        <v>0</v>
      </c>
      <c r="E29" s="6">
        <f>ဆွေသဟာ!D21</f>
        <v>0</v>
      </c>
      <c r="F29" s="6">
        <f>ဆွေသဟာ!E21</f>
        <v>0</v>
      </c>
      <c r="G29" s="6">
        <f>ဆွေသဟာ!F21</f>
        <v>0</v>
      </c>
      <c r="H29" s="6">
        <f>ဆွေသဟာ!G21</f>
        <v>0</v>
      </c>
      <c r="I29" s="6">
        <f>ဆွေသဟာ!H21</f>
        <v>0</v>
      </c>
      <c r="J29" s="6">
        <f>ဆွေသဟာ!I21</f>
        <v>0</v>
      </c>
      <c r="K29" s="6">
        <f>ဆွေသဟာ!J21</f>
        <v>0</v>
      </c>
      <c r="L29" s="6">
        <f>ဆွေသဟာ!K21</f>
        <v>0</v>
      </c>
      <c r="M29" s="6">
        <f>ဆွေသဟာ!L21</f>
        <v>0</v>
      </c>
      <c r="N29" s="6">
        <f>ဆွေသဟာ!M21</f>
        <v>0</v>
      </c>
      <c r="O29" s="6">
        <f>ဆွေသဟာ!N21</f>
        <v>0</v>
      </c>
      <c r="P29" s="6">
        <f>ဆွေသဟာ!O21</f>
        <v>0</v>
      </c>
      <c r="Q29" s="6">
        <f>ဆွေသဟာ!P21</f>
        <v>0</v>
      </c>
      <c r="R29" s="6">
        <f>ဆွေသဟာ!Q21</f>
        <v>0</v>
      </c>
      <c r="S29" s="6">
        <f>ဆွေသဟာ!R21</f>
        <v>0</v>
      </c>
      <c r="T29" s="6">
        <f>ဆွေသဟာ!S21</f>
        <v>0</v>
      </c>
      <c r="U29" s="6">
        <f>ဆွေသဟာ!T21</f>
        <v>0</v>
      </c>
      <c r="V29" s="6">
        <f>ဆွေသဟာ!U21</f>
        <v>0</v>
      </c>
      <c r="W29" s="6">
        <f>ဆွေသဟာ!V21</f>
        <v>0</v>
      </c>
      <c r="X29" s="6">
        <f>ဆွေသဟာ!W21</f>
        <v>0</v>
      </c>
      <c r="Y29" s="6">
        <f>ဆွေသဟာ!X21</f>
        <v>0</v>
      </c>
      <c r="Z29" s="6">
        <f>ဆွေသဟာ!Y21</f>
        <v>0</v>
      </c>
      <c r="AA29" s="6">
        <f>ဆွေသဟာ!Z21</f>
        <v>0</v>
      </c>
      <c r="AB29" s="6">
        <f>ဆွေသဟာ!AA21</f>
        <v>0</v>
      </c>
      <c r="AC29" s="6">
        <f>ဆွေသဟာ!AB21</f>
        <v>0</v>
      </c>
      <c r="AD29" s="6">
        <f>ဆွေသဟာ!AC21</f>
        <v>0</v>
      </c>
      <c r="AE29" s="6">
        <f>ဆွေသဟာ!AD21</f>
        <v>0</v>
      </c>
      <c r="AF29" s="6"/>
      <c r="AG29" s="6"/>
      <c r="AH29" s="6">
        <f>ဆွေသဟာ!AE21</f>
        <v>0</v>
      </c>
      <c r="AI29" s="6">
        <f>ဆွေသဟာ!AF21</f>
        <v>0</v>
      </c>
    </row>
    <row r="30" spans="1:35" ht="25.15" customHeight="1" x14ac:dyDescent="0.6">
      <c r="A30" s="33">
        <v>26</v>
      </c>
      <c r="B30" s="18" t="s">
        <v>44</v>
      </c>
      <c r="C30" s="8" t="s">
        <v>43</v>
      </c>
      <c r="D30" s="17">
        <f>သော်တာထွန်း!C30</f>
        <v>1970</v>
      </c>
      <c r="E30" s="17">
        <f>သော်တာထွန်း!D30</f>
        <v>27580</v>
      </c>
      <c r="F30" s="17">
        <f>သော်တာထွန်း!E30</f>
        <v>1980</v>
      </c>
      <c r="G30" s="17">
        <f>သော်တာထွန်း!F30</f>
        <v>23760</v>
      </c>
      <c r="H30" s="17">
        <f>သော်တာထွန်း!G30</f>
        <v>90</v>
      </c>
      <c r="I30" s="17">
        <f>သော်တာထွန်း!H30</f>
        <v>1080</v>
      </c>
      <c r="J30" s="17">
        <f>သော်တာထွန်း!I30</f>
        <v>150</v>
      </c>
      <c r="K30" s="17">
        <f>သော်တာထွန်း!J30</f>
        <v>6000</v>
      </c>
      <c r="L30" s="17">
        <f>သော်တာထွန်း!K30</f>
        <v>20</v>
      </c>
      <c r="M30" s="17">
        <f>သော်တာထွန်း!L30</f>
        <v>240</v>
      </c>
      <c r="N30" s="17">
        <f>သော်တာထွန်း!M30</f>
        <v>0</v>
      </c>
      <c r="O30" s="17">
        <f>သော်တာထွန်း!N30</f>
        <v>0</v>
      </c>
      <c r="P30" s="17">
        <f>သော်တာထွန်း!O30</f>
        <v>0</v>
      </c>
      <c r="Q30" s="17">
        <f>သော်တာထွန်း!P30</f>
        <v>0</v>
      </c>
      <c r="R30" s="17">
        <f>သော်တာထွန်း!Q30</f>
        <v>0</v>
      </c>
      <c r="S30" s="17">
        <f>သော်တာထွန်း!R30</f>
        <v>0</v>
      </c>
      <c r="T30" s="17">
        <f>သော်တာထွန်း!S30</f>
        <v>0</v>
      </c>
      <c r="U30" s="17">
        <f>သော်တာထွန်း!T30</f>
        <v>0</v>
      </c>
      <c r="V30" s="17">
        <f>သော်တာထွန်း!U30</f>
        <v>400</v>
      </c>
      <c r="W30" s="17">
        <f>သော်တာထွန်း!V30</f>
        <v>9600</v>
      </c>
      <c r="X30" s="17">
        <f>သော်တာထွန်း!W30</f>
        <v>0</v>
      </c>
      <c r="Y30" s="17">
        <f>သော်တာထွန်း!X30</f>
        <v>0</v>
      </c>
      <c r="Z30" s="17">
        <f>သော်တာထွန်း!Y30</f>
        <v>0</v>
      </c>
      <c r="AA30" s="17">
        <f>သော်တာထွန်း!Z30</f>
        <v>0</v>
      </c>
      <c r="AB30" s="17">
        <f>သော်တာထွန်း!AA30</f>
        <v>0</v>
      </c>
      <c r="AC30" s="17">
        <f>သော်တာထွန်း!AB30</f>
        <v>0</v>
      </c>
      <c r="AD30" s="17">
        <f>သော်တာထွန်း!AC30</f>
        <v>0</v>
      </c>
      <c r="AE30" s="17">
        <f>သော်တာထွန်း!AD30</f>
        <v>0</v>
      </c>
      <c r="AF30" s="17"/>
      <c r="AG30" s="17"/>
      <c r="AH30" s="17">
        <f>သော်တာထွန်း!AE30</f>
        <v>4610</v>
      </c>
      <c r="AI30" s="17">
        <f>သော်တာထွန်း!AF30</f>
        <v>68260</v>
      </c>
    </row>
    <row r="31" spans="1:35" ht="25.15" customHeight="1" x14ac:dyDescent="0.6">
      <c r="A31" s="33">
        <v>27</v>
      </c>
      <c r="B31" s="18" t="s">
        <v>45</v>
      </c>
      <c r="C31" s="8" t="s">
        <v>43</v>
      </c>
      <c r="D31" s="6">
        <f>မိဘမေတ္တာ!C22</f>
        <v>1200</v>
      </c>
      <c r="E31" s="6">
        <f>မိဘမေတ္တာ!D22</f>
        <v>16800</v>
      </c>
      <c r="F31" s="6">
        <f>မိဘမေတ္တာ!E22</f>
        <v>1400</v>
      </c>
      <c r="G31" s="6">
        <f>မိဘမေတ္တာ!F22</f>
        <v>16800</v>
      </c>
      <c r="H31" s="6">
        <f>မိဘမေတ္တာ!G22</f>
        <v>0</v>
      </c>
      <c r="I31" s="6">
        <f>မိဘမေတ္တာ!H22</f>
        <v>0</v>
      </c>
      <c r="J31" s="6">
        <f>မိဘမေတ္တာ!I22</f>
        <v>0</v>
      </c>
      <c r="K31" s="6">
        <f>မိဘမေတ္တာ!J22</f>
        <v>0</v>
      </c>
      <c r="L31" s="6">
        <f>မိဘမေတ္တာ!K22</f>
        <v>0</v>
      </c>
      <c r="M31" s="6">
        <f>မိဘမေတ္တာ!L22</f>
        <v>0</v>
      </c>
      <c r="N31" s="6">
        <f>မိဘမေတ္တာ!M22</f>
        <v>0</v>
      </c>
      <c r="O31" s="6">
        <f>မိဘမေတ္တာ!N22</f>
        <v>0</v>
      </c>
      <c r="P31" s="6">
        <f>မိဘမေတ္တာ!O22</f>
        <v>0</v>
      </c>
      <c r="Q31" s="6">
        <f>မိဘမေတ္တာ!P22</f>
        <v>0</v>
      </c>
      <c r="R31" s="6">
        <f>မိဘမေတ္တာ!Q22</f>
        <v>0</v>
      </c>
      <c r="S31" s="6">
        <f>မိဘမေတ္တာ!R22</f>
        <v>0</v>
      </c>
      <c r="T31" s="6">
        <f>မိဘမေတ္တာ!S22</f>
        <v>0</v>
      </c>
      <c r="U31" s="6">
        <f>မိဘမေတ္တာ!T22</f>
        <v>0</v>
      </c>
      <c r="V31" s="6">
        <f>မိဘမေတ္တာ!U22</f>
        <v>160</v>
      </c>
      <c r="W31" s="6">
        <f>မိဘမေတ္တာ!V22</f>
        <v>3840</v>
      </c>
      <c r="X31" s="6">
        <f>မိဘမေတ္တာ!W22</f>
        <v>0</v>
      </c>
      <c r="Y31" s="6">
        <f>မိဘမေတ္တာ!X22</f>
        <v>0</v>
      </c>
      <c r="Z31" s="6">
        <f>မိဘမေတ္တာ!Y22</f>
        <v>0</v>
      </c>
      <c r="AA31" s="6">
        <f>မိဘမေတ္တာ!Z22</f>
        <v>0</v>
      </c>
      <c r="AB31" s="6">
        <f>မိဘမေတ္တာ!AA22</f>
        <v>0</v>
      </c>
      <c r="AC31" s="6">
        <f>မိဘမေတ္တာ!AB22</f>
        <v>0</v>
      </c>
      <c r="AD31" s="6">
        <f>မိဘမေတ္တာ!AC22</f>
        <v>0</v>
      </c>
      <c r="AE31" s="6">
        <f>မိဘမေတ္တာ!AD22</f>
        <v>0</v>
      </c>
      <c r="AF31" s="6"/>
      <c r="AG31" s="6"/>
      <c r="AH31" s="6">
        <f>မိဘမေတ္တာ!AE22</f>
        <v>2760</v>
      </c>
      <c r="AI31" s="6">
        <f>မိဘမေတ္တာ!AF22</f>
        <v>37440</v>
      </c>
    </row>
    <row r="32" spans="1:35" ht="25.15" customHeight="1" x14ac:dyDescent="0.6">
      <c r="A32" s="33">
        <v>28</v>
      </c>
      <c r="B32" s="18" t="s">
        <v>46</v>
      </c>
      <c r="C32" s="8" t="s">
        <v>47</v>
      </c>
      <c r="D32" s="6">
        <f>ရှယ်ထူး!C20</f>
        <v>260</v>
      </c>
      <c r="E32" s="6">
        <f>ရှယ်ထူး!D20</f>
        <v>3640</v>
      </c>
      <c r="F32" s="6">
        <f>ရှယ်ထူး!E20</f>
        <v>400</v>
      </c>
      <c r="G32" s="6">
        <f>ရှယ်ထူး!F20</f>
        <v>4800</v>
      </c>
      <c r="H32" s="6">
        <f>ရှယ်ထူး!G20</f>
        <v>20</v>
      </c>
      <c r="I32" s="6">
        <f>ရှယ်ထူး!H20</f>
        <v>240</v>
      </c>
      <c r="J32" s="6">
        <f>ရှယ်ထူး!I20</f>
        <v>80</v>
      </c>
      <c r="K32" s="6">
        <f>ရှယ်ထူး!J20</f>
        <v>3200</v>
      </c>
      <c r="L32" s="6">
        <f>ရှယ်ထူး!K20</f>
        <v>0</v>
      </c>
      <c r="M32" s="6">
        <f>ရှယ်ထူး!L20</f>
        <v>0</v>
      </c>
      <c r="N32" s="6">
        <f>ရှယ်ထူး!M20</f>
        <v>240</v>
      </c>
      <c r="O32" s="6">
        <f>ရှယ်ထူး!N20</f>
        <v>2880</v>
      </c>
      <c r="P32" s="6">
        <f>ရှယ်ထူး!O20</f>
        <v>0</v>
      </c>
      <c r="Q32" s="6">
        <f>ရှယ်ထူး!P20</f>
        <v>0</v>
      </c>
      <c r="R32" s="6">
        <f>ရှယ်ထူး!Q20</f>
        <v>30</v>
      </c>
      <c r="S32" s="6">
        <f>ရှယ်ထူး!R20</f>
        <v>420</v>
      </c>
      <c r="T32" s="6">
        <f>ရှယ်ထူး!S20</f>
        <v>0</v>
      </c>
      <c r="U32" s="6">
        <f>ရှယ်ထူး!T20</f>
        <v>0</v>
      </c>
      <c r="V32" s="6">
        <f>ရှယ်ထူး!U20</f>
        <v>0</v>
      </c>
      <c r="W32" s="6">
        <f>ရှယ်ထူး!V20</f>
        <v>0</v>
      </c>
      <c r="X32" s="6">
        <f>ရှယ်ထူး!W20</f>
        <v>0</v>
      </c>
      <c r="Y32" s="6">
        <f>ရှယ်ထူး!X20</f>
        <v>0</v>
      </c>
      <c r="Z32" s="6">
        <f>ရှယ်ထူး!Y20</f>
        <v>0</v>
      </c>
      <c r="AA32" s="6">
        <f>ရှယ်ထူး!Z20</f>
        <v>0</v>
      </c>
      <c r="AB32" s="6">
        <f>ရှယ်ထူး!AA20</f>
        <v>0</v>
      </c>
      <c r="AC32" s="6">
        <f>ရှယ်ထူး!AB20</f>
        <v>0</v>
      </c>
      <c r="AD32" s="6">
        <f>ရှယ်ထူး!AC20</f>
        <v>0</v>
      </c>
      <c r="AE32" s="6">
        <f>ရှယ်ထူး!AD20</f>
        <v>0</v>
      </c>
      <c r="AF32" s="6"/>
      <c r="AG32" s="6"/>
      <c r="AH32" s="6">
        <f>ရှယ်ထူး!AE20</f>
        <v>1030</v>
      </c>
      <c r="AI32" s="6">
        <f>ရှယ်ထူး!AF20</f>
        <v>15180</v>
      </c>
    </row>
    <row r="33" spans="1:35" ht="25.15" customHeight="1" x14ac:dyDescent="0.6">
      <c r="A33" s="33">
        <v>29</v>
      </c>
      <c r="B33" s="18" t="s">
        <v>48</v>
      </c>
      <c r="C33" s="8" t="s">
        <v>49</v>
      </c>
      <c r="D33" s="6">
        <f>'မချိုချိုလွင် '!C21</f>
        <v>200</v>
      </c>
      <c r="E33" s="6">
        <f>'မချိုချိုလွင် '!D21</f>
        <v>2800</v>
      </c>
      <c r="F33" s="6">
        <f>'မချိုချိုလွင် '!E21</f>
        <v>200</v>
      </c>
      <c r="G33" s="6">
        <f>'မချိုချိုလွင် '!F21</f>
        <v>2400</v>
      </c>
      <c r="H33" s="6">
        <f>'မချိုချိုလွင် '!G21</f>
        <v>20</v>
      </c>
      <c r="I33" s="6">
        <f>'မချိုချိုလွင် '!H21</f>
        <v>240</v>
      </c>
      <c r="J33" s="6">
        <f>'မချိုချိုလွင် '!I21</f>
        <v>30</v>
      </c>
      <c r="K33" s="6">
        <f>'မချိုချိုလွင် '!J21</f>
        <v>1200</v>
      </c>
      <c r="L33" s="6">
        <f>'မချိုချိုလွင် '!K21</f>
        <v>5</v>
      </c>
      <c r="M33" s="6">
        <f>'မချိုချိုလွင် '!L21</f>
        <v>60</v>
      </c>
      <c r="N33" s="6">
        <f>'မချိုချိုလွင် '!M21</f>
        <v>45</v>
      </c>
      <c r="O33" s="6">
        <f>'မချိုချိုလွင် '!N21</f>
        <v>540</v>
      </c>
      <c r="P33" s="6">
        <f>'မချိုချိုလွင် '!O21</f>
        <v>0</v>
      </c>
      <c r="Q33" s="6">
        <f>'မချိုချိုလွင် '!P21</f>
        <v>0</v>
      </c>
      <c r="R33" s="6">
        <f>'မချိုချိုလွင် '!Q21</f>
        <v>0</v>
      </c>
      <c r="S33" s="6">
        <f>'မချိုချိုလွင် '!R21</f>
        <v>0</v>
      </c>
      <c r="T33" s="6">
        <f>'မချိုချိုလွင် '!S21</f>
        <v>0</v>
      </c>
      <c r="U33" s="6">
        <f>'မချိုချိုလွင် '!T21</f>
        <v>0</v>
      </c>
      <c r="V33" s="6">
        <f>'မချိုချိုလွင် '!U21</f>
        <v>0</v>
      </c>
      <c r="W33" s="6">
        <f>'မချိုချိုလွင် '!V21</f>
        <v>0</v>
      </c>
      <c r="X33" s="6">
        <f>'မချိုချိုလွင် '!W21</f>
        <v>0</v>
      </c>
      <c r="Y33" s="6">
        <f>'မချိုချိုလွင် '!X21</f>
        <v>0</v>
      </c>
      <c r="Z33" s="6">
        <f>'မချိုချိုလွင် '!Y21</f>
        <v>0</v>
      </c>
      <c r="AA33" s="6">
        <f>'မချိုချိုလွင် '!Z21</f>
        <v>0</v>
      </c>
      <c r="AB33" s="6">
        <f>'မချိုချိုလွင် '!AA21</f>
        <v>0</v>
      </c>
      <c r="AC33" s="6">
        <f>'မချိုချိုလွင် '!AB21</f>
        <v>0</v>
      </c>
      <c r="AD33" s="6">
        <f>'မချိုချိုလွင် '!AC21</f>
        <v>0</v>
      </c>
      <c r="AE33" s="6">
        <f>'မချိုချိုလွင် '!AD21</f>
        <v>0</v>
      </c>
      <c r="AF33" s="6"/>
      <c r="AG33" s="6"/>
      <c r="AH33" s="6">
        <f>'မချိုချိုလွင် '!AE21</f>
        <v>500</v>
      </c>
      <c r="AI33" s="6">
        <f>'မချိုချိုလွင် '!AF21</f>
        <v>7240</v>
      </c>
    </row>
    <row r="34" spans="1:35" ht="25.15" customHeight="1" x14ac:dyDescent="0.6">
      <c r="A34" s="33">
        <v>30</v>
      </c>
      <c r="B34" s="18" t="s">
        <v>50</v>
      </c>
      <c r="C34" s="8" t="s">
        <v>51</v>
      </c>
      <c r="D34" s="6">
        <f>အနွယ်တော်!C19</f>
        <v>165</v>
      </c>
      <c r="E34" s="6">
        <f>အနွယ်တော်!D19</f>
        <v>2310</v>
      </c>
      <c r="F34" s="6">
        <f>အနွယ်တော်!E19</f>
        <v>326</v>
      </c>
      <c r="G34" s="6">
        <f>အနွယ်တော်!F19</f>
        <v>3912</v>
      </c>
      <c r="H34" s="6">
        <f>အနွယ်တော်!G19</f>
        <v>0</v>
      </c>
      <c r="I34" s="6">
        <f>အနွယ်တော်!H19</f>
        <v>0</v>
      </c>
      <c r="J34" s="6">
        <f>အနွယ်တော်!I19</f>
        <v>30</v>
      </c>
      <c r="K34" s="6">
        <f>အနွယ်တော်!J19</f>
        <v>1200</v>
      </c>
      <c r="L34" s="6">
        <f>အနွယ်တော်!K19</f>
        <v>40</v>
      </c>
      <c r="M34" s="6">
        <f>အနွယ်တော်!L19</f>
        <v>480</v>
      </c>
      <c r="N34" s="6">
        <f>အနွယ်တော်!M19</f>
        <v>0</v>
      </c>
      <c r="O34" s="6">
        <f>အနွယ်တော်!N19</f>
        <v>0</v>
      </c>
      <c r="P34" s="6">
        <f>အနွယ်တော်!O19</f>
        <v>0</v>
      </c>
      <c r="Q34" s="6">
        <f>အနွယ်တော်!P19</f>
        <v>0</v>
      </c>
      <c r="R34" s="6">
        <f>အနွယ်တော်!Q19</f>
        <v>0</v>
      </c>
      <c r="S34" s="6">
        <f>အနွယ်တော်!R19</f>
        <v>0</v>
      </c>
      <c r="T34" s="6">
        <f>အနွယ်တော်!S19</f>
        <v>0</v>
      </c>
      <c r="U34" s="6">
        <f>အနွယ်တော်!T19</f>
        <v>0</v>
      </c>
      <c r="V34" s="6">
        <f>အနွယ်တော်!U19</f>
        <v>0</v>
      </c>
      <c r="W34" s="6">
        <f>အနွယ်တော်!V19</f>
        <v>0</v>
      </c>
      <c r="X34" s="6">
        <f>အနွယ်တော်!W19</f>
        <v>0</v>
      </c>
      <c r="Y34" s="6">
        <f>အနွယ်တော်!X19</f>
        <v>0</v>
      </c>
      <c r="Z34" s="6">
        <f>အနွယ်တော်!Y19</f>
        <v>0</v>
      </c>
      <c r="AA34" s="6">
        <f>အနွယ်တော်!Z19</f>
        <v>0</v>
      </c>
      <c r="AB34" s="6">
        <f>အနွယ်တော်!AA19</f>
        <v>0</v>
      </c>
      <c r="AC34" s="6">
        <f>အနွယ်တော်!AB19</f>
        <v>0</v>
      </c>
      <c r="AD34" s="6">
        <f>အနွယ်တော်!AC19</f>
        <v>0</v>
      </c>
      <c r="AE34" s="6">
        <f>အနွယ်တော်!AD19</f>
        <v>0</v>
      </c>
      <c r="AF34" s="6"/>
      <c r="AG34" s="6"/>
      <c r="AH34" s="6">
        <f>အနွယ်တော်!AE19</f>
        <v>561</v>
      </c>
      <c r="AI34" s="6">
        <f>အနွယ်တော်!AF19</f>
        <v>7902</v>
      </c>
    </row>
    <row r="35" spans="1:35" ht="25.15" customHeight="1" x14ac:dyDescent="0.6">
      <c r="A35" s="33">
        <v>31</v>
      </c>
      <c r="B35" s="18" t="s">
        <v>52</v>
      </c>
      <c r="C35" s="8" t="s">
        <v>53</v>
      </c>
      <c r="D35" s="6">
        <f>ဘောဂ!C21</f>
        <v>350</v>
      </c>
      <c r="E35" s="6">
        <f>ဘောဂ!D21</f>
        <v>4900</v>
      </c>
      <c r="F35" s="6">
        <f>ဘောဂ!E21</f>
        <v>740</v>
      </c>
      <c r="G35" s="6">
        <f>ဘောဂ!F21</f>
        <v>8880</v>
      </c>
      <c r="H35" s="6">
        <f>ဘောဂ!G21</f>
        <v>20</v>
      </c>
      <c r="I35" s="6">
        <f>ဘောဂ!H21</f>
        <v>240</v>
      </c>
      <c r="J35" s="6">
        <f>ဘောဂ!I21</f>
        <v>85</v>
      </c>
      <c r="K35" s="6">
        <f>ဘောဂ!J21</f>
        <v>3400</v>
      </c>
      <c r="L35" s="6">
        <f>ဘောဂ!K21</f>
        <v>0</v>
      </c>
      <c r="M35" s="6">
        <f>ဘောဂ!L21</f>
        <v>0</v>
      </c>
      <c r="N35" s="6">
        <f>ဘောဂ!M21</f>
        <v>390</v>
      </c>
      <c r="O35" s="6">
        <f>ဘောဂ!N21</f>
        <v>4680</v>
      </c>
      <c r="P35" s="6">
        <f>ဘောဂ!O21</f>
        <v>15</v>
      </c>
      <c r="Q35" s="6">
        <f>ဘောဂ!P21</f>
        <v>600</v>
      </c>
      <c r="R35" s="6">
        <f>ဘောဂ!Q21</f>
        <v>0</v>
      </c>
      <c r="S35" s="6">
        <f>ဘောဂ!R21</f>
        <v>0</v>
      </c>
      <c r="T35" s="6">
        <f>ဘောဂ!S21</f>
        <v>5</v>
      </c>
      <c r="U35" s="6">
        <f>ဘောဂ!T21</f>
        <v>70</v>
      </c>
      <c r="V35" s="6">
        <f>ဘောဂ!U21</f>
        <v>0</v>
      </c>
      <c r="W35" s="6">
        <f>ဘောဂ!V21</f>
        <v>0</v>
      </c>
      <c r="X35" s="6">
        <f>ဘောဂ!W21</f>
        <v>60</v>
      </c>
      <c r="Y35" s="6">
        <f>ဘောဂ!X21</f>
        <v>720</v>
      </c>
      <c r="Z35" s="6">
        <f>ဘောဂ!Y21</f>
        <v>0</v>
      </c>
      <c r="AA35" s="6">
        <f>ဘောဂ!Z21</f>
        <v>0</v>
      </c>
      <c r="AB35" s="6">
        <f>ဘောဂ!AA21</f>
        <v>0</v>
      </c>
      <c r="AC35" s="6">
        <f>ဘောဂ!AB21</f>
        <v>0</v>
      </c>
      <c r="AD35" s="6">
        <f>ဘောဂ!AC21</f>
        <v>0</v>
      </c>
      <c r="AE35" s="6">
        <f>ဘောဂ!AD21</f>
        <v>0</v>
      </c>
      <c r="AF35" s="6"/>
      <c r="AG35" s="6"/>
      <c r="AH35" s="6">
        <f>ဘောဂ!AE21</f>
        <v>1665</v>
      </c>
      <c r="AI35" s="6">
        <f>ဘောဂ!AF21</f>
        <v>23490</v>
      </c>
    </row>
    <row r="36" spans="1:35" ht="25.15" customHeight="1" x14ac:dyDescent="0.6">
      <c r="A36" s="33">
        <v>32</v>
      </c>
      <c r="B36" s="18" t="s">
        <v>54</v>
      </c>
      <c r="C36" s="8" t="s">
        <v>53</v>
      </c>
      <c r="D36" s="6">
        <f>ကိုကျော်ဆွေ!C20</f>
        <v>30</v>
      </c>
      <c r="E36" s="6">
        <f>ကိုကျော်ဆွေ!D20</f>
        <v>420</v>
      </c>
      <c r="F36" s="6">
        <f>ကိုကျော်ဆွေ!E20</f>
        <v>30</v>
      </c>
      <c r="G36" s="6">
        <f>ကိုကျော်ဆွေ!F20</f>
        <v>360</v>
      </c>
      <c r="H36" s="6">
        <f>ကိုကျော်ဆွေ!G20</f>
        <v>0</v>
      </c>
      <c r="I36" s="6">
        <f>ကိုကျော်ဆွေ!H20</f>
        <v>0</v>
      </c>
      <c r="J36" s="6">
        <f>ကိုကျော်ဆွေ!I20</f>
        <v>0</v>
      </c>
      <c r="K36" s="6">
        <f>ကိုကျော်ဆွေ!J20</f>
        <v>0</v>
      </c>
      <c r="L36" s="6">
        <f>ကိုကျော်ဆွေ!K20</f>
        <v>0</v>
      </c>
      <c r="M36" s="6">
        <f>ကိုကျော်ဆွေ!L20</f>
        <v>0</v>
      </c>
      <c r="N36" s="6">
        <f>ကိုကျော်ဆွေ!M20</f>
        <v>15</v>
      </c>
      <c r="O36" s="6">
        <f>ကိုကျော်ဆွေ!N20</f>
        <v>180</v>
      </c>
      <c r="P36" s="6">
        <f>ကိုကျော်ဆွေ!O20</f>
        <v>0</v>
      </c>
      <c r="Q36" s="6">
        <f>ကိုကျော်ဆွေ!P20</f>
        <v>0</v>
      </c>
      <c r="R36" s="6">
        <f>ကိုကျော်ဆွေ!Q20</f>
        <v>0</v>
      </c>
      <c r="S36" s="6">
        <f>ကိုကျော်ဆွေ!R20</f>
        <v>0</v>
      </c>
      <c r="T36" s="6">
        <f>ကိုကျော်ဆွေ!S20</f>
        <v>0</v>
      </c>
      <c r="U36" s="6">
        <f>ကိုကျော်ဆွေ!T20</f>
        <v>0</v>
      </c>
      <c r="V36" s="6">
        <f>ကိုကျော်ဆွေ!U20</f>
        <v>0</v>
      </c>
      <c r="W36" s="6">
        <f>ကိုကျော်ဆွေ!V20</f>
        <v>0</v>
      </c>
      <c r="X36" s="6">
        <f>ကိုကျော်ဆွေ!W20</f>
        <v>0</v>
      </c>
      <c r="Y36" s="6">
        <f>ကိုကျော်ဆွေ!X20</f>
        <v>0</v>
      </c>
      <c r="Z36" s="6">
        <f>ကိုကျော်ဆွေ!Y20</f>
        <v>0</v>
      </c>
      <c r="AA36" s="6">
        <f>ကိုကျော်ဆွေ!Z20</f>
        <v>0</v>
      </c>
      <c r="AB36" s="6">
        <f>ကိုကျော်ဆွေ!AA20</f>
        <v>0</v>
      </c>
      <c r="AC36" s="6">
        <f>ကိုကျော်ဆွေ!AB20</f>
        <v>0</v>
      </c>
      <c r="AD36" s="6">
        <f>ကိုကျော်ဆွေ!AC20</f>
        <v>0</v>
      </c>
      <c r="AE36" s="6">
        <f>ကိုကျော်ဆွေ!AD20</f>
        <v>0</v>
      </c>
      <c r="AF36" s="6"/>
      <c r="AG36" s="6"/>
      <c r="AH36" s="6">
        <f>ကိုကျော်ဆွေ!AE20</f>
        <v>75</v>
      </c>
      <c r="AI36" s="6">
        <f>ကိုကျော်ဆွေ!AF20</f>
        <v>960</v>
      </c>
    </row>
    <row r="37" spans="1:35" ht="25.15" customHeight="1" x14ac:dyDescent="0.6">
      <c r="A37" s="33">
        <v>33</v>
      </c>
      <c r="B37" s="18" t="s">
        <v>55</v>
      </c>
      <c r="C37" s="8" t="s">
        <v>56</v>
      </c>
      <c r="D37" s="6">
        <f>ဒေလီယာ!C25</f>
        <v>80</v>
      </c>
      <c r="E37" s="6">
        <f>ဒေလီယာ!D25</f>
        <v>1120</v>
      </c>
      <c r="F37" s="6">
        <f>ဒေလီယာ!E25</f>
        <v>180</v>
      </c>
      <c r="G37" s="6">
        <f>ဒေလီယာ!F25</f>
        <v>2160</v>
      </c>
      <c r="H37" s="6">
        <f>ဒေလီယာ!G25</f>
        <v>5</v>
      </c>
      <c r="I37" s="6">
        <f>ဒေလီယာ!H25</f>
        <v>60</v>
      </c>
      <c r="J37" s="6">
        <f>ဒေလီယာ!I25</f>
        <v>30</v>
      </c>
      <c r="K37" s="6">
        <f>ဒေလီယာ!J25</f>
        <v>1200</v>
      </c>
      <c r="L37" s="6">
        <f>ဒေလီယာ!K25</f>
        <v>0</v>
      </c>
      <c r="M37" s="6">
        <f>ဒေလီယာ!L25</f>
        <v>0</v>
      </c>
      <c r="N37" s="6">
        <f>ဒေလီယာ!M25</f>
        <v>0</v>
      </c>
      <c r="O37" s="6">
        <f>ဒေလီယာ!N25</f>
        <v>0</v>
      </c>
      <c r="P37" s="6">
        <f>ဒေလီယာ!O25</f>
        <v>0</v>
      </c>
      <c r="Q37" s="6">
        <f>ဒေလီယာ!P25</f>
        <v>0</v>
      </c>
      <c r="R37" s="6">
        <f>ဒေလီယာ!Q25</f>
        <v>0</v>
      </c>
      <c r="S37" s="6">
        <f>ဒေလီယာ!R25</f>
        <v>0</v>
      </c>
      <c r="T37" s="6">
        <f>ဒေလီယာ!S25</f>
        <v>0</v>
      </c>
      <c r="U37" s="6">
        <f>ဒေလီယာ!T25</f>
        <v>0</v>
      </c>
      <c r="V37" s="6">
        <f>ဒေလီယာ!U25</f>
        <v>0</v>
      </c>
      <c r="W37" s="6">
        <f>ဒေလီယာ!V25</f>
        <v>0</v>
      </c>
      <c r="X37" s="6">
        <f>ဒေလီယာ!W25</f>
        <v>0</v>
      </c>
      <c r="Y37" s="6">
        <f>ဒေလီယာ!X25</f>
        <v>0</v>
      </c>
      <c r="Z37" s="6">
        <f>ဒေလီယာ!Y25</f>
        <v>0</v>
      </c>
      <c r="AA37" s="6">
        <f>ဒေလီယာ!Z25</f>
        <v>0</v>
      </c>
      <c r="AB37" s="6">
        <f>ဒေလီယာ!AA25</f>
        <v>0</v>
      </c>
      <c r="AC37" s="6">
        <f>ဒေလီယာ!AB25</f>
        <v>0</v>
      </c>
      <c r="AD37" s="6">
        <f>ဒေလီယာ!AC25</f>
        <v>0</v>
      </c>
      <c r="AE37" s="6">
        <f>ဒေလီယာ!AD25</f>
        <v>0</v>
      </c>
      <c r="AF37" s="6"/>
      <c r="AG37" s="6"/>
      <c r="AH37" s="6">
        <f>ဒေလီယာ!AE25</f>
        <v>295</v>
      </c>
      <c r="AI37" s="6">
        <f>ဒေလီယာ!AF25</f>
        <v>4540</v>
      </c>
    </row>
    <row r="38" spans="1:35" ht="25.15" customHeight="1" x14ac:dyDescent="0.6">
      <c r="A38" s="33">
        <v>34</v>
      </c>
      <c r="B38" s="18" t="s">
        <v>57</v>
      </c>
      <c r="C38" s="8" t="s">
        <v>56</v>
      </c>
      <c r="D38" s="6">
        <f>မသီတာ!C19</f>
        <v>0</v>
      </c>
      <c r="E38" s="6">
        <f>မသီတာ!D19</f>
        <v>0</v>
      </c>
      <c r="F38" s="6">
        <f>မသီတာ!E19</f>
        <v>0</v>
      </c>
      <c r="G38" s="6">
        <f>မသီတာ!F19</f>
        <v>0</v>
      </c>
      <c r="H38" s="6">
        <f>မသီတာ!G19</f>
        <v>0</v>
      </c>
      <c r="I38" s="6">
        <f>မသီတာ!H19</f>
        <v>0</v>
      </c>
      <c r="J38" s="6">
        <f>မသီတာ!I19</f>
        <v>0</v>
      </c>
      <c r="K38" s="6">
        <f>မသီတာ!J19</f>
        <v>0</v>
      </c>
      <c r="L38" s="6">
        <f>မသီတာ!K19</f>
        <v>0</v>
      </c>
      <c r="M38" s="6">
        <f>မသီတာ!L19</f>
        <v>0</v>
      </c>
      <c r="N38" s="6">
        <f>မသီတာ!M19</f>
        <v>0</v>
      </c>
      <c r="O38" s="6">
        <f>မသီတာ!N19</f>
        <v>0</v>
      </c>
      <c r="P38" s="6">
        <f>မသီတာ!O19</f>
        <v>0</v>
      </c>
      <c r="Q38" s="6">
        <f>မသီတာ!P19</f>
        <v>0</v>
      </c>
      <c r="R38" s="6">
        <f>မသီတာ!Q19</f>
        <v>0</v>
      </c>
      <c r="S38" s="6">
        <f>မသီတာ!R19</f>
        <v>0</v>
      </c>
      <c r="T38" s="6">
        <f>မသီတာ!S19</f>
        <v>0</v>
      </c>
      <c r="U38" s="6">
        <f>မသီတာ!T19</f>
        <v>0</v>
      </c>
      <c r="V38" s="6">
        <f>မသီတာ!U19</f>
        <v>0</v>
      </c>
      <c r="W38" s="6">
        <f>မသီတာ!V19</f>
        <v>0</v>
      </c>
      <c r="X38" s="6">
        <f>မသီတာ!W19</f>
        <v>0</v>
      </c>
      <c r="Y38" s="6">
        <f>မသီတာ!X19</f>
        <v>0</v>
      </c>
      <c r="Z38" s="6">
        <f>မသီတာ!Y19</f>
        <v>0</v>
      </c>
      <c r="AA38" s="6">
        <f>မသီတာ!Z19</f>
        <v>0</v>
      </c>
      <c r="AB38" s="6">
        <f>မသီတာ!AA19</f>
        <v>0</v>
      </c>
      <c r="AC38" s="6">
        <f>မသီတာ!AB19</f>
        <v>0</v>
      </c>
      <c r="AD38" s="6">
        <f>မသီတာ!AC19</f>
        <v>0</v>
      </c>
      <c r="AE38" s="6">
        <f>မသီတာ!AD19</f>
        <v>0</v>
      </c>
      <c r="AF38" s="6"/>
      <c r="AG38" s="6">
        <f>မသီတာ!AF19</f>
        <v>0</v>
      </c>
      <c r="AH38" s="6">
        <f>မသီတာ!AE19</f>
        <v>0</v>
      </c>
      <c r="AI38" s="6">
        <f>မသီတာ!AF19</f>
        <v>0</v>
      </c>
    </row>
    <row r="39" spans="1:35" ht="25.15" customHeight="1" x14ac:dyDescent="0.6">
      <c r="A39" s="33">
        <v>35</v>
      </c>
      <c r="B39" s="21" t="s">
        <v>106</v>
      </c>
      <c r="C39" s="7" t="s">
        <v>113</v>
      </c>
      <c r="D39" s="6">
        <f>သုခအောင်!C19</f>
        <v>60</v>
      </c>
      <c r="E39" s="6">
        <f>သုခအောင်!D19</f>
        <v>840</v>
      </c>
      <c r="F39" s="6">
        <f>သုခအောင်!E19</f>
        <v>80</v>
      </c>
      <c r="G39" s="6">
        <f>သုခအောင်!F19</f>
        <v>960</v>
      </c>
      <c r="H39" s="6">
        <f>သုခအောင်!G19</f>
        <v>20</v>
      </c>
      <c r="I39" s="6">
        <f>သုခအောင်!H19</f>
        <v>240</v>
      </c>
      <c r="J39" s="6">
        <f>သုခအောင်!I19</f>
        <v>20</v>
      </c>
      <c r="K39" s="6">
        <f>သုခအောင်!J19</f>
        <v>800</v>
      </c>
      <c r="L39" s="6">
        <f>သုခအောင်!K19</f>
        <v>0</v>
      </c>
      <c r="M39" s="6">
        <f>သုခအောင်!L19</f>
        <v>0</v>
      </c>
      <c r="N39" s="6">
        <f>သုခအောင်!M19</f>
        <v>105</v>
      </c>
      <c r="O39" s="6">
        <f>သုခအောင်!N19</f>
        <v>1260</v>
      </c>
      <c r="P39" s="6">
        <f>သုခအောင်!O19</f>
        <v>0</v>
      </c>
      <c r="Q39" s="6">
        <f>သုခအောင်!P19</f>
        <v>0</v>
      </c>
      <c r="R39" s="6">
        <f>သုခအောင်!Q19</f>
        <v>0</v>
      </c>
      <c r="S39" s="6">
        <f>သုခအောင်!R19</f>
        <v>0</v>
      </c>
      <c r="T39" s="6">
        <f>သုခအောင်!S19</f>
        <v>0</v>
      </c>
      <c r="U39" s="6">
        <f>သုခအောင်!T19</f>
        <v>0</v>
      </c>
      <c r="V39" s="6">
        <f>သုခအောင်!U19</f>
        <v>0</v>
      </c>
      <c r="W39" s="6">
        <f>သုခအောင်!V19</f>
        <v>0</v>
      </c>
      <c r="X39" s="6">
        <f>သုခအောင်!W19</f>
        <v>0</v>
      </c>
      <c r="Y39" s="6">
        <f>သုခအောင်!X19</f>
        <v>0</v>
      </c>
      <c r="Z39" s="6">
        <f>သုခအောင်!Y19</f>
        <v>0</v>
      </c>
      <c r="AA39" s="6">
        <f>သုခအောင်!Z19</f>
        <v>0</v>
      </c>
      <c r="AB39" s="6">
        <f>သုခအောင်!AA19</f>
        <v>0</v>
      </c>
      <c r="AC39" s="6">
        <f>သုခအောင်!AB19</f>
        <v>0</v>
      </c>
      <c r="AD39" s="6">
        <f>သုခအောင်!AC19</f>
        <v>0</v>
      </c>
      <c r="AE39" s="6">
        <f>သုခအောင်!AD19</f>
        <v>0</v>
      </c>
      <c r="AF39" s="6"/>
      <c r="AG39" s="6"/>
      <c r="AH39" s="6">
        <f>သုခအောင်!AE19</f>
        <v>285</v>
      </c>
      <c r="AI39" s="6">
        <f>သုခအောင်!AF19</f>
        <v>4100</v>
      </c>
    </row>
    <row r="40" spans="1:35" ht="25.15" customHeight="1" x14ac:dyDescent="0.6">
      <c r="A40" s="33">
        <v>36</v>
      </c>
      <c r="B40" s="21" t="s">
        <v>107</v>
      </c>
      <c r="C40" s="7" t="s">
        <v>114</v>
      </c>
      <c r="D40" s="6">
        <f>လမင်းသာ!C24</f>
        <v>40</v>
      </c>
      <c r="E40" s="6">
        <f>လမင်းသာ!D24</f>
        <v>560</v>
      </c>
      <c r="F40" s="6">
        <f>လမင်းသာ!E24</f>
        <v>120</v>
      </c>
      <c r="G40" s="6">
        <f>လမင်းသာ!F24</f>
        <v>1440</v>
      </c>
      <c r="H40" s="6">
        <f>လမင်းသာ!G24</f>
        <v>20</v>
      </c>
      <c r="I40" s="6">
        <f>လမင်းသာ!H24</f>
        <v>240</v>
      </c>
      <c r="J40" s="6">
        <f>လမင်းသာ!I24</f>
        <v>20</v>
      </c>
      <c r="K40" s="6">
        <f>လမင်းသာ!J24</f>
        <v>800</v>
      </c>
      <c r="L40" s="6">
        <f>လမင်းသာ!K24</f>
        <v>5</v>
      </c>
      <c r="M40" s="6">
        <f>လမင်းသာ!L24</f>
        <v>60</v>
      </c>
      <c r="N40" s="6">
        <f>လမင်းသာ!M24</f>
        <v>15</v>
      </c>
      <c r="O40" s="6">
        <f>လမင်းသာ!N24</f>
        <v>180</v>
      </c>
      <c r="P40" s="6">
        <f>လမင်းသာ!O24</f>
        <v>0</v>
      </c>
      <c r="Q40" s="6">
        <f>လမင်းသာ!P24</f>
        <v>0</v>
      </c>
      <c r="R40" s="6">
        <f>လမင်းသာ!Q24</f>
        <v>0</v>
      </c>
      <c r="S40" s="6">
        <f>လမင်းသာ!R24</f>
        <v>0</v>
      </c>
      <c r="T40" s="6">
        <f>လမင်းသာ!S24</f>
        <v>0</v>
      </c>
      <c r="U40" s="6">
        <f>လမင်းသာ!T24</f>
        <v>0</v>
      </c>
      <c r="V40" s="6">
        <f>လမင်းသာ!U24</f>
        <v>0</v>
      </c>
      <c r="W40" s="6">
        <f>လမင်းသာ!V24</f>
        <v>0</v>
      </c>
      <c r="X40" s="6">
        <f>လမင်းသာ!W24</f>
        <v>0</v>
      </c>
      <c r="Y40" s="6">
        <f>လမင်းသာ!X24</f>
        <v>0</v>
      </c>
      <c r="Z40" s="6">
        <f>လမင်းသာ!Y24</f>
        <v>0</v>
      </c>
      <c r="AA40" s="6">
        <f>လမင်းသာ!Z24</f>
        <v>0</v>
      </c>
      <c r="AB40" s="6">
        <f>လမင်းသာ!AA24</f>
        <v>0</v>
      </c>
      <c r="AC40" s="6">
        <f>လမင်းသာ!AB24</f>
        <v>0</v>
      </c>
      <c r="AD40" s="6">
        <f>လမင်းသာ!AC24</f>
        <v>0</v>
      </c>
      <c r="AE40" s="6">
        <f>လမင်းသာ!AD24</f>
        <v>0</v>
      </c>
      <c r="AF40" s="6"/>
      <c r="AG40" s="6"/>
      <c r="AH40" s="6">
        <f>လမင်းသာ!AE24</f>
        <v>220</v>
      </c>
      <c r="AI40" s="6">
        <f>လမင်းသာ!AF24</f>
        <v>3280</v>
      </c>
    </row>
    <row r="41" spans="1:35" ht="25.15" customHeight="1" x14ac:dyDescent="0.6">
      <c r="A41" s="33">
        <v>37</v>
      </c>
      <c r="B41" s="22" t="s">
        <v>108</v>
      </c>
      <c r="C41" s="6" t="s">
        <v>115</v>
      </c>
      <c r="D41" s="6">
        <f>ဆင်မင်း!C20</f>
        <v>200</v>
      </c>
      <c r="E41" s="6">
        <f>ဆင်မင်း!D20</f>
        <v>2800</v>
      </c>
      <c r="F41" s="6">
        <f>ဆင်မင်း!E20</f>
        <v>100</v>
      </c>
      <c r="G41" s="6">
        <f>ဆင်မင်း!F20</f>
        <v>1200</v>
      </c>
      <c r="H41" s="6">
        <f>ဆင်မင်း!G20</f>
        <v>0</v>
      </c>
      <c r="I41" s="6">
        <f>ဆင်မင်း!H20</f>
        <v>0</v>
      </c>
      <c r="J41" s="6">
        <f>ဆင်မင်း!I20</f>
        <v>5</v>
      </c>
      <c r="K41" s="6">
        <f>ဆင်မင်း!J20</f>
        <v>200</v>
      </c>
      <c r="L41" s="6">
        <f>ဆင်မင်း!K20</f>
        <v>0</v>
      </c>
      <c r="M41" s="6">
        <f>ဆင်မင်း!L20</f>
        <v>0</v>
      </c>
      <c r="N41" s="6">
        <f>ဆင်မင်း!M20</f>
        <v>0</v>
      </c>
      <c r="O41" s="6">
        <f>ဆင်မင်း!N20</f>
        <v>0</v>
      </c>
      <c r="P41" s="6">
        <f>ဆင်မင်း!O20</f>
        <v>0</v>
      </c>
      <c r="Q41" s="6">
        <f>ဆင်မင်း!P20</f>
        <v>0</v>
      </c>
      <c r="R41" s="6">
        <f>ဆင်မင်း!Q20</f>
        <v>0</v>
      </c>
      <c r="S41" s="6">
        <f>ဆင်မင်း!R20</f>
        <v>0</v>
      </c>
      <c r="T41" s="6">
        <f>ဆင်မင်း!S20</f>
        <v>0</v>
      </c>
      <c r="U41" s="6">
        <f>ဆင်မင်း!T20</f>
        <v>0</v>
      </c>
      <c r="V41" s="6">
        <f>ဆင်မင်း!U20</f>
        <v>0</v>
      </c>
      <c r="W41" s="6">
        <f>ဆင်မင်း!V20</f>
        <v>0</v>
      </c>
      <c r="X41" s="6">
        <f>ဆင်မင်း!W20</f>
        <v>0</v>
      </c>
      <c r="Y41" s="6">
        <f>ဆင်မင်း!X20</f>
        <v>0</v>
      </c>
      <c r="Z41" s="6">
        <f>ဆင်မင်း!Y20</f>
        <v>0</v>
      </c>
      <c r="AA41" s="6">
        <f>ဆင်မင်း!Z20</f>
        <v>0</v>
      </c>
      <c r="AB41" s="6">
        <f>ဆင်မင်း!AA20</f>
        <v>0</v>
      </c>
      <c r="AC41" s="6">
        <f>ဆင်မင်း!AB20</f>
        <v>0</v>
      </c>
      <c r="AD41" s="6">
        <f>ဆင်မင်း!AC20</f>
        <v>0</v>
      </c>
      <c r="AE41" s="6">
        <f>ဆင်မင်း!AD20</f>
        <v>0</v>
      </c>
      <c r="AF41" s="6"/>
      <c r="AG41" s="6"/>
      <c r="AH41" s="6">
        <f>ဆင်မင်း!AE20</f>
        <v>305</v>
      </c>
      <c r="AI41" s="6">
        <f>ဆင်မင်း!AF20</f>
        <v>4200</v>
      </c>
    </row>
    <row r="42" spans="1:35" ht="25.15" customHeight="1" x14ac:dyDescent="0.6">
      <c r="A42" s="33">
        <v>38</v>
      </c>
      <c r="B42" s="22" t="s">
        <v>109</v>
      </c>
      <c r="C42" s="8" t="s">
        <v>38</v>
      </c>
      <c r="D42" s="6">
        <f>မာဟန်!C19</f>
        <v>0</v>
      </c>
      <c r="E42" s="6">
        <f>မာဟန်!D19</f>
        <v>0</v>
      </c>
      <c r="F42" s="6">
        <f>မာဟန်!E19</f>
        <v>0</v>
      </c>
      <c r="G42" s="6">
        <f>မာဟန်!F19</f>
        <v>0</v>
      </c>
      <c r="H42" s="6">
        <f>မာဟန်!G19</f>
        <v>0</v>
      </c>
      <c r="I42" s="6">
        <f>မာဟန်!H19</f>
        <v>0</v>
      </c>
      <c r="J42" s="6">
        <f>မာဟန်!I19</f>
        <v>0</v>
      </c>
      <c r="K42" s="6">
        <f>မာဟန်!J19</f>
        <v>0</v>
      </c>
      <c r="L42" s="6">
        <f>မာဟန်!K19</f>
        <v>0</v>
      </c>
      <c r="M42" s="6">
        <f>မာဟန်!L19</f>
        <v>0</v>
      </c>
      <c r="N42" s="6">
        <f>မာဟန်!M19</f>
        <v>0</v>
      </c>
      <c r="O42" s="6">
        <f>မာဟန်!N19</f>
        <v>0</v>
      </c>
      <c r="P42" s="6">
        <f>မာဟန်!O19</f>
        <v>0</v>
      </c>
      <c r="Q42" s="6">
        <f>မာဟန်!P19</f>
        <v>0</v>
      </c>
      <c r="R42" s="6">
        <f>မာဟန်!Q19</f>
        <v>0</v>
      </c>
      <c r="S42" s="6">
        <f>မာဟန်!R19</f>
        <v>0</v>
      </c>
      <c r="T42" s="6">
        <f>မာဟန်!S19</f>
        <v>0</v>
      </c>
      <c r="U42" s="6">
        <f>မာဟန်!T19</f>
        <v>0</v>
      </c>
      <c r="V42" s="6">
        <f>မာဟန်!U19</f>
        <v>0</v>
      </c>
      <c r="W42" s="6">
        <f>မာဟန်!V19</f>
        <v>0</v>
      </c>
      <c r="X42" s="6">
        <f>မာဟန်!W19</f>
        <v>0</v>
      </c>
      <c r="Y42" s="6">
        <f>မာဟန်!X19</f>
        <v>0</v>
      </c>
      <c r="Z42" s="6">
        <f>မာဟန်!Y19</f>
        <v>0</v>
      </c>
      <c r="AA42" s="6">
        <f>မာဟန်!Z19</f>
        <v>0</v>
      </c>
      <c r="AB42" s="6">
        <f>မာဟန်!AA19</f>
        <v>0</v>
      </c>
      <c r="AC42" s="6">
        <f>မာဟန်!AB19</f>
        <v>0</v>
      </c>
      <c r="AD42" s="6">
        <f>မာဟန်!AC19</f>
        <v>0</v>
      </c>
      <c r="AE42" s="6">
        <f>မာဟန်!AD19</f>
        <v>0</v>
      </c>
      <c r="AF42" s="6"/>
      <c r="AG42" s="6">
        <f>မာဟန်!AF19</f>
        <v>0</v>
      </c>
      <c r="AH42" s="6">
        <f>မာဟန်!AE19</f>
        <v>0</v>
      </c>
      <c r="AI42" s="6">
        <f>မာဟန်!AF19</f>
        <v>0</v>
      </c>
    </row>
    <row r="43" spans="1:35" ht="25.15" customHeight="1" x14ac:dyDescent="0.6">
      <c r="A43" s="33">
        <v>39</v>
      </c>
      <c r="B43" s="22" t="s">
        <v>110</v>
      </c>
      <c r="C43" s="6" t="s">
        <v>116</v>
      </c>
      <c r="D43" s="6">
        <f>အောင်ပြည့်စုံ!C19</f>
        <v>70</v>
      </c>
      <c r="E43" s="6">
        <f>အောင်ပြည့်စုံ!D19</f>
        <v>980</v>
      </c>
      <c r="F43" s="6">
        <f>အောင်ပြည့်စုံ!E19</f>
        <v>0</v>
      </c>
      <c r="G43" s="6">
        <f>အောင်ပြည့်စုံ!F19</f>
        <v>0</v>
      </c>
      <c r="H43" s="6">
        <f>အောင်ပြည့်စုံ!G19</f>
        <v>0</v>
      </c>
      <c r="I43" s="6">
        <f>အောင်ပြည့်စုံ!H19</f>
        <v>0</v>
      </c>
      <c r="J43" s="6">
        <f>အောင်ပြည့်စုံ!I19</f>
        <v>0</v>
      </c>
      <c r="K43" s="6">
        <f>အောင်ပြည့်စုံ!J19</f>
        <v>0</v>
      </c>
      <c r="L43" s="6">
        <f>အောင်ပြည့်စုံ!K19</f>
        <v>0</v>
      </c>
      <c r="M43" s="6">
        <f>အောင်ပြည့်စုံ!L19</f>
        <v>0</v>
      </c>
      <c r="N43" s="6">
        <f>အောင်ပြည့်စုံ!M19</f>
        <v>400</v>
      </c>
      <c r="O43" s="6">
        <f>အောင်ပြည့်စုံ!N19</f>
        <v>4800</v>
      </c>
      <c r="P43" s="6">
        <f>အောင်ပြည့်စုံ!O19</f>
        <v>0</v>
      </c>
      <c r="Q43" s="6">
        <f>အောင်ပြည့်စုံ!P19</f>
        <v>0</v>
      </c>
      <c r="R43" s="6">
        <f>အောင်ပြည့်စုံ!Q19</f>
        <v>0</v>
      </c>
      <c r="S43" s="6">
        <f>အောင်ပြည့်စုံ!R19</f>
        <v>0</v>
      </c>
      <c r="T43" s="6">
        <f>အောင်ပြည့်စုံ!S19</f>
        <v>0</v>
      </c>
      <c r="U43" s="6">
        <f>အောင်ပြည့်စုံ!T19</f>
        <v>0</v>
      </c>
      <c r="V43" s="6">
        <f>အောင်ပြည့်စုံ!U19</f>
        <v>0</v>
      </c>
      <c r="W43" s="6">
        <f>အောင်ပြည့်စုံ!V19</f>
        <v>0</v>
      </c>
      <c r="X43" s="6">
        <f>အောင်ပြည့်စုံ!W19</f>
        <v>0</v>
      </c>
      <c r="Y43" s="6">
        <f>အောင်ပြည့်စုံ!X19</f>
        <v>0</v>
      </c>
      <c r="Z43" s="6">
        <f>အောင်ပြည့်စုံ!Y19</f>
        <v>0</v>
      </c>
      <c r="AA43" s="6">
        <f>အောင်ပြည့်စုံ!Z19</f>
        <v>0</v>
      </c>
      <c r="AB43" s="6">
        <f>အောင်ပြည့်စုံ!AA19</f>
        <v>0</v>
      </c>
      <c r="AC43" s="6">
        <f>အောင်ပြည့်စုံ!AB19</f>
        <v>0</v>
      </c>
      <c r="AD43" s="6">
        <f>အောင်ပြည့်စုံ!AC19</f>
        <v>0</v>
      </c>
      <c r="AE43" s="6">
        <f>အောင်ပြည့်စုံ!AD19</f>
        <v>0</v>
      </c>
      <c r="AF43" s="6"/>
      <c r="AG43" s="6">
        <f>အောင်ပြည့်စုံ!AF19</f>
        <v>5780</v>
      </c>
      <c r="AH43" s="6">
        <f>အောင်ပြည့်စုံ!AE19</f>
        <v>470</v>
      </c>
      <c r="AI43" s="6">
        <f>အောင်ပြည့်စုံ!AF19</f>
        <v>5780</v>
      </c>
    </row>
    <row r="44" spans="1:35" ht="25.15" customHeight="1" x14ac:dyDescent="0.6">
      <c r="A44" s="33">
        <v>40</v>
      </c>
      <c r="B44" s="22" t="s">
        <v>111</v>
      </c>
      <c r="C44" s="6" t="s">
        <v>117</v>
      </c>
      <c r="D44" s="6">
        <f>ဂျက်ကြီး!C19</f>
        <v>0</v>
      </c>
      <c r="E44" s="6">
        <f>ဂျက်ကြီး!D19</f>
        <v>0</v>
      </c>
      <c r="F44" s="6">
        <f>ဂျက်ကြီး!E19</f>
        <v>0</v>
      </c>
      <c r="G44" s="6">
        <f>ဂျက်ကြီး!F19</f>
        <v>0</v>
      </c>
      <c r="H44" s="6">
        <f>ဂျက်ကြီး!G19</f>
        <v>0</v>
      </c>
      <c r="I44" s="6">
        <f>ဂျက်ကြီး!H19</f>
        <v>0</v>
      </c>
      <c r="J44" s="6">
        <f>ဂျက်ကြီး!I19</f>
        <v>0</v>
      </c>
      <c r="K44" s="6">
        <f>ဂျက်ကြီး!J19</f>
        <v>0</v>
      </c>
      <c r="L44" s="6">
        <f>ဂျက်ကြီး!K19</f>
        <v>0</v>
      </c>
      <c r="M44" s="6">
        <f>ဂျက်ကြီး!L19</f>
        <v>0</v>
      </c>
      <c r="N44" s="6">
        <f>ဂျက်ကြီး!M19</f>
        <v>0</v>
      </c>
      <c r="O44" s="6">
        <f>ဂျက်ကြီး!N19</f>
        <v>0</v>
      </c>
      <c r="P44" s="6">
        <f>ဂျက်ကြီး!O19</f>
        <v>0</v>
      </c>
      <c r="Q44" s="6">
        <f>ဂျက်ကြီး!P19</f>
        <v>0</v>
      </c>
      <c r="R44" s="6">
        <f>ဂျက်ကြီး!Q19</f>
        <v>0</v>
      </c>
      <c r="S44" s="6">
        <f>ဂျက်ကြီး!R19</f>
        <v>0</v>
      </c>
      <c r="T44" s="6">
        <f>ဂျက်ကြီး!S19</f>
        <v>0</v>
      </c>
      <c r="U44" s="6">
        <f>ဂျက်ကြီး!T19</f>
        <v>0</v>
      </c>
      <c r="V44" s="6">
        <f>ဂျက်ကြီး!U19</f>
        <v>0</v>
      </c>
      <c r="W44" s="6">
        <f>ဂျက်ကြီး!V19</f>
        <v>0</v>
      </c>
      <c r="X44" s="6">
        <f>ဂျက်ကြီး!W19</f>
        <v>0</v>
      </c>
      <c r="Y44" s="6">
        <f>ဂျက်ကြီး!X19</f>
        <v>0</v>
      </c>
      <c r="Z44" s="6">
        <f>ဂျက်ကြီး!Y19</f>
        <v>0</v>
      </c>
      <c r="AA44" s="6">
        <f>ဂျက်ကြီး!Z19</f>
        <v>0</v>
      </c>
      <c r="AB44" s="6">
        <f>ဂျက်ကြီး!AA19</f>
        <v>0</v>
      </c>
      <c r="AC44" s="6">
        <f>ဂျက်ကြီး!AB19</f>
        <v>0</v>
      </c>
      <c r="AD44" s="6">
        <f>ဂျက်ကြီး!AC19</f>
        <v>0</v>
      </c>
      <c r="AE44" s="6">
        <f>ဂျက်ကြီး!AD19</f>
        <v>0</v>
      </c>
      <c r="AF44" s="6"/>
      <c r="AG44" s="6"/>
      <c r="AH44" s="6">
        <f>ဂျက်ကြီး!AE19</f>
        <v>0</v>
      </c>
      <c r="AI44" s="6">
        <f>ဂျက်ကြီး!AF19</f>
        <v>0</v>
      </c>
    </row>
    <row r="45" spans="1:35" ht="25.15" customHeight="1" x14ac:dyDescent="0.6">
      <c r="A45" s="33">
        <v>41</v>
      </c>
      <c r="B45" s="22" t="s">
        <v>112</v>
      </c>
      <c r="C45" s="8" t="s">
        <v>118</v>
      </c>
      <c r="D45" s="6">
        <f>မိုးမြင့်ထက်!C19</f>
        <v>0</v>
      </c>
      <c r="E45" s="6">
        <f>မိုးမြင့်ထက်!D19</f>
        <v>0</v>
      </c>
      <c r="F45" s="6">
        <f>မိုးမြင့်ထက်!E19</f>
        <v>0</v>
      </c>
      <c r="G45" s="6">
        <f>မိုးမြင့်ထက်!F19</f>
        <v>0</v>
      </c>
      <c r="H45" s="6">
        <f>မိုးမြင့်ထက်!G19</f>
        <v>0</v>
      </c>
      <c r="I45" s="6">
        <f>မိုးမြင့်ထက်!H19</f>
        <v>0</v>
      </c>
      <c r="J45" s="6">
        <f>မိုးမြင့်ထက်!I19</f>
        <v>0</v>
      </c>
      <c r="K45" s="6">
        <f>မိုးမြင့်ထက်!J19</f>
        <v>0</v>
      </c>
      <c r="L45" s="6">
        <f>မိုးမြင့်ထက်!K19</f>
        <v>0</v>
      </c>
      <c r="M45" s="6">
        <f>မိုးမြင့်ထက်!L19</f>
        <v>0</v>
      </c>
      <c r="N45" s="6">
        <f>မိုးမြင့်ထက်!M19</f>
        <v>0</v>
      </c>
      <c r="O45" s="6">
        <f>မိုးမြင့်ထက်!N19</f>
        <v>0</v>
      </c>
      <c r="P45" s="6">
        <f>မိုးမြင့်ထက်!O19</f>
        <v>0</v>
      </c>
      <c r="Q45" s="6">
        <f>မိုးမြင့်ထက်!P19</f>
        <v>0</v>
      </c>
      <c r="R45" s="6">
        <f>မိုးမြင့်ထက်!Q19</f>
        <v>0</v>
      </c>
      <c r="S45" s="6">
        <f>မိုးမြင့်ထက်!R19</f>
        <v>0</v>
      </c>
      <c r="T45" s="6">
        <f>မိုးမြင့်ထက်!S19</f>
        <v>0</v>
      </c>
      <c r="U45" s="6">
        <f>မိုးမြင့်ထက်!T19</f>
        <v>0</v>
      </c>
      <c r="V45" s="6">
        <f>မိုးမြင့်ထက်!U19</f>
        <v>0</v>
      </c>
      <c r="W45" s="6">
        <f>မိုးမြင့်ထက်!V19</f>
        <v>0</v>
      </c>
      <c r="X45" s="6">
        <f>မိုးမြင့်ထက်!W19</f>
        <v>0</v>
      </c>
      <c r="Y45" s="6">
        <f>မိုးမြင့်ထက်!X19</f>
        <v>0</v>
      </c>
      <c r="Z45" s="6">
        <f>မိုးမြင့်ထက်!Y19</f>
        <v>0</v>
      </c>
      <c r="AA45" s="6">
        <f>မိုးမြင့်ထက်!Z19</f>
        <v>0</v>
      </c>
      <c r="AB45" s="6">
        <f>မိုးမြင့်ထက်!AA19</f>
        <v>0</v>
      </c>
      <c r="AC45" s="6">
        <f>မိုးမြင့်ထက်!AB19</f>
        <v>0</v>
      </c>
      <c r="AD45" s="6">
        <f>မိုးမြင့်ထက်!AC19</f>
        <v>0</v>
      </c>
      <c r="AE45" s="6">
        <f>မိုးမြင့်ထက်!AD19</f>
        <v>0</v>
      </c>
      <c r="AF45" s="6"/>
      <c r="AG45" s="6">
        <f>မိုးမြင့်ထက်!AF19</f>
        <v>0</v>
      </c>
      <c r="AH45" s="6">
        <f>မိုးမြင့်ထက်!AE19</f>
        <v>0</v>
      </c>
      <c r="AI45" s="6">
        <f>မိုးမြင့်ထက်!AF19</f>
        <v>0</v>
      </c>
    </row>
    <row r="46" spans="1:35" ht="25.15" customHeight="1" x14ac:dyDescent="0.6">
      <c r="A46" s="33">
        <v>41</v>
      </c>
      <c r="B46" s="33" t="s">
        <v>322</v>
      </c>
      <c r="C46" s="33"/>
      <c r="D46" s="34" t="e">
        <f>SUM(D5:D45)</f>
        <v>#REF!</v>
      </c>
      <c r="E46" s="34" t="e">
        <f t="shared" ref="E46:AE46" si="0">SUM(E5:E45)</f>
        <v>#REF!</v>
      </c>
      <c r="F46" s="34" t="e">
        <f t="shared" si="0"/>
        <v>#REF!</v>
      </c>
      <c r="G46" s="34" t="e">
        <f t="shared" si="0"/>
        <v>#REF!</v>
      </c>
      <c r="H46" s="34" t="e">
        <f t="shared" si="0"/>
        <v>#REF!</v>
      </c>
      <c r="I46" s="34" t="e">
        <f t="shared" si="0"/>
        <v>#REF!</v>
      </c>
      <c r="J46" s="34" t="e">
        <f t="shared" si="0"/>
        <v>#REF!</v>
      </c>
      <c r="K46" s="34" t="e">
        <f t="shared" si="0"/>
        <v>#REF!</v>
      </c>
      <c r="L46" s="34" t="e">
        <f t="shared" si="0"/>
        <v>#REF!</v>
      </c>
      <c r="M46" s="34" t="e">
        <f t="shared" si="0"/>
        <v>#REF!</v>
      </c>
      <c r="N46" s="34" t="e">
        <f t="shared" si="0"/>
        <v>#REF!</v>
      </c>
      <c r="O46" s="34" t="e">
        <f t="shared" si="0"/>
        <v>#REF!</v>
      </c>
      <c r="P46" s="34" t="e">
        <f t="shared" si="0"/>
        <v>#REF!</v>
      </c>
      <c r="Q46" s="34" t="e">
        <f t="shared" si="0"/>
        <v>#REF!</v>
      </c>
      <c r="R46" s="34" t="e">
        <f t="shared" si="0"/>
        <v>#REF!</v>
      </c>
      <c r="S46" s="34" t="e">
        <f t="shared" si="0"/>
        <v>#REF!</v>
      </c>
      <c r="T46" s="34" t="e">
        <f t="shared" si="0"/>
        <v>#REF!</v>
      </c>
      <c r="U46" s="34" t="e">
        <f t="shared" si="0"/>
        <v>#REF!</v>
      </c>
      <c r="V46" s="34" t="e">
        <f t="shared" si="0"/>
        <v>#REF!</v>
      </c>
      <c r="W46" s="34" t="e">
        <f t="shared" si="0"/>
        <v>#REF!</v>
      </c>
      <c r="X46" s="34" t="e">
        <f t="shared" si="0"/>
        <v>#REF!</v>
      </c>
      <c r="Y46" s="34" t="e">
        <f t="shared" si="0"/>
        <v>#REF!</v>
      </c>
      <c r="Z46" s="34" t="e">
        <f t="shared" si="0"/>
        <v>#REF!</v>
      </c>
      <c r="AA46" s="34" t="e">
        <f t="shared" si="0"/>
        <v>#REF!</v>
      </c>
      <c r="AB46" s="34" t="e">
        <f t="shared" si="0"/>
        <v>#REF!</v>
      </c>
      <c r="AC46" s="34" t="e">
        <f t="shared" si="0"/>
        <v>#REF!</v>
      </c>
      <c r="AD46" s="34" t="e">
        <f t="shared" si="0"/>
        <v>#REF!</v>
      </c>
      <c r="AE46" s="34" t="e">
        <f t="shared" si="0"/>
        <v>#REF!</v>
      </c>
      <c r="AF46" s="34">
        <f>SUM(AF5:AF45)</f>
        <v>0</v>
      </c>
      <c r="AG46" s="34">
        <f>SUM(AG5:AG45)</f>
        <v>17690</v>
      </c>
      <c r="AH46" s="34" t="e">
        <f>SUM(AH5:AH45)</f>
        <v>#REF!</v>
      </c>
      <c r="AI46" s="34" t="e">
        <f>SUM(AI5:AI45)</f>
        <v>#REF!</v>
      </c>
    </row>
    <row r="47" spans="1:35" ht="25.15" customHeight="1" x14ac:dyDescent="0.6"/>
    <row r="48" spans="1:35" ht="25.15" customHeight="1" x14ac:dyDescent="0.6"/>
    <row r="49" ht="25.15" customHeight="1" x14ac:dyDescent="0.6"/>
    <row r="50" ht="25.15" customHeight="1" x14ac:dyDescent="0.6"/>
    <row r="51" ht="25.15" customHeight="1" x14ac:dyDescent="0.6"/>
    <row r="52" ht="25.15" customHeight="1" x14ac:dyDescent="0.6"/>
    <row r="53" ht="25.15" customHeight="1" x14ac:dyDescent="0.6"/>
    <row r="54" ht="25.15" customHeight="1" x14ac:dyDescent="0.6"/>
    <row r="55" ht="25.15" customHeight="1" x14ac:dyDescent="0.6"/>
    <row r="56" ht="25.15" customHeight="1" x14ac:dyDescent="0.6"/>
    <row r="57" ht="25.15" customHeight="1" x14ac:dyDescent="0.6"/>
    <row r="58" ht="25.15" customHeight="1" x14ac:dyDescent="0.6"/>
    <row r="59" ht="25.15" customHeight="1" x14ac:dyDescent="0.6"/>
    <row r="60" ht="25.15" customHeight="1" x14ac:dyDescent="0.6"/>
    <row r="61" ht="25.15" customHeight="1" x14ac:dyDescent="0.6"/>
    <row r="62" ht="25.15" customHeight="1" x14ac:dyDescent="0.6"/>
    <row r="63" ht="25.15" customHeight="1" x14ac:dyDescent="0.6"/>
    <row r="64" ht="25.15" customHeight="1" x14ac:dyDescent="0.6"/>
    <row r="65" ht="25.15" customHeight="1" x14ac:dyDescent="0.6"/>
    <row r="66" ht="25.15" customHeight="1" x14ac:dyDescent="0.6"/>
    <row r="67" ht="25.15" customHeight="1" x14ac:dyDescent="0.6"/>
    <row r="68" ht="25.15" customHeight="1" x14ac:dyDescent="0.6"/>
    <row r="69" ht="25.15" customHeight="1" x14ac:dyDescent="0.6"/>
    <row r="70" ht="25.15" customHeight="1" x14ac:dyDescent="0.6"/>
    <row r="71" ht="25.15" customHeight="1" x14ac:dyDescent="0.6"/>
    <row r="72" ht="25.15" customHeight="1" x14ac:dyDescent="0.6"/>
    <row r="73" ht="25.15" customHeight="1" x14ac:dyDescent="0.6"/>
    <row r="74" ht="25.15" customHeight="1" x14ac:dyDescent="0.6"/>
    <row r="75" ht="25.15" customHeight="1" x14ac:dyDescent="0.6"/>
    <row r="76" ht="25.15" customHeight="1" x14ac:dyDescent="0.6"/>
    <row r="77" ht="25.15" customHeight="1" x14ac:dyDescent="0.6"/>
    <row r="78" ht="25.15" customHeight="1" x14ac:dyDescent="0.6"/>
    <row r="79" ht="25.15" customHeight="1" x14ac:dyDescent="0.6"/>
    <row r="80" ht="25.15" customHeight="1" x14ac:dyDescent="0.6"/>
    <row r="81" ht="25.15" customHeight="1" x14ac:dyDescent="0.6"/>
    <row r="82" ht="25.15" customHeight="1" x14ac:dyDescent="0.6"/>
    <row r="83" ht="25.15" customHeight="1" x14ac:dyDescent="0.6"/>
    <row r="84" ht="25.15" customHeight="1" x14ac:dyDescent="0.6"/>
    <row r="85" ht="25.15" customHeight="1" x14ac:dyDescent="0.6"/>
    <row r="86" ht="25.15" customHeight="1" x14ac:dyDescent="0.6"/>
    <row r="87" ht="25.15" customHeight="1" x14ac:dyDescent="0.6"/>
    <row r="88" ht="25.15" customHeight="1" x14ac:dyDescent="0.6"/>
  </sheetData>
  <mergeCells count="21">
    <mergeCell ref="D1:AC1"/>
    <mergeCell ref="B2:B4"/>
    <mergeCell ref="C2:C4"/>
    <mergeCell ref="D2:AC2"/>
    <mergeCell ref="D3:E3"/>
    <mergeCell ref="F3:G3"/>
    <mergeCell ref="H3:I3"/>
    <mergeCell ref="J3:K3"/>
    <mergeCell ref="L3:M3"/>
    <mergeCell ref="N3:O3"/>
    <mergeCell ref="AB3:AC3"/>
    <mergeCell ref="AD3:AE3"/>
    <mergeCell ref="AH3:AI3"/>
    <mergeCell ref="A2:A4"/>
    <mergeCell ref="P3:Q3"/>
    <mergeCell ref="R3:S3"/>
    <mergeCell ref="T3:U3"/>
    <mergeCell ref="V3:W3"/>
    <mergeCell ref="X3:Y3"/>
    <mergeCell ref="Z3:AA3"/>
    <mergeCell ref="AF3:AG3"/>
  </mergeCells>
  <hyperlinks>
    <hyperlink ref="D1:AC1" location="'SMM YGN '!A1" display="မိုးမြင့်ထက်(မြောက်ဒဂုံ)" xr:uid="{00000000-0004-0000-3500-000000000000}"/>
    <hyperlink ref="B5" location="ရွှေဧရာ!A1" display="ရွှေဧရာ" xr:uid="{00000000-0004-0000-3500-000001000000}"/>
    <hyperlink ref="B6" location="တော်ဝင်!A1" display="တော်ဝင်" xr:uid="{00000000-0004-0000-3500-000002000000}"/>
    <hyperlink ref="B7" location="'အောင်ချမ်းသာ '!A1" display="အောင်ချမ်းသာ " xr:uid="{00000000-0004-0000-3500-000003000000}"/>
    <hyperlink ref="B8" location="မမွှေးမွှေး!A1" display="မမွှေးမွှေး" xr:uid="{00000000-0004-0000-3500-000004000000}"/>
    <hyperlink ref="B9" location="ဦးလှဖုန်း!A1" display="ဦးလှဖုန်း" xr:uid="{00000000-0004-0000-3500-000005000000}"/>
    <hyperlink ref="B10" location="မိုးအောင်!A1" display="မိုးအောင်" xr:uid="{00000000-0004-0000-3500-000006000000}"/>
    <hyperlink ref="B11" location="ရွက်သစ်!A1" display="ရွက်သစ်" xr:uid="{00000000-0004-0000-3500-000007000000}"/>
    <hyperlink ref="B12" location="ကိုရွှေသီး!A1" display="ကိုရွှေသီး" xr:uid="{00000000-0004-0000-3500-000008000000}"/>
    <hyperlink ref="B13" location="ကိုဖိုးသက်!A1" display="ကိုဖိုးသက်" xr:uid="{00000000-0004-0000-3500-000009000000}"/>
    <hyperlink ref="B14" location="ဦးအိရွှေ!A1" display="ဦးအိရွှေ" xr:uid="{00000000-0004-0000-3500-00000A000000}"/>
    <hyperlink ref="B15" location="ပန်းသတင်း!A1" display="ပန်းသတင်း" xr:uid="{00000000-0004-0000-3500-00000B000000}"/>
    <hyperlink ref="B16" location="ကောင်းမွန်!A1" display="ကောင်းမွန်" xr:uid="{00000000-0004-0000-3500-00000C000000}"/>
    <hyperlink ref="B17" location="နေလ!A1" display="နေလ" xr:uid="{00000000-0004-0000-3500-00000D000000}"/>
    <hyperlink ref="B18" location="ရွှေစည်းစိမ်!A1" display="ရွှေစည်းစိမ်" xr:uid="{00000000-0004-0000-3500-00000E000000}"/>
    <hyperlink ref="B19" location="ပေါ်ဦး!A1" display="ပေါ်ဉီး" xr:uid="{00000000-0004-0000-3500-00000F000000}"/>
    <hyperlink ref="B20" location="'မပို့မချို '!A1" display="မပို့မချို" xr:uid="{00000000-0004-0000-3500-000010000000}"/>
    <hyperlink ref="B21" location="AAA!A1" display="AAA" xr:uid="{00000000-0004-0000-3500-000011000000}"/>
    <hyperlink ref="B22" location="ရွှေဇီးကွက်!A1" display="ရွှေဇီးကွက်" xr:uid="{00000000-0004-0000-3500-000012000000}"/>
    <hyperlink ref="B23" location="မြတ်မွှေး!A1" display="မြတ်မွှေး" xr:uid="{00000000-0004-0000-3500-000013000000}"/>
    <hyperlink ref="B24" location="ဘဘကြီး!A1" display="ဘဘကြီး" xr:uid="{00000000-0004-0000-3500-000014000000}"/>
    <hyperlink ref="B25" location="ဦးတင်အေး!A1" display="ဦးတင်အေး" xr:uid="{00000000-0004-0000-3500-000015000000}"/>
    <hyperlink ref="B26" location="ရတနာတိုး!A1" display="ရတနာတိုး (H)" xr:uid="{00000000-0004-0000-3500-000016000000}"/>
    <hyperlink ref="B27" location="မွန်မလေး!A1" display="မွန်မလေး" xr:uid="{00000000-0004-0000-3500-000017000000}"/>
    <hyperlink ref="B28" location="ရွှေဉယျာဉ်!A1" display="ရွှေဉယျာဉ်" xr:uid="{00000000-0004-0000-3500-000018000000}"/>
    <hyperlink ref="B29" location="ဆွေသဟာ!A1" display="ဆွေသဟာ" xr:uid="{00000000-0004-0000-3500-000019000000}"/>
    <hyperlink ref="B30" location="သော်တာထွန်း!A1" display="သော်တာထွန်း" xr:uid="{00000000-0004-0000-3500-00001A000000}"/>
    <hyperlink ref="B31" location="မိဘမေတ္တာ!A1" display="မိဘမေတ္တာ" xr:uid="{00000000-0004-0000-3500-00001B000000}"/>
    <hyperlink ref="B32" location="ရှယ်ထူး!A1" display="ရှယ်ထူး" xr:uid="{00000000-0004-0000-3500-00001C000000}"/>
    <hyperlink ref="B33" location="'မချိုချိုလွင် '!A1" display="မချိုချိုလွင်" xr:uid="{00000000-0004-0000-3500-00001D000000}"/>
    <hyperlink ref="B34" location="အနွယ်တော်!A1" display="အနွယ်တော်" xr:uid="{00000000-0004-0000-3500-00001E000000}"/>
    <hyperlink ref="B35" location="ဘောဂ!A1" display="ဘောဂ" xr:uid="{00000000-0004-0000-3500-00001F000000}"/>
    <hyperlink ref="B36" location="ကိုကျော်ဆွေ!A1" display="ကိုကျော်ဆွေ" xr:uid="{00000000-0004-0000-3500-000020000000}"/>
    <hyperlink ref="B37" location="ဒေလီယာ!A1" display="ဒေလီယာ" xr:uid="{00000000-0004-0000-3500-000021000000}"/>
    <hyperlink ref="B38" location="မသီတာ!A1" display="မသီတာ" xr:uid="{00000000-0004-0000-3500-000022000000}"/>
    <hyperlink ref="B39" location="သုခအောင်!A1" display="သုခအောင်" xr:uid="{00000000-0004-0000-3500-000023000000}"/>
    <hyperlink ref="B40" location="လမင်းသာ!A1" display="လမင်းသာ" xr:uid="{00000000-0004-0000-3500-000024000000}"/>
    <hyperlink ref="B41" location="ဆင်မင်း!A1" display="ဆင်မင်း" xr:uid="{00000000-0004-0000-3500-000025000000}"/>
    <hyperlink ref="B42" location="မာဟန်!A1" display="မာဟန်" xr:uid="{00000000-0004-0000-3500-000026000000}"/>
    <hyperlink ref="B43" location="အောင်ပြည့်စုံ!A1" display="အောင်ပြည့်စုံ" xr:uid="{00000000-0004-0000-3500-000027000000}"/>
    <hyperlink ref="B44" location="ဂျက်ကြီး!A1" display="ဂျက်ကြီး" xr:uid="{00000000-0004-0000-3500-000028000000}"/>
    <hyperlink ref="B45" location="မိုးမြင့်ထက်!A1" display="မိုးမြင့်ထက်" xr:uid="{00000000-0004-0000-3500-000029000000}"/>
    <hyperlink ref="D2:AC2" location="'SMM YGN '!A1" display="SKU" xr:uid="{00000000-0004-0000-3500-00002A000000}"/>
    <hyperlink ref="AF1:AG1" location="'SMM YGN '!A1" display="မိုးမြင့်ထက်(မြောက်ဒဂုံ)" xr:uid="{00000000-0004-0000-3500-00002B000000}"/>
    <hyperlink ref="AF2:AG2" location="'SMM YGN '!A1" display="SKU" xr:uid="{00000000-0004-0000-3500-00002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Ygn 2025 Fllow up sale</vt:lpstr>
      <vt:lpstr>Team Targer Jan2025</vt:lpstr>
      <vt:lpstr>SMM YGN </vt:lpstr>
      <vt:lpstr>Ws + Van Debtor YGN </vt:lpstr>
      <vt:lpstr>WS-2025</vt:lpstr>
      <vt:lpstr>မိုးအောင်</vt:lpstr>
      <vt:lpstr>Ws+ Van Debtor YGN</vt:lpstr>
      <vt:lpstr>သော်တာထွန်း</vt:lpstr>
      <vt:lpstr>ရွှေဧရာ</vt:lpstr>
      <vt:lpstr>မိဘမေတ္တာ</vt:lpstr>
      <vt:lpstr>AAA</vt:lpstr>
      <vt:lpstr>ပေါ်ဦး</vt:lpstr>
      <vt:lpstr>တော်ဝင်</vt:lpstr>
      <vt:lpstr>အောင်ချမ်းသာ </vt:lpstr>
      <vt:lpstr>မမွှေးမွှေး</vt:lpstr>
      <vt:lpstr>ဦးလှဖုန်း</vt:lpstr>
      <vt:lpstr>ရွက်သစ်</vt:lpstr>
      <vt:lpstr>ကိုရွှေသီး</vt:lpstr>
      <vt:lpstr>ကိုဖိုးသက်</vt:lpstr>
      <vt:lpstr>ဦးအိရွှေ</vt:lpstr>
      <vt:lpstr>ပန်းသတင်း</vt:lpstr>
      <vt:lpstr>ကောင်းမွန်</vt:lpstr>
      <vt:lpstr>နေလ</vt:lpstr>
      <vt:lpstr>ရွှေစည်းစိမ်</vt:lpstr>
      <vt:lpstr>မပို့မချို</vt:lpstr>
      <vt:lpstr>ရွှေဇီးကွက်</vt:lpstr>
      <vt:lpstr>မြတ်မွှေး</vt:lpstr>
      <vt:lpstr>ဘဘကြီး</vt:lpstr>
      <vt:lpstr>ဦးတင်အေး</vt:lpstr>
      <vt:lpstr>ရတနာတိုး</vt:lpstr>
      <vt:lpstr>မွန်မလေး</vt:lpstr>
      <vt:lpstr>ရွှေဉယျာဉ်</vt:lpstr>
      <vt:lpstr>ဆွေသဟာ</vt:lpstr>
      <vt:lpstr>ရှယ်ထူး</vt:lpstr>
      <vt:lpstr>မချိုချိုလွင် </vt:lpstr>
      <vt:lpstr>အနွယ်တော်</vt:lpstr>
      <vt:lpstr>ဘောဂ</vt:lpstr>
      <vt:lpstr>ကိုကျော်ဆွေ</vt:lpstr>
      <vt:lpstr>ဒေလီယာ</vt:lpstr>
      <vt:lpstr>သုခအောင်</vt:lpstr>
      <vt:lpstr>မသီတာ</vt:lpstr>
      <vt:lpstr>လမင်းသာ</vt:lpstr>
      <vt:lpstr>ဆင်မင်း</vt:lpstr>
      <vt:lpstr>မာဟန်</vt:lpstr>
      <vt:lpstr>အောင်ပြည့်စုံ</vt:lpstr>
      <vt:lpstr>ဂျက်ကြီး</vt:lpstr>
      <vt:lpstr>မိုးမြင့်ထက်</vt:lpstr>
      <vt:lpstr>Summery</vt:lpstr>
    </vt:vector>
  </TitlesOfParts>
  <Company>Lynda.com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2025-01-23T04:14:49Z</cp:lastPrinted>
  <dcterms:created xsi:type="dcterms:W3CDTF">2012-01-24T13:55:30Z</dcterms:created>
  <dcterms:modified xsi:type="dcterms:W3CDTF">2026-03-21T07:28:08Z</dcterms:modified>
</cp:coreProperties>
</file>