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t Su\Latest 2025\Ko Sai File\"/>
    </mc:Choice>
  </mc:AlternateContent>
  <xr:revisionPtr revIDLastSave="0" documentId="13_ncr:1_{08F28F63-0276-45D0-858E-4D8425636E6F}" xr6:coauthVersionLast="47" xr6:coauthVersionMax="47" xr10:uidLastSave="{00000000-0000-0000-0000-000000000000}"/>
  <bookViews>
    <workbookView xWindow="-120" yWindow="-120" windowWidth="29040" windowHeight="15840" xr2:uid="{B273071C-3F5C-4F52-AAA6-2BF3D08B636B}"/>
  </bookViews>
  <sheets>
    <sheet name="1-YGN" sheetId="1" r:id="rId1"/>
    <sheet name="WS Jan" sheetId="2" state="hidden" r:id="rId2"/>
    <sheet name="WS Feb" sheetId="6" state="hidden" r:id="rId3"/>
    <sheet name="SWS- Jan" sheetId="3" state="hidden" r:id="rId4"/>
    <sheet name="WS March" sheetId="10" r:id="rId5"/>
    <sheet name="SWS- Feb" sheetId="7" state="hidden" r:id="rId6"/>
    <sheet name="Mini- Jan" sheetId="4" state="hidden" r:id="rId7"/>
    <sheet name="SWS- March" sheetId="11" r:id="rId8"/>
    <sheet name="Mini- Feb" sheetId="8" state="hidden" r:id="rId9"/>
    <sheet name="Van Jan" sheetId="5" state="hidden" r:id="rId10"/>
    <sheet name="Mini- March" sheetId="12" r:id="rId11"/>
    <sheet name="Van Feb" sheetId="9" state="hidden" r:id="rId12"/>
    <sheet name="Van March" sheetId="13" r:id="rId13"/>
  </sheets>
  <externalReferences>
    <externalReference r:id="rId14"/>
    <externalReference r:id="rId15"/>
    <externalReference r:id="rId16"/>
    <externalReference r:id="rId17"/>
  </externalReferences>
  <definedNames>
    <definedName name="a" localSheetId="5">#REF!</definedName>
    <definedName name="a" localSheetId="3">#REF!</definedName>
    <definedName name="a" localSheetId="7">#REF!</definedName>
    <definedName name="a" localSheetId="2">#REF!</definedName>
    <definedName name="a" localSheetId="1">#REF!</definedName>
    <definedName name="a" localSheetId="4">#REF!</definedName>
    <definedName name="a">#REF!</definedName>
    <definedName name="aa" localSheetId="0">#REF!</definedName>
    <definedName name="aa" localSheetId="5">#REF!</definedName>
    <definedName name="aa" localSheetId="3">#REF!</definedName>
    <definedName name="aa" localSheetId="7">#REF!</definedName>
    <definedName name="aa" localSheetId="2">#REF!</definedName>
    <definedName name="aa" localSheetId="1">#REF!</definedName>
    <definedName name="aa" localSheetId="4">#REF!</definedName>
    <definedName name="aa">#REF!</definedName>
    <definedName name="aaa" localSheetId="0">#REF!</definedName>
    <definedName name="aaa" localSheetId="5">#REF!</definedName>
    <definedName name="aaa" localSheetId="3">#REF!</definedName>
    <definedName name="aaa" localSheetId="7">#REF!</definedName>
    <definedName name="aaa" localSheetId="2">#REF!</definedName>
    <definedName name="aaa" localSheetId="1">#REF!</definedName>
    <definedName name="aaa" localSheetId="4">#REF!</definedName>
    <definedName name="aaa">#REF!</definedName>
    <definedName name="aaaaa" localSheetId="5">#REF!</definedName>
    <definedName name="aaaaa" localSheetId="3">#REF!</definedName>
    <definedName name="aaaaa" localSheetId="7">#REF!</definedName>
    <definedName name="aaaaa" localSheetId="2">#REF!</definedName>
    <definedName name="aaaaa" localSheetId="1">#REF!</definedName>
    <definedName name="aaaaa" localSheetId="4">#REF!</definedName>
    <definedName name="aaaaa">#REF!</definedName>
    <definedName name="aaaaaaa" localSheetId="5">#REF!</definedName>
    <definedName name="aaaaaaa" localSheetId="3">#REF!</definedName>
    <definedName name="aaaaaaa" localSheetId="7">#REF!</definedName>
    <definedName name="aaaaaaa" localSheetId="2">#REF!</definedName>
    <definedName name="aaaaaaa" localSheetId="1">#REF!</definedName>
    <definedName name="aaaaaaa" localSheetId="4">#REF!</definedName>
    <definedName name="aaaaaaa">#REF!</definedName>
    <definedName name="asd" localSheetId="0">'[1]Market ( Mar) '!#REF!</definedName>
    <definedName name="asd" localSheetId="5">'[2]Market ( Mar) '!#REF!</definedName>
    <definedName name="asd" localSheetId="3">'[2]Market ( Mar) '!#REF!</definedName>
    <definedName name="asd" localSheetId="7">'[2]Market ( Mar) '!#REF!</definedName>
    <definedName name="asd" localSheetId="2">'[2]Market ( Mar) '!#REF!</definedName>
    <definedName name="asd" localSheetId="1">'[2]Market ( Mar) '!#REF!</definedName>
    <definedName name="asd" localSheetId="4">'[2]Market ( Mar) '!#REF!</definedName>
    <definedName name="asd">'[1]Market ( Mar) '!#REF!</definedName>
    <definedName name="atr" localSheetId="0">#REF!</definedName>
    <definedName name="atr" localSheetId="5">#REF!</definedName>
    <definedName name="atr" localSheetId="3">#REF!</definedName>
    <definedName name="atr" localSheetId="7">#REF!</definedName>
    <definedName name="atr" localSheetId="2">#REF!</definedName>
    <definedName name="atr" localSheetId="1">#REF!</definedName>
    <definedName name="atr" localSheetId="4">#REF!</definedName>
    <definedName name="atr">#REF!</definedName>
    <definedName name="b" localSheetId="0">#REF!</definedName>
    <definedName name="b" localSheetId="5">#REF!</definedName>
    <definedName name="b" localSheetId="3">#REF!</definedName>
    <definedName name="b" localSheetId="7">#REF!</definedName>
    <definedName name="b" localSheetId="2">#REF!</definedName>
    <definedName name="b" localSheetId="1">#REF!</definedName>
    <definedName name="b" localSheetId="4">#REF!</definedName>
    <definedName name="b">#REF!</definedName>
    <definedName name="bb" localSheetId="0">#REF!</definedName>
    <definedName name="bb" localSheetId="5">#REF!</definedName>
    <definedName name="bb" localSheetId="3">#REF!</definedName>
    <definedName name="bb" localSheetId="7">#REF!</definedName>
    <definedName name="bb" localSheetId="2">#REF!</definedName>
    <definedName name="bb" localSheetId="1">#REF!</definedName>
    <definedName name="bb" localSheetId="4">#REF!</definedName>
    <definedName name="bb">#REF!</definedName>
    <definedName name="Beg_Bal" localSheetId="0">#REF!</definedName>
    <definedName name="Beg_Bal" localSheetId="5">#REF!</definedName>
    <definedName name="Beg_Bal" localSheetId="3">#REF!</definedName>
    <definedName name="Beg_Bal" localSheetId="7">#REF!</definedName>
    <definedName name="Beg_Bal" localSheetId="2">#REF!</definedName>
    <definedName name="Beg_Bal" localSheetId="1">#REF!</definedName>
    <definedName name="Beg_Bal" localSheetId="4">#REF!</definedName>
    <definedName name="Beg_Bal">#REF!</definedName>
    <definedName name="Cash_Cr" localSheetId="0">#REF!</definedName>
    <definedName name="Cash_Cr" localSheetId="5">#REF!</definedName>
    <definedName name="Cash_Cr" localSheetId="3">#REF!</definedName>
    <definedName name="Cash_Cr" localSheetId="7">#REF!</definedName>
    <definedName name="Cash_Cr" localSheetId="2">#REF!</definedName>
    <definedName name="Cash_Cr" localSheetId="1">#REF!</definedName>
    <definedName name="Cash_Cr" localSheetId="4">#REF!</definedName>
    <definedName name="Cash_Cr">#REF!</definedName>
    <definedName name="Cash_Dr" localSheetId="0">#REF!</definedName>
    <definedName name="Cash_Dr" localSheetId="5">#REF!</definedName>
    <definedName name="Cash_Dr" localSheetId="3">#REF!</definedName>
    <definedName name="Cash_Dr" localSheetId="7">#REF!</definedName>
    <definedName name="Cash_Dr" localSheetId="2">#REF!</definedName>
    <definedName name="Cash_Dr" localSheetId="1">#REF!</definedName>
    <definedName name="Cash_Dr" localSheetId="4">#REF!</definedName>
    <definedName name="Cash_Dr">#REF!</definedName>
    <definedName name="cc" localSheetId="0">#REF!</definedName>
    <definedName name="cc" localSheetId="5">#REF!</definedName>
    <definedName name="cc" localSheetId="3">#REF!</definedName>
    <definedName name="cc" localSheetId="7">#REF!</definedName>
    <definedName name="cc" localSheetId="2">#REF!</definedName>
    <definedName name="cc" localSheetId="1">#REF!</definedName>
    <definedName name="cc" localSheetId="4">#REF!</definedName>
    <definedName name="cc">#REF!</definedName>
    <definedName name="ccc" localSheetId="0">#REF!</definedName>
    <definedName name="ccc" localSheetId="5">#REF!</definedName>
    <definedName name="ccc" localSheetId="3">#REF!</definedName>
    <definedName name="ccc" localSheetId="7">#REF!</definedName>
    <definedName name="ccc" localSheetId="2">#REF!</definedName>
    <definedName name="ccc" localSheetId="1">#REF!</definedName>
    <definedName name="ccc" localSheetId="4">#REF!</definedName>
    <definedName name="ccc">#REF!</definedName>
    <definedName name="cft" localSheetId="5">#REF!</definedName>
    <definedName name="cft" localSheetId="3">#REF!</definedName>
    <definedName name="cft" localSheetId="7">#REF!</definedName>
    <definedName name="cft" localSheetId="2">#REF!</definedName>
    <definedName name="cft" localSheetId="1">#REF!</definedName>
    <definedName name="cft" localSheetId="4">#REF!</definedName>
    <definedName name="cft">#REF!</definedName>
    <definedName name="cr" localSheetId="0">#REF!</definedName>
    <definedName name="cr" localSheetId="5">#REF!</definedName>
    <definedName name="cr" localSheetId="3">#REF!</definedName>
    <definedName name="cr" localSheetId="7">#REF!</definedName>
    <definedName name="cr" localSheetId="2">#REF!</definedName>
    <definedName name="cr" localSheetId="1">#REF!</definedName>
    <definedName name="cr" localSheetId="4">#REF!</definedName>
    <definedName name="cr">#REF!</definedName>
    <definedName name="crs" localSheetId="0">#REF!</definedName>
    <definedName name="crs" localSheetId="5">#REF!</definedName>
    <definedName name="crs" localSheetId="3">#REF!</definedName>
    <definedName name="crs" localSheetId="7">#REF!</definedName>
    <definedName name="crs" localSheetId="2">#REF!</definedName>
    <definedName name="crs" localSheetId="1">#REF!</definedName>
    <definedName name="crs" localSheetId="4">#REF!</definedName>
    <definedName name="crs">#REF!</definedName>
    <definedName name="cvvvv" localSheetId="5">#REF!</definedName>
    <definedName name="cvvvv" localSheetId="3">#REF!</definedName>
    <definedName name="cvvvv" localSheetId="7">#REF!</definedName>
    <definedName name="cvvvv" localSheetId="2">#REF!</definedName>
    <definedName name="cvvvv" localSheetId="1">#REF!</definedName>
    <definedName name="cvvvv" localSheetId="4">#REF!</definedName>
    <definedName name="cvvvv">#REF!</definedName>
    <definedName name="cwer" localSheetId="5">#REF!</definedName>
    <definedName name="cwer" localSheetId="3">#REF!</definedName>
    <definedName name="cwer" localSheetId="7">#REF!</definedName>
    <definedName name="cwer" localSheetId="2">#REF!</definedName>
    <definedName name="cwer" localSheetId="1">#REF!</definedName>
    <definedName name="cwer" localSheetId="4">#REF!</definedName>
    <definedName name="cwer">#REF!</definedName>
    <definedName name="Data" localSheetId="0">#REF!</definedName>
    <definedName name="Data" localSheetId="5">#REF!</definedName>
    <definedName name="Data" localSheetId="3">#REF!</definedName>
    <definedName name="Data" localSheetId="7">#REF!</definedName>
    <definedName name="Data" localSheetId="2">#REF!</definedName>
    <definedName name="Data" localSheetId="1">#REF!</definedName>
    <definedName name="Data" localSheetId="4">#REF!</definedName>
    <definedName name="Data">#REF!</definedName>
    <definedName name="dd" localSheetId="0">#REF!</definedName>
    <definedName name="dd" localSheetId="5">#REF!</definedName>
    <definedName name="dd" localSheetId="3">#REF!</definedName>
    <definedName name="dd" localSheetId="7">#REF!</definedName>
    <definedName name="dd" localSheetId="2">#REF!</definedName>
    <definedName name="dd" localSheetId="1">#REF!</definedName>
    <definedName name="dd" localSheetId="4">#REF!</definedName>
    <definedName name="dd">#REF!</definedName>
    <definedName name="ddd" localSheetId="0">#REF!</definedName>
    <definedName name="ddd" localSheetId="5">#REF!</definedName>
    <definedName name="ddd" localSheetId="3">#REF!</definedName>
    <definedName name="ddd" localSheetId="7">#REF!</definedName>
    <definedName name="ddd" localSheetId="2">#REF!</definedName>
    <definedName name="ddd" localSheetId="1">#REF!</definedName>
    <definedName name="ddd" localSheetId="4">#REF!</definedName>
    <definedName name="ddd">#REF!</definedName>
    <definedName name="dddd" localSheetId="8">OFFSET([0]!Full_Print,0,0,'Mini- Feb'!Last_Row)</definedName>
    <definedName name="dddd" localSheetId="6">OFFSET([0]!Full_Print,0,0,'Mini- Jan'!Last_Row)</definedName>
    <definedName name="dddd" localSheetId="10">OFFSET([0]!Full_Print,0,0,'Mini- March'!Last_Row)</definedName>
    <definedName name="dddd" localSheetId="5">OFFSET([0]!Full_Print,0,0,[0]!Last_Row)</definedName>
    <definedName name="dddd" localSheetId="3">OFFSET([0]!Full_Print,0,0,[0]!Last_Row)</definedName>
    <definedName name="dddd" localSheetId="7">OFFSET([0]!Full_Print,0,0,[0]!Last_Row)</definedName>
    <definedName name="dddd" localSheetId="11">OFFSET([0]!Full_Print,0,0,'Van Feb'!Last_Row)</definedName>
    <definedName name="dddd" localSheetId="9">OFFSET([0]!Full_Print,0,0,'Van Jan'!Last_Row)</definedName>
    <definedName name="dddd" localSheetId="12">OFFSET([0]!Full_Print,0,0,'Van March'!Last_Row)</definedName>
    <definedName name="dddd" localSheetId="2">OFFSET([0]!Full_Print,0,0,[0]!Last_Row)</definedName>
    <definedName name="dddd" localSheetId="1">OFFSET([0]!Full_Print,0,0,[0]!Last_Row)</definedName>
    <definedName name="dddd" localSheetId="4">OFFSET([0]!Full_Print,0,0,[0]!Last_Row)</definedName>
    <definedName name="dddd">OFFSET(Full_Print,0,0,Last_Row)</definedName>
    <definedName name="dr" localSheetId="0">#REF!</definedName>
    <definedName name="dr" localSheetId="5">#REF!</definedName>
    <definedName name="dr" localSheetId="3">#REF!</definedName>
    <definedName name="dr" localSheetId="7">#REF!</definedName>
    <definedName name="dr" localSheetId="2">#REF!</definedName>
    <definedName name="dr" localSheetId="1">#REF!</definedName>
    <definedName name="dr" localSheetId="4">#REF!</definedName>
    <definedName name="dr">#REF!</definedName>
    <definedName name="drs" localSheetId="0">#REF!</definedName>
    <definedName name="drs" localSheetId="5">#REF!</definedName>
    <definedName name="drs" localSheetId="3">#REF!</definedName>
    <definedName name="drs" localSheetId="7">#REF!</definedName>
    <definedName name="drs" localSheetId="2">#REF!</definedName>
    <definedName name="drs" localSheetId="1">#REF!</definedName>
    <definedName name="drs" localSheetId="4">#REF!</definedName>
    <definedName name="drs">#REF!</definedName>
    <definedName name="dsfas" localSheetId="5">#REF!</definedName>
    <definedName name="dsfas" localSheetId="3">#REF!</definedName>
    <definedName name="dsfas" localSheetId="7">#REF!</definedName>
    <definedName name="dsfas" localSheetId="2">#REF!</definedName>
    <definedName name="dsfas" localSheetId="1">#REF!</definedName>
    <definedName name="dsfas" localSheetId="4">#REF!</definedName>
    <definedName name="dsfas">#REF!</definedName>
    <definedName name="eeee" localSheetId="5">#REF!</definedName>
    <definedName name="eeee" localSheetId="3">#REF!</definedName>
    <definedName name="eeee" localSheetId="7">#REF!</definedName>
    <definedName name="eeee" localSheetId="2">#REF!</definedName>
    <definedName name="eeee" localSheetId="1">#REF!</definedName>
    <definedName name="eeee" localSheetId="4">#REF!</definedName>
    <definedName name="eeee">#REF!</definedName>
    <definedName name="eeeee" localSheetId="5">'[1]Market ( Mar) '!#REF!</definedName>
    <definedName name="eeeee" localSheetId="3">'[1]Market ( Mar) '!#REF!</definedName>
    <definedName name="eeeee" localSheetId="7">'[1]Market ( Mar) '!#REF!</definedName>
    <definedName name="eeeee" localSheetId="2">'[1]Market ( Mar) '!#REF!</definedName>
    <definedName name="eeeee" localSheetId="1">'[1]Market ( Mar) '!#REF!</definedName>
    <definedName name="eeeee" localSheetId="4">'[1]Market ( Mar) '!#REF!</definedName>
    <definedName name="eeeee">'[1]Market ( Mar) '!#REF!</definedName>
    <definedName name="End_Bal" localSheetId="0">#REF!</definedName>
    <definedName name="End_Bal" localSheetId="5">#REF!</definedName>
    <definedName name="End_Bal" localSheetId="3">#REF!</definedName>
    <definedName name="End_Bal" localSheetId="7">#REF!</definedName>
    <definedName name="End_Bal" localSheetId="2">#REF!</definedName>
    <definedName name="End_Bal" localSheetId="1">#REF!</definedName>
    <definedName name="End_Bal" localSheetId="4">#REF!</definedName>
    <definedName name="End_Bal">#REF!</definedName>
    <definedName name="Extra_Pay" localSheetId="0">#REF!</definedName>
    <definedName name="Extra_Pay" localSheetId="5">#REF!</definedName>
    <definedName name="Extra_Pay" localSheetId="3">#REF!</definedName>
    <definedName name="Extra_Pay" localSheetId="7">#REF!</definedName>
    <definedName name="Extra_Pay" localSheetId="2">#REF!</definedName>
    <definedName name="Extra_Pay" localSheetId="1">#REF!</definedName>
    <definedName name="Extra_Pay" localSheetId="4">#REF!</definedName>
    <definedName name="Extra_Pay">#REF!</definedName>
    <definedName name="fgf" localSheetId="0">#REF!</definedName>
    <definedName name="fgf" localSheetId="5">#REF!</definedName>
    <definedName name="fgf" localSheetId="3">#REF!</definedName>
    <definedName name="fgf" localSheetId="7">#REF!</definedName>
    <definedName name="fgf" localSheetId="2">#REF!</definedName>
    <definedName name="fgf" localSheetId="1">#REF!</definedName>
    <definedName name="fgf" localSheetId="4">#REF!</definedName>
    <definedName name="fgf">#REF!</definedName>
    <definedName name="fgjhj" localSheetId="0">#REF!</definedName>
    <definedName name="fgjhj" localSheetId="5">#REF!</definedName>
    <definedName name="fgjhj" localSheetId="3">#REF!</definedName>
    <definedName name="fgjhj" localSheetId="7">#REF!</definedName>
    <definedName name="fgjhj" localSheetId="2">#REF!</definedName>
    <definedName name="fgjhj" localSheetId="1">#REF!</definedName>
    <definedName name="fgjhj" localSheetId="4">#REF!</definedName>
    <definedName name="fgjhj">#REF!</definedName>
    <definedName name="ftyu" localSheetId="5">#REF!</definedName>
    <definedName name="ftyu" localSheetId="3">#REF!</definedName>
    <definedName name="ftyu" localSheetId="7">#REF!</definedName>
    <definedName name="ftyu" localSheetId="2">#REF!</definedName>
    <definedName name="ftyu" localSheetId="1">#REF!</definedName>
    <definedName name="ftyu" localSheetId="4">#REF!</definedName>
    <definedName name="ftyu">#REF!</definedName>
    <definedName name="Full_Print" localSheetId="0">#REF!</definedName>
    <definedName name="Full_Print" localSheetId="5">#REF!</definedName>
    <definedName name="Full_Print" localSheetId="3">#REF!</definedName>
    <definedName name="Full_Print" localSheetId="7">#REF!</definedName>
    <definedName name="Full_Print" localSheetId="2">#REF!</definedName>
    <definedName name="Full_Print" localSheetId="1">#REF!</definedName>
    <definedName name="Full_Print" localSheetId="4">#REF!</definedName>
    <definedName name="Full_Print">#REF!</definedName>
    <definedName name="fusales4" localSheetId="5">#REF!</definedName>
    <definedName name="fusales4" localSheetId="3">#REF!</definedName>
    <definedName name="fusales4" localSheetId="7">#REF!</definedName>
    <definedName name="fusales4" localSheetId="2">#REF!</definedName>
    <definedName name="fusales4" localSheetId="1">#REF!</definedName>
    <definedName name="fusales4" localSheetId="4">#REF!</definedName>
    <definedName name="fusales4">#REF!</definedName>
    <definedName name="g" localSheetId="5">#REF!</definedName>
    <definedName name="g" localSheetId="3">#REF!</definedName>
    <definedName name="g" localSheetId="7">#REF!</definedName>
    <definedName name="g">#REF!</definedName>
    <definedName name="gg" localSheetId="5">#REF!</definedName>
    <definedName name="gg" localSheetId="3">#REF!</definedName>
    <definedName name="gg" localSheetId="7">#REF!</definedName>
    <definedName name="gg" localSheetId="2">#REF!</definedName>
    <definedName name="gg" localSheetId="1">#REF!</definedName>
    <definedName name="gg" localSheetId="4">#REF!</definedName>
    <definedName name="gg">#REF!</definedName>
    <definedName name="gggggg" localSheetId="5">#REF!</definedName>
    <definedName name="gggggg" localSheetId="3">#REF!</definedName>
    <definedName name="gggggg" localSheetId="7">#REF!</definedName>
    <definedName name="gggggg" localSheetId="2">#REF!</definedName>
    <definedName name="gggggg" localSheetId="1">#REF!</definedName>
    <definedName name="gggggg" localSheetId="4">#REF!</definedName>
    <definedName name="gggggg">#REF!</definedName>
    <definedName name="Header_Row" localSheetId="0">ROW(#REF!)</definedName>
    <definedName name="Header_Row" localSheetId="5">ROW(#REF!)</definedName>
    <definedName name="Header_Row" localSheetId="3">ROW(#REF!)</definedName>
    <definedName name="Header_Row" localSheetId="7">ROW(#REF!)</definedName>
    <definedName name="Header_Row" localSheetId="2">ROW(#REF!)</definedName>
    <definedName name="Header_Row" localSheetId="1">ROW(#REF!)</definedName>
    <definedName name="Header_Row" localSheetId="4">ROW(#REF!)</definedName>
    <definedName name="Header_Row">ROW(#REF!)</definedName>
    <definedName name="hjj" localSheetId="0">#REF!</definedName>
    <definedName name="hjj" localSheetId="5">#REF!</definedName>
    <definedName name="hjj" localSheetId="3">#REF!</definedName>
    <definedName name="hjj" localSheetId="7">#REF!</definedName>
    <definedName name="hjj" localSheetId="2">#REF!</definedName>
    <definedName name="hjj" localSheetId="1">#REF!</definedName>
    <definedName name="hjj" localSheetId="4">#REF!</definedName>
    <definedName name="hjj">#REF!</definedName>
    <definedName name="hjjj" localSheetId="5">#REF!</definedName>
    <definedName name="hjjj" localSheetId="3">#REF!</definedName>
    <definedName name="hjjj" localSheetId="7">#REF!</definedName>
    <definedName name="hjjj" localSheetId="2">#REF!</definedName>
    <definedName name="hjjj" localSheetId="1">#REF!</definedName>
    <definedName name="hjjj" localSheetId="4">#REF!</definedName>
    <definedName name="hjjj">#REF!</definedName>
    <definedName name="hjkjk" localSheetId="0">#REF!</definedName>
    <definedName name="hjkjk" localSheetId="5">#REF!</definedName>
    <definedName name="hjkjk" localSheetId="3">#REF!</definedName>
    <definedName name="hjkjk" localSheetId="7">#REF!</definedName>
    <definedName name="hjkjk" localSheetId="2">#REF!</definedName>
    <definedName name="hjkjk" localSheetId="1">#REF!</definedName>
    <definedName name="hjkjk" localSheetId="4">#REF!</definedName>
    <definedName name="hjkjk">#REF!</definedName>
    <definedName name="hmjhj" localSheetId="0">#REF!</definedName>
    <definedName name="hmjhj" localSheetId="5">#REF!</definedName>
    <definedName name="hmjhj" localSheetId="3">#REF!</definedName>
    <definedName name="hmjhj" localSheetId="7">#REF!</definedName>
    <definedName name="hmjhj" localSheetId="2">#REF!</definedName>
    <definedName name="hmjhj" localSheetId="1">#REF!</definedName>
    <definedName name="hmjhj" localSheetId="4">#REF!</definedName>
    <definedName name="hmjhj">#REF!</definedName>
    <definedName name="ii" localSheetId="5">#REF!</definedName>
    <definedName name="ii" localSheetId="3">#REF!</definedName>
    <definedName name="ii" localSheetId="7">#REF!</definedName>
    <definedName name="ii" localSheetId="2">#REF!</definedName>
    <definedName name="ii" localSheetId="1">#REF!</definedName>
    <definedName name="ii" localSheetId="4">#REF!</definedName>
    <definedName name="ii">#REF!</definedName>
    <definedName name="III" localSheetId="5">#REF!</definedName>
    <definedName name="III" localSheetId="3">#REF!</definedName>
    <definedName name="III" localSheetId="7">#REF!</definedName>
    <definedName name="III" localSheetId="2">#REF!</definedName>
    <definedName name="III" localSheetId="1">#REF!</definedName>
    <definedName name="III" localSheetId="4">#REF!</definedName>
    <definedName name="III">#REF!</definedName>
    <definedName name="Int" localSheetId="0">#REF!</definedName>
    <definedName name="Int" localSheetId="5">#REF!</definedName>
    <definedName name="Int" localSheetId="3">#REF!</definedName>
    <definedName name="Int" localSheetId="7">#REF!</definedName>
    <definedName name="Int" localSheetId="2">#REF!</definedName>
    <definedName name="Int" localSheetId="1">#REF!</definedName>
    <definedName name="Int" localSheetId="4">#REF!</definedName>
    <definedName name="Int">#REF!</definedName>
    <definedName name="Interest_Rate" localSheetId="0">#REF!</definedName>
    <definedName name="Interest_Rate" localSheetId="5">#REF!</definedName>
    <definedName name="Interest_Rate" localSheetId="3">#REF!</definedName>
    <definedName name="Interest_Rate" localSheetId="7">#REF!</definedName>
    <definedName name="Interest_Rate" localSheetId="2">#REF!</definedName>
    <definedName name="Interest_Rate" localSheetId="1">#REF!</definedName>
    <definedName name="Interest_Rate" localSheetId="4">#REF!</definedName>
    <definedName name="Interest_Rate">#REF!</definedName>
    <definedName name="jbkjkl" localSheetId="0">#REF!</definedName>
    <definedName name="jbkjkl" localSheetId="5">#REF!</definedName>
    <definedName name="jbkjkl" localSheetId="3">#REF!</definedName>
    <definedName name="jbkjkl" localSheetId="7">#REF!</definedName>
    <definedName name="jbkjkl" localSheetId="2">#REF!</definedName>
    <definedName name="jbkjkl" localSheetId="1">#REF!</definedName>
    <definedName name="jbkjkl" localSheetId="4">#REF!</definedName>
    <definedName name="jbkjkl">#REF!</definedName>
    <definedName name="Journal_Cr" localSheetId="5">#REF!</definedName>
    <definedName name="Journal_Cr" localSheetId="3">#REF!</definedName>
    <definedName name="Journal_Cr" localSheetId="7">#REF!</definedName>
    <definedName name="Journal_Cr" localSheetId="2">#REF!</definedName>
    <definedName name="Journal_Cr" localSheetId="1">#REF!</definedName>
    <definedName name="Journal_Cr" localSheetId="4">#REF!</definedName>
    <definedName name="Journal_Cr">#REF!</definedName>
    <definedName name="Journal_Dr" localSheetId="5">#REF!</definedName>
    <definedName name="Journal_Dr" localSheetId="3">#REF!</definedName>
    <definedName name="Journal_Dr" localSheetId="7">#REF!</definedName>
    <definedName name="Journal_Dr" localSheetId="2">#REF!</definedName>
    <definedName name="Journal_Dr" localSheetId="1">#REF!</definedName>
    <definedName name="Journal_Dr" localSheetId="4">#REF!</definedName>
    <definedName name="Journal_Dr">#REF!</definedName>
    <definedName name="kdt" localSheetId="0">#REF!</definedName>
    <definedName name="kdt" localSheetId="5">#REF!</definedName>
    <definedName name="kdt" localSheetId="3">#REF!</definedName>
    <definedName name="kdt" localSheetId="7">#REF!</definedName>
    <definedName name="kdt" localSheetId="2">#REF!</definedName>
    <definedName name="kdt" localSheetId="1">#REF!</definedName>
    <definedName name="kdt" localSheetId="4">#REF!</definedName>
    <definedName name="kdt">#REF!</definedName>
    <definedName name="kk" localSheetId="8">IF([0]!Loan_Amount*[0]!Interest_Rate*[0]!Loan_Years*[0]!Loan_Start&gt;0,1,0)</definedName>
    <definedName name="kk" localSheetId="6">IF([0]!Loan_Amount*[0]!Interest_Rate*[0]!Loan_Years*[0]!Loan_Start&gt;0,1,0)</definedName>
    <definedName name="kk" localSheetId="10">IF([0]!Loan_Amount*[0]!Interest_Rate*[0]!Loan_Years*[0]!Loan_Start&gt;0,1,0)</definedName>
    <definedName name="kk" localSheetId="5">IF([0]!Loan_Amount*[0]!Interest_Rate*[0]!Loan_Years*[0]!zdsd&gt;0,1,0)</definedName>
    <definedName name="kk" localSheetId="3">IF([0]!Loan_Amount*[0]!Interest_Rate*[0]!Loan_Years*[0]!zdsd&gt;0,1,0)</definedName>
    <definedName name="kk" localSheetId="7">IF([0]!Loan_Amount*[0]!Interest_Rate*[0]!Loan_Years*[0]!zdsd&gt;0,1,0)</definedName>
    <definedName name="kk" localSheetId="11">IF([0]!Loan_Amount*[0]!Interest_Rate*[0]!Loan_Years*[0]!Loan_Start&gt;0,1,0)</definedName>
    <definedName name="kk" localSheetId="9">IF([0]!Loan_Amount*[0]!Interest_Rate*[0]!Loan_Years*[0]!Loan_Start&gt;0,1,0)</definedName>
    <definedName name="kk" localSheetId="12">IF([0]!Loan_Amount*[0]!Interest_Rate*[0]!Loan_Years*[0]!Loan_Start&gt;0,1,0)</definedName>
    <definedName name="kk" localSheetId="2">IF([0]!Loan_Amount*[0]!Interest_Rate*[0]!Loan_Years*[0]!Loan_Start&gt;0,1,0)</definedName>
    <definedName name="kk" localSheetId="1">IF([0]!Loan_Amount*[0]!Interest_Rate*[0]!Loan_Years*[0]!Loan_Start&gt;0,1,0)</definedName>
    <definedName name="kk" localSheetId="4">IF([0]!Loan_Amount*[0]!Interest_Rate*[0]!Loan_Years*[0]!Loan_Start&gt;0,1,0)</definedName>
    <definedName name="kk">IF(Loan_Amount*Interest_Rate*Loan_Years*Loan_Start&gt;0,1,0)</definedName>
    <definedName name="kluyufuf" localSheetId="5">#REF!</definedName>
    <definedName name="kluyufuf" localSheetId="3">#REF!</definedName>
    <definedName name="kluyufuf" localSheetId="7">#REF!</definedName>
    <definedName name="kluyufuf" localSheetId="2">#REF!</definedName>
    <definedName name="kluyufuf" localSheetId="1">#REF!</definedName>
    <definedName name="kluyufuf" localSheetId="4">#REF!</definedName>
    <definedName name="kluyufuf">#REF!</definedName>
    <definedName name="Last_Row" localSheetId="0">IF('1-YGN'!Values_Entered,'1-YGN'!Header_Row+'1-YGN'!Number_of_Payments,'1-YGN'!Header_Row)</definedName>
    <definedName name="Last_Row" localSheetId="8">IF('Mini- Feb'!Values_Entered,[0]!Header_Row+'Mini- Feb'!Number_of_Payments,[0]!Header_Row)</definedName>
    <definedName name="Last_Row" localSheetId="6">IF('Mini- Jan'!Values_Entered,[0]!Header_Row+'Mini- Jan'!Number_of_Payments,[0]!Header_Row)</definedName>
    <definedName name="Last_Row" localSheetId="10">IF('Mini- March'!Values_Entered,[0]!Header_Row+'Mini- March'!Number_of_Payments,[0]!Header_Row)</definedName>
    <definedName name="Last_Row" localSheetId="5">IF('SWS- Feb'!Values_Entered,'SWS- Feb'!Header_Row+'SWS- Feb'!Number_of_Payments,'SWS- Feb'!Header_Row)</definedName>
    <definedName name="Last_Row" localSheetId="3">IF('SWS- Jan'!Values_Entered,'SWS- Jan'!Header_Row+'SWS- Jan'!Number_of_Payments,'SWS- Jan'!Header_Row)</definedName>
    <definedName name="Last_Row" localSheetId="7">IF('SWS- March'!Values_Entered,'SWS- March'!Header_Row+'SWS- March'!Number_of_Payments,'SWS- March'!Header_Row)</definedName>
    <definedName name="Last_Row" localSheetId="11">IF('Van Feb'!Values_Entered,[0]!Header_Row+'Van Feb'!Number_of_Payments,[0]!Header_Row)</definedName>
    <definedName name="Last_Row" localSheetId="9">IF('Van Jan'!Values_Entered,[0]!Header_Row+'Van Jan'!Number_of_Payments,[0]!Header_Row)</definedName>
    <definedName name="Last_Row" localSheetId="12">IF('Van March'!Values_Entered,[0]!Header_Row+'Van March'!Number_of_Payments,[0]!Header_Row)</definedName>
    <definedName name="Last_Row" localSheetId="2">IF('WS Feb'!Values_Entered,'WS Feb'!Header_Row+'WS Feb'!Number_of_Payments,'WS Feb'!Header_Row)</definedName>
    <definedName name="Last_Row" localSheetId="1">IF('WS Jan'!Values_Entered,'WS Jan'!Header_Row+'WS Jan'!Number_of_Payments,'WS Jan'!Header_Row)</definedName>
    <definedName name="Last_Row" localSheetId="4">IF('WS March'!Values_Entered,'WS March'!Header_Row+'WS March'!Number_of_Payments,'WS March'!Header_Row)</definedName>
    <definedName name="Last_Row">IF(Values_Entered,Header_Row+Number_of_Payments,Header_Row)</definedName>
    <definedName name="Loan_Amount" localSheetId="0">#REF!</definedName>
    <definedName name="Loan_Amount" localSheetId="5">#REF!</definedName>
    <definedName name="Loan_Amount" localSheetId="3">#REF!</definedName>
    <definedName name="Loan_Amount" localSheetId="7">#REF!</definedName>
    <definedName name="Loan_Amount" localSheetId="2">#REF!</definedName>
    <definedName name="Loan_Amount" localSheetId="1">#REF!</definedName>
    <definedName name="Loan_Amount" localSheetId="4">#REF!</definedName>
    <definedName name="Loan_Amount">#REF!</definedName>
    <definedName name="Loan_Start" localSheetId="0">#REF!</definedName>
    <definedName name="Loan_Start" localSheetId="5">#REF!</definedName>
    <definedName name="Loan_Start" localSheetId="3">#REF!</definedName>
    <definedName name="Loan_Start" localSheetId="7">#REF!</definedName>
    <definedName name="Loan_Start" localSheetId="2">#REF!</definedName>
    <definedName name="Loan_Start" localSheetId="1">#REF!</definedName>
    <definedName name="Loan_Start" localSheetId="4">#REF!</definedName>
    <definedName name="Loan_Start">#REF!</definedName>
    <definedName name="Loan_Years" localSheetId="0">#REF!</definedName>
    <definedName name="Loan_Years" localSheetId="5">#REF!</definedName>
    <definedName name="Loan_Years" localSheetId="3">#REF!</definedName>
    <definedName name="Loan_Years" localSheetId="7">#REF!</definedName>
    <definedName name="Loan_Years" localSheetId="2">#REF!</definedName>
    <definedName name="Loan_Years" localSheetId="1">#REF!</definedName>
    <definedName name="Loan_Years" localSheetId="4">#REF!</definedName>
    <definedName name="Loan_Years">#REF!</definedName>
    <definedName name="LSO" localSheetId="0">#REF!</definedName>
    <definedName name="LSO" localSheetId="5">#REF!</definedName>
    <definedName name="LSO" localSheetId="3">#REF!</definedName>
    <definedName name="LSO" localSheetId="7">#REF!</definedName>
    <definedName name="LSO" localSheetId="2">#REF!</definedName>
    <definedName name="LSO" localSheetId="1">#REF!</definedName>
    <definedName name="LSO" localSheetId="4">#REF!</definedName>
    <definedName name="LSO">#REF!</definedName>
    <definedName name="lsoq" localSheetId="0">#REF!</definedName>
    <definedName name="lsoq" localSheetId="5">#REF!</definedName>
    <definedName name="lsoq" localSheetId="3">#REF!</definedName>
    <definedName name="lsoq" localSheetId="7">#REF!</definedName>
    <definedName name="lsoq" localSheetId="2">#REF!</definedName>
    <definedName name="lsoq" localSheetId="1">#REF!</definedName>
    <definedName name="lsoq" localSheetId="4">#REF!</definedName>
    <definedName name="lsoq">#REF!</definedName>
    <definedName name="lsoq1" localSheetId="5">#REF!</definedName>
    <definedName name="lsoq1" localSheetId="3">#REF!</definedName>
    <definedName name="lsoq1" localSheetId="7">#REF!</definedName>
    <definedName name="lsoq1" localSheetId="2">#REF!</definedName>
    <definedName name="lsoq1" localSheetId="1">#REF!</definedName>
    <definedName name="lsoq1" localSheetId="4">#REF!</definedName>
    <definedName name="lsoq1">#REF!</definedName>
    <definedName name="mmmkk" localSheetId="5">#REF!</definedName>
    <definedName name="mmmkk" localSheetId="3">#REF!</definedName>
    <definedName name="mmmkk" localSheetId="7">#REF!</definedName>
    <definedName name="mmmkk" localSheetId="2">#REF!</definedName>
    <definedName name="mmmkk" localSheetId="1">#REF!</definedName>
    <definedName name="mmmkk" localSheetId="4">#REF!</definedName>
    <definedName name="mmmkk">#REF!</definedName>
    <definedName name="mms" localSheetId="0">#REF!</definedName>
    <definedName name="mms" localSheetId="5">#REF!</definedName>
    <definedName name="mms" localSheetId="3">#REF!</definedName>
    <definedName name="mms" localSheetId="7">#REF!</definedName>
    <definedName name="mms" localSheetId="2">#REF!</definedName>
    <definedName name="mms" localSheetId="1">#REF!</definedName>
    <definedName name="mms" localSheetId="4">#REF!</definedName>
    <definedName name="mms">#REF!</definedName>
    <definedName name="neew" localSheetId="0">#REF!</definedName>
    <definedName name="neew" localSheetId="5">#REF!</definedName>
    <definedName name="neew" localSheetId="3">#REF!</definedName>
    <definedName name="neew" localSheetId="7">#REF!</definedName>
    <definedName name="neew" localSheetId="2">#REF!</definedName>
    <definedName name="neew" localSheetId="1">#REF!</definedName>
    <definedName name="neew" localSheetId="4">#REF!</definedName>
    <definedName name="neew">#REF!</definedName>
    <definedName name="New" localSheetId="0">#REF!</definedName>
    <definedName name="New" localSheetId="5">#REF!</definedName>
    <definedName name="New" localSheetId="3">#REF!</definedName>
    <definedName name="New" localSheetId="7">#REF!</definedName>
    <definedName name="New" localSheetId="2">#REF!</definedName>
    <definedName name="New" localSheetId="1">#REF!</definedName>
    <definedName name="New" localSheetId="4">#REF!</definedName>
    <definedName name="New">#REF!</definedName>
    <definedName name="NOV" localSheetId="5">#REF!</definedName>
    <definedName name="NOV" localSheetId="3">#REF!</definedName>
    <definedName name="NOV" localSheetId="7">#REF!</definedName>
    <definedName name="NOV" localSheetId="2">#REF!</definedName>
    <definedName name="NOV" localSheetId="1">#REF!</definedName>
    <definedName name="NOV" localSheetId="4">#REF!</definedName>
    <definedName name="NOV">#REF!</definedName>
    <definedName name="Num_Pmt_Per_Year" localSheetId="0">#REF!</definedName>
    <definedName name="Num_Pmt_Per_Year" localSheetId="5">#REF!</definedName>
    <definedName name="Num_Pmt_Per_Year" localSheetId="3">#REF!</definedName>
    <definedName name="Num_Pmt_Per_Year" localSheetId="7">#REF!</definedName>
    <definedName name="Num_Pmt_Per_Year" localSheetId="2">#REF!</definedName>
    <definedName name="Num_Pmt_Per_Year" localSheetId="1">#REF!</definedName>
    <definedName name="Num_Pmt_Per_Year" localSheetId="4">#REF!</definedName>
    <definedName name="Num_Pmt_Per_Year">#REF!</definedName>
    <definedName name="Number_of_Payments" localSheetId="0">MATCH(0.01,'1-YGN'!End_Bal,-1)+1</definedName>
    <definedName name="Number_of_Payments" localSheetId="8">MATCH(0.01,[0]!End_Bal,-1)+1</definedName>
    <definedName name="Number_of_Payments" localSheetId="6">MATCH(0.01,[0]!End_Bal,-1)+1</definedName>
    <definedName name="Number_of_Payments" localSheetId="10">MATCH(0.01,[0]!End_Bal,-1)+1</definedName>
    <definedName name="Number_of_Payments" localSheetId="5">MATCH(0.01,'SWS- Feb'!End_Bal,-1)+1</definedName>
    <definedName name="Number_of_Payments" localSheetId="3">MATCH(0.01,'SWS- Jan'!End_Bal,-1)+1</definedName>
    <definedName name="Number_of_Payments" localSheetId="7">MATCH(0.01,'SWS- March'!End_Bal,-1)+1</definedName>
    <definedName name="Number_of_Payments" localSheetId="11">MATCH(0.01,[0]!End_Bal,-1)+1</definedName>
    <definedName name="Number_of_Payments" localSheetId="9">MATCH(0.01,[0]!End_Bal,-1)+1</definedName>
    <definedName name="Number_of_Payments" localSheetId="12">MATCH(0.01,[0]!End_Bal,-1)+1</definedName>
    <definedName name="Number_of_Payments" localSheetId="2">MATCH(0.01,'WS Feb'!End_Bal,-1)+1</definedName>
    <definedName name="Number_of_Payments" localSheetId="1">MATCH(0.01,'WS Jan'!End_Bal,-1)+1</definedName>
    <definedName name="Number_of_Payments" localSheetId="4">MATCH(0.01,'WS March'!End_Bal,-1)+1</definedName>
    <definedName name="Number_of_Payments">MATCH(0.01,End_Bal,-1)+1</definedName>
    <definedName name="ooo" localSheetId="5">#REF!</definedName>
    <definedName name="ooo" localSheetId="3">#REF!</definedName>
    <definedName name="ooo" localSheetId="7">#REF!</definedName>
    <definedName name="ooo" localSheetId="2">#REF!</definedName>
    <definedName name="ooo" localSheetId="1">#REF!</definedName>
    <definedName name="ooo" localSheetId="4">#REF!</definedName>
    <definedName name="ooo">#REF!</definedName>
    <definedName name="Opening_Cr" localSheetId="0">#REF!</definedName>
    <definedName name="Opening_Cr" localSheetId="5">#REF!</definedName>
    <definedName name="Opening_Cr" localSheetId="3">#REF!</definedName>
    <definedName name="Opening_Cr" localSheetId="7">#REF!</definedName>
    <definedName name="Opening_Cr" localSheetId="2">#REF!</definedName>
    <definedName name="Opening_Cr" localSheetId="1">#REF!</definedName>
    <definedName name="Opening_Cr" localSheetId="4">#REF!</definedName>
    <definedName name="Opening_Cr">#REF!</definedName>
    <definedName name="Opening_Dr" localSheetId="0">#REF!</definedName>
    <definedName name="Opening_Dr" localSheetId="5">#REF!</definedName>
    <definedName name="Opening_Dr" localSheetId="3">#REF!</definedName>
    <definedName name="Opening_Dr" localSheetId="7">#REF!</definedName>
    <definedName name="Opening_Dr" localSheetId="2">#REF!</definedName>
    <definedName name="Opening_Dr" localSheetId="1">#REF!</definedName>
    <definedName name="Opening_Dr" localSheetId="4">#REF!</definedName>
    <definedName name="Opening_Dr">#REF!</definedName>
    <definedName name="Pay_Date" localSheetId="0">#REF!</definedName>
    <definedName name="Pay_Date" localSheetId="5">#REF!</definedName>
    <definedName name="Pay_Date" localSheetId="3">#REF!</definedName>
    <definedName name="Pay_Date" localSheetId="7">#REF!</definedName>
    <definedName name="Pay_Date" localSheetId="2">#REF!</definedName>
    <definedName name="Pay_Date" localSheetId="1">#REF!</definedName>
    <definedName name="Pay_Date" localSheetId="4">#REF!</definedName>
    <definedName name="Pay_Date">#REF!</definedName>
    <definedName name="Pay_Num" localSheetId="0">#REF!</definedName>
    <definedName name="Pay_Num" localSheetId="5">#REF!</definedName>
    <definedName name="Pay_Num" localSheetId="3">#REF!</definedName>
    <definedName name="Pay_Num" localSheetId="7">#REF!</definedName>
    <definedName name="Pay_Num" localSheetId="2">#REF!</definedName>
    <definedName name="Pay_Num" localSheetId="1">#REF!</definedName>
    <definedName name="Pay_Num" localSheetId="4">#REF!</definedName>
    <definedName name="Pay_Num">#REF!</definedName>
    <definedName name="Payment_Date" localSheetId="0">DATE(YEAR('1-YGN'!Loan_Start),MONTH('1-YGN'!Loan_Start)+Payment_Number,DAY('1-YGN'!Loan_Start))</definedName>
    <definedName name="Payment_Date" localSheetId="8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10">DATE(YEAR([0]!Loan_Start),MONTH([0]!Loan_Start)+Payment_Number,DAY([0]!Loan_Start))</definedName>
    <definedName name="Payment_Date" localSheetId="5">DATE(YEAR('SWS- Feb'!Loan_Start),MONTH('SWS- Feb'!Loan_Start)+Payment_Number,DAY('SWS- Feb'!Loan_Start))</definedName>
    <definedName name="Payment_Date" localSheetId="3">DATE(YEAR('SWS- Jan'!Loan_Start),MONTH('SWS- Jan'!Loan_Start)+Payment_Number,DAY('SWS- Jan'!Loan_Start))</definedName>
    <definedName name="Payment_Date" localSheetId="7">DATE(YEAR('SWS- March'!Loan_Start),MONTH('SWS- March'!Loan_Start)+Payment_Number,DAY('SWS- March'!Loan_Start))</definedName>
    <definedName name="Payment_Date" localSheetId="11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2">DATE(YEAR('WS Feb'!Loan_Start),MONTH('WS Feb'!Loan_Start)+Payment_Number,DAY('WS Feb'!Loan_Start))</definedName>
    <definedName name="Payment_Date" localSheetId="1">DATE(YEAR('WS Jan'!Loan_Start),MONTH('WS Jan'!Loan_Start)+Payment_Number,DAY('WS Jan'!Loan_Start))</definedName>
    <definedName name="Payment_Date" localSheetId="4">DATE(YEAR('WS March'!Loan_Start),MONTH('WS March'!Loan_Start)+Payment_Number,DAY('WS March'!Loan_Start))</definedName>
    <definedName name="Payment_Date">DATE(YEAR(Loan_Start),MONTH(Loan_Start)+Payment_Number,DAY(Loan_Start))</definedName>
    <definedName name="Princ" localSheetId="0">#REF!</definedName>
    <definedName name="Princ" localSheetId="5">#REF!</definedName>
    <definedName name="Princ" localSheetId="3">#REF!</definedName>
    <definedName name="Princ" localSheetId="7">#REF!</definedName>
    <definedName name="Princ" localSheetId="2">#REF!</definedName>
    <definedName name="Princ" localSheetId="1">#REF!</definedName>
    <definedName name="Princ" localSheetId="4">#REF!</definedName>
    <definedName name="Princ">#REF!</definedName>
    <definedName name="princeee" localSheetId="5">#REF!</definedName>
    <definedName name="princeee" localSheetId="3">#REF!</definedName>
    <definedName name="princeee" localSheetId="7">#REF!</definedName>
    <definedName name="princeee" localSheetId="2">#REF!</definedName>
    <definedName name="princeee" localSheetId="1">#REF!</definedName>
    <definedName name="princeee" localSheetId="4">#REF!</definedName>
    <definedName name="princeee">#REF!</definedName>
    <definedName name="Print_Area_Reset" localSheetId="0">OFFSET('1-YGN'!Full_Print,0,0,'1-YGN'!Last_Row)</definedName>
    <definedName name="Print_Area_Reset" localSheetId="8">OFFSET([0]!Full_Print,0,0,'Mini- Feb'!Last_Row)</definedName>
    <definedName name="Print_Area_Reset" localSheetId="6">OFFSET([0]!Full_Print,0,0,'Mini- Jan'!Last_Row)</definedName>
    <definedName name="Print_Area_Reset" localSheetId="10">OFFSET([0]!Full_Print,0,0,'Mini- March'!Last_Row)</definedName>
    <definedName name="Print_Area_Reset" localSheetId="5">OFFSET('SWS- Feb'!Full_Print,0,0,'SWS- Feb'!Last_Row)</definedName>
    <definedName name="Print_Area_Reset" localSheetId="3">OFFSET('SWS- Jan'!Full_Print,0,0,'SWS- Jan'!Last_Row)</definedName>
    <definedName name="Print_Area_Reset" localSheetId="7">OFFSET('SWS- March'!Full_Print,0,0,'SWS- March'!Last_Row)</definedName>
    <definedName name="Print_Area_Reset" localSheetId="11">OFFSET([0]!Full_Print,0,0,'Van Feb'!Last_Row)</definedName>
    <definedName name="Print_Area_Reset" localSheetId="9">OFFSET([0]!Full_Print,0,0,'Van Jan'!Last_Row)</definedName>
    <definedName name="Print_Area_Reset" localSheetId="12">OFFSET([0]!Full_Print,0,0,'Van March'!Last_Row)</definedName>
    <definedName name="Print_Area_Reset" localSheetId="2">OFFSET('WS Feb'!Full_Print,0,0,'WS Feb'!Last_Row)</definedName>
    <definedName name="Print_Area_Reset" localSheetId="1">OFFSET('WS Jan'!Full_Print,0,0,'WS Jan'!Last_Row)</definedName>
    <definedName name="Print_Area_Reset" localSheetId="4">OFFSET('WS March'!Full_Print,0,0,'WS March'!Last_Row)</definedName>
    <definedName name="Print_Area_Reset">OFFSET(Full_Print,0,0,Last_Row)</definedName>
    <definedName name="qqqqqq" localSheetId="5">#REF!</definedName>
    <definedName name="qqqqqq" localSheetId="3">#REF!</definedName>
    <definedName name="qqqqqq" localSheetId="7">#REF!</definedName>
    <definedName name="qqqqqq" localSheetId="2">#REF!</definedName>
    <definedName name="qqqqqq" localSheetId="1">#REF!</definedName>
    <definedName name="qqqqqq" localSheetId="4">#REF!</definedName>
    <definedName name="qqqqqq">#REF!</definedName>
    <definedName name="Rate" localSheetId="5">#REF!</definedName>
    <definedName name="Rate" localSheetId="3">#REF!</definedName>
    <definedName name="Rate" localSheetId="7">#REF!</definedName>
    <definedName name="Rate" localSheetId="2">#REF!</definedName>
    <definedName name="Rate" localSheetId="1">#REF!</definedName>
    <definedName name="Rate" localSheetId="4">#REF!</definedName>
    <definedName name="Rate">#REF!</definedName>
    <definedName name="rdtfy">#N/A</definedName>
    <definedName name="rty" localSheetId="5">#REF!</definedName>
    <definedName name="rty" localSheetId="3">#REF!</definedName>
    <definedName name="rty" localSheetId="7">#REF!</definedName>
    <definedName name="rty" localSheetId="2">#REF!</definedName>
    <definedName name="rty" localSheetId="1">#REF!</definedName>
    <definedName name="rty" localSheetId="4">#REF!</definedName>
    <definedName name="rty">#REF!</definedName>
    <definedName name="s" localSheetId="0">#REF!</definedName>
    <definedName name="s" localSheetId="5">#REF!</definedName>
    <definedName name="s" localSheetId="3">#REF!</definedName>
    <definedName name="s" localSheetId="7">#REF!</definedName>
    <definedName name="s" localSheetId="2">#REF!</definedName>
    <definedName name="s" localSheetId="1">#REF!</definedName>
    <definedName name="s" localSheetId="4">#REF!</definedName>
    <definedName name="s">#REF!</definedName>
    <definedName name="Salees" localSheetId="5">#REF!</definedName>
    <definedName name="Salees" localSheetId="3">#REF!</definedName>
    <definedName name="Salees" localSheetId="7">#REF!</definedName>
    <definedName name="Salees" localSheetId="2">#REF!</definedName>
    <definedName name="Salees" localSheetId="1">#REF!</definedName>
    <definedName name="Salees" localSheetId="4">#REF!</definedName>
    <definedName name="Salees">#REF!</definedName>
    <definedName name="sales" localSheetId="5">#REF!</definedName>
    <definedName name="sales" localSheetId="3">#REF!</definedName>
    <definedName name="sales" localSheetId="7">#REF!</definedName>
    <definedName name="sales" localSheetId="2">#REF!</definedName>
    <definedName name="sales" localSheetId="1">#REF!</definedName>
    <definedName name="sales" localSheetId="4">#REF!</definedName>
    <definedName name="sales">#REF!</definedName>
    <definedName name="Sched_Pay" localSheetId="0">#REF!</definedName>
    <definedName name="Sched_Pay" localSheetId="5">#REF!</definedName>
    <definedName name="Sched_Pay" localSheetId="3">#REF!</definedName>
    <definedName name="Sched_Pay" localSheetId="7">#REF!</definedName>
    <definedName name="Sched_Pay" localSheetId="2">#REF!</definedName>
    <definedName name="Sched_Pay" localSheetId="1">#REF!</definedName>
    <definedName name="Sched_Pay" localSheetId="4">#REF!</definedName>
    <definedName name="Sched_Pay">#REF!</definedName>
    <definedName name="Scheduled_Extra_Payments" localSheetId="0">#REF!</definedName>
    <definedName name="Scheduled_Extra_Payments" localSheetId="5">#REF!</definedName>
    <definedName name="Scheduled_Extra_Payments" localSheetId="3">#REF!</definedName>
    <definedName name="Scheduled_Extra_Payments" localSheetId="7">#REF!</definedName>
    <definedName name="Scheduled_Extra_Payments" localSheetId="2">#REF!</definedName>
    <definedName name="Scheduled_Extra_Payments" localSheetId="1">#REF!</definedName>
    <definedName name="Scheduled_Extra_Payments" localSheetId="4">#REF!</definedName>
    <definedName name="Scheduled_Extra_Payments">#REF!</definedName>
    <definedName name="Scheduled_Interest_Rate" localSheetId="0">#REF!</definedName>
    <definedName name="Scheduled_Interest_Rate" localSheetId="5">#REF!</definedName>
    <definedName name="Scheduled_Interest_Rate" localSheetId="3">#REF!</definedName>
    <definedName name="Scheduled_Interest_Rate" localSheetId="7">#REF!</definedName>
    <definedName name="Scheduled_Interest_Rate" localSheetId="2">#REF!</definedName>
    <definedName name="Scheduled_Interest_Rate" localSheetId="1">#REF!</definedName>
    <definedName name="Scheduled_Interest_Rate" localSheetId="4">#REF!</definedName>
    <definedName name="Scheduled_Interest_Rate">#REF!</definedName>
    <definedName name="Scheduled_Monthly_Payment" localSheetId="0">#REF!</definedName>
    <definedName name="Scheduled_Monthly_Payment" localSheetId="5">#REF!</definedName>
    <definedName name="Scheduled_Monthly_Payment" localSheetId="3">#REF!</definedName>
    <definedName name="Scheduled_Monthly_Payment" localSheetId="7">#REF!</definedName>
    <definedName name="Scheduled_Monthly_Payment" localSheetId="2">#REF!</definedName>
    <definedName name="Scheduled_Monthly_Payment" localSheetId="1">#REF!</definedName>
    <definedName name="Scheduled_Monthly_Payment" localSheetId="4">#REF!</definedName>
    <definedName name="Scheduled_Monthly_Payment">#REF!</definedName>
    <definedName name="smm" localSheetId="0">#REF!</definedName>
    <definedName name="smm" localSheetId="5">#REF!</definedName>
    <definedName name="smm" localSheetId="3">#REF!</definedName>
    <definedName name="smm" localSheetId="7">#REF!</definedName>
    <definedName name="smm" localSheetId="2">#REF!</definedName>
    <definedName name="smm" localSheetId="1">#REF!</definedName>
    <definedName name="smm" localSheetId="4">#REF!</definedName>
    <definedName name="smm">#REF!</definedName>
    <definedName name="smmm" localSheetId="0">'[1]Market ( Mar) '!#REF!</definedName>
    <definedName name="smmm" localSheetId="5">'[2]Market ( Mar) '!#REF!</definedName>
    <definedName name="smmm" localSheetId="3">'[2]Market ( Mar) '!#REF!</definedName>
    <definedName name="smmm" localSheetId="7">'[2]Market ( Mar) '!#REF!</definedName>
    <definedName name="smmm" localSheetId="2">'[2]Market ( Mar) '!#REF!</definedName>
    <definedName name="smmm" localSheetId="1">'[2]Market ( Mar) '!#REF!</definedName>
    <definedName name="smmm" localSheetId="4">'[2]Market ( Mar) '!#REF!</definedName>
    <definedName name="smmm">'[1]Market ( Mar) '!#REF!</definedName>
    <definedName name="tdk" localSheetId="0">#REF!</definedName>
    <definedName name="tdk" localSheetId="5">#REF!</definedName>
    <definedName name="tdk" localSheetId="3">#REF!</definedName>
    <definedName name="tdk" localSheetId="7">#REF!</definedName>
    <definedName name="tdk" localSheetId="2">#REF!</definedName>
    <definedName name="tdk" localSheetId="1">#REF!</definedName>
    <definedName name="tdk" localSheetId="4">#REF!</definedName>
    <definedName name="tdk">#REF!</definedName>
    <definedName name="Total_Interest" localSheetId="0">#REF!</definedName>
    <definedName name="Total_Interest" localSheetId="5">#REF!</definedName>
    <definedName name="Total_Interest" localSheetId="3">#REF!</definedName>
    <definedName name="Total_Interest" localSheetId="7">#REF!</definedName>
    <definedName name="Total_Interest" localSheetId="2">#REF!</definedName>
    <definedName name="Total_Interest" localSheetId="1">#REF!</definedName>
    <definedName name="Total_Interest" localSheetId="4">#REF!</definedName>
    <definedName name="Total_Interest">#REF!</definedName>
    <definedName name="Total_Pay" localSheetId="0">#REF!</definedName>
    <definedName name="Total_Pay" localSheetId="5">#REF!</definedName>
    <definedName name="Total_Pay" localSheetId="3">#REF!</definedName>
    <definedName name="Total_Pay" localSheetId="7">#REF!</definedName>
    <definedName name="Total_Pay" localSheetId="2">#REF!</definedName>
    <definedName name="Total_Pay" localSheetId="1">#REF!</definedName>
    <definedName name="Total_Pay" localSheetId="4">#REF!</definedName>
    <definedName name="Total_Pay">#REF!</definedName>
    <definedName name="Total_Payment" localSheetId="0">Scheduled_Payment+Extra_Payment</definedName>
    <definedName name="Total_Payment" localSheetId="8">Scheduled_Payment+Extra_Payment</definedName>
    <definedName name="Total_Payment" localSheetId="6">Scheduled_Payment+Extra_Payment</definedName>
    <definedName name="Total_Payment" localSheetId="10">Scheduled_Payment+Extra_Payment</definedName>
    <definedName name="Total_Payment" localSheetId="5">Scheduled_Payment+Extra_Payment</definedName>
    <definedName name="Total_Payment" localSheetId="3">Scheduled_Payment+Extra_Payment</definedName>
    <definedName name="Total_Payment" localSheetId="7">Scheduled_Payment+Extra_Payment</definedName>
    <definedName name="Total_Payment" localSheetId="11">Scheduled_Payment+Extra_Payment</definedName>
    <definedName name="Total_Payment" localSheetId="9">Scheduled_Payment+Extra_Payment</definedName>
    <definedName name="Total_Payment" localSheetId="12">Scheduled_Payment+Extra_Payment</definedName>
    <definedName name="Total_Payment" localSheetId="2">Scheduled_Payment+Extra_Payment</definedName>
    <definedName name="Total_Payment" localSheetId="1">Scheduled_Payment+Extra_Payment</definedName>
    <definedName name="Total_Payment" localSheetId="4">Scheduled_Payment+Extra_Payment</definedName>
    <definedName name="Total_Payment">Scheduled_Payment+Extra_Payment</definedName>
    <definedName name="tryr">#REF!</definedName>
    <definedName name="TYPE1" localSheetId="0">'[3]1.2.22'!$AV$7:$AV$8</definedName>
    <definedName name="TYPE1" localSheetId="5">'[4]1.2.22'!$AV$7:$AV$8</definedName>
    <definedName name="TYPE1" localSheetId="3">'[4]1.2.22'!$AV$7:$AV$8</definedName>
    <definedName name="TYPE1" localSheetId="7">'[4]1.2.22'!$AV$7:$AV$8</definedName>
    <definedName name="TYPE1" localSheetId="2">'[4]1.2.22'!$AV$7:$AV$8</definedName>
    <definedName name="TYPE1" localSheetId="1">'[4]1.2.22'!$AV$7:$AV$8</definedName>
    <definedName name="TYPE1" localSheetId="4">'[4]1.2.22'!$AV$7:$AV$8</definedName>
    <definedName name="TYPE1">'[4]1.2.22'!$AV$7:$AV$8</definedName>
    <definedName name="TYPE2" localSheetId="0">'[3]19.2.22'!$AV$7:$AV$9</definedName>
    <definedName name="TYPE2" localSheetId="5">'[4]19.2.22'!$AV$7:$AV$9</definedName>
    <definedName name="TYPE2" localSheetId="3">'[4]19.2.22'!$AV$7:$AV$9</definedName>
    <definedName name="TYPE2" localSheetId="7">'[4]19.2.22'!$AV$7:$AV$9</definedName>
    <definedName name="TYPE2" localSheetId="2">'[4]19.2.22'!$AV$7:$AV$9</definedName>
    <definedName name="TYPE2" localSheetId="1">'[4]19.2.22'!$AV$7:$AV$9</definedName>
    <definedName name="TYPE2" localSheetId="4">'[4]19.2.22'!$AV$7:$AV$9</definedName>
    <definedName name="TYPE2">'[4]19.2.22'!$AV$7:$AV$9</definedName>
    <definedName name="TYPE3" localSheetId="0">'[3]20.2.22'!$AV$7:$AV$9</definedName>
    <definedName name="TYPE3" localSheetId="5">'[4]20.2.22'!$AV$7:$AV$9</definedName>
    <definedName name="TYPE3" localSheetId="3">'[4]20.2.22'!$AV$7:$AV$9</definedName>
    <definedName name="TYPE3" localSheetId="7">'[4]20.2.22'!$AV$7:$AV$9</definedName>
    <definedName name="TYPE3" localSheetId="2">'[4]20.2.22'!$AV$7:$AV$9</definedName>
    <definedName name="TYPE3" localSheetId="1">'[4]20.2.22'!$AV$7:$AV$9</definedName>
    <definedName name="TYPE3" localSheetId="4">'[4]20.2.22'!$AV$7:$AV$9</definedName>
    <definedName name="TYPE3">'[4]20.2.22'!$AV$7:$AV$9</definedName>
    <definedName name="TYPE4" localSheetId="0">'[3]19.2.22'!$AV$7:$AV$9</definedName>
    <definedName name="TYPE4" localSheetId="5">'[4]19.2.22'!$AV$7:$AV$9</definedName>
    <definedName name="TYPE4" localSheetId="3">'[4]19.2.22'!$AV$7:$AV$9</definedName>
    <definedName name="TYPE4" localSheetId="7">'[4]19.2.22'!$AV$7:$AV$9</definedName>
    <definedName name="TYPE4" localSheetId="2">'[4]19.2.22'!$AV$7:$AV$9</definedName>
    <definedName name="TYPE4" localSheetId="1">'[4]19.2.22'!$AV$7:$AV$9</definedName>
    <definedName name="TYPE4" localSheetId="4">'[4]19.2.22'!$AV$7:$AV$9</definedName>
    <definedName name="TYPE4">'[4]19.2.22'!$AV$7:$AV$9</definedName>
    <definedName name="uuu" localSheetId="5">#REF!</definedName>
    <definedName name="uuu" localSheetId="3">#REF!</definedName>
    <definedName name="uuu" localSheetId="7">#REF!</definedName>
    <definedName name="uuu" localSheetId="2">#REF!</definedName>
    <definedName name="uuu" localSheetId="1">#REF!</definedName>
    <definedName name="uuu" localSheetId="4">#REF!</definedName>
    <definedName name="uuu">#REF!</definedName>
    <definedName name="Values_Entered" localSheetId="0">IF('1-YGN'!Loan_Amount*'1-YGN'!Interest_Rate*'1-YGN'!Loan_Years*'1-YGN'!Loan_Start&gt;0,1,0)</definedName>
    <definedName name="Values_Entered" localSheetId="8">IF([0]!Loan_Amount*[0]!Interest_Rate*[0]!Loan_Years*[0]!Loan_Start&gt;0,1,0)</definedName>
    <definedName name="Values_Entered" localSheetId="6">IF([0]!Loan_Amount*[0]!Interest_Rate*[0]!Loan_Years*[0]!Loan_Start&gt;0,1,0)</definedName>
    <definedName name="Values_Entered" localSheetId="10">IF([0]!Loan_Amount*[0]!Interest_Rate*[0]!Loan_Years*[0]!Loan_Start&gt;0,1,0)</definedName>
    <definedName name="Values_Entered" localSheetId="5">IF('SWS- Feb'!Loan_Amount*'SWS- Feb'!Interest_Rate*'SWS- Feb'!Loan_Years*'SWS- Feb'!Loan_Start&gt;0,1,0)</definedName>
    <definedName name="Values_Entered" localSheetId="3">IF('SWS- Jan'!Loan_Amount*'SWS- Jan'!Interest_Rate*'SWS- Jan'!Loan_Years*'SWS- Jan'!Loan_Start&gt;0,1,0)</definedName>
    <definedName name="Values_Entered" localSheetId="7">IF('SWS- March'!Loan_Amount*'SWS- March'!Interest_Rate*'SWS- March'!Loan_Years*'SWS- March'!Loan_Start&gt;0,1,0)</definedName>
    <definedName name="Values_Entered" localSheetId="11">IF([0]!Loan_Amount*[0]!Interest_Rate*[0]!Loan_Years*[0]!Loan_Start&gt;0,1,0)</definedName>
    <definedName name="Values_Entered" localSheetId="9">IF([0]!Loan_Amount*[0]!Interest_Rate*[0]!Loan_Years*[0]!Loan_Start&gt;0,1,0)</definedName>
    <definedName name="Values_Entered" localSheetId="12">IF([0]!Loan_Amount*[0]!Interest_Rate*[0]!Loan_Years*[0]!Loan_Start&gt;0,1,0)</definedName>
    <definedName name="Values_Entered" localSheetId="2">IF('WS Feb'!Loan_Amount*'WS Feb'!Interest_Rate*'WS Feb'!Loan_Years*'WS Feb'!Loan_Start&gt;0,1,0)</definedName>
    <definedName name="Values_Entered" localSheetId="1">IF('WS Jan'!Loan_Amount*'WS Jan'!Interest_Rate*'WS Jan'!Loan_Years*'WS Jan'!Loan_Start&gt;0,1,0)</definedName>
    <definedName name="Values_Entered" localSheetId="4">IF('WS March'!Loan_Amount*'WS March'!Interest_Rate*'WS March'!Loan_Years*'WS March'!Loan_Start&gt;0,1,0)</definedName>
    <definedName name="Values_Entered">IF(Loan_Amount*Interest_Rate*Loan_Years*Loan_Start&gt;0,1,0)</definedName>
    <definedName name="vkhfkgf" localSheetId="0">#REF!</definedName>
    <definedName name="vkhfkgf" localSheetId="5">#REF!</definedName>
    <definedName name="vkhfkgf" localSheetId="3">#REF!</definedName>
    <definedName name="vkhfkgf" localSheetId="7">#REF!</definedName>
    <definedName name="vkhfkgf" localSheetId="2">#REF!</definedName>
    <definedName name="vkhfkgf" localSheetId="1">#REF!</definedName>
    <definedName name="vkhfkgf" localSheetId="4">#REF!</definedName>
    <definedName name="vkhfkgf">#REF!</definedName>
    <definedName name="wert" localSheetId="5">#REF!</definedName>
    <definedName name="wert" localSheetId="3">#REF!</definedName>
    <definedName name="wert" localSheetId="7">#REF!</definedName>
    <definedName name="wert" localSheetId="2">#REF!</definedName>
    <definedName name="wert" localSheetId="1">#REF!</definedName>
    <definedName name="wert" localSheetId="4">#REF!</definedName>
    <definedName name="wert">#REF!</definedName>
    <definedName name="xdfrg" localSheetId="5">#REF!</definedName>
    <definedName name="xdfrg" localSheetId="3">#REF!</definedName>
    <definedName name="xdfrg" localSheetId="7">#REF!</definedName>
    <definedName name="xdfrg" localSheetId="2">#REF!</definedName>
    <definedName name="xdfrg" localSheetId="1">#REF!</definedName>
    <definedName name="xdfrg" localSheetId="4">#REF!</definedName>
    <definedName name="xdfrg">#REF!</definedName>
    <definedName name="y" localSheetId="5">#REF!</definedName>
    <definedName name="y" localSheetId="3">#REF!</definedName>
    <definedName name="y" localSheetId="7">#REF!</definedName>
    <definedName name="y" localSheetId="2">#REF!</definedName>
    <definedName name="y" localSheetId="1">#REF!</definedName>
    <definedName name="y" localSheetId="4">#REF!</definedName>
    <definedName name="y">#REF!</definedName>
    <definedName name="yhhg123">#N/A</definedName>
    <definedName name="YMO4" localSheetId="5">#REF!</definedName>
    <definedName name="YMO4" localSheetId="3">#REF!</definedName>
    <definedName name="YMO4" localSheetId="7">#REF!</definedName>
    <definedName name="YMO4" localSheetId="2">#REF!</definedName>
    <definedName name="YMO4" localSheetId="1">#REF!</definedName>
    <definedName name="YMO4" localSheetId="4">#REF!</definedName>
    <definedName name="YMO4">#REF!</definedName>
    <definedName name="YMO5" localSheetId="5">#REF!</definedName>
    <definedName name="YMO5" localSheetId="3">#REF!</definedName>
    <definedName name="YMO5" localSheetId="7">#REF!</definedName>
    <definedName name="YMO5" localSheetId="2">#REF!</definedName>
    <definedName name="YMO5" localSheetId="1">#REF!</definedName>
    <definedName name="YMO5" localSheetId="4">#REF!</definedName>
    <definedName name="YMO5">#REF!</definedName>
    <definedName name="Ymowy" localSheetId="5">#REF!</definedName>
    <definedName name="Ymowy" localSheetId="3">#REF!</definedName>
    <definedName name="Ymowy" localSheetId="7">#REF!</definedName>
    <definedName name="Ymowy" localSheetId="2">#REF!</definedName>
    <definedName name="Ymowy" localSheetId="1">#REF!</definedName>
    <definedName name="Ymowy" localSheetId="4">#REF!</definedName>
    <definedName name="Ymowy">#REF!</definedName>
    <definedName name="ytu" localSheetId="8">#N/A</definedName>
    <definedName name="ytu" localSheetId="6">#N/A</definedName>
    <definedName name="ytu" localSheetId="10">#N/A</definedName>
    <definedName name="ytu" localSheetId="5">MATCH(0.01,'SWS- Feb'!End_Bal,-1)+1</definedName>
    <definedName name="ytu" localSheetId="3">MATCH(0.01,'SWS- Jan'!End_Bal,-1)+1</definedName>
    <definedName name="ytu" localSheetId="7">MATCH(0.01,'SWS- March'!End_Bal,-1)+1</definedName>
    <definedName name="ytu" localSheetId="11">#N/A</definedName>
    <definedName name="ytu" localSheetId="9">#N/A</definedName>
    <definedName name="ytu" localSheetId="12">#N/A</definedName>
    <definedName name="ytu" localSheetId="2">MATCH(0.01,'WS Feb'!End_Bal,-1)+1</definedName>
    <definedName name="ytu" localSheetId="1">MATCH(0.01,'WS Jan'!End_Bal,-1)+1</definedName>
    <definedName name="ytu" localSheetId="4">MATCH(0.01,'WS March'!End_Bal,-1)+1</definedName>
    <definedName name="ytu">#N/A</definedName>
    <definedName name="yy" localSheetId="5">#REF!</definedName>
    <definedName name="yy" localSheetId="3">#REF!</definedName>
    <definedName name="yy" localSheetId="7">#REF!</definedName>
    <definedName name="yy" localSheetId="2">#REF!</definedName>
    <definedName name="yy" localSheetId="1">#REF!</definedName>
    <definedName name="yy" localSheetId="4">#REF!</definedName>
    <definedName name="yy">#REF!</definedName>
    <definedName name="yyu" localSheetId="8">#N/A</definedName>
    <definedName name="yyu" localSheetId="6">#N/A</definedName>
    <definedName name="yyu" localSheetId="10">#N/A</definedName>
    <definedName name="yyu" localSheetId="5">IF('SWS- Feb'!Values_Entered,'SWS- Feb'!Header_Row+'SWS- Feb'!ytu,'SWS- Feb'!Header_Row)</definedName>
    <definedName name="yyu" localSheetId="3">IF('SWS- Jan'!Values_Entered,'SWS- Jan'!Header_Row+'SWS- Jan'!ytu,'SWS- Jan'!Header_Row)</definedName>
    <definedName name="yyu" localSheetId="7">IF('SWS- March'!Values_Entered,'SWS- March'!Header_Row+'SWS- March'!ytu,'SWS- March'!Header_Row)</definedName>
    <definedName name="yyu" localSheetId="11">#N/A</definedName>
    <definedName name="yyu" localSheetId="9">#N/A</definedName>
    <definedName name="yyu" localSheetId="12">#N/A</definedName>
    <definedName name="yyu" localSheetId="2">IF('WS Feb'!Values_Entered,'WS Feb'!Header_Row+'WS Feb'!ytu,'WS Feb'!Header_Row)</definedName>
    <definedName name="yyu" localSheetId="1">IF('WS Jan'!Values_Entered,'WS Jan'!Header_Row+'WS Jan'!ytu,'WS Jan'!Header_Row)</definedName>
    <definedName name="yyu" localSheetId="4">IF('WS March'!Values_Entered,'WS March'!Header_Row+'WS March'!ytu,'WS March'!Header_Row)</definedName>
    <definedName name="yyu">#N/A</definedName>
    <definedName name="yyyyy" localSheetId="5">#REF!</definedName>
    <definedName name="yyyyy" localSheetId="3">#REF!</definedName>
    <definedName name="yyyyy" localSheetId="7">#REF!</definedName>
    <definedName name="yyyyy" localSheetId="2">#REF!</definedName>
    <definedName name="yyyyy" localSheetId="1">#REF!</definedName>
    <definedName name="yyyyy" localSheetId="4">#REF!</definedName>
    <definedName name="yyyyy">#REF!</definedName>
    <definedName name="zdsd">#REF!</definedName>
    <definedName name="zx" localSheetId="5">#REF!</definedName>
    <definedName name="zx" localSheetId="3">#REF!</definedName>
    <definedName name="zx" localSheetId="7">#REF!</definedName>
    <definedName name="zx" localSheetId="2">#REF!</definedName>
    <definedName name="zx" localSheetId="1">#REF!</definedName>
    <definedName name="zx" localSheetId="4">#REF!</definedName>
    <definedName name="zx">#REF!</definedName>
    <definedName name="zxdasf" localSheetId="5">#REF!</definedName>
    <definedName name="zxdasf" localSheetId="3">#REF!</definedName>
    <definedName name="zxdasf" localSheetId="7">#REF!</definedName>
    <definedName name="zxdasf" localSheetId="2">#REF!</definedName>
    <definedName name="zxdasf" localSheetId="1">#REF!</definedName>
    <definedName name="zxdasf" localSheetId="4">#REF!</definedName>
    <definedName name="zxdasf">#REF!</definedName>
    <definedName name="zxz" localSheetId="5">#REF!</definedName>
    <definedName name="zxz" localSheetId="3">#REF!</definedName>
    <definedName name="zxz" localSheetId="7">#REF!</definedName>
    <definedName name="zxz" localSheetId="2">#REF!</definedName>
    <definedName name="zxz" localSheetId="1">#REF!</definedName>
    <definedName name="zxz" localSheetId="4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1" l="1"/>
  <c r="L8" i="1"/>
  <c r="L7" i="1"/>
  <c r="L6" i="1"/>
  <c r="L5" i="1"/>
  <c r="DC16" i="13" l="1"/>
  <c r="DB16" i="13"/>
  <c r="DA16" i="13"/>
  <c r="CZ16" i="13"/>
  <c r="CY16" i="13"/>
  <c r="CX16" i="13"/>
  <c r="CW16" i="13"/>
  <c r="CV16" i="13"/>
  <c r="CU16" i="13"/>
  <c r="CT16" i="13"/>
  <c r="CS16" i="13"/>
  <c r="CR16" i="13"/>
  <c r="CQ16" i="13"/>
  <c r="CP16" i="13"/>
  <c r="CO16" i="13"/>
  <c r="CN16" i="13"/>
  <c r="CM16" i="13"/>
  <c r="CL16" i="13"/>
  <c r="CK16" i="13"/>
  <c r="CJ16" i="13"/>
  <c r="CI16" i="13"/>
  <c r="CH16" i="13"/>
  <c r="CG16" i="13"/>
  <c r="CF16" i="13"/>
  <c r="CE16" i="13"/>
  <c r="CD16" i="13"/>
  <c r="CC16" i="13"/>
  <c r="CB16" i="13"/>
  <c r="CA16" i="13"/>
  <c r="BZ16" i="13"/>
  <c r="BY16" i="13"/>
  <c r="BX16" i="13"/>
  <c r="BW16" i="13"/>
  <c r="BS16" i="13"/>
  <c r="BR16" i="13"/>
  <c r="BQ16" i="13"/>
  <c r="BP16" i="13"/>
  <c r="BO16" i="13"/>
  <c r="BN16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AO15" i="13"/>
  <c r="BV15" i="13" s="1"/>
  <c r="DF15" i="13" s="1"/>
  <c r="AN15" i="13"/>
  <c r="BU15" i="13" s="1"/>
  <c r="DE15" i="13" s="1"/>
  <c r="AM15" i="13"/>
  <c r="BT15" i="13" s="1"/>
  <c r="DD15" i="13" s="1"/>
  <c r="AO14" i="13"/>
  <c r="BV14" i="13" s="1"/>
  <c r="DF14" i="13" s="1"/>
  <c r="AN14" i="13"/>
  <c r="BU14" i="13" s="1"/>
  <c r="DE14" i="13" s="1"/>
  <c r="AM14" i="13"/>
  <c r="BT14" i="13" s="1"/>
  <c r="DD14" i="13" s="1"/>
  <c r="E14" i="13"/>
  <c r="AO13" i="13"/>
  <c r="BV13" i="13" s="1"/>
  <c r="DF13" i="13" s="1"/>
  <c r="AN13" i="13"/>
  <c r="BU13" i="13" s="1"/>
  <c r="DE13" i="13" s="1"/>
  <c r="AM13" i="13"/>
  <c r="BT13" i="13" s="1"/>
  <c r="DD13" i="13" s="1"/>
  <c r="AO12" i="13"/>
  <c r="BV12" i="13" s="1"/>
  <c r="DF12" i="13" s="1"/>
  <c r="AN12" i="13"/>
  <c r="BU12" i="13" s="1"/>
  <c r="DE12" i="13" s="1"/>
  <c r="AM12" i="13"/>
  <c r="BT12" i="13" s="1"/>
  <c r="DD12" i="13" s="1"/>
  <c r="AO11" i="13"/>
  <c r="BV11" i="13" s="1"/>
  <c r="DF11" i="13" s="1"/>
  <c r="AN11" i="13"/>
  <c r="BU11" i="13" s="1"/>
  <c r="DE11" i="13" s="1"/>
  <c r="AM11" i="13"/>
  <c r="BT11" i="13" s="1"/>
  <c r="DD11" i="13" s="1"/>
  <c r="AO10" i="13"/>
  <c r="BV10" i="13" s="1"/>
  <c r="DF10" i="13" s="1"/>
  <c r="AN10" i="13"/>
  <c r="BU10" i="13" s="1"/>
  <c r="DE10" i="13" s="1"/>
  <c r="AM10" i="13"/>
  <c r="BT10" i="13" s="1"/>
  <c r="DD10" i="13" s="1"/>
  <c r="AO9" i="13"/>
  <c r="BV9" i="13" s="1"/>
  <c r="DF9" i="13" s="1"/>
  <c r="AN9" i="13"/>
  <c r="BU9" i="13" s="1"/>
  <c r="DE9" i="13" s="1"/>
  <c r="AM9" i="13"/>
  <c r="BT9" i="13" s="1"/>
  <c r="DD9" i="13" s="1"/>
  <c r="AO8" i="13"/>
  <c r="BV8" i="13" s="1"/>
  <c r="DF8" i="13" s="1"/>
  <c r="AN8" i="13"/>
  <c r="BU8" i="13" s="1"/>
  <c r="DE8" i="13" s="1"/>
  <c r="AM8" i="13"/>
  <c r="BT8" i="13" s="1"/>
  <c r="DD8" i="13" s="1"/>
  <c r="AO7" i="13"/>
  <c r="BV7" i="13" s="1"/>
  <c r="DF7" i="13" s="1"/>
  <c r="AN7" i="13"/>
  <c r="BU7" i="13" s="1"/>
  <c r="DE7" i="13" s="1"/>
  <c r="AM7" i="13"/>
  <c r="BT7" i="13" s="1"/>
  <c r="DD7" i="13" s="1"/>
  <c r="AO6" i="13"/>
  <c r="BV6" i="13" s="1"/>
  <c r="DF6" i="13" s="1"/>
  <c r="AN6" i="13"/>
  <c r="BU6" i="13" s="1"/>
  <c r="DE6" i="13" s="1"/>
  <c r="AM6" i="13"/>
  <c r="BT6" i="13" s="1"/>
  <c r="DD6" i="13" s="1"/>
  <c r="AO5" i="13"/>
  <c r="AN5" i="13"/>
  <c r="BU5" i="13" s="1"/>
  <c r="DE5" i="13" s="1"/>
  <c r="AM5" i="13"/>
  <c r="BT5" i="13" s="1"/>
  <c r="DG148" i="12"/>
  <c r="DF148" i="12"/>
  <c r="DE148" i="12"/>
  <c r="DD148" i="12"/>
  <c r="DC148" i="12"/>
  <c r="DB148" i="12"/>
  <c r="DA148" i="12"/>
  <c r="CZ148" i="12"/>
  <c r="CY148" i="12"/>
  <c r="CX148" i="12"/>
  <c r="CW148" i="12"/>
  <c r="CV148" i="12"/>
  <c r="CU148" i="12"/>
  <c r="CT148" i="12"/>
  <c r="CS148" i="12"/>
  <c r="CR148" i="12"/>
  <c r="CQ148" i="12"/>
  <c r="CP148" i="12"/>
  <c r="CO148" i="12"/>
  <c r="CN148" i="12"/>
  <c r="CM148" i="12"/>
  <c r="CL148" i="12"/>
  <c r="CK148" i="12"/>
  <c r="CJ148" i="12"/>
  <c r="CI148" i="12"/>
  <c r="CH148" i="12"/>
  <c r="CG148" i="12"/>
  <c r="CF148" i="12"/>
  <c r="CE148" i="12"/>
  <c r="CD148" i="12"/>
  <c r="CC148" i="12"/>
  <c r="CB148" i="12"/>
  <c r="CA148" i="12"/>
  <c r="BW148" i="12"/>
  <c r="BV148" i="12"/>
  <c r="BU148" i="12"/>
  <c r="BT148" i="12"/>
  <c r="BS148" i="12"/>
  <c r="BR148" i="12"/>
  <c r="BQ148" i="12"/>
  <c r="BP148" i="12"/>
  <c r="BO148" i="12"/>
  <c r="BN148" i="12"/>
  <c r="BM148" i="12"/>
  <c r="BL148" i="12"/>
  <c r="BK148" i="12"/>
  <c r="BJ148" i="12"/>
  <c r="BI148" i="12"/>
  <c r="BH148" i="12"/>
  <c r="BG148" i="12"/>
  <c r="BF148" i="12"/>
  <c r="BE148" i="12"/>
  <c r="BD148" i="12"/>
  <c r="BC148" i="12"/>
  <c r="BB148" i="12"/>
  <c r="BA148" i="12"/>
  <c r="AZ148" i="12"/>
  <c r="AY148" i="12"/>
  <c r="AX148" i="12"/>
  <c r="AW148" i="12"/>
  <c r="AV148" i="12"/>
  <c r="AU148" i="12"/>
  <c r="AT148" i="12"/>
  <c r="AP148" i="12"/>
  <c r="AO148" i="12"/>
  <c r="AN148" i="12"/>
  <c r="AM148" i="12"/>
  <c r="AL148" i="12"/>
  <c r="AK148" i="12"/>
  <c r="AJ148" i="12"/>
  <c r="AI148" i="12"/>
  <c r="AH148" i="12"/>
  <c r="AG148" i="12"/>
  <c r="AF148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AS146" i="12"/>
  <c r="BZ146" i="12" s="1"/>
  <c r="DJ146" i="12" s="1"/>
  <c r="AR146" i="12"/>
  <c r="BY146" i="12" s="1"/>
  <c r="DI146" i="12" s="1"/>
  <c r="AQ146" i="12"/>
  <c r="BX146" i="12" s="1"/>
  <c r="DH146" i="12" s="1"/>
  <c r="AS145" i="12"/>
  <c r="BZ145" i="12" s="1"/>
  <c r="DJ145" i="12" s="1"/>
  <c r="AR145" i="12"/>
  <c r="BY145" i="12" s="1"/>
  <c r="DI145" i="12" s="1"/>
  <c r="AQ145" i="12"/>
  <c r="BX145" i="12" s="1"/>
  <c r="DH145" i="12" s="1"/>
  <c r="AS144" i="12"/>
  <c r="BZ144" i="12" s="1"/>
  <c r="DJ144" i="12" s="1"/>
  <c r="AR144" i="12"/>
  <c r="BY144" i="12" s="1"/>
  <c r="DI144" i="12" s="1"/>
  <c r="AQ144" i="12"/>
  <c r="BX144" i="12" s="1"/>
  <c r="DH144" i="12" s="1"/>
  <c r="AS143" i="12"/>
  <c r="BZ143" i="12" s="1"/>
  <c r="DJ143" i="12" s="1"/>
  <c r="AR143" i="12"/>
  <c r="BY143" i="12" s="1"/>
  <c r="DI143" i="12" s="1"/>
  <c r="AQ143" i="12"/>
  <c r="BX143" i="12" s="1"/>
  <c r="DH143" i="12" s="1"/>
  <c r="AS142" i="12"/>
  <c r="BZ142" i="12" s="1"/>
  <c r="DJ142" i="12" s="1"/>
  <c r="AR142" i="12"/>
  <c r="BY142" i="12" s="1"/>
  <c r="DI142" i="12" s="1"/>
  <c r="AQ142" i="12"/>
  <c r="BX142" i="12" s="1"/>
  <c r="DH142" i="12" s="1"/>
  <c r="AS141" i="12"/>
  <c r="BZ141" i="12" s="1"/>
  <c r="DJ141" i="12" s="1"/>
  <c r="AR141" i="12"/>
  <c r="BY141" i="12" s="1"/>
  <c r="DI141" i="12" s="1"/>
  <c r="AQ141" i="12"/>
  <c r="BX141" i="12" s="1"/>
  <c r="DH141" i="12" s="1"/>
  <c r="AS140" i="12"/>
  <c r="BZ140" i="12" s="1"/>
  <c r="DJ140" i="12" s="1"/>
  <c r="AR140" i="12"/>
  <c r="BY140" i="12" s="1"/>
  <c r="DI140" i="12" s="1"/>
  <c r="AQ140" i="12"/>
  <c r="BX140" i="12" s="1"/>
  <c r="DH140" i="12" s="1"/>
  <c r="AS139" i="12"/>
  <c r="BZ139" i="12" s="1"/>
  <c r="DJ139" i="12" s="1"/>
  <c r="AR139" i="12"/>
  <c r="BY139" i="12" s="1"/>
  <c r="DI139" i="12" s="1"/>
  <c r="AQ139" i="12"/>
  <c r="BX139" i="12" s="1"/>
  <c r="DH139" i="12" s="1"/>
  <c r="AS138" i="12"/>
  <c r="BZ138" i="12" s="1"/>
  <c r="DJ138" i="12" s="1"/>
  <c r="AR138" i="12"/>
  <c r="BY138" i="12" s="1"/>
  <c r="DI138" i="12" s="1"/>
  <c r="AQ138" i="12"/>
  <c r="BX138" i="12" s="1"/>
  <c r="DH138" i="12" s="1"/>
  <c r="AS137" i="12"/>
  <c r="BZ137" i="12" s="1"/>
  <c r="DJ137" i="12" s="1"/>
  <c r="AR137" i="12"/>
  <c r="BY137" i="12" s="1"/>
  <c r="DI137" i="12" s="1"/>
  <c r="AQ137" i="12"/>
  <c r="BX137" i="12" s="1"/>
  <c r="DH137" i="12" s="1"/>
  <c r="AS136" i="12"/>
  <c r="BZ136" i="12" s="1"/>
  <c r="DJ136" i="12" s="1"/>
  <c r="AR136" i="12"/>
  <c r="BY136" i="12" s="1"/>
  <c r="DI136" i="12" s="1"/>
  <c r="AQ136" i="12"/>
  <c r="BX136" i="12" s="1"/>
  <c r="DH136" i="12" s="1"/>
  <c r="AS135" i="12"/>
  <c r="BZ135" i="12" s="1"/>
  <c r="DJ135" i="12" s="1"/>
  <c r="AR135" i="12"/>
  <c r="BY135" i="12" s="1"/>
  <c r="DI135" i="12" s="1"/>
  <c r="AQ135" i="12"/>
  <c r="BX135" i="12" s="1"/>
  <c r="DH135" i="12" s="1"/>
  <c r="AS134" i="12"/>
  <c r="BZ134" i="12" s="1"/>
  <c r="DJ134" i="12" s="1"/>
  <c r="AR134" i="12"/>
  <c r="BY134" i="12" s="1"/>
  <c r="DI134" i="12" s="1"/>
  <c r="AQ134" i="12"/>
  <c r="BX134" i="12" s="1"/>
  <c r="DH134" i="12" s="1"/>
  <c r="AS133" i="12"/>
  <c r="BZ133" i="12" s="1"/>
  <c r="DJ133" i="12" s="1"/>
  <c r="AR133" i="12"/>
  <c r="BY133" i="12" s="1"/>
  <c r="DI133" i="12" s="1"/>
  <c r="AQ133" i="12"/>
  <c r="BX133" i="12" s="1"/>
  <c r="DH133" i="12" s="1"/>
  <c r="AS132" i="12"/>
  <c r="BZ132" i="12" s="1"/>
  <c r="DJ132" i="12" s="1"/>
  <c r="AR132" i="12"/>
  <c r="BY132" i="12" s="1"/>
  <c r="DI132" i="12" s="1"/>
  <c r="AQ132" i="12"/>
  <c r="BX132" i="12" s="1"/>
  <c r="DH132" i="12" s="1"/>
  <c r="AS131" i="12"/>
  <c r="BZ131" i="12" s="1"/>
  <c r="DJ131" i="12" s="1"/>
  <c r="AR131" i="12"/>
  <c r="BY131" i="12" s="1"/>
  <c r="DI131" i="12" s="1"/>
  <c r="AQ131" i="12"/>
  <c r="BX131" i="12" s="1"/>
  <c r="DH131" i="12" s="1"/>
  <c r="AS130" i="12"/>
  <c r="BZ130" i="12" s="1"/>
  <c r="DJ130" i="12" s="1"/>
  <c r="AR130" i="12"/>
  <c r="BY130" i="12" s="1"/>
  <c r="DI130" i="12" s="1"/>
  <c r="AQ130" i="12"/>
  <c r="BX130" i="12" s="1"/>
  <c r="DH130" i="12" s="1"/>
  <c r="AS129" i="12"/>
  <c r="BZ129" i="12" s="1"/>
  <c r="DJ129" i="12" s="1"/>
  <c r="AR129" i="12"/>
  <c r="BY129" i="12" s="1"/>
  <c r="DI129" i="12" s="1"/>
  <c r="AQ129" i="12"/>
  <c r="BX129" i="12" s="1"/>
  <c r="DH129" i="12" s="1"/>
  <c r="AS128" i="12"/>
  <c r="BZ128" i="12" s="1"/>
  <c r="DJ128" i="12" s="1"/>
  <c r="AR128" i="12"/>
  <c r="BY128" i="12" s="1"/>
  <c r="DI128" i="12" s="1"/>
  <c r="AQ128" i="12"/>
  <c r="BX128" i="12" s="1"/>
  <c r="DH128" i="12" s="1"/>
  <c r="AS127" i="12"/>
  <c r="BZ127" i="12" s="1"/>
  <c r="DJ127" i="12" s="1"/>
  <c r="AR127" i="12"/>
  <c r="BY127" i="12" s="1"/>
  <c r="DI127" i="12" s="1"/>
  <c r="AQ127" i="12"/>
  <c r="BX127" i="12" s="1"/>
  <c r="DH127" i="12" s="1"/>
  <c r="AS126" i="12"/>
  <c r="BZ126" i="12" s="1"/>
  <c r="DJ126" i="12" s="1"/>
  <c r="AR126" i="12"/>
  <c r="BY126" i="12" s="1"/>
  <c r="DI126" i="12" s="1"/>
  <c r="AQ126" i="12"/>
  <c r="BX126" i="12" s="1"/>
  <c r="DH126" i="12" s="1"/>
  <c r="AS125" i="12"/>
  <c r="BZ125" i="12" s="1"/>
  <c r="DJ125" i="12" s="1"/>
  <c r="AR125" i="12"/>
  <c r="BY125" i="12" s="1"/>
  <c r="DI125" i="12" s="1"/>
  <c r="AQ125" i="12"/>
  <c r="BX125" i="12" s="1"/>
  <c r="DH125" i="12" s="1"/>
  <c r="AS124" i="12"/>
  <c r="BZ124" i="12" s="1"/>
  <c r="DJ124" i="12" s="1"/>
  <c r="AR124" i="12"/>
  <c r="BY124" i="12" s="1"/>
  <c r="DI124" i="12" s="1"/>
  <c r="AQ124" i="12"/>
  <c r="BX124" i="12" s="1"/>
  <c r="DH124" i="12" s="1"/>
  <c r="AS123" i="12"/>
  <c r="BZ123" i="12" s="1"/>
  <c r="DJ123" i="12" s="1"/>
  <c r="AR123" i="12"/>
  <c r="BY123" i="12" s="1"/>
  <c r="DI123" i="12" s="1"/>
  <c r="AQ123" i="12"/>
  <c r="BX123" i="12" s="1"/>
  <c r="DH123" i="12" s="1"/>
  <c r="AS122" i="12"/>
  <c r="BZ122" i="12" s="1"/>
  <c r="DJ122" i="12" s="1"/>
  <c r="AR122" i="12"/>
  <c r="BY122" i="12" s="1"/>
  <c r="DI122" i="12" s="1"/>
  <c r="AQ122" i="12"/>
  <c r="BX122" i="12" s="1"/>
  <c r="DH122" i="12" s="1"/>
  <c r="AS121" i="12"/>
  <c r="BZ121" i="12" s="1"/>
  <c r="DJ121" i="12" s="1"/>
  <c r="AR121" i="12"/>
  <c r="BY121" i="12" s="1"/>
  <c r="DI121" i="12" s="1"/>
  <c r="AQ121" i="12"/>
  <c r="BX121" i="12" s="1"/>
  <c r="DH121" i="12" s="1"/>
  <c r="AS120" i="12"/>
  <c r="BZ120" i="12" s="1"/>
  <c r="DJ120" i="12" s="1"/>
  <c r="AR120" i="12"/>
  <c r="BY120" i="12" s="1"/>
  <c r="DI120" i="12" s="1"/>
  <c r="AQ120" i="12"/>
  <c r="BX120" i="12" s="1"/>
  <c r="DH120" i="12" s="1"/>
  <c r="AS119" i="12"/>
  <c r="BZ119" i="12" s="1"/>
  <c r="DJ119" i="12" s="1"/>
  <c r="AR119" i="12"/>
  <c r="BY119" i="12" s="1"/>
  <c r="DI119" i="12" s="1"/>
  <c r="AQ119" i="12"/>
  <c r="BX119" i="12" s="1"/>
  <c r="DH119" i="12" s="1"/>
  <c r="AS118" i="12"/>
  <c r="BZ118" i="12" s="1"/>
  <c r="DJ118" i="12" s="1"/>
  <c r="AR118" i="12"/>
  <c r="BY118" i="12" s="1"/>
  <c r="DI118" i="12" s="1"/>
  <c r="AQ118" i="12"/>
  <c r="BX118" i="12" s="1"/>
  <c r="DH118" i="12" s="1"/>
  <c r="AS117" i="12"/>
  <c r="BZ117" i="12" s="1"/>
  <c r="DJ117" i="12" s="1"/>
  <c r="AR117" i="12"/>
  <c r="BY117" i="12" s="1"/>
  <c r="DI117" i="12" s="1"/>
  <c r="AQ117" i="12"/>
  <c r="BX117" i="12" s="1"/>
  <c r="DH117" i="12" s="1"/>
  <c r="AS116" i="12"/>
  <c r="BZ116" i="12" s="1"/>
  <c r="DJ116" i="12" s="1"/>
  <c r="AR116" i="12"/>
  <c r="BY116" i="12" s="1"/>
  <c r="DI116" i="12" s="1"/>
  <c r="AQ116" i="12"/>
  <c r="BX116" i="12" s="1"/>
  <c r="DH116" i="12" s="1"/>
  <c r="AS115" i="12"/>
  <c r="BZ115" i="12" s="1"/>
  <c r="DJ115" i="12" s="1"/>
  <c r="AR115" i="12"/>
  <c r="BY115" i="12" s="1"/>
  <c r="DI115" i="12" s="1"/>
  <c r="AQ115" i="12"/>
  <c r="BX115" i="12" s="1"/>
  <c r="DH115" i="12" s="1"/>
  <c r="AS114" i="12"/>
  <c r="BZ114" i="12" s="1"/>
  <c r="DJ114" i="12" s="1"/>
  <c r="AR114" i="12"/>
  <c r="BY114" i="12" s="1"/>
  <c r="DI114" i="12" s="1"/>
  <c r="AQ114" i="12"/>
  <c r="BX114" i="12" s="1"/>
  <c r="DH114" i="12" s="1"/>
  <c r="AS113" i="12"/>
  <c r="BZ113" i="12" s="1"/>
  <c r="DJ113" i="12" s="1"/>
  <c r="AR113" i="12"/>
  <c r="BY113" i="12" s="1"/>
  <c r="DI113" i="12" s="1"/>
  <c r="AQ113" i="12"/>
  <c r="BX113" i="12" s="1"/>
  <c r="DH113" i="12" s="1"/>
  <c r="AS112" i="12"/>
  <c r="BZ112" i="12" s="1"/>
  <c r="DJ112" i="12" s="1"/>
  <c r="AR112" i="12"/>
  <c r="BY112" i="12" s="1"/>
  <c r="DI112" i="12" s="1"/>
  <c r="AQ112" i="12"/>
  <c r="BX112" i="12" s="1"/>
  <c r="DH112" i="12" s="1"/>
  <c r="AS111" i="12"/>
  <c r="BZ111" i="12" s="1"/>
  <c r="DJ111" i="12" s="1"/>
  <c r="AR111" i="12"/>
  <c r="BY111" i="12" s="1"/>
  <c r="DI111" i="12" s="1"/>
  <c r="AQ111" i="12"/>
  <c r="BX111" i="12" s="1"/>
  <c r="DH111" i="12" s="1"/>
  <c r="AS110" i="12"/>
  <c r="BZ110" i="12" s="1"/>
  <c r="DJ110" i="12" s="1"/>
  <c r="AR110" i="12"/>
  <c r="BY110" i="12" s="1"/>
  <c r="DI110" i="12" s="1"/>
  <c r="AQ110" i="12"/>
  <c r="BX110" i="12" s="1"/>
  <c r="DH110" i="12" s="1"/>
  <c r="BZ109" i="12"/>
  <c r="DJ109" i="12" s="1"/>
  <c r="AS109" i="12"/>
  <c r="AR109" i="12"/>
  <c r="BY109" i="12" s="1"/>
  <c r="DI109" i="12" s="1"/>
  <c r="AQ109" i="12"/>
  <c r="BX109" i="12" s="1"/>
  <c r="DH109" i="12" s="1"/>
  <c r="AS108" i="12"/>
  <c r="BZ108" i="12" s="1"/>
  <c r="DJ108" i="12" s="1"/>
  <c r="AR108" i="12"/>
  <c r="BY108" i="12" s="1"/>
  <c r="DI108" i="12" s="1"/>
  <c r="AQ108" i="12"/>
  <c r="BX108" i="12" s="1"/>
  <c r="DH108" i="12" s="1"/>
  <c r="AS107" i="12"/>
  <c r="BZ107" i="12" s="1"/>
  <c r="DJ107" i="12" s="1"/>
  <c r="AR107" i="12"/>
  <c r="BY107" i="12" s="1"/>
  <c r="DI107" i="12" s="1"/>
  <c r="AQ107" i="12"/>
  <c r="BX107" i="12" s="1"/>
  <c r="DH107" i="12" s="1"/>
  <c r="AS106" i="12"/>
  <c r="BZ106" i="12" s="1"/>
  <c r="DJ106" i="12" s="1"/>
  <c r="AR106" i="12"/>
  <c r="BY106" i="12" s="1"/>
  <c r="DI106" i="12" s="1"/>
  <c r="AQ106" i="12"/>
  <c r="BX106" i="12" s="1"/>
  <c r="DH106" i="12" s="1"/>
  <c r="AS105" i="12"/>
  <c r="BZ105" i="12" s="1"/>
  <c r="DJ105" i="12" s="1"/>
  <c r="AR105" i="12"/>
  <c r="BY105" i="12" s="1"/>
  <c r="DI105" i="12" s="1"/>
  <c r="AQ105" i="12"/>
  <c r="BX105" i="12" s="1"/>
  <c r="DH105" i="12" s="1"/>
  <c r="AS104" i="12"/>
  <c r="BZ104" i="12" s="1"/>
  <c r="DJ104" i="12" s="1"/>
  <c r="AR104" i="12"/>
  <c r="BY104" i="12" s="1"/>
  <c r="DI104" i="12" s="1"/>
  <c r="AQ104" i="12"/>
  <c r="BX104" i="12" s="1"/>
  <c r="DH104" i="12" s="1"/>
  <c r="AS103" i="12"/>
  <c r="BZ103" i="12" s="1"/>
  <c r="DJ103" i="12" s="1"/>
  <c r="AR103" i="12"/>
  <c r="BY103" i="12" s="1"/>
  <c r="DI103" i="12" s="1"/>
  <c r="AQ103" i="12"/>
  <c r="BX103" i="12" s="1"/>
  <c r="DH103" i="12" s="1"/>
  <c r="AS102" i="12"/>
  <c r="BZ102" i="12" s="1"/>
  <c r="DJ102" i="12" s="1"/>
  <c r="AR102" i="12"/>
  <c r="BY102" i="12" s="1"/>
  <c r="DI102" i="12" s="1"/>
  <c r="AQ102" i="12"/>
  <c r="BX102" i="12" s="1"/>
  <c r="DH102" i="12" s="1"/>
  <c r="AS101" i="12"/>
  <c r="BZ101" i="12" s="1"/>
  <c r="DJ101" i="12" s="1"/>
  <c r="AR101" i="12"/>
  <c r="BY101" i="12" s="1"/>
  <c r="DI101" i="12" s="1"/>
  <c r="AQ101" i="12"/>
  <c r="BX101" i="12" s="1"/>
  <c r="DH101" i="12" s="1"/>
  <c r="AS100" i="12"/>
  <c r="BZ100" i="12" s="1"/>
  <c r="DJ100" i="12" s="1"/>
  <c r="AR100" i="12"/>
  <c r="BY100" i="12" s="1"/>
  <c r="DI100" i="12" s="1"/>
  <c r="AQ100" i="12"/>
  <c r="BX100" i="12" s="1"/>
  <c r="DH100" i="12" s="1"/>
  <c r="AS99" i="12"/>
  <c r="BZ99" i="12" s="1"/>
  <c r="DJ99" i="12" s="1"/>
  <c r="AR99" i="12"/>
  <c r="BY99" i="12" s="1"/>
  <c r="DI99" i="12" s="1"/>
  <c r="AQ99" i="12"/>
  <c r="BX99" i="12" s="1"/>
  <c r="DH99" i="12" s="1"/>
  <c r="AS98" i="12"/>
  <c r="BZ98" i="12" s="1"/>
  <c r="DJ98" i="12" s="1"/>
  <c r="AR98" i="12"/>
  <c r="BY98" i="12" s="1"/>
  <c r="DI98" i="12" s="1"/>
  <c r="AQ98" i="12"/>
  <c r="BX98" i="12" s="1"/>
  <c r="DH98" i="12" s="1"/>
  <c r="AS97" i="12"/>
  <c r="BZ97" i="12" s="1"/>
  <c r="DJ97" i="12" s="1"/>
  <c r="AR97" i="12"/>
  <c r="BY97" i="12" s="1"/>
  <c r="DI97" i="12" s="1"/>
  <c r="AQ97" i="12"/>
  <c r="BX97" i="12" s="1"/>
  <c r="DH97" i="12" s="1"/>
  <c r="AS96" i="12"/>
  <c r="BZ96" i="12" s="1"/>
  <c r="DJ96" i="12" s="1"/>
  <c r="AR96" i="12"/>
  <c r="BY96" i="12" s="1"/>
  <c r="DI96" i="12" s="1"/>
  <c r="AQ96" i="12"/>
  <c r="BX96" i="12" s="1"/>
  <c r="DH96" i="12" s="1"/>
  <c r="AS95" i="12"/>
  <c r="BZ95" i="12" s="1"/>
  <c r="DJ95" i="12" s="1"/>
  <c r="AR95" i="12"/>
  <c r="BY95" i="12" s="1"/>
  <c r="DI95" i="12" s="1"/>
  <c r="AQ95" i="12"/>
  <c r="BX95" i="12" s="1"/>
  <c r="DH95" i="12" s="1"/>
  <c r="AS94" i="12"/>
  <c r="BZ94" i="12" s="1"/>
  <c r="DJ94" i="12" s="1"/>
  <c r="AR94" i="12"/>
  <c r="BY94" i="12" s="1"/>
  <c r="DI94" i="12" s="1"/>
  <c r="AQ94" i="12"/>
  <c r="BX94" i="12" s="1"/>
  <c r="DH94" i="12" s="1"/>
  <c r="AS93" i="12"/>
  <c r="BZ93" i="12" s="1"/>
  <c r="DJ93" i="12" s="1"/>
  <c r="AR93" i="12"/>
  <c r="BY93" i="12" s="1"/>
  <c r="DI93" i="12" s="1"/>
  <c r="AQ93" i="12"/>
  <c r="BX93" i="12" s="1"/>
  <c r="DH93" i="12" s="1"/>
  <c r="AS92" i="12"/>
  <c r="BZ92" i="12" s="1"/>
  <c r="DJ92" i="12" s="1"/>
  <c r="AR92" i="12"/>
  <c r="BY92" i="12" s="1"/>
  <c r="DI92" i="12" s="1"/>
  <c r="AQ92" i="12"/>
  <c r="BX92" i="12" s="1"/>
  <c r="DH92" i="12" s="1"/>
  <c r="AS91" i="12"/>
  <c r="BZ91" i="12" s="1"/>
  <c r="DJ91" i="12" s="1"/>
  <c r="AR91" i="12"/>
  <c r="BY91" i="12" s="1"/>
  <c r="DI91" i="12" s="1"/>
  <c r="AQ91" i="12"/>
  <c r="BX91" i="12" s="1"/>
  <c r="DH91" i="12" s="1"/>
  <c r="AS90" i="12"/>
  <c r="BZ90" i="12" s="1"/>
  <c r="DJ90" i="12" s="1"/>
  <c r="AR90" i="12"/>
  <c r="BY90" i="12" s="1"/>
  <c r="DI90" i="12" s="1"/>
  <c r="AQ90" i="12"/>
  <c r="BX90" i="12" s="1"/>
  <c r="DH90" i="12" s="1"/>
  <c r="AS89" i="12"/>
  <c r="BZ89" i="12" s="1"/>
  <c r="DJ89" i="12" s="1"/>
  <c r="AR89" i="12"/>
  <c r="BY89" i="12" s="1"/>
  <c r="DI89" i="12" s="1"/>
  <c r="AQ89" i="12"/>
  <c r="BX89" i="12" s="1"/>
  <c r="DH89" i="12" s="1"/>
  <c r="AS88" i="12"/>
  <c r="BZ88" i="12" s="1"/>
  <c r="DJ88" i="12" s="1"/>
  <c r="AR88" i="12"/>
  <c r="BY88" i="12" s="1"/>
  <c r="DI88" i="12" s="1"/>
  <c r="AQ88" i="12"/>
  <c r="BX88" i="12" s="1"/>
  <c r="DH88" i="12" s="1"/>
  <c r="AS87" i="12"/>
  <c r="BZ87" i="12" s="1"/>
  <c r="DJ87" i="12" s="1"/>
  <c r="AR87" i="12"/>
  <c r="BY87" i="12" s="1"/>
  <c r="DI87" i="12" s="1"/>
  <c r="AQ87" i="12"/>
  <c r="BX87" i="12" s="1"/>
  <c r="DH87" i="12" s="1"/>
  <c r="AS86" i="12"/>
  <c r="BZ86" i="12" s="1"/>
  <c r="DJ86" i="12" s="1"/>
  <c r="AR86" i="12"/>
  <c r="BY86" i="12" s="1"/>
  <c r="DI86" i="12" s="1"/>
  <c r="AQ86" i="12"/>
  <c r="BX86" i="12" s="1"/>
  <c r="DH86" i="12" s="1"/>
  <c r="AS85" i="12"/>
  <c r="BZ85" i="12" s="1"/>
  <c r="DJ85" i="12" s="1"/>
  <c r="AR85" i="12"/>
  <c r="BY85" i="12" s="1"/>
  <c r="DI85" i="12" s="1"/>
  <c r="AQ85" i="12"/>
  <c r="BX85" i="12" s="1"/>
  <c r="DH85" i="12" s="1"/>
  <c r="AS84" i="12"/>
  <c r="BZ84" i="12" s="1"/>
  <c r="DJ84" i="12" s="1"/>
  <c r="AR84" i="12"/>
  <c r="BY84" i="12" s="1"/>
  <c r="DI84" i="12" s="1"/>
  <c r="AQ84" i="12"/>
  <c r="BX84" i="12" s="1"/>
  <c r="DH84" i="12" s="1"/>
  <c r="AS83" i="12"/>
  <c r="BZ83" i="12" s="1"/>
  <c r="DJ83" i="12" s="1"/>
  <c r="AR83" i="12"/>
  <c r="BY83" i="12" s="1"/>
  <c r="DI83" i="12" s="1"/>
  <c r="AQ83" i="12"/>
  <c r="BX83" i="12" s="1"/>
  <c r="DH83" i="12" s="1"/>
  <c r="AS82" i="12"/>
  <c r="BZ82" i="12" s="1"/>
  <c r="DJ82" i="12" s="1"/>
  <c r="AR82" i="12"/>
  <c r="BY82" i="12" s="1"/>
  <c r="DI82" i="12" s="1"/>
  <c r="AQ82" i="12"/>
  <c r="BX82" i="12" s="1"/>
  <c r="DH82" i="12" s="1"/>
  <c r="AS81" i="12"/>
  <c r="BZ81" i="12" s="1"/>
  <c r="DJ81" i="12" s="1"/>
  <c r="AR81" i="12"/>
  <c r="BY81" i="12" s="1"/>
  <c r="DI81" i="12" s="1"/>
  <c r="AQ81" i="12"/>
  <c r="BX81" i="12" s="1"/>
  <c r="DH81" i="12" s="1"/>
  <c r="AS80" i="12"/>
  <c r="BZ80" i="12" s="1"/>
  <c r="DJ80" i="12" s="1"/>
  <c r="AR80" i="12"/>
  <c r="BY80" i="12" s="1"/>
  <c r="DI80" i="12" s="1"/>
  <c r="AQ80" i="12"/>
  <c r="BX80" i="12" s="1"/>
  <c r="DH80" i="12" s="1"/>
  <c r="AS79" i="12"/>
  <c r="BZ79" i="12" s="1"/>
  <c r="DJ79" i="12" s="1"/>
  <c r="AR79" i="12"/>
  <c r="BY79" i="12" s="1"/>
  <c r="DI79" i="12" s="1"/>
  <c r="AQ79" i="12"/>
  <c r="BX79" i="12" s="1"/>
  <c r="DH79" i="12" s="1"/>
  <c r="AS78" i="12"/>
  <c r="BZ78" i="12" s="1"/>
  <c r="DJ78" i="12" s="1"/>
  <c r="AR78" i="12"/>
  <c r="BY78" i="12" s="1"/>
  <c r="DI78" i="12" s="1"/>
  <c r="AQ78" i="12"/>
  <c r="BX78" i="12" s="1"/>
  <c r="DH78" i="12" s="1"/>
  <c r="AS77" i="12"/>
  <c r="BZ77" i="12" s="1"/>
  <c r="DJ77" i="12" s="1"/>
  <c r="AR77" i="12"/>
  <c r="BY77" i="12" s="1"/>
  <c r="DI77" i="12" s="1"/>
  <c r="AQ77" i="12"/>
  <c r="BX77" i="12" s="1"/>
  <c r="DH77" i="12" s="1"/>
  <c r="AS76" i="12"/>
  <c r="BZ76" i="12" s="1"/>
  <c r="DJ76" i="12" s="1"/>
  <c r="AR76" i="12"/>
  <c r="BY76" i="12" s="1"/>
  <c r="DI76" i="12" s="1"/>
  <c r="AQ76" i="12"/>
  <c r="BX76" i="12" s="1"/>
  <c r="DH76" i="12" s="1"/>
  <c r="BX75" i="12"/>
  <c r="DH75" i="12" s="1"/>
  <c r="AS75" i="12"/>
  <c r="BZ75" i="12" s="1"/>
  <c r="DJ75" i="12" s="1"/>
  <c r="AR75" i="12"/>
  <c r="BY75" i="12" s="1"/>
  <c r="DI75" i="12" s="1"/>
  <c r="AQ75" i="12"/>
  <c r="AS74" i="12"/>
  <c r="BZ74" i="12" s="1"/>
  <c r="DJ74" i="12" s="1"/>
  <c r="AR74" i="12"/>
  <c r="BY74" i="12" s="1"/>
  <c r="DI74" i="12" s="1"/>
  <c r="AQ74" i="12"/>
  <c r="BX74" i="12" s="1"/>
  <c r="DH74" i="12" s="1"/>
  <c r="AS73" i="12"/>
  <c r="BZ73" i="12" s="1"/>
  <c r="DJ73" i="12" s="1"/>
  <c r="AR73" i="12"/>
  <c r="BY73" i="12" s="1"/>
  <c r="DI73" i="12" s="1"/>
  <c r="AQ73" i="12"/>
  <c r="BX73" i="12" s="1"/>
  <c r="DH73" i="12" s="1"/>
  <c r="AS72" i="12"/>
  <c r="BZ72" i="12" s="1"/>
  <c r="DJ72" i="12" s="1"/>
  <c r="AR72" i="12"/>
  <c r="BY72" i="12" s="1"/>
  <c r="DI72" i="12" s="1"/>
  <c r="AQ72" i="12"/>
  <c r="BX72" i="12" s="1"/>
  <c r="DH72" i="12" s="1"/>
  <c r="AS71" i="12"/>
  <c r="BZ71" i="12" s="1"/>
  <c r="DJ71" i="12" s="1"/>
  <c r="AR71" i="12"/>
  <c r="BY71" i="12" s="1"/>
  <c r="DI71" i="12" s="1"/>
  <c r="AQ71" i="12"/>
  <c r="BX71" i="12" s="1"/>
  <c r="DH71" i="12" s="1"/>
  <c r="AS70" i="12"/>
  <c r="BZ70" i="12" s="1"/>
  <c r="DJ70" i="12" s="1"/>
  <c r="AR70" i="12"/>
  <c r="BY70" i="12" s="1"/>
  <c r="DI70" i="12" s="1"/>
  <c r="AQ70" i="12"/>
  <c r="BX70" i="12" s="1"/>
  <c r="DH70" i="12" s="1"/>
  <c r="AS69" i="12"/>
  <c r="BZ69" i="12" s="1"/>
  <c r="DJ69" i="12" s="1"/>
  <c r="AR69" i="12"/>
  <c r="BY69" i="12" s="1"/>
  <c r="DI69" i="12" s="1"/>
  <c r="AQ69" i="12"/>
  <c r="BX69" i="12" s="1"/>
  <c r="DH69" i="12" s="1"/>
  <c r="AS68" i="12"/>
  <c r="BZ68" i="12" s="1"/>
  <c r="DJ68" i="12" s="1"/>
  <c r="AR68" i="12"/>
  <c r="BY68" i="12" s="1"/>
  <c r="DI68" i="12" s="1"/>
  <c r="AQ68" i="12"/>
  <c r="BX68" i="12" s="1"/>
  <c r="DH68" i="12" s="1"/>
  <c r="AS67" i="12"/>
  <c r="BZ67" i="12" s="1"/>
  <c r="DJ67" i="12" s="1"/>
  <c r="AR67" i="12"/>
  <c r="BY67" i="12" s="1"/>
  <c r="DI67" i="12" s="1"/>
  <c r="AQ67" i="12"/>
  <c r="BX67" i="12" s="1"/>
  <c r="DH67" i="12" s="1"/>
  <c r="AS66" i="12"/>
  <c r="BZ66" i="12" s="1"/>
  <c r="DJ66" i="12" s="1"/>
  <c r="AR66" i="12"/>
  <c r="BY66" i="12" s="1"/>
  <c r="DI66" i="12" s="1"/>
  <c r="AQ66" i="12"/>
  <c r="BX66" i="12" s="1"/>
  <c r="DH66" i="12" s="1"/>
  <c r="AS65" i="12"/>
  <c r="BZ65" i="12" s="1"/>
  <c r="DJ65" i="12" s="1"/>
  <c r="AR65" i="12"/>
  <c r="BY65" i="12" s="1"/>
  <c r="DI65" i="12" s="1"/>
  <c r="AQ65" i="12"/>
  <c r="BX65" i="12" s="1"/>
  <c r="DH65" i="12" s="1"/>
  <c r="AS64" i="12"/>
  <c r="BZ64" i="12" s="1"/>
  <c r="DJ64" i="12" s="1"/>
  <c r="AR64" i="12"/>
  <c r="BY64" i="12" s="1"/>
  <c r="DI64" i="12" s="1"/>
  <c r="AQ64" i="12"/>
  <c r="BX64" i="12" s="1"/>
  <c r="DH64" i="12" s="1"/>
  <c r="AS63" i="12"/>
  <c r="BZ63" i="12" s="1"/>
  <c r="DJ63" i="12" s="1"/>
  <c r="AR63" i="12"/>
  <c r="BY63" i="12" s="1"/>
  <c r="DI63" i="12" s="1"/>
  <c r="AQ63" i="12"/>
  <c r="BX63" i="12" s="1"/>
  <c r="DH63" i="12" s="1"/>
  <c r="BY62" i="12"/>
  <c r="DI62" i="12" s="1"/>
  <c r="AS62" i="12"/>
  <c r="BZ62" i="12" s="1"/>
  <c r="DJ62" i="12" s="1"/>
  <c r="AR62" i="12"/>
  <c r="AQ62" i="12"/>
  <c r="BX62" i="12" s="1"/>
  <c r="DH62" i="12" s="1"/>
  <c r="AS61" i="12"/>
  <c r="BZ61" i="12" s="1"/>
  <c r="DJ61" i="12" s="1"/>
  <c r="AR61" i="12"/>
  <c r="BY61" i="12" s="1"/>
  <c r="DI61" i="12" s="1"/>
  <c r="AQ61" i="12"/>
  <c r="BX61" i="12" s="1"/>
  <c r="DH61" i="12" s="1"/>
  <c r="AS60" i="12"/>
  <c r="BZ60" i="12" s="1"/>
  <c r="DJ60" i="12" s="1"/>
  <c r="AR60" i="12"/>
  <c r="BY60" i="12" s="1"/>
  <c r="DI60" i="12" s="1"/>
  <c r="AQ60" i="12"/>
  <c r="BX60" i="12" s="1"/>
  <c r="DH60" i="12" s="1"/>
  <c r="AS59" i="12"/>
  <c r="BZ59" i="12" s="1"/>
  <c r="DJ59" i="12" s="1"/>
  <c r="AR59" i="12"/>
  <c r="BY59" i="12" s="1"/>
  <c r="DI59" i="12" s="1"/>
  <c r="AQ59" i="12"/>
  <c r="BX59" i="12" s="1"/>
  <c r="DH59" i="12" s="1"/>
  <c r="AS58" i="12"/>
  <c r="BZ58" i="12" s="1"/>
  <c r="DJ58" i="12" s="1"/>
  <c r="AR58" i="12"/>
  <c r="BY58" i="12" s="1"/>
  <c r="DI58" i="12" s="1"/>
  <c r="AQ58" i="12"/>
  <c r="BX58" i="12" s="1"/>
  <c r="DH58" i="12" s="1"/>
  <c r="AS57" i="12"/>
  <c r="BZ57" i="12" s="1"/>
  <c r="DJ57" i="12" s="1"/>
  <c r="AR57" i="12"/>
  <c r="BY57" i="12" s="1"/>
  <c r="DI57" i="12" s="1"/>
  <c r="AQ57" i="12"/>
  <c r="BX57" i="12" s="1"/>
  <c r="DH57" i="12" s="1"/>
  <c r="AS56" i="12"/>
  <c r="BZ56" i="12" s="1"/>
  <c r="DJ56" i="12" s="1"/>
  <c r="AR56" i="12"/>
  <c r="BY56" i="12" s="1"/>
  <c r="DI56" i="12" s="1"/>
  <c r="AQ56" i="12"/>
  <c r="BX56" i="12" s="1"/>
  <c r="DH56" i="12" s="1"/>
  <c r="AS55" i="12"/>
  <c r="BZ55" i="12" s="1"/>
  <c r="DJ55" i="12" s="1"/>
  <c r="AR55" i="12"/>
  <c r="BY55" i="12" s="1"/>
  <c r="DI55" i="12" s="1"/>
  <c r="AQ55" i="12"/>
  <c r="BX55" i="12" s="1"/>
  <c r="DH55" i="12" s="1"/>
  <c r="AS54" i="12"/>
  <c r="BZ54" i="12" s="1"/>
  <c r="DJ54" i="12" s="1"/>
  <c r="AR54" i="12"/>
  <c r="BY54" i="12" s="1"/>
  <c r="DI54" i="12" s="1"/>
  <c r="AQ54" i="12"/>
  <c r="BX54" i="12" s="1"/>
  <c r="DH54" i="12" s="1"/>
  <c r="AS53" i="12"/>
  <c r="BZ53" i="12" s="1"/>
  <c r="DJ53" i="12" s="1"/>
  <c r="AR53" i="12"/>
  <c r="BY53" i="12" s="1"/>
  <c r="DI53" i="12" s="1"/>
  <c r="AQ53" i="12"/>
  <c r="BX53" i="12" s="1"/>
  <c r="DH53" i="12" s="1"/>
  <c r="AS52" i="12"/>
  <c r="BZ52" i="12" s="1"/>
  <c r="DJ52" i="12" s="1"/>
  <c r="AR52" i="12"/>
  <c r="BY52" i="12" s="1"/>
  <c r="DI52" i="12" s="1"/>
  <c r="AQ52" i="12"/>
  <c r="BX52" i="12" s="1"/>
  <c r="DH52" i="12" s="1"/>
  <c r="AS51" i="12"/>
  <c r="BZ51" i="12" s="1"/>
  <c r="DJ51" i="12" s="1"/>
  <c r="AR51" i="12"/>
  <c r="BY51" i="12" s="1"/>
  <c r="DI51" i="12" s="1"/>
  <c r="AQ51" i="12"/>
  <c r="BX51" i="12" s="1"/>
  <c r="DH51" i="12" s="1"/>
  <c r="AS50" i="12"/>
  <c r="BZ50" i="12" s="1"/>
  <c r="DJ50" i="12" s="1"/>
  <c r="AR50" i="12"/>
  <c r="BY50" i="12" s="1"/>
  <c r="DI50" i="12" s="1"/>
  <c r="AQ50" i="12"/>
  <c r="BX50" i="12" s="1"/>
  <c r="DH50" i="12" s="1"/>
  <c r="AS49" i="12"/>
  <c r="BZ49" i="12" s="1"/>
  <c r="DJ49" i="12" s="1"/>
  <c r="AR49" i="12"/>
  <c r="BY49" i="12" s="1"/>
  <c r="DI49" i="12" s="1"/>
  <c r="AQ49" i="12"/>
  <c r="BX49" i="12" s="1"/>
  <c r="DH49" i="12" s="1"/>
  <c r="AS48" i="12"/>
  <c r="BZ48" i="12" s="1"/>
  <c r="DJ48" i="12" s="1"/>
  <c r="AR48" i="12"/>
  <c r="BY48" i="12" s="1"/>
  <c r="DI48" i="12" s="1"/>
  <c r="AQ48" i="12"/>
  <c r="BX48" i="12" s="1"/>
  <c r="DH48" i="12" s="1"/>
  <c r="AS47" i="12"/>
  <c r="BZ47" i="12" s="1"/>
  <c r="DJ47" i="12" s="1"/>
  <c r="AR47" i="12"/>
  <c r="BY47" i="12" s="1"/>
  <c r="DI47" i="12" s="1"/>
  <c r="AQ47" i="12"/>
  <c r="BX47" i="12" s="1"/>
  <c r="DH47" i="12" s="1"/>
  <c r="AS46" i="12"/>
  <c r="BZ46" i="12" s="1"/>
  <c r="DJ46" i="12" s="1"/>
  <c r="AR46" i="12"/>
  <c r="BY46" i="12" s="1"/>
  <c r="DI46" i="12" s="1"/>
  <c r="AQ46" i="12"/>
  <c r="BX46" i="12" s="1"/>
  <c r="DH46" i="12" s="1"/>
  <c r="AS45" i="12"/>
  <c r="BZ45" i="12" s="1"/>
  <c r="DJ45" i="12" s="1"/>
  <c r="AR45" i="12"/>
  <c r="BY45" i="12" s="1"/>
  <c r="DI45" i="12" s="1"/>
  <c r="AQ45" i="12"/>
  <c r="BX45" i="12" s="1"/>
  <c r="DH45" i="12" s="1"/>
  <c r="AS44" i="12"/>
  <c r="BZ44" i="12" s="1"/>
  <c r="DJ44" i="12" s="1"/>
  <c r="AR44" i="12"/>
  <c r="BY44" i="12" s="1"/>
  <c r="DI44" i="12" s="1"/>
  <c r="AQ44" i="12"/>
  <c r="BX44" i="12" s="1"/>
  <c r="DH44" i="12" s="1"/>
  <c r="AS43" i="12"/>
  <c r="BZ43" i="12" s="1"/>
  <c r="DJ43" i="12" s="1"/>
  <c r="AR43" i="12"/>
  <c r="BY43" i="12" s="1"/>
  <c r="DI43" i="12" s="1"/>
  <c r="AQ43" i="12"/>
  <c r="BX43" i="12" s="1"/>
  <c r="DH43" i="12" s="1"/>
  <c r="AS42" i="12"/>
  <c r="BZ42" i="12" s="1"/>
  <c r="DJ42" i="12" s="1"/>
  <c r="AR42" i="12"/>
  <c r="BY42" i="12" s="1"/>
  <c r="DI42" i="12" s="1"/>
  <c r="AQ42" i="12"/>
  <c r="BX42" i="12" s="1"/>
  <c r="DH42" i="12" s="1"/>
  <c r="AS41" i="12"/>
  <c r="BZ41" i="12" s="1"/>
  <c r="DJ41" i="12" s="1"/>
  <c r="AR41" i="12"/>
  <c r="BY41" i="12" s="1"/>
  <c r="DI41" i="12" s="1"/>
  <c r="AQ41" i="12"/>
  <c r="BX41" i="12" s="1"/>
  <c r="DH41" i="12" s="1"/>
  <c r="AS40" i="12"/>
  <c r="BZ40" i="12" s="1"/>
  <c r="DJ40" i="12" s="1"/>
  <c r="AR40" i="12"/>
  <c r="BY40" i="12" s="1"/>
  <c r="DI40" i="12" s="1"/>
  <c r="AQ40" i="12"/>
  <c r="BX40" i="12" s="1"/>
  <c r="DH40" i="12" s="1"/>
  <c r="BX39" i="12"/>
  <c r="DH39" i="12" s="1"/>
  <c r="AS39" i="12"/>
  <c r="BZ39" i="12" s="1"/>
  <c r="DJ39" i="12" s="1"/>
  <c r="AR39" i="12"/>
  <c r="BY39" i="12" s="1"/>
  <c r="DI39" i="12" s="1"/>
  <c r="AQ39" i="12"/>
  <c r="BZ38" i="12"/>
  <c r="DJ38" i="12" s="1"/>
  <c r="AS38" i="12"/>
  <c r="AR38" i="12"/>
  <c r="BY38" i="12" s="1"/>
  <c r="DI38" i="12" s="1"/>
  <c r="AQ38" i="12"/>
  <c r="BX38" i="12" s="1"/>
  <c r="DH38" i="12" s="1"/>
  <c r="AS37" i="12"/>
  <c r="BZ37" i="12" s="1"/>
  <c r="DJ37" i="12" s="1"/>
  <c r="AR37" i="12"/>
  <c r="BY37" i="12" s="1"/>
  <c r="DI37" i="12" s="1"/>
  <c r="AQ37" i="12"/>
  <c r="BX37" i="12" s="1"/>
  <c r="DH37" i="12" s="1"/>
  <c r="AS36" i="12"/>
  <c r="BZ36" i="12" s="1"/>
  <c r="DJ36" i="12" s="1"/>
  <c r="AR36" i="12"/>
  <c r="BY36" i="12" s="1"/>
  <c r="DI36" i="12" s="1"/>
  <c r="AQ36" i="12"/>
  <c r="BX36" i="12" s="1"/>
  <c r="DH36" i="12" s="1"/>
  <c r="BX35" i="12"/>
  <c r="DH35" i="12" s="1"/>
  <c r="AS35" i="12"/>
  <c r="BZ35" i="12" s="1"/>
  <c r="DJ35" i="12" s="1"/>
  <c r="AR35" i="12"/>
  <c r="BY35" i="12" s="1"/>
  <c r="DI35" i="12" s="1"/>
  <c r="AQ35" i="12"/>
  <c r="AS34" i="12"/>
  <c r="BZ34" i="12" s="1"/>
  <c r="DJ34" i="12" s="1"/>
  <c r="AR34" i="12"/>
  <c r="BY34" i="12" s="1"/>
  <c r="DI34" i="12" s="1"/>
  <c r="AQ34" i="12"/>
  <c r="BX34" i="12" s="1"/>
  <c r="DH34" i="12" s="1"/>
  <c r="AS33" i="12"/>
  <c r="BZ33" i="12" s="1"/>
  <c r="DJ33" i="12" s="1"/>
  <c r="AR33" i="12"/>
  <c r="BY33" i="12" s="1"/>
  <c r="DI33" i="12" s="1"/>
  <c r="AQ33" i="12"/>
  <c r="BX33" i="12" s="1"/>
  <c r="DH33" i="12" s="1"/>
  <c r="BX32" i="12"/>
  <c r="DH32" i="12" s="1"/>
  <c r="AS32" i="12"/>
  <c r="BZ32" i="12" s="1"/>
  <c r="DJ32" i="12" s="1"/>
  <c r="AR32" i="12"/>
  <c r="BY32" i="12" s="1"/>
  <c r="DI32" i="12" s="1"/>
  <c r="AQ32" i="12"/>
  <c r="AS31" i="12"/>
  <c r="BZ31" i="12" s="1"/>
  <c r="DJ31" i="12" s="1"/>
  <c r="AR31" i="12"/>
  <c r="BY31" i="12" s="1"/>
  <c r="DI31" i="12" s="1"/>
  <c r="AQ31" i="12"/>
  <c r="BX31" i="12" s="1"/>
  <c r="DH31" i="12" s="1"/>
  <c r="AS30" i="12"/>
  <c r="BZ30" i="12" s="1"/>
  <c r="DJ30" i="12" s="1"/>
  <c r="AR30" i="12"/>
  <c r="BY30" i="12" s="1"/>
  <c r="DI30" i="12" s="1"/>
  <c r="AQ30" i="12"/>
  <c r="BX30" i="12" s="1"/>
  <c r="DH30" i="12" s="1"/>
  <c r="BX29" i="12"/>
  <c r="DH29" i="12" s="1"/>
  <c r="AS29" i="12"/>
  <c r="BZ29" i="12" s="1"/>
  <c r="DJ29" i="12" s="1"/>
  <c r="AR29" i="12"/>
  <c r="BY29" i="12" s="1"/>
  <c r="DI29" i="12" s="1"/>
  <c r="AQ29" i="12"/>
  <c r="AS28" i="12"/>
  <c r="BZ28" i="12" s="1"/>
  <c r="DJ28" i="12" s="1"/>
  <c r="AR28" i="12"/>
  <c r="BY28" i="12" s="1"/>
  <c r="DI28" i="12" s="1"/>
  <c r="AQ28" i="12"/>
  <c r="BX28" i="12" s="1"/>
  <c r="DH28" i="12" s="1"/>
  <c r="AS27" i="12"/>
  <c r="BZ27" i="12" s="1"/>
  <c r="DJ27" i="12" s="1"/>
  <c r="AR27" i="12"/>
  <c r="BY27" i="12" s="1"/>
  <c r="DI27" i="12" s="1"/>
  <c r="AQ27" i="12"/>
  <c r="BX27" i="12" s="1"/>
  <c r="DH27" i="12" s="1"/>
  <c r="AS26" i="12"/>
  <c r="BZ26" i="12" s="1"/>
  <c r="DJ26" i="12" s="1"/>
  <c r="AR26" i="12"/>
  <c r="BY26" i="12" s="1"/>
  <c r="DI26" i="12" s="1"/>
  <c r="AQ26" i="12"/>
  <c r="BX26" i="12" s="1"/>
  <c r="DH26" i="12" s="1"/>
  <c r="AS25" i="12"/>
  <c r="BZ25" i="12" s="1"/>
  <c r="DJ25" i="12" s="1"/>
  <c r="AR25" i="12"/>
  <c r="BY25" i="12" s="1"/>
  <c r="DI25" i="12" s="1"/>
  <c r="AQ25" i="12"/>
  <c r="BX25" i="12" s="1"/>
  <c r="DH25" i="12" s="1"/>
  <c r="AS24" i="12"/>
  <c r="BZ24" i="12" s="1"/>
  <c r="DJ24" i="12" s="1"/>
  <c r="AR24" i="12"/>
  <c r="BY24" i="12" s="1"/>
  <c r="DI24" i="12" s="1"/>
  <c r="AQ24" i="12"/>
  <c r="BX24" i="12" s="1"/>
  <c r="DH24" i="12" s="1"/>
  <c r="AS23" i="12"/>
  <c r="BZ23" i="12" s="1"/>
  <c r="DJ23" i="12" s="1"/>
  <c r="AR23" i="12"/>
  <c r="BY23" i="12" s="1"/>
  <c r="DI23" i="12" s="1"/>
  <c r="AQ23" i="12"/>
  <c r="BX23" i="12" s="1"/>
  <c r="DH23" i="12" s="1"/>
  <c r="AS22" i="12"/>
  <c r="BZ22" i="12" s="1"/>
  <c r="DJ22" i="12" s="1"/>
  <c r="AR22" i="12"/>
  <c r="BY22" i="12" s="1"/>
  <c r="DI22" i="12" s="1"/>
  <c r="AQ22" i="12"/>
  <c r="BX22" i="12" s="1"/>
  <c r="DH22" i="12" s="1"/>
  <c r="AS21" i="12"/>
  <c r="BZ21" i="12" s="1"/>
  <c r="DJ21" i="12" s="1"/>
  <c r="AR21" i="12"/>
  <c r="BY21" i="12" s="1"/>
  <c r="DI21" i="12" s="1"/>
  <c r="AQ21" i="12"/>
  <c r="BX21" i="12" s="1"/>
  <c r="DH21" i="12" s="1"/>
  <c r="AS20" i="12"/>
  <c r="BZ20" i="12" s="1"/>
  <c r="DJ20" i="12" s="1"/>
  <c r="AR20" i="12"/>
  <c r="BY20" i="12" s="1"/>
  <c r="DI20" i="12" s="1"/>
  <c r="AQ20" i="12"/>
  <c r="BX20" i="12" s="1"/>
  <c r="DH20" i="12" s="1"/>
  <c r="AS19" i="12"/>
  <c r="BZ19" i="12" s="1"/>
  <c r="DJ19" i="12" s="1"/>
  <c r="AR19" i="12"/>
  <c r="BY19" i="12" s="1"/>
  <c r="DI19" i="12" s="1"/>
  <c r="AQ19" i="12"/>
  <c r="BX19" i="12" s="1"/>
  <c r="DH19" i="12" s="1"/>
  <c r="AS18" i="12"/>
  <c r="BZ18" i="12" s="1"/>
  <c r="DJ18" i="12" s="1"/>
  <c r="AR18" i="12"/>
  <c r="BY18" i="12" s="1"/>
  <c r="DI18" i="12" s="1"/>
  <c r="AQ18" i="12"/>
  <c r="BX18" i="12" s="1"/>
  <c r="DH18" i="12" s="1"/>
  <c r="AS17" i="12"/>
  <c r="BZ17" i="12" s="1"/>
  <c r="DJ17" i="12" s="1"/>
  <c r="AR17" i="12"/>
  <c r="BY17" i="12" s="1"/>
  <c r="DI17" i="12" s="1"/>
  <c r="AQ17" i="12"/>
  <c r="BX17" i="12" s="1"/>
  <c r="DH17" i="12" s="1"/>
  <c r="AS16" i="12"/>
  <c r="BZ16" i="12" s="1"/>
  <c r="DJ16" i="12" s="1"/>
  <c r="AR16" i="12"/>
  <c r="BY16" i="12" s="1"/>
  <c r="DI16" i="12" s="1"/>
  <c r="AQ16" i="12"/>
  <c r="BX16" i="12" s="1"/>
  <c r="DH16" i="12" s="1"/>
  <c r="AS15" i="12"/>
  <c r="BZ15" i="12" s="1"/>
  <c r="DJ15" i="12" s="1"/>
  <c r="AR15" i="12"/>
  <c r="BY15" i="12" s="1"/>
  <c r="DI15" i="12" s="1"/>
  <c r="AQ15" i="12"/>
  <c r="BX15" i="12" s="1"/>
  <c r="DH15" i="12" s="1"/>
  <c r="AS14" i="12"/>
  <c r="BZ14" i="12" s="1"/>
  <c r="DJ14" i="12" s="1"/>
  <c r="AR14" i="12"/>
  <c r="BY14" i="12" s="1"/>
  <c r="DI14" i="12" s="1"/>
  <c r="AQ14" i="12"/>
  <c r="BX14" i="12" s="1"/>
  <c r="DH14" i="12" s="1"/>
  <c r="AS13" i="12"/>
  <c r="BZ13" i="12" s="1"/>
  <c r="DJ13" i="12" s="1"/>
  <c r="AR13" i="12"/>
  <c r="BY13" i="12" s="1"/>
  <c r="DI13" i="12" s="1"/>
  <c r="AQ13" i="12"/>
  <c r="BX13" i="12" s="1"/>
  <c r="DH13" i="12" s="1"/>
  <c r="AS12" i="12"/>
  <c r="BZ12" i="12" s="1"/>
  <c r="DJ12" i="12" s="1"/>
  <c r="AR12" i="12"/>
  <c r="BY12" i="12" s="1"/>
  <c r="DI12" i="12" s="1"/>
  <c r="AQ12" i="12"/>
  <c r="BX12" i="12" s="1"/>
  <c r="DH12" i="12" s="1"/>
  <c r="AS11" i="12"/>
  <c r="BZ11" i="12" s="1"/>
  <c r="DJ11" i="12" s="1"/>
  <c r="AR11" i="12"/>
  <c r="BY11" i="12" s="1"/>
  <c r="DI11" i="12" s="1"/>
  <c r="AQ11" i="12"/>
  <c r="BX11" i="12" s="1"/>
  <c r="DH11" i="12" s="1"/>
  <c r="AS10" i="12"/>
  <c r="BZ10" i="12" s="1"/>
  <c r="DJ10" i="12" s="1"/>
  <c r="AR10" i="12"/>
  <c r="BY10" i="12" s="1"/>
  <c r="DI10" i="12" s="1"/>
  <c r="AQ10" i="12"/>
  <c r="BX10" i="12" s="1"/>
  <c r="DH10" i="12" s="1"/>
  <c r="AS9" i="12"/>
  <c r="BZ9" i="12" s="1"/>
  <c r="DJ9" i="12" s="1"/>
  <c r="AR9" i="12"/>
  <c r="BY9" i="12" s="1"/>
  <c r="DI9" i="12" s="1"/>
  <c r="AQ9" i="12"/>
  <c r="BX9" i="12" s="1"/>
  <c r="DH9" i="12" s="1"/>
  <c r="AS8" i="12"/>
  <c r="BZ8" i="12" s="1"/>
  <c r="DJ8" i="12" s="1"/>
  <c r="AR8" i="12"/>
  <c r="BY8" i="12" s="1"/>
  <c r="DI8" i="12" s="1"/>
  <c r="AQ8" i="12"/>
  <c r="BX8" i="12" s="1"/>
  <c r="DH8" i="12" s="1"/>
  <c r="AS7" i="12"/>
  <c r="BZ7" i="12" s="1"/>
  <c r="DJ7" i="12" s="1"/>
  <c r="AR7" i="12"/>
  <c r="BY7" i="12" s="1"/>
  <c r="DI7" i="12" s="1"/>
  <c r="AQ7" i="12"/>
  <c r="BX7" i="12" s="1"/>
  <c r="DH7" i="12" s="1"/>
  <c r="AS6" i="12"/>
  <c r="BZ6" i="12" s="1"/>
  <c r="DJ6" i="12" s="1"/>
  <c r="AR6" i="12"/>
  <c r="BY6" i="12" s="1"/>
  <c r="DI6" i="12" s="1"/>
  <c r="AQ6" i="12"/>
  <c r="BX6" i="12" s="1"/>
  <c r="DH6" i="12" s="1"/>
  <c r="AS5" i="12"/>
  <c r="BZ5" i="12" s="1"/>
  <c r="DJ5" i="12" s="1"/>
  <c r="AR5" i="12"/>
  <c r="BY5" i="12" s="1"/>
  <c r="DI5" i="12" s="1"/>
  <c r="AQ5" i="12"/>
  <c r="BX5" i="12" s="1"/>
  <c r="DH5" i="12" s="1"/>
  <c r="AS4" i="12"/>
  <c r="BZ4" i="12" s="1"/>
  <c r="DJ4" i="12" s="1"/>
  <c r="AR4" i="12"/>
  <c r="AQ4" i="12"/>
  <c r="BX4" i="12" s="1"/>
  <c r="DA94" i="11"/>
  <c r="CS94" i="11"/>
  <c r="CK94" i="11"/>
  <c r="A93" i="11"/>
  <c r="DE92" i="11"/>
  <c r="DE94" i="11" s="1"/>
  <c r="DD92" i="11"/>
  <c r="DC92" i="11"/>
  <c r="DB92" i="11"/>
  <c r="DA92" i="11"/>
  <c r="CZ92" i="11"/>
  <c r="CY92" i="11"/>
  <c r="CX92" i="11"/>
  <c r="CW92" i="11"/>
  <c r="CW94" i="11" s="1"/>
  <c r="CV92" i="11"/>
  <c r="CU92" i="11"/>
  <c r="CT92" i="11"/>
  <c r="CS92" i="11"/>
  <c r="CR92" i="11"/>
  <c r="CQ92" i="11"/>
  <c r="CP92" i="11"/>
  <c r="CO92" i="11"/>
  <c r="CO94" i="11" s="1"/>
  <c r="CN92" i="11"/>
  <c r="CM92" i="11"/>
  <c r="CL92" i="11"/>
  <c r="CK92" i="11"/>
  <c r="CJ92" i="11"/>
  <c r="CI92" i="11"/>
  <c r="CH92" i="11"/>
  <c r="CG92" i="11"/>
  <c r="CG94" i="11" s="1"/>
  <c r="CF92" i="11"/>
  <c r="CE92" i="11"/>
  <c r="CD92" i="11"/>
  <c r="CC92" i="11"/>
  <c r="CB92" i="11"/>
  <c r="CA92" i="11"/>
  <c r="BZ92" i="11"/>
  <c r="BY92" i="11"/>
  <c r="BY94" i="11" s="1"/>
  <c r="BU92" i="11"/>
  <c r="BT92" i="11"/>
  <c r="BS92" i="11"/>
  <c r="BR92" i="11"/>
  <c r="BQ92" i="11"/>
  <c r="BQ94" i="11" s="1"/>
  <c r="BP92" i="11"/>
  <c r="BO92" i="11"/>
  <c r="BN92" i="11"/>
  <c r="BM92" i="11"/>
  <c r="BM94" i="11" s="1"/>
  <c r="BL92" i="11"/>
  <c r="BK92" i="11"/>
  <c r="BJ92" i="11"/>
  <c r="BI92" i="11"/>
  <c r="BH92" i="11"/>
  <c r="BG92" i="11"/>
  <c r="BF92" i="11"/>
  <c r="BE92" i="11"/>
  <c r="BD92" i="11"/>
  <c r="BC92" i="11"/>
  <c r="BB92" i="11"/>
  <c r="BA92" i="11"/>
  <c r="AZ92" i="11"/>
  <c r="AY92" i="11"/>
  <c r="AX92" i="11"/>
  <c r="AW92" i="11"/>
  <c r="AV92" i="11"/>
  <c r="AU92" i="11"/>
  <c r="AT92" i="11"/>
  <c r="AS92" i="11"/>
  <c r="AR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M94" i="11" s="1"/>
  <c r="L92" i="11"/>
  <c r="K92" i="11"/>
  <c r="BW90" i="11"/>
  <c r="DG90" i="11" s="1"/>
  <c r="AQ90" i="11"/>
  <c r="BX90" i="11" s="1"/>
  <c r="DH90" i="11" s="1"/>
  <c r="AP90" i="11"/>
  <c r="AO90" i="11"/>
  <c r="BV90" i="11" s="1"/>
  <c r="DF90" i="11" s="1"/>
  <c r="BW89" i="11"/>
  <c r="DG89" i="11" s="1"/>
  <c r="AQ89" i="11"/>
  <c r="BX89" i="11" s="1"/>
  <c r="DH89" i="11" s="1"/>
  <c r="AP89" i="11"/>
  <c r="AO89" i="11"/>
  <c r="BV89" i="11" s="1"/>
  <c r="DF89" i="11" s="1"/>
  <c r="AQ88" i="11"/>
  <c r="BX88" i="11" s="1"/>
  <c r="DH88" i="11" s="1"/>
  <c r="AP88" i="11"/>
  <c r="BW88" i="11" s="1"/>
  <c r="DG88" i="11" s="1"/>
  <c r="AO88" i="11"/>
  <c r="BV88" i="11" s="1"/>
  <c r="DF88" i="11" s="1"/>
  <c r="AQ87" i="11"/>
  <c r="BX87" i="11" s="1"/>
  <c r="DH87" i="11" s="1"/>
  <c r="AP87" i="11"/>
  <c r="BW87" i="11" s="1"/>
  <c r="DG87" i="11" s="1"/>
  <c r="AO87" i="11"/>
  <c r="BV87" i="11" s="1"/>
  <c r="DF87" i="11" s="1"/>
  <c r="AQ86" i="11"/>
  <c r="BX86" i="11" s="1"/>
  <c r="DH86" i="11" s="1"/>
  <c r="AP86" i="11"/>
  <c r="BW86" i="11" s="1"/>
  <c r="DG86" i="11" s="1"/>
  <c r="AO86" i="11"/>
  <c r="BV86" i="11" s="1"/>
  <c r="DF86" i="11" s="1"/>
  <c r="AQ85" i="11"/>
  <c r="BX85" i="11" s="1"/>
  <c r="DH85" i="11" s="1"/>
  <c r="AP85" i="11"/>
  <c r="BW85" i="11" s="1"/>
  <c r="DG85" i="11" s="1"/>
  <c r="AO85" i="11"/>
  <c r="BV85" i="11" s="1"/>
  <c r="DF85" i="11" s="1"/>
  <c r="AQ84" i="11"/>
  <c r="BX84" i="11" s="1"/>
  <c r="DH84" i="11" s="1"/>
  <c r="AP84" i="11"/>
  <c r="BW84" i="11" s="1"/>
  <c r="DG84" i="11" s="1"/>
  <c r="AO84" i="11"/>
  <c r="BV84" i="11" s="1"/>
  <c r="DF84" i="11" s="1"/>
  <c r="AQ83" i="11"/>
  <c r="BX83" i="11" s="1"/>
  <c r="DH83" i="11" s="1"/>
  <c r="AP83" i="11"/>
  <c r="BW83" i="11" s="1"/>
  <c r="DG83" i="11" s="1"/>
  <c r="AO83" i="11"/>
  <c r="BV83" i="11" s="1"/>
  <c r="DF83" i="11" s="1"/>
  <c r="BW82" i="11"/>
  <c r="DG82" i="11" s="1"/>
  <c r="AQ82" i="11"/>
  <c r="BX82" i="11" s="1"/>
  <c r="DH82" i="11" s="1"/>
  <c r="AP82" i="11"/>
  <c r="AO82" i="11"/>
  <c r="BV82" i="11" s="1"/>
  <c r="DF82" i="11" s="1"/>
  <c r="BX81" i="11"/>
  <c r="DH81" i="11" s="1"/>
  <c r="AQ81" i="11"/>
  <c r="AP81" i="11"/>
  <c r="BW81" i="11" s="1"/>
  <c r="DG81" i="11" s="1"/>
  <c r="AO81" i="11"/>
  <c r="BV81" i="11" s="1"/>
  <c r="DF81" i="11" s="1"/>
  <c r="AQ80" i="11"/>
  <c r="BX80" i="11" s="1"/>
  <c r="DH80" i="11" s="1"/>
  <c r="AP80" i="11"/>
  <c r="BW80" i="11" s="1"/>
  <c r="DG80" i="11" s="1"/>
  <c r="AO80" i="11"/>
  <c r="BV80" i="11" s="1"/>
  <c r="DF80" i="11" s="1"/>
  <c r="AQ79" i="11"/>
  <c r="BX79" i="11" s="1"/>
  <c r="DH79" i="11" s="1"/>
  <c r="AP79" i="11"/>
  <c r="BW79" i="11" s="1"/>
  <c r="DG79" i="11" s="1"/>
  <c r="AO79" i="11"/>
  <c r="BV79" i="11" s="1"/>
  <c r="DF79" i="11" s="1"/>
  <c r="AQ78" i="11"/>
  <c r="BX78" i="11" s="1"/>
  <c r="DH78" i="11" s="1"/>
  <c r="AP78" i="11"/>
  <c r="BW78" i="11" s="1"/>
  <c r="DG78" i="11" s="1"/>
  <c r="AO78" i="11"/>
  <c r="BV78" i="11" s="1"/>
  <c r="DF78" i="11" s="1"/>
  <c r="BW77" i="11"/>
  <c r="DG77" i="11" s="1"/>
  <c r="AQ77" i="11"/>
  <c r="BX77" i="11" s="1"/>
  <c r="DH77" i="11" s="1"/>
  <c r="AP77" i="11"/>
  <c r="AO77" i="11"/>
  <c r="BV77" i="11" s="1"/>
  <c r="DF77" i="11" s="1"/>
  <c r="AQ76" i="11"/>
  <c r="BX76" i="11" s="1"/>
  <c r="DH76" i="11" s="1"/>
  <c r="AP76" i="11"/>
  <c r="BW76" i="11" s="1"/>
  <c r="DG76" i="11" s="1"/>
  <c r="AO76" i="11"/>
  <c r="BV76" i="11" s="1"/>
  <c r="DF76" i="11" s="1"/>
  <c r="AQ75" i="11"/>
  <c r="BX75" i="11" s="1"/>
  <c r="DH75" i="11" s="1"/>
  <c r="AP75" i="11"/>
  <c r="BW75" i="11" s="1"/>
  <c r="DG75" i="11" s="1"/>
  <c r="AO75" i="11"/>
  <c r="BV75" i="11" s="1"/>
  <c r="DF75" i="11" s="1"/>
  <c r="AQ74" i="11"/>
  <c r="BX74" i="11" s="1"/>
  <c r="DH74" i="11" s="1"/>
  <c r="AP74" i="11"/>
  <c r="BW74" i="11" s="1"/>
  <c r="DG74" i="11" s="1"/>
  <c r="AO74" i="11"/>
  <c r="BV74" i="11" s="1"/>
  <c r="DF74" i="11" s="1"/>
  <c r="AQ73" i="11"/>
  <c r="BX73" i="11" s="1"/>
  <c r="DH73" i="11" s="1"/>
  <c r="AP73" i="11"/>
  <c r="BW73" i="11" s="1"/>
  <c r="DG73" i="11" s="1"/>
  <c r="AO73" i="11"/>
  <c r="BV73" i="11" s="1"/>
  <c r="DF73" i="11" s="1"/>
  <c r="AQ72" i="11"/>
  <c r="BX72" i="11" s="1"/>
  <c r="DH72" i="11" s="1"/>
  <c r="AP72" i="11"/>
  <c r="BW72" i="11" s="1"/>
  <c r="DG72" i="11" s="1"/>
  <c r="AO72" i="11"/>
  <c r="BV72" i="11" s="1"/>
  <c r="DF72" i="11" s="1"/>
  <c r="AQ71" i="11"/>
  <c r="BX71" i="11" s="1"/>
  <c r="DH71" i="11" s="1"/>
  <c r="AP71" i="11"/>
  <c r="BW71" i="11" s="1"/>
  <c r="DG71" i="11" s="1"/>
  <c r="AO71" i="11"/>
  <c r="BV71" i="11" s="1"/>
  <c r="DF71" i="11" s="1"/>
  <c r="AQ70" i="11"/>
  <c r="BX70" i="11" s="1"/>
  <c r="DH70" i="11" s="1"/>
  <c r="AP70" i="11"/>
  <c r="BW70" i="11" s="1"/>
  <c r="DG70" i="11" s="1"/>
  <c r="AO70" i="11"/>
  <c r="BV70" i="11" s="1"/>
  <c r="DF70" i="11" s="1"/>
  <c r="AQ69" i="11"/>
  <c r="BX69" i="11" s="1"/>
  <c r="DH69" i="11" s="1"/>
  <c r="AP69" i="11"/>
  <c r="BW69" i="11" s="1"/>
  <c r="DG69" i="11" s="1"/>
  <c r="AO69" i="11"/>
  <c r="BV69" i="11" s="1"/>
  <c r="DF69" i="11" s="1"/>
  <c r="AQ68" i="11"/>
  <c r="BX68" i="11" s="1"/>
  <c r="DH68" i="11" s="1"/>
  <c r="AP68" i="11"/>
  <c r="BW68" i="11" s="1"/>
  <c r="DG68" i="11" s="1"/>
  <c r="AO68" i="11"/>
  <c r="BV68" i="11" s="1"/>
  <c r="DF68" i="11" s="1"/>
  <c r="AQ67" i="11"/>
  <c r="BX67" i="11" s="1"/>
  <c r="DH67" i="11" s="1"/>
  <c r="AP67" i="11"/>
  <c r="BW67" i="11" s="1"/>
  <c r="DG67" i="11" s="1"/>
  <c r="AO67" i="11"/>
  <c r="BV67" i="11" s="1"/>
  <c r="DF67" i="11" s="1"/>
  <c r="AQ66" i="11"/>
  <c r="BX66" i="11" s="1"/>
  <c r="DH66" i="11" s="1"/>
  <c r="AP66" i="11"/>
  <c r="BW66" i="11" s="1"/>
  <c r="DG66" i="11" s="1"/>
  <c r="AO66" i="11"/>
  <c r="BV66" i="11" s="1"/>
  <c r="DF66" i="11" s="1"/>
  <c r="AQ65" i="11"/>
  <c r="BX65" i="11" s="1"/>
  <c r="DH65" i="11" s="1"/>
  <c r="AP65" i="11"/>
  <c r="BW65" i="11" s="1"/>
  <c r="DG65" i="11" s="1"/>
  <c r="AO65" i="11"/>
  <c r="BV65" i="11" s="1"/>
  <c r="DF65" i="11" s="1"/>
  <c r="AQ64" i="11"/>
  <c r="BX64" i="11" s="1"/>
  <c r="DH64" i="11" s="1"/>
  <c r="AP64" i="11"/>
  <c r="BW64" i="11" s="1"/>
  <c r="DG64" i="11" s="1"/>
  <c r="AO64" i="11"/>
  <c r="BV64" i="11" s="1"/>
  <c r="DF64" i="11" s="1"/>
  <c r="BV63" i="11"/>
  <c r="DF63" i="11" s="1"/>
  <c r="AQ63" i="11"/>
  <c r="BX63" i="11" s="1"/>
  <c r="DH63" i="11" s="1"/>
  <c r="AP63" i="11"/>
  <c r="BW63" i="11" s="1"/>
  <c r="DG63" i="11" s="1"/>
  <c r="AO63" i="11"/>
  <c r="BV62" i="11"/>
  <c r="DF62" i="11" s="1"/>
  <c r="AQ62" i="11"/>
  <c r="BX62" i="11" s="1"/>
  <c r="DH62" i="11" s="1"/>
  <c r="AP62" i="11"/>
  <c r="BW62" i="11" s="1"/>
  <c r="DG62" i="11" s="1"/>
  <c r="AO62" i="11"/>
  <c r="AQ61" i="11"/>
  <c r="BX61" i="11" s="1"/>
  <c r="DH61" i="11" s="1"/>
  <c r="AP61" i="11"/>
  <c r="BW61" i="11" s="1"/>
  <c r="DG61" i="11" s="1"/>
  <c r="AO61" i="11"/>
  <c r="BV61" i="11" s="1"/>
  <c r="DF61" i="11" s="1"/>
  <c r="AQ60" i="11"/>
  <c r="BX60" i="11" s="1"/>
  <c r="DH60" i="11" s="1"/>
  <c r="AP60" i="11"/>
  <c r="BW60" i="11" s="1"/>
  <c r="DG60" i="11" s="1"/>
  <c r="AO60" i="11"/>
  <c r="BV60" i="11" s="1"/>
  <c r="DF60" i="11" s="1"/>
  <c r="AQ59" i="11"/>
  <c r="BX59" i="11" s="1"/>
  <c r="DH59" i="11" s="1"/>
  <c r="AP59" i="11"/>
  <c r="BW59" i="11" s="1"/>
  <c r="DG59" i="11" s="1"/>
  <c r="AO59" i="11"/>
  <c r="BV59" i="11" s="1"/>
  <c r="DF59" i="11" s="1"/>
  <c r="AQ58" i="11"/>
  <c r="BX58" i="11" s="1"/>
  <c r="DH58" i="11" s="1"/>
  <c r="AP58" i="11"/>
  <c r="BW58" i="11" s="1"/>
  <c r="DG58" i="11" s="1"/>
  <c r="AO58" i="11"/>
  <c r="BV58" i="11" s="1"/>
  <c r="DF58" i="11" s="1"/>
  <c r="AQ57" i="11"/>
  <c r="BX57" i="11" s="1"/>
  <c r="DH57" i="11" s="1"/>
  <c r="AP57" i="11"/>
  <c r="BW57" i="11" s="1"/>
  <c r="DG57" i="11" s="1"/>
  <c r="AO57" i="11"/>
  <c r="BV57" i="11" s="1"/>
  <c r="DF57" i="11" s="1"/>
  <c r="AQ56" i="11"/>
  <c r="BX56" i="11" s="1"/>
  <c r="DH56" i="11" s="1"/>
  <c r="AP56" i="11"/>
  <c r="BW56" i="11" s="1"/>
  <c r="DG56" i="11" s="1"/>
  <c r="AO56" i="11"/>
  <c r="BV56" i="11" s="1"/>
  <c r="DF56" i="11" s="1"/>
  <c r="AQ55" i="11"/>
  <c r="BX55" i="11" s="1"/>
  <c r="DH55" i="11" s="1"/>
  <c r="AP55" i="11"/>
  <c r="BW55" i="11" s="1"/>
  <c r="DG55" i="11" s="1"/>
  <c r="AO55" i="11"/>
  <c r="BV55" i="11" s="1"/>
  <c r="DF55" i="11" s="1"/>
  <c r="AQ54" i="11"/>
  <c r="BX54" i="11" s="1"/>
  <c r="DH54" i="11" s="1"/>
  <c r="AP54" i="11"/>
  <c r="BW54" i="11" s="1"/>
  <c r="DG54" i="11" s="1"/>
  <c r="AO54" i="11"/>
  <c r="BV54" i="11" s="1"/>
  <c r="DF54" i="11" s="1"/>
  <c r="AQ53" i="11"/>
  <c r="BX53" i="11" s="1"/>
  <c r="DH53" i="11" s="1"/>
  <c r="AP53" i="11"/>
  <c r="BW53" i="11" s="1"/>
  <c r="DG53" i="11" s="1"/>
  <c r="AO53" i="11"/>
  <c r="BV53" i="11" s="1"/>
  <c r="DF53" i="11" s="1"/>
  <c r="AQ52" i="11"/>
  <c r="BX52" i="11" s="1"/>
  <c r="DH52" i="11" s="1"/>
  <c r="AP52" i="11"/>
  <c r="BW52" i="11" s="1"/>
  <c r="DG52" i="11" s="1"/>
  <c r="AO52" i="11"/>
  <c r="BV52" i="11" s="1"/>
  <c r="DF52" i="11" s="1"/>
  <c r="AQ51" i="11"/>
  <c r="BX51" i="11" s="1"/>
  <c r="DH51" i="11" s="1"/>
  <c r="AP51" i="11"/>
  <c r="BW51" i="11" s="1"/>
  <c r="DG51" i="11" s="1"/>
  <c r="AO51" i="11"/>
  <c r="BV51" i="11" s="1"/>
  <c r="DF51" i="11" s="1"/>
  <c r="AQ50" i="11"/>
  <c r="BX50" i="11" s="1"/>
  <c r="DH50" i="11" s="1"/>
  <c r="AP50" i="11"/>
  <c r="BW50" i="11" s="1"/>
  <c r="DG50" i="11" s="1"/>
  <c r="AO50" i="11"/>
  <c r="BV50" i="11" s="1"/>
  <c r="DF50" i="11" s="1"/>
  <c r="AQ49" i="11"/>
  <c r="BX49" i="11" s="1"/>
  <c r="DH49" i="11" s="1"/>
  <c r="AP49" i="11"/>
  <c r="BW49" i="11" s="1"/>
  <c r="DG49" i="11" s="1"/>
  <c r="AO49" i="11"/>
  <c r="BV49" i="11" s="1"/>
  <c r="DF49" i="11" s="1"/>
  <c r="AQ48" i="11"/>
  <c r="BX48" i="11" s="1"/>
  <c r="DH48" i="11" s="1"/>
  <c r="AP48" i="11"/>
  <c r="BW48" i="11" s="1"/>
  <c r="DG48" i="11" s="1"/>
  <c r="AO48" i="11"/>
  <c r="BV48" i="11" s="1"/>
  <c r="DF48" i="11" s="1"/>
  <c r="AQ47" i="11"/>
  <c r="BX47" i="11" s="1"/>
  <c r="DH47" i="11" s="1"/>
  <c r="AP47" i="11"/>
  <c r="BW47" i="11" s="1"/>
  <c r="DG47" i="11" s="1"/>
  <c r="AO47" i="11"/>
  <c r="BV47" i="11" s="1"/>
  <c r="DF47" i="11" s="1"/>
  <c r="AQ46" i="11"/>
  <c r="BX46" i="11" s="1"/>
  <c r="DH46" i="11" s="1"/>
  <c r="AP46" i="11"/>
  <c r="BW46" i="11" s="1"/>
  <c r="DG46" i="11" s="1"/>
  <c r="AO46" i="11"/>
  <c r="BV46" i="11" s="1"/>
  <c r="DF46" i="11" s="1"/>
  <c r="AQ45" i="11"/>
  <c r="BX45" i="11" s="1"/>
  <c r="DH45" i="11" s="1"/>
  <c r="AP45" i="11"/>
  <c r="BW45" i="11" s="1"/>
  <c r="DG45" i="11" s="1"/>
  <c r="AO45" i="11"/>
  <c r="BV45" i="11" s="1"/>
  <c r="DF45" i="11" s="1"/>
  <c r="AQ44" i="11"/>
  <c r="BX44" i="11" s="1"/>
  <c r="DH44" i="11" s="1"/>
  <c r="AP44" i="11"/>
  <c r="BW44" i="11" s="1"/>
  <c r="DG44" i="11" s="1"/>
  <c r="AO44" i="11"/>
  <c r="BV44" i="11" s="1"/>
  <c r="DF44" i="11" s="1"/>
  <c r="DH43" i="11"/>
  <c r="BX43" i="11"/>
  <c r="AQ43" i="11"/>
  <c r="AP43" i="11"/>
  <c r="AO43" i="11"/>
  <c r="DE42" i="11"/>
  <c r="DD42" i="11"/>
  <c r="DC42" i="11"/>
  <c r="DC94" i="11" s="1"/>
  <c r="DB42" i="11"/>
  <c r="DB94" i="11" s="1"/>
  <c r="DA42" i="11"/>
  <c r="CZ42" i="11"/>
  <c r="CY42" i="11"/>
  <c r="CY94" i="11" s="1"/>
  <c r="CX42" i="11"/>
  <c r="CX94" i="11" s="1"/>
  <c r="CW42" i="11"/>
  <c r="CV42" i="11"/>
  <c r="CU42" i="11"/>
  <c r="CT42" i="11"/>
  <c r="CT94" i="11" s="1"/>
  <c r="CS42" i="11"/>
  <c r="CR42" i="11"/>
  <c r="CQ42" i="11"/>
  <c r="CP42" i="11"/>
  <c r="CP94" i="11" s="1"/>
  <c r="CO42" i="11"/>
  <c r="CN42" i="11"/>
  <c r="CM42" i="11"/>
  <c r="CL42" i="11"/>
  <c r="CL94" i="11" s="1"/>
  <c r="CK42" i="11"/>
  <c r="CJ42" i="11"/>
  <c r="CI42" i="11"/>
  <c r="CH42" i="11"/>
  <c r="CH94" i="11" s="1"/>
  <c r="CG42" i="11"/>
  <c r="CF42" i="11"/>
  <c r="CE42" i="11"/>
  <c r="CD42" i="11"/>
  <c r="CD94" i="11" s="1"/>
  <c r="CC42" i="11"/>
  <c r="CC94" i="11" s="1"/>
  <c r="CB42" i="11"/>
  <c r="CA42" i="11"/>
  <c r="BZ42" i="11"/>
  <c r="BZ94" i="11" s="1"/>
  <c r="BY42" i="11"/>
  <c r="BU42" i="11"/>
  <c r="BT42" i="11"/>
  <c r="BS42" i="11"/>
  <c r="BR42" i="11"/>
  <c r="BR94" i="11" s="1"/>
  <c r="BQ42" i="11"/>
  <c r="BP42" i="11"/>
  <c r="BO42" i="11"/>
  <c r="BN42" i="11"/>
  <c r="BN94" i="11" s="1"/>
  <c r="BM42" i="11"/>
  <c r="BL42" i="11"/>
  <c r="BK42" i="11"/>
  <c r="BJ42" i="11"/>
  <c r="BJ94" i="11" s="1"/>
  <c r="BI42" i="11"/>
  <c r="BH42" i="11"/>
  <c r="BG42" i="11"/>
  <c r="BF42" i="11"/>
  <c r="BF94" i="11" s="1"/>
  <c r="BE42" i="11"/>
  <c r="BD42" i="11"/>
  <c r="BC42" i="11"/>
  <c r="BB42" i="11"/>
  <c r="BB94" i="11" s="1"/>
  <c r="BA42" i="11"/>
  <c r="AZ42" i="11"/>
  <c r="AY42" i="11"/>
  <c r="AX42" i="11"/>
  <c r="AX94" i="11" s="1"/>
  <c r="AW42" i="11"/>
  <c r="AV42" i="11"/>
  <c r="AU42" i="11"/>
  <c r="AT42" i="11"/>
  <c r="AT94" i="11" s="1"/>
  <c r="AS42" i="11"/>
  <c r="AR42" i="11"/>
  <c r="AN42" i="11"/>
  <c r="AM42" i="11"/>
  <c r="AL42" i="11"/>
  <c r="AL94" i="11" s="1"/>
  <c r="AK42" i="11"/>
  <c r="AJ42" i="11"/>
  <c r="AI42" i="11"/>
  <c r="AH42" i="11"/>
  <c r="AH94" i="11" s="1"/>
  <c r="AG42" i="11"/>
  <c r="AG94" i="11" s="1"/>
  <c r="AF42" i="11"/>
  <c r="AE42" i="11"/>
  <c r="AD42" i="11"/>
  <c r="AD94" i="11" s="1"/>
  <c r="AC42" i="11"/>
  <c r="AB42" i="11"/>
  <c r="AA42" i="11"/>
  <c r="Z42" i="11"/>
  <c r="Z94" i="11" s="1"/>
  <c r="Y42" i="11"/>
  <c r="Y94" i="11" s="1"/>
  <c r="X42" i="11"/>
  <c r="W42" i="11"/>
  <c r="V42" i="11"/>
  <c r="V94" i="11" s="1"/>
  <c r="U42" i="11"/>
  <c r="T42" i="11"/>
  <c r="S42" i="11"/>
  <c r="R42" i="11"/>
  <c r="R94" i="11" s="1"/>
  <c r="Q42" i="11"/>
  <c r="P42" i="11"/>
  <c r="O42" i="11"/>
  <c r="N42" i="11"/>
  <c r="N94" i="11" s="1"/>
  <c r="M42" i="11"/>
  <c r="L42" i="11"/>
  <c r="K42" i="11"/>
  <c r="AQ40" i="11"/>
  <c r="BX40" i="11" s="1"/>
  <c r="DH40" i="11" s="1"/>
  <c r="AP40" i="11"/>
  <c r="BW40" i="11" s="1"/>
  <c r="DG40" i="11" s="1"/>
  <c r="AO40" i="11"/>
  <c r="BV40" i="11" s="1"/>
  <c r="DF40" i="11" s="1"/>
  <c r="AQ39" i="11"/>
  <c r="BX39" i="11" s="1"/>
  <c r="DH39" i="11" s="1"/>
  <c r="AP39" i="11"/>
  <c r="BW39" i="11" s="1"/>
  <c r="DG39" i="11" s="1"/>
  <c r="AO39" i="11"/>
  <c r="BV39" i="11" s="1"/>
  <c r="DF39" i="11" s="1"/>
  <c r="AQ38" i="11"/>
  <c r="BX38" i="11" s="1"/>
  <c r="DH38" i="11" s="1"/>
  <c r="AP38" i="11"/>
  <c r="BW38" i="11" s="1"/>
  <c r="DG38" i="11" s="1"/>
  <c r="AO38" i="11"/>
  <c r="BV38" i="11" s="1"/>
  <c r="DF38" i="11" s="1"/>
  <c r="AQ37" i="11"/>
  <c r="BX37" i="11" s="1"/>
  <c r="DH37" i="11" s="1"/>
  <c r="AP37" i="11"/>
  <c r="BW37" i="11" s="1"/>
  <c r="DG37" i="11" s="1"/>
  <c r="AO37" i="11"/>
  <c r="BV37" i="11" s="1"/>
  <c r="DF37" i="11" s="1"/>
  <c r="AQ36" i="11"/>
  <c r="BX36" i="11" s="1"/>
  <c r="DH36" i="11" s="1"/>
  <c r="AP36" i="11"/>
  <c r="BW36" i="11" s="1"/>
  <c r="DG36" i="11" s="1"/>
  <c r="AO36" i="11"/>
  <c r="BV36" i="11" s="1"/>
  <c r="DF36" i="11" s="1"/>
  <c r="AQ35" i="11"/>
  <c r="BX35" i="11" s="1"/>
  <c r="DH35" i="11" s="1"/>
  <c r="AP35" i="11"/>
  <c r="BW35" i="11" s="1"/>
  <c r="DG35" i="11" s="1"/>
  <c r="AO35" i="11"/>
  <c r="BV35" i="11" s="1"/>
  <c r="DF35" i="11" s="1"/>
  <c r="AQ34" i="11"/>
  <c r="BX34" i="11" s="1"/>
  <c r="DH34" i="11" s="1"/>
  <c r="AP34" i="11"/>
  <c r="BW34" i="11" s="1"/>
  <c r="DG34" i="11" s="1"/>
  <c r="AO34" i="11"/>
  <c r="BV34" i="11" s="1"/>
  <c r="DF34" i="11" s="1"/>
  <c r="AQ33" i="11"/>
  <c r="BX33" i="11" s="1"/>
  <c r="DH33" i="11" s="1"/>
  <c r="AP33" i="11"/>
  <c r="BW33" i="11" s="1"/>
  <c r="DG33" i="11" s="1"/>
  <c r="AO33" i="11"/>
  <c r="BV33" i="11" s="1"/>
  <c r="DF33" i="11" s="1"/>
  <c r="AQ32" i="11"/>
  <c r="BX32" i="11" s="1"/>
  <c r="DH32" i="11" s="1"/>
  <c r="AP32" i="11"/>
  <c r="BW32" i="11" s="1"/>
  <c r="DG32" i="11" s="1"/>
  <c r="AO32" i="11"/>
  <c r="BV32" i="11" s="1"/>
  <c r="DF32" i="11" s="1"/>
  <c r="AQ31" i="11"/>
  <c r="BX31" i="11" s="1"/>
  <c r="DH31" i="11" s="1"/>
  <c r="AP31" i="11"/>
  <c r="BW31" i="11" s="1"/>
  <c r="DG31" i="11" s="1"/>
  <c r="AO31" i="11"/>
  <c r="BV31" i="11" s="1"/>
  <c r="DF31" i="11" s="1"/>
  <c r="AQ30" i="11"/>
  <c r="BX30" i="11" s="1"/>
  <c r="DH30" i="11" s="1"/>
  <c r="AP30" i="11"/>
  <c r="BW30" i="11" s="1"/>
  <c r="DG30" i="11" s="1"/>
  <c r="AO30" i="11"/>
  <c r="BV30" i="11" s="1"/>
  <c r="DF30" i="11" s="1"/>
  <c r="AQ29" i="11"/>
  <c r="BX29" i="11" s="1"/>
  <c r="DH29" i="11" s="1"/>
  <c r="AP29" i="11"/>
  <c r="BW29" i="11" s="1"/>
  <c r="DG29" i="11" s="1"/>
  <c r="AO29" i="11"/>
  <c r="BV29" i="11" s="1"/>
  <c r="DF29" i="11" s="1"/>
  <c r="AQ28" i="11"/>
  <c r="BX28" i="11" s="1"/>
  <c r="DH28" i="11" s="1"/>
  <c r="AP28" i="11"/>
  <c r="BW28" i="11" s="1"/>
  <c r="DG28" i="11" s="1"/>
  <c r="AO28" i="11"/>
  <c r="BV28" i="11" s="1"/>
  <c r="DF28" i="11" s="1"/>
  <c r="BX27" i="11"/>
  <c r="DH27" i="11" s="1"/>
  <c r="AQ27" i="11"/>
  <c r="AP27" i="11"/>
  <c r="BW27" i="11" s="1"/>
  <c r="DG27" i="11" s="1"/>
  <c r="AO27" i="11"/>
  <c r="BV27" i="11" s="1"/>
  <c r="DF27" i="11" s="1"/>
  <c r="AQ26" i="11"/>
  <c r="BX26" i="11" s="1"/>
  <c r="DH26" i="11" s="1"/>
  <c r="AP26" i="11"/>
  <c r="BW26" i="11" s="1"/>
  <c r="DG26" i="11" s="1"/>
  <c r="AO26" i="11"/>
  <c r="BV26" i="11" s="1"/>
  <c r="DF26" i="11" s="1"/>
  <c r="AQ25" i="11"/>
  <c r="BX25" i="11" s="1"/>
  <c r="DH25" i="11" s="1"/>
  <c r="AP25" i="11"/>
  <c r="BW25" i="11" s="1"/>
  <c r="DG25" i="11" s="1"/>
  <c r="AO25" i="11"/>
  <c r="BV25" i="11" s="1"/>
  <c r="DF25" i="11" s="1"/>
  <c r="BX24" i="11"/>
  <c r="DH24" i="11" s="1"/>
  <c r="AQ24" i="11"/>
  <c r="AP24" i="11"/>
  <c r="BW24" i="11" s="1"/>
  <c r="DG24" i="11" s="1"/>
  <c r="AO24" i="11"/>
  <c r="BV24" i="11" s="1"/>
  <c r="DF24" i="11" s="1"/>
  <c r="AQ23" i="11"/>
  <c r="BX23" i="11" s="1"/>
  <c r="DH23" i="11" s="1"/>
  <c r="AP23" i="11"/>
  <c r="BW23" i="11" s="1"/>
  <c r="DG23" i="11" s="1"/>
  <c r="AO23" i="11"/>
  <c r="BV23" i="11" s="1"/>
  <c r="DF23" i="11" s="1"/>
  <c r="AQ22" i="11"/>
  <c r="BX22" i="11" s="1"/>
  <c r="DH22" i="11" s="1"/>
  <c r="AP22" i="11"/>
  <c r="BW22" i="11" s="1"/>
  <c r="DG22" i="11" s="1"/>
  <c r="AO22" i="11"/>
  <c r="BV22" i="11" s="1"/>
  <c r="DF22" i="11" s="1"/>
  <c r="AQ21" i="11"/>
  <c r="BX21" i="11" s="1"/>
  <c r="DH21" i="11" s="1"/>
  <c r="AP21" i="11"/>
  <c r="BW21" i="11" s="1"/>
  <c r="DG21" i="11" s="1"/>
  <c r="AO21" i="11"/>
  <c r="BV21" i="11" s="1"/>
  <c r="DF21" i="11" s="1"/>
  <c r="AQ20" i="11"/>
  <c r="BX20" i="11" s="1"/>
  <c r="DH20" i="11" s="1"/>
  <c r="AP20" i="11"/>
  <c r="BW20" i="11" s="1"/>
  <c r="DG20" i="11" s="1"/>
  <c r="AO20" i="11"/>
  <c r="BV20" i="11" s="1"/>
  <c r="DF20" i="11" s="1"/>
  <c r="AQ19" i="11"/>
  <c r="BX19" i="11" s="1"/>
  <c r="DH19" i="11" s="1"/>
  <c r="AP19" i="11"/>
  <c r="BW19" i="11" s="1"/>
  <c r="DG19" i="11" s="1"/>
  <c r="AO19" i="11"/>
  <c r="BV19" i="11" s="1"/>
  <c r="DF19" i="11" s="1"/>
  <c r="AQ18" i="11"/>
  <c r="BX18" i="11" s="1"/>
  <c r="DH18" i="11" s="1"/>
  <c r="AP18" i="11"/>
  <c r="BW18" i="11" s="1"/>
  <c r="DG18" i="11" s="1"/>
  <c r="AO18" i="11"/>
  <c r="BV18" i="11" s="1"/>
  <c r="DF18" i="11" s="1"/>
  <c r="BX17" i="11"/>
  <c r="DH17" i="11" s="1"/>
  <c r="AQ17" i="11"/>
  <c r="AP17" i="11"/>
  <c r="BW17" i="11" s="1"/>
  <c r="DG17" i="11" s="1"/>
  <c r="AO17" i="11"/>
  <c r="BV17" i="11" s="1"/>
  <c r="DF17" i="11" s="1"/>
  <c r="BW16" i="11"/>
  <c r="DG16" i="11" s="1"/>
  <c r="AQ16" i="11"/>
  <c r="BX16" i="11" s="1"/>
  <c r="DH16" i="11" s="1"/>
  <c r="AP16" i="11"/>
  <c r="AO16" i="11"/>
  <c r="BV16" i="11" s="1"/>
  <c r="DF16" i="11" s="1"/>
  <c r="BX15" i="11"/>
  <c r="DH15" i="11" s="1"/>
  <c r="AQ15" i="11"/>
  <c r="AP15" i="11"/>
  <c r="BW15" i="11" s="1"/>
  <c r="DG15" i="11" s="1"/>
  <c r="AO15" i="11"/>
  <c r="BV15" i="11" s="1"/>
  <c r="DF15" i="11" s="1"/>
  <c r="BW14" i="11"/>
  <c r="DG14" i="11" s="1"/>
  <c r="AQ14" i="11"/>
  <c r="BX14" i="11" s="1"/>
  <c r="DH14" i="11" s="1"/>
  <c r="AP14" i="11"/>
  <c r="AO14" i="11"/>
  <c r="BV14" i="11" s="1"/>
  <c r="DF14" i="11" s="1"/>
  <c r="BW13" i="11"/>
  <c r="DG13" i="11" s="1"/>
  <c r="AQ13" i="11"/>
  <c r="BX13" i="11" s="1"/>
  <c r="DH13" i="11" s="1"/>
  <c r="AP13" i="11"/>
  <c r="AO13" i="11"/>
  <c r="BV13" i="11" s="1"/>
  <c r="DF13" i="11" s="1"/>
  <c r="AQ12" i="11"/>
  <c r="BX12" i="11" s="1"/>
  <c r="DH12" i="11" s="1"/>
  <c r="AP12" i="11"/>
  <c r="BW12" i="11" s="1"/>
  <c r="DG12" i="11" s="1"/>
  <c r="AO12" i="11"/>
  <c r="BV12" i="11" s="1"/>
  <c r="DF12" i="11" s="1"/>
  <c r="BX11" i="11"/>
  <c r="DH11" i="11" s="1"/>
  <c r="AQ11" i="11"/>
  <c r="AP11" i="11"/>
  <c r="BW11" i="11" s="1"/>
  <c r="DG11" i="11" s="1"/>
  <c r="AO11" i="11"/>
  <c r="BV11" i="11" s="1"/>
  <c r="DF11" i="11" s="1"/>
  <c r="BV10" i="11"/>
  <c r="DF10" i="11" s="1"/>
  <c r="AQ10" i="11"/>
  <c r="BX10" i="11" s="1"/>
  <c r="DH10" i="11" s="1"/>
  <c r="AP10" i="11"/>
  <c r="BW10" i="11" s="1"/>
  <c r="DG10" i="11" s="1"/>
  <c r="AO10" i="11"/>
  <c r="BV9" i="11"/>
  <c r="DF9" i="11" s="1"/>
  <c r="AQ9" i="11"/>
  <c r="BX9" i="11" s="1"/>
  <c r="DH9" i="11" s="1"/>
  <c r="AP9" i="11"/>
  <c r="BW9" i="11" s="1"/>
  <c r="DG9" i="11" s="1"/>
  <c r="AO9" i="11"/>
  <c r="AQ8" i="11"/>
  <c r="BX8" i="11" s="1"/>
  <c r="DH8" i="11" s="1"/>
  <c r="AP8" i="11"/>
  <c r="BW8" i="11" s="1"/>
  <c r="DG8" i="11" s="1"/>
  <c r="AO8" i="11"/>
  <c r="BV8" i="11" s="1"/>
  <c r="DF8" i="11" s="1"/>
  <c r="BV7" i="11"/>
  <c r="DF7" i="11" s="1"/>
  <c r="AQ7" i="11"/>
  <c r="BX7" i="11" s="1"/>
  <c r="DH7" i="11" s="1"/>
  <c r="AP7" i="11"/>
  <c r="BW7" i="11" s="1"/>
  <c r="DG7" i="11" s="1"/>
  <c r="AO7" i="11"/>
  <c r="AQ6" i="11"/>
  <c r="BX6" i="11" s="1"/>
  <c r="DH6" i="11" s="1"/>
  <c r="AP6" i="11"/>
  <c r="BW6" i="11" s="1"/>
  <c r="DG6" i="11" s="1"/>
  <c r="AO6" i="11"/>
  <c r="BV6" i="11" s="1"/>
  <c r="DF6" i="11" s="1"/>
  <c r="AQ5" i="11"/>
  <c r="BX5" i="11" s="1"/>
  <c r="DH5" i="11" s="1"/>
  <c r="AP5" i="11"/>
  <c r="BW5" i="11" s="1"/>
  <c r="DG5" i="11" s="1"/>
  <c r="AO5" i="11"/>
  <c r="BV5" i="11" s="1"/>
  <c r="DF5" i="11" s="1"/>
  <c r="BX4" i="11"/>
  <c r="DH4" i="11" s="1"/>
  <c r="BW4" i="11"/>
  <c r="AQ4" i="11"/>
  <c r="AP4" i="11"/>
  <c r="AO4" i="11"/>
  <c r="DA46" i="10"/>
  <c r="CZ46" i="10"/>
  <c r="CY46" i="10"/>
  <c r="CX46" i="10"/>
  <c r="CW46" i="10"/>
  <c r="CV46" i="10"/>
  <c r="CU46" i="10"/>
  <c r="CT46" i="10"/>
  <c r="CS46" i="10"/>
  <c r="CR46" i="10"/>
  <c r="CQ46" i="10"/>
  <c r="CP46" i="10"/>
  <c r="CO46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B46" i="10"/>
  <c r="CA46" i="10"/>
  <c r="BZ46" i="10"/>
  <c r="BY46" i="10"/>
  <c r="BX46" i="10"/>
  <c r="BW46" i="10"/>
  <c r="BV46" i="10"/>
  <c r="BU46" i="10"/>
  <c r="BQ46" i="10"/>
  <c r="BP46" i="10"/>
  <c r="BO46" i="10"/>
  <c r="BN46" i="10"/>
  <c r="BM46" i="10"/>
  <c r="BL46" i="10"/>
  <c r="BK46" i="10"/>
  <c r="BJ46" i="10"/>
  <c r="BI46" i="10"/>
  <c r="BH46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DC45" i="10"/>
  <c r="BR45" i="10"/>
  <c r="DB45" i="10" s="1"/>
  <c r="AM45" i="10"/>
  <c r="BT45" i="10" s="1"/>
  <c r="DD45" i="10" s="1"/>
  <c r="AL45" i="10"/>
  <c r="BS45" i="10" s="1"/>
  <c r="AK45" i="10"/>
  <c r="AM44" i="10"/>
  <c r="BT44" i="10" s="1"/>
  <c r="DD44" i="10" s="1"/>
  <c r="AL44" i="10"/>
  <c r="BS44" i="10" s="1"/>
  <c r="DC44" i="10" s="1"/>
  <c r="AK44" i="10"/>
  <c r="BR44" i="10" s="1"/>
  <c r="DB44" i="10" s="1"/>
  <c r="AM43" i="10"/>
  <c r="BT43" i="10" s="1"/>
  <c r="DD43" i="10" s="1"/>
  <c r="AL43" i="10"/>
  <c r="BS43" i="10" s="1"/>
  <c r="DC43" i="10" s="1"/>
  <c r="AK43" i="10"/>
  <c r="BR43" i="10" s="1"/>
  <c r="DB43" i="10" s="1"/>
  <c r="AM42" i="10"/>
  <c r="BT42" i="10" s="1"/>
  <c r="DD42" i="10" s="1"/>
  <c r="AL42" i="10"/>
  <c r="BS42" i="10" s="1"/>
  <c r="DC42" i="10" s="1"/>
  <c r="AK42" i="10"/>
  <c r="BR42" i="10" s="1"/>
  <c r="DB42" i="10" s="1"/>
  <c r="AM41" i="10"/>
  <c r="BT41" i="10" s="1"/>
  <c r="DD41" i="10" s="1"/>
  <c r="AL41" i="10"/>
  <c r="BS41" i="10" s="1"/>
  <c r="DC41" i="10" s="1"/>
  <c r="AK41" i="10"/>
  <c r="BR41" i="10" s="1"/>
  <c r="DB41" i="10" s="1"/>
  <c r="AM40" i="10"/>
  <c r="BT40" i="10" s="1"/>
  <c r="DD40" i="10" s="1"/>
  <c r="AL40" i="10"/>
  <c r="BS40" i="10" s="1"/>
  <c r="DC40" i="10" s="1"/>
  <c r="AK40" i="10"/>
  <c r="BR40" i="10" s="1"/>
  <c r="DB40" i="10" s="1"/>
  <c r="AM39" i="10"/>
  <c r="BT39" i="10" s="1"/>
  <c r="DD39" i="10" s="1"/>
  <c r="AL39" i="10"/>
  <c r="BS39" i="10" s="1"/>
  <c r="DC39" i="10" s="1"/>
  <c r="AK39" i="10"/>
  <c r="BR39" i="10" s="1"/>
  <c r="DB39" i="10" s="1"/>
  <c r="AM38" i="10"/>
  <c r="BT38" i="10" s="1"/>
  <c r="DD38" i="10" s="1"/>
  <c r="AL38" i="10"/>
  <c r="BS38" i="10" s="1"/>
  <c r="DC38" i="10" s="1"/>
  <c r="AK38" i="10"/>
  <c r="BR38" i="10" s="1"/>
  <c r="DB38" i="10" s="1"/>
  <c r="AM37" i="10"/>
  <c r="BT37" i="10" s="1"/>
  <c r="DD37" i="10" s="1"/>
  <c r="AL37" i="10"/>
  <c r="BS37" i="10" s="1"/>
  <c r="DC37" i="10" s="1"/>
  <c r="AK37" i="10"/>
  <c r="BR37" i="10" s="1"/>
  <c r="DB37" i="10" s="1"/>
  <c r="AM36" i="10"/>
  <c r="BT36" i="10" s="1"/>
  <c r="DD36" i="10" s="1"/>
  <c r="AL36" i="10"/>
  <c r="BS36" i="10" s="1"/>
  <c r="DC36" i="10" s="1"/>
  <c r="AK36" i="10"/>
  <c r="BR36" i="10" s="1"/>
  <c r="DB36" i="10" s="1"/>
  <c r="AM35" i="10"/>
  <c r="BT35" i="10" s="1"/>
  <c r="DD35" i="10" s="1"/>
  <c r="AL35" i="10"/>
  <c r="BS35" i="10" s="1"/>
  <c r="DC35" i="10" s="1"/>
  <c r="AK35" i="10"/>
  <c r="BR35" i="10" s="1"/>
  <c r="DB35" i="10" s="1"/>
  <c r="AM34" i="10"/>
  <c r="BT34" i="10" s="1"/>
  <c r="DD34" i="10" s="1"/>
  <c r="AL34" i="10"/>
  <c r="BS34" i="10" s="1"/>
  <c r="DC34" i="10" s="1"/>
  <c r="AK34" i="10"/>
  <c r="BR34" i="10" s="1"/>
  <c r="DB34" i="10" s="1"/>
  <c r="AM33" i="10"/>
  <c r="BT33" i="10" s="1"/>
  <c r="DD33" i="10" s="1"/>
  <c r="AL33" i="10"/>
  <c r="BS33" i="10" s="1"/>
  <c r="DC33" i="10" s="1"/>
  <c r="AK33" i="10"/>
  <c r="BR33" i="10" s="1"/>
  <c r="DB33" i="10" s="1"/>
  <c r="BS32" i="10"/>
  <c r="DC32" i="10" s="1"/>
  <c r="AM32" i="10"/>
  <c r="BT32" i="10" s="1"/>
  <c r="DD32" i="10" s="1"/>
  <c r="AL32" i="10"/>
  <c r="AK32" i="10"/>
  <c r="BR32" i="10" s="1"/>
  <c r="DB32" i="10" s="1"/>
  <c r="BT31" i="10"/>
  <c r="DD31" i="10" s="1"/>
  <c r="AM31" i="10"/>
  <c r="AL31" i="10"/>
  <c r="BS31" i="10" s="1"/>
  <c r="DC31" i="10" s="1"/>
  <c r="AK31" i="10"/>
  <c r="BR31" i="10" s="1"/>
  <c r="DB31" i="10" s="1"/>
  <c r="AM30" i="10"/>
  <c r="BT30" i="10" s="1"/>
  <c r="DD30" i="10" s="1"/>
  <c r="AL30" i="10"/>
  <c r="BS30" i="10" s="1"/>
  <c r="DC30" i="10" s="1"/>
  <c r="AK30" i="10"/>
  <c r="BR30" i="10" s="1"/>
  <c r="DB30" i="10" s="1"/>
  <c r="AM29" i="10"/>
  <c r="BT29" i="10" s="1"/>
  <c r="DD29" i="10" s="1"/>
  <c r="AL29" i="10"/>
  <c r="BS29" i="10" s="1"/>
  <c r="DC29" i="10" s="1"/>
  <c r="AK29" i="10"/>
  <c r="BR29" i="10" s="1"/>
  <c r="DB29" i="10" s="1"/>
  <c r="AM28" i="10"/>
  <c r="BT28" i="10" s="1"/>
  <c r="DD28" i="10" s="1"/>
  <c r="AL28" i="10"/>
  <c r="BS28" i="10" s="1"/>
  <c r="DC28" i="10" s="1"/>
  <c r="AK28" i="10"/>
  <c r="BR28" i="10" s="1"/>
  <c r="DB28" i="10" s="1"/>
  <c r="AM27" i="10"/>
  <c r="BT27" i="10" s="1"/>
  <c r="DD27" i="10" s="1"/>
  <c r="AL27" i="10"/>
  <c r="BS27" i="10" s="1"/>
  <c r="DC27" i="10" s="1"/>
  <c r="AK27" i="10"/>
  <c r="BR27" i="10" s="1"/>
  <c r="DB27" i="10" s="1"/>
  <c r="AM26" i="10"/>
  <c r="BT26" i="10" s="1"/>
  <c r="DD26" i="10" s="1"/>
  <c r="AL26" i="10"/>
  <c r="BS26" i="10" s="1"/>
  <c r="DC26" i="10" s="1"/>
  <c r="AK26" i="10"/>
  <c r="BR26" i="10" s="1"/>
  <c r="DB26" i="10" s="1"/>
  <c r="AM25" i="10"/>
  <c r="BT25" i="10" s="1"/>
  <c r="DD25" i="10" s="1"/>
  <c r="AL25" i="10"/>
  <c r="BS25" i="10" s="1"/>
  <c r="DC25" i="10" s="1"/>
  <c r="AK25" i="10"/>
  <c r="BR25" i="10" s="1"/>
  <c r="DB25" i="10" s="1"/>
  <c r="AM24" i="10"/>
  <c r="BT24" i="10" s="1"/>
  <c r="DD24" i="10" s="1"/>
  <c r="AL24" i="10"/>
  <c r="BS24" i="10" s="1"/>
  <c r="DC24" i="10" s="1"/>
  <c r="AK24" i="10"/>
  <c r="BR24" i="10" s="1"/>
  <c r="DB24" i="10" s="1"/>
  <c r="AM23" i="10"/>
  <c r="BT23" i="10" s="1"/>
  <c r="DD23" i="10" s="1"/>
  <c r="AL23" i="10"/>
  <c r="BS23" i="10" s="1"/>
  <c r="DC23" i="10" s="1"/>
  <c r="AK23" i="10"/>
  <c r="BR23" i="10" s="1"/>
  <c r="DB23" i="10" s="1"/>
  <c r="AM22" i="10"/>
  <c r="BT22" i="10" s="1"/>
  <c r="DD22" i="10" s="1"/>
  <c r="AL22" i="10"/>
  <c r="BS22" i="10" s="1"/>
  <c r="DC22" i="10" s="1"/>
  <c r="AK22" i="10"/>
  <c r="BR22" i="10" s="1"/>
  <c r="DB22" i="10" s="1"/>
  <c r="AM21" i="10"/>
  <c r="BT21" i="10" s="1"/>
  <c r="DD21" i="10" s="1"/>
  <c r="AL21" i="10"/>
  <c r="BS21" i="10" s="1"/>
  <c r="DC21" i="10" s="1"/>
  <c r="AK21" i="10"/>
  <c r="BR21" i="10" s="1"/>
  <c r="DB21" i="10" s="1"/>
  <c r="AM20" i="10"/>
  <c r="BT20" i="10" s="1"/>
  <c r="DD20" i="10" s="1"/>
  <c r="AL20" i="10"/>
  <c r="BS20" i="10" s="1"/>
  <c r="DC20" i="10" s="1"/>
  <c r="AK20" i="10"/>
  <c r="BR20" i="10" s="1"/>
  <c r="DB20" i="10" s="1"/>
  <c r="AM19" i="10"/>
  <c r="BT19" i="10" s="1"/>
  <c r="DD19" i="10" s="1"/>
  <c r="AL19" i="10"/>
  <c r="BS19" i="10" s="1"/>
  <c r="DC19" i="10" s="1"/>
  <c r="AK19" i="10"/>
  <c r="BR19" i="10" s="1"/>
  <c r="DB19" i="10" s="1"/>
  <c r="AM18" i="10"/>
  <c r="BT18" i="10" s="1"/>
  <c r="DD18" i="10" s="1"/>
  <c r="AL18" i="10"/>
  <c r="BS18" i="10" s="1"/>
  <c r="DC18" i="10" s="1"/>
  <c r="AK18" i="10"/>
  <c r="BR18" i="10" s="1"/>
  <c r="DB18" i="10" s="1"/>
  <c r="BR17" i="10"/>
  <c r="DB17" i="10" s="1"/>
  <c r="AM17" i="10"/>
  <c r="BT17" i="10" s="1"/>
  <c r="DD17" i="10" s="1"/>
  <c r="AL17" i="10"/>
  <c r="BS17" i="10" s="1"/>
  <c r="DC17" i="10" s="1"/>
  <c r="AK17" i="10"/>
  <c r="AM16" i="10"/>
  <c r="BT16" i="10" s="1"/>
  <c r="DD16" i="10" s="1"/>
  <c r="AL16" i="10"/>
  <c r="BS16" i="10" s="1"/>
  <c r="DC16" i="10" s="1"/>
  <c r="AK16" i="10"/>
  <c r="BR16" i="10" s="1"/>
  <c r="DB16" i="10" s="1"/>
  <c r="AM15" i="10"/>
  <c r="BT15" i="10" s="1"/>
  <c r="DD15" i="10" s="1"/>
  <c r="AL15" i="10"/>
  <c r="BS15" i="10" s="1"/>
  <c r="DC15" i="10" s="1"/>
  <c r="AK15" i="10"/>
  <c r="BR15" i="10" s="1"/>
  <c r="DB15" i="10" s="1"/>
  <c r="AM14" i="10"/>
  <c r="BT14" i="10" s="1"/>
  <c r="DD14" i="10" s="1"/>
  <c r="AL14" i="10"/>
  <c r="BS14" i="10" s="1"/>
  <c r="DC14" i="10" s="1"/>
  <c r="AK14" i="10"/>
  <c r="BR14" i="10" s="1"/>
  <c r="DB14" i="10" s="1"/>
  <c r="AM13" i="10"/>
  <c r="BT13" i="10" s="1"/>
  <c r="DD13" i="10" s="1"/>
  <c r="AL13" i="10"/>
  <c r="BS13" i="10" s="1"/>
  <c r="DC13" i="10" s="1"/>
  <c r="AK13" i="10"/>
  <c r="BR13" i="10" s="1"/>
  <c r="DB13" i="10" s="1"/>
  <c r="AM12" i="10"/>
  <c r="BT12" i="10" s="1"/>
  <c r="DD12" i="10" s="1"/>
  <c r="AL12" i="10"/>
  <c r="BS12" i="10" s="1"/>
  <c r="DC12" i="10" s="1"/>
  <c r="AK12" i="10"/>
  <c r="BR12" i="10" s="1"/>
  <c r="DB12" i="10" s="1"/>
  <c r="AM11" i="10"/>
  <c r="BT11" i="10" s="1"/>
  <c r="DD11" i="10" s="1"/>
  <c r="AL11" i="10"/>
  <c r="BS11" i="10" s="1"/>
  <c r="DC11" i="10" s="1"/>
  <c r="AK11" i="10"/>
  <c r="BR11" i="10" s="1"/>
  <c r="DB11" i="10" s="1"/>
  <c r="AM10" i="10"/>
  <c r="BT10" i="10" s="1"/>
  <c r="DD10" i="10" s="1"/>
  <c r="AL10" i="10"/>
  <c r="BS10" i="10" s="1"/>
  <c r="DC10" i="10" s="1"/>
  <c r="AK10" i="10"/>
  <c r="BR10" i="10" s="1"/>
  <c r="DB10" i="10" s="1"/>
  <c r="AM9" i="10"/>
  <c r="BT9" i="10" s="1"/>
  <c r="DD9" i="10" s="1"/>
  <c r="AL9" i="10"/>
  <c r="BS9" i="10" s="1"/>
  <c r="DC9" i="10" s="1"/>
  <c r="AK9" i="10"/>
  <c r="BR9" i="10" s="1"/>
  <c r="DB9" i="10" s="1"/>
  <c r="BT8" i="10"/>
  <c r="DD8" i="10" s="1"/>
  <c r="AM8" i="10"/>
  <c r="AL8" i="10"/>
  <c r="BS8" i="10" s="1"/>
  <c r="DC8" i="10" s="1"/>
  <c r="AK8" i="10"/>
  <c r="BR8" i="10" s="1"/>
  <c r="DB8" i="10" s="1"/>
  <c r="BT7" i="10"/>
  <c r="DD7" i="10" s="1"/>
  <c r="AM7" i="10"/>
  <c r="AL7" i="10"/>
  <c r="BS7" i="10" s="1"/>
  <c r="DC7" i="10" s="1"/>
  <c r="AK7" i="10"/>
  <c r="BR7" i="10" s="1"/>
  <c r="DB7" i="10" s="1"/>
  <c r="AM6" i="10"/>
  <c r="BT6" i="10" s="1"/>
  <c r="DD6" i="10" s="1"/>
  <c r="AL6" i="10"/>
  <c r="BS6" i="10" s="1"/>
  <c r="DC6" i="10" s="1"/>
  <c r="AK6" i="10"/>
  <c r="BR6" i="10" s="1"/>
  <c r="DB6" i="10" s="1"/>
  <c r="BR5" i="10"/>
  <c r="DB5" i="10" s="1"/>
  <c r="AM5" i="10"/>
  <c r="BT5" i="10" s="1"/>
  <c r="DD5" i="10" s="1"/>
  <c r="AL5" i="10"/>
  <c r="BS5" i="10" s="1"/>
  <c r="DC5" i="10" s="1"/>
  <c r="AK5" i="10"/>
  <c r="AM4" i="10"/>
  <c r="BT4" i="10" s="1"/>
  <c r="AL4" i="10"/>
  <c r="AK4" i="10"/>
  <c r="BR4" i="10" s="1"/>
  <c r="BY42" i="7"/>
  <c r="BZ42" i="7"/>
  <c r="CA42" i="7"/>
  <c r="CB42" i="7"/>
  <c r="CC42" i="7"/>
  <c r="CD42" i="7"/>
  <c r="CE42" i="7"/>
  <c r="CF42" i="7"/>
  <c r="CG42" i="7"/>
  <c r="CH42" i="7"/>
  <c r="CI42" i="7"/>
  <c r="CJ42" i="7"/>
  <c r="CK42" i="7"/>
  <c r="CL42" i="7"/>
  <c r="CM42" i="7"/>
  <c r="CN42" i="7"/>
  <c r="CO42" i="7"/>
  <c r="CP42" i="7"/>
  <c r="CQ42" i="7"/>
  <c r="CR42" i="7"/>
  <c r="CS42" i="7"/>
  <c r="CT42" i="7"/>
  <c r="CU42" i="7"/>
  <c r="CV42" i="7"/>
  <c r="AS94" i="11" l="1"/>
  <c r="AW94" i="11"/>
  <c r="BA94" i="11"/>
  <c r="BE94" i="11"/>
  <c r="BI94" i="11"/>
  <c r="BU94" i="11"/>
  <c r="AO16" i="13"/>
  <c r="AO42" i="11"/>
  <c r="Q94" i="11"/>
  <c r="U94" i="11"/>
  <c r="AC94" i="11"/>
  <c r="AK94" i="11"/>
  <c r="DE16" i="13"/>
  <c r="AN16" i="13"/>
  <c r="AR148" i="12"/>
  <c r="CE94" i="11"/>
  <c r="CI94" i="11"/>
  <c r="CM94" i="11"/>
  <c r="CQ94" i="11"/>
  <c r="CU94" i="11"/>
  <c r="AR94" i="11"/>
  <c r="AV94" i="11"/>
  <c r="AZ94" i="11"/>
  <c r="BD94" i="11"/>
  <c r="BH94" i="11"/>
  <c r="BL94" i="11"/>
  <c r="BP94" i="11"/>
  <c r="BT94" i="11"/>
  <c r="AP42" i="11"/>
  <c r="AQ42" i="11"/>
  <c r="BT46" i="10"/>
  <c r="AL46" i="10"/>
  <c r="DD4" i="10"/>
  <c r="DD46" i="10" s="1"/>
  <c r="AM46" i="10"/>
  <c r="BS4" i="10"/>
  <c r="DC4" i="10" s="1"/>
  <c r="DC46" i="10" s="1"/>
  <c r="DD5" i="13"/>
  <c r="DD16" i="13" s="1"/>
  <c r="BT16" i="13"/>
  <c r="BV5" i="13"/>
  <c r="AM16" i="13"/>
  <c r="BU16" i="13"/>
  <c r="DJ148" i="12"/>
  <c r="BX148" i="12"/>
  <c r="AQ148" i="12"/>
  <c r="BY4" i="12"/>
  <c r="BZ148" i="12"/>
  <c r="AS148" i="12"/>
  <c r="DH4" i="12"/>
  <c r="DH148" i="12" s="1"/>
  <c r="BW42" i="11"/>
  <c r="DH92" i="11"/>
  <c r="AP92" i="11"/>
  <c r="AP94" i="11" s="1"/>
  <c r="BW43" i="11"/>
  <c r="BX42" i="11"/>
  <c r="AQ92" i="11"/>
  <c r="AQ94" i="11" s="1"/>
  <c r="K94" i="11"/>
  <c r="O94" i="11"/>
  <c r="S94" i="11"/>
  <c r="W94" i="11"/>
  <c r="AA94" i="11"/>
  <c r="AE94" i="11"/>
  <c r="AI94" i="11"/>
  <c r="AM94" i="11"/>
  <c r="BX92" i="11"/>
  <c r="DH42" i="11"/>
  <c r="BV4" i="11"/>
  <c r="DG4" i="11"/>
  <c r="DG42" i="11" s="1"/>
  <c r="AO92" i="11"/>
  <c r="AO94" i="11" s="1"/>
  <c r="CA94" i="11"/>
  <c r="BV43" i="11"/>
  <c r="L94" i="11"/>
  <c r="P94" i="11"/>
  <c r="T94" i="11"/>
  <c r="X94" i="11"/>
  <c r="AB94" i="11"/>
  <c r="AF94" i="11"/>
  <c r="AJ94" i="11"/>
  <c r="AN94" i="11"/>
  <c r="CB94" i="11"/>
  <c r="CF94" i="11"/>
  <c r="CJ94" i="11"/>
  <c r="CN94" i="11"/>
  <c r="CR94" i="11"/>
  <c r="CV94" i="11"/>
  <c r="CZ94" i="11"/>
  <c r="DD94" i="11"/>
  <c r="AU94" i="11"/>
  <c r="AY94" i="11"/>
  <c r="BC94" i="11"/>
  <c r="BG94" i="11"/>
  <c r="BK94" i="11"/>
  <c r="BO94" i="11"/>
  <c r="BS94" i="11"/>
  <c r="DB4" i="10"/>
  <c r="DB46" i="10" s="1"/>
  <c r="BR46" i="10"/>
  <c r="AK46" i="10"/>
  <c r="J365" i="1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BT15" i="9"/>
  <c r="DD15" i="9" s="1"/>
  <c r="AO15" i="9"/>
  <c r="BV15" i="9" s="1"/>
  <c r="DF15" i="9" s="1"/>
  <c r="AN15" i="9"/>
  <c r="BU15" i="9" s="1"/>
  <c r="DE15" i="9" s="1"/>
  <c r="AM15" i="9"/>
  <c r="BU14" i="9"/>
  <c r="DE14" i="9" s="1"/>
  <c r="AO14" i="9"/>
  <c r="BV14" i="9" s="1"/>
  <c r="DF14" i="9" s="1"/>
  <c r="AN14" i="9"/>
  <c r="AM14" i="9"/>
  <c r="BT14" i="9" s="1"/>
  <c r="DD14" i="9" s="1"/>
  <c r="E14" i="9"/>
  <c r="AO13" i="9"/>
  <c r="BV13" i="9" s="1"/>
  <c r="DF13" i="9" s="1"/>
  <c r="AN13" i="9"/>
  <c r="BU13" i="9" s="1"/>
  <c r="DE13" i="9" s="1"/>
  <c r="AM13" i="9"/>
  <c r="BT13" i="9" s="1"/>
  <c r="DD13" i="9" s="1"/>
  <c r="AO12" i="9"/>
  <c r="BV12" i="9" s="1"/>
  <c r="DF12" i="9" s="1"/>
  <c r="AN12" i="9"/>
  <c r="BU12" i="9" s="1"/>
  <c r="DE12" i="9" s="1"/>
  <c r="AM12" i="9"/>
  <c r="BT12" i="9" s="1"/>
  <c r="DD12" i="9" s="1"/>
  <c r="AO11" i="9"/>
  <c r="BV11" i="9" s="1"/>
  <c r="DF11" i="9" s="1"/>
  <c r="AN11" i="9"/>
  <c r="BU11" i="9" s="1"/>
  <c r="DE11" i="9" s="1"/>
  <c r="AM11" i="9"/>
  <c r="BT11" i="9" s="1"/>
  <c r="DD11" i="9" s="1"/>
  <c r="AO10" i="9"/>
  <c r="BV10" i="9" s="1"/>
  <c r="DF10" i="9" s="1"/>
  <c r="AN10" i="9"/>
  <c r="BU10" i="9" s="1"/>
  <c r="DE10" i="9" s="1"/>
  <c r="AM10" i="9"/>
  <c r="BT10" i="9" s="1"/>
  <c r="DD10" i="9" s="1"/>
  <c r="AO9" i="9"/>
  <c r="BV9" i="9" s="1"/>
  <c r="DF9" i="9" s="1"/>
  <c r="AN9" i="9"/>
  <c r="BU9" i="9" s="1"/>
  <c r="DE9" i="9" s="1"/>
  <c r="AM9" i="9"/>
  <c r="BT9" i="9" s="1"/>
  <c r="DD9" i="9" s="1"/>
  <c r="AO8" i="9"/>
  <c r="BV8" i="9" s="1"/>
  <c r="DF8" i="9" s="1"/>
  <c r="AN8" i="9"/>
  <c r="BU8" i="9" s="1"/>
  <c r="DE8" i="9" s="1"/>
  <c r="AM8" i="9"/>
  <c r="BT8" i="9" s="1"/>
  <c r="DD8" i="9" s="1"/>
  <c r="AO7" i="9"/>
  <c r="BV7" i="9" s="1"/>
  <c r="DF7" i="9" s="1"/>
  <c r="AN7" i="9"/>
  <c r="BU7" i="9" s="1"/>
  <c r="DE7" i="9" s="1"/>
  <c r="AM7" i="9"/>
  <c r="BT7" i="9" s="1"/>
  <c r="DD7" i="9" s="1"/>
  <c r="AO6" i="9"/>
  <c r="BV6" i="9" s="1"/>
  <c r="DF6" i="9" s="1"/>
  <c r="AN6" i="9"/>
  <c r="BU6" i="9" s="1"/>
  <c r="DE6" i="9" s="1"/>
  <c r="AM6" i="9"/>
  <c r="BT6" i="9" s="1"/>
  <c r="DD6" i="9" s="1"/>
  <c r="AO5" i="9"/>
  <c r="AN5" i="9"/>
  <c r="BU5" i="9" s="1"/>
  <c r="DE5" i="9" s="1"/>
  <c r="AM5" i="9"/>
  <c r="BT5" i="9" s="1"/>
  <c r="DG148" i="8"/>
  <c r="DF148" i="8"/>
  <c r="DE148" i="8"/>
  <c r="DD148" i="8"/>
  <c r="DC148" i="8"/>
  <c r="DB148" i="8"/>
  <c r="DA148" i="8"/>
  <c r="CZ148" i="8"/>
  <c r="CY148" i="8"/>
  <c r="CX148" i="8"/>
  <c r="CW148" i="8"/>
  <c r="CV148" i="8"/>
  <c r="CU148" i="8"/>
  <c r="CT148" i="8"/>
  <c r="CS148" i="8"/>
  <c r="CR148" i="8"/>
  <c r="CQ148" i="8"/>
  <c r="CP148" i="8"/>
  <c r="CO148" i="8"/>
  <c r="CN148" i="8"/>
  <c r="CM148" i="8"/>
  <c r="CL148" i="8"/>
  <c r="CK148" i="8"/>
  <c r="CJ148" i="8"/>
  <c r="CI148" i="8"/>
  <c r="CH148" i="8"/>
  <c r="CG148" i="8"/>
  <c r="CF148" i="8"/>
  <c r="CE148" i="8"/>
  <c r="CD148" i="8"/>
  <c r="CC148" i="8"/>
  <c r="CB148" i="8"/>
  <c r="CA148" i="8"/>
  <c r="BW148" i="8"/>
  <c r="BV148" i="8"/>
  <c r="BU148" i="8"/>
  <c r="BT148" i="8"/>
  <c r="BS148" i="8"/>
  <c r="BR148" i="8"/>
  <c r="BQ148" i="8"/>
  <c r="BP148" i="8"/>
  <c r="BO148" i="8"/>
  <c r="BN148" i="8"/>
  <c r="BM148" i="8"/>
  <c r="BL148" i="8"/>
  <c r="BK148" i="8"/>
  <c r="BJ148" i="8"/>
  <c r="BI148" i="8"/>
  <c r="BH148" i="8"/>
  <c r="BG148" i="8"/>
  <c r="BF148" i="8"/>
  <c r="BE148" i="8"/>
  <c r="BD148" i="8"/>
  <c r="BC148" i="8"/>
  <c r="BB148" i="8"/>
  <c r="BA148" i="8"/>
  <c r="AZ148" i="8"/>
  <c r="AY148" i="8"/>
  <c r="AX148" i="8"/>
  <c r="AW148" i="8"/>
  <c r="AV148" i="8"/>
  <c r="AU148" i="8"/>
  <c r="AT148" i="8"/>
  <c r="AP148" i="8"/>
  <c r="AO148" i="8"/>
  <c r="AN148" i="8"/>
  <c r="AM148" i="8"/>
  <c r="AL148" i="8"/>
  <c r="AK148" i="8"/>
  <c r="AJ148" i="8"/>
  <c r="AI148" i="8"/>
  <c r="AH148" i="8"/>
  <c r="AG148" i="8"/>
  <c r="AF148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AS146" i="8"/>
  <c r="BZ146" i="8" s="1"/>
  <c r="DJ146" i="8" s="1"/>
  <c r="AR146" i="8"/>
  <c r="BY146" i="8" s="1"/>
  <c r="DI146" i="8" s="1"/>
  <c r="AQ146" i="8"/>
  <c r="BX146" i="8" s="1"/>
  <c r="DH146" i="8" s="1"/>
  <c r="AS145" i="8"/>
  <c r="BZ145" i="8" s="1"/>
  <c r="DJ145" i="8" s="1"/>
  <c r="AR145" i="8"/>
  <c r="BY145" i="8" s="1"/>
  <c r="DI145" i="8" s="1"/>
  <c r="AQ145" i="8"/>
  <c r="BX145" i="8" s="1"/>
  <c r="DH145" i="8" s="1"/>
  <c r="AS144" i="8"/>
  <c r="BZ144" i="8" s="1"/>
  <c r="DJ144" i="8" s="1"/>
  <c r="AR144" i="8"/>
  <c r="BY144" i="8" s="1"/>
  <c r="DI144" i="8" s="1"/>
  <c r="AQ144" i="8"/>
  <c r="BX144" i="8" s="1"/>
  <c r="DH144" i="8" s="1"/>
  <c r="AS143" i="8"/>
  <c r="BZ143" i="8" s="1"/>
  <c r="DJ143" i="8" s="1"/>
  <c r="AR143" i="8"/>
  <c r="BY143" i="8" s="1"/>
  <c r="DI143" i="8" s="1"/>
  <c r="AQ143" i="8"/>
  <c r="BX143" i="8" s="1"/>
  <c r="DH143" i="8" s="1"/>
  <c r="AS142" i="8"/>
  <c r="BZ142" i="8" s="1"/>
  <c r="DJ142" i="8" s="1"/>
  <c r="AR142" i="8"/>
  <c r="BY142" i="8" s="1"/>
  <c r="DI142" i="8" s="1"/>
  <c r="AQ142" i="8"/>
  <c r="BX142" i="8" s="1"/>
  <c r="DH142" i="8" s="1"/>
  <c r="AS141" i="8"/>
  <c r="BZ141" i="8" s="1"/>
  <c r="DJ141" i="8" s="1"/>
  <c r="AR141" i="8"/>
  <c r="BY141" i="8" s="1"/>
  <c r="DI141" i="8" s="1"/>
  <c r="AQ141" i="8"/>
  <c r="BX141" i="8" s="1"/>
  <c r="DH141" i="8" s="1"/>
  <c r="AS140" i="8"/>
  <c r="BZ140" i="8" s="1"/>
  <c r="DJ140" i="8" s="1"/>
  <c r="AR140" i="8"/>
  <c r="BY140" i="8" s="1"/>
  <c r="DI140" i="8" s="1"/>
  <c r="AQ140" i="8"/>
  <c r="BX140" i="8" s="1"/>
  <c r="DH140" i="8" s="1"/>
  <c r="AS139" i="8"/>
  <c r="BZ139" i="8" s="1"/>
  <c r="DJ139" i="8" s="1"/>
  <c r="AR139" i="8"/>
  <c r="BY139" i="8" s="1"/>
  <c r="DI139" i="8" s="1"/>
  <c r="AQ139" i="8"/>
  <c r="BX139" i="8" s="1"/>
  <c r="DH139" i="8" s="1"/>
  <c r="AS138" i="8"/>
  <c r="BZ138" i="8" s="1"/>
  <c r="DJ138" i="8" s="1"/>
  <c r="AR138" i="8"/>
  <c r="BY138" i="8" s="1"/>
  <c r="DI138" i="8" s="1"/>
  <c r="AQ138" i="8"/>
  <c r="BX138" i="8" s="1"/>
  <c r="DH138" i="8" s="1"/>
  <c r="AS137" i="8"/>
  <c r="BZ137" i="8" s="1"/>
  <c r="DJ137" i="8" s="1"/>
  <c r="AR137" i="8"/>
  <c r="BY137" i="8" s="1"/>
  <c r="DI137" i="8" s="1"/>
  <c r="AQ137" i="8"/>
  <c r="BX137" i="8" s="1"/>
  <c r="DH137" i="8" s="1"/>
  <c r="AS136" i="8"/>
  <c r="BZ136" i="8" s="1"/>
  <c r="DJ136" i="8" s="1"/>
  <c r="AR136" i="8"/>
  <c r="BY136" i="8" s="1"/>
  <c r="DI136" i="8" s="1"/>
  <c r="AQ136" i="8"/>
  <c r="BX136" i="8" s="1"/>
  <c r="DH136" i="8" s="1"/>
  <c r="AS135" i="8"/>
  <c r="BZ135" i="8" s="1"/>
  <c r="DJ135" i="8" s="1"/>
  <c r="AR135" i="8"/>
  <c r="BY135" i="8" s="1"/>
  <c r="DI135" i="8" s="1"/>
  <c r="AQ135" i="8"/>
  <c r="BX135" i="8" s="1"/>
  <c r="DH135" i="8" s="1"/>
  <c r="AS134" i="8"/>
  <c r="BZ134" i="8" s="1"/>
  <c r="DJ134" i="8" s="1"/>
  <c r="AR134" i="8"/>
  <c r="BY134" i="8" s="1"/>
  <c r="DI134" i="8" s="1"/>
  <c r="AQ134" i="8"/>
  <c r="BX134" i="8" s="1"/>
  <c r="DH134" i="8" s="1"/>
  <c r="AS133" i="8"/>
  <c r="BZ133" i="8" s="1"/>
  <c r="DJ133" i="8" s="1"/>
  <c r="AR133" i="8"/>
  <c r="BY133" i="8" s="1"/>
  <c r="DI133" i="8" s="1"/>
  <c r="AQ133" i="8"/>
  <c r="BX133" i="8" s="1"/>
  <c r="DH133" i="8" s="1"/>
  <c r="AS132" i="8"/>
  <c r="BZ132" i="8" s="1"/>
  <c r="DJ132" i="8" s="1"/>
  <c r="AR132" i="8"/>
  <c r="BY132" i="8" s="1"/>
  <c r="DI132" i="8" s="1"/>
  <c r="AQ132" i="8"/>
  <c r="BX132" i="8" s="1"/>
  <c r="DH132" i="8" s="1"/>
  <c r="AS131" i="8"/>
  <c r="BZ131" i="8" s="1"/>
  <c r="DJ131" i="8" s="1"/>
  <c r="AR131" i="8"/>
  <c r="BY131" i="8" s="1"/>
  <c r="DI131" i="8" s="1"/>
  <c r="AQ131" i="8"/>
  <c r="BX131" i="8" s="1"/>
  <c r="DH131" i="8" s="1"/>
  <c r="AS130" i="8"/>
  <c r="BZ130" i="8" s="1"/>
  <c r="DJ130" i="8" s="1"/>
  <c r="AR130" i="8"/>
  <c r="BY130" i="8" s="1"/>
  <c r="DI130" i="8" s="1"/>
  <c r="AQ130" i="8"/>
  <c r="BX130" i="8" s="1"/>
  <c r="DH130" i="8" s="1"/>
  <c r="AS129" i="8"/>
  <c r="BZ129" i="8" s="1"/>
  <c r="DJ129" i="8" s="1"/>
  <c r="AR129" i="8"/>
  <c r="BY129" i="8" s="1"/>
  <c r="DI129" i="8" s="1"/>
  <c r="AQ129" i="8"/>
  <c r="BX129" i="8" s="1"/>
  <c r="DH129" i="8" s="1"/>
  <c r="AS128" i="8"/>
  <c r="BZ128" i="8" s="1"/>
  <c r="DJ128" i="8" s="1"/>
  <c r="AR128" i="8"/>
  <c r="BY128" i="8" s="1"/>
  <c r="DI128" i="8" s="1"/>
  <c r="AQ128" i="8"/>
  <c r="BX128" i="8" s="1"/>
  <c r="DH128" i="8" s="1"/>
  <c r="AS127" i="8"/>
  <c r="BZ127" i="8" s="1"/>
  <c r="DJ127" i="8" s="1"/>
  <c r="AR127" i="8"/>
  <c r="BY127" i="8" s="1"/>
  <c r="DI127" i="8" s="1"/>
  <c r="AQ127" i="8"/>
  <c r="BX127" i="8" s="1"/>
  <c r="DH127" i="8" s="1"/>
  <c r="AS126" i="8"/>
  <c r="BZ126" i="8" s="1"/>
  <c r="DJ126" i="8" s="1"/>
  <c r="AR126" i="8"/>
  <c r="BY126" i="8" s="1"/>
  <c r="DI126" i="8" s="1"/>
  <c r="AQ126" i="8"/>
  <c r="BX126" i="8" s="1"/>
  <c r="DH126" i="8" s="1"/>
  <c r="AS125" i="8"/>
  <c r="BZ125" i="8" s="1"/>
  <c r="DJ125" i="8" s="1"/>
  <c r="AR125" i="8"/>
  <c r="BY125" i="8" s="1"/>
  <c r="DI125" i="8" s="1"/>
  <c r="AQ125" i="8"/>
  <c r="BX125" i="8" s="1"/>
  <c r="DH125" i="8" s="1"/>
  <c r="AS124" i="8"/>
  <c r="BZ124" i="8" s="1"/>
  <c r="DJ124" i="8" s="1"/>
  <c r="AR124" i="8"/>
  <c r="BY124" i="8" s="1"/>
  <c r="DI124" i="8" s="1"/>
  <c r="AQ124" i="8"/>
  <c r="BX124" i="8" s="1"/>
  <c r="DH124" i="8" s="1"/>
  <c r="AS123" i="8"/>
  <c r="BZ123" i="8" s="1"/>
  <c r="DJ123" i="8" s="1"/>
  <c r="AR123" i="8"/>
  <c r="BY123" i="8" s="1"/>
  <c r="DI123" i="8" s="1"/>
  <c r="AQ123" i="8"/>
  <c r="BX123" i="8" s="1"/>
  <c r="DH123" i="8" s="1"/>
  <c r="AS122" i="8"/>
  <c r="BZ122" i="8" s="1"/>
  <c r="DJ122" i="8" s="1"/>
  <c r="AR122" i="8"/>
  <c r="BY122" i="8" s="1"/>
  <c r="DI122" i="8" s="1"/>
  <c r="AQ122" i="8"/>
  <c r="BX122" i="8" s="1"/>
  <c r="DH122" i="8" s="1"/>
  <c r="AS121" i="8"/>
  <c r="BZ121" i="8" s="1"/>
  <c r="DJ121" i="8" s="1"/>
  <c r="AR121" i="8"/>
  <c r="BY121" i="8" s="1"/>
  <c r="DI121" i="8" s="1"/>
  <c r="AQ121" i="8"/>
  <c r="BX121" i="8" s="1"/>
  <c r="DH121" i="8" s="1"/>
  <c r="AS120" i="8"/>
  <c r="BZ120" i="8" s="1"/>
  <c r="DJ120" i="8" s="1"/>
  <c r="AR120" i="8"/>
  <c r="BY120" i="8" s="1"/>
  <c r="DI120" i="8" s="1"/>
  <c r="AQ120" i="8"/>
  <c r="BX120" i="8" s="1"/>
  <c r="DH120" i="8" s="1"/>
  <c r="AS119" i="8"/>
  <c r="BZ119" i="8" s="1"/>
  <c r="DJ119" i="8" s="1"/>
  <c r="AR119" i="8"/>
  <c r="BY119" i="8" s="1"/>
  <c r="DI119" i="8" s="1"/>
  <c r="AQ119" i="8"/>
  <c r="BX119" i="8" s="1"/>
  <c r="DH119" i="8" s="1"/>
  <c r="AS118" i="8"/>
  <c r="BZ118" i="8" s="1"/>
  <c r="DJ118" i="8" s="1"/>
  <c r="AR118" i="8"/>
  <c r="BY118" i="8" s="1"/>
  <c r="DI118" i="8" s="1"/>
  <c r="AQ118" i="8"/>
  <c r="BX118" i="8" s="1"/>
  <c r="DH118" i="8" s="1"/>
  <c r="AS117" i="8"/>
  <c r="BZ117" i="8" s="1"/>
  <c r="DJ117" i="8" s="1"/>
  <c r="AR117" i="8"/>
  <c r="BY117" i="8" s="1"/>
  <c r="DI117" i="8" s="1"/>
  <c r="AQ117" i="8"/>
  <c r="BX117" i="8" s="1"/>
  <c r="DH117" i="8" s="1"/>
  <c r="BX116" i="8"/>
  <c r="DH116" i="8" s="1"/>
  <c r="AS116" i="8"/>
  <c r="BZ116" i="8" s="1"/>
  <c r="DJ116" i="8" s="1"/>
  <c r="AR116" i="8"/>
  <c r="BY116" i="8" s="1"/>
  <c r="DI116" i="8" s="1"/>
  <c r="AQ116" i="8"/>
  <c r="AS115" i="8"/>
  <c r="BZ115" i="8" s="1"/>
  <c r="DJ115" i="8" s="1"/>
  <c r="AR115" i="8"/>
  <c r="BY115" i="8" s="1"/>
  <c r="DI115" i="8" s="1"/>
  <c r="AQ115" i="8"/>
  <c r="BX115" i="8" s="1"/>
  <c r="DH115" i="8" s="1"/>
  <c r="AS114" i="8"/>
  <c r="BZ114" i="8" s="1"/>
  <c r="DJ114" i="8" s="1"/>
  <c r="AR114" i="8"/>
  <c r="BY114" i="8" s="1"/>
  <c r="DI114" i="8" s="1"/>
  <c r="AQ114" i="8"/>
  <c r="BX114" i="8" s="1"/>
  <c r="DH114" i="8" s="1"/>
  <c r="AS113" i="8"/>
  <c r="BZ113" i="8" s="1"/>
  <c r="DJ113" i="8" s="1"/>
  <c r="AR113" i="8"/>
  <c r="BY113" i="8" s="1"/>
  <c r="DI113" i="8" s="1"/>
  <c r="AQ113" i="8"/>
  <c r="BX113" i="8" s="1"/>
  <c r="DH113" i="8" s="1"/>
  <c r="AS112" i="8"/>
  <c r="BZ112" i="8" s="1"/>
  <c r="DJ112" i="8" s="1"/>
  <c r="AR112" i="8"/>
  <c r="BY112" i="8" s="1"/>
  <c r="DI112" i="8" s="1"/>
  <c r="AQ112" i="8"/>
  <c r="BX112" i="8" s="1"/>
  <c r="DH112" i="8" s="1"/>
  <c r="AS111" i="8"/>
  <c r="BZ111" i="8" s="1"/>
  <c r="DJ111" i="8" s="1"/>
  <c r="AR111" i="8"/>
  <c r="BY111" i="8" s="1"/>
  <c r="DI111" i="8" s="1"/>
  <c r="AQ111" i="8"/>
  <c r="BX111" i="8" s="1"/>
  <c r="DH111" i="8" s="1"/>
  <c r="AS110" i="8"/>
  <c r="BZ110" i="8" s="1"/>
  <c r="DJ110" i="8" s="1"/>
  <c r="AR110" i="8"/>
  <c r="BY110" i="8" s="1"/>
  <c r="DI110" i="8" s="1"/>
  <c r="AQ110" i="8"/>
  <c r="BX110" i="8" s="1"/>
  <c r="DH110" i="8" s="1"/>
  <c r="AS109" i="8"/>
  <c r="BZ109" i="8" s="1"/>
  <c r="DJ109" i="8" s="1"/>
  <c r="AR109" i="8"/>
  <c r="BY109" i="8" s="1"/>
  <c r="DI109" i="8" s="1"/>
  <c r="AQ109" i="8"/>
  <c r="BX109" i="8" s="1"/>
  <c r="DH109" i="8" s="1"/>
  <c r="AS108" i="8"/>
  <c r="BZ108" i="8" s="1"/>
  <c r="DJ108" i="8" s="1"/>
  <c r="AR108" i="8"/>
  <c r="BY108" i="8" s="1"/>
  <c r="DI108" i="8" s="1"/>
  <c r="AQ108" i="8"/>
  <c r="BX108" i="8" s="1"/>
  <c r="DH108" i="8" s="1"/>
  <c r="AS107" i="8"/>
  <c r="BZ107" i="8" s="1"/>
  <c r="DJ107" i="8" s="1"/>
  <c r="AR107" i="8"/>
  <c r="BY107" i="8" s="1"/>
  <c r="DI107" i="8" s="1"/>
  <c r="AQ107" i="8"/>
  <c r="BX107" i="8" s="1"/>
  <c r="DH107" i="8" s="1"/>
  <c r="AS106" i="8"/>
  <c r="BZ106" i="8" s="1"/>
  <c r="DJ106" i="8" s="1"/>
  <c r="AR106" i="8"/>
  <c r="BY106" i="8" s="1"/>
  <c r="DI106" i="8" s="1"/>
  <c r="AQ106" i="8"/>
  <c r="BX106" i="8" s="1"/>
  <c r="DH106" i="8" s="1"/>
  <c r="AS105" i="8"/>
  <c r="BZ105" i="8" s="1"/>
  <c r="DJ105" i="8" s="1"/>
  <c r="AR105" i="8"/>
  <c r="BY105" i="8" s="1"/>
  <c r="DI105" i="8" s="1"/>
  <c r="AQ105" i="8"/>
  <c r="BX105" i="8" s="1"/>
  <c r="DH105" i="8" s="1"/>
  <c r="AS104" i="8"/>
  <c r="BZ104" i="8" s="1"/>
  <c r="DJ104" i="8" s="1"/>
  <c r="AR104" i="8"/>
  <c r="BY104" i="8" s="1"/>
  <c r="DI104" i="8" s="1"/>
  <c r="AQ104" i="8"/>
  <c r="BX104" i="8" s="1"/>
  <c r="DH104" i="8" s="1"/>
  <c r="AS103" i="8"/>
  <c r="BZ103" i="8" s="1"/>
  <c r="DJ103" i="8" s="1"/>
  <c r="AR103" i="8"/>
  <c r="BY103" i="8" s="1"/>
  <c r="DI103" i="8" s="1"/>
  <c r="AQ103" i="8"/>
  <c r="BX103" i="8" s="1"/>
  <c r="DH103" i="8" s="1"/>
  <c r="AS102" i="8"/>
  <c r="BZ102" i="8" s="1"/>
  <c r="DJ102" i="8" s="1"/>
  <c r="AR102" i="8"/>
  <c r="BY102" i="8" s="1"/>
  <c r="DI102" i="8" s="1"/>
  <c r="AQ102" i="8"/>
  <c r="BX102" i="8" s="1"/>
  <c r="DH102" i="8" s="1"/>
  <c r="AS101" i="8"/>
  <c r="BZ101" i="8" s="1"/>
  <c r="DJ101" i="8" s="1"/>
  <c r="AR101" i="8"/>
  <c r="BY101" i="8" s="1"/>
  <c r="DI101" i="8" s="1"/>
  <c r="AQ101" i="8"/>
  <c r="BX101" i="8" s="1"/>
  <c r="DH101" i="8" s="1"/>
  <c r="AS100" i="8"/>
  <c r="BZ100" i="8" s="1"/>
  <c r="DJ100" i="8" s="1"/>
  <c r="AR100" i="8"/>
  <c r="BY100" i="8" s="1"/>
  <c r="DI100" i="8" s="1"/>
  <c r="AQ100" i="8"/>
  <c r="BX100" i="8" s="1"/>
  <c r="DH100" i="8" s="1"/>
  <c r="AS99" i="8"/>
  <c r="BZ99" i="8" s="1"/>
  <c r="DJ99" i="8" s="1"/>
  <c r="AR99" i="8"/>
  <c r="BY99" i="8" s="1"/>
  <c r="DI99" i="8" s="1"/>
  <c r="AQ99" i="8"/>
  <c r="BX99" i="8" s="1"/>
  <c r="DH99" i="8" s="1"/>
  <c r="AS98" i="8"/>
  <c r="BZ98" i="8" s="1"/>
  <c r="DJ98" i="8" s="1"/>
  <c r="AR98" i="8"/>
  <c r="BY98" i="8" s="1"/>
  <c r="DI98" i="8" s="1"/>
  <c r="AQ98" i="8"/>
  <c r="BX98" i="8" s="1"/>
  <c r="DH98" i="8" s="1"/>
  <c r="AS97" i="8"/>
  <c r="BZ97" i="8" s="1"/>
  <c r="DJ97" i="8" s="1"/>
  <c r="AR97" i="8"/>
  <c r="BY97" i="8" s="1"/>
  <c r="DI97" i="8" s="1"/>
  <c r="AQ97" i="8"/>
  <c r="BX97" i="8" s="1"/>
  <c r="DH97" i="8" s="1"/>
  <c r="AS96" i="8"/>
  <c r="BZ96" i="8" s="1"/>
  <c r="DJ96" i="8" s="1"/>
  <c r="AR96" i="8"/>
  <c r="BY96" i="8" s="1"/>
  <c r="DI96" i="8" s="1"/>
  <c r="AQ96" i="8"/>
  <c r="BX96" i="8" s="1"/>
  <c r="DH96" i="8" s="1"/>
  <c r="AS95" i="8"/>
  <c r="BZ95" i="8" s="1"/>
  <c r="DJ95" i="8" s="1"/>
  <c r="AR95" i="8"/>
  <c r="BY95" i="8" s="1"/>
  <c r="DI95" i="8" s="1"/>
  <c r="AQ95" i="8"/>
  <c r="BX95" i="8" s="1"/>
  <c r="DH95" i="8" s="1"/>
  <c r="AS94" i="8"/>
  <c r="BZ94" i="8" s="1"/>
  <c r="DJ94" i="8" s="1"/>
  <c r="AR94" i="8"/>
  <c r="BY94" i="8" s="1"/>
  <c r="DI94" i="8" s="1"/>
  <c r="AQ94" i="8"/>
  <c r="BX94" i="8" s="1"/>
  <c r="DH94" i="8" s="1"/>
  <c r="AS93" i="8"/>
  <c r="BZ93" i="8" s="1"/>
  <c r="DJ93" i="8" s="1"/>
  <c r="AR93" i="8"/>
  <c r="BY93" i="8" s="1"/>
  <c r="DI93" i="8" s="1"/>
  <c r="AQ93" i="8"/>
  <c r="BX93" i="8" s="1"/>
  <c r="DH93" i="8" s="1"/>
  <c r="AS92" i="8"/>
  <c r="BZ92" i="8" s="1"/>
  <c r="DJ92" i="8" s="1"/>
  <c r="AR92" i="8"/>
  <c r="BY92" i="8" s="1"/>
  <c r="DI92" i="8" s="1"/>
  <c r="AQ92" i="8"/>
  <c r="BX92" i="8" s="1"/>
  <c r="DH92" i="8" s="1"/>
  <c r="AS91" i="8"/>
  <c r="BZ91" i="8" s="1"/>
  <c r="DJ91" i="8" s="1"/>
  <c r="AR91" i="8"/>
  <c r="BY91" i="8" s="1"/>
  <c r="DI91" i="8" s="1"/>
  <c r="AQ91" i="8"/>
  <c r="BX91" i="8" s="1"/>
  <c r="DH91" i="8" s="1"/>
  <c r="AS90" i="8"/>
  <c r="BZ90" i="8" s="1"/>
  <c r="DJ90" i="8" s="1"/>
  <c r="AR90" i="8"/>
  <c r="BY90" i="8" s="1"/>
  <c r="DI90" i="8" s="1"/>
  <c r="AQ90" i="8"/>
  <c r="BX90" i="8" s="1"/>
  <c r="DH90" i="8" s="1"/>
  <c r="AS89" i="8"/>
  <c r="BZ89" i="8" s="1"/>
  <c r="DJ89" i="8" s="1"/>
  <c r="AR89" i="8"/>
  <c r="BY89" i="8" s="1"/>
  <c r="DI89" i="8" s="1"/>
  <c r="AQ89" i="8"/>
  <c r="BX89" i="8" s="1"/>
  <c r="DH89" i="8" s="1"/>
  <c r="AS88" i="8"/>
  <c r="BZ88" i="8" s="1"/>
  <c r="DJ88" i="8" s="1"/>
  <c r="AR88" i="8"/>
  <c r="BY88" i="8" s="1"/>
  <c r="DI88" i="8" s="1"/>
  <c r="AQ88" i="8"/>
  <c r="BX88" i="8" s="1"/>
  <c r="DH88" i="8" s="1"/>
  <c r="AS87" i="8"/>
  <c r="BZ87" i="8" s="1"/>
  <c r="DJ87" i="8" s="1"/>
  <c r="AR87" i="8"/>
  <c r="BY87" i="8" s="1"/>
  <c r="DI87" i="8" s="1"/>
  <c r="AQ87" i="8"/>
  <c r="BX87" i="8" s="1"/>
  <c r="DH87" i="8" s="1"/>
  <c r="AS86" i="8"/>
  <c r="BZ86" i="8" s="1"/>
  <c r="DJ86" i="8" s="1"/>
  <c r="AR86" i="8"/>
  <c r="BY86" i="8" s="1"/>
  <c r="DI86" i="8" s="1"/>
  <c r="AQ86" i="8"/>
  <c r="BX86" i="8" s="1"/>
  <c r="DH86" i="8" s="1"/>
  <c r="AS85" i="8"/>
  <c r="BZ85" i="8" s="1"/>
  <c r="DJ85" i="8" s="1"/>
  <c r="AR85" i="8"/>
  <c r="BY85" i="8" s="1"/>
  <c r="DI85" i="8" s="1"/>
  <c r="AQ85" i="8"/>
  <c r="BX85" i="8" s="1"/>
  <c r="DH85" i="8" s="1"/>
  <c r="AS84" i="8"/>
  <c r="BZ84" i="8" s="1"/>
  <c r="DJ84" i="8" s="1"/>
  <c r="AR84" i="8"/>
  <c r="BY84" i="8" s="1"/>
  <c r="DI84" i="8" s="1"/>
  <c r="AQ84" i="8"/>
  <c r="BX84" i="8" s="1"/>
  <c r="DH84" i="8" s="1"/>
  <c r="AS83" i="8"/>
  <c r="BZ83" i="8" s="1"/>
  <c r="DJ83" i="8" s="1"/>
  <c r="AR83" i="8"/>
  <c r="BY83" i="8" s="1"/>
  <c r="DI83" i="8" s="1"/>
  <c r="AQ83" i="8"/>
  <c r="BX83" i="8" s="1"/>
  <c r="DH83" i="8" s="1"/>
  <c r="AS82" i="8"/>
  <c r="BZ82" i="8" s="1"/>
  <c r="DJ82" i="8" s="1"/>
  <c r="AR82" i="8"/>
  <c r="BY82" i="8" s="1"/>
  <c r="DI82" i="8" s="1"/>
  <c r="AQ82" i="8"/>
  <c r="BX82" i="8" s="1"/>
  <c r="DH82" i="8" s="1"/>
  <c r="AS81" i="8"/>
  <c r="BZ81" i="8" s="1"/>
  <c r="DJ81" i="8" s="1"/>
  <c r="AR81" i="8"/>
  <c r="BY81" i="8" s="1"/>
  <c r="DI81" i="8" s="1"/>
  <c r="AQ81" i="8"/>
  <c r="BX81" i="8" s="1"/>
  <c r="DH81" i="8" s="1"/>
  <c r="AS80" i="8"/>
  <c r="BZ80" i="8" s="1"/>
  <c r="DJ80" i="8" s="1"/>
  <c r="AR80" i="8"/>
  <c r="BY80" i="8" s="1"/>
  <c r="DI80" i="8" s="1"/>
  <c r="AQ80" i="8"/>
  <c r="BX80" i="8" s="1"/>
  <c r="DH80" i="8" s="1"/>
  <c r="AS79" i="8"/>
  <c r="BZ79" i="8" s="1"/>
  <c r="DJ79" i="8" s="1"/>
  <c r="AR79" i="8"/>
  <c r="BY79" i="8" s="1"/>
  <c r="DI79" i="8" s="1"/>
  <c r="AQ79" i="8"/>
  <c r="BX79" i="8" s="1"/>
  <c r="DH79" i="8" s="1"/>
  <c r="AS78" i="8"/>
  <c r="BZ78" i="8" s="1"/>
  <c r="DJ78" i="8" s="1"/>
  <c r="AR78" i="8"/>
  <c r="BY78" i="8" s="1"/>
  <c r="DI78" i="8" s="1"/>
  <c r="AQ78" i="8"/>
  <c r="BX78" i="8" s="1"/>
  <c r="DH78" i="8" s="1"/>
  <c r="BZ77" i="8"/>
  <c r="DJ77" i="8" s="1"/>
  <c r="AS77" i="8"/>
  <c r="AR77" i="8"/>
  <c r="BY77" i="8" s="1"/>
  <c r="DI77" i="8" s="1"/>
  <c r="AQ77" i="8"/>
  <c r="BX77" i="8" s="1"/>
  <c r="DH77" i="8" s="1"/>
  <c r="AS76" i="8"/>
  <c r="BZ76" i="8" s="1"/>
  <c r="DJ76" i="8" s="1"/>
  <c r="AR76" i="8"/>
  <c r="BY76" i="8" s="1"/>
  <c r="DI76" i="8" s="1"/>
  <c r="AQ76" i="8"/>
  <c r="BX76" i="8" s="1"/>
  <c r="DH76" i="8" s="1"/>
  <c r="AS75" i="8"/>
  <c r="BZ75" i="8" s="1"/>
  <c r="DJ75" i="8" s="1"/>
  <c r="AR75" i="8"/>
  <c r="BY75" i="8" s="1"/>
  <c r="DI75" i="8" s="1"/>
  <c r="AQ75" i="8"/>
  <c r="BX75" i="8" s="1"/>
  <c r="DH75" i="8" s="1"/>
  <c r="AS74" i="8"/>
  <c r="BZ74" i="8" s="1"/>
  <c r="DJ74" i="8" s="1"/>
  <c r="AR74" i="8"/>
  <c r="BY74" i="8" s="1"/>
  <c r="DI74" i="8" s="1"/>
  <c r="AQ74" i="8"/>
  <c r="BX74" i="8" s="1"/>
  <c r="DH74" i="8" s="1"/>
  <c r="AS73" i="8"/>
  <c r="BZ73" i="8" s="1"/>
  <c r="DJ73" i="8" s="1"/>
  <c r="AR73" i="8"/>
  <c r="BY73" i="8" s="1"/>
  <c r="DI73" i="8" s="1"/>
  <c r="AQ73" i="8"/>
  <c r="BX73" i="8" s="1"/>
  <c r="DH73" i="8" s="1"/>
  <c r="AS72" i="8"/>
  <c r="BZ72" i="8" s="1"/>
  <c r="DJ72" i="8" s="1"/>
  <c r="AR72" i="8"/>
  <c r="BY72" i="8" s="1"/>
  <c r="DI72" i="8" s="1"/>
  <c r="AQ72" i="8"/>
  <c r="BX72" i="8" s="1"/>
  <c r="DH72" i="8" s="1"/>
  <c r="AS71" i="8"/>
  <c r="BZ71" i="8" s="1"/>
  <c r="DJ71" i="8" s="1"/>
  <c r="AR71" i="8"/>
  <c r="BY71" i="8" s="1"/>
  <c r="DI71" i="8" s="1"/>
  <c r="AQ71" i="8"/>
  <c r="BX71" i="8" s="1"/>
  <c r="DH71" i="8" s="1"/>
  <c r="AS70" i="8"/>
  <c r="BZ70" i="8" s="1"/>
  <c r="DJ70" i="8" s="1"/>
  <c r="AR70" i="8"/>
  <c r="BY70" i="8" s="1"/>
  <c r="DI70" i="8" s="1"/>
  <c r="AQ70" i="8"/>
  <c r="BX70" i="8" s="1"/>
  <c r="DH70" i="8" s="1"/>
  <c r="AS69" i="8"/>
  <c r="BZ69" i="8" s="1"/>
  <c r="DJ69" i="8" s="1"/>
  <c r="AR69" i="8"/>
  <c r="BY69" i="8" s="1"/>
  <c r="DI69" i="8" s="1"/>
  <c r="AQ69" i="8"/>
  <c r="BX69" i="8" s="1"/>
  <c r="DH69" i="8" s="1"/>
  <c r="AS68" i="8"/>
  <c r="BZ68" i="8" s="1"/>
  <c r="DJ68" i="8" s="1"/>
  <c r="AR68" i="8"/>
  <c r="BY68" i="8" s="1"/>
  <c r="DI68" i="8" s="1"/>
  <c r="AQ68" i="8"/>
  <c r="BX68" i="8" s="1"/>
  <c r="DH68" i="8" s="1"/>
  <c r="AS67" i="8"/>
  <c r="BZ67" i="8" s="1"/>
  <c r="DJ67" i="8" s="1"/>
  <c r="AR67" i="8"/>
  <c r="BY67" i="8" s="1"/>
  <c r="DI67" i="8" s="1"/>
  <c r="AQ67" i="8"/>
  <c r="BX67" i="8" s="1"/>
  <c r="DH67" i="8" s="1"/>
  <c r="AS66" i="8"/>
  <c r="BZ66" i="8" s="1"/>
  <c r="DJ66" i="8" s="1"/>
  <c r="AR66" i="8"/>
  <c r="BY66" i="8" s="1"/>
  <c r="DI66" i="8" s="1"/>
  <c r="AQ66" i="8"/>
  <c r="BX66" i="8" s="1"/>
  <c r="DH66" i="8" s="1"/>
  <c r="BX65" i="8"/>
  <c r="DH65" i="8" s="1"/>
  <c r="AS65" i="8"/>
  <c r="BZ65" i="8" s="1"/>
  <c r="DJ65" i="8" s="1"/>
  <c r="AR65" i="8"/>
  <c r="BY65" i="8" s="1"/>
  <c r="DI65" i="8" s="1"/>
  <c r="AQ65" i="8"/>
  <c r="AS64" i="8"/>
  <c r="BZ64" i="8" s="1"/>
  <c r="DJ64" i="8" s="1"/>
  <c r="AR64" i="8"/>
  <c r="BY64" i="8" s="1"/>
  <c r="DI64" i="8" s="1"/>
  <c r="AQ64" i="8"/>
  <c r="BX64" i="8" s="1"/>
  <c r="DH64" i="8" s="1"/>
  <c r="AS63" i="8"/>
  <c r="BZ63" i="8" s="1"/>
  <c r="DJ63" i="8" s="1"/>
  <c r="AR63" i="8"/>
  <c r="BY63" i="8" s="1"/>
  <c r="DI63" i="8" s="1"/>
  <c r="AQ63" i="8"/>
  <c r="BX63" i="8" s="1"/>
  <c r="DH63" i="8" s="1"/>
  <c r="AS62" i="8"/>
  <c r="BZ62" i="8" s="1"/>
  <c r="DJ62" i="8" s="1"/>
  <c r="AR62" i="8"/>
  <c r="BY62" i="8" s="1"/>
  <c r="DI62" i="8" s="1"/>
  <c r="AQ62" i="8"/>
  <c r="BX62" i="8" s="1"/>
  <c r="DH62" i="8" s="1"/>
  <c r="AS61" i="8"/>
  <c r="BZ61" i="8" s="1"/>
  <c r="DJ61" i="8" s="1"/>
  <c r="AR61" i="8"/>
  <c r="BY61" i="8" s="1"/>
  <c r="DI61" i="8" s="1"/>
  <c r="AQ61" i="8"/>
  <c r="BX61" i="8" s="1"/>
  <c r="DH61" i="8" s="1"/>
  <c r="AS60" i="8"/>
  <c r="BZ60" i="8" s="1"/>
  <c r="DJ60" i="8" s="1"/>
  <c r="AR60" i="8"/>
  <c r="BY60" i="8" s="1"/>
  <c r="DI60" i="8" s="1"/>
  <c r="AQ60" i="8"/>
  <c r="BX60" i="8" s="1"/>
  <c r="DH60" i="8" s="1"/>
  <c r="AS59" i="8"/>
  <c r="BZ59" i="8" s="1"/>
  <c r="DJ59" i="8" s="1"/>
  <c r="AR59" i="8"/>
  <c r="BY59" i="8" s="1"/>
  <c r="DI59" i="8" s="1"/>
  <c r="AQ59" i="8"/>
  <c r="BX59" i="8" s="1"/>
  <c r="DH59" i="8" s="1"/>
  <c r="AS58" i="8"/>
  <c r="BZ58" i="8" s="1"/>
  <c r="DJ58" i="8" s="1"/>
  <c r="AR58" i="8"/>
  <c r="BY58" i="8" s="1"/>
  <c r="DI58" i="8" s="1"/>
  <c r="AQ58" i="8"/>
  <c r="BX58" i="8" s="1"/>
  <c r="DH58" i="8" s="1"/>
  <c r="AS57" i="8"/>
  <c r="BZ57" i="8" s="1"/>
  <c r="DJ57" i="8" s="1"/>
  <c r="AR57" i="8"/>
  <c r="BY57" i="8" s="1"/>
  <c r="DI57" i="8" s="1"/>
  <c r="AQ57" i="8"/>
  <c r="BX57" i="8" s="1"/>
  <c r="DH57" i="8" s="1"/>
  <c r="AS56" i="8"/>
  <c r="BZ56" i="8" s="1"/>
  <c r="DJ56" i="8" s="1"/>
  <c r="AR56" i="8"/>
  <c r="BY56" i="8" s="1"/>
  <c r="DI56" i="8" s="1"/>
  <c r="AQ56" i="8"/>
  <c r="BX56" i="8" s="1"/>
  <c r="DH56" i="8" s="1"/>
  <c r="AS55" i="8"/>
  <c r="BZ55" i="8" s="1"/>
  <c r="DJ55" i="8" s="1"/>
  <c r="AR55" i="8"/>
  <c r="BY55" i="8" s="1"/>
  <c r="DI55" i="8" s="1"/>
  <c r="AQ55" i="8"/>
  <c r="BX55" i="8" s="1"/>
  <c r="DH55" i="8" s="1"/>
  <c r="AS54" i="8"/>
  <c r="BZ54" i="8" s="1"/>
  <c r="DJ54" i="8" s="1"/>
  <c r="AR54" i="8"/>
  <c r="BY54" i="8" s="1"/>
  <c r="DI54" i="8" s="1"/>
  <c r="AQ54" i="8"/>
  <c r="BX54" i="8" s="1"/>
  <c r="DH54" i="8" s="1"/>
  <c r="AS53" i="8"/>
  <c r="BZ53" i="8" s="1"/>
  <c r="DJ53" i="8" s="1"/>
  <c r="AR53" i="8"/>
  <c r="BY53" i="8" s="1"/>
  <c r="DI53" i="8" s="1"/>
  <c r="AQ53" i="8"/>
  <c r="BX53" i="8" s="1"/>
  <c r="DH53" i="8" s="1"/>
  <c r="AS52" i="8"/>
  <c r="BZ52" i="8" s="1"/>
  <c r="DJ52" i="8" s="1"/>
  <c r="AR52" i="8"/>
  <c r="BY52" i="8" s="1"/>
  <c r="DI52" i="8" s="1"/>
  <c r="AQ52" i="8"/>
  <c r="BX52" i="8" s="1"/>
  <c r="DH52" i="8" s="1"/>
  <c r="AS51" i="8"/>
  <c r="BZ51" i="8" s="1"/>
  <c r="DJ51" i="8" s="1"/>
  <c r="AR51" i="8"/>
  <c r="BY51" i="8" s="1"/>
  <c r="DI51" i="8" s="1"/>
  <c r="AQ51" i="8"/>
  <c r="BX51" i="8" s="1"/>
  <c r="DH51" i="8" s="1"/>
  <c r="AS50" i="8"/>
  <c r="BZ50" i="8" s="1"/>
  <c r="DJ50" i="8" s="1"/>
  <c r="AR50" i="8"/>
  <c r="BY50" i="8" s="1"/>
  <c r="DI50" i="8" s="1"/>
  <c r="AQ50" i="8"/>
  <c r="BX50" i="8" s="1"/>
  <c r="DH50" i="8" s="1"/>
  <c r="AS49" i="8"/>
  <c r="BZ49" i="8" s="1"/>
  <c r="DJ49" i="8" s="1"/>
  <c r="AR49" i="8"/>
  <c r="BY49" i="8" s="1"/>
  <c r="DI49" i="8" s="1"/>
  <c r="AQ49" i="8"/>
  <c r="BX49" i="8" s="1"/>
  <c r="DH49" i="8" s="1"/>
  <c r="AS48" i="8"/>
  <c r="BZ48" i="8" s="1"/>
  <c r="DJ48" i="8" s="1"/>
  <c r="AR48" i="8"/>
  <c r="BY48" i="8" s="1"/>
  <c r="DI48" i="8" s="1"/>
  <c r="AQ48" i="8"/>
  <c r="BX48" i="8" s="1"/>
  <c r="DH48" i="8" s="1"/>
  <c r="AS47" i="8"/>
  <c r="BZ47" i="8" s="1"/>
  <c r="DJ47" i="8" s="1"/>
  <c r="AR47" i="8"/>
  <c r="BY47" i="8" s="1"/>
  <c r="DI47" i="8" s="1"/>
  <c r="AQ47" i="8"/>
  <c r="BX47" i="8" s="1"/>
  <c r="DH47" i="8" s="1"/>
  <c r="AS46" i="8"/>
  <c r="BZ46" i="8" s="1"/>
  <c r="DJ46" i="8" s="1"/>
  <c r="AR46" i="8"/>
  <c r="BY46" i="8" s="1"/>
  <c r="DI46" i="8" s="1"/>
  <c r="AQ46" i="8"/>
  <c r="BX46" i="8" s="1"/>
  <c r="DH46" i="8" s="1"/>
  <c r="AS45" i="8"/>
  <c r="BZ45" i="8" s="1"/>
  <c r="DJ45" i="8" s="1"/>
  <c r="AR45" i="8"/>
  <c r="BY45" i="8" s="1"/>
  <c r="DI45" i="8" s="1"/>
  <c r="AQ45" i="8"/>
  <c r="BX45" i="8" s="1"/>
  <c r="DH45" i="8" s="1"/>
  <c r="AS44" i="8"/>
  <c r="BZ44" i="8" s="1"/>
  <c r="DJ44" i="8" s="1"/>
  <c r="AR44" i="8"/>
  <c r="BY44" i="8" s="1"/>
  <c r="DI44" i="8" s="1"/>
  <c r="AQ44" i="8"/>
  <c r="BX44" i="8" s="1"/>
  <c r="DH44" i="8" s="1"/>
  <c r="AS43" i="8"/>
  <c r="BZ43" i="8" s="1"/>
  <c r="DJ43" i="8" s="1"/>
  <c r="AR43" i="8"/>
  <c r="BY43" i="8" s="1"/>
  <c r="DI43" i="8" s="1"/>
  <c r="AQ43" i="8"/>
  <c r="BX43" i="8" s="1"/>
  <c r="DH43" i="8" s="1"/>
  <c r="AS42" i="8"/>
  <c r="BZ42" i="8" s="1"/>
  <c r="DJ42" i="8" s="1"/>
  <c r="AR42" i="8"/>
  <c r="BY42" i="8" s="1"/>
  <c r="DI42" i="8" s="1"/>
  <c r="AQ42" i="8"/>
  <c r="BX42" i="8" s="1"/>
  <c r="DH42" i="8" s="1"/>
  <c r="AS41" i="8"/>
  <c r="BZ41" i="8" s="1"/>
  <c r="DJ41" i="8" s="1"/>
  <c r="AR41" i="8"/>
  <c r="BY41" i="8" s="1"/>
  <c r="DI41" i="8" s="1"/>
  <c r="AQ41" i="8"/>
  <c r="BX41" i="8" s="1"/>
  <c r="DH41" i="8" s="1"/>
  <c r="AS40" i="8"/>
  <c r="BZ40" i="8" s="1"/>
  <c r="DJ40" i="8" s="1"/>
  <c r="AR40" i="8"/>
  <c r="BY40" i="8" s="1"/>
  <c r="DI40" i="8" s="1"/>
  <c r="AQ40" i="8"/>
  <c r="BX40" i="8" s="1"/>
  <c r="DH40" i="8" s="1"/>
  <c r="AS39" i="8"/>
  <c r="BZ39" i="8" s="1"/>
  <c r="DJ39" i="8" s="1"/>
  <c r="AR39" i="8"/>
  <c r="BY39" i="8" s="1"/>
  <c r="DI39" i="8" s="1"/>
  <c r="AQ39" i="8"/>
  <c r="BX39" i="8" s="1"/>
  <c r="DH39" i="8" s="1"/>
  <c r="AS38" i="8"/>
  <c r="BZ38" i="8" s="1"/>
  <c r="DJ38" i="8" s="1"/>
  <c r="AR38" i="8"/>
  <c r="BY38" i="8" s="1"/>
  <c r="DI38" i="8" s="1"/>
  <c r="AQ38" i="8"/>
  <c r="BX38" i="8" s="1"/>
  <c r="DH38" i="8" s="1"/>
  <c r="AS37" i="8"/>
  <c r="BZ37" i="8" s="1"/>
  <c r="DJ37" i="8" s="1"/>
  <c r="AR37" i="8"/>
  <c r="BY37" i="8" s="1"/>
  <c r="DI37" i="8" s="1"/>
  <c r="AQ37" i="8"/>
  <c r="BX37" i="8" s="1"/>
  <c r="DH37" i="8" s="1"/>
  <c r="AS36" i="8"/>
  <c r="BZ36" i="8" s="1"/>
  <c r="DJ36" i="8" s="1"/>
  <c r="AR36" i="8"/>
  <c r="BY36" i="8" s="1"/>
  <c r="DI36" i="8" s="1"/>
  <c r="AQ36" i="8"/>
  <c r="BX36" i="8" s="1"/>
  <c r="DH36" i="8" s="1"/>
  <c r="AS35" i="8"/>
  <c r="BZ35" i="8" s="1"/>
  <c r="DJ35" i="8" s="1"/>
  <c r="AR35" i="8"/>
  <c r="BY35" i="8" s="1"/>
  <c r="DI35" i="8" s="1"/>
  <c r="AQ35" i="8"/>
  <c r="BX35" i="8" s="1"/>
  <c r="DH35" i="8" s="1"/>
  <c r="AS34" i="8"/>
  <c r="BZ34" i="8" s="1"/>
  <c r="DJ34" i="8" s="1"/>
  <c r="AR34" i="8"/>
  <c r="BY34" i="8" s="1"/>
  <c r="DI34" i="8" s="1"/>
  <c r="AQ34" i="8"/>
  <c r="BX34" i="8" s="1"/>
  <c r="DH34" i="8" s="1"/>
  <c r="AS33" i="8"/>
  <c r="BZ33" i="8" s="1"/>
  <c r="DJ33" i="8" s="1"/>
  <c r="AR33" i="8"/>
  <c r="BY33" i="8" s="1"/>
  <c r="DI33" i="8" s="1"/>
  <c r="AQ33" i="8"/>
  <c r="BX33" i="8" s="1"/>
  <c r="DH33" i="8" s="1"/>
  <c r="AS32" i="8"/>
  <c r="BZ32" i="8" s="1"/>
  <c r="DJ32" i="8" s="1"/>
  <c r="AR32" i="8"/>
  <c r="BY32" i="8" s="1"/>
  <c r="DI32" i="8" s="1"/>
  <c r="AQ32" i="8"/>
  <c r="BX32" i="8" s="1"/>
  <c r="DH32" i="8" s="1"/>
  <c r="AS31" i="8"/>
  <c r="BZ31" i="8" s="1"/>
  <c r="DJ31" i="8" s="1"/>
  <c r="AR31" i="8"/>
  <c r="BY31" i="8" s="1"/>
  <c r="DI31" i="8" s="1"/>
  <c r="AQ31" i="8"/>
  <c r="BX31" i="8" s="1"/>
  <c r="DH31" i="8" s="1"/>
  <c r="AS30" i="8"/>
  <c r="BZ30" i="8" s="1"/>
  <c r="DJ30" i="8" s="1"/>
  <c r="AR30" i="8"/>
  <c r="BY30" i="8" s="1"/>
  <c r="DI30" i="8" s="1"/>
  <c r="AQ30" i="8"/>
  <c r="BX30" i="8" s="1"/>
  <c r="DH30" i="8" s="1"/>
  <c r="AS29" i="8"/>
  <c r="BZ29" i="8" s="1"/>
  <c r="DJ29" i="8" s="1"/>
  <c r="AR29" i="8"/>
  <c r="BY29" i="8" s="1"/>
  <c r="DI29" i="8" s="1"/>
  <c r="AQ29" i="8"/>
  <c r="BX29" i="8" s="1"/>
  <c r="DH29" i="8" s="1"/>
  <c r="AS28" i="8"/>
  <c r="BZ28" i="8" s="1"/>
  <c r="DJ28" i="8" s="1"/>
  <c r="AR28" i="8"/>
  <c r="BY28" i="8" s="1"/>
  <c r="DI28" i="8" s="1"/>
  <c r="AQ28" i="8"/>
  <c r="BX28" i="8" s="1"/>
  <c r="DH28" i="8" s="1"/>
  <c r="AS27" i="8"/>
  <c r="BZ27" i="8" s="1"/>
  <c r="DJ27" i="8" s="1"/>
  <c r="AR27" i="8"/>
  <c r="BY27" i="8" s="1"/>
  <c r="DI27" i="8" s="1"/>
  <c r="AQ27" i="8"/>
  <c r="BX27" i="8" s="1"/>
  <c r="DH27" i="8" s="1"/>
  <c r="AS26" i="8"/>
  <c r="BZ26" i="8" s="1"/>
  <c r="DJ26" i="8" s="1"/>
  <c r="AR26" i="8"/>
  <c r="BY26" i="8" s="1"/>
  <c r="DI26" i="8" s="1"/>
  <c r="AQ26" i="8"/>
  <c r="BX26" i="8" s="1"/>
  <c r="DH26" i="8" s="1"/>
  <c r="AS25" i="8"/>
  <c r="BZ25" i="8" s="1"/>
  <c r="DJ25" i="8" s="1"/>
  <c r="AR25" i="8"/>
  <c r="BY25" i="8" s="1"/>
  <c r="DI25" i="8" s="1"/>
  <c r="AQ25" i="8"/>
  <c r="BX25" i="8" s="1"/>
  <c r="DH25" i="8" s="1"/>
  <c r="BZ24" i="8"/>
  <c r="DJ24" i="8" s="1"/>
  <c r="AS24" i="8"/>
  <c r="AR24" i="8"/>
  <c r="BY24" i="8" s="1"/>
  <c r="DI24" i="8" s="1"/>
  <c r="AQ24" i="8"/>
  <c r="BX24" i="8" s="1"/>
  <c r="DH24" i="8" s="1"/>
  <c r="AS23" i="8"/>
  <c r="BZ23" i="8" s="1"/>
  <c r="DJ23" i="8" s="1"/>
  <c r="AR23" i="8"/>
  <c r="BY23" i="8" s="1"/>
  <c r="DI23" i="8" s="1"/>
  <c r="AQ23" i="8"/>
  <c r="BX23" i="8" s="1"/>
  <c r="DH23" i="8" s="1"/>
  <c r="AS22" i="8"/>
  <c r="BZ22" i="8" s="1"/>
  <c r="DJ22" i="8" s="1"/>
  <c r="AR22" i="8"/>
  <c r="BY22" i="8" s="1"/>
  <c r="DI22" i="8" s="1"/>
  <c r="AQ22" i="8"/>
  <c r="BX22" i="8" s="1"/>
  <c r="DH22" i="8" s="1"/>
  <c r="AS21" i="8"/>
  <c r="BZ21" i="8" s="1"/>
  <c r="DJ21" i="8" s="1"/>
  <c r="AR21" i="8"/>
  <c r="BY21" i="8" s="1"/>
  <c r="DI21" i="8" s="1"/>
  <c r="AQ21" i="8"/>
  <c r="BX21" i="8" s="1"/>
  <c r="DH21" i="8" s="1"/>
  <c r="AS20" i="8"/>
  <c r="BZ20" i="8" s="1"/>
  <c r="DJ20" i="8" s="1"/>
  <c r="AR20" i="8"/>
  <c r="BY20" i="8" s="1"/>
  <c r="DI20" i="8" s="1"/>
  <c r="AQ20" i="8"/>
  <c r="BX20" i="8" s="1"/>
  <c r="DH20" i="8" s="1"/>
  <c r="AS19" i="8"/>
  <c r="BZ19" i="8" s="1"/>
  <c r="DJ19" i="8" s="1"/>
  <c r="AR19" i="8"/>
  <c r="BY19" i="8" s="1"/>
  <c r="DI19" i="8" s="1"/>
  <c r="AQ19" i="8"/>
  <c r="BX19" i="8" s="1"/>
  <c r="DH19" i="8" s="1"/>
  <c r="AS18" i="8"/>
  <c r="BZ18" i="8" s="1"/>
  <c r="DJ18" i="8" s="1"/>
  <c r="AR18" i="8"/>
  <c r="BY18" i="8" s="1"/>
  <c r="DI18" i="8" s="1"/>
  <c r="AQ18" i="8"/>
  <c r="BX18" i="8" s="1"/>
  <c r="DH18" i="8" s="1"/>
  <c r="AS17" i="8"/>
  <c r="BZ17" i="8" s="1"/>
  <c r="DJ17" i="8" s="1"/>
  <c r="AR17" i="8"/>
  <c r="BY17" i="8" s="1"/>
  <c r="DI17" i="8" s="1"/>
  <c r="AQ17" i="8"/>
  <c r="BX17" i="8" s="1"/>
  <c r="DH17" i="8" s="1"/>
  <c r="AS16" i="8"/>
  <c r="BZ16" i="8" s="1"/>
  <c r="DJ16" i="8" s="1"/>
  <c r="AR16" i="8"/>
  <c r="BY16" i="8" s="1"/>
  <c r="DI16" i="8" s="1"/>
  <c r="AQ16" i="8"/>
  <c r="BX16" i="8" s="1"/>
  <c r="DH16" i="8" s="1"/>
  <c r="AS15" i="8"/>
  <c r="BZ15" i="8" s="1"/>
  <c r="DJ15" i="8" s="1"/>
  <c r="AR15" i="8"/>
  <c r="BY15" i="8" s="1"/>
  <c r="DI15" i="8" s="1"/>
  <c r="AQ15" i="8"/>
  <c r="BX15" i="8" s="1"/>
  <c r="DH15" i="8" s="1"/>
  <c r="AS14" i="8"/>
  <c r="BZ14" i="8" s="1"/>
  <c r="DJ14" i="8" s="1"/>
  <c r="AR14" i="8"/>
  <c r="BY14" i="8" s="1"/>
  <c r="DI14" i="8" s="1"/>
  <c r="AQ14" i="8"/>
  <c r="BX14" i="8" s="1"/>
  <c r="DH14" i="8" s="1"/>
  <c r="AS13" i="8"/>
  <c r="BZ13" i="8" s="1"/>
  <c r="DJ13" i="8" s="1"/>
  <c r="AR13" i="8"/>
  <c r="BY13" i="8" s="1"/>
  <c r="DI13" i="8" s="1"/>
  <c r="AQ13" i="8"/>
  <c r="BX13" i="8" s="1"/>
  <c r="DH13" i="8" s="1"/>
  <c r="AS12" i="8"/>
  <c r="BZ12" i="8" s="1"/>
  <c r="DJ12" i="8" s="1"/>
  <c r="AR12" i="8"/>
  <c r="BY12" i="8" s="1"/>
  <c r="DI12" i="8" s="1"/>
  <c r="AQ12" i="8"/>
  <c r="BX12" i="8" s="1"/>
  <c r="DH12" i="8" s="1"/>
  <c r="AS11" i="8"/>
  <c r="BZ11" i="8" s="1"/>
  <c r="DJ11" i="8" s="1"/>
  <c r="AR11" i="8"/>
  <c r="BY11" i="8" s="1"/>
  <c r="DI11" i="8" s="1"/>
  <c r="AQ11" i="8"/>
  <c r="BX11" i="8" s="1"/>
  <c r="DH11" i="8" s="1"/>
  <c r="AS10" i="8"/>
  <c r="BZ10" i="8" s="1"/>
  <c r="DJ10" i="8" s="1"/>
  <c r="AR10" i="8"/>
  <c r="BY10" i="8" s="1"/>
  <c r="DI10" i="8" s="1"/>
  <c r="AQ10" i="8"/>
  <c r="BX10" i="8" s="1"/>
  <c r="DH10" i="8" s="1"/>
  <c r="BY9" i="8"/>
  <c r="DI9" i="8" s="1"/>
  <c r="AS9" i="8"/>
  <c r="BZ9" i="8" s="1"/>
  <c r="DJ9" i="8" s="1"/>
  <c r="AR9" i="8"/>
  <c r="AQ9" i="8"/>
  <c r="BX9" i="8" s="1"/>
  <c r="DH9" i="8" s="1"/>
  <c r="BZ8" i="8"/>
  <c r="DJ8" i="8" s="1"/>
  <c r="AS8" i="8"/>
  <c r="AR8" i="8"/>
  <c r="BY8" i="8" s="1"/>
  <c r="DI8" i="8" s="1"/>
  <c r="AQ8" i="8"/>
  <c r="BX8" i="8" s="1"/>
  <c r="DH8" i="8" s="1"/>
  <c r="BY7" i="8"/>
  <c r="DI7" i="8" s="1"/>
  <c r="AS7" i="8"/>
  <c r="BZ7" i="8" s="1"/>
  <c r="DJ7" i="8" s="1"/>
  <c r="AR7" i="8"/>
  <c r="AQ7" i="8"/>
  <c r="BX7" i="8" s="1"/>
  <c r="DH7" i="8" s="1"/>
  <c r="BZ6" i="8"/>
  <c r="DJ6" i="8" s="1"/>
  <c r="AS6" i="8"/>
  <c r="AR6" i="8"/>
  <c r="BY6" i="8" s="1"/>
  <c r="DI6" i="8" s="1"/>
  <c r="AQ6" i="8"/>
  <c r="BX6" i="8" s="1"/>
  <c r="DH6" i="8" s="1"/>
  <c r="AS5" i="8"/>
  <c r="BZ5" i="8" s="1"/>
  <c r="DJ5" i="8" s="1"/>
  <c r="AR5" i="8"/>
  <c r="BY5" i="8" s="1"/>
  <c r="DI5" i="8" s="1"/>
  <c r="AQ5" i="8"/>
  <c r="BX5" i="8" s="1"/>
  <c r="DH5" i="8" s="1"/>
  <c r="AS4" i="8"/>
  <c r="BZ4" i="8" s="1"/>
  <c r="AR4" i="8"/>
  <c r="AQ4" i="8"/>
  <c r="BX4" i="8" s="1"/>
  <c r="DH4" i="8" s="1"/>
  <c r="A93" i="7"/>
  <c r="DE92" i="7"/>
  <c r="DE94" i="7" s="1"/>
  <c r="DD92" i="7"/>
  <c r="DC92" i="7"/>
  <c r="DB92" i="7"/>
  <c r="DA92" i="7"/>
  <c r="CZ92" i="7"/>
  <c r="CY92" i="7"/>
  <c r="CX92" i="7"/>
  <c r="CW92" i="7"/>
  <c r="CW94" i="7" s="1"/>
  <c r="CV92" i="7"/>
  <c r="CU92" i="7"/>
  <c r="CU94" i="7" s="1"/>
  <c r="CT92" i="7"/>
  <c r="CS92" i="7"/>
  <c r="CS94" i="7" s="1"/>
  <c r="CR92" i="7"/>
  <c r="CQ92" i="7"/>
  <c r="CQ94" i="7" s="1"/>
  <c r="CP92" i="7"/>
  <c r="CO92" i="7"/>
  <c r="CO94" i="7" s="1"/>
  <c r="CN92" i="7"/>
  <c r="CM92" i="7"/>
  <c r="CL92" i="7"/>
  <c r="CK92" i="7"/>
  <c r="CJ92" i="7"/>
  <c r="CI92" i="7"/>
  <c r="CI94" i="7" s="1"/>
  <c r="CH92" i="7"/>
  <c r="CG92" i="7"/>
  <c r="CG94" i="7" s="1"/>
  <c r="CF92" i="7"/>
  <c r="CE92" i="7"/>
  <c r="CE94" i="7" s="1"/>
  <c r="CD92" i="7"/>
  <c r="CC92" i="7"/>
  <c r="CB92" i="7"/>
  <c r="CA92" i="7"/>
  <c r="CA94" i="7" s="1"/>
  <c r="BZ92" i="7"/>
  <c r="BY92" i="7"/>
  <c r="BY94" i="7" s="1"/>
  <c r="BU92" i="7"/>
  <c r="BU94" i="7" s="1"/>
  <c r="BT92" i="7"/>
  <c r="BS92" i="7"/>
  <c r="BR92" i="7"/>
  <c r="BQ92" i="7"/>
  <c r="BQ94" i="7" s="1"/>
  <c r="BP92" i="7"/>
  <c r="BO92" i="7"/>
  <c r="BN92" i="7"/>
  <c r="BM92" i="7"/>
  <c r="BM94" i="7" s="1"/>
  <c r="BL92" i="7"/>
  <c r="BK92" i="7"/>
  <c r="BJ92" i="7"/>
  <c r="BI92" i="7"/>
  <c r="BI94" i="7" s="1"/>
  <c r="BH92" i="7"/>
  <c r="BG92" i="7"/>
  <c r="BF92" i="7"/>
  <c r="BE92" i="7"/>
  <c r="BE94" i="7" s="1"/>
  <c r="BD92" i="7"/>
  <c r="BC92" i="7"/>
  <c r="BB92" i="7"/>
  <c r="BA92" i="7"/>
  <c r="BA94" i="7" s="1"/>
  <c r="AZ92" i="7"/>
  <c r="AY92" i="7"/>
  <c r="AX92" i="7"/>
  <c r="AW92" i="7"/>
  <c r="AW94" i="7" s="1"/>
  <c r="AV92" i="7"/>
  <c r="AU92" i="7"/>
  <c r="AT92" i="7"/>
  <c r="AS92" i="7"/>
  <c r="AS94" i="7" s="1"/>
  <c r="AR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AQ90" i="7"/>
  <c r="BX90" i="7" s="1"/>
  <c r="DH90" i="7" s="1"/>
  <c r="AP90" i="7"/>
  <c r="BW90" i="7" s="1"/>
  <c r="DG90" i="7" s="1"/>
  <c r="AO90" i="7"/>
  <c r="BV90" i="7" s="1"/>
  <c r="DF90" i="7" s="1"/>
  <c r="AQ89" i="7"/>
  <c r="BX89" i="7" s="1"/>
  <c r="DH89" i="7" s="1"/>
  <c r="AP89" i="7"/>
  <c r="BW89" i="7" s="1"/>
  <c r="DG89" i="7" s="1"/>
  <c r="AO89" i="7"/>
  <c r="BV89" i="7" s="1"/>
  <c r="DF89" i="7" s="1"/>
  <c r="AQ88" i="7"/>
  <c r="BX88" i="7" s="1"/>
  <c r="DH88" i="7" s="1"/>
  <c r="AP88" i="7"/>
  <c r="BW88" i="7" s="1"/>
  <c r="DG88" i="7" s="1"/>
  <c r="AO88" i="7"/>
  <c r="BV88" i="7" s="1"/>
  <c r="DF88" i="7" s="1"/>
  <c r="AQ87" i="7"/>
  <c r="BX87" i="7" s="1"/>
  <c r="DH87" i="7" s="1"/>
  <c r="AP87" i="7"/>
  <c r="BW87" i="7" s="1"/>
  <c r="DG87" i="7" s="1"/>
  <c r="AO87" i="7"/>
  <c r="BV87" i="7" s="1"/>
  <c r="DF87" i="7" s="1"/>
  <c r="AQ86" i="7"/>
  <c r="BX86" i="7" s="1"/>
  <c r="DH86" i="7" s="1"/>
  <c r="AP86" i="7"/>
  <c r="BW86" i="7" s="1"/>
  <c r="DG86" i="7" s="1"/>
  <c r="AO86" i="7"/>
  <c r="BV86" i="7" s="1"/>
  <c r="DF86" i="7" s="1"/>
  <c r="AQ85" i="7"/>
  <c r="BX85" i="7" s="1"/>
  <c r="DH85" i="7" s="1"/>
  <c r="AP85" i="7"/>
  <c r="BW85" i="7" s="1"/>
  <c r="DG85" i="7" s="1"/>
  <c r="AO85" i="7"/>
  <c r="BV85" i="7" s="1"/>
  <c r="DF85" i="7" s="1"/>
  <c r="AQ84" i="7"/>
  <c r="BX84" i="7" s="1"/>
  <c r="DH84" i="7" s="1"/>
  <c r="AP84" i="7"/>
  <c r="BW84" i="7" s="1"/>
  <c r="DG84" i="7" s="1"/>
  <c r="AO84" i="7"/>
  <c r="BV84" i="7" s="1"/>
  <c r="DF84" i="7" s="1"/>
  <c r="AQ83" i="7"/>
  <c r="BX83" i="7" s="1"/>
  <c r="DH83" i="7" s="1"/>
  <c r="AP83" i="7"/>
  <c r="BW83" i="7" s="1"/>
  <c r="DG83" i="7" s="1"/>
  <c r="AO83" i="7"/>
  <c r="BV83" i="7" s="1"/>
  <c r="DF83" i="7" s="1"/>
  <c r="BV82" i="7"/>
  <c r="DF82" i="7" s="1"/>
  <c r="AQ82" i="7"/>
  <c r="BX82" i="7" s="1"/>
  <c r="DH82" i="7" s="1"/>
  <c r="AP82" i="7"/>
  <c r="BW82" i="7" s="1"/>
  <c r="DG82" i="7" s="1"/>
  <c r="AO82" i="7"/>
  <c r="AQ81" i="7"/>
  <c r="BX81" i="7" s="1"/>
  <c r="DH81" i="7" s="1"/>
  <c r="AP81" i="7"/>
  <c r="BW81" i="7" s="1"/>
  <c r="DG81" i="7" s="1"/>
  <c r="AO81" i="7"/>
  <c r="BV81" i="7" s="1"/>
  <c r="DF81" i="7" s="1"/>
  <c r="AQ80" i="7"/>
  <c r="BX80" i="7" s="1"/>
  <c r="DH80" i="7" s="1"/>
  <c r="AP80" i="7"/>
  <c r="BW80" i="7" s="1"/>
  <c r="DG80" i="7" s="1"/>
  <c r="AO80" i="7"/>
  <c r="BV80" i="7" s="1"/>
  <c r="DF80" i="7" s="1"/>
  <c r="AQ79" i="7"/>
  <c r="BX79" i="7" s="1"/>
  <c r="DH79" i="7" s="1"/>
  <c r="AP79" i="7"/>
  <c r="BW79" i="7" s="1"/>
  <c r="DG79" i="7" s="1"/>
  <c r="AO79" i="7"/>
  <c r="BV79" i="7" s="1"/>
  <c r="DF79" i="7" s="1"/>
  <c r="BV78" i="7"/>
  <c r="DF78" i="7" s="1"/>
  <c r="AQ78" i="7"/>
  <c r="BX78" i="7" s="1"/>
  <c r="DH78" i="7" s="1"/>
  <c r="AP78" i="7"/>
  <c r="BW78" i="7" s="1"/>
  <c r="DG78" i="7" s="1"/>
  <c r="AO78" i="7"/>
  <c r="BV77" i="7"/>
  <c r="DF77" i="7" s="1"/>
  <c r="AQ77" i="7"/>
  <c r="BX77" i="7" s="1"/>
  <c r="DH77" i="7" s="1"/>
  <c r="AP77" i="7"/>
  <c r="BW77" i="7" s="1"/>
  <c r="DG77" i="7" s="1"/>
  <c r="AO77" i="7"/>
  <c r="AQ76" i="7"/>
  <c r="BX76" i="7" s="1"/>
  <c r="DH76" i="7" s="1"/>
  <c r="AP76" i="7"/>
  <c r="BW76" i="7" s="1"/>
  <c r="DG76" i="7" s="1"/>
  <c r="AO76" i="7"/>
  <c r="BV76" i="7" s="1"/>
  <c r="DF76" i="7" s="1"/>
  <c r="AQ75" i="7"/>
  <c r="BX75" i="7" s="1"/>
  <c r="DH75" i="7" s="1"/>
  <c r="AP75" i="7"/>
  <c r="BW75" i="7" s="1"/>
  <c r="DG75" i="7" s="1"/>
  <c r="AO75" i="7"/>
  <c r="BV75" i="7" s="1"/>
  <c r="DF75" i="7" s="1"/>
  <c r="BV74" i="7"/>
  <c r="DF74" i="7" s="1"/>
  <c r="AQ74" i="7"/>
  <c r="BX74" i="7" s="1"/>
  <c r="DH74" i="7" s="1"/>
  <c r="AP74" i="7"/>
  <c r="BW74" i="7" s="1"/>
  <c r="DG74" i="7" s="1"/>
  <c r="AO74" i="7"/>
  <c r="BW73" i="7"/>
  <c r="DG73" i="7" s="1"/>
  <c r="AQ73" i="7"/>
  <c r="BX73" i="7" s="1"/>
  <c r="DH73" i="7" s="1"/>
  <c r="AP73" i="7"/>
  <c r="AO73" i="7"/>
  <c r="BV73" i="7" s="1"/>
  <c r="DF73" i="7" s="1"/>
  <c r="AQ72" i="7"/>
  <c r="BX72" i="7" s="1"/>
  <c r="DH72" i="7" s="1"/>
  <c r="AP72" i="7"/>
  <c r="BW72" i="7" s="1"/>
  <c r="DG72" i="7" s="1"/>
  <c r="AO72" i="7"/>
  <c r="BV72" i="7" s="1"/>
  <c r="DF72" i="7" s="1"/>
  <c r="AQ71" i="7"/>
  <c r="BX71" i="7" s="1"/>
  <c r="DH71" i="7" s="1"/>
  <c r="AP71" i="7"/>
  <c r="BW71" i="7" s="1"/>
  <c r="DG71" i="7" s="1"/>
  <c r="AO71" i="7"/>
  <c r="BV71" i="7" s="1"/>
  <c r="DF71" i="7" s="1"/>
  <c r="BW70" i="7"/>
  <c r="DG70" i="7" s="1"/>
  <c r="AQ70" i="7"/>
  <c r="BX70" i="7" s="1"/>
  <c r="DH70" i="7" s="1"/>
  <c r="AP70" i="7"/>
  <c r="AO70" i="7"/>
  <c r="BV70" i="7" s="1"/>
  <c r="DF70" i="7" s="1"/>
  <c r="BW69" i="7"/>
  <c r="DG69" i="7" s="1"/>
  <c r="AQ69" i="7"/>
  <c r="BX69" i="7" s="1"/>
  <c r="DH69" i="7" s="1"/>
  <c r="AP69" i="7"/>
  <c r="AO69" i="7"/>
  <c r="BV69" i="7" s="1"/>
  <c r="DF69" i="7" s="1"/>
  <c r="BX68" i="7"/>
  <c r="DH68" i="7" s="1"/>
  <c r="AQ68" i="7"/>
  <c r="AP68" i="7"/>
  <c r="BW68" i="7" s="1"/>
  <c r="DG68" i="7" s="1"/>
  <c r="AO68" i="7"/>
  <c r="BV68" i="7" s="1"/>
  <c r="DF68" i="7" s="1"/>
  <c r="AQ67" i="7"/>
  <c r="BX67" i="7" s="1"/>
  <c r="DH67" i="7" s="1"/>
  <c r="AP67" i="7"/>
  <c r="BW67" i="7" s="1"/>
  <c r="DG67" i="7" s="1"/>
  <c r="AO67" i="7"/>
  <c r="BV67" i="7" s="1"/>
  <c r="DF67" i="7" s="1"/>
  <c r="BW66" i="7"/>
  <c r="DG66" i="7" s="1"/>
  <c r="AQ66" i="7"/>
  <c r="BX66" i="7" s="1"/>
  <c r="DH66" i="7" s="1"/>
  <c r="AP66" i="7"/>
  <c r="AO66" i="7"/>
  <c r="BV66" i="7" s="1"/>
  <c r="DF66" i="7" s="1"/>
  <c r="AQ65" i="7"/>
  <c r="BX65" i="7" s="1"/>
  <c r="DH65" i="7" s="1"/>
  <c r="AP65" i="7"/>
  <c r="BW65" i="7" s="1"/>
  <c r="DG65" i="7" s="1"/>
  <c r="AO65" i="7"/>
  <c r="BV65" i="7" s="1"/>
  <c r="DF65" i="7" s="1"/>
  <c r="AQ64" i="7"/>
  <c r="BX64" i="7" s="1"/>
  <c r="DH64" i="7" s="1"/>
  <c r="AP64" i="7"/>
  <c r="BW64" i="7" s="1"/>
  <c r="DG64" i="7" s="1"/>
  <c r="AO64" i="7"/>
  <c r="BV64" i="7" s="1"/>
  <c r="DF64" i="7" s="1"/>
  <c r="AQ63" i="7"/>
  <c r="BX63" i="7" s="1"/>
  <c r="DH63" i="7" s="1"/>
  <c r="AP63" i="7"/>
  <c r="BW63" i="7" s="1"/>
  <c r="DG63" i="7" s="1"/>
  <c r="AO63" i="7"/>
  <c r="BV63" i="7" s="1"/>
  <c r="DF63" i="7" s="1"/>
  <c r="AQ62" i="7"/>
  <c r="BX62" i="7" s="1"/>
  <c r="DH62" i="7" s="1"/>
  <c r="AP62" i="7"/>
  <c r="BW62" i="7" s="1"/>
  <c r="DG62" i="7" s="1"/>
  <c r="AO62" i="7"/>
  <c r="BV62" i="7" s="1"/>
  <c r="DF62" i="7" s="1"/>
  <c r="BW61" i="7"/>
  <c r="DG61" i="7" s="1"/>
  <c r="AQ61" i="7"/>
  <c r="BX61" i="7" s="1"/>
  <c r="DH61" i="7" s="1"/>
  <c r="AP61" i="7"/>
  <c r="AO61" i="7"/>
  <c r="BV61" i="7" s="1"/>
  <c r="DF61" i="7" s="1"/>
  <c r="AQ60" i="7"/>
  <c r="BX60" i="7" s="1"/>
  <c r="DH60" i="7" s="1"/>
  <c r="AP60" i="7"/>
  <c r="BW60" i="7" s="1"/>
  <c r="DG60" i="7" s="1"/>
  <c r="AO60" i="7"/>
  <c r="BV60" i="7" s="1"/>
  <c r="DF60" i="7" s="1"/>
  <c r="AQ59" i="7"/>
  <c r="BX59" i="7" s="1"/>
  <c r="DH59" i="7" s="1"/>
  <c r="AP59" i="7"/>
  <c r="BW59" i="7" s="1"/>
  <c r="DG59" i="7" s="1"/>
  <c r="AO59" i="7"/>
  <c r="BV59" i="7" s="1"/>
  <c r="DF59" i="7" s="1"/>
  <c r="AQ58" i="7"/>
  <c r="BX58" i="7" s="1"/>
  <c r="DH58" i="7" s="1"/>
  <c r="AP58" i="7"/>
  <c r="BW58" i="7" s="1"/>
  <c r="DG58" i="7" s="1"/>
  <c r="AO58" i="7"/>
  <c r="BV58" i="7" s="1"/>
  <c r="DF58" i="7" s="1"/>
  <c r="AQ57" i="7"/>
  <c r="BX57" i="7" s="1"/>
  <c r="DH57" i="7" s="1"/>
  <c r="AP57" i="7"/>
  <c r="BW57" i="7" s="1"/>
  <c r="DG57" i="7" s="1"/>
  <c r="AO57" i="7"/>
  <c r="BV57" i="7" s="1"/>
  <c r="DF57" i="7" s="1"/>
  <c r="AQ56" i="7"/>
  <c r="BX56" i="7" s="1"/>
  <c r="DH56" i="7" s="1"/>
  <c r="AP56" i="7"/>
  <c r="BW56" i="7" s="1"/>
  <c r="DG56" i="7" s="1"/>
  <c r="AO56" i="7"/>
  <c r="BV56" i="7" s="1"/>
  <c r="DF56" i="7" s="1"/>
  <c r="AQ55" i="7"/>
  <c r="BX55" i="7" s="1"/>
  <c r="DH55" i="7" s="1"/>
  <c r="AP55" i="7"/>
  <c r="BW55" i="7" s="1"/>
  <c r="DG55" i="7" s="1"/>
  <c r="AO55" i="7"/>
  <c r="BV55" i="7" s="1"/>
  <c r="DF55" i="7" s="1"/>
  <c r="AQ54" i="7"/>
  <c r="BX54" i="7" s="1"/>
  <c r="DH54" i="7" s="1"/>
  <c r="AP54" i="7"/>
  <c r="BW54" i="7" s="1"/>
  <c r="DG54" i="7" s="1"/>
  <c r="AO54" i="7"/>
  <c r="BV54" i="7" s="1"/>
  <c r="DF54" i="7" s="1"/>
  <c r="AQ53" i="7"/>
  <c r="BX53" i="7" s="1"/>
  <c r="DH53" i="7" s="1"/>
  <c r="AP53" i="7"/>
  <c r="BW53" i="7" s="1"/>
  <c r="DG53" i="7" s="1"/>
  <c r="AO53" i="7"/>
  <c r="BV53" i="7" s="1"/>
  <c r="DF53" i="7" s="1"/>
  <c r="AQ52" i="7"/>
  <c r="BX52" i="7" s="1"/>
  <c r="DH52" i="7" s="1"/>
  <c r="AP52" i="7"/>
  <c r="BW52" i="7" s="1"/>
  <c r="DG52" i="7" s="1"/>
  <c r="AO52" i="7"/>
  <c r="BV52" i="7" s="1"/>
  <c r="DF52" i="7" s="1"/>
  <c r="AQ51" i="7"/>
  <c r="BX51" i="7" s="1"/>
  <c r="DH51" i="7" s="1"/>
  <c r="AP51" i="7"/>
  <c r="BW51" i="7" s="1"/>
  <c r="DG51" i="7" s="1"/>
  <c r="AO51" i="7"/>
  <c r="BV51" i="7" s="1"/>
  <c r="DF51" i="7" s="1"/>
  <c r="AQ50" i="7"/>
  <c r="BX50" i="7" s="1"/>
  <c r="DH50" i="7" s="1"/>
  <c r="AP50" i="7"/>
  <c r="BW50" i="7" s="1"/>
  <c r="DG50" i="7" s="1"/>
  <c r="AO50" i="7"/>
  <c r="BV50" i="7" s="1"/>
  <c r="DF50" i="7" s="1"/>
  <c r="AQ49" i="7"/>
  <c r="BX49" i="7" s="1"/>
  <c r="DH49" i="7" s="1"/>
  <c r="AP49" i="7"/>
  <c r="BW49" i="7" s="1"/>
  <c r="DG49" i="7" s="1"/>
  <c r="AO49" i="7"/>
  <c r="BV49" i="7" s="1"/>
  <c r="DF49" i="7" s="1"/>
  <c r="AQ48" i="7"/>
  <c r="BX48" i="7" s="1"/>
  <c r="DH48" i="7" s="1"/>
  <c r="AP48" i="7"/>
  <c r="BW48" i="7" s="1"/>
  <c r="DG48" i="7" s="1"/>
  <c r="AO48" i="7"/>
  <c r="BV48" i="7" s="1"/>
  <c r="DF48" i="7" s="1"/>
  <c r="AQ47" i="7"/>
  <c r="BX47" i="7" s="1"/>
  <c r="DH47" i="7" s="1"/>
  <c r="AP47" i="7"/>
  <c r="BW47" i="7" s="1"/>
  <c r="DG47" i="7" s="1"/>
  <c r="AO47" i="7"/>
  <c r="BV47" i="7" s="1"/>
  <c r="DF47" i="7" s="1"/>
  <c r="AQ46" i="7"/>
  <c r="BX46" i="7" s="1"/>
  <c r="DH46" i="7" s="1"/>
  <c r="AP46" i="7"/>
  <c r="BW46" i="7" s="1"/>
  <c r="DG46" i="7" s="1"/>
  <c r="AO46" i="7"/>
  <c r="BV46" i="7" s="1"/>
  <c r="DF46" i="7" s="1"/>
  <c r="AQ45" i="7"/>
  <c r="BX45" i="7" s="1"/>
  <c r="DH45" i="7" s="1"/>
  <c r="AP45" i="7"/>
  <c r="BW45" i="7" s="1"/>
  <c r="DG45" i="7" s="1"/>
  <c r="AO45" i="7"/>
  <c r="BV45" i="7" s="1"/>
  <c r="DF45" i="7" s="1"/>
  <c r="BW44" i="7"/>
  <c r="DG44" i="7" s="1"/>
  <c r="AQ44" i="7"/>
  <c r="BX44" i="7" s="1"/>
  <c r="DH44" i="7" s="1"/>
  <c r="AP44" i="7"/>
  <c r="AO44" i="7"/>
  <c r="BV44" i="7" s="1"/>
  <c r="DF44" i="7" s="1"/>
  <c r="DH43" i="7"/>
  <c r="BX43" i="7"/>
  <c r="BW43" i="7"/>
  <c r="AQ43" i="7"/>
  <c r="AP43" i="7"/>
  <c r="AO43" i="7"/>
  <c r="BV43" i="7" s="1"/>
  <c r="DF43" i="7" s="1"/>
  <c r="DE42" i="7"/>
  <c r="DD42" i="7"/>
  <c r="DC42" i="7"/>
  <c r="DC94" i="7" s="1"/>
  <c r="DB42" i="7"/>
  <c r="DA42" i="7"/>
  <c r="DA94" i="7" s="1"/>
  <c r="CZ42" i="7"/>
  <c r="CY42" i="7"/>
  <c r="CY94" i="7" s="1"/>
  <c r="CX42" i="7"/>
  <c r="CW42" i="7"/>
  <c r="CM94" i="7"/>
  <c r="CK94" i="7"/>
  <c r="CC94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N42" i="7"/>
  <c r="AM42" i="7"/>
  <c r="AL42" i="7"/>
  <c r="AL94" i="7" s="1"/>
  <c r="AK42" i="7"/>
  <c r="AJ42" i="7"/>
  <c r="AI42" i="7"/>
  <c r="AH42" i="7"/>
  <c r="AH94" i="7" s="1"/>
  <c r="AG42" i="7"/>
  <c r="AG94" i="7" s="1"/>
  <c r="AF42" i="7"/>
  <c r="AE42" i="7"/>
  <c r="AD42" i="7"/>
  <c r="AD94" i="7" s="1"/>
  <c r="AC42" i="7"/>
  <c r="AB42" i="7"/>
  <c r="AA42" i="7"/>
  <c r="Z42" i="7"/>
  <c r="Z94" i="7" s="1"/>
  <c r="Y42" i="7"/>
  <c r="X42" i="7"/>
  <c r="W42" i="7"/>
  <c r="V42" i="7"/>
  <c r="V94" i="7" s="1"/>
  <c r="U42" i="7"/>
  <c r="T42" i="7"/>
  <c r="S42" i="7"/>
  <c r="R42" i="7"/>
  <c r="R94" i="7" s="1"/>
  <c r="Q42" i="7"/>
  <c r="Q94" i="7" s="1"/>
  <c r="P42" i="7"/>
  <c r="O42" i="7"/>
  <c r="N42" i="7"/>
  <c r="N94" i="7" s="1"/>
  <c r="M42" i="7"/>
  <c r="L42" i="7"/>
  <c r="K42" i="7"/>
  <c r="AQ40" i="7"/>
  <c r="BX40" i="7" s="1"/>
  <c r="DH40" i="7" s="1"/>
  <c r="AP40" i="7"/>
  <c r="BW40" i="7" s="1"/>
  <c r="DG40" i="7" s="1"/>
  <c r="AO40" i="7"/>
  <c r="BV40" i="7" s="1"/>
  <c r="DF40" i="7" s="1"/>
  <c r="AQ39" i="7"/>
  <c r="BX39" i="7" s="1"/>
  <c r="DH39" i="7" s="1"/>
  <c r="AP39" i="7"/>
  <c r="BW39" i="7" s="1"/>
  <c r="DG39" i="7" s="1"/>
  <c r="AO39" i="7"/>
  <c r="BV39" i="7" s="1"/>
  <c r="DF39" i="7" s="1"/>
  <c r="AQ38" i="7"/>
  <c r="BX38" i="7" s="1"/>
  <c r="DH38" i="7" s="1"/>
  <c r="AP38" i="7"/>
  <c r="BW38" i="7" s="1"/>
  <c r="DG38" i="7" s="1"/>
  <c r="AO38" i="7"/>
  <c r="BV38" i="7" s="1"/>
  <c r="DF38" i="7" s="1"/>
  <c r="AQ37" i="7"/>
  <c r="BX37" i="7" s="1"/>
  <c r="DH37" i="7" s="1"/>
  <c r="AP37" i="7"/>
  <c r="BW37" i="7" s="1"/>
  <c r="DG37" i="7" s="1"/>
  <c r="AO37" i="7"/>
  <c r="BV37" i="7" s="1"/>
  <c r="DF37" i="7" s="1"/>
  <c r="AQ36" i="7"/>
  <c r="BX36" i="7" s="1"/>
  <c r="DH36" i="7" s="1"/>
  <c r="AP36" i="7"/>
  <c r="BW36" i="7" s="1"/>
  <c r="DG36" i="7" s="1"/>
  <c r="AO36" i="7"/>
  <c r="BV36" i="7" s="1"/>
  <c r="DF36" i="7" s="1"/>
  <c r="AQ35" i="7"/>
  <c r="BX35" i="7" s="1"/>
  <c r="DH35" i="7" s="1"/>
  <c r="AP35" i="7"/>
  <c r="BW35" i="7" s="1"/>
  <c r="DG35" i="7" s="1"/>
  <c r="AO35" i="7"/>
  <c r="BV35" i="7" s="1"/>
  <c r="DF35" i="7" s="1"/>
  <c r="AQ34" i="7"/>
  <c r="BX34" i="7" s="1"/>
  <c r="DH34" i="7" s="1"/>
  <c r="AP34" i="7"/>
  <c r="BW34" i="7" s="1"/>
  <c r="DG34" i="7" s="1"/>
  <c r="AO34" i="7"/>
  <c r="BV34" i="7" s="1"/>
  <c r="DF34" i="7" s="1"/>
  <c r="AQ33" i="7"/>
  <c r="BX33" i="7" s="1"/>
  <c r="DH33" i="7" s="1"/>
  <c r="AP33" i="7"/>
  <c r="BW33" i="7" s="1"/>
  <c r="DG33" i="7" s="1"/>
  <c r="AO33" i="7"/>
  <c r="BV33" i="7" s="1"/>
  <c r="DF33" i="7" s="1"/>
  <c r="AQ32" i="7"/>
  <c r="BX32" i="7" s="1"/>
  <c r="DH32" i="7" s="1"/>
  <c r="AP32" i="7"/>
  <c r="BW32" i="7" s="1"/>
  <c r="DG32" i="7" s="1"/>
  <c r="AO32" i="7"/>
  <c r="BV32" i="7" s="1"/>
  <c r="DF32" i="7" s="1"/>
  <c r="AQ31" i="7"/>
  <c r="BX31" i="7" s="1"/>
  <c r="DH31" i="7" s="1"/>
  <c r="AP31" i="7"/>
  <c r="BW31" i="7" s="1"/>
  <c r="DG31" i="7" s="1"/>
  <c r="AO31" i="7"/>
  <c r="BV31" i="7" s="1"/>
  <c r="DF31" i="7" s="1"/>
  <c r="AQ30" i="7"/>
  <c r="BX30" i="7" s="1"/>
  <c r="DH30" i="7" s="1"/>
  <c r="AP30" i="7"/>
  <c r="BW30" i="7" s="1"/>
  <c r="DG30" i="7" s="1"/>
  <c r="AO30" i="7"/>
  <c r="BV30" i="7" s="1"/>
  <c r="DF30" i="7" s="1"/>
  <c r="AQ29" i="7"/>
  <c r="BX29" i="7" s="1"/>
  <c r="DH29" i="7" s="1"/>
  <c r="AP29" i="7"/>
  <c r="BW29" i="7" s="1"/>
  <c r="DG29" i="7" s="1"/>
  <c r="AO29" i="7"/>
  <c r="BV29" i="7" s="1"/>
  <c r="DF29" i="7" s="1"/>
  <c r="AQ28" i="7"/>
  <c r="BX28" i="7" s="1"/>
  <c r="DH28" i="7" s="1"/>
  <c r="AP28" i="7"/>
  <c r="BW28" i="7" s="1"/>
  <c r="DG28" i="7" s="1"/>
  <c r="AO28" i="7"/>
  <c r="BV28" i="7" s="1"/>
  <c r="DF28" i="7" s="1"/>
  <c r="AQ27" i="7"/>
  <c r="BX27" i="7" s="1"/>
  <c r="DH27" i="7" s="1"/>
  <c r="AP27" i="7"/>
  <c r="BW27" i="7" s="1"/>
  <c r="DG27" i="7" s="1"/>
  <c r="AO27" i="7"/>
  <c r="BV27" i="7" s="1"/>
  <c r="DF27" i="7" s="1"/>
  <c r="AQ26" i="7"/>
  <c r="BX26" i="7" s="1"/>
  <c r="DH26" i="7" s="1"/>
  <c r="AP26" i="7"/>
  <c r="BW26" i="7" s="1"/>
  <c r="DG26" i="7" s="1"/>
  <c r="AO26" i="7"/>
  <c r="BV26" i="7" s="1"/>
  <c r="DF26" i="7" s="1"/>
  <c r="AQ25" i="7"/>
  <c r="BX25" i="7" s="1"/>
  <c r="DH25" i="7" s="1"/>
  <c r="AP25" i="7"/>
  <c r="BW25" i="7" s="1"/>
  <c r="DG25" i="7" s="1"/>
  <c r="AO25" i="7"/>
  <c r="BV25" i="7" s="1"/>
  <c r="DF25" i="7" s="1"/>
  <c r="AQ24" i="7"/>
  <c r="BX24" i="7" s="1"/>
  <c r="DH24" i="7" s="1"/>
  <c r="AP24" i="7"/>
  <c r="BW24" i="7" s="1"/>
  <c r="DG24" i="7" s="1"/>
  <c r="AO24" i="7"/>
  <c r="BV24" i="7" s="1"/>
  <c r="DF24" i="7" s="1"/>
  <c r="AQ23" i="7"/>
  <c r="BX23" i="7" s="1"/>
  <c r="DH23" i="7" s="1"/>
  <c r="AP23" i="7"/>
  <c r="BW23" i="7" s="1"/>
  <c r="DG23" i="7" s="1"/>
  <c r="AO23" i="7"/>
  <c r="BV23" i="7" s="1"/>
  <c r="DF23" i="7" s="1"/>
  <c r="AQ22" i="7"/>
  <c r="BX22" i="7" s="1"/>
  <c r="DH22" i="7" s="1"/>
  <c r="AP22" i="7"/>
  <c r="BW22" i="7" s="1"/>
  <c r="DG22" i="7" s="1"/>
  <c r="AO22" i="7"/>
  <c r="BV22" i="7" s="1"/>
  <c r="DF22" i="7" s="1"/>
  <c r="AQ21" i="7"/>
  <c r="BX21" i="7" s="1"/>
  <c r="DH21" i="7" s="1"/>
  <c r="AP21" i="7"/>
  <c r="BW21" i="7" s="1"/>
  <c r="DG21" i="7" s="1"/>
  <c r="AO21" i="7"/>
  <c r="BV21" i="7" s="1"/>
  <c r="DF21" i="7" s="1"/>
  <c r="AQ20" i="7"/>
  <c r="BX20" i="7" s="1"/>
  <c r="DH20" i="7" s="1"/>
  <c r="AP20" i="7"/>
  <c r="BW20" i="7" s="1"/>
  <c r="DG20" i="7" s="1"/>
  <c r="AO20" i="7"/>
  <c r="BV20" i="7" s="1"/>
  <c r="DF20" i="7" s="1"/>
  <c r="AQ19" i="7"/>
  <c r="BX19" i="7" s="1"/>
  <c r="DH19" i="7" s="1"/>
  <c r="AP19" i="7"/>
  <c r="BW19" i="7" s="1"/>
  <c r="DG19" i="7" s="1"/>
  <c r="AO19" i="7"/>
  <c r="BV19" i="7" s="1"/>
  <c r="DF19" i="7" s="1"/>
  <c r="AQ18" i="7"/>
  <c r="BX18" i="7" s="1"/>
  <c r="DH18" i="7" s="1"/>
  <c r="AP18" i="7"/>
  <c r="BW18" i="7" s="1"/>
  <c r="DG18" i="7" s="1"/>
  <c r="AO18" i="7"/>
  <c r="BV18" i="7" s="1"/>
  <c r="DF18" i="7" s="1"/>
  <c r="AQ17" i="7"/>
  <c r="BX17" i="7" s="1"/>
  <c r="DH17" i="7" s="1"/>
  <c r="AP17" i="7"/>
  <c r="BW17" i="7" s="1"/>
  <c r="DG17" i="7" s="1"/>
  <c r="AO17" i="7"/>
  <c r="BV17" i="7" s="1"/>
  <c r="DF17" i="7" s="1"/>
  <c r="AQ16" i="7"/>
  <c r="BX16" i="7" s="1"/>
  <c r="DH16" i="7" s="1"/>
  <c r="AP16" i="7"/>
  <c r="BW16" i="7" s="1"/>
  <c r="DG16" i="7" s="1"/>
  <c r="AO16" i="7"/>
  <c r="BV16" i="7" s="1"/>
  <c r="DF16" i="7" s="1"/>
  <c r="AQ15" i="7"/>
  <c r="BX15" i="7" s="1"/>
  <c r="DH15" i="7" s="1"/>
  <c r="AP15" i="7"/>
  <c r="BW15" i="7" s="1"/>
  <c r="DG15" i="7" s="1"/>
  <c r="AO15" i="7"/>
  <c r="BV15" i="7" s="1"/>
  <c r="DF15" i="7" s="1"/>
  <c r="AQ14" i="7"/>
  <c r="BX14" i="7" s="1"/>
  <c r="DH14" i="7" s="1"/>
  <c r="AP14" i="7"/>
  <c r="BW14" i="7" s="1"/>
  <c r="DG14" i="7" s="1"/>
  <c r="AO14" i="7"/>
  <c r="BV14" i="7" s="1"/>
  <c r="DF14" i="7" s="1"/>
  <c r="AQ13" i="7"/>
  <c r="BX13" i="7" s="1"/>
  <c r="DH13" i="7" s="1"/>
  <c r="AP13" i="7"/>
  <c r="BW13" i="7" s="1"/>
  <c r="DG13" i="7" s="1"/>
  <c r="AO13" i="7"/>
  <c r="BV13" i="7" s="1"/>
  <c r="DF13" i="7" s="1"/>
  <c r="AQ12" i="7"/>
  <c r="BX12" i="7" s="1"/>
  <c r="DH12" i="7" s="1"/>
  <c r="AP12" i="7"/>
  <c r="BW12" i="7" s="1"/>
  <c r="DG12" i="7" s="1"/>
  <c r="AO12" i="7"/>
  <c r="BV12" i="7" s="1"/>
  <c r="DF12" i="7" s="1"/>
  <c r="AQ11" i="7"/>
  <c r="BX11" i="7" s="1"/>
  <c r="DH11" i="7" s="1"/>
  <c r="AP11" i="7"/>
  <c r="BW11" i="7" s="1"/>
  <c r="DG11" i="7" s="1"/>
  <c r="AO11" i="7"/>
  <c r="BV11" i="7" s="1"/>
  <c r="DF11" i="7" s="1"/>
  <c r="AQ10" i="7"/>
  <c r="BX10" i="7" s="1"/>
  <c r="DH10" i="7" s="1"/>
  <c r="AP10" i="7"/>
  <c r="BW10" i="7" s="1"/>
  <c r="DG10" i="7" s="1"/>
  <c r="AO10" i="7"/>
  <c r="BV10" i="7" s="1"/>
  <c r="DF10" i="7" s="1"/>
  <c r="AQ9" i="7"/>
  <c r="BX9" i="7" s="1"/>
  <c r="DH9" i="7" s="1"/>
  <c r="AP9" i="7"/>
  <c r="BW9" i="7" s="1"/>
  <c r="DG9" i="7" s="1"/>
  <c r="AO9" i="7"/>
  <c r="BV9" i="7" s="1"/>
  <c r="DF9" i="7" s="1"/>
  <c r="AQ8" i="7"/>
  <c r="BX8" i="7" s="1"/>
  <c r="DH8" i="7" s="1"/>
  <c r="AP8" i="7"/>
  <c r="BW8" i="7" s="1"/>
  <c r="DG8" i="7" s="1"/>
  <c r="AO8" i="7"/>
  <c r="BV8" i="7" s="1"/>
  <c r="DF8" i="7" s="1"/>
  <c r="AQ7" i="7"/>
  <c r="BX7" i="7" s="1"/>
  <c r="DH7" i="7" s="1"/>
  <c r="AP7" i="7"/>
  <c r="BW7" i="7" s="1"/>
  <c r="DG7" i="7" s="1"/>
  <c r="AO7" i="7"/>
  <c r="BV7" i="7" s="1"/>
  <c r="DF7" i="7" s="1"/>
  <c r="AQ6" i="7"/>
  <c r="BX6" i="7" s="1"/>
  <c r="DH6" i="7" s="1"/>
  <c r="AP6" i="7"/>
  <c r="BW6" i="7" s="1"/>
  <c r="DG6" i="7" s="1"/>
  <c r="AO6" i="7"/>
  <c r="BV6" i="7" s="1"/>
  <c r="DF6" i="7" s="1"/>
  <c r="AQ5" i="7"/>
  <c r="BX5" i="7" s="1"/>
  <c r="DH5" i="7" s="1"/>
  <c r="AP5" i="7"/>
  <c r="BW5" i="7" s="1"/>
  <c r="DG5" i="7" s="1"/>
  <c r="AO5" i="7"/>
  <c r="BV5" i="7" s="1"/>
  <c r="AQ4" i="7"/>
  <c r="BX4" i="7" s="1"/>
  <c r="AP4" i="7"/>
  <c r="BW4" i="7" s="1"/>
  <c r="AO4" i="7"/>
  <c r="BV4" i="7" s="1"/>
  <c r="DF4" i="7" s="1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DC45" i="6"/>
  <c r="AM45" i="6"/>
  <c r="BT45" i="6" s="1"/>
  <c r="DD45" i="6" s="1"/>
  <c r="AL45" i="6"/>
  <c r="BS45" i="6" s="1"/>
  <c r="AK45" i="6"/>
  <c r="BR45" i="6" s="1"/>
  <c r="DB45" i="6" s="1"/>
  <c r="AM44" i="6"/>
  <c r="BT44" i="6" s="1"/>
  <c r="DD44" i="6" s="1"/>
  <c r="AL44" i="6"/>
  <c r="BS44" i="6" s="1"/>
  <c r="DC44" i="6" s="1"/>
  <c r="AK44" i="6"/>
  <c r="BR44" i="6" s="1"/>
  <c r="DB44" i="6" s="1"/>
  <c r="AM43" i="6"/>
  <c r="BT43" i="6" s="1"/>
  <c r="DD43" i="6" s="1"/>
  <c r="AL43" i="6"/>
  <c r="BS43" i="6" s="1"/>
  <c r="DC43" i="6" s="1"/>
  <c r="AK43" i="6"/>
  <c r="BR43" i="6" s="1"/>
  <c r="DB43" i="6" s="1"/>
  <c r="AM42" i="6"/>
  <c r="BT42" i="6" s="1"/>
  <c r="DD42" i="6" s="1"/>
  <c r="AL42" i="6"/>
  <c r="BS42" i="6" s="1"/>
  <c r="DC42" i="6" s="1"/>
  <c r="AK42" i="6"/>
  <c r="BR42" i="6" s="1"/>
  <c r="DB42" i="6" s="1"/>
  <c r="AM41" i="6"/>
  <c r="BT41" i="6" s="1"/>
  <c r="DD41" i="6" s="1"/>
  <c r="AL41" i="6"/>
  <c r="BS41" i="6" s="1"/>
  <c r="DC41" i="6" s="1"/>
  <c r="AK41" i="6"/>
  <c r="BR41" i="6" s="1"/>
  <c r="DB41" i="6" s="1"/>
  <c r="AM40" i="6"/>
  <c r="BT40" i="6" s="1"/>
  <c r="DD40" i="6" s="1"/>
  <c r="AL40" i="6"/>
  <c r="BS40" i="6" s="1"/>
  <c r="DC40" i="6" s="1"/>
  <c r="AK40" i="6"/>
  <c r="BR40" i="6" s="1"/>
  <c r="DB40" i="6" s="1"/>
  <c r="AM39" i="6"/>
  <c r="BT39" i="6" s="1"/>
  <c r="DD39" i="6" s="1"/>
  <c r="AL39" i="6"/>
  <c r="BS39" i="6" s="1"/>
  <c r="DC39" i="6" s="1"/>
  <c r="AK39" i="6"/>
  <c r="BR39" i="6" s="1"/>
  <c r="DB39" i="6" s="1"/>
  <c r="AM38" i="6"/>
  <c r="BT38" i="6" s="1"/>
  <c r="DD38" i="6" s="1"/>
  <c r="AL38" i="6"/>
  <c r="BS38" i="6" s="1"/>
  <c r="DC38" i="6" s="1"/>
  <c r="AK38" i="6"/>
  <c r="BR38" i="6" s="1"/>
  <c r="DB38" i="6" s="1"/>
  <c r="AM37" i="6"/>
  <c r="BT37" i="6" s="1"/>
  <c r="DD37" i="6" s="1"/>
  <c r="AL37" i="6"/>
  <c r="BS37" i="6" s="1"/>
  <c r="DC37" i="6" s="1"/>
  <c r="AK37" i="6"/>
  <c r="BR37" i="6" s="1"/>
  <c r="DB37" i="6" s="1"/>
  <c r="AM36" i="6"/>
  <c r="BT36" i="6" s="1"/>
  <c r="DD36" i="6" s="1"/>
  <c r="AL36" i="6"/>
  <c r="BS36" i="6" s="1"/>
  <c r="DC36" i="6" s="1"/>
  <c r="AK36" i="6"/>
  <c r="BR36" i="6" s="1"/>
  <c r="DB36" i="6" s="1"/>
  <c r="AM35" i="6"/>
  <c r="BT35" i="6" s="1"/>
  <c r="DD35" i="6" s="1"/>
  <c r="AL35" i="6"/>
  <c r="BS35" i="6" s="1"/>
  <c r="DC35" i="6" s="1"/>
  <c r="AK35" i="6"/>
  <c r="BR35" i="6" s="1"/>
  <c r="DB35" i="6" s="1"/>
  <c r="AM34" i="6"/>
  <c r="BT34" i="6" s="1"/>
  <c r="DD34" i="6" s="1"/>
  <c r="AL34" i="6"/>
  <c r="BS34" i="6" s="1"/>
  <c r="DC34" i="6" s="1"/>
  <c r="AK34" i="6"/>
  <c r="BR34" i="6" s="1"/>
  <c r="DB34" i="6" s="1"/>
  <c r="AM33" i="6"/>
  <c r="BT33" i="6" s="1"/>
  <c r="DD33" i="6" s="1"/>
  <c r="AL33" i="6"/>
  <c r="BS33" i="6" s="1"/>
  <c r="DC33" i="6" s="1"/>
  <c r="AK33" i="6"/>
  <c r="BR33" i="6" s="1"/>
  <c r="DB33" i="6" s="1"/>
  <c r="AM32" i="6"/>
  <c r="BT32" i="6" s="1"/>
  <c r="DD32" i="6" s="1"/>
  <c r="AL32" i="6"/>
  <c r="BS32" i="6" s="1"/>
  <c r="DC32" i="6" s="1"/>
  <c r="AK32" i="6"/>
  <c r="BR32" i="6" s="1"/>
  <c r="DB32" i="6" s="1"/>
  <c r="AM31" i="6"/>
  <c r="BT31" i="6" s="1"/>
  <c r="DD31" i="6" s="1"/>
  <c r="AL31" i="6"/>
  <c r="BS31" i="6" s="1"/>
  <c r="DC31" i="6" s="1"/>
  <c r="AK31" i="6"/>
  <c r="BR31" i="6" s="1"/>
  <c r="DB31" i="6" s="1"/>
  <c r="AM30" i="6"/>
  <c r="BT30" i="6" s="1"/>
  <c r="DD30" i="6" s="1"/>
  <c r="AL30" i="6"/>
  <c r="BS30" i="6" s="1"/>
  <c r="DC30" i="6" s="1"/>
  <c r="AK30" i="6"/>
  <c r="BR30" i="6" s="1"/>
  <c r="DB30" i="6" s="1"/>
  <c r="AM29" i="6"/>
  <c r="BT29" i="6" s="1"/>
  <c r="DD29" i="6" s="1"/>
  <c r="AL29" i="6"/>
  <c r="BS29" i="6" s="1"/>
  <c r="DC29" i="6" s="1"/>
  <c r="AK29" i="6"/>
  <c r="BR29" i="6" s="1"/>
  <c r="DB29" i="6" s="1"/>
  <c r="AM28" i="6"/>
  <c r="BT28" i="6" s="1"/>
  <c r="DD28" i="6" s="1"/>
  <c r="AL28" i="6"/>
  <c r="BS28" i="6" s="1"/>
  <c r="DC28" i="6" s="1"/>
  <c r="AK28" i="6"/>
  <c r="BR28" i="6" s="1"/>
  <c r="DB28" i="6" s="1"/>
  <c r="AM27" i="6"/>
  <c r="BT27" i="6" s="1"/>
  <c r="DD27" i="6" s="1"/>
  <c r="AL27" i="6"/>
  <c r="BS27" i="6" s="1"/>
  <c r="DC27" i="6" s="1"/>
  <c r="AK27" i="6"/>
  <c r="BR27" i="6" s="1"/>
  <c r="DB27" i="6" s="1"/>
  <c r="AM26" i="6"/>
  <c r="BT26" i="6" s="1"/>
  <c r="DD26" i="6" s="1"/>
  <c r="AL26" i="6"/>
  <c r="BS26" i="6" s="1"/>
  <c r="DC26" i="6" s="1"/>
  <c r="AK26" i="6"/>
  <c r="BR26" i="6" s="1"/>
  <c r="DB26" i="6" s="1"/>
  <c r="AM25" i="6"/>
  <c r="BT25" i="6" s="1"/>
  <c r="DD25" i="6" s="1"/>
  <c r="AL25" i="6"/>
  <c r="BS25" i="6" s="1"/>
  <c r="DC25" i="6" s="1"/>
  <c r="AK25" i="6"/>
  <c r="BR25" i="6" s="1"/>
  <c r="DB25" i="6" s="1"/>
  <c r="AM24" i="6"/>
  <c r="BT24" i="6" s="1"/>
  <c r="DD24" i="6" s="1"/>
  <c r="AL24" i="6"/>
  <c r="BS24" i="6" s="1"/>
  <c r="DC24" i="6" s="1"/>
  <c r="AK24" i="6"/>
  <c r="BR24" i="6" s="1"/>
  <c r="DB24" i="6" s="1"/>
  <c r="AM23" i="6"/>
  <c r="BT23" i="6" s="1"/>
  <c r="DD23" i="6" s="1"/>
  <c r="AL23" i="6"/>
  <c r="BS23" i="6" s="1"/>
  <c r="DC23" i="6" s="1"/>
  <c r="AK23" i="6"/>
  <c r="BR23" i="6" s="1"/>
  <c r="DB23" i="6" s="1"/>
  <c r="AM22" i="6"/>
  <c r="BT22" i="6" s="1"/>
  <c r="DD22" i="6" s="1"/>
  <c r="AL22" i="6"/>
  <c r="BS22" i="6" s="1"/>
  <c r="DC22" i="6" s="1"/>
  <c r="AK22" i="6"/>
  <c r="BR22" i="6" s="1"/>
  <c r="DB22" i="6" s="1"/>
  <c r="AM21" i="6"/>
  <c r="BT21" i="6" s="1"/>
  <c r="DD21" i="6" s="1"/>
  <c r="AL21" i="6"/>
  <c r="BS21" i="6" s="1"/>
  <c r="DC21" i="6" s="1"/>
  <c r="AK21" i="6"/>
  <c r="BR21" i="6" s="1"/>
  <c r="DB21" i="6" s="1"/>
  <c r="AM20" i="6"/>
  <c r="BT20" i="6" s="1"/>
  <c r="DD20" i="6" s="1"/>
  <c r="AL20" i="6"/>
  <c r="BS20" i="6" s="1"/>
  <c r="DC20" i="6" s="1"/>
  <c r="AK20" i="6"/>
  <c r="BR20" i="6" s="1"/>
  <c r="DB20" i="6" s="1"/>
  <c r="AM19" i="6"/>
  <c r="BT19" i="6" s="1"/>
  <c r="DD19" i="6" s="1"/>
  <c r="AL19" i="6"/>
  <c r="BS19" i="6" s="1"/>
  <c r="DC19" i="6" s="1"/>
  <c r="AK19" i="6"/>
  <c r="BR19" i="6" s="1"/>
  <c r="DB19" i="6" s="1"/>
  <c r="AM18" i="6"/>
  <c r="BT18" i="6" s="1"/>
  <c r="DD18" i="6" s="1"/>
  <c r="AL18" i="6"/>
  <c r="BS18" i="6" s="1"/>
  <c r="DC18" i="6" s="1"/>
  <c r="AK18" i="6"/>
  <c r="BR18" i="6" s="1"/>
  <c r="DB18" i="6" s="1"/>
  <c r="AM17" i="6"/>
  <c r="BT17" i="6" s="1"/>
  <c r="DD17" i="6" s="1"/>
  <c r="AL17" i="6"/>
  <c r="BS17" i="6" s="1"/>
  <c r="DC17" i="6" s="1"/>
  <c r="AK17" i="6"/>
  <c r="BR17" i="6" s="1"/>
  <c r="DB17" i="6" s="1"/>
  <c r="AM16" i="6"/>
  <c r="BT16" i="6" s="1"/>
  <c r="DD16" i="6" s="1"/>
  <c r="AL16" i="6"/>
  <c r="BS16" i="6" s="1"/>
  <c r="DC16" i="6" s="1"/>
  <c r="AK16" i="6"/>
  <c r="BR16" i="6" s="1"/>
  <c r="DB16" i="6" s="1"/>
  <c r="AM15" i="6"/>
  <c r="BT15" i="6" s="1"/>
  <c r="DD15" i="6" s="1"/>
  <c r="AL15" i="6"/>
  <c r="BS15" i="6" s="1"/>
  <c r="DC15" i="6" s="1"/>
  <c r="AK15" i="6"/>
  <c r="BR15" i="6" s="1"/>
  <c r="DB15" i="6" s="1"/>
  <c r="AM14" i="6"/>
  <c r="BT14" i="6" s="1"/>
  <c r="DD14" i="6" s="1"/>
  <c r="AL14" i="6"/>
  <c r="BS14" i="6" s="1"/>
  <c r="DC14" i="6" s="1"/>
  <c r="AK14" i="6"/>
  <c r="BR14" i="6" s="1"/>
  <c r="DB14" i="6" s="1"/>
  <c r="BR13" i="6"/>
  <c r="DB13" i="6" s="1"/>
  <c r="AM13" i="6"/>
  <c r="BT13" i="6" s="1"/>
  <c r="DD13" i="6" s="1"/>
  <c r="AL13" i="6"/>
  <c r="BS13" i="6" s="1"/>
  <c r="DC13" i="6" s="1"/>
  <c r="AK13" i="6"/>
  <c r="AM12" i="6"/>
  <c r="BT12" i="6" s="1"/>
  <c r="DD12" i="6" s="1"/>
  <c r="AL12" i="6"/>
  <c r="BS12" i="6" s="1"/>
  <c r="DC12" i="6" s="1"/>
  <c r="AK12" i="6"/>
  <c r="BR12" i="6" s="1"/>
  <c r="DB12" i="6" s="1"/>
  <c r="AM11" i="6"/>
  <c r="BT11" i="6" s="1"/>
  <c r="DD11" i="6" s="1"/>
  <c r="AL11" i="6"/>
  <c r="BS11" i="6" s="1"/>
  <c r="DC11" i="6" s="1"/>
  <c r="AK11" i="6"/>
  <c r="BR11" i="6" s="1"/>
  <c r="DB11" i="6" s="1"/>
  <c r="AM10" i="6"/>
  <c r="BT10" i="6" s="1"/>
  <c r="DD10" i="6" s="1"/>
  <c r="AL10" i="6"/>
  <c r="BS10" i="6" s="1"/>
  <c r="DC10" i="6" s="1"/>
  <c r="AK10" i="6"/>
  <c r="BR10" i="6" s="1"/>
  <c r="DB10" i="6" s="1"/>
  <c r="AM9" i="6"/>
  <c r="BT9" i="6" s="1"/>
  <c r="DD9" i="6" s="1"/>
  <c r="AL9" i="6"/>
  <c r="BS9" i="6" s="1"/>
  <c r="DC9" i="6" s="1"/>
  <c r="AK9" i="6"/>
  <c r="BR9" i="6" s="1"/>
  <c r="DB9" i="6" s="1"/>
  <c r="AM8" i="6"/>
  <c r="BT8" i="6" s="1"/>
  <c r="DD8" i="6" s="1"/>
  <c r="AL8" i="6"/>
  <c r="BS8" i="6" s="1"/>
  <c r="DC8" i="6" s="1"/>
  <c r="AK8" i="6"/>
  <c r="BR8" i="6" s="1"/>
  <c r="DB8" i="6" s="1"/>
  <c r="AM7" i="6"/>
  <c r="BT7" i="6" s="1"/>
  <c r="DD7" i="6" s="1"/>
  <c r="AL7" i="6"/>
  <c r="BS7" i="6" s="1"/>
  <c r="DC7" i="6" s="1"/>
  <c r="AK7" i="6"/>
  <c r="BR7" i="6" s="1"/>
  <c r="DB7" i="6" s="1"/>
  <c r="AM6" i="6"/>
  <c r="BT6" i="6" s="1"/>
  <c r="DD6" i="6" s="1"/>
  <c r="AL6" i="6"/>
  <c r="BS6" i="6" s="1"/>
  <c r="DC6" i="6" s="1"/>
  <c r="AK6" i="6"/>
  <c r="BR6" i="6" s="1"/>
  <c r="DB6" i="6" s="1"/>
  <c r="AM5" i="6"/>
  <c r="BT5" i="6" s="1"/>
  <c r="DD5" i="6" s="1"/>
  <c r="AL5" i="6"/>
  <c r="BS5" i="6" s="1"/>
  <c r="DC5" i="6" s="1"/>
  <c r="AK5" i="6"/>
  <c r="BR5" i="6" s="1"/>
  <c r="DB5" i="6" s="1"/>
  <c r="BS4" i="6"/>
  <c r="DC4" i="6" s="1"/>
  <c r="AM4" i="6"/>
  <c r="AL4" i="6"/>
  <c r="AK4" i="6"/>
  <c r="BR4" i="6" s="1"/>
  <c r="J5" i="1"/>
  <c r="DD4" i="2"/>
  <c r="DD46" i="2" s="1"/>
  <c r="BS46" i="10" l="1"/>
  <c r="DH94" i="11"/>
  <c r="BV16" i="13"/>
  <c r="DF5" i="13"/>
  <c r="DF16" i="13" s="1"/>
  <c r="BY148" i="12"/>
  <c r="DI4" i="12"/>
  <c r="DI148" i="12" s="1"/>
  <c r="BV92" i="11"/>
  <c r="DF43" i="11"/>
  <c r="DF92" i="11" s="1"/>
  <c r="BW92" i="11"/>
  <c r="BW94" i="11" s="1"/>
  <c r="DG43" i="11"/>
  <c r="DG92" i="11" s="1"/>
  <c r="DG94" i="11" s="1"/>
  <c r="DF4" i="11"/>
  <c r="DF42" i="11" s="1"/>
  <c r="BV42" i="11"/>
  <c r="BX94" i="11"/>
  <c r="AY94" i="7"/>
  <c r="BC94" i="7"/>
  <c r="BG94" i="7"/>
  <c r="BK94" i="7"/>
  <c r="BO94" i="7"/>
  <c r="BS94" i="7"/>
  <c r="BH94" i="7"/>
  <c r="BL94" i="7"/>
  <c r="BP94" i="7"/>
  <c r="AN16" i="9"/>
  <c r="AO16" i="9"/>
  <c r="AR148" i="8"/>
  <c r="BZ94" i="7"/>
  <c r="CD94" i="7"/>
  <c r="CH94" i="7"/>
  <c r="CL94" i="7"/>
  <c r="CP94" i="7"/>
  <c r="CT94" i="7"/>
  <c r="CX94" i="7"/>
  <c r="DB94" i="7"/>
  <c r="AT94" i="7"/>
  <c r="AX94" i="7"/>
  <c r="BB94" i="7"/>
  <c r="BF94" i="7"/>
  <c r="BJ94" i="7"/>
  <c r="BN94" i="7"/>
  <c r="BR94" i="7"/>
  <c r="AR94" i="7"/>
  <c r="AV94" i="7"/>
  <c r="AZ94" i="7"/>
  <c r="BD94" i="7"/>
  <c r="BT94" i="7"/>
  <c r="AO42" i="7"/>
  <c r="Y94" i="7"/>
  <c r="K94" i="7"/>
  <c r="O94" i="7"/>
  <c r="S94" i="7"/>
  <c r="W94" i="7"/>
  <c r="AA94" i="7"/>
  <c r="AE94" i="7"/>
  <c r="AI94" i="7"/>
  <c r="AM94" i="7"/>
  <c r="DC46" i="6"/>
  <c r="AL46" i="6"/>
  <c r="AM46" i="6"/>
  <c r="DE16" i="9"/>
  <c r="DD5" i="9"/>
  <c r="DD16" i="9" s="1"/>
  <c r="BT16" i="9"/>
  <c r="AM16" i="9"/>
  <c r="BV5" i="9"/>
  <c r="BU16" i="9"/>
  <c r="DH148" i="8"/>
  <c r="AQ148" i="8"/>
  <c r="AS148" i="8"/>
  <c r="BZ148" i="8"/>
  <c r="BX148" i="8"/>
  <c r="BY4" i="8"/>
  <c r="DJ4" i="8"/>
  <c r="DJ148" i="8" s="1"/>
  <c r="DF5" i="7"/>
  <c r="BV42" i="7"/>
  <c r="BX42" i="7"/>
  <c r="DH4" i="7"/>
  <c r="DH42" i="7" s="1"/>
  <c r="DF92" i="7"/>
  <c r="DH92" i="7"/>
  <c r="DG4" i="7"/>
  <c r="DG42" i="7" s="1"/>
  <c r="BW42" i="7"/>
  <c r="DF42" i="7"/>
  <c r="BW92" i="7"/>
  <c r="DG43" i="7"/>
  <c r="DG92" i="7" s="1"/>
  <c r="AP42" i="7"/>
  <c r="AQ42" i="7"/>
  <c r="BX92" i="7"/>
  <c r="AP92" i="7"/>
  <c r="AP94" i="7" s="1"/>
  <c r="M94" i="7"/>
  <c r="U94" i="7"/>
  <c r="AC94" i="7"/>
  <c r="AK94" i="7"/>
  <c r="AO92" i="7"/>
  <c r="AU94" i="7"/>
  <c r="BV92" i="7"/>
  <c r="BV94" i="7" s="1"/>
  <c r="AQ92" i="7"/>
  <c r="AQ94" i="7" s="1"/>
  <c r="L94" i="7"/>
  <c r="P94" i="7"/>
  <c r="T94" i="7"/>
  <c r="X94" i="7"/>
  <c r="AB94" i="7"/>
  <c r="AF94" i="7"/>
  <c r="AJ94" i="7"/>
  <c r="AN94" i="7"/>
  <c r="CB94" i="7"/>
  <c r="CF94" i="7"/>
  <c r="CJ94" i="7"/>
  <c r="CN94" i="7"/>
  <c r="CR94" i="7"/>
  <c r="CV94" i="7"/>
  <c r="CZ94" i="7"/>
  <c r="DD94" i="7"/>
  <c r="DB4" i="6"/>
  <c r="DB46" i="6" s="1"/>
  <c r="BR46" i="6"/>
  <c r="AK46" i="6"/>
  <c r="BT4" i="6"/>
  <c r="BS46" i="6"/>
  <c r="DH48" i="3"/>
  <c r="DH49" i="3"/>
  <c r="BX48" i="3"/>
  <c r="BX49" i="3"/>
  <c r="AQ13" i="3"/>
  <c r="AP13" i="3"/>
  <c r="AO13" i="3"/>
  <c r="AA26" i="1"/>
  <c r="R26" i="1"/>
  <c r="I26" i="1"/>
  <c r="K365" i="1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BZ15" i="5"/>
  <c r="DJ15" i="5" s="1"/>
  <c r="BX15" i="5"/>
  <c r="DH15" i="5" s="1"/>
  <c r="AS15" i="5"/>
  <c r="AR15" i="5"/>
  <c r="BY15" i="5" s="1"/>
  <c r="DI15" i="5" s="1"/>
  <c r="AQ15" i="5"/>
  <c r="BY14" i="5"/>
  <c r="DI14" i="5" s="1"/>
  <c r="AS14" i="5"/>
  <c r="BZ14" i="5" s="1"/>
  <c r="DJ14" i="5" s="1"/>
  <c r="AR14" i="5"/>
  <c r="AQ14" i="5"/>
  <c r="BX14" i="5" s="1"/>
  <c r="DH14" i="5" s="1"/>
  <c r="E14" i="5"/>
  <c r="BY13" i="5"/>
  <c r="DI13" i="5" s="1"/>
  <c r="AS13" i="5"/>
  <c r="BZ13" i="5" s="1"/>
  <c r="DJ13" i="5" s="1"/>
  <c r="AR13" i="5"/>
  <c r="AQ13" i="5"/>
  <c r="BX13" i="5" s="1"/>
  <c r="DH13" i="5" s="1"/>
  <c r="BZ12" i="5"/>
  <c r="DJ12" i="5" s="1"/>
  <c r="BX12" i="5"/>
  <c r="DH12" i="5" s="1"/>
  <c r="AS12" i="5"/>
  <c r="AR12" i="5"/>
  <c r="BY12" i="5" s="1"/>
  <c r="DI12" i="5" s="1"/>
  <c r="AQ12" i="5"/>
  <c r="BY11" i="5"/>
  <c r="DI11" i="5" s="1"/>
  <c r="AS11" i="5"/>
  <c r="BZ11" i="5" s="1"/>
  <c r="DJ11" i="5" s="1"/>
  <c r="AR11" i="5"/>
  <c r="AQ11" i="5"/>
  <c r="BX11" i="5" s="1"/>
  <c r="DH11" i="5" s="1"/>
  <c r="BZ10" i="5"/>
  <c r="DJ10" i="5" s="1"/>
  <c r="BX10" i="5"/>
  <c r="DH10" i="5" s="1"/>
  <c r="AS10" i="5"/>
  <c r="AR10" i="5"/>
  <c r="BY10" i="5" s="1"/>
  <c r="DI10" i="5" s="1"/>
  <c r="AQ10" i="5"/>
  <c r="BY9" i="5"/>
  <c r="DI9" i="5" s="1"/>
  <c r="AS9" i="5"/>
  <c r="BZ9" i="5" s="1"/>
  <c r="DJ9" i="5" s="1"/>
  <c r="AR9" i="5"/>
  <c r="AQ9" i="5"/>
  <c r="BX9" i="5" s="1"/>
  <c r="DH9" i="5" s="1"/>
  <c r="BZ8" i="5"/>
  <c r="DJ8" i="5" s="1"/>
  <c r="BX8" i="5"/>
  <c r="DH8" i="5" s="1"/>
  <c r="AS8" i="5"/>
  <c r="AR8" i="5"/>
  <c r="BY8" i="5" s="1"/>
  <c r="DI8" i="5" s="1"/>
  <c r="AQ8" i="5"/>
  <c r="BY7" i="5"/>
  <c r="DI7" i="5" s="1"/>
  <c r="AS7" i="5"/>
  <c r="BZ7" i="5" s="1"/>
  <c r="DJ7" i="5" s="1"/>
  <c r="AR7" i="5"/>
  <c r="AQ7" i="5"/>
  <c r="BX7" i="5" s="1"/>
  <c r="DH7" i="5" s="1"/>
  <c r="BZ6" i="5"/>
  <c r="DJ6" i="5" s="1"/>
  <c r="BX6" i="5"/>
  <c r="DH6" i="5" s="1"/>
  <c r="AS6" i="5"/>
  <c r="AR6" i="5"/>
  <c r="BY6" i="5" s="1"/>
  <c r="DI6" i="5" s="1"/>
  <c r="AQ6" i="5"/>
  <c r="BY5" i="5"/>
  <c r="DI5" i="5" s="1"/>
  <c r="AS5" i="5"/>
  <c r="AS16" i="5" s="1"/>
  <c r="AR5" i="5"/>
  <c r="AR16" i="5" s="1"/>
  <c r="AQ5" i="5"/>
  <c r="BX5" i="5" s="1"/>
  <c r="DG148" i="4"/>
  <c r="DF148" i="4"/>
  <c r="DE148" i="4"/>
  <c r="DD148" i="4"/>
  <c r="DC148" i="4"/>
  <c r="DB148" i="4"/>
  <c r="DA148" i="4"/>
  <c r="CZ148" i="4"/>
  <c r="CY148" i="4"/>
  <c r="CX148" i="4"/>
  <c r="CW148" i="4"/>
  <c r="CV148" i="4"/>
  <c r="CU148" i="4"/>
  <c r="CT148" i="4"/>
  <c r="CS148" i="4"/>
  <c r="CR148" i="4"/>
  <c r="CQ148" i="4"/>
  <c r="CP148" i="4"/>
  <c r="CO148" i="4"/>
  <c r="CN148" i="4"/>
  <c r="CM148" i="4"/>
  <c r="CL148" i="4"/>
  <c r="CK148" i="4"/>
  <c r="CJ148" i="4"/>
  <c r="CI148" i="4"/>
  <c r="CH148" i="4"/>
  <c r="CG148" i="4"/>
  <c r="CF148" i="4"/>
  <c r="CE148" i="4"/>
  <c r="CD148" i="4"/>
  <c r="CC148" i="4"/>
  <c r="CB148" i="4"/>
  <c r="CA148" i="4"/>
  <c r="BW148" i="4"/>
  <c r="BV148" i="4"/>
  <c r="BU148" i="4"/>
  <c r="BT148" i="4"/>
  <c r="BS148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BZ146" i="4"/>
  <c r="DJ146" i="4" s="1"/>
  <c r="AS146" i="4"/>
  <c r="AR146" i="4"/>
  <c r="BY146" i="4" s="1"/>
  <c r="DI146" i="4" s="1"/>
  <c r="AQ146" i="4"/>
  <c r="BX146" i="4" s="1"/>
  <c r="DH146" i="4" s="1"/>
  <c r="AS145" i="4"/>
  <c r="BZ145" i="4" s="1"/>
  <c r="DJ145" i="4" s="1"/>
  <c r="AR145" i="4"/>
  <c r="BY145" i="4" s="1"/>
  <c r="DI145" i="4" s="1"/>
  <c r="AQ145" i="4"/>
  <c r="BX145" i="4" s="1"/>
  <c r="DH145" i="4" s="1"/>
  <c r="BX144" i="4"/>
  <c r="DH144" i="4" s="1"/>
  <c r="AS144" i="4"/>
  <c r="BZ144" i="4" s="1"/>
  <c r="DJ144" i="4" s="1"/>
  <c r="AR144" i="4"/>
  <c r="BY144" i="4" s="1"/>
  <c r="DI144" i="4" s="1"/>
  <c r="AQ144" i="4"/>
  <c r="BY143" i="4"/>
  <c r="DI143" i="4" s="1"/>
  <c r="AS143" i="4"/>
  <c r="BZ143" i="4" s="1"/>
  <c r="DJ143" i="4" s="1"/>
  <c r="AR143" i="4"/>
  <c r="AQ143" i="4"/>
  <c r="BX143" i="4" s="1"/>
  <c r="DH143" i="4" s="1"/>
  <c r="BZ142" i="4"/>
  <c r="DJ142" i="4" s="1"/>
  <c r="AS142" i="4"/>
  <c r="AR142" i="4"/>
  <c r="BY142" i="4" s="1"/>
  <c r="DI142" i="4" s="1"/>
  <c r="AQ142" i="4"/>
  <c r="BX142" i="4" s="1"/>
  <c r="DH142" i="4" s="1"/>
  <c r="AS141" i="4"/>
  <c r="BZ141" i="4" s="1"/>
  <c r="DJ141" i="4" s="1"/>
  <c r="AR141" i="4"/>
  <c r="BY141" i="4" s="1"/>
  <c r="DI141" i="4" s="1"/>
  <c r="AQ141" i="4"/>
  <c r="BX141" i="4" s="1"/>
  <c r="DH141" i="4" s="1"/>
  <c r="BX140" i="4"/>
  <c r="DH140" i="4" s="1"/>
  <c r="AS140" i="4"/>
  <c r="BZ140" i="4" s="1"/>
  <c r="DJ140" i="4" s="1"/>
  <c r="AR140" i="4"/>
  <c r="BY140" i="4" s="1"/>
  <c r="DI140" i="4" s="1"/>
  <c r="AQ140" i="4"/>
  <c r="BY139" i="4"/>
  <c r="DI139" i="4" s="1"/>
  <c r="AS139" i="4"/>
  <c r="BZ139" i="4" s="1"/>
  <c r="DJ139" i="4" s="1"/>
  <c r="AR139" i="4"/>
  <c r="AQ139" i="4"/>
  <c r="BX139" i="4" s="1"/>
  <c r="DH139" i="4" s="1"/>
  <c r="BZ138" i="4"/>
  <c r="DJ138" i="4" s="1"/>
  <c r="AS138" i="4"/>
  <c r="AR138" i="4"/>
  <c r="BY138" i="4" s="1"/>
  <c r="DI138" i="4" s="1"/>
  <c r="AQ138" i="4"/>
  <c r="BX138" i="4" s="1"/>
  <c r="DH138" i="4" s="1"/>
  <c r="AS137" i="4"/>
  <c r="BZ137" i="4" s="1"/>
  <c r="DJ137" i="4" s="1"/>
  <c r="AR137" i="4"/>
  <c r="BY137" i="4" s="1"/>
  <c r="DI137" i="4" s="1"/>
  <c r="AQ137" i="4"/>
  <c r="BX137" i="4" s="1"/>
  <c r="DH137" i="4" s="1"/>
  <c r="BX136" i="4"/>
  <c r="DH136" i="4" s="1"/>
  <c r="AS136" i="4"/>
  <c r="BZ136" i="4" s="1"/>
  <c r="DJ136" i="4" s="1"/>
  <c r="AR136" i="4"/>
  <c r="BY136" i="4" s="1"/>
  <c r="DI136" i="4" s="1"/>
  <c r="AQ136" i="4"/>
  <c r="BY135" i="4"/>
  <c r="DI135" i="4" s="1"/>
  <c r="AS135" i="4"/>
  <c r="BZ135" i="4" s="1"/>
  <c r="DJ135" i="4" s="1"/>
  <c r="AR135" i="4"/>
  <c r="AQ135" i="4"/>
  <c r="BX135" i="4" s="1"/>
  <c r="DH135" i="4" s="1"/>
  <c r="BZ134" i="4"/>
  <c r="DJ134" i="4" s="1"/>
  <c r="BX134" i="4"/>
  <c r="DH134" i="4" s="1"/>
  <c r="AS134" i="4"/>
  <c r="AR134" i="4"/>
  <c r="BY134" i="4" s="1"/>
  <c r="DI134" i="4" s="1"/>
  <c r="AQ134" i="4"/>
  <c r="BY133" i="4"/>
  <c r="DI133" i="4" s="1"/>
  <c r="AS133" i="4"/>
  <c r="BZ133" i="4" s="1"/>
  <c r="DJ133" i="4" s="1"/>
  <c r="AR133" i="4"/>
  <c r="AQ133" i="4"/>
  <c r="BX133" i="4" s="1"/>
  <c r="DH133" i="4" s="1"/>
  <c r="BZ132" i="4"/>
  <c r="DJ132" i="4" s="1"/>
  <c r="BX132" i="4"/>
  <c r="DH132" i="4" s="1"/>
  <c r="AS132" i="4"/>
  <c r="AR132" i="4"/>
  <c r="BY132" i="4" s="1"/>
  <c r="DI132" i="4" s="1"/>
  <c r="AQ132" i="4"/>
  <c r="BY131" i="4"/>
  <c r="DI131" i="4" s="1"/>
  <c r="AS131" i="4"/>
  <c r="BZ131" i="4" s="1"/>
  <c r="DJ131" i="4" s="1"/>
  <c r="AR131" i="4"/>
  <c r="AQ131" i="4"/>
  <c r="BX131" i="4" s="1"/>
  <c r="DH131" i="4" s="1"/>
  <c r="BZ130" i="4"/>
  <c r="DJ130" i="4" s="1"/>
  <c r="BX130" i="4"/>
  <c r="DH130" i="4" s="1"/>
  <c r="AS130" i="4"/>
  <c r="AR130" i="4"/>
  <c r="BY130" i="4" s="1"/>
  <c r="DI130" i="4" s="1"/>
  <c r="AQ130" i="4"/>
  <c r="BY129" i="4"/>
  <c r="DI129" i="4" s="1"/>
  <c r="AS129" i="4"/>
  <c r="BZ129" i="4" s="1"/>
  <c r="DJ129" i="4" s="1"/>
  <c r="AR129" i="4"/>
  <c r="AQ129" i="4"/>
  <c r="BX129" i="4" s="1"/>
  <c r="DH129" i="4" s="1"/>
  <c r="BZ128" i="4"/>
  <c r="DJ128" i="4" s="1"/>
  <c r="BX128" i="4"/>
  <c r="DH128" i="4" s="1"/>
  <c r="AS128" i="4"/>
  <c r="AR128" i="4"/>
  <c r="BY128" i="4" s="1"/>
  <c r="DI128" i="4" s="1"/>
  <c r="AQ128" i="4"/>
  <c r="BY127" i="4"/>
  <c r="DI127" i="4" s="1"/>
  <c r="AS127" i="4"/>
  <c r="BZ127" i="4" s="1"/>
  <c r="DJ127" i="4" s="1"/>
  <c r="AR127" i="4"/>
  <c r="AQ127" i="4"/>
  <c r="BX127" i="4" s="1"/>
  <c r="DH127" i="4" s="1"/>
  <c r="BZ126" i="4"/>
  <c r="DJ126" i="4" s="1"/>
  <c r="BX126" i="4"/>
  <c r="DH126" i="4" s="1"/>
  <c r="AS126" i="4"/>
  <c r="AR126" i="4"/>
  <c r="BY126" i="4" s="1"/>
  <c r="DI126" i="4" s="1"/>
  <c r="AQ126" i="4"/>
  <c r="BY125" i="4"/>
  <c r="DI125" i="4" s="1"/>
  <c r="AS125" i="4"/>
  <c r="BZ125" i="4" s="1"/>
  <c r="DJ125" i="4" s="1"/>
  <c r="AR125" i="4"/>
  <c r="AQ125" i="4"/>
  <c r="BX125" i="4" s="1"/>
  <c r="DH125" i="4" s="1"/>
  <c r="BZ124" i="4"/>
  <c r="DJ124" i="4" s="1"/>
  <c r="BX124" i="4"/>
  <c r="DH124" i="4" s="1"/>
  <c r="AS124" i="4"/>
  <c r="AR124" i="4"/>
  <c r="BY124" i="4" s="1"/>
  <c r="DI124" i="4" s="1"/>
  <c r="AQ124" i="4"/>
  <c r="BY123" i="4"/>
  <c r="DI123" i="4" s="1"/>
  <c r="AS123" i="4"/>
  <c r="BZ123" i="4" s="1"/>
  <c r="DJ123" i="4" s="1"/>
  <c r="AR123" i="4"/>
  <c r="AQ123" i="4"/>
  <c r="BX123" i="4" s="1"/>
  <c r="DH123" i="4" s="1"/>
  <c r="BZ122" i="4"/>
  <c r="DJ122" i="4" s="1"/>
  <c r="BX122" i="4"/>
  <c r="DH122" i="4" s="1"/>
  <c r="AS122" i="4"/>
  <c r="AR122" i="4"/>
  <c r="BY122" i="4" s="1"/>
  <c r="DI122" i="4" s="1"/>
  <c r="AQ122" i="4"/>
  <c r="BY121" i="4"/>
  <c r="DI121" i="4" s="1"/>
  <c r="AS121" i="4"/>
  <c r="BZ121" i="4" s="1"/>
  <c r="DJ121" i="4" s="1"/>
  <c r="AR121" i="4"/>
  <c r="AQ121" i="4"/>
  <c r="BX121" i="4" s="1"/>
  <c r="DH121" i="4" s="1"/>
  <c r="BZ120" i="4"/>
  <c r="DJ120" i="4" s="1"/>
  <c r="BX120" i="4"/>
  <c r="DH120" i="4" s="1"/>
  <c r="AS120" i="4"/>
  <c r="AR120" i="4"/>
  <c r="BY120" i="4" s="1"/>
  <c r="DI120" i="4" s="1"/>
  <c r="AQ120" i="4"/>
  <c r="BY119" i="4"/>
  <c r="DI119" i="4" s="1"/>
  <c r="AS119" i="4"/>
  <c r="BZ119" i="4" s="1"/>
  <c r="DJ119" i="4" s="1"/>
  <c r="AR119" i="4"/>
  <c r="AQ119" i="4"/>
  <c r="BX119" i="4" s="1"/>
  <c r="DH119" i="4" s="1"/>
  <c r="BZ118" i="4"/>
  <c r="DJ118" i="4" s="1"/>
  <c r="BX118" i="4"/>
  <c r="DH118" i="4" s="1"/>
  <c r="AS118" i="4"/>
  <c r="AR118" i="4"/>
  <c r="BY118" i="4" s="1"/>
  <c r="DI118" i="4" s="1"/>
  <c r="AQ118" i="4"/>
  <c r="BY117" i="4"/>
  <c r="DI117" i="4" s="1"/>
  <c r="AS117" i="4"/>
  <c r="BZ117" i="4" s="1"/>
  <c r="DJ117" i="4" s="1"/>
  <c r="AR117" i="4"/>
  <c r="AQ117" i="4"/>
  <c r="BX117" i="4" s="1"/>
  <c r="DH117" i="4" s="1"/>
  <c r="BZ116" i="4"/>
  <c r="DJ116" i="4" s="1"/>
  <c r="BX116" i="4"/>
  <c r="DH116" i="4" s="1"/>
  <c r="AS116" i="4"/>
  <c r="AR116" i="4"/>
  <c r="BY116" i="4" s="1"/>
  <c r="DI116" i="4" s="1"/>
  <c r="AQ116" i="4"/>
  <c r="BY115" i="4"/>
  <c r="DI115" i="4" s="1"/>
  <c r="AS115" i="4"/>
  <c r="BZ115" i="4" s="1"/>
  <c r="DJ115" i="4" s="1"/>
  <c r="AR115" i="4"/>
  <c r="AQ115" i="4"/>
  <c r="BX115" i="4" s="1"/>
  <c r="DH115" i="4" s="1"/>
  <c r="BZ114" i="4"/>
  <c r="DJ114" i="4" s="1"/>
  <c r="BX114" i="4"/>
  <c r="DH114" i="4" s="1"/>
  <c r="AS114" i="4"/>
  <c r="AR114" i="4"/>
  <c r="BY114" i="4" s="1"/>
  <c r="DI114" i="4" s="1"/>
  <c r="AQ114" i="4"/>
  <c r="BY113" i="4"/>
  <c r="DI113" i="4" s="1"/>
  <c r="AS113" i="4"/>
  <c r="BZ113" i="4" s="1"/>
  <c r="DJ113" i="4" s="1"/>
  <c r="AR113" i="4"/>
  <c r="AQ113" i="4"/>
  <c r="BX113" i="4" s="1"/>
  <c r="DH113" i="4" s="1"/>
  <c r="BZ112" i="4"/>
  <c r="DJ112" i="4" s="1"/>
  <c r="BX112" i="4"/>
  <c r="DH112" i="4" s="1"/>
  <c r="AS112" i="4"/>
  <c r="AR112" i="4"/>
  <c r="BY112" i="4" s="1"/>
  <c r="DI112" i="4" s="1"/>
  <c r="AQ112" i="4"/>
  <c r="BY111" i="4"/>
  <c r="DI111" i="4" s="1"/>
  <c r="AS111" i="4"/>
  <c r="BZ111" i="4" s="1"/>
  <c r="DJ111" i="4" s="1"/>
  <c r="AR111" i="4"/>
  <c r="AQ111" i="4"/>
  <c r="BX111" i="4" s="1"/>
  <c r="DH111" i="4" s="1"/>
  <c r="BZ110" i="4"/>
  <c r="DJ110" i="4" s="1"/>
  <c r="BX110" i="4"/>
  <c r="DH110" i="4" s="1"/>
  <c r="AS110" i="4"/>
  <c r="AR110" i="4"/>
  <c r="BY110" i="4" s="1"/>
  <c r="DI110" i="4" s="1"/>
  <c r="AQ110" i="4"/>
  <c r="BY109" i="4"/>
  <c r="DI109" i="4" s="1"/>
  <c r="AS109" i="4"/>
  <c r="BZ109" i="4" s="1"/>
  <c r="DJ109" i="4" s="1"/>
  <c r="AR109" i="4"/>
  <c r="AQ109" i="4"/>
  <c r="BX109" i="4" s="1"/>
  <c r="DH109" i="4" s="1"/>
  <c r="BZ108" i="4"/>
  <c r="DJ108" i="4" s="1"/>
  <c r="BX108" i="4"/>
  <c r="DH108" i="4" s="1"/>
  <c r="AS108" i="4"/>
  <c r="AR108" i="4"/>
  <c r="BY108" i="4" s="1"/>
  <c r="DI108" i="4" s="1"/>
  <c r="AQ108" i="4"/>
  <c r="BY107" i="4"/>
  <c r="DI107" i="4" s="1"/>
  <c r="AS107" i="4"/>
  <c r="BZ107" i="4" s="1"/>
  <c r="DJ107" i="4" s="1"/>
  <c r="AR107" i="4"/>
  <c r="AQ107" i="4"/>
  <c r="BX107" i="4" s="1"/>
  <c r="DH107" i="4" s="1"/>
  <c r="BZ106" i="4"/>
  <c r="DJ106" i="4" s="1"/>
  <c r="BX106" i="4"/>
  <c r="DH106" i="4" s="1"/>
  <c r="AS106" i="4"/>
  <c r="AR106" i="4"/>
  <c r="BY106" i="4" s="1"/>
  <c r="DI106" i="4" s="1"/>
  <c r="AQ106" i="4"/>
  <c r="BY105" i="4"/>
  <c r="DI105" i="4" s="1"/>
  <c r="AS105" i="4"/>
  <c r="BZ105" i="4" s="1"/>
  <c r="DJ105" i="4" s="1"/>
  <c r="AR105" i="4"/>
  <c r="AQ105" i="4"/>
  <c r="BX105" i="4" s="1"/>
  <c r="DH105" i="4" s="1"/>
  <c r="BZ104" i="4"/>
  <c r="DJ104" i="4" s="1"/>
  <c r="BX104" i="4"/>
  <c r="DH104" i="4" s="1"/>
  <c r="AS104" i="4"/>
  <c r="AR104" i="4"/>
  <c r="BY104" i="4" s="1"/>
  <c r="DI104" i="4" s="1"/>
  <c r="AQ104" i="4"/>
  <c r="BY103" i="4"/>
  <c r="DI103" i="4" s="1"/>
  <c r="AS103" i="4"/>
  <c r="BZ103" i="4" s="1"/>
  <c r="DJ103" i="4" s="1"/>
  <c r="AR103" i="4"/>
  <c r="AQ103" i="4"/>
  <c r="BX103" i="4" s="1"/>
  <c r="DH103" i="4" s="1"/>
  <c r="BZ102" i="4"/>
  <c r="DJ102" i="4" s="1"/>
  <c r="BX102" i="4"/>
  <c r="DH102" i="4" s="1"/>
  <c r="AS102" i="4"/>
  <c r="AR102" i="4"/>
  <c r="BY102" i="4" s="1"/>
  <c r="DI102" i="4" s="1"/>
  <c r="AQ102" i="4"/>
  <c r="BY101" i="4"/>
  <c r="DI101" i="4" s="1"/>
  <c r="AS101" i="4"/>
  <c r="BZ101" i="4" s="1"/>
  <c r="DJ101" i="4" s="1"/>
  <c r="AR101" i="4"/>
  <c r="AQ101" i="4"/>
  <c r="BX101" i="4" s="1"/>
  <c r="DH101" i="4" s="1"/>
  <c r="BZ100" i="4"/>
  <c r="DJ100" i="4" s="1"/>
  <c r="BX100" i="4"/>
  <c r="DH100" i="4" s="1"/>
  <c r="AS100" i="4"/>
  <c r="AR100" i="4"/>
  <c r="BY100" i="4" s="1"/>
  <c r="DI100" i="4" s="1"/>
  <c r="AQ100" i="4"/>
  <c r="BY99" i="4"/>
  <c r="DI99" i="4" s="1"/>
  <c r="AS99" i="4"/>
  <c r="BZ99" i="4" s="1"/>
  <c r="DJ99" i="4" s="1"/>
  <c r="AR99" i="4"/>
  <c r="AQ99" i="4"/>
  <c r="BX99" i="4" s="1"/>
  <c r="DH99" i="4" s="1"/>
  <c r="BZ98" i="4"/>
  <c r="DJ98" i="4" s="1"/>
  <c r="BX98" i="4"/>
  <c r="DH98" i="4" s="1"/>
  <c r="AS98" i="4"/>
  <c r="AR98" i="4"/>
  <c r="BY98" i="4" s="1"/>
  <c r="DI98" i="4" s="1"/>
  <c r="AQ98" i="4"/>
  <c r="BY97" i="4"/>
  <c r="DI97" i="4" s="1"/>
  <c r="AS97" i="4"/>
  <c r="BZ97" i="4" s="1"/>
  <c r="DJ97" i="4" s="1"/>
  <c r="AR97" i="4"/>
  <c r="AQ97" i="4"/>
  <c r="BX97" i="4" s="1"/>
  <c r="DH97" i="4" s="1"/>
  <c r="BZ96" i="4"/>
  <c r="DJ96" i="4" s="1"/>
  <c r="BX96" i="4"/>
  <c r="DH96" i="4" s="1"/>
  <c r="AS96" i="4"/>
  <c r="AR96" i="4"/>
  <c r="BY96" i="4" s="1"/>
  <c r="DI96" i="4" s="1"/>
  <c r="AQ96" i="4"/>
  <c r="BY95" i="4"/>
  <c r="DI95" i="4" s="1"/>
  <c r="AS95" i="4"/>
  <c r="BZ95" i="4" s="1"/>
  <c r="DJ95" i="4" s="1"/>
  <c r="AR95" i="4"/>
  <c r="AQ95" i="4"/>
  <c r="BX95" i="4" s="1"/>
  <c r="DH95" i="4" s="1"/>
  <c r="BZ94" i="4"/>
  <c r="DJ94" i="4" s="1"/>
  <c r="BX94" i="4"/>
  <c r="DH94" i="4" s="1"/>
  <c r="AS94" i="4"/>
  <c r="AR94" i="4"/>
  <c r="BY94" i="4" s="1"/>
  <c r="DI94" i="4" s="1"/>
  <c r="AQ94" i="4"/>
  <c r="BY93" i="4"/>
  <c r="DI93" i="4" s="1"/>
  <c r="AS93" i="4"/>
  <c r="BZ93" i="4" s="1"/>
  <c r="DJ93" i="4" s="1"/>
  <c r="AR93" i="4"/>
  <c r="AQ93" i="4"/>
  <c r="BX93" i="4" s="1"/>
  <c r="DH93" i="4" s="1"/>
  <c r="BZ92" i="4"/>
  <c r="DJ92" i="4" s="1"/>
  <c r="BY92" i="4"/>
  <c r="DI92" i="4" s="1"/>
  <c r="AS92" i="4"/>
  <c r="AR92" i="4"/>
  <c r="AQ92" i="4"/>
  <c r="BX92" i="4" s="1"/>
  <c r="DH92" i="4" s="1"/>
  <c r="BX91" i="4"/>
  <c r="DH91" i="4" s="1"/>
  <c r="AS91" i="4"/>
  <c r="BZ91" i="4" s="1"/>
  <c r="DJ91" i="4" s="1"/>
  <c r="AR91" i="4"/>
  <c r="BY91" i="4" s="1"/>
  <c r="DI91" i="4" s="1"/>
  <c r="AQ91" i="4"/>
  <c r="BY90" i="4"/>
  <c r="DI90" i="4" s="1"/>
  <c r="BX90" i="4"/>
  <c r="DH90" i="4" s="1"/>
  <c r="AS90" i="4"/>
  <c r="BZ90" i="4" s="1"/>
  <c r="DJ90" i="4" s="1"/>
  <c r="AR90" i="4"/>
  <c r="AQ90" i="4"/>
  <c r="BZ89" i="4"/>
  <c r="DJ89" i="4" s="1"/>
  <c r="BY89" i="4"/>
  <c r="DI89" i="4" s="1"/>
  <c r="BX89" i="4"/>
  <c r="DH89" i="4" s="1"/>
  <c r="AS89" i="4"/>
  <c r="AR89" i="4"/>
  <c r="AQ89" i="4"/>
  <c r="AS88" i="4"/>
  <c r="BZ88" i="4" s="1"/>
  <c r="DJ88" i="4" s="1"/>
  <c r="AR88" i="4"/>
  <c r="BY88" i="4" s="1"/>
  <c r="DI88" i="4" s="1"/>
  <c r="AQ88" i="4"/>
  <c r="BX88" i="4" s="1"/>
  <c r="DH88" i="4" s="1"/>
  <c r="BZ87" i="4"/>
  <c r="DJ87" i="4" s="1"/>
  <c r="BX87" i="4"/>
  <c r="DH87" i="4" s="1"/>
  <c r="AS87" i="4"/>
  <c r="AR87" i="4"/>
  <c r="BY87" i="4" s="1"/>
  <c r="DI87" i="4" s="1"/>
  <c r="AQ87" i="4"/>
  <c r="BY86" i="4"/>
  <c r="DI86" i="4" s="1"/>
  <c r="AS86" i="4"/>
  <c r="BZ86" i="4" s="1"/>
  <c r="DJ86" i="4" s="1"/>
  <c r="AR86" i="4"/>
  <c r="AQ86" i="4"/>
  <c r="BX86" i="4" s="1"/>
  <c r="DH86" i="4" s="1"/>
  <c r="BZ85" i="4"/>
  <c r="DJ85" i="4" s="1"/>
  <c r="AS85" i="4"/>
  <c r="AR85" i="4"/>
  <c r="BY85" i="4" s="1"/>
  <c r="DI85" i="4" s="1"/>
  <c r="AQ85" i="4"/>
  <c r="BX85" i="4" s="1"/>
  <c r="DH85" i="4" s="1"/>
  <c r="BZ84" i="4"/>
  <c r="DJ84" i="4" s="1"/>
  <c r="BY84" i="4"/>
  <c r="DI84" i="4" s="1"/>
  <c r="AS84" i="4"/>
  <c r="AR84" i="4"/>
  <c r="AQ84" i="4"/>
  <c r="BX84" i="4" s="1"/>
  <c r="DH84" i="4" s="1"/>
  <c r="BX83" i="4"/>
  <c r="DH83" i="4" s="1"/>
  <c r="AS83" i="4"/>
  <c r="BZ83" i="4" s="1"/>
  <c r="DJ83" i="4" s="1"/>
  <c r="AR83" i="4"/>
  <c r="BY83" i="4" s="1"/>
  <c r="DI83" i="4" s="1"/>
  <c r="AQ83" i="4"/>
  <c r="BY82" i="4"/>
  <c r="DI82" i="4" s="1"/>
  <c r="BX82" i="4"/>
  <c r="DH82" i="4" s="1"/>
  <c r="AS82" i="4"/>
  <c r="BZ82" i="4" s="1"/>
  <c r="DJ82" i="4" s="1"/>
  <c r="AR82" i="4"/>
  <c r="AQ82" i="4"/>
  <c r="BZ81" i="4"/>
  <c r="DJ81" i="4" s="1"/>
  <c r="BY81" i="4"/>
  <c r="DI81" i="4" s="1"/>
  <c r="BX81" i="4"/>
  <c r="DH81" i="4" s="1"/>
  <c r="AS81" i="4"/>
  <c r="AR81" i="4"/>
  <c r="AQ81" i="4"/>
  <c r="AS80" i="4"/>
  <c r="BZ80" i="4" s="1"/>
  <c r="DJ80" i="4" s="1"/>
  <c r="AR80" i="4"/>
  <c r="BY80" i="4" s="1"/>
  <c r="DI80" i="4" s="1"/>
  <c r="AQ80" i="4"/>
  <c r="BX80" i="4" s="1"/>
  <c r="DH80" i="4" s="1"/>
  <c r="BZ79" i="4"/>
  <c r="DJ79" i="4" s="1"/>
  <c r="BX79" i="4"/>
  <c r="DH79" i="4" s="1"/>
  <c r="AS79" i="4"/>
  <c r="AR79" i="4"/>
  <c r="BY79" i="4" s="1"/>
  <c r="DI79" i="4" s="1"/>
  <c r="AQ79" i="4"/>
  <c r="BY78" i="4"/>
  <c r="DI78" i="4" s="1"/>
  <c r="AS78" i="4"/>
  <c r="BZ78" i="4" s="1"/>
  <c r="DJ78" i="4" s="1"/>
  <c r="AR78" i="4"/>
  <c r="AQ78" i="4"/>
  <c r="BX78" i="4" s="1"/>
  <c r="DH78" i="4" s="1"/>
  <c r="BZ77" i="4"/>
  <c r="DJ77" i="4" s="1"/>
  <c r="BY77" i="4"/>
  <c r="DI77" i="4" s="1"/>
  <c r="AS77" i="4"/>
  <c r="AR77" i="4"/>
  <c r="AQ77" i="4"/>
  <c r="BX77" i="4" s="1"/>
  <c r="DH77" i="4" s="1"/>
  <c r="BZ76" i="4"/>
  <c r="DJ76" i="4" s="1"/>
  <c r="BY76" i="4"/>
  <c r="DI76" i="4" s="1"/>
  <c r="AS76" i="4"/>
  <c r="AR76" i="4"/>
  <c r="AQ76" i="4"/>
  <c r="BX76" i="4" s="1"/>
  <c r="DH76" i="4" s="1"/>
  <c r="BX75" i="4"/>
  <c r="DH75" i="4" s="1"/>
  <c r="AS75" i="4"/>
  <c r="BZ75" i="4" s="1"/>
  <c r="DJ75" i="4" s="1"/>
  <c r="AR75" i="4"/>
  <c r="BY75" i="4" s="1"/>
  <c r="DI75" i="4" s="1"/>
  <c r="AQ75" i="4"/>
  <c r="BY74" i="4"/>
  <c r="DI74" i="4" s="1"/>
  <c r="BX74" i="4"/>
  <c r="DH74" i="4" s="1"/>
  <c r="AS74" i="4"/>
  <c r="BZ74" i="4" s="1"/>
  <c r="DJ74" i="4" s="1"/>
  <c r="AR74" i="4"/>
  <c r="AQ74" i="4"/>
  <c r="BZ73" i="4"/>
  <c r="DJ73" i="4" s="1"/>
  <c r="BY73" i="4"/>
  <c r="DI73" i="4" s="1"/>
  <c r="BX73" i="4"/>
  <c r="DH73" i="4" s="1"/>
  <c r="AS73" i="4"/>
  <c r="AR73" i="4"/>
  <c r="AQ73" i="4"/>
  <c r="AS72" i="4"/>
  <c r="BZ72" i="4" s="1"/>
  <c r="DJ72" i="4" s="1"/>
  <c r="AR72" i="4"/>
  <c r="BY72" i="4" s="1"/>
  <c r="DI72" i="4" s="1"/>
  <c r="AQ72" i="4"/>
  <c r="BX72" i="4" s="1"/>
  <c r="DH72" i="4" s="1"/>
  <c r="BZ71" i="4"/>
  <c r="DJ71" i="4" s="1"/>
  <c r="BX71" i="4"/>
  <c r="DH71" i="4" s="1"/>
  <c r="AS71" i="4"/>
  <c r="AR71" i="4"/>
  <c r="BY71" i="4" s="1"/>
  <c r="DI71" i="4" s="1"/>
  <c r="AQ71" i="4"/>
  <c r="BY70" i="4"/>
  <c r="DI70" i="4" s="1"/>
  <c r="AS70" i="4"/>
  <c r="BZ70" i="4" s="1"/>
  <c r="DJ70" i="4" s="1"/>
  <c r="AR70" i="4"/>
  <c r="AQ70" i="4"/>
  <c r="BX70" i="4" s="1"/>
  <c r="DH70" i="4" s="1"/>
  <c r="BZ69" i="4"/>
  <c r="DJ69" i="4" s="1"/>
  <c r="AS69" i="4"/>
  <c r="AR69" i="4"/>
  <c r="BY69" i="4" s="1"/>
  <c r="DI69" i="4" s="1"/>
  <c r="AQ69" i="4"/>
  <c r="BX69" i="4" s="1"/>
  <c r="DH69" i="4" s="1"/>
  <c r="BZ68" i="4"/>
  <c r="DJ68" i="4" s="1"/>
  <c r="BY68" i="4"/>
  <c r="DI68" i="4" s="1"/>
  <c r="AS68" i="4"/>
  <c r="AR68" i="4"/>
  <c r="AQ68" i="4"/>
  <c r="BX68" i="4" s="1"/>
  <c r="DH68" i="4" s="1"/>
  <c r="BX67" i="4"/>
  <c r="DH67" i="4" s="1"/>
  <c r="AS67" i="4"/>
  <c r="BZ67" i="4" s="1"/>
  <c r="DJ67" i="4" s="1"/>
  <c r="AR67" i="4"/>
  <c r="BY67" i="4" s="1"/>
  <c r="DI67" i="4" s="1"/>
  <c r="AQ67" i="4"/>
  <c r="BY66" i="4"/>
  <c r="DI66" i="4" s="1"/>
  <c r="BX66" i="4"/>
  <c r="DH66" i="4" s="1"/>
  <c r="AS66" i="4"/>
  <c r="BZ66" i="4" s="1"/>
  <c r="DJ66" i="4" s="1"/>
  <c r="AR66" i="4"/>
  <c r="AQ66" i="4"/>
  <c r="BZ65" i="4"/>
  <c r="DJ65" i="4" s="1"/>
  <c r="BY65" i="4"/>
  <c r="DI65" i="4" s="1"/>
  <c r="BX65" i="4"/>
  <c r="DH65" i="4" s="1"/>
  <c r="AS65" i="4"/>
  <c r="AR65" i="4"/>
  <c r="AQ65" i="4"/>
  <c r="AS64" i="4"/>
  <c r="BZ64" i="4" s="1"/>
  <c r="DJ64" i="4" s="1"/>
  <c r="AR64" i="4"/>
  <c r="BY64" i="4" s="1"/>
  <c r="DI64" i="4" s="1"/>
  <c r="AQ64" i="4"/>
  <c r="BX64" i="4" s="1"/>
  <c r="DH64" i="4" s="1"/>
  <c r="BZ63" i="4"/>
  <c r="DJ63" i="4" s="1"/>
  <c r="BX63" i="4"/>
  <c r="DH63" i="4" s="1"/>
  <c r="AS63" i="4"/>
  <c r="AR63" i="4"/>
  <c r="BY63" i="4" s="1"/>
  <c r="DI63" i="4" s="1"/>
  <c r="AQ63" i="4"/>
  <c r="BY62" i="4"/>
  <c r="DI62" i="4" s="1"/>
  <c r="AS62" i="4"/>
  <c r="BZ62" i="4" s="1"/>
  <c r="DJ62" i="4" s="1"/>
  <c r="AR62" i="4"/>
  <c r="AQ62" i="4"/>
  <c r="BX62" i="4" s="1"/>
  <c r="DH62" i="4" s="1"/>
  <c r="BZ61" i="4"/>
  <c r="DJ61" i="4" s="1"/>
  <c r="BY61" i="4"/>
  <c r="DI61" i="4" s="1"/>
  <c r="AS61" i="4"/>
  <c r="AR61" i="4"/>
  <c r="AQ61" i="4"/>
  <c r="BX61" i="4" s="1"/>
  <c r="DH61" i="4" s="1"/>
  <c r="BZ60" i="4"/>
  <c r="DJ60" i="4" s="1"/>
  <c r="BY60" i="4"/>
  <c r="DI60" i="4" s="1"/>
  <c r="AS60" i="4"/>
  <c r="AR60" i="4"/>
  <c r="AQ60" i="4"/>
  <c r="BX60" i="4" s="1"/>
  <c r="DH60" i="4" s="1"/>
  <c r="BX59" i="4"/>
  <c r="DH59" i="4" s="1"/>
  <c r="AS59" i="4"/>
  <c r="BZ59" i="4" s="1"/>
  <c r="DJ59" i="4" s="1"/>
  <c r="AR59" i="4"/>
  <c r="BY59" i="4" s="1"/>
  <c r="DI59" i="4" s="1"/>
  <c r="AQ59" i="4"/>
  <c r="BY58" i="4"/>
  <c r="DI58" i="4" s="1"/>
  <c r="BX58" i="4"/>
  <c r="DH58" i="4" s="1"/>
  <c r="AS58" i="4"/>
  <c r="BZ58" i="4" s="1"/>
  <c r="DJ58" i="4" s="1"/>
  <c r="AR58" i="4"/>
  <c r="AQ58" i="4"/>
  <c r="BZ57" i="4"/>
  <c r="DJ57" i="4" s="1"/>
  <c r="BY57" i="4"/>
  <c r="DI57" i="4" s="1"/>
  <c r="BX57" i="4"/>
  <c r="DH57" i="4" s="1"/>
  <c r="AS57" i="4"/>
  <c r="AR57" i="4"/>
  <c r="AQ57" i="4"/>
  <c r="AS56" i="4"/>
  <c r="BZ56" i="4" s="1"/>
  <c r="DJ56" i="4" s="1"/>
  <c r="AR56" i="4"/>
  <c r="BY56" i="4" s="1"/>
  <c r="DI56" i="4" s="1"/>
  <c r="AQ56" i="4"/>
  <c r="BX56" i="4" s="1"/>
  <c r="DH56" i="4" s="1"/>
  <c r="BZ55" i="4"/>
  <c r="DJ55" i="4" s="1"/>
  <c r="BX55" i="4"/>
  <c r="DH55" i="4" s="1"/>
  <c r="AS55" i="4"/>
  <c r="AR55" i="4"/>
  <c r="BY55" i="4" s="1"/>
  <c r="DI55" i="4" s="1"/>
  <c r="AQ55" i="4"/>
  <c r="BY54" i="4"/>
  <c r="DI54" i="4" s="1"/>
  <c r="AS54" i="4"/>
  <c r="BZ54" i="4" s="1"/>
  <c r="DJ54" i="4" s="1"/>
  <c r="AR54" i="4"/>
  <c r="AQ54" i="4"/>
  <c r="BX54" i="4" s="1"/>
  <c r="DH54" i="4" s="1"/>
  <c r="BZ53" i="4"/>
  <c r="DJ53" i="4" s="1"/>
  <c r="AS53" i="4"/>
  <c r="AR53" i="4"/>
  <c r="BY53" i="4" s="1"/>
  <c r="DI53" i="4" s="1"/>
  <c r="AQ53" i="4"/>
  <c r="BX53" i="4" s="1"/>
  <c r="DH53" i="4" s="1"/>
  <c r="BZ52" i="4"/>
  <c r="DJ52" i="4" s="1"/>
  <c r="BY52" i="4"/>
  <c r="DI52" i="4" s="1"/>
  <c r="AS52" i="4"/>
  <c r="AR52" i="4"/>
  <c r="AQ52" i="4"/>
  <c r="BX52" i="4" s="1"/>
  <c r="DH52" i="4" s="1"/>
  <c r="BZ51" i="4"/>
  <c r="DJ51" i="4" s="1"/>
  <c r="AS51" i="4"/>
  <c r="AR51" i="4"/>
  <c r="BY51" i="4" s="1"/>
  <c r="DI51" i="4" s="1"/>
  <c r="AQ51" i="4"/>
  <c r="BX51" i="4" s="1"/>
  <c r="DH51" i="4" s="1"/>
  <c r="BX50" i="4"/>
  <c r="DH50" i="4" s="1"/>
  <c r="AS50" i="4"/>
  <c r="BZ50" i="4" s="1"/>
  <c r="DJ50" i="4" s="1"/>
  <c r="AR50" i="4"/>
  <c r="BY50" i="4" s="1"/>
  <c r="DI50" i="4" s="1"/>
  <c r="AQ50" i="4"/>
  <c r="BY49" i="4"/>
  <c r="DI49" i="4" s="1"/>
  <c r="BX49" i="4"/>
  <c r="DH49" i="4" s="1"/>
  <c r="AS49" i="4"/>
  <c r="BZ49" i="4" s="1"/>
  <c r="DJ49" i="4" s="1"/>
  <c r="AR49" i="4"/>
  <c r="AQ49" i="4"/>
  <c r="BZ48" i="4"/>
  <c r="DJ48" i="4" s="1"/>
  <c r="BY48" i="4"/>
  <c r="DI48" i="4" s="1"/>
  <c r="AS48" i="4"/>
  <c r="AR48" i="4"/>
  <c r="AQ48" i="4"/>
  <c r="BX48" i="4" s="1"/>
  <c r="DH48" i="4" s="1"/>
  <c r="BZ47" i="4"/>
  <c r="DJ47" i="4" s="1"/>
  <c r="BY47" i="4"/>
  <c r="DI47" i="4" s="1"/>
  <c r="AS47" i="4"/>
  <c r="AR47" i="4"/>
  <c r="AQ47" i="4"/>
  <c r="BX47" i="4" s="1"/>
  <c r="DH47" i="4" s="1"/>
  <c r="BX46" i="4"/>
  <c r="DH46" i="4" s="1"/>
  <c r="AS46" i="4"/>
  <c r="BZ46" i="4" s="1"/>
  <c r="DJ46" i="4" s="1"/>
  <c r="AR46" i="4"/>
  <c r="BY46" i="4" s="1"/>
  <c r="DI46" i="4" s="1"/>
  <c r="AQ46" i="4"/>
  <c r="BY45" i="4"/>
  <c r="DI45" i="4" s="1"/>
  <c r="BX45" i="4"/>
  <c r="DH45" i="4" s="1"/>
  <c r="AS45" i="4"/>
  <c r="BZ45" i="4" s="1"/>
  <c r="DJ45" i="4" s="1"/>
  <c r="AR45" i="4"/>
  <c r="AQ45" i="4"/>
  <c r="BZ44" i="4"/>
  <c r="DJ44" i="4" s="1"/>
  <c r="BY44" i="4"/>
  <c r="DI44" i="4" s="1"/>
  <c r="AS44" i="4"/>
  <c r="AR44" i="4"/>
  <c r="AQ44" i="4"/>
  <c r="BX44" i="4" s="1"/>
  <c r="DH44" i="4" s="1"/>
  <c r="BZ43" i="4"/>
  <c r="DJ43" i="4" s="1"/>
  <c r="BY43" i="4"/>
  <c r="DI43" i="4" s="1"/>
  <c r="AS43" i="4"/>
  <c r="AR43" i="4"/>
  <c r="AQ43" i="4"/>
  <c r="BX43" i="4" s="1"/>
  <c r="DH43" i="4" s="1"/>
  <c r="BZ42" i="4"/>
  <c r="DJ42" i="4" s="1"/>
  <c r="BX42" i="4"/>
  <c r="DH42" i="4" s="1"/>
  <c r="AS42" i="4"/>
  <c r="AR42" i="4"/>
  <c r="BY42" i="4" s="1"/>
  <c r="DI42" i="4" s="1"/>
  <c r="AQ42" i="4"/>
  <c r="BY41" i="4"/>
  <c r="DI41" i="4" s="1"/>
  <c r="BX41" i="4"/>
  <c r="DH41" i="4" s="1"/>
  <c r="AS41" i="4"/>
  <c r="BZ41" i="4" s="1"/>
  <c r="DJ41" i="4" s="1"/>
  <c r="AR41" i="4"/>
  <c r="AQ41" i="4"/>
  <c r="BZ40" i="4"/>
  <c r="DJ40" i="4" s="1"/>
  <c r="BY40" i="4"/>
  <c r="DI40" i="4" s="1"/>
  <c r="BX40" i="4"/>
  <c r="DH40" i="4" s="1"/>
  <c r="AS40" i="4"/>
  <c r="AR40" i="4"/>
  <c r="AQ40" i="4"/>
  <c r="BZ39" i="4"/>
  <c r="DJ39" i="4" s="1"/>
  <c r="AS39" i="4"/>
  <c r="AR39" i="4"/>
  <c r="BY39" i="4" s="1"/>
  <c r="DI39" i="4" s="1"/>
  <c r="AQ39" i="4"/>
  <c r="BX39" i="4" s="1"/>
  <c r="DH39" i="4" s="1"/>
  <c r="BZ38" i="4"/>
  <c r="DJ38" i="4" s="1"/>
  <c r="BX38" i="4"/>
  <c r="DH38" i="4" s="1"/>
  <c r="AS38" i="4"/>
  <c r="AR38" i="4"/>
  <c r="BY38" i="4" s="1"/>
  <c r="DI38" i="4" s="1"/>
  <c r="AQ38" i="4"/>
  <c r="BY37" i="4"/>
  <c r="DI37" i="4" s="1"/>
  <c r="BX37" i="4"/>
  <c r="DH37" i="4" s="1"/>
  <c r="AS37" i="4"/>
  <c r="BZ37" i="4" s="1"/>
  <c r="DJ37" i="4" s="1"/>
  <c r="AR37" i="4"/>
  <c r="AQ37" i="4"/>
  <c r="BZ36" i="4"/>
  <c r="DJ36" i="4" s="1"/>
  <c r="BX36" i="4"/>
  <c r="DH36" i="4" s="1"/>
  <c r="AS36" i="4"/>
  <c r="AR36" i="4"/>
  <c r="BY36" i="4" s="1"/>
  <c r="DI36" i="4" s="1"/>
  <c r="AQ36" i="4"/>
  <c r="AS35" i="4"/>
  <c r="BZ35" i="4" s="1"/>
  <c r="DJ35" i="4" s="1"/>
  <c r="AR35" i="4"/>
  <c r="BY35" i="4" s="1"/>
  <c r="DI35" i="4" s="1"/>
  <c r="AQ35" i="4"/>
  <c r="BX35" i="4" s="1"/>
  <c r="DH35" i="4" s="1"/>
  <c r="BZ34" i="4"/>
  <c r="DJ34" i="4" s="1"/>
  <c r="BX34" i="4"/>
  <c r="DH34" i="4" s="1"/>
  <c r="AS34" i="4"/>
  <c r="AR34" i="4"/>
  <c r="BY34" i="4" s="1"/>
  <c r="DI34" i="4" s="1"/>
  <c r="AQ34" i="4"/>
  <c r="BY33" i="4"/>
  <c r="DI33" i="4" s="1"/>
  <c r="AS33" i="4"/>
  <c r="BZ33" i="4" s="1"/>
  <c r="DJ33" i="4" s="1"/>
  <c r="AR33" i="4"/>
  <c r="AQ33" i="4"/>
  <c r="BX33" i="4" s="1"/>
  <c r="DH33" i="4" s="1"/>
  <c r="BZ32" i="4"/>
  <c r="DJ32" i="4" s="1"/>
  <c r="BY32" i="4"/>
  <c r="DI32" i="4" s="1"/>
  <c r="AS32" i="4"/>
  <c r="AR32" i="4"/>
  <c r="AQ32" i="4"/>
  <c r="BX32" i="4" s="1"/>
  <c r="DH32" i="4" s="1"/>
  <c r="BZ31" i="4"/>
  <c r="DJ31" i="4" s="1"/>
  <c r="BY31" i="4"/>
  <c r="DI31" i="4" s="1"/>
  <c r="AS31" i="4"/>
  <c r="AR31" i="4"/>
  <c r="AQ31" i="4"/>
  <c r="BX31" i="4" s="1"/>
  <c r="DH31" i="4" s="1"/>
  <c r="BX30" i="4"/>
  <c r="DH30" i="4" s="1"/>
  <c r="AS30" i="4"/>
  <c r="BZ30" i="4" s="1"/>
  <c r="DJ30" i="4" s="1"/>
  <c r="AR30" i="4"/>
  <c r="BY30" i="4" s="1"/>
  <c r="DI30" i="4" s="1"/>
  <c r="AQ30" i="4"/>
  <c r="BY29" i="4"/>
  <c r="DI29" i="4" s="1"/>
  <c r="BX29" i="4"/>
  <c r="DH29" i="4" s="1"/>
  <c r="AS29" i="4"/>
  <c r="BZ29" i="4" s="1"/>
  <c r="DJ29" i="4" s="1"/>
  <c r="AR29" i="4"/>
  <c r="AQ29" i="4"/>
  <c r="BZ28" i="4"/>
  <c r="DJ28" i="4" s="1"/>
  <c r="BX28" i="4"/>
  <c r="DH28" i="4" s="1"/>
  <c r="AS28" i="4"/>
  <c r="AR28" i="4"/>
  <c r="BY28" i="4" s="1"/>
  <c r="DI28" i="4" s="1"/>
  <c r="AQ28" i="4"/>
  <c r="AS27" i="4"/>
  <c r="BZ27" i="4" s="1"/>
  <c r="DJ27" i="4" s="1"/>
  <c r="AR27" i="4"/>
  <c r="BY27" i="4" s="1"/>
  <c r="DI27" i="4" s="1"/>
  <c r="AQ27" i="4"/>
  <c r="BX27" i="4" s="1"/>
  <c r="DH27" i="4" s="1"/>
  <c r="BZ26" i="4"/>
  <c r="DJ26" i="4" s="1"/>
  <c r="BX26" i="4"/>
  <c r="DH26" i="4" s="1"/>
  <c r="AS26" i="4"/>
  <c r="AR26" i="4"/>
  <c r="BY26" i="4" s="1"/>
  <c r="DI26" i="4" s="1"/>
  <c r="AQ26" i="4"/>
  <c r="BY25" i="4"/>
  <c r="DI25" i="4" s="1"/>
  <c r="AS25" i="4"/>
  <c r="BZ25" i="4" s="1"/>
  <c r="DJ25" i="4" s="1"/>
  <c r="AR25" i="4"/>
  <c r="AQ25" i="4"/>
  <c r="BX25" i="4" s="1"/>
  <c r="DH25" i="4" s="1"/>
  <c r="BZ24" i="4"/>
  <c r="DJ24" i="4" s="1"/>
  <c r="BY24" i="4"/>
  <c r="DI24" i="4" s="1"/>
  <c r="AS24" i="4"/>
  <c r="AR24" i="4"/>
  <c r="AQ24" i="4"/>
  <c r="BX24" i="4" s="1"/>
  <c r="DH24" i="4" s="1"/>
  <c r="BZ23" i="4"/>
  <c r="DJ23" i="4" s="1"/>
  <c r="BY23" i="4"/>
  <c r="DI23" i="4" s="1"/>
  <c r="AS23" i="4"/>
  <c r="AR23" i="4"/>
  <c r="AQ23" i="4"/>
  <c r="BX23" i="4" s="1"/>
  <c r="DH23" i="4" s="1"/>
  <c r="BX22" i="4"/>
  <c r="DH22" i="4" s="1"/>
  <c r="AS22" i="4"/>
  <c r="BZ22" i="4" s="1"/>
  <c r="DJ22" i="4" s="1"/>
  <c r="AR22" i="4"/>
  <c r="BY22" i="4" s="1"/>
  <c r="DI22" i="4" s="1"/>
  <c r="AQ22" i="4"/>
  <c r="BY21" i="4"/>
  <c r="DI21" i="4" s="1"/>
  <c r="BX21" i="4"/>
  <c r="DH21" i="4" s="1"/>
  <c r="AS21" i="4"/>
  <c r="BZ21" i="4" s="1"/>
  <c r="DJ21" i="4" s="1"/>
  <c r="AR21" i="4"/>
  <c r="AQ21" i="4"/>
  <c r="BZ20" i="4"/>
  <c r="DJ20" i="4" s="1"/>
  <c r="BX20" i="4"/>
  <c r="DH20" i="4" s="1"/>
  <c r="AS20" i="4"/>
  <c r="AR20" i="4"/>
  <c r="BY20" i="4" s="1"/>
  <c r="DI20" i="4" s="1"/>
  <c r="AQ20" i="4"/>
  <c r="AS19" i="4"/>
  <c r="BZ19" i="4" s="1"/>
  <c r="DJ19" i="4" s="1"/>
  <c r="AR19" i="4"/>
  <c r="BY19" i="4" s="1"/>
  <c r="DI19" i="4" s="1"/>
  <c r="AQ19" i="4"/>
  <c r="BX19" i="4" s="1"/>
  <c r="DH19" i="4" s="1"/>
  <c r="BZ18" i="4"/>
  <c r="DJ18" i="4" s="1"/>
  <c r="BX18" i="4"/>
  <c r="DH18" i="4" s="1"/>
  <c r="AS18" i="4"/>
  <c r="AR18" i="4"/>
  <c r="BY18" i="4" s="1"/>
  <c r="DI18" i="4" s="1"/>
  <c r="AQ18" i="4"/>
  <c r="BY17" i="4"/>
  <c r="DI17" i="4" s="1"/>
  <c r="AS17" i="4"/>
  <c r="BZ17" i="4" s="1"/>
  <c r="DJ17" i="4" s="1"/>
  <c r="AR17" i="4"/>
  <c r="AQ17" i="4"/>
  <c r="BX17" i="4" s="1"/>
  <c r="DH17" i="4" s="1"/>
  <c r="BZ16" i="4"/>
  <c r="DJ16" i="4" s="1"/>
  <c r="BY16" i="4"/>
  <c r="DI16" i="4" s="1"/>
  <c r="AS16" i="4"/>
  <c r="AR16" i="4"/>
  <c r="AQ16" i="4"/>
  <c r="BX16" i="4" s="1"/>
  <c r="DH16" i="4" s="1"/>
  <c r="BZ15" i="4"/>
  <c r="DJ15" i="4" s="1"/>
  <c r="BY15" i="4"/>
  <c r="DI15" i="4" s="1"/>
  <c r="AS15" i="4"/>
  <c r="AR15" i="4"/>
  <c r="AQ15" i="4"/>
  <c r="BX15" i="4" s="1"/>
  <c r="DH15" i="4" s="1"/>
  <c r="BX14" i="4"/>
  <c r="DH14" i="4" s="1"/>
  <c r="AS14" i="4"/>
  <c r="BZ14" i="4" s="1"/>
  <c r="DJ14" i="4" s="1"/>
  <c r="AR14" i="4"/>
  <c r="BY14" i="4" s="1"/>
  <c r="DI14" i="4" s="1"/>
  <c r="AQ14" i="4"/>
  <c r="BY13" i="4"/>
  <c r="DI13" i="4" s="1"/>
  <c r="BX13" i="4"/>
  <c r="DH13" i="4" s="1"/>
  <c r="AS13" i="4"/>
  <c r="BZ13" i="4" s="1"/>
  <c r="DJ13" i="4" s="1"/>
  <c r="AR13" i="4"/>
  <c r="AQ13" i="4"/>
  <c r="BZ12" i="4"/>
  <c r="DJ12" i="4" s="1"/>
  <c r="BX12" i="4"/>
  <c r="DH12" i="4" s="1"/>
  <c r="AS12" i="4"/>
  <c r="AR12" i="4"/>
  <c r="BY12" i="4" s="1"/>
  <c r="DI12" i="4" s="1"/>
  <c r="AQ12" i="4"/>
  <c r="DH11" i="4"/>
  <c r="AS11" i="4"/>
  <c r="BZ11" i="4" s="1"/>
  <c r="DJ11" i="4" s="1"/>
  <c r="AR11" i="4"/>
  <c r="BY11" i="4" s="1"/>
  <c r="DI11" i="4" s="1"/>
  <c r="AQ11" i="4"/>
  <c r="BX11" i="4" s="1"/>
  <c r="BZ10" i="4"/>
  <c r="DJ10" i="4" s="1"/>
  <c r="BX10" i="4"/>
  <c r="DH10" i="4" s="1"/>
  <c r="AS10" i="4"/>
  <c r="AR10" i="4"/>
  <c r="BY10" i="4" s="1"/>
  <c r="DI10" i="4" s="1"/>
  <c r="AQ10" i="4"/>
  <c r="BY9" i="4"/>
  <c r="DI9" i="4" s="1"/>
  <c r="AS9" i="4"/>
  <c r="BZ9" i="4" s="1"/>
  <c r="DJ9" i="4" s="1"/>
  <c r="AR9" i="4"/>
  <c r="AQ9" i="4"/>
  <c r="BX9" i="4" s="1"/>
  <c r="DH9" i="4" s="1"/>
  <c r="BZ8" i="4"/>
  <c r="DJ8" i="4" s="1"/>
  <c r="BY8" i="4"/>
  <c r="DI8" i="4" s="1"/>
  <c r="AS8" i="4"/>
  <c r="AR8" i="4"/>
  <c r="AQ8" i="4"/>
  <c r="BX8" i="4" s="1"/>
  <c r="DH8" i="4" s="1"/>
  <c r="BZ7" i="4"/>
  <c r="DJ7" i="4" s="1"/>
  <c r="BY7" i="4"/>
  <c r="DI7" i="4" s="1"/>
  <c r="AS7" i="4"/>
  <c r="AR7" i="4"/>
  <c r="AQ7" i="4"/>
  <c r="BX7" i="4" s="1"/>
  <c r="DH7" i="4" s="1"/>
  <c r="BX6" i="4"/>
  <c r="DH6" i="4" s="1"/>
  <c r="AS6" i="4"/>
  <c r="BZ6" i="4" s="1"/>
  <c r="DJ6" i="4" s="1"/>
  <c r="AR6" i="4"/>
  <c r="BY6" i="4" s="1"/>
  <c r="DI6" i="4" s="1"/>
  <c r="AQ6" i="4"/>
  <c r="BY5" i="4"/>
  <c r="DI5" i="4" s="1"/>
  <c r="BX5" i="4"/>
  <c r="DH5" i="4" s="1"/>
  <c r="AS5" i="4"/>
  <c r="BZ5" i="4" s="1"/>
  <c r="DJ5" i="4" s="1"/>
  <c r="AR5" i="4"/>
  <c r="AQ5" i="4"/>
  <c r="BZ4" i="4"/>
  <c r="DJ4" i="4" s="1"/>
  <c r="BX4" i="4"/>
  <c r="AS4" i="4"/>
  <c r="AR4" i="4"/>
  <c r="BY4" i="4" s="1"/>
  <c r="AQ4" i="4"/>
  <c r="AG94" i="3"/>
  <c r="Q94" i="3"/>
  <c r="A93" i="3"/>
  <c r="DE92" i="3"/>
  <c r="DD92" i="3"/>
  <c r="DC92" i="3"/>
  <c r="DB92" i="3"/>
  <c r="DA92" i="3"/>
  <c r="CZ92" i="3"/>
  <c r="CY92" i="3"/>
  <c r="CX92" i="3"/>
  <c r="CW92" i="3"/>
  <c r="CV92" i="3"/>
  <c r="CU92" i="3"/>
  <c r="CT92" i="3"/>
  <c r="CS92" i="3"/>
  <c r="CR92" i="3"/>
  <c r="CQ92" i="3"/>
  <c r="CP92" i="3"/>
  <c r="CO92" i="3"/>
  <c r="CN92" i="3"/>
  <c r="CM92" i="3"/>
  <c r="CL92" i="3"/>
  <c r="CK92" i="3"/>
  <c r="CJ92" i="3"/>
  <c r="CI92" i="3"/>
  <c r="CH92" i="3"/>
  <c r="CG92" i="3"/>
  <c r="CF92" i="3"/>
  <c r="CE92" i="3"/>
  <c r="CD92" i="3"/>
  <c r="CC92" i="3"/>
  <c r="CB92" i="3"/>
  <c r="CA92" i="3"/>
  <c r="BZ92" i="3"/>
  <c r="BY92" i="3"/>
  <c r="BU92" i="3"/>
  <c r="BT92" i="3"/>
  <c r="BS92" i="3"/>
  <c r="BR92" i="3"/>
  <c r="BQ92" i="3"/>
  <c r="BQ94" i="3" s="1"/>
  <c r="BP92" i="3"/>
  <c r="BO92" i="3"/>
  <c r="BN92" i="3"/>
  <c r="BM92" i="3"/>
  <c r="BM94" i="3" s="1"/>
  <c r="BL92" i="3"/>
  <c r="BK92" i="3"/>
  <c r="BJ92" i="3"/>
  <c r="BI92" i="3"/>
  <c r="BI94" i="3" s="1"/>
  <c r="BH92" i="3"/>
  <c r="BG92" i="3"/>
  <c r="BF92" i="3"/>
  <c r="BE92" i="3"/>
  <c r="BE94" i="3" s="1"/>
  <c r="BD92" i="3"/>
  <c r="BC92" i="3"/>
  <c r="BB92" i="3"/>
  <c r="BA92" i="3"/>
  <c r="BA94" i="3" s="1"/>
  <c r="AZ92" i="3"/>
  <c r="AY92" i="3"/>
  <c r="AX92" i="3"/>
  <c r="AW92" i="3"/>
  <c r="AW94" i="3" s="1"/>
  <c r="AV92" i="3"/>
  <c r="AU92" i="3"/>
  <c r="AT92" i="3"/>
  <c r="AS92" i="3"/>
  <c r="AS94" i="3" s="1"/>
  <c r="AR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BW90" i="3"/>
  <c r="DG90" i="3" s="1"/>
  <c r="BV90" i="3"/>
  <c r="DF90" i="3" s="1"/>
  <c r="AQ90" i="3"/>
  <c r="BX90" i="3" s="1"/>
  <c r="DH90" i="3" s="1"/>
  <c r="AP90" i="3"/>
  <c r="AO90" i="3"/>
  <c r="BX89" i="3"/>
  <c r="DH89" i="3" s="1"/>
  <c r="BW89" i="3"/>
  <c r="DG89" i="3" s="1"/>
  <c r="BV89" i="3"/>
  <c r="DF89" i="3" s="1"/>
  <c r="AQ89" i="3"/>
  <c r="AP89" i="3"/>
  <c r="AO89" i="3"/>
  <c r="BX88" i="3"/>
  <c r="DH88" i="3" s="1"/>
  <c r="AQ88" i="3"/>
  <c r="AP88" i="3"/>
  <c r="BW88" i="3" s="1"/>
  <c r="DG88" i="3" s="1"/>
  <c r="AO88" i="3"/>
  <c r="BV88" i="3" s="1"/>
  <c r="DF88" i="3" s="1"/>
  <c r="BV87" i="3"/>
  <c r="DF87" i="3" s="1"/>
  <c r="AQ87" i="3"/>
  <c r="BX87" i="3" s="1"/>
  <c r="DH87" i="3" s="1"/>
  <c r="AP87" i="3"/>
  <c r="BW87" i="3" s="1"/>
  <c r="DG87" i="3" s="1"/>
  <c r="AO87" i="3"/>
  <c r="BW86" i="3"/>
  <c r="DG86" i="3" s="1"/>
  <c r="BV86" i="3"/>
  <c r="DF86" i="3" s="1"/>
  <c r="AQ86" i="3"/>
  <c r="BX86" i="3" s="1"/>
  <c r="DH86" i="3" s="1"/>
  <c r="AP86" i="3"/>
  <c r="AO86" i="3"/>
  <c r="DH85" i="3"/>
  <c r="BX85" i="3"/>
  <c r="BV85" i="3"/>
  <c r="DF85" i="3" s="1"/>
  <c r="AQ85" i="3"/>
  <c r="AP85" i="3"/>
  <c r="BW85" i="3" s="1"/>
  <c r="DG85" i="3" s="1"/>
  <c r="AO85" i="3"/>
  <c r="AQ84" i="3"/>
  <c r="BX84" i="3" s="1"/>
  <c r="DH84" i="3" s="1"/>
  <c r="AP84" i="3"/>
  <c r="BW84" i="3" s="1"/>
  <c r="DG84" i="3" s="1"/>
  <c r="AO84" i="3"/>
  <c r="BV84" i="3" s="1"/>
  <c r="DF84" i="3" s="1"/>
  <c r="BX83" i="3"/>
  <c r="DH83" i="3" s="1"/>
  <c r="BV83" i="3"/>
  <c r="DF83" i="3" s="1"/>
  <c r="AQ83" i="3"/>
  <c r="AP83" i="3"/>
  <c r="BW83" i="3" s="1"/>
  <c r="DG83" i="3" s="1"/>
  <c r="AO83" i="3"/>
  <c r="BW82" i="3"/>
  <c r="DG82" i="3" s="1"/>
  <c r="AQ82" i="3"/>
  <c r="BX82" i="3" s="1"/>
  <c r="DH82" i="3" s="1"/>
  <c r="AP82" i="3"/>
  <c r="AO82" i="3"/>
  <c r="BV82" i="3" s="1"/>
  <c r="DF82" i="3" s="1"/>
  <c r="BX81" i="3"/>
  <c r="DH81" i="3" s="1"/>
  <c r="AQ81" i="3"/>
  <c r="AP81" i="3"/>
  <c r="BW81" i="3" s="1"/>
  <c r="DG81" i="3" s="1"/>
  <c r="AO81" i="3"/>
  <c r="BV81" i="3" s="1"/>
  <c r="DF81" i="3" s="1"/>
  <c r="BX80" i="3"/>
  <c r="DH80" i="3" s="1"/>
  <c r="BW80" i="3"/>
  <c r="DG80" i="3" s="1"/>
  <c r="AQ80" i="3"/>
  <c r="AP80" i="3"/>
  <c r="AO80" i="3"/>
  <c r="BV80" i="3" s="1"/>
  <c r="DF80" i="3" s="1"/>
  <c r="BV79" i="3"/>
  <c r="DF79" i="3" s="1"/>
  <c r="AQ79" i="3"/>
  <c r="BX79" i="3" s="1"/>
  <c r="DH79" i="3" s="1"/>
  <c r="AP79" i="3"/>
  <c r="BW79" i="3" s="1"/>
  <c r="DG79" i="3" s="1"/>
  <c r="AO79" i="3"/>
  <c r="BW78" i="3"/>
  <c r="DG78" i="3" s="1"/>
  <c r="BV78" i="3"/>
  <c r="DF78" i="3" s="1"/>
  <c r="AQ78" i="3"/>
  <c r="BX78" i="3" s="1"/>
  <c r="DH78" i="3" s="1"/>
  <c r="AP78" i="3"/>
  <c r="AO78" i="3"/>
  <c r="BX77" i="3"/>
  <c r="DH77" i="3" s="1"/>
  <c r="BV77" i="3"/>
  <c r="DF77" i="3" s="1"/>
  <c r="AQ77" i="3"/>
  <c r="AP77" i="3"/>
  <c r="BW77" i="3" s="1"/>
  <c r="DG77" i="3" s="1"/>
  <c r="AO77" i="3"/>
  <c r="AQ76" i="3"/>
  <c r="BX76" i="3" s="1"/>
  <c r="DH76" i="3" s="1"/>
  <c r="AP76" i="3"/>
  <c r="BW76" i="3" s="1"/>
  <c r="DG76" i="3" s="1"/>
  <c r="AO76" i="3"/>
  <c r="BV76" i="3" s="1"/>
  <c r="DF76" i="3" s="1"/>
  <c r="BX75" i="3"/>
  <c r="DH75" i="3" s="1"/>
  <c r="BV75" i="3"/>
  <c r="DF75" i="3" s="1"/>
  <c r="AQ75" i="3"/>
  <c r="AP75" i="3"/>
  <c r="BW75" i="3" s="1"/>
  <c r="DG75" i="3" s="1"/>
  <c r="AO75" i="3"/>
  <c r="BW74" i="3"/>
  <c r="DG74" i="3" s="1"/>
  <c r="AQ74" i="3"/>
  <c r="BX74" i="3" s="1"/>
  <c r="DH74" i="3" s="1"/>
  <c r="AP74" i="3"/>
  <c r="AO74" i="3"/>
  <c r="BV74" i="3" s="1"/>
  <c r="DF74" i="3" s="1"/>
  <c r="BX73" i="3"/>
  <c r="DH73" i="3" s="1"/>
  <c r="BW73" i="3"/>
  <c r="DG73" i="3" s="1"/>
  <c r="AQ73" i="3"/>
  <c r="AP73" i="3"/>
  <c r="AO73" i="3"/>
  <c r="BV73" i="3" s="1"/>
  <c r="DF73" i="3" s="1"/>
  <c r="BX72" i="3"/>
  <c r="DH72" i="3" s="1"/>
  <c r="BW72" i="3"/>
  <c r="DG72" i="3" s="1"/>
  <c r="AQ72" i="3"/>
  <c r="AP72" i="3"/>
  <c r="AO72" i="3"/>
  <c r="BV72" i="3" s="1"/>
  <c r="DF72" i="3" s="1"/>
  <c r="BV71" i="3"/>
  <c r="DF71" i="3" s="1"/>
  <c r="AQ71" i="3"/>
  <c r="BX71" i="3" s="1"/>
  <c r="DH71" i="3" s="1"/>
  <c r="AP71" i="3"/>
  <c r="BW71" i="3" s="1"/>
  <c r="DG71" i="3" s="1"/>
  <c r="AO71" i="3"/>
  <c r="BW70" i="3"/>
  <c r="DG70" i="3" s="1"/>
  <c r="BV70" i="3"/>
  <c r="DF70" i="3" s="1"/>
  <c r="AQ70" i="3"/>
  <c r="BX70" i="3" s="1"/>
  <c r="DH70" i="3" s="1"/>
  <c r="AP70" i="3"/>
  <c r="AO70" i="3"/>
  <c r="BX69" i="3"/>
  <c r="DH69" i="3" s="1"/>
  <c r="BV69" i="3"/>
  <c r="DF69" i="3" s="1"/>
  <c r="AQ69" i="3"/>
  <c r="AP69" i="3"/>
  <c r="BW69" i="3" s="1"/>
  <c r="DG69" i="3" s="1"/>
  <c r="AO69" i="3"/>
  <c r="AQ68" i="3"/>
  <c r="BX68" i="3" s="1"/>
  <c r="DH68" i="3" s="1"/>
  <c r="AP68" i="3"/>
  <c r="BW68" i="3" s="1"/>
  <c r="DG68" i="3" s="1"/>
  <c r="AO68" i="3"/>
  <c r="BV68" i="3" s="1"/>
  <c r="DF68" i="3" s="1"/>
  <c r="BX67" i="3"/>
  <c r="DH67" i="3" s="1"/>
  <c r="BV67" i="3"/>
  <c r="DF67" i="3" s="1"/>
  <c r="AQ67" i="3"/>
  <c r="AP67" i="3"/>
  <c r="BW67" i="3" s="1"/>
  <c r="DG67" i="3" s="1"/>
  <c r="AO67" i="3"/>
  <c r="BW66" i="3"/>
  <c r="DG66" i="3" s="1"/>
  <c r="AQ66" i="3"/>
  <c r="BX66" i="3" s="1"/>
  <c r="DH66" i="3" s="1"/>
  <c r="AP66" i="3"/>
  <c r="AO66" i="3"/>
  <c r="BV66" i="3" s="1"/>
  <c r="DF66" i="3" s="1"/>
  <c r="BX65" i="3"/>
  <c r="DH65" i="3" s="1"/>
  <c r="BW65" i="3"/>
  <c r="DG65" i="3" s="1"/>
  <c r="AQ65" i="3"/>
  <c r="AP65" i="3"/>
  <c r="AO65" i="3"/>
  <c r="BV65" i="3" s="1"/>
  <c r="DF65" i="3" s="1"/>
  <c r="BX64" i="3"/>
  <c r="DH64" i="3" s="1"/>
  <c r="BW64" i="3"/>
  <c r="DG64" i="3" s="1"/>
  <c r="AQ64" i="3"/>
  <c r="AP64" i="3"/>
  <c r="AO64" i="3"/>
  <c r="BV64" i="3" s="1"/>
  <c r="DF64" i="3" s="1"/>
  <c r="BV63" i="3"/>
  <c r="DF63" i="3" s="1"/>
  <c r="AQ63" i="3"/>
  <c r="BX63" i="3" s="1"/>
  <c r="DH63" i="3" s="1"/>
  <c r="AP63" i="3"/>
  <c r="BW63" i="3" s="1"/>
  <c r="DG63" i="3" s="1"/>
  <c r="AO63" i="3"/>
  <c r="BW62" i="3"/>
  <c r="DG62" i="3" s="1"/>
  <c r="BV62" i="3"/>
  <c r="DF62" i="3" s="1"/>
  <c r="AQ62" i="3"/>
  <c r="BX62" i="3" s="1"/>
  <c r="DH62" i="3" s="1"/>
  <c r="AP62" i="3"/>
  <c r="AO62" i="3"/>
  <c r="BX61" i="3"/>
  <c r="DH61" i="3" s="1"/>
  <c r="BV61" i="3"/>
  <c r="DF61" i="3" s="1"/>
  <c r="AQ61" i="3"/>
  <c r="AP61" i="3"/>
  <c r="BW61" i="3" s="1"/>
  <c r="DG61" i="3" s="1"/>
  <c r="AO61" i="3"/>
  <c r="AQ60" i="3"/>
  <c r="BX60" i="3" s="1"/>
  <c r="DH60" i="3" s="1"/>
  <c r="AP60" i="3"/>
  <c r="BW60" i="3" s="1"/>
  <c r="DG60" i="3" s="1"/>
  <c r="AO60" i="3"/>
  <c r="BV60" i="3" s="1"/>
  <c r="DF60" i="3" s="1"/>
  <c r="BX59" i="3"/>
  <c r="DH59" i="3" s="1"/>
  <c r="BV59" i="3"/>
  <c r="DF59" i="3" s="1"/>
  <c r="AQ59" i="3"/>
  <c r="AP59" i="3"/>
  <c r="BW59" i="3" s="1"/>
  <c r="DG59" i="3" s="1"/>
  <c r="AO59" i="3"/>
  <c r="BW58" i="3"/>
  <c r="DG58" i="3" s="1"/>
  <c r="AQ58" i="3"/>
  <c r="BX58" i="3" s="1"/>
  <c r="DH58" i="3" s="1"/>
  <c r="AP58" i="3"/>
  <c r="AO58" i="3"/>
  <c r="BV58" i="3" s="1"/>
  <c r="DF58" i="3" s="1"/>
  <c r="BX57" i="3"/>
  <c r="DH57" i="3" s="1"/>
  <c r="AQ57" i="3"/>
  <c r="AP57" i="3"/>
  <c r="BW57" i="3" s="1"/>
  <c r="DG57" i="3" s="1"/>
  <c r="AO57" i="3"/>
  <c r="BV57" i="3" s="1"/>
  <c r="DF57" i="3" s="1"/>
  <c r="BX56" i="3"/>
  <c r="DH56" i="3" s="1"/>
  <c r="BW56" i="3"/>
  <c r="DG56" i="3" s="1"/>
  <c r="AQ56" i="3"/>
  <c r="AP56" i="3"/>
  <c r="AO56" i="3"/>
  <c r="BV56" i="3" s="1"/>
  <c r="DF56" i="3" s="1"/>
  <c r="BV55" i="3"/>
  <c r="DF55" i="3" s="1"/>
  <c r="AQ55" i="3"/>
  <c r="BX55" i="3" s="1"/>
  <c r="DH55" i="3" s="1"/>
  <c r="AP55" i="3"/>
  <c r="BW55" i="3" s="1"/>
  <c r="DG55" i="3" s="1"/>
  <c r="AO55" i="3"/>
  <c r="BW54" i="3"/>
  <c r="DG54" i="3" s="1"/>
  <c r="BV54" i="3"/>
  <c r="DF54" i="3" s="1"/>
  <c r="AQ54" i="3"/>
  <c r="BX54" i="3" s="1"/>
  <c r="DH54" i="3" s="1"/>
  <c r="AP54" i="3"/>
  <c r="AO54" i="3"/>
  <c r="BV53" i="3"/>
  <c r="DF53" i="3" s="1"/>
  <c r="AQ53" i="3"/>
  <c r="BX53" i="3" s="1"/>
  <c r="DH53" i="3" s="1"/>
  <c r="AP53" i="3"/>
  <c r="BW53" i="3" s="1"/>
  <c r="DG53" i="3" s="1"/>
  <c r="AO53" i="3"/>
  <c r="BW52" i="3"/>
  <c r="DG52" i="3" s="1"/>
  <c r="BV52" i="3"/>
  <c r="DF52" i="3" s="1"/>
  <c r="AQ52" i="3"/>
  <c r="BX52" i="3" s="1"/>
  <c r="DH52" i="3" s="1"/>
  <c r="AP52" i="3"/>
  <c r="AO52" i="3"/>
  <c r="BX51" i="3"/>
  <c r="DH51" i="3" s="1"/>
  <c r="AQ51" i="3"/>
  <c r="AP51" i="3"/>
  <c r="BW51" i="3" s="1"/>
  <c r="DG51" i="3" s="1"/>
  <c r="AO51" i="3"/>
  <c r="BV51" i="3" s="1"/>
  <c r="DF51" i="3" s="1"/>
  <c r="AQ50" i="3"/>
  <c r="BX50" i="3" s="1"/>
  <c r="DH50" i="3" s="1"/>
  <c r="AP50" i="3"/>
  <c r="BW50" i="3" s="1"/>
  <c r="DG50" i="3" s="1"/>
  <c r="AO50" i="3"/>
  <c r="BV50" i="3" s="1"/>
  <c r="DF50" i="3" s="1"/>
  <c r="BV49" i="3"/>
  <c r="DF49" i="3" s="1"/>
  <c r="AQ49" i="3"/>
  <c r="AP49" i="3"/>
  <c r="BW49" i="3" s="1"/>
  <c r="DG49" i="3" s="1"/>
  <c r="AO49" i="3"/>
  <c r="BW48" i="3"/>
  <c r="DG48" i="3" s="1"/>
  <c r="AQ48" i="3"/>
  <c r="AP48" i="3"/>
  <c r="AO48" i="3"/>
  <c r="BV48" i="3" s="1"/>
  <c r="DF48" i="3" s="1"/>
  <c r="BX47" i="3"/>
  <c r="DH47" i="3" s="1"/>
  <c r="BW47" i="3"/>
  <c r="DG47" i="3" s="1"/>
  <c r="AQ47" i="3"/>
  <c r="AP47" i="3"/>
  <c r="AO47" i="3"/>
  <c r="BV47" i="3" s="1"/>
  <c r="DF47" i="3" s="1"/>
  <c r="BX46" i="3"/>
  <c r="DH46" i="3" s="1"/>
  <c r="AQ46" i="3"/>
  <c r="AP46" i="3"/>
  <c r="BW46" i="3" s="1"/>
  <c r="DG46" i="3" s="1"/>
  <c r="AO46" i="3"/>
  <c r="BV46" i="3" s="1"/>
  <c r="DF46" i="3" s="1"/>
  <c r="BV45" i="3"/>
  <c r="DF45" i="3" s="1"/>
  <c r="AQ45" i="3"/>
  <c r="BX45" i="3" s="1"/>
  <c r="DH45" i="3" s="1"/>
  <c r="AP45" i="3"/>
  <c r="BW45" i="3" s="1"/>
  <c r="DG45" i="3" s="1"/>
  <c r="AO45" i="3"/>
  <c r="BW44" i="3"/>
  <c r="DG44" i="3" s="1"/>
  <c r="AQ44" i="3"/>
  <c r="BX44" i="3" s="1"/>
  <c r="DH44" i="3" s="1"/>
  <c r="AP44" i="3"/>
  <c r="AO44" i="3"/>
  <c r="BV44" i="3" s="1"/>
  <c r="DF44" i="3" s="1"/>
  <c r="DH43" i="3"/>
  <c r="BX43" i="3"/>
  <c r="BW43" i="3"/>
  <c r="AQ43" i="3"/>
  <c r="AP43" i="3"/>
  <c r="AO43" i="3"/>
  <c r="DE42" i="3"/>
  <c r="DD42" i="3"/>
  <c r="DC42" i="3"/>
  <c r="DC94" i="3" s="1"/>
  <c r="DB42" i="3"/>
  <c r="DB94" i="3" s="1"/>
  <c r="DA42" i="3"/>
  <c r="DA94" i="3" s="1"/>
  <c r="CZ42" i="3"/>
  <c r="CY42" i="3"/>
  <c r="CY94" i="3" s="1"/>
  <c r="CX42" i="3"/>
  <c r="CX94" i="3" s="1"/>
  <c r="CW42" i="3"/>
  <c r="CV42" i="3"/>
  <c r="CU42" i="3"/>
  <c r="CU94" i="3" s="1"/>
  <c r="CT42" i="3"/>
  <c r="CT94" i="3" s="1"/>
  <c r="CS42" i="3"/>
  <c r="CS94" i="3" s="1"/>
  <c r="CR42" i="3"/>
  <c r="CQ42" i="3"/>
  <c r="CQ94" i="3" s="1"/>
  <c r="CP42" i="3"/>
  <c r="CP94" i="3" s="1"/>
  <c r="CO42" i="3"/>
  <c r="CN42" i="3"/>
  <c r="CM42" i="3"/>
  <c r="CM94" i="3" s="1"/>
  <c r="CL42" i="3"/>
  <c r="CL94" i="3" s="1"/>
  <c r="CK42" i="3"/>
  <c r="CK94" i="3" s="1"/>
  <c r="CJ42" i="3"/>
  <c r="CI42" i="3"/>
  <c r="CI94" i="3" s="1"/>
  <c r="CH42" i="3"/>
  <c r="CH94" i="3" s="1"/>
  <c r="CG42" i="3"/>
  <c r="CF42" i="3"/>
  <c r="CE42" i="3"/>
  <c r="CE94" i="3" s="1"/>
  <c r="CD42" i="3"/>
  <c r="CD94" i="3" s="1"/>
  <c r="CC42" i="3"/>
  <c r="CC94" i="3" s="1"/>
  <c r="CB42" i="3"/>
  <c r="CA42" i="3"/>
  <c r="CA94" i="3" s="1"/>
  <c r="BZ42" i="3"/>
  <c r="BZ94" i="3" s="1"/>
  <c r="BY42" i="3"/>
  <c r="BU42" i="3"/>
  <c r="BT42" i="3"/>
  <c r="BS42" i="3"/>
  <c r="BS94" i="3" s="1"/>
  <c r="BR42" i="3"/>
  <c r="BR94" i="3" s="1"/>
  <c r="BQ42" i="3"/>
  <c r="BP42" i="3"/>
  <c r="BO42" i="3"/>
  <c r="BO94" i="3" s="1"/>
  <c r="BN42" i="3"/>
  <c r="BN94" i="3" s="1"/>
  <c r="BM42" i="3"/>
  <c r="BL42" i="3"/>
  <c r="BK42" i="3"/>
  <c r="BK94" i="3" s="1"/>
  <c r="BJ42" i="3"/>
  <c r="BJ94" i="3" s="1"/>
  <c r="BI42" i="3"/>
  <c r="BH42" i="3"/>
  <c r="BG42" i="3"/>
  <c r="BG94" i="3" s="1"/>
  <c r="BF42" i="3"/>
  <c r="BF94" i="3" s="1"/>
  <c r="BE42" i="3"/>
  <c r="BD42" i="3"/>
  <c r="BC42" i="3"/>
  <c r="BC94" i="3" s="1"/>
  <c r="BB42" i="3"/>
  <c r="BB94" i="3" s="1"/>
  <c r="BA42" i="3"/>
  <c r="AZ42" i="3"/>
  <c r="AY42" i="3"/>
  <c r="AY94" i="3" s="1"/>
  <c r="AX42" i="3"/>
  <c r="AX94" i="3" s="1"/>
  <c r="AW42" i="3"/>
  <c r="AV42" i="3"/>
  <c r="AU42" i="3"/>
  <c r="AU94" i="3" s="1"/>
  <c r="AT42" i="3"/>
  <c r="AT94" i="3" s="1"/>
  <c r="AS42" i="3"/>
  <c r="AR42" i="3"/>
  <c r="AN42" i="3"/>
  <c r="AM42" i="3"/>
  <c r="AM94" i="3" s="1"/>
  <c r="AL42" i="3"/>
  <c r="AL94" i="3" s="1"/>
  <c r="AK42" i="3"/>
  <c r="AJ42" i="3"/>
  <c r="AI42" i="3"/>
  <c r="AI94" i="3" s="1"/>
  <c r="AH42" i="3"/>
  <c r="AH94" i="3" s="1"/>
  <c r="AG42" i="3"/>
  <c r="AF42" i="3"/>
  <c r="AE42" i="3"/>
  <c r="AE94" i="3" s="1"/>
  <c r="AD42" i="3"/>
  <c r="AD94" i="3" s="1"/>
  <c r="AC42" i="3"/>
  <c r="AB42" i="3"/>
  <c r="AA42" i="3"/>
  <c r="AA94" i="3" s="1"/>
  <c r="Z42" i="3"/>
  <c r="Z94" i="3" s="1"/>
  <c r="Y42" i="3"/>
  <c r="Y94" i="3" s="1"/>
  <c r="X42" i="3"/>
  <c r="W42" i="3"/>
  <c r="W94" i="3" s="1"/>
  <c r="V42" i="3"/>
  <c r="V94" i="3" s="1"/>
  <c r="U42" i="3"/>
  <c r="T42" i="3"/>
  <c r="S42" i="3"/>
  <c r="S94" i="3" s="1"/>
  <c r="R42" i="3"/>
  <c r="R94" i="3" s="1"/>
  <c r="Q42" i="3"/>
  <c r="P42" i="3"/>
  <c r="O42" i="3"/>
  <c r="O94" i="3" s="1"/>
  <c r="N42" i="3"/>
  <c r="N94" i="3" s="1"/>
  <c r="M42" i="3"/>
  <c r="L42" i="3"/>
  <c r="K42" i="3"/>
  <c r="K94" i="3" s="1"/>
  <c r="BX40" i="3"/>
  <c r="DH40" i="3" s="1"/>
  <c r="BW40" i="3"/>
  <c r="DG40" i="3" s="1"/>
  <c r="BV40" i="3"/>
  <c r="DF40" i="3" s="1"/>
  <c r="AQ40" i="3"/>
  <c r="AP40" i="3"/>
  <c r="AO40" i="3"/>
  <c r="DH39" i="3"/>
  <c r="BX39" i="3"/>
  <c r="AQ39" i="3"/>
  <c r="AP39" i="3"/>
  <c r="BW39" i="3" s="1"/>
  <c r="DG39" i="3" s="1"/>
  <c r="AO39" i="3"/>
  <c r="BV39" i="3" s="1"/>
  <c r="DF39" i="3" s="1"/>
  <c r="BX38" i="3"/>
  <c r="DH38" i="3" s="1"/>
  <c r="BV38" i="3"/>
  <c r="DF38" i="3" s="1"/>
  <c r="AQ38" i="3"/>
  <c r="AP38" i="3"/>
  <c r="BW38" i="3" s="1"/>
  <c r="DG38" i="3" s="1"/>
  <c r="AO38" i="3"/>
  <c r="BW37" i="3"/>
  <c r="DG37" i="3" s="1"/>
  <c r="BV37" i="3"/>
  <c r="DF37" i="3" s="1"/>
  <c r="AQ37" i="3"/>
  <c r="BX37" i="3" s="1"/>
  <c r="DH37" i="3" s="1"/>
  <c r="AP37" i="3"/>
  <c r="AO37" i="3"/>
  <c r="DG36" i="3"/>
  <c r="BX36" i="3"/>
  <c r="DH36" i="3" s="1"/>
  <c r="BW36" i="3"/>
  <c r="BV36" i="3"/>
  <c r="DF36" i="3" s="1"/>
  <c r="AQ36" i="3"/>
  <c r="AP36" i="3"/>
  <c r="AO36" i="3"/>
  <c r="BX35" i="3"/>
  <c r="DH35" i="3" s="1"/>
  <c r="AQ35" i="3"/>
  <c r="AP35" i="3"/>
  <c r="BW35" i="3" s="1"/>
  <c r="DG35" i="3" s="1"/>
  <c r="AO35" i="3"/>
  <c r="BV35" i="3" s="1"/>
  <c r="DF35" i="3" s="1"/>
  <c r="BV34" i="3"/>
  <c r="DF34" i="3" s="1"/>
  <c r="AQ34" i="3"/>
  <c r="BX34" i="3" s="1"/>
  <c r="DH34" i="3" s="1"/>
  <c r="AP34" i="3"/>
  <c r="BW34" i="3" s="1"/>
  <c r="DG34" i="3" s="1"/>
  <c r="AO34" i="3"/>
  <c r="DG33" i="3"/>
  <c r="BW33" i="3"/>
  <c r="BV33" i="3"/>
  <c r="DF33" i="3" s="1"/>
  <c r="AQ33" i="3"/>
  <c r="BX33" i="3" s="1"/>
  <c r="DH33" i="3" s="1"/>
  <c r="AP33" i="3"/>
  <c r="AO33" i="3"/>
  <c r="DG32" i="3"/>
  <c r="BX32" i="3"/>
  <c r="DH32" i="3" s="1"/>
  <c r="BW32" i="3"/>
  <c r="BV32" i="3"/>
  <c r="DF32" i="3" s="1"/>
  <c r="AQ32" i="3"/>
  <c r="AP32" i="3"/>
  <c r="AO32" i="3"/>
  <c r="BX31" i="3"/>
  <c r="DH31" i="3" s="1"/>
  <c r="BW31" i="3"/>
  <c r="DG31" i="3" s="1"/>
  <c r="AQ31" i="3"/>
  <c r="AP31" i="3"/>
  <c r="AO31" i="3"/>
  <c r="BV31" i="3" s="1"/>
  <c r="DF31" i="3" s="1"/>
  <c r="DF30" i="3"/>
  <c r="BV30" i="3"/>
  <c r="AQ30" i="3"/>
  <c r="BX30" i="3" s="1"/>
  <c r="DH30" i="3" s="1"/>
  <c r="AP30" i="3"/>
  <c r="BW30" i="3" s="1"/>
  <c r="DG30" i="3" s="1"/>
  <c r="AO30" i="3"/>
  <c r="BW29" i="3"/>
  <c r="DG29" i="3" s="1"/>
  <c r="BV29" i="3"/>
  <c r="DF29" i="3" s="1"/>
  <c r="AQ29" i="3"/>
  <c r="BX29" i="3" s="1"/>
  <c r="DH29" i="3" s="1"/>
  <c r="AP29" i="3"/>
  <c r="AO29" i="3"/>
  <c r="BX28" i="3"/>
  <c r="DH28" i="3" s="1"/>
  <c r="BV28" i="3"/>
  <c r="DF28" i="3" s="1"/>
  <c r="AQ28" i="3"/>
  <c r="AP28" i="3"/>
  <c r="BW28" i="3" s="1"/>
  <c r="DG28" i="3" s="1"/>
  <c r="AO28" i="3"/>
  <c r="BX27" i="3"/>
  <c r="DH27" i="3" s="1"/>
  <c r="AQ27" i="3"/>
  <c r="AP27" i="3"/>
  <c r="BW27" i="3" s="1"/>
  <c r="DG27" i="3" s="1"/>
  <c r="AO27" i="3"/>
  <c r="BV27" i="3" s="1"/>
  <c r="DF27" i="3" s="1"/>
  <c r="BX26" i="3"/>
  <c r="DH26" i="3" s="1"/>
  <c r="BV26" i="3"/>
  <c r="DF26" i="3" s="1"/>
  <c r="AQ26" i="3"/>
  <c r="AP26" i="3"/>
  <c r="BW26" i="3" s="1"/>
  <c r="DG26" i="3" s="1"/>
  <c r="AO26" i="3"/>
  <c r="BW25" i="3"/>
  <c r="DG25" i="3" s="1"/>
  <c r="BV25" i="3"/>
  <c r="DF25" i="3" s="1"/>
  <c r="AQ25" i="3"/>
  <c r="BX25" i="3" s="1"/>
  <c r="DH25" i="3" s="1"/>
  <c r="AP25" i="3"/>
  <c r="AO25" i="3"/>
  <c r="BX24" i="3"/>
  <c r="DH24" i="3" s="1"/>
  <c r="BW24" i="3"/>
  <c r="DG24" i="3" s="1"/>
  <c r="BV24" i="3"/>
  <c r="DF24" i="3" s="1"/>
  <c r="AQ24" i="3"/>
  <c r="AP24" i="3"/>
  <c r="AO24" i="3"/>
  <c r="BW23" i="3"/>
  <c r="DG23" i="3" s="1"/>
  <c r="AQ23" i="3"/>
  <c r="BX23" i="3" s="1"/>
  <c r="DH23" i="3" s="1"/>
  <c r="AP23" i="3"/>
  <c r="AO23" i="3"/>
  <c r="BV23" i="3" s="1"/>
  <c r="DF23" i="3" s="1"/>
  <c r="DF22" i="3"/>
  <c r="BW22" i="3"/>
  <c r="DG22" i="3" s="1"/>
  <c r="BV22" i="3"/>
  <c r="AQ22" i="3"/>
  <c r="BX22" i="3" s="1"/>
  <c r="DH22" i="3" s="1"/>
  <c r="AP22" i="3"/>
  <c r="AO22" i="3"/>
  <c r="BX21" i="3"/>
  <c r="DH21" i="3" s="1"/>
  <c r="BW21" i="3"/>
  <c r="DG21" i="3" s="1"/>
  <c r="BV21" i="3"/>
  <c r="DF21" i="3" s="1"/>
  <c r="AQ21" i="3"/>
  <c r="AP21" i="3"/>
  <c r="AO21" i="3"/>
  <c r="BX20" i="3"/>
  <c r="DH20" i="3" s="1"/>
  <c r="BW20" i="3"/>
  <c r="DG20" i="3" s="1"/>
  <c r="AQ20" i="3"/>
  <c r="AP20" i="3"/>
  <c r="AO20" i="3"/>
  <c r="BV20" i="3" s="1"/>
  <c r="DF20" i="3" s="1"/>
  <c r="BX19" i="3"/>
  <c r="DH19" i="3" s="1"/>
  <c r="BV19" i="3"/>
  <c r="DF19" i="3" s="1"/>
  <c r="AQ19" i="3"/>
  <c r="AP19" i="3"/>
  <c r="BW19" i="3" s="1"/>
  <c r="DG19" i="3" s="1"/>
  <c r="AO19" i="3"/>
  <c r="BW18" i="3"/>
  <c r="DG18" i="3" s="1"/>
  <c r="BV18" i="3"/>
  <c r="DF18" i="3" s="1"/>
  <c r="AQ18" i="3"/>
  <c r="BX18" i="3" s="1"/>
  <c r="DH18" i="3" s="1"/>
  <c r="AP18" i="3"/>
  <c r="AO18" i="3"/>
  <c r="BX17" i="3"/>
  <c r="DH17" i="3" s="1"/>
  <c r="BW17" i="3"/>
  <c r="DG17" i="3" s="1"/>
  <c r="BV17" i="3"/>
  <c r="DF17" i="3" s="1"/>
  <c r="AQ17" i="3"/>
  <c r="AP17" i="3"/>
  <c r="AO17" i="3"/>
  <c r="BX16" i="3"/>
  <c r="DH16" i="3" s="1"/>
  <c r="BW16" i="3"/>
  <c r="DG16" i="3" s="1"/>
  <c r="AQ16" i="3"/>
  <c r="AP16" i="3"/>
  <c r="AO16" i="3"/>
  <c r="BV16" i="3" s="1"/>
  <c r="DF16" i="3" s="1"/>
  <c r="BX15" i="3"/>
  <c r="DH15" i="3" s="1"/>
  <c r="BV15" i="3"/>
  <c r="DF15" i="3" s="1"/>
  <c r="AQ15" i="3"/>
  <c r="AP15" i="3"/>
  <c r="BW15" i="3" s="1"/>
  <c r="DG15" i="3" s="1"/>
  <c r="AO15" i="3"/>
  <c r="BW14" i="3"/>
  <c r="DG14" i="3" s="1"/>
  <c r="BV14" i="3"/>
  <c r="DF14" i="3" s="1"/>
  <c r="AQ14" i="3"/>
  <c r="BX14" i="3" s="1"/>
  <c r="DH14" i="3" s="1"/>
  <c r="AP14" i="3"/>
  <c r="AO14" i="3"/>
  <c r="BX13" i="3"/>
  <c r="DH13" i="3" s="1"/>
  <c r="BW13" i="3"/>
  <c r="DG13" i="3" s="1"/>
  <c r="BV13" i="3"/>
  <c r="DF13" i="3" s="1"/>
  <c r="BX12" i="3"/>
  <c r="DH12" i="3" s="1"/>
  <c r="BW12" i="3"/>
  <c r="DG12" i="3" s="1"/>
  <c r="AQ12" i="3"/>
  <c r="AP12" i="3"/>
  <c r="AO12" i="3"/>
  <c r="BV12" i="3" s="1"/>
  <c r="DF12" i="3" s="1"/>
  <c r="BX11" i="3"/>
  <c r="DH11" i="3" s="1"/>
  <c r="BV11" i="3"/>
  <c r="DF11" i="3" s="1"/>
  <c r="AQ11" i="3"/>
  <c r="AP11" i="3"/>
  <c r="BW11" i="3" s="1"/>
  <c r="DG11" i="3" s="1"/>
  <c r="AO11" i="3"/>
  <c r="BW10" i="3"/>
  <c r="DG10" i="3" s="1"/>
  <c r="BV10" i="3"/>
  <c r="DF10" i="3" s="1"/>
  <c r="AQ10" i="3"/>
  <c r="BX10" i="3" s="1"/>
  <c r="DH10" i="3" s="1"/>
  <c r="AP10" i="3"/>
  <c r="AO10" i="3"/>
  <c r="DG9" i="3"/>
  <c r="BX9" i="3"/>
  <c r="DH9" i="3" s="1"/>
  <c r="BW9" i="3"/>
  <c r="BV9" i="3"/>
  <c r="DF9" i="3" s="1"/>
  <c r="AQ9" i="3"/>
  <c r="AP9" i="3"/>
  <c r="AO9" i="3"/>
  <c r="BX8" i="3"/>
  <c r="DH8" i="3" s="1"/>
  <c r="BW8" i="3"/>
  <c r="DG8" i="3" s="1"/>
  <c r="AQ8" i="3"/>
  <c r="AP8" i="3"/>
  <c r="AO8" i="3"/>
  <c r="BV8" i="3" s="1"/>
  <c r="DF8" i="3" s="1"/>
  <c r="BX7" i="3"/>
  <c r="DH7" i="3" s="1"/>
  <c r="BV7" i="3"/>
  <c r="DF7" i="3" s="1"/>
  <c r="AQ7" i="3"/>
  <c r="AP7" i="3"/>
  <c r="BW7" i="3" s="1"/>
  <c r="DG7" i="3" s="1"/>
  <c r="AO7" i="3"/>
  <c r="BW6" i="3"/>
  <c r="DG6" i="3" s="1"/>
  <c r="BV6" i="3"/>
  <c r="DF6" i="3" s="1"/>
  <c r="AQ6" i="3"/>
  <c r="BX6" i="3" s="1"/>
  <c r="DH6" i="3" s="1"/>
  <c r="AP6" i="3"/>
  <c r="AO6" i="3"/>
  <c r="BX5" i="3"/>
  <c r="DH5" i="3" s="1"/>
  <c r="BW5" i="3"/>
  <c r="DG5" i="3" s="1"/>
  <c r="BV5" i="3"/>
  <c r="DF5" i="3" s="1"/>
  <c r="AQ5" i="3"/>
  <c r="AP5" i="3"/>
  <c r="AO5" i="3"/>
  <c r="DH4" i="3"/>
  <c r="BX4" i="3"/>
  <c r="BW4" i="3"/>
  <c r="AQ4" i="3"/>
  <c r="AP4" i="3"/>
  <c r="AO4" i="3"/>
  <c r="AO42" i="3" s="1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/>
  <c r="DB45" i="2"/>
  <c r="BR45" i="2"/>
  <c r="AM45" i="2"/>
  <c r="BT45" i="2" s="1"/>
  <c r="DD45" i="2" s="1"/>
  <c r="AL45" i="2"/>
  <c r="BS45" i="2" s="1"/>
  <c r="AK45" i="2"/>
  <c r="BS44" i="2"/>
  <c r="DC44" i="2" s="1"/>
  <c r="BR44" i="2"/>
  <c r="DB44" i="2" s="1"/>
  <c r="AM44" i="2"/>
  <c r="BT44" i="2" s="1"/>
  <c r="DD44" i="2" s="1"/>
  <c r="AL44" i="2"/>
  <c r="AK44" i="2"/>
  <c r="BT43" i="2"/>
  <c r="DD43" i="2" s="1"/>
  <c r="BS43" i="2"/>
  <c r="DC43" i="2" s="1"/>
  <c r="AM43" i="2"/>
  <c r="AL43" i="2"/>
  <c r="AK43" i="2"/>
  <c r="BR43" i="2" s="1"/>
  <c r="DB43" i="2" s="1"/>
  <c r="BT42" i="2"/>
  <c r="DD42" i="2" s="1"/>
  <c r="BR42" i="2"/>
  <c r="DB42" i="2" s="1"/>
  <c r="AM42" i="2"/>
  <c r="AL42" i="2"/>
  <c r="BS42" i="2" s="1"/>
  <c r="DC42" i="2" s="1"/>
  <c r="AK42" i="2"/>
  <c r="DC41" i="2"/>
  <c r="BS41" i="2"/>
  <c r="BR41" i="2"/>
  <c r="DB41" i="2" s="1"/>
  <c r="AM41" i="2"/>
  <c r="BT41" i="2" s="1"/>
  <c r="DD41" i="2" s="1"/>
  <c r="AL41" i="2"/>
  <c r="AK41" i="2"/>
  <c r="BT40" i="2"/>
  <c r="DD40" i="2" s="1"/>
  <c r="BS40" i="2"/>
  <c r="DC40" i="2" s="1"/>
  <c r="BR40" i="2"/>
  <c r="DB40" i="2" s="1"/>
  <c r="AM40" i="2"/>
  <c r="AL40" i="2"/>
  <c r="AK40" i="2"/>
  <c r="BT39" i="2"/>
  <c r="DD39" i="2" s="1"/>
  <c r="BS39" i="2"/>
  <c r="DC39" i="2" s="1"/>
  <c r="AM39" i="2"/>
  <c r="AL39" i="2"/>
  <c r="AK39" i="2"/>
  <c r="BR39" i="2" s="1"/>
  <c r="DB39" i="2" s="1"/>
  <c r="BT38" i="2"/>
  <c r="DD38" i="2" s="1"/>
  <c r="BR38" i="2"/>
  <c r="DB38" i="2" s="1"/>
  <c r="AM38" i="2"/>
  <c r="AL38" i="2"/>
  <c r="BS38" i="2" s="1"/>
  <c r="DC38" i="2" s="1"/>
  <c r="AK38" i="2"/>
  <c r="BS37" i="2"/>
  <c r="DC37" i="2" s="1"/>
  <c r="BR37" i="2"/>
  <c r="DB37" i="2" s="1"/>
  <c r="AM37" i="2"/>
  <c r="BT37" i="2" s="1"/>
  <c r="DD37" i="2" s="1"/>
  <c r="AL37" i="2"/>
  <c r="AK37" i="2"/>
  <c r="BT36" i="2"/>
  <c r="DD36" i="2" s="1"/>
  <c r="BS36" i="2"/>
  <c r="DC36" i="2" s="1"/>
  <c r="BR36" i="2"/>
  <c r="DB36" i="2" s="1"/>
  <c r="AM36" i="2"/>
  <c r="AL36" i="2"/>
  <c r="AK36" i="2"/>
  <c r="BT35" i="2"/>
  <c r="DD35" i="2" s="1"/>
  <c r="BS35" i="2"/>
  <c r="DC35" i="2" s="1"/>
  <c r="AM35" i="2"/>
  <c r="AL35" i="2"/>
  <c r="AK35" i="2"/>
  <c r="BR35" i="2" s="1"/>
  <c r="DB35" i="2" s="1"/>
  <c r="DB34" i="2"/>
  <c r="BT34" i="2"/>
  <c r="DD34" i="2" s="1"/>
  <c r="BR34" i="2"/>
  <c r="AM34" i="2"/>
  <c r="AL34" i="2"/>
  <c r="BS34" i="2" s="1"/>
  <c r="DC34" i="2" s="1"/>
  <c r="AK34" i="2"/>
  <c r="BS33" i="2"/>
  <c r="DC33" i="2" s="1"/>
  <c r="BR33" i="2"/>
  <c r="DB33" i="2" s="1"/>
  <c r="AM33" i="2"/>
  <c r="BT33" i="2" s="1"/>
  <c r="DD33" i="2" s="1"/>
  <c r="AL33" i="2"/>
  <c r="AK33" i="2"/>
  <c r="BT32" i="2"/>
  <c r="DD32" i="2" s="1"/>
  <c r="BS32" i="2"/>
  <c r="DC32" i="2" s="1"/>
  <c r="BR32" i="2"/>
  <c r="DB32" i="2" s="1"/>
  <c r="AM32" i="2"/>
  <c r="AL32" i="2"/>
  <c r="AK32" i="2"/>
  <c r="BT31" i="2"/>
  <c r="DD31" i="2" s="1"/>
  <c r="BS31" i="2"/>
  <c r="DC31" i="2" s="1"/>
  <c r="AM31" i="2"/>
  <c r="AL31" i="2"/>
  <c r="AK31" i="2"/>
  <c r="BR31" i="2" s="1"/>
  <c r="DB31" i="2" s="1"/>
  <c r="BT30" i="2"/>
  <c r="DD30" i="2" s="1"/>
  <c r="BR30" i="2"/>
  <c r="DB30" i="2" s="1"/>
  <c r="AM30" i="2"/>
  <c r="AL30" i="2"/>
  <c r="BS30" i="2" s="1"/>
  <c r="DC30" i="2" s="1"/>
  <c r="AK30" i="2"/>
  <c r="BS29" i="2"/>
  <c r="DC29" i="2" s="1"/>
  <c r="BR29" i="2"/>
  <c r="DB29" i="2" s="1"/>
  <c r="AM29" i="2"/>
  <c r="BT29" i="2" s="1"/>
  <c r="DD29" i="2" s="1"/>
  <c r="AL29" i="2"/>
  <c r="AK29" i="2"/>
  <c r="DD28" i="2"/>
  <c r="BT28" i="2"/>
  <c r="BS28" i="2"/>
  <c r="DC28" i="2" s="1"/>
  <c r="BR28" i="2"/>
  <c r="DB28" i="2" s="1"/>
  <c r="AM28" i="2"/>
  <c r="AL28" i="2"/>
  <c r="AK28" i="2"/>
  <c r="DD27" i="2"/>
  <c r="BT27" i="2"/>
  <c r="BS27" i="2"/>
  <c r="DC27" i="2" s="1"/>
  <c r="AM27" i="2"/>
  <c r="AL27" i="2"/>
  <c r="AK27" i="2"/>
  <c r="BR27" i="2" s="1"/>
  <c r="DB27" i="2" s="1"/>
  <c r="BT26" i="2"/>
  <c r="DD26" i="2" s="1"/>
  <c r="BR26" i="2"/>
  <c r="DB26" i="2" s="1"/>
  <c r="AM26" i="2"/>
  <c r="AL26" i="2"/>
  <c r="BS26" i="2" s="1"/>
  <c r="DC26" i="2" s="1"/>
  <c r="AK26" i="2"/>
  <c r="BS25" i="2"/>
  <c r="DC25" i="2" s="1"/>
  <c r="BR25" i="2"/>
  <c r="DB25" i="2" s="1"/>
  <c r="AM25" i="2"/>
  <c r="BT25" i="2" s="1"/>
  <c r="DD25" i="2" s="1"/>
  <c r="AL25" i="2"/>
  <c r="AK25" i="2"/>
  <c r="DD24" i="2"/>
  <c r="BT24" i="2"/>
  <c r="BS24" i="2"/>
  <c r="DC24" i="2" s="1"/>
  <c r="BR24" i="2"/>
  <c r="DB24" i="2" s="1"/>
  <c r="AM24" i="2"/>
  <c r="AL24" i="2"/>
  <c r="AK24" i="2"/>
  <c r="BT23" i="2"/>
  <c r="DD23" i="2" s="1"/>
  <c r="BS23" i="2"/>
  <c r="DC23" i="2" s="1"/>
  <c r="AM23" i="2"/>
  <c r="AL23" i="2"/>
  <c r="AK23" i="2"/>
  <c r="BR23" i="2" s="1"/>
  <c r="DB23" i="2" s="1"/>
  <c r="BT22" i="2"/>
  <c r="DD22" i="2" s="1"/>
  <c r="BR22" i="2"/>
  <c r="DB22" i="2" s="1"/>
  <c r="AM22" i="2"/>
  <c r="AL22" i="2"/>
  <c r="BS22" i="2" s="1"/>
  <c r="DC22" i="2" s="1"/>
  <c r="AK22" i="2"/>
  <c r="DB21" i="2"/>
  <c r="BS21" i="2"/>
  <c r="DC21" i="2" s="1"/>
  <c r="BR21" i="2"/>
  <c r="AM21" i="2"/>
  <c r="BT21" i="2" s="1"/>
  <c r="DD21" i="2" s="1"/>
  <c r="AL21" i="2"/>
  <c r="AK21" i="2"/>
  <c r="BT20" i="2"/>
  <c r="DD20" i="2" s="1"/>
  <c r="BS20" i="2"/>
  <c r="DC20" i="2" s="1"/>
  <c r="BR20" i="2"/>
  <c r="DB20" i="2" s="1"/>
  <c r="AM20" i="2"/>
  <c r="AL20" i="2"/>
  <c r="AK20" i="2"/>
  <c r="DD19" i="2"/>
  <c r="BT19" i="2"/>
  <c r="BS19" i="2"/>
  <c r="DC19" i="2" s="1"/>
  <c r="AM19" i="2"/>
  <c r="AL19" i="2"/>
  <c r="AK19" i="2"/>
  <c r="BR19" i="2" s="1"/>
  <c r="DB19" i="2" s="1"/>
  <c r="BT18" i="2"/>
  <c r="DD18" i="2" s="1"/>
  <c r="BR18" i="2"/>
  <c r="DB18" i="2" s="1"/>
  <c r="AM18" i="2"/>
  <c r="AL18" i="2"/>
  <c r="BS18" i="2" s="1"/>
  <c r="DC18" i="2" s="1"/>
  <c r="AK18" i="2"/>
  <c r="BS17" i="2"/>
  <c r="DC17" i="2" s="1"/>
  <c r="BR17" i="2"/>
  <c r="DB17" i="2" s="1"/>
  <c r="AM17" i="2"/>
  <c r="BT17" i="2" s="1"/>
  <c r="DD17" i="2" s="1"/>
  <c r="AL17" i="2"/>
  <c r="AK17" i="2"/>
  <c r="DD16" i="2"/>
  <c r="BT16" i="2"/>
  <c r="BS16" i="2"/>
  <c r="DC16" i="2" s="1"/>
  <c r="BR16" i="2"/>
  <c r="DB16" i="2" s="1"/>
  <c r="AM16" i="2"/>
  <c r="AL16" i="2"/>
  <c r="AK16" i="2"/>
  <c r="DD15" i="2"/>
  <c r="BT15" i="2"/>
  <c r="BS15" i="2"/>
  <c r="DC15" i="2" s="1"/>
  <c r="AM15" i="2"/>
  <c r="AL15" i="2"/>
  <c r="AK15" i="2"/>
  <c r="BR15" i="2" s="1"/>
  <c r="DB15" i="2" s="1"/>
  <c r="BT14" i="2"/>
  <c r="DD14" i="2" s="1"/>
  <c r="BR14" i="2"/>
  <c r="DB14" i="2" s="1"/>
  <c r="AM14" i="2"/>
  <c r="AL14" i="2"/>
  <c r="BS14" i="2" s="1"/>
  <c r="DC14" i="2" s="1"/>
  <c r="AK14" i="2"/>
  <c r="BS13" i="2"/>
  <c r="DC13" i="2" s="1"/>
  <c r="BR13" i="2"/>
  <c r="DB13" i="2" s="1"/>
  <c r="AM13" i="2"/>
  <c r="BT13" i="2" s="1"/>
  <c r="DD13" i="2" s="1"/>
  <c r="AL13" i="2"/>
  <c r="AK13" i="2"/>
  <c r="DD12" i="2"/>
  <c r="BT12" i="2"/>
  <c r="BS12" i="2"/>
  <c r="DC12" i="2" s="1"/>
  <c r="BR12" i="2"/>
  <c r="DB12" i="2" s="1"/>
  <c r="AM12" i="2"/>
  <c r="AL12" i="2"/>
  <c r="AK12" i="2"/>
  <c r="DD11" i="2"/>
  <c r="BT11" i="2"/>
  <c r="BS11" i="2"/>
  <c r="DC11" i="2" s="1"/>
  <c r="AM11" i="2"/>
  <c r="AL11" i="2"/>
  <c r="AK11" i="2"/>
  <c r="BR11" i="2" s="1"/>
  <c r="DB11" i="2" s="1"/>
  <c r="BT10" i="2"/>
  <c r="DD10" i="2" s="1"/>
  <c r="BR10" i="2"/>
  <c r="DB10" i="2" s="1"/>
  <c r="AM10" i="2"/>
  <c r="AL10" i="2"/>
  <c r="BS10" i="2" s="1"/>
  <c r="DC10" i="2" s="1"/>
  <c r="AK10" i="2"/>
  <c r="DC9" i="2"/>
  <c r="DB9" i="2"/>
  <c r="BS9" i="2"/>
  <c r="BR9" i="2"/>
  <c r="AM9" i="2"/>
  <c r="BT9" i="2" s="1"/>
  <c r="DD9" i="2" s="1"/>
  <c r="AL9" i="2"/>
  <c r="AK9" i="2"/>
  <c r="BT8" i="2"/>
  <c r="DD8" i="2" s="1"/>
  <c r="BS8" i="2"/>
  <c r="DC8" i="2" s="1"/>
  <c r="BR8" i="2"/>
  <c r="DB8" i="2" s="1"/>
  <c r="AM8" i="2"/>
  <c r="AL8" i="2"/>
  <c r="AK8" i="2"/>
  <c r="BT7" i="2"/>
  <c r="DD7" i="2" s="1"/>
  <c r="BS7" i="2"/>
  <c r="DC7" i="2" s="1"/>
  <c r="AM7" i="2"/>
  <c r="AL7" i="2"/>
  <c r="AK7" i="2"/>
  <c r="BR7" i="2" s="1"/>
  <c r="DB7" i="2" s="1"/>
  <c r="BT6" i="2"/>
  <c r="DD6" i="2" s="1"/>
  <c r="BR6" i="2"/>
  <c r="DB6" i="2" s="1"/>
  <c r="AM6" i="2"/>
  <c r="AL6" i="2"/>
  <c r="BS6" i="2" s="1"/>
  <c r="DC6" i="2" s="1"/>
  <c r="AK6" i="2"/>
  <c r="DB5" i="2"/>
  <c r="BS5" i="2"/>
  <c r="DC5" i="2" s="1"/>
  <c r="BR5" i="2"/>
  <c r="AM5" i="2"/>
  <c r="BT5" i="2" s="1"/>
  <c r="AL5" i="2"/>
  <c r="AK5" i="2"/>
  <c r="BT4" i="2"/>
  <c r="BS4" i="2"/>
  <c r="DC4" i="2" s="1"/>
  <c r="BR4" i="2"/>
  <c r="DB4" i="2" s="1"/>
  <c r="AM4" i="2"/>
  <c r="AM46" i="2" s="1"/>
  <c r="AL4" i="2"/>
  <c r="AL46" i="2" s="1"/>
  <c r="AK4" i="2"/>
  <c r="AK46" i="2" s="1"/>
  <c r="DF94" i="11" l="1"/>
  <c r="BV94" i="11"/>
  <c r="DG94" i="7"/>
  <c r="AO94" i="7"/>
  <c r="BX94" i="7"/>
  <c r="BW94" i="7"/>
  <c r="DH94" i="7"/>
  <c r="BV16" i="9"/>
  <c r="DF5" i="9"/>
  <c r="DF16" i="9" s="1"/>
  <c r="BY148" i="8"/>
  <c r="DI4" i="8"/>
  <c r="DI148" i="8" s="1"/>
  <c r="DF94" i="7"/>
  <c r="BT46" i="6"/>
  <c r="DD4" i="6"/>
  <c r="DD46" i="6" s="1"/>
  <c r="BT94" i="3"/>
  <c r="BU94" i="3"/>
  <c r="AR94" i="3"/>
  <c r="AV94" i="3"/>
  <c r="AZ94" i="3"/>
  <c r="BD94" i="3"/>
  <c r="BH94" i="3"/>
  <c r="BL94" i="3"/>
  <c r="BP94" i="3"/>
  <c r="DB46" i="2"/>
  <c r="DI16" i="5"/>
  <c r="DH5" i="5"/>
  <c r="DH16" i="5" s="1"/>
  <c r="BX16" i="5"/>
  <c r="AQ16" i="5"/>
  <c r="BZ5" i="5"/>
  <c r="BY16" i="5"/>
  <c r="BY148" i="4"/>
  <c r="DI4" i="4"/>
  <c r="DI148" i="4" s="1"/>
  <c r="DJ148" i="4"/>
  <c r="AQ148" i="4"/>
  <c r="BX148" i="4"/>
  <c r="DH4" i="4"/>
  <c r="DH148" i="4" s="1"/>
  <c r="AR148" i="4"/>
  <c r="BZ148" i="4"/>
  <c r="AS148" i="4"/>
  <c r="DH92" i="3"/>
  <c r="BW42" i="3"/>
  <c r="BX42" i="3"/>
  <c r="BW92" i="3"/>
  <c r="DG43" i="3"/>
  <c r="DG92" i="3" s="1"/>
  <c r="BY94" i="3"/>
  <c r="CG94" i="3"/>
  <c r="CO94" i="3"/>
  <c r="CW94" i="3"/>
  <c r="DE94" i="3"/>
  <c r="AQ42" i="3"/>
  <c r="AO92" i="3"/>
  <c r="AO94" i="3" s="1"/>
  <c r="BV43" i="3"/>
  <c r="BX92" i="3"/>
  <c r="DH42" i="3"/>
  <c r="AP42" i="3"/>
  <c r="BV4" i="3"/>
  <c r="DG4" i="3"/>
  <c r="DG42" i="3" s="1"/>
  <c r="AP92" i="3"/>
  <c r="M94" i="3"/>
  <c r="U94" i="3"/>
  <c r="AC94" i="3"/>
  <c r="AK94" i="3"/>
  <c r="AQ92" i="3"/>
  <c r="L94" i="3"/>
  <c r="P94" i="3"/>
  <c r="T94" i="3"/>
  <c r="X94" i="3"/>
  <c r="AB94" i="3"/>
  <c r="AF94" i="3"/>
  <c r="AJ94" i="3"/>
  <c r="AN94" i="3"/>
  <c r="CB94" i="3"/>
  <c r="CF94" i="3"/>
  <c r="CJ94" i="3"/>
  <c r="CN94" i="3"/>
  <c r="CR94" i="3"/>
  <c r="CV94" i="3"/>
  <c r="CZ94" i="3"/>
  <c r="DD94" i="3"/>
  <c r="BS46" i="2"/>
  <c r="DC46" i="2"/>
  <c r="DD5" i="2"/>
  <c r="BT46" i="2"/>
  <c r="BR46" i="2"/>
  <c r="AQ94" i="3" l="1"/>
  <c r="BX94" i="3"/>
  <c r="DG94" i="3"/>
  <c r="DH94" i="3"/>
  <c r="BW94" i="3"/>
  <c r="BZ16" i="5"/>
  <c r="DJ5" i="5"/>
  <c r="DJ16" i="5" s="1"/>
  <c r="AP94" i="3"/>
  <c r="BV42" i="3"/>
  <c r="DF4" i="3"/>
  <c r="DF42" i="3" s="1"/>
  <c r="BV92" i="3"/>
  <c r="DF43" i="3"/>
  <c r="DF92" i="3" s="1"/>
  <c r="BV94" i="3" l="1"/>
  <c r="DF94" i="3"/>
  <c r="I355" i="1"/>
  <c r="I359" i="1"/>
  <c r="H350" i="1"/>
  <c r="I356" i="1" s="1"/>
  <c r="I210" i="1"/>
  <c r="I226" i="1"/>
  <c r="I242" i="1"/>
  <c r="I253" i="1"/>
  <c r="I261" i="1"/>
  <c r="I269" i="1"/>
  <c r="I277" i="1"/>
  <c r="I285" i="1"/>
  <c r="I293" i="1"/>
  <c r="I301" i="1"/>
  <c r="I309" i="1"/>
  <c r="I317" i="1"/>
  <c r="I325" i="1"/>
  <c r="I333" i="1"/>
  <c r="I341" i="1"/>
  <c r="H195" i="1"/>
  <c r="I202" i="1" s="1"/>
  <c r="I82" i="1"/>
  <c r="I87" i="1"/>
  <c r="I90" i="1"/>
  <c r="I95" i="1"/>
  <c r="I98" i="1"/>
  <c r="I103" i="1"/>
  <c r="I106" i="1"/>
  <c r="I111" i="1"/>
  <c r="I114" i="1"/>
  <c r="I119" i="1"/>
  <c r="I122" i="1"/>
  <c r="I127" i="1"/>
  <c r="I130" i="1"/>
  <c r="I135" i="1"/>
  <c r="I138" i="1"/>
  <c r="I143" i="1"/>
  <c r="I146" i="1"/>
  <c r="I151" i="1"/>
  <c r="I154" i="1"/>
  <c r="I159" i="1"/>
  <c r="I162" i="1"/>
  <c r="I167" i="1"/>
  <c r="I170" i="1"/>
  <c r="I175" i="1"/>
  <c r="I178" i="1"/>
  <c r="I183" i="1"/>
  <c r="I186" i="1"/>
  <c r="H77" i="1"/>
  <c r="H29" i="1"/>
  <c r="I40" i="1" s="1"/>
  <c r="I36" i="1"/>
  <c r="I41" i="1"/>
  <c r="I44" i="1"/>
  <c r="I49" i="1"/>
  <c r="I52" i="1"/>
  <c r="I57" i="1"/>
  <c r="I60" i="1"/>
  <c r="I65" i="1"/>
  <c r="I68" i="1"/>
  <c r="I338" i="1" l="1"/>
  <c r="I322" i="1"/>
  <c r="I306" i="1"/>
  <c r="I290" i="1"/>
  <c r="I274" i="1"/>
  <c r="I266" i="1"/>
  <c r="I258" i="1"/>
  <c r="I250" i="1"/>
  <c r="I238" i="1"/>
  <c r="I222" i="1"/>
  <c r="I206" i="1"/>
  <c r="I31" i="1"/>
  <c r="I56" i="1"/>
  <c r="I80" i="1"/>
  <c r="I84" i="1"/>
  <c r="I88" i="1"/>
  <c r="I92" i="1"/>
  <c r="I96" i="1"/>
  <c r="I100" i="1"/>
  <c r="I104" i="1"/>
  <c r="I108" i="1"/>
  <c r="I112" i="1"/>
  <c r="I116" i="1"/>
  <c r="I120" i="1"/>
  <c r="I124" i="1"/>
  <c r="I128" i="1"/>
  <c r="I132" i="1"/>
  <c r="I136" i="1"/>
  <c r="I140" i="1"/>
  <c r="I144" i="1"/>
  <c r="I148" i="1"/>
  <c r="I152" i="1"/>
  <c r="I156" i="1"/>
  <c r="I160" i="1"/>
  <c r="I164" i="1"/>
  <c r="I168" i="1"/>
  <c r="I172" i="1"/>
  <c r="I176" i="1"/>
  <c r="I180" i="1"/>
  <c r="I184" i="1"/>
  <c r="I188" i="1"/>
  <c r="I81" i="1"/>
  <c r="I85" i="1"/>
  <c r="I89" i="1"/>
  <c r="I93" i="1"/>
  <c r="I97" i="1"/>
  <c r="I101" i="1"/>
  <c r="I105" i="1"/>
  <c r="I109" i="1"/>
  <c r="I113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79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197" i="1"/>
  <c r="I337" i="1"/>
  <c r="I329" i="1"/>
  <c r="I321" i="1"/>
  <c r="I313" i="1"/>
  <c r="I305" i="1"/>
  <c r="I297" i="1"/>
  <c r="I289" i="1"/>
  <c r="I281" i="1"/>
  <c r="I273" i="1"/>
  <c r="I265" i="1"/>
  <c r="I257" i="1"/>
  <c r="I246" i="1"/>
  <c r="I234" i="1"/>
  <c r="I218" i="1"/>
  <c r="I32" i="1"/>
  <c r="I34" i="1"/>
  <c r="I38" i="1"/>
  <c r="I42" i="1"/>
  <c r="I46" i="1"/>
  <c r="I50" i="1"/>
  <c r="I54" i="1"/>
  <c r="I58" i="1"/>
  <c r="I62" i="1"/>
  <c r="I66" i="1"/>
  <c r="I70" i="1"/>
  <c r="I35" i="1"/>
  <c r="I39" i="1"/>
  <c r="I43" i="1"/>
  <c r="I47" i="1"/>
  <c r="I51" i="1"/>
  <c r="I55" i="1"/>
  <c r="I59" i="1"/>
  <c r="I63" i="1"/>
  <c r="I67" i="1"/>
  <c r="I71" i="1"/>
  <c r="I199" i="1"/>
  <c r="I203" i="1"/>
  <c r="I207" i="1"/>
  <c r="I211" i="1"/>
  <c r="I215" i="1"/>
  <c r="I21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271" i="1"/>
  <c r="I275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343" i="1"/>
  <c r="I201" i="1"/>
  <c r="I205" i="1"/>
  <c r="I209" i="1"/>
  <c r="I213" i="1"/>
  <c r="I221" i="1"/>
  <c r="I229" i="1"/>
  <c r="I237" i="1"/>
  <c r="I200" i="1"/>
  <c r="I204" i="1"/>
  <c r="I208" i="1"/>
  <c r="I212" i="1"/>
  <c r="I216" i="1"/>
  <c r="I220" i="1"/>
  <c r="I224" i="1"/>
  <c r="I228" i="1"/>
  <c r="I232" i="1"/>
  <c r="I236" i="1"/>
  <c r="I240" i="1"/>
  <c r="I244" i="1"/>
  <c r="I248" i="1"/>
  <c r="I252" i="1"/>
  <c r="I256" i="1"/>
  <c r="I260" i="1"/>
  <c r="I264" i="1"/>
  <c r="I268" i="1"/>
  <c r="I272" i="1"/>
  <c r="I27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217" i="1"/>
  <c r="I225" i="1"/>
  <c r="I233" i="1"/>
  <c r="I241" i="1"/>
  <c r="I249" i="1"/>
  <c r="I330" i="1"/>
  <c r="I314" i="1"/>
  <c r="I298" i="1"/>
  <c r="I282" i="1"/>
  <c r="I64" i="1"/>
  <c r="I48" i="1"/>
  <c r="I69" i="1"/>
  <c r="I61" i="1"/>
  <c r="I53" i="1"/>
  <c r="I45" i="1"/>
  <c r="I37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342" i="1"/>
  <c r="I334" i="1"/>
  <c r="I326" i="1"/>
  <c r="I318" i="1"/>
  <c r="I310" i="1"/>
  <c r="I302" i="1"/>
  <c r="I294" i="1"/>
  <c r="I286" i="1"/>
  <c r="I278" i="1"/>
  <c r="I270" i="1"/>
  <c r="I262" i="1"/>
  <c r="I254" i="1"/>
  <c r="I245" i="1"/>
  <c r="I230" i="1"/>
  <c r="I214" i="1"/>
  <c r="I198" i="1"/>
  <c r="I354" i="1"/>
  <c r="I352" i="1"/>
  <c r="I357" i="1"/>
  <c r="I353" i="1"/>
  <c r="I358" i="1"/>
  <c r="I360" i="1"/>
  <c r="I33" i="1"/>
  <c r="J353" i="1"/>
  <c r="J354" i="1"/>
  <c r="J355" i="1"/>
  <c r="J356" i="1"/>
  <c r="J357" i="1"/>
  <c r="J358" i="1"/>
  <c r="J359" i="1"/>
  <c r="J360" i="1"/>
  <c r="J352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197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79" i="1"/>
  <c r="Q352" i="1" l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31" i="1"/>
  <c r="H363" i="1"/>
  <c r="Q31" i="1" l="1"/>
  <c r="DZ363" i="1"/>
  <c r="DY363" i="1"/>
  <c r="DX363" i="1"/>
  <c r="DW363" i="1"/>
  <c r="DV363" i="1"/>
  <c r="DU363" i="1"/>
  <c r="DT363" i="1"/>
  <c r="DS363" i="1"/>
  <c r="DQ363" i="1"/>
  <c r="DP363" i="1"/>
  <c r="DR363" i="1" s="1"/>
  <c r="DO363" i="1"/>
  <c r="DN363" i="1"/>
  <c r="DM363" i="1"/>
  <c r="DL363" i="1"/>
  <c r="DK363" i="1"/>
  <c r="DJ363" i="1"/>
  <c r="DH363" i="1"/>
  <c r="DG363" i="1"/>
  <c r="DI363" i="1" s="1"/>
  <c r="DF363" i="1"/>
  <c r="DE363" i="1"/>
  <c r="DD363" i="1"/>
  <c r="DC363" i="1"/>
  <c r="DB363" i="1"/>
  <c r="DA363" i="1"/>
  <c r="CT363" i="1"/>
  <c r="CS363" i="1"/>
  <c r="R8" i="1" s="1"/>
  <c r="CR363" i="1"/>
  <c r="CQ363" i="1"/>
  <c r="CP363" i="1"/>
  <c r="CO363" i="1"/>
  <c r="CN363" i="1"/>
  <c r="CM363" i="1"/>
  <c r="CK363" i="1"/>
  <c r="CJ363" i="1"/>
  <c r="Q8" i="1" s="1"/>
  <c r="CI363" i="1"/>
  <c r="CH363" i="1"/>
  <c r="CG363" i="1"/>
  <c r="CF363" i="1"/>
  <c r="CE363" i="1"/>
  <c r="CD363" i="1"/>
  <c r="CB363" i="1"/>
  <c r="CA363" i="1"/>
  <c r="CC363" i="1" s="1"/>
  <c r="BZ363" i="1"/>
  <c r="BY363" i="1"/>
  <c r="BX363" i="1"/>
  <c r="BW363" i="1"/>
  <c r="BV363" i="1"/>
  <c r="BU363" i="1"/>
  <c r="BN363" i="1"/>
  <c r="BM363" i="1"/>
  <c r="BO363" i="1" s="1"/>
  <c r="BL363" i="1"/>
  <c r="BK363" i="1"/>
  <c r="BJ363" i="1"/>
  <c r="BI363" i="1"/>
  <c r="BH363" i="1"/>
  <c r="BG363" i="1"/>
  <c r="BE363" i="1"/>
  <c r="BD363" i="1"/>
  <c r="BF363" i="1" s="1"/>
  <c r="BC363" i="1"/>
  <c r="BB363" i="1"/>
  <c r="BA363" i="1"/>
  <c r="AZ363" i="1"/>
  <c r="AY363" i="1"/>
  <c r="AX363" i="1"/>
  <c r="AV363" i="1"/>
  <c r="AU363" i="1"/>
  <c r="AW363" i="1" s="1"/>
  <c r="AT363" i="1"/>
  <c r="AS363" i="1"/>
  <c r="AR363" i="1"/>
  <c r="AQ363" i="1"/>
  <c r="AP363" i="1"/>
  <c r="AO363" i="1"/>
  <c r="AH363" i="1"/>
  <c r="AG363" i="1"/>
  <c r="AF363" i="1"/>
  <c r="AE363" i="1"/>
  <c r="AD363" i="1"/>
  <c r="AC363" i="1"/>
  <c r="AB363" i="1"/>
  <c r="AA363" i="1"/>
  <c r="Y363" i="1"/>
  <c r="X363" i="1"/>
  <c r="K8" i="1" s="1"/>
  <c r="W363" i="1"/>
  <c r="V363" i="1"/>
  <c r="U363" i="1"/>
  <c r="T363" i="1"/>
  <c r="S363" i="1"/>
  <c r="R363" i="1"/>
  <c r="P363" i="1"/>
  <c r="O363" i="1"/>
  <c r="J8" i="1" s="1"/>
  <c r="N363" i="1"/>
  <c r="M363" i="1"/>
  <c r="L363" i="1"/>
  <c r="K363" i="1"/>
  <c r="J363" i="1"/>
  <c r="I363" i="1"/>
  <c r="EC360" i="1"/>
  <c r="EB360" i="1"/>
  <c r="EA360" i="1"/>
  <c r="DR360" i="1"/>
  <c r="DI360" i="1"/>
  <c r="CW360" i="1"/>
  <c r="CV360" i="1"/>
  <c r="CU360" i="1"/>
  <c r="CL360" i="1"/>
  <c r="CC360" i="1"/>
  <c r="BQ360" i="1"/>
  <c r="BP360" i="1"/>
  <c r="BO360" i="1"/>
  <c r="AW360" i="1"/>
  <c r="AK360" i="1"/>
  <c r="AJ360" i="1"/>
  <c r="AI360" i="1"/>
  <c r="Z360" i="1"/>
  <c r="Q360" i="1"/>
  <c r="EC359" i="1"/>
  <c r="EB359" i="1"/>
  <c r="EA359" i="1"/>
  <c r="DR359" i="1"/>
  <c r="DI359" i="1"/>
  <c r="CW359" i="1"/>
  <c r="CV359" i="1"/>
  <c r="CU359" i="1"/>
  <c r="CL359" i="1"/>
  <c r="CC359" i="1"/>
  <c r="BQ359" i="1"/>
  <c r="BP359" i="1"/>
  <c r="BO359" i="1"/>
  <c r="AW359" i="1"/>
  <c r="AK359" i="1"/>
  <c r="AJ359" i="1"/>
  <c r="AI359" i="1"/>
  <c r="Z359" i="1"/>
  <c r="Q359" i="1"/>
  <c r="EC358" i="1"/>
  <c r="EB358" i="1"/>
  <c r="EA358" i="1"/>
  <c r="DR358" i="1"/>
  <c r="DI358" i="1"/>
  <c r="CW358" i="1"/>
  <c r="CV358" i="1"/>
  <c r="CU358" i="1"/>
  <c r="CL358" i="1"/>
  <c r="CC358" i="1"/>
  <c r="BQ358" i="1"/>
  <c r="BP358" i="1"/>
  <c r="BO358" i="1"/>
  <c r="AW358" i="1"/>
  <c r="AK358" i="1"/>
  <c r="AJ358" i="1"/>
  <c r="AI358" i="1"/>
  <c r="Z358" i="1"/>
  <c r="Q358" i="1"/>
  <c r="EC357" i="1"/>
  <c r="EB357" i="1"/>
  <c r="EA357" i="1"/>
  <c r="DR357" i="1"/>
  <c r="DI357" i="1"/>
  <c r="CW357" i="1"/>
  <c r="CV357" i="1"/>
  <c r="CU357" i="1"/>
  <c r="CL357" i="1"/>
  <c r="CC357" i="1"/>
  <c r="BQ357" i="1"/>
  <c r="BP357" i="1"/>
  <c r="BO357" i="1"/>
  <c r="AW357" i="1"/>
  <c r="AK357" i="1"/>
  <c r="AJ357" i="1"/>
  <c r="AI357" i="1"/>
  <c r="Z357" i="1"/>
  <c r="Q357" i="1"/>
  <c r="EC356" i="1"/>
  <c r="EB356" i="1"/>
  <c r="EA356" i="1"/>
  <c r="DR356" i="1"/>
  <c r="DI356" i="1"/>
  <c r="CW356" i="1"/>
  <c r="CV356" i="1"/>
  <c r="CU356" i="1"/>
  <c r="CL356" i="1"/>
  <c r="CC356" i="1"/>
  <c r="BQ356" i="1"/>
  <c r="BP356" i="1"/>
  <c r="BO356" i="1"/>
  <c r="AW356" i="1"/>
  <c r="AK356" i="1"/>
  <c r="AJ356" i="1"/>
  <c r="AI356" i="1"/>
  <c r="Z356" i="1"/>
  <c r="Q356" i="1"/>
  <c r="EC355" i="1"/>
  <c r="EB355" i="1"/>
  <c r="EA355" i="1"/>
  <c r="DR355" i="1"/>
  <c r="DI355" i="1"/>
  <c r="CW355" i="1"/>
  <c r="CV355" i="1"/>
  <c r="CU355" i="1"/>
  <c r="CL355" i="1"/>
  <c r="CC355" i="1"/>
  <c r="BQ355" i="1"/>
  <c r="BP355" i="1"/>
  <c r="BO355" i="1"/>
  <c r="AW355" i="1"/>
  <c r="AK355" i="1"/>
  <c r="AJ355" i="1"/>
  <c r="AI355" i="1"/>
  <c r="Z355" i="1"/>
  <c r="Q355" i="1"/>
  <c r="EC354" i="1"/>
  <c r="EB354" i="1"/>
  <c r="EA354" i="1"/>
  <c r="DR354" i="1"/>
  <c r="DI354" i="1"/>
  <c r="CW354" i="1"/>
  <c r="CV354" i="1"/>
  <c r="CU354" i="1"/>
  <c r="CL354" i="1"/>
  <c r="CC354" i="1"/>
  <c r="BQ354" i="1"/>
  <c r="BP354" i="1"/>
  <c r="BO354" i="1"/>
  <c r="AW354" i="1"/>
  <c r="AK354" i="1"/>
  <c r="AJ354" i="1"/>
  <c r="AI354" i="1"/>
  <c r="Z354" i="1"/>
  <c r="Q354" i="1"/>
  <c r="E354" i="1"/>
  <c r="E361" i="1" s="1"/>
  <c r="EC353" i="1"/>
  <c r="EB353" i="1"/>
  <c r="EA353" i="1"/>
  <c r="DR353" i="1"/>
  <c r="DI353" i="1"/>
  <c r="CW353" i="1"/>
  <c r="CV353" i="1"/>
  <c r="CU353" i="1"/>
  <c r="CL353" i="1"/>
  <c r="CC353" i="1"/>
  <c r="BQ353" i="1"/>
  <c r="BP353" i="1"/>
  <c r="BO353" i="1"/>
  <c r="AW353" i="1"/>
  <c r="AK353" i="1"/>
  <c r="AJ353" i="1"/>
  <c r="AI353" i="1"/>
  <c r="Z353" i="1"/>
  <c r="Q353" i="1"/>
  <c r="EC352" i="1"/>
  <c r="EB352" i="1"/>
  <c r="EA352" i="1"/>
  <c r="DR352" i="1"/>
  <c r="DI352" i="1"/>
  <c r="CW352" i="1"/>
  <c r="CV352" i="1"/>
  <c r="CU352" i="1"/>
  <c r="CL352" i="1"/>
  <c r="CC352" i="1"/>
  <c r="BQ352" i="1"/>
  <c r="BP352" i="1"/>
  <c r="BO352" i="1"/>
  <c r="AW352" i="1"/>
  <c r="AK352" i="1"/>
  <c r="AJ352" i="1"/>
  <c r="AI352" i="1"/>
  <c r="Z352" i="1"/>
  <c r="DZ346" i="1"/>
  <c r="DY346" i="1"/>
  <c r="DX346" i="1"/>
  <c r="DW346" i="1"/>
  <c r="DV346" i="1"/>
  <c r="DU346" i="1"/>
  <c r="DT346" i="1"/>
  <c r="DS346" i="1"/>
  <c r="DQ346" i="1"/>
  <c r="DP346" i="1"/>
  <c r="DO346" i="1"/>
  <c r="DN346" i="1"/>
  <c r="DM346" i="1"/>
  <c r="DL346" i="1"/>
  <c r="DK346" i="1"/>
  <c r="DJ346" i="1"/>
  <c r="DH346" i="1"/>
  <c r="DG346" i="1"/>
  <c r="DF346" i="1"/>
  <c r="DE346" i="1"/>
  <c r="DD346" i="1"/>
  <c r="DC346" i="1"/>
  <c r="DB346" i="1"/>
  <c r="DA346" i="1"/>
  <c r="CT346" i="1"/>
  <c r="CS346" i="1"/>
  <c r="CR346" i="1"/>
  <c r="CQ346" i="1"/>
  <c r="CP346" i="1"/>
  <c r="CO346" i="1"/>
  <c r="CN346" i="1"/>
  <c r="CM346" i="1"/>
  <c r="CK346" i="1"/>
  <c r="CJ346" i="1"/>
  <c r="CI346" i="1"/>
  <c r="CH346" i="1"/>
  <c r="CG346" i="1"/>
  <c r="CF346" i="1"/>
  <c r="CE346" i="1"/>
  <c r="CD346" i="1"/>
  <c r="CB346" i="1"/>
  <c r="CA346" i="1"/>
  <c r="BZ346" i="1"/>
  <c r="BY346" i="1"/>
  <c r="BX346" i="1"/>
  <c r="BW346" i="1"/>
  <c r="BV346" i="1"/>
  <c r="BU346" i="1"/>
  <c r="BN346" i="1"/>
  <c r="BM346" i="1"/>
  <c r="BL346" i="1"/>
  <c r="BK346" i="1"/>
  <c r="BJ346" i="1"/>
  <c r="BI346" i="1"/>
  <c r="BH346" i="1"/>
  <c r="BG346" i="1"/>
  <c r="BE346" i="1"/>
  <c r="BD346" i="1"/>
  <c r="BC346" i="1"/>
  <c r="BB346" i="1"/>
  <c r="BA346" i="1"/>
  <c r="AZ346" i="1"/>
  <c r="AY346" i="1"/>
  <c r="AX346" i="1"/>
  <c r="AV346" i="1"/>
  <c r="AU346" i="1"/>
  <c r="AT346" i="1"/>
  <c r="AS346" i="1"/>
  <c r="AR346" i="1"/>
  <c r="AQ346" i="1"/>
  <c r="AP346" i="1"/>
  <c r="AO346" i="1"/>
  <c r="AH346" i="1"/>
  <c r="AG346" i="1"/>
  <c r="AF346" i="1"/>
  <c r="AE346" i="1"/>
  <c r="AD346" i="1"/>
  <c r="AC346" i="1"/>
  <c r="AB346" i="1"/>
  <c r="AA346" i="1"/>
  <c r="Y346" i="1"/>
  <c r="X346" i="1"/>
  <c r="K7" i="1" s="1"/>
  <c r="W346" i="1"/>
  <c r="V346" i="1"/>
  <c r="U346" i="1"/>
  <c r="T346" i="1"/>
  <c r="S346" i="1"/>
  <c r="R346" i="1"/>
  <c r="P346" i="1"/>
  <c r="O346" i="1"/>
  <c r="J7" i="1" s="1"/>
  <c r="N346" i="1"/>
  <c r="M346" i="1"/>
  <c r="L346" i="1"/>
  <c r="K346" i="1"/>
  <c r="J346" i="1"/>
  <c r="I346" i="1"/>
  <c r="H346" i="1"/>
  <c r="G346" i="1"/>
  <c r="EC344" i="1"/>
  <c r="EB344" i="1"/>
  <c r="EA344" i="1"/>
  <c r="DR344" i="1"/>
  <c r="DI344" i="1"/>
  <c r="CW344" i="1"/>
  <c r="CV344" i="1"/>
  <c r="CU344" i="1"/>
  <c r="CL344" i="1"/>
  <c r="CC344" i="1"/>
  <c r="BQ344" i="1"/>
  <c r="BP344" i="1"/>
  <c r="BO344" i="1"/>
  <c r="BF344" i="1"/>
  <c r="AW344" i="1"/>
  <c r="AK344" i="1"/>
  <c r="AJ344" i="1"/>
  <c r="AL344" i="1" s="1"/>
  <c r="AI344" i="1"/>
  <c r="Z344" i="1"/>
  <c r="Q344" i="1"/>
  <c r="EC343" i="1"/>
  <c r="EB343" i="1"/>
  <c r="EA343" i="1"/>
  <c r="DR343" i="1"/>
  <c r="DI343" i="1"/>
  <c r="CW343" i="1"/>
  <c r="CX343" i="1" s="1"/>
  <c r="CV343" i="1"/>
  <c r="CU343" i="1"/>
  <c r="CL343" i="1"/>
  <c r="CC343" i="1"/>
  <c r="BQ343" i="1"/>
  <c r="BP343" i="1"/>
  <c r="BO343" i="1"/>
  <c r="BF343" i="1"/>
  <c r="AW343" i="1"/>
  <c r="AK343" i="1"/>
  <c r="AJ343" i="1"/>
  <c r="AI343" i="1"/>
  <c r="Z343" i="1"/>
  <c r="Q343" i="1"/>
  <c r="EC342" i="1"/>
  <c r="EB342" i="1"/>
  <c r="EA342" i="1"/>
  <c r="DR342" i="1"/>
  <c r="DI342" i="1"/>
  <c r="CW342" i="1"/>
  <c r="CX342" i="1" s="1"/>
  <c r="CV342" i="1"/>
  <c r="CU342" i="1"/>
  <c r="CL342" i="1"/>
  <c r="CC342" i="1"/>
  <c r="BQ342" i="1"/>
  <c r="BP342" i="1"/>
  <c r="BO342" i="1"/>
  <c r="BF342" i="1"/>
  <c r="AW342" i="1"/>
  <c r="AK342" i="1"/>
  <c r="AJ342" i="1"/>
  <c r="AL342" i="1" s="1"/>
  <c r="AI342" i="1"/>
  <c r="Z342" i="1"/>
  <c r="Q342" i="1"/>
  <c r="CL341" i="1"/>
  <c r="BQ341" i="1"/>
  <c r="AK341" i="1"/>
  <c r="Q341" i="1"/>
  <c r="EC340" i="1"/>
  <c r="EB340" i="1"/>
  <c r="EA340" i="1"/>
  <c r="DR340" i="1"/>
  <c r="DI340" i="1"/>
  <c r="CW340" i="1"/>
  <c r="CV340" i="1"/>
  <c r="CU340" i="1"/>
  <c r="CL340" i="1"/>
  <c r="CC340" i="1"/>
  <c r="BQ340" i="1"/>
  <c r="BP340" i="1"/>
  <c r="BO340" i="1"/>
  <c r="BF340" i="1"/>
  <c r="AW340" i="1"/>
  <c r="AK340" i="1"/>
  <c r="AJ340" i="1"/>
  <c r="AI340" i="1"/>
  <c r="Z340" i="1"/>
  <c r="Q340" i="1"/>
  <c r="EC339" i="1"/>
  <c r="EB339" i="1"/>
  <c r="EA339" i="1"/>
  <c r="DR339" i="1"/>
  <c r="DI339" i="1"/>
  <c r="CW339" i="1"/>
  <c r="CV339" i="1"/>
  <c r="CU339" i="1"/>
  <c r="CL339" i="1"/>
  <c r="CC339" i="1"/>
  <c r="BQ339" i="1"/>
  <c r="BP339" i="1"/>
  <c r="BO339" i="1"/>
  <c r="BF339" i="1"/>
  <c r="AW339" i="1"/>
  <c r="AK339" i="1"/>
  <c r="AJ339" i="1"/>
  <c r="AI339" i="1"/>
  <c r="Z339" i="1"/>
  <c r="Q339" i="1"/>
  <c r="EC338" i="1"/>
  <c r="EB338" i="1"/>
  <c r="EA338" i="1"/>
  <c r="DR338" i="1"/>
  <c r="DI338" i="1"/>
  <c r="CW338" i="1"/>
  <c r="CV338" i="1"/>
  <c r="CU338" i="1"/>
  <c r="CL338" i="1"/>
  <c r="CC338" i="1"/>
  <c r="BQ338" i="1"/>
  <c r="BP338" i="1"/>
  <c r="BO338" i="1"/>
  <c r="BF338" i="1"/>
  <c r="AW338" i="1"/>
  <c r="AK338" i="1"/>
  <c r="AJ338" i="1"/>
  <c r="AI338" i="1"/>
  <c r="Z338" i="1"/>
  <c r="Q338" i="1"/>
  <c r="EC337" i="1"/>
  <c r="EB337" i="1"/>
  <c r="EA337" i="1"/>
  <c r="DR337" i="1"/>
  <c r="DI337" i="1"/>
  <c r="CW337" i="1"/>
  <c r="CV337" i="1"/>
  <c r="CU337" i="1"/>
  <c r="CL337" i="1"/>
  <c r="CC337" i="1"/>
  <c r="BQ337" i="1"/>
  <c r="BP337" i="1"/>
  <c r="BO337" i="1"/>
  <c r="BF337" i="1"/>
  <c r="AW337" i="1"/>
  <c r="AK337" i="1"/>
  <c r="AJ337" i="1"/>
  <c r="AI337" i="1"/>
  <c r="Z337" i="1"/>
  <c r="Q337" i="1"/>
  <c r="EC336" i="1"/>
  <c r="ED336" i="1" s="1"/>
  <c r="EB336" i="1"/>
  <c r="EA336" i="1"/>
  <c r="DR336" i="1"/>
  <c r="DI336" i="1"/>
  <c r="CW336" i="1"/>
  <c r="CV336" i="1"/>
  <c r="CU336" i="1"/>
  <c r="CL336" i="1"/>
  <c r="CC336" i="1"/>
  <c r="BQ336" i="1"/>
  <c r="BP336" i="1"/>
  <c r="BO336" i="1"/>
  <c r="BF336" i="1"/>
  <c r="AW336" i="1"/>
  <c r="AK336" i="1"/>
  <c r="AJ336" i="1"/>
  <c r="AL336" i="1" s="1"/>
  <c r="AI336" i="1"/>
  <c r="Z336" i="1"/>
  <c r="Q336" i="1"/>
  <c r="EC335" i="1"/>
  <c r="EB335" i="1"/>
  <c r="EA335" i="1"/>
  <c r="DR335" i="1"/>
  <c r="DI335" i="1"/>
  <c r="CW335" i="1"/>
  <c r="CV335" i="1"/>
  <c r="CU335" i="1"/>
  <c r="CL335" i="1"/>
  <c r="CC335" i="1"/>
  <c r="BQ335" i="1"/>
  <c r="BP335" i="1"/>
  <c r="BO335" i="1"/>
  <c r="BF335" i="1"/>
  <c r="AW335" i="1"/>
  <c r="AK335" i="1"/>
  <c r="AJ335" i="1"/>
  <c r="AL335" i="1" s="1"/>
  <c r="AI335" i="1"/>
  <c r="Z335" i="1"/>
  <c r="Q335" i="1"/>
  <c r="EC334" i="1"/>
  <c r="EB334" i="1"/>
  <c r="EA334" i="1"/>
  <c r="DR334" i="1"/>
  <c r="DI334" i="1"/>
  <c r="CW334" i="1"/>
  <c r="CV334" i="1"/>
  <c r="CU334" i="1"/>
  <c r="CL334" i="1"/>
  <c r="CC334" i="1"/>
  <c r="BQ334" i="1"/>
  <c r="BP334" i="1"/>
  <c r="BO334" i="1"/>
  <c r="BF334" i="1"/>
  <c r="AW334" i="1"/>
  <c r="AK334" i="1"/>
  <c r="AJ334" i="1"/>
  <c r="AL334" i="1" s="1"/>
  <c r="AI334" i="1"/>
  <c r="Z334" i="1"/>
  <c r="Q334" i="1"/>
  <c r="AK333" i="1"/>
  <c r="AJ333" i="1"/>
  <c r="AI333" i="1"/>
  <c r="Z333" i="1"/>
  <c r="Q333" i="1"/>
  <c r="AK332" i="1"/>
  <c r="AJ332" i="1"/>
  <c r="AI332" i="1"/>
  <c r="Z332" i="1"/>
  <c r="Q332" i="1"/>
  <c r="AK331" i="1"/>
  <c r="AJ331" i="1"/>
  <c r="AI331" i="1"/>
  <c r="Z331" i="1"/>
  <c r="Q331" i="1"/>
  <c r="AK330" i="1"/>
  <c r="AJ330" i="1"/>
  <c r="AL330" i="1" s="1"/>
  <c r="AI330" i="1"/>
  <c r="Z330" i="1"/>
  <c r="Q330" i="1"/>
  <c r="AK329" i="1"/>
  <c r="AJ329" i="1"/>
  <c r="AI329" i="1"/>
  <c r="Z329" i="1"/>
  <c r="Q329" i="1"/>
  <c r="AK328" i="1"/>
  <c r="AJ328" i="1"/>
  <c r="AI328" i="1"/>
  <c r="Z328" i="1"/>
  <c r="Q328" i="1"/>
  <c r="AK327" i="1"/>
  <c r="AJ327" i="1"/>
  <c r="AI327" i="1"/>
  <c r="Z327" i="1"/>
  <c r="Q327" i="1"/>
  <c r="AK326" i="1"/>
  <c r="AJ326" i="1"/>
  <c r="AI326" i="1"/>
  <c r="Z326" i="1"/>
  <c r="Q326" i="1"/>
  <c r="AK325" i="1"/>
  <c r="AJ325" i="1"/>
  <c r="AI325" i="1"/>
  <c r="Z325" i="1"/>
  <c r="Q325" i="1"/>
  <c r="AK324" i="1"/>
  <c r="AJ324" i="1"/>
  <c r="AI324" i="1"/>
  <c r="Z324" i="1"/>
  <c r="Q324" i="1"/>
  <c r="AK323" i="1"/>
  <c r="AJ323" i="1"/>
  <c r="AI323" i="1"/>
  <c r="Z323" i="1"/>
  <c r="Q323" i="1"/>
  <c r="AK322" i="1"/>
  <c r="AJ322" i="1"/>
  <c r="AI322" i="1"/>
  <c r="Z322" i="1"/>
  <c r="Q322" i="1"/>
  <c r="AK321" i="1"/>
  <c r="AJ321" i="1"/>
  <c r="AI321" i="1"/>
  <c r="Z321" i="1"/>
  <c r="Q321" i="1"/>
  <c r="AK320" i="1"/>
  <c r="AJ320" i="1"/>
  <c r="AI320" i="1"/>
  <c r="Z320" i="1"/>
  <c r="Q320" i="1"/>
  <c r="AK319" i="1"/>
  <c r="AJ319" i="1"/>
  <c r="AI319" i="1"/>
  <c r="Z319" i="1"/>
  <c r="Q319" i="1"/>
  <c r="AK318" i="1"/>
  <c r="AJ318" i="1"/>
  <c r="AI318" i="1"/>
  <c r="Z318" i="1"/>
  <c r="Q318" i="1"/>
  <c r="EC317" i="1"/>
  <c r="EB317" i="1"/>
  <c r="EA317" i="1"/>
  <c r="DR317" i="1"/>
  <c r="DI317" i="1"/>
  <c r="CW317" i="1"/>
  <c r="CV317" i="1"/>
  <c r="CU317" i="1"/>
  <c r="CL317" i="1"/>
  <c r="CC317" i="1"/>
  <c r="BQ317" i="1"/>
  <c r="BP317" i="1"/>
  <c r="BO317" i="1"/>
  <c r="BF317" i="1"/>
  <c r="AW317" i="1"/>
  <c r="AK317" i="1"/>
  <c r="AJ317" i="1"/>
  <c r="AI317" i="1"/>
  <c r="Z317" i="1"/>
  <c r="Q317" i="1"/>
  <c r="EC316" i="1"/>
  <c r="EB316" i="1"/>
  <c r="EA316" i="1"/>
  <c r="DR316" i="1"/>
  <c r="DI316" i="1"/>
  <c r="CW316" i="1"/>
  <c r="CV316" i="1"/>
  <c r="CU316" i="1"/>
  <c r="CL316" i="1"/>
  <c r="CC316" i="1"/>
  <c r="BQ316" i="1"/>
  <c r="BP316" i="1"/>
  <c r="BO316" i="1"/>
  <c r="BF316" i="1"/>
  <c r="AW316" i="1"/>
  <c r="AK316" i="1"/>
  <c r="AJ316" i="1"/>
  <c r="AI316" i="1"/>
  <c r="Z316" i="1"/>
  <c r="Q316" i="1"/>
  <c r="EC315" i="1"/>
  <c r="ED315" i="1" s="1"/>
  <c r="EB315" i="1"/>
  <c r="EA315" i="1"/>
  <c r="DR315" i="1"/>
  <c r="DI315" i="1"/>
  <c r="CW315" i="1"/>
  <c r="CV315" i="1"/>
  <c r="CU315" i="1"/>
  <c r="CL315" i="1"/>
  <c r="CC315" i="1"/>
  <c r="BQ315" i="1"/>
  <c r="BP315" i="1"/>
  <c r="BO315" i="1"/>
  <c r="BF315" i="1"/>
  <c r="AW315" i="1"/>
  <c r="AK315" i="1"/>
  <c r="AJ315" i="1"/>
  <c r="AI315" i="1"/>
  <c r="Z315" i="1"/>
  <c r="Q315" i="1"/>
  <c r="EC314" i="1"/>
  <c r="ED314" i="1" s="1"/>
  <c r="EB314" i="1"/>
  <c r="EA314" i="1"/>
  <c r="DR314" i="1"/>
  <c r="DI314" i="1"/>
  <c r="CW314" i="1"/>
  <c r="CV314" i="1"/>
  <c r="CU314" i="1"/>
  <c r="CL314" i="1"/>
  <c r="CC314" i="1"/>
  <c r="BQ314" i="1"/>
  <c r="BP314" i="1"/>
  <c r="BO314" i="1"/>
  <c r="BF314" i="1"/>
  <c r="AW314" i="1"/>
  <c r="AK314" i="1"/>
  <c r="AJ314" i="1"/>
  <c r="AI314" i="1"/>
  <c r="Z314" i="1"/>
  <c r="Q314" i="1"/>
  <c r="EC313" i="1"/>
  <c r="ED313" i="1" s="1"/>
  <c r="EB313" i="1"/>
  <c r="EA313" i="1"/>
  <c r="DR313" i="1"/>
  <c r="DI313" i="1"/>
  <c r="CW313" i="1"/>
  <c r="CV313" i="1"/>
  <c r="CU313" i="1"/>
  <c r="CL313" i="1"/>
  <c r="CC313" i="1"/>
  <c r="BQ313" i="1"/>
  <c r="BP313" i="1"/>
  <c r="BO313" i="1"/>
  <c r="BF313" i="1"/>
  <c r="AW313" i="1"/>
  <c r="AK313" i="1"/>
  <c r="AJ313" i="1"/>
  <c r="AI313" i="1"/>
  <c r="Z313" i="1"/>
  <c r="Q313" i="1"/>
  <c r="EC312" i="1"/>
  <c r="ED312" i="1" s="1"/>
  <c r="EB312" i="1"/>
  <c r="EA312" i="1"/>
  <c r="DR312" i="1"/>
  <c r="DI312" i="1"/>
  <c r="CW312" i="1"/>
  <c r="CV312" i="1"/>
  <c r="CU312" i="1"/>
  <c r="CL312" i="1"/>
  <c r="CC312" i="1"/>
  <c r="BQ312" i="1"/>
  <c r="BP312" i="1"/>
  <c r="BO312" i="1"/>
  <c r="BF312" i="1"/>
  <c r="AW312" i="1"/>
  <c r="AK312" i="1"/>
  <c r="AJ312" i="1"/>
  <c r="AI312" i="1"/>
  <c r="Z312" i="1"/>
  <c r="Q312" i="1"/>
  <c r="EC311" i="1"/>
  <c r="EB311" i="1"/>
  <c r="EA311" i="1"/>
  <c r="DR311" i="1"/>
  <c r="DI311" i="1"/>
  <c r="CW311" i="1"/>
  <c r="CV311" i="1"/>
  <c r="CU311" i="1"/>
  <c r="CL311" i="1"/>
  <c r="CC311" i="1"/>
  <c r="BQ311" i="1"/>
  <c r="BP311" i="1"/>
  <c r="BO311" i="1"/>
  <c r="BF311" i="1"/>
  <c r="AW311" i="1"/>
  <c r="AK311" i="1"/>
  <c r="AJ311" i="1"/>
  <c r="AI311" i="1"/>
  <c r="Z311" i="1"/>
  <c r="Q311" i="1"/>
  <c r="EC310" i="1"/>
  <c r="EB310" i="1"/>
  <c r="EA310" i="1"/>
  <c r="DR310" i="1"/>
  <c r="DI310" i="1"/>
  <c r="CW310" i="1"/>
  <c r="CV310" i="1"/>
  <c r="CU310" i="1"/>
  <c r="CL310" i="1"/>
  <c r="CC310" i="1"/>
  <c r="BQ310" i="1"/>
  <c r="BP310" i="1"/>
  <c r="BO310" i="1"/>
  <c r="BF310" i="1"/>
  <c r="AW310" i="1"/>
  <c r="AK310" i="1"/>
  <c r="AJ310" i="1"/>
  <c r="AI310" i="1"/>
  <c r="Z310" i="1"/>
  <c r="Q310" i="1"/>
  <c r="EC309" i="1"/>
  <c r="EB309" i="1"/>
  <c r="EA309" i="1"/>
  <c r="DR309" i="1"/>
  <c r="DI309" i="1"/>
  <c r="CW309" i="1"/>
  <c r="CV309" i="1"/>
  <c r="CU309" i="1"/>
  <c r="CL309" i="1"/>
  <c r="CC309" i="1"/>
  <c r="BQ309" i="1"/>
  <c r="BP309" i="1"/>
  <c r="BO309" i="1"/>
  <c r="BF309" i="1"/>
  <c r="AW309" i="1"/>
  <c r="AK309" i="1"/>
  <c r="AJ309" i="1"/>
  <c r="AI309" i="1"/>
  <c r="Z309" i="1"/>
  <c r="Q309" i="1"/>
  <c r="EC308" i="1"/>
  <c r="EB308" i="1"/>
  <c r="EA308" i="1"/>
  <c r="DR308" i="1"/>
  <c r="DI308" i="1"/>
  <c r="CW308" i="1"/>
  <c r="CV308" i="1"/>
  <c r="CU308" i="1"/>
  <c r="CL308" i="1"/>
  <c r="CC308" i="1"/>
  <c r="BQ308" i="1"/>
  <c r="BP308" i="1"/>
  <c r="BO308" i="1"/>
  <c r="BF308" i="1"/>
  <c r="AW308" i="1"/>
  <c r="AK308" i="1"/>
  <c r="AJ308" i="1"/>
  <c r="AI308" i="1"/>
  <c r="Z308" i="1"/>
  <c r="Q308" i="1"/>
  <c r="EC307" i="1"/>
  <c r="EB307" i="1"/>
  <c r="EA307" i="1"/>
  <c r="DR307" i="1"/>
  <c r="DI307" i="1"/>
  <c r="CW307" i="1"/>
  <c r="CV307" i="1"/>
  <c r="CU307" i="1"/>
  <c r="CL307" i="1"/>
  <c r="CC307" i="1"/>
  <c r="BQ307" i="1"/>
  <c r="BP307" i="1"/>
  <c r="BO307" i="1"/>
  <c r="BF307" i="1"/>
  <c r="AW307" i="1"/>
  <c r="AK307" i="1"/>
  <c r="AJ307" i="1"/>
  <c r="AL307" i="1" s="1"/>
  <c r="AI307" i="1"/>
  <c r="Z307" i="1"/>
  <c r="Q307" i="1"/>
  <c r="EC306" i="1"/>
  <c r="EB306" i="1"/>
  <c r="EA306" i="1"/>
  <c r="DR306" i="1"/>
  <c r="DI306" i="1"/>
  <c r="CW306" i="1"/>
  <c r="CV306" i="1"/>
  <c r="CU306" i="1"/>
  <c r="CL306" i="1"/>
  <c r="CC306" i="1"/>
  <c r="BQ306" i="1"/>
  <c r="BP306" i="1"/>
  <c r="BO306" i="1"/>
  <c r="BF306" i="1"/>
  <c r="AW306" i="1"/>
  <c r="AK306" i="1"/>
  <c r="AJ306" i="1"/>
  <c r="AL306" i="1" s="1"/>
  <c r="AI306" i="1"/>
  <c r="Z306" i="1"/>
  <c r="Q306" i="1"/>
  <c r="EC305" i="1"/>
  <c r="EB305" i="1"/>
  <c r="EA305" i="1"/>
  <c r="DR305" i="1"/>
  <c r="DI305" i="1"/>
  <c r="CW305" i="1"/>
  <c r="CV305" i="1"/>
  <c r="CU305" i="1"/>
  <c r="CL305" i="1"/>
  <c r="CC305" i="1"/>
  <c r="BQ305" i="1"/>
  <c r="BP305" i="1"/>
  <c r="BO305" i="1"/>
  <c r="BF305" i="1"/>
  <c r="AW305" i="1"/>
  <c r="AK305" i="1"/>
  <c r="AJ305" i="1"/>
  <c r="AL305" i="1" s="1"/>
  <c r="AI305" i="1"/>
  <c r="Z305" i="1"/>
  <c r="Q305" i="1"/>
  <c r="EC304" i="1"/>
  <c r="EB304" i="1"/>
  <c r="EA304" i="1"/>
  <c r="DR304" i="1"/>
  <c r="DI304" i="1"/>
  <c r="CW304" i="1"/>
  <c r="CV304" i="1"/>
  <c r="CU304" i="1"/>
  <c r="CL304" i="1"/>
  <c r="CC304" i="1"/>
  <c r="BQ304" i="1"/>
  <c r="BP304" i="1"/>
  <c r="BO304" i="1"/>
  <c r="BF304" i="1"/>
  <c r="AW304" i="1"/>
  <c r="AK304" i="1"/>
  <c r="AJ304" i="1"/>
  <c r="AI304" i="1"/>
  <c r="Z304" i="1"/>
  <c r="Q304" i="1"/>
  <c r="EC303" i="1"/>
  <c r="EB303" i="1"/>
  <c r="EA303" i="1"/>
  <c r="DR303" i="1"/>
  <c r="DI303" i="1"/>
  <c r="CW303" i="1"/>
  <c r="CV303" i="1"/>
  <c r="CU303" i="1"/>
  <c r="CL303" i="1"/>
  <c r="CC303" i="1"/>
  <c r="BQ303" i="1"/>
  <c r="BP303" i="1"/>
  <c r="BO303" i="1"/>
  <c r="BF303" i="1"/>
  <c r="AW303" i="1"/>
  <c r="AK303" i="1"/>
  <c r="AJ303" i="1"/>
  <c r="AI303" i="1"/>
  <c r="Z303" i="1"/>
  <c r="Q303" i="1"/>
  <c r="EC302" i="1"/>
  <c r="EB302" i="1"/>
  <c r="EA302" i="1"/>
  <c r="DR302" i="1"/>
  <c r="DI302" i="1"/>
  <c r="CW302" i="1"/>
  <c r="CV302" i="1"/>
  <c r="CU302" i="1"/>
  <c r="CL302" i="1"/>
  <c r="CC302" i="1"/>
  <c r="BQ302" i="1"/>
  <c r="BP302" i="1"/>
  <c r="BO302" i="1"/>
  <c r="BF302" i="1"/>
  <c r="AW302" i="1"/>
  <c r="AK302" i="1"/>
  <c r="AJ302" i="1"/>
  <c r="AI302" i="1"/>
  <c r="Z302" i="1"/>
  <c r="Q302" i="1"/>
  <c r="EC301" i="1"/>
  <c r="EB301" i="1"/>
  <c r="EA301" i="1"/>
  <c r="DR301" i="1"/>
  <c r="DI301" i="1"/>
  <c r="CW301" i="1"/>
  <c r="CV301" i="1"/>
  <c r="CU301" i="1"/>
  <c r="CL301" i="1"/>
  <c r="CC301" i="1"/>
  <c r="BQ301" i="1"/>
  <c r="BP301" i="1"/>
  <c r="BO301" i="1"/>
  <c r="BF301" i="1"/>
  <c r="AW301" i="1"/>
  <c r="AK301" i="1"/>
  <c r="AJ301" i="1"/>
  <c r="AI301" i="1"/>
  <c r="Z301" i="1"/>
  <c r="Q301" i="1"/>
  <c r="EC300" i="1"/>
  <c r="EB300" i="1"/>
  <c r="EA300" i="1"/>
  <c r="DR300" i="1"/>
  <c r="DI300" i="1"/>
  <c r="CW300" i="1"/>
  <c r="CV300" i="1"/>
  <c r="CU300" i="1"/>
  <c r="CL300" i="1"/>
  <c r="CC300" i="1"/>
  <c r="BQ300" i="1"/>
  <c r="BP300" i="1"/>
  <c r="BO300" i="1"/>
  <c r="BF300" i="1"/>
  <c r="AW300" i="1"/>
  <c r="AK300" i="1"/>
  <c r="AJ300" i="1"/>
  <c r="AI300" i="1"/>
  <c r="Z300" i="1"/>
  <c r="Q300" i="1"/>
  <c r="EC299" i="1"/>
  <c r="EB299" i="1"/>
  <c r="EA299" i="1"/>
  <c r="DR299" i="1"/>
  <c r="DI299" i="1"/>
  <c r="CW299" i="1"/>
  <c r="CV299" i="1"/>
  <c r="CU299" i="1"/>
  <c r="CL299" i="1"/>
  <c r="CC299" i="1"/>
  <c r="BQ299" i="1"/>
  <c r="BP299" i="1"/>
  <c r="BO299" i="1"/>
  <c r="BF299" i="1"/>
  <c r="AW299" i="1"/>
  <c r="AK299" i="1"/>
  <c r="AJ299" i="1"/>
  <c r="AI299" i="1"/>
  <c r="Z299" i="1"/>
  <c r="Q299" i="1"/>
  <c r="EC298" i="1"/>
  <c r="EB298" i="1"/>
  <c r="EA298" i="1"/>
  <c r="DR298" i="1"/>
  <c r="DI298" i="1"/>
  <c r="CW298" i="1"/>
  <c r="CV298" i="1"/>
  <c r="CU298" i="1"/>
  <c r="CL298" i="1"/>
  <c r="CC298" i="1"/>
  <c r="BQ298" i="1"/>
  <c r="BP298" i="1"/>
  <c r="BO298" i="1"/>
  <c r="BF298" i="1"/>
  <c r="AW298" i="1"/>
  <c r="AK298" i="1"/>
  <c r="AJ298" i="1"/>
  <c r="AI298" i="1"/>
  <c r="Z298" i="1"/>
  <c r="Q298" i="1"/>
  <c r="EC297" i="1"/>
  <c r="EB297" i="1"/>
  <c r="EA297" i="1"/>
  <c r="DR297" i="1"/>
  <c r="DI297" i="1"/>
  <c r="CW297" i="1"/>
  <c r="CV297" i="1"/>
  <c r="CU297" i="1"/>
  <c r="CL297" i="1"/>
  <c r="CC297" i="1"/>
  <c r="BQ297" i="1"/>
  <c r="BP297" i="1"/>
  <c r="BO297" i="1"/>
  <c r="BF297" i="1"/>
  <c r="AW297" i="1"/>
  <c r="AK297" i="1"/>
  <c r="AJ297" i="1"/>
  <c r="AI297" i="1"/>
  <c r="Z297" i="1"/>
  <c r="Q297" i="1"/>
  <c r="EC296" i="1"/>
  <c r="EB296" i="1"/>
  <c r="EA296" i="1"/>
  <c r="DR296" i="1"/>
  <c r="DI296" i="1"/>
  <c r="CW296" i="1"/>
  <c r="CV296" i="1"/>
  <c r="CU296" i="1"/>
  <c r="CL296" i="1"/>
  <c r="CC296" i="1"/>
  <c r="BQ296" i="1"/>
  <c r="BP296" i="1"/>
  <c r="BO296" i="1"/>
  <c r="BF296" i="1"/>
  <c r="AW296" i="1"/>
  <c r="AK296" i="1"/>
  <c r="AJ296" i="1"/>
  <c r="AI296" i="1"/>
  <c r="Z296" i="1"/>
  <c r="Q296" i="1"/>
  <c r="EC295" i="1"/>
  <c r="ED295" i="1" s="1"/>
  <c r="EB295" i="1"/>
  <c r="EA295" i="1"/>
  <c r="DR295" i="1"/>
  <c r="DI295" i="1"/>
  <c r="CW295" i="1"/>
  <c r="CV295" i="1"/>
  <c r="CU295" i="1"/>
  <c r="CL295" i="1"/>
  <c r="CC295" i="1"/>
  <c r="BQ295" i="1"/>
  <c r="BP295" i="1"/>
  <c r="BO295" i="1"/>
  <c r="BF295" i="1"/>
  <c r="AW295" i="1"/>
  <c r="AK295" i="1"/>
  <c r="AJ295" i="1"/>
  <c r="AI295" i="1"/>
  <c r="Z295" i="1"/>
  <c r="Q295" i="1"/>
  <c r="EC294" i="1"/>
  <c r="EB294" i="1"/>
  <c r="EA294" i="1"/>
  <c r="DR294" i="1"/>
  <c r="DI294" i="1"/>
  <c r="CW294" i="1"/>
  <c r="CV294" i="1"/>
  <c r="CU294" i="1"/>
  <c r="CL294" i="1"/>
  <c r="CC294" i="1"/>
  <c r="BQ294" i="1"/>
  <c r="BP294" i="1"/>
  <c r="BO294" i="1"/>
  <c r="BF294" i="1"/>
  <c r="AW294" i="1"/>
  <c r="AK294" i="1"/>
  <c r="AJ294" i="1"/>
  <c r="AI294" i="1"/>
  <c r="Z294" i="1"/>
  <c r="Q294" i="1"/>
  <c r="EC293" i="1"/>
  <c r="EB293" i="1"/>
  <c r="EA293" i="1"/>
  <c r="DR293" i="1"/>
  <c r="DI293" i="1"/>
  <c r="CW293" i="1"/>
  <c r="CV293" i="1"/>
  <c r="CU293" i="1"/>
  <c r="CL293" i="1"/>
  <c r="CC293" i="1"/>
  <c r="BQ293" i="1"/>
  <c r="BP293" i="1"/>
  <c r="BO293" i="1"/>
  <c r="BF293" i="1"/>
  <c r="AW293" i="1"/>
  <c r="AK293" i="1"/>
  <c r="AJ293" i="1"/>
  <c r="AI293" i="1"/>
  <c r="Z293" i="1"/>
  <c r="Q293" i="1"/>
  <c r="EC292" i="1"/>
  <c r="EB292" i="1"/>
  <c r="EA292" i="1"/>
  <c r="DR292" i="1"/>
  <c r="DI292" i="1"/>
  <c r="CW292" i="1"/>
  <c r="CV292" i="1"/>
  <c r="CU292" i="1"/>
  <c r="CL292" i="1"/>
  <c r="CC292" i="1"/>
  <c r="BQ292" i="1"/>
  <c r="BP292" i="1"/>
  <c r="BO292" i="1"/>
  <c r="BF292" i="1"/>
  <c r="AW292" i="1"/>
  <c r="AK292" i="1"/>
  <c r="AJ292" i="1"/>
  <c r="AI292" i="1"/>
  <c r="Z292" i="1"/>
  <c r="Q292" i="1"/>
  <c r="EC291" i="1"/>
  <c r="ED291" i="1" s="1"/>
  <c r="EB291" i="1"/>
  <c r="EA291" i="1"/>
  <c r="DR291" i="1"/>
  <c r="DI291" i="1"/>
  <c r="CW291" i="1"/>
  <c r="CV291" i="1"/>
  <c r="CU291" i="1"/>
  <c r="CL291" i="1"/>
  <c r="CC291" i="1"/>
  <c r="BQ291" i="1"/>
  <c r="BP291" i="1"/>
  <c r="BO291" i="1"/>
  <c r="BF291" i="1"/>
  <c r="AW291" i="1"/>
  <c r="AK291" i="1"/>
  <c r="AJ291" i="1"/>
  <c r="AL291" i="1" s="1"/>
  <c r="AI291" i="1"/>
  <c r="Z291" i="1"/>
  <c r="Q291" i="1"/>
  <c r="EC290" i="1"/>
  <c r="EB290" i="1"/>
  <c r="EA290" i="1"/>
  <c r="DR290" i="1"/>
  <c r="DI290" i="1"/>
  <c r="CW290" i="1"/>
  <c r="CV290" i="1"/>
  <c r="CU290" i="1"/>
  <c r="CL290" i="1"/>
  <c r="CC290" i="1"/>
  <c r="BQ290" i="1"/>
  <c r="BP290" i="1"/>
  <c r="BO290" i="1"/>
  <c r="BF290" i="1"/>
  <c r="AW290" i="1"/>
  <c r="AK290" i="1"/>
  <c r="AJ290" i="1"/>
  <c r="AL290" i="1" s="1"/>
  <c r="AI290" i="1"/>
  <c r="Z290" i="1"/>
  <c r="Q290" i="1"/>
  <c r="EC289" i="1"/>
  <c r="EB289" i="1"/>
  <c r="EA289" i="1"/>
  <c r="DR289" i="1"/>
  <c r="DI289" i="1"/>
  <c r="CW289" i="1"/>
  <c r="CV289" i="1"/>
  <c r="CU289" i="1"/>
  <c r="CL289" i="1"/>
  <c r="CC289" i="1"/>
  <c r="BQ289" i="1"/>
  <c r="BP289" i="1"/>
  <c r="BO289" i="1"/>
  <c r="BF289" i="1"/>
  <c r="AW289" i="1"/>
  <c r="AK289" i="1"/>
  <c r="AJ289" i="1"/>
  <c r="AL289" i="1" s="1"/>
  <c r="AI289" i="1"/>
  <c r="Z289" i="1"/>
  <c r="Q289" i="1"/>
  <c r="EC288" i="1"/>
  <c r="EB288" i="1"/>
  <c r="EA288" i="1"/>
  <c r="DR288" i="1"/>
  <c r="DI288" i="1"/>
  <c r="CW288" i="1"/>
  <c r="CV288" i="1"/>
  <c r="CU288" i="1"/>
  <c r="CL288" i="1"/>
  <c r="CC288" i="1"/>
  <c r="BQ288" i="1"/>
  <c r="BP288" i="1"/>
  <c r="BO288" i="1"/>
  <c r="BF288" i="1"/>
  <c r="AW288" i="1"/>
  <c r="AK288" i="1"/>
  <c r="AJ288" i="1"/>
  <c r="AL288" i="1" s="1"/>
  <c r="AI288" i="1"/>
  <c r="Z288" i="1"/>
  <c r="Q288" i="1"/>
  <c r="EC287" i="1"/>
  <c r="ED287" i="1" s="1"/>
  <c r="EB287" i="1"/>
  <c r="EA287" i="1"/>
  <c r="DR287" i="1"/>
  <c r="DI287" i="1"/>
  <c r="CW287" i="1"/>
  <c r="CV287" i="1"/>
  <c r="CU287" i="1"/>
  <c r="CL287" i="1"/>
  <c r="CC287" i="1"/>
  <c r="BQ287" i="1"/>
  <c r="BP287" i="1"/>
  <c r="BO287" i="1"/>
  <c r="BF287" i="1"/>
  <c r="AW287" i="1"/>
  <c r="AK287" i="1"/>
  <c r="AJ287" i="1"/>
  <c r="AL287" i="1" s="1"/>
  <c r="AI287" i="1"/>
  <c r="Z287" i="1"/>
  <c r="Q287" i="1"/>
  <c r="EC286" i="1"/>
  <c r="ED286" i="1" s="1"/>
  <c r="EB286" i="1"/>
  <c r="EA286" i="1"/>
  <c r="DR286" i="1"/>
  <c r="DI286" i="1"/>
  <c r="CW286" i="1"/>
  <c r="CV286" i="1"/>
  <c r="CU286" i="1"/>
  <c r="CL286" i="1"/>
  <c r="CC286" i="1"/>
  <c r="BQ286" i="1"/>
  <c r="BP286" i="1"/>
  <c r="BO286" i="1"/>
  <c r="BF286" i="1"/>
  <c r="AW286" i="1"/>
  <c r="AK286" i="1"/>
  <c r="AJ286" i="1"/>
  <c r="AL286" i="1" s="1"/>
  <c r="AI286" i="1"/>
  <c r="Z286" i="1"/>
  <c r="Q286" i="1"/>
  <c r="EC285" i="1"/>
  <c r="ED285" i="1" s="1"/>
  <c r="EB285" i="1"/>
  <c r="EA285" i="1"/>
  <c r="DR285" i="1"/>
  <c r="DI285" i="1"/>
  <c r="CW285" i="1"/>
  <c r="CV285" i="1"/>
  <c r="CU285" i="1"/>
  <c r="CL285" i="1"/>
  <c r="CC285" i="1"/>
  <c r="BQ285" i="1"/>
  <c r="BP285" i="1"/>
  <c r="BO285" i="1"/>
  <c r="BF285" i="1"/>
  <c r="AW285" i="1"/>
  <c r="AK285" i="1"/>
  <c r="AJ285" i="1"/>
  <c r="AL285" i="1" s="1"/>
  <c r="AI285" i="1"/>
  <c r="Z285" i="1"/>
  <c r="Q285" i="1"/>
  <c r="EC284" i="1"/>
  <c r="ED284" i="1" s="1"/>
  <c r="EB284" i="1"/>
  <c r="EA284" i="1"/>
  <c r="DR284" i="1"/>
  <c r="DI284" i="1"/>
  <c r="CW284" i="1"/>
  <c r="CV284" i="1"/>
  <c r="CU284" i="1"/>
  <c r="CL284" i="1"/>
  <c r="CC284" i="1"/>
  <c r="BQ284" i="1"/>
  <c r="BP284" i="1"/>
  <c r="BO284" i="1"/>
  <c r="BF284" i="1"/>
  <c r="AW284" i="1"/>
  <c r="AK284" i="1"/>
  <c r="AJ284" i="1"/>
  <c r="AI284" i="1"/>
  <c r="Z284" i="1"/>
  <c r="Q284" i="1"/>
  <c r="EC283" i="1"/>
  <c r="EB283" i="1"/>
  <c r="EA283" i="1"/>
  <c r="DR283" i="1"/>
  <c r="DI283" i="1"/>
  <c r="CW283" i="1"/>
  <c r="CV283" i="1"/>
  <c r="CU283" i="1"/>
  <c r="CL283" i="1"/>
  <c r="CC283" i="1"/>
  <c r="BQ283" i="1"/>
  <c r="BP283" i="1"/>
  <c r="BO283" i="1"/>
  <c r="BF283" i="1"/>
  <c r="AW283" i="1"/>
  <c r="AK283" i="1"/>
  <c r="AJ283" i="1"/>
  <c r="AI283" i="1"/>
  <c r="Z283" i="1"/>
  <c r="Q283" i="1"/>
  <c r="EC282" i="1"/>
  <c r="ED282" i="1" s="1"/>
  <c r="EB282" i="1"/>
  <c r="EA282" i="1"/>
  <c r="DR282" i="1"/>
  <c r="DI282" i="1"/>
  <c r="CW282" i="1"/>
  <c r="CV282" i="1"/>
  <c r="CU282" i="1"/>
  <c r="CL282" i="1"/>
  <c r="CC282" i="1"/>
  <c r="BQ282" i="1"/>
  <c r="BP282" i="1"/>
  <c r="BO282" i="1"/>
  <c r="BF282" i="1"/>
  <c r="AW282" i="1"/>
  <c r="AK282" i="1"/>
  <c r="AJ282" i="1"/>
  <c r="AL282" i="1" s="1"/>
  <c r="AI282" i="1"/>
  <c r="Z282" i="1"/>
  <c r="Q282" i="1"/>
  <c r="EC281" i="1"/>
  <c r="ED281" i="1" s="1"/>
  <c r="EB281" i="1"/>
  <c r="EA281" i="1"/>
  <c r="DR281" i="1"/>
  <c r="DI281" i="1"/>
  <c r="CW281" i="1"/>
  <c r="CV281" i="1"/>
  <c r="CU281" i="1"/>
  <c r="CL281" i="1"/>
  <c r="CC281" i="1"/>
  <c r="BQ281" i="1"/>
  <c r="BP281" i="1"/>
  <c r="BO281" i="1"/>
  <c r="BF281" i="1"/>
  <c r="AW281" i="1"/>
  <c r="AK281" i="1"/>
  <c r="AJ281" i="1"/>
  <c r="AI281" i="1"/>
  <c r="Z281" i="1"/>
  <c r="Q281" i="1"/>
  <c r="EC280" i="1"/>
  <c r="EB280" i="1"/>
  <c r="EA280" i="1"/>
  <c r="DR280" i="1"/>
  <c r="DI280" i="1"/>
  <c r="CW280" i="1"/>
  <c r="CV280" i="1"/>
  <c r="CU280" i="1"/>
  <c r="CL280" i="1"/>
  <c r="CC280" i="1"/>
  <c r="BQ280" i="1"/>
  <c r="BP280" i="1"/>
  <c r="BO280" i="1"/>
  <c r="BF280" i="1"/>
  <c r="AW280" i="1"/>
  <c r="AK280" i="1"/>
  <c r="AJ280" i="1"/>
  <c r="AI280" i="1"/>
  <c r="Z280" i="1"/>
  <c r="Q280" i="1"/>
  <c r="EC279" i="1"/>
  <c r="EB279" i="1"/>
  <c r="EA279" i="1"/>
  <c r="DR279" i="1"/>
  <c r="DI279" i="1"/>
  <c r="CW279" i="1"/>
  <c r="CV279" i="1"/>
  <c r="CU279" i="1"/>
  <c r="CL279" i="1"/>
  <c r="CC279" i="1"/>
  <c r="BQ279" i="1"/>
  <c r="BP279" i="1"/>
  <c r="BO279" i="1"/>
  <c r="BF279" i="1"/>
  <c r="AW279" i="1"/>
  <c r="AK279" i="1"/>
  <c r="AJ279" i="1"/>
  <c r="AI279" i="1"/>
  <c r="Z279" i="1"/>
  <c r="Q279" i="1"/>
  <c r="EC278" i="1"/>
  <c r="EB278" i="1"/>
  <c r="EA278" i="1"/>
  <c r="DR278" i="1"/>
  <c r="DI278" i="1"/>
  <c r="CW278" i="1"/>
  <c r="CV278" i="1"/>
  <c r="CU278" i="1"/>
  <c r="CL278" i="1"/>
  <c r="CC278" i="1"/>
  <c r="BQ278" i="1"/>
  <c r="BP278" i="1"/>
  <c r="BO278" i="1"/>
  <c r="BF278" i="1"/>
  <c r="AW278" i="1"/>
  <c r="AK278" i="1"/>
  <c r="AJ278" i="1"/>
  <c r="AI278" i="1"/>
  <c r="Z278" i="1"/>
  <c r="Q278" i="1"/>
  <c r="EC277" i="1"/>
  <c r="ED277" i="1" s="1"/>
  <c r="EB277" i="1"/>
  <c r="EA277" i="1"/>
  <c r="DR277" i="1"/>
  <c r="DI277" i="1"/>
  <c r="CW277" i="1"/>
  <c r="CV277" i="1"/>
  <c r="CU277" i="1"/>
  <c r="CL277" i="1"/>
  <c r="CC277" i="1"/>
  <c r="BQ277" i="1"/>
  <c r="BP277" i="1"/>
  <c r="BO277" i="1"/>
  <c r="BF277" i="1"/>
  <c r="AW277" i="1"/>
  <c r="AK277" i="1"/>
  <c r="AJ277" i="1"/>
  <c r="AI277" i="1"/>
  <c r="Z277" i="1"/>
  <c r="Q277" i="1"/>
  <c r="EC276" i="1"/>
  <c r="EB276" i="1"/>
  <c r="EA276" i="1"/>
  <c r="DR276" i="1"/>
  <c r="DI276" i="1"/>
  <c r="CW276" i="1"/>
  <c r="CV276" i="1"/>
  <c r="CU276" i="1"/>
  <c r="CL276" i="1"/>
  <c r="CC276" i="1"/>
  <c r="BQ276" i="1"/>
  <c r="BP276" i="1"/>
  <c r="BO276" i="1"/>
  <c r="BF276" i="1"/>
  <c r="AW276" i="1"/>
  <c r="AK276" i="1"/>
  <c r="AJ276" i="1"/>
  <c r="AI276" i="1"/>
  <c r="Z276" i="1"/>
  <c r="Q276" i="1"/>
  <c r="EC275" i="1"/>
  <c r="EB275" i="1"/>
  <c r="EA275" i="1"/>
  <c r="DR275" i="1"/>
  <c r="DI275" i="1"/>
  <c r="CW275" i="1"/>
  <c r="CV275" i="1"/>
  <c r="CU275" i="1"/>
  <c r="CL275" i="1"/>
  <c r="CC275" i="1"/>
  <c r="BQ275" i="1"/>
  <c r="BP275" i="1"/>
  <c r="BO275" i="1"/>
  <c r="BF275" i="1"/>
  <c r="AW275" i="1"/>
  <c r="AK275" i="1"/>
  <c r="AJ275" i="1"/>
  <c r="AI275" i="1"/>
  <c r="Z275" i="1"/>
  <c r="Q275" i="1"/>
  <c r="EC274" i="1"/>
  <c r="EB274" i="1"/>
  <c r="EA274" i="1"/>
  <c r="DR274" i="1"/>
  <c r="DI274" i="1"/>
  <c r="CW274" i="1"/>
  <c r="CV274" i="1"/>
  <c r="CU274" i="1"/>
  <c r="CL274" i="1"/>
  <c r="CC274" i="1"/>
  <c r="BQ274" i="1"/>
  <c r="BP274" i="1"/>
  <c r="BO274" i="1"/>
  <c r="BF274" i="1"/>
  <c r="AW274" i="1"/>
  <c r="AK274" i="1"/>
  <c r="AJ274" i="1"/>
  <c r="AI274" i="1"/>
  <c r="Z274" i="1"/>
  <c r="Q274" i="1"/>
  <c r="EC273" i="1"/>
  <c r="EB273" i="1"/>
  <c r="EA273" i="1"/>
  <c r="DR273" i="1"/>
  <c r="DI273" i="1"/>
  <c r="CW273" i="1"/>
  <c r="CV273" i="1"/>
  <c r="CU273" i="1"/>
  <c r="CL273" i="1"/>
  <c r="CC273" i="1"/>
  <c r="BQ273" i="1"/>
  <c r="BP273" i="1"/>
  <c r="BO273" i="1"/>
  <c r="BF273" i="1"/>
  <c r="AW273" i="1"/>
  <c r="AK273" i="1"/>
  <c r="AJ273" i="1"/>
  <c r="AI273" i="1"/>
  <c r="Z273" i="1"/>
  <c r="Q273" i="1"/>
  <c r="EC272" i="1"/>
  <c r="EB272" i="1"/>
  <c r="EA272" i="1"/>
  <c r="DR272" i="1"/>
  <c r="DI272" i="1"/>
  <c r="CW272" i="1"/>
  <c r="CV272" i="1"/>
  <c r="CU272" i="1"/>
  <c r="CL272" i="1"/>
  <c r="CC272" i="1"/>
  <c r="BQ272" i="1"/>
  <c r="BP272" i="1"/>
  <c r="BO272" i="1"/>
  <c r="BF272" i="1"/>
  <c r="AW272" i="1"/>
  <c r="AK272" i="1"/>
  <c r="AJ272" i="1"/>
  <c r="AI272" i="1"/>
  <c r="Z272" i="1"/>
  <c r="Q272" i="1"/>
  <c r="EC271" i="1"/>
  <c r="EB271" i="1"/>
  <c r="EA271" i="1"/>
  <c r="DR271" i="1"/>
  <c r="DI271" i="1"/>
  <c r="CW271" i="1"/>
  <c r="CV271" i="1"/>
  <c r="CU271" i="1"/>
  <c r="CL271" i="1"/>
  <c r="CC271" i="1"/>
  <c r="BQ271" i="1"/>
  <c r="BP271" i="1"/>
  <c r="BO271" i="1"/>
  <c r="BF271" i="1"/>
  <c r="AW271" i="1"/>
  <c r="AK271" i="1"/>
  <c r="AJ271" i="1"/>
  <c r="AI271" i="1"/>
  <c r="Z271" i="1"/>
  <c r="Q271" i="1"/>
  <c r="EC270" i="1"/>
  <c r="EB270" i="1"/>
  <c r="EA270" i="1"/>
  <c r="DR270" i="1"/>
  <c r="DI270" i="1"/>
  <c r="CW270" i="1"/>
  <c r="CV270" i="1"/>
  <c r="CU270" i="1"/>
  <c r="CL270" i="1"/>
  <c r="CC270" i="1"/>
  <c r="BQ270" i="1"/>
  <c r="BP270" i="1"/>
  <c r="BO270" i="1"/>
  <c r="BF270" i="1"/>
  <c r="AW270" i="1"/>
  <c r="AK270" i="1"/>
  <c r="AJ270" i="1"/>
  <c r="AI270" i="1"/>
  <c r="Z270" i="1"/>
  <c r="Q270" i="1"/>
  <c r="EC269" i="1"/>
  <c r="ED269" i="1" s="1"/>
  <c r="EB269" i="1"/>
  <c r="EA269" i="1"/>
  <c r="DR269" i="1"/>
  <c r="DI269" i="1"/>
  <c r="CW269" i="1"/>
  <c r="CV269" i="1"/>
  <c r="CU269" i="1"/>
  <c r="CL269" i="1"/>
  <c r="CC269" i="1"/>
  <c r="BQ269" i="1"/>
  <c r="BP269" i="1"/>
  <c r="BO269" i="1"/>
  <c r="BF269" i="1"/>
  <c r="AW269" i="1"/>
  <c r="AK269" i="1"/>
  <c r="AJ269" i="1"/>
  <c r="AI269" i="1"/>
  <c r="Z269" i="1"/>
  <c r="Q269" i="1"/>
  <c r="EC268" i="1"/>
  <c r="EB268" i="1"/>
  <c r="EA268" i="1"/>
  <c r="DR268" i="1"/>
  <c r="DI268" i="1"/>
  <c r="CW268" i="1"/>
  <c r="CV268" i="1"/>
  <c r="CU268" i="1"/>
  <c r="CL268" i="1"/>
  <c r="CC268" i="1"/>
  <c r="BQ268" i="1"/>
  <c r="BP268" i="1"/>
  <c r="BO268" i="1"/>
  <c r="BF268" i="1"/>
  <c r="AW268" i="1"/>
  <c r="AK268" i="1"/>
  <c r="AJ268" i="1"/>
  <c r="AI268" i="1"/>
  <c r="Z268" i="1"/>
  <c r="Q268" i="1"/>
  <c r="EC267" i="1"/>
  <c r="EB267" i="1"/>
  <c r="EA267" i="1"/>
  <c r="DR267" i="1"/>
  <c r="DI267" i="1"/>
  <c r="CW267" i="1"/>
  <c r="CV267" i="1"/>
  <c r="CU267" i="1"/>
  <c r="CL267" i="1"/>
  <c r="CC267" i="1"/>
  <c r="BQ267" i="1"/>
  <c r="BP267" i="1"/>
  <c r="BO267" i="1"/>
  <c r="BF267" i="1"/>
  <c r="AW267" i="1"/>
  <c r="AK267" i="1"/>
  <c r="AJ267" i="1"/>
  <c r="AI267" i="1"/>
  <c r="Z267" i="1"/>
  <c r="Q267" i="1"/>
  <c r="EC266" i="1"/>
  <c r="EB266" i="1"/>
  <c r="EA266" i="1"/>
  <c r="DR266" i="1"/>
  <c r="DI266" i="1"/>
  <c r="CW266" i="1"/>
  <c r="CV266" i="1"/>
  <c r="CU266" i="1"/>
  <c r="CL266" i="1"/>
  <c r="CC266" i="1"/>
  <c r="BQ266" i="1"/>
  <c r="BP266" i="1"/>
  <c r="BO266" i="1"/>
  <c r="BF266" i="1"/>
  <c r="AW266" i="1"/>
  <c r="AK266" i="1"/>
  <c r="AJ266" i="1"/>
  <c r="AI266" i="1"/>
  <c r="Z266" i="1"/>
  <c r="Q266" i="1"/>
  <c r="EC265" i="1"/>
  <c r="EB265" i="1"/>
  <c r="EA265" i="1"/>
  <c r="DR265" i="1"/>
  <c r="DI265" i="1"/>
  <c r="CW265" i="1"/>
  <c r="CV265" i="1"/>
  <c r="CU265" i="1"/>
  <c r="CL265" i="1"/>
  <c r="CC265" i="1"/>
  <c r="BQ265" i="1"/>
  <c r="BP265" i="1"/>
  <c r="BO265" i="1"/>
  <c r="BF265" i="1"/>
  <c r="AW265" i="1"/>
  <c r="AK265" i="1"/>
  <c r="AJ265" i="1"/>
  <c r="AI265" i="1"/>
  <c r="Z265" i="1"/>
  <c r="Q265" i="1"/>
  <c r="EC264" i="1"/>
  <c r="EB264" i="1"/>
  <c r="EA264" i="1"/>
  <c r="DR264" i="1"/>
  <c r="DI264" i="1"/>
  <c r="CW264" i="1"/>
  <c r="CV264" i="1"/>
  <c r="CU264" i="1"/>
  <c r="CL264" i="1"/>
  <c r="CC264" i="1"/>
  <c r="BQ264" i="1"/>
  <c r="BP264" i="1"/>
  <c r="BO264" i="1"/>
  <c r="BF264" i="1"/>
  <c r="AW264" i="1"/>
  <c r="AK264" i="1"/>
  <c r="AJ264" i="1"/>
  <c r="AI264" i="1"/>
  <c r="Z264" i="1"/>
  <c r="Q264" i="1"/>
  <c r="EC263" i="1"/>
  <c r="EB263" i="1"/>
  <c r="EA263" i="1"/>
  <c r="DR263" i="1"/>
  <c r="DI263" i="1"/>
  <c r="CW263" i="1"/>
  <c r="CV263" i="1"/>
  <c r="CU263" i="1"/>
  <c r="CL263" i="1"/>
  <c r="CC263" i="1"/>
  <c r="BQ263" i="1"/>
  <c r="BP263" i="1"/>
  <c r="BO263" i="1"/>
  <c r="BF263" i="1"/>
  <c r="AW263" i="1"/>
  <c r="AK263" i="1"/>
  <c r="AJ263" i="1"/>
  <c r="AI263" i="1"/>
  <c r="Z263" i="1"/>
  <c r="Q263" i="1"/>
  <c r="EC262" i="1"/>
  <c r="EB262" i="1"/>
  <c r="EA262" i="1"/>
  <c r="DR262" i="1"/>
  <c r="DI262" i="1"/>
  <c r="CW262" i="1"/>
  <c r="CV262" i="1"/>
  <c r="CU262" i="1"/>
  <c r="CL262" i="1"/>
  <c r="CC262" i="1"/>
  <c r="BQ262" i="1"/>
  <c r="BP262" i="1"/>
  <c r="BO262" i="1"/>
  <c r="BF262" i="1"/>
  <c r="AW262" i="1"/>
  <c r="AK262" i="1"/>
  <c r="AJ262" i="1"/>
  <c r="AI262" i="1"/>
  <c r="Z262" i="1"/>
  <c r="Q262" i="1"/>
  <c r="EC261" i="1"/>
  <c r="EB261" i="1"/>
  <c r="EA261" i="1"/>
  <c r="DR261" i="1"/>
  <c r="DI261" i="1"/>
  <c r="CW261" i="1"/>
  <c r="CV261" i="1"/>
  <c r="CU261" i="1"/>
  <c r="CL261" i="1"/>
  <c r="CC261" i="1"/>
  <c r="BQ261" i="1"/>
  <c r="BP261" i="1"/>
  <c r="BO261" i="1"/>
  <c r="BF261" i="1"/>
  <c r="AW261" i="1"/>
  <c r="AK261" i="1"/>
  <c r="AJ261" i="1"/>
  <c r="AI261" i="1"/>
  <c r="Z261" i="1"/>
  <c r="Q261" i="1"/>
  <c r="EC260" i="1"/>
  <c r="EB260" i="1"/>
  <c r="EA260" i="1"/>
  <c r="DR260" i="1"/>
  <c r="DI260" i="1"/>
  <c r="CW260" i="1"/>
  <c r="CV260" i="1"/>
  <c r="CU260" i="1"/>
  <c r="CL260" i="1"/>
  <c r="CC260" i="1"/>
  <c r="BQ260" i="1"/>
  <c r="BP260" i="1"/>
  <c r="BO260" i="1"/>
  <c r="BF260" i="1"/>
  <c r="AW260" i="1"/>
  <c r="AK260" i="1"/>
  <c r="AJ260" i="1"/>
  <c r="AI260" i="1"/>
  <c r="Z260" i="1"/>
  <c r="Q260" i="1"/>
  <c r="EC259" i="1"/>
  <c r="EB259" i="1"/>
  <c r="EA259" i="1"/>
  <c r="DR259" i="1"/>
  <c r="DI259" i="1"/>
  <c r="CW259" i="1"/>
  <c r="CV259" i="1"/>
  <c r="CU259" i="1"/>
  <c r="CL259" i="1"/>
  <c r="CC259" i="1"/>
  <c r="BQ259" i="1"/>
  <c r="BP259" i="1"/>
  <c r="BO259" i="1"/>
  <c r="BF259" i="1"/>
  <c r="AW259" i="1"/>
  <c r="AK259" i="1"/>
  <c r="AJ259" i="1"/>
  <c r="AI259" i="1"/>
  <c r="Z259" i="1"/>
  <c r="Q259" i="1"/>
  <c r="EC258" i="1"/>
  <c r="EB258" i="1"/>
  <c r="EA258" i="1"/>
  <c r="DR258" i="1"/>
  <c r="DI258" i="1"/>
  <c r="CW258" i="1"/>
  <c r="CV258" i="1"/>
  <c r="CU258" i="1"/>
  <c r="CL258" i="1"/>
  <c r="CC258" i="1"/>
  <c r="BQ258" i="1"/>
  <c r="BP258" i="1"/>
  <c r="BO258" i="1"/>
  <c r="BF258" i="1"/>
  <c r="AW258" i="1"/>
  <c r="AK258" i="1"/>
  <c r="AJ258" i="1"/>
  <c r="AI258" i="1"/>
  <c r="Z258" i="1"/>
  <c r="Q258" i="1"/>
  <c r="EC257" i="1"/>
  <c r="EB257" i="1"/>
  <c r="EA257" i="1"/>
  <c r="DR257" i="1"/>
  <c r="DI257" i="1"/>
  <c r="CW257" i="1"/>
  <c r="CV257" i="1"/>
  <c r="CU257" i="1"/>
  <c r="CL257" i="1"/>
  <c r="CC257" i="1"/>
  <c r="BQ257" i="1"/>
  <c r="BP257" i="1"/>
  <c r="BO257" i="1"/>
  <c r="BF257" i="1"/>
  <c r="AW257" i="1"/>
  <c r="AK257" i="1"/>
  <c r="AJ257" i="1"/>
  <c r="AI257" i="1"/>
  <c r="Z257" i="1"/>
  <c r="Q257" i="1"/>
  <c r="EC256" i="1"/>
  <c r="EB256" i="1"/>
  <c r="EA256" i="1"/>
  <c r="DR256" i="1"/>
  <c r="DI256" i="1"/>
  <c r="CW256" i="1"/>
  <c r="CV256" i="1"/>
  <c r="CU256" i="1"/>
  <c r="CL256" i="1"/>
  <c r="CC256" i="1"/>
  <c r="BQ256" i="1"/>
  <c r="BP256" i="1"/>
  <c r="BO256" i="1"/>
  <c r="BF256" i="1"/>
  <c r="AW256" i="1"/>
  <c r="AK256" i="1"/>
  <c r="AJ256" i="1"/>
  <c r="AI256" i="1"/>
  <c r="Z256" i="1"/>
  <c r="Q256" i="1"/>
  <c r="EC255" i="1"/>
  <c r="EB255" i="1"/>
  <c r="EA255" i="1"/>
  <c r="DR255" i="1"/>
  <c r="DI255" i="1"/>
  <c r="CW255" i="1"/>
  <c r="CV255" i="1"/>
  <c r="CU255" i="1"/>
  <c r="CL255" i="1"/>
  <c r="CC255" i="1"/>
  <c r="BQ255" i="1"/>
  <c r="BP255" i="1"/>
  <c r="BO255" i="1"/>
  <c r="BF255" i="1"/>
  <c r="AW255" i="1"/>
  <c r="AK255" i="1"/>
  <c r="AJ255" i="1"/>
  <c r="AI255" i="1"/>
  <c r="Z255" i="1"/>
  <c r="Q255" i="1"/>
  <c r="EC254" i="1"/>
  <c r="EB254" i="1"/>
  <c r="EA254" i="1"/>
  <c r="DR254" i="1"/>
  <c r="DI254" i="1"/>
  <c r="CW254" i="1"/>
  <c r="CV254" i="1"/>
  <c r="CU254" i="1"/>
  <c r="CL254" i="1"/>
  <c r="CC254" i="1"/>
  <c r="BQ254" i="1"/>
  <c r="BP254" i="1"/>
  <c r="BO254" i="1"/>
  <c r="BF254" i="1"/>
  <c r="AW254" i="1"/>
  <c r="AK254" i="1"/>
  <c r="AJ254" i="1"/>
  <c r="AI254" i="1"/>
  <c r="Z254" i="1"/>
  <c r="Q254" i="1"/>
  <c r="EC253" i="1"/>
  <c r="EB253" i="1"/>
  <c r="EA253" i="1"/>
  <c r="DR253" i="1"/>
  <c r="DI253" i="1"/>
  <c r="CW253" i="1"/>
  <c r="CV253" i="1"/>
  <c r="CU253" i="1"/>
  <c r="CL253" i="1"/>
  <c r="CC253" i="1"/>
  <c r="BQ253" i="1"/>
  <c r="BP253" i="1"/>
  <c r="BO253" i="1"/>
  <c r="BF253" i="1"/>
  <c r="AW253" i="1"/>
  <c r="AK253" i="1"/>
  <c r="AJ253" i="1"/>
  <c r="AI253" i="1"/>
  <c r="Z253" i="1"/>
  <c r="Q253" i="1"/>
  <c r="EC252" i="1"/>
  <c r="EB252" i="1"/>
  <c r="EA252" i="1"/>
  <c r="DR252" i="1"/>
  <c r="DI252" i="1"/>
  <c r="CW252" i="1"/>
  <c r="CV252" i="1"/>
  <c r="CU252" i="1"/>
  <c r="CL252" i="1"/>
  <c r="CC252" i="1"/>
  <c r="BQ252" i="1"/>
  <c r="BP252" i="1"/>
  <c r="BO252" i="1"/>
  <c r="BF252" i="1"/>
  <c r="AW252" i="1"/>
  <c r="AK252" i="1"/>
  <c r="AJ252" i="1"/>
  <c r="AI252" i="1"/>
  <c r="Z252" i="1"/>
  <c r="Q252" i="1"/>
  <c r="EC251" i="1"/>
  <c r="EB251" i="1"/>
  <c r="EA251" i="1"/>
  <c r="DR251" i="1"/>
  <c r="DI251" i="1"/>
  <c r="CW251" i="1"/>
  <c r="CV251" i="1"/>
  <c r="CU251" i="1"/>
  <c r="CL251" i="1"/>
  <c r="CC251" i="1"/>
  <c r="BQ251" i="1"/>
  <c r="BP251" i="1"/>
  <c r="BO251" i="1"/>
  <c r="BF251" i="1"/>
  <c r="AW251" i="1"/>
  <c r="AK251" i="1"/>
  <c r="AJ251" i="1"/>
  <c r="AI251" i="1"/>
  <c r="Z251" i="1"/>
  <c r="Q251" i="1"/>
  <c r="EC250" i="1"/>
  <c r="EB250" i="1"/>
  <c r="EA250" i="1"/>
  <c r="DR250" i="1"/>
  <c r="DI250" i="1"/>
  <c r="CW250" i="1"/>
  <c r="CV250" i="1"/>
  <c r="CU250" i="1"/>
  <c r="CL250" i="1"/>
  <c r="CC250" i="1"/>
  <c r="BQ250" i="1"/>
  <c r="BP250" i="1"/>
  <c r="BO250" i="1"/>
  <c r="BF250" i="1"/>
  <c r="AW250" i="1"/>
  <c r="AK250" i="1"/>
  <c r="AJ250" i="1"/>
  <c r="AI250" i="1"/>
  <c r="Z250" i="1"/>
  <c r="Q250" i="1"/>
  <c r="EC249" i="1"/>
  <c r="EB249" i="1"/>
  <c r="EA249" i="1"/>
  <c r="DR249" i="1"/>
  <c r="DI249" i="1"/>
  <c r="CW249" i="1"/>
  <c r="CV249" i="1"/>
  <c r="CU249" i="1"/>
  <c r="CL249" i="1"/>
  <c r="CC249" i="1"/>
  <c r="BQ249" i="1"/>
  <c r="BP249" i="1"/>
  <c r="BO249" i="1"/>
  <c r="BF249" i="1"/>
  <c r="AW249" i="1"/>
  <c r="AK249" i="1"/>
  <c r="AJ249" i="1"/>
  <c r="AI249" i="1"/>
  <c r="Z249" i="1"/>
  <c r="Q249" i="1"/>
  <c r="EC248" i="1"/>
  <c r="EB248" i="1"/>
  <c r="EA248" i="1"/>
  <c r="DR248" i="1"/>
  <c r="DI248" i="1"/>
  <c r="CW248" i="1"/>
  <c r="CV248" i="1"/>
  <c r="CU248" i="1"/>
  <c r="CL248" i="1"/>
  <c r="CC248" i="1"/>
  <c r="BQ248" i="1"/>
  <c r="BP248" i="1"/>
  <c r="BO248" i="1"/>
  <c r="BF248" i="1"/>
  <c r="AW248" i="1"/>
  <c r="AK248" i="1"/>
  <c r="AJ248" i="1"/>
  <c r="AI248" i="1"/>
  <c r="Z248" i="1"/>
  <c r="Q248" i="1"/>
  <c r="EC247" i="1"/>
  <c r="EB247" i="1"/>
  <c r="EA247" i="1"/>
  <c r="DR247" i="1"/>
  <c r="DI247" i="1"/>
  <c r="CW247" i="1"/>
  <c r="CV247" i="1"/>
  <c r="CU247" i="1"/>
  <c r="CL247" i="1"/>
  <c r="CC247" i="1"/>
  <c r="BQ247" i="1"/>
  <c r="BP247" i="1"/>
  <c r="BO247" i="1"/>
  <c r="BF247" i="1"/>
  <c r="AW247" i="1"/>
  <c r="AK247" i="1"/>
  <c r="AJ247" i="1"/>
  <c r="AI247" i="1"/>
  <c r="Z247" i="1"/>
  <c r="Q247" i="1"/>
  <c r="EC246" i="1"/>
  <c r="EB246" i="1"/>
  <c r="EA246" i="1"/>
  <c r="DR246" i="1"/>
  <c r="DI246" i="1"/>
  <c r="CW246" i="1"/>
  <c r="CV246" i="1"/>
  <c r="CU246" i="1"/>
  <c r="CL246" i="1"/>
  <c r="CC246" i="1"/>
  <c r="BQ246" i="1"/>
  <c r="BP246" i="1"/>
  <c r="BO246" i="1"/>
  <c r="BF246" i="1"/>
  <c r="AW246" i="1"/>
  <c r="AK246" i="1"/>
  <c r="AJ246" i="1"/>
  <c r="AI246" i="1"/>
  <c r="Z246" i="1"/>
  <c r="Q246" i="1"/>
  <c r="EC245" i="1"/>
  <c r="EB245" i="1"/>
  <c r="EA245" i="1"/>
  <c r="DR245" i="1"/>
  <c r="DI245" i="1"/>
  <c r="CW245" i="1"/>
  <c r="CV245" i="1"/>
  <c r="CU245" i="1"/>
  <c r="CL245" i="1"/>
  <c r="CC245" i="1"/>
  <c r="BQ245" i="1"/>
  <c r="BP245" i="1"/>
  <c r="BO245" i="1"/>
  <c r="BF245" i="1"/>
  <c r="AW245" i="1"/>
  <c r="AK245" i="1"/>
  <c r="AJ245" i="1"/>
  <c r="AI245" i="1"/>
  <c r="Z245" i="1"/>
  <c r="Q245" i="1"/>
  <c r="EC244" i="1"/>
  <c r="EB244" i="1"/>
  <c r="EA244" i="1"/>
  <c r="DR244" i="1"/>
  <c r="DI244" i="1"/>
  <c r="CW244" i="1"/>
  <c r="CV244" i="1"/>
  <c r="CU244" i="1"/>
  <c r="CL244" i="1"/>
  <c r="CC244" i="1"/>
  <c r="BQ244" i="1"/>
  <c r="BP244" i="1"/>
  <c r="BO244" i="1"/>
  <c r="BF244" i="1"/>
  <c r="AW244" i="1"/>
  <c r="AK244" i="1"/>
  <c r="AJ244" i="1"/>
  <c r="AI244" i="1"/>
  <c r="Z244" i="1"/>
  <c r="Q244" i="1"/>
  <c r="EC243" i="1"/>
  <c r="EB243" i="1"/>
  <c r="EA243" i="1"/>
  <c r="DR243" i="1"/>
  <c r="DI243" i="1"/>
  <c r="CW243" i="1"/>
  <c r="CV243" i="1"/>
  <c r="CU243" i="1"/>
  <c r="CL243" i="1"/>
  <c r="CC243" i="1"/>
  <c r="BQ243" i="1"/>
  <c r="BP243" i="1"/>
  <c r="BO243" i="1"/>
  <c r="BF243" i="1"/>
  <c r="AW243" i="1"/>
  <c r="AK243" i="1"/>
  <c r="AJ243" i="1"/>
  <c r="AI243" i="1"/>
  <c r="Z243" i="1"/>
  <c r="Q243" i="1"/>
  <c r="EC242" i="1"/>
  <c r="EB242" i="1"/>
  <c r="EA242" i="1"/>
  <c r="DR242" i="1"/>
  <c r="DI242" i="1"/>
  <c r="CW242" i="1"/>
  <c r="CV242" i="1"/>
  <c r="CU242" i="1"/>
  <c r="CL242" i="1"/>
  <c r="CC242" i="1"/>
  <c r="BQ242" i="1"/>
  <c r="BP242" i="1"/>
  <c r="BO242" i="1"/>
  <c r="BF242" i="1"/>
  <c r="AW242" i="1"/>
  <c r="AK242" i="1"/>
  <c r="AJ242" i="1"/>
  <c r="AI242" i="1"/>
  <c r="Z242" i="1"/>
  <c r="Q242" i="1"/>
  <c r="EC241" i="1"/>
  <c r="EB241" i="1"/>
  <c r="EA241" i="1"/>
  <c r="DR241" i="1"/>
  <c r="DI241" i="1"/>
  <c r="CW241" i="1"/>
  <c r="CV241" i="1"/>
  <c r="CU241" i="1"/>
  <c r="CL241" i="1"/>
  <c r="CC241" i="1"/>
  <c r="BQ241" i="1"/>
  <c r="BP241" i="1"/>
  <c r="BO241" i="1"/>
  <c r="BF241" i="1"/>
  <c r="AW241" i="1"/>
  <c r="AK241" i="1"/>
  <c r="AJ241" i="1"/>
  <c r="AI241" i="1"/>
  <c r="Z241" i="1"/>
  <c r="Q241" i="1"/>
  <c r="EC240" i="1"/>
  <c r="EB240" i="1"/>
  <c r="EA240" i="1"/>
  <c r="DR240" i="1"/>
  <c r="DI240" i="1"/>
  <c r="CW240" i="1"/>
  <c r="CV240" i="1"/>
  <c r="CU240" i="1"/>
  <c r="CL240" i="1"/>
  <c r="CC240" i="1"/>
  <c r="BQ240" i="1"/>
  <c r="BP240" i="1"/>
  <c r="BO240" i="1"/>
  <c r="BF240" i="1"/>
  <c r="AW240" i="1"/>
  <c r="AK240" i="1"/>
  <c r="AJ240" i="1"/>
  <c r="AI240" i="1"/>
  <c r="Z240" i="1"/>
  <c r="Q240" i="1"/>
  <c r="EC239" i="1"/>
  <c r="EB239" i="1"/>
  <c r="EA239" i="1"/>
  <c r="DR239" i="1"/>
  <c r="DI239" i="1"/>
  <c r="CW239" i="1"/>
  <c r="CV239" i="1"/>
  <c r="CU239" i="1"/>
  <c r="CL239" i="1"/>
  <c r="CC239" i="1"/>
  <c r="BQ239" i="1"/>
  <c r="BP239" i="1"/>
  <c r="BO239" i="1"/>
  <c r="BF239" i="1"/>
  <c r="AW239" i="1"/>
  <c r="AK239" i="1"/>
  <c r="AJ239" i="1"/>
  <c r="AI239" i="1"/>
  <c r="Z239" i="1"/>
  <c r="Q239" i="1"/>
  <c r="EC238" i="1"/>
  <c r="EB238" i="1"/>
  <c r="EA238" i="1"/>
  <c r="DR238" i="1"/>
  <c r="DI238" i="1"/>
  <c r="CW238" i="1"/>
  <c r="CV238" i="1"/>
  <c r="CU238" i="1"/>
  <c r="CL238" i="1"/>
  <c r="CC238" i="1"/>
  <c r="BQ238" i="1"/>
  <c r="BP238" i="1"/>
  <c r="BO238" i="1"/>
  <c r="BF238" i="1"/>
  <c r="AW238" i="1"/>
  <c r="AK238" i="1"/>
  <c r="AJ238" i="1"/>
  <c r="AI238" i="1"/>
  <c r="Z238" i="1"/>
  <c r="Q238" i="1"/>
  <c r="EC237" i="1"/>
  <c r="EB237" i="1"/>
  <c r="EA237" i="1"/>
  <c r="DR237" i="1"/>
  <c r="DI237" i="1"/>
  <c r="CW237" i="1"/>
  <c r="CV237" i="1"/>
  <c r="CU237" i="1"/>
  <c r="CL237" i="1"/>
  <c r="CC237" i="1"/>
  <c r="BQ237" i="1"/>
  <c r="BP237" i="1"/>
  <c r="BO237" i="1"/>
  <c r="BF237" i="1"/>
  <c r="AW237" i="1"/>
  <c r="AK237" i="1"/>
  <c r="AJ237" i="1"/>
  <c r="AI237" i="1"/>
  <c r="Z237" i="1"/>
  <c r="Q237" i="1"/>
  <c r="EC236" i="1"/>
  <c r="EB236" i="1"/>
  <c r="EA236" i="1"/>
  <c r="DR236" i="1"/>
  <c r="DI236" i="1"/>
  <c r="CW236" i="1"/>
  <c r="CV236" i="1"/>
  <c r="CU236" i="1"/>
  <c r="CL236" i="1"/>
  <c r="CC236" i="1"/>
  <c r="BQ236" i="1"/>
  <c r="BP236" i="1"/>
  <c r="BO236" i="1"/>
  <c r="BF236" i="1"/>
  <c r="AW236" i="1"/>
  <c r="AK236" i="1"/>
  <c r="AJ236" i="1"/>
  <c r="AI236" i="1"/>
  <c r="Z236" i="1"/>
  <c r="Q236" i="1"/>
  <c r="EC235" i="1"/>
  <c r="EB235" i="1"/>
  <c r="EA235" i="1"/>
  <c r="DR235" i="1"/>
  <c r="DI235" i="1"/>
  <c r="CW235" i="1"/>
  <c r="CV235" i="1"/>
  <c r="CU235" i="1"/>
  <c r="CL235" i="1"/>
  <c r="CC235" i="1"/>
  <c r="BQ235" i="1"/>
  <c r="BP235" i="1"/>
  <c r="BO235" i="1"/>
  <c r="BF235" i="1"/>
  <c r="AW235" i="1"/>
  <c r="AK235" i="1"/>
  <c r="AJ235" i="1"/>
  <c r="AI235" i="1"/>
  <c r="Z235" i="1"/>
  <c r="Q235" i="1"/>
  <c r="EC234" i="1"/>
  <c r="EB234" i="1"/>
  <c r="EA234" i="1"/>
  <c r="DR234" i="1"/>
  <c r="DI234" i="1"/>
  <c r="CW234" i="1"/>
  <c r="CV234" i="1"/>
  <c r="CU234" i="1"/>
  <c r="CL234" i="1"/>
  <c r="CC234" i="1"/>
  <c r="BQ234" i="1"/>
  <c r="BP234" i="1"/>
  <c r="BO234" i="1"/>
  <c r="BF234" i="1"/>
  <c r="AW234" i="1"/>
  <c r="AK234" i="1"/>
  <c r="AJ234" i="1"/>
  <c r="AI234" i="1"/>
  <c r="Z234" i="1"/>
  <c r="Q234" i="1"/>
  <c r="EC233" i="1"/>
  <c r="EB233" i="1"/>
  <c r="EA233" i="1"/>
  <c r="DR233" i="1"/>
  <c r="DI233" i="1"/>
  <c r="CW233" i="1"/>
  <c r="CV233" i="1"/>
  <c r="CU233" i="1"/>
  <c r="CL233" i="1"/>
  <c r="CC233" i="1"/>
  <c r="BQ233" i="1"/>
  <c r="BP233" i="1"/>
  <c r="BO233" i="1"/>
  <c r="BF233" i="1"/>
  <c r="AW233" i="1"/>
  <c r="AK233" i="1"/>
  <c r="AJ233" i="1"/>
  <c r="AI233" i="1"/>
  <c r="Z233" i="1"/>
  <c r="Q233" i="1"/>
  <c r="EC232" i="1"/>
  <c r="EB232" i="1"/>
  <c r="EA232" i="1"/>
  <c r="DR232" i="1"/>
  <c r="DI232" i="1"/>
  <c r="CW232" i="1"/>
  <c r="CV232" i="1"/>
  <c r="CU232" i="1"/>
  <c r="CL232" i="1"/>
  <c r="CC232" i="1"/>
  <c r="BQ232" i="1"/>
  <c r="BP232" i="1"/>
  <c r="BO232" i="1"/>
  <c r="BF232" i="1"/>
  <c r="AW232" i="1"/>
  <c r="AK232" i="1"/>
  <c r="AJ232" i="1"/>
  <c r="AI232" i="1"/>
  <c r="Z232" i="1"/>
  <c r="Q232" i="1"/>
  <c r="EC231" i="1"/>
  <c r="EB231" i="1"/>
  <c r="EA231" i="1"/>
  <c r="DR231" i="1"/>
  <c r="DI231" i="1"/>
  <c r="CW231" i="1"/>
  <c r="CV231" i="1"/>
  <c r="CU231" i="1"/>
  <c r="CL231" i="1"/>
  <c r="CC231" i="1"/>
  <c r="BQ231" i="1"/>
  <c r="BP231" i="1"/>
  <c r="BO231" i="1"/>
  <c r="BF231" i="1"/>
  <c r="AW231" i="1"/>
  <c r="AK231" i="1"/>
  <c r="AJ231" i="1"/>
  <c r="AI231" i="1"/>
  <c r="Z231" i="1"/>
  <c r="Q231" i="1"/>
  <c r="EC230" i="1"/>
  <c r="EB230" i="1"/>
  <c r="EA230" i="1"/>
  <c r="DR230" i="1"/>
  <c r="DI230" i="1"/>
  <c r="CW230" i="1"/>
  <c r="CV230" i="1"/>
  <c r="CU230" i="1"/>
  <c r="CL230" i="1"/>
  <c r="CC230" i="1"/>
  <c r="BQ230" i="1"/>
  <c r="BP230" i="1"/>
  <c r="BO230" i="1"/>
  <c r="BF230" i="1"/>
  <c r="AW230" i="1"/>
  <c r="AK230" i="1"/>
  <c r="AJ230" i="1"/>
  <c r="AI230" i="1"/>
  <c r="Z230" i="1"/>
  <c r="Q230" i="1"/>
  <c r="EC229" i="1"/>
  <c r="EB229" i="1"/>
  <c r="EA229" i="1"/>
  <c r="DR229" i="1"/>
  <c r="DI229" i="1"/>
  <c r="CW229" i="1"/>
  <c r="CV229" i="1"/>
  <c r="CU229" i="1"/>
  <c r="CL229" i="1"/>
  <c r="CC229" i="1"/>
  <c r="BQ229" i="1"/>
  <c r="BP229" i="1"/>
  <c r="BO229" i="1"/>
  <c r="BF229" i="1"/>
  <c r="AW229" i="1"/>
  <c r="AK229" i="1"/>
  <c r="AJ229" i="1"/>
  <c r="AI229" i="1"/>
  <c r="Z229" i="1"/>
  <c r="Q229" i="1"/>
  <c r="EC228" i="1"/>
  <c r="EB228" i="1"/>
  <c r="EA228" i="1"/>
  <c r="DR228" i="1"/>
  <c r="DI228" i="1"/>
  <c r="CW228" i="1"/>
  <c r="CV228" i="1"/>
  <c r="CU228" i="1"/>
  <c r="CL228" i="1"/>
  <c r="CC228" i="1"/>
  <c r="BQ228" i="1"/>
  <c r="BP228" i="1"/>
  <c r="BO228" i="1"/>
  <c r="BF228" i="1"/>
  <c r="AW228" i="1"/>
  <c r="AK228" i="1"/>
  <c r="AJ228" i="1"/>
  <c r="AI228" i="1"/>
  <c r="Z228" i="1"/>
  <c r="Q228" i="1"/>
  <c r="EC227" i="1"/>
  <c r="EB227" i="1"/>
  <c r="EA227" i="1"/>
  <c r="DR227" i="1"/>
  <c r="DI227" i="1"/>
  <c r="CW227" i="1"/>
  <c r="CV227" i="1"/>
  <c r="CU227" i="1"/>
  <c r="CL227" i="1"/>
  <c r="CC227" i="1"/>
  <c r="BQ227" i="1"/>
  <c r="BP227" i="1"/>
  <c r="BO227" i="1"/>
  <c r="BF227" i="1"/>
  <c r="AW227" i="1"/>
  <c r="AK227" i="1"/>
  <c r="AJ227" i="1"/>
  <c r="AI227" i="1"/>
  <c r="Z227" i="1"/>
  <c r="Q227" i="1"/>
  <c r="EC226" i="1"/>
  <c r="ED226" i="1" s="1"/>
  <c r="EB226" i="1"/>
  <c r="EA226" i="1"/>
  <c r="DR226" i="1"/>
  <c r="DI226" i="1"/>
  <c r="CW226" i="1"/>
  <c r="CV226" i="1"/>
  <c r="CU226" i="1"/>
  <c r="CL226" i="1"/>
  <c r="CC226" i="1"/>
  <c r="BQ226" i="1"/>
  <c r="BP226" i="1"/>
  <c r="BO226" i="1"/>
  <c r="BF226" i="1"/>
  <c r="AW226" i="1"/>
  <c r="AK226" i="1"/>
  <c r="AJ226" i="1"/>
  <c r="AI226" i="1"/>
  <c r="Z226" i="1"/>
  <c r="Q226" i="1"/>
  <c r="EC225" i="1"/>
  <c r="ED225" i="1" s="1"/>
  <c r="EB225" i="1"/>
  <c r="EA225" i="1"/>
  <c r="DR225" i="1"/>
  <c r="DI225" i="1"/>
  <c r="CW225" i="1"/>
  <c r="CV225" i="1"/>
  <c r="CU225" i="1"/>
  <c r="CL225" i="1"/>
  <c r="CC225" i="1"/>
  <c r="BQ225" i="1"/>
  <c r="BP225" i="1"/>
  <c r="BO225" i="1"/>
  <c r="BF225" i="1"/>
  <c r="AW225" i="1"/>
  <c r="AK225" i="1"/>
  <c r="AJ225" i="1"/>
  <c r="AI225" i="1"/>
  <c r="Z225" i="1"/>
  <c r="Q225" i="1"/>
  <c r="EC224" i="1"/>
  <c r="EB224" i="1"/>
  <c r="EA224" i="1"/>
  <c r="DR224" i="1"/>
  <c r="DI224" i="1"/>
  <c r="CW224" i="1"/>
  <c r="CV224" i="1"/>
  <c r="CU224" i="1"/>
  <c r="CL224" i="1"/>
  <c r="CC224" i="1"/>
  <c r="BQ224" i="1"/>
  <c r="BP224" i="1"/>
  <c r="BO224" i="1"/>
  <c r="BF224" i="1"/>
  <c r="AW224" i="1"/>
  <c r="AK224" i="1"/>
  <c r="AJ224" i="1"/>
  <c r="AI224" i="1"/>
  <c r="Z224" i="1"/>
  <c r="Q224" i="1"/>
  <c r="EC223" i="1"/>
  <c r="ED223" i="1" s="1"/>
  <c r="EB223" i="1"/>
  <c r="EA223" i="1"/>
  <c r="DR223" i="1"/>
  <c r="DI223" i="1"/>
  <c r="CW223" i="1"/>
  <c r="CV223" i="1"/>
  <c r="CU223" i="1"/>
  <c r="CL223" i="1"/>
  <c r="CC223" i="1"/>
  <c r="BQ223" i="1"/>
  <c r="BP223" i="1"/>
  <c r="BO223" i="1"/>
  <c r="BF223" i="1"/>
  <c r="AW223" i="1"/>
  <c r="AK223" i="1"/>
  <c r="AJ223" i="1"/>
  <c r="AI223" i="1"/>
  <c r="Z223" i="1"/>
  <c r="Q223" i="1"/>
  <c r="EC222" i="1"/>
  <c r="EB222" i="1"/>
  <c r="EA222" i="1"/>
  <c r="DR222" i="1"/>
  <c r="DI222" i="1"/>
  <c r="CW222" i="1"/>
  <c r="CV222" i="1"/>
  <c r="CU222" i="1"/>
  <c r="CL222" i="1"/>
  <c r="CC222" i="1"/>
  <c r="BQ222" i="1"/>
  <c r="BP222" i="1"/>
  <c r="BO222" i="1"/>
  <c r="BF222" i="1"/>
  <c r="AW222" i="1"/>
  <c r="AK222" i="1"/>
  <c r="AJ222" i="1"/>
  <c r="AI222" i="1"/>
  <c r="Z222" i="1"/>
  <c r="Q222" i="1"/>
  <c r="EC221" i="1"/>
  <c r="EB221" i="1"/>
  <c r="EA221" i="1"/>
  <c r="DR221" i="1"/>
  <c r="DI221" i="1"/>
  <c r="CW221" i="1"/>
  <c r="CV221" i="1"/>
  <c r="CU221" i="1"/>
  <c r="CL221" i="1"/>
  <c r="CC221" i="1"/>
  <c r="BQ221" i="1"/>
  <c r="BP221" i="1"/>
  <c r="BO221" i="1"/>
  <c r="BF221" i="1"/>
  <c r="AW221" i="1"/>
  <c r="AK221" i="1"/>
  <c r="AJ221" i="1"/>
  <c r="AI221" i="1"/>
  <c r="Z221" i="1"/>
  <c r="Q221" i="1"/>
  <c r="EC220" i="1"/>
  <c r="EB220" i="1"/>
  <c r="EA220" i="1"/>
  <c r="DR220" i="1"/>
  <c r="DI220" i="1"/>
  <c r="CW220" i="1"/>
  <c r="CV220" i="1"/>
  <c r="CU220" i="1"/>
  <c r="CL220" i="1"/>
  <c r="CC220" i="1"/>
  <c r="BQ220" i="1"/>
  <c r="BP220" i="1"/>
  <c r="BO220" i="1"/>
  <c r="BF220" i="1"/>
  <c r="AW220" i="1"/>
  <c r="AK220" i="1"/>
  <c r="AJ220" i="1"/>
  <c r="AI220" i="1"/>
  <c r="Z220" i="1"/>
  <c r="Q220" i="1"/>
  <c r="EC219" i="1"/>
  <c r="EB219" i="1"/>
  <c r="EA219" i="1"/>
  <c r="DR219" i="1"/>
  <c r="DI219" i="1"/>
  <c r="CW219" i="1"/>
  <c r="CV219" i="1"/>
  <c r="CU219" i="1"/>
  <c r="CL219" i="1"/>
  <c r="CC219" i="1"/>
  <c r="BQ219" i="1"/>
  <c r="BP219" i="1"/>
  <c r="BO219" i="1"/>
  <c r="BF219" i="1"/>
  <c r="AW219" i="1"/>
  <c r="AK219" i="1"/>
  <c r="AJ219" i="1"/>
  <c r="AI219" i="1"/>
  <c r="Z219" i="1"/>
  <c r="Q219" i="1"/>
  <c r="EC218" i="1"/>
  <c r="EB218" i="1"/>
  <c r="EA218" i="1"/>
  <c r="DR218" i="1"/>
  <c r="DI218" i="1"/>
  <c r="CW218" i="1"/>
  <c r="CV218" i="1"/>
  <c r="CU218" i="1"/>
  <c r="CL218" i="1"/>
  <c r="CC218" i="1"/>
  <c r="BQ218" i="1"/>
  <c r="BP218" i="1"/>
  <c r="BO218" i="1"/>
  <c r="BF218" i="1"/>
  <c r="AW218" i="1"/>
  <c r="AK218" i="1"/>
  <c r="AJ218" i="1"/>
  <c r="AI218" i="1"/>
  <c r="Z218" i="1"/>
  <c r="Q218" i="1"/>
  <c r="EC217" i="1"/>
  <c r="EB217" i="1"/>
  <c r="EA217" i="1"/>
  <c r="DR217" i="1"/>
  <c r="DI217" i="1"/>
  <c r="CW217" i="1"/>
  <c r="CV217" i="1"/>
  <c r="CU217" i="1"/>
  <c r="CL217" i="1"/>
  <c r="CC217" i="1"/>
  <c r="BQ217" i="1"/>
  <c r="BP217" i="1"/>
  <c r="BO217" i="1"/>
  <c r="BF217" i="1"/>
  <c r="AW217" i="1"/>
  <c r="AK217" i="1"/>
  <c r="AJ217" i="1"/>
  <c r="AI217" i="1"/>
  <c r="Z217" i="1"/>
  <c r="Q217" i="1"/>
  <c r="EC216" i="1"/>
  <c r="EB216" i="1"/>
  <c r="EA216" i="1"/>
  <c r="DR216" i="1"/>
  <c r="DI216" i="1"/>
  <c r="CW216" i="1"/>
  <c r="CV216" i="1"/>
  <c r="CU216" i="1"/>
  <c r="CL216" i="1"/>
  <c r="CC216" i="1"/>
  <c r="BQ216" i="1"/>
  <c r="BP216" i="1"/>
  <c r="BO216" i="1"/>
  <c r="BF216" i="1"/>
  <c r="AW216" i="1"/>
  <c r="AK216" i="1"/>
  <c r="AJ216" i="1"/>
  <c r="AI216" i="1"/>
  <c r="Z216" i="1"/>
  <c r="Q216" i="1"/>
  <c r="EC215" i="1"/>
  <c r="EB215" i="1"/>
  <c r="EA215" i="1"/>
  <c r="DR215" i="1"/>
  <c r="DI215" i="1"/>
  <c r="CW215" i="1"/>
  <c r="CV215" i="1"/>
  <c r="CU215" i="1"/>
  <c r="CL215" i="1"/>
  <c r="CC215" i="1"/>
  <c r="BQ215" i="1"/>
  <c r="BP215" i="1"/>
  <c r="BO215" i="1"/>
  <c r="BF215" i="1"/>
  <c r="AW215" i="1"/>
  <c r="AK215" i="1"/>
  <c r="AJ215" i="1"/>
  <c r="AI215" i="1"/>
  <c r="Z215" i="1"/>
  <c r="Q215" i="1"/>
  <c r="EC214" i="1"/>
  <c r="EB214" i="1"/>
  <c r="EA214" i="1"/>
  <c r="DR214" i="1"/>
  <c r="DI214" i="1"/>
  <c r="CW214" i="1"/>
  <c r="CV214" i="1"/>
  <c r="CU214" i="1"/>
  <c r="CL214" i="1"/>
  <c r="CC214" i="1"/>
  <c r="BQ214" i="1"/>
  <c r="BP214" i="1"/>
  <c r="BO214" i="1"/>
  <c r="BF214" i="1"/>
  <c r="AW214" i="1"/>
  <c r="AK214" i="1"/>
  <c r="AJ214" i="1"/>
  <c r="AI214" i="1"/>
  <c r="Z214" i="1"/>
  <c r="Q214" i="1"/>
  <c r="EC213" i="1"/>
  <c r="EB213" i="1"/>
  <c r="EA213" i="1"/>
  <c r="DR213" i="1"/>
  <c r="DI213" i="1"/>
  <c r="CW213" i="1"/>
  <c r="CV213" i="1"/>
  <c r="CU213" i="1"/>
  <c r="CL213" i="1"/>
  <c r="CC213" i="1"/>
  <c r="BQ213" i="1"/>
  <c r="BP213" i="1"/>
  <c r="BO213" i="1"/>
  <c r="BF213" i="1"/>
  <c r="AW213" i="1"/>
  <c r="AK213" i="1"/>
  <c r="AJ213" i="1"/>
  <c r="AI213" i="1"/>
  <c r="Z213" i="1"/>
  <c r="Q213" i="1"/>
  <c r="EC212" i="1"/>
  <c r="EB212" i="1"/>
  <c r="EA212" i="1"/>
  <c r="DR212" i="1"/>
  <c r="DI212" i="1"/>
  <c r="CW212" i="1"/>
  <c r="CV212" i="1"/>
  <c r="CU212" i="1"/>
  <c r="CL212" i="1"/>
  <c r="CC212" i="1"/>
  <c r="BQ212" i="1"/>
  <c r="BP212" i="1"/>
  <c r="BO212" i="1"/>
  <c r="BF212" i="1"/>
  <c r="AW212" i="1"/>
  <c r="AK212" i="1"/>
  <c r="AJ212" i="1"/>
  <c r="AI212" i="1"/>
  <c r="Z212" i="1"/>
  <c r="Q212" i="1"/>
  <c r="EC211" i="1"/>
  <c r="EB211" i="1"/>
  <c r="EA211" i="1"/>
  <c r="DR211" i="1"/>
  <c r="DI211" i="1"/>
  <c r="CW211" i="1"/>
  <c r="CV211" i="1"/>
  <c r="CU211" i="1"/>
  <c r="CL211" i="1"/>
  <c r="CC211" i="1"/>
  <c r="BQ211" i="1"/>
  <c r="BP211" i="1"/>
  <c r="BO211" i="1"/>
  <c r="BF211" i="1"/>
  <c r="AW211" i="1"/>
  <c r="AK211" i="1"/>
  <c r="AJ211" i="1"/>
  <c r="AI211" i="1"/>
  <c r="Z211" i="1"/>
  <c r="Q211" i="1"/>
  <c r="EC210" i="1"/>
  <c r="EB210" i="1"/>
  <c r="EA210" i="1"/>
  <c r="DR210" i="1"/>
  <c r="DI210" i="1"/>
  <c r="CW210" i="1"/>
  <c r="CV210" i="1"/>
  <c r="CU210" i="1"/>
  <c r="CL210" i="1"/>
  <c r="CC210" i="1"/>
  <c r="BQ210" i="1"/>
  <c r="BP210" i="1"/>
  <c r="BO210" i="1"/>
  <c r="BF210" i="1"/>
  <c r="AW210" i="1"/>
  <c r="AK210" i="1"/>
  <c r="AJ210" i="1"/>
  <c r="AI210" i="1"/>
  <c r="Z210" i="1"/>
  <c r="Q210" i="1"/>
  <c r="EC209" i="1"/>
  <c r="EB209" i="1"/>
  <c r="EA209" i="1"/>
  <c r="DR209" i="1"/>
  <c r="DI209" i="1"/>
  <c r="CW209" i="1"/>
  <c r="CV209" i="1"/>
  <c r="CU209" i="1"/>
  <c r="CL209" i="1"/>
  <c r="CC209" i="1"/>
  <c r="BQ209" i="1"/>
  <c r="BP209" i="1"/>
  <c r="BO209" i="1"/>
  <c r="BF209" i="1"/>
  <c r="AW209" i="1"/>
  <c r="AK209" i="1"/>
  <c r="AJ209" i="1"/>
  <c r="AI209" i="1"/>
  <c r="Z209" i="1"/>
  <c r="Q209" i="1"/>
  <c r="EC208" i="1"/>
  <c r="EB208" i="1"/>
  <c r="EA208" i="1"/>
  <c r="DR208" i="1"/>
  <c r="DI208" i="1"/>
  <c r="CW208" i="1"/>
  <c r="CV208" i="1"/>
  <c r="CU208" i="1"/>
  <c r="CL208" i="1"/>
  <c r="CC208" i="1"/>
  <c r="BQ208" i="1"/>
  <c r="BP208" i="1"/>
  <c r="BO208" i="1"/>
  <c r="BF208" i="1"/>
  <c r="AW208" i="1"/>
  <c r="AK208" i="1"/>
  <c r="AJ208" i="1"/>
  <c r="AI208" i="1"/>
  <c r="Z208" i="1"/>
  <c r="Q208" i="1"/>
  <c r="EC207" i="1"/>
  <c r="EB207" i="1"/>
  <c r="EA207" i="1"/>
  <c r="DR207" i="1"/>
  <c r="DI207" i="1"/>
  <c r="CW207" i="1"/>
  <c r="CV207" i="1"/>
  <c r="CU207" i="1"/>
  <c r="CL207" i="1"/>
  <c r="CC207" i="1"/>
  <c r="BQ207" i="1"/>
  <c r="BP207" i="1"/>
  <c r="BO207" i="1"/>
  <c r="BF207" i="1"/>
  <c r="AW207" i="1"/>
  <c r="AK207" i="1"/>
  <c r="AJ207" i="1"/>
  <c r="AI207" i="1"/>
  <c r="Z207" i="1"/>
  <c r="Q207" i="1"/>
  <c r="EC206" i="1"/>
  <c r="EB206" i="1"/>
  <c r="EA206" i="1"/>
  <c r="DR206" i="1"/>
  <c r="DI206" i="1"/>
  <c r="CW206" i="1"/>
  <c r="CV206" i="1"/>
  <c r="CU206" i="1"/>
  <c r="CL206" i="1"/>
  <c r="CC206" i="1"/>
  <c r="BQ206" i="1"/>
  <c r="BP206" i="1"/>
  <c r="BO206" i="1"/>
  <c r="BF206" i="1"/>
  <c r="AW206" i="1"/>
  <c r="AK206" i="1"/>
  <c r="AJ206" i="1"/>
  <c r="AI206" i="1"/>
  <c r="Z206" i="1"/>
  <c r="Q206" i="1"/>
  <c r="EC205" i="1"/>
  <c r="ED205" i="1" s="1"/>
  <c r="EB205" i="1"/>
  <c r="EA205" i="1"/>
  <c r="DR205" i="1"/>
  <c r="DI205" i="1"/>
  <c r="CW205" i="1"/>
  <c r="CV205" i="1"/>
  <c r="CU205" i="1"/>
  <c r="CL205" i="1"/>
  <c r="CC205" i="1"/>
  <c r="BQ205" i="1"/>
  <c r="BP205" i="1"/>
  <c r="BO205" i="1"/>
  <c r="BF205" i="1"/>
  <c r="AW205" i="1"/>
  <c r="AK205" i="1"/>
  <c r="AJ205" i="1"/>
  <c r="AI205" i="1"/>
  <c r="Z205" i="1"/>
  <c r="Q205" i="1"/>
  <c r="EC204" i="1"/>
  <c r="EB204" i="1"/>
  <c r="EA204" i="1"/>
  <c r="DR204" i="1"/>
  <c r="DI204" i="1"/>
  <c r="CW204" i="1"/>
  <c r="CV204" i="1"/>
  <c r="CU204" i="1"/>
  <c r="CL204" i="1"/>
  <c r="CC204" i="1"/>
  <c r="BQ204" i="1"/>
  <c r="BP204" i="1"/>
  <c r="BO204" i="1"/>
  <c r="BF204" i="1"/>
  <c r="AW204" i="1"/>
  <c r="AK204" i="1"/>
  <c r="AJ204" i="1"/>
  <c r="AI204" i="1"/>
  <c r="Z204" i="1"/>
  <c r="Q204" i="1"/>
  <c r="EC203" i="1"/>
  <c r="ED203" i="1" s="1"/>
  <c r="EB203" i="1"/>
  <c r="EA203" i="1"/>
  <c r="DR203" i="1"/>
  <c r="DI203" i="1"/>
  <c r="CW203" i="1"/>
  <c r="CV203" i="1"/>
  <c r="CU203" i="1"/>
  <c r="CL203" i="1"/>
  <c r="CC203" i="1"/>
  <c r="BQ203" i="1"/>
  <c r="BP203" i="1"/>
  <c r="BO203" i="1"/>
  <c r="BF203" i="1"/>
  <c r="AW203" i="1"/>
  <c r="AK203" i="1"/>
  <c r="AJ203" i="1"/>
  <c r="AI203" i="1"/>
  <c r="Z203" i="1"/>
  <c r="Q203" i="1"/>
  <c r="EC202" i="1"/>
  <c r="ED202" i="1" s="1"/>
  <c r="EB202" i="1"/>
  <c r="EA202" i="1"/>
  <c r="DR202" i="1"/>
  <c r="DI202" i="1"/>
  <c r="CW202" i="1"/>
  <c r="CV202" i="1"/>
  <c r="CU202" i="1"/>
  <c r="CL202" i="1"/>
  <c r="CC202" i="1"/>
  <c r="BQ202" i="1"/>
  <c r="BP202" i="1"/>
  <c r="BO202" i="1"/>
  <c r="BF202" i="1"/>
  <c r="AW202" i="1"/>
  <c r="AK202" i="1"/>
  <c r="AJ202" i="1"/>
  <c r="AI202" i="1"/>
  <c r="Z202" i="1"/>
  <c r="Q202" i="1"/>
  <c r="EC201" i="1"/>
  <c r="ED201" i="1" s="1"/>
  <c r="EB201" i="1"/>
  <c r="EA201" i="1"/>
  <c r="DR201" i="1"/>
  <c r="DI201" i="1"/>
  <c r="CW201" i="1"/>
  <c r="CV201" i="1"/>
  <c r="CU201" i="1"/>
  <c r="CL201" i="1"/>
  <c r="CC201" i="1"/>
  <c r="BQ201" i="1"/>
  <c r="BP201" i="1"/>
  <c r="BO201" i="1"/>
  <c r="BF201" i="1"/>
  <c r="AW201" i="1"/>
  <c r="AK201" i="1"/>
  <c r="AJ201" i="1"/>
  <c r="AI201" i="1"/>
  <c r="Z201" i="1"/>
  <c r="Q201" i="1"/>
  <c r="EC200" i="1"/>
  <c r="EB200" i="1"/>
  <c r="EA200" i="1"/>
  <c r="DR200" i="1"/>
  <c r="DI200" i="1"/>
  <c r="CW200" i="1"/>
  <c r="CV200" i="1"/>
  <c r="CU200" i="1"/>
  <c r="CL200" i="1"/>
  <c r="CC200" i="1"/>
  <c r="BQ200" i="1"/>
  <c r="BP200" i="1"/>
  <c r="BO200" i="1"/>
  <c r="BF200" i="1"/>
  <c r="AW200" i="1"/>
  <c r="AK200" i="1"/>
  <c r="AJ200" i="1"/>
  <c r="AI200" i="1"/>
  <c r="Z200" i="1"/>
  <c r="Q200" i="1"/>
  <c r="EC199" i="1"/>
  <c r="ED199" i="1" s="1"/>
  <c r="EB199" i="1"/>
  <c r="EA199" i="1"/>
  <c r="DR199" i="1"/>
  <c r="DI199" i="1"/>
  <c r="CW199" i="1"/>
  <c r="CV199" i="1"/>
  <c r="CU199" i="1"/>
  <c r="CL199" i="1"/>
  <c r="CC199" i="1"/>
  <c r="BQ199" i="1"/>
  <c r="BP199" i="1"/>
  <c r="BO199" i="1"/>
  <c r="BF199" i="1"/>
  <c r="AW199" i="1"/>
  <c r="AK199" i="1"/>
  <c r="AJ199" i="1"/>
  <c r="AI199" i="1"/>
  <c r="Z199" i="1"/>
  <c r="Q199" i="1"/>
  <c r="EC198" i="1"/>
  <c r="ED198" i="1" s="1"/>
  <c r="EB198" i="1"/>
  <c r="EA198" i="1"/>
  <c r="DR198" i="1"/>
  <c r="DI198" i="1"/>
  <c r="CW198" i="1"/>
  <c r="CV198" i="1"/>
  <c r="CU198" i="1"/>
  <c r="CL198" i="1"/>
  <c r="CC198" i="1"/>
  <c r="BQ198" i="1"/>
  <c r="BP198" i="1"/>
  <c r="BO198" i="1"/>
  <c r="BF198" i="1"/>
  <c r="AW198" i="1"/>
  <c r="AK198" i="1"/>
  <c r="AJ198" i="1"/>
  <c r="AI198" i="1"/>
  <c r="Z198" i="1"/>
  <c r="Q198" i="1"/>
  <c r="EC197" i="1"/>
  <c r="EB197" i="1"/>
  <c r="EA197" i="1"/>
  <c r="DR197" i="1"/>
  <c r="DI197" i="1"/>
  <c r="CW197" i="1"/>
  <c r="CV197" i="1"/>
  <c r="CU197" i="1"/>
  <c r="CL197" i="1"/>
  <c r="CC197" i="1"/>
  <c r="BQ197" i="1"/>
  <c r="BP197" i="1"/>
  <c r="BO197" i="1"/>
  <c r="BF197" i="1"/>
  <c r="AW197" i="1"/>
  <c r="AK197" i="1"/>
  <c r="AJ197" i="1"/>
  <c r="AI197" i="1"/>
  <c r="Z197" i="1"/>
  <c r="Q197" i="1"/>
  <c r="DZ190" i="1"/>
  <c r="DY190" i="1"/>
  <c r="DX190" i="1"/>
  <c r="DW190" i="1"/>
  <c r="DV190" i="1"/>
  <c r="DU190" i="1"/>
  <c r="DT190" i="1"/>
  <c r="DS190" i="1"/>
  <c r="DQ190" i="1"/>
  <c r="DP190" i="1"/>
  <c r="DO190" i="1"/>
  <c r="DN190" i="1"/>
  <c r="DM190" i="1"/>
  <c r="DL190" i="1"/>
  <c r="DK190" i="1"/>
  <c r="DJ190" i="1"/>
  <c r="DH190" i="1"/>
  <c r="DG190" i="1"/>
  <c r="DF190" i="1"/>
  <c r="DE190" i="1"/>
  <c r="DD190" i="1"/>
  <c r="DC190" i="1"/>
  <c r="DB190" i="1"/>
  <c r="DA190" i="1"/>
  <c r="CT190" i="1"/>
  <c r="CS190" i="1"/>
  <c r="CR190" i="1"/>
  <c r="CQ190" i="1"/>
  <c r="CP190" i="1"/>
  <c r="CO190" i="1"/>
  <c r="CN190" i="1"/>
  <c r="CM190" i="1"/>
  <c r="CK190" i="1"/>
  <c r="CJ190" i="1"/>
  <c r="CI190" i="1"/>
  <c r="CH190" i="1"/>
  <c r="CG190" i="1"/>
  <c r="CF190" i="1"/>
  <c r="CE190" i="1"/>
  <c r="CD190" i="1"/>
  <c r="CB190" i="1"/>
  <c r="CA190" i="1"/>
  <c r="BZ190" i="1"/>
  <c r="BY190" i="1"/>
  <c r="BX190" i="1"/>
  <c r="BW190" i="1"/>
  <c r="BV190" i="1"/>
  <c r="BU190" i="1"/>
  <c r="BN190" i="1"/>
  <c r="BM190" i="1"/>
  <c r="BL190" i="1"/>
  <c r="BK190" i="1"/>
  <c r="BJ190" i="1"/>
  <c r="BI190" i="1"/>
  <c r="BH190" i="1"/>
  <c r="BG190" i="1"/>
  <c r="BE190" i="1"/>
  <c r="BD190" i="1"/>
  <c r="BC190" i="1"/>
  <c r="BB190" i="1"/>
  <c r="BA190" i="1"/>
  <c r="AZ190" i="1"/>
  <c r="AY190" i="1"/>
  <c r="AX190" i="1"/>
  <c r="AV190" i="1"/>
  <c r="AU190" i="1"/>
  <c r="AT190" i="1"/>
  <c r="AS190" i="1"/>
  <c r="AR190" i="1"/>
  <c r="AQ190" i="1"/>
  <c r="AP190" i="1"/>
  <c r="AO190" i="1"/>
  <c r="AH190" i="1"/>
  <c r="AG190" i="1"/>
  <c r="AF190" i="1"/>
  <c r="AE190" i="1"/>
  <c r="AD190" i="1"/>
  <c r="AC190" i="1"/>
  <c r="AB190" i="1"/>
  <c r="AA190" i="1"/>
  <c r="Y190" i="1"/>
  <c r="X190" i="1"/>
  <c r="K6" i="1" s="1"/>
  <c r="W190" i="1"/>
  <c r="V190" i="1"/>
  <c r="U190" i="1"/>
  <c r="T190" i="1"/>
  <c r="S190" i="1"/>
  <c r="R190" i="1"/>
  <c r="P190" i="1"/>
  <c r="J10" i="1" s="1"/>
  <c r="O190" i="1"/>
  <c r="J6" i="1" s="1"/>
  <c r="N190" i="1"/>
  <c r="M190" i="1"/>
  <c r="L190" i="1"/>
  <c r="K190" i="1"/>
  <c r="J190" i="1"/>
  <c r="I190" i="1"/>
  <c r="G190" i="1"/>
  <c r="BQ189" i="1"/>
  <c r="BP189" i="1"/>
  <c r="BO189" i="1"/>
  <c r="EC188" i="1"/>
  <c r="EB188" i="1"/>
  <c r="EA188" i="1"/>
  <c r="DR188" i="1"/>
  <c r="DI188" i="1"/>
  <c r="CW188" i="1"/>
  <c r="CV188" i="1"/>
  <c r="CU188" i="1"/>
  <c r="CL188" i="1"/>
  <c r="CC188" i="1"/>
  <c r="BQ188" i="1"/>
  <c r="BP188" i="1"/>
  <c r="BO188" i="1"/>
  <c r="AK188" i="1"/>
  <c r="AJ188" i="1"/>
  <c r="AI188" i="1"/>
  <c r="Z188" i="1"/>
  <c r="Q188" i="1"/>
  <c r="EC187" i="1"/>
  <c r="EB187" i="1"/>
  <c r="EA187" i="1"/>
  <c r="DR187" i="1"/>
  <c r="DI187" i="1"/>
  <c r="CW187" i="1"/>
  <c r="CV187" i="1"/>
  <c r="CU187" i="1"/>
  <c r="CL187" i="1"/>
  <c r="CC187" i="1"/>
  <c r="BQ187" i="1"/>
  <c r="BP187" i="1"/>
  <c r="BO187" i="1"/>
  <c r="AK187" i="1"/>
  <c r="AJ187" i="1"/>
  <c r="AI187" i="1"/>
  <c r="Z187" i="1"/>
  <c r="Q187" i="1"/>
  <c r="EC186" i="1"/>
  <c r="EB186" i="1"/>
  <c r="EA186" i="1"/>
  <c r="DR186" i="1"/>
  <c r="DI186" i="1"/>
  <c r="CW186" i="1"/>
  <c r="CV186" i="1"/>
  <c r="CU186" i="1"/>
  <c r="CL186" i="1"/>
  <c r="CC186" i="1"/>
  <c r="BQ186" i="1"/>
  <c r="BP186" i="1"/>
  <c r="BO186" i="1"/>
  <c r="AK186" i="1"/>
  <c r="AJ186" i="1"/>
  <c r="AI186" i="1"/>
  <c r="Z186" i="1"/>
  <c r="Q186" i="1"/>
  <c r="EC185" i="1"/>
  <c r="EB185" i="1"/>
  <c r="EA185" i="1"/>
  <c r="DR185" i="1"/>
  <c r="DI185" i="1"/>
  <c r="CW185" i="1"/>
  <c r="CV185" i="1"/>
  <c r="CU185" i="1"/>
  <c r="CL185" i="1"/>
  <c r="CC185" i="1"/>
  <c r="BQ185" i="1"/>
  <c r="BP185" i="1"/>
  <c r="BO185" i="1"/>
  <c r="AK185" i="1"/>
  <c r="AJ185" i="1"/>
  <c r="AI185" i="1"/>
  <c r="Z185" i="1"/>
  <c r="Q185" i="1"/>
  <c r="EC184" i="1"/>
  <c r="EB184" i="1"/>
  <c r="EA184" i="1"/>
  <c r="DR184" i="1"/>
  <c r="DI184" i="1"/>
  <c r="CW184" i="1"/>
  <c r="CV184" i="1"/>
  <c r="CU184" i="1"/>
  <c r="CL184" i="1"/>
  <c r="CC184" i="1"/>
  <c r="BQ184" i="1"/>
  <c r="BP184" i="1"/>
  <c r="BO184" i="1"/>
  <c r="AK184" i="1"/>
  <c r="AJ184" i="1"/>
  <c r="AI184" i="1"/>
  <c r="Z184" i="1"/>
  <c r="Q184" i="1"/>
  <c r="EC183" i="1"/>
  <c r="EB183" i="1"/>
  <c r="EA183" i="1"/>
  <c r="DR183" i="1"/>
  <c r="DI183" i="1"/>
  <c r="CW183" i="1"/>
  <c r="CV183" i="1"/>
  <c r="CU183" i="1"/>
  <c r="CL183" i="1"/>
  <c r="CC183" i="1"/>
  <c r="BQ183" i="1"/>
  <c r="BP183" i="1"/>
  <c r="BO183" i="1"/>
  <c r="AK183" i="1"/>
  <c r="AJ183" i="1"/>
  <c r="AI183" i="1"/>
  <c r="Z183" i="1"/>
  <c r="Q183" i="1"/>
  <c r="EC182" i="1"/>
  <c r="EB182" i="1"/>
  <c r="EA182" i="1"/>
  <c r="DR182" i="1"/>
  <c r="DI182" i="1"/>
  <c r="CW182" i="1"/>
  <c r="CV182" i="1"/>
  <c r="CU182" i="1"/>
  <c r="CL182" i="1"/>
  <c r="CC182" i="1"/>
  <c r="BQ182" i="1"/>
  <c r="BP182" i="1"/>
  <c r="BO182" i="1"/>
  <c r="AK182" i="1"/>
  <c r="AJ182" i="1"/>
  <c r="AI182" i="1"/>
  <c r="Z182" i="1"/>
  <c r="Q182" i="1"/>
  <c r="EC181" i="1"/>
  <c r="EB181" i="1"/>
  <c r="EA181" i="1"/>
  <c r="DR181" i="1"/>
  <c r="DI181" i="1"/>
  <c r="CW181" i="1"/>
  <c r="CV181" i="1"/>
  <c r="CU181" i="1"/>
  <c r="CL181" i="1"/>
  <c r="CC181" i="1"/>
  <c r="BQ181" i="1"/>
  <c r="BP181" i="1"/>
  <c r="BO181" i="1"/>
  <c r="AK181" i="1"/>
  <c r="AJ181" i="1"/>
  <c r="AI181" i="1"/>
  <c r="Z181" i="1"/>
  <c r="Q181" i="1"/>
  <c r="EC180" i="1"/>
  <c r="EB180" i="1"/>
  <c r="EA180" i="1"/>
  <c r="DR180" i="1"/>
  <c r="DI180" i="1"/>
  <c r="CW180" i="1"/>
  <c r="CV180" i="1"/>
  <c r="CU180" i="1"/>
  <c r="CL180" i="1"/>
  <c r="CC180" i="1"/>
  <c r="BQ180" i="1"/>
  <c r="BP180" i="1"/>
  <c r="BO180" i="1"/>
  <c r="AK180" i="1"/>
  <c r="AJ180" i="1"/>
  <c r="AI180" i="1"/>
  <c r="Z180" i="1"/>
  <c r="Q180" i="1"/>
  <c r="EC179" i="1"/>
  <c r="EB179" i="1"/>
  <c r="EA179" i="1"/>
  <c r="DR179" i="1"/>
  <c r="DI179" i="1"/>
  <c r="CW179" i="1"/>
  <c r="CV179" i="1"/>
  <c r="CU179" i="1"/>
  <c r="CL179" i="1"/>
  <c r="CC179" i="1"/>
  <c r="BQ179" i="1"/>
  <c r="BP179" i="1"/>
  <c r="BO179" i="1"/>
  <c r="AK179" i="1"/>
  <c r="AJ179" i="1"/>
  <c r="AI179" i="1"/>
  <c r="Z179" i="1"/>
  <c r="Q179" i="1"/>
  <c r="EC178" i="1"/>
  <c r="EB178" i="1"/>
  <c r="EA178" i="1"/>
  <c r="DR178" i="1"/>
  <c r="DI178" i="1"/>
  <c r="CW178" i="1"/>
  <c r="CV178" i="1"/>
  <c r="CU178" i="1"/>
  <c r="CL178" i="1"/>
  <c r="CC178" i="1"/>
  <c r="BQ178" i="1"/>
  <c r="BP178" i="1"/>
  <c r="BO178" i="1"/>
  <c r="AK178" i="1"/>
  <c r="AJ178" i="1"/>
  <c r="AI178" i="1"/>
  <c r="Z178" i="1"/>
  <c r="Q178" i="1"/>
  <c r="EC177" i="1"/>
  <c r="EB177" i="1"/>
  <c r="EA177" i="1"/>
  <c r="DR177" i="1"/>
  <c r="DI177" i="1"/>
  <c r="CW177" i="1"/>
  <c r="CV177" i="1"/>
  <c r="CU177" i="1"/>
  <c r="CL177" i="1"/>
  <c r="CC177" i="1"/>
  <c r="BQ177" i="1"/>
  <c r="BP177" i="1"/>
  <c r="BO177" i="1"/>
  <c r="AK177" i="1"/>
  <c r="AJ177" i="1"/>
  <c r="AI177" i="1"/>
  <c r="Z177" i="1"/>
  <c r="Q177" i="1"/>
  <c r="EC176" i="1"/>
  <c r="EB176" i="1"/>
  <c r="EA176" i="1"/>
  <c r="DR176" i="1"/>
  <c r="DI176" i="1"/>
  <c r="CW176" i="1"/>
  <c r="CV176" i="1"/>
  <c r="CU176" i="1"/>
  <c r="CL176" i="1"/>
  <c r="CC176" i="1"/>
  <c r="BQ176" i="1"/>
  <c r="BP176" i="1"/>
  <c r="BO176" i="1"/>
  <c r="AK176" i="1"/>
  <c r="AJ176" i="1"/>
  <c r="AI176" i="1"/>
  <c r="Z176" i="1"/>
  <c r="Q176" i="1"/>
  <c r="EC175" i="1"/>
  <c r="EB175" i="1"/>
  <c r="EA175" i="1"/>
  <c r="DR175" i="1"/>
  <c r="DI175" i="1"/>
  <c r="CW175" i="1"/>
  <c r="CV175" i="1"/>
  <c r="CU175" i="1"/>
  <c r="CL175" i="1"/>
  <c r="CC175" i="1"/>
  <c r="BQ175" i="1"/>
  <c r="BP175" i="1"/>
  <c r="BO175" i="1"/>
  <c r="AK175" i="1"/>
  <c r="AJ175" i="1"/>
  <c r="AI175" i="1"/>
  <c r="Z175" i="1"/>
  <c r="Q175" i="1"/>
  <c r="EC174" i="1"/>
  <c r="EB174" i="1"/>
  <c r="EA174" i="1"/>
  <c r="DR174" i="1"/>
  <c r="DI174" i="1"/>
  <c r="CW174" i="1"/>
  <c r="CV174" i="1"/>
  <c r="CU174" i="1"/>
  <c r="CL174" i="1"/>
  <c r="CC174" i="1"/>
  <c r="BQ174" i="1"/>
  <c r="BP174" i="1"/>
  <c r="BO174" i="1"/>
  <c r="AK174" i="1"/>
  <c r="AJ174" i="1"/>
  <c r="AI174" i="1"/>
  <c r="Z174" i="1"/>
  <c r="Q174" i="1"/>
  <c r="EC173" i="1"/>
  <c r="EB173" i="1"/>
  <c r="EA173" i="1"/>
  <c r="DR173" i="1"/>
  <c r="DI173" i="1"/>
  <c r="CW173" i="1"/>
  <c r="CV173" i="1"/>
  <c r="CU173" i="1"/>
  <c r="CL173" i="1"/>
  <c r="CC173" i="1"/>
  <c r="BQ173" i="1"/>
  <c r="BP173" i="1"/>
  <c r="BO173" i="1"/>
  <c r="AK173" i="1"/>
  <c r="AJ173" i="1"/>
  <c r="AI173" i="1"/>
  <c r="Z173" i="1"/>
  <c r="Q173" i="1"/>
  <c r="EC172" i="1"/>
  <c r="EB172" i="1"/>
  <c r="EA172" i="1"/>
  <c r="DR172" i="1"/>
  <c r="DI172" i="1"/>
  <c r="CW172" i="1"/>
  <c r="CV172" i="1"/>
  <c r="CU172" i="1"/>
  <c r="CL172" i="1"/>
  <c r="CC172" i="1"/>
  <c r="BQ172" i="1"/>
  <c r="BP172" i="1"/>
  <c r="BO172" i="1"/>
  <c r="AK172" i="1"/>
  <c r="AJ172" i="1"/>
  <c r="AI172" i="1"/>
  <c r="Z172" i="1"/>
  <c r="Q172" i="1"/>
  <c r="EC171" i="1"/>
  <c r="EB171" i="1"/>
  <c r="EA171" i="1"/>
  <c r="DR171" i="1"/>
  <c r="DI171" i="1"/>
  <c r="CW171" i="1"/>
  <c r="CV171" i="1"/>
  <c r="CU171" i="1"/>
  <c r="CL171" i="1"/>
  <c r="CC171" i="1"/>
  <c r="BQ171" i="1"/>
  <c r="BP171" i="1"/>
  <c r="BO171" i="1"/>
  <c r="AK171" i="1"/>
  <c r="AJ171" i="1"/>
  <c r="AI171" i="1"/>
  <c r="Z171" i="1"/>
  <c r="Q171" i="1"/>
  <c r="EC170" i="1"/>
  <c r="EB170" i="1"/>
  <c r="EA170" i="1"/>
  <c r="DR170" i="1"/>
  <c r="DI170" i="1"/>
  <c r="CW170" i="1"/>
  <c r="CV170" i="1"/>
  <c r="CU170" i="1"/>
  <c r="CL170" i="1"/>
  <c r="CC170" i="1"/>
  <c r="BQ170" i="1"/>
  <c r="BP170" i="1"/>
  <c r="BO170" i="1"/>
  <c r="AK170" i="1"/>
  <c r="AJ170" i="1"/>
  <c r="AI170" i="1"/>
  <c r="Z170" i="1"/>
  <c r="Q170" i="1"/>
  <c r="EC169" i="1"/>
  <c r="EB169" i="1"/>
  <c r="EA169" i="1"/>
  <c r="DR169" i="1"/>
  <c r="DI169" i="1"/>
  <c r="CW169" i="1"/>
  <c r="CV169" i="1"/>
  <c r="CU169" i="1"/>
  <c r="CL169" i="1"/>
  <c r="CC169" i="1"/>
  <c r="BQ169" i="1"/>
  <c r="BP169" i="1"/>
  <c r="BO169" i="1"/>
  <c r="AK169" i="1"/>
  <c r="AJ169" i="1"/>
  <c r="AI169" i="1"/>
  <c r="Z169" i="1"/>
  <c r="Q169" i="1"/>
  <c r="EC168" i="1"/>
  <c r="EB168" i="1"/>
  <c r="EA168" i="1"/>
  <c r="DR168" i="1"/>
  <c r="DI168" i="1"/>
  <c r="CW168" i="1"/>
  <c r="CV168" i="1"/>
  <c r="CU168" i="1"/>
  <c r="CL168" i="1"/>
  <c r="CC168" i="1"/>
  <c r="BQ168" i="1"/>
  <c r="BP168" i="1"/>
  <c r="BO168" i="1"/>
  <c r="AK168" i="1"/>
  <c r="AJ168" i="1"/>
  <c r="AI168" i="1"/>
  <c r="Z168" i="1"/>
  <c r="Q168" i="1"/>
  <c r="EC167" i="1"/>
  <c r="EB167" i="1"/>
  <c r="EA167" i="1"/>
  <c r="DR167" i="1"/>
  <c r="DI167" i="1"/>
  <c r="CW167" i="1"/>
  <c r="CV167" i="1"/>
  <c r="CU167" i="1"/>
  <c r="CL167" i="1"/>
  <c r="CC167" i="1"/>
  <c r="BQ167" i="1"/>
  <c r="BP167" i="1"/>
  <c r="BO167" i="1"/>
  <c r="AK167" i="1"/>
  <c r="AJ167" i="1"/>
  <c r="AI167" i="1"/>
  <c r="Z167" i="1"/>
  <c r="Q167" i="1"/>
  <c r="EC166" i="1"/>
  <c r="EB166" i="1"/>
  <c r="EA166" i="1"/>
  <c r="DR166" i="1"/>
  <c r="DI166" i="1"/>
  <c r="CW166" i="1"/>
  <c r="CV166" i="1"/>
  <c r="CU166" i="1"/>
  <c r="CL166" i="1"/>
  <c r="CC166" i="1"/>
  <c r="BQ166" i="1"/>
  <c r="BP166" i="1"/>
  <c r="BO166" i="1"/>
  <c r="AK166" i="1"/>
  <c r="AJ166" i="1"/>
  <c r="AI166" i="1"/>
  <c r="Z166" i="1"/>
  <c r="Q166" i="1"/>
  <c r="EC165" i="1"/>
  <c r="EB165" i="1"/>
  <c r="EA165" i="1"/>
  <c r="DR165" i="1"/>
  <c r="DI165" i="1"/>
  <c r="CW165" i="1"/>
  <c r="CV165" i="1"/>
  <c r="CU165" i="1"/>
  <c r="CL165" i="1"/>
  <c r="CC165" i="1"/>
  <c r="BQ165" i="1"/>
  <c r="BP165" i="1"/>
  <c r="BO165" i="1"/>
  <c r="AK165" i="1"/>
  <c r="AJ165" i="1"/>
  <c r="AI165" i="1"/>
  <c r="Z165" i="1"/>
  <c r="Q165" i="1"/>
  <c r="EC164" i="1"/>
  <c r="EB164" i="1"/>
  <c r="EA164" i="1"/>
  <c r="DR164" i="1"/>
  <c r="DI164" i="1"/>
  <c r="CW164" i="1"/>
  <c r="CV164" i="1"/>
  <c r="CU164" i="1"/>
  <c r="CL164" i="1"/>
  <c r="CC164" i="1"/>
  <c r="BQ164" i="1"/>
  <c r="BP164" i="1"/>
  <c r="BO164" i="1"/>
  <c r="AK164" i="1"/>
  <c r="AJ164" i="1"/>
  <c r="AI164" i="1"/>
  <c r="Z164" i="1"/>
  <c r="Q164" i="1"/>
  <c r="EC163" i="1"/>
  <c r="EB163" i="1"/>
  <c r="EA163" i="1"/>
  <c r="DR163" i="1"/>
  <c r="DI163" i="1"/>
  <c r="CW163" i="1"/>
  <c r="CV163" i="1"/>
  <c r="CU163" i="1"/>
  <c r="CL163" i="1"/>
  <c r="CC163" i="1"/>
  <c r="BQ163" i="1"/>
  <c r="BP163" i="1"/>
  <c r="BO163" i="1"/>
  <c r="AK163" i="1"/>
  <c r="AJ163" i="1"/>
  <c r="AI163" i="1"/>
  <c r="Z163" i="1"/>
  <c r="Q163" i="1"/>
  <c r="EC162" i="1"/>
  <c r="EB162" i="1"/>
  <c r="EA162" i="1"/>
  <c r="DR162" i="1"/>
  <c r="DI162" i="1"/>
  <c r="CW162" i="1"/>
  <c r="CV162" i="1"/>
  <c r="CU162" i="1"/>
  <c r="CL162" i="1"/>
  <c r="CC162" i="1"/>
  <c r="BQ162" i="1"/>
  <c r="BP162" i="1"/>
  <c r="BO162" i="1"/>
  <c r="AK162" i="1"/>
  <c r="AJ162" i="1"/>
  <c r="AI162" i="1"/>
  <c r="Z162" i="1"/>
  <c r="Q162" i="1"/>
  <c r="EC161" i="1"/>
  <c r="EB161" i="1"/>
  <c r="EA161" i="1"/>
  <c r="DR161" i="1"/>
  <c r="DI161" i="1"/>
  <c r="CW161" i="1"/>
  <c r="CV161" i="1"/>
  <c r="CU161" i="1"/>
  <c r="CL161" i="1"/>
  <c r="CC161" i="1"/>
  <c r="BQ161" i="1"/>
  <c r="BP161" i="1"/>
  <c r="BO161" i="1"/>
  <c r="AK161" i="1"/>
  <c r="AJ161" i="1"/>
  <c r="AI161" i="1"/>
  <c r="Z161" i="1"/>
  <c r="Q161" i="1"/>
  <c r="EC160" i="1"/>
  <c r="EB160" i="1"/>
  <c r="EA160" i="1"/>
  <c r="DR160" i="1"/>
  <c r="DI160" i="1"/>
  <c r="CW160" i="1"/>
  <c r="CV160" i="1"/>
  <c r="CU160" i="1"/>
  <c r="CL160" i="1"/>
  <c r="CC160" i="1"/>
  <c r="BQ160" i="1"/>
  <c r="BP160" i="1"/>
  <c r="BO160" i="1"/>
  <c r="AK160" i="1"/>
  <c r="AJ160" i="1"/>
  <c r="AI160" i="1"/>
  <c r="Z160" i="1"/>
  <c r="Q160" i="1"/>
  <c r="EC159" i="1"/>
  <c r="EB159" i="1"/>
  <c r="EA159" i="1"/>
  <c r="DR159" i="1"/>
  <c r="DI159" i="1"/>
  <c r="CW159" i="1"/>
  <c r="CV159" i="1"/>
  <c r="CU159" i="1"/>
  <c r="CL159" i="1"/>
  <c r="CC159" i="1"/>
  <c r="BQ159" i="1"/>
  <c r="BP159" i="1"/>
  <c r="BO159" i="1"/>
  <c r="AK159" i="1"/>
  <c r="AJ159" i="1"/>
  <c r="AI159" i="1"/>
  <c r="Z159" i="1"/>
  <c r="Q159" i="1"/>
  <c r="EC158" i="1"/>
  <c r="EB158" i="1"/>
  <c r="EA158" i="1"/>
  <c r="DR158" i="1"/>
  <c r="DI158" i="1"/>
  <c r="CW158" i="1"/>
  <c r="CV158" i="1"/>
  <c r="CU158" i="1"/>
  <c r="CL158" i="1"/>
  <c r="CC158" i="1"/>
  <c r="BQ158" i="1"/>
  <c r="BP158" i="1"/>
  <c r="BO158" i="1"/>
  <c r="AK158" i="1"/>
  <c r="AJ158" i="1"/>
  <c r="AI158" i="1"/>
  <c r="Z158" i="1"/>
  <c r="Q158" i="1"/>
  <c r="EC157" i="1"/>
  <c r="EB157" i="1"/>
  <c r="EA157" i="1"/>
  <c r="DR157" i="1"/>
  <c r="DI157" i="1"/>
  <c r="CW157" i="1"/>
  <c r="CV157" i="1"/>
  <c r="CU157" i="1"/>
  <c r="CL157" i="1"/>
  <c r="CC157" i="1"/>
  <c r="BQ157" i="1"/>
  <c r="BP157" i="1"/>
  <c r="BO157" i="1"/>
  <c r="AK157" i="1"/>
  <c r="AJ157" i="1"/>
  <c r="AI157" i="1"/>
  <c r="Z157" i="1"/>
  <c r="Q157" i="1"/>
  <c r="EC156" i="1"/>
  <c r="EB156" i="1"/>
  <c r="EA156" i="1"/>
  <c r="DR156" i="1"/>
  <c r="DI156" i="1"/>
  <c r="CW156" i="1"/>
  <c r="CV156" i="1"/>
  <c r="CU156" i="1"/>
  <c r="CL156" i="1"/>
  <c r="CC156" i="1"/>
  <c r="BQ156" i="1"/>
  <c r="BP156" i="1"/>
  <c r="BO156" i="1"/>
  <c r="AK156" i="1"/>
  <c r="AJ156" i="1"/>
  <c r="AI156" i="1"/>
  <c r="Z156" i="1"/>
  <c r="Q156" i="1"/>
  <c r="EC155" i="1"/>
  <c r="EB155" i="1"/>
  <c r="EA155" i="1"/>
  <c r="DR155" i="1"/>
  <c r="DI155" i="1"/>
  <c r="CW155" i="1"/>
  <c r="CV155" i="1"/>
  <c r="CU155" i="1"/>
  <c r="CL155" i="1"/>
  <c r="CC155" i="1"/>
  <c r="BQ155" i="1"/>
  <c r="BP155" i="1"/>
  <c r="BO155" i="1"/>
  <c r="AK155" i="1"/>
  <c r="AJ155" i="1"/>
  <c r="AI155" i="1"/>
  <c r="Z155" i="1"/>
  <c r="Q155" i="1"/>
  <c r="EC154" i="1"/>
  <c r="EB154" i="1"/>
  <c r="EA154" i="1"/>
  <c r="DR154" i="1"/>
  <c r="DI154" i="1"/>
  <c r="CW154" i="1"/>
  <c r="CV154" i="1"/>
  <c r="CU154" i="1"/>
  <c r="CL154" i="1"/>
  <c r="CC154" i="1"/>
  <c r="BQ154" i="1"/>
  <c r="BP154" i="1"/>
  <c r="BO154" i="1"/>
  <c r="AK154" i="1"/>
  <c r="AJ154" i="1"/>
  <c r="AI154" i="1"/>
  <c r="Z154" i="1"/>
  <c r="Q154" i="1"/>
  <c r="EC153" i="1"/>
  <c r="EB153" i="1"/>
  <c r="EA153" i="1"/>
  <c r="DR153" i="1"/>
  <c r="DI153" i="1"/>
  <c r="CW153" i="1"/>
  <c r="CV153" i="1"/>
  <c r="CU153" i="1"/>
  <c r="CL153" i="1"/>
  <c r="CC153" i="1"/>
  <c r="BQ153" i="1"/>
  <c r="BP153" i="1"/>
  <c r="BO153" i="1"/>
  <c r="AK153" i="1"/>
  <c r="AJ153" i="1"/>
  <c r="AI153" i="1"/>
  <c r="Z153" i="1"/>
  <c r="Q153" i="1"/>
  <c r="EC152" i="1"/>
  <c r="EB152" i="1"/>
  <c r="EA152" i="1"/>
  <c r="DR152" i="1"/>
  <c r="DI152" i="1"/>
  <c r="CW152" i="1"/>
  <c r="CV152" i="1"/>
  <c r="CU152" i="1"/>
  <c r="CL152" i="1"/>
  <c r="CC152" i="1"/>
  <c r="BQ152" i="1"/>
  <c r="BP152" i="1"/>
  <c r="BR152" i="1" s="1"/>
  <c r="BO152" i="1"/>
  <c r="AK152" i="1"/>
  <c r="AJ152" i="1"/>
  <c r="AI152" i="1"/>
  <c r="Z152" i="1"/>
  <c r="Q152" i="1"/>
  <c r="EC151" i="1"/>
  <c r="EB151" i="1"/>
  <c r="EA151" i="1"/>
  <c r="DR151" i="1"/>
  <c r="DI151" i="1"/>
  <c r="CW151" i="1"/>
  <c r="CV151" i="1"/>
  <c r="CU151" i="1"/>
  <c r="CL151" i="1"/>
  <c r="CC151" i="1"/>
  <c r="BQ151" i="1"/>
  <c r="BP151" i="1"/>
  <c r="BO151" i="1"/>
  <c r="AK151" i="1"/>
  <c r="AJ151" i="1"/>
  <c r="AI151" i="1"/>
  <c r="Z151" i="1"/>
  <c r="Q151" i="1"/>
  <c r="EC150" i="1"/>
  <c r="EB150" i="1"/>
  <c r="EA150" i="1"/>
  <c r="DR150" i="1"/>
  <c r="DI150" i="1"/>
  <c r="CW150" i="1"/>
  <c r="CV150" i="1"/>
  <c r="CU150" i="1"/>
  <c r="CL150" i="1"/>
  <c r="CC150" i="1"/>
  <c r="BQ150" i="1"/>
  <c r="BP150" i="1"/>
  <c r="BO150" i="1"/>
  <c r="AK150" i="1"/>
  <c r="AJ150" i="1"/>
  <c r="AI150" i="1"/>
  <c r="Z150" i="1"/>
  <c r="Q150" i="1"/>
  <c r="EC149" i="1"/>
  <c r="EB149" i="1"/>
  <c r="EA149" i="1"/>
  <c r="DR149" i="1"/>
  <c r="DI149" i="1"/>
  <c r="CW149" i="1"/>
  <c r="CV149" i="1"/>
  <c r="CU149" i="1"/>
  <c r="CL149" i="1"/>
  <c r="CC149" i="1"/>
  <c r="BQ149" i="1"/>
  <c r="BP149" i="1"/>
  <c r="BO149" i="1"/>
  <c r="AK149" i="1"/>
  <c r="AJ149" i="1"/>
  <c r="AI149" i="1"/>
  <c r="Z149" i="1"/>
  <c r="Q149" i="1"/>
  <c r="EC148" i="1"/>
  <c r="EB148" i="1"/>
  <c r="EA148" i="1"/>
  <c r="DR148" i="1"/>
  <c r="DI148" i="1"/>
  <c r="CW148" i="1"/>
  <c r="CV148" i="1"/>
  <c r="CU148" i="1"/>
  <c r="CL148" i="1"/>
  <c r="CC148" i="1"/>
  <c r="BQ148" i="1"/>
  <c r="BP148" i="1"/>
  <c r="BO148" i="1"/>
  <c r="AK148" i="1"/>
  <c r="AJ148" i="1"/>
  <c r="AI148" i="1"/>
  <c r="Z148" i="1"/>
  <c r="Q148" i="1"/>
  <c r="EC147" i="1"/>
  <c r="EB147" i="1"/>
  <c r="EA147" i="1"/>
  <c r="DR147" i="1"/>
  <c r="DI147" i="1"/>
  <c r="CW147" i="1"/>
  <c r="CV147" i="1"/>
  <c r="CU147" i="1"/>
  <c r="CL147" i="1"/>
  <c r="CC147" i="1"/>
  <c r="BQ147" i="1"/>
  <c r="BP147" i="1"/>
  <c r="BO147" i="1"/>
  <c r="AK147" i="1"/>
  <c r="AJ147" i="1"/>
  <c r="AI147" i="1"/>
  <c r="Z147" i="1"/>
  <c r="Q147" i="1"/>
  <c r="EC146" i="1"/>
  <c r="EB146" i="1"/>
  <c r="EA146" i="1"/>
  <c r="DR146" i="1"/>
  <c r="DI146" i="1"/>
  <c r="CW146" i="1"/>
  <c r="CV146" i="1"/>
  <c r="CU146" i="1"/>
  <c r="CL146" i="1"/>
  <c r="CC146" i="1"/>
  <c r="BQ146" i="1"/>
  <c r="BP146" i="1"/>
  <c r="BO146" i="1"/>
  <c r="AK146" i="1"/>
  <c r="AJ146" i="1"/>
  <c r="AI146" i="1"/>
  <c r="Z146" i="1"/>
  <c r="Q146" i="1"/>
  <c r="EC145" i="1"/>
  <c r="EB145" i="1"/>
  <c r="EA145" i="1"/>
  <c r="DR145" i="1"/>
  <c r="DI145" i="1"/>
  <c r="CW145" i="1"/>
  <c r="CV145" i="1"/>
  <c r="CU145" i="1"/>
  <c r="CL145" i="1"/>
  <c r="CC145" i="1"/>
  <c r="BQ145" i="1"/>
  <c r="BP145" i="1"/>
  <c r="BO145" i="1"/>
  <c r="AK145" i="1"/>
  <c r="AJ145" i="1"/>
  <c r="AI145" i="1"/>
  <c r="Z145" i="1"/>
  <c r="Q145" i="1"/>
  <c r="EC144" i="1"/>
  <c r="EB144" i="1"/>
  <c r="EA144" i="1"/>
  <c r="DR144" i="1"/>
  <c r="DI144" i="1"/>
  <c r="CW144" i="1"/>
  <c r="CV144" i="1"/>
  <c r="CU144" i="1"/>
  <c r="CL144" i="1"/>
  <c r="CC144" i="1"/>
  <c r="BQ144" i="1"/>
  <c r="BP144" i="1"/>
  <c r="BO144" i="1"/>
  <c r="AK144" i="1"/>
  <c r="AJ144" i="1"/>
  <c r="AI144" i="1"/>
  <c r="Z144" i="1"/>
  <c r="Q144" i="1"/>
  <c r="EC143" i="1"/>
  <c r="EB143" i="1"/>
  <c r="EA143" i="1"/>
  <c r="DR143" i="1"/>
  <c r="DI143" i="1"/>
  <c r="CW143" i="1"/>
  <c r="CV143" i="1"/>
  <c r="CU143" i="1"/>
  <c r="CL143" i="1"/>
  <c r="CC143" i="1"/>
  <c r="BQ143" i="1"/>
  <c r="BP143" i="1"/>
  <c r="BO143" i="1"/>
  <c r="AK143" i="1"/>
  <c r="AJ143" i="1"/>
  <c r="AI143" i="1"/>
  <c r="Z143" i="1"/>
  <c r="Q143" i="1"/>
  <c r="EC142" i="1"/>
  <c r="ED142" i="1" s="1"/>
  <c r="EB142" i="1"/>
  <c r="EA142" i="1"/>
  <c r="DR142" i="1"/>
  <c r="DI142" i="1"/>
  <c r="CW142" i="1"/>
  <c r="CV142" i="1"/>
  <c r="CU142" i="1"/>
  <c r="CL142" i="1"/>
  <c r="CC142" i="1"/>
  <c r="BQ142" i="1"/>
  <c r="BP142" i="1"/>
  <c r="BO142" i="1"/>
  <c r="AK142" i="1"/>
  <c r="AJ142" i="1"/>
  <c r="AI142" i="1"/>
  <c r="Z142" i="1"/>
  <c r="Q142" i="1"/>
  <c r="EC141" i="1"/>
  <c r="EB141" i="1"/>
  <c r="EA141" i="1"/>
  <c r="DR141" i="1"/>
  <c r="DI141" i="1"/>
  <c r="CW141" i="1"/>
  <c r="CV141" i="1"/>
  <c r="CU141" i="1"/>
  <c r="CL141" i="1"/>
  <c r="CC141" i="1"/>
  <c r="BQ141" i="1"/>
  <c r="BR141" i="1" s="1"/>
  <c r="BP141" i="1"/>
  <c r="BO141" i="1"/>
  <c r="AK141" i="1"/>
  <c r="AJ141" i="1"/>
  <c r="AI141" i="1"/>
  <c r="Z141" i="1"/>
  <c r="Q141" i="1"/>
  <c r="EC140" i="1"/>
  <c r="ED140" i="1" s="1"/>
  <c r="EB140" i="1"/>
  <c r="EA140" i="1"/>
  <c r="DR140" i="1"/>
  <c r="DI140" i="1"/>
  <c r="CW140" i="1"/>
  <c r="CV140" i="1"/>
  <c r="CU140" i="1"/>
  <c r="CL140" i="1"/>
  <c r="CC140" i="1"/>
  <c r="BQ140" i="1"/>
  <c r="BP140" i="1"/>
  <c r="BO140" i="1"/>
  <c r="AK140" i="1"/>
  <c r="AJ140" i="1"/>
  <c r="AI140" i="1"/>
  <c r="Z140" i="1"/>
  <c r="Q140" i="1"/>
  <c r="EC139" i="1"/>
  <c r="EB139" i="1"/>
  <c r="EA139" i="1"/>
  <c r="DR139" i="1"/>
  <c r="DI139" i="1"/>
  <c r="CW139" i="1"/>
  <c r="CV139" i="1"/>
  <c r="CU139" i="1"/>
  <c r="CL139" i="1"/>
  <c r="CC139" i="1"/>
  <c r="BQ139" i="1"/>
  <c r="BP139" i="1"/>
  <c r="BO139" i="1"/>
  <c r="AK139" i="1"/>
  <c r="AJ139" i="1"/>
  <c r="AI139" i="1"/>
  <c r="Z139" i="1"/>
  <c r="Q139" i="1"/>
  <c r="EC138" i="1"/>
  <c r="EB138" i="1"/>
  <c r="EA138" i="1"/>
  <c r="DR138" i="1"/>
  <c r="DI138" i="1"/>
  <c r="CW138" i="1"/>
  <c r="CV138" i="1"/>
  <c r="CU138" i="1"/>
  <c r="CL138" i="1"/>
  <c r="CC138" i="1"/>
  <c r="BQ138" i="1"/>
  <c r="BP138" i="1"/>
  <c r="BO138" i="1"/>
  <c r="AK138" i="1"/>
  <c r="AJ138" i="1"/>
  <c r="AI138" i="1"/>
  <c r="Z138" i="1"/>
  <c r="Q138" i="1"/>
  <c r="EC137" i="1"/>
  <c r="EB137" i="1"/>
  <c r="EA137" i="1"/>
  <c r="DR137" i="1"/>
  <c r="DI137" i="1"/>
  <c r="CW137" i="1"/>
  <c r="CV137" i="1"/>
  <c r="CU137" i="1"/>
  <c r="CL137" i="1"/>
  <c r="CC137" i="1"/>
  <c r="BQ137" i="1"/>
  <c r="BP137" i="1"/>
  <c r="BO137" i="1"/>
  <c r="AK137" i="1"/>
  <c r="AJ137" i="1"/>
  <c r="AI137" i="1"/>
  <c r="Z137" i="1"/>
  <c r="Q137" i="1"/>
  <c r="EC136" i="1"/>
  <c r="EB136" i="1"/>
  <c r="EA136" i="1"/>
  <c r="DR136" i="1"/>
  <c r="DI136" i="1"/>
  <c r="CW136" i="1"/>
  <c r="CV136" i="1"/>
  <c r="CU136" i="1"/>
  <c r="CL136" i="1"/>
  <c r="CC136" i="1"/>
  <c r="BQ136" i="1"/>
  <c r="BP136" i="1"/>
  <c r="BO136" i="1"/>
  <c r="AK136" i="1"/>
  <c r="AJ136" i="1"/>
  <c r="AI136" i="1"/>
  <c r="Z136" i="1"/>
  <c r="Q136" i="1"/>
  <c r="EC135" i="1"/>
  <c r="EB135" i="1"/>
  <c r="EA135" i="1"/>
  <c r="DR135" i="1"/>
  <c r="DI135" i="1"/>
  <c r="CW135" i="1"/>
  <c r="CV135" i="1"/>
  <c r="CU135" i="1"/>
  <c r="CL135" i="1"/>
  <c r="CC135" i="1"/>
  <c r="BQ135" i="1"/>
  <c r="BP135" i="1"/>
  <c r="BO135" i="1"/>
  <c r="AK135" i="1"/>
  <c r="AJ135" i="1"/>
  <c r="AI135" i="1"/>
  <c r="Z135" i="1"/>
  <c r="Q135" i="1"/>
  <c r="EC134" i="1"/>
  <c r="EB134" i="1"/>
  <c r="EA134" i="1"/>
  <c r="DR134" i="1"/>
  <c r="DI134" i="1"/>
  <c r="CW134" i="1"/>
  <c r="CV134" i="1"/>
  <c r="CU134" i="1"/>
  <c r="CL134" i="1"/>
  <c r="CC134" i="1"/>
  <c r="BQ134" i="1"/>
  <c r="BP134" i="1"/>
  <c r="BO134" i="1"/>
  <c r="AK134" i="1"/>
  <c r="AJ134" i="1"/>
  <c r="AI134" i="1"/>
  <c r="Z134" i="1"/>
  <c r="Q134" i="1"/>
  <c r="EC133" i="1"/>
  <c r="EB133" i="1"/>
  <c r="EA133" i="1"/>
  <c r="DR133" i="1"/>
  <c r="DI133" i="1"/>
  <c r="CW133" i="1"/>
  <c r="CV133" i="1"/>
  <c r="CU133" i="1"/>
  <c r="CL133" i="1"/>
  <c r="CC133" i="1"/>
  <c r="BQ133" i="1"/>
  <c r="BP133" i="1"/>
  <c r="BO133" i="1"/>
  <c r="AK133" i="1"/>
  <c r="AJ133" i="1"/>
  <c r="AI133" i="1"/>
  <c r="Z133" i="1"/>
  <c r="Q133" i="1"/>
  <c r="EC132" i="1"/>
  <c r="EB132" i="1"/>
  <c r="EA132" i="1"/>
  <c r="DR132" i="1"/>
  <c r="DI132" i="1"/>
  <c r="CW132" i="1"/>
  <c r="CV132" i="1"/>
  <c r="CU132" i="1"/>
  <c r="CL132" i="1"/>
  <c r="CC132" i="1"/>
  <c r="BQ132" i="1"/>
  <c r="BP132" i="1"/>
  <c r="BO132" i="1"/>
  <c r="AK132" i="1"/>
  <c r="AJ132" i="1"/>
  <c r="AI132" i="1"/>
  <c r="Z132" i="1"/>
  <c r="Q132" i="1"/>
  <c r="EC131" i="1"/>
  <c r="EB131" i="1"/>
  <c r="EA131" i="1"/>
  <c r="DR131" i="1"/>
  <c r="DI131" i="1"/>
  <c r="CW131" i="1"/>
  <c r="CV131" i="1"/>
  <c r="CU131" i="1"/>
  <c r="CL131" i="1"/>
  <c r="CC131" i="1"/>
  <c r="BQ131" i="1"/>
  <c r="BP131" i="1"/>
  <c r="BO131" i="1"/>
  <c r="AK131" i="1"/>
  <c r="AJ131" i="1"/>
  <c r="AI131" i="1"/>
  <c r="Z131" i="1"/>
  <c r="Q131" i="1"/>
  <c r="EC130" i="1"/>
  <c r="EB130" i="1"/>
  <c r="EA130" i="1"/>
  <c r="DR130" i="1"/>
  <c r="DI130" i="1"/>
  <c r="CW130" i="1"/>
  <c r="CV130" i="1"/>
  <c r="CU130" i="1"/>
  <c r="CL130" i="1"/>
  <c r="CC130" i="1"/>
  <c r="BQ130" i="1"/>
  <c r="BP130" i="1"/>
  <c r="BO130" i="1"/>
  <c r="AK130" i="1"/>
  <c r="AJ130" i="1"/>
  <c r="AI130" i="1"/>
  <c r="Z130" i="1"/>
  <c r="Q130" i="1"/>
  <c r="EC129" i="1"/>
  <c r="EB129" i="1"/>
  <c r="EA129" i="1"/>
  <c r="DR129" i="1"/>
  <c r="DI129" i="1"/>
  <c r="CW129" i="1"/>
  <c r="CV129" i="1"/>
  <c r="CU129" i="1"/>
  <c r="CL129" i="1"/>
  <c r="CC129" i="1"/>
  <c r="BQ129" i="1"/>
  <c r="BP129" i="1"/>
  <c r="BO129" i="1"/>
  <c r="AK129" i="1"/>
  <c r="AJ129" i="1"/>
  <c r="AI129" i="1"/>
  <c r="Z129" i="1"/>
  <c r="Q129" i="1"/>
  <c r="EC128" i="1"/>
  <c r="EB128" i="1"/>
  <c r="EA128" i="1"/>
  <c r="DR128" i="1"/>
  <c r="DI128" i="1"/>
  <c r="CW128" i="1"/>
  <c r="CV128" i="1"/>
  <c r="CU128" i="1"/>
  <c r="CL128" i="1"/>
  <c r="CC128" i="1"/>
  <c r="BQ128" i="1"/>
  <c r="BP128" i="1"/>
  <c r="BO128" i="1"/>
  <c r="AK128" i="1"/>
  <c r="AJ128" i="1"/>
  <c r="AI128" i="1"/>
  <c r="Z128" i="1"/>
  <c r="Q128" i="1"/>
  <c r="EC127" i="1"/>
  <c r="EB127" i="1"/>
  <c r="EA127" i="1"/>
  <c r="DR127" i="1"/>
  <c r="DI127" i="1"/>
  <c r="CW127" i="1"/>
  <c r="CV127" i="1"/>
  <c r="CU127" i="1"/>
  <c r="CL127" i="1"/>
  <c r="CC127" i="1"/>
  <c r="BQ127" i="1"/>
  <c r="BP127" i="1"/>
  <c r="BO127" i="1"/>
  <c r="AK127" i="1"/>
  <c r="AJ127" i="1"/>
  <c r="AI127" i="1"/>
  <c r="Z127" i="1"/>
  <c r="Q127" i="1"/>
  <c r="EC126" i="1"/>
  <c r="ED126" i="1" s="1"/>
  <c r="EB126" i="1"/>
  <c r="EA126" i="1"/>
  <c r="DR126" i="1"/>
  <c r="DI126" i="1"/>
  <c r="CW126" i="1"/>
  <c r="CV126" i="1"/>
  <c r="CU126" i="1"/>
  <c r="CL126" i="1"/>
  <c r="CC126" i="1"/>
  <c r="BQ126" i="1"/>
  <c r="BP126" i="1"/>
  <c r="BO126" i="1"/>
  <c r="AK126" i="1"/>
  <c r="AJ126" i="1"/>
  <c r="AI126" i="1"/>
  <c r="Z126" i="1"/>
  <c r="Q126" i="1"/>
  <c r="EC125" i="1"/>
  <c r="EB125" i="1"/>
  <c r="EA125" i="1"/>
  <c r="DR125" i="1"/>
  <c r="DI125" i="1"/>
  <c r="CW125" i="1"/>
  <c r="CV125" i="1"/>
  <c r="CU125" i="1"/>
  <c r="CL125" i="1"/>
  <c r="CC125" i="1"/>
  <c r="BQ125" i="1"/>
  <c r="BP125" i="1"/>
  <c r="BO125" i="1"/>
  <c r="AK125" i="1"/>
  <c r="AJ125" i="1"/>
  <c r="AI125" i="1"/>
  <c r="Z125" i="1"/>
  <c r="Q125" i="1"/>
  <c r="EC124" i="1"/>
  <c r="EB124" i="1"/>
  <c r="EA124" i="1"/>
  <c r="DR124" i="1"/>
  <c r="DI124" i="1"/>
  <c r="CW124" i="1"/>
  <c r="CV124" i="1"/>
  <c r="CU124" i="1"/>
  <c r="CL124" i="1"/>
  <c r="CC124" i="1"/>
  <c r="BQ124" i="1"/>
  <c r="BP124" i="1"/>
  <c r="BO124" i="1"/>
  <c r="AK124" i="1"/>
  <c r="AJ124" i="1"/>
  <c r="AI124" i="1"/>
  <c r="Z124" i="1"/>
  <c r="Q124" i="1"/>
  <c r="EC123" i="1"/>
  <c r="EB123" i="1"/>
  <c r="EA123" i="1"/>
  <c r="DR123" i="1"/>
  <c r="DI123" i="1"/>
  <c r="CW123" i="1"/>
  <c r="CV123" i="1"/>
  <c r="CU123" i="1"/>
  <c r="CL123" i="1"/>
  <c r="CC123" i="1"/>
  <c r="BQ123" i="1"/>
  <c r="BP123" i="1"/>
  <c r="BO123" i="1"/>
  <c r="AK123" i="1"/>
  <c r="AJ123" i="1"/>
  <c r="AI123" i="1"/>
  <c r="Z123" i="1"/>
  <c r="Q123" i="1"/>
  <c r="EC122" i="1"/>
  <c r="EB122" i="1"/>
  <c r="EA122" i="1"/>
  <c r="DR122" i="1"/>
  <c r="DI122" i="1"/>
  <c r="CW122" i="1"/>
  <c r="CV122" i="1"/>
  <c r="CU122" i="1"/>
  <c r="CL122" i="1"/>
  <c r="CC122" i="1"/>
  <c r="BQ122" i="1"/>
  <c r="BP122" i="1"/>
  <c r="BO122" i="1"/>
  <c r="AK122" i="1"/>
  <c r="AJ122" i="1"/>
  <c r="AI122" i="1"/>
  <c r="Z122" i="1"/>
  <c r="Q122" i="1"/>
  <c r="EC121" i="1"/>
  <c r="EB121" i="1"/>
  <c r="EA121" i="1"/>
  <c r="DR121" i="1"/>
  <c r="DI121" i="1"/>
  <c r="CW121" i="1"/>
  <c r="CV121" i="1"/>
  <c r="CU121" i="1"/>
  <c r="CL121" i="1"/>
  <c r="CC121" i="1"/>
  <c r="BQ121" i="1"/>
  <c r="BP121" i="1"/>
  <c r="BO121" i="1"/>
  <c r="AK121" i="1"/>
  <c r="AJ121" i="1"/>
  <c r="AI121" i="1"/>
  <c r="Z121" i="1"/>
  <c r="Q121" i="1"/>
  <c r="EC120" i="1"/>
  <c r="EB120" i="1"/>
  <c r="EA120" i="1"/>
  <c r="DR120" i="1"/>
  <c r="DI120" i="1"/>
  <c r="CW120" i="1"/>
  <c r="CV120" i="1"/>
  <c r="CU120" i="1"/>
  <c r="CL120" i="1"/>
  <c r="CC120" i="1"/>
  <c r="BQ120" i="1"/>
  <c r="BP120" i="1"/>
  <c r="BO120" i="1"/>
  <c r="AK120" i="1"/>
  <c r="AJ120" i="1"/>
  <c r="AI120" i="1"/>
  <c r="Z120" i="1"/>
  <c r="Q120" i="1"/>
  <c r="EC119" i="1"/>
  <c r="EB119" i="1"/>
  <c r="EA119" i="1"/>
  <c r="DR119" i="1"/>
  <c r="DI119" i="1"/>
  <c r="CW119" i="1"/>
  <c r="CV119" i="1"/>
  <c r="CU119" i="1"/>
  <c r="CL119" i="1"/>
  <c r="CC119" i="1"/>
  <c r="BQ119" i="1"/>
  <c r="BP119" i="1"/>
  <c r="BO119" i="1"/>
  <c r="AK119" i="1"/>
  <c r="AJ119" i="1"/>
  <c r="AI119" i="1"/>
  <c r="Z119" i="1"/>
  <c r="Q119" i="1"/>
  <c r="EC118" i="1"/>
  <c r="EB118" i="1"/>
  <c r="EA118" i="1"/>
  <c r="DR118" i="1"/>
  <c r="DI118" i="1"/>
  <c r="CW118" i="1"/>
  <c r="CV118" i="1"/>
  <c r="CU118" i="1"/>
  <c r="CL118" i="1"/>
  <c r="CC118" i="1"/>
  <c r="BQ118" i="1"/>
  <c r="BP118" i="1"/>
  <c r="BO118" i="1"/>
  <c r="AK118" i="1"/>
  <c r="AJ118" i="1"/>
  <c r="AI118" i="1"/>
  <c r="Z118" i="1"/>
  <c r="Q118" i="1"/>
  <c r="EC117" i="1"/>
  <c r="EB117" i="1"/>
  <c r="EA117" i="1"/>
  <c r="DR117" i="1"/>
  <c r="DI117" i="1"/>
  <c r="CW117" i="1"/>
  <c r="CV117" i="1"/>
  <c r="CU117" i="1"/>
  <c r="CL117" i="1"/>
  <c r="CC117" i="1"/>
  <c r="BQ117" i="1"/>
  <c r="BP117" i="1"/>
  <c r="BO117" i="1"/>
  <c r="AK117" i="1"/>
  <c r="AJ117" i="1"/>
  <c r="AI117" i="1"/>
  <c r="Z117" i="1"/>
  <c r="Q117" i="1"/>
  <c r="EC116" i="1"/>
  <c r="EB116" i="1"/>
  <c r="EA116" i="1"/>
  <c r="DR116" i="1"/>
  <c r="DI116" i="1"/>
  <c r="CW116" i="1"/>
  <c r="CV116" i="1"/>
  <c r="CU116" i="1"/>
  <c r="CL116" i="1"/>
  <c r="CC116" i="1"/>
  <c r="BQ116" i="1"/>
  <c r="BP116" i="1"/>
  <c r="BO116" i="1"/>
  <c r="AK116" i="1"/>
  <c r="AJ116" i="1"/>
  <c r="AI116" i="1"/>
  <c r="Z116" i="1"/>
  <c r="Q116" i="1"/>
  <c r="EC115" i="1"/>
  <c r="EB115" i="1"/>
  <c r="EA115" i="1"/>
  <c r="DR115" i="1"/>
  <c r="DI115" i="1"/>
  <c r="CW115" i="1"/>
  <c r="CV115" i="1"/>
  <c r="CU115" i="1"/>
  <c r="CL115" i="1"/>
  <c r="CC115" i="1"/>
  <c r="BQ115" i="1"/>
  <c r="BP115" i="1"/>
  <c r="BO115" i="1"/>
  <c r="AK115" i="1"/>
  <c r="AJ115" i="1"/>
  <c r="AI115" i="1"/>
  <c r="Z115" i="1"/>
  <c r="Q115" i="1"/>
  <c r="EC114" i="1"/>
  <c r="EB114" i="1"/>
  <c r="EA114" i="1"/>
  <c r="DR114" i="1"/>
  <c r="DI114" i="1"/>
  <c r="CW114" i="1"/>
  <c r="CV114" i="1"/>
  <c r="CU114" i="1"/>
  <c r="CL114" i="1"/>
  <c r="CC114" i="1"/>
  <c r="BQ114" i="1"/>
  <c r="BP114" i="1"/>
  <c r="BO114" i="1"/>
  <c r="AK114" i="1"/>
  <c r="AJ114" i="1"/>
  <c r="AI114" i="1"/>
  <c r="Z114" i="1"/>
  <c r="Q114" i="1"/>
  <c r="EC113" i="1"/>
  <c r="EB113" i="1"/>
  <c r="EA113" i="1"/>
  <c r="DR113" i="1"/>
  <c r="DI113" i="1"/>
  <c r="CW113" i="1"/>
  <c r="CV113" i="1"/>
  <c r="CU113" i="1"/>
  <c r="CL113" i="1"/>
  <c r="CC113" i="1"/>
  <c r="BQ113" i="1"/>
  <c r="BP113" i="1"/>
  <c r="BO113" i="1"/>
  <c r="AK113" i="1"/>
  <c r="AJ113" i="1"/>
  <c r="AI113" i="1"/>
  <c r="Z113" i="1"/>
  <c r="Q113" i="1"/>
  <c r="EC112" i="1"/>
  <c r="EB112" i="1"/>
  <c r="EA112" i="1"/>
  <c r="DR112" i="1"/>
  <c r="DI112" i="1"/>
  <c r="CW112" i="1"/>
  <c r="CV112" i="1"/>
  <c r="CU112" i="1"/>
  <c r="CL112" i="1"/>
  <c r="CC112" i="1"/>
  <c r="BQ112" i="1"/>
  <c r="BP112" i="1"/>
  <c r="BO112" i="1"/>
  <c r="AK112" i="1"/>
  <c r="AJ112" i="1"/>
  <c r="AI112" i="1"/>
  <c r="Z112" i="1"/>
  <c r="Q112" i="1"/>
  <c r="EC111" i="1"/>
  <c r="EB111" i="1"/>
  <c r="EA111" i="1"/>
  <c r="DR111" i="1"/>
  <c r="DI111" i="1"/>
  <c r="CW111" i="1"/>
  <c r="CV111" i="1"/>
  <c r="CU111" i="1"/>
  <c r="CL111" i="1"/>
  <c r="CC111" i="1"/>
  <c r="BQ111" i="1"/>
  <c r="BP111" i="1"/>
  <c r="BO111" i="1"/>
  <c r="AK111" i="1"/>
  <c r="AJ111" i="1"/>
  <c r="AI111" i="1"/>
  <c r="Z111" i="1"/>
  <c r="Q111" i="1"/>
  <c r="EC110" i="1"/>
  <c r="ED110" i="1" s="1"/>
  <c r="EB110" i="1"/>
  <c r="EA110" i="1"/>
  <c r="DR110" i="1"/>
  <c r="DI110" i="1"/>
  <c r="CW110" i="1"/>
  <c r="CV110" i="1"/>
  <c r="CU110" i="1"/>
  <c r="CL110" i="1"/>
  <c r="CC110" i="1"/>
  <c r="BQ110" i="1"/>
  <c r="BP110" i="1"/>
  <c r="BO110" i="1"/>
  <c r="AK110" i="1"/>
  <c r="AJ110" i="1"/>
  <c r="AI110" i="1"/>
  <c r="Z110" i="1"/>
  <c r="Q110" i="1"/>
  <c r="EC109" i="1"/>
  <c r="EB109" i="1"/>
  <c r="EA109" i="1"/>
  <c r="DR109" i="1"/>
  <c r="DI109" i="1"/>
  <c r="CW109" i="1"/>
  <c r="CV109" i="1"/>
  <c r="CU109" i="1"/>
  <c r="CL109" i="1"/>
  <c r="CC109" i="1"/>
  <c r="BQ109" i="1"/>
  <c r="BP109" i="1"/>
  <c r="BO109" i="1"/>
  <c r="AK109" i="1"/>
  <c r="AJ109" i="1"/>
  <c r="AI109" i="1"/>
  <c r="Z109" i="1"/>
  <c r="Q109" i="1"/>
  <c r="EC108" i="1"/>
  <c r="EB108" i="1"/>
  <c r="EA108" i="1"/>
  <c r="DR108" i="1"/>
  <c r="DI108" i="1"/>
  <c r="CW108" i="1"/>
  <c r="CV108" i="1"/>
  <c r="CU108" i="1"/>
  <c r="CL108" i="1"/>
  <c r="CC108" i="1"/>
  <c r="BQ108" i="1"/>
  <c r="BP108" i="1"/>
  <c r="BO108" i="1"/>
  <c r="AK108" i="1"/>
  <c r="AJ108" i="1"/>
  <c r="AI108" i="1"/>
  <c r="Z108" i="1"/>
  <c r="Q108" i="1"/>
  <c r="EC107" i="1"/>
  <c r="EB107" i="1"/>
  <c r="EA107" i="1"/>
  <c r="DR107" i="1"/>
  <c r="DI107" i="1"/>
  <c r="CW107" i="1"/>
  <c r="CV107" i="1"/>
  <c r="CU107" i="1"/>
  <c r="CL107" i="1"/>
  <c r="CC107" i="1"/>
  <c r="BQ107" i="1"/>
  <c r="BP107" i="1"/>
  <c r="BO107" i="1"/>
  <c r="AK107" i="1"/>
  <c r="AJ107" i="1"/>
  <c r="AI107" i="1"/>
  <c r="Z107" i="1"/>
  <c r="Q107" i="1"/>
  <c r="EC106" i="1"/>
  <c r="ED106" i="1" s="1"/>
  <c r="EB106" i="1"/>
  <c r="EA106" i="1"/>
  <c r="DR106" i="1"/>
  <c r="DI106" i="1"/>
  <c r="CW106" i="1"/>
  <c r="CV106" i="1"/>
  <c r="CU106" i="1"/>
  <c r="CL106" i="1"/>
  <c r="CC106" i="1"/>
  <c r="BQ106" i="1"/>
  <c r="BP106" i="1"/>
  <c r="BO106" i="1"/>
  <c r="AK106" i="1"/>
  <c r="AJ106" i="1"/>
  <c r="AI106" i="1"/>
  <c r="Z106" i="1"/>
  <c r="Q106" i="1"/>
  <c r="EC105" i="1"/>
  <c r="EB105" i="1"/>
  <c r="EA105" i="1"/>
  <c r="DR105" i="1"/>
  <c r="DI105" i="1"/>
  <c r="CW105" i="1"/>
  <c r="CV105" i="1"/>
  <c r="CU105" i="1"/>
  <c r="CL105" i="1"/>
  <c r="CC105" i="1"/>
  <c r="BQ105" i="1"/>
  <c r="BR105" i="1" s="1"/>
  <c r="BP105" i="1"/>
  <c r="BO105" i="1"/>
  <c r="AK105" i="1"/>
  <c r="AJ105" i="1"/>
  <c r="AI105" i="1"/>
  <c r="Z105" i="1"/>
  <c r="Q105" i="1"/>
  <c r="EC104" i="1"/>
  <c r="ED104" i="1" s="1"/>
  <c r="EB104" i="1"/>
  <c r="EA104" i="1"/>
  <c r="DR104" i="1"/>
  <c r="DI104" i="1"/>
  <c r="CW104" i="1"/>
  <c r="CV104" i="1"/>
  <c r="CU104" i="1"/>
  <c r="CL104" i="1"/>
  <c r="CC104" i="1"/>
  <c r="BQ104" i="1"/>
  <c r="BP104" i="1"/>
  <c r="BO104" i="1"/>
  <c r="AK104" i="1"/>
  <c r="AJ104" i="1"/>
  <c r="AI104" i="1"/>
  <c r="Z104" i="1"/>
  <c r="Q104" i="1"/>
  <c r="EC103" i="1"/>
  <c r="EB103" i="1"/>
  <c r="EA103" i="1"/>
  <c r="DR103" i="1"/>
  <c r="DI103" i="1"/>
  <c r="CW103" i="1"/>
  <c r="CV103" i="1"/>
  <c r="CU103" i="1"/>
  <c r="CL103" i="1"/>
  <c r="CC103" i="1"/>
  <c r="BQ103" i="1"/>
  <c r="BR103" i="1" s="1"/>
  <c r="BP103" i="1"/>
  <c r="BO103" i="1"/>
  <c r="AK103" i="1"/>
  <c r="AJ103" i="1"/>
  <c r="AI103" i="1"/>
  <c r="Z103" i="1"/>
  <c r="Q103" i="1"/>
  <c r="EC102" i="1"/>
  <c r="EB102" i="1"/>
  <c r="EA102" i="1"/>
  <c r="DR102" i="1"/>
  <c r="DI102" i="1"/>
  <c r="CW102" i="1"/>
  <c r="CV102" i="1"/>
  <c r="CU102" i="1"/>
  <c r="CL102" i="1"/>
  <c r="CC102" i="1"/>
  <c r="BQ102" i="1"/>
  <c r="BP102" i="1"/>
  <c r="BO102" i="1"/>
  <c r="AK102" i="1"/>
  <c r="AJ102" i="1"/>
  <c r="AI102" i="1"/>
  <c r="Z102" i="1"/>
  <c r="Q102" i="1"/>
  <c r="EC101" i="1"/>
  <c r="EB101" i="1"/>
  <c r="EA101" i="1"/>
  <c r="DR101" i="1"/>
  <c r="DI101" i="1"/>
  <c r="CW101" i="1"/>
  <c r="CV101" i="1"/>
  <c r="CU101" i="1"/>
  <c r="CL101" i="1"/>
  <c r="CC101" i="1"/>
  <c r="BQ101" i="1"/>
  <c r="BP101" i="1"/>
  <c r="BO101" i="1"/>
  <c r="AK101" i="1"/>
  <c r="AJ101" i="1"/>
  <c r="AI101" i="1"/>
  <c r="Z101" i="1"/>
  <c r="Q101" i="1"/>
  <c r="EC100" i="1"/>
  <c r="EB100" i="1"/>
  <c r="EA100" i="1"/>
  <c r="DR100" i="1"/>
  <c r="DI100" i="1"/>
  <c r="CW100" i="1"/>
  <c r="CV100" i="1"/>
  <c r="CU100" i="1"/>
  <c r="CL100" i="1"/>
  <c r="CC100" i="1"/>
  <c r="BQ100" i="1"/>
  <c r="BP100" i="1"/>
  <c r="BO100" i="1"/>
  <c r="AK100" i="1"/>
  <c r="AJ100" i="1"/>
  <c r="AI100" i="1"/>
  <c r="Z100" i="1"/>
  <c r="Q100" i="1"/>
  <c r="EC99" i="1"/>
  <c r="EB99" i="1"/>
  <c r="EA99" i="1"/>
  <c r="DR99" i="1"/>
  <c r="DI99" i="1"/>
  <c r="CW99" i="1"/>
  <c r="CV99" i="1"/>
  <c r="CU99" i="1"/>
  <c r="CL99" i="1"/>
  <c r="CC99" i="1"/>
  <c r="BQ99" i="1"/>
  <c r="BP99" i="1"/>
  <c r="BO99" i="1"/>
  <c r="AK99" i="1"/>
  <c r="AJ99" i="1"/>
  <c r="AI99" i="1"/>
  <c r="Z99" i="1"/>
  <c r="Q99" i="1"/>
  <c r="EC98" i="1"/>
  <c r="ED98" i="1" s="1"/>
  <c r="EB98" i="1"/>
  <c r="EA98" i="1"/>
  <c r="DR98" i="1"/>
  <c r="DI98" i="1"/>
  <c r="CW98" i="1"/>
  <c r="CV98" i="1"/>
  <c r="CU98" i="1"/>
  <c r="CL98" i="1"/>
  <c r="CC98" i="1"/>
  <c r="BQ98" i="1"/>
  <c r="BP98" i="1"/>
  <c r="BO98" i="1"/>
  <c r="AK98" i="1"/>
  <c r="AJ98" i="1"/>
  <c r="AI98" i="1"/>
  <c r="Z98" i="1"/>
  <c r="Q98" i="1"/>
  <c r="EC97" i="1"/>
  <c r="EB97" i="1"/>
  <c r="EA97" i="1"/>
  <c r="DR97" i="1"/>
  <c r="DI97" i="1"/>
  <c r="CW97" i="1"/>
  <c r="CV97" i="1"/>
  <c r="CU97" i="1"/>
  <c r="CL97" i="1"/>
  <c r="CC97" i="1"/>
  <c r="BQ97" i="1"/>
  <c r="BP97" i="1"/>
  <c r="BO97" i="1"/>
  <c r="AK97" i="1"/>
  <c r="AJ97" i="1"/>
  <c r="AI97" i="1"/>
  <c r="Z97" i="1"/>
  <c r="Q97" i="1"/>
  <c r="EC96" i="1"/>
  <c r="EB96" i="1"/>
  <c r="EA96" i="1"/>
  <c r="DR96" i="1"/>
  <c r="DI96" i="1"/>
  <c r="CW96" i="1"/>
  <c r="CV96" i="1"/>
  <c r="CU96" i="1"/>
  <c r="CL96" i="1"/>
  <c r="CC96" i="1"/>
  <c r="BQ96" i="1"/>
  <c r="BP96" i="1"/>
  <c r="BO96" i="1"/>
  <c r="AK96" i="1"/>
  <c r="AJ96" i="1"/>
  <c r="AI96" i="1"/>
  <c r="Z96" i="1"/>
  <c r="Q96" i="1"/>
  <c r="EC95" i="1"/>
  <c r="EB95" i="1"/>
  <c r="EA95" i="1"/>
  <c r="DR95" i="1"/>
  <c r="DI95" i="1"/>
  <c r="CW95" i="1"/>
  <c r="CV95" i="1"/>
  <c r="CU95" i="1"/>
  <c r="CL95" i="1"/>
  <c r="CC95" i="1"/>
  <c r="BQ95" i="1"/>
  <c r="BP95" i="1"/>
  <c r="BO95" i="1"/>
  <c r="AK95" i="1"/>
  <c r="AJ95" i="1"/>
  <c r="AI95" i="1"/>
  <c r="Z95" i="1"/>
  <c r="Q95" i="1"/>
  <c r="EC94" i="1"/>
  <c r="EB94" i="1"/>
  <c r="EA94" i="1"/>
  <c r="DR94" i="1"/>
  <c r="DI94" i="1"/>
  <c r="CW94" i="1"/>
  <c r="CV94" i="1"/>
  <c r="CU94" i="1"/>
  <c r="CL94" i="1"/>
  <c r="CC94" i="1"/>
  <c r="BQ94" i="1"/>
  <c r="BP94" i="1"/>
  <c r="BO94" i="1"/>
  <c r="AK94" i="1"/>
  <c r="AJ94" i="1"/>
  <c r="AI94" i="1"/>
  <c r="Z94" i="1"/>
  <c r="Q94" i="1"/>
  <c r="EC93" i="1"/>
  <c r="EB93" i="1"/>
  <c r="EA93" i="1"/>
  <c r="DR93" i="1"/>
  <c r="DI93" i="1"/>
  <c r="CW93" i="1"/>
  <c r="CV93" i="1"/>
  <c r="CU93" i="1"/>
  <c r="CL93" i="1"/>
  <c r="CC93" i="1"/>
  <c r="BQ93" i="1"/>
  <c r="BR93" i="1" s="1"/>
  <c r="BP93" i="1"/>
  <c r="BO93" i="1"/>
  <c r="AK93" i="1"/>
  <c r="AJ93" i="1"/>
  <c r="AI93" i="1"/>
  <c r="Z93" i="1"/>
  <c r="Q93" i="1"/>
  <c r="EC92" i="1"/>
  <c r="EB92" i="1"/>
  <c r="EA92" i="1"/>
  <c r="DR92" i="1"/>
  <c r="DI92" i="1"/>
  <c r="CW92" i="1"/>
  <c r="CV92" i="1"/>
  <c r="CU92" i="1"/>
  <c r="CL92" i="1"/>
  <c r="CC92" i="1"/>
  <c r="BQ92" i="1"/>
  <c r="BP92" i="1"/>
  <c r="BO92" i="1"/>
  <c r="AK92" i="1"/>
  <c r="AJ92" i="1"/>
  <c r="AI92" i="1"/>
  <c r="Z92" i="1"/>
  <c r="Q92" i="1"/>
  <c r="EC91" i="1"/>
  <c r="EB91" i="1"/>
  <c r="EA91" i="1"/>
  <c r="DR91" i="1"/>
  <c r="DI91" i="1"/>
  <c r="CW91" i="1"/>
  <c r="CV91" i="1"/>
  <c r="CU91" i="1"/>
  <c r="CL91" i="1"/>
  <c r="CC91" i="1"/>
  <c r="BQ91" i="1"/>
  <c r="BP91" i="1"/>
  <c r="BO91" i="1"/>
  <c r="AK91" i="1"/>
  <c r="AJ91" i="1"/>
  <c r="AI91" i="1"/>
  <c r="Z91" i="1"/>
  <c r="Q91" i="1"/>
  <c r="EC90" i="1"/>
  <c r="EB90" i="1"/>
  <c r="EA90" i="1"/>
  <c r="DR90" i="1"/>
  <c r="DI90" i="1"/>
  <c r="CW90" i="1"/>
  <c r="CV90" i="1"/>
  <c r="CU90" i="1"/>
  <c r="CL90" i="1"/>
  <c r="CC90" i="1"/>
  <c r="BQ90" i="1"/>
  <c r="BP90" i="1"/>
  <c r="BO90" i="1"/>
  <c r="AK90" i="1"/>
  <c r="AJ90" i="1"/>
  <c r="AI90" i="1"/>
  <c r="Z90" i="1"/>
  <c r="Q90" i="1"/>
  <c r="EC89" i="1"/>
  <c r="EB89" i="1"/>
  <c r="EA89" i="1"/>
  <c r="DR89" i="1"/>
  <c r="DI89" i="1"/>
  <c r="CW89" i="1"/>
  <c r="CV89" i="1"/>
  <c r="CU89" i="1"/>
  <c r="CL89" i="1"/>
  <c r="CC89" i="1"/>
  <c r="BQ89" i="1"/>
  <c r="BP89" i="1"/>
  <c r="BO89" i="1"/>
  <c r="AK89" i="1"/>
  <c r="AJ89" i="1"/>
  <c r="AI89" i="1"/>
  <c r="Z89" i="1"/>
  <c r="Q89" i="1"/>
  <c r="EC88" i="1"/>
  <c r="EB88" i="1"/>
  <c r="EA88" i="1"/>
  <c r="DR88" i="1"/>
  <c r="DI88" i="1"/>
  <c r="CW88" i="1"/>
  <c r="CV88" i="1"/>
  <c r="CU88" i="1"/>
  <c r="CL88" i="1"/>
  <c r="CC88" i="1"/>
  <c r="BQ88" i="1"/>
  <c r="BP88" i="1"/>
  <c r="BO88" i="1"/>
  <c r="AK88" i="1"/>
  <c r="AJ88" i="1"/>
  <c r="AI88" i="1"/>
  <c r="Z88" i="1"/>
  <c r="Q88" i="1"/>
  <c r="EC87" i="1"/>
  <c r="EB87" i="1"/>
  <c r="EA87" i="1"/>
  <c r="DR87" i="1"/>
  <c r="DI87" i="1"/>
  <c r="CW87" i="1"/>
  <c r="CV87" i="1"/>
  <c r="CU87" i="1"/>
  <c r="CL87" i="1"/>
  <c r="CC87" i="1"/>
  <c r="BQ87" i="1"/>
  <c r="BP87" i="1"/>
  <c r="BO87" i="1"/>
  <c r="AK87" i="1"/>
  <c r="AJ87" i="1"/>
  <c r="AI87" i="1"/>
  <c r="Z87" i="1"/>
  <c r="Q87" i="1"/>
  <c r="EC86" i="1"/>
  <c r="EB86" i="1"/>
  <c r="EA86" i="1"/>
  <c r="DR86" i="1"/>
  <c r="DI86" i="1"/>
  <c r="CW86" i="1"/>
  <c r="CV86" i="1"/>
  <c r="CU86" i="1"/>
  <c r="CL86" i="1"/>
  <c r="CC86" i="1"/>
  <c r="BQ86" i="1"/>
  <c r="BP86" i="1"/>
  <c r="BO86" i="1"/>
  <c r="AK86" i="1"/>
  <c r="AJ86" i="1"/>
  <c r="AI86" i="1"/>
  <c r="Z86" i="1"/>
  <c r="Q86" i="1"/>
  <c r="EC85" i="1"/>
  <c r="EB85" i="1"/>
  <c r="EA85" i="1"/>
  <c r="DR85" i="1"/>
  <c r="DI85" i="1"/>
  <c r="CW85" i="1"/>
  <c r="CV85" i="1"/>
  <c r="CU85" i="1"/>
  <c r="CL85" i="1"/>
  <c r="CC85" i="1"/>
  <c r="BQ85" i="1"/>
  <c r="BP85" i="1"/>
  <c r="BO85" i="1"/>
  <c r="AK85" i="1"/>
  <c r="AJ85" i="1"/>
  <c r="AI85" i="1"/>
  <c r="Z85" i="1"/>
  <c r="Q85" i="1"/>
  <c r="EC84" i="1"/>
  <c r="EB84" i="1"/>
  <c r="EA84" i="1"/>
  <c r="DR84" i="1"/>
  <c r="DI84" i="1"/>
  <c r="CW84" i="1"/>
  <c r="CV84" i="1"/>
  <c r="CU84" i="1"/>
  <c r="CL84" i="1"/>
  <c r="CC84" i="1"/>
  <c r="BQ84" i="1"/>
  <c r="BP84" i="1"/>
  <c r="BO84" i="1"/>
  <c r="AK84" i="1"/>
  <c r="AJ84" i="1"/>
  <c r="AI84" i="1"/>
  <c r="Z84" i="1"/>
  <c r="Q84" i="1"/>
  <c r="EC83" i="1"/>
  <c r="EB83" i="1"/>
  <c r="EA83" i="1"/>
  <c r="DR83" i="1"/>
  <c r="DI83" i="1"/>
  <c r="CW83" i="1"/>
  <c r="CV83" i="1"/>
  <c r="CU83" i="1"/>
  <c r="CL83" i="1"/>
  <c r="CC83" i="1"/>
  <c r="BQ83" i="1"/>
  <c r="BP83" i="1"/>
  <c r="BO83" i="1"/>
  <c r="AK83" i="1"/>
  <c r="AJ83" i="1"/>
  <c r="AI83" i="1"/>
  <c r="Z83" i="1"/>
  <c r="Q83" i="1"/>
  <c r="EC82" i="1"/>
  <c r="EB82" i="1"/>
  <c r="EA82" i="1"/>
  <c r="DR82" i="1"/>
  <c r="DI82" i="1"/>
  <c r="CW82" i="1"/>
  <c r="CV82" i="1"/>
  <c r="CU82" i="1"/>
  <c r="CL82" i="1"/>
  <c r="CC82" i="1"/>
  <c r="BQ82" i="1"/>
  <c r="BP82" i="1"/>
  <c r="BO82" i="1"/>
  <c r="AK82" i="1"/>
  <c r="AJ82" i="1"/>
  <c r="AI82" i="1"/>
  <c r="Z82" i="1"/>
  <c r="Q82" i="1"/>
  <c r="EC81" i="1"/>
  <c r="EB81" i="1"/>
  <c r="EA81" i="1"/>
  <c r="DR81" i="1"/>
  <c r="DI81" i="1"/>
  <c r="CW81" i="1"/>
  <c r="CV81" i="1"/>
  <c r="CU81" i="1"/>
  <c r="CL81" i="1"/>
  <c r="CC81" i="1"/>
  <c r="BQ81" i="1"/>
  <c r="BR81" i="1" s="1"/>
  <c r="BP81" i="1"/>
  <c r="BO81" i="1"/>
  <c r="AK81" i="1"/>
  <c r="AJ81" i="1"/>
  <c r="AI81" i="1"/>
  <c r="Z81" i="1"/>
  <c r="Q81" i="1"/>
  <c r="EC80" i="1"/>
  <c r="EB80" i="1"/>
  <c r="EA80" i="1"/>
  <c r="DR80" i="1"/>
  <c r="DI80" i="1"/>
  <c r="CW80" i="1"/>
  <c r="CV80" i="1"/>
  <c r="CU80" i="1"/>
  <c r="CL80" i="1"/>
  <c r="CC80" i="1"/>
  <c r="BQ80" i="1"/>
  <c r="BP80" i="1"/>
  <c r="BO80" i="1"/>
  <c r="AK80" i="1"/>
  <c r="AJ80" i="1"/>
  <c r="AI80" i="1"/>
  <c r="Z80" i="1"/>
  <c r="Q80" i="1"/>
  <c r="EC79" i="1"/>
  <c r="EB79" i="1"/>
  <c r="EA79" i="1"/>
  <c r="DR79" i="1"/>
  <c r="DI79" i="1"/>
  <c r="CW79" i="1"/>
  <c r="CV79" i="1"/>
  <c r="CU79" i="1"/>
  <c r="CL79" i="1"/>
  <c r="CC79" i="1"/>
  <c r="BQ79" i="1"/>
  <c r="BP79" i="1"/>
  <c r="BO79" i="1"/>
  <c r="AK79" i="1"/>
  <c r="AJ79" i="1"/>
  <c r="AI79" i="1"/>
  <c r="Z79" i="1"/>
  <c r="Q79" i="1"/>
  <c r="DZ73" i="1"/>
  <c r="U10" i="1" s="1"/>
  <c r="U12" i="1" s="1"/>
  <c r="DY73" i="1"/>
  <c r="DX73" i="1"/>
  <c r="DW73" i="1"/>
  <c r="DV73" i="1"/>
  <c r="DU73" i="1"/>
  <c r="DT73" i="1"/>
  <c r="DS73" i="1"/>
  <c r="DQ73" i="1"/>
  <c r="DP73" i="1"/>
  <c r="T5" i="1" s="1"/>
  <c r="DO73" i="1"/>
  <c r="DN73" i="1"/>
  <c r="DM73" i="1"/>
  <c r="DL73" i="1"/>
  <c r="DK73" i="1"/>
  <c r="DJ73" i="1"/>
  <c r="DH73" i="1"/>
  <c r="DG73" i="1"/>
  <c r="DI73" i="1" s="1"/>
  <c r="DF73" i="1"/>
  <c r="DE73" i="1"/>
  <c r="CZ73" i="1"/>
  <c r="CT73" i="1"/>
  <c r="CS73" i="1"/>
  <c r="CR73" i="1"/>
  <c r="CQ73" i="1"/>
  <c r="CP73" i="1"/>
  <c r="CO73" i="1"/>
  <c r="CN73" i="1"/>
  <c r="CM73" i="1"/>
  <c r="CK73" i="1"/>
  <c r="CJ73" i="1"/>
  <c r="Q5" i="1" s="1"/>
  <c r="CI73" i="1"/>
  <c r="CH73" i="1"/>
  <c r="CG73" i="1"/>
  <c r="CF73" i="1"/>
  <c r="CE73" i="1"/>
  <c r="CD73" i="1"/>
  <c r="CB73" i="1"/>
  <c r="CA73" i="1"/>
  <c r="BZ73" i="1"/>
  <c r="BY73" i="1"/>
  <c r="BX73" i="1"/>
  <c r="BW73" i="1"/>
  <c r="BV73" i="1"/>
  <c r="BU73" i="1"/>
  <c r="BT73" i="1"/>
  <c r="BN73" i="1"/>
  <c r="BM73" i="1"/>
  <c r="BL73" i="1"/>
  <c r="BK73" i="1"/>
  <c r="BJ73" i="1"/>
  <c r="BI73" i="1"/>
  <c r="BH73" i="1"/>
  <c r="BG73" i="1"/>
  <c r="BE73" i="1"/>
  <c r="BD73" i="1"/>
  <c r="BC73" i="1"/>
  <c r="BB73" i="1"/>
  <c r="BA73" i="1"/>
  <c r="AZ73" i="1"/>
  <c r="AY73" i="1"/>
  <c r="AX73" i="1"/>
  <c r="AV73" i="1"/>
  <c r="AU73" i="1"/>
  <c r="AT73" i="1"/>
  <c r="AS73" i="1"/>
  <c r="AR73" i="1"/>
  <c r="AQ73" i="1"/>
  <c r="AP73" i="1"/>
  <c r="AO73" i="1"/>
  <c r="AN73" i="1"/>
  <c r="AH73" i="1"/>
  <c r="AG73" i="1"/>
  <c r="AF73" i="1"/>
  <c r="AE73" i="1"/>
  <c r="AD73" i="1"/>
  <c r="AC73" i="1"/>
  <c r="AB73" i="1"/>
  <c r="AA73" i="1"/>
  <c r="Y73" i="1"/>
  <c r="X73" i="1"/>
  <c r="K5" i="1" s="1"/>
  <c r="W73" i="1"/>
  <c r="V73" i="1"/>
  <c r="U73" i="1"/>
  <c r="T73" i="1"/>
  <c r="S73" i="1"/>
  <c r="R73" i="1"/>
  <c r="P73" i="1"/>
  <c r="O73" i="1"/>
  <c r="N73" i="1"/>
  <c r="M73" i="1"/>
  <c r="L73" i="1"/>
  <c r="K73" i="1"/>
  <c r="J73" i="1"/>
  <c r="I73" i="1"/>
  <c r="H73" i="1"/>
  <c r="EC71" i="1"/>
  <c r="EB71" i="1"/>
  <c r="EA71" i="1"/>
  <c r="DR71" i="1"/>
  <c r="DI71" i="1"/>
  <c r="CW71" i="1"/>
  <c r="CV71" i="1"/>
  <c r="CU71" i="1"/>
  <c r="CL71" i="1"/>
  <c r="CC71" i="1"/>
  <c r="BQ71" i="1"/>
  <c r="BP71" i="1"/>
  <c r="BO71" i="1"/>
  <c r="BF71" i="1"/>
  <c r="AW71" i="1"/>
  <c r="AK71" i="1"/>
  <c r="AJ71" i="1"/>
  <c r="AI71" i="1"/>
  <c r="Z71" i="1"/>
  <c r="Q71" i="1"/>
  <c r="EC70" i="1"/>
  <c r="EB70" i="1"/>
  <c r="EA70" i="1"/>
  <c r="DR70" i="1"/>
  <c r="DI70" i="1"/>
  <c r="CW70" i="1"/>
  <c r="CV70" i="1"/>
  <c r="CU70" i="1"/>
  <c r="CL70" i="1"/>
  <c r="CC70" i="1"/>
  <c r="BQ70" i="1"/>
  <c r="BP70" i="1"/>
  <c r="BO70" i="1"/>
  <c r="BF70" i="1"/>
  <c r="AW70" i="1"/>
  <c r="AK70" i="1"/>
  <c r="AJ70" i="1"/>
  <c r="AI70" i="1"/>
  <c r="Z70" i="1"/>
  <c r="Q70" i="1"/>
  <c r="EC69" i="1"/>
  <c r="EB69" i="1"/>
  <c r="EA69" i="1"/>
  <c r="DR69" i="1"/>
  <c r="DI69" i="1"/>
  <c r="CW69" i="1"/>
  <c r="CV69" i="1"/>
  <c r="CU69" i="1"/>
  <c r="CL69" i="1"/>
  <c r="CC69" i="1"/>
  <c r="BQ69" i="1"/>
  <c r="BP69" i="1"/>
  <c r="BO69" i="1"/>
  <c r="BF69" i="1"/>
  <c r="AW69" i="1"/>
  <c r="AK69" i="1"/>
  <c r="AJ69" i="1"/>
  <c r="AI69" i="1"/>
  <c r="Z69" i="1"/>
  <c r="Q69" i="1"/>
  <c r="EC68" i="1"/>
  <c r="EB68" i="1"/>
  <c r="EA68" i="1"/>
  <c r="DR68" i="1"/>
  <c r="DI68" i="1"/>
  <c r="CW68" i="1"/>
  <c r="CV68" i="1"/>
  <c r="CU68" i="1"/>
  <c r="CL68" i="1"/>
  <c r="CC68" i="1"/>
  <c r="BQ68" i="1"/>
  <c r="BP68" i="1"/>
  <c r="BO68" i="1"/>
  <c r="BF68" i="1"/>
  <c r="AW68" i="1"/>
  <c r="AK68" i="1"/>
  <c r="AJ68" i="1"/>
  <c r="AI68" i="1"/>
  <c r="Z68" i="1"/>
  <c r="Q68" i="1"/>
  <c r="EC67" i="1"/>
  <c r="EB67" i="1"/>
  <c r="EA67" i="1"/>
  <c r="DR67" i="1"/>
  <c r="DI67" i="1"/>
  <c r="CW67" i="1"/>
  <c r="CV67" i="1"/>
  <c r="CU67" i="1"/>
  <c r="CL67" i="1"/>
  <c r="CC67" i="1"/>
  <c r="BQ67" i="1"/>
  <c r="BP67" i="1"/>
  <c r="BO67" i="1"/>
  <c r="BF67" i="1"/>
  <c r="AW67" i="1"/>
  <c r="AK67" i="1"/>
  <c r="AJ67" i="1"/>
  <c r="AI67" i="1"/>
  <c r="Z67" i="1"/>
  <c r="Q67" i="1"/>
  <c r="EC66" i="1"/>
  <c r="ED66" i="1" s="1"/>
  <c r="EB66" i="1"/>
  <c r="EA66" i="1"/>
  <c r="DR66" i="1"/>
  <c r="DI66" i="1"/>
  <c r="CW66" i="1"/>
  <c r="CV66" i="1"/>
  <c r="CU66" i="1"/>
  <c r="CL66" i="1"/>
  <c r="CC66" i="1"/>
  <c r="BQ66" i="1"/>
  <c r="BP66" i="1"/>
  <c r="BR66" i="1" s="1"/>
  <c r="BO66" i="1"/>
  <c r="BF66" i="1"/>
  <c r="AW66" i="1"/>
  <c r="AK66" i="1"/>
  <c r="AJ66" i="1"/>
  <c r="AI66" i="1"/>
  <c r="Z66" i="1"/>
  <c r="Q66" i="1"/>
  <c r="EC65" i="1"/>
  <c r="EB65" i="1"/>
  <c r="EA65" i="1"/>
  <c r="DR65" i="1"/>
  <c r="DI65" i="1"/>
  <c r="CW65" i="1"/>
  <c r="CV65" i="1"/>
  <c r="CU65" i="1"/>
  <c r="CL65" i="1"/>
  <c r="CC65" i="1"/>
  <c r="BQ65" i="1"/>
  <c r="BP65" i="1"/>
  <c r="BO65" i="1"/>
  <c r="BF65" i="1"/>
  <c r="AW65" i="1"/>
  <c r="AK65" i="1"/>
  <c r="AJ65" i="1"/>
  <c r="AI65" i="1"/>
  <c r="Z65" i="1"/>
  <c r="Q65" i="1"/>
  <c r="EC64" i="1"/>
  <c r="EB64" i="1"/>
  <c r="EA64" i="1"/>
  <c r="DR64" i="1"/>
  <c r="DI64" i="1"/>
  <c r="CW64" i="1"/>
  <c r="CV64" i="1"/>
  <c r="CU64" i="1"/>
  <c r="CL64" i="1"/>
  <c r="CC64" i="1"/>
  <c r="BQ64" i="1"/>
  <c r="BP64" i="1"/>
  <c r="BO64" i="1"/>
  <c r="BF64" i="1"/>
  <c r="AW64" i="1"/>
  <c r="AK64" i="1"/>
  <c r="AJ64" i="1"/>
  <c r="AI64" i="1"/>
  <c r="Z64" i="1"/>
  <c r="Q64" i="1"/>
  <c r="EC63" i="1"/>
  <c r="EB63" i="1"/>
  <c r="EA63" i="1"/>
  <c r="DR63" i="1"/>
  <c r="DI63" i="1"/>
  <c r="CW63" i="1"/>
  <c r="CV63" i="1"/>
  <c r="CU63" i="1"/>
  <c r="CL63" i="1"/>
  <c r="CC63" i="1"/>
  <c r="BQ63" i="1"/>
  <c r="BP63" i="1"/>
  <c r="BO63" i="1"/>
  <c r="BF63" i="1"/>
  <c r="AW63" i="1"/>
  <c r="AK63" i="1"/>
  <c r="AJ63" i="1"/>
  <c r="AI63" i="1"/>
  <c r="Z63" i="1"/>
  <c r="Q63" i="1"/>
  <c r="EC62" i="1"/>
  <c r="EB62" i="1"/>
  <c r="EA62" i="1"/>
  <c r="DR62" i="1"/>
  <c r="DI62" i="1"/>
  <c r="CW62" i="1"/>
  <c r="CV62" i="1"/>
  <c r="CU62" i="1"/>
  <c r="CL62" i="1"/>
  <c r="CC62" i="1"/>
  <c r="BQ62" i="1"/>
  <c r="BP62" i="1"/>
  <c r="BO62" i="1"/>
  <c r="BF62" i="1"/>
  <c r="AW62" i="1"/>
  <c r="AK62" i="1"/>
  <c r="AJ62" i="1"/>
  <c r="AI62" i="1"/>
  <c r="Z62" i="1"/>
  <c r="Q62" i="1"/>
  <c r="EC61" i="1"/>
  <c r="EB61" i="1"/>
  <c r="EA61" i="1"/>
  <c r="DR61" i="1"/>
  <c r="DI61" i="1"/>
  <c r="CW61" i="1"/>
  <c r="CV61" i="1"/>
  <c r="CU61" i="1"/>
  <c r="CL61" i="1"/>
  <c r="CC61" i="1"/>
  <c r="BQ61" i="1"/>
  <c r="BP61" i="1"/>
  <c r="BO61" i="1"/>
  <c r="BF61" i="1"/>
  <c r="AW61" i="1"/>
  <c r="AK61" i="1"/>
  <c r="AJ61" i="1"/>
  <c r="AI61" i="1"/>
  <c r="Z61" i="1"/>
  <c r="Q61" i="1"/>
  <c r="EC60" i="1"/>
  <c r="EB60" i="1"/>
  <c r="EA60" i="1"/>
  <c r="DR60" i="1"/>
  <c r="DI60" i="1"/>
  <c r="CW60" i="1"/>
  <c r="CV60" i="1"/>
  <c r="CU60" i="1"/>
  <c r="CL60" i="1"/>
  <c r="CC60" i="1"/>
  <c r="BQ60" i="1"/>
  <c r="BP60" i="1"/>
  <c r="BO60" i="1"/>
  <c r="BF60" i="1"/>
  <c r="AW60" i="1"/>
  <c r="AK60" i="1"/>
  <c r="AJ60" i="1"/>
  <c r="AI60" i="1"/>
  <c r="Z60" i="1"/>
  <c r="Q60" i="1"/>
  <c r="EC59" i="1"/>
  <c r="EB59" i="1"/>
  <c r="EA59" i="1"/>
  <c r="DR59" i="1"/>
  <c r="DI59" i="1"/>
  <c r="CW59" i="1"/>
  <c r="CV59" i="1"/>
  <c r="CU59" i="1"/>
  <c r="CL59" i="1"/>
  <c r="CC59" i="1"/>
  <c r="BQ59" i="1"/>
  <c r="BP59" i="1"/>
  <c r="BO59" i="1"/>
  <c r="BF59" i="1"/>
  <c r="AW59" i="1"/>
  <c r="AK59" i="1"/>
  <c r="AJ59" i="1"/>
  <c r="AI59" i="1"/>
  <c r="Z59" i="1"/>
  <c r="Q59" i="1"/>
  <c r="EC58" i="1"/>
  <c r="EB58" i="1"/>
  <c r="EA58" i="1"/>
  <c r="DR58" i="1"/>
  <c r="DI58" i="1"/>
  <c r="CW58" i="1"/>
  <c r="CV58" i="1"/>
  <c r="CU58" i="1"/>
  <c r="CL58" i="1"/>
  <c r="CC58" i="1"/>
  <c r="BQ58" i="1"/>
  <c r="BP58" i="1"/>
  <c r="BR58" i="1" s="1"/>
  <c r="BO58" i="1"/>
  <c r="BF58" i="1"/>
  <c r="AW58" i="1"/>
  <c r="AK58" i="1"/>
  <c r="AJ58" i="1"/>
  <c r="AI58" i="1"/>
  <c r="Z58" i="1"/>
  <c r="Q58" i="1"/>
  <c r="EC57" i="1"/>
  <c r="EB57" i="1"/>
  <c r="EA57" i="1"/>
  <c r="DR57" i="1"/>
  <c r="DI57" i="1"/>
  <c r="CW57" i="1"/>
  <c r="CV57" i="1"/>
  <c r="CU57" i="1"/>
  <c r="CL57" i="1"/>
  <c r="CC57" i="1"/>
  <c r="BQ57" i="1"/>
  <c r="BP57" i="1"/>
  <c r="BO57" i="1"/>
  <c r="BF57" i="1"/>
  <c r="AW57" i="1"/>
  <c r="AK57" i="1"/>
  <c r="AJ57" i="1"/>
  <c r="AI57" i="1"/>
  <c r="Z57" i="1"/>
  <c r="Q57" i="1"/>
  <c r="EC56" i="1"/>
  <c r="EB56" i="1"/>
  <c r="EA56" i="1"/>
  <c r="DR56" i="1"/>
  <c r="DI56" i="1"/>
  <c r="CW56" i="1"/>
  <c r="CV56" i="1"/>
  <c r="CU56" i="1"/>
  <c r="CL56" i="1"/>
  <c r="CC56" i="1"/>
  <c r="BQ56" i="1"/>
  <c r="BP56" i="1"/>
  <c r="BO56" i="1"/>
  <c r="BF56" i="1"/>
  <c r="AW56" i="1"/>
  <c r="AK56" i="1"/>
  <c r="AJ56" i="1"/>
  <c r="AI56" i="1"/>
  <c r="Z56" i="1"/>
  <c r="Q56" i="1"/>
  <c r="EC55" i="1"/>
  <c r="EB55" i="1"/>
  <c r="EA55" i="1"/>
  <c r="DR55" i="1"/>
  <c r="DI55" i="1"/>
  <c r="CW55" i="1"/>
  <c r="CV55" i="1"/>
  <c r="CU55" i="1"/>
  <c r="CL55" i="1"/>
  <c r="CC55" i="1"/>
  <c r="BQ55" i="1"/>
  <c r="BP55" i="1"/>
  <c r="BO55" i="1"/>
  <c r="BF55" i="1"/>
  <c r="AW55" i="1"/>
  <c r="AK55" i="1"/>
  <c r="AJ55" i="1"/>
  <c r="AI55" i="1"/>
  <c r="Z55" i="1"/>
  <c r="Q55" i="1"/>
  <c r="EC54" i="1"/>
  <c r="EB54" i="1"/>
  <c r="EA54" i="1"/>
  <c r="DR54" i="1"/>
  <c r="DI54" i="1"/>
  <c r="CW54" i="1"/>
  <c r="CV54" i="1"/>
  <c r="CU54" i="1"/>
  <c r="CL54" i="1"/>
  <c r="CC54" i="1"/>
  <c r="BQ54" i="1"/>
  <c r="BP54" i="1"/>
  <c r="BO54" i="1"/>
  <c r="BF54" i="1"/>
  <c r="AW54" i="1"/>
  <c r="AK54" i="1"/>
  <c r="AJ54" i="1"/>
  <c r="AI54" i="1"/>
  <c r="Z54" i="1"/>
  <c r="Q54" i="1"/>
  <c r="EC53" i="1"/>
  <c r="EB53" i="1"/>
  <c r="EA53" i="1"/>
  <c r="DR53" i="1"/>
  <c r="DI53" i="1"/>
  <c r="CW53" i="1"/>
  <c r="CV53" i="1"/>
  <c r="CU53" i="1"/>
  <c r="CL53" i="1"/>
  <c r="CC53" i="1"/>
  <c r="BQ53" i="1"/>
  <c r="BP53" i="1"/>
  <c r="BO53" i="1"/>
  <c r="BF53" i="1"/>
  <c r="AW53" i="1"/>
  <c r="AK53" i="1"/>
  <c r="AJ53" i="1"/>
  <c r="AI53" i="1"/>
  <c r="Z53" i="1"/>
  <c r="Q53" i="1"/>
  <c r="EC52" i="1"/>
  <c r="EB52" i="1"/>
  <c r="EA52" i="1"/>
  <c r="DR52" i="1"/>
  <c r="DI52" i="1"/>
  <c r="CW52" i="1"/>
  <c r="CV52" i="1"/>
  <c r="CU52" i="1"/>
  <c r="CL52" i="1"/>
  <c r="CC52" i="1"/>
  <c r="BQ52" i="1"/>
  <c r="BP52" i="1"/>
  <c r="BO52" i="1"/>
  <c r="BF52" i="1"/>
  <c r="AW52" i="1"/>
  <c r="AK52" i="1"/>
  <c r="AJ52" i="1"/>
  <c r="AI52" i="1"/>
  <c r="Z52" i="1"/>
  <c r="Q52" i="1"/>
  <c r="EC51" i="1"/>
  <c r="EB51" i="1"/>
  <c r="EA51" i="1"/>
  <c r="DR51" i="1"/>
  <c r="DI51" i="1"/>
  <c r="CW51" i="1"/>
  <c r="CV51" i="1"/>
  <c r="CU51" i="1"/>
  <c r="CL51" i="1"/>
  <c r="CC51" i="1"/>
  <c r="BQ51" i="1"/>
  <c r="BP51" i="1"/>
  <c r="BO51" i="1"/>
  <c r="BF51" i="1"/>
  <c r="AW51" i="1"/>
  <c r="AK51" i="1"/>
  <c r="AJ51" i="1"/>
  <c r="AI51" i="1"/>
  <c r="Z51" i="1"/>
  <c r="Q51" i="1"/>
  <c r="EC50" i="1"/>
  <c r="ED50" i="1" s="1"/>
  <c r="EB50" i="1"/>
  <c r="EA50" i="1"/>
  <c r="DR50" i="1"/>
  <c r="DI50" i="1"/>
  <c r="CW50" i="1"/>
  <c r="CV50" i="1"/>
  <c r="CU50" i="1"/>
  <c r="CL50" i="1"/>
  <c r="CC50" i="1"/>
  <c r="BQ50" i="1"/>
  <c r="BP50" i="1"/>
  <c r="BO50" i="1"/>
  <c r="BF50" i="1"/>
  <c r="AW50" i="1"/>
  <c r="AK50" i="1"/>
  <c r="AJ50" i="1"/>
  <c r="AI50" i="1"/>
  <c r="Z50" i="1"/>
  <c r="Q50" i="1"/>
  <c r="EC49" i="1"/>
  <c r="EB49" i="1"/>
  <c r="EA49" i="1"/>
  <c r="DR49" i="1"/>
  <c r="DI49" i="1"/>
  <c r="CW49" i="1"/>
  <c r="CV49" i="1"/>
  <c r="CU49" i="1"/>
  <c r="CL49" i="1"/>
  <c r="CC49" i="1"/>
  <c r="BQ49" i="1"/>
  <c r="BP49" i="1"/>
  <c r="BO49" i="1"/>
  <c r="BF49" i="1"/>
  <c r="AW49" i="1"/>
  <c r="AK49" i="1"/>
  <c r="AJ49" i="1"/>
  <c r="AI49" i="1"/>
  <c r="Z49" i="1"/>
  <c r="Q49" i="1"/>
  <c r="EC48" i="1"/>
  <c r="EB48" i="1"/>
  <c r="EA48" i="1"/>
  <c r="DR48" i="1"/>
  <c r="DI48" i="1"/>
  <c r="CW48" i="1"/>
  <c r="CV48" i="1"/>
  <c r="CU48" i="1"/>
  <c r="CL48" i="1"/>
  <c r="CC48" i="1"/>
  <c r="BQ48" i="1"/>
  <c r="BP48" i="1"/>
  <c r="BO48" i="1"/>
  <c r="BF48" i="1"/>
  <c r="AW48" i="1"/>
  <c r="AK48" i="1"/>
  <c r="AJ48" i="1"/>
  <c r="AI48" i="1"/>
  <c r="Z48" i="1"/>
  <c r="Q48" i="1"/>
  <c r="EC47" i="1"/>
  <c r="ED47" i="1" s="1"/>
  <c r="EB47" i="1"/>
  <c r="EA47" i="1"/>
  <c r="DR47" i="1"/>
  <c r="DI47" i="1"/>
  <c r="CW47" i="1"/>
  <c r="CV47" i="1"/>
  <c r="CU47" i="1"/>
  <c r="CL47" i="1"/>
  <c r="CC47" i="1"/>
  <c r="BQ47" i="1"/>
  <c r="BP47" i="1"/>
  <c r="BO47" i="1"/>
  <c r="BF47" i="1"/>
  <c r="AW47" i="1"/>
  <c r="AK47" i="1"/>
  <c r="AJ47" i="1"/>
  <c r="AI47" i="1"/>
  <c r="Z47" i="1"/>
  <c r="Q47" i="1"/>
  <c r="EC46" i="1"/>
  <c r="ED46" i="1" s="1"/>
  <c r="EB46" i="1"/>
  <c r="EA46" i="1"/>
  <c r="DR46" i="1"/>
  <c r="DI46" i="1"/>
  <c r="CW46" i="1"/>
  <c r="CV46" i="1"/>
  <c r="CU46" i="1"/>
  <c r="CL46" i="1"/>
  <c r="CC46" i="1"/>
  <c r="BQ46" i="1"/>
  <c r="BP46" i="1"/>
  <c r="BO46" i="1"/>
  <c r="BF46" i="1"/>
  <c r="AW46" i="1"/>
  <c r="AK46" i="1"/>
  <c r="AJ46" i="1"/>
  <c r="AI46" i="1"/>
  <c r="Z46" i="1"/>
  <c r="Q46" i="1"/>
  <c r="EC45" i="1"/>
  <c r="EB45" i="1"/>
  <c r="EA45" i="1"/>
  <c r="DR45" i="1"/>
  <c r="DI45" i="1"/>
  <c r="CW45" i="1"/>
  <c r="CV45" i="1"/>
  <c r="CU45" i="1"/>
  <c r="CL45" i="1"/>
  <c r="CC45" i="1"/>
  <c r="BQ45" i="1"/>
  <c r="BP45" i="1"/>
  <c r="BO45" i="1"/>
  <c r="BF45" i="1"/>
  <c r="AW45" i="1"/>
  <c r="AK45" i="1"/>
  <c r="AJ45" i="1"/>
  <c r="AI45" i="1"/>
  <c r="Z45" i="1"/>
  <c r="Q45" i="1"/>
  <c r="EC44" i="1"/>
  <c r="EB44" i="1"/>
  <c r="EA44" i="1"/>
  <c r="DR44" i="1"/>
  <c r="DI44" i="1"/>
  <c r="CW44" i="1"/>
  <c r="CV44" i="1"/>
  <c r="CU44" i="1"/>
  <c r="CL44" i="1"/>
  <c r="CC44" i="1"/>
  <c r="BQ44" i="1"/>
  <c r="BP44" i="1"/>
  <c r="BO44" i="1"/>
  <c r="BF44" i="1"/>
  <c r="AW44" i="1"/>
  <c r="AK44" i="1"/>
  <c r="AJ44" i="1"/>
  <c r="AI44" i="1"/>
  <c r="Z44" i="1"/>
  <c r="Q44" i="1"/>
  <c r="EC43" i="1"/>
  <c r="EB43" i="1"/>
  <c r="EA43" i="1"/>
  <c r="DR43" i="1"/>
  <c r="DI43" i="1"/>
  <c r="CW43" i="1"/>
  <c r="CV43" i="1"/>
  <c r="CU43" i="1"/>
  <c r="CL43" i="1"/>
  <c r="CC43" i="1"/>
  <c r="BQ43" i="1"/>
  <c r="BP43" i="1"/>
  <c r="BO43" i="1"/>
  <c r="BF43" i="1"/>
  <c r="AW43" i="1"/>
  <c r="AK43" i="1"/>
  <c r="AJ43" i="1"/>
  <c r="AI43" i="1"/>
  <c r="Z43" i="1"/>
  <c r="Q43" i="1"/>
  <c r="EC42" i="1"/>
  <c r="ED42" i="1" s="1"/>
  <c r="EB42" i="1"/>
  <c r="EA42" i="1"/>
  <c r="DR42" i="1"/>
  <c r="DI42" i="1"/>
  <c r="CW42" i="1"/>
  <c r="CV42" i="1"/>
  <c r="CU42" i="1"/>
  <c r="CL42" i="1"/>
  <c r="CC42" i="1"/>
  <c r="BQ42" i="1"/>
  <c r="BP42" i="1"/>
  <c r="BO42" i="1"/>
  <c r="BF42" i="1"/>
  <c r="AW42" i="1"/>
  <c r="AK42" i="1"/>
  <c r="AJ42" i="1"/>
  <c r="AI42" i="1"/>
  <c r="Z42" i="1"/>
  <c r="Q42" i="1"/>
  <c r="EC41" i="1"/>
  <c r="EB41" i="1"/>
  <c r="EA41" i="1"/>
  <c r="DR41" i="1"/>
  <c r="DI41" i="1"/>
  <c r="CW41" i="1"/>
  <c r="CV41" i="1"/>
  <c r="CU41" i="1"/>
  <c r="CL41" i="1"/>
  <c r="CC41" i="1"/>
  <c r="BQ41" i="1"/>
  <c r="BP41" i="1"/>
  <c r="BO41" i="1"/>
  <c r="BF41" i="1"/>
  <c r="AW41" i="1"/>
  <c r="AK41" i="1"/>
  <c r="AJ41" i="1"/>
  <c r="AI41" i="1"/>
  <c r="Z41" i="1"/>
  <c r="Q41" i="1"/>
  <c r="EC40" i="1"/>
  <c r="EB40" i="1"/>
  <c r="EA40" i="1"/>
  <c r="DR40" i="1"/>
  <c r="DI40" i="1"/>
  <c r="CW40" i="1"/>
  <c r="CV40" i="1"/>
  <c r="CU40" i="1"/>
  <c r="CL40" i="1"/>
  <c r="CC40" i="1"/>
  <c r="BQ40" i="1"/>
  <c r="BP40" i="1"/>
  <c r="BO40" i="1"/>
  <c r="BF40" i="1"/>
  <c r="AW40" i="1"/>
  <c r="AK40" i="1"/>
  <c r="AJ40" i="1"/>
  <c r="AI40" i="1"/>
  <c r="Z40" i="1"/>
  <c r="Q40" i="1"/>
  <c r="EC39" i="1"/>
  <c r="EB39" i="1"/>
  <c r="EA39" i="1"/>
  <c r="DR39" i="1"/>
  <c r="DI39" i="1"/>
  <c r="CW39" i="1"/>
  <c r="CV39" i="1"/>
  <c r="CU39" i="1"/>
  <c r="CL39" i="1"/>
  <c r="CC39" i="1"/>
  <c r="BQ39" i="1"/>
  <c r="BP39" i="1"/>
  <c r="BO39" i="1"/>
  <c r="BF39" i="1"/>
  <c r="AW39" i="1"/>
  <c r="AK39" i="1"/>
  <c r="AJ39" i="1"/>
  <c r="AI39" i="1"/>
  <c r="Z39" i="1"/>
  <c r="Q39" i="1"/>
  <c r="EC38" i="1"/>
  <c r="ED38" i="1" s="1"/>
  <c r="EB38" i="1"/>
  <c r="EA38" i="1"/>
  <c r="DR38" i="1"/>
  <c r="DI38" i="1"/>
  <c r="CW38" i="1"/>
  <c r="CV38" i="1"/>
  <c r="CU38" i="1"/>
  <c r="CL38" i="1"/>
  <c r="CC38" i="1"/>
  <c r="BQ38" i="1"/>
  <c r="BP38" i="1"/>
  <c r="BO38" i="1"/>
  <c r="BF38" i="1"/>
  <c r="AW38" i="1"/>
  <c r="AK38" i="1"/>
  <c r="AJ38" i="1"/>
  <c r="AI38" i="1"/>
  <c r="Z38" i="1"/>
  <c r="Q38" i="1"/>
  <c r="EC37" i="1"/>
  <c r="EB37" i="1"/>
  <c r="EA37" i="1"/>
  <c r="DR37" i="1"/>
  <c r="DI37" i="1"/>
  <c r="CW37" i="1"/>
  <c r="CV37" i="1"/>
  <c r="CU37" i="1"/>
  <c r="CL37" i="1"/>
  <c r="CC37" i="1"/>
  <c r="BQ37" i="1"/>
  <c r="BP37" i="1"/>
  <c r="BO37" i="1"/>
  <c r="BF37" i="1"/>
  <c r="AW37" i="1"/>
  <c r="AK37" i="1"/>
  <c r="AJ37" i="1"/>
  <c r="AI37" i="1"/>
  <c r="Z37" i="1"/>
  <c r="Q37" i="1"/>
  <c r="EC36" i="1"/>
  <c r="ED36" i="1" s="1"/>
  <c r="EB36" i="1"/>
  <c r="EA36" i="1"/>
  <c r="DR36" i="1"/>
  <c r="DI36" i="1"/>
  <c r="CW36" i="1"/>
  <c r="CV36" i="1"/>
  <c r="CU36" i="1"/>
  <c r="CL36" i="1"/>
  <c r="CC36" i="1"/>
  <c r="BQ36" i="1"/>
  <c r="BP36" i="1"/>
  <c r="BO36" i="1"/>
  <c r="BF36" i="1"/>
  <c r="AW36" i="1"/>
  <c r="AK36" i="1"/>
  <c r="AJ36" i="1"/>
  <c r="AI36" i="1"/>
  <c r="Z36" i="1"/>
  <c r="Q36" i="1"/>
  <c r="EC35" i="1"/>
  <c r="ED35" i="1" s="1"/>
  <c r="EB35" i="1"/>
  <c r="EA35" i="1"/>
  <c r="DR35" i="1"/>
  <c r="DI35" i="1"/>
  <c r="CW35" i="1"/>
  <c r="CV35" i="1"/>
  <c r="CU35" i="1"/>
  <c r="CL35" i="1"/>
  <c r="CC35" i="1"/>
  <c r="BQ35" i="1"/>
  <c r="BP35" i="1"/>
  <c r="BO35" i="1"/>
  <c r="BF35" i="1"/>
  <c r="AW35" i="1"/>
  <c r="AK35" i="1"/>
  <c r="AJ35" i="1"/>
  <c r="AI35" i="1"/>
  <c r="Z35" i="1"/>
  <c r="Q35" i="1"/>
  <c r="ED34" i="1"/>
  <c r="EC34" i="1"/>
  <c r="EB34" i="1"/>
  <c r="EA34" i="1"/>
  <c r="DR34" i="1"/>
  <c r="DI34" i="1"/>
  <c r="CW34" i="1"/>
  <c r="CV34" i="1"/>
  <c r="CU34" i="1"/>
  <c r="CL34" i="1"/>
  <c r="CC34" i="1"/>
  <c r="BQ34" i="1"/>
  <c r="BP34" i="1"/>
  <c r="BO34" i="1"/>
  <c r="BF34" i="1"/>
  <c r="AW34" i="1"/>
  <c r="AK34" i="1"/>
  <c r="AJ34" i="1"/>
  <c r="AI34" i="1"/>
  <c r="Z34" i="1"/>
  <c r="Q34" i="1"/>
  <c r="EC33" i="1"/>
  <c r="EB33" i="1"/>
  <c r="EA33" i="1"/>
  <c r="DR33" i="1"/>
  <c r="DI33" i="1"/>
  <c r="CW33" i="1"/>
  <c r="CV33" i="1"/>
  <c r="CU33" i="1"/>
  <c r="CL33" i="1"/>
  <c r="CC33" i="1"/>
  <c r="BQ33" i="1"/>
  <c r="BP33" i="1"/>
  <c r="BO33" i="1"/>
  <c r="BF33" i="1"/>
  <c r="AW33" i="1"/>
  <c r="AK33" i="1"/>
  <c r="AJ33" i="1"/>
  <c r="AI33" i="1"/>
  <c r="Z33" i="1"/>
  <c r="Q33" i="1"/>
  <c r="EC32" i="1"/>
  <c r="EB32" i="1"/>
  <c r="EA32" i="1"/>
  <c r="DR32" i="1"/>
  <c r="DI32" i="1"/>
  <c r="CW32" i="1"/>
  <c r="CV32" i="1"/>
  <c r="CU32" i="1"/>
  <c r="CL32" i="1"/>
  <c r="CC32" i="1"/>
  <c r="BQ32" i="1"/>
  <c r="BP32" i="1"/>
  <c r="BO32" i="1"/>
  <c r="BF32" i="1"/>
  <c r="AW32" i="1"/>
  <c r="AK32" i="1"/>
  <c r="AJ32" i="1"/>
  <c r="AI32" i="1"/>
  <c r="Z32" i="1"/>
  <c r="Q32" i="1"/>
  <c r="EC31" i="1"/>
  <c r="EB31" i="1"/>
  <c r="EA31" i="1"/>
  <c r="DR31" i="1"/>
  <c r="DI31" i="1"/>
  <c r="CW31" i="1"/>
  <c r="CV31" i="1"/>
  <c r="CU31" i="1"/>
  <c r="CL31" i="1"/>
  <c r="CC31" i="1"/>
  <c r="BQ31" i="1"/>
  <c r="BP31" i="1"/>
  <c r="BO31" i="1"/>
  <c r="BF31" i="1"/>
  <c r="AW31" i="1"/>
  <c r="AK31" i="1"/>
  <c r="AJ31" i="1"/>
  <c r="AI31" i="1"/>
  <c r="Z31" i="1"/>
  <c r="DS26" i="1"/>
  <c r="DJ26" i="1"/>
  <c r="DA26" i="1"/>
  <c r="CM26" i="1"/>
  <c r="CD26" i="1"/>
  <c r="BU26" i="1"/>
  <c r="BG26" i="1"/>
  <c r="AX26" i="1"/>
  <c r="AO26" i="1"/>
  <c r="U8" i="1"/>
  <c r="U7" i="1"/>
  <c r="T7" i="1"/>
  <c r="S7" i="1"/>
  <c r="R7" i="1"/>
  <c r="Q7" i="1"/>
  <c r="P7" i="1"/>
  <c r="O7" i="1"/>
  <c r="N7" i="1"/>
  <c r="M7" i="1"/>
  <c r="U6" i="1"/>
  <c r="T6" i="1"/>
  <c r="S6" i="1"/>
  <c r="R6" i="1"/>
  <c r="Q6" i="1"/>
  <c r="P6" i="1"/>
  <c r="O6" i="1"/>
  <c r="N6" i="1"/>
  <c r="M6" i="1"/>
  <c r="U5" i="1"/>
  <c r="S5" i="1"/>
  <c r="R5" i="1"/>
  <c r="V4" i="1"/>
  <c r="V3" i="1"/>
  <c r="K10" i="1" l="1"/>
  <c r="DD21" i="1"/>
  <c r="AL87" i="1"/>
  <c r="AW73" i="1"/>
  <c r="ED153" i="1"/>
  <c r="ED161" i="1"/>
  <c r="BR170" i="1"/>
  <c r="BR202" i="1"/>
  <c r="BR204" i="1"/>
  <c r="BR206" i="1"/>
  <c r="BR207" i="1"/>
  <c r="BR211" i="1"/>
  <c r="BR250" i="1"/>
  <c r="BR252" i="1"/>
  <c r="BR253" i="1"/>
  <c r="BR256" i="1"/>
  <c r="BR257" i="1"/>
  <c r="BR260" i="1"/>
  <c r="BR262" i="1"/>
  <c r="BR266" i="1"/>
  <c r="BR269" i="1"/>
  <c r="M5" i="1"/>
  <c r="M8" i="1"/>
  <c r="CX214" i="1"/>
  <c r="CX215" i="1"/>
  <c r="CX218" i="1"/>
  <c r="CX232" i="1"/>
  <c r="CX238" i="1"/>
  <c r="CX243" i="1"/>
  <c r="N10" i="1"/>
  <c r="N12" i="1" s="1"/>
  <c r="O10" i="1"/>
  <c r="O12" i="1" s="1"/>
  <c r="ED83" i="1"/>
  <c r="BR92" i="1"/>
  <c r="BR94" i="1"/>
  <c r="ED95" i="1"/>
  <c r="BR116" i="1"/>
  <c r="BR132" i="1"/>
  <c r="ED137" i="1"/>
  <c r="BR140" i="1"/>
  <c r="ED143" i="1"/>
  <c r="BR144" i="1"/>
  <c r="AL173" i="1"/>
  <c r="CX173" i="1"/>
  <c r="AL175" i="1"/>
  <c r="CX177" i="1"/>
  <c r="AL179" i="1"/>
  <c r="AL181" i="1"/>
  <c r="CX181" i="1"/>
  <c r="AL183" i="1"/>
  <c r="AL185" i="1"/>
  <c r="BR223" i="1"/>
  <c r="BR233" i="1"/>
  <c r="BR239" i="1"/>
  <c r="BR249" i="1"/>
  <c r="Q10" i="1"/>
  <c r="Q12" i="1" s="1"/>
  <c r="AL82" i="1"/>
  <c r="ED171" i="1"/>
  <c r="BR172" i="1"/>
  <c r="CX255" i="1"/>
  <c r="CX256" i="1"/>
  <c r="CX257" i="1"/>
  <c r="CX269" i="1"/>
  <c r="S10" i="1"/>
  <c r="S12" i="1" s="1"/>
  <c r="T10" i="1"/>
  <c r="T12" i="1" s="1"/>
  <c r="CX137" i="1"/>
  <c r="CX143" i="1"/>
  <c r="ED188" i="1"/>
  <c r="ED33" i="1"/>
  <c r="BF73" i="1"/>
  <c r="BO73" i="1"/>
  <c r="CX79" i="1"/>
  <c r="BR84" i="1"/>
  <c r="BR86" i="1"/>
  <c r="CX87" i="1"/>
  <c r="ED87" i="1"/>
  <c r="CX91" i="1"/>
  <c r="BR104" i="1"/>
  <c r="CX123" i="1"/>
  <c r="CX145" i="1"/>
  <c r="BR153" i="1"/>
  <c r="ED154" i="1"/>
  <c r="ED160" i="1"/>
  <c r="BR161" i="1"/>
  <c r="ED162" i="1"/>
  <c r="BR179" i="1"/>
  <c r="ED186" i="1"/>
  <c r="BR187" i="1"/>
  <c r="CL190" i="1"/>
  <c r="CU190" i="1"/>
  <c r="CX200" i="1"/>
  <c r="CX204" i="1"/>
  <c r="CX208" i="1"/>
  <c r="CX210" i="1"/>
  <c r="BR212" i="1"/>
  <c r="BR217" i="1"/>
  <c r="BR220" i="1"/>
  <c r="CX225" i="1"/>
  <c r="BR240" i="1"/>
  <c r="BR241" i="1"/>
  <c r="BR243" i="1"/>
  <c r="BR245" i="1"/>
  <c r="BR248" i="1"/>
  <c r="BR270" i="1"/>
  <c r="BR271" i="1"/>
  <c r="BR272" i="1"/>
  <c r="BR275" i="1"/>
  <c r="BR278" i="1"/>
  <c r="BR301" i="1"/>
  <c r="BR302" i="1"/>
  <c r="BR303" i="1"/>
  <c r="BR316" i="1"/>
  <c r="AL323" i="1"/>
  <c r="BR340" i="1"/>
  <c r="ED57" i="1"/>
  <c r="ED61" i="1"/>
  <c r="ED62" i="1"/>
  <c r="ED65" i="1"/>
  <c r="CX83" i="1"/>
  <c r="AL134" i="1"/>
  <c r="AL136" i="1"/>
  <c r="AL138" i="1"/>
  <c r="BR156" i="1"/>
  <c r="BR160" i="1"/>
  <c r="Q190" i="1"/>
  <c r="Z190" i="1"/>
  <c r="M9" i="1"/>
  <c r="M11" i="1" s="1"/>
  <c r="AL67" i="1"/>
  <c r="AL68" i="1"/>
  <c r="AL71" i="1"/>
  <c r="ED118" i="1"/>
  <c r="ED146" i="1"/>
  <c r="AL154" i="1"/>
  <c r="AL162" i="1"/>
  <c r="BR201" i="1"/>
  <c r="ED229" i="1"/>
  <c r="ED230" i="1"/>
  <c r="ED231" i="1"/>
  <c r="ED233" i="1"/>
  <c r="ED234" i="1"/>
  <c r="ED235" i="1"/>
  <c r="ED261" i="1"/>
  <c r="ED262" i="1"/>
  <c r="CX299" i="1"/>
  <c r="N8" i="1"/>
  <c r="ED51" i="1"/>
  <c r="ED52" i="1"/>
  <c r="ED54" i="1"/>
  <c r="ED58" i="1"/>
  <c r="ED63" i="1"/>
  <c r="CC73" i="1"/>
  <c r="BR80" i="1"/>
  <c r="BR88" i="1"/>
  <c r="CX101" i="1"/>
  <c r="CX103" i="1"/>
  <c r="CX111" i="1"/>
  <c r="ED131" i="1"/>
  <c r="CX133" i="1"/>
  <c r="CX135" i="1"/>
  <c r="BR164" i="1"/>
  <c r="BR228" i="1"/>
  <c r="L9" i="1"/>
  <c r="DD15" i="1" s="1"/>
  <c r="O8" i="1"/>
  <c r="S8" i="1"/>
  <c r="AL62" i="1"/>
  <c r="ED99" i="1"/>
  <c r="BR100" i="1"/>
  <c r="BR112" i="1"/>
  <c r="ED115" i="1"/>
  <c r="CX117" i="1"/>
  <c r="CX119" i="1"/>
  <c r="AL123" i="1"/>
  <c r="ED124" i="1"/>
  <c r="BR125" i="1"/>
  <c r="BR276" i="1"/>
  <c r="S9" i="1"/>
  <c r="S11" i="1" s="1"/>
  <c r="BR40" i="1"/>
  <c r="BR41" i="1"/>
  <c r="BR44" i="1"/>
  <c r="BR45" i="1"/>
  <c r="ED67" i="1"/>
  <c r="ED68" i="1"/>
  <c r="ED70" i="1"/>
  <c r="P8" i="1"/>
  <c r="T8" i="1"/>
  <c r="ED41" i="1"/>
  <c r="ED45" i="1"/>
  <c r="ED49" i="1"/>
  <c r="BR60" i="1"/>
  <c r="BR61" i="1"/>
  <c r="BR67" i="1"/>
  <c r="BR70" i="1"/>
  <c r="ED80" i="1"/>
  <c r="BR82" i="1"/>
  <c r="BR87" i="1"/>
  <c r="ED88" i="1"/>
  <c r="BR89" i="1"/>
  <c r="ED90" i="1"/>
  <c r="CX104" i="1"/>
  <c r="CX108" i="1"/>
  <c r="AL118" i="1"/>
  <c r="BR118" i="1"/>
  <c r="ED121" i="1"/>
  <c r="BR122" i="1"/>
  <c r="CX125" i="1"/>
  <c r="BR127" i="1"/>
  <c r="CX127" i="1"/>
  <c r="BR129" i="1"/>
  <c r="ED130" i="1"/>
  <c r="ED134" i="1"/>
  <c r="CX136" i="1"/>
  <c r="ED138" i="1"/>
  <c r="ED145" i="1"/>
  <c r="AL146" i="1"/>
  <c r="BR148" i="1"/>
  <c r="ED151" i="1"/>
  <c r="CX153" i="1"/>
  <c r="ED156" i="1"/>
  <c r="BR157" i="1"/>
  <c r="ED158" i="1"/>
  <c r="AL164" i="1"/>
  <c r="CX166" i="1"/>
  <c r="CX168" i="1"/>
  <c r="AL170" i="1"/>
  <c r="ED173" i="1"/>
  <c r="BR174" i="1"/>
  <c r="ED175" i="1"/>
  <c r="ED179" i="1"/>
  <c r="BR184" i="1"/>
  <c r="CX219" i="1"/>
  <c r="BR221" i="1"/>
  <c r="BR224" i="1"/>
  <c r="BR226" i="1"/>
  <c r="BR227" i="1"/>
  <c r="ED241" i="1"/>
  <c r="ED242" i="1"/>
  <c r="ED245" i="1"/>
  <c r="ED246" i="1"/>
  <c r="ED247" i="1"/>
  <c r="BR273" i="1"/>
  <c r="AL317" i="1"/>
  <c r="BR353" i="1"/>
  <c r="ED360" i="1"/>
  <c r="BR134" i="1"/>
  <c r="BR136" i="1"/>
  <c r="ED148" i="1"/>
  <c r="BR149" i="1"/>
  <c r="ED150" i="1"/>
  <c r="ED159" i="1"/>
  <c r="CX161" i="1"/>
  <c r="ED164" i="1"/>
  <c r="BR165" i="1"/>
  <c r="BR167" i="1"/>
  <c r="ED168" i="1"/>
  <c r="BR169" i="1"/>
  <c r="AL171" i="1"/>
  <c r="BR171" i="1"/>
  <c r="CX172" i="1"/>
  <c r="AL174" i="1"/>
  <c r="CX174" i="1"/>
  <c r="AL176" i="1"/>
  <c r="CX176" i="1"/>
  <c r="CX188" i="1"/>
  <c r="BR197" i="1"/>
  <c r="BR200" i="1"/>
  <c r="BR205" i="1"/>
  <c r="BR209" i="1"/>
  <c r="CX227" i="1"/>
  <c r="BR229" i="1"/>
  <c r="BR232" i="1"/>
  <c r="BR234" i="1"/>
  <c r="CX235" i="1"/>
  <c r="BR236" i="1"/>
  <c r="BR237" i="1"/>
  <c r="BR244" i="1"/>
  <c r="ED249" i="1"/>
  <c r="ED251" i="1"/>
  <c r="ED257" i="1"/>
  <c r="ED258" i="1"/>
  <c r="AL259" i="1"/>
  <c r="ED259" i="1"/>
  <c r="AL260" i="1"/>
  <c r="CX270" i="1"/>
  <c r="CX271" i="1"/>
  <c r="BR277" i="1"/>
  <c r="BR280" i="1"/>
  <c r="BR283" i="1"/>
  <c r="CX283" i="1"/>
  <c r="BR288" i="1"/>
  <c r="BR289" i="1"/>
  <c r="BR290" i="1"/>
  <c r="BR291" i="1"/>
  <c r="BR292" i="1"/>
  <c r="CX292" i="1"/>
  <c r="BR293" i="1"/>
  <c r="CX293" i="1"/>
  <c r="BR294" i="1"/>
  <c r="CX294" i="1"/>
  <c r="CX295" i="1"/>
  <c r="BR304" i="1"/>
  <c r="BR305" i="1"/>
  <c r="BR306" i="1"/>
  <c r="BR307" i="1"/>
  <c r="BR308" i="1"/>
  <c r="CX308" i="1"/>
  <c r="BR309" i="1"/>
  <c r="BR310" i="1"/>
  <c r="CX310" i="1"/>
  <c r="BR311" i="1"/>
  <c r="CX311" i="1"/>
  <c r="CX312" i="1"/>
  <c r="CX313" i="1"/>
  <c r="CX314" i="1"/>
  <c r="CX315" i="1"/>
  <c r="CX317" i="1"/>
  <c r="AL320" i="1"/>
  <c r="CX337" i="1"/>
  <c r="CX338" i="1"/>
  <c r="CX339" i="1"/>
  <c r="BR342" i="1"/>
  <c r="BR344" i="1"/>
  <c r="AI346" i="1"/>
  <c r="BR357" i="1"/>
  <c r="ED359" i="1"/>
  <c r="BR215" i="1"/>
  <c r="BR216" i="1"/>
  <c r="BR219" i="1"/>
  <c r="CX241" i="1"/>
  <c r="BR255" i="1"/>
  <c r="BR264" i="1"/>
  <c r="BR265" i="1"/>
  <c r="BR268" i="1"/>
  <c r="ED303" i="1"/>
  <c r="ED343" i="1"/>
  <c r="ED354" i="1"/>
  <c r="BR356" i="1"/>
  <c r="CX360" i="1"/>
  <c r="U9" i="1"/>
  <c r="U11" i="1" s="1"/>
  <c r="BR33" i="1"/>
  <c r="ED39" i="1"/>
  <c r="ED40" i="1"/>
  <c r="BR48" i="1"/>
  <c r="BR49" i="1"/>
  <c r="ED71" i="1"/>
  <c r="CX81" i="1"/>
  <c r="ED82" i="1"/>
  <c r="BR83" i="1"/>
  <c r="CX84" i="1"/>
  <c r="AL86" i="1"/>
  <c r="ED91" i="1"/>
  <c r="ED94" i="1"/>
  <c r="BR97" i="1"/>
  <c r="BR102" i="1"/>
  <c r="AL107" i="1"/>
  <c r="CX107" i="1"/>
  <c r="ED112" i="1"/>
  <c r="BR113" i="1"/>
  <c r="ED114" i="1"/>
  <c r="CX120" i="1"/>
  <c r="ED123" i="1"/>
  <c r="BR124" i="1"/>
  <c r="CX138" i="1"/>
  <c r="ED139" i="1"/>
  <c r="CX141" i="1"/>
  <c r="BR143" i="1"/>
  <c r="CX146" i="1"/>
  <c r="ED147" i="1"/>
  <c r="CX149" i="1"/>
  <c r="BR151" i="1"/>
  <c r="CX184" i="1"/>
  <c r="BR317" i="1"/>
  <c r="DC23" i="1"/>
  <c r="R10" i="1"/>
  <c r="R12" i="1" s="1"/>
  <c r="BR354" i="1"/>
  <c r="J9" i="1"/>
  <c r="J11" i="1" s="1"/>
  <c r="BR32" i="1"/>
  <c r="ED55" i="1"/>
  <c r="BR36" i="1"/>
  <c r="BR37" i="1"/>
  <c r="ED43" i="1"/>
  <c r="ED44" i="1"/>
  <c r="BR52" i="1"/>
  <c r="BR53" i="1"/>
  <c r="ED59" i="1"/>
  <c r="ED60" i="1"/>
  <c r="BR71" i="1"/>
  <c r="AL83" i="1"/>
  <c r="ED84" i="1"/>
  <c r="BR85" i="1"/>
  <c r="CX89" i="1"/>
  <c r="AL91" i="1"/>
  <c r="CX92" i="1"/>
  <c r="CX95" i="1"/>
  <c r="CX97" i="1"/>
  <c r="CX100" i="1"/>
  <c r="ED102" i="1"/>
  <c r="ED105" i="1"/>
  <c r="BR106" i="1"/>
  <c r="ED107" i="1"/>
  <c r="BR108" i="1"/>
  <c r="BR119" i="1"/>
  <c r="CX124" i="1"/>
  <c r="ED127" i="1"/>
  <c r="AL128" i="1"/>
  <c r="BR128" i="1"/>
  <c r="AL130" i="1"/>
  <c r="BR135" i="1"/>
  <c r="AL142" i="1"/>
  <c r="ED144" i="1"/>
  <c r="BR145" i="1"/>
  <c r="AL150" i="1"/>
  <c r="BR177" i="1"/>
  <c r="CX353" i="1"/>
  <c r="ED56" i="1"/>
  <c r="EC73" i="1"/>
  <c r="ED32" i="1"/>
  <c r="ED37" i="1"/>
  <c r="ED48" i="1"/>
  <c r="ED53" i="1"/>
  <c r="BR59" i="1"/>
  <c r="AL64" i="1"/>
  <c r="ED64" i="1"/>
  <c r="ED69" i="1"/>
  <c r="AK190" i="1"/>
  <c r="ED79" i="1"/>
  <c r="AL94" i="1"/>
  <c r="AL114" i="1"/>
  <c r="BR120" i="1"/>
  <c r="BR138" i="1"/>
  <c r="CX139" i="1"/>
  <c r="CX147" i="1"/>
  <c r="CX155" i="1"/>
  <c r="P10" i="1"/>
  <c r="DH25" i="1" s="1"/>
  <c r="CX151" i="1"/>
  <c r="CX154" i="1"/>
  <c r="ED155" i="1"/>
  <c r="CX157" i="1"/>
  <c r="BR159" i="1"/>
  <c r="CX159" i="1"/>
  <c r="CX162" i="1"/>
  <c r="ED163" i="1"/>
  <c r="CX165" i="1"/>
  <c r="CX167" i="1"/>
  <c r="BR168" i="1"/>
  <c r="ED176" i="1"/>
  <c r="CX178" i="1"/>
  <c r="AL180" i="1"/>
  <c r="CX180" i="1"/>
  <c r="AL182" i="1"/>
  <c r="CX182" i="1"/>
  <c r="ED185" i="1"/>
  <c r="BR186" i="1"/>
  <c r="ED187" i="1"/>
  <c r="AL199" i="1"/>
  <c r="BR199" i="1"/>
  <c r="CX202" i="1"/>
  <c r="CX203" i="1"/>
  <c r="ED207" i="1"/>
  <c r="ED209" i="1"/>
  <c r="ED210" i="1"/>
  <c r="CX211" i="1"/>
  <c r="BR213" i="1"/>
  <c r="ED217" i="1"/>
  <c r="ED218" i="1"/>
  <c r="ED219" i="1"/>
  <c r="CX220" i="1"/>
  <c r="CX221" i="1"/>
  <c r="BR222" i="1"/>
  <c r="BR225" i="1"/>
  <c r="CX230" i="1"/>
  <c r="CX231" i="1"/>
  <c r="BR235" i="1"/>
  <c r="ED237" i="1"/>
  <c r="BR247" i="1"/>
  <c r="CX250" i="1"/>
  <c r="CX253" i="1"/>
  <c r="BR254" i="1"/>
  <c r="BR259" i="1"/>
  <c r="ED260" i="1"/>
  <c r="CX262" i="1"/>
  <c r="ED267" i="1"/>
  <c r="AL268" i="1"/>
  <c r="ED273" i="1"/>
  <c r="ED274" i="1"/>
  <c r="AL275" i="1"/>
  <c r="AL276" i="1"/>
  <c r="ED276" i="1"/>
  <c r="BR282" i="1"/>
  <c r="AL284" i="1"/>
  <c r="AL296" i="1"/>
  <c r="ED296" i="1"/>
  <c r="AL297" i="1"/>
  <c r="ED297" i="1"/>
  <c r="AL298" i="1"/>
  <c r="ED298" i="1"/>
  <c r="AL299" i="1"/>
  <c r="ED301" i="1"/>
  <c r="ED311" i="1"/>
  <c r="AL322" i="1"/>
  <c r="AL340" i="1"/>
  <c r="CX344" i="1"/>
  <c r="BR355" i="1"/>
  <c r="CX357" i="1"/>
  <c r="AL359" i="1"/>
  <c r="BR360" i="1"/>
  <c r="AL158" i="1"/>
  <c r="AL166" i="1"/>
  <c r="BR185" i="1"/>
  <c r="CC190" i="1"/>
  <c r="AL319" i="1"/>
  <c r="BR339" i="1"/>
  <c r="Z363" i="1"/>
  <c r="CX163" i="1"/>
  <c r="ED183" i="1"/>
  <c r="AL187" i="1"/>
  <c r="DR190" i="1"/>
  <c r="CX198" i="1"/>
  <c r="CX199" i="1"/>
  <c r="AL203" i="1"/>
  <c r="BR203" i="1"/>
  <c r="CX206" i="1"/>
  <c r="BR208" i="1"/>
  <c r="CX209" i="1"/>
  <c r="BR210" i="1"/>
  <c r="ED213" i="1"/>
  <c r="ED214" i="1"/>
  <c r="ED215" i="1"/>
  <c r="CX216" i="1"/>
  <c r="BR218" i="1"/>
  <c r="ED221" i="1"/>
  <c r="CX224" i="1"/>
  <c r="BR231" i="1"/>
  <c r="CX237" i="1"/>
  <c r="BR238" i="1"/>
  <c r="CX246" i="1"/>
  <c r="CX247" i="1"/>
  <c r="BR251" i="1"/>
  <c r="ED253" i="1"/>
  <c r="CX260" i="1"/>
  <c r="BR261" i="1"/>
  <c r="CX261" i="1"/>
  <c r="AL262" i="1"/>
  <c r="ED264" i="1"/>
  <c r="AL265" i="1"/>
  <c r="CX266" i="1"/>
  <c r="BR267" i="1"/>
  <c r="ED270" i="1"/>
  <c r="ED271" i="1"/>
  <c r="AL272" i="1"/>
  <c r="BR274" i="1"/>
  <c r="AL278" i="1"/>
  <c r="CX278" i="1"/>
  <c r="ED283" i="1"/>
  <c r="CX288" i="1"/>
  <c r="ED294" i="1"/>
  <c r="BR299" i="1"/>
  <c r="BR300" i="1"/>
  <c r="CX300" i="1"/>
  <c r="CX301" i="1"/>
  <c r="CX302" i="1"/>
  <c r="CX303" i="1"/>
  <c r="AL304" i="1"/>
  <c r="BR313" i="1"/>
  <c r="BR314" i="1"/>
  <c r="BR315" i="1"/>
  <c r="AL316" i="1"/>
  <c r="ED316" i="1"/>
  <c r="AL329" i="1"/>
  <c r="AL333" i="1"/>
  <c r="ED337" i="1"/>
  <c r="BR343" i="1"/>
  <c r="AW346" i="1"/>
  <c r="CC346" i="1"/>
  <c r="CL346" i="1"/>
  <c r="DI346" i="1"/>
  <c r="DR346" i="1"/>
  <c r="EA346" i="1"/>
  <c r="DC21" i="1"/>
  <c r="V7" i="1"/>
  <c r="AK73" i="1"/>
  <c r="ED31" i="1"/>
  <c r="BR34" i="1"/>
  <c r="BR38" i="1"/>
  <c r="CX41" i="1"/>
  <c r="BR50" i="1"/>
  <c r="BR54" i="1"/>
  <c r="CX57" i="1"/>
  <c r="CL73" i="1"/>
  <c r="CU73" i="1"/>
  <c r="CX80" i="1"/>
  <c r="CX88" i="1"/>
  <c r="BR96" i="1"/>
  <c r="ED97" i="1"/>
  <c r="BR98" i="1"/>
  <c r="CX99" i="1"/>
  <c r="ED108" i="1"/>
  <c r="BR109" i="1"/>
  <c r="ED111" i="1"/>
  <c r="CX113" i="1"/>
  <c r="CX116" i="1"/>
  <c r="ED120" i="1"/>
  <c r="BR121" i="1"/>
  <c r="ED122" i="1"/>
  <c r="CX132" i="1"/>
  <c r="R9" i="1"/>
  <c r="R11" i="1" s="1"/>
  <c r="DD23" i="1"/>
  <c r="BP73" i="1"/>
  <c r="CX33" i="1"/>
  <c r="BR42" i="1"/>
  <c r="BR46" i="1"/>
  <c r="CX49" i="1"/>
  <c r="BR62" i="1"/>
  <c r="CX65" i="1"/>
  <c r="P5" i="1"/>
  <c r="P9" i="1" s="1"/>
  <c r="DH17" i="1" s="1"/>
  <c r="T9" i="1"/>
  <c r="T11" i="1" s="1"/>
  <c r="DD25" i="1"/>
  <c r="BQ73" i="1"/>
  <c r="CV73" i="1"/>
  <c r="CX34" i="1"/>
  <c r="BR35" i="1"/>
  <c r="CX38" i="1"/>
  <c r="BR39" i="1"/>
  <c r="CX42" i="1"/>
  <c r="BR43" i="1"/>
  <c r="CX46" i="1"/>
  <c r="BR47" i="1"/>
  <c r="CX50" i="1"/>
  <c r="BR51" i="1"/>
  <c r="CX54" i="1"/>
  <c r="BR55" i="1"/>
  <c r="BR56" i="1"/>
  <c r="CX58" i="1"/>
  <c r="CX62" i="1"/>
  <c r="BR63" i="1"/>
  <c r="BR64" i="1"/>
  <c r="AL65" i="1"/>
  <c r="CX66" i="1"/>
  <c r="BR68" i="1"/>
  <c r="AL69" i="1"/>
  <c r="CX70" i="1"/>
  <c r="CX85" i="1"/>
  <c r="ED86" i="1"/>
  <c r="CX93" i="1"/>
  <c r="AL95" i="1"/>
  <c r="BR95" i="1"/>
  <c r="CX96" i="1"/>
  <c r="AL106" i="1"/>
  <c r="CX109" i="1"/>
  <c r="BR111" i="1"/>
  <c r="ED113" i="1"/>
  <c r="BR114" i="1"/>
  <c r="CX115" i="1"/>
  <c r="ED129" i="1"/>
  <c r="BR130" i="1"/>
  <c r="CX131" i="1"/>
  <c r="V6" i="1"/>
  <c r="K9" i="1"/>
  <c r="DC17" i="1" s="1"/>
  <c r="Q9" i="1"/>
  <c r="Q11" i="1" s="1"/>
  <c r="EB73" i="1"/>
  <c r="BR57" i="1"/>
  <c r="BR65" i="1"/>
  <c r="AL66" i="1"/>
  <c r="BR69" i="1"/>
  <c r="AL70" i="1"/>
  <c r="M10" i="1"/>
  <c r="M12" i="1" s="1"/>
  <c r="AL79" i="1"/>
  <c r="AL97" i="1"/>
  <c r="AL102" i="1"/>
  <c r="AL122" i="1"/>
  <c r="DR73" i="1"/>
  <c r="EA73" i="1"/>
  <c r="AL90" i="1"/>
  <c r="BR90" i="1"/>
  <c r="BR91" i="1"/>
  <c r="ED92" i="1"/>
  <c r="ED100" i="1"/>
  <c r="BR101" i="1"/>
  <c r="ED103" i="1"/>
  <c r="CX105" i="1"/>
  <c r="AL110" i="1"/>
  <c r="BR110" i="1"/>
  <c r="CX112" i="1"/>
  <c r="ED116" i="1"/>
  <c r="BR117" i="1"/>
  <c r="ED119" i="1"/>
  <c r="CX121" i="1"/>
  <c r="AL126" i="1"/>
  <c r="BR126" i="1"/>
  <c r="CX128" i="1"/>
  <c r="ED128" i="1"/>
  <c r="ED132" i="1"/>
  <c r="BR133" i="1"/>
  <c r="ED135" i="1"/>
  <c r="ED136" i="1"/>
  <c r="BR180" i="1"/>
  <c r="ED181" i="1"/>
  <c r="BR182" i="1"/>
  <c r="ED184" i="1"/>
  <c r="CX186" i="1"/>
  <c r="AL188" i="1"/>
  <c r="EA190" i="1"/>
  <c r="BR198" i="1"/>
  <c r="ED206" i="1"/>
  <c r="CX207" i="1"/>
  <c r="ED211" i="1"/>
  <c r="CX212" i="1"/>
  <c r="BR214" i="1"/>
  <c r="ED222" i="1"/>
  <c r="CX223" i="1"/>
  <c r="ED227" i="1"/>
  <c r="CX228" i="1"/>
  <c r="BR230" i="1"/>
  <c r="ED238" i="1"/>
  <c r="CX239" i="1"/>
  <c r="ED243" i="1"/>
  <c r="CX244" i="1"/>
  <c r="BR246" i="1"/>
  <c r="ED254" i="1"/>
  <c r="BR263" i="1"/>
  <c r="ED268" i="1"/>
  <c r="ED275" i="1"/>
  <c r="ED299" i="1"/>
  <c r="AL326" i="1"/>
  <c r="CX129" i="1"/>
  <c r="ED166" i="1"/>
  <c r="CW346" i="1"/>
  <c r="CX236" i="1"/>
  <c r="ED239" i="1"/>
  <c r="CX240" i="1"/>
  <c r="BR242" i="1"/>
  <c r="ED250" i="1"/>
  <c r="CX251" i="1"/>
  <c r="CX252" i="1"/>
  <c r="ED255" i="1"/>
  <c r="BR258" i="1"/>
  <c r="CX265" i="1"/>
  <c r="CX279" i="1"/>
  <c r="BR281" i="1"/>
  <c r="ED307" i="1"/>
  <c r="AL167" i="1"/>
  <c r="ED170" i="1"/>
  <c r="BP346" i="1"/>
  <c r="CX248" i="1"/>
  <c r="AL264" i="1"/>
  <c r="AL270" i="1"/>
  <c r="AL271" i="1"/>
  <c r="EC363" i="1"/>
  <c r="CX354" i="1"/>
  <c r="ED288" i="1"/>
  <c r="ED290" i="1"/>
  <c r="BR295" i="1"/>
  <c r="ED304" i="1"/>
  <c r="ED305" i="1"/>
  <c r="BR312" i="1"/>
  <c r="ED334" i="1"/>
  <c r="ED340" i="1"/>
  <c r="ED353" i="1"/>
  <c r="CX355" i="1"/>
  <c r="CX356" i="1"/>
  <c r="ED357" i="1"/>
  <c r="BR359" i="1"/>
  <c r="BR137" i="1"/>
  <c r="CX140" i="1"/>
  <c r="BR142" i="1"/>
  <c r="CX144" i="1"/>
  <c r="BR146" i="1"/>
  <c r="CX148" i="1"/>
  <c r="BR150" i="1"/>
  <c r="CX152" i="1"/>
  <c r="ED152" i="1"/>
  <c r="BR154" i="1"/>
  <c r="CX156" i="1"/>
  <c r="BR158" i="1"/>
  <c r="CX160" i="1"/>
  <c r="BR162" i="1"/>
  <c r="CX164" i="1"/>
  <c r="ED167" i="1"/>
  <c r="AL169" i="1"/>
  <c r="CX169" i="1"/>
  <c r="CX171" i="1"/>
  <c r="ED172" i="1"/>
  <c r="BR173" i="1"/>
  <c r="ED174" i="1"/>
  <c r="BR175" i="1"/>
  <c r="ED177" i="1"/>
  <c r="BR178" i="1"/>
  <c r="CX179" i="1"/>
  <c r="ED180" i="1"/>
  <c r="BR181" i="1"/>
  <c r="ED182" i="1"/>
  <c r="BR183" i="1"/>
  <c r="CX185" i="1"/>
  <c r="CX187" i="1"/>
  <c r="BR189" i="1"/>
  <c r="AW190" i="1"/>
  <c r="BF190" i="1"/>
  <c r="BO190" i="1"/>
  <c r="DI190" i="1"/>
  <c r="CX197" i="1"/>
  <c r="ED200" i="1"/>
  <c r="CX201" i="1"/>
  <c r="ED204" i="1"/>
  <c r="CX205" i="1"/>
  <c r="ED208" i="1"/>
  <c r="ED212" i="1"/>
  <c r="CX213" i="1"/>
  <c r="ED216" i="1"/>
  <c r="CX217" i="1"/>
  <c r="ED220" i="1"/>
  <c r="CX222" i="1"/>
  <c r="ED224" i="1"/>
  <c r="CX226" i="1"/>
  <c r="ED228" i="1"/>
  <c r="CX229" i="1"/>
  <c r="ED232" i="1"/>
  <c r="CX233" i="1"/>
  <c r="CX234" i="1"/>
  <c r="ED236" i="1"/>
  <c r="ED240" i="1"/>
  <c r="CX242" i="1"/>
  <c r="ED244" i="1"/>
  <c r="CX245" i="1"/>
  <c r="ED248" i="1"/>
  <c r="CX249" i="1"/>
  <c r="ED252" i="1"/>
  <c r="CX254" i="1"/>
  <c r="ED256" i="1"/>
  <c r="CX258" i="1"/>
  <c r="CX263" i="1"/>
  <c r="ED265" i="1"/>
  <c r="AL266" i="1"/>
  <c r="CX267" i="1"/>
  <c r="AL269" i="1"/>
  <c r="ED272" i="1"/>
  <c r="AL273" i="1"/>
  <c r="ED278" i="1"/>
  <c r="AL279" i="1"/>
  <c r="ED279" i="1"/>
  <c r="AL280" i="1"/>
  <c r="AL283" i="1"/>
  <c r="BR284" i="1"/>
  <c r="CX284" i="1"/>
  <c r="BR285" i="1"/>
  <c r="CX285" i="1"/>
  <c r="BR286" i="1"/>
  <c r="CX286" i="1"/>
  <c r="BR287" i="1"/>
  <c r="CX287" i="1"/>
  <c r="AL292" i="1"/>
  <c r="ED292" i="1"/>
  <c r="AL293" i="1"/>
  <c r="AL294" i="1"/>
  <c r="BR296" i="1"/>
  <c r="CX296" i="1"/>
  <c r="BR297" i="1"/>
  <c r="CX297" i="1"/>
  <c r="BR298" i="1"/>
  <c r="CX298" i="1"/>
  <c r="AL300" i="1"/>
  <c r="ED300" i="1"/>
  <c r="AL308" i="1"/>
  <c r="ED308" i="1"/>
  <c r="AL309" i="1"/>
  <c r="ED309" i="1"/>
  <c r="AL310" i="1"/>
  <c r="ED310" i="1"/>
  <c r="AL311" i="1"/>
  <c r="CX316" i="1"/>
  <c r="ED317" i="1"/>
  <c r="AL318" i="1"/>
  <c r="AL324" i="1"/>
  <c r="AL327" i="1"/>
  <c r="AL331" i="1"/>
  <c r="BR334" i="1"/>
  <c r="BR335" i="1"/>
  <c r="BR336" i="1"/>
  <c r="AL337" i="1"/>
  <c r="AL338" i="1"/>
  <c r="ED338" i="1"/>
  <c r="AL339" i="1"/>
  <c r="ED342" i="1"/>
  <c r="ED344" i="1"/>
  <c r="BF346" i="1"/>
  <c r="BO346" i="1"/>
  <c r="AK363" i="1"/>
  <c r="ED355" i="1"/>
  <c r="AL357" i="1"/>
  <c r="BR358" i="1"/>
  <c r="CX358" i="1"/>
  <c r="CL363" i="1"/>
  <c r="CU363" i="1"/>
  <c r="AL261" i="1"/>
  <c r="AL263" i="1"/>
  <c r="ED263" i="1"/>
  <c r="CX264" i="1"/>
  <c r="AL267" i="1"/>
  <c r="CX268" i="1"/>
  <c r="AL274" i="1"/>
  <c r="AL277" i="1"/>
  <c r="BR279" i="1"/>
  <c r="AL281" i="1"/>
  <c r="CV346" i="1"/>
  <c r="AL295" i="1"/>
  <c r="AL301" i="1"/>
  <c r="AL302" i="1"/>
  <c r="AL303" i="1"/>
  <c r="CX304" i="1"/>
  <c r="CX306" i="1"/>
  <c r="AL312" i="1"/>
  <c r="AL313" i="1"/>
  <c r="AL314" i="1"/>
  <c r="AL315" i="1"/>
  <c r="AL328" i="1"/>
  <c r="AL332" i="1"/>
  <c r="CX334" i="1"/>
  <c r="CX335" i="1"/>
  <c r="CX336" i="1"/>
  <c r="BR337" i="1"/>
  <c r="BR338" i="1"/>
  <c r="AL343" i="1"/>
  <c r="ED352" i="1"/>
  <c r="AL355" i="1"/>
  <c r="AL353" i="1"/>
  <c r="AL358" i="1"/>
  <c r="AL360" i="1"/>
  <c r="AL354" i="1"/>
  <c r="AL207" i="1"/>
  <c r="AL211" i="1"/>
  <c r="AL215" i="1"/>
  <c r="AL219" i="1"/>
  <c r="AL223" i="1"/>
  <c r="AL201" i="1"/>
  <c r="AL205" i="1"/>
  <c r="AL209" i="1"/>
  <c r="AL213" i="1"/>
  <c r="AL217" i="1"/>
  <c r="AL221" i="1"/>
  <c r="AL225" i="1"/>
  <c r="AL229" i="1"/>
  <c r="AL233" i="1"/>
  <c r="AL237" i="1"/>
  <c r="AL241" i="1"/>
  <c r="AL245" i="1"/>
  <c r="AL249" i="1"/>
  <c r="AL253" i="1"/>
  <c r="AL257" i="1"/>
  <c r="AL227" i="1"/>
  <c r="AL231" i="1"/>
  <c r="AL235" i="1"/>
  <c r="AL239" i="1"/>
  <c r="AL243" i="1"/>
  <c r="AL247" i="1"/>
  <c r="AL251" i="1"/>
  <c r="AL255" i="1"/>
  <c r="AL325" i="1"/>
  <c r="AL105" i="1"/>
  <c r="AL111" i="1"/>
  <c r="AL121" i="1"/>
  <c r="AL127" i="1"/>
  <c r="AL140" i="1"/>
  <c r="AL144" i="1"/>
  <c r="AL148" i="1"/>
  <c r="AL152" i="1"/>
  <c r="AL156" i="1"/>
  <c r="AL160" i="1"/>
  <c r="AL103" i="1"/>
  <c r="AL129" i="1"/>
  <c r="AL113" i="1"/>
  <c r="AL135" i="1"/>
  <c r="AL99" i="1"/>
  <c r="AL115" i="1"/>
  <c r="AL131" i="1"/>
  <c r="AL119" i="1"/>
  <c r="AI73" i="1"/>
  <c r="AL33" i="1"/>
  <c r="AL37" i="1"/>
  <c r="AL41" i="1"/>
  <c r="AL45" i="1"/>
  <c r="AL35" i="1"/>
  <c r="AL39" i="1"/>
  <c r="AL43" i="1"/>
  <c r="AL47" i="1"/>
  <c r="AL51" i="1"/>
  <c r="AL59" i="1"/>
  <c r="AL63" i="1"/>
  <c r="AL52" i="1"/>
  <c r="AL56" i="1"/>
  <c r="Z73" i="1"/>
  <c r="Q363" i="1"/>
  <c r="AL198" i="1"/>
  <c r="AL206" i="1"/>
  <c r="AL214" i="1"/>
  <c r="AL222" i="1"/>
  <c r="AL230" i="1"/>
  <c r="AL238" i="1"/>
  <c r="AL246" i="1"/>
  <c r="AL254" i="1"/>
  <c r="AL321" i="1"/>
  <c r="AL200" i="1"/>
  <c r="AL208" i="1"/>
  <c r="AL216" i="1"/>
  <c r="AL224" i="1"/>
  <c r="AL232" i="1"/>
  <c r="AL240" i="1"/>
  <c r="AL248" i="1"/>
  <c r="AL256" i="1"/>
  <c r="Q346" i="1"/>
  <c r="AL98" i="1"/>
  <c r="AL168" i="1"/>
  <c r="AL184" i="1"/>
  <c r="AL80" i="1"/>
  <c r="AL84" i="1"/>
  <c r="AL88" i="1"/>
  <c r="AL92" i="1"/>
  <c r="AL100" i="1"/>
  <c r="AL104" i="1"/>
  <c r="AL108" i="1"/>
  <c r="AL112" i="1"/>
  <c r="AL116" i="1"/>
  <c r="AL120" i="1"/>
  <c r="AL124" i="1"/>
  <c r="AL132" i="1"/>
  <c r="AL139" i="1"/>
  <c r="AL143" i="1"/>
  <c r="AL147" i="1"/>
  <c r="AL151" i="1"/>
  <c r="AL155" i="1"/>
  <c r="AL159" i="1"/>
  <c r="AL163" i="1"/>
  <c r="AL172" i="1"/>
  <c r="AL177" i="1"/>
  <c r="AL49" i="1"/>
  <c r="AL53" i="1"/>
  <c r="AL57" i="1"/>
  <c r="AL61" i="1"/>
  <c r="AJ73" i="1"/>
  <c r="AL34" i="1"/>
  <c r="AL38" i="1"/>
  <c r="AL42" i="1"/>
  <c r="AL46" i="1"/>
  <c r="AL50" i="1"/>
  <c r="AL54" i="1"/>
  <c r="AL58" i="1"/>
  <c r="AL55" i="1"/>
  <c r="AL32" i="1"/>
  <c r="AL36" i="1"/>
  <c r="AL40" i="1"/>
  <c r="AL44" i="1"/>
  <c r="AL48" i="1"/>
  <c r="AL60" i="1"/>
  <c r="Q73" i="1"/>
  <c r="DD19" i="1"/>
  <c r="DB15" i="1"/>
  <c r="DB19" i="1"/>
  <c r="DE17" i="1"/>
  <c r="DE19" i="1"/>
  <c r="DB25" i="1"/>
  <c r="J12" i="1"/>
  <c r="DB23" i="1"/>
  <c r="AL93" i="1"/>
  <c r="BR99" i="1"/>
  <c r="ED101" i="1"/>
  <c r="ED117" i="1"/>
  <c r="BR123" i="1"/>
  <c r="ED133" i="1"/>
  <c r="L12" i="1"/>
  <c r="DB21" i="1"/>
  <c r="CX37" i="1"/>
  <c r="CX45" i="1"/>
  <c r="CX53" i="1"/>
  <c r="CX61" i="1"/>
  <c r="CX69" i="1"/>
  <c r="ED81" i="1"/>
  <c r="ED85" i="1"/>
  <c r="ED89" i="1"/>
  <c r="ED93" i="1"/>
  <c r="CW73" i="1"/>
  <c r="CX31" i="1"/>
  <c r="CX47" i="1"/>
  <c r="CX71" i="1"/>
  <c r="AL81" i="1"/>
  <c r="AL85" i="1"/>
  <c r="BR107" i="1"/>
  <c r="ED109" i="1"/>
  <c r="BR131" i="1"/>
  <c r="DH15" i="1"/>
  <c r="CX36" i="1"/>
  <c r="CX44" i="1"/>
  <c r="CX52" i="1"/>
  <c r="CX60" i="1"/>
  <c r="CX68" i="1"/>
  <c r="N5" i="1"/>
  <c r="N9" i="1" s="1"/>
  <c r="BP190" i="1"/>
  <c r="CX39" i="1"/>
  <c r="CX55" i="1"/>
  <c r="AL89" i="1"/>
  <c r="O5" i="1"/>
  <c r="DF21" i="1"/>
  <c r="DF25" i="1"/>
  <c r="DF23" i="1"/>
  <c r="BQ190" i="1"/>
  <c r="BR79" i="1"/>
  <c r="CX63" i="1"/>
  <c r="DG21" i="1"/>
  <c r="DG23" i="1"/>
  <c r="DG25" i="1"/>
  <c r="CX35" i="1"/>
  <c r="CX43" i="1"/>
  <c r="CX51" i="1"/>
  <c r="CX59" i="1"/>
  <c r="CX67" i="1"/>
  <c r="CX82" i="1"/>
  <c r="CX86" i="1"/>
  <c r="CX90" i="1"/>
  <c r="CX94" i="1"/>
  <c r="BR115" i="1"/>
  <c r="ED125" i="1"/>
  <c r="DH23" i="1"/>
  <c r="K12" i="1"/>
  <c r="CX32" i="1"/>
  <c r="CX40" i="1"/>
  <c r="CX48" i="1"/>
  <c r="CX56" i="1"/>
  <c r="CX64" i="1"/>
  <c r="CW190" i="1"/>
  <c r="CX102" i="1"/>
  <c r="CX110" i="1"/>
  <c r="CX118" i="1"/>
  <c r="CX126" i="1"/>
  <c r="CX134" i="1"/>
  <c r="AL141" i="1"/>
  <c r="AL149" i="1"/>
  <c r="AL157" i="1"/>
  <c r="AL165" i="1"/>
  <c r="CX170" i="1"/>
  <c r="AC365" i="1"/>
  <c r="ED96" i="1"/>
  <c r="AL137" i="1"/>
  <c r="CX142" i="1"/>
  <c r="CX150" i="1"/>
  <c r="CX158" i="1"/>
  <c r="BR176" i="1"/>
  <c r="ED178" i="1"/>
  <c r="AL96" i="1"/>
  <c r="CX98" i="1"/>
  <c r="CX106" i="1"/>
  <c r="CX114" i="1"/>
  <c r="CX122" i="1"/>
  <c r="CX130" i="1"/>
  <c r="AL145" i="1"/>
  <c r="AL153" i="1"/>
  <c r="AL161" i="1"/>
  <c r="ED306" i="1"/>
  <c r="BR31" i="1"/>
  <c r="AJ190" i="1"/>
  <c r="EB190" i="1"/>
  <c r="AL101" i="1"/>
  <c r="AL109" i="1"/>
  <c r="AL117" i="1"/>
  <c r="AL125" i="1"/>
  <c r="AL133" i="1"/>
  <c r="BR139" i="1"/>
  <c r="ED141" i="1"/>
  <c r="BR147" i="1"/>
  <c r="ED149" i="1"/>
  <c r="BR155" i="1"/>
  <c r="ED157" i="1"/>
  <c r="BR163" i="1"/>
  <c r="ED165" i="1"/>
  <c r="EC190" i="1"/>
  <c r="AJ346" i="1"/>
  <c r="ED280" i="1"/>
  <c r="AL31" i="1"/>
  <c r="CV190" i="1"/>
  <c r="S365" i="1"/>
  <c r="AI190" i="1"/>
  <c r="AB365" i="1"/>
  <c r="AK346" i="1"/>
  <c r="AL197" i="1"/>
  <c r="Y365" i="1"/>
  <c r="CW363" i="1"/>
  <c r="CX352" i="1"/>
  <c r="AL202" i="1"/>
  <c r="AL210" i="1"/>
  <c r="AL218" i="1"/>
  <c r="AL226" i="1"/>
  <c r="AL234" i="1"/>
  <c r="AL242" i="1"/>
  <c r="AL250" i="1"/>
  <c r="AL258" i="1"/>
  <c r="ED266" i="1"/>
  <c r="CX277" i="1"/>
  <c r="CX291" i="1"/>
  <c r="ED293" i="1"/>
  <c r="ED339" i="1"/>
  <c r="AH365" i="1"/>
  <c r="BR166" i="1"/>
  <c r="ED169" i="1"/>
  <c r="CX175" i="1"/>
  <c r="CX183" i="1"/>
  <c r="AL178" i="1"/>
  <c r="AL186" i="1"/>
  <c r="AL204" i="1"/>
  <c r="AL212" i="1"/>
  <c r="AL220" i="1"/>
  <c r="AL228" i="1"/>
  <c r="AL236" i="1"/>
  <c r="AL244" i="1"/>
  <c r="AL252" i="1"/>
  <c r="ED289" i="1"/>
  <c r="ED302" i="1"/>
  <c r="ED335" i="1"/>
  <c r="O365" i="1"/>
  <c r="ED356" i="1"/>
  <c r="EB363" i="1"/>
  <c r="ED363" i="1" s="1"/>
  <c r="ED358" i="1"/>
  <c r="BR188" i="1"/>
  <c r="EB346" i="1"/>
  <c r="CX276" i="1"/>
  <c r="CX307" i="1"/>
  <c r="CX359" i="1"/>
  <c r="T365" i="1"/>
  <c r="EC346" i="1"/>
  <c r="CX275" i="1"/>
  <c r="CX282" i="1"/>
  <c r="CX290" i="1"/>
  <c r="BP363" i="1"/>
  <c r="AL356" i="1"/>
  <c r="L365" i="1"/>
  <c r="P365" i="1"/>
  <c r="ED197" i="1"/>
  <c r="CX274" i="1"/>
  <c r="CX281" i="1"/>
  <c r="CX340" i="1"/>
  <c r="Z346" i="1"/>
  <c r="BQ363" i="1"/>
  <c r="BR352" i="1"/>
  <c r="M365" i="1"/>
  <c r="V365" i="1"/>
  <c r="AD365" i="1"/>
  <c r="CX259" i="1"/>
  <c r="CX273" i="1"/>
  <c r="CX280" i="1"/>
  <c r="CX289" i="1"/>
  <c r="N365" i="1"/>
  <c r="W365" i="1"/>
  <c r="AE365" i="1"/>
  <c r="EA363" i="1"/>
  <c r="CX272" i="1"/>
  <c r="CX305" i="1"/>
  <c r="CX309" i="1"/>
  <c r="CU346" i="1"/>
  <c r="X365" i="1"/>
  <c r="AF365" i="1"/>
  <c r="CV363" i="1"/>
  <c r="BQ346" i="1"/>
  <c r="U365" i="1"/>
  <c r="AJ363" i="1"/>
  <c r="AG365" i="1"/>
  <c r="AI363" i="1"/>
  <c r="AL352" i="1"/>
  <c r="AL190" i="1" l="1"/>
  <c r="V10" i="1"/>
  <c r="V12" i="1" s="1"/>
  <c r="O9" i="1"/>
  <c r="DE15" i="1"/>
  <c r="DB17" i="1"/>
  <c r="BR346" i="1"/>
  <c r="DH21" i="1"/>
  <c r="DE21" i="1"/>
  <c r="DD17" i="1"/>
  <c r="P12" i="1"/>
  <c r="L11" i="1"/>
  <c r="V8" i="1"/>
  <c r="DC25" i="1"/>
  <c r="CX73" i="1"/>
  <c r="DE25" i="1"/>
  <c r="K11" i="1"/>
  <c r="ED73" i="1"/>
  <c r="DC19" i="1"/>
  <c r="CX346" i="1"/>
  <c r="V5" i="1"/>
  <c r="AL363" i="1"/>
  <c r="DC15" i="1"/>
  <c r="DE23" i="1"/>
  <c r="AL73" i="1"/>
  <c r="DH19" i="1"/>
  <c r="P11" i="1"/>
  <c r="BR73" i="1"/>
  <c r="AL346" i="1"/>
  <c r="ED346" i="1"/>
  <c r="BR363" i="1"/>
  <c r="CX363" i="1"/>
  <c r="CX190" i="1"/>
  <c r="DF17" i="1"/>
  <c r="DF19" i="1"/>
  <c r="N11" i="1"/>
  <c r="DF15" i="1"/>
  <c r="ED190" i="1"/>
  <c r="DG19" i="1"/>
  <c r="O11" i="1"/>
  <c r="DG17" i="1"/>
  <c r="DG15" i="1"/>
  <c r="BR190" i="1"/>
  <c r="V9" i="1" l="1"/>
  <c r="V11" i="1" s="1"/>
</calcChain>
</file>

<file path=xl/sharedStrings.xml><?xml version="1.0" encoding="utf-8"?>
<sst xmlns="http://schemas.openxmlformats.org/spreadsheetml/2006/main" count="9374" uniqueCount="1085">
  <si>
    <t>TARGET</t>
  </si>
  <si>
    <t>Q1</t>
  </si>
  <si>
    <t>Q2</t>
  </si>
  <si>
    <t>Q3</t>
  </si>
  <si>
    <t>Q4</t>
  </si>
  <si>
    <t>2025 Total</t>
  </si>
  <si>
    <t>January</t>
  </si>
  <si>
    <t>February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</si>
  <si>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</si>
  <si>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</si>
  <si>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</si>
  <si>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</si>
  <si>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</si>
  <si>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</si>
  <si>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</si>
  <si>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>October</t>
  </si>
  <si>
    <t>November</t>
  </si>
  <si>
    <t xml:space="preserve">December </t>
  </si>
  <si>
    <t>Target (Bot)</t>
  </si>
  <si>
    <t>Target (Liter)</t>
  </si>
  <si>
    <t>WS (Bot)</t>
  </si>
  <si>
    <t>SWS (Bot)</t>
  </si>
  <si>
    <t>MWS (Bot)</t>
  </si>
  <si>
    <t>Van (Bot)</t>
  </si>
  <si>
    <t>Total Sales  (BOT)</t>
  </si>
  <si>
    <t>Total Sales  (Liter)</t>
  </si>
  <si>
    <t>Ach % (Bot)</t>
  </si>
  <si>
    <t>Ach % (Liter)</t>
  </si>
  <si>
    <t>SKU Summary</t>
  </si>
  <si>
    <t>Compare 22 to 25</t>
  </si>
  <si>
    <t>TownShip Summary</t>
  </si>
  <si>
    <t xml:space="preserve">Quarter 1 </t>
  </si>
  <si>
    <t>Quarter 2</t>
  </si>
  <si>
    <t>Quarter 3</t>
  </si>
  <si>
    <t>Quarter 4</t>
  </si>
  <si>
    <t>Wholesales Follow Up - (Yangon)</t>
  </si>
  <si>
    <t xml:space="preserve">Q1 Total </t>
  </si>
  <si>
    <t xml:space="preserve">Q2 Total </t>
  </si>
  <si>
    <t xml:space="preserve">Q3 Total </t>
  </si>
  <si>
    <t xml:space="preserve">Q4 Total </t>
  </si>
  <si>
    <t>Ach %</t>
  </si>
  <si>
    <t xml:space="preserve">Target </t>
  </si>
  <si>
    <t xml:space="preserve">Sales </t>
  </si>
  <si>
    <t>Sr No.</t>
  </si>
  <si>
    <t>Customer Name</t>
  </si>
  <si>
    <t>Area</t>
  </si>
  <si>
    <t>Outlet Type</t>
  </si>
  <si>
    <t>Resp by</t>
  </si>
  <si>
    <t>Cons %</t>
  </si>
  <si>
    <t xml:space="preserve">PKT </t>
  </si>
  <si>
    <t>Ltr</t>
  </si>
  <si>
    <t xml:space="preserve">Bottle </t>
  </si>
  <si>
    <t>မိုးအောင်</t>
  </si>
  <si>
    <t xml:space="preserve">Moe Aung </t>
  </si>
  <si>
    <t>တ/ဒဂုံ</t>
  </si>
  <si>
    <t>Sount Dagon</t>
  </si>
  <si>
    <t xml:space="preserve">WS </t>
  </si>
  <si>
    <t>YNK</t>
  </si>
  <si>
    <t>သော်တာထွန်း</t>
  </si>
  <si>
    <t>Thawdar Tun</t>
  </si>
  <si>
    <t>လသယ</t>
  </si>
  <si>
    <t>Hlaing Thar Yar</t>
  </si>
  <si>
    <t>ရွှေဧရာ</t>
  </si>
  <si>
    <t xml:space="preserve">Shwe Ayeyar </t>
  </si>
  <si>
    <t>16 St</t>
  </si>
  <si>
    <t>16 street</t>
  </si>
  <si>
    <t>မိဘမေတ္တာ</t>
  </si>
  <si>
    <t xml:space="preserve">Mi Ba Myint Thar </t>
  </si>
  <si>
    <t>AAA</t>
  </si>
  <si>
    <t>A.A.A.</t>
  </si>
  <si>
    <t>မ/ဒဂုံ</t>
  </si>
  <si>
    <t>North Dagon</t>
  </si>
  <si>
    <t>ပေါ်ဉီး</t>
  </si>
  <si>
    <t>Paw Oo</t>
  </si>
  <si>
    <t>ဒလ</t>
  </si>
  <si>
    <t>Dala</t>
  </si>
  <si>
    <t>ဘောဂ</t>
  </si>
  <si>
    <t>Baw Ga</t>
  </si>
  <si>
    <t>သန်လျင်</t>
  </si>
  <si>
    <t>Thanlyin</t>
  </si>
  <si>
    <t>ရတနာတိုး (H)</t>
  </si>
  <si>
    <t xml:space="preserve">Yatanar Toe </t>
  </si>
  <si>
    <t>မှော်ဘီ</t>
  </si>
  <si>
    <t>Hmawbi</t>
  </si>
  <si>
    <t>မွန်မလေး</t>
  </si>
  <si>
    <t>Mon Ma Lay</t>
  </si>
  <si>
    <t>ရပသ</t>
  </si>
  <si>
    <t>Shwe Pyi Thar</t>
  </si>
  <si>
    <t>မြတ်မွှေး</t>
  </si>
  <si>
    <t xml:space="preserve">Myat Mhwe </t>
  </si>
  <si>
    <t>မ/ဥ</t>
  </si>
  <si>
    <t>North Okkalapa</t>
  </si>
  <si>
    <t>ကိုဖိုးသက်</t>
  </si>
  <si>
    <t xml:space="preserve">Ko Phoe Thet </t>
  </si>
  <si>
    <t>တွံတေး</t>
  </si>
  <si>
    <t>Twantay</t>
  </si>
  <si>
    <t>မပို့မချို</t>
  </si>
  <si>
    <t>Ma Po Ma Cho</t>
  </si>
  <si>
    <t>ပလာဇာ</t>
  </si>
  <si>
    <t>Palazar</t>
  </si>
  <si>
    <t>ကိုကျော်ဆွေ</t>
  </si>
  <si>
    <t xml:space="preserve">Ko Kyaw Swe </t>
  </si>
  <si>
    <t>ဦးတင်အေး</t>
  </si>
  <si>
    <t xml:space="preserve">U Tin Aye </t>
  </si>
  <si>
    <t>ဘဘကြီး</t>
  </si>
  <si>
    <t>Ba Ba Gyi</t>
  </si>
  <si>
    <t>ရှယ်ထူး</t>
  </si>
  <si>
    <t>Shal Htoo</t>
  </si>
  <si>
    <t>လေးထောင့်ကန်</t>
  </si>
  <si>
    <t>Lay Daungkan</t>
  </si>
  <si>
    <t>ရွှေဇီးကွက်</t>
  </si>
  <si>
    <t xml:space="preserve">Shwe Zee Kwat </t>
  </si>
  <si>
    <t>ရွှေဉယျာဉ်</t>
  </si>
  <si>
    <t>Shwe Oo Yin</t>
  </si>
  <si>
    <t>ရွှေစည်းစိမ်</t>
  </si>
  <si>
    <t>Shwe See Sain</t>
  </si>
  <si>
    <t>တိုက်ကြီး</t>
  </si>
  <si>
    <t>Taikkyi</t>
  </si>
  <si>
    <t>ရွက်သစ်</t>
  </si>
  <si>
    <t>Yuat Thit</t>
  </si>
  <si>
    <t>South Dagon</t>
  </si>
  <si>
    <t>ဒေလီယာ</t>
  </si>
  <si>
    <t xml:space="preserve">Dalia </t>
  </si>
  <si>
    <t>သာကေတ</t>
  </si>
  <si>
    <t>Thaketa</t>
  </si>
  <si>
    <t>ဆွေသဟာ</t>
  </si>
  <si>
    <t xml:space="preserve">Shwe Tahar </t>
  </si>
  <si>
    <t>ဦးအိရွှေ</t>
  </si>
  <si>
    <t xml:space="preserve">U Ei Shwe </t>
  </si>
  <si>
    <t>ကိုရွှေသီး</t>
  </si>
  <si>
    <t xml:space="preserve">Ko Shwe Thee </t>
  </si>
  <si>
    <t>တ/ဥ</t>
  </si>
  <si>
    <t>South Okkalapa</t>
  </si>
  <si>
    <t>ပန်းသတင်း</t>
  </si>
  <si>
    <t>Pan Tatin</t>
  </si>
  <si>
    <t>မချိုချိုလွင်</t>
  </si>
  <si>
    <t>Ma Cho Cho Lwin</t>
  </si>
  <si>
    <t>သင်္ဃန်းကျွန်း</t>
  </si>
  <si>
    <t>Thingangyun</t>
  </si>
  <si>
    <t>တော်ဝင်</t>
  </si>
  <si>
    <t>Taw Win</t>
  </si>
  <si>
    <t>ကြည့်မြင်တိုင်</t>
  </si>
  <si>
    <t>Kyee Myin Daing</t>
  </si>
  <si>
    <t>ဦးလှဖုန်း</t>
  </si>
  <si>
    <t xml:space="preserve">U Hla Phone </t>
  </si>
  <si>
    <t>ကော့မှူး</t>
  </si>
  <si>
    <t>Kawhmu</t>
  </si>
  <si>
    <t>မသီတာ</t>
  </si>
  <si>
    <t xml:space="preserve">Ma Thida </t>
  </si>
  <si>
    <t>အနွယ်တော်</t>
  </si>
  <si>
    <t>A 'Nwe Taw</t>
  </si>
  <si>
    <t>သင်္ဃန်းကျွန်းကြီး</t>
  </si>
  <si>
    <t>Thingangyun Gyi</t>
  </si>
  <si>
    <t>နေလ</t>
  </si>
  <si>
    <t>Nay La</t>
  </si>
  <si>
    <t>မမွှေးမွှေး</t>
  </si>
  <si>
    <t xml:space="preserve">Ma Mhwe Mhwe </t>
  </si>
  <si>
    <t>ကွမ်းခြံကုန်း</t>
  </si>
  <si>
    <t>Kungyangon</t>
  </si>
  <si>
    <t>ဆင်မင်း</t>
  </si>
  <si>
    <t>Sin Min</t>
  </si>
  <si>
    <t>လှိုင်သာယာ</t>
  </si>
  <si>
    <t>မာဟန်</t>
  </si>
  <si>
    <t>Mar Han</t>
  </si>
  <si>
    <t>ကောင်းမွန်</t>
  </si>
  <si>
    <t>Kaung Mon</t>
  </si>
  <si>
    <t>သုခအောင်</t>
  </si>
  <si>
    <t xml:space="preserve">Thuka Aung </t>
  </si>
  <si>
    <t>အင်းစိန်</t>
  </si>
  <si>
    <t>Insein</t>
  </si>
  <si>
    <t>လမင်းသာ</t>
  </si>
  <si>
    <t xml:space="preserve">La Min Thar </t>
  </si>
  <si>
    <t>သမိုင်း</t>
  </si>
  <si>
    <t>Tha Mine</t>
  </si>
  <si>
    <t>ဂျက်ကြီး</t>
  </si>
  <si>
    <t>Jet Gyi</t>
  </si>
  <si>
    <t>ဒေးဒရဲ</t>
  </si>
  <si>
    <t>Dedaye</t>
  </si>
  <si>
    <t>မိုးမြင့်ထက်</t>
  </si>
  <si>
    <t>Moe Myint Htet</t>
  </si>
  <si>
    <t>မြောက်ဒဂုံ</t>
  </si>
  <si>
    <t xml:space="preserve">အောင်ချမ်းသာ </t>
  </si>
  <si>
    <t xml:space="preserve">Aung Chan Thar </t>
  </si>
  <si>
    <t>အောင်ပြည့်စုံ</t>
  </si>
  <si>
    <t xml:space="preserve">Aung Pyae Sone </t>
  </si>
  <si>
    <t>ခရမ်း</t>
  </si>
  <si>
    <t>Khayan</t>
  </si>
  <si>
    <t>Total Wholesales ( 41)</t>
  </si>
  <si>
    <t>Semi Wholesales Follow Up - (Yangon)</t>
  </si>
  <si>
    <t>Cons%</t>
  </si>
  <si>
    <t>Resp By</t>
  </si>
  <si>
    <t>K Mart</t>
  </si>
  <si>
    <t>အလုံ</t>
  </si>
  <si>
    <t xml:space="preserve">Ahlone </t>
  </si>
  <si>
    <t xml:space="preserve">Semi WS </t>
  </si>
  <si>
    <t>KBL</t>
  </si>
  <si>
    <t>ဒေါ်နီ</t>
  </si>
  <si>
    <t>Daw Ni</t>
  </si>
  <si>
    <t>ဦးတင်လှိုင်</t>
  </si>
  <si>
    <t>U Tin Hlaing</t>
  </si>
  <si>
    <t>ကိုချမ်းအေး</t>
  </si>
  <si>
    <t xml:space="preserve">Ko Chan Aye </t>
  </si>
  <si>
    <t>နှင်းဆီ</t>
  </si>
  <si>
    <t xml:space="preserve">Hnin Si </t>
  </si>
  <si>
    <t>ကောင်းထက်</t>
  </si>
  <si>
    <t xml:space="preserve">Kaung Htet </t>
  </si>
  <si>
    <t>အောင်သိဒ္ဓိ</t>
  </si>
  <si>
    <t xml:space="preserve">Aung Date Di </t>
  </si>
  <si>
    <t>အောင်ကမ္ဘာသိန်း</t>
  </si>
  <si>
    <t>Aung Kabar Thein</t>
  </si>
  <si>
    <t>ကိုညီညီ</t>
  </si>
  <si>
    <t xml:space="preserve">Ko Nyi Nyi </t>
  </si>
  <si>
    <t>ရွှေဇင်ယော်</t>
  </si>
  <si>
    <t xml:space="preserve">Shwe Zin Yaw </t>
  </si>
  <si>
    <t>မြို့သစ်ဈေး</t>
  </si>
  <si>
    <t>ဉီးပိုက်တင်</t>
  </si>
  <si>
    <t>U Pite Tin</t>
  </si>
  <si>
    <t xml:space="preserve">Kayane </t>
  </si>
  <si>
    <t>မောင်လုပ်သား</t>
  </si>
  <si>
    <t xml:space="preserve">Maung Loat Thar </t>
  </si>
  <si>
    <t>အလင်းတန်း</t>
  </si>
  <si>
    <t>A Lin Tan</t>
  </si>
  <si>
    <t>ရှိုင်းရာဇာ</t>
  </si>
  <si>
    <t xml:space="preserve">Shine Yar Zar </t>
  </si>
  <si>
    <t>ရွှေမိုး</t>
  </si>
  <si>
    <t xml:space="preserve">Shwe Moe </t>
  </si>
  <si>
    <t xml:space="preserve">လှိုင် </t>
  </si>
  <si>
    <t>Hlaing</t>
  </si>
  <si>
    <t>ရွှေလီ</t>
  </si>
  <si>
    <t>Shwe Li</t>
  </si>
  <si>
    <t>လှိုင်</t>
  </si>
  <si>
    <t>ဝင်း</t>
  </si>
  <si>
    <t xml:space="preserve">Win </t>
  </si>
  <si>
    <t>လမ်း ၅၀</t>
  </si>
  <si>
    <t xml:space="preserve">50th Street </t>
  </si>
  <si>
    <t>ပန်းမြို့တော်</t>
  </si>
  <si>
    <t xml:space="preserve">Pan Myo Taw </t>
  </si>
  <si>
    <t>ရွှေ</t>
  </si>
  <si>
    <t xml:space="preserve">Shwe </t>
  </si>
  <si>
    <t>ကိုကျော်တင့်</t>
  </si>
  <si>
    <t>Ko Kyaw Tint</t>
  </si>
  <si>
    <t>ဦးထွန်းရွှေ</t>
  </si>
  <si>
    <t xml:space="preserve">U Tun Shwe </t>
  </si>
  <si>
    <t>မိုးကျော် ၁</t>
  </si>
  <si>
    <t xml:space="preserve">Moe Kyaw (2) </t>
  </si>
  <si>
    <t>စိန်လီ</t>
  </si>
  <si>
    <t>Sein Li</t>
  </si>
  <si>
    <t>ကျောက်တန်း</t>
  </si>
  <si>
    <t>Kyauktan</t>
  </si>
  <si>
    <t>ကိုခိုင်ကြီး</t>
  </si>
  <si>
    <t>Ko Khine Gyi</t>
  </si>
  <si>
    <t>ဆိပ်ကြီး</t>
  </si>
  <si>
    <t>Seik Gyi Kanaung To</t>
  </si>
  <si>
    <t>မိဘရိပ်</t>
  </si>
  <si>
    <t>Mi Ba Yeik</t>
  </si>
  <si>
    <t>စမ်းချောင်း</t>
  </si>
  <si>
    <t xml:space="preserve">San Chaung </t>
  </si>
  <si>
    <t>ပစ်တိုင်းထောင်</t>
  </si>
  <si>
    <t xml:space="preserve">Pyit Tine Htaung </t>
  </si>
  <si>
    <t>ငွေစုလှိုင်</t>
  </si>
  <si>
    <t>Ngwe Su Hlailng</t>
  </si>
  <si>
    <t>ဆိပ်ကမ်းသာ</t>
  </si>
  <si>
    <t>Sate Kan Thar</t>
  </si>
  <si>
    <t>သုံးခွ</t>
  </si>
  <si>
    <t>Thongwa</t>
  </si>
  <si>
    <t>စူပါကျော်</t>
  </si>
  <si>
    <t>Super Kyaw</t>
  </si>
  <si>
    <t>16 st</t>
  </si>
  <si>
    <t>လမ်းမတော်</t>
  </si>
  <si>
    <t>Lanmadaw</t>
  </si>
  <si>
    <t>ပြည့်သျှင်</t>
  </si>
  <si>
    <t>Pyae Shin</t>
  </si>
  <si>
    <t>ကျိုက်ထော်</t>
  </si>
  <si>
    <t>KyaikHtaw</t>
  </si>
  <si>
    <t>Star</t>
  </si>
  <si>
    <t>ချစ်ကိုကြီး</t>
  </si>
  <si>
    <t>Ko Chit Ko Gyi</t>
  </si>
  <si>
    <t>ဝါးဘလောက်သောက်</t>
  </si>
  <si>
    <t>ဒေါ်မြင့်မြင့်မူ</t>
  </si>
  <si>
    <t>Daw Myint Myint Muu</t>
  </si>
  <si>
    <t>ရှန်ကီလာ</t>
  </si>
  <si>
    <t>Shan Garilar</t>
  </si>
  <si>
    <t>အောင်ကြီး (၁)</t>
  </si>
  <si>
    <t>Aung Gyi 1</t>
  </si>
  <si>
    <t>မြို့ထဲ</t>
  </si>
  <si>
    <t>Downtown</t>
  </si>
  <si>
    <t>စိန်ချယ်</t>
  </si>
  <si>
    <t xml:space="preserve">Sein Chel </t>
  </si>
  <si>
    <t>KHM</t>
  </si>
  <si>
    <t>ကိုမူတူး</t>
  </si>
  <si>
    <t>Ko Muu Too</t>
  </si>
  <si>
    <t>ရွှေဖလား</t>
  </si>
  <si>
    <t>Shwe Phalar</t>
  </si>
  <si>
    <t>ကိုလွင်သိန်း</t>
  </si>
  <si>
    <t>Ko Lwin Thein</t>
  </si>
  <si>
    <t>မိသားစု</t>
  </si>
  <si>
    <t>Mi Thar Su</t>
  </si>
  <si>
    <t>လှည်းကူး</t>
  </si>
  <si>
    <t>Hlegu</t>
  </si>
  <si>
    <t>ဦးထွန်းဝေ</t>
  </si>
  <si>
    <t>U Tun Wai</t>
  </si>
  <si>
    <t>ရွှေပြည်သာ</t>
  </si>
  <si>
    <t>မရီသိန်း</t>
  </si>
  <si>
    <t>Ma Yi Thein</t>
  </si>
  <si>
    <t>ရန်ကင်း</t>
  </si>
  <si>
    <t>Yankin</t>
  </si>
  <si>
    <t>ဦးထွန်းအောင်</t>
  </si>
  <si>
    <t xml:space="preserve">U Tun Aung </t>
  </si>
  <si>
    <t>မင်္ဂလာဈး</t>
  </si>
  <si>
    <t>Mingalar Zay</t>
  </si>
  <si>
    <t>အောင်ကမ္ဘာ</t>
  </si>
  <si>
    <t xml:space="preserve">Aung Kabar </t>
  </si>
  <si>
    <t>မင်္ဂလာဒုံ</t>
  </si>
  <si>
    <t>Mingalardon</t>
  </si>
  <si>
    <t>တဉ</t>
  </si>
  <si>
    <t>ကိုအေးချမ်း</t>
  </si>
  <si>
    <t xml:space="preserve">Ko Aye Chan </t>
  </si>
  <si>
    <t>ဦးတင်စော</t>
  </si>
  <si>
    <t xml:space="preserve">U Tin Saw </t>
  </si>
  <si>
    <t>ရွှေလက်ဆောင်</t>
  </si>
  <si>
    <t xml:space="preserve">Shwe Lat Saung </t>
  </si>
  <si>
    <t>မြစန္ဒာ</t>
  </si>
  <si>
    <t xml:space="preserve">Mya Sandar </t>
  </si>
  <si>
    <t>မ/ဉ</t>
  </si>
  <si>
    <t>ကံတလူ</t>
  </si>
  <si>
    <t>Kan Ta Lu</t>
  </si>
  <si>
    <t>စန္ဒာ</t>
  </si>
  <si>
    <t xml:space="preserve">Sandar </t>
  </si>
  <si>
    <t>ဗဟန်း</t>
  </si>
  <si>
    <t>Bahan</t>
  </si>
  <si>
    <t>ဖောင်ကြီး</t>
  </si>
  <si>
    <t>Phaung Gyi</t>
  </si>
  <si>
    <t>ရွှေရည်ဦး</t>
  </si>
  <si>
    <t>Shwe Yi Oo</t>
  </si>
  <si>
    <t>Palaza</t>
  </si>
  <si>
    <t>ဒေါ်တင်ကြည်</t>
  </si>
  <si>
    <t>Daw Tin Kyi</t>
  </si>
  <si>
    <t>ထောက်ကြန့်</t>
  </si>
  <si>
    <t>Htauk Kyant</t>
  </si>
  <si>
    <t>5-Star</t>
  </si>
  <si>
    <t>ဦးအေးမြင့်</t>
  </si>
  <si>
    <t xml:space="preserve">U Aye Myint </t>
  </si>
  <si>
    <t>ထွန်းတောက်</t>
  </si>
  <si>
    <t xml:space="preserve">Tun Tout </t>
  </si>
  <si>
    <t>ကိုထိန်လင်း</t>
  </si>
  <si>
    <t xml:space="preserve">Ko Htein Lin </t>
  </si>
  <si>
    <t>ကိုဇော်ဦး</t>
  </si>
  <si>
    <t xml:space="preserve">Ko Zaw Oo </t>
  </si>
  <si>
    <t>ရွှေကိန္ဒရီ</t>
  </si>
  <si>
    <t>Shwe Kane Da Yi</t>
  </si>
  <si>
    <t>အင်ကြင်း်ခိုင်</t>
  </si>
  <si>
    <t>Eygine Khine</t>
  </si>
  <si>
    <t>ရွေဆင်</t>
  </si>
  <si>
    <t xml:space="preserve">Shwe Sin </t>
  </si>
  <si>
    <t>ဦးလှဆွေ</t>
  </si>
  <si>
    <t xml:space="preserve">U Hla Shwe </t>
  </si>
  <si>
    <t>စည်းစိမ်</t>
  </si>
  <si>
    <t>See Sein</t>
  </si>
  <si>
    <t>ငြိမ်းချမ်းရေး</t>
  </si>
  <si>
    <t xml:space="preserve">Nyein Chan Yae </t>
  </si>
  <si>
    <t>စံပြဈေး</t>
  </si>
  <si>
    <t>Sanpya Zay</t>
  </si>
  <si>
    <t>Sweet World</t>
  </si>
  <si>
    <t>အောင်သရဖူ</t>
  </si>
  <si>
    <t xml:space="preserve"> Aung Tayapu</t>
  </si>
  <si>
    <t>တာမွေ</t>
  </si>
  <si>
    <t xml:space="preserve">Tamwe </t>
  </si>
  <si>
    <t>ရွှင်ကြည်လန်း</t>
  </si>
  <si>
    <t>Shwin Kyee Lan</t>
  </si>
  <si>
    <t>Sweet Gate</t>
  </si>
  <si>
    <t>သင့်</t>
  </si>
  <si>
    <t>Thint</t>
  </si>
  <si>
    <t>ဦးကြီးမြင့်</t>
  </si>
  <si>
    <t>U Kyee Myint</t>
  </si>
  <si>
    <t>ရွေညောင်ပင်</t>
  </si>
  <si>
    <t>Shwe Nyung Pin</t>
  </si>
  <si>
    <t>Mother House</t>
  </si>
  <si>
    <t>တိုက််ကြီး</t>
  </si>
  <si>
    <t>အရှေ့ရွာ</t>
  </si>
  <si>
    <t>West Village</t>
  </si>
  <si>
    <t>Mr Ye</t>
  </si>
  <si>
    <t>One Stop Mart</t>
  </si>
  <si>
    <t>လိူင်နန်းတော်</t>
  </si>
  <si>
    <t>Hlailng Nan Taw</t>
  </si>
  <si>
    <t>ရွှေခြသေ့်</t>
  </si>
  <si>
    <t>Golden Lion</t>
  </si>
  <si>
    <t>ရွှေမင်းသား</t>
  </si>
  <si>
    <t>Shwe Minthar</t>
  </si>
  <si>
    <t>ကိုရွှေညာ</t>
  </si>
  <si>
    <t>Ko Shwe Nyar</t>
  </si>
  <si>
    <t>ကောင်းကောင်း</t>
  </si>
  <si>
    <t>Kaung Kaung</t>
  </si>
  <si>
    <t>အဖျောက်</t>
  </si>
  <si>
    <t>A Pyout</t>
  </si>
  <si>
    <t>National</t>
  </si>
  <si>
    <t>Total Semi Wholesales (84)</t>
  </si>
  <si>
    <t>Quarter 1</t>
  </si>
  <si>
    <t>Mini + Van Sales  Follow Up - (Yangon)</t>
  </si>
  <si>
    <t>နန်းထက်</t>
  </si>
  <si>
    <t>Nan Htet</t>
  </si>
  <si>
    <t>Mini - VAN - 1</t>
  </si>
  <si>
    <t>ထားဝယ်ထက်</t>
  </si>
  <si>
    <t>Dawelhtet</t>
  </si>
  <si>
    <t>ကောင်းသန့်ရှင်း</t>
  </si>
  <si>
    <t>Kaung Thant Shin</t>
  </si>
  <si>
    <t>ရွှေပေါက္ကံ</t>
  </si>
  <si>
    <t>Shwe Pouk Kan</t>
  </si>
  <si>
    <t>ပွိုင့်</t>
  </si>
  <si>
    <t>Point</t>
  </si>
  <si>
    <t>ဝေမြတ်မွန်</t>
  </si>
  <si>
    <t>Way Myat Mon</t>
  </si>
  <si>
    <t>ပိတောက်ဝါ</t>
  </si>
  <si>
    <t>Padauk War</t>
  </si>
  <si>
    <t>ဖြူဝင်း</t>
  </si>
  <si>
    <t>Phyu Win</t>
  </si>
  <si>
    <t>ဒေါ်ကြည်လေး</t>
  </si>
  <si>
    <t>Daw Kyi Lay</t>
  </si>
  <si>
    <t>စကားဝါ</t>
  </si>
  <si>
    <t>Sakarwar</t>
  </si>
  <si>
    <t>Y-4</t>
  </si>
  <si>
    <t>Y - 4</t>
  </si>
  <si>
    <t>Infinity</t>
  </si>
  <si>
    <t xml:space="preserve">Infinity </t>
  </si>
  <si>
    <t>ရွှေဒဂ်ါး</t>
  </si>
  <si>
    <t>Shwe Din Gar</t>
  </si>
  <si>
    <t>Focus</t>
  </si>
  <si>
    <t>ကောင်းဆက်</t>
  </si>
  <si>
    <t>Kaung Satt</t>
  </si>
  <si>
    <t>ရွှေမြန်မာ</t>
  </si>
  <si>
    <t>Shwe Myanmar</t>
  </si>
  <si>
    <t>တောင်ဒဂုံ</t>
  </si>
  <si>
    <t>Mini - VAN - 2</t>
  </si>
  <si>
    <t>သင်္ဂဟ</t>
  </si>
  <si>
    <t>Sai Win Htet</t>
  </si>
  <si>
    <t>နိုင်နိုင်</t>
  </si>
  <si>
    <t>Naing Naing</t>
  </si>
  <si>
    <t>ကိုသန့်ဇင်</t>
  </si>
  <si>
    <t>Ko Thant Zin</t>
  </si>
  <si>
    <t>Thar Kay Ta</t>
  </si>
  <si>
    <t>ကျော် (စတား)</t>
  </si>
  <si>
    <t>Kyaw Star</t>
  </si>
  <si>
    <t>မြင့်</t>
  </si>
  <si>
    <t>Myint</t>
  </si>
  <si>
    <t>ပိတောက်မြိုင်</t>
  </si>
  <si>
    <t>Padauk Mying</t>
  </si>
  <si>
    <t>သန်းထိုက်စံ</t>
  </si>
  <si>
    <t>Than Htaik San</t>
  </si>
  <si>
    <t>ဒေါ်ခင်သန်းနု</t>
  </si>
  <si>
    <t>Daw Khin Than Nu</t>
  </si>
  <si>
    <t>ရွှေထူး</t>
  </si>
  <si>
    <t>Shwe Htoo</t>
  </si>
  <si>
    <t>KKK</t>
  </si>
  <si>
    <t>Kyaw</t>
  </si>
  <si>
    <t>တော်ဝင်သစ်ခွ</t>
  </si>
  <si>
    <t>Royal Orchid</t>
  </si>
  <si>
    <t>ရွှေပြည်သစ်</t>
  </si>
  <si>
    <t>Shwe Pyi Thit</t>
  </si>
  <si>
    <t>ပိတောက်</t>
  </si>
  <si>
    <t>PaDauk</t>
  </si>
  <si>
    <t>ပေါ်ဦး</t>
  </si>
  <si>
    <t>အလင်းနှစ်</t>
  </si>
  <si>
    <t>Alin Hnit</t>
  </si>
  <si>
    <t>Mini - VAN - 3</t>
  </si>
  <si>
    <t>ကဒီဟိန်း</t>
  </si>
  <si>
    <t>Ka Di Hein</t>
  </si>
  <si>
    <t>Family</t>
  </si>
  <si>
    <t>ဖြူ</t>
  </si>
  <si>
    <t>Phyu</t>
  </si>
  <si>
    <t>မဂ်လာတောင်ညွန့်</t>
  </si>
  <si>
    <t>Mingalartaungnyunt</t>
  </si>
  <si>
    <t>Aung Family</t>
  </si>
  <si>
    <t>ကံ့ကော်</t>
  </si>
  <si>
    <t>Kant Kaw</t>
  </si>
  <si>
    <t>ပုစွန်တောင်/ဗိုလ်တစ်ထောင်</t>
  </si>
  <si>
    <t>Puzontaung+Botahtaung</t>
  </si>
  <si>
    <t>အလင်းရောင်</t>
  </si>
  <si>
    <t>Alin Young</t>
  </si>
  <si>
    <t>SKA</t>
  </si>
  <si>
    <t>FMG</t>
  </si>
  <si>
    <t>Tarmwe</t>
  </si>
  <si>
    <t>Linn Store</t>
  </si>
  <si>
    <t>Linnet Bank</t>
  </si>
  <si>
    <t>မဂ်လာဈေး</t>
  </si>
  <si>
    <t>ကောင်းမြတ်</t>
  </si>
  <si>
    <t>Kaung Myat</t>
  </si>
  <si>
    <t>တောင်ဥက္ကလာ</t>
  </si>
  <si>
    <t>ပြည့်စုံ</t>
  </si>
  <si>
    <t>Pyae Sone</t>
  </si>
  <si>
    <t>ကိုချစ်ထွေး</t>
  </si>
  <si>
    <t>Ko Chit Htwe</t>
  </si>
  <si>
    <t>သဃ်န်းကျွန်း</t>
  </si>
  <si>
    <t>Thingankyun</t>
  </si>
  <si>
    <t>ဟိန်းမြင့်မိုရ်</t>
  </si>
  <si>
    <t>Hein Myint Mo</t>
  </si>
  <si>
    <t>သုဝဏ္ဏ</t>
  </si>
  <si>
    <t>Thuwunna</t>
  </si>
  <si>
    <t>ဦးစောမြင့်</t>
  </si>
  <si>
    <t>U Saw Myint</t>
  </si>
  <si>
    <t>မိုးပုလဲ</t>
  </si>
  <si>
    <t>Moe Peral</t>
  </si>
  <si>
    <t>တ/ဉ</t>
  </si>
  <si>
    <t>Southokalapa</t>
  </si>
  <si>
    <t>ရာဇာဟိန်း</t>
  </si>
  <si>
    <t>Yar Zar Hein</t>
  </si>
  <si>
    <t>ကိုကျော်ဆန်း</t>
  </si>
  <si>
    <t>Ko Kyaw San</t>
  </si>
  <si>
    <t>ကြိုးကြာ</t>
  </si>
  <si>
    <t>Kyoe Gyar</t>
  </si>
  <si>
    <t>Super One</t>
  </si>
  <si>
    <t>ကမ်းနား</t>
  </si>
  <si>
    <t>KanNar</t>
  </si>
  <si>
    <t>Mini VAN - 3</t>
  </si>
  <si>
    <t xml:space="preserve">တော်ဝင် </t>
  </si>
  <si>
    <t>Tawin</t>
  </si>
  <si>
    <t>မရမ်းကုန်း</t>
  </si>
  <si>
    <t>Mayangone</t>
  </si>
  <si>
    <t>Mini VAN - 4</t>
  </si>
  <si>
    <t>မသွယ်</t>
  </si>
  <si>
    <t>Ma Thwe</t>
  </si>
  <si>
    <t>ခရေရိပ်</t>
  </si>
  <si>
    <t>Kha Yay Yaik</t>
  </si>
  <si>
    <t>ကိုကျော်</t>
  </si>
  <si>
    <t>Ko Kyaw</t>
  </si>
  <si>
    <t>ဦးလှညွန့်</t>
  </si>
  <si>
    <t>U Hla Nyunt</t>
  </si>
  <si>
    <t>ဒေါ်ပြုံး</t>
  </si>
  <si>
    <t>Daw Pyone</t>
  </si>
  <si>
    <t>ဒေါ်ခင်အေး</t>
  </si>
  <si>
    <t>Daw Khin Aye</t>
  </si>
  <si>
    <t>3 Seasons</t>
  </si>
  <si>
    <t>360 Store</t>
  </si>
  <si>
    <t>ကမ္ဘာအေး/မရမ်းကုန်း</t>
  </si>
  <si>
    <t>Kabaraye + Mayangone</t>
  </si>
  <si>
    <t>Cheers</t>
  </si>
  <si>
    <t>သိန်းသန်း</t>
  </si>
  <si>
    <t>Thain Than</t>
  </si>
  <si>
    <t>တေမိုးစံ</t>
  </si>
  <si>
    <t>Tay Moe San</t>
  </si>
  <si>
    <t>SD Store</t>
  </si>
  <si>
    <t>ချိုသာ</t>
  </si>
  <si>
    <t>Cho Thar</t>
  </si>
  <si>
    <t>ဗဟန်း/စမ်းချောင်း</t>
  </si>
  <si>
    <t>Bahan + Sanchaung</t>
  </si>
  <si>
    <t>ATT</t>
  </si>
  <si>
    <t>Golden Tiger</t>
  </si>
  <si>
    <t>စူပါစတား</t>
  </si>
  <si>
    <t>Super Star</t>
  </si>
  <si>
    <t>ဓနဖြိုး</t>
  </si>
  <si>
    <t>Dana Phyoe</t>
  </si>
  <si>
    <t>ရွှေမန်း</t>
  </si>
  <si>
    <t>Shwe Man</t>
  </si>
  <si>
    <t>ရွှေပြည်ဟိန်း</t>
  </si>
  <si>
    <t>Shwe Pyi Hein</t>
  </si>
  <si>
    <t>ကမာရွတ်</t>
  </si>
  <si>
    <t>Kamaryout</t>
  </si>
  <si>
    <t>အောင်ကောင်း</t>
  </si>
  <si>
    <t>Aung Kaung</t>
  </si>
  <si>
    <t>ရွှင်လန်း</t>
  </si>
  <si>
    <t>Shwin Lann</t>
  </si>
  <si>
    <t>မသင်္ဂီမော်</t>
  </si>
  <si>
    <t>Ma TheingiMaw</t>
  </si>
  <si>
    <t>A Lone</t>
  </si>
  <si>
    <t>ကြယ်ပျံ</t>
  </si>
  <si>
    <t>Kyal Pyan</t>
  </si>
  <si>
    <t>ဦးသန်းစိန်</t>
  </si>
  <si>
    <t>U Than Sein</t>
  </si>
  <si>
    <t>Kyi Myint Dine</t>
  </si>
  <si>
    <t>ဒေါ်ခင်သီ</t>
  </si>
  <si>
    <t>Daw Khin Thi</t>
  </si>
  <si>
    <t>ကောင်းစတား</t>
  </si>
  <si>
    <t>Kaung Star</t>
  </si>
  <si>
    <t>ထန်းတစ်ပင်</t>
  </si>
  <si>
    <t>Mini VAN - 6</t>
  </si>
  <si>
    <t>နီနီလင်း</t>
  </si>
  <si>
    <t>Ni Ni Linn</t>
  </si>
  <si>
    <t>လပြည့်ဝန်း</t>
  </si>
  <si>
    <t>La Pyae Win</t>
  </si>
  <si>
    <t>April</t>
  </si>
  <si>
    <t>သံလွင်ဦး</t>
  </si>
  <si>
    <t>Than Lwin Oo</t>
  </si>
  <si>
    <t>ရိုးလေး</t>
  </si>
  <si>
    <t>ရေဥက္ကံ</t>
  </si>
  <si>
    <t>မင်းကြီး</t>
  </si>
  <si>
    <t>Min Gyi</t>
  </si>
  <si>
    <t>ကြည်သာဦး</t>
  </si>
  <si>
    <t>Kyi Tar Oo</t>
  </si>
  <si>
    <t>Htan Ta Pin</t>
  </si>
  <si>
    <t>ဆည်းဆာအောင်</t>
  </si>
  <si>
    <t>See Sar Aung</t>
  </si>
  <si>
    <t>ဒါးပိန်-အင်းတိုင်</t>
  </si>
  <si>
    <t>Darpain + Inndaing</t>
  </si>
  <si>
    <t>Mini VAN - 7</t>
  </si>
  <si>
    <t>ရဲမင်းသိန်း</t>
  </si>
  <si>
    <t>Ye Min Thein</t>
  </si>
  <si>
    <t>ဦးကြည်လွင်</t>
  </si>
  <si>
    <t>U Kyi Lwin</t>
  </si>
  <si>
    <t>နေ့သစ်</t>
  </si>
  <si>
    <t>Nay Thit</t>
  </si>
  <si>
    <t>ကိုလှဝင်း</t>
  </si>
  <si>
    <t>Ko Hla Win</t>
  </si>
  <si>
    <t>ချိုစတား</t>
  </si>
  <si>
    <t>Cho Star</t>
  </si>
  <si>
    <t>လူကြီးမင်း</t>
  </si>
  <si>
    <t>Lu Gyi Min</t>
  </si>
  <si>
    <t>လှိုင်မင်း</t>
  </si>
  <si>
    <t>Hlaing Min</t>
  </si>
  <si>
    <t>မိုးသောက်ပန်း</t>
  </si>
  <si>
    <t>Moe Thauk Pan</t>
  </si>
  <si>
    <t>ရွှေ(Gold)</t>
  </si>
  <si>
    <t>Shwe (Gold)</t>
  </si>
  <si>
    <t>ဈာန်</t>
  </si>
  <si>
    <t>Zan</t>
  </si>
  <si>
    <t>A-1</t>
  </si>
  <si>
    <t>A - 1</t>
  </si>
  <si>
    <t>Aung Gyi</t>
  </si>
  <si>
    <t>တက်သစ်စ</t>
  </si>
  <si>
    <t>Tat Thit Sa</t>
  </si>
  <si>
    <t>ပြည်ဟိန်းကျော်</t>
  </si>
  <si>
    <t>Pyi Hein Kyaw</t>
  </si>
  <si>
    <t>ဒေါ်စိန်စိန်ဦး</t>
  </si>
  <si>
    <t>Daw Sein Sein Oo</t>
  </si>
  <si>
    <t>စိန်ရွှေမြ</t>
  </si>
  <si>
    <t>Sein Shwe Mya</t>
  </si>
  <si>
    <t>ကျော်ကြီး</t>
  </si>
  <si>
    <t>Kyaw Gyi</t>
  </si>
  <si>
    <t>မဂ်လာဒုံ</t>
  </si>
  <si>
    <t>ခေတ်သစ်</t>
  </si>
  <si>
    <t>Khit Thit</t>
  </si>
  <si>
    <t>စိုးစံ</t>
  </si>
  <si>
    <t>Soe San</t>
  </si>
  <si>
    <t>ရွှေရည်လင်း</t>
  </si>
  <si>
    <t>Shwe Yi Lin</t>
  </si>
  <si>
    <t>ဆန်းသစ်</t>
  </si>
  <si>
    <t>San Thit</t>
  </si>
  <si>
    <t>ဆု</t>
  </si>
  <si>
    <t>Su</t>
  </si>
  <si>
    <t>Aung</t>
  </si>
  <si>
    <t>ရွှေမိုးဦး</t>
  </si>
  <si>
    <t>Shwe Moe Oo</t>
  </si>
  <si>
    <t>ကိုကျော်သူ</t>
  </si>
  <si>
    <t>Ko Kyaw Thu</t>
  </si>
  <si>
    <t>KZ</t>
  </si>
  <si>
    <t>Mini VAN - 8</t>
  </si>
  <si>
    <t>ဦးမြင့်စိုး</t>
  </si>
  <si>
    <t>U Myint Soe</t>
  </si>
  <si>
    <t>ကောင်းသန့်</t>
  </si>
  <si>
    <t>Kaung Thant</t>
  </si>
  <si>
    <t>ညီညီပိုးပိုး</t>
  </si>
  <si>
    <t>Nyi Nyi Poe Poe</t>
  </si>
  <si>
    <t>Happy Life</t>
  </si>
  <si>
    <t>Emperor</t>
  </si>
  <si>
    <t>တက်လူ(၁)</t>
  </si>
  <si>
    <t>Tat Lu(1)</t>
  </si>
  <si>
    <t>ကမ္ဘာကျော်</t>
  </si>
  <si>
    <t>Kabar Kyaw</t>
  </si>
  <si>
    <t>ရွှေလမင်း</t>
  </si>
  <si>
    <t>Shwe La Min</t>
  </si>
  <si>
    <t>ဘောလည်-အဖျောက်</t>
  </si>
  <si>
    <t>Bawlel + Ahphyouk</t>
  </si>
  <si>
    <t>ဒေါ်မိုးမိုးစန်း</t>
  </si>
  <si>
    <t>Daw Moe Moe San</t>
  </si>
  <si>
    <t>သိန်းစတိုး (မသန္တာ)</t>
  </si>
  <si>
    <t>Thein Store</t>
  </si>
  <si>
    <t>OK</t>
  </si>
  <si>
    <t>မှော်ဘီ-မြောင်းတကာ</t>
  </si>
  <si>
    <t>Hmawbi + Myaungtakar</t>
  </si>
  <si>
    <t>လင်းသစ်</t>
  </si>
  <si>
    <t>Linn Thit</t>
  </si>
  <si>
    <t>ဆုံနေကျ</t>
  </si>
  <si>
    <t>Sone Nay Kya</t>
  </si>
  <si>
    <t>ဦးဖြိုး</t>
  </si>
  <si>
    <t>U Phyoe</t>
  </si>
  <si>
    <t>သိန်းရာဇာ</t>
  </si>
  <si>
    <t>Thein Yar Zar</t>
  </si>
  <si>
    <t>လမ်းသစ်</t>
  </si>
  <si>
    <t>Lan Thit</t>
  </si>
  <si>
    <t>ရွှေခါနန်</t>
  </si>
  <si>
    <t>Shwe Khar Nan</t>
  </si>
  <si>
    <t>A-One</t>
  </si>
  <si>
    <t>ရွှေရခိုင်</t>
  </si>
  <si>
    <t>Shwe YaKhine</t>
  </si>
  <si>
    <t>ဝေဖြိုးချမ်းသာ</t>
  </si>
  <si>
    <t>Wai Phyo Chan Thar</t>
  </si>
  <si>
    <t>မိုးကျော် ၂</t>
  </si>
  <si>
    <t>Moe Kyaw 2</t>
  </si>
  <si>
    <t>Mini VAN - 9</t>
  </si>
  <si>
    <t>ဘုံဘုံ</t>
  </si>
  <si>
    <t>Bone Bone</t>
  </si>
  <si>
    <t>Total Mini Wholesales (118)</t>
  </si>
  <si>
    <t xml:space="preserve">Van </t>
  </si>
  <si>
    <t>ASM</t>
  </si>
  <si>
    <t xml:space="preserve">Area </t>
  </si>
  <si>
    <t xml:space="preserve">Total Outlet </t>
  </si>
  <si>
    <t xml:space="preserve">Frequancy </t>
  </si>
  <si>
    <t xml:space="preserve">Van 1 </t>
  </si>
  <si>
    <t>Zay Paing Phyo</t>
  </si>
  <si>
    <t>North Okkalapa / North Dagon</t>
  </si>
  <si>
    <t xml:space="preserve">Van 2 </t>
  </si>
  <si>
    <t>South Dagon / Thar Kay Ta</t>
  </si>
  <si>
    <t>Van 3</t>
  </si>
  <si>
    <t>Naing Naing Aung</t>
  </si>
  <si>
    <t>Yankin / South Okkalapa</t>
  </si>
  <si>
    <t>Van 4</t>
  </si>
  <si>
    <t>Insein / Downtown</t>
  </si>
  <si>
    <t>Van 5</t>
  </si>
  <si>
    <t>Pyae Phyo Win</t>
  </si>
  <si>
    <t>Kyauktan / Thanlyin</t>
  </si>
  <si>
    <t>Van 6</t>
  </si>
  <si>
    <t>Zay Yar Phyo</t>
  </si>
  <si>
    <t>Van 7</t>
  </si>
  <si>
    <t>Van 8</t>
  </si>
  <si>
    <t>Shwe Pyi Thar / Hmawbi</t>
  </si>
  <si>
    <t>Van 9</t>
  </si>
  <si>
    <t>Kyaw Yin Htoo</t>
  </si>
  <si>
    <t>Twantay / Dala</t>
  </si>
  <si>
    <t xml:space="preserve">Total Van Sales </t>
  </si>
  <si>
    <t>Bot</t>
  </si>
  <si>
    <t>10-days</t>
  </si>
  <si>
    <t>20-days</t>
  </si>
  <si>
    <t>Month Till Date</t>
  </si>
  <si>
    <t>PKT</t>
  </si>
  <si>
    <t>BOT</t>
  </si>
  <si>
    <t>Liter</t>
  </si>
  <si>
    <t>Lit</t>
  </si>
  <si>
    <t>SemiWholesales Follow Up - (Yangon)</t>
  </si>
  <si>
    <t xml:space="preserve">         </t>
  </si>
  <si>
    <t>No</t>
  </si>
  <si>
    <t>Customer Names</t>
  </si>
  <si>
    <t>Township (Area)</t>
  </si>
  <si>
    <t>Type</t>
  </si>
  <si>
    <t xml:space="preserve">Contact Name </t>
  </si>
  <si>
    <t>Contact No.</t>
  </si>
  <si>
    <t xml:space="preserve">Responsible by </t>
  </si>
  <si>
    <t>Semi</t>
  </si>
  <si>
    <t>မယဉ်မွန်ဦး</t>
  </si>
  <si>
    <t>Ma Yin Mon Oo</t>
  </si>
  <si>
    <t>09-786265425</t>
  </si>
  <si>
    <t>မသိင်္ဂီမော်</t>
  </si>
  <si>
    <t>Ma Theingi Maw</t>
  </si>
  <si>
    <t>09-5402173</t>
  </si>
  <si>
    <t>ကိုလွင်</t>
  </si>
  <si>
    <t>Ko Lwin</t>
  </si>
  <si>
    <t>09-5112063</t>
  </si>
  <si>
    <t>မြင့်မြင့်လှိုင်</t>
  </si>
  <si>
    <t>Myint Myint Hlaing</t>
  </si>
  <si>
    <t>09-5099618</t>
  </si>
  <si>
    <t>Ko Chan Aye</t>
  </si>
  <si>
    <t>09-5076711</t>
  </si>
  <si>
    <t>ဖုန်း စက်ပိတ်ထားပါသည်။</t>
  </si>
  <si>
    <t>သင်ဇာ</t>
  </si>
  <si>
    <t>Thin Zar</t>
  </si>
  <si>
    <t>09-787050297</t>
  </si>
  <si>
    <t>မသင်းသင်း</t>
  </si>
  <si>
    <t>Ma Thin Thin</t>
  </si>
  <si>
    <t>09-5501705</t>
  </si>
  <si>
    <t>မထက်ထက်</t>
  </si>
  <si>
    <t>Ma Htet Htet</t>
  </si>
  <si>
    <t>09-72987727</t>
  </si>
  <si>
    <t>-</t>
  </si>
  <si>
    <t>09-421130178</t>
  </si>
  <si>
    <t>09-250387061</t>
  </si>
  <si>
    <t>ဒေါ်ခင်မာစန်း</t>
  </si>
  <si>
    <t>Daw Khin Mar San</t>
  </si>
  <si>
    <t>09-799798835</t>
  </si>
  <si>
    <t>09-777971600</t>
  </si>
  <si>
    <t>မချိုချိုဝင်း</t>
  </si>
  <si>
    <t>Ma Cho Cho Win</t>
  </si>
  <si>
    <t>09-5155527</t>
  </si>
  <si>
    <t>သိမ့်ဇာနည်အောင်</t>
  </si>
  <si>
    <t>Theint Zar Ni Aung</t>
  </si>
  <si>
    <t>09-421125580</t>
  </si>
  <si>
    <t>ကိုဖြိုး</t>
  </si>
  <si>
    <t>Ko Pyo</t>
  </si>
  <si>
    <t>09-740857778</t>
  </si>
  <si>
    <t>ဦးဝင်းသိန်း</t>
  </si>
  <si>
    <t>U Win Thein</t>
  </si>
  <si>
    <t>09-795550911</t>
  </si>
  <si>
    <t>ဒေါ်စန်းစန်းမြင့်</t>
  </si>
  <si>
    <t>Daw San San Myint</t>
  </si>
  <si>
    <t>09-767949921</t>
  </si>
  <si>
    <t>မေနှင်းစိုး</t>
  </si>
  <si>
    <t>May Hnin Soe</t>
  </si>
  <si>
    <t>09-797936923</t>
  </si>
  <si>
    <t>မချယ်ရီသင်း</t>
  </si>
  <si>
    <t>Ma Cherry Thin</t>
  </si>
  <si>
    <t>09-773573238</t>
  </si>
  <si>
    <t>မင်းမင်း</t>
  </si>
  <si>
    <t>Min Min</t>
  </si>
  <si>
    <t>09-5088894</t>
  </si>
  <si>
    <t>ကိုမိုးကျော်သူ</t>
  </si>
  <si>
    <t>Ko Moe Kyaw Thu</t>
  </si>
  <si>
    <t>09-5416021</t>
  </si>
  <si>
    <t>U Tun Shwe</t>
  </si>
  <si>
    <t>09-5396239</t>
  </si>
  <si>
    <t xml:space="preserve">ကိုမိုးကျော် </t>
  </si>
  <si>
    <t xml:space="preserve">Ko Moe Kyaw  </t>
  </si>
  <si>
    <t>09-420209981</t>
  </si>
  <si>
    <t>ဦးစိန်ညွှန့်</t>
  </si>
  <si>
    <t>U Sein Nyunt</t>
  </si>
  <si>
    <t>09-799432744</t>
  </si>
  <si>
    <t>ကိုသက်နိူင်ထွန်း</t>
  </si>
  <si>
    <t>Ko Thet Naing Tun</t>
  </si>
  <si>
    <t>09-420000393</t>
  </si>
  <si>
    <t>ကိုငြိမ်း</t>
  </si>
  <si>
    <t>Ko Nyein</t>
  </si>
  <si>
    <t>09-429275142</t>
  </si>
  <si>
    <t>09-259290011</t>
  </si>
  <si>
    <t>ဇော်ဝင်းရှိန်</t>
  </si>
  <si>
    <t xml:space="preserve">Zaw Win Shain </t>
  </si>
  <si>
    <t>09-799890599</t>
  </si>
  <si>
    <t>မကျင်နု</t>
  </si>
  <si>
    <t>Ma Kyin Nu</t>
  </si>
  <si>
    <t>09-43135443</t>
  </si>
  <si>
    <t>09-43043590</t>
  </si>
  <si>
    <t>09-785300463</t>
  </si>
  <si>
    <t>ဒေါ္ခင်သီ</t>
  </si>
  <si>
    <t>09-449489874</t>
  </si>
  <si>
    <t>ကိုမျိုးအောင်ထိုက်</t>
  </si>
  <si>
    <t>09-43114499</t>
  </si>
  <si>
    <t>ကိုခိုင်မျိုးဇော်</t>
  </si>
  <si>
    <t>09-788624296</t>
  </si>
  <si>
    <t>မနိူင်နိူင်</t>
  </si>
  <si>
    <t>Ma Naing Naing</t>
  </si>
  <si>
    <t>09-765053503</t>
  </si>
  <si>
    <t>ဦးမူတူး</t>
  </si>
  <si>
    <t>U Muu Too</t>
  </si>
  <si>
    <t>09-5016279</t>
  </si>
  <si>
    <t>ယဉ်ယဉ်မြင့်</t>
  </si>
  <si>
    <t>Yin Yin Myint</t>
  </si>
  <si>
    <t>09-5072799</t>
  </si>
  <si>
    <t>09-5067020</t>
  </si>
  <si>
    <t>ဒေါ်မြင့်မြင့်ဝင်း</t>
  </si>
  <si>
    <t>Daw Myint Myint Win</t>
  </si>
  <si>
    <t>09-451718240</t>
  </si>
  <si>
    <t>ဒေါ်သိန်းသိန်း</t>
  </si>
  <si>
    <t>Daw Thein Thein</t>
  </si>
  <si>
    <t>09-43056291</t>
  </si>
  <si>
    <t>ကိုကြည်မင်း</t>
  </si>
  <si>
    <t>Ko Kyi Min</t>
  </si>
  <si>
    <t>09-254044436</t>
  </si>
  <si>
    <t>09-264834435</t>
  </si>
  <si>
    <t>မရီရီသိန်း</t>
  </si>
  <si>
    <t>Ma Ye Ye Thein</t>
  </si>
  <si>
    <t>09-790135596</t>
  </si>
  <si>
    <t>09-451745606</t>
  </si>
  <si>
    <t>ဒေါ်သန်းသန်းထွေး</t>
  </si>
  <si>
    <t>Daw Than Than Htwe</t>
  </si>
  <si>
    <t>09-253570077</t>
  </si>
  <si>
    <t>မဘေဘီ</t>
  </si>
  <si>
    <t>Ma Baby</t>
  </si>
  <si>
    <t>09-797891060</t>
  </si>
  <si>
    <t>ကိုဘာဘူ</t>
  </si>
  <si>
    <t>Ko Bar Bu</t>
  </si>
  <si>
    <t>09-251023235</t>
  </si>
  <si>
    <t>ဒေါ်အေးအေးခိုင်</t>
  </si>
  <si>
    <t>Daw Aye Aye Khine</t>
  </si>
  <si>
    <t>09-5198919</t>
  </si>
  <si>
    <t>U Tin Saw</t>
  </si>
  <si>
    <t>09-774311600</t>
  </si>
  <si>
    <t>ကိုရဲထွန်း</t>
  </si>
  <si>
    <t>Ko Ye' Htun</t>
  </si>
  <si>
    <t>09-790140083</t>
  </si>
  <si>
    <t>မလွင်လွင်အေး</t>
  </si>
  <si>
    <t>Ma Lwin Lwin Aye</t>
  </si>
  <si>
    <t>09-785223915</t>
  </si>
  <si>
    <t>09-5071793</t>
  </si>
  <si>
    <t>ဒေါ်လှမြင့်</t>
  </si>
  <si>
    <t>Daw Hla Myint</t>
  </si>
  <si>
    <t>09-264977718</t>
  </si>
  <si>
    <t>မကြူ</t>
  </si>
  <si>
    <t>Ma Kyu</t>
  </si>
  <si>
    <t>09-420094196</t>
  </si>
  <si>
    <t>ငြိမ်းရွှေရည်ဦး</t>
  </si>
  <si>
    <t>Nyein Shwe Yee Oo</t>
  </si>
  <si>
    <t>09-771145988</t>
  </si>
  <si>
    <t>Daw Tin Kyee</t>
  </si>
  <si>
    <t>09-968661110</t>
  </si>
  <si>
    <t>ဦးစိုးမြင့်</t>
  </si>
  <si>
    <t>U Soe Myint</t>
  </si>
  <si>
    <t>09-790134859</t>
  </si>
  <si>
    <t>ခိုင်ဇော်လင်း</t>
  </si>
  <si>
    <t>Khine Zaw Lin</t>
  </si>
  <si>
    <t>09-421060799</t>
  </si>
  <si>
    <t>ဒေါ်မီမီအောင်</t>
  </si>
  <si>
    <t>Daw Mi Mi Aung</t>
  </si>
  <si>
    <t>09-790134946</t>
  </si>
  <si>
    <t>မျိုးဇော်ဦး</t>
  </si>
  <si>
    <t>Myo Zaw Oo</t>
  </si>
  <si>
    <t>09-441071873</t>
  </si>
  <si>
    <t>မလဲ့လဲ့တင်</t>
  </si>
  <si>
    <t>Ma Le' Le' Tin</t>
  </si>
  <si>
    <t>09-254179113</t>
  </si>
  <si>
    <t>ကိုခင်မောင်လတ်</t>
  </si>
  <si>
    <t>Ko Khin Maung Latt</t>
  </si>
  <si>
    <t>09-421176754</t>
  </si>
  <si>
    <t xml:space="preserve">Ko Kyaw San </t>
  </si>
  <si>
    <t>09-428581486</t>
  </si>
  <si>
    <t>09-450007920</t>
  </si>
  <si>
    <t>ဝါဝါဝင်း</t>
  </si>
  <si>
    <t>War War Win</t>
  </si>
  <si>
    <t>09-261792178</t>
  </si>
  <si>
    <t>မသေး</t>
  </si>
  <si>
    <t>Ma Thay</t>
  </si>
  <si>
    <t>09-799551355</t>
  </si>
  <si>
    <t>မဇာခြည်</t>
  </si>
  <si>
    <t>Ma Zar Chi</t>
  </si>
  <si>
    <t>09-5015105</t>
  </si>
  <si>
    <t>မခင်အေးနိူင်</t>
  </si>
  <si>
    <t>Ma Khin Aye Naing</t>
  </si>
  <si>
    <t>09-420064933</t>
  </si>
  <si>
    <t>ဦးရင်သိန်း</t>
  </si>
  <si>
    <t>U Yin Thein</t>
  </si>
  <si>
    <t>09-895068695</t>
  </si>
  <si>
    <t>U Hla Swe</t>
  </si>
  <si>
    <t>09-420187633</t>
  </si>
  <si>
    <t xml:space="preserve"> မနီ</t>
  </si>
  <si>
    <t>Ma Ni</t>
  </si>
  <si>
    <t>09-421052207</t>
  </si>
  <si>
    <t>မငြိမ်းငြိမ်းလတ်</t>
  </si>
  <si>
    <t>Ma Nyein Nyein Latt</t>
  </si>
  <si>
    <t>09-254310404</t>
  </si>
  <si>
    <t>ဦးထွန်းဦး</t>
  </si>
  <si>
    <t>U Tun Oo</t>
  </si>
  <si>
    <t>09-5137499</t>
  </si>
  <si>
    <t>မယဉ်ချောစု</t>
  </si>
  <si>
    <t>Ma Yin Chaw Su</t>
  </si>
  <si>
    <t>09-799255844</t>
  </si>
  <si>
    <t>မခင်သန္တာအုန်း</t>
  </si>
  <si>
    <t>Ma Khin Thandar Own</t>
  </si>
  <si>
    <t>09-420152100</t>
  </si>
  <si>
    <t>္မနွယ်အဉ္ဇလီ</t>
  </si>
  <si>
    <t>09-500572</t>
  </si>
  <si>
    <t>မသန္တာချို</t>
  </si>
  <si>
    <t>09-42007400</t>
  </si>
  <si>
    <t>ဦးကြည်ရွင်</t>
  </si>
  <si>
    <t>09-250051065</t>
  </si>
  <si>
    <t>ကိုဖိုးချို</t>
  </si>
  <si>
    <t>09-450022467</t>
  </si>
  <si>
    <t>ဒေါ္သံသီး</t>
  </si>
  <si>
    <t>09-970268033</t>
  </si>
  <si>
    <t>Total</t>
  </si>
  <si>
    <t xml:space="preserve">Contact No. </t>
  </si>
  <si>
    <t xml:space="preserve">Responsible By </t>
  </si>
  <si>
    <t xml:space="preserve">January Target </t>
  </si>
  <si>
    <t>09-5074957</t>
  </si>
  <si>
    <t>VAN - 1</t>
  </si>
  <si>
    <t>09-428032169</t>
  </si>
  <si>
    <t>09-761002566</t>
  </si>
  <si>
    <t>09-408886363</t>
  </si>
  <si>
    <t>09-789639587</t>
  </si>
  <si>
    <t>09-752243729</t>
  </si>
  <si>
    <t>09-400088322
09-791488902</t>
  </si>
  <si>
    <t>09-775725808</t>
  </si>
  <si>
    <t>09-43074447
09-795587564</t>
  </si>
  <si>
    <t>09-448039915</t>
  </si>
  <si>
    <t>09-952500254</t>
  </si>
  <si>
    <t>09-43066615</t>
  </si>
  <si>
    <t>09-420025282</t>
  </si>
  <si>
    <t>09-43132858</t>
  </si>
  <si>
    <t>VAN - 2</t>
  </si>
  <si>
    <t>09-420099050</t>
  </si>
  <si>
    <t>09-792063131</t>
  </si>
  <si>
    <t>013-8950408/09-760400600</t>
  </si>
  <si>
    <t>013-547384</t>
  </si>
  <si>
    <t>013-551575/09-760788442</t>
  </si>
  <si>
    <t>09-456324151</t>
  </si>
  <si>
    <t>09-975216875</t>
  </si>
  <si>
    <t>09-5029312/09-693539003</t>
  </si>
  <si>
    <t>09-945915566</t>
  </si>
  <si>
    <t>09-250353430</t>
  </si>
  <si>
    <t>09-250047765</t>
  </si>
  <si>
    <t>09-43095976</t>
  </si>
  <si>
    <t>09-772425870/09-264191446</t>
  </si>
  <si>
    <t>09-404520037/09-694540309</t>
  </si>
  <si>
    <t>VAN - 3</t>
  </si>
  <si>
    <t>09-964211309</t>
  </si>
  <si>
    <t>09-963438728</t>
  </si>
  <si>
    <t>09-254385992</t>
  </si>
  <si>
    <t>09-254110967</t>
  </si>
  <si>
    <t>09-791016948</t>
  </si>
  <si>
    <t>09-421020456</t>
  </si>
  <si>
    <t>09-254048696</t>
  </si>
  <si>
    <t>09-950166884</t>
  </si>
  <si>
    <t>09-687553149</t>
  </si>
  <si>
    <t>09-790178312</t>
  </si>
  <si>
    <t>09-421034340</t>
  </si>
  <si>
    <t>94-43006204</t>
  </si>
  <si>
    <t>09-5036079</t>
  </si>
  <si>
    <t>09-257812600</t>
  </si>
  <si>
    <t>09-987962671</t>
  </si>
  <si>
    <t>09-5156363</t>
  </si>
  <si>
    <t>09-979781781</t>
  </si>
  <si>
    <t>09-422471016/09-770508462</t>
  </si>
  <si>
    <t>09-765639428</t>
  </si>
  <si>
    <t>VAN - 4</t>
  </si>
  <si>
    <t>09-970173922</t>
  </si>
  <si>
    <t>09-763167187</t>
  </si>
  <si>
    <t>09-799775146</t>
  </si>
  <si>
    <t>09-982798225</t>
  </si>
  <si>
    <t>09-420054965</t>
  </si>
  <si>
    <t>09-250164088</t>
  </si>
  <si>
    <t>09-250048842</t>
  </si>
  <si>
    <t>09-421014439</t>
  </si>
  <si>
    <t>09-5135997</t>
  </si>
  <si>
    <t>09-406869191</t>
  </si>
  <si>
    <t>09-959518484</t>
  </si>
  <si>
    <t>09-790149319</t>
  </si>
  <si>
    <t>09-699929396</t>
  </si>
  <si>
    <t>09-788224273</t>
  </si>
  <si>
    <t>09-759867778/09-789061690</t>
  </si>
  <si>
    <t>09-976300346/09-763985429</t>
  </si>
  <si>
    <t>09-666622940</t>
  </si>
  <si>
    <t>09-5186362</t>
  </si>
  <si>
    <t>09-791773665</t>
  </si>
  <si>
    <t>09-795562117/09-5094642</t>
  </si>
  <si>
    <t>09-940681968</t>
  </si>
  <si>
    <t>09-779600228/09-421158969</t>
  </si>
  <si>
    <t>09-960309948</t>
  </si>
  <si>
    <t>09-969354844</t>
  </si>
  <si>
    <t>09-5197443</t>
  </si>
  <si>
    <t>Van - 6</t>
  </si>
  <si>
    <t>09-450022058</t>
  </si>
  <si>
    <t>09-661310881</t>
  </si>
  <si>
    <t>VAN - 7</t>
  </si>
  <si>
    <t>09-684615186</t>
  </si>
  <si>
    <t>09-421059808</t>
  </si>
  <si>
    <t>09-769220136/09-789946225</t>
  </si>
  <si>
    <t>09-778866962</t>
  </si>
  <si>
    <t>09-252541874</t>
  </si>
  <si>
    <t>09-799849827</t>
  </si>
  <si>
    <t>09-764790154</t>
  </si>
  <si>
    <t>09-751500734</t>
  </si>
  <si>
    <t>09-448527077</t>
  </si>
  <si>
    <t>09-788347729</t>
  </si>
  <si>
    <t>09-680796397</t>
  </si>
  <si>
    <t>09-699080060</t>
  </si>
  <si>
    <t>09-757736834</t>
  </si>
  <si>
    <t>09-755303070/09-688841045</t>
  </si>
  <si>
    <t>09-777483337</t>
  </si>
  <si>
    <t>09-428726146</t>
  </si>
  <si>
    <t>09-5416339</t>
  </si>
  <si>
    <t>09-760140941</t>
  </si>
  <si>
    <t>09-761648553</t>
  </si>
  <si>
    <t>09-421108336</t>
  </si>
  <si>
    <t>09-408133214/09-421170772</t>
  </si>
  <si>
    <t>09-444939873</t>
  </si>
  <si>
    <t>09-444605413</t>
  </si>
  <si>
    <t>09-420018086</t>
  </si>
  <si>
    <t>09-420079768</t>
  </si>
  <si>
    <t>09-788406761</t>
  </si>
  <si>
    <t>09-43090776</t>
  </si>
  <si>
    <t>VAN - 8</t>
  </si>
  <si>
    <t>09-252272866</t>
  </si>
  <si>
    <t>09-959269579/09-790142136</t>
  </si>
  <si>
    <t>09-443377844</t>
  </si>
  <si>
    <t>09-43138709</t>
  </si>
  <si>
    <t>09-798966265/09-663333886</t>
  </si>
  <si>
    <t>09-798369865/09-882693322</t>
  </si>
  <si>
    <t>09-983217581</t>
  </si>
  <si>
    <t>09-980804429</t>
  </si>
  <si>
    <t>09-688247272/09-786445821</t>
  </si>
  <si>
    <t>09-422527449</t>
  </si>
  <si>
    <t>09-43043433</t>
  </si>
  <si>
    <t>09-756475546</t>
  </si>
  <si>
    <t>09-250522415</t>
  </si>
  <si>
    <t>09-420200943</t>
  </si>
  <si>
    <t>09-758179704/09-753001169</t>
  </si>
  <si>
    <t>09-755194123/09-754649464</t>
  </si>
  <si>
    <t>09-665246574/09-678126286</t>
  </si>
  <si>
    <t>09-974174852</t>
  </si>
  <si>
    <t>09-898925019</t>
  </si>
  <si>
    <t>09-428360391</t>
  </si>
  <si>
    <t>Total Mini Wholesales (146)</t>
  </si>
  <si>
    <t>Van Sales  Follow Up - (Yangon)</t>
  </si>
  <si>
    <t>Ko Zay Paing Phyo</t>
  </si>
  <si>
    <t>Ko Naing Naing Aung</t>
  </si>
  <si>
    <t>Yankin / South Okkalapa/Tamwe</t>
  </si>
  <si>
    <t>Insein /Hlaing/Mayangone/ Downtown</t>
  </si>
  <si>
    <t>Ko Ye Htun Aung</t>
  </si>
  <si>
    <t>Hlaing Thar Yar/Htan Ta Pin</t>
  </si>
  <si>
    <t>Ko Zay Yar Phyoe</t>
  </si>
  <si>
    <t>Mingalardon/Htauk Kyant/Hlegue</t>
  </si>
  <si>
    <t>Shwe Pyi Thar / Hmawbi/Taik Kyi</t>
  </si>
  <si>
    <t>Ko Myo Swe Thant (Ye Yint)</t>
  </si>
  <si>
    <t>2/29/2026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</si>
</sst>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.0_);_(* \(#,##0.0\);_(* &quot;-&quot;_);_(@_)"/>
    <numFmt numFmtId="166" formatCode="_(* #,##0_);_(* \(#,##0\);_(* &quot;-&quot;??_);_(@_)"/>
    <numFmt numFmtId="167" formatCode="0.0%"/>
    <numFmt numFmtId="168" formatCode="_(* #,##0.0_);_(* \(#,##0.0\);_(* &quot;-&quot;??_);_(@_)"/>
  </numFmts>
  <fonts count="27" x14ac:knownFonts="1">
    <font>
      <sz val="11"/>
      <color theme="1"/>
      <name val="Pyidaungsu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b/>
      <sz val="10"/>
      <color rgb="FFFF0000"/>
      <name val="Pyidaungsu"/>
      <family val="2"/>
    </font>
    <font>
      <b/>
      <sz val="10"/>
      <color rgb="FF0000FF"/>
      <name val="Pyidaungsu"/>
      <family val="2"/>
    </font>
    <font>
      <sz val="10"/>
      <color rgb="FFFF0000"/>
      <name val="Pyidaungsu"/>
      <family val="2"/>
    </font>
    <font>
      <sz val="10"/>
      <color rgb="FF0000FF"/>
      <name val="Pyidaungsu"/>
      <family val="2"/>
    </font>
    <font>
      <b/>
      <u/>
      <sz val="10"/>
      <color theme="1"/>
      <name val="Pyidaungsu"/>
      <family val="2"/>
    </font>
    <font>
      <sz val="10"/>
      <name val="Pyidaungsu"/>
      <family val="2"/>
    </font>
    <font>
      <sz val="10"/>
      <color rgb="FF000000"/>
      <name val="Pyidaungsu"/>
      <family val="2"/>
    </font>
    <font>
      <sz val="11"/>
      <color theme="1"/>
      <name val="Pyidaungsu"/>
      <family val="2"/>
    </font>
    <font>
      <u/>
      <sz val="11"/>
      <color theme="10"/>
      <name val="Pyidaungsu"/>
      <family val="2"/>
    </font>
    <font>
      <b/>
      <sz val="11"/>
      <color theme="1"/>
      <name val="Pyidaungsu"/>
      <family val="2"/>
    </font>
    <font>
      <b/>
      <u/>
      <sz val="11"/>
      <color theme="1"/>
      <name val="Pyidaungsu"/>
      <family val="2"/>
    </font>
    <font>
      <sz val="11"/>
      <color rgb="FFFF0000"/>
      <name val="Pyidaungsu"/>
      <family val="2"/>
    </font>
    <font>
      <u/>
      <sz val="11"/>
      <color theme="10"/>
      <name val="Calibri"/>
      <family val="2"/>
      <scheme val="minor"/>
    </font>
    <font>
      <b/>
      <sz val="11"/>
      <name val="Pyidaungsu"/>
      <family val="2"/>
    </font>
    <font>
      <sz val="11"/>
      <name val="Pyidaungsu"/>
      <family val="2"/>
    </font>
    <font>
      <u/>
      <sz val="10"/>
      <color theme="10"/>
      <name val="Pyidaungsu"/>
      <family val="2"/>
    </font>
    <font>
      <sz val="9"/>
      <color theme="1"/>
      <name val="Pyidaungsu"/>
      <family val="2"/>
    </font>
    <font>
      <b/>
      <sz val="9"/>
      <color theme="1"/>
      <name val="Pyidaungsu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43" fontId="4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" fillId="0" borderId="0"/>
    <xf numFmtId="0" fontId="4" fillId="0" borderId="0"/>
    <xf numFmtId="0" fontId="21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448">
    <xf numFmtId="0" fontId="0" fillId="0" borderId="0" xfId="0"/>
    <xf numFmtId="0" fontId="7" fillId="0" borderId="0" xfId="2" applyFont="1" applyAlignment="1">
      <alignment vertical="center"/>
    </xf>
    <xf numFmtId="165" fontId="8" fillId="0" borderId="0" xfId="3" applyNumberFormat="1" applyFont="1" applyAlignment="1">
      <alignment vertical="center"/>
    </xf>
    <xf numFmtId="0" fontId="8" fillId="2" borderId="1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4" applyFont="1" applyAlignment="1">
      <alignment vertical="center"/>
    </xf>
    <xf numFmtId="166" fontId="8" fillId="2" borderId="1" xfId="2" applyNumberFormat="1" applyFont="1" applyFill="1" applyBorder="1" applyAlignment="1">
      <alignment horizontal="center" vertical="center"/>
    </xf>
    <xf numFmtId="164" fontId="8" fillId="3" borderId="1" xfId="3" applyFont="1" applyFill="1" applyBorder="1" applyAlignment="1">
      <alignment horizontal="center" vertical="center"/>
    </xf>
    <xf numFmtId="0" fontId="8" fillId="0" borderId="0" xfId="4" applyFont="1" applyAlignment="1">
      <alignment horizontal="center"/>
    </xf>
    <xf numFmtId="0" fontId="9" fillId="0" borderId="1" xfId="0" applyFont="1" applyBorder="1" applyAlignment="1">
      <alignment horizontal="left" vertical="center"/>
    </xf>
    <xf numFmtId="166" fontId="9" fillId="2" borderId="1" xfId="0" applyNumberFormat="1" applyFont="1" applyFill="1" applyBorder="1" applyAlignment="1">
      <alignment vertical="center"/>
    </xf>
    <xf numFmtId="166" fontId="9" fillId="3" borderId="1" xfId="0" applyNumberFormat="1" applyFont="1" applyFill="1" applyBorder="1" applyAlignment="1">
      <alignment vertical="center"/>
    </xf>
    <xf numFmtId="166" fontId="9" fillId="4" borderId="1" xfId="0" applyNumberFormat="1" applyFont="1" applyFill="1" applyBorder="1" applyAlignment="1">
      <alignment vertical="center"/>
    </xf>
    <xf numFmtId="166" fontId="9" fillId="5" borderId="1" xfId="0" applyNumberFormat="1" applyFont="1" applyFill="1" applyBorder="1" applyAlignment="1">
      <alignment vertical="center"/>
    </xf>
    <xf numFmtId="166" fontId="9" fillId="6" borderId="1" xfId="0" applyNumberFormat="1" applyFont="1" applyFill="1" applyBorder="1" applyAlignment="1">
      <alignment vertical="center"/>
    </xf>
    <xf numFmtId="164" fontId="7" fillId="0" borderId="0" xfId="3" applyFont="1" applyFill="1" applyBorder="1" applyAlignment="1">
      <alignment horizontal="center" vertical="center"/>
    </xf>
    <xf numFmtId="9" fontId="8" fillId="0" borderId="0" xfId="5" applyFont="1" applyFill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166" fontId="10" fillId="2" borderId="1" xfId="2" applyNumberFormat="1" applyFont="1" applyFill="1" applyBorder="1" applyAlignment="1">
      <alignment vertical="center"/>
    </xf>
    <xf numFmtId="166" fontId="10" fillId="3" borderId="1" xfId="2" applyNumberFormat="1" applyFont="1" applyFill="1" applyBorder="1" applyAlignment="1">
      <alignment vertical="center"/>
    </xf>
    <xf numFmtId="166" fontId="10" fillId="4" borderId="1" xfId="2" applyNumberFormat="1" applyFont="1" applyFill="1" applyBorder="1" applyAlignment="1">
      <alignment vertical="center"/>
    </xf>
    <xf numFmtId="166" fontId="10" fillId="5" borderId="1" xfId="2" applyNumberFormat="1" applyFont="1" applyFill="1" applyBorder="1" applyAlignment="1">
      <alignment vertical="center"/>
    </xf>
    <xf numFmtId="166" fontId="10" fillId="6" borderId="1" xfId="2" applyNumberFormat="1" applyFont="1" applyFill="1" applyBorder="1" applyAlignment="1">
      <alignment vertical="center"/>
    </xf>
    <xf numFmtId="9" fontId="8" fillId="0" borderId="1" xfId="5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 indent="1"/>
    </xf>
    <xf numFmtId="164" fontId="7" fillId="2" borderId="1" xfId="3" applyFont="1" applyFill="1" applyBorder="1" applyAlignment="1">
      <alignment vertical="center"/>
    </xf>
    <xf numFmtId="164" fontId="7" fillId="3" borderId="1" xfId="3" applyFont="1" applyFill="1" applyBorder="1" applyAlignment="1">
      <alignment vertical="center"/>
    </xf>
    <xf numFmtId="164" fontId="7" fillId="4" borderId="1" xfId="3" applyFont="1" applyFill="1" applyBorder="1" applyAlignment="1">
      <alignment vertical="center"/>
    </xf>
    <xf numFmtId="164" fontId="7" fillId="5" borderId="1" xfId="3" applyFont="1" applyFill="1" applyBorder="1" applyAlignment="1">
      <alignment vertical="center"/>
    </xf>
    <xf numFmtId="164" fontId="7" fillId="6" borderId="1" xfId="3" applyFont="1" applyFill="1" applyBorder="1" applyAlignment="1">
      <alignment vertical="center"/>
    </xf>
    <xf numFmtId="0" fontId="7" fillId="0" borderId="0" xfId="2" applyFont="1" applyAlignment="1">
      <alignment horizontal="left" vertical="center" indent="1"/>
    </xf>
    <xf numFmtId="164" fontId="7" fillId="0" borderId="0" xfId="3" applyFont="1" applyBorder="1" applyAlignment="1">
      <alignment vertical="center"/>
    </xf>
    <xf numFmtId="164" fontId="7" fillId="0" borderId="0" xfId="3" applyFont="1" applyFill="1" applyBorder="1" applyAlignment="1">
      <alignment vertical="center"/>
    </xf>
    <xf numFmtId="164" fontId="8" fillId="0" borderId="0" xfId="3" applyFont="1" applyBorder="1" applyAlignment="1">
      <alignment vertical="center"/>
    </xf>
    <xf numFmtId="0" fontId="9" fillId="0" borderId="1" xfId="2" applyFont="1" applyBorder="1" applyAlignment="1">
      <alignment horizontal="left" vertical="center"/>
    </xf>
    <xf numFmtId="166" fontId="9" fillId="2" borderId="1" xfId="2" applyNumberFormat="1" applyFont="1" applyFill="1" applyBorder="1" applyAlignment="1">
      <alignment vertical="center"/>
    </xf>
    <xf numFmtId="166" fontId="9" fillId="3" borderId="1" xfId="2" applyNumberFormat="1" applyFont="1" applyFill="1" applyBorder="1" applyAlignment="1">
      <alignment vertical="center"/>
    </xf>
    <xf numFmtId="166" fontId="9" fillId="4" borderId="1" xfId="2" applyNumberFormat="1" applyFont="1" applyFill="1" applyBorder="1" applyAlignment="1">
      <alignment vertical="center"/>
    </xf>
    <xf numFmtId="166" fontId="9" fillId="5" borderId="1" xfId="2" applyNumberFormat="1" applyFont="1" applyFill="1" applyBorder="1" applyAlignment="1">
      <alignment vertical="center"/>
    </xf>
    <xf numFmtId="166" fontId="9" fillId="6" borderId="1" xfId="2" applyNumberFormat="1" applyFont="1" applyFill="1" applyBorder="1" applyAlignment="1">
      <alignment vertical="center"/>
    </xf>
    <xf numFmtId="164" fontId="10" fillId="2" borderId="1" xfId="3" applyFont="1" applyFill="1" applyBorder="1" applyAlignment="1">
      <alignment vertical="center"/>
    </xf>
    <xf numFmtId="164" fontId="10" fillId="3" borderId="1" xfId="3" applyFont="1" applyFill="1" applyBorder="1" applyAlignment="1">
      <alignment vertical="center"/>
    </xf>
    <xf numFmtId="164" fontId="10" fillId="4" borderId="1" xfId="3" applyFont="1" applyFill="1" applyBorder="1" applyAlignment="1">
      <alignment vertical="center"/>
    </xf>
    <xf numFmtId="164" fontId="10" fillId="5" borderId="1" xfId="3" applyFont="1" applyFill="1" applyBorder="1" applyAlignment="1">
      <alignment vertical="center"/>
    </xf>
    <xf numFmtId="9" fontId="9" fillId="2" borderId="1" xfId="6" applyFont="1" applyFill="1" applyBorder="1" applyAlignment="1">
      <alignment vertical="center"/>
    </xf>
    <xf numFmtId="9" fontId="9" fillId="3" borderId="1" xfId="6" applyFont="1" applyFill="1" applyBorder="1" applyAlignment="1">
      <alignment vertical="center"/>
    </xf>
    <xf numFmtId="9" fontId="9" fillId="4" borderId="1" xfId="6" applyFont="1" applyFill="1" applyBorder="1" applyAlignment="1">
      <alignment vertical="center"/>
    </xf>
    <xf numFmtId="9" fontId="9" fillId="5" borderId="1" xfId="6" applyFont="1" applyFill="1" applyBorder="1" applyAlignment="1">
      <alignment vertical="center"/>
    </xf>
    <xf numFmtId="9" fontId="9" fillId="6" borderId="1" xfId="6" applyFont="1" applyFill="1" applyBorder="1" applyAlignment="1">
      <alignment vertical="center"/>
    </xf>
    <xf numFmtId="0" fontId="10" fillId="0" borderId="1" xfId="2" applyFont="1" applyBorder="1" applyAlignment="1">
      <alignment vertical="center"/>
    </xf>
    <xf numFmtId="9" fontId="10" fillId="2" borderId="1" xfId="6" applyFont="1" applyFill="1" applyBorder="1" applyAlignment="1">
      <alignment vertical="center"/>
    </xf>
    <xf numFmtId="9" fontId="10" fillId="3" borderId="1" xfId="6" applyFont="1" applyFill="1" applyBorder="1" applyAlignment="1">
      <alignment vertical="center"/>
    </xf>
    <xf numFmtId="9" fontId="10" fillId="4" borderId="1" xfId="6" applyFont="1" applyFill="1" applyBorder="1" applyAlignment="1">
      <alignment vertical="center"/>
    </xf>
    <xf numFmtId="9" fontId="10" fillId="5" borderId="1" xfId="6" applyFont="1" applyFill="1" applyBorder="1" applyAlignment="1">
      <alignment vertical="center"/>
    </xf>
    <xf numFmtId="9" fontId="10" fillId="6" borderId="1" xfId="6" applyFont="1" applyFill="1" applyBorder="1" applyAlignment="1">
      <alignment vertical="center"/>
    </xf>
    <xf numFmtId="0" fontId="8" fillId="0" borderId="0" xfId="2" applyFont="1" applyAlignment="1">
      <alignment vertical="center"/>
    </xf>
    <xf numFmtId="166" fontId="8" fillId="0" borderId="0" xfId="2" applyNumberFormat="1" applyFont="1" applyAlignment="1">
      <alignment vertical="center"/>
    </xf>
    <xf numFmtId="0" fontId="11" fillId="0" borderId="0" xfId="2" applyFont="1" applyAlignment="1">
      <alignment vertical="center"/>
    </xf>
    <xf numFmtId="164" fontId="9" fillId="0" borderId="0" xfId="3" applyFont="1" applyFill="1" applyBorder="1" applyAlignment="1">
      <alignment vertical="center"/>
    </xf>
    <xf numFmtId="0" fontId="9" fillId="0" borderId="0" xfId="2" applyFont="1" applyAlignment="1">
      <alignment vertical="center"/>
    </xf>
    <xf numFmtId="165" fontId="9" fillId="0" borderId="0" xfId="3" applyNumberFormat="1" applyFont="1" applyFill="1" applyAlignment="1">
      <alignment vertical="center"/>
    </xf>
    <xf numFmtId="166" fontId="9" fillId="0" borderId="0" xfId="2" applyNumberFormat="1" applyFont="1" applyAlignment="1">
      <alignment vertical="center"/>
    </xf>
    <xf numFmtId="0" fontId="12" fillId="0" borderId="0" xfId="2" applyFont="1" applyAlignment="1">
      <alignment vertical="center"/>
    </xf>
    <xf numFmtId="164" fontId="10" fillId="0" borderId="0" xfId="3" applyFont="1" applyFill="1" applyBorder="1" applyAlignment="1">
      <alignment vertical="center"/>
    </xf>
    <xf numFmtId="0" fontId="10" fillId="0" borderId="0" xfId="2" applyFont="1" applyAlignment="1">
      <alignment vertical="center"/>
    </xf>
    <xf numFmtId="165" fontId="10" fillId="0" borderId="0" xfId="3" applyNumberFormat="1" applyFont="1" applyFill="1" applyAlignment="1">
      <alignment vertical="center"/>
    </xf>
    <xf numFmtId="166" fontId="10" fillId="0" borderId="0" xfId="2" applyNumberFormat="1" applyFont="1" applyAlignment="1">
      <alignment vertical="center"/>
    </xf>
    <xf numFmtId="43" fontId="10" fillId="0" borderId="0" xfId="1" applyFont="1" applyFill="1" applyAlignment="1">
      <alignment vertical="center"/>
    </xf>
    <xf numFmtId="43" fontId="8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5" fontId="8" fillId="0" borderId="0" xfId="3" applyNumberFormat="1" applyFont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164" fontId="8" fillId="0" borderId="1" xfId="3" applyFont="1" applyBorder="1" applyAlignment="1">
      <alignment horizontal="center" vertical="center"/>
    </xf>
    <xf numFmtId="165" fontId="8" fillId="0" borderId="11" xfId="3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left" vertical="center" indent="1"/>
    </xf>
    <xf numFmtId="0" fontId="7" fillId="8" borderId="13" xfId="0" applyFont="1" applyFill="1" applyBorder="1" applyAlignment="1">
      <alignment vertical="center"/>
    </xf>
    <xf numFmtId="166" fontId="7" fillId="8" borderId="13" xfId="0" applyNumberFormat="1" applyFont="1" applyFill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9" fontId="7" fillId="0" borderId="1" xfId="6" applyFont="1" applyBorder="1" applyAlignment="1">
      <alignment horizontal="center" vertical="center"/>
    </xf>
    <xf numFmtId="10" fontId="7" fillId="8" borderId="11" xfId="6" applyNumberFormat="1" applyFont="1" applyFill="1" applyBorder="1" applyAlignment="1">
      <alignment horizontal="center"/>
    </xf>
    <xf numFmtId="166" fontId="8" fillId="0" borderId="14" xfId="2" applyNumberFormat="1" applyFont="1" applyBorder="1" applyAlignment="1">
      <alignment vertical="center"/>
    </xf>
    <xf numFmtId="166" fontId="8" fillId="0" borderId="1" xfId="2" applyNumberFormat="1" applyFont="1" applyBorder="1" applyAlignment="1">
      <alignment horizontal="center" vertical="center"/>
    </xf>
    <xf numFmtId="166" fontId="7" fillId="0" borderId="1" xfId="2" applyNumberFormat="1" applyFont="1" applyBorder="1" applyAlignment="1">
      <alignment vertical="center"/>
    </xf>
    <xf numFmtId="9" fontId="7" fillId="0" borderId="15" xfId="6" applyFont="1" applyBorder="1" applyAlignment="1">
      <alignment horizontal="center" vertical="center"/>
    </xf>
    <xf numFmtId="166" fontId="8" fillId="0" borderId="14" xfId="2" applyNumberFormat="1" applyFont="1" applyBorder="1" applyAlignment="1">
      <alignment horizontal="center" vertical="center"/>
    </xf>
    <xf numFmtId="166" fontId="8" fillId="0" borderId="14" xfId="7" applyNumberFormat="1" applyFont="1" applyFill="1" applyBorder="1" applyAlignment="1">
      <alignment horizontal="center" vertical="center"/>
    </xf>
    <xf numFmtId="166" fontId="8" fillId="0" borderId="1" xfId="7" applyNumberFormat="1" applyFont="1" applyFill="1" applyBorder="1" applyAlignment="1">
      <alignment horizontal="center" vertical="center"/>
    </xf>
    <xf numFmtId="9" fontId="7" fillId="3" borderId="15" xfId="6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vertical="center"/>
    </xf>
    <xf numFmtId="166" fontId="7" fillId="8" borderId="1" xfId="0" applyNumberFormat="1" applyFont="1" applyFill="1" applyBorder="1" applyAlignment="1">
      <alignment vertical="center"/>
    </xf>
    <xf numFmtId="166" fontId="7" fillId="8" borderId="1" xfId="0" applyNumberFormat="1" applyFont="1" applyFill="1" applyBorder="1" applyAlignment="1">
      <alignment horizontal="left" vertical="center" indent="1"/>
    </xf>
    <xf numFmtId="0" fontId="7" fillId="0" borderId="0" xfId="2" applyFont="1"/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/>
    <xf numFmtId="0" fontId="7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0" fontId="7" fillId="0" borderId="1" xfId="2" applyFont="1" applyBorder="1" applyAlignment="1">
      <alignment horizontal="center"/>
    </xf>
    <xf numFmtId="0" fontId="7" fillId="0" borderId="1" xfId="2" applyFont="1" applyBorder="1" applyAlignment="1">
      <alignment horizontal="left" indent="1"/>
    </xf>
    <xf numFmtId="2" fontId="7" fillId="0" borderId="1" xfId="2" applyNumberFormat="1" applyFont="1" applyBorder="1"/>
    <xf numFmtId="165" fontId="8" fillId="0" borderId="11" xfId="3" applyNumberFormat="1" applyFont="1" applyBorder="1"/>
    <xf numFmtId="164" fontId="8" fillId="0" borderId="14" xfId="3" applyFont="1" applyBorder="1"/>
    <xf numFmtId="164" fontId="8" fillId="0" borderId="1" xfId="3" applyFont="1" applyBorder="1"/>
    <xf numFmtId="9" fontId="8" fillId="0" borderId="15" xfId="6" applyFont="1" applyBorder="1" applyAlignment="1">
      <alignment horizontal="center" vertical="center"/>
    </xf>
    <xf numFmtId="0" fontId="7" fillId="0" borderId="14" xfId="2" applyFont="1" applyBorder="1"/>
    <xf numFmtId="166" fontId="7" fillId="0" borderId="1" xfId="1" applyNumberFormat="1" applyFont="1" applyBorder="1"/>
    <xf numFmtId="0" fontId="7" fillId="0" borderId="15" xfId="2" applyFont="1" applyBorder="1"/>
    <xf numFmtId="0" fontId="8" fillId="2" borderId="1" xfId="2" applyFont="1" applyFill="1" applyBorder="1" applyAlignment="1">
      <alignment horizontal="center"/>
    </xf>
    <xf numFmtId="2" fontId="8" fillId="2" borderId="1" xfId="2" applyNumberFormat="1" applyFont="1" applyFill="1" applyBorder="1"/>
    <xf numFmtId="9" fontId="8" fillId="2" borderId="11" xfId="6" applyFont="1" applyFill="1" applyBorder="1"/>
    <xf numFmtId="164" fontId="8" fillId="2" borderId="8" xfId="3" applyFont="1" applyFill="1" applyBorder="1"/>
    <xf numFmtId="164" fontId="8" fillId="2" borderId="9" xfId="3" applyFont="1" applyFill="1" applyBorder="1"/>
    <xf numFmtId="9" fontId="8" fillId="5" borderId="10" xfId="6" applyFont="1" applyFill="1" applyBorder="1" applyAlignment="1">
      <alignment horizontal="center" vertical="center"/>
    </xf>
    <xf numFmtId="166" fontId="8" fillId="2" borderId="8" xfId="2" applyNumberFormat="1" applyFont="1" applyFill="1" applyBorder="1"/>
    <xf numFmtId="166" fontId="8" fillId="2" borderId="9" xfId="1" applyNumberFormat="1" applyFont="1" applyFill="1" applyBorder="1"/>
    <xf numFmtId="9" fontId="8" fillId="0" borderId="10" xfId="6" applyFont="1" applyFill="1" applyBorder="1" applyAlignment="1">
      <alignment horizontal="center" vertical="center"/>
    </xf>
    <xf numFmtId="0" fontId="8" fillId="0" borderId="0" xfId="2" applyFont="1"/>
    <xf numFmtId="0" fontId="8" fillId="0" borderId="0" xfId="2" applyFont="1" applyAlignment="1">
      <alignment horizontal="center"/>
    </xf>
    <xf numFmtId="2" fontId="8" fillId="0" borderId="0" xfId="2" applyNumberFormat="1" applyFont="1"/>
    <xf numFmtId="165" fontId="8" fillId="0" borderId="0" xfId="3" applyNumberFormat="1" applyFont="1" applyFill="1" applyBorder="1"/>
    <xf numFmtId="164" fontId="8" fillId="0" borderId="0" xfId="3" applyFont="1" applyFill="1" applyBorder="1"/>
    <xf numFmtId="164" fontId="8" fillId="0" borderId="0" xfId="2" applyNumberFormat="1" applyFont="1"/>
    <xf numFmtId="0" fontId="8" fillId="0" borderId="2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166" fontId="8" fillId="0" borderId="24" xfId="1" applyNumberFormat="1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166" fontId="8" fillId="0" borderId="26" xfId="1" applyNumberFormat="1" applyFont="1" applyBorder="1" applyAlignment="1">
      <alignment horizontal="center" vertical="center"/>
    </xf>
    <xf numFmtId="166" fontId="8" fillId="0" borderId="13" xfId="1" applyNumberFormat="1" applyFont="1" applyBorder="1" applyAlignment="1">
      <alignment horizontal="center" vertical="center"/>
    </xf>
    <xf numFmtId="10" fontId="7" fillId="0" borderId="1" xfId="6" applyNumberFormat="1" applyFont="1" applyBorder="1" applyAlignment="1">
      <alignment horizontal="center" vertical="center"/>
    </xf>
    <xf numFmtId="165" fontId="7" fillId="0" borderId="11" xfId="3" applyNumberFormat="1" applyFont="1" applyBorder="1" applyAlignment="1">
      <alignment horizontal="center" vertical="center"/>
    </xf>
    <xf numFmtId="9" fontId="7" fillId="0" borderId="11" xfId="6" applyFont="1" applyBorder="1" applyAlignment="1">
      <alignment horizontal="center" vertical="center"/>
    </xf>
    <xf numFmtId="10" fontId="7" fillId="0" borderId="1" xfId="6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/>
    <xf numFmtId="10" fontId="7" fillId="0" borderId="1" xfId="6" applyNumberFormat="1" applyFont="1" applyFill="1" applyBorder="1"/>
    <xf numFmtId="0" fontId="7" fillId="7" borderId="1" xfId="0" applyFont="1" applyFill="1" applyBorder="1" applyAlignment="1">
      <alignment vertical="center"/>
    </xf>
    <xf numFmtId="165" fontId="7" fillId="0" borderId="11" xfId="3" applyNumberFormat="1" applyFont="1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166" fontId="7" fillId="8" borderId="1" xfId="0" applyNumberFormat="1" applyFont="1" applyFill="1" applyBorder="1" applyAlignment="1">
      <alignment horizontal="left" vertical="center"/>
    </xf>
    <xf numFmtId="166" fontId="7" fillId="0" borderId="1" xfId="0" applyNumberFormat="1" applyFont="1" applyBorder="1" applyAlignment="1">
      <alignment horizontal="left" vertical="center"/>
    </xf>
    <xf numFmtId="0" fontId="14" fillId="8" borderId="1" xfId="0" applyFont="1" applyFill="1" applyBorder="1" applyAlignment="1">
      <alignment vertical="center"/>
    </xf>
    <xf numFmtId="3" fontId="14" fillId="0" borderId="1" xfId="2" applyNumberFormat="1" applyFont="1" applyBorder="1" applyAlignment="1">
      <alignment horizontal="left" vertical="center" indent="1"/>
    </xf>
    <xf numFmtId="3" fontId="14" fillId="0" borderId="1" xfId="2" applyNumberFormat="1" applyFont="1" applyBorder="1" applyAlignment="1">
      <alignment horizontal="left" vertical="center" wrapText="1" indent="1"/>
    </xf>
    <xf numFmtId="165" fontId="7" fillId="0" borderId="11" xfId="3" applyNumberFormat="1" applyFont="1" applyBorder="1"/>
    <xf numFmtId="9" fontId="8" fillId="0" borderId="11" xfId="6" applyFont="1" applyBorder="1" applyAlignment="1">
      <alignment horizontal="center" vertical="center"/>
    </xf>
    <xf numFmtId="166" fontId="8" fillId="0" borderId="14" xfId="1" applyNumberFormat="1" applyFont="1" applyBorder="1" applyAlignment="1">
      <alignment horizontal="center" vertical="center"/>
    </xf>
    <xf numFmtId="166" fontId="7" fillId="0" borderId="15" xfId="1" applyNumberFormat="1" applyFont="1" applyBorder="1"/>
    <xf numFmtId="9" fontId="7" fillId="2" borderId="1" xfId="6" applyFont="1" applyFill="1" applyBorder="1"/>
    <xf numFmtId="165" fontId="8" fillId="2" borderId="11" xfId="3" applyNumberFormat="1" applyFont="1" applyFill="1" applyBorder="1"/>
    <xf numFmtId="164" fontId="8" fillId="2" borderId="14" xfId="3" applyFont="1" applyFill="1" applyBorder="1"/>
    <xf numFmtId="164" fontId="8" fillId="2" borderId="1" xfId="3" applyFont="1" applyFill="1" applyBorder="1"/>
    <xf numFmtId="9" fontId="8" fillId="2" borderId="11" xfId="6" applyFont="1" applyFill="1" applyBorder="1" applyAlignment="1">
      <alignment horizontal="center" vertical="center"/>
    </xf>
    <xf numFmtId="166" fontId="8" fillId="2" borderId="14" xfId="1" applyNumberFormat="1" applyFont="1" applyFill="1" applyBorder="1"/>
    <xf numFmtId="166" fontId="8" fillId="2" borderId="1" xfId="1" applyNumberFormat="1" applyFont="1" applyFill="1" applyBorder="1"/>
    <xf numFmtId="9" fontId="8" fillId="0" borderId="15" xfId="6" applyFont="1" applyFill="1" applyBorder="1" applyAlignment="1">
      <alignment horizontal="center" vertical="center"/>
    </xf>
    <xf numFmtId="164" fontId="8" fillId="0" borderId="8" xfId="3" applyFont="1" applyBorder="1"/>
    <xf numFmtId="164" fontId="8" fillId="0" borderId="9" xfId="3" applyFont="1" applyBorder="1"/>
    <xf numFmtId="164" fontId="8" fillId="0" borderId="27" xfId="3" applyFont="1" applyBorder="1"/>
    <xf numFmtId="166" fontId="8" fillId="0" borderId="8" xfId="1" applyNumberFormat="1" applyFont="1" applyBorder="1" applyAlignment="1">
      <alignment horizontal="center" vertical="center"/>
    </xf>
    <xf numFmtId="166" fontId="7" fillId="0" borderId="9" xfId="1" applyNumberFormat="1" applyFont="1" applyBorder="1"/>
    <xf numFmtId="166" fontId="7" fillId="0" borderId="10" xfId="1" applyNumberFormat="1" applyFont="1" applyBorder="1"/>
    <xf numFmtId="0" fontId="7" fillId="0" borderId="0" xfId="2" applyFont="1" applyAlignment="1">
      <alignment horizontal="center"/>
    </xf>
    <xf numFmtId="0" fontId="7" fillId="0" borderId="0" xfId="2" applyFont="1" applyAlignment="1">
      <alignment horizontal="left" indent="1"/>
    </xf>
    <xf numFmtId="2" fontId="7" fillId="0" borderId="0" xfId="2" applyNumberFormat="1" applyFont="1"/>
    <xf numFmtId="165" fontId="8" fillId="0" borderId="0" xfId="3" applyNumberFormat="1" applyFont="1" applyBorder="1"/>
    <xf numFmtId="0" fontId="8" fillId="0" borderId="27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10" fontId="8" fillId="0" borderId="11" xfId="6" applyNumberFormat="1" applyFont="1" applyBorder="1" applyAlignment="1">
      <alignment horizontal="center" vertical="center"/>
    </xf>
    <xf numFmtId="166" fontId="7" fillId="0" borderId="26" xfId="2" applyNumberFormat="1" applyFont="1" applyBorder="1" applyAlignment="1">
      <alignment horizontal="center" vertical="center"/>
    </xf>
    <xf numFmtId="166" fontId="7" fillId="0" borderId="13" xfId="2" applyNumberFormat="1" applyFont="1" applyBorder="1" applyAlignment="1">
      <alignment horizontal="center" vertical="center"/>
    </xf>
    <xf numFmtId="166" fontId="8" fillId="0" borderId="26" xfId="2" applyNumberFormat="1" applyFont="1" applyBorder="1" applyAlignment="1">
      <alignment horizontal="center" vertical="center"/>
    </xf>
    <xf numFmtId="166" fontId="8" fillId="0" borderId="13" xfId="2" applyNumberFormat="1" applyFont="1" applyBorder="1" applyAlignment="1">
      <alignment horizontal="center" vertical="center"/>
    </xf>
    <xf numFmtId="0" fontId="7" fillId="8" borderId="20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7" fillId="0" borderId="20" xfId="0" applyFont="1" applyBorder="1" applyAlignment="1">
      <alignment horizontal="left" vertical="center"/>
    </xf>
    <xf numFmtId="0" fontId="8" fillId="0" borderId="31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9" fontId="8" fillId="2" borderId="1" xfId="6" applyFont="1" applyFill="1" applyBorder="1"/>
    <xf numFmtId="0" fontId="8" fillId="2" borderId="10" xfId="6" applyNumberFormat="1" applyFont="1" applyFill="1" applyBorder="1"/>
    <xf numFmtId="9" fontId="8" fillId="2" borderId="10" xfId="6" applyFont="1" applyFill="1" applyBorder="1"/>
    <xf numFmtId="9" fontId="8" fillId="0" borderId="0" xfId="6" applyFont="1" applyFill="1" applyBorder="1"/>
    <xf numFmtId="0" fontId="13" fillId="0" borderId="0" xfId="2" applyFont="1" applyAlignment="1">
      <alignment horizontal="left" vertical="center"/>
    </xf>
    <xf numFmtId="0" fontId="8" fillId="0" borderId="1" xfId="2" applyFont="1" applyBorder="1" applyAlignment="1">
      <alignment horizontal="center"/>
    </xf>
    <xf numFmtId="0" fontId="8" fillId="0" borderId="1" xfId="2" applyFont="1" applyBorder="1" applyAlignment="1">
      <alignment horizontal="left" indent="1"/>
    </xf>
    <xf numFmtId="0" fontId="8" fillId="0" borderId="1" xfId="2" applyFont="1" applyBorder="1" applyAlignment="1">
      <alignment vertical="center"/>
    </xf>
    <xf numFmtId="9" fontId="7" fillId="0" borderId="1" xfId="6" applyFont="1" applyBorder="1"/>
    <xf numFmtId="166" fontId="8" fillId="0" borderId="14" xfId="3" applyNumberFormat="1" applyFont="1" applyBorder="1"/>
    <xf numFmtId="166" fontId="8" fillId="0" borderId="14" xfId="3" applyNumberFormat="1" applyFont="1" applyBorder="1" applyAlignment="1">
      <alignment vertical="center"/>
    </xf>
    <xf numFmtId="164" fontId="8" fillId="0" borderId="1" xfId="3" applyFont="1" applyBorder="1" applyAlignment="1">
      <alignment vertical="center"/>
    </xf>
    <xf numFmtId="0" fontId="8" fillId="0" borderId="1" xfId="2" applyFont="1" applyBorder="1" applyAlignment="1">
      <alignment horizontal="left" vertical="center"/>
    </xf>
    <xf numFmtId="165" fontId="8" fillId="0" borderId="11" xfId="3" applyNumberFormat="1" applyFont="1" applyFill="1" applyBorder="1"/>
    <xf numFmtId="0" fontId="8" fillId="0" borderId="1" xfId="2" applyFont="1" applyBorder="1"/>
    <xf numFmtId="0" fontId="8" fillId="8" borderId="1" xfId="0" applyFont="1" applyFill="1" applyBorder="1" applyAlignment="1">
      <alignment horizontal="left" vertical="center"/>
    </xf>
    <xf numFmtId="166" fontId="8" fillId="8" borderId="1" xfId="0" applyNumberFormat="1" applyFont="1" applyFill="1" applyBorder="1" applyAlignment="1">
      <alignment horizontal="left" vertical="center"/>
    </xf>
    <xf numFmtId="0" fontId="8" fillId="0" borderId="13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64" fontId="8" fillId="0" borderId="11" xfId="3" applyFont="1" applyBorder="1"/>
    <xf numFmtId="164" fontId="8" fillId="0" borderId="15" xfId="3" applyFont="1" applyBorder="1"/>
    <xf numFmtId="0" fontId="7" fillId="0" borderId="1" xfId="2" applyFont="1" applyBorder="1"/>
    <xf numFmtId="166" fontId="8" fillId="2" borderId="9" xfId="2" applyNumberFormat="1" applyFont="1" applyFill="1" applyBorder="1"/>
    <xf numFmtId="165" fontId="8" fillId="0" borderId="0" xfId="3" applyNumberFormat="1" applyFont="1"/>
    <xf numFmtId="167" fontId="7" fillId="0" borderId="11" xfId="8" applyNumberFormat="1" applyFont="1" applyBorder="1" applyAlignment="1">
      <alignment horizontal="center" vertical="center"/>
    </xf>
    <xf numFmtId="167" fontId="7" fillId="0" borderId="11" xfId="8" applyNumberFormat="1" applyFont="1" applyBorder="1" applyAlignment="1">
      <alignment horizontal="center"/>
    </xf>
    <xf numFmtId="9" fontId="8" fillId="0" borderId="11" xfId="8" applyFont="1" applyBorder="1"/>
    <xf numFmtId="9" fontId="8" fillId="0" borderId="11" xfId="8" applyFont="1" applyFill="1" applyBorder="1"/>
    <xf numFmtId="9" fontId="8" fillId="2" borderId="11" xfId="8" applyFont="1" applyFill="1" applyBorder="1"/>
    <xf numFmtId="10" fontId="7" fillId="0" borderId="12" xfId="6" applyNumberFormat="1" applyFont="1" applyBorder="1" applyAlignment="1">
      <alignment horizontal="center" vertical="center"/>
    </xf>
    <xf numFmtId="1" fontId="8" fillId="0" borderId="0" xfId="5" applyNumberFormat="1" applyFont="1" applyFill="1" applyBorder="1" applyAlignment="1">
      <alignment horizontal="center" vertical="center"/>
    </xf>
    <xf numFmtId="41" fontId="8" fillId="0" borderId="0" xfId="3" applyNumberFormat="1" applyFont="1" applyAlignment="1">
      <alignment horizontal="center" vertical="center"/>
    </xf>
    <xf numFmtId="0" fontId="18" fillId="0" borderId="0" xfId="9" applyFont="1" applyAlignment="1">
      <alignment horizontal="center" vertical="center"/>
    </xf>
    <xf numFmtId="43" fontId="18" fillId="0" borderId="0" xfId="9" applyNumberFormat="1" applyFont="1" applyAlignment="1">
      <alignment horizontal="center" vertical="center"/>
    </xf>
    <xf numFmtId="0" fontId="16" fillId="0" borderId="0" xfId="10" applyFont="1"/>
    <xf numFmtId="166" fontId="16" fillId="0" borderId="0" xfId="10" applyNumberFormat="1" applyFont="1"/>
    <xf numFmtId="0" fontId="20" fillId="0" borderId="0" xfId="10" applyFont="1"/>
    <xf numFmtId="0" fontId="18" fillId="10" borderId="1" xfId="10" applyFont="1" applyFill="1" applyBorder="1" applyAlignment="1">
      <alignment horizontal="center" vertical="center" wrapText="1"/>
    </xf>
    <xf numFmtId="0" fontId="18" fillId="0" borderId="1" xfId="9" applyFont="1" applyBorder="1" applyAlignment="1">
      <alignment horizontal="center" vertical="center"/>
    </xf>
    <xf numFmtId="0" fontId="18" fillId="0" borderId="1" xfId="9" applyFont="1" applyBorder="1" applyAlignment="1">
      <alignment horizontal="center" vertical="center" wrapText="1"/>
    </xf>
    <xf numFmtId="0" fontId="18" fillId="10" borderId="1" xfId="10" applyFont="1" applyFill="1" applyBorder="1" applyAlignment="1">
      <alignment horizontal="center" vertical="center"/>
    </xf>
    <xf numFmtId="0" fontId="7" fillId="8" borderId="1" xfId="10" applyFont="1" applyFill="1" applyBorder="1" applyAlignment="1">
      <alignment vertical="center"/>
    </xf>
    <xf numFmtId="0" fontId="7" fillId="8" borderId="13" xfId="10" applyFont="1" applyFill="1" applyBorder="1" applyAlignment="1">
      <alignment vertical="top"/>
    </xf>
    <xf numFmtId="0" fontId="7" fillId="8" borderId="13" xfId="10" applyFont="1" applyFill="1" applyBorder="1" applyAlignment="1">
      <alignment vertical="center"/>
    </xf>
    <xf numFmtId="166" fontId="7" fillId="8" borderId="13" xfId="10" applyNumberFormat="1" applyFont="1" applyFill="1" applyBorder="1" applyAlignment="1">
      <alignment vertical="top"/>
    </xf>
    <xf numFmtId="0" fontId="7" fillId="0" borderId="1" xfId="9" applyFont="1" applyBorder="1" applyAlignment="1">
      <alignment vertical="center"/>
    </xf>
    <xf numFmtId="1" fontId="7" fillId="8" borderId="12" xfId="0" applyNumberFormat="1" applyFont="1" applyFill="1" applyBorder="1"/>
    <xf numFmtId="1" fontId="7" fillId="8" borderId="1" xfId="0" applyNumberFormat="1" applyFont="1" applyFill="1" applyBorder="1"/>
    <xf numFmtId="166" fontId="7" fillId="0" borderId="1" xfId="7" applyNumberFormat="1" applyFont="1" applyFill="1" applyBorder="1" applyAlignment="1">
      <alignment vertical="center"/>
    </xf>
    <xf numFmtId="166" fontId="7" fillId="7" borderId="1" xfId="7" applyNumberFormat="1" applyFont="1" applyFill="1" applyBorder="1" applyAlignment="1">
      <alignment vertical="center"/>
    </xf>
    <xf numFmtId="1" fontId="16" fillId="0" borderId="0" xfId="10" applyNumberFormat="1" applyFont="1"/>
    <xf numFmtId="166" fontId="20" fillId="0" borderId="0" xfId="10" applyNumberFormat="1" applyFont="1"/>
    <xf numFmtId="0" fontId="7" fillId="8" borderId="1" xfId="10" applyFont="1" applyFill="1" applyBorder="1" applyAlignment="1">
      <alignment vertical="top"/>
    </xf>
    <xf numFmtId="166" fontId="7" fillId="8" borderId="1" xfId="10" applyNumberFormat="1" applyFont="1" applyFill="1" applyBorder="1" applyAlignment="1">
      <alignment vertical="top"/>
    </xf>
    <xf numFmtId="0" fontId="16" fillId="0" borderId="1" xfId="0" applyFont="1" applyBorder="1" applyAlignment="1">
      <alignment vertical="center"/>
    </xf>
    <xf numFmtId="166" fontId="7" fillId="8" borderId="1" xfId="10" applyNumberFormat="1" applyFont="1" applyFill="1" applyBorder="1" applyAlignment="1">
      <alignment vertical="center"/>
    </xf>
    <xf numFmtId="1" fontId="7" fillId="0" borderId="12" xfId="0" applyNumberFormat="1" applyFont="1" applyBorder="1"/>
    <xf numFmtId="1" fontId="7" fillId="0" borderId="1" xfId="0" applyNumberFormat="1" applyFont="1" applyBorder="1"/>
    <xf numFmtId="0" fontId="7" fillId="8" borderId="1" xfId="10" applyFont="1" applyFill="1" applyBorder="1"/>
    <xf numFmtId="0" fontId="7" fillId="0" borderId="1" xfId="10" applyFont="1" applyBorder="1" applyAlignment="1">
      <alignment vertical="top"/>
    </xf>
    <xf numFmtId="0" fontId="7" fillId="0" borderId="1" xfId="10" applyFont="1" applyBorder="1" applyAlignment="1">
      <alignment vertical="center"/>
    </xf>
    <xf numFmtId="166" fontId="7" fillId="0" borderId="1" xfId="10" applyNumberFormat="1" applyFont="1" applyBorder="1" applyAlignment="1">
      <alignment vertical="top"/>
    </xf>
    <xf numFmtId="0" fontId="7" fillId="0" borderId="1" xfId="9" applyFont="1" applyBorder="1"/>
    <xf numFmtId="0" fontId="7" fillId="0" borderId="1" xfId="9" applyFont="1" applyBorder="1" applyAlignment="1">
      <alignment vertical="top"/>
    </xf>
    <xf numFmtId="0" fontId="7" fillId="0" borderId="11" xfId="9" applyFont="1" applyBorder="1"/>
    <xf numFmtId="166" fontId="7" fillId="8" borderId="1" xfId="7" applyNumberFormat="1" applyFont="1" applyFill="1" applyBorder="1" applyAlignment="1">
      <alignment vertical="center"/>
    </xf>
    <xf numFmtId="166" fontId="7" fillId="8" borderId="12" xfId="7" applyNumberFormat="1" applyFont="1" applyFill="1" applyBorder="1" applyAlignment="1">
      <alignment vertical="center"/>
    </xf>
    <xf numFmtId="0" fontId="8" fillId="2" borderId="1" xfId="9" applyFont="1" applyFill="1" applyBorder="1"/>
    <xf numFmtId="166" fontId="7" fillId="2" borderId="1" xfId="7" applyNumberFormat="1" applyFont="1" applyFill="1" applyBorder="1" applyAlignment="1">
      <alignment vertical="center"/>
    </xf>
    <xf numFmtId="0" fontId="22" fillId="11" borderId="12" xfId="10" applyFont="1" applyFill="1" applyBorder="1" applyAlignment="1">
      <alignment horizontal="center" vertical="center" wrapText="1"/>
    </xf>
    <xf numFmtId="0" fontId="22" fillId="11" borderId="1" xfId="10" applyFont="1" applyFill="1" applyBorder="1" applyAlignment="1">
      <alignment horizontal="center" vertical="center"/>
    </xf>
    <xf numFmtId="0" fontId="22" fillId="11" borderId="1" xfId="10" applyFont="1" applyFill="1" applyBorder="1" applyAlignment="1">
      <alignment horizontal="center" vertical="center" wrapText="1"/>
    </xf>
    <xf numFmtId="166" fontId="23" fillId="0" borderId="1" xfId="7" applyNumberFormat="1" applyFont="1" applyFill="1" applyBorder="1" applyAlignment="1">
      <alignment vertical="center"/>
    </xf>
    <xf numFmtId="166" fontId="23" fillId="12" borderId="1" xfId="7" applyNumberFormat="1" applyFont="1" applyFill="1" applyBorder="1" applyAlignment="1">
      <alignment vertical="center"/>
    </xf>
    <xf numFmtId="166" fontId="23" fillId="8" borderId="1" xfId="7" applyNumberFormat="1" applyFont="1" applyFill="1" applyBorder="1" applyAlignment="1">
      <alignment vertical="center"/>
    </xf>
    <xf numFmtId="0" fontId="7" fillId="8" borderId="14" xfId="10" applyFont="1" applyFill="1" applyBorder="1" applyAlignment="1">
      <alignment vertical="center"/>
    </xf>
    <xf numFmtId="0" fontId="16" fillId="0" borderId="1" xfId="0" applyFont="1" applyBorder="1"/>
    <xf numFmtId="0" fontId="7" fillId="8" borderId="11" xfId="10" applyFont="1" applyFill="1" applyBorder="1" applyAlignment="1">
      <alignment vertical="center"/>
    </xf>
    <xf numFmtId="166" fontId="14" fillId="0" borderId="1" xfId="7" applyNumberFormat="1" applyFont="1" applyFill="1" applyBorder="1" applyAlignment="1">
      <alignment vertical="center"/>
    </xf>
    <xf numFmtId="166" fontId="14" fillId="12" borderId="1" xfId="7" applyNumberFormat="1" applyFont="1" applyFill="1" applyBorder="1" applyAlignment="1">
      <alignment vertical="center"/>
    </xf>
    <xf numFmtId="166" fontId="14" fillId="8" borderId="1" xfId="7" applyNumberFormat="1" applyFont="1" applyFill="1" applyBorder="1" applyAlignment="1">
      <alignment vertical="center"/>
    </xf>
    <xf numFmtId="1" fontId="16" fillId="0" borderId="0" xfId="10" applyNumberFormat="1" applyFont="1" applyAlignment="1">
      <alignment vertical="center"/>
    </xf>
    <xf numFmtId="0" fontId="16" fillId="0" borderId="0" xfId="10" applyFont="1" applyAlignment="1">
      <alignment vertical="center"/>
    </xf>
    <xf numFmtId="166" fontId="7" fillId="0" borderId="1" xfId="7" applyNumberFormat="1" applyFont="1" applyBorder="1" applyAlignment="1">
      <alignment vertical="center"/>
    </xf>
    <xf numFmtId="166" fontId="7" fillId="0" borderId="0" xfId="7" applyNumberFormat="1" applyFont="1" applyAlignment="1">
      <alignment vertical="center"/>
    </xf>
    <xf numFmtId="166" fontId="7" fillId="0" borderId="1" xfId="10" applyNumberFormat="1" applyFont="1" applyBorder="1" applyAlignment="1">
      <alignment vertical="center"/>
    </xf>
    <xf numFmtId="0" fontId="7" fillId="8" borderId="1" xfId="10" applyFont="1" applyFill="1" applyBorder="1" applyAlignment="1">
      <alignment vertical="center" wrapText="1"/>
    </xf>
    <xf numFmtId="0" fontId="7" fillId="0" borderId="11" xfId="10" applyFont="1" applyBorder="1" applyAlignment="1">
      <alignment vertical="center"/>
    </xf>
    <xf numFmtId="0" fontId="7" fillId="0" borderId="1" xfId="10" quotePrefix="1" applyFont="1" applyBorder="1" applyAlignment="1">
      <alignment vertical="center"/>
    </xf>
    <xf numFmtId="0" fontId="7" fillId="8" borderId="19" xfId="10" applyFont="1" applyFill="1" applyBorder="1" applyAlignment="1">
      <alignment vertical="center"/>
    </xf>
    <xf numFmtId="0" fontId="7" fillId="8" borderId="20" xfId="10" applyFont="1" applyFill="1" applyBorder="1" applyAlignment="1">
      <alignment vertical="center"/>
    </xf>
    <xf numFmtId="166" fontId="7" fillId="8" borderId="20" xfId="10" applyNumberFormat="1" applyFont="1" applyFill="1" applyBorder="1" applyAlignment="1">
      <alignment vertical="center"/>
    </xf>
    <xf numFmtId="0" fontId="7" fillId="8" borderId="23" xfId="10" applyFont="1" applyFill="1" applyBorder="1" applyAlignment="1">
      <alignment vertical="center"/>
    </xf>
    <xf numFmtId="0" fontId="7" fillId="8" borderId="22" xfId="10" applyFont="1" applyFill="1" applyBorder="1" applyAlignment="1">
      <alignment vertical="center"/>
    </xf>
    <xf numFmtId="0" fontId="7" fillId="4" borderId="2" xfId="10" applyFont="1" applyFill="1" applyBorder="1" applyAlignment="1">
      <alignment vertical="center"/>
    </xf>
    <xf numFmtId="0" fontId="24" fillId="4" borderId="3" xfId="11" applyFont="1" applyFill="1" applyBorder="1" applyAlignment="1">
      <alignment vertical="center"/>
    </xf>
    <xf numFmtId="0" fontId="7" fillId="4" borderId="3" xfId="10" applyFont="1" applyFill="1" applyBorder="1" applyAlignment="1">
      <alignment vertical="center"/>
    </xf>
    <xf numFmtId="166" fontId="7" fillId="4" borderId="3" xfId="10" applyNumberFormat="1" applyFont="1" applyFill="1" applyBorder="1" applyAlignment="1">
      <alignment vertical="center"/>
    </xf>
    <xf numFmtId="0" fontId="7" fillId="4" borderId="3" xfId="10" quotePrefix="1" applyFont="1" applyFill="1" applyBorder="1" applyAlignment="1">
      <alignment vertical="center"/>
    </xf>
    <xf numFmtId="0" fontId="7" fillId="4" borderId="38" xfId="10" applyFont="1" applyFill="1" applyBorder="1" applyAlignment="1">
      <alignment vertical="center"/>
    </xf>
    <xf numFmtId="166" fontId="8" fillId="4" borderId="39" xfId="7" applyNumberFormat="1" applyFont="1" applyFill="1" applyBorder="1" applyAlignment="1">
      <alignment vertical="center"/>
    </xf>
    <xf numFmtId="0" fontId="7" fillId="8" borderId="26" xfId="10" applyFont="1" applyFill="1" applyBorder="1" applyAlignment="1">
      <alignment vertical="center"/>
    </xf>
    <xf numFmtId="0" fontId="24" fillId="8" borderId="13" xfId="11" applyFont="1" applyFill="1" applyBorder="1" applyAlignment="1">
      <alignment vertical="center"/>
    </xf>
    <xf numFmtId="166" fontId="7" fillId="8" borderId="13" xfId="10" applyNumberFormat="1" applyFont="1" applyFill="1" applyBorder="1" applyAlignment="1">
      <alignment vertical="center"/>
    </xf>
    <xf numFmtId="0" fontId="7" fillId="8" borderId="37" xfId="10" applyFont="1" applyFill="1" applyBorder="1" applyAlignment="1">
      <alignment vertical="center"/>
    </xf>
    <xf numFmtId="0" fontId="7" fillId="8" borderId="31" xfId="10" applyFont="1" applyFill="1" applyBorder="1" applyAlignment="1">
      <alignment vertical="center"/>
    </xf>
    <xf numFmtId="166" fontId="14" fillId="12" borderId="12" xfId="7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left"/>
    </xf>
    <xf numFmtId="0" fontId="7" fillId="8" borderId="1" xfId="10" quotePrefix="1" applyFont="1" applyFill="1" applyBorder="1" applyAlignment="1">
      <alignment vertical="center"/>
    </xf>
    <xf numFmtId="0" fontId="16" fillId="8" borderId="1" xfId="0" applyFont="1" applyFill="1" applyBorder="1"/>
    <xf numFmtId="0" fontId="16" fillId="0" borderId="20" xfId="0" applyFont="1" applyBorder="1"/>
    <xf numFmtId="0" fontId="7" fillId="0" borderId="20" xfId="10" applyFont="1" applyBorder="1" applyAlignment="1">
      <alignment vertical="center"/>
    </xf>
    <xf numFmtId="0" fontId="7" fillId="8" borderId="20" xfId="10" quotePrefix="1" applyFont="1" applyFill="1" applyBorder="1" applyAlignment="1">
      <alignment vertical="center"/>
    </xf>
    <xf numFmtId="166" fontId="7" fillId="8" borderId="22" xfId="7" applyNumberFormat="1" applyFont="1" applyFill="1" applyBorder="1" applyAlignment="1">
      <alignment vertical="center"/>
    </xf>
    <xf numFmtId="166" fontId="7" fillId="8" borderId="20" xfId="7" applyNumberFormat="1" applyFont="1" applyFill="1" applyBorder="1" applyAlignment="1">
      <alignment vertical="center"/>
    </xf>
    <xf numFmtId="166" fontId="14" fillId="12" borderId="20" xfId="7" applyNumberFormat="1" applyFont="1" applyFill="1" applyBorder="1" applyAlignment="1">
      <alignment vertical="center"/>
    </xf>
    <xf numFmtId="0" fontId="7" fillId="4" borderId="40" xfId="10" applyFont="1" applyFill="1" applyBorder="1" applyAlignment="1">
      <alignment vertical="center"/>
    </xf>
    <xf numFmtId="0" fontId="8" fillId="8" borderId="13" xfId="10" applyFont="1" applyFill="1" applyBorder="1" applyAlignment="1">
      <alignment vertical="center"/>
    </xf>
    <xf numFmtId="0" fontId="7" fillId="0" borderId="13" xfId="10" applyFont="1" applyBorder="1" applyAlignment="1">
      <alignment vertical="center"/>
    </xf>
    <xf numFmtId="0" fontId="7" fillId="0" borderId="37" xfId="10" applyFont="1" applyBorder="1" applyAlignment="1">
      <alignment vertical="center"/>
    </xf>
    <xf numFmtId="0" fontId="8" fillId="0" borderId="41" xfId="10" applyFont="1" applyBorder="1" applyAlignment="1">
      <alignment vertical="center"/>
    </xf>
    <xf numFmtId="0" fontId="8" fillId="0" borderId="42" xfId="10" applyFont="1" applyBorder="1" applyAlignment="1">
      <alignment vertical="center"/>
    </xf>
    <xf numFmtId="0" fontId="8" fillId="0" borderId="43" xfId="10" applyFont="1" applyBorder="1" applyAlignment="1">
      <alignment vertical="center"/>
    </xf>
    <xf numFmtId="166" fontId="8" fillId="0" borderId="44" xfId="7" applyNumberFormat="1" applyFont="1" applyBorder="1" applyAlignment="1">
      <alignment vertical="center"/>
    </xf>
    <xf numFmtId="168" fontId="8" fillId="0" borderId="44" xfId="7" applyNumberFormat="1" applyFont="1" applyBorder="1" applyAlignment="1">
      <alignment vertical="center"/>
    </xf>
    <xf numFmtId="0" fontId="18" fillId="0" borderId="1" xfId="12" applyFont="1" applyBorder="1" applyAlignment="1">
      <alignment horizontal="center" vertical="center"/>
    </xf>
    <xf numFmtId="0" fontId="18" fillId="0" borderId="12" xfId="12" applyFont="1" applyBorder="1" applyAlignment="1">
      <alignment horizontal="center" vertical="center"/>
    </xf>
    <xf numFmtId="0" fontId="22" fillId="10" borderId="1" xfId="10" applyFont="1" applyFill="1" applyBorder="1" applyAlignment="1">
      <alignment horizontal="center" vertical="center"/>
    </xf>
    <xf numFmtId="0" fontId="22" fillId="10" borderId="1" xfId="10" applyFont="1" applyFill="1" applyBorder="1" applyAlignment="1">
      <alignment horizontal="center" vertical="center" wrapText="1"/>
    </xf>
    <xf numFmtId="0" fontId="25" fillId="8" borderId="1" xfId="10" applyFont="1" applyFill="1" applyBorder="1" applyAlignment="1">
      <alignment vertical="center"/>
    </xf>
    <xf numFmtId="0" fontId="25" fillId="0" borderId="1" xfId="10" applyFont="1" applyBorder="1" applyAlignment="1">
      <alignment vertical="center"/>
    </xf>
    <xf numFmtId="166" fontId="16" fillId="12" borderId="1" xfId="10" applyNumberFormat="1" applyFont="1" applyFill="1" applyBorder="1" applyAlignment="1">
      <alignment vertical="center"/>
    </xf>
    <xf numFmtId="166" fontId="20" fillId="0" borderId="0" xfId="10" applyNumberFormat="1" applyFont="1" applyAlignment="1">
      <alignment vertical="center"/>
    </xf>
    <xf numFmtId="0" fontId="25" fillId="8" borderId="1" xfId="10" applyFont="1" applyFill="1" applyBorder="1" applyAlignment="1">
      <alignment vertical="center" wrapText="1"/>
    </xf>
    <xf numFmtId="0" fontId="25" fillId="0" borderId="1" xfId="10" applyFont="1" applyBorder="1" applyAlignment="1">
      <alignment vertical="center" wrapText="1"/>
    </xf>
    <xf numFmtId="0" fontId="7" fillId="8" borderId="11" xfId="0" applyFont="1" applyFill="1" applyBorder="1" applyAlignment="1">
      <alignment horizontal="center" vertical="center"/>
    </xf>
    <xf numFmtId="0" fontId="25" fillId="8" borderId="1" xfId="10" quotePrefix="1" applyFont="1" applyFill="1" applyBorder="1" applyAlignment="1">
      <alignment vertical="center"/>
    </xf>
    <xf numFmtId="0" fontId="7" fillId="0" borderId="1" xfId="12" applyFont="1" applyBorder="1" applyAlignment="1">
      <alignment horizontal="left" vertical="center"/>
    </xf>
    <xf numFmtId="0" fontId="26" fillId="0" borderId="1" xfId="12" applyFont="1" applyBorder="1" applyAlignment="1">
      <alignment vertical="center"/>
    </xf>
    <xf numFmtId="166" fontId="8" fillId="0" borderId="1" xfId="7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0" xfId="12" applyFont="1" applyBorder="1" applyAlignment="1">
      <alignment horizontal="left" vertical="center"/>
    </xf>
    <xf numFmtId="0" fontId="8" fillId="12" borderId="1" xfId="12" applyFont="1" applyFill="1" applyBorder="1" applyAlignment="1">
      <alignment vertical="center"/>
    </xf>
    <xf numFmtId="166" fontId="8" fillId="12" borderId="1" xfId="7" applyNumberFormat="1" applyFont="1" applyFill="1" applyBorder="1" applyAlignment="1">
      <alignment vertical="center"/>
    </xf>
    <xf numFmtId="0" fontId="18" fillId="0" borderId="0" xfId="12" applyFont="1" applyAlignment="1">
      <alignment horizontal="center" vertical="center"/>
    </xf>
    <xf numFmtId="166" fontId="23" fillId="0" borderId="0" xfId="7" applyNumberFormat="1" applyFont="1" applyFill="1" applyBorder="1" applyAlignment="1">
      <alignment vertical="center"/>
    </xf>
    <xf numFmtId="166" fontId="23" fillId="8" borderId="0" xfId="7" applyNumberFormat="1" applyFont="1" applyFill="1" applyBorder="1" applyAlignment="1">
      <alignment vertical="center"/>
    </xf>
    <xf numFmtId="0" fontId="18" fillId="0" borderId="1" xfId="12" applyFont="1" applyBorder="1" applyAlignment="1">
      <alignment horizontal="center" vertical="center" wrapText="1"/>
    </xf>
    <xf numFmtId="0" fontId="18" fillId="0" borderId="11" xfId="12" applyFont="1" applyBorder="1" applyAlignment="1">
      <alignment vertical="center"/>
    </xf>
    <xf numFmtId="0" fontId="18" fillId="0" borderId="12" xfId="12" applyFont="1" applyBorder="1" applyAlignment="1">
      <alignment vertical="center"/>
    </xf>
    <xf numFmtId="0" fontId="8" fillId="0" borderId="1" xfId="12" applyFont="1" applyBorder="1" applyAlignment="1">
      <alignment vertical="center"/>
    </xf>
    <xf numFmtId="1" fontId="7" fillId="0" borderId="1" xfId="12" applyNumberFormat="1" applyFont="1" applyBorder="1" applyAlignment="1">
      <alignment vertical="center"/>
    </xf>
    <xf numFmtId="0" fontId="7" fillId="0" borderId="0" xfId="10" applyFont="1" applyAlignment="1">
      <alignment vertical="center"/>
    </xf>
    <xf numFmtId="166" fontId="11" fillId="0" borderId="0" xfId="10" applyNumberFormat="1" applyFont="1" applyAlignment="1">
      <alignment vertical="center"/>
    </xf>
    <xf numFmtId="0" fontId="8" fillId="8" borderId="1" xfId="10" applyFont="1" applyFill="1" applyBorder="1" applyAlignment="1">
      <alignment vertical="center"/>
    </xf>
    <xf numFmtId="166" fontId="8" fillId="8" borderId="1" xfId="10" applyNumberFormat="1" applyFont="1" applyFill="1" applyBorder="1" applyAlignment="1">
      <alignment vertical="center"/>
    </xf>
    <xf numFmtId="0" fontId="7" fillId="0" borderId="1" xfId="12" applyFont="1" applyBorder="1" applyAlignment="1">
      <alignment vertical="center"/>
    </xf>
    <xf numFmtId="0" fontId="9" fillId="0" borderId="1" xfId="12" applyFont="1" applyBorder="1" applyAlignment="1">
      <alignment vertical="center"/>
    </xf>
    <xf numFmtId="0" fontId="11" fillId="0" borderId="0" xfId="10" applyFont="1" applyAlignment="1">
      <alignment vertical="center"/>
    </xf>
    <xf numFmtId="0" fontId="7" fillId="0" borderId="0" xfId="12" applyFont="1" applyAlignment="1">
      <alignment vertical="center"/>
    </xf>
    <xf numFmtId="0" fontId="25" fillId="0" borderId="0" xfId="12" applyFont="1" applyAlignment="1">
      <alignment vertical="center"/>
    </xf>
    <xf numFmtId="9" fontId="8" fillId="2" borderId="10" xfId="8" applyFont="1" applyFill="1" applyBorder="1"/>
    <xf numFmtId="0" fontId="4" fillId="0" borderId="0" xfId="10"/>
    <xf numFmtId="43" fontId="14" fillId="0" borderId="1" xfId="1" applyFont="1" applyFill="1" applyBorder="1" applyAlignment="1">
      <alignment vertical="center"/>
    </xf>
    <xf numFmtId="43" fontId="14" fillId="8" borderId="1" xfId="1" applyFont="1" applyFill="1" applyBorder="1" applyAlignment="1">
      <alignment vertical="center"/>
    </xf>
    <xf numFmtId="43" fontId="4" fillId="0" borderId="0" xfId="10" applyNumberFormat="1"/>
    <xf numFmtId="168" fontId="14" fillId="8" borderId="1" xfId="1" applyNumberFormat="1" applyFont="1" applyFill="1" applyBorder="1" applyAlignment="1">
      <alignment vertical="center"/>
    </xf>
    <xf numFmtId="1" fontId="16" fillId="7" borderId="0" xfId="10" applyNumberFormat="1" applyFont="1" applyFill="1" applyAlignment="1">
      <alignment vertical="center"/>
    </xf>
    <xf numFmtId="4" fontId="16" fillId="0" borderId="0" xfId="10" applyNumberFormat="1" applyFont="1"/>
    <xf numFmtId="4" fontId="7" fillId="0" borderId="1" xfId="10" applyNumberFormat="1" applyFont="1" applyBorder="1" applyAlignment="1">
      <alignment vertical="center"/>
    </xf>
    <xf numFmtId="0" fontId="8" fillId="0" borderId="20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8" fillId="0" borderId="32" xfId="2" applyFont="1" applyBorder="1" applyAlignment="1">
      <alignment horizontal="center" vertical="center"/>
    </xf>
    <xf numFmtId="0" fontId="8" fillId="2" borderId="11" xfId="2" applyFont="1" applyFill="1" applyBorder="1" applyAlignment="1">
      <alignment horizontal="center"/>
    </xf>
    <xf numFmtId="0" fontId="8" fillId="2" borderId="16" xfId="2" applyFont="1" applyFill="1" applyBorder="1" applyAlignment="1">
      <alignment horizontal="center"/>
    </xf>
    <xf numFmtId="0" fontId="8" fillId="2" borderId="12" xfId="2" applyFont="1" applyFill="1" applyBorder="1" applyAlignment="1">
      <alignment horizontal="center"/>
    </xf>
    <xf numFmtId="0" fontId="8" fillId="0" borderId="9" xfId="2" applyFont="1" applyBorder="1" applyAlignment="1">
      <alignment horizontal="center" vertical="center" wrapText="1"/>
    </xf>
    <xf numFmtId="166" fontId="9" fillId="7" borderId="8" xfId="2" applyNumberFormat="1" applyFont="1" applyFill="1" applyBorder="1" applyAlignment="1">
      <alignment horizontal="center" vertical="center"/>
    </xf>
    <xf numFmtId="166" fontId="9" fillId="7" borderId="9" xfId="2" applyNumberFormat="1" applyFont="1" applyFill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166" fontId="9" fillId="7" borderId="1" xfId="2" applyNumberFormat="1" applyFont="1" applyFill="1" applyBorder="1" applyAlignment="1">
      <alignment horizontal="center" vertical="center"/>
    </xf>
    <xf numFmtId="17" fontId="8" fillId="0" borderId="5" xfId="2" applyNumberFormat="1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164" fontId="8" fillId="0" borderId="28" xfId="3" applyFont="1" applyBorder="1" applyAlignment="1">
      <alignment horizontal="center"/>
    </xf>
    <xf numFmtId="164" fontId="8" fillId="0" borderId="29" xfId="3" applyFont="1" applyBorder="1" applyAlignment="1">
      <alignment horizontal="center"/>
    </xf>
    <xf numFmtId="164" fontId="8" fillId="0" borderId="30" xfId="3" applyFont="1" applyBorder="1" applyAlignment="1">
      <alignment horizont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9" fillId="7" borderId="10" xfId="2" applyNumberFormat="1" applyFont="1" applyFill="1" applyBorder="1" applyAlignment="1">
      <alignment horizontal="center" vertical="center"/>
    </xf>
    <xf numFmtId="166" fontId="9" fillId="7" borderId="19" xfId="2" applyNumberFormat="1" applyFont="1" applyFill="1" applyBorder="1" applyAlignment="1">
      <alignment horizontal="center" vertical="center"/>
    </xf>
    <xf numFmtId="166" fontId="9" fillId="7" borderId="21" xfId="2" applyNumberFormat="1" applyFont="1" applyFill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166" fontId="9" fillId="7" borderId="20" xfId="2" applyNumberFormat="1" applyFont="1" applyFill="1" applyBorder="1" applyAlignment="1">
      <alignment horizontal="center" vertical="center"/>
    </xf>
    <xf numFmtId="166" fontId="9" fillId="7" borderId="22" xfId="2" applyNumberFormat="1" applyFont="1" applyFill="1" applyBorder="1" applyAlignment="1">
      <alignment horizontal="center" vertical="center"/>
    </xf>
    <xf numFmtId="164" fontId="8" fillId="0" borderId="2" xfId="3" applyFont="1" applyFill="1" applyBorder="1" applyAlignment="1">
      <alignment horizontal="center"/>
    </xf>
    <xf numFmtId="164" fontId="8" fillId="0" borderId="3" xfId="3" applyFont="1" applyFill="1" applyBorder="1" applyAlignment="1">
      <alignment horizontal="center"/>
    </xf>
    <xf numFmtId="164" fontId="8" fillId="0" borderId="17" xfId="3" applyFont="1" applyFill="1" applyBorder="1" applyAlignment="1">
      <alignment horizontal="center"/>
    </xf>
    <xf numFmtId="164" fontId="8" fillId="0" borderId="18" xfId="3" applyFont="1" applyFill="1" applyBorder="1" applyAlignment="1">
      <alignment horizontal="center"/>
    </xf>
    <xf numFmtId="166" fontId="9" fillId="7" borderId="5" xfId="2" applyNumberFormat="1" applyFont="1" applyFill="1" applyBorder="1" applyAlignment="1">
      <alignment horizontal="center" vertical="center"/>
    </xf>
    <xf numFmtId="166" fontId="9" fillId="7" borderId="7" xfId="2" applyNumberFormat="1" applyFont="1" applyFill="1" applyBorder="1" applyAlignment="1">
      <alignment horizontal="center" vertical="center"/>
    </xf>
    <xf numFmtId="165" fontId="8" fillId="0" borderId="1" xfId="3" applyNumberFormat="1" applyFont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2" borderId="11" xfId="9" applyFont="1" applyFill="1" applyBorder="1"/>
    <xf numFmtId="0" fontId="8" fillId="2" borderId="16" xfId="9" applyFont="1" applyFill="1" applyBorder="1"/>
    <xf numFmtId="16" fontId="18" fillId="10" borderId="1" xfId="10" applyNumberFormat="1" applyFont="1" applyFill="1" applyBorder="1" applyAlignment="1">
      <alignment horizontal="center" vertical="center" wrapText="1"/>
    </xf>
    <xf numFmtId="0" fontId="18" fillId="10" borderId="1" xfId="10" applyFont="1" applyFill="1" applyBorder="1" applyAlignment="1">
      <alignment horizontal="center" vertical="center" wrapText="1"/>
    </xf>
    <xf numFmtId="0" fontId="18" fillId="7" borderId="1" xfId="10" applyFont="1" applyFill="1" applyBorder="1" applyAlignment="1">
      <alignment horizontal="center" vertical="center" wrapText="1"/>
    </xf>
    <xf numFmtId="0" fontId="18" fillId="0" borderId="11" xfId="9" applyFont="1" applyBorder="1" applyAlignment="1">
      <alignment horizontal="center" vertical="center"/>
    </xf>
    <xf numFmtId="0" fontId="18" fillId="0" borderId="12" xfId="9" applyFont="1" applyBorder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18" fillId="8" borderId="23" xfId="10" applyFont="1" applyFill="1" applyBorder="1" applyAlignment="1">
      <alignment horizontal="center" vertical="center" wrapText="1"/>
    </xf>
    <xf numFmtId="0" fontId="18" fillId="8" borderId="31" xfId="10" applyFont="1" applyFill="1" applyBorder="1" applyAlignment="1">
      <alignment horizontal="center" vertical="center" wrapText="1"/>
    </xf>
    <xf numFmtId="0" fontId="18" fillId="8" borderId="19" xfId="10" applyFont="1" applyFill="1" applyBorder="1" applyAlignment="1">
      <alignment horizontal="center" vertical="center"/>
    </xf>
    <xf numFmtId="0" fontId="18" fillId="8" borderId="26" xfId="10" applyFont="1" applyFill="1" applyBorder="1" applyAlignment="1">
      <alignment horizontal="center" vertical="center"/>
    </xf>
    <xf numFmtId="0" fontId="18" fillId="8" borderId="23" xfId="10" applyFont="1" applyFill="1" applyBorder="1" applyAlignment="1">
      <alignment horizontal="center" vertical="center"/>
    </xf>
    <xf numFmtId="0" fontId="18" fillId="8" borderId="22" xfId="10" applyFont="1" applyFill="1" applyBorder="1" applyAlignment="1">
      <alignment horizontal="center" vertical="center"/>
    </xf>
    <xf numFmtId="0" fontId="18" fillId="8" borderId="31" xfId="10" applyFont="1" applyFill="1" applyBorder="1" applyAlignment="1">
      <alignment horizontal="center" vertical="center"/>
    </xf>
    <xf numFmtId="0" fontId="18" fillId="8" borderId="37" xfId="10" applyFont="1" applyFill="1" applyBorder="1" applyAlignment="1">
      <alignment horizontal="center" vertical="center"/>
    </xf>
    <xf numFmtId="0" fontId="18" fillId="8" borderId="20" xfId="10" applyFont="1" applyFill="1" applyBorder="1" applyAlignment="1">
      <alignment horizontal="center" vertical="center"/>
    </xf>
    <xf numFmtId="0" fontId="18" fillId="8" borderId="13" xfId="10" applyFont="1" applyFill="1" applyBorder="1" applyAlignment="1">
      <alignment horizontal="center" vertical="center"/>
    </xf>
    <xf numFmtId="0" fontId="18" fillId="8" borderId="1" xfId="10" applyFont="1" applyFill="1" applyBorder="1" applyAlignment="1">
      <alignment horizontal="center" vertical="center"/>
    </xf>
    <xf numFmtId="0" fontId="22" fillId="11" borderId="31" xfId="10" applyFont="1" applyFill="1" applyBorder="1" applyAlignment="1">
      <alignment horizontal="center" vertical="center" wrapText="1"/>
    </xf>
    <xf numFmtId="0" fontId="22" fillId="11" borderId="36" xfId="10" applyFont="1" applyFill="1" applyBorder="1" applyAlignment="1">
      <alignment horizontal="center" vertical="center" wrapText="1"/>
    </xf>
    <xf numFmtId="0" fontId="22" fillId="11" borderId="37" xfId="10" applyFont="1" applyFill="1" applyBorder="1" applyAlignment="1">
      <alignment horizontal="center" vertical="center" wrapText="1"/>
    </xf>
    <xf numFmtId="0" fontId="22" fillId="11" borderId="11" xfId="10" applyFont="1" applyFill="1" applyBorder="1" applyAlignment="1">
      <alignment horizontal="center" vertical="center" wrapText="1"/>
    </xf>
    <xf numFmtId="0" fontId="22" fillId="11" borderId="16" xfId="10" applyFont="1" applyFill="1" applyBorder="1" applyAlignment="1">
      <alignment horizontal="center" vertical="center" wrapText="1"/>
    </xf>
    <xf numFmtId="0" fontId="22" fillId="11" borderId="12" xfId="10" applyFont="1" applyFill="1" applyBorder="1" applyAlignment="1">
      <alignment horizontal="center" vertical="center" wrapText="1"/>
    </xf>
    <xf numFmtId="0" fontId="17" fillId="8" borderId="33" xfId="11" applyFont="1" applyFill="1" applyBorder="1" applyAlignment="1">
      <alignment horizontal="center" vertical="center" wrapText="1"/>
    </xf>
    <xf numFmtId="0" fontId="17" fillId="8" borderId="34" xfId="11" applyFont="1" applyFill="1" applyBorder="1" applyAlignment="1">
      <alignment horizontal="center" vertical="center" wrapText="1"/>
    </xf>
    <xf numFmtId="0" fontId="17" fillId="8" borderId="35" xfId="11" applyFont="1" applyFill="1" applyBorder="1" applyAlignment="1">
      <alignment horizontal="center" vertical="center" wrapText="1"/>
    </xf>
    <xf numFmtId="0" fontId="22" fillId="10" borderId="11" xfId="10" applyFont="1" applyFill="1" applyBorder="1" applyAlignment="1">
      <alignment horizontal="center" vertical="center" wrapText="1"/>
    </xf>
    <xf numFmtId="0" fontId="22" fillId="10" borderId="16" xfId="10" applyFont="1" applyFill="1" applyBorder="1" applyAlignment="1">
      <alignment horizontal="center" vertical="center" wrapText="1"/>
    </xf>
    <xf numFmtId="0" fontId="22" fillId="10" borderId="12" xfId="10" applyFont="1" applyFill="1" applyBorder="1" applyAlignment="1">
      <alignment horizontal="center" vertical="center" wrapText="1"/>
    </xf>
    <xf numFmtId="0" fontId="18" fillId="0" borderId="11" xfId="12" applyFont="1" applyBorder="1" applyAlignment="1">
      <alignment horizontal="center" vertical="center"/>
    </xf>
    <xf numFmtId="0" fontId="18" fillId="0" borderId="12" xfId="12" applyFont="1" applyBorder="1" applyAlignment="1">
      <alignment horizontal="center" vertical="center"/>
    </xf>
    <xf numFmtId="0" fontId="19" fillId="0" borderId="31" xfId="12" applyFont="1" applyBorder="1" applyAlignment="1">
      <alignment horizontal="center" vertical="center"/>
    </xf>
    <xf numFmtId="0" fontId="19" fillId="0" borderId="36" xfId="12" applyFont="1" applyBorder="1" applyAlignment="1">
      <alignment horizontal="center" vertical="center"/>
    </xf>
    <xf numFmtId="0" fontId="18" fillId="0" borderId="11" xfId="12" applyFont="1" applyBorder="1" applyAlignment="1">
      <alignment horizontal="center" vertical="center" wrapText="1"/>
    </xf>
    <xf numFmtId="0" fontId="18" fillId="0" borderId="12" xfId="12" applyFont="1" applyBorder="1" applyAlignment="1">
      <alignment horizontal="center" vertical="center" wrapText="1"/>
    </xf>
    <xf numFmtId="0" fontId="8" fillId="0" borderId="1" xfId="12" applyFont="1" applyBorder="1" applyAlignment="1">
      <alignment vertical="center"/>
    </xf>
    <xf numFmtId="0" fontId="8" fillId="0" borderId="20" xfId="12" applyFont="1" applyBorder="1" applyAlignment="1">
      <alignment vertical="center"/>
    </xf>
    <xf numFmtId="0" fontId="8" fillId="0" borderId="13" xfId="12" applyFont="1" applyBorder="1" applyAlignment="1">
      <alignment vertical="center"/>
    </xf>
    <xf numFmtId="0" fontId="19" fillId="0" borderId="45" xfId="12" applyFont="1" applyBorder="1" applyAlignment="1">
      <alignment horizontal="left" vertical="center"/>
    </xf>
  </cellXfs>
  <cellStyles count="17">
    <cellStyle name="Comma" xfId="1" builtinId="3"/>
    <cellStyle name="Comma [0] 2" xfId="3" xr:uid="{8F90166C-F7D6-4686-88C1-01D4CEBBABF7}"/>
    <cellStyle name="Comma 3" xfId="7" xr:uid="{29F8E34C-FC37-4E0D-92F0-4AA41CE8D709}"/>
    <cellStyle name="Hyperlink 2" xfId="11" xr:uid="{55D5C2C9-AD57-4219-8967-36CB90F1EF36}"/>
    <cellStyle name="Normal" xfId="0" builtinId="0"/>
    <cellStyle name="Normal 2" xfId="4" xr:uid="{F003097B-FB03-493B-B204-789B252BA9B9}"/>
    <cellStyle name="Normal 2 2" xfId="9" xr:uid="{CAAA51BF-DCDE-406C-9C72-7420B76AAA07}"/>
    <cellStyle name="Normal 2 2 2" xfId="2" xr:uid="{C01A7DAD-928B-459A-A764-83D8E9F07860}"/>
    <cellStyle name="Normal 2 2 2 2" xfId="12" xr:uid="{BD35CF44-B4F6-45F6-863E-74CEC8161C24}"/>
    <cellStyle name="Normal 2 2 2 3" xfId="14" xr:uid="{60D9B76C-3AD8-4D57-8791-2C0E7EDF3742}"/>
    <cellStyle name="Normal 2 2 2 4" xfId="16" xr:uid="{39966DA9-5DD4-4D07-AAC1-403AB6A91023}"/>
    <cellStyle name="Normal 2 2 3" xfId="13" xr:uid="{8FB22F14-BEB7-446F-9621-6B46B8F21122}"/>
    <cellStyle name="Normal 2 2 4" xfId="15" xr:uid="{AE45B5FB-AC5F-43A2-9AFC-E86BEC8A3D46}"/>
    <cellStyle name="Normal 2 3" xfId="10" xr:uid="{D532BF98-9671-434B-8C77-CCDF16042FC5}"/>
    <cellStyle name="Percent" xfId="8" builtinId="5"/>
    <cellStyle name="Percent 2" xfId="5" xr:uid="{8EEF1A26-0C29-441D-A25F-12B24ADBECF7}"/>
    <cellStyle name="Percent 3" xfId="6" xr:uid="{D57DD246-F9C4-4291-A3DF-E2EE2B551E27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\Downloads\SLP%20Daily_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EE69-CA90-454A-8879-E808E4ED6B74}">
  <sheetPr>
    <tabColor rgb="FF92D050"/>
  </sheetPr>
  <dimension ref="A1:ED365"/>
  <sheetViews>
    <sheetView tabSelected="1" zoomScale="80" zoomScaleNormal="80" workbookViewId="0">
      <pane xSplit="2" ySplit="4" topLeftCell="C5" activePane="bottomRight" state="frozen"/>
      <selection activeCell="M343" sqref="M343"/>
      <selection pane="topRight" activeCell="M343" sqref="M343"/>
      <selection pane="bottomLeft" activeCell="M343" sqref="M343"/>
      <selection pane="bottomRight" activeCell="L11" sqref="L11"/>
    </sheetView>
  </sheetViews>
  <sheetFormatPr defaultColWidth="11.140625" defaultRowHeight="21.95" customHeight="1" x14ac:dyDescent="0.5"/>
  <cols>
    <col min="1" max="1" width="5.5703125" style="102" bestFit="1" customWidth="1"/>
    <col min="2" max="2" width="31.140625" style="102" bestFit="1" customWidth="1"/>
    <col min="3" max="3" width="17.5703125" style="102" bestFit="1" customWidth="1"/>
    <col min="4" max="4" width="24.7109375" style="102" bestFit="1" customWidth="1"/>
    <col min="5" max="5" width="21.7109375" style="102" bestFit="1" customWidth="1"/>
    <col min="6" max="6" width="12.28515625" style="102" customWidth="1"/>
    <col min="7" max="7" width="8" style="102" bestFit="1" customWidth="1"/>
    <col min="8" max="8" width="13.5703125" style="216" customWidth="1"/>
    <col min="9" max="9" width="17" style="126" customWidth="1"/>
    <col min="10" max="10" width="11.42578125" style="126" customWidth="1"/>
    <col min="11" max="17" width="12.42578125" style="126" customWidth="1"/>
    <col min="18" max="19" width="12.42578125" style="102" customWidth="1"/>
    <col min="20" max="22" width="12.42578125" style="126" customWidth="1"/>
    <col min="23" max="26" width="11.28515625" style="126" customWidth="1"/>
    <col min="27" max="28" width="11.140625" style="102" customWidth="1"/>
    <col min="29" max="35" width="11.140625" style="126" customWidth="1"/>
    <col min="36" max="134" width="11.140625" style="102" customWidth="1"/>
    <col min="135" max="16384" width="11.140625" style="102"/>
  </cols>
  <sheetData>
    <row r="1" spans="2:116" s="1" customFormat="1" ht="21.95" customHeight="1" x14ac:dyDescent="0.6">
      <c r="H1" s="2"/>
      <c r="I1" s="401" t="s">
        <v>0</v>
      </c>
      <c r="J1" s="402" t="s">
        <v>1</v>
      </c>
      <c r="K1" s="402"/>
      <c r="L1" s="402"/>
      <c r="M1" s="403" t="s">
        <v>2</v>
      </c>
      <c r="N1" s="403"/>
      <c r="O1" s="403"/>
      <c r="P1" s="404" t="s">
        <v>3</v>
      </c>
      <c r="Q1" s="404"/>
      <c r="R1" s="404"/>
      <c r="S1" s="405" t="s">
        <v>4</v>
      </c>
      <c r="T1" s="405"/>
      <c r="U1" s="405"/>
      <c r="V1" s="406" t="s">
        <v>5</v>
      </c>
    </row>
    <row r="2" spans="2:116" s="6" customFormat="1" ht="21.95" customHeight="1" x14ac:dyDescent="0.6">
      <c r="E2" s="7"/>
      <c r="F2" s="7"/>
      <c r="H2" s="2"/>
      <c r="I2" s="401"/>
      <c r="J2" s="3" t="s">
        <v>6</v>
      </c>
      <c r="K2" s="8" t="s">
        <v>7</v>
      </c>
      <c r="L2" s="8" t="s">
        <v>8</v>
      </c>
      <c r="M2" s="9" t="s">
        <v>9</v>
      </c>
      <c r="N2" s="9" t="s">
        <v>10</v>
      </c>
      <c r="O2" s="9" t="s">
        <v>11</v>
      </c>
      <c r="P2" s="4" t="s">
        <v>12</v>
      </c>
      <c r="Q2" s="4" t="s">
        <v>13</v>
      </c>
      <c r="R2" s="4" t="s">
        <v>14</v>
      </c>
      <c r="S2" s="5" t="s">
        <v>15</v>
      </c>
      <c r="T2" s="5" t="s">
        <v>16</v>
      </c>
      <c r="U2" s="5" t="s">
        <v>17</v>
      </c>
      <c r="V2" s="406"/>
    </row>
    <row r="3" spans="2:116" s="6" customFormat="1" ht="21.95" customHeight="1" x14ac:dyDescent="0.5">
      <c r="E3" s="10"/>
      <c r="F3" s="10"/>
      <c r="H3" s="2"/>
      <c r="I3" s="11" t="s">
        <v>18</v>
      </c>
      <c r="J3" s="12">
        <v>2461084.5912239398</v>
      </c>
      <c r="K3" s="12">
        <v>2461084.5912239421</v>
      </c>
      <c r="L3" s="12">
        <v>2461084.5912239421</v>
      </c>
      <c r="M3" s="13">
        <v>2271770.3918990241</v>
      </c>
      <c r="N3" s="13">
        <v>2271770.3918990241</v>
      </c>
      <c r="O3" s="13">
        <v>2271770.3918990241</v>
      </c>
      <c r="P3" s="14">
        <v>2366427.4915614831</v>
      </c>
      <c r="Q3" s="14">
        <v>2366427.4915614831</v>
      </c>
      <c r="R3" s="14">
        <v>2366427.4915614831</v>
      </c>
      <c r="S3" s="15">
        <v>2366427.4915614831</v>
      </c>
      <c r="T3" s="15">
        <v>2366427.4915614831</v>
      </c>
      <c r="U3" s="15">
        <v>2366427.4915614831</v>
      </c>
      <c r="V3" s="16">
        <f>SUM(J3:U3)</f>
        <v>28397129.898737796</v>
      </c>
    </row>
    <row r="4" spans="2:116" s="6" customFormat="1" ht="21.95" customHeight="1" x14ac:dyDescent="0.6">
      <c r="E4" s="17"/>
      <c r="F4" s="18"/>
      <c r="H4" s="2"/>
      <c r="I4" s="19" t="s">
        <v>19</v>
      </c>
      <c r="J4" s="20">
        <v>1858146.2429573331</v>
      </c>
      <c r="K4" s="20">
        <v>1858146.2429573331</v>
      </c>
      <c r="L4" s="20">
        <v>1858146.2429573331</v>
      </c>
      <c r="M4" s="21">
        <v>1715211.9165759999</v>
      </c>
      <c r="N4" s="21">
        <v>1715211.9165759999</v>
      </c>
      <c r="O4" s="21">
        <v>1715211.9165759999</v>
      </c>
      <c r="P4" s="22">
        <v>1786679.0797666665</v>
      </c>
      <c r="Q4" s="22">
        <v>1786679.0797666665</v>
      </c>
      <c r="R4" s="22">
        <v>1786679.0797666665</v>
      </c>
      <c r="S4" s="23">
        <v>1786679.0797666665</v>
      </c>
      <c r="T4" s="23">
        <v>1786679.0797666665</v>
      </c>
      <c r="U4" s="23">
        <v>1786679.0797666665</v>
      </c>
      <c r="V4" s="24">
        <f>SUM(J4:U4)</f>
        <v>21440148.957199998</v>
      </c>
    </row>
    <row r="5" spans="2:116" s="6" customFormat="1" ht="21.95" customHeight="1" x14ac:dyDescent="0.6">
      <c r="D5" s="70"/>
      <c r="E5" s="17"/>
      <c r="F5" s="223"/>
      <c r="H5" s="25">
        <v>0.75</v>
      </c>
      <c r="I5" s="26" t="s">
        <v>20</v>
      </c>
      <c r="J5" s="27">
        <f>+O73</f>
        <v>1607792</v>
      </c>
      <c r="K5" s="27">
        <f>+X73</f>
        <v>1474060</v>
      </c>
      <c r="L5" s="27">
        <f>+AE73</f>
        <v>1159608</v>
      </c>
      <c r="M5" s="28">
        <f>+AU73</f>
        <v>0</v>
      </c>
      <c r="N5" s="28">
        <f>+BD73</f>
        <v>0</v>
      </c>
      <c r="O5" s="28">
        <f>BM73</f>
        <v>0</v>
      </c>
      <c r="P5" s="29">
        <f>+CA73</f>
        <v>0</v>
      </c>
      <c r="Q5" s="29">
        <f>+CJ73</f>
        <v>0</v>
      </c>
      <c r="R5" s="29">
        <f>+CS73</f>
        <v>0</v>
      </c>
      <c r="S5" s="30">
        <f>+DG73</f>
        <v>0</v>
      </c>
      <c r="T5" s="30">
        <f>+DP73</f>
        <v>0</v>
      </c>
      <c r="U5" s="30">
        <f>+DY73</f>
        <v>0</v>
      </c>
      <c r="V5" s="31">
        <f>SUM(J5:U5)</f>
        <v>4241460</v>
      </c>
    </row>
    <row r="6" spans="2:116" s="1" customFormat="1" ht="21.95" customHeight="1" x14ac:dyDescent="0.6">
      <c r="B6" s="32"/>
      <c r="C6" s="32"/>
      <c r="D6" s="33"/>
      <c r="E6" s="17"/>
      <c r="F6" s="223"/>
      <c r="H6" s="25">
        <v>0.13</v>
      </c>
      <c r="I6" s="26" t="s">
        <v>21</v>
      </c>
      <c r="J6" s="27">
        <f>+O190</f>
        <v>312984</v>
      </c>
      <c r="K6" s="27">
        <f>+X190</f>
        <v>276152</v>
      </c>
      <c r="L6" s="27">
        <f>+AE190</f>
        <v>231682</v>
      </c>
      <c r="M6" s="28">
        <f>+AU190</f>
        <v>0</v>
      </c>
      <c r="N6" s="28">
        <f>+BD190</f>
        <v>0</v>
      </c>
      <c r="O6" s="28">
        <f>BM190</f>
        <v>0</v>
      </c>
      <c r="P6" s="29">
        <f>+CA190</f>
        <v>0</v>
      </c>
      <c r="Q6" s="29">
        <f>+CJ190</f>
        <v>0</v>
      </c>
      <c r="R6" s="29">
        <f>+CS190</f>
        <v>0</v>
      </c>
      <c r="S6" s="30">
        <f>+DG190</f>
        <v>0</v>
      </c>
      <c r="T6" s="30">
        <f>+DP190</f>
        <v>0</v>
      </c>
      <c r="U6" s="30">
        <f>+DY190</f>
        <v>0</v>
      </c>
      <c r="V6" s="31">
        <f t="shared" ref="V6:V8" si="0">SUM(J6:U6)</f>
        <v>820818</v>
      </c>
    </row>
    <row r="7" spans="2:116" s="1" customFormat="1" ht="21.95" customHeight="1" x14ac:dyDescent="0.6">
      <c r="B7" s="32"/>
      <c r="C7" s="32"/>
      <c r="D7" s="33"/>
      <c r="E7" s="17"/>
      <c r="F7" s="223"/>
      <c r="H7" s="25">
        <v>0.04</v>
      </c>
      <c r="I7" s="26" t="s">
        <v>22</v>
      </c>
      <c r="J7" s="27">
        <f>+O346</f>
        <v>97955</v>
      </c>
      <c r="K7" s="27">
        <f>+X346</f>
        <v>98616</v>
      </c>
      <c r="L7" s="27">
        <f>+AE346</f>
        <v>91036</v>
      </c>
      <c r="M7" s="28">
        <f>+AU346</f>
        <v>0</v>
      </c>
      <c r="N7" s="28">
        <f>+BD346</f>
        <v>0</v>
      </c>
      <c r="O7" s="28">
        <f>BM346</f>
        <v>0</v>
      </c>
      <c r="P7" s="29">
        <f>+CA346</f>
        <v>0</v>
      </c>
      <c r="Q7" s="29">
        <f>+CJ346</f>
        <v>0</v>
      </c>
      <c r="R7" s="29">
        <f>+CS346</f>
        <v>0</v>
      </c>
      <c r="S7" s="30">
        <f>+DG346</f>
        <v>0</v>
      </c>
      <c r="T7" s="30">
        <f>+DP346</f>
        <v>0</v>
      </c>
      <c r="U7" s="30">
        <f>+DY346</f>
        <v>0</v>
      </c>
      <c r="V7" s="31">
        <f t="shared" si="0"/>
        <v>287607</v>
      </c>
    </row>
    <row r="8" spans="2:116" s="1" customFormat="1" ht="21.95" customHeight="1" x14ac:dyDescent="0.6">
      <c r="B8" s="32"/>
      <c r="C8" s="32"/>
      <c r="D8" s="33"/>
      <c r="E8" s="34"/>
      <c r="F8" s="223"/>
      <c r="H8" s="25">
        <v>0.08</v>
      </c>
      <c r="I8" s="26" t="s">
        <v>23</v>
      </c>
      <c r="J8" s="27">
        <f>+O363</f>
        <v>151617</v>
      </c>
      <c r="K8" s="27">
        <f>+X363</f>
        <v>115741</v>
      </c>
      <c r="L8" s="27">
        <f>+AE363</f>
        <v>108840</v>
      </c>
      <c r="M8" s="28">
        <f>+AU363</f>
        <v>0</v>
      </c>
      <c r="N8" s="28">
        <f>+BD363</f>
        <v>0</v>
      </c>
      <c r="O8" s="28">
        <f>BM363</f>
        <v>0</v>
      </c>
      <c r="P8" s="29">
        <f>+CA363</f>
        <v>0</v>
      </c>
      <c r="Q8" s="29">
        <f>+CJ363</f>
        <v>0</v>
      </c>
      <c r="R8" s="29">
        <f>+CS363</f>
        <v>0</v>
      </c>
      <c r="S8" s="30">
        <f>+DG363</f>
        <v>0</v>
      </c>
      <c r="T8" s="30">
        <f>+DP363</f>
        <v>0</v>
      </c>
      <c r="U8" s="30">
        <f>+DY363</f>
        <v>0</v>
      </c>
      <c r="V8" s="31">
        <f t="shared" si="0"/>
        <v>376198</v>
      </c>
    </row>
    <row r="9" spans="2:116" s="1" customFormat="1" ht="21.95" customHeight="1" x14ac:dyDescent="0.6">
      <c r="B9" s="32"/>
      <c r="C9" s="32"/>
      <c r="D9" s="33"/>
      <c r="E9" s="35"/>
      <c r="F9" s="35"/>
      <c r="H9" s="2"/>
      <c r="I9" s="36" t="s">
        <v>24</v>
      </c>
      <c r="J9" s="37">
        <f>SUM(J5:J8)</f>
        <v>2170348</v>
      </c>
      <c r="K9" s="37">
        <f t="shared" ref="K9:V9" si="1">SUM(K5:K8)</f>
        <v>1964569</v>
      </c>
      <c r="L9" s="37">
        <f t="shared" si="1"/>
        <v>1591166</v>
      </c>
      <c r="M9" s="38">
        <f t="shared" si="1"/>
        <v>0</v>
      </c>
      <c r="N9" s="38">
        <f t="shared" si="1"/>
        <v>0</v>
      </c>
      <c r="O9" s="38">
        <f t="shared" si="1"/>
        <v>0</v>
      </c>
      <c r="P9" s="39">
        <f t="shared" si="1"/>
        <v>0</v>
      </c>
      <c r="Q9" s="39">
        <f t="shared" si="1"/>
        <v>0</v>
      </c>
      <c r="R9" s="39">
        <f t="shared" si="1"/>
        <v>0</v>
      </c>
      <c r="S9" s="40">
        <f t="shared" si="1"/>
        <v>0</v>
      </c>
      <c r="T9" s="40">
        <f t="shared" si="1"/>
        <v>0</v>
      </c>
      <c r="U9" s="40">
        <f t="shared" si="1"/>
        <v>0</v>
      </c>
      <c r="V9" s="41">
        <f t="shared" si="1"/>
        <v>5726083</v>
      </c>
    </row>
    <row r="10" spans="2:116" s="1" customFormat="1" ht="21.95" customHeight="1" x14ac:dyDescent="0.6">
      <c r="B10" s="32"/>
      <c r="C10" s="32"/>
      <c r="D10" s="33"/>
      <c r="E10" s="35"/>
      <c r="F10" s="35"/>
      <c r="H10" s="2"/>
      <c r="I10" s="19" t="s">
        <v>25</v>
      </c>
      <c r="J10" s="42">
        <f>+P73+P190+P346+P363</f>
        <v>1642001.32</v>
      </c>
      <c r="K10" s="42">
        <f>+Y73+Y190+Y346+Y363</f>
        <v>1494502.39</v>
      </c>
      <c r="L10" s="42">
        <f>+AF73+AF190+AF346+AF363</f>
        <v>1216838.9300000004</v>
      </c>
      <c r="M10" s="43">
        <f>+AV73+AV190+AV346+AV363</f>
        <v>0</v>
      </c>
      <c r="N10" s="43">
        <f>+BE73+BE190+BE346+BE363</f>
        <v>0</v>
      </c>
      <c r="O10" s="43">
        <f>BN73+BN190+BN346+BN363</f>
        <v>0</v>
      </c>
      <c r="P10" s="44">
        <f>+CB73+CB190+CB346+CB363</f>
        <v>0</v>
      </c>
      <c r="Q10" s="44">
        <f>+CK73+CK190+CK346+CK363</f>
        <v>0</v>
      </c>
      <c r="R10" s="44">
        <f>+CT73+CT190+CT346+CT363</f>
        <v>0</v>
      </c>
      <c r="S10" s="45">
        <f>+DH73+DH190+DH346+DH363</f>
        <v>0</v>
      </c>
      <c r="T10" s="45">
        <f>+DQ73+DQ190+DQ346+DQ363</f>
        <v>0</v>
      </c>
      <c r="U10" s="45">
        <f>+DZ73+DZ190+DZ346+DZ363</f>
        <v>0</v>
      </c>
      <c r="V10" s="24">
        <f>SUM(J10:U10)</f>
        <v>4353342.6400000006</v>
      </c>
    </row>
    <row r="11" spans="2:116" s="1" customFormat="1" ht="21.95" customHeight="1" x14ac:dyDescent="0.6">
      <c r="B11" s="32"/>
      <c r="C11" s="32"/>
      <c r="D11" s="33"/>
      <c r="H11" s="2"/>
      <c r="I11" s="36" t="s">
        <v>26</v>
      </c>
      <c r="J11" s="46">
        <f>IFERROR((J9/J3),0)</f>
        <v>0.88186647778760363</v>
      </c>
      <c r="K11" s="46">
        <f t="shared" ref="K11:V12" si="2">IFERROR((K9/K3),0)</f>
        <v>0.79825334204501441</v>
      </c>
      <c r="L11" s="46">
        <f t="shared" si="2"/>
        <v>0.64653039788798328</v>
      </c>
      <c r="M11" s="47">
        <f t="shared" si="2"/>
        <v>0</v>
      </c>
      <c r="N11" s="47">
        <f t="shared" si="2"/>
        <v>0</v>
      </c>
      <c r="O11" s="47">
        <f t="shared" si="2"/>
        <v>0</v>
      </c>
      <c r="P11" s="48">
        <f t="shared" si="2"/>
        <v>0</v>
      </c>
      <c r="Q11" s="48">
        <f t="shared" si="2"/>
        <v>0</v>
      </c>
      <c r="R11" s="48">
        <f t="shared" si="2"/>
        <v>0</v>
      </c>
      <c r="S11" s="49">
        <f t="shared" si="2"/>
        <v>0</v>
      </c>
      <c r="T11" s="49">
        <f t="shared" si="2"/>
        <v>0</v>
      </c>
      <c r="U11" s="49">
        <f t="shared" si="2"/>
        <v>0</v>
      </c>
      <c r="V11" s="50">
        <f t="shared" si="2"/>
        <v>0.2016430188691187</v>
      </c>
    </row>
    <row r="12" spans="2:116" s="1" customFormat="1" ht="21.95" customHeight="1" x14ac:dyDescent="0.6">
      <c r="D12" s="35"/>
      <c r="H12" s="2"/>
      <c r="I12" s="51" t="s">
        <v>27</v>
      </c>
      <c r="J12" s="52">
        <f>IFERROR((J10/J4),0)</f>
        <v>0.88367711972265028</v>
      </c>
      <c r="K12" s="52">
        <f t="shared" si="2"/>
        <v>0.8042975065414788</v>
      </c>
      <c r="L12" s="52">
        <f t="shared" si="2"/>
        <v>0.65486714762737952</v>
      </c>
      <c r="M12" s="53">
        <f t="shared" si="2"/>
        <v>0</v>
      </c>
      <c r="N12" s="53">
        <f t="shared" si="2"/>
        <v>0</v>
      </c>
      <c r="O12" s="53">
        <f t="shared" si="2"/>
        <v>0</v>
      </c>
      <c r="P12" s="54">
        <f t="shared" si="2"/>
        <v>0</v>
      </c>
      <c r="Q12" s="54">
        <f t="shared" si="2"/>
        <v>0</v>
      </c>
      <c r="R12" s="54">
        <f t="shared" si="2"/>
        <v>0</v>
      </c>
      <c r="S12" s="55">
        <f t="shared" si="2"/>
        <v>0</v>
      </c>
      <c r="T12" s="55">
        <f t="shared" si="2"/>
        <v>0</v>
      </c>
      <c r="U12" s="55">
        <f t="shared" si="2"/>
        <v>0</v>
      </c>
      <c r="V12" s="56">
        <f t="shared" si="2"/>
        <v>0.20304628707059741</v>
      </c>
    </row>
    <row r="13" spans="2:116" s="1" customFormat="1" ht="21.95" hidden="1" customHeight="1" x14ac:dyDescent="0.6">
      <c r="D13" s="35"/>
      <c r="E13" s="35"/>
      <c r="F13" s="35"/>
      <c r="Z13" s="57"/>
      <c r="AA13" s="57"/>
      <c r="AB13" s="57"/>
      <c r="AC13" s="57"/>
      <c r="CZ13" s="2"/>
      <c r="DA13" s="57"/>
      <c r="DB13" s="58"/>
      <c r="DC13" s="58"/>
      <c r="DD13" s="58"/>
      <c r="DE13" s="58"/>
      <c r="DF13" s="58"/>
      <c r="DG13" s="58"/>
      <c r="DH13" s="58"/>
      <c r="DI13" s="57"/>
      <c r="DJ13" s="57"/>
      <c r="DK13" s="57"/>
      <c r="DL13" s="57"/>
    </row>
    <row r="14" spans="2:116" s="59" customFormat="1" ht="21.95" hidden="1" customHeight="1" x14ac:dyDescent="0.6">
      <c r="B14" s="59" t="s">
        <v>28</v>
      </c>
      <c r="D14" s="60"/>
      <c r="E14" s="60"/>
      <c r="F14" s="60"/>
      <c r="Z14" s="61"/>
      <c r="AA14" s="61"/>
      <c r="AB14" s="61"/>
      <c r="AC14" s="61"/>
      <c r="CZ14" s="62"/>
      <c r="DA14" s="61"/>
      <c r="DB14" s="63">
        <v>2088118</v>
      </c>
      <c r="DC14" s="63">
        <v>2119137</v>
      </c>
      <c r="DD14" s="63">
        <v>3118431</v>
      </c>
      <c r="DE14" s="63">
        <v>1794739</v>
      </c>
      <c r="DF14" s="63">
        <v>2221723</v>
      </c>
      <c r="DG14" s="63">
        <v>2279600</v>
      </c>
      <c r="DH14" s="63">
        <v>2251328</v>
      </c>
      <c r="DI14" s="61"/>
      <c r="DJ14" s="61"/>
      <c r="DK14" s="61"/>
      <c r="DL14" s="61"/>
    </row>
    <row r="15" spans="2:116" s="59" customFormat="1" ht="21.95" hidden="1" customHeight="1" x14ac:dyDescent="0.6">
      <c r="D15" s="60"/>
      <c r="E15" s="60"/>
      <c r="F15" s="60"/>
      <c r="Z15" s="61"/>
      <c r="AA15" s="61"/>
      <c r="AB15" s="61"/>
      <c r="AC15" s="61"/>
      <c r="CZ15" s="62"/>
      <c r="DA15" s="61"/>
      <c r="DB15" s="63">
        <f t="shared" ref="DB15:DH15" si="3">+J$9-DB14</f>
        <v>82230</v>
      </c>
      <c r="DC15" s="63">
        <f t="shared" si="3"/>
        <v>-154568</v>
      </c>
      <c r="DD15" s="63">
        <f t="shared" si="3"/>
        <v>-1527265</v>
      </c>
      <c r="DE15" s="63">
        <f t="shared" si="3"/>
        <v>-1794739</v>
      </c>
      <c r="DF15" s="63">
        <f t="shared" si="3"/>
        <v>-2221723</v>
      </c>
      <c r="DG15" s="63">
        <f t="shared" si="3"/>
        <v>-2279600</v>
      </c>
      <c r="DH15" s="63">
        <f t="shared" si="3"/>
        <v>-2251328</v>
      </c>
      <c r="DI15" s="63"/>
      <c r="DJ15" s="61"/>
      <c r="DK15" s="61"/>
      <c r="DL15" s="61"/>
    </row>
    <row r="16" spans="2:116" s="59" customFormat="1" ht="21.95" hidden="1" customHeight="1" x14ac:dyDescent="0.6">
      <c r="B16" s="59" t="s">
        <v>29</v>
      </c>
      <c r="D16" s="60"/>
      <c r="E16" s="60"/>
      <c r="F16" s="60"/>
      <c r="Z16" s="61"/>
      <c r="AA16" s="61"/>
      <c r="AB16" s="61"/>
      <c r="AC16" s="61"/>
      <c r="CZ16" s="62"/>
      <c r="DA16" s="61"/>
      <c r="DB16" s="63">
        <v>2088118</v>
      </c>
      <c r="DC16" s="63">
        <v>2119137</v>
      </c>
      <c r="DD16" s="63">
        <v>3118431</v>
      </c>
      <c r="DE16" s="63">
        <v>1794739</v>
      </c>
      <c r="DF16" s="63">
        <v>2221723</v>
      </c>
      <c r="DG16" s="63">
        <v>2279600</v>
      </c>
      <c r="DH16" s="63">
        <v>2251328</v>
      </c>
      <c r="DI16" s="61"/>
      <c r="DJ16" s="61"/>
      <c r="DK16" s="61"/>
      <c r="DL16" s="61"/>
    </row>
    <row r="17" spans="1:134" s="59" customFormat="1" ht="21.95" hidden="1" customHeight="1" x14ac:dyDescent="0.6">
      <c r="D17" s="60"/>
      <c r="E17" s="60"/>
      <c r="F17" s="60"/>
      <c r="Z17" s="61"/>
      <c r="AA17" s="61"/>
      <c r="AB17" s="61"/>
      <c r="AC17" s="61"/>
      <c r="CZ17" s="62"/>
      <c r="DA17" s="61"/>
      <c r="DB17" s="63">
        <f t="shared" ref="DB17:DH17" si="4">+J$9-DB16</f>
        <v>82230</v>
      </c>
      <c r="DC17" s="63">
        <f t="shared" si="4"/>
        <v>-154568</v>
      </c>
      <c r="DD17" s="63">
        <f t="shared" si="4"/>
        <v>-1527265</v>
      </c>
      <c r="DE17" s="63">
        <f t="shared" si="4"/>
        <v>-1794739</v>
      </c>
      <c r="DF17" s="63">
        <f t="shared" si="4"/>
        <v>-2221723</v>
      </c>
      <c r="DG17" s="63">
        <f t="shared" si="4"/>
        <v>-2279600</v>
      </c>
      <c r="DH17" s="63">
        <f t="shared" si="4"/>
        <v>-2251328</v>
      </c>
      <c r="DI17" s="63"/>
      <c r="DJ17" s="61"/>
      <c r="DK17" s="61"/>
      <c r="DL17" s="61"/>
    </row>
    <row r="18" spans="1:134" s="59" customFormat="1" ht="21.95" hidden="1" customHeight="1" x14ac:dyDescent="0.6">
      <c r="B18" s="59" t="s">
        <v>30</v>
      </c>
      <c r="D18" s="60"/>
      <c r="E18" s="60"/>
      <c r="F18" s="60"/>
      <c r="Z18" s="61"/>
      <c r="AA18" s="61"/>
      <c r="AB18" s="61"/>
      <c r="AC18" s="61"/>
      <c r="CZ18" s="62"/>
      <c r="DA18" s="61"/>
      <c r="DB18" s="63">
        <v>2088118</v>
      </c>
      <c r="DC18" s="63">
        <v>2119137</v>
      </c>
      <c r="DD18" s="63">
        <v>3118431</v>
      </c>
      <c r="DE18" s="63">
        <v>1794739</v>
      </c>
      <c r="DF18" s="63">
        <v>2221723</v>
      </c>
      <c r="DG18" s="63">
        <v>2279600</v>
      </c>
      <c r="DH18" s="63">
        <v>2251328</v>
      </c>
      <c r="DI18" s="61"/>
      <c r="DJ18" s="61"/>
      <c r="DK18" s="61"/>
      <c r="DL18" s="61"/>
    </row>
    <row r="19" spans="1:134" s="59" customFormat="1" ht="21.95" hidden="1" customHeight="1" x14ac:dyDescent="0.6">
      <c r="D19" s="60"/>
      <c r="E19" s="60"/>
      <c r="F19" s="60"/>
      <c r="Z19" s="61"/>
      <c r="AA19" s="61"/>
      <c r="AB19" s="61"/>
      <c r="AC19" s="61"/>
      <c r="CZ19" s="62"/>
      <c r="DA19" s="61"/>
      <c r="DB19" s="63">
        <f t="shared" ref="DB19:DH19" si="5">+J$9-DB18</f>
        <v>82230</v>
      </c>
      <c r="DC19" s="63">
        <f t="shared" si="5"/>
        <v>-154568</v>
      </c>
      <c r="DD19" s="63">
        <f t="shared" si="5"/>
        <v>-1527265</v>
      </c>
      <c r="DE19" s="63">
        <f t="shared" si="5"/>
        <v>-1794739</v>
      </c>
      <c r="DF19" s="63">
        <f t="shared" si="5"/>
        <v>-2221723</v>
      </c>
      <c r="DG19" s="63">
        <f t="shared" si="5"/>
        <v>-2279600</v>
      </c>
      <c r="DH19" s="63">
        <f t="shared" si="5"/>
        <v>-2251328</v>
      </c>
      <c r="DI19" s="63"/>
      <c r="DJ19" s="61"/>
      <c r="DK19" s="61"/>
      <c r="DL19" s="61"/>
    </row>
    <row r="20" spans="1:134" s="64" customFormat="1" ht="21.95" hidden="1" customHeight="1" x14ac:dyDescent="0.6">
      <c r="B20" s="64" t="s">
        <v>28</v>
      </c>
      <c r="D20" s="65"/>
      <c r="E20" s="65"/>
      <c r="F20" s="65"/>
      <c r="Z20" s="66"/>
      <c r="AA20" s="66"/>
      <c r="AB20" s="66"/>
      <c r="AC20" s="66"/>
      <c r="CZ20" s="67"/>
      <c r="DA20" s="66"/>
      <c r="DB20" s="68">
        <v>1573223.2000000004</v>
      </c>
      <c r="DC20" s="68">
        <v>1588117.2899999998</v>
      </c>
      <c r="DD20" s="68">
        <v>2360939.59</v>
      </c>
      <c r="DE20" s="68">
        <v>1331643.8799999997</v>
      </c>
      <c r="DF20" s="68">
        <v>1682932.2199999995</v>
      </c>
      <c r="DG20" s="68">
        <v>1732105.38</v>
      </c>
      <c r="DH20" s="68">
        <v>1699256.87</v>
      </c>
      <c r="DI20" s="66"/>
      <c r="DJ20" s="66"/>
      <c r="DK20" s="66"/>
      <c r="DL20" s="66"/>
    </row>
    <row r="21" spans="1:134" s="64" customFormat="1" ht="21.95" hidden="1" customHeight="1" x14ac:dyDescent="0.6">
      <c r="D21" s="65"/>
      <c r="E21" s="65"/>
      <c r="F21" s="65"/>
      <c r="Z21" s="66"/>
      <c r="AA21" s="66"/>
      <c r="AB21" s="66"/>
      <c r="AC21" s="66"/>
      <c r="CZ21" s="67"/>
      <c r="DA21" s="66"/>
      <c r="DB21" s="68">
        <f t="shared" ref="DB21:DH21" si="6">+J$10-DB20</f>
        <v>68778.119999999646</v>
      </c>
      <c r="DC21" s="68">
        <f t="shared" si="6"/>
        <v>-93614.899999999907</v>
      </c>
      <c r="DD21" s="68">
        <f t="shared" si="6"/>
        <v>-1144100.6599999995</v>
      </c>
      <c r="DE21" s="69">
        <f t="shared" si="6"/>
        <v>-1331643.8799999997</v>
      </c>
      <c r="DF21" s="68">
        <f t="shared" si="6"/>
        <v>-1682932.2199999995</v>
      </c>
      <c r="DG21" s="68">
        <f t="shared" si="6"/>
        <v>-1732105.38</v>
      </c>
      <c r="DH21" s="68">
        <f t="shared" si="6"/>
        <v>-1699256.87</v>
      </c>
      <c r="DI21" s="68"/>
      <c r="DJ21" s="66"/>
      <c r="DK21" s="66"/>
      <c r="DL21" s="66"/>
    </row>
    <row r="22" spans="1:134" s="64" customFormat="1" ht="21.95" hidden="1" customHeight="1" x14ac:dyDescent="0.6">
      <c r="B22" s="64" t="s">
        <v>29</v>
      </c>
      <c r="D22" s="65"/>
      <c r="E22" s="65"/>
      <c r="F22" s="65"/>
      <c r="Z22" s="66"/>
      <c r="AA22" s="66"/>
      <c r="AB22" s="66"/>
      <c r="AC22" s="66"/>
      <c r="CZ22" s="67"/>
      <c r="DA22" s="66"/>
      <c r="DB22" s="68">
        <v>1573223.2000000004</v>
      </c>
      <c r="DC22" s="68">
        <v>1588117.2899999998</v>
      </c>
      <c r="DD22" s="68">
        <v>2360939.59</v>
      </c>
      <c r="DE22" s="68">
        <v>1331643.8799999997</v>
      </c>
      <c r="DF22" s="68">
        <v>1682932.2199999995</v>
      </c>
      <c r="DG22" s="68">
        <v>1732105.38</v>
      </c>
      <c r="DH22" s="68">
        <v>1699256.87</v>
      </c>
      <c r="DI22" s="66"/>
      <c r="DJ22" s="66"/>
      <c r="DK22" s="66"/>
      <c r="DL22" s="66"/>
    </row>
    <row r="23" spans="1:134" s="64" customFormat="1" ht="21.95" hidden="1" customHeight="1" x14ac:dyDescent="0.6">
      <c r="D23" s="65"/>
      <c r="E23" s="65"/>
      <c r="F23" s="65"/>
      <c r="Z23" s="66"/>
      <c r="AA23" s="66"/>
      <c r="AB23" s="66"/>
      <c r="AC23" s="66"/>
      <c r="CZ23" s="67"/>
      <c r="DA23" s="66"/>
      <c r="DB23" s="68">
        <f t="shared" ref="DB23:DH23" si="7">+J$10-DB22</f>
        <v>68778.119999999646</v>
      </c>
      <c r="DC23" s="68">
        <f t="shared" si="7"/>
        <v>-93614.899999999907</v>
      </c>
      <c r="DD23" s="68">
        <f t="shared" si="7"/>
        <v>-1144100.6599999995</v>
      </c>
      <c r="DE23" s="69">
        <f t="shared" si="7"/>
        <v>-1331643.8799999997</v>
      </c>
      <c r="DF23" s="68">
        <f t="shared" si="7"/>
        <v>-1682932.2199999995</v>
      </c>
      <c r="DG23" s="68">
        <f t="shared" si="7"/>
        <v>-1732105.38</v>
      </c>
      <c r="DH23" s="68">
        <f t="shared" si="7"/>
        <v>-1699256.87</v>
      </c>
      <c r="DI23" s="68"/>
      <c r="DJ23" s="66"/>
      <c r="DK23" s="66"/>
      <c r="DL23" s="66"/>
    </row>
    <row r="24" spans="1:134" s="64" customFormat="1" ht="21.95" hidden="1" customHeight="1" x14ac:dyDescent="0.6">
      <c r="B24" s="64" t="s">
        <v>30</v>
      </c>
      <c r="D24" s="65"/>
      <c r="E24" s="65"/>
      <c r="F24" s="65"/>
      <c r="Z24" s="66"/>
      <c r="AA24" s="66"/>
      <c r="AB24" s="66"/>
      <c r="AC24" s="66"/>
      <c r="CZ24" s="67"/>
      <c r="DA24" s="66"/>
      <c r="DB24" s="68">
        <v>1573223.2000000004</v>
      </c>
      <c r="DC24" s="68">
        <v>1588117.2899999998</v>
      </c>
      <c r="DD24" s="68">
        <v>2360939.59</v>
      </c>
      <c r="DE24" s="68">
        <v>1331643.8799999997</v>
      </c>
      <c r="DF24" s="68">
        <v>1682932.2199999995</v>
      </c>
      <c r="DG24" s="68">
        <v>1732105.38</v>
      </c>
      <c r="DH24" s="68">
        <v>1699256.87</v>
      </c>
      <c r="DI24" s="66"/>
      <c r="DJ24" s="66"/>
      <c r="DK24" s="66"/>
      <c r="DL24" s="66"/>
    </row>
    <row r="25" spans="1:134" s="64" customFormat="1" ht="21.95" hidden="1" customHeight="1" x14ac:dyDescent="0.6">
      <c r="D25" s="65"/>
      <c r="E25" s="65"/>
      <c r="F25" s="65"/>
      <c r="Z25" s="66"/>
      <c r="AA25" s="66"/>
      <c r="AB25" s="66"/>
      <c r="AC25" s="66"/>
      <c r="CZ25" s="67"/>
      <c r="DA25" s="66"/>
      <c r="DB25" s="68">
        <f t="shared" ref="DB25:DH25" si="8">+J$10-DB24</f>
        <v>68778.119999999646</v>
      </c>
      <c r="DC25" s="68">
        <f t="shared" si="8"/>
        <v>-93614.899999999907</v>
      </c>
      <c r="DD25" s="68">
        <f t="shared" si="8"/>
        <v>-1144100.6599999995</v>
      </c>
      <c r="DE25" s="69">
        <f t="shared" si="8"/>
        <v>-1331643.8799999997</v>
      </c>
      <c r="DF25" s="68">
        <f t="shared" si="8"/>
        <v>-1682932.2199999995</v>
      </c>
      <c r="DG25" s="68">
        <f t="shared" si="8"/>
        <v>-1732105.38</v>
      </c>
      <c r="DH25" s="68">
        <f t="shared" si="8"/>
        <v>-1699256.87</v>
      </c>
      <c r="DI25" s="68"/>
      <c r="DJ25" s="66"/>
      <c r="DK25" s="66"/>
      <c r="DL25" s="66"/>
    </row>
    <row r="26" spans="1:134" s="1" customFormat="1" ht="21.95" customHeight="1" thickBot="1" x14ac:dyDescent="0.65">
      <c r="D26" s="35"/>
      <c r="E26" s="35"/>
      <c r="F26" s="35"/>
      <c r="H26" s="2"/>
      <c r="I26" s="58">
        <f>+I29+I77+I195+I350-J4</f>
        <v>0.43926066672429442</v>
      </c>
      <c r="J26" s="58"/>
      <c r="K26" s="57"/>
      <c r="L26" s="57"/>
      <c r="M26" s="57"/>
      <c r="N26" s="57"/>
      <c r="Q26" s="57"/>
      <c r="R26" s="58">
        <f>+R29+R77+R195+R350-K4</f>
        <v>0.43926066672429442</v>
      </c>
      <c r="S26" s="57"/>
      <c r="T26" s="57"/>
      <c r="Z26" s="57"/>
      <c r="AA26" s="58">
        <f>+AA29+AA77+AA195+AA350-L4</f>
        <v>0.43926066672429442</v>
      </c>
      <c r="AB26" s="57"/>
      <c r="AC26" s="57"/>
      <c r="AO26" s="58">
        <f>+AO29+AO77+AO195+AO350-M3</f>
        <v>-2271770.3918990241</v>
      </c>
      <c r="AX26" s="58">
        <f>+AX29+AX77+AX195+AX350-N3</f>
        <v>-2271770.3918990241</v>
      </c>
      <c r="BG26" s="58">
        <f>+BG29+BG77+BG195+BG350-O3</f>
        <v>-2271770.3918990241</v>
      </c>
      <c r="BU26" s="58">
        <f>+BU29+BU77+BU195+BU350-P3</f>
        <v>-2366427.4915614831</v>
      </c>
      <c r="CD26" s="58">
        <f>+CD29+CD77+CD195+CD350-Q3</f>
        <v>-2366427.4915614831</v>
      </c>
      <c r="CM26" s="58">
        <f>+CM29+CM77+CM195+CM350-R3</f>
        <v>-2366427.4915614831</v>
      </c>
      <c r="DA26" s="58">
        <f>+DA29+DA77+DA195+DA350-S3</f>
        <v>-2366427.4915614831</v>
      </c>
      <c r="DJ26" s="58">
        <f>+DJ29+DJ77+DJ195+DJ350-T3</f>
        <v>-2366427.4915614831</v>
      </c>
      <c r="DS26" s="58">
        <f>+DS29+DS77+DS195+DS350-U3</f>
        <v>-2366427.4915614831</v>
      </c>
    </row>
    <row r="27" spans="1:134" s="1" customFormat="1" ht="21.95" customHeight="1" thickBot="1" x14ac:dyDescent="0.65">
      <c r="D27" s="35"/>
      <c r="E27" s="35"/>
      <c r="F27" s="35"/>
      <c r="H27" s="2"/>
      <c r="I27" s="386" t="s">
        <v>31</v>
      </c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  <c r="V27" s="387"/>
      <c r="W27" s="387"/>
      <c r="X27" s="387"/>
      <c r="Y27" s="387"/>
      <c r="Z27" s="387"/>
      <c r="AA27" s="387"/>
      <c r="AB27" s="387"/>
      <c r="AC27" s="387"/>
      <c r="AD27" s="387"/>
      <c r="AE27" s="387"/>
      <c r="AF27" s="387"/>
      <c r="AG27" s="387"/>
      <c r="AH27" s="387"/>
      <c r="AI27" s="387"/>
      <c r="AJ27" s="387"/>
      <c r="AK27" s="387"/>
      <c r="AL27" s="388"/>
      <c r="AN27" s="2"/>
      <c r="AO27" s="386" t="s">
        <v>32</v>
      </c>
      <c r="AP27" s="387"/>
      <c r="AQ27" s="387"/>
      <c r="AR27" s="387"/>
      <c r="AS27" s="387"/>
      <c r="AT27" s="387"/>
      <c r="AU27" s="387"/>
      <c r="AV27" s="387"/>
      <c r="AW27" s="387"/>
      <c r="AX27" s="387"/>
      <c r="AY27" s="387"/>
      <c r="AZ27" s="387"/>
      <c r="BA27" s="387"/>
      <c r="BB27" s="387"/>
      <c r="BC27" s="387"/>
      <c r="BD27" s="387"/>
      <c r="BE27" s="387"/>
      <c r="BF27" s="387"/>
      <c r="BG27" s="387"/>
      <c r="BH27" s="387"/>
      <c r="BI27" s="387"/>
      <c r="BJ27" s="387"/>
      <c r="BK27" s="387"/>
      <c r="BL27" s="387"/>
      <c r="BM27" s="387"/>
      <c r="BN27" s="387"/>
      <c r="BO27" s="387"/>
      <c r="BP27" s="387"/>
      <c r="BQ27" s="387"/>
      <c r="BR27" s="388"/>
      <c r="BT27" s="2"/>
      <c r="BU27" s="386" t="s">
        <v>33</v>
      </c>
      <c r="BV27" s="387"/>
      <c r="BW27" s="387"/>
      <c r="BX27" s="387"/>
      <c r="BY27" s="387"/>
      <c r="BZ27" s="387"/>
      <c r="CA27" s="387"/>
      <c r="CB27" s="387"/>
      <c r="CC27" s="387"/>
      <c r="CD27" s="387"/>
      <c r="CE27" s="387"/>
      <c r="CF27" s="387"/>
      <c r="CG27" s="387"/>
      <c r="CH27" s="387"/>
      <c r="CI27" s="387"/>
      <c r="CJ27" s="387"/>
      <c r="CK27" s="387"/>
      <c r="CL27" s="387"/>
      <c r="CM27" s="387"/>
      <c r="CN27" s="387"/>
      <c r="CO27" s="387"/>
      <c r="CP27" s="387"/>
      <c r="CQ27" s="387"/>
      <c r="CR27" s="387"/>
      <c r="CS27" s="387"/>
      <c r="CT27" s="387"/>
      <c r="CU27" s="387"/>
      <c r="CV27" s="387"/>
      <c r="CW27" s="387"/>
      <c r="CX27" s="388"/>
      <c r="CZ27" s="2"/>
      <c r="DA27" s="386" t="s">
        <v>34</v>
      </c>
      <c r="DB27" s="387"/>
      <c r="DC27" s="387"/>
      <c r="DD27" s="387"/>
      <c r="DE27" s="387"/>
      <c r="DF27" s="387"/>
      <c r="DG27" s="387"/>
      <c r="DH27" s="387"/>
      <c r="DI27" s="387"/>
      <c r="DJ27" s="387"/>
      <c r="DK27" s="387"/>
      <c r="DL27" s="387"/>
      <c r="DM27" s="387"/>
      <c r="DN27" s="387"/>
      <c r="DO27" s="387"/>
      <c r="DP27" s="387"/>
      <c r="DQ27" s="387"/>
      <c r="DR27" s="387"/>
      <c r="DS27" s="387"/>
      <c r="DT27" s="387"/>
      <c r="DU27" s="387"/>
      <c r="DV27" s="387"/>
      <c r="DW27" s="387"/>
      <c r="DX27" s="387"/>
      <c r="DY27" s="387"/>
      <c r="DZ27" s="387"/>
      <c r="EA27" s="387"/>
      <c r="EB27" s="387"/>
      <c r="EC27" s="387"/>
      <c r="ED27" s="388"/>
    </row>
    <row r="28" spans="1:134" s="71" customFormat="1" ht="21.95" customHeight="1" thickBot="1" x14ac:dyDescent="0.65">
      <c r="A28" s="6"/>
      <c r="B28" s="392" t="s">
        <v>35</v>
      </c>
      <c r="C28" s="392"/>
      <c r="D28" s="392"/>
      <c r="E28" s="6"/>
      <c r="F28" s="70"/>
      <c r="H28" s="72"/>
      <c r="I28" s="374">
        <v>46023</v>
      </c>
      <c r="J28" s="375"/>
      <c r="K28" s="375"/>
      <c r="L28" s="375"/>
      <c r="M28" s="375"/>
      <c r="N28" s="375"/>
      <c r="O28" s="375"/>
      <c r="P28" s="375"/>
      <c r="Q28" s="376"/>
      <c r="R28" s="374">
        <v>46054</v>
      </c>
      <c r="S28" s="375"/>
      <c r="T28" s="375"/>
      <c r="U28" s="375"/>
      <c r="V28" s="375"/>
      <c r="W28" s="375"/>
      <c r="X28" s="375"/>
      <c r="Y28" s="375"/>
      <c r="Z28" s="376"/>
      <c r="AA28" s="374">
        <v>46082</v>
      </c>
      <c r="AB28" s="375"/>
      <c r="AC28" s="375"/>
      <c r="AD28" s="375"/>
      <c r="AE28" s="375"/>
      <c r="AF28" s="375"/>
      <c r="AG28" s="375"/>
      <c r="AH28" s="375"/>
      <c r="AI28" s="376"/>
      <c r="AJ28" s="377" t="s">
        <v>36</v>
      </c>
      <c r="AK28" s="378"/>
      <c r="AL28" s="379"/>
      <c r="AN28" s="72"/>
      <c r="AO28" s="374">
        <v>46113</v>
      </c>
      <c r="AP28" s="375"/>
      <c r="AQ28" s="375"/>
      <c r="AR28" s="375"/>
      <c r="AS28" s="375"/>
      <c r="AT28" s="375"/>
      <c r="AU28" s="375"/>
      <c r="AV28" s="375"/>
      <c r="AW28" s="376"/>
      <c r="AX28" s="374">
        <v>46143</v>
      </c>
      <c r="AY28" s="375"/>
      <c r="AZ28" s="375"/>
      <c r="BA28" s="375"/>
      <c r="BB28" s="375"/>
      <c r="BC28" s="375"/>
      <c r="BD28" s="375"/>
      <c r="BE28" s="375"/>
      <c r="BF28" s="376"/>
      <c r="BG28" s="374">
        <v>46174</v>
      </c>
      <c r="BH28" s="375"/>
      <c r="BI28" s="375"/>
      <c r="BJ28" s="375"/>
      <c r="BK28" s="375"/>
      <c r="BL28" s="375"/>
      <c r="BM28" s="375"/>
      <c r="BN28" s="375"/>
      <c r="BO28" s="376"/>
      <c r="BP28" s="377" t="s">
        <v>37</v>
      </c>
      <c r="BQ28" s="378"/>
      <c r="BR28" s="379"/>
      <c r="BT28" s="72"/>
      <c r="BU28" s="374">
        <v>46204</v>
      </c>
      <c r="BV28" s="375"/>
      <c r="BW28" s="375"/>
      <c r="BX28" s="375"/>
      <c r="BY28" s="375"/>
      <c r="BZ28" s="375"/>
      <c r="CA28" s="375"/>
      <c r="CB28" s="375"/>
      <c r="CC28" s="376"/>
      <c r="CD28" s="374">
        <v>46235</v>
      </c>
      <c r="CE28" s="375"/>
      <c r="CF28" s="375"/>
      <c r="CG28" s="375"/>
      <c r="CH28" s="375"/>
      <c r="CI28" s="375"/>
      <c r="CJ28" s="375"/>
      <c r="CK28" s="375"/>
      <c r="CL28" s="376"/>
      <c r="CM28" s="374">
        <v>46266</v>
      </c>
      <c r="CN28" s="375"/>
      <c r="CO28" s="375"/>
      <c r="CP28" s="375"/>
      <c r="CQ28" s="375"/>
      <c r="CR28" s="375"/>
      <c r="CS28" s="375"/>
      <c r="CT28" s="375"/>
      <c r="CU28" s="376"/>
      <c r="CV28" s="377" t="s">
        <v>38</v>
      </c>
      <c r="CW28" s="378"/>
      <c r="CX28" s="379"/>
      <c r="CZ28" s="72"/>
      <c r="DA28" s="374">
        <v>46296</v>
      </c>
      <c r="DB28" s="375"/>
      <c r="DC28" s="375"/>
      <c r="DD28" s="375"/>
      <c r="DE28" s="375"/>
      <c r="DF28" s="375"/>
      <c r="DG28" s="375"/>
      <c r="DH28" s="375"/>
      <c r="DI28" s="376"/>
      <c r="DJ28" s="374">
        <v>46327</v>
      </c>
      <c r="DK28" s="375"/>
      <c r="DL28" s="375"/>
      <c r="DM28" s="375"/>
      <c r="DN28" s="375"/>
      <c r="DO28" s="375"/>
      <c r="DP28" s="375"/>
      <c r="DQ28" s="375"/>
      <c r="DR28" s="376"/>
      <c r="DS28" s="374">
        <v>46357</v>
      </c>
      <c r="DT28" s="375"/>
      <c r="DU28" s="375"/>
      <c r="DV28" s="375"/>
      <c r="DW28" s="375"/>
      <c r="DX28" s="375"/>
      <c r="DY28" s="375"/>
      <c r="DZ28" s="375"/>
      <c r="EA28" s="376"/>
      <c r="EB28" s="377" t="s">
        <v>39</v>
      </c>
      <c r="EC28" s="378"/>
      <c r="ED28" s="379"/>
    </row>
    <row r="29" spans="1:134" s="71" customFormat="1" ht="21.95" customHeight="1" thickBot="1" x14ac:dyDescent="0.65">
      <c r="A29" s="6"/>
      <c r="B29" s="6"/>
      <c r="C29" s="6"/>
      <c r="D29" s="6"/>
      <c r="E29" s="6"/>
      <c r="F29" s="6"/>
      <c r="H29" s="224">
        <f>H5*J3</f>
        <v>1845813.4434179547</v>
      </c>
      <c r="I29" s="370">
        <v>1393609.6822179998</v>
      </c>
      <c r="J29" s="371"/>
      <c r="K29" s="369">
        <v>10</v>
      </c>
      <c r="L29" s="369"/>
      <c r="M29" s="369">
        <v>20</v>
      </c>
      <c r="N29" s="369"/>
      <c r="O29" s="369">
        <v>30</v>
      </c>
      <c r="P29" s="369"/>
      <c r="Q29" s="76" t="s">
        <v>40</v>
      </c>
      <c r="R29" s="370">
        <v>1393609.6822179998</v>
      </c>
      <c r="S29" s="371"/>
      <c r="T29" s="369">
        <v>10</v>
      </c>
      <c r="U29" s="369"/>
      <c r="V29" s="369">
        <v>20</v>
      </c>
      <c r="W29" s="369"/>
      <c r="X29" s="369">
        <v>30</v>
      </c>
      <c r="Y29" s="369"/>
      <c r="Z29" s="76" t="s">
        <v>40</v>
      </c>
      <c r="AA29" s="399">
        <v>1393609.6822179998</v>
      </c>
      <c r="AB29" s="400"/>
      <c r="AC29" s="369">
        <v>10</v>
      </c>
      <c r="AD29" s="369"/>
      <c r="AE29" s="369">
        <v>20</v>
      </c>
      <c r="AF29" s="369"/>
      <c r="AG29" s="369">
        <v>30</v>
      </c>
      <c r="AH29" s="369"/>
      <c r="AI29" s="76" t="s">
        <v>40</v>
      </c>
      <c r="AJ29" s="77" t="s">
        <v>41</v>
      </c>
      <c r="AK29" s="78" t="s">
        <v>42</v>
      </c>
      <c r="AL29" s="79" t="s">
        <v>40</v>
      </c>
      <c r="AN29" s="72"/>
      <c r="AO29" s="370"/>
      <c r="AP29" s="371"/>
      <c r="AQ29" s="369">
        <v>10</v>
      </c>
      <c r="AR29" s="369"/>
      <c r="AS29" s="369">
        <v>20</v>
      </c>
      <c r="AT29" s="369"/>
      <c r="AU29" s="369">
        <v>30</v>
      </c>
      <c r="AV29" s="369"/>
      <c r="AW29" s="76" t="s">
        <v>40</v>
      </c>
      <c r="AX29" s="370"/>
      <c r="AY29" s="371"/>
      <c r="AZ29" s="369">
        <v>10</v>
      </c>
      <c r="BA29" s="369"/>
      <c r="BB29" s="369">
        <v>20</v>
      </c>
      <c r="BC29" s="369"/>
      <c r="BD29" s="369">
        <v>31</v>
      </c>
      <c r="BE29" s="369"/>
      <c r="BF29" s="76" t="s">
        <v>40</v>
      </c>
      <c r="BG29" s="399"/>
      <c r="BH29" s="400"/>
      <c r="BI29" s="369">
        <v>10</v>
      </c>
      <c r="BJ29" s="369"/>
      <c r="BK29" s="369">
        <v>20</v>
      </c>
      <c r="BL29" s="369"/>
      <c r="BM29" s="369">
        <v>30</v>
      </c>
      <c r="BN29" s="369"/>
      <c r="BO29" s="76" t="s">
        <v>40</v>
      </c>
      <c r="BP29" s="77" t="s">
        <v>41</v>
      </c>
      <c r="BQ29" s="78" t="s">
        <v>42</v>
      </c>
      <c r="BR29" s="79" t="s">
        <v>40</v>
      </c>
      <c r="BT29" s="72"/>
      <c r="BU29" s="370"/>
      <c r="BV29" s="371"/>
      <c r="BW29" s="369">
        <v>10</v>
      </c>
      <c r="BX29" s="369"/>
      <c r="BY29" s="369">
        <v>20</v>
      </c>
      <c r="BZ29" s="369"/>
      <c r="CA29" s="369">
        <v>30</v>
      </c>
      <c r="CB29" s="369"/>
      <c r="CC29" s="76" t="s">
        <v>40</v>
      </c>
      <c r="CD29" s="370"/>
      <c r="CE29" s="371"/>
      <c r="CF29" s="369">
        <v>10</v>
      </c>
      <c r="CG29" s="369"/>
      <c r="CH29" s="369">
        <v>20</v>
      </c>
      <c r="CI29" s="369"/>
      <c r="CJ29" s="369">
        <v>30</v>
      </c>
      <c r="CK29" s="369"/>
      <c r="CL29" s="76" t="s">
        <v>40</v>
      </c>
      <c r="CM29" s="370"/>
      <c r="CN29" s="371"/>
      <c r="CO29" s="369">
        <v>10</v>
      </c>
      <c r="CP29" s="369"/>
      <c r="CQ29" s="369">
        <v>20</v>
      </c>
      <c r="CR29" s="369"/>
      <c r="CS29" s="369">
        <v>30</v>
      </c>
      <c r="CT29" s="369"/>
      <c r="CU29" s="76" t="s">
        <v>40</v>
      </c>
      <c r="CV29" s="77" t="s">
        <v>41</v>
      </c>
      <c r="CW29" s="78" t="s">
        <v>42</v>
      </c>
      <c r="CX29" s="79" t="s">
        <v>40</v>
      </c>
      <c r="CZ29" s="72"/>
      <c r="DA29" s="370"/>
      <c r="DB29" s="371"/>
      <c r="DC29" s="369">
        <v>10</v>
      </c>
      <c r="DD29" s="369"/>
      <c r="DE29" s="369">
        <v>20</v>
      </c>
      <c r="DF29" s="369"/>
      <c r="DG29" s="369">
        <v>30</v>
      </c>
      <c r="DH29" s="369"/>
      <c r="DI29" s="76" t="s">
        <v>40</v>
      </c>
      <c r="DJ29" s="370"/>
      <c r="DK29" s="371"/>
      <c r="DL29" s="369">
        <v>10</v>
      </c>
      <c r="DM29" s="369"/>
      <c r="DN29" s="369">
        <v>20</v>
      </c>
      <c r="DO29" s="369"/>
      <c r="DP29" s="369">
        <v>30</v>
      </c>
      <c r="DQ29" s="369"/>
      <c r="DR29" s="76" t="s">
        <v>40</v>
      </c>
      <c r="DS29" s="370"/>
      <c r="DT29" s="371"/>
      <c r="DU29" s="369">
        <v>10</v>
      </c>
      <c r="DV29" s="369"/>
      <c r="DW29" s="369">
        <v>20</v>
      </c>
      <c r="DX29" s="369"/>
      <c r="DY29" s="369">
        <v>30</v>
      </c>
      <c r="DZ29" s="369"/>
      <c r="EA29" s="76" t="s">
        <v>40</v>
      </c>
      <c r="EB29" s="77" t="s">
        <v>41</v>
      </c>
      <c r="EC29" s="78" t="s">
        <v>42</v>
      </c>
      <c r="ED29" s="79" t="s">
        <v>40</v>
      </c>
    </row>
    <row r="30" spans="1:134" s="6" customFormat="1" ht="21.95" customHeight="1" x14ac:dyDescent="0.6">
      <c r="A30" s="80" t="s">
        <v>43</v>
      </c>
      <c r="B30" s="381" t="s">
        <v>44</v>
      </c>
      <c r="C30" s="382"/>
      <c r="D30" s="381" t="s">
        <v>45</v>
      </c>
      <c r="E30" s="382"/>
      <c r="F30" s="80" t="s">
        <v>46</v>
      </c>
      <c r="G30" s="81" t="s">
        <v>47</v>
      </c>
      <c r="H30" s="82" t="s">
        <v>48</v>
      </c>
      <c r="I30" s="73" t="s">
        <v>716</v>
      </c>
      <c r="J30" s="74" t="s">
        <v>50</v>
      </c>
      <c r="K30" s="74" t="s">
        <v>51</v>
      </c>
      <c r="L30" s="74" t="s">
        <v>50</v>
      </c>
      <c r="M30" s="74" t="s">
        <v>51</v>
      </c>
      <c r="N30" s="74" t="s">
        <v>50</v>
      </c>
      <c r="O30" s="74" t="s">
        <v>51</v>
      </c>
      <c r="P30" s="74" t="s">
        <v>50</v>
      </c>
      <c r="Q30" s="75" t="s">
        <v>50</v>
      </c>
      <c r="R30" s="73" t="s">
        <v>716</v>
      </c>
      <c r="S30" s="74" t="s">
        <v>50</v>
      </c>
      <c r="T30" s="74" t="s">
        <v>51</v>
      </c>
      <c r="U30" s="74" t="s">
        <v>50</v>
      </c>
      <c r="V30" s="74" t="s">
        <v>51</v>
      </c>
      <c r="W30" s="74" t="s">
        <v>50</v>
      </c>
      <c r="X30" s="74" t="s">
        <v>51</v>
      </c>
      <c r="Y30" s="74" t="s">
        <v>50</v>
      </c>
      <c r="Z30" s="75" t="s">
        <v>50</v>
      </c>
      <c r="AA30" s="73" t="s">
        <v>716</v>
      </c>
      <c r="AB30" s="74" t="s">
        <v>50</v>
      </c>
      <c r="AC30" s="74" t="s">
        <v>51</v>
      </c>
      <c r="AD30" s="74" t="s">
        <v>50</v>
      </c>
      <c r="AE30" s="74" t="s">
        <v>51</v>
      </c>
      <c r="AF30" s="74" t="s">
        <v>50</v>
      </c>
      <c r="AG30" s="74" t="s">
        <v>51</v>
      </c>
      <c r="AH30" s="74" t="s">
        <v>50</v>
      </c>
      <c r="AI30" s="75" t="s">
        <v>50</v>
      </c>
      <c r="AJ30" s="73" t="s">
        <v>50</v>
      </c>
      <c r="AK30" s="74" t="s">
        <v>50</v>
      </c>
      <c r="AL30" s="75"/>
      <c r="AN30" s="82" t="s">
        <v>48</v>
      </c>
      <c r="AO30" s="73" t="s">
        <v>49</v>
      </c>
      <c r="AP30" s="74" t="s">
        <v>51</v>
      </c>
      <c r="AQ30" s="74" t="s">
        <v>51</v>
      </c>
      <c r="AR30" s="74" t="s">
        <v>50</v>
      </c>
      <c r="AS30" s="74" t="s">
        <v>51</v>
      </c>
      <c r="AT30" s="74" t="s">
        <v>50</v>
      </c>
      <c r="AU30" s="74" t="s">
        <v>51</v>
      </c>
      <c r="AV30" s="74" t="s">
        <v>50</v>
      </c>
      <c r="AW30" s="75" t="s">
        <v>51</v>
      </c>
      <c r="AX30" s="73" t="s">
        <v>49</v>
      </c>
      <c r="AY30" s="74" t="s">
        <v>51</v>
      </c>
      <c r="AZ30" s="74" t="s">
        <v>51</v>
      </c>
      <c r="BA30" s="74" t="s">
        <v>50</v>
      </c>
      <c r="BB30" s="74" t="s">
        <v>51</v>
      </c>
      <c r="BC30" s="74" t="s">
        <v>50</v>
      </c>
      <c r="BD30" s="74" t="s">
        <v>51</v>
      </c>
      <c r="BE30" s="74" t="s">
        <v>50</v>
      </c>
      <c r="BF30" s="75" t="s">
        <v>51</v>
      </c>
      <c r="BG30" s="73" t="s">
        <v>49</v>
      </c>
      <c r="BH30" s="74" t="s">
        <v>51</v>
      </c>
      <c r="BI30" s="74" t="s">
        <v>51</v>
      </c>
      <c r="BJ30" s="74" t="s">
        <v>50</v>
      </c>
      <c r="BK30" s="74" t="s">
        <v>51</v>
      </c>
      <c r="BL30" s="74" t="s">
        <v>50</v>
      </c>
      <c r="BM30" s="74" t="s">
        <v>51</v>
      </c>
      <c r="BN30" s="74" t="s">
        <v>50</v>
      </c>
      <c r="BO30" s="75" t="s">
        <v>51</v>
      </c>
      <c r="BP30" s="73" t="s">
        <v>51</v>
      </c>
      <c r="BQ30" s="74" t="s">
        <v>51</v>
      </c>
      <c r="BR30" s="75"/>
      <c r="BT30" s="82" t="s">
        <v>48</v>
      </c>
      <c r="BU30" s="73" t="s">
        <v>49</v>
      </c>
      <c r="BV30" s="74" t="s">
        <v>51</v>
      </c>
      <c r="BW30" s="74" t="s">
        <v>51</v>
      </c>
      <c r="BX30" s="74" t="s">
        <v>50</v>
      </c>
      <c r="BY30" s="74" t="s">
        <v>51</v>
      </c>
      <c r="BZ30" s="74" t="s">
        <v>50</v>
      </c>
      <c r="CA30" s="74" t="s">
        <v>51</v>
      </c>
      <c r="CB30" s="74" t="s">
        <v>50</v>
      </c>
      <c r="CC30" s="75" t="s">
        <v>51</v>
      </c>
      <c r="CD30" s="73" t="s">
        <v>49</v>
      </c>
      <c r="CE30" s="74" t="s">
        <v>51</v>
      </c>
      <c r="CF30" s="74" t="s">
        <v>51</v>
      </c>
      <c r="CG30" s="74" t="s">
        <v>50</v>
      </c>
      <c r="CH30" s="74" t="s">
        <v>51</v>
      </c>
      <c r="CI30" s="74" t="s">
        <v>50</v>
      </c>
      <c r="CJ30" s="74" t="s">
        <v>51</v>
      </c>
      <c r="CK30" s="74" t="s">
        <v>50</v>
      </c>
      <c r="CL30" s="75" t="s">
        <v>51</v>
      </c>
      <c r="CM30" s="73" t="s">
        <v>49</v>
      </c>
      <c r="CN30" s="74" t="s">
        <v>51</v>
      </c>
      <c r="CO30" s="74" t="s">
        <v>51</v>
      </c>
      <c r="CP30" s="74" t="s">
        <v>50</v>
      </c>
      <c r="CQ30" s="74" t="s">
        <v>51</v>
      </c>
      <c r="CR30" s="74" t="s">
        <v>50</v>
      </c>
      <c r="CS30" s="74" t="s">
        <v>51</v>
      </c>
      <c r="CT30" s="74" t="s">
        <v>50</v>
      </c>
      <c r="CU30" s="75" t="s">
        <v>51</v>
      </c>
      <c r="CV30" s="73" t="s">
        <v>51</v>
      </c>
      <c r="CW30" s="74" t="s">
        <v>51</v>
      </c>
      <c r="CX30" s="75"/>
      <c r="CZ30" s="82" t="s">
        <v>48</v>
      </c>
      <c r="DA30" s="73" t="s">
        <v>49</v>
      </c>
      <c r="DB30" s="74" t="s">
        <v>51</v>
      </c>
      <c r="DC30" s="74" t="s">
        <v>51</v>
      </c>
      <c r="DD30" s="74" t="s">
        <v>50</v>
      </c>
      <c r="DE30" s="74" t="s">
        <v>51</v>
      </c>
      <c r="DF30" s="74" t="s">
        <v>50</v>
      </c>
      <c r="DG30" s="74" t="s">
        <v>51</v>
      </c>
      <c r="DH30" s="74" t="s">
        <v>50</v>
      </c>
      <c r="DI30" s="75" t="s">
        <v>51</v>
      </c>
      <c r="DJ30" s="73" t="s">
        <v>49</v>
      </c>
      <c r="DK30" s="74" t="s">
        <v>51</v>
      </c>
      <c r="DL30" s="74" t="s">
        <v>51</v>
      </c>
      <c r="DM30" s="74" t="s">
        <v>50</v>
      </c>
      <c r="DN30" s="74" t="s">
        <v>51</v>
      </c>
      <c r="DO30" s="74" t="s">
        <v>50</v>
      </c>
      <c r="DP30" s="74" t="s">
        <v>51</v>
      </c>
      <c r="DQ30" s="74" t="s">
        <v>50</v>
      </c>
      <c r="DR30" s="75" t="s">
        <v>51</v>
      </c>
      <c r="DS30" s="73" t="s">
        <v>49</v>
      </c>
      <c r="DT30" s="74" t="s">
        <v>51</v>
      </c>
      <c r="DU30" s="74" t="s">
        <v>51</v>
      </c>
      <c r="DV30" s="74" t="s">
        <v>50</v>
      </c>
      <c r="DW30" s="74" t="s">
        <v>51</v>
      </c>
      <c r="DX30" s="74" t="s">
        <v>50</v>
      </c>
      <c r="DY30" s="74" t="s">
        <v>51</v>
      </c>
      <c r="DZ30" s="74" t="s">
        <v>50</v>
      </c>
      <c r="EA30" s="75" t="s">
        <v>51</v>
      </c>
      <c r="EB30" s="73" t="s">
        <v>51</v>
      </c>
      <c r="EC30" s="74" t="s">
        <v>51</v>
      </c>
      <c r="ED30" s="74" t="s">
        <v>51</v>
      </c>
    </row>
    <row r="31" spans="1:134" s="6" customFormat="1" ht="21.95" customHeight="1" x14ac:dyDescent="0.5">
      <c r="A31" s="83">
        <v>1</v>
      </c>
      <c r="B31" s="84" t="s">
        <v>52</v>
      </c>
      <c r="C31" s="85" t="s">
        <v>53</v>
      </c>
      <c r="D31" s="86" t="s">
        <v>54</v>
      </c>
      <c r="E31" s="86" t="s">
        <v>55</v>
      </c>
      <c r="F31" s="87" t="s">
        <v>56</v>
      </c>
      <c r="G31" s="88" t="s">
        <v>57</v>
      </c>
      <c r="H31" s="89">
        <v>0.10929326608904576</v>
      </c>
      <c r="I31" s="90">
        <f>H31*$H$29</f>
        <v>201734.97982221632</v>
      </c>
      <c r="J31" s="91">
        <f t="shared" ref="J31:J71" si="9">H31*$I$29</f>
        <v>152312.15382292235</v>
      </c>
      <c r="K31" s="92">
        <v>49500</v>
      </c>
      <c r="L31" s="92">
        <v>34758.400000000001</v>
      </c>
      <c r="M31" s="92">
        <v>101640</v>
      </c>
      <c r="N31" s="92">
        <v>70228.399999999994</v>
      </c>
      <c r="O31" s="92">
        <v>147920</v>
      </c>
      <c r="P31" s="92">
        <v>105054.39999999999</v>
      </c>
      <c r="Q31" s="93">
        <f>IFERROR(P31/J31,0)</f>
        <v>0.68973090697762651</v>
      </c>
      <c r="R31" s="94">
        <v>201734.97982221653</v>
      </c>
      <c r="S31" s="91">
        <v>152312.18855435506</v>
      </c>
      <c r="T31" s="92">
        <v>55680</v>
      </c>
      <c r="U31" s="92">
        <v>39666</v>
      </c>
      <c r="V31" s="92">
        <v>103280</v>
      </c>
      <c r="W31" s="92">
        <v>74318.399999999994</v>
      </c>
      <c r="X31" s="92">
        <v>145964</v>
      </c>
      <c r="Y31" s="92">
        <v>105868</v>
      </c>
      <c r="Z31" s="93">
        <f>IFERROR(Y31/S31,0)</f>
        <v>0.69507241019138333</v>
      </c>
      <c r="AA31" s="94">
        <v>201734.97982221653</v>
      </c>
      <c r="AB31" s="91">
        <v>152312.18855435506</v>
      </c>
      <c r="AC31" s="92">
        <v>55660</v>
      </c>
      <c r="AD31" s="92">
        <v>40412.800000000003</v>
      </c>
      <c r="AE31" s="92">
        <v>127290</v>
      </c>
      <c r="AF31" s="92">
        <v>90217.600000000006</v>
      </c>
      <c r="AG31" s="92"/>
      <c r="AH31" s="92"/>
      <c r="AI31" s="93">
        <f>IFERROR(AH31/AB31,0)</f>
        <v>0</v>
      </c>
      <c r="AJ31" s="95">
        <f t="shared" ref="AJ31:AJ71" si="10">+J31+S31+AB31</f>
        <v>456936.5309316325</v>
      </c>
      <c r="AK31" s="96">
        <f>+P31+Y31+AH31</f>
        <v>210922.4</v>
      </c>
      <c r="AL31" s="97">
        <f t="shared" ref="AL31:AL71" si="11">IFERROR((AK31/AJ31),0)</f>
        <v>0.46160108838301334</v>
      </c>
      <c r="AN31" s="89">
        <v>0.13129664721778464</v>
      </c>
      <c r="AO31" s="90"/>
      <c r="AP31" s="91"/>
      <c r="AQ31" s="92"/>
      <c r="AR31" s="92"/>
      <c r="AS31" s="92"/>
      <c r="AT31" s="92"/>
      <c r="AU31" s="92"/>
      <c r="AV31" s="92"/>
      <c r="AW31" s="93">
        <f t="shared" ref="AW31:AW71" si="12">IFERROR(AU31/AP31,0)</f>
        <v>0</v>
      </c>
      <c r="AX31" s="90"/>
      <c r="AY31" s="91"/>
      <c r="AZ31" s="92"/>
      <c r="BA31" s="92"/>
      <c r="BB31" s="92"/>
      <c r="BC31" s="92"/>
      <c r="BD31" s="92"/>
      <c r="BE31" s="92"/>
      <c r="BF31" s="93">
        <f t="shared" ref="BF31:BF71" si="13">IFERROR(BD31/AY31,0)</f>
        <v>0</v>
      </c>
      <c r="BG31" s="90"/>
      <c r="BH31" s="91"/>
      <c r="BI31" s="92"/>
      <c r="BJ31" s="92"/>
      <c r="BK31" s="92"/>
      <c r="BL31" s="92"/>
      <c r="BM31" s="92"/>
      <c r="BN31" s="92"/>
      <c r="BO31" s="93">
        <f t="shared" ref="BO31:BO71" si="14">IFERROR(BM31/BH31,0)</f>
        <v>0</v>
      </c>
      <c r="BP31" s="95">
        <f t="shared" ref="BP31:BP71" si="15">+AP31+AY31+BH31</f>
        <v>0</v>
      </c>
      <c r="BQ31" s="96">
        <f t="shared" ref="BQ31:BQ71" si="16">+AU31+BD31+BM31</f>
        <v>0</v>
      </c>
      <c r="BR31" s="97">
        <f t="shared" ref="BR31:BR71" si="17">IFERROR((BQ31/BP31),0)</f>
        <v>0</v>
      </c>
      <c r="BT31" s="89"/>
      <c r="BU31" s="90"/>
      <c r="BV31" s="91"/>
      <c r="BW31" s="92"/>
      <c r="BX31" s="92"/>
      <c r="BY31" s="92"/>
      <c r="BZ31" s="92"/>
      <c r="CA31" s="92"/>
      <c r="CB31" s="92"/>
      <c r="CC31" s="93">
        <f t="shared" ref="CC31:CC71" si="18">IFERROR(CA31/BV31,0)</f>
        <v>0</v>
      </c>
      <c r="CD31" s="90"/>
      <c r="CE31" s="91"/>
      <c r="CF31" s="92"/>
      <c r="CG31" s="92"/>
      <c r="CH31" s="92"/>
      <c r="CI31" s="92"/>
      <c r="CJ31" s="92"/>
      <c r="CK31" s="92"/>
      <c r="CL31" s="93">
        <f t="shared" ref="CL31:CL71" si="19">IFERROR(CJ31/CE31,0)</f>
        <v>0</v>
      </c>
      <c r="CM31" s="90"/>
      <c r="CN31" s="91"/>
      <c r="CO31" s="92"/>
      <c r="CP31" s="92"/>
      <c r="CQ31" s="92"/>
      <c r="CR31" s="92"/>
      <c r="CS31" s="92"/>
      <c r="CT31" s="92"/>
      <c r="CU31" s="93">
        <f t="shared" ref="CU31:CU71" si="20">IFERROR(CS31/CN31,0)</f>
        <v>0</v>
      </c>
      <c r="CV31" s="95">
        <f t="shared" ref="CV31:CV71" si="21">+BV31+CE31+CN31</f>
        <v>0</v>
      </c>
      <c r="CW31" s="96">
        <f t="shared" ref="CW31:CW71" si="22">+CA31+CJ31+CS31</f>
        <v>0</v>
      </c>
      <c r="CX31" s="97">
        <f t="shared" ref="CX31:CX71" si="23">IFERROR((CW31/CV31),0)</f>
        <v>0</v>
      </c>
      <c r="CZ31" s="89"/>
      <c r="DA31" s="90"/>
      <c r="DB31" s="91"/>
      <c r="DC31" s="92"/>
      <c r="DD31" s="92"/>
      <c r="DE31" s="92"/>
      <c r="DF31" s="92"/>
      <c r="DG31" s="92"/>
      <c r="DH31" s="92"/>
      <c r="DI31" s="93">
        <f t="shared" ref="DI31:DI71" si="24">IFERROR(DG31/DB31,0)</f>
        <v>0</v>
      </c>
      <c r="DJ31" s="90"/>
      <c r="DK31" s="91"/>
      <c r="DL31" s="92"/>
      <c r="DM31" s="92"/>
      <c r="DN31" s="92"/>
      <c r="DO31" s="92"/>
      <c r="DP31" s="92"/>
      <c r="DQ31" s="92"/>
      <c r="DR31" s="93">
        <f t="shared" ref="DR31:DR71" si="25">IFERROR(DP31/DK31,0)</f>
        <v>0</v>
      </c>
      <c r="DS31" s="90"/>
      <c r="DT31" s="91"/>
      <c r="DU31" s="92"/>
      <c r="DV31" s="92"/>
      <c r="DW31" s="92"/>
      <c r="DX31" s="92"/>
      <c r="DY31" s="92"/>
      <c r="DZ31" s="92"/>
      <c r="EA31" s="93">
        <f t="shared" ref="EA31:EA71" si="26">IFERROR(DY31/DT31,0)</f>
        <v>0</v>
      </c>
      <c r="EB31" s="95">
        <f t="shared" ref="EB31:EB71" si="27">+DB31+DK31+DT31</f>
        <v>0</v>
      </c>
      <c r="EC31" s="96">
        <f t="shared" ref="EC31:EC71" si="28">+DG31+DP31+DY31</f>
        <v>0</v>
      </c>
      <c r="ED31" s="97">
        <f t="shared" ref="ED31:ED71" si="29">IFERROR((EC31/EB31),0)</f>
        <v>0</v>
      </c>
    </row>
    <row r="32" spans="1:134" s="6" customFormat="1" ht="21.95" customHeight="1" x14ac:dyDescent="0.5">
      <c r="A32" s="83">
        <v>2</v>
      </c>
      <c r="B32" s="98" t="s">
        <v>58</v>
      </c>
      <c r="C32" s="99" t="s">
        <v>59</v>
      </c>
      <c r="D32" s="100" t="s">
        <v>60</v>
      </c>
      <c r="E32" s="100" t="s">
        <v>61</v>
      </c>
      <c r="F32" s="87" t="s">
        <v>56</v>
      </c>
      <c r="G32" s="88" t="s">
        <v>57</v>
      </c>
      <c r="H32" s="89">
        <v>0.10615770663918875</v>
      </c>
      <c r="I32" s="90">
        <f t="shared" ref="I32:I71" si="30">H32*$H$29</f>
        <v>195947.32203703406</v>
      </c>
      <c r="J32" s="91">
        <f t="shared" si="9"/>
        <v>147942.40781443147</v>
      </c>
      <c r="K32" s="92">
        <v>66740</v>
      </c>
      <c r="L32" s="92">
        <v>52181.600000000006</v>
      </c>
      <c r="M32" s="92">
        <v>115640</v>
      </c>
      <c r="N32" s="92">
        <v>91982.400000000009</v>
      </c>
      <c r="O32" s="92">
        <v>179840</v>
      </c>
      <c r="P32" s="92">
        <v>145052</v>
      </c>
      <c r="Q32" s="93">
        <f t="shared" ref="Q32:Q71" si="31">IFERROR(P32/J32,0)</f>
        <v>0.98046261476251628</v>
      </c>
      <c r="R32" s="94">
        <v>195947.32203703426</v>
      </c>
      <c r="S32" s="91">
        <v>147942.44154943983</v>
      </c>
      <c r="T32" s="92">
        <v>56380</v>
      </c>
      <c r="U32" s="92">
        <v>45376.800000000003</v>
      </c>
      <c r="V32" s="92">
        <v>106120</v>
      </c>
      <c r="W32" s="92">
        <v>84747.199999999997</v>
      </c>
      <c r="X32" s="92">
        <v>148000</v>
      </c>
      <c r="Y32" s="92">
        <v>118347.2</v>
      </c>
      <c r="Z32" s="93">
        <f t="shared" ref="Z32:Z71" si="32">IFERROR(Y32/S32,0)</f>
        <v>0.79995435225023237</v>
      </c>
      <c r="AA32" s="94">
        <v>195947.32203703426</v>
      </c>
      <c r="AB32" s="91">
        <v>147942.44154943983</v>
      </c>
      <c r="AC32" s="92">
        <v>55980</v>
      </c>
      <c r="AD32" s="92">
        <v>45640</v>
      </c>
      <c r="AE32" s="92">
        <v>126660</v>
      </c>
      <c r="AF32" s="92">
        <v>103372.8</v>
      </c>
      <c r="AG32" s="92"/>
      <c r="AH32" s="92"/>
      <c r="AI32" s="93">
        <f t="shared" ref="AI32:AI71" si="33">IFERROR(AH32/AB32,0)</f>
        <v>0</v>
      </c>
      <c r="AJ32" s="95">
        <f t="shared" si="10"/>
        <v>443827.29091331107</v>
      </c>
      <c r="AK32" s="96">
        <f t="shared" ref="AK32:AK71" si="34">+P32+Y32+AH32</f>
        <v>263399.2</v>
      </c>
      <c r="AL32" s="97">
        <f t="shared" si="11"/>
        <v>0.59347229292271597</v>
      </c>
      <c r="AN32" s="89">
        <v>0.10724370524978172</v>
      </c>
      <c r="AO32" s="90"/>
      <c r="AP32" s="91"/>
      <c r="AQ32" s="92"/>
      <c r="AR32" s="92"/>
      <c r="AS32" s="92"/>
      <c r="AT32" s="92"/>
      <c r="AU32" s="92"/>
      <c r="AV32" s="92"/>
      <c r="AW32" s="93">
        <f t="shared" si="12"/>
        <v>0</v>
      </c>
      <c r="AX32" s="90"/>
      <c r="AY32" s="91"/>
      <c r="AZ32" s="92"/>
      <c r="BA32" s="92"/>
      <c r="BB32" s="92"/>
      <c r="BC32" s="92"/>
      <c r="BD32" s="92"/>
      <c r="BE32" s="92"/>
      <c r="BF32" s="93">
        <f t="shared" si="13"/>
        <v>0</v>
      </c>
      <c r="BG32" s="90"/>
      <c r="BH32" s="91"/>
      <c r="BI32" s="92"/>
      <c r="BJ32" s="92"/>
      <c r="BK32" s="92"/>
      <c r="BL32" s="92"/>
      <c r="BM32" s="92"/>
      <c r="BN32" s="92"/>
      <c r="BO32" s="93">
        <f t="shared" si="14"/>
        <v>0</v>
      </c>
      <c r="BP32" s="95">
        <f t="shared" si="15"/>
        <v>0</v>
      </c>
      <c r="BQ32" s="96">
        <f t="shared" si="16"/>
        <v>0</v>
      </c>
      <c r="BR32" s="97">
        <f t="shared" si="17"/>
        <v>0</v>
      </c>
      <c r="BT32" s="89"/>
      <c r="BU32" s="90"/>
      <c r="BV32" s="91"/>
      <c r="BW32" s="92"/>
      <c r="BX32" s="92"/>
      <c r="BY32" s="92"/>
      <c r="BZ32" s="92"/>
      <c r="CA32" s="92"/>
      <c r="CB32" s="92"/>
      <c r="CC32" s="93">
        <f t="shared" si="18"/>
        <v>0</v>
      </c>
      <c r="CD32" s="90"/>
      <c r="CE32" s="91"/>
      <c r="CF32" s="92"/>
      <c r="CG32" s="92"/>
      <c r="CH32" s="92"/>
      <c r="CI32" s="92"/>
      <c r="CJ32" s="92"/>
      <c r="CK32" s="92"/>
      <c r="CL32" s="93">
        <f t="shared" si="19"/>
        <v>0</v>
      </c>
      <c r="CM32" s="90"/>
      <c r="CN32" s="91"/>
      <c r="CO32" s="92"/>
      <c r="CP32" s="92"/>
      <c r="CQ32" s="92"/>
      <c r="CR32" s="92"/>
      <c r="CS32" s="92"/>
      <c r="CT32" s="92"/>
      <c r="CU32" s="93">
        <f t="shared" si="20"/>
        <v>0</v>
      </c>
      <c r="CV32" s="95">
        <f t="shared" si="21"/>
        <v>0</v>
      </c>
      <c r="CW32" s="96">
        <f t="shared" si="22"/>
        <v>0</v>
      </c>
      <c r="CX32" s="97">
        <f t="shared" si="23"/>
        <v>0</v>
      </c>
      <c r="CZ32" s="89"/>
      <c r="DA32" s="90"/>
      <c r="DB32" s="91"/>
      <c r="DC32" s="92"/>
      <c r="DD32" s="92"/>
      <c r="DE32" s="92"/>
      <c r="DF32" s="92"/>
      <c r="DG32" s="92"/>
      <c r="DH32" s="92"/>
      <c r="DI32" s="93">
        <f t="shared" si="24"/>
        <v>0</v>
      </c>
      <c r="DJ32" s="90"/>
      <c r="DK32" s="91"/>
      <c r="DL32" s="92"/>
      <c r="DM32" s="92"/>
      <c r="DN32" s="92"/>
      <c r="DO32" s="92"/>
      <c r="DP32" s="92"/>
      <c r="DQ32" s="92"/>
      <c r="DR32" s="93">
        <f t="shared" si="25"/>
        <v>0</v>
      </c>
      <c r="DS32" s="90"/>
      <c r="DT32" s="91"/>
      <c r="DU32" s="92"/>
      <c r="DV32" s="92"/>
      <c r="DW32" s="92"/>
      <c r="DX32" s="92"/>
      <c r="DY32" s="92"/>
      <c r="DZ32" s="92"/>
      <c r="EA32" s="93">
        <f t="shared" si="26"/>
        <v>0</v>
      </c>
      <c r="EB32" s="95">
        <f t="shared" si="27"/>
        <v>0</v>
      </c>
      <c r="EC32" s="96">
        <f t="shared" si="28"/>
        <v>0</v>
      </c>
      <c r="ED32" s="97">
        <f t="shared" si="29"/>
        <v>0</v>
      </c>
    </row>
    <row r="33" spans="1:134" s="6" customFormat="1" ht="21.95" customHeight="1" x14ac:dyDescent="0.5">
      <c r="A33" s="83">
        <v>3</v>
      </c>
      <c r="B33" s="98" t="s">
        <v>62</v>
      </c>
      <c r="C33" s="99" t="s">
        <v>63</v>
      </c>
      <c r="D33" s="100" t="s">
        <v>64</v>
      </c>
      <c r="E33" s="100" t="s">
        <v>65</v>
      </c>
      <c r="F33" s="87" t="s">
        <v>56</v>
      </c>
      <c r="G33" s="88" t="s">
        <v>57</v>
      </c>
      <c r="H33" s="89">
        <v>4.7314116646582464E-2</v>
      </c>
      <c r="I33" s="90">
        <f t="shared" si="30"/>
        <v>87333.032569707153</v>
      </c>
      <c r="J33" s="91">
        <f t="shared" si="9"/>
        <v>65937.411064269167</v>
      </c>
      <c r="K33" s="92">
        <v>14000</v>
      </c>
      <c r="L33" s="92">
        <v>10836.8</v>
      </c>
      <c r="M33" s="92">
        <v>48906</v>
      </c>
      <c r="N33" s="92">
        <v>37556</v>
      </c>
      <c r="O33" s="92">
        <v>68506</v>
      </c>
      <c r="P33" s="92">
        <v>52108</v>
      </c>
      <c r="Q33" s="93">
        <f t="shared" si="31"/>
        <v>0.79026457300864228</v>
      </c>
      <c r="R33" s="94">
        <v>87333.03256970724</v>
      </c>
      <c r="S33" s="91">
        <v>65937.426099843782</v>
      </c>
      <c r="T33" s="92">
        <v>17000</v>
      </c>
      <c r="U33" s="92">
        <v>13468.8</v>
      </c>
      <c r="V33" s="92">
        <v>36260</v>
      </c>
      <c r="W33" s="92">
        <v>28903.200000000001</v>
      </c>
      <c r="X33" s="92">
        <v>61434</v>
      </c>
      <c r="Y33" s="92">
        <v>48422.400000000001</v>
      </c>
      <c r="Z33" s="93">
        <f t="shared" si="32"/>
        <v>0.73436897471062679</v>
      </c>
      <c r="AA33" s="94">
        <v>87333.03256970724</v>
      </c>
      <c r="AB33" s="91">
        <v>65937.426099843782</v>
      </c>
      <c r="AC33" s="92">
        <v>15260</v>
      </c>
      <c r="AD33" s="92">
        <v>10548</v>
      </c>
      <c r="AE33" s="92">
        <v>43906</v>
      </c>
      <c r="AF33" s="92">
        <v>33296.639999999999</v>
      </c>
      <c r="AG33" s="92"/>
      <c r="AH33" s="92"/>
      <c r="AI33" s="93">
        <f t="shared" si="33"/>
        <v>0</v>
      </c>
      <c r="AJ33" s="95">
        <f t="shared" si="10"/>
        <v>197812.26326395673</v>
      </c>
      <c r="AK33" s="96">
        <f t="shared" si="34"/>
        <v>100530.4</v>
      </c>
      <c r="AL33" s="97">
        <f t="shared" si="11"/>
        <v>0.50821116113440468</v>
      </c>
      <c r="AN33" s="89">
        <v>6.1002445358826311E-2</v>
      </c>
      <c r="AO33" s="90"/>
      <c r="AP33" s="91"/>
      <c r="AQ33" s="92"/>
      <c r="AR33" s="92"/>
      <c r="AS33" s="92"/>
      <c r="AT33" s="92"/>
      <c r="AU33" s="92"/>
      <c r="AV33" s="92"/>
      <c r="AW33" s="93">
        <f t="shared" si="12"/>
        <v>0</v>
      </c>
      <c r="AX33" s="90"/>
      <c r="AY33" s="91"/>
      <c r="AZ33" s="92"/>
      <c r="BA33" s="92"/>
      <c r="BB33" s="92"/>
      <c r="BC33" s="92"/>
      <c r="BD33" s="92"/>
      <c r="BE33" s="92"/>
      <c r="BF33" s="93">
        <f t="shared" si="13"/>
        <v>0</v>
      </c>
      <c r="BG33" s="90"/>
      <c r="BH33" s="91"/>
      <c r="BI33" s="92"/>
      <c r="BJ33" s="92"/>
      <c r="BK33" s="92"/>
      <c r="BL33" s="92"/>
      <c r="BM33" s="92"/>
      <c r="BN33" s="92"/>
      <c r="BO33" s="93">
        <f t="shared" si="14"/>
        <v>0</v>
      </c>
      <c r="BP33" s="95">
        <f t="shared" si="15"/>
        <v>0</v>
      </c>
      <c r="BQ33" s="96">
        <f t="shared" si="16"/>
        <v>0</v>
      </c>
      <c r="BR33" s="97">
        <f t="shared" si="17"/>
        <v>0</v>
      </c>
      <c r="BT33" s="89"/>
      <c r="BU33" s="90"/>
      <c r="BV33" s="91"/>
      <c r="BW33" s="92"/>
      <c r="BX33" s="92"/>
      <c r="BY33" s="92"/>
      <c r="BZ33" s="92"/>
      <c r="CA33" s="92"/>
      <c r="CB33" s="92"/>
      <c r="CC33" s="93">
        <f t="shared" si="18"/>
        <v>0</v>
      </c>
      <c r="CD33" s="90"/>
      <c r="CE33" s="91"/>
      <c r="CF33" s="92"/>
      <c r="CG33" s="92"/>
      <c r="CH33" s="92"/>
      <c r="CI33" s="92"/>
      <c r="CJ33" s="92"/>
      <c r="CK33" s="92"/>
      <c r="CL33" s="93">
        <f t="shared" si="19"/>
        <v>0</v>
      </c>
      <c r="CM33" s="90"/>
      <c r="CN33" s="91"/>
      <c r="CO33" s="92"/>
      <c r="CP33" s="92"/>
      <c r="CQ33" s="92"/>
      <c r="CR33" s="92"/>
      <c r="CS33" s="92"/>
      <c r="CT33" s="92"/>
      <c r="CU33" s="93">
        <f t="shared" si="20"/>
        <v>0</v>
      </c>
      <c r="CV33" s="95">
        <f t="shared" si="21"/>
        <v>0</v>
      </c>
      <c r="CW33" s="96">
        <f t="shared" si="22"/>
        <v>0</v>
      </c>
      <c r="CX33" s="97">
        <f t="shared" si="23"/>
        <v>0</v>
      </c>
      <c r="CZ33" s="89"/>
      <c r="DA33" s="90"/>
      <c r="DB33" s="91"/>
      <c r="DC33" s="92"/>
      <c r="DD33" s="92"/>
      <c r="DE33" s="92"/>
      <c r="DF33" s="92"/>
      <c r="DG33" s="92"/>
      <c r="DH33" s="92"/>
      <c r="DI33" s="93">
        <f t="shared" si="24"/>
        <v>0</v>
      </c>
      <c r="DJ33" s="90"/>
      <c r="DK33" s="91"/>
      <c r="DL33" s="92"/>
      <c r="DM33" s="92"/>
      <c r="DN33" s="92"/>
      <c r="DO33" s="92"/>
      <c r="DP33" s="92"/>
      <c r="DQ33" s="92"/>
      <c r="DR33" s="93">
        <f t="shared" si="25"/>
        <v>0</v>
      </c>
      <c r="DS33" s="90"/>
      <c r="DT33" s="91"/>
      <c r="DU33" s="92"/>
      <c r="DV33" s="92"/>
      <c r="DW33" s="92"/>
      <c r="DX33" s="92"/>
      <c r="DY33" s="92"/>
      <c r="DZ33" s="92"/>
      <c r="EA33" s="93">
        <f t="shared" si="26"/>
        <v>0</v>
      </c>
      <c r="EB33" s="95">
        <f t="shared" si="27"/>
        <v>0</v>
      </c>
      <c r="EC33" s="96">
        <f t="shared" si="28"/>
        <v>0</v>
      </c>
      <c r="ED33" s="97">
        <f t="shared" si="29"/>
        <v>0</v>
      </c>
    </row>
    <row r="34" spans="1:134" s="6" customFormat="1" ht="21.95" customHeight="1" x14ac:dyDescent="0.5">
      <c r="A34" s="83">
        <v>4</v>
      </c>
      <c r="B34" s="98" t="s">
        <v>66</v>
      </c>
      <c r="C34" s="99" t="s">
        <v>67</v>
      </c>
      <c r="D34" s="100" t="s">
        <v>60</v>
      </c>
      <c r="E34" s="100" t="s">
        <v>61</v>
      </c>
      <c r="F34" s="87" t="s">
        <v>56</v>
      </c>
      <c r="G34" s="88" t="s">
        <v>57</v>
      </c>
      <c r="H34" s="89">
        <v>5.9135687541815064E-2</v>
      </c>
      <c r="I34" s="90">
        <f t="shared" si="30"/>
        <v>109153.44705044592</v>
      </c>
      <c r="J34" s="91">
        <f t="shared" si="9"/>
        <v>82412.066722891817</v>
      </c>
      <c r="K34" s="92">
        <v>26400</v>
      </c>
      <c r="L34" s="92">
        <v>22512</v>
      </c>
      <c r="M34" s="92">
        <v>59188</v>
      </c>
      <c r="N34" s="92">
        <v>48316</v>
      </c>
      <c r="O34" s="92">
        <v>90908</v>
      </c>
      <c r="P34" s="92">
        <v>74604.800000000003</v>
      </c>
      <c r="Q34" s="93">
        <f t="shared" si="31"/>
        <v>0.9052654904391183</v>
      </c>
      <c r="R34" s="94">
        <v>109153.44705044602</v>
      </c>
      <c r="S34" s="91">
        <v>82412.085515148894</v>
      </c>
      <c r="T34" s="92">
        <v>20200</v>
      </c>
      <c r="U34" s="92">
        <v>17680</v>
      </c>
      <c r="V34" s="92">
        <v>37300</v>
      </c>
      <c r="W34" s="92">
        <v>32080</v>
      </c>
      <c r="X34" s="92">
        <v>54620</v>
      </c>
      <c r="Y34" s="92">
        <v>46404.800000000003</v>
      </c>
      <c r="Z34" s="93">
        <f t="shared" si="32"/>
        <v>0.56308246187350675</v>
      </c>
      <c r="AA34" s="94">
        <v>109153.44705044602</v>
      </c>
      <c r="AB34" s="91">
        <v>82412.085515148894</v>
      </c>
      <c r="AC34" s="92">
        <v>22000</v>
      </c>
      <c r="AD34" s="92">
        <v>18256</v>
      </c>
      <c r="AE34" s="92">
        <v>56100</v>
      </c>
      <c r="AF34" s="92">
        <v>47265.599999999999</v>
      </c>
      <c r="AG34" s="92"/>
      <c r="AH34" s="92"/>
      <c r="AI34" s="93">
        <f t="shared" si="33"/>
        <v>0</v>
      </c>
      <c r="AJ34" s="95">
        <f t="shared" si="10"/>
        <v>247236.23775318958</v>
      </c>
      <c r="AK34" s="96">
        <f t="shared" si="34"/>
        <v>121009.60000000001</v>
      </c>
      <c r="AL34" s="97">
        <f t="shared" si="11"/>
        <v>0.48944928583163927</v>
      </c>
      <c r="AN34" s="89">
        <v>6.8322334108658109E-2</v>
      </c>
      <c r="AO34" s="90"/>
      <c r="AP34" s="91"/>
      <c r="AQ34" s="92"/>
      <c r="AR34" s="92"/>
      <c r="AS34" s="92"/>
      <c r="AT34" s="92"/>
      <c r="AU34" s="92"/>
      <c r="AV34" s="92"/>
      <c r="AW34" s="93">
        <f t="shared" si="12"/>
        <v>0</v>
      </c>
      <c r="AX34" s="90"/>
      <c r="AY34" s="91"/>
      <c r="AZ34" s="92"/>
      <c r="BA34" s="92"/>
      <c r="BB34" s="92"/>
      <c r="BC34" s="92"/>
      <c r="BD34" s="92"/>
      <c r="BE34" s="92"/>
      <c r="BF34" s="93">
        <f t="shared" si="13"/>
        <v>0</v>
      </c>
      <c r="BG34" s="90"/>
      <c r="BH34" s="91"/>
      <c r="BI34" s="92"/>
      <c r="BJ34" s="92"/>
      <c r="BK34" s="92"/>
      <c r="BL34" s="92"/>
      <c r="BM34" s="92"/>
      <c r="BN34" s="92"/>
      <c r="BO34" s="93">
        <f t="shared" si="14"/>
        <v>0</v>
      </c>
      <c r="BP34" s="95">
        <f t="shared" si="15"/>
        <v>0</v>
      </c>
      <c r="BQ34" s="96">
        <f t="shared" si="16"/>
        <v>0</v>
      </c>
      <c r="BR34" s="97">
        <f t="shared" si="17"/>
        <v>0</v>
      </c>
      <c r="BT34" s="89"/>
      <c r="BU34" s="90"/>
      <c r="BV34" s="91"/>
      <c r="BW34" s="92"/>
      <c r="BX34" s="92"/>
      <c r="BY34" s="92"/>
      <c r="BZ34" s="92"/>
      <c r="CA34" s="92"/>
      <c r="CB34" s="92"/>
      <c r="CC34" s="93">
        <f t="shared" si="18"/>
        <v>0</v>
      </c>
      <c r="CD34" s="90"/>
      <c r="CE34" s="91"/>
      <c r="CF34" s="92"/>
      <c r="CG34" s="92"/>
      <c r="CH34" s="92"/>
      <c r="CI34" s="92"/>
      <c r="CJ34" s="92"/>
      <c r="CK34" s="92"/>
      <c r="CL34" s="93">
        <f t="shared" si="19"/>
        <v>0</v>
      </c>
      <c r="CM34" s="90"/>
      <c r="CN34" s="91"/>
      <c r="CO34" s="92"/>
      <c r="CP34" s="92"/>
      <c r="CQ34" s="92"/>
      <c r="CR34" s="92"/>
      <c r="CS34" s="92"/>
      <c r="CT34" s="92"/>
      <c r="CU34" s="93">
        <f t="shared" si="20"/>
        <v>0</v>
      </c>
      <c r="CV34" s="95">
        <f t="shared" si="21"/>
        <v>0</v>
      </c>
      <c r="CW34" s="96">
        <f t="shared" si="22"/>
        <v>0</v>
      </c>
      <c r="CX34" s="97">
        <f t="shared" si="23"/>
        <v>0</v>
      </c>
      <c r="CZ34" s="89"/>
      <c r="DA34" s="90"/>
      <c r="DB34" s="91"/>
      <c r="DC34" s="92"/>
      <c r="DD34" s="92"/>
      <c r="DE34" s="92"/>
      <c r="DF34" s="92"/>
      <c r="DG34" s="92"/>
      <c r="DH34" s="92"/>
      <c r="DI34" s="93">
        <f t="shared" si="24"/>
        <v>0</v>
      </c>
      <c r="DJ34" s="90"/>
      <c r="DK34" s="91"/>
      <c r="DL34" s="92"/>
      <c r="DM34" s="92"/>
      <c r="DN34" s="92"/>
      <c r="DO34" s="92"/>
      <c r="DP34" s="92"/>
      <c r="DQ34" s="92"/>
      <c r="DR34" s="93">
        <f t="shared" si="25"/>
        <v>0</v>
      </c>
      <c r="DS34" s="90"/>
      <c r="DT34" s="91"/>
      <c r="DU34" s="92"/>
      <c r="DV34" s="92"/>
      <c r="DW34" s="92"/>
      <c r="DX34" s="92"/>
      <c r="DY34" s="92"/>
      <c r="DZ34" s="92"/>
      <c r="EA34" s="93">
        <f t="shared" si="26"/>
        <v>0</v>
      </c>
      <c r="EB34" s="95">
        <f t="shared" si="27"/>
        <v>0</v>
      </c>
      <c r="EC34" s="96">
        <f t="shared" si="28"/>
        <v>0</v>
      </c>
      <c r="ED34" s="97">
        <f t="shared" si="29"/>
        <v>0</v>
      </c>
    </row>
    <row r="35" spans="1:134" s="6" customFormat="1" ht="21.95" customHeight="1" x14ac:dyDescent="0.5">
      <c r="A35" s="83">
        <v>5</v>
      </c>
      <c r="B35" s="98" t="s">
        <v>68</v>
      </c>
      <c r="C35" s="99" t="s">
        <v>69</v>
      </c>
      <c r="D35" s="100" t="s">
        <v>70</v>
      </c>
      <c r="E35" s="100" t="s">
        <v>71</v>
      </c>
      <c r="F35" s="87" t="s">
        <v>56</v>
      </c>
      <c r="G35" s="88" t="s">
        <v>57</v>
      </c>
      <c r="H35" s="89">
        <v>4.309187051519154E-2</v>
      </c>
      <c r="I35" s="90">
        <f t="shared" si="30"/>
        <v>79539.553898966333</v>
      </c>
      <c r="J35" s="91">
        <f t="shared" si="9"/>
        <v>60053.24797485528</v>
      </c>
      <c r="K35" s="92">
        <v>15500</v>
      </c>
      <c r="L35" s="92">
        <v>11356.8</v>
      </c>
      <c r="M35" s="92">
        <v>38240</v>
      </c>
      <c r="N35" s="92">
        <v>28188.799999999999</v>
      </c>
      <c r="O35" s="92">
        <v>60820</v>
      </c>
      <c r="P35" s="92">
        <v>44817.600000000006</v>
      </c>
      <c r="Q35" s="93">
        <f t="shared" si="31"/>
        <v>0.74629768599302826</v>
      </c>
      <c r="R35" s="94">
        <v>79539.553898966406</v>
      </c>
      <c r="S35" s="91">
        <v>60053.261668676081</v>
      </c>
      <c r="T35" s="92">
        <v>22300</v>
      </c>
      <c r="U35" s="92">
        <v>16848.8</v>
      </c>
      <c r="V35" s="92">
        <v>37240</v>
      </c>
      <c r="W35" s="92">
        <v>28176.799999999999</v>
      </c>
      <c r="X35" s="92">
        <v>59440</v>
      </c>
      <c r="Y35" s="92">
        <v>44950.400000000001</v>
      </c>
      <c r="Z35" s="93">
        <f t="shared" si="32"/>
        <v>0.74850888612843214</v>
      </c>
      <c r="AA35" s="94">
        <v>79539.553898966406</v>
      </c>
      <c r="AB35" s="91">
        <v>60053.261668676081</v>
      </c>
      <c r="AC35" s="92">
        <v>22500</v>
      </c>
      <c r="AD35" s="92">
        <v>16858.400000000001</v>
      </c>
      <c r="AE35" s="92">
        <v>37120</v>
      </c>
      <c r="AF35" s="92">
        <v>28200.800000000003</v>
      </c>
      <c r="AG35" s="92"/>
      <c r="AH35" s="92"/>
      <c r="AI35" s="93">
        <f t="shared" si="33"/>
        <v>0</v>
      </c>
      <c r="AJ35" s="95">
        <f t="shared" si="10"/>
        <v>180159.77131220745</v>
      </c>
      <c r="AK35" s="96">
        <f t="shared" si="34"/>
        <v>89768</v>
      </c>
      <c r="AL35" s="97">
        <f t="shared" si="11"/>
        <v>0.4982688385213187</v>
      </c>
      <c r="AN35" s="89">
        <v>4.9483864375158719E-2</v>
      </c>
      <c r="AO35" s="90"/>
      <c r="AP35" s="91"/>
      <c r="AQ35" s="92"/>
      <c r="AR35" s="92"/>
      <c r="AS35" s="92"/>
      <c r="AT35" s="92"/>
      <c r="AU35" s="92"/>
      <c r="AV35" s="92"/>
      <c r="AW35" s="93">
        <f t="shared" si="12"/>
        <v>0</v>
      </c>
      <c r="AX35" s="90"/>
      <c r="AY35" s="91"/>
      <c r="AZ35" s="92"/>
      <c r="BA35" s="92"/>
      <c r="BB35" s="92"/>
      <c r="BC35" s="92"/>
      <c r="BD35" s="92"/>
      <c r="BE35" s="92"/>
      <c r="BF35" s="93">
        <f t="shared" si="13"/>
        <v>0</v>
      </c>
      <c r="BG35" s="90"/>
      <c r="BH35" s="91"/>
      <c r="BI35" s="92"/>
      <c r="BJ35" s="92"/>
      <c r="BK35" s="92"/>
      <c r="BL35" s="92"/>
      <c r="BM35" s="92"/>
      <c r="BN35" s="92"/>
      <c r="BO35" s="93">
        <f t="shared" si="14"/>
        <v>0</v>
      </c>
      <c r="BP35" s="95">
        <f t="shared" si="15"/>
        <v>0</v>
      </c>
      <c r="BQ35" s="96">
        <f t="shared" si="16"/>
        <v>0</v>
      </c>
      <c r="BR35" s="97">
        <f t="shared" si="17"/>
        <v>0</v>
      </c>
      <c r="BT35" s="89"/>
      <c r="BU35" s="90"/>
      <c r="BV35" s="91"/>
      <c r="BW35" s="92"/>
      <c r="BX35" s="92"/>
      <c r="BY35" s="92"/>
      <c r="BZ35" s="92"/>
      <c r="CA35" s="92"/>
      <c r="CB35" s="92"/>
      <c r="CC35" s="93">
        <f t="shared" si="18"/>
        <v>0</v>
      </c>
      <c r="CD35" s="90"/>
      <c r="CE35" s="91"/>
      <c r="CF35" s="92"/>
      <c r="CG35" s="92"/>
      <c r="CH35" s="92"/>
      <c r="CI35" s="92"/>
      <c r="CJ35" s="92"/>
      <c r="CK35" s="92"/>
      <c r="CL35" s="93">
        <f t="shared" si="19"/>
        <v>0</v>
      </c>
      <c r="CM35" s="90"/>
      <c r="CN35" s="91"/>
      <c r="CO35" s="92"/>
      <c r="CP35" s="92"/>
      <c r="CQ35" s="92"/>
      <c r="CR35" s="92"/>
      <c r="CS35" s="92"/>
      <c r="CT35" s="92"/>
      <c r="CU35" s="93">
        <f t="shared" si="20"/>
        <v>0</v>
      </c>
      <c r="CV35" s="95">
        <f t="shared" si="21"/>
        <v>0</v>
      </c>
      <c r="CW35" s="96">
        <f t="shared" si="22"/>
        <v>0</v>
      </c>
      <c r="CX35" s="97">
        <f t="shared" si="23"/>
        <v>0</v>
      </c>
      <c r="CZ35" s="89"/>
      <c r="DA35" s="90"/>
      <c r="DB35" s="91"/>
      <c r="DC35" s="92"/>
      <c r="DD35" s="92"/>
      <c r="DE35" s="92"/>
      <c r="DF35" s="92"/>
      <c r="DG35" s="92"/>
      <c r="DH35" s="92"/>
      <c r="DI35" s="93">
        <f t="shared" si="24"/>
        <v>0</v>
      </c>
      <c r="DJ35" s="90"/>
      <c r="DK35" s="91"/>
      <c r="DL35" s="92"/>
      <c r="DM35" s="92"/>
      <c r="DN35" s="92"/>
      <c r="DO35" s="92"/>
      <c r="DP35" s="92"/>
      <c r="DQ35" s="92"/>
      <c r="DR35" s="93">
        <f t="shared" si="25"/>
        <v>0</v>
      </c>
      <c r="DS35" s="90"/>
      <c r="DT35" s="91"/>
      <c r="DU35" s="92"/>
      <c r="DV35" s="92"/>
      <c r="DW35" s="92"/>
      <c r="DX35" s="92"/>
      <c r="DY35" s="92"/>
      <c r="DZ35" s="92"/>
      <c r="EA35" s="93">
        <f t="shared" si="26"/>
        <v>0</v>
      </c>
      <c r="EB35" s="95">
        <f t="shared" si="27"/>
        <v>0</v>
      </c>
      <c r="EC35" s="96">
        <f t="shared" si="28"/>
        <v>0</v>
      </c>
      <c r="ED35" s="97">
        <f t="shared" si="29"/>
        <v>0</v>
      </c>
    </row>
    <row r="36" spans="1:134" s="6" customFormat="1" ht="21.95" customHeight="1" x14ac:dyDescent="0.5">
      <c r="A36" s="83">
        <v>6</v>
      </c>
      <c r="B36" s="98" t="s">
        <v>72</v>
      </c>
      <c r="C36" s="99" t="s">
        <v>73</v>
      </c>
      <c r="D36" s="100" t="s">
        <v>74</v>
      </c>
      <c r="E36" s="100" t="s">
        <v>75</v>
      </c>
      <c r="F36" s="87" t="s">
        <v>56</v>
      </c>
      <c r="G36" s="88" t="s">
        <v>57</v>
      </c>
      <c r="H36" s="89">
        <v>5.5136804256284276E-2</v>
      </c>
      <c r="I36" s="90">
        <f t="shared" si="30"/>
        <v>101772.25452335383</v>
      </c>
      <c r="J36" s="91">
        <f t="shared" si="9"/>
        <v>76839.184258116395</v>
      </c>
      <c r="K36" s="92">
        <v>36440</v>
      </c>
      <c r="L36" s="92">
        <v>27452.400000000001</v>
      </c>
      <c r="M36" s="92">
        <v>72100</v>
      </c>
      <c r="N36" s="92">
        <v>53805.599999999999</v>
      </c>
      <c r="O36" s="92">
        <v>99490</v>
      </c>
      <c r="P36" s="92">
        <v>74399.199999999997</v>
      </c>
      <c r="Q36" s="93">
        <f t="shared" si="31"/>
        <v>0.96824557311904746</v>
      </c>
      <c r="R36" s="94">
        <v>101772.25452335393</v>
      </c>
      <c r="S36" s="91">
        <v>76839.201779600335</v>
      </c>
      <c r="T36" s="92">
        <v>42390</v>
      </c>
      <c r="U36" s="92">
        <v>30623.600000000002</v>
      </c>
      <c r="V36" s="92">
        <v>71710</v>
      </c>
      <c r="W36" s="92">
        <v>52712.399999999994</v>
      </c>
      <c r="X36" s="92">
        <v>100710</v>
      </c>
      <c r="Y36" s="92">
        <v>73448.399999999994</v>
      </c>
      <c r="Z36" s="93">
        <f t="shared" si="32"/>
        <v>0.95587146012622237</v>
      </c>
      <c r="AA36" s="94">
        <v>101772.25452335393</v>
      </c>
      <c r="AB36" s="91">
        <v>76839.201779600335</v>
      </c>
      <c r="AC36" s="92">
        <v>39210</v>
      </c>
      <c r="AD36" s="92">
        <v>29520.799999999999</v>
      </c>
      <c r="AE36" s="92">
        <v>59710</v>
      </c>
      <c r="AF36" s="92">
        <v>44114.400000000001</v>
      </c>
      <c r="AG36" s="92"/>
      <c r="AH36" s="92"/>
      <c r="AI36" s="93">
        <f t="shared" si="33"/>
        <v>0</v>
      </c>
      <c r="AJ36" s="95">
        <f t="shared" si="10"/>
        <v>230517.58781731705</v>
      </c>
      <c r="AK36" s="96">
        <f t="shared" si="34"/>
        <v>147847.59999999998</v>
      </c>
      <c r="AL36" s="97">
        <f t="shared" si="11"/>
        <v>0.64137231956967966</v>
      </c>
      <c r="AN36" s="89">
        <v>3.0149645438146182E-2</v>
      </c>
      <c r="AO36" s="90"/>
      <c r="AP36" s="91"/>
      <c r="AQ36" s="92"/>
      <c r="AR36" s="92"/>
      <c r="AS36" s="92"/>
      <c r="AT36" s="92"/>
      <c r="AU36" s="92"/>
      <c r="AV36" s="92"/>
      <c r="AW36" s="93">
        <f t="shared" si="12"/>
        <v>0</v>
      </c>
      <c r="AX36" s="90"/>
      <c r="AY36" s="91"/>
      <c r="AZ36" s="92"/>
      <c r="BA36" s="92"/>
      <c r="BB36" s="92"/>
      <c r="BC36" s="92"/>
      <c r="BD36" s="92"/>
      <c r="BE36" s="92"/>
      <c r="BF36" s="93">
        <f t="shared" si="13"/>
        <v>0</v>
      </c>
      <c r="BG36" s="90"/>
      <c r="BH36" s="91"/>
      <c r="BI36" s="92"/>
      <c r="BJ36" s="92"/>
      <c r="BK36" s="92"/>
      <c r="BL36" s="92"/>
      <c r="BM36" s="92"/>
      <c r="BN36" s="92"/>
      <c r="BO36" s="93">
        <f t="shared" si="14"/>
        <v>0</v>
      </c>
      <c r="BP36" s="95">
        <f t="shared" si="15"/>
        <v>0</v>
      </c>
      <c r="BQ36" s="96">
        <f t="shared" si="16"/>
        <v>0</v>
      </c>
      <c r="BR36" s="97">
        <f t="shared" si="17"/>
        <v>0</v>
      </c>
      <c r="BT36" s="89"/>
      <c r="BU36" s="90"/>
      <c r="BV36" s="91"/>
      <c r="BW36" s="92"/>
      <c r="BX36" s="92"/>
      <c r="BY36" s="92"/>
      <c r="BZ36" s="92"/>
      <c r="CA36" s="92"/>
      <c r="CB36" s="92"/>
      <c r="CC36" s="93">
        <f t="shared" si="18"/>
        <v>0</v>
      </c>
      <c r="CD36" s="90"/>
      <c r="CE36" s="91"/>
      <c r="CF36" s="92"/>
      <c r="CG36" s="92"/>
      <c r="CH36" s="92"/>
      <c r="CI36" s="92"/>
      <c r="CJ36" s="92"/>
      <c r="CK36" s="92"/>
      <c r="CL36" s="93">
        <f t="shared" si="19"/>
        <v>0</v>
      </c>
      <c r="CM36" s="90"/>
      <c r="CN36" s="91"/>
      <c r="CO36" s="92"/>
      <c r="CP36" s="92"/>
      <c r="CQ36" s="92"/>
      <c r="CR36" s="92"/>
      <c r="CS36" s="92"/>
      <c r="CT36" s="92"/>
      <c r="CU36" s="93">
        <f t="shared" si="20"/>
        <v>0</v>
      </c>
      <c r="CV36" s="95">
        <f t="shared" si="21"/>
        <v>0</v>
      </c>
      <c r="CW36" s="96">
        <f t="shared" si="22"/>
        <v>0</v>
      </c>
      <c r="CX36" s="97">
        <f t="shared" si="23"/>
        <v>0</v>
      </c>
      <c r="CZ36" s="89"/>
      <c r="DA36" s="90"/>
      <c r="DB36" s="91"/>
      <c r="DC36" s="92"/>
      <c r="DD36" s="92"/>
      <c r="DE36" s="92"/>
      <c r="DF36" s="92"/>
      <c r="DG36" s="92"/>
      <c r="DH36" s="92"/>
      <c r="DI36" s="93">
        <f t="shared" si="24"/>
        <v>0</v>
      </c>
      <c r="DJ36" s="90"/>
      <c r="DK36" s="91"/>
      <c r="DL36" s="92"/>
      <c r="DM36" s="92"/>
      <c r="DN36" s="92"/>
      <c r="DO36" s="92"/>
      <c r="DP36" s="92"/>
      <c r="DQ36" s="92"/>
      <c r="DR36" s="93">
        <f t="shared" si="25"/>
        <v>0</v>
      </c>
      <c r="DS36" s="90"/>
      <c r="DT36" s="91"/>
      <c r="DU36" s="92"/>
      <c r="DV36" s="92"/>
      <c r="DW36" s="92"/>
      <c r="DX36" s="92"/>
      <c r="DY36" s="92"/>
      <c r="DZ36" s="92"/>
      <c r="EA36" s="93">
        <f t="shared" si="26"/>
        <v>0</v>
      </c>
      <c r="EB36" s="95">
        <f t="shared" si="27"/>
        <v>0</v>
      </c>
      <c r="EC36" s="96">
        <f t="shared" si="28"/>
        <v>0</v>
      </c>
      <c r="ED36" s="97">
        <f t="shared" si="29"/>
        <v>0</v>
      </c>
    </row>
    <row r="37" spans="1:134" s="6" customFormat="1" ht="21.95" customHeight="1" x14ac:dyDescent="0.5">
      <c r="A37" s="83">
        <v>7</v>
      </c>
      <c r="B37" s="98" t="s">
        <v>76</v>
      </c>
      <c r="C37" s="99" t="s">
        <v>77</v>
      </c>
      <c r="D37" s="100" t="s">
        <v>78</v>
      </c>
      <c r="E37" s="100" t="s">
        <v>79</v>
      </c>
      <c r="F37" s="87" t="s">
        <v>56</v>
      </c>
      <c r="G37" s="88" t="s">
        <v>57</v>
      </c>
      <c r="H37" s="89">
        <v>4.5094055560485367E-2</v>
      </c>
      <c r="I37" s="90">
        <f t="shared" si="30"/>
        <v>83235.21397178006</v>
      </c>
      <c r="J37" s="91">
        <f t="shared" si="9"/>
        <v>62843.51243956884</v>
      </c>
      <c r="K37" s="92">
        <v>25340</v>
      </c>
      <c r="L37" s="92">
        <v>20020</v>
      </c>
      <c r="M37" s="92">
        <v>53240</v>
      </c>
      <c r="N37" s="92">
        <v>40016</v>
      </c>
      <c r="O37" s="92">
        <v>79460</v>
      </c>
      <c r="P37" s="92">
        <v>59660.800000000003</v>
      </c>
      <c r="Q37" s="93">
        <f t="shared" si="31"/>
        <v>0.94935495620762167</v>
      </c>
      <c r="R37" s="94">
        <v>83235.213971780147</v>
      </c>
      <c r="S37" s="91">
        <v>62843.526769648015</v>
      </c>
      <c r="T37" s="92">
        <v>32640</v>
      </c>
      <c r="U37" s="92">
        <v>25821.599999999999</v>
      </c>
      <c r="V37" s="92">
        <v>60100</v>
      </c>
      <c r="W37" s="92">
        <v>45881.599999999999</v>
      </c>
      <c r="X37" s="92">
        <v>88300</v>
      </c>
      <c r="Y37" s="92">
        <v>66153.600000000006</v>
      </c>
      <c r="Z37" s="93">
        <f t="shared" si="32"/>
        <v>1.0526716656511819</v>
      </c>
      <c r="AA37" s="94">
        <v>83235.213971780147</v>
      </c>
      <c r="AB37" s="91">
        <v>62843.526769648015</v>
      </c>
      <c r="AC37" s="92">
        <v>24120</v>
      </c>
      <c r="AD37" s="92">
        <v>19416</v>
      </c>
      <c r="AE37" s="92">
        <v>51080</v>
      </c>
      <c r="AF37" s="92">
        <v>39576</v>
      </c>
      <c r="AG37" s="92"/>
      <c r="AH37" s="92"/>
      <c r="AI37" s="93">
        <f t="shared" si="33"/>
        <v>0</v>
      </c>
      <c r="AJ37" s="95">
        <f t="shared" si="10"/>
        <v>188530.56597886488</v>
      </c>
      <c r="AK37" s="96">
        <f t="shared" si="34"/>
        <v>125814.40000000001</v>
      </c>
      <c r="AL37" s="97">
        <f t="shared" si="11"/>
        <v>0.66734218585067195</v>
      </c>
      <c r="AN37" s="89">
        <v>3.6068283888252062E-2</v>
      </c>
      <c r="AO37" s="90"/>
      <c r="AP37" s="91"/>
      <c r="AQ37" s="92"/>
      <c r="AR37" s="92"/>
      <c r="AS37" s="92"/>
      <c r="AT37" s="92"/>
      <c r="AU37" s="92"/>
      <c r="AV37" s="92"/>
      <c r="AW37" s="93">
        <f t="shared" si="12"/>
        <v>0</v>
      </c>
      <c r="AX37" s="90"/>
      <c r="AY37" s="91"/>
      <c r="AZ37" s="92"/>
      <c r="BA37" s="92"/>
      <c r="BB37" s="92"/>
      <c r="BC37" s="92"/>
      <c r="BD37" s="92"/>
      <c r="BE37" s="92"/>
      <c r="BF37" s="93">
        <f t="shared" si="13"/>
        <v>0</v>
      </c>
      <c r="BG37" s="90"/>
      <c r="BH37" s="91"/>
      <c r="BI37" s="92"/>
      <c r="BJ37" s="92"/>
      <c r="BK37" s="92"/>
      <c r="BL37" s="92"/>
      <c r="BM37" s="92"/>
      <c r="BN37" s="92"/>
      <c r="BO37" s="93">
        <f t="shared" si="14"/>
        <v>0</v>
      </c>
      <c r="BP37" s="95">
        <f t="shared" si="15"/>
        <v>0</v>
      </c>
      <c r="BQ37" s="96">
        <f t="shared" si="16"/>
        <v>0</v>
      </c>
      <c r="BR37" s="97">
        <f t="shared" si="17"/>
        <v>0</v>
      </c>
      <c r="BT37" s="89"/>
      <c r="BU37" s="90"/>
      <c r="BV37" s="91"/>
      <c r="BW37" s="92"/>
      <c r="BX37" s="92"/>
      <c r="BY37" s="92"/>
      <c r="BZ37" s="92"/>
      <c r="CA37" s="92"/>
      <c r="CB37" s="92"/>
      <c r="CC37" s="93">
        <f t="shared" si="18"/>
        <v>0</v>
      </c>
      <c r="CD37" s="90"/>
      <c r="CE37" s="91"/>
      <c r="CF37" s="92"/>
      <c r="CG37" s="92"/>
      <c r="CH37" s="92"/>
      <c r="CI37" s="92"/>
      <c r="CJ37" s="92"/>
      <c r="CK37" s="92"/>
      <c r="CL37" s="93">
        <f t="shared" si="19"/>
        <v>0</v>
      </c>
      <c r="CM37" s="90"/>
      <c r="CN37" s="91"/>
      <c r="CO37" s="92"/>
      <c r="CP37" s="92"/>
      <c r="CQ37" s="92"/>
      <c r="CR37" s="92"/>
      <c r="CS37" s="92"/>
      <c r="CT37" s="92"/>
      <c r="CU37" s="93">
        <f t="shared" si="20"/>
        <v>0</v>
      </c>
      <c r="CV37" s="95">
        <f t="shared" si="21"/>
        <v>0</v>
      </c>
      <c r="CW37" s="96">
        <f t="shared" si="22"/>
        <v>0</v>
      </c>
      <c r="CX37" s="97">
        <f t="shared" si="23"/>
        <v>0</v>
      </c>
      <c r="CZ37" s="89"/>
      <c r="DA37" s="90"/>
      <c r="DB37" s="91"/>
      <c r="DC37" s="92"/>
      <c r="DD37" s="92"/>
      <c r="DE37" s="92"/>
      <c r="DF37" s="92"/>
      <c r="DG37" s="92"/>
      <c r="DH37" s="92"/>
      <c r="DI37" s="93">
        <f t="shared" si="24"/>
        <v>0</v>
      </c>
      <c r="DJ37" s="90"/>
      <c r="DK37" s="91"/>
      <c r="DL37" s="92"/>
      <c r="DM37" s="92"/>
      <c r="DN37" s="92"/>
      <c r="DO37" s="92"/>
      <c r="DP37" s="92"/>
      <c r="DQ37" s="92"/>
      <c r="DR37" s="93">
        <f t="shared" si="25"/>
        <v>0</v>
      </c>
      <c r="DS37" s="90"/>
      <c r="DT37" s="91"/>
      <c r="DU37" s="92"/>
      <c r="DV37" s="92"/>
      <c r="DW37" s="92"/>
      <c r="DX37" s="92"/>
      <c r="DY37" s="92"/>
      <c r="DZ37" s="92"/>
      <c r="EA37" s="93">
        <f t="shared" si="26"/>
        <v>0</v>
      </c>
      <c r="EB37" s="95">
        <f t="shared" si="27"/>
        <v>0</v>
      </c>
      <c r="EC37" s="96">
        <f t="shared" si="28"/>
        <v>0</v>
      </c>
      <c r="ED37" s="97">
        <f t="shared" si="29"/>
        <v>0</v>
      </c>
    </row>
    <row r="38" spans="1:134" s="6" customFormat="1" ht="21.95" customHeight="1" x14ac:dyDescent="0.5">
      <c r="A38" s="83">
        <v>8</v>
      </c>
      <c r="B38" s="98" t="s">
        <v>80</v>
      </c>
      <c r="C38" s="99" t="s">
        <v>81</v>
      </c>
      <c r="D38" s="100" t="s">
        <v>82</v>
      </c>
      <c r="E38" s="100" t="s">
        <v>83</v>
      </c>
      <c r="F38" s="87" t="s">
        <v>56</v>
      </c>
      <c r="G38" s="88" t="s">
        <v>57</v>
      </c>
      <c r="H38" s="89">
        <v>3.6273866791446591E-2</v>
      </c>
      <c r="I38" s="90">
        <f t="shared" si="30"/>
        <v>66954.790968404224</v>
      </c>
      <c r="J38" s="91">
        <f t="shared" si="9"/>
        <v>50551.611972045939</v>
      </c>
      <c r="K38" s="92">
        <v>19200</v>
      </c>
      <c r="L38" s="92">
        <v>13724.8</v>
      </c>
      <c r="M38" s="92">
        <v>28780</v>
      </c>
      <c r="N38" s="92">
        <v>20776.8</v>
      </c>
      <c r="O38" s="92">
        <v>53190</v>
      </c>
      <c r="P38" s="92">
        <v>37985.599999999999</v>
      </c>
      <c r="Q38" s="93">
        <f t="shared" si="31"/>
        <v>0.75142213112818834</v>
      </c>
      <c r="R38" s="94">
        <v>66954.790968404297</v>
      </c>
      <c r="S38" s="91">
        <v>50551.623499227884</v>
      </c>
      <c r="T38" s="92">
        <v>14220</v>
      </c>
      <c r="U38" s="92">
        <v>10085.600000000002</v>
      </c>
      <c r="V38" s="92">
        <v>42048</v>
      </c>
      <c r="W38" s="92">
        <v>29891.200000000004</v>
      </c>
      <c r="X38" s="92">
        <v>58868</v>
      </c>
      <c r="Y38" s="92">
        <v>42554.400000000009</v>
      </c>
      <c r="Z38" s="93">
        <f t="shared" si="32"/>
        <v>0.8418008573087663</v>
      </c>
      <c r="AA38" s="94">
        <v>66954.790968404297</v>
      </c>
      <c r="AB38" s="91">
        <v>50551.623499227884</v>
      </c>
      <c r="AC38" s="92">
        <v>17260</v>
      </c>
      <c r="AD38" s="92">
        <v>12499.2</v>
      </c>
      <c r="AE38" s="92">
        <v>39800</v>
      </c>
      <c r="AF38" s="92">
        <v>28547.200000000001</v>
      </c>
      <c r="AG38" s="92"/>
      <c r="AH38" s="92"/>
      <c r="AI38" s="93">
        <f t="shared" si="33"/>
        <v>0</v>
      </c>
      <c r="AJ38" s="95">
        <f t="shared" si="10"/>
        <v>151654.85897050172</v>
      </c>
      <c r="AK38" s="96">
        <f t="shared" si="34"/>
        <v>80540</v>
      </c>
      <c r="AL38" s="97">
        <f t="shared" si="11"/>
        <v>0.53107431273049932</v>
      </c>
      <c r="AN38" s="89">
        <v>3.8729141858128716E-2</v>
      </c>
      <c r="AO38" s="90"/>
      <c r="AP38" s="91"/>
      <c r="AQ38" s="92"/>
      <c r="AR38" s="92"/>
      <c r="AS38" s="92"/>
      <c r="AT38" s="92"/>
      <c r="AU38" s="92"/>
      <c r="AV38" s="92"/>
      <c r="AW38" s="93">
        <f t="shared" si="12"/>
        <v>0</v>
      </c>
      <c r="AX38" s="90"/>
      <c r="AY38" s="91"/>
      <c r="AZ38" s="92"/>
      <c r="BA38" s="92"/>
      <c r="BB38" s="92"/>
      <c r="BC38" s="92"/>
      <c r="BD38" s="92"/>
      <c r="BE38" s="92"/>
      <c r="BF38" s="93">
        <f t="shared" si="13"/>
        <v>0</v>
      </c>
      <c r="BG38" s="90"/>
      <c r="BH38" s="91"/>
      <c r="BI38" s="92"/>
      <c r="BJ38" s="92"/>
      <c r="BK38" s="92"/>
      <c r="BL38" s="92"/>
      <c r="BM38" s="92"/>
      <c r="BN38" s="92"/>
      <c r="BO38" s="93">
        <f t="shared" si="14"/>
        <v>0</v>
      </c>
      <c r="BP38" s="95">
        <f t="shared" si="15"/>
        <v>0</v>
      </c>
      <c r="BQ38" s="96">
        <f t="shared" si="16"/>
        <v>0</v>
      </c>
      <c r="BR38" s="97">
        <f t="shared" si="17"/>
        <v>0</v>
      </c>
      <c r="BT38" s="89"/>
      <c r="BU38" s="90"/>
      <c r="BV38" s="91"/>
      <c r="BW38" s="92"/>
      <c r="BX38" s="92"/>
      <c r="BY38" s="92"/>
      <c r="BZ38" s="92"/>
      <c r="CA38" s="92"/>
      <c r="CB38" s="92"/>
      <c r="CC38" s="93">
        <f t="shared" si="18"/>
        <v>0</v>
      </c>
      <c r="CD38" s="90"/>
      <c r="CE38" s="91"/>
      <c r="CF38" s="92"/>
      <c r="CG38" s="92"/>
      <c r="CH38" s="92"/>
      <c r="CI38" s="92"/>
      <c r="CJ38" s="92"/>
      <c r="CK38" s="92"/>
      <c r="CL38" s="93">
        <f t="shared" si="19"/>
        <v>0</v>
      </c>
      <c r="CM38" s="90"/>
      <c r="CN38" s="91"/>
      <c r="CO38" s="92"/>
      <c r="CP38" s="92"/>
      <c r="CQ38" s="92"/>
      <c r="CR38" s="92"/>
      <c r="CS38" s="92"/>
      <c r="CT38" s="92"/>
      <c r="CU38" s="93">
        <f t="shared" si="20"/>
        <v>0</v>
      </c>
      <c r="CV38" s="95">
        <f t="shared" si="21"/>
        <v>0</v>
      </c>
      <c r="CW38" s="96">
        <f t="shared" si="22"/>
        <v>0</v>
      </c>
      <c r="CX38" s="97">
        <f t="shared" si="23"/>
        <v>0</v>
      </c>
      <c r="CZ38" s="89"/>
      <c r="DA38" s="90"/>
      <c r="DB38" s="91"/>
      <c r="DC38" s="92"/>
      <c r="DD38" s="92"/>
      <c r="DE38" s="92"/>
      <c r="DF38" s="92"/>
      <c r="DG38" s="92"/>
      <c r="DH38" s="92"/>
      <c r="DI38" s="93">
        <f t="shared" si="24"/>
        <v>0</v>
      </c>
      <c r="DJ38" s="90"/>
      <c r="DK38" s="91"/>
      <c r="DL38" s="92"/>
      <c r="DM38" s="92"/>
      <c r="DN38" s="92"/>
      <c r="DO38" s="92"/>
      <c r="DP38" s="92"/>
      <c r="DQ38" s="92"/>
      <c r="DR38" s="93">
        <f t="shared" si="25"/>
        <v>0</v>
      </c>
      <c r="DS38" s="90"/>
      <c r="DT38" s="91"/>
      <c r="DU38" s="92"/>
      <c r="DV38" s="92"/>
      <c r="DW38" s="92"/>
      <c r="DX38" s="92"/>
      <c r="DY38" s="92"/>
      <c r="DZ38" s="92"/>
      <c r="EA38" s="93">
        <f t="shared" si="26"/>
        <v>0</v>
      </c>
      <c r="EB38" s="95">
        <f t="shared" si="27"/>
        <v>0</v>
      </c>
      <c r="EC38" s="96">
        <f t="shared" si="28"/>
        <v>0</v>
      </c>
      <c r="ED38" s="97">
        <f t="shared" si="29"/>
        <v>0</v>
      </c>
    </row>
    <row r="39" spans="1:134" s="6" customFormat="1" ht="21.95" customHeight="1" x14ac:dyDescent="0.5">
      <c r="A39" s="83">
        <v>9</v>
      </c>
      <c r="B39" s="98" t="s">
        <v>84</v>
      </c>
      <c r="C39" s="99" t="s">
        <v>85</v>
      </c>
      <c r="D39" s="100" t="s">
        <v>86</v>
      </c>
      <c r="E39" s="100" t="s">
        <v>87</v>
      </c>
      <c r="F39" s="87" t="s">
        <v>56</v>
      </c>
      <c r="G39" s="88" t="s">
        <v>57</v>
      </c>
      <c r="H39" s="89">
        <v>3.6030751447381763E-2</v>
      </c>
      <c r="I39" s="90">
        <f t="shared" si="30"/>
        <v>66506.045398028189</v>
      </c>
      <c r="J39" s="91">
        <f t="shared" si="9"/>
        <v>50212.804074661435</v>
      </c>
      <c r="K39" s="92">
        <v>17310</v>
      </c>
      <c r="L39" s="92">
        <v>12799.2</v>
      </c>
      <c r="M39" s="92">
        <v>36206</v>
      </c>
      <c r="N39" s="92">
        <v>25968</v>
      </c>
      <c r="O39" s="92">
        <v>56966</v>
      </c>
      <c r="P39" s="92">
        <v>40708</v>
      </c>
      <c r="Q39" s="93">
        <f t="shared" si="31"/>
        <v>0.81070955407053669</v>
      </c>
      <c r="R39" s="94">
        <v>66506.045398028262</v>
      </c>
      <c r="S39" s="91">
        <v>50212.815524585698</v>
      </c>
      <c r="T39" s="92">
        <v>18140</v>
      </c>
      <c r="U39" s="92">
        <v>12897.6</v>
      </c>
      <c r="V39" s="92">
        <v>37840</v>
      </c>
      <c r="W39" s="92">
        <v>26527.199999999997</v>
      </c>
      <c r="X39" s="92">
        <v>54556</v>
      </c>
      <c r="Y39" s="92">
        <v>38203.199999999997</v>
      </c>
      <c r="Z39" s="93">
        <f t="shared" si="32"/>
        <v>0.76082568963484165</v>
      </c>
      <c r="AA39" s="94">
        <v>66506.045398028262</v>
      </c>
      <c r="AB39" s="91">
        <v>50212.815524585698</v>
      </c>
      <c r="AC39" s="92">
        <v>16560</v>
      </c>
      <c r="AD39" s="92">
        <v>12785.6</v>
      </c>
      <c r="AE39" s="92">
        <v>39720</v>
      </c>
      <c r="AF39" s="92">
        <v>29077.599999999999</v>
      </c>
      <c r="AG39" s="92"/>
      <c r="AH39" s="92"/>
      <c r="AI39" s="93">
        <f t="shared" si="33"/>
        <v>0</v>
      </c>
      <c r="AJ39" s="95">
        <f t="shared" si="10"/>
        <v>150638.43512383284</v>
      </c>
      <c r="AK39" s="96">
        <f t="shared" si="34"/>
        <v>78911.199999999997</v>
      </c>
      <c r="AL39" s="97">
        <f t="shared" si="11"/>
        <v>0.52384505943075399</v>
      </c>
      <c r="AN39" s="89">
        <v>3.6543798430397317E-2</v>
      </c>
      <c r="AO39" s="90"/>
      <c r="AP39" s="91"/>
      <c r="AQ39" s="92"/>
      <c r="AR39" s="92"/>
      <c r="AS39" s="92"/>
      <c r="AT39" s="92"/>
      <c r="AU39" s="92"/>
      <c r="AV39" s="92"/>
      <c r="AW39" s="93">
        <f t="shared" si="12"/>
        <v>0</v>
      </c>
      <c r="AX39" s="90"/>
      <c r="AY39" s="91"/>
      <c r="AZ39" s="92"/>
      <c r="BA39" s="92"/>
      <c r="BB39" s="92"/>
      <c r="BC39" s="92"/>
      <c r="BD39" s="92"/>
      <c r="BE39" s="92"/>
      <c r="BF39" s="93">
        <f t="shared" si="13"/>
        <v>0</v>
      </c>
      <c r="BG39" s="90"/>
      <c r="BH39" s="91"/>
      <c r="BI39" s="92"/>
      <c r="BJ39" s="92"/>
      <c r="BK39" s="92"/>
      <c r="BL39" s="92"/>
      <c r="BM39" s="92"/>
      <c r="BN39" s="92"/>
      <c r="BO39" s="93">
        <f t="shared" si="14"/>
        <v>0</v>
      </c>
      <c r="BP39" s="95">
        <f t="shared" si="15"/>
        <v>0</v>
      </c>
      <c r="BQ39" s="96">
        <f t="shared" si="16"/>
        <v>0</v>
      </c>
      <c r="BR39" s="97">
        <f t="shared" si="17"/>
        <v>0</v>
      </c>
      <c r="BT39" s="89"/>
      <c r="BU39" s="90"/>
      <c r="BV39" s="91"/>
      <c r="BW39" s="92"/>
      <c r="BX39" s="92"/>
      <c r="BY39" s="92"/>
      <c r="BZ39" s="92"/>
      <c r="CA39" s="92"/>
      <c r="CB39" s="92"/>
      <c r="CC39" s="93">
        <f t="shared" si="18"/>
        <v>0</v>
      </c>
      <c r="CD39" s="90"/>
      <c r="CE39" s="91"/>
      <c r="CF39" s="92"/>
      <c r="CG39" s="92"/>
      <c r="CH39" s="92"/>
      <c r="CI39" s="92"/>
      <c r="CJ39" s="92"/>
      <c r="CK39" s="92"/>
      <c r="CL39" s="93">
        <f t="shared" si="19"/>
        <v>0</v>
      </c>
      <c r="CM39" s="90"/>
      <c r="CN39" s="91"/>
      <c r="CO39" s="92"/>
      <c r="CP39" s="92"/>
      <c r="CQ39" s="92"/>
      <c r="CR39" s="92"/>
      <c r="CS39" s="92"/>
      <c r="CT39" s="92"/>
      <c r="CU39" s="93">
        <f t="shared" si="20"/>
        <v>0</v>
      </c>
      <c r="CV39" s="95">
        <f t="shared" si="21"/>
        <v>0</v>
      </c>
      <c r="CW39" s="96">
        <f t="shared" si="22"/>
        <v>0</v>
      </c>
      <c r="CX39" s="97">
        <f t="shared" si="23"/>
        <v>0</v>
      </c>
      <c r="CZ39" s="89"/>
      <c r="DA39" s="90"/>
      <c r="DB39" s="91"/>
      <c r="DC39" s="92"/>
      <c r="DD39" s="92"/>
      <c r="DE39" s="92"/>
      <c r="DF39" s="92"/>
      <c r="DG39" s="92"/>
      <c r="DH39" s="92"/>
      <c r="DI39" s="93">
        <f t="shared" si="24"/>
        <v>0</v>
      </c>
      <c r="DJ39" s="90"/>
      <c r="DK39" s="91"/>
      <c r="DL39" s="92"/>
      <c r="DM39" s="92"/>
      <c r="DN39" s="92"/>
      <c r="DO39" s="92"/>
      <c r="DP39" s="92"/>
      <c r="DQ39" s="92"/>
      <c r="DR39" s="93">
        <f t="shared" si="25"/>
        <v>0</v>
      </c>
      <c r="DS39" s="90"/>
      <c r="DT39" s="91"/>
      <c r="DU39" s="92"/>
      <c r="DV39" s="92"/>
      <c r="DW39" s="92"/>
      <c r="DX39" s="92"/>
      <c r="DY39" s="92"/>
      <c r="DZ39" s="92"/>
      <c r="EA39" s="93">
        <f t="shared" si="26"/>
        <v>0</v>
      </c>
      <c r="EB39" s="95">
        <f t="shared" si="27"/>
        <v>0</v>
      </c>
      <c r="EC39" s="96">
        <f t="shared" si="28"/>
        <v>0</v>
      </c>
      <c r="ED39" s="97">
        <f t="shared" si="29"/>
        <v>0</v>
      </c>
    </row>
    <row r="40" spans="1:134" s="6" customFormat="1" ht="21.95" customHeight="1" x14ac:dyDescent="0.5">
      <c r="A40" s="83">
        <v>10</v>
      </c>
      <c r="B40" s="98" t="s">
        <v>88</v>
      </c>
      <c r="C40" s="99" t="s">
        <v>89</v>
      </c>
      <c r="D40" s="100" t="s">
        <v>90</v>
      </c>
      <c r="E40" s="100" t="s">
        <v>91</v>
      </c>
      <c r="F40" s="87" t="s">
        <v>56</v>
      </c>
      <c r="G40" s="88" t="s">
        <v>57</v>
      </c>
      <c r="H40" s="89">
        <v>3.7036632454441935E-2</v>
      </c>
      <c r="I40" s="90">
        <f t="shared" si="30"/>
        <v>68362.714083338651</v>
      </c>
      <c r="J40" s="91">
        <f t="shared" si="9"/>
        <v>51614.609585259685</v>
      </c>
      <c r="K40" s="92">
        <v>16992</v>
      </c>
      <c r="L40" s="92">
        <v>13008.320000000002</v>
      </c>
      <c r="M40" s="92">
        <v>33522</v>
      </c>
      <c r="N40" s="92">
        <v>25368.48</v>
      </c>
      <c r="O40" s="92">
        <v>54980</v>
      </c>
      <c r="P40" s="92">
        <v>41559.279999999999</v>
      </c>
      <c r="Q40" s="93">
        <f t="shared" si="31"/>
        <v>0.80518443002751439</v>
      </c>
      <c r="R40" s="94">
        <v>68362.714083338709</v>
      </c>
      <c r="S40" s="91">
        <v>51614.621354834824</v>
      </c>
      <c r="T40" s="92">
        <v>16212</v>
      </c>
      <c r="U40" s="92">
        <v>12032.88</v>
      </c>
      <c r="V40" s="92">
        <v>37610</v>
      </c>
      <c r="W40" s="92">
        <v>28280.639999999999</v>
      </c>
      <c r="X40" s="92">
        <v>50064</v>
      </c>
      <c r="Y40" s="92">
        <v>37459.519999999997</v>
      </c>
      <c r="Z40" s="93">
        <f t="shared" si="32"/>
        <v>0.72575404055523707</v>
      </c>
      <c r="AA40" s="94">
        <v>68362.714083338709</v>
      </c>
      <c r="AB40" s="91">
        <v>51614.621354834824</v>
      </c>
      <c r="AC40" s="92">
        <v>19868</v>
      </c>
      <c r="AD40" s="92">
        <v>14996.480000000001</v>
      </c>
      <c r="AE40" s="92">
        <v>41938</v>
      </c>
      <c r="AF40" s="92">
        <v>30884.880000000005</v>
      </c>
      <c r="AG40" s="92"/>
      <c r="AH40" s="92"/>
      <c r="AI40" s="93">
        <f t="shared" si="33"/>
        <v>0</v>
      </c>
      <c r="AJ40" s="95">
        <f t="shared" si="10"/>
        <v>154843.85229492933</v>
      </c>
      <c r="AK40" s="96">
        <f t="shared" si="34"/>
        <v>79018.799999999988</v>
      </c>
      <c r="AL40" s="97">
        <f t="shared" si="11"/>
        <v>0.51031280111459498</v>
      </c>
      <c r="AN40" s="89">
        <v>3.740377153853236E-2</v>
      </c>
      <c r="AO40" s="90"/>
      <c r="AP40" s="91"/>
      <c r="AQ40" s="92"/>
      <c r="AR40" s="92"/>
      <c r="AS40" s="92"/>
      <c r="AT40" s="92"/>
      <c r="AU40" s="92"/>
      <c r="AV40" s="92"/>
      <c r="AW40" s="93">
        <f t="shared" si="12"/>
        <v>0</v>
      </c>
      <c r="AX40" s="90"/>
      <c r="AY40" s="91"/>
      <c r="AZ40" s="92"/>
      <c r="BA40" s="92"/>
      <c r="BB40" s="92"/>
      <c r="BC40" s="92"/>
      <c r="BD40" s="92"/>
      <c r="BE40" s="92"/>
      <c r="BF40" s="93">
        <f t="shared" si="13"/>
        <v>0</v>
      </c>
      <c r="BG40" s="90"/>
      <c r="BH40" s="91"/>
      <c r="BI40" s="92"/>
      <c r="BJ40" s="92"/>
      <c r="BK40" s="92"/>
      <c r="BL40" s="92"/>
      <c r="BM40" s="92"/>
      <c r="BN40" s="92"/>
      <c r="BO40" s="93">
        <f t="shared" si="14"/>
        <v>0</v>
      </c>
      <c r="BP40" s="95">
        <f t="shared" si="15"/>
        <v>0</v>
      </c>
      <c r="BQ40" s="96">
        <f t="shared" si="16"/>
        <v>0</v>
      </c>
      <c r="BR40" s="97">
        <f t="shared" si="17"/>
        <v>0</v>
      </c>
      <c r="BT40" s="89"/>
      <c r="BU40" s="90"/>
      <c r="BV40" s="91"/>
      <c r="BW40" s="92"/>
      <c r="BX40" s="92"/>
      <c r="BY40" s="92"/>
      <c r="BZ40" s="92"/>
      <c r="CA40" s="92"/>
      <c r="CB40" s="92"/>
      <c r="CC40" s="93">
        <f t="shared" si="18"/>
        <v>0</v>
      </c>
      <c r="CD40" s="90"/>
      <c r="CE40" s="91"/>
      <c r="CF40" s="92"/>
      <c r="CG40" s="92"/>
      <c r="CH40" s="92"/>
      <c r="CI40" s="92"/>
      <c r="CJ40" s="92"/>
      <c r="CK40" s="92"/>
      <c r="CL40" s="93">
        <f t="shared" si="19"/>
        <v>0</v>
      </c>
      <c r="CM40" s="90"/>
      <c r="CN40" s="91"/>
      <c r="CO40" s="92"/>
      <c r="CP40" s="92"/>
      <c r="CQ40" s="92"/>
      <c r="CR40" s="92"/>
      <c r="CS40" s="92"/>
      <c r="CT40" s="92"/>
      <c r="CU40" s="93">
        <f t="shared" si="20"/>
        <v>0</v>
      </c>
      <c r="CV40" s="95">
        <f t="shared" si="21"/>
        <v>0</v>
      </c>
      <c r="CW40" s="96">
        <f t="shared" si="22"/>
        <v>0</v>
      </c>
      <c r="CX40" s="97">
        <f t="shared" si="23"/>
        <v>0</v>
      </c>
      <c r="CZ40" s="89"/>
      <c r="DA40" s="90"/>
      <c r="DB40" s="91"/>
      <c r="DC40" s="92"/>
      <c r="DD40" s="92"/>
      <c r="DE40" s="92"/>
      <c r="DF40" s="92"/>
      <c r="DG40" s="92"/>
      <c r="DH40" s="92"/>
      <c r="DI40" s="93">
        <f t="shared" si="24"/>
        <v>0</v>
      </c>
      <c r="DJ40" s="90"/>
      <c r="DK40" s="91"/>
      <c r="DL40" s="92"/>
      <c r="DM40" s="92"/>
      <c r="DN40" s="92"/>
      <c r="DO40" s="92"/>
      <c r="DP40" s="92"/>
      <c r="DQ40" s="92"/>
      <c r="DR40" s="93">
        <f t="shared" si="25"/>
        <v>0</v>
      </c>
      <c r="DS40" s="90"/>
      <c r="DT40" s="91"/>
      <c r="DU40" s="92"/>
      <c r="DV40" s="92"/>
      <c r="DW40" s="92"/>
      <c r="DX40" s="92"/>
      <c r="DY40" s="92"/>
      <c r="DZ40" s="92"/>
      <c r="EA40" s="93">
        <f t="shared" si="26"/>
        <v>0</v>
      </c>
      <c r="EB40" s="95">
        <f t="shared" si="27"/>
        <v>0</v>
      </c>
      <c r="EC40" s="96">
        <f t="shared" si="28"/>
        <v>0</v>
      </c>
      <c r="ED40" s="97">
        <f t="shared" si="29"/>
        <v>0</v>
      </c>
    </row>
    <row r="41" spans="1:134" s="6" customFormat="1" ht="21.95" customHeight="1" x14ac:dyDescent="0.5">
      <c r="A41" s="83">
        <v>11</v>
      </c>
      <c r="B41" s="98" t="s">
        <v>92</v>
      </c>
      <c r="C41" s="99" t="s">
        <v>93</v>
      </c>
      <c r="D41" s="100" t="s">
        <v>94</v>
      </c>
      <c r="E41" s="100" t="s">
        <v>95</v>
      </c>
      <c r="F41" s="87" t="s">
        <v>56</v>
      </c>
      <c r="G41" s="88" t="s">
        <v>57</v>
      </c>
      <c r="H41" s="89">
        <v>3.6002519341361928E-2</v>
      </c>
      <c r="I41" s="90">
        <f t="shared" si="30"/>
        <v>66453.934197200782</v>
      </c>
      <c r="J41" s="91">
        <f t="shared" si="9"/>
        <v>50173.459538362789</v>
      </c>
      <c r="K41" s="92">
        <v>21180</v>
      </c>
      <c r="L41" s="92">
        <v>15062</v>
      </c>
      <c r="M41" s="92">
        <v>42320</v>
      </c>
      <c r="N41" s="92">
        <v>30307.600000000002</v>
      </c>
      <c r="O41" s="92">
        <v>62124</v>
      </c>
      <c r="P41" s="92">
        <v>44413.760000000002</v>
      </c>
      <c r="Q41" s="93">
        <f t="shared" si="31"/>
        <v>0.88520425756252863</v>
      </c>
      <c r="R41" s="94">
        <v>66453.934197200841</v>
      </c>
      <c r="S41" s="91">
        <v>50173.470979315396</v>
      </c>
      <c r="T41" s="92">
        <v>17880</v>
      </c>
      <c r="U41" s="92">
        <v>12651.6</v>
      </c>
      <c r="V41" s="92">
        <v>36970</v>
      </c>
      <c r="W41" s="92">
        <v>26113.599999999999</v>
      </c>
      <c r="X41" s="92">
        <v>53320</v>
      </c>
      <c r="Y41" s="92">
        <v>37533.600000000006</v>
      </c>
      <c r="Z41" s="93">
        <f t="shared" si="32"/>
        <v>0.74807660836288714</v>
      </c>
      <c r="AA41" s="94">
        <v>66453.934197200841</v>
      </c>
      <c r="AB41" s="91">
        <v>50173.470979315396</v>
      </c>
      <c r="AC41" s="92">
        <v>24500</v>
      </c>
      <c r="AD41" s="92">
        <v>17406.399999999998</v>
      </c>
      <c r="AE41" s="92">
        <v>49480</v>
      </c>
      <c r="AF41" s="92">
        <v>35666.399999999994</v>
      </c>
      <c r="AG41" s="92"/>
      <c r="AH41" s="92"/>
      <c r="AI41" s="93">
        <f t="shared" si="33"/>
        <v>0</v>
      </c>
      <c r="AJ41" s="95">
        <f t="shared" si="10"/>
        <v>150520.40149699358</v>
      </c>
      <c r="AK41" s="96">
        <f t="shared" si="34"/>
        <v>81947.360000000015</v>
      </c>
      <c r="AL41" s="97">
        <f t="shared" si="11"/>
        <v>0.54442692940622261</v>
      </c>
      <c r="AN41" s="89">
        <v>3.4990788170412269E-2</v>
      </c>
      <c r="AO41" s="90"/>
      <c r="AP41" s="91"/>
      <c r="AQ41" s="92"/>
      <c r="AR41" s="92"/>
      <c r="AS41" s="92"/>
      <c r="AT41" s="92"/>
      <c r="AU41" s="92"/>
      <c r="AV41" s="92"/>
      <c r="AW41" s="93">
        <f t="shared" si="12"/>
        <v>0</v>
      </c>
      <c r="AX41" s="90"/>
      <c r="AY41" s="91"/>
      <c r="AZ41" s="92"/>
      <c r="BA41" s="92"/>
      <c r="BB41" s="92"/>
      <c r="BC41" s="92"/>
      <c r="BD41" s="92"/>
      <c r="BE41" s="92"/>
      <c r="BF41" s="93">
        <f t="shared" si="13"/>
        <v>0</v>
      </c>
      <c r="BG41" s="90"/>
      <c r="BH41" s="91"/>
      <c r="BI41" s="92"/>
      <c r="BJ41" s="92"/>
      <c r="BK41" s="92"/>
      <c r="BL41" s="92"/>
      <c r="BM41" s="92"/>
      <c r="BN41" s="92"/>
      <c r="BO41" s="93">
        <f t="shared" si="14"/>
        <v>0</v>
      </c>
      <c r="BP41" s="95">
        <f t="shared" si="15"/>
        <v>0</v>
      </c>
      <c r="BQ41" s="96">
        <f t="shared" si="16"/>
        <v>0</v>
      </c>
      <c r="BR41" s="97">
        <f t="shared" si="17"/>
        <v>0</v>
      </c>
      <c r="BT41" s="89"/>
      <c r="BU41" s="90"/>
      <c r="BV41" s="91"/>
      <c r="BW41" s="92"/>
      <c r="BX41" s="92"/>
      <c r="BY41" s="92"/>
      <c r="BZ41" s="92"/>
      <c r="CA41" s="92"/>
      <c r="CB41" s="92"/>
      <c r="CC41" s="93">
        <f t="shared" si="18"/>
        <v>0</v>
      </c>
      <c r="CD41" s="90"/>
      <c r="CE41" s="91"/>
      <c r="CF41" s="92"/>
      <c r="CG41" s="92"/>
      <c r="CH41" s="92"/>
      <c r="CI41" s="92"/>
      <c r="CJ41" s="92"/>
      <c r="CK41" s="92"/>
      <c r="CL41" s="93">
        <f t="shared" si="19"/>
        <v>0</v>
      </c>
      <c r="CM41" s="90"/>
      <c r="CN41" s="91"/>
      <c r="CO41" s="92"/>
      <c r="CP41" s="92"/>
      <c r="CQ41" s="92"/>
      <c r="CR41" s="92"/>
      <c r="CS41" s="92"/>
      <c r="CT41" s="92"/>
      <c r="CU41" s="93">
        <f t="shared" si="20"/>
        <v>0</v>
      </c>
      <c r="CV41" s="95">
        <f t="shared" si="21"/>
        <v>0</v>
      </c>
      <c r="CW41" s="96">
        <f t="shared" si="22"/>
        <v>0</v>
      </c>
      <c r="CX41" s="97">
        <f t="shared" si="23"/>
        <v>0</v>
      </c>
      <c r="CZ41" s="89"/>
      <c r="DA41" s="90"/>
      <c r="DB41" s="91"/>
      <c r="DC41" s="92"/>
      <c r="DD41" s="92"/>
      <c r="DE41" s="92"/>
      <c r="DF41" s="92"/>
      <c r="DG41" s="92"/>
      <c r="DH41" s="92"/>
      <c r="DI41" s="93">
        <f t="shared" si="24"/>
        <v>0</v>
      </c>
      <c r="DJ41" s="90"/>
      <c r="DK41" s="91"/>
      <c r="DL41" s="92"/>
      <c r="DM41" s="92"/>
      <c r="DN41" s="92"/>
      <c r="DO41" s="92"/>
      <c r="DP41" s="92"/>
      <c r="DQ41" s="92"/>
      <c r="DR41" s="93">
        <f t="shared" si="25"/>
        <v>0</v>
      </c>
      <c r="DS41" s="90"/>
      <c r="DT41" s="91"/>
      <c r="DU41" s="92"/>
      <c r="DV41" s="92"/>
      <c r="DW41" s="92"/>
      <c r="DX41" s="92"/>
      <c r="DY41" s="92"/>
      <c r="DZ41" s="92"/>
      <c r="EA41" s="93">
        <f t="shared" si="26"/>
        <v>0</v>
      </c>
      <c r="EB41" s="95">
        <f t="shared" si="27"/>
        <v>0</v>
      </c>
      <c r="EC41" s="96">
        <f t="shared" si="28"/>
        <v>0</v>
      </c>
      <c r="ED41" s="97">
        <f t="shared" si="29"/>
        <v>0</v>
      </c>
    </row>
    <row r="42" spans="1:134" s="6" customFormat="1" ht="21.95" customHeight="1" x14ac:dyDescent="0.5">
      <c r="A42" s="83">
        <v>12</v>
      </c>
      <c r="B42" s="98" t="s">
        <v>96</v>
      </c>
      <c r="C42" s="99" t="s">
        <v>97</v>
      </c>
      <c r="D42" s="100" t="s">
        <v>98</v>
      </c>
      <c r="E42" s="100" t="s">
        <v>99</v>
      </c>
      <c r="F42" s="87" t="s">
        <v>56</v>
      </c>
      <c r="G42" s="88" t="s">
        <v>57</v>
      </c>
      <c r="H42" s="89">
        <v>2.2997693995594693E-2</v>
      </c>
      <c r="I42" s="90">
        <f t="shared" si="30"/>
        <v>42449.452744681061</v>
      </c>
      <c r="J42" s="91">
        <f t="shared" si="9"/>
        <v>32049.809020947523</v>
      </c>
      <c r="K42" s="92">
        <v>7720</v>
      </c>
      <c r="L42" s="92">
        <v>5916</v>
      </c>
      <c r="M42" s="92">
        <v>22520</v>
      </c>
      <c r="N42" s="92">
        <v>16623.2</v>
      </c>
      <c r="O42" s="92">
        <v>42100</v>
      </c>
      <c r="P42" s="92">
        <v>31731.200000000001</v>
      </c>
      <c r="Q42" s="93">
        <f t="shared" si="31"/>
        <v>0.99005894166984643</v>
      </c>
      <c r="R42" s="94">
        <v>42449.452744681104</v>
      </c>
      <c r="S42" s="91">
        <v>32049.816329200719</v>
      </c>
      <c r="T42" s="92">
        <v>14040</v>
      </c>
      <c r="U42" s="92">
        <v>10936</v>
      </c>
      <c r="V42" s="92">
        <v>27080</v>
      </c>
      <c r="W42" s="92">
        <v>21588.799999999999</v>
      </c>
      <c r="X42" s="92">
        <v>39300</v>
      </c>
      <c r="Y42" s="92">
        <v>31248.799999999999</v>
      </c>
      <c r="Z42" s="93">
        <f t="shared" si="32"/>
        <v>0.97500714759257734</v>
      </c>
      <c r="AA42" s="94">
        <v>42449.452744681104</v>
      </c>
      <c r="AB42" s="91">
        <v>32049.816329200719</v>
      </c>
      <c r="AC42" s="92">
        <v>6960</v>
      </c>
      <c r="AD42" s="92">
        <v>6180</v>
      </c>
      <c r="AE42" s="92">
        <v>38940</v>
      </c>
      <c r="AF42" s="92">
        <v>29312.799999999999</v>
      </c>
      <c r="AG42" s="92"/>
      <c r="AH42" s="92"/>
      <c r="AI42" s="93">
        <f t="shared" si="33"/>
        <v>0</v>
      </c>
      <c r="AJ42" s="95">
        <f t="shared" si="10"/>
        <v>96149.441679348965</v>
      </c>
      <c r="AK42" s="96">
        <f t="shared" si="34"/>
        <v>62980</v>
      </c>
      <c r="AL42" s="97">
        <f t="shared" si="11"/>
        <v>0.655022004288215</v>
      </c>
      <c r="AN42" s="89">
        <v>2.9572957589161505E-2</v>
      </c>
      <c r="AO42" s="90"/>
      <c r="AP42" s="91"/>
      <c r="AQ42" s="92"/>
      <c r="AR42" s="92"/>
      <c r="AS42" s="92"/>
      <c r="AT42" s="92"/>
      <c r="AU42" s="92"/>
      <c r="AV42" s="92"/>
      <c r="AW42" s="93">
        <f t="shared" si="12"/>
        <v>0</v>
      </c>
      <c r="AX42" s="90"/>
      <c r="AY42" s="91"/>
      <c r="AZ42" s="92"/>
      <c r="BA42" s="92"/>
      <c r="BB42" s="92"/>
      <c r="BC42" s="92"/>
      <c r="BD42" s="92"/>
      <c r="BE42" s="92"/>
      <c r="BF42" s="93">
        <f t="shared" si="13"/>
        <v>0</v>
      </c>
      <c r="BG42" s="90"/>
      <c r="BH42" s="91"/>
      <c r="BI42" s="92"/>
      <c r="BJ42" s="92"/>
      <c r="BK42" s="92"/>
      <c r="BL42" s="92"/>
      <c r="BM42" s="92"/>
      <c r="BN42" s="92"/>
      <c r="BO42" s="93">
        <f t="shared" si="14"/>
        <v>0</v>
      </c>
      <c r="BP42" s="95">
        <f t="shared" si="15"/>
        <v>0</v>
      </c>
      <c r="BQ42" s="96">
        <f t="shared" si="16"/>
        <v>0</v>
      </c>
      <c r="BR42" s="97">
        <f t="shared" si="17"/>
        <v>0</v>
      </c>
      <c r="BT42" s="89"/>
      <c r="BU42" s="90"/>
      <c r="BV42" s="91"/>
      <c r="BW42" s="92"/>
      <c r="BX42" s="92"/>
      <c r="BY42" s="92"/>
      <c r="BZ42" s="92"/>
      <c r="CA42" s="92"/>
      <c r="CB42" s="92"/>
      <c r="CC42" s="93">
        <f t="shared" si="18"/>
        <v>0</v>
      </c>
      <c r="CD42" s="90"/>
      <c r="CE42" s="91"/>
      <c r="CF42" s="92"/>
      <c r="CG42" s="92"/>
      <c r="CH42" s="92"/>
      <c r="CI42" s="92"/>
      <c r="CJ42" s="92"/>
      <c r="CK42" s="92"/>
      <c r="CL42" s="93">
        <f t="shared" si="19"/>
        <v>0</v>
      </c>
      <c r="CM42" s="90"/>
      <c r="CN42" s="91"/>
      <c r="CO42" s="92"/>
      <c r="CP42" s="92"/>
      <c r="CQ42" s="92"/>
      <c r="CR42" s="92"/>
      <c r="CS42" s="92"/>
      <c r="CT42" s="92"/>
      <c r="CU42" s="93">
        <f t="shared" si="20"/>
        <v>0</v>
      </c>
      <c r="CV42" s="95">
        <f t="shared" si="21"/>
        <v>0</v>
      </c>
      <c r="CW42" s="96">
        <f t="shared" si="22"/>
        <v>0</v>
      </c>
      <c r="CX42" s="97">
        <f t="shared" si="23"/>
        <v>0</v>
      </c>
      <c r="CZ42" s="89"/>
      <c r="DA42" s="90"/>
      <c r="DB42" s="91"/>
      <c r="DC42" s="92"/>
      <c r="DD42" s="92"/>
      <c r="DE42" s="92"/>
      <c r="DF42" s="92"/>
      <c r="DG42" s="92"/>
      <c r="DH42" s="92"/>
      <c r="DI42" s="93">
        <f t="shared" si="24"/>
        <v>0</v>
      </c>
      <c r="DJ42" s="90"/>
      <c r="DK42" s="91"/>
      <c r="DL42" s="92"/>
      <c r="DM42" s="92"/>
      <c r="DN42" s="92"/>
      <c r="DO42" s="92"/>
      <c r="DP42" s="92"/>
      <c r="DQ42" s="92"/>
      <c r="DR42" s="93">
        <f t="shared" si="25"/>
        <v>0</v>
      </c>
      <c r="DS42" s="90"/>
      <c r="DT42" s="91"/>
      <c r="DU42" s="92"/>
      <c r="DV42" s="92"/>
      <c r="DW42" s="92"/>
      <c r="DX42" s="92"/>
      <c r="DY42" s="92"/>
      <c r="DZ42" s="92"/>
      <c r="EA42" s="93">
        <f t="shared" si="26"/>
        <v>0</v>
      </c>
      <c r="EB42" s="95">
        <f t="shared" si="27"/>
        <v>0</v>
      </c>
      <c r="EC42" s="96">
        <f t="shared" si="28"/>
        <v>0</v>
      </c>
      <c r="ED42" s="97">
        <f t="shared" si="29"/>
        <v>0</v>
      </c>
    </row>
    <row r="43" spans="1:134" s="6" customFormat="1" ht="21.95" customHeight="1" x14ac:dyDescent="0.5">
      <c r="A43" s="83">
        <v>13</v>
      </c>
      <c r="B43" s="98" t="s">
        <v>100</v>
      </c>
      <c r="C43" s="99" t="s">
        <v>101</v>
      </c>
      <c r="D43" s="100" t="s">
        <v>78</v>
      </c>
      <c r="E43" s="100" t="s">
        <v>79</v>
      </c>
      <c r="F43" s="87" t="s">
        <v>56</v>
      </c>
      <c r="G43" s="88" t="s">
        <v>57</v>
      </c>
      <c r="H43" s="89">
        <v>1.8541909488965461E-2</v>
      </c>
      <c r="I43" s="90">
        <f t="shared" si="30"/>
        <v>34224.905801371387</v>
      </c>
      <c r="J43" s="91">
        <f t="shared" si="9"/>
        <v>25840.18459063207</v>
      </c>
      <c r="K43" s="92">
        <v>13040</v>
      </c>
      <c r="L43" s="92">
        <v>9742.4</v>
      </c>
      <c r="M43" s="92">
        <v>22820</v>
      </c>
      <c r="N43" s="92">
        <v>17329.199999999997</v>
      </c>
      <c r="O43" s="92">
        <v>36700</v>
      </c>
      <c r="P43" s="92">
        <v>27354.399999999998</v>
      </c>
      <c r="Q43" s="93">
        <f t="shared" si="31"/>
        <v>1.0585992489355853</v>
      </c>
      <c r="R43" s="94">
        <v>34224.905801371424</v>
      </c>
      <c r="S43" s="91">
        <v>25840.190482917154</v>
      </c>
      <c r="T43" s="92">
        <v>10420</v>
      </c>
      <c r="U43" s="92">
        <v>7684.8</v>
      </c>
      <c r="V43" s="92">
        <v>17360</v>
      </c>
      <c r="W43" s="92">
        <v>13520.8</v>
      </c>
      <c r="X43" s="92">
        <v>30940</v>
      </c>
      <c r="Y43" s="92">
        <v>23405.200000000001</v>
      </c>
      <c r="Z43" s="93">
        <f t="shared" si="32"/>
        <v>0.9057673168265955</v>
      </c>
      <c r="AA43" s="94">
        <v>34224.905801371424</v>
      </c>
      <c r="AB43" s="91">
        <v>25840.190482917154</v>
      </c>
      <c r="AC43" s="92">
        <v>12120</v>
      </c>
      <c r="AD43" s="92">
        <v>9414</v>
      </c>
      <c r="AE43" s="92">
        <v>20480</v>
      </c>
      <c r="AF43" s="92">
        <v>15789.6</v>
      </c>
      <c r="AG43" s="92"/>
      <c r="AH43" s="92"/>
      <c r="AI43" s="93">
        <f t="shared" si="33"/>
        <v>0</v>
      </c>
      <c r="AJ43" s="95">
        <f t="shared" si="10"/>
        <v>77520.565556466376</v>
      </c>
      <c r="AK43" s="96">
        <f t="shared" si="34"/>
        <v>50759.6</v>
      </c>
      <c r="AL43" s="97">
        <f t="shared" si="11"/>
        <v>0.65478882456070897</v>
      </c>
      <c r="AN43" s="89">
        <v>2.4291710972143953E-2</v>
      </c>
      <c r="AO43" s="90"/>
      <c r="AP43" s="91"/>
      <c r="AQ43" s="92"/>
      <c r="AR43" s="92"/>
      <c r="AS43" s="92"/>
      <c r="AT43" s="92"/>
      <c r="AU43" s="92"/>
      <c r="AV43" s="92"/>
      <c r="AW43" s="93">
        <f t="shared" si="12"/>
        <v>0</v>
      </c>
      <c r="AX43" s="90"/>
      <c r="AY43" s="91"/>
      <c r="AZ43" s="92"/>
      <c r="BA43" s="92"/>
      <c r="BB43" s="92"/>
      <c r="BC43" s="92"/>
      <c r="BD43" s="92"/>
      <c r="BE43" s="92"/>
      <c r="BF43" s="93">
        <f t="shared" si="13"/>
        <v>0</v>
      </c>
      <c r="BG43" s="90"/>
      <c r="BH43" s="91"/>
      <c r="BI43" s="92"/>
      <c r="BJ43" s="92"/>
      <c r="BK43" s="92"/>
      <c r="BL43" s="92"/>
      <c r="BM43" s="92"/>
      <c r="BN43" s="92"/>
      <c r="BO43" s="93">
        <f t="shared" si="14"/>
        <v>0</v>
      </c>
      <c r="BP43" s="95">
        <f t="shared" si="15"/>
        <v>0</v>
      </c>
      <c r="BQ43" s="96">
        <f t="shared" si="16"/>
        <v>0</v>
      </c>
      <c r="BR43" s="97">
        <f t="shared" si="17"/>
        <v>0</v>
      </c>
      <c r="BT43" s="89"/>
      <c r="BU43" s="90"/>
      <c r="BV43" s="91"/>
      <c r="BW43" s="92"/>
      <c r="BX43" s="92"/>
      <c r="BY43" s="92"/>
      <c r="BZ43" s="92"/>
      <c r="CA43" s="92"/>
      <c r="CB43" s="92"/>
      <c r="CC43" s="93">
        <f t="shared" si="18"/>
        <v>0</v>
      </c>
      <c r="CD43" s="90"/>
      <c r="CE43" s="91"/>
      <c r="CF43" s="92"/>
      <c r="CG43" s="92"/>
      <c r="CH43" s="92"/>
      <c r="CI43" s="92"/>
      <c r="CJ43" s="92"/>
      <c r="CK43" s="92"/>
      <c r="CL43" s="93">
        <f t="shared" si="19"/>
        <v>0</v>
      </c>
      <c r="CM43" s="90"/>
      <c r="CN43" s="91"/>
      <c r="CO43" s="92"/>
      <c r="CP43" s="92"/>
      <c r="CQ43" s="92"/>
      <c r="CR43" s="92"/>
      <c r="CS43" s="92"/>
      <c r="CT43" s="92"/>
      <c r="CU43" s="93">
        <f t="shared" si="20"/>
        <v>0</v>
      </c>
      <c r="CV43" s="95">
        <f t="shared" si="21"/>
        <v>0</v>
      </c>
      <c r="CW43" s="96">
        <f t="shared" si="22"/>
        <v>0</v>
      </c>
      <c r="CX43" s="97">
        <f t="shared" si="23"/>
        <v>0</v>
      </c>
      <c r="CZ43" s="89"/>
      <c r="DA43" s="90"/>
      <c r="DB43" s="91"/>
      <c r="DC43" s="92"/>
      <c r="DD43" s="92"/>
      <c r="DE43" s="92"/>
      <c r="DF43" s="92"/>
      <c r="DG43" s="92"/>
      <c r="DH43" s="92"/>
      <c r="DI43" s="93">
        <f t="shared" si="24"/>
        <v>0</v>
      </c>
      <c r="DJ43" s="90"/>
      <c r="DK43" s="91"/>
      <c r="DL43" s="92"/>
      <c r="DM43" s="92"/>
      <c r="DN43" s="92"/>
      <c r="DO43" s="92"/>
      <c r="DP43" s="92"/>
      <c r="DQ43" s="92"/>
      <c r="DR43" s="93">
        <f t="shared" si="25"/>
        <v>0</v>
      </c>
      <c r="DS43" s="90"/>
      <c r="DT43" s="91"/>
      <c r="DU43" s="92"/>
      <c r="DV43" s="92"/>
      <c r="DW43" s="92"/>
      <c r="DX43" s="92"/>
      <c r="DY43" s="92"/>
      <c r="DZ43" s="92"/>
      <c r="EA43" s="93">
        <f t="shared" si="26"/>
        <v>0</v>
      </c>
      <c r="EB43" s="95">
        <f t="shared" si="27"/>
        <v>0</v>
      </c>
      <c r="EC43" s="96">
        <f t="shared" si="28"/>
        <v>0</v>
      </c>
      <c r="ED43" s="97">
        <f t="shared" si="29"/>
        <v>0</v>
      </c>
    </row>
    <row r="44" spans="1:134" s="6" customFormat="1" ht="21.95" customHeight="1" x14ac:dyDescent="0.5">
      <c r="A44" s="83">
        <v>14</v>
      </c>
      <c r="B44" s="98" t="s">
        <v>102</v>
      </c>
      <c r="C44" s="99" t="s">
        <v>103</v>
      </c>
      <c r="D44" s="100" t="s">
        <v>82</v>
      </c>
      <c r="E44" s="100" t="s">
        <v>83</v>
      </c>
      <c r="F44" s="87" t="s">
        <v>56</v>
      </c>
      <c r="G44" s="88" t="s">
        <v>57</v>
      </c>
      <c r="H44" s="89">
        <v>2.1502290217370757E-2</v>
      </c>
      <c r="I44" s="90">
        <f t="shared" si="30"/>
        <v>39689.21634749732</v>
      </c>
      <c r="J44" s="91">
        <f t="shared" si="9"/>
        <v>29965.799836789269</v>
      </c>
      <c r="K44" s="92">
        <v>19980</v>
      </c>
      <c r="L44" s="92">
        <v>14592</v>
      </c>
      <c r="M44" s="92">
        <v>29560</v>
      </c>
      <c r="N44" s="92">
        <v>21636</v>
      </c>
      <c r="O44" s="92">
        <v>45640</v>
      </c>
      <c r="P44" s="92">
        <v>33195.199999999997</v>
      </c>
      <c r="Q44" s="93">
        <f t="shared" si="31"/>
        <v>1.1077695299574806</v>
      </c>
      <c r="R44" s="94">
        <v>39689.216347497357</v>
      </c>
      <c r="S44" s="91">
        <v>29965.806669830061</v>
      </c>
      <c r="T44" s="92">
        <v>6140</v>
      </c>
      <c r="U44" s="92">
        <v>4935.6000000000004</v>
      </c>
      <c r="V44" s="92">
        <v>21420</v>
      </c>
      <c r="W44" s="92">
        <v>15761.6</v>
      </c>
      <c r="X44" s="92">
        <v>30510</v>
      </c>
      <c r="Y44" s="92">
        <v>22500</v>
      </c>
      <c r="Z44" s="93">
        <f t="shared" si="32"/>
        <v>0.75085580868588042</v>
      </c>
      <c r="AA44" s="94">
        <v>39689.216347497357</v>
      </c>
      <c r="AB44" s="91">
        <v>29965.806669830061</v>
      </c>
      <c r="AC44" s="92">
        <v>17320</v>
      </c>
      <c r="AD44" s="92">
        <v>13112.8</v>
      </c>
      <c r="AE44" s="92">
        <v>29080</v>
      </c>
      <c r="AF44" s="92">
        <v>22508.799999999999</v>
      </c>
      <c r="AG44" s="92"/>
      <c r="AH44" s="92"/>
      <c r="AI44" s="93">
        <f t="shared" si="33"/>
        <v>0</v>
      </c>
      <c r="AJ44" s="95">
        <f t="shared" si="10"/>
        <v>89897.413176449394</v>
      </c>
      <c r="AK44" s="96">
        <f t="shared" si="34"/>
        <v>55695.199999999997</v>
      </c>
      <c r="AL44" s="97">
        <f t="shared" si="11"/>
        <v>0.61954174243793014</v>
      </c>
      <c r="AN44" s="89">
        <v>2.5445086670113304E-2</v>
      </c>
      <c r="AO44" s="90"/>
      <c r="AP44" s="91"/>
      <c r="AQ44" s="92"/>
      <c r="AR44" s="92"/>
      <c r="AS44" s="92"/>
      <c r="AT44" s="92"/>
      <c r="AU44" s="92"/>
      <c r="AV44" s="92"/>
      <c r="AW44" s="93">
        <f t="shared" si="12"/>
        <v>0</v>
      </c>
      <c r="AX44" s="90"/>
      <c r="AY44" s="91"/>
      <c r="AZ44" s="92"/>
      <c r="BA44" s="92"/>
      <c r="BB44" s="92"/>
      <c r="BC44" s="92"/>
      <c r="BD44" s="92"/>
      <c r="BE44" s="92"/>
      <c r="BF44" s="93">
        <f t="shared" si="13"/>
        <v>0</v>
      </c>
      <c r="BG44" s="90"/>
      <c r="BH44" s="91"/>
      <c r="BI44" s="92"/>
      <c r="BJ44" s="92"/>
      <c r="BK44" s="92"/>
      <c r="BL44" s="92"/>
      <c r="BM44" s="92"/>
      <c r="BN44" s="92"/>
      <c r="BO44" s="93">
        <f t="shared" si="14"/>
        <v>0</v>
      </c>
      <c r="BP44" s="95">
        <f t="shared" si="15"/>
        <v>0</v>
      </c>
      <c r="BQ44" s="96">
        <f t="shared" si="16"/>
        <v>0</v>
      </c>
      <c r="BR44" s="97">
        <f t="shared" si="17"/>
        <v>0</v>
      </c>
      <c r="BT44" s="89"/>
      <c r="BU44" s="90"/>
      <c r="BV44" s="91"/>
      <c r="BW44" s="92"/>
      <c r="BX44" s="92"/>
      <c r="BY44" s="92"/>
      <c r="BZ44" s="92"/>
      <c r="CA44" s="92"/>
      <c r="CB44" s="92"/>
      <c r="CC44" s="93">
        <f t="shared" si="18"/>
        <v>0</v>
      </c>
      <c r="CD44" s="90"/>
      <c r="CE44" s="91"/>
      <c r="CF44" s="92"/>
      <c r="CG44" s="92"/>
      <c r="CH44" s="92"/>
      <c r="CI44" s="92"/>
      <c r="CJ44" s="92"/>
      <c r="CK44" s="92"/>
      <c r="CL44" s="93">
        <f t="shared" si="19"/>
        <v>0</v>
      </c>
      <c r="CM44" s="90"/>
      <c r="CN44" s="91"/>
      <c r="CO44" s="92"/>
      <c r="CP44" s="92"/>
      <c r="CQ44" s="92"/>
      <c r="CR44" s="92"/>
      <c r="CS44" s="92"/>
      <c r="CT44" s="92"/>
      <c r="CU44" s="93">
        <f t="shared" si="20"/>
        <v>0</v>
      </c>
      <c r="CV44" s="95">
        <f t="shared" si="21"/>
        <v>0</v>
      </c>
      <c r="CW44" s="96">
        <f t="shared" si="22"/>
        <v>0</v>
      </c>
      <c r="CX44" s="97">
        <f t="shared" si="23"/>
        <v>0</v>
      </c>
      <c r="CZ44" s="89"/>
      <c r="DA44" s="90"/>
      <c r="DB44" s="91"/>
      <c r="DC44" s="92"/>
      <c r="DD44" s="92"/>
      <c r="DE44" s="92"/>
      <c r="DF44" s="92"/>
      <c r="DG44" s="92"/>
      <c r="DH44" s="92"/>
      <c r="DI44" s="93">
        <f t="shared" si="24"/>
        <v>0</v>
      </c>
      <c r="DJ44" s="90"/>
      <c r="DK44" s="91"/>
      <c r="DL44" s="92"/>
      <c r="DM44" s="92"/>
      <c r="DN44" s="92"/>
      <c r="DO44" s="92"/>
      <c r="DP44" s="92"/>
      <c r="DQ44" s="92"/>
      <c r="DR44" s="93">
        <f t="shared" si="25"/>
        <v>0</v>
      </c>
      <c r="DS44" s="90"/>
      <c r="DT44" s="91"/>
      <c r="DU44" s="92"/>
      <c r="DV44" s="92"/>
      <c r="DW44" s="92"/>
      <c r="DX44" s="92"/>
      <c r="DY44" s="92"/>
      <c r="DZ44" s="92"/>
      <c r="EA44" s="93">
        <f t="shared" si="26"/>
        <v>0</v>
      </c>
      <c r="EB44" s="95">
        <f t="shared" si="27"/>
        <v>0</v>
      </c>
      <c r="EC44" s="96">
        <f t="shared" si="28"/>
        <v>0</v>
      </c>
      <c r="ED44" s="97">
        <f t="shared" si="29"/>
        <v>0</v>
      </c>
    </row>
    <row r="45" spans="1:134" s="6" customFormat="1" ht="21.95" customHeight="1" x14ac:dyDescent="0.5">
      <c r="A45" s="83">
        <v>15</v>
      </c>
      <c r="B45" s="98" t="s">
        <v>104</v>
      </c>
      <c r="C45" s="99" t="s">
        <v>105</v>
      </c>
      <c r="D45" s="100" t="s">
        <v>90</v>
      </c>
      <c r="E45" s="100" t="s">
        <v>91</v>
      </c>
      <c r="F45" s="87" t="s">
        <v>56</v>
      </c>
      <c r="G45" s="88" t="s">
        <v>57</v>
      </c>
      <c r="H45" s="89">
        <v>2.1370606896006141E-2</v>
      </c>
      <c r="I45" s="90">
        <f t="shared" si="30"/>
        <v>39446.153502648587</v>
      </c>
      <c r="J45" s="91">
        <f t="shared" si="9"/>
        <v>29782.284685148916</v>
      </c>
      <c r="K45" s="92">
        <v>12740</v>
      </c>
      <c r="L45" s="92">
        <v>9825.5999999999985</v>
      </c>
      <c r="M45" s="92">
        <v>22890</v>
      </c>
      <c r="N45" s="92">
        <v>17900.8</v>
      </c>
      <c r="O45" s="92">
        <v>40610</v>
      </c>
      <c r="P45" s="92">
        <v>31456.800000000003</v>
      </c>
      <c r="Q45" s="93">
        <f t="shared" si="31"/>
        <v>1.0562252134970052</v>
      </c>
      <c r="R45" s="94">
        <v>39446.153502648624</v>
      </c>
      <c r="S45" s="91">
        <v>29782.291476343118</v>
      </c>
      <c r="T45" s="92">
        <v>9420</v>
      </c>
      <c r="U45" s="92">
        <v>7167.5999999999995</v>
      </c>
      <c r="V45" s="92">
        <v>21270</v>
      </c>
      <c r="W45" s="92">
        <v>16769.2</v>
      </c>
      <c r="X45" s="92">
        <v>34750</v>
      </c>
      <c r="Y45" s="92">
        <v>27214.800000000003</v>
      </c>
      <c r="Z45" s="93">
        <f t="shared" si="32"/>
        <v>0.91379133877651608</v>
      </c>
      <c r="AA45" s="94">
        <v>39446.153502648624</v>
      </c>
      <c r="AB45" s="91">
        <v>29782.291476343118</v>
      </c>
      <c r="AC45" s="92">
        <v>12560</v>
      </c>
      <c r="AD45" s="92">
        <v>9636.4</v>
      </c>
      <c r="AE45" s="92">
        <v>25060</v>
      </c>
      <c r="AF45" s="92">
        <v>19291.999999999996</v>
      </c>
      <c r="AG45" s="92"/>
      <c r="AH45" s="92"/>
      <c r="AI45" s="93">
        <f t="shared" si="33"/>
        <v>0</v>
      </c>
      <c r="AJ45" s="95">
        <f t="shared" si="10"/>
        <v>89346.867637835152</v>
      </c>
      <c r="AK45" s="96">
        <f t="shared" si="34"/>
        <v>58671.600000000006</v>
      </c>
      <c r="AL45" s="97">
        <f t="shared" si="11"/>
        <v>0.65667215372142174</v>
      </c>
      <c r="AN45" s="89">
        <v>1.4973649412233675E-2</v>
      </c>
      <c r="AO45" s="90"/>
      <c r="AP45" s="91"/>
      <c r="AQ45" s="92"/>
      <c r="AR45" s="92"/>
      <c r="AS45" s="92"/>
      <c r="AT45" s="92"/>
      <c r="AU45" s="92"/>
      <c r="AV45" s="92"/>
      <c r="AW45" s="93">
        <f t="shared" si="12"/>
        <v>0</v>
      </c>
      <c r="AX45" s="90"/>
      <c r="AY45" s="91"/>
      <c r="AZ45" s="92"/>
      <c r="BA45" s="92"/>
      <c r="BB45" s="92"/>
      <c r="BC45" s="92"/>
      <c r="BD45" s="92"/>
      <c r="BE45" s="92"/>
      <c r="BF45" s="93">
        <f t="shared" si="13"/>
        <v>0</v>
      </c>
      <c r="BG45" s="90"/>
      <c r="BH45" s="91"/>
      <c r="BI45" s="92"/>
      <c r="BJ45" s="92"/>
      <c r="BK45" s="92"/>
      <c r="BL45" s="92"/>
      <c r="BM45" s="92"/>
      <c r="BN45" s="92"/>
      <c r="BO45" s="93">
        <f t="shared" si="14"/>
        <v>0</v>
      </c>
      <c r="BP45" s="95">
        <f t="shared" si="15"/>
        <v>0</v>
      </c>
      <c r="BQ45" s="96">
        <f t="shared" si="16"/>
        <v>0</v>
      </c>
      <c r="BR45" s="97">
        <f t="shared" si="17"/>
        <v>0</v>
      </c>
      <c r="BT45" s="89"/>
      <c r="BU45" s="90"/>
      <c r="BV45" s="91"/>
      <c r="BW45" s="92"/>
      <c r="BX45" s="92"/>
      <c r="BY45" s="92"/>
      <c r="BZ45" s="92"/>
      <c r="CA45" s="92"/>
      <c r="CB45" s="92"/>
      <c r="CC45" s="93">
        <f t="shared" si="18"/>
        <v>0</v>
      </c>
      <c r="CD45" s="90"/>
      <c r="CE45" s="91"/>
      <c r="CF45" s="92"/>
      <c r="CG45" s="92"/>
      <c r="CH45" s="92"/>
      <c r="CI45" s="92"/>
      <c r="CJ45" s="92"/>
      <c r="CK45" s="92"/>
      <c r="CL45" s="93">
        <f t="shared" si="19"/>
        <v>0</v>
      </c>
      <c r="CM45" s="90"/>
      <c r="CN45" s="91"/>
      <c r="CO45" s="92"/>
      <c r="CP45" s="92"/>
      <c r="CQ45" s="92"/>
      <c r="CR45" s="92"/>
      <c r="CS45" s="92"/>
      <c r="CT45" s="92"/>
      <c r="CU45" s="93">
        <f t="shared" si="20"/>
        <v>0</v>
      </c>
      <c r="CV45" s="95">
        <f t="shared" si="21"/>
        <v>0</v>
      </c>
      <c r="CW45" s="96">
        <f t="shared" si="22"/>
        <v>0</v>
      </c>
      <c r="CX45" s="97">
        <f t="shared" si="23"/>
        <v>0</v>
      </c>
      <c r="CZ45" s="89"/>
      <c r="DA45" s="90"/>
      <c r="DB45" s="91"/>
      <c r="DC45" s="92"/>
      <c r="DD45" s="92"/>
      <c r="DE45" s="92"/>
      <c r="DF45" s="92"/>
      <c r="DG45" s="92"/>
      <c r="DH45" s="92"/>
      <c r="DI45" s="93">
        <f t="shared" si="24"/>
        <v>0</v>
      </c>
      <c r="DJ45" s="90"/>
      <c r="DK45" s="91"/>
      <c r="DL45" s="92"/>
      <c r="DM45" s="92"/>
      <c r="DN45" s="92"/>
      <c r="DO45" s="92"/>
      <c r="DP45" s="92"/>
      <c r="DQ45" s="92"/>
      <c r="DR45" s="93">
        <f t="shared" si="25"/>
        <v>0</v>
      </c>
      <c r="DS45" s="90"/>
      <c r="DT45" s="91"/>
      <c r="DU45" s="92"/>
      <c r="DV45" s="92"/>
      <c r="DW45" s="92"/>
      <c r="DX45" s="92"/>
      <c r="DY45" s="92"/>
      <c r="DZ45" s="92"/>
      <c r="EA45" s="93">
        <f t="shared" si="26"/>
        <v>0</v>
      </c>
      <c r="EB45" s="95">
        <f t="shared" si="27"/>
        <v>0</v>
      </c>
      <c r="EC45" s="96">
        <f t="shared" si="28"/>
        <v>0</v>
      </c>
      <c r="ED45" s="97">
        <f t="shared" si="29"/>
        <v>0</v>
      </c>
    </row>
    <row r="46" spans="1:134" s="6" customFormat="1" ht="21.95" customHeight="1" x14ac:dyDescent="0.5">
      <c r="A46" s="83">
        <v>16</v>
      </c>
      <c r="B46" s="98" t="s">
        <v>106</v>
      </c>
      <c r="C46" s="99" t="s">
        <v>107</v>
      </c>
      <c r="D46" s="100" t="s">
        <v>108</v>
      </c>
      <c r="E46" s="100" t="s">
        <v>109</v>
      </c>
      <c r="F46" s="87" t="s">
        <v>56</v>
      </c>
      <c r="G46" s="88" t="s">
        <v>57</v>
      </c>
      <c r="H46" s="89">
        <v>2.1136170679940343E-2</v>
      </c>
      <c r="I46" s="90">
        <f t="shared" si="30"/>
        <v>39013.4279834103</v>
      </c>
      <c r="J46" s="91">
        <f t="shared" si="9"/>
        <v>29455.572104577066</v>
      </c>
      <c r="K46" s="92">
        <v>8580</v>
      </c>
      <c r="L46" s="92">
        <v>6680.4000000000005</v>
      </c>
      <c r="M46" s="92">
        <v>16860</v>
      </c>
      <c r="N46" s="92">
        <v>13178</v>
      </c>
      <c r="O46" s="92">
        <v>24260</v>
      </c>
      <c r="P46" s="92">
        <v>19089.599999999999</v>
      </c>
      <c r="Q46" s="93">
        <f t="shared" si="31"/>
        <v>0.64808111457572704</v>
      </c>
      <c r="R46" s="94">
        <v>39013.427983410336</v>
      </c>
      <c r="S46" s="91">
        <v>29455.578821271662</v>
      </c>
      <c r="T46" s="92">
        <v>8230</v>
      </c>
      <c r="U46" s="92">
        <v>6337.6</v>
      </c>
      <c r="V46" s="92">
        <v>13270</v>
      </c>
      <c r="W46" s="92">
        <v>10329.6</v>
      </c>
      <c r="X46" s="92">
        <v>18740</v>
      </c>
      <c r="Y46" s="92">
        <v>14469.6</v>
      </c>
      <c r="Z46" s="93">
        <f t="shared" si="32"/>
        <v>0.49123461765248433</v>
      </c>
      <c r="AA46" s="94">
        <v>39013.427983410336</v>
      </c>
      <c r="AB46" s="91">
        <v>29455.578821271662</v>
      </c>
      <c r="AC46" s="92">
        <v>8650</v>
      </c>
      <c r="AD46" s="92">
        <v>6659.2000000000007</v>
      </c>
      <c r="AE46" s="92">
        <v>18010</v>
      </c>
      <c r="AF46" s="92">
        <v>13716.800000000001</v>
      </c>
      <c r="AG46" s="92"/>
      <c r="AH46" s="92"/>
      <c r="AI46" s="93">
        <f t="shared" si="33"/>
        <v>0</v>
      </c>
      <c r="AJ46" s="95">
        <f t="shared" si="10"/>
        <v>88366.729747120393</v>
      </c>
      <c r="AK46" s="96">
        <f t="shared" si="34"/>
        <v>33559.199999999997</v>
      </c>
      <c r="AL46" s="97">
        <f t="shared" si="11"/>
        <v>0.37977189034873832</v>
      </c>
      <c r="AN46" s="89">
        <v>2.0988402503836996E-2</v>
      </c>
      <c r="AO46" s="90"/>
      <c r="AP46" s="91"/>
      <c r="AQ46" s="92"/>
      <c r="AR46" s="92"/>
      <c r="AS46" s="92"/>
      <c r="AT46" s="92"/>
      <c r="AU46" s="92"/>
      <c r="AV46" s="92"/>
      <c r="AW46" s="93">
        <f t="shared" si="12"/>
        <v>0</v>
      </c>
      <c r="AX46" s="90"/>
      <c r="AY46" s="91"/>
      <c r="AZ46" s="92"/>
      <c r="BA46" s="92"/>
      <c r="BB46" s="92"/>
      <c r="BC46" s="92"/>
      <c r="BD46" s="92"/>
      <c r="BE46" s="92"/>
      <c r="BF46" s="93">
        <f t="shared" si="13"/>
        <v>0</v>
      </c>
      <c r="BG46" s="90"/>
      <c r="BH46" s="91"/>
      <c r="BI46" s="92"/>
      <c r="BJ46" s="92"/>
      <c r="BK46" s="92"/>
      <c r="BL46" s="92"/>
      <c r="BM46" s="92"/>
      <c r="BN46" s="92"/>
      <c r="BO46" s="93">
        <f t="shared" si="14"/>
        <v>0</v>
      </c>
      <c r="BP46" s="95">
        <f t="shared" si="15"/>
        <v>0</v>
      </c>
      <c r="BQ46" s="96">
        <f t="shared" si="16"/>
        <v>0</v>
      </c>
      <c r="BR46" s="97">
        <f t="shared" si="17"/>
        <v>0</v>
      </c>
      <c r="BT46" s="89"/>
      <c r="BU46" s="90"/>
      <c r="BV46" s="91"/>
      <c r="BW46" s="92"/>
      <c r="BX46" s="92"/>
      <c r="BY46" s="92"/>
      <c r="BZ46" s="92"/>
      <c r="CA46" s="92"/>
      <c r="CB46" s="92"/>
      <c r="CC46" s="93">
        <f t="shared" si="18"/>
        <v>0</v>
      </c>
      <c r="CD46" s="90"/>
      <c r="CE46" s="91"/>
      <c r="CF46" s="92"/>
      <c r="CG46" s="92"/>
      <c r="CH46" s="92"/>
      <c r="CI46" s="92"/>
      <c r="CJ46" s="92"/>
      <c r="CK46" s="92"/>
      <c r="CL46" s="93">
        <f t="shared" si="19"/>
        <v>0</v>
      </c>
      <c r="CM46" s="90"/>
      <c r="CN46" s="91"/>
      <c r="CO46" s="92"/>
      <c r="CP46" s="92"/>
      <c r="CQ46" s="92"/>
      <c r="CR46" s="92"/>
      <c r="CS46" s="92"/>
      <c r="CT46" s="92"/>
      <c r="CU46" s="93">
        <f t="shared" si="20"/>
        <v>0</v>
      </c>
      <c r="CV46" s="95">
        <f t="shared" si="21"/>
        <v>0</v>
      </c>
      <c r="CW46" s="96">
        <f t="shared" si="22"/>
        <v>0</v>
      </c>
      <c r="CX46" s="97">
        <f t="shared" si="23"/>
        <v>0</v>
      </c>
      <c r="CZ46" s="89"/>
      <c r="DA46" s="90"/>
      <c r="DB46" s="91"/>
      <c r="DC46" s="92"/>
      <c r="DD46" s="92"/>
      <c r="DE46" s="92"/>
      <c r="DF46" s="92"/>
      <c r="DG46" s="92"/>
      <c r="DH46" s="92"/>
      <c r="DI46" s="93">
        <f t="shared" si="24"/>
        <v>0</v>
      </c>
      <c r="DJ46" s="90"/>
      <c r="DK46" s="91"/>
      <c r="DL46" s="92"/>
      <c r="DM46" s="92"/>
      <c r="DN46" s="92"/>
      <c r="DO46" s="92"/>
      <c r="DP46" s="92"/>
      <c r="DQ46" s="92"/>
      <c r="DR46" s="93">
        <f t="shared" si="25"/>
        <v>0</v>
      </c>
      <c r="DS46" s="90"/>
      <c r="DT46" s="91"/>
      <c r="DU46" s="92"/>
      <c r="DV46" s="92"/>
      <c r="DW46" s="92"/>
      <c r="DX46" s="92"/>
      <c r="DY46" s="92"/>
      <c r="DZ46" s="92"/>
      <c r="EA46" s="93">
        <f t="shared" si="26"/>
        <v>0</v>
      </c>
      <c r="EB46" s="95">
        <f t="shared" si="27"/>
        <v>0</v>
      </c>
      <c r="EC46" s="96">
        <f t="shared" si="28"/>
        <v>0</v>
      </c>
      <c r="ED46" s="97">
        <f t="shared" si="29"/>
        <v>0</v>
      </c>
    </row>
    <row r="47" spans="1:134" s="6" customFormat="1" ht="21.95" customHeight="1" x14ac:dyDescent="0.5">
      <c r="A47" s="83">
        <v>17</v>
      </c>
      <c r="B47" s="98" t="s">
        <v>110</v>
      </c>
      <c r="C47" s="99" t="s">
        <v>111</v>
      </c>
      <c r="D47" s="100" t="s">
        <v>70</v>
      </c>
      <c r="E47" s="100" t="s">
        <v>71</v>
      </c>
      <c r="F47" s="87" t="s">
        <v>56</v>
      </c>
      <c r="G47" s="88" t="s">
        <v>57</v>
      </c>
      <c r="H47" s="89">
        <v>1.9539310888210485E-2</v>
      </c>
      <c r="I47" s="90">
        <f t="shared" si="30"/>
        <v>36065.922712581734</v>
      </c>
      <c r="J47" s="91">
        <f t="shared" si="9"/>
        <v>27230.172837677717</v>
      </c>
      <c r="K47" s="92">
        <v>9040</v>
      </c>
      <c r="L47" s="92">
        <v>6693.6</v>
      </c>
      <c r="M47" s="92">
        <v>19220</v>
      </c>
      <c r="N47" s="92">
        <v>14201.2</v>
      </c>
      <c r="O47" s="92">
        <v>32800</v>
      </c>
      <c r="P47" s="92">
        <v>23773.200000000001</v>
      </c>
      <c r="Q47" s="93">
        <f t="shared" si="31"/>
        <v>0.87304623961496164</v>
      </c>
      <c r="R47" s="94">
        <v>36065.922712581771</v>
      </c>
      <c r="S47" s="91">
        <v>27230.179046919013</v>
      </c>
      <c r="T47" s="92">
        <v>11130</v>
      </c>
      <c r="U47" s="92">
        <v>8232</v>
      </c>
      <c r="V47" s="92">
        <v>23090</v>
      </c>
      <c r="W47" s="92">
        <v>16853.2</v>
      </c>
      <c r="X47" s="92">
        <v>31590</v>
      </c>
      <c r="Y47" s="92">
        <v>23047.600000000002</v>
      </c>
      <c r="Z47" s="93">
        <f t="shared" si="32"/>
        <v>0.84639913532290001</v>
      </c>
      <c r="AA47" s="94">
        <v>36065.922712581771</v>
      </c>
      <c r="AB47" s="91">
        <v>27230.179046919013</v>
      </c>
      <c r="AC47" s="92">
        <v>14170</v>
      </c>
      <c r="AD47" s="92">
        <v>9771.6</v>
      </c>
      <c r="AE47" s="92">
        <v>27700</v>
      </c>
      <c r="AF47" s="92">
        <v>19571.599999999999</v>
      </c>
      <c r="AG47" s="92"/>
      <c r="AH47" s="92"/>
      <c r="AI47" s="93">
        <f t="shared" si="33"/>
        <v>0</v>
      </c>
      <c r="AJ47" s="95">
        <f t="shared" si="10"/>
        <v>81690.53093151575</v>
      </c>
      <c r="AK47" s="96">
        <f t="shared" si="34"/>
        <v>46820.800000000003</v>
      </c>
      <c r="AL47" s="97">
        <f t="shared" si="11"/>
        <v>0.57314843551759564</v>
      </c>
      <c r="AN47" s="89">
        <v>1.9220904833352388E-2</v>
      </c>
      <c r="AO47" s="90"/>
      <c r="AP47" s="91"/>
      <c r="AQ47" s="92"/>
      <c r="AR47" s="92"/>
      <c r="AS47" s="92"/>
      <c r="AT47" s="92"/>
      <c r="AU47" s="92"/>
      <c r="AV47" s="92"/>
      <c r="AW47" s="93">
        <f t="shared" si="12"/>
        <v>0</v>
      </c>
      <c r="AX47" s="90"/>
      <c r="AY47" s="91"/>
      <c r="AZ47" s="92"/>
      <c r="BA47" s="92"/>
      <c r="BB47" s="92"/>
      <c r="BC47" s="92"/>
      <c r="BD47" s="92"/>
      <c r="BE47" s="92"/>
      <c r="BF47" s="93">
        <f t="shared" si="13"/>
        <v>0</v>
      </c>
      <c r="BG47" s="90"/>
      <c r="BH47" s="91"/>
      <c r="BI47" s="92"/>
      <c r="BJ47" s="92"/>
      <c r="BK47" s="92"/>
      <c r="BL47" s="92"/>
      <c r="BM47" s="92"/>
      <c r="BN47" s="92"/>
      <c r="BO47" s="93">
        <f t="shared" si="14"/>
        <v>0</v>
      </c>
      <c r="BP47" s="95">
        <f t="shared" si="15"/>
        <v>0</v>
      </c>
      <c r="BQ47" s="96">
        <f t="shared" si="16"/>
        <v>0</v>
      </c>
      <c r="BR47" s="97">
        <f t="shared" si="17"/>
        <v>0</v>
      </c>
      <c r="BT47" s="89"/>
      <c r="BU47" s="90"/>
      <c r="BV47" s="91"/>
      <c r="BW47" s="92"/>
      <c r="BX47" s="92"/>
      <c r="BY47" s="92"/>
      <c r="BZ47" s="92"/>
      <c r="CA47" s="92"/>
      <c r="CB47" s="92"/>
      <c r="CC47" s="93">
        <f t="shared" si="18"/>
        <v>0</v>
      </c>
      <c r="CD47" s="90"/>
      <c r="CE47" s="91"/>
      <c r="CF47" s="92"/>
      <c r="CG47" s="92"/>
      <c r="CH47" s="92"/>
      <c r="CI47" s="92"/>
      <c r="CJ47" s="92"/>
      <c r="CK47" s="92"/>
      <c r="CL47" s="93">
        <f t="shared" si="19"/>
        <v>0</v>
      </c>
      <c r="CM47" s="90"/>
      <c r="CN47" s="91"/>
      <c r="CO47" s="92"/>
      <c r="CP47" s="92"/>
      <c r="CQ47" s="92"/>
      <c r="CR47" s="92"/>
      <c r="CS47" s="92"/>
      <c r="CT47" s="92"/>
      <c r="CU47" s="93">
        <f t="shared" si="20"/>
        <v>0</v>
      </c>
      <c r="CV47" s="95">
        <f t="shared" si="21"/>
        <v>0</v>
      </c>
      <c r="CW47" s="96">
        <f t="shared" si="22"/>
        <v>0</v>
      </c>
      <c r="CX47" s="97">
        <f t="shared" si="23"/>
        <v>0</v>
      </c>
      <c r="CZ47" s="89"/>
      <c r="DA47" s="90"/>
      <c r="DB47" s="91"/>
      <c r="DC47" s="92"/>
      <c r="DD47" s="92"/>
      <c r="DE47" s="92"/>
      <c r="DF47" s="92"/>
      <c r="DG47" s="92"/>
      <c r="DH47" s="92"/>
      <c r="DI47" s="93">
        <f t="shared" si="24"/>
        <v>0</v>
      </c>
      <c r="DJ47" s="90"/>
      <c r="DK47" s="91"/>
      <c r="DL47" s="92"/>
      <c r="DM47" s="92"/>
      <c r="DN47" s="92"/>
      <c r="DO47" s="92"/>
      <c r="DP47" s="92"/>
      <c r="DQ47" s="92"/>
      <c r="DR47" s="93">
        <f t="shared" si="25"/>
        <v>0</v>
      </c>
      <c r="DS47" s="90"/>
      <c r="DT47" s="91"/>
      <c r="DU47" s="92"/>
      <c r="DV47" s="92"/>
      <c r="DW47" s="92"/>
      <c r="DX47" s="92"/>
      <c r="DY47" s="92"/>
      <c r="DZ47" s="92"/>
      <c r="EA47" s="93">
        <f t="shared" si="26"/>
        <v>0</v>
      </c>
      <c r="EB47" s="95">
        <f t="shared" si="27"/>
        <v>0</v>
      </c>
      <c r="EC47" s="96">
        <f t="shared" si="28"/>
        <v>0</v>
      </c>
      <c r="ED47" s="97">
        <f t="shared" si="29"/>
        <v>0</v>
      </c>
    </row>
    <row r="48" spans="1:134" s="6" customFormat="1" ht="21.95" customHeight="1" x14ac:dyDescent="0.5">
      <c r="A48" s="83">
        <v>18</v>
      </c>
      <c r="B48" s="101" t="s">
        <v>112</v>
      </c>
      <c r="C48" s="100" t="s">
        <v>113</v>
      </c>
      <c r="D48" s="100" t="s">
        <v>86</v>
      </c>
      <c r="E48" s="100" t="s">
        <v>87</v>
      </c>
      <c r="F48" s="87" t="s">
        <v>56</v>
      </c>
      <c r="G48" s="88" t="s">
        <v>57</v>
      </c>
      <c r="H48" s="89">
        <v>2.1732237229299119E-2</v>
      </c>
      <c r="I48" s="90">
        <f t="shared" si="30"/>
        <v>40113.65563338848</v>
      </c>
      <c r="J48" s="91">
        <f t="shared" si="9"/>
        <v>30286.256219009731</v>
      </c>
      <c r="K48" s="92">
        <v>12080</v>
      </c>
      <c r="L48" s="92">
        <v>8391.2000000000007</v>
      </c>
      <c r="M48" s="92">
        <v>25540</v>
      </c>
      <c r="N48" s="92">
        <v>18792</v>
      </c>
      <c r="O48" s="92">
        <v>36480</v>
      </c>
      <c r="P48" s="92">
        <v>26369.600000000002</v>
      </c>
      <c r="Q48" s="93">
        <f t="shared" si="31"/>
        <v>0.87067875967610131</v>
      </c>
      <c r="R48" s="94">
        <v>40113.655633388516</v>
      </c>
      <c r="S48" s="91">
        <v>30286.263125123547</v>
      </c>
      <c r="T48" s="92">
        <v>10680</v>
      </c>
      <c r="U48" s="92">
        <v>8180</v>
      </c>
      <c r="V48" s="92">
        <v>26920</v>
      </c>
      <c r="W48" s="92">
        <v>19670.400000000001</v>
      </c>
      <c r="X48" s="92">
        <v>37320</v>
      </c>
      <c r="Y48" s="92">
        <v>27026.400000000001</v>
      </c>
      <c r="Z48" s="93">
        <f t="shared" si="32"/>
        <v>0.89236496058771375</v>
      </c>
      <c r="AA48" s="94">
        <v>40113.655633388516</v>
      </c>
      <c r="AB48" s="91">
        <v>30286.263125123547</v>
      </c>
      <c r="AC48" s="92">
        <v>12300</v>
      </c>
      <c r="AD48" s="92">
        <v>9442.4</v>
      </c>
      <c r="AE48" s="92">
        <v>24480</v>
      </c>
      <c r="AF48" s="92">
        <v>18000</v>
      </c>
      <c r="AG48" s="92"/>
      <c r="AH48" s="92"/>
      <c r="AI48" s="93">
        <f t="shared" si="33"/>
        <v>0</v>
      </c>
      <c r="AJ48" s="95">
        <f t="shared" si="10"/>
        <v>90858.782469256825</v>
      </c>
      <c r="AK48" s="96">
        <f t="shared" si="34"/>
        <v>53396</v>
      </c>
      <c r="AL48" s="97">
        <f t="shared" si="11"/>
        <v>0.58768121857749067</v>
      </c>
      <c r="AN48" s="89">
        <v>1.9587152204111075E-2</v>
      </c>
      <c r="AO48" s="90"/>
      <c r="AP48" s="91"/>
      <c r="AQ48" s="92"/>
      <c r="AR48" s="92"/>
      <c r="AS48" s="92"/>
      <c r="AT48" s="92"/>
      <c r="AU48" s="92"/>
      <c r="AV48" s="92"/>
      <c r="AW48" s="93">
        <f t="shared" si="12"/>
        <v>0</v>
      </c>
      <c r="AX48" s="90"/>
      <c r="AY48" s="91"/>
      <c r="AZ48" s="92"/>
      <c r="BA48" s="92"/>
      <c r="BB48" s="92"/>
      <c r="BC48" s="92"/>
      <c r="BD48" s="92"/>
      <c r="BE48" s="92"/>
      <c r="BF48" s="93">
        <f t="shared" si="13"/>
        <v>0</v>
      </c>
      <c r="BG48" s="90"/>
      <c r="BH48" s="91"/>
      <c r="BI48" s="92"/>
      <c r="BJ48" s="92"/>
      <c r="BK48" s="92"/>
      <c r="BL48" s="92"/>
      <c r="BM48" s="92"/>
      <c r="BN48" s="92"/>
      <c r="BO48" s="93">
        <f t="shared" si="14"/>
        <v>0</v>
      </c>
      <c r="BP48" s="95">
        <f t="shared" si="15"/>
        <v>0</v>
      </c>
      <c r="BQ48" s="96">
        <f t="shared" si="16"/>
        <v>0</v>
      </c>
      <c r="BR48" s="97">
        <f t="shared" si="17"/>
        <v>0</v>
      </c>
      <c r="BT48" s="89"/>
      <c r="BU48" s="90"/>
      <c r="BV48" s="91"/>
      <c r="BW48" s="92"/>
      <c r="BX48" s="92"/>
      <c r="BY48" s="92"/>
      <c r="BZ48" s="92"/>
      <c r="CA48" s="92"/>
      <c r="CB48" s="92"/>
      <c r="CC48" s="93">
        <f t="shared" si="18"/>
        <v>0</v>
      </c>
      <c r="CD48" s="90"/>
      <c r="CE48" s="91"/>
      <c r="CF48" s="92"/>
      <c r="CG48" s="92"/>
      <c r="CH48" s="92"/>
      <c r="CI48" s="92"/>
      <c r="CJ48" s="92"/>
      <c r="CK48" s="92"/>
      <c r="CL48" s="93">
        <f t="shared" si="19"/>
        <v>0</v>
      </c>
      <c r="CM48" s="90"/>
      <c r="CN48" s="91"/>
      <c r="CO48" s="92"/>
      <c r="CP48" s="92"/>
      <c r="CQ48" s="92"/>
      <c r="CR48" s="92"/>
      <c r="CS48" s="92"/>
      <c r="CT48" s="92"/>
      <c r="CU48" s="93">
        <f t="shared" si="20"/>
        <v>0</v>
      </c>
      <c r="CV48" s="95">
        <f t="shared" si="21"/>
        <v>0</v>
      </c>
      <c r="CW48" s="96">
        <f t="shared" si="22"/>
        <v>0</v>
      </c>
      <c r="CX48" s="97">
        <f t="shared" si="23"/>
        <v>0</v>
      </c>
      <c r="CZ48" s="89"/>
      <c r="DA48" s="90"/>
      <c r="DB48" s="91"/>
      <c r="DC48" s="92"/>
      <c r="DD48" s="92"/>
      <c r="DE48" s="92"/>
      <c r="DF48" s="92"/>
      <c r="DG48" s="92"/>
      <c r="DH48" s="92"/>
      <c r="DI48" s="93">
        <f t="shared" si="24"/>
        <v>0</v>
      </c>
      <c r="DJ48" s="90"/>
      <c r="DK48" s="91"/>
      <c r="DL48" s="92"/>
      <c r="DM48" s="92"/>
      <c r="DN48" s="92"/>
      <c r="DO48" s="92"/>
      <c r="DP48" s="92"/>
      <c r="DQ48" s="92"/>
      <c r="DR48" s="93">
        <f t="shared" si="25"/>
        <v>0</v>
      </c>
      <c r="DS48" s="90"/>
      <c r="DT48" s="91"/>
      <c r="DU48" s="92"/>
      <c r="DV48" s="92"/>
      <c r="DW48" s="92"/>
      <c r="DX48" s="92"/>
      <c r="DY48" s="92"/>
      <c r="DZ48" s="92"/>
      <c r="EA48" s="93">
        <f t="shared" si="26"/>
        <v>0</v>
      </c>
      <c r="EB48" s="95">
        <f t="shared" si="27"/>
        <v>0</v>
      </c>
      <c r="EC48" s="96">
        <f t="shared" si="28"/>
        <v>0</v>
      </c>
      <c r="ED48" s="97">
        <f t="shared" si="29"/>
        <v>0</v>
      </c>
    </row>
    <row r="49" spans="1:134" s="6" customFormat="1" ht="21.95" customHeight="1" x14ac:dyDescent="0.5">
      <c r="A49" s="83">
        <v>19</v>
      </c>
      <c r="B49" s="98" t="s">
        <v>114</v>
      </c>
      <c r="C49" s="99" t="s">
        <v>115</v>
      </c>
      <c r="D49" s="100" t="s">
        <v>116</v>
      </c>
      <c r="E49" s="100" t="s">
        <v>117</v>
      </c>
      <c r="F49" s="87" t="s">
        <v>56</v>
      </c>
      <c r="G49" s="88" t="s">
        <v>57</v>
      </c>
      <c r="H49" s="89">
        <v>2.2420581863705068E-2</v>
      </c>
      <c r="I49" s="90">
        <f t="shared" si="30"/>
        <v>41384.211413279598</v>
      </c>
      <c r="J49" s="91">
        <f t="shared" si="9"/>
        <v>31245.539966220669</v>
      </c>
      <c r="K49" s="92">
        <v>14820</v>
      </c>
      <c r="L49" s="92">
        <v>10983.2</v>
      </c>
      <c r="M49" s="92">
        <v>26080</v>
      </c>
      <c r="N49" s="92">
        <v>18741.599999999999</v>
      </c>
      <c r="O49" s="92">
        <v>41020</v>
      </c>
      <c r="P49" s="92">
        <v>30170.399999999998</v>
      </c>
      <c r="Q49" s="93">
        <f t="shared" si="31"/>
        <v>0.96559061013562264</v>
      </c>
      <c r="R49" s="94">
        <v>41384.211413279634</v>
      </c>
      <c r="S49" s="91">
        <v>31245.54709107802</v>
      </c>
      <c r="T49" s="92">
        <v>13820</v>
      </c>
      <c r="U49" s="92">
        <v>10154.4</v>
      </c>
      <c r="V49" s="92">
        <v>24560</v>
      </c>
      <c r="W49" s="92">
        <v>17589.599999999999</v>
      </c>
      <c r="X49" s="92">
        <v>34500</v>
      </c>
      <c r="Y49" s="92">
        <v>25191.199999999997</v>
      </c>
      <c r="Z49" s="93">
        <f t="shared" si="32"/>
        <v>0.80623328266808281</v>
      </c>
      <c r="AA49" s="94">
        <v>41384.211413279634</v>
      </c>
      <c r="AB49" s="91">
        <v>31245.54709107802</v>
      </c>
      <c r="AC49" s="92">
        <v>23880</v>
      </c>
      <c r="AD49" s="92">
        <v>18976.800000000003</v>
      </c>
      <c r="AE49" s="92">
        <v>41880</v>
      </c>
      <c r="AF49" s="92">
        <v>30813.600000000002</v>
      </c>
      <c r="AG49" s="92"/>
      <c r="AH49" s="92"/>
      <c r="AI49" s="93">
        <f t="shared" si="33"/>
        <v>0</v>
      </c>
      <c r="AJ49" s="95">
        <f t="shared" si="10"/>
        <v>93736.634148376703</v>
      </c>
      <c r="AK49" s="96">
        <f t="shared" si="34"/>
        <v>55361.599999999991</v>
      </c>
      <c r="AL49" s="97">
        <f t="shared" si="11"/>
        <v>0.59060793576572779</v>
      </c>
      <c r="AN49" s="89">
        <v>1.6187729094306675E-2</v>
      </c>
      <c r="AO49" s="90"/>
      <c r="AP49" s="91"/>
      <c r="AQ49" s="92"/>
      <c r="AR49" s="92"/>
      <c r="AS49" s="92"/>
      <c r="AT49" s="92"/>
      <c r="AU49" s="92"/>
      <c r="AV49" s="92"/>
      <c r="AW49" s="93">
        <f t="shared" si="12"/>
        <v>0</v>
      </c>
      <c r="AX49" s="90"/>
      <c r="AY49" s="91"/>
      <c r="AZ49" s="92"/>
      <c r="BA49" s="92"/>
      <c r="BB49" s="92"/>
      <c r="BC49" s="92"/>
      <c r="BD49" s="92"/>
      <c r="BE49" s="92"/>
      <c r="BF49" s="93">
        <f t="shared" si="13"/>
        <v>0</v>
      </c>
      <c r="BG49" s="90"/>
      <c r="BH49" s="91"/>
      <c r="BI49" s="92"/>
      <c r="BJ49" s="92"/>
      <c r="BK49" s="92"/>
      <c r="BL49" s="92"/>
      <c r="BM49" s="92"/>
      <c r="BN49" s="92"/>
      <c r="BO49" s="93">
        <f t="shared" si="14"/>
        <v>0</v>
      </c>
      <c r="BP49" s="95">
        <f t="shared" si="15"/>
        <v>0</v>
      </c>
      <c r="BQ49" s="96">
        <f t="shared" si="16"/>
        <v>0</v>
      </c>
      <c r="BR49" s="97">
        <f t="shared" si="17"/>
        <v>0</v>
      </c>
      <c r="BT49" s="89"/>
      <c r="BU49" s="90"/>
      <c r="BV49" s="91"/>
      <c r="BW49" s="92"/>
      <c r="BX49" s="92"/>
      <c r="BY49" s="92"/>
      <c r="BZ49" s="92"/>
      <c r="CA49" s="92"/>
      <c r="CB49" s="92"/>
      <c r="CC49" s="93">
        <f t="shared" si="18"/>
        <v>0</v>
      </c>
      <c r="CD49" s="90"/>
      <c r="CE49" s="91"/>
      <c r="CF49" s="92"/>
      <c r="CG49" s="92"/>
      <c r="CH49" s="92"/>
      <c r="CI49" s="92"/>
      <c r="CJ49" s="92"/>
      <c r="CK49" s="92"/>
      <c r="CL49" s="93">
        <f t="shared" si="19"/>
        <v>0</v>
      </c>
      <c r="CM49" s="90"/>
      <c r="CN49" s="91"/>
      <c r="CO49" s="92"/>
      <c r="CP49" s="92"/>
      <c r="CQ49" s="92"/>
      <c r="CR49" s="92"/>
      <c r="CS49" s="92"/>
      <c r="CT49" s="92"/>
      <c r="CU49" s="93">
        <f t="shared" si="20"/>
        <v>0</v>
      </c>
      <c r="CV49" s="95">
        <f t="shared" si="21"/>
        <v>0</v>
      </c>
      <c r="CW49" s="96">
        <f t="shared" si="22"/>
        <v>0</v>
      </c>
      <c r="CX49" s="97">
        <f t="shared" si="23"/>
        <v>0</v>
      </c>
      <c r="CZ49" s="89"/>
      <c r="DA49" s="90"/>
      <c r="DB49" s="91"/>
      <c r="DC49" s="92"/>
      <c r="DD49" s="92"/>
      <c r="DE49" s="92"/>
      <c r="DF49" s="92"/>
      <c r="DG49" s="92"/>
      <c r="DH49" s="92"/>
      <c r="DI49" s="93">
        <f t="shared" si="24"/>
        <v>0</v>
      </c>
      <c r="DJ49" s="90"/>
      <c r="DK49" s="91"/>
      <c r="DL49" s="92"/>
      <c r="DM49" s="92"/>
      <c r="DN49" s="92"/>
      <c r="DO49" s="92"/>
      <c r="DP49" s="92"/>
      <c r="DQ49" s="92"/>
      <c r="DR49" s="93">
        <f t="shared" si="25"/>
        <v>0</v>
      </c>
      <c r="DS49" s="90"/>
      <c r="DT49" s="91"/>
      <c r="DU49" s="92"/>
      <c r="DV49" s="92"/>
      <c r="DW49" s="92"/>
      <c r="DX49" s="92"/>
      <c r="DY49" s="92"/>
      <c r="DZ49" s="92"/>
      <c r="EA49" s="93">
        <f t="shared" si="26"/>
        <v>0</v>
      </c>
      <c r="EB49" s="95">
        <f t="shared" si="27"/>
        <v>0</v>
      </c>
      <c r="EC49" s="96">
        <f t="shared" si="28"/>
        <v>0</v>
      </c>
      <c r="ED49" s="97">
        <f t="shared" si="29"/>
        <v>0</v>
      </c>
    </row>
    <row r="50" spans="1:134" s="6" customFormat="1" ht="21.95" customHeight="1" x14ac:dyDescent="0.5">
      <c r="A50" s="83">
        <v>20</v>
      </c>
      <c r="B50" s="98" t="s">
        <v>118</v>
      </c>
      <c r="C50" s="99" t="s">
        <v>119</v>
      </c>
      <c r="D50" s="100" t="s">
        <v>54</v>
      </c>
      <c r="E50" s="100" t="s">
        <v>120</v>
      </c>
      <c r="F50" s="87" t="s">
        <v>56</v>
      </c>
      <c r="G50" s="88" t="s">
        <v>57</v>
      </c>
      <c r="H50" s="89">
        <v>1.8186264761189053E-2</v>
      </c>
      <c r="I50" s="90">
        <f t="shared" si="30"/>
        <v>33568.451981760976</v>
      </c>
      <c r="J50" s="91">
        <f t="shared" si="9"/>
        <v>25344.554654573087</v>
      </c>
      <c r="K50" s="92">
        <v>19500</v>
      </c>
      <c r="L50" s="92">
        <v>13306</v>
      </c>
      <c r="M50" s="92">
        <v>27966</v>
      </c>
      <c r="N50" s="92">
        <v>19329.84</v>
      </c>
      <c r="O50" s="92">
        <v>37126</v>
      </c>
      <c r="P50" s="92">
        <v>25681.84</v>
      </c>
      <c r="Q50" s="93">
        <f t="shared" si="31"/>
        <v>1.0133080004767832</v>
      </c>
      <c r="R50" s="94">
        <v>33568.451981761005</v>
      </c>
      <c r="S50" s="91">
        <v>25344.560433840677</v>
      </c>
      <c r="T50" s="92">
        <v>17000</v>
      </c>
      <c r="U50" s="92">
        <v>12148.8</v>
      </c>
      <c r="V50" s="92">
        <v>24480</v>
      </c>
      <c r="W50" s="92">
        <v>17760</v>
      </c>
      <c r="X50" s="92">
        <v>32740</v>
      </c>
      <c r="Y50" s="92">
        <v>24064.799999999999</v>
      </c>
      <c r="Z50" s="93">
        <f t="shared" si="32"/>
        <v>0.94950551866222499</v>
      </c>
      <c r="AA50" s="94">
        <v>33568.451981761005</v>
      </c>
      <c r="AB50" s="91">
        <v>25344.560433840677</v>
      </c>
      <c r="AC50" s="92">
        <v>9580</v>
      </c>
      <c r="AD50" s="92">
        <v>6577.2</v>
      </c>
      <c r="AE50" s="92">
        <v>19170</v>
      </c>
      <c r="AF50" s="92">
        <v>12904.800000000001</v>
      </c>
      <c r="AG50" s="92"/>
      <c r="AH50" s="92"/>
      <c r="AI50" s="93">
        <f t="shared" si="33"/>
        <v>0</v>
      </c>
      <c r="AJ50" s="95">
        <f t="shared" si="10"/>
        <v>76033.675522254431</v>
      </c>
      <c r="AK50" s="96">
        <f t="shared" si="34"/>
        <v>49746.64</v>
      </c>
      <c r="AL50" s="97">
        <f t="shared" si="11"/>
        <v>0.65427114575619283</v>
      </c>
      <c r="AN50" s="89">
        <v>1.2363378095776723E-2</v>
      </c>
      <c r="AO50" s="90"/>
      <c r="AP50" s="91"/>
      <c r="AQ50" s="92"/>
      <c r="AR50" s="92"/>
      <c r="AS50" s="92"/>
      <c r="AT50" s="92"/>
      <c r="AU50" s="92"/>
      <c r="AV50" s="92"/>
      <c r="AW50" s="93">
        <f t="shared" si="12"/>
        <v>0</v>
      </c>
      <c r="AX50" s="90"/>
      <c r="AY50" s="91"/>
      <c r="AZ50" s="92"/>
      <c r="BA50" s="92"/>
      <c r="BB50" s="92"/>
      <c r="BC50" s="92"/>
      <c r="BD50" s="92"/>
      <c r="BE50" s="92"/>
      <c r="BF50" s="93">
        <f t="shared" si="13"/>
        <v>0</v>
      </c>
      <c r="BG50" s="90"/>
      <c r="BH50" s="91"/>
      <c r="BI50" s="92"/>
      <c r="BJ50" s="92"/>
      <c r="BK50" s="92"/>
      <c r="BL50" s="92"/>
      <c r="BM50" s="92"/>
      <c r="BN50" s="92"/>
      <c r="BO50" s="93">
        <f t="shared" si="14"/>
        <v>0</v>
      </c>
      <c r="BP50" s="95">
        <f t="shared" si="15"/>
        <v>0</v>
      </c>
      <c r="BQ50" s="96">
        <f t="shared" si="16"/>
        <v>0</v>
      </c>
      <c r="BR50" s="97">
        <f t="shared" si="17"/>
        <v>0</v>
      </c>
      <c r="BT50" s="89"/>
      <c r="BU50" s="90"/>
      <c r="BV50" s="91"/>
      <c r="BW50" s="92"/>
      <c r="BX50" s="92"/>
      <c r="BY50" s="92"/>
      <c r="BZ50" s="92"/>
      <c r="CA50" s="92"/>
      <c r="CB50" s="92"/>
      <c r="CC50" s="93">
        <f t="shared" si="18"/>
        <v>0</v>
      </c>
      <c r="CD50" s="90"/>
      <c r="CE50" s="91"/>
      <c r="CF50" s="92"/>
      <c r="CG50" s="92"/>
      <c r="CH50" s="92"/>
      <c r="CI50" s="92"/>
      <c r="CJ50" s="92"/>
      <c r="CK50" s="92"/>
      <c r="CL50" s="93">
        <f t="shared" si="19"/>
        <v>0</v>
      </c>
      <c r="CM50" s="90"/>
      <c r="CN50" s="91"/>
      <c r="CO50" s="92"/>
      <c r="CP50" s="92"/>
      <c r="CQ50" s="92"/>
      <c r="CR50" s="92"/>
      <c r="CS50" s="92"/>
      <c r="CT50" s="92"/>
      <c r="CU50" s="93">
        <f t="shared" si="20"/>
        <v>0</v>
      </c>
      <c r="CV50" s="95">
        <f t="shared" si="21"/>
        <v>0</v>
      </c>
      <c r="CW50" s="96">
        <f t="shared" si="22"/>
        <v>0</v>
      </c>
      <c r="CX50" s="97">
        <f t="shared" si="23"/>
        <v>0</v>
      </c>
      <c r="CZ50" s="89"/>
      <c r="DA50" s="90"/>
      <c r="DB50" s="91"/>
      <c r="DC50" s="92"/>
      <c r="DD50" s="92"/>
      <c r="DE50" s="92"/>
      <c r="DF50" s="92"/>
      <c r="DG50" s="92"/>
      <c r="DH50" s="92"/>
      <c r="DI50" s="93">
        <f t="shared" si="24"/>
        <v>0</v>
      </c>
      <c r="DJ50" s="90"/>
      <c r="DK50" s="91"/>
      <c r="DL50" s="92"/>
      <c r="DM50" s="92"/>
      <c r="DN50" s="92"/>
      <c r="DO50" s="92"/>
      <c r="DP50" s="92"/>
      <c r="DQ50" s="92"/>
      <c r="DR50" s="93">
        <f t="shared" si="25"/>
        <v>0</v>
      </c>
      <c r="DS50" s="90"/>
      <c r="DT50" s="91"/>
      <c r="DU50" s="92"/>
      <c r="DV50" s="92"/>
      <c r="DW50" s="92"/>
      <c r="DX50" s="92"/>
      <c r="DY50" s="92"/>
      <c r="DZ50" s="92"/>
      <c r="EA50" s="93">
        <f t="shared" si="26"/>
        <v>0</v>
      </c>
      <c r="EB50" s="95">
        <f t="shared" si="27"/>
        <v>0</v>
      </c>
      <c r="EC50" s="96">
        <f t="shared" si="28"/>
        <v>0</v>
      </c>
      <c r="ED50" s="97">
        <f t="shared" si="29"/>
        <v>0</v>
      </c>
    </row>
    <row r="51" spans="1:134" s="6" customFormat="1" ht="21.95" customHeight="1" x14ac:dyDescent="0.5">
      <c r="A51" s="83">
        <v>21</v>
      </c>
      <c r="B51" s="98" t="s">
        <v>121</v>
      </c>
      <c r="C51" s="99" t="s">
        <v>122</v>
      </c>
      <c r="D51" s="100" t="s">
        <v>123</v>
      </c>
      <c r="E51" s="100" t="s">
        <v>124</v>
      </c>
      <c r="F51" s="87" t="s">
        <v>56</v>
      </c>
      <c r="G51" s="88" t="s">
        <v>57</v>
      </c>
      <c r="H51" s="89">
        <v>1.2605685217903725E-2</v>
      </c>
      <c r="I51" s="90">
        <f t="shared" si="30"/>
        <v>23267.743238701685</v>
      </c>
      <c r="J51" s="91">
        <f t="shared" si="9"/>
        <v>17567.404970662948</v>
      </c>
      <c r="K51" s="92">
        <v>5800</v>
      </c>
      <c r="L51" s="92">
        <v>3510</v>
      </c>
      <c r="M51" s="92">
        <v>12720</v>
      </c>
      <c r="N51" s="92">
        <v>8580.8000000000011</v>
      </c>
      <c r="O51" s="92">
        <v>23680</v>
      </c>
      <c r="P51" s="92">
        <v>16088.8</v>
      </c>
      <c r="Q51" s="93">
        <f t="shared" si="31"/>
        <v>0.91583247650223942</v>
      </c>
      <c r="R51" s="94">
        <v>23267.743238701707</v>
      </c>
      <c r="S51" s="91">
        <v>17567.408976522809</v>
      </c>
      <c r="T51" s="92">
        <v>8880</v>
      </c>
      <c r="U51" s="92">
        <v>6754.8</v>
      </c>
      <c r="V51" s="92">
        <v>18260</v>
      </c>
      <c r="W51" s="92">
        <v>13568.8</v>
      </c>
      <c r="X51" s="92">
        <v>24350</v>
      </c>
      <c r="Y51" s="92">
        <v>18270</v>
      </c>
      <c r="Z51" s="93">
        <f t="shared" si="32"/>
        <v>1.0399940039203355</v>
      </c>
      <c r="AA51" s="94">
        <v>23267.743238701707</v>
      </c>
      <c r="AB51" s="91">
        <v>17567.408976522809</v>
      </c>
      <c r="AC51" s="92">
        <v>9310</v>
      </c>
      <c r="AD51" s="92">
        <v>6610.4</v>
      </c>
      <c r="AE51" s="92">
        <v>16760</v>
      </c>
      <c r="AF51" s="92">
        <v>12132.799999999997</v>
      </c>
      <c r="AG51" s="92"/>
      <c r="AH51" s="92"/>
      <c r="AI51" s="93">
        <f t="shared" si="33"/>
        <v>0</v>
      </c>
      <c r="AJ51" s="95">
        <f t="shared" si="10"/>
        <v>52702.22292370857</v>
      </c>
      <c r="AK51" s="96">
        <f t="shared" si="34"/>
        <v>34358.800000000003</v>
      </c>
      <c r="AL51" s="97">
        <f t="shared" si="11"/>
        <v>0.65194214008273621</v>
      </c>
      <c r="AN51" s="89">
        <v>1.5059646723047179E-2</v>
      </c>
      <c r="AO51" s="90"/>
      <c r="AP51" s="91"/>
      <c r="AQ51" s="92"/>
      <c r="AR51" s="92"/>
      <c r="AS51" s="92"/>
      <c r="AT51" s="92"/>
      <c r="AU51" s="92"/>
      <c r="AV51" s="92"/>
      <c r="AW51" s="93">
        <f t="shared" si="12"/>
        <v>0</v>
      </c>
      <c r="AX51" s="90"/>
      <c r="AY51" s="91"/>
      <c r="AZ51" s="92"/>
      <c r="BA51" s="92"/>
      <c r="BB51" s="92"/>
      <c r="BC51" s="92"/>
      <c r="BD51" s="92"/>
      <c r="BE51" s="92"/>
      <c r="BF51" s="93">
        <f t="shared" si="13"/>
        <v>0</v>
      </c>
      <c r="BG51" s="90"/>
      <c r="BH51" s="91"/>
      <c r="BI51" s="92"/>
      <c r="BJ51" s="92"/>
      <c r="BK51" s="92"/>
      <c r="BL51" s="92"/>
      <c r="BM51" s="92"/>
      <c r="BN51" s="92"/>
      <c r="BO51" s="93">
        <f t="shared" si="14"/>
        <v>0</v>
      </c>
      <c r="BP51" s="95">
        <f t="shared" si="15"/>
        <v>0</v>
      </c>
      <c r="BQ51" s="96">
        <f t="shared" si="16"/>
        <v>0</v>
      </c>
      <c r="BR51" s="97">
        <f t="shared" si="17"/>
        <v>0</v>
      </c>
      <c r="BT51" s="89"/>
      <c r="BU51" s="90"/>
      <c r="BV51" s="91"/>
      <c r="BW51" s="92"/>
      <c r="BX51" s="92"/>
      <c r="BY51" s="92"/>
      <c r="BZ51" s="92"/>
      <c r="CA51" s="92"/>
      <c r="CB51" s="92"/>
      <c r="CC51" s="93">
        <f t="shared" si="18"/>
        <v>0</v>
      </c>
      <c r="CD51" s="90"/>
      <c r="CE51" s="91"/>
      <c r="CF51" s="92"/>
      <c r="CG51" s="92"/>
      <c r="CH51" s="92"/>
      <c r="CI51" s="92"/>
      <c r="CJ51" s="92"/>
      <c r="CK51" s="92"/>
      <c r="CL51" s="93">
        <f t="shared" si="19"/>
        <v>0</v>
      </c>
      <c r="CM51" s="90"/>
      <c r="CN51" s="91"/>
      <c r="CO51" s="92"/>
      <c r="CP51" s="92"/>
      <c r="CQ51" s="92"/>
      <c r="CR51" s="92"/>
      <c r="CS51" s="92"/>
      <c r="CT51" s="92"/>
      <c r="CU51" s="93">
        <f t="shared" si="20"/>
        <v>0</v>
      </c>
      <c r="CV51" s="95">
        <f t="shared" si="21"/>
        <v>0</v>
      </c>
      <c r="CW51" s="96">
        <f t="shared" si="22"/>
        <v>0</v>
      </c>
      <c r="CX51" s="97">
        <f t="shared" si="23"/>
        <v>0</v>
      </c>
      <c r="CZ51" s="89"/>
      <c r="DA51" s="90"/>
      <c r="DB51" s="91"/>
      <c r="DC51" s="92"/>
      <c r="DD51" s="92"/>
      <c r="DE51" s="92"/>
      <c r="DF51" s="92"/>
      <c r="DG51" s="92"/>
      <c r="DH51" s="92"/>
      <c r="DI51" s="93">
        <f t="shared" si="24"/>
        <v>0</v>
      </c>
      <c r="DJ51" s="90"/>
      <c r="DK51" s="91"/>
      <c r="DL51" s="92"/>
      <c r="DM51" s="92"/>
      <c r="DN51" s="92"/>
      <c r="DO51" s="92"/>
      <c r="DP51" s="92"/>
      <c r="DQ51" s="92"/>
      <c r="DR51" s="93">
        <f t="shared" si="25"/>
        <v>0</v>
      </c>
      <c r="DS51" s="90"/>
      <c r="DT51" s="91"/>
      <c r="DU51" s="92"/>
      <c r="DV51" s="92"/>
      <c r="DW51" s="92"/>
      <c r="DX51" s="92"/>
      <c r="DY51" s="92"/>
      <c r="DZ51" s="92"/>
      <c r="EA51" s="93">
        <f t="shared" si="26"/>
        <v>0</v>
      </c>
      <c r="EB51" s="95">
        <f t="shared" si="27"/>
        <v>0</v>
      </c>
      <c r="EC51" s="96">
        <f t="shared" si="28"/>
        <v>0</v>
      </c>
      <c r="ED51" s="97">
        <f t="shared" si="29"/>
        <v>0</v>
      </c>
    </row>
    <row r="52" spans="1:134" s="6" customFormat="1" ht="21.95" customHeight="1" x14ac:dyDescent="0.5">
      <c r="A52" s="83">
        <v>22</v>
      </c>
      <c r="B52" s="98" t="s">
        <v>125</v>
      </c>
      <c r="C52" s="99" t="s">
        <v>126</v>
      </c>
      <c r="D52" s="100" t="s">
        <v>60</v>
      </c>
      <c r="E52" s="100" t="s">
        <v>61</v>
      </c>
      <c r="F52" s="87" t="s">
        <v>56</v>
      </c>
      <c r="G52" s="88" t="s">
        <v>57</v>
      </c>
      <c r="H52" s="89">
        <v>2.4074105387658491E-2</v>
      </c>
      <c r="I52" s="90">
        <f t="shared" si="30"/>
        <v>44436.307362800653</v>
      </c>
      <c r="J52" s="91">
        <f t="shared" si="9"/>
        <v>33549.906358977387</v>
      </c>
      <c r="K52" s="92">
        <v>7100</v>
      </c>
      <c r="L52" s="92">
        <v>5840</v>
      </c>
      <c r="M52" s="92">
        <v>23520</v>
      </c>
      <c r="N52" s="92">
        <v>17868</v>
      </c>
      <c r="O52" s="92">
        <v>39860</v>
      </c>
      <c r="P52" s="92">
        <v>29764</v>
      </c>
      <c r="Q52" s="93">
        <f t="shared" si="31"/>
        <v>0.88715597836640925</v>
      </c>
      <c r="R52" s="94">
        <v>44436.307362800697</v>
      </c>
      <c r="S52" s="91">
        <v>33549.914009294749</v>
      </c>
      <c r="T52" s="92">
        <v>15520</v>
      </c>
      <c r="U52" s="92">
        <v>11916</v>
      </c>
      <c r="V52" s="92">
        <v>32820</v>
      </c>
      <c r="W52" s="92">
        <v>24890</v>
      </c>
      <c r="X52" s="92">
        <v>47620</v>
      </c>
      <c r="Y52" s="92">
        <v>36134</v>
      </c>
      <c r="Z52" s="93">
        <f t="shared" si="32"/>
        <v>1.0770221345422628</v>
      </c>
      <c r="AA52" s="94">
        <v>44436.307362800697</v>
      </c>
      <c r="AB52" s="91">
        <v>33549.914009294749</v>
      </c>
      <c r="AC52" s="92">
        <v>14280</v>
      </c>
      <c r="AD52" s="92">
        <v>10769.2</v>
      </c>
      <c r="AE52" s="92">
        <v>30380</v>
      </c>
      <c r="AF52" s="92">
        <v>22543.200000000001</v>
      </c>
      <c r="AG52" s="92"/>
      <c r="AH52" s="92"/>
      <c r="AI52" s="93">
        <f t="shared" si="33"/>
        <v>0</v>
      </c>
      <c r="AJ52" s="95">
        <f t="shared" si="10"/>
        <v>100649.73437756689</v>
      </c>
      <c r="AK52" s="96">
        <f t="shared" si="34"/>
        <v>65898</v>
      </c>
      <c r="AL52" s="97">
        <f t="shared" si="11"/>
        <v>0.65472601996938351</v>
      </c>
      <c r="AN52" s="89">
        <v>1.2454434071932198E-2</v>
      </c>
      <c r="AO52" s="90"/>
      <c r="AP52" s="91"/>
      <c r="AQ52" s="92"/>
      <c r="AR52" s="92"/>
      <c r="AS52" s="92"/>
      <c r="AT52" s="92"/>
      <c r="AU52" s="92"/>
      <c r="AV52" s="92"/>
      <c r="AW52" s="93">
        <f t="shared" si="12"/>
        <v>0</v>
      </c>
      <c r="AX52" s="90"/>
      <c r="AY52" s="91"/>
      <c r="AZ52" s="92"/>
      <c r="BA52" s="92"/>
      <c r="BB52" s="92"/>
      <c r="BC52" s="92"/>
      <c r="BD52" s="92"/>
      <c r="BE52" s="92"/>
      <c r="BF52" s="93">
        <f t="shared" si="13"/>
        <v>0</v>
      </c>
      <c r="BG52" s="90"/>
      <c r="BH52" s="91"/>
      <c r="BI52" s="92"/>
      <c r="BJ52" s="92"/>
      <c r="BK52" s="92"/>
      <c r="BL52" s="92"/>
      <c r="BM52" s="92"/>
      <c r="BN52" s="92"/>
      <c r="BO52" s="93">
        <f t="shared" si="14"/>
        <v>0</v>
      </c>
      <c r="BP52" s="95">
        <f t="shared" si="15"/>
        <v>0</v>
      </c>
      <c r="BQ52" s="96">
        <f t="shared" si="16"/>
        <v>0</v>
      </c>
      <c r="BR52" s="97">
        <f t="shared" si="17"/>
        <v>0</v>
      </c>
      <c r="BT52" s="89"/>
      <c r="BU52" s="90"/>
      <c r="BV52" s="91"/>
      <c r="BW52" s="92"/>
      <c r="BX52" s="92"/>
      <c r="BY52" s="92"/>
      <c r="BZ52" s="92"/>
      <c r="CA52" s="92"/>
      <c r="CB52" s="92"/>
      <c r="CC52" s="93">
        <f t="shared" si="18"/>
        <v>0</v>
      </c>
      <c r="CD52" s="90"/>
      <c r="CE52" s="91"/>
      <c r="CF52" s="92"/>
      <c r="CG52" s="92"/>
      <c r="CH52" s="92"/>
      <c r="CI52" s="92"/>
      <c r="CJ52" s="92"/>
      <c r="CK52" s="92"/>
      <c r="CL52" s="93">
        <f t="shared" si="19"/>
        <v>0</v>
      </c>
      <c r="CM52" s="90"/>
      <c r="CN52" s="91"/>
      <c r="CO52" s="92"/>
      <c r="CP52" s="92"/>
      <c r="CQ52" s="92"/>
      <c r="CR52" s="92"/>
      <c r="CS52" s="92"/>
      <c r="CT52" s="92"/>
      <c r="CU52" s="93">
        <f t="shared" si="20"/>
        <v>0</v>
      </c>
      <c r="CV52" s="95">
        <f t="shared" si="21"/>
        <v>0</v>
      </c>
      <c r="CW52" s="96">
        <f t="shared" si="22"/>
        <v>0</v>
      </c>
      <c r="CX52" s="97">
        <f t="shared" si="23"/>
        <v>0</v>
      </c>
      <c r="CZ52" s="89"/>
      <c r="DA52" s="90"/>
      <c r="DB52" s="91"/>
      <c r="DC52" s="92"/>
      <c r="DD52" s="92"/>
      <c r="DE52" s="92"/>
      <c r="DF52" s="92"/>
      <c r="DG52" s="92"/>
      <c r="DH52" s="92"/>
      <c r="DI52" s="93">
        <f t="shared" si="24"/>
        <v>0</v>
      </c>
      <c r="DJ52" s="90"/>
      <c r="DK52" s="91"/>
      <c r="DL52" s="92"/>
      <c r="DM52" s="92"/>
      <c r="DN52" s="92"/>
      <c r="DO52" s="92"/>
      <c r="DP52" s="92"/>
      <c r="DQ52" s="92"/>
      <c r="DR52" s="93">
        <f t="shared" si="25"/>
        <v>0</v>
      </c>
      <c r="DS52" s="90"/>
      <c r="DT52" s="91"/>
      <c r="DU52" s="92"/>
      <c r="DV52" s="92"/>
      <c r="DW52" s="92"/>
      <c r="DX52" s="92"/>
      <c r="DY52" s="92"/>
      <c r="DZ52" s="92"/>
      <c r="EA52" s="93">
        <f t="shared" si="26"/>
        <v>0</v>
      </c>
      <c r="EB52" s="95">
        <f t="shared" si="27"/>
        <v>0</v>
      </c>
      <c r="EC52" s="96">
        <f t="shared" si="28"/>
        <v>0</v>
      </c>
      <c r="ED52" s="97">
        <f t="shared" si="29"/>
        <v>0</v>
      </c>
    </row>
    <row r="53" spans="1:134" s="6" customFormat="1" ht="21.95" customHeight="1" x14ac:dyDescent="0.5">
      <c r="A53" s="83">
        <v>23</v>
      </c>
      <c r="B53" s="98" t="s">
        <v>127</v>
      </c>
      <c r="C53" s="99" t="s">
        <v>128</v>
      </c>
      <c r="D53" s="100" t="s">
        <v>94</v>
      </c>
      <c r="E53" s="100" t="s">
        <v>95</v>
      </c>
      <c r="F53" s="87" t="s">
        <v>56</v>
      </c>
      <c r="G53" s="88" t="s">
        <v>57</v>
      </c>
      <c r="H53" s="89">
        <v>1.4306594785530018E-2</v>
      </c>
      <c r="I53" s="90">
        <f t="shared" si="30"/>
        <v>26407.304984664519</v>
      </c>
      <c r="J53" s="91">
        <f t="shared" si="9"/>
        <v>19937.809012684182</v>
      </c>
      <c r="K53" s="92">
        <v>14920</v>
      </c>
      <c r="L53" s="92">
        <v>12018</v>
      </c>
      <c r="M53" s="92">
        <v>26860</v>
      </c>
      <c r="N53" s="92">
        <v>20846.400000000001</v>
      </c>
      <c r="O53" s="92">
        <v>34240</v>
      </c>
      <c r="P53" s="92">
        <v>26714.400000000001</v>
      </c>
      <c r="Q53" s="93">
        <f t="shared" si="31"/>
        <v>1.3398864430391844</v>
      </c>
      <c r="R53" s="94">
        <v>26407.304984664544</v>
      </c>
      <c r="S53" s="91">
        <v>19937.813559062488</v>
      </c>
      <c r="T53" s="92">
        <v>6966</v>
      </c>
      <c r="U53" s="92">
        <v>5329.04</v>
      </c>
      <c r="V53" s="92">
        <v>13346</v>
      </c>
      <c r="W53" s="92">
        <v>10218.24</v>
      </c>
      <c r="X53" s="92">
        <v>21318</v>
      </c>
      <c r="Y53" s="92">
        <v>16346.640000000001</v>
      </c>
      <c r="Z53" s="93">
        <f t="shared" si="32"/>
        <v>0.81988127492394158</v>
      </c>
      <c r="AA53" s="94">
        <v>26407.304984664544</v>
      </c>
      <c r="AB53" s="91">
        <v>19937.813559062488</v>
      </c>
      <c r="AC53" s="92">
        <v>9980</v>
      </c>
      <c r="AD53" s="92">
        <v>7804.8</v>
      </c>
      <c r="AE53" s="92">
        <v>22260</v>
      </c>
      <c r="AF53" s="92">
        <v>18153.599999999999</v>
      </c>
      <c r="AG53" s="92"/>
      <c r="AH53" s="92"/>
      <c r="AI53" s="93">
        <f t="shared" si="33"/>
        <v>0</v>
      </c>
      <c r="AJ53" s="95">
        <f t="shared" si="10"/>
        <v>59813.436130809161</v>
      </c>
      <c r="AK53" s="96">
        <f t="shared" si="34"/>
        <v>43061.04</v>
      </c>
      <c r="AL53" s="97">
        <f t="shared" si="11"/>
        <v>0.71992252553134617</v>
      </c>
      <c r="AN53" s="89">
        <v>1.1822100904185843E-2</v>
      </c>
      <c r="AO53" s="90"/>
      <c r="AP53" s="91"/>
      <c r="AQ53" s="92"/>
      <c r="AR53" s="92"/>
      <c r="AS53" s="92"/>
      <c r="AT53" s="92"/>
      <c r="AU53" s="92"/>
      <c r="AV53" s="92"/>
      <c r="AW53" s="93">
        <f t="shared" si="12"/>
        <v>0</v>
      </c>
      <c r="AX53" s="90"/>
      <c r="AY53" s="91"/>
      <c r="AZ53" s="92"/>
      <c r="BA53" s="92"/>
      <c r="BB53" s="92"/>
      <c r="BC53" s="92"/>
      <c r="BD53" s="92"/>
      <c r="BE53" s="92"/>
      <c r="BF53" s="93">
        <f t="shared" si="13"/>
        <v>0</v>
      </c>
      <c r="BG53" s="90"/>
      <c r="BH53" s="91"/>
      <c r="BI53" s="92"/>
      <c r="BJ53" s="92"/>
      <c r="BK53" s="92"/>
      <c r="BL53" s="92"/>
      <c r="BM53" s="92"/>
      <c r="BN53" s="92"/>
      <c r="BO53" s="93">
        <f t="shared" si="14"/>
        <v>0</v>
      </c>
      <c r="BP53" s="95">
        <f t="shared" si="15"/>
        <v>0</v>
      </c>
      <c r="BQ53" s="96">
        <f t="shared" si="16"/>
        <v>0</v>
      </c>
      <c r="BR53" s="97">
        <f t="shared" si="17"/>
        <v>0</v>
      </c>
      <c r="BT53" s="89"/>
      <c r="BU53" s="90"/>
      <c r="BV53" s="91"/>
      <c r="BW53" s="92"/>
      <c r="BX53" s="92"/>
      <c r="BY53" s="92"/>
      <c r="BZ53" s="92"/>
      <c r="CA53" s="92"/>
      <c r="CB53" s="92"/>
      <c r="CC53" s="93">
        <f t="shared" si="18"/>
        <v>0</v>
      </c>
      <c r="CD53" s="90"/>
      <c r="CE53" s="91"/>
      <c r="CF53" s="92"/>
      <c r="CG53" s="92"/>
      <c r="CH53" s="92"/>
      <c r="CI53" s="92"/>
      <c r="CJ53" s="92"/>
      <c r="CK53" s="92"/>
      <c r="CL53" s="93">
        <f t="shared" si="19"/>
        <v>0</v>
      </c>
      <c r="CM53" s="90"/>
      <c r="CN53" s="91"/>
      <c r="CO53" s="92"/>
      <c r="CP53" s="92"/>
      <c r="CQ53" s="92"/>
      <c r="CR53" s="92"/>
      <c r="CS53" s="92"/>
      <c r="CT53" s="92"/>
      <c r="CU53" s="93">
        <f t="shared" si="20"/>
        <v>0</v>
      </c>
      <c r="CV53" s="95">
        <f t="shared" si="21"/>
        <v>0</v>
      </c>
      <c r="CW53" s="96">
        <f t="shared" si="22"/>
        <v>0</v>
      </c>
      <c r="CX53" s="97">
        <f t="shared" si="23"/>
        <v>0</v>
      </c>
      <c r="CZ53" s="89"/>
      <c r="DA53" s="90"/>
      <c r="DB53" s="91"/>
      <c r="DC53" s="92"/>
      <c r="DD53" s="92"/>
      <c r="DE53" s="92"/>
      <c r="DF53" s="92"/>
      <c r="DG53" s="92"/>
      <c r="DH53" s="92"/>
      <c r="DI53" s="93">
        <f t="shared" si="24"/>
        <v>0</v>
      </c>
      <c r="DJ53" s="90"/>
      <c r="DK53" s="91"/>
      <c r="DL53" s="92"/>
      <c r="DM53" s="92"/>
      <c r="DN53" s="92"/>
      <c r="DO53" s="92"/>
      <c r="DP53" s="92"/>
      <c r="DQ53" s="92"/>
      <c r="DR53" s="93">
        <f t="shared" si="25"/>
        <v>0</v>
      </c>
      <c r="DS53" s="90"/>
      <c r="DT53" s="91"/>
      <c r="DU53" s="92"/>
      <c r="DV53" s="92"/>
      <c r="DW53" s="92"/>
      <c r="DX53" s="92"/>
      <c r="DY53" s="92"/>
      <c r="DZ53" s="92"/>
      <c r="EA53" s="93">
        <f t="shared" si="26"/>
        <v>0</v>
      </c>
      <c r="EB53" s="95">
        <f t="shared" si="27"/>
        <v>0</v>
      </c>
      <c r="EC53" s="96">
        <f t="shared" si="28"/>
        <v>0</v>
      </c>
      <c r="ED53" s="97">
        <f t="shared" si="29"/>
        <v>0</v>
      </c>
    </row>
    <row r="54" spans="1:134" s="6" customFormat="1" ht="21.95" customHeight="1" x14ac:dyDescent="0.5">
      <c r="A54" s="83">
        <v>24</v>
      </c>
      <c r="B54" s="98" t="s">
        <v>129</v>
      </c>
      <c r="C54" s="99" t="s">
        <v>130</v>
      </c>
      <c r="D54" s="100" t="s">
        <v>131</v>
      </c>
      <c r="E54" s="100" t="s">
        <v>132</v>
      </c>
      <c r="F54" s="87" t="s">
        <v>56</v>
      </c>
      <c r="G54" s="88" t="s">
        <v>57</v>
      </c>
      <c r="H54" s="89">
        <v>1.0397495582747829E-2</v>
      </c>
      <c r="I54" s="90">
        <f t="shared" si="30"/>
        <v>19191.837124514743</v>
      </c>
      <c r="J54" s="91">
        <f t="shared" si="9"/>
        <v>14490.050514936258</v>
      </c>
      <c r="K54" s="92">
        <v>1800</v>
      </c>
      <c r="L54" s="92">
        <v>1362</v>
      </c>
      <c r="M54" s="92">
        <v>5960</v>
      </c>
      <c r="N54" s="92">
        <v>4436.8</v>
      </c>
      <c r="O54" s="92">
        <v>12660</v>
      </c>
      <c r="P54" s="92">
        <v>9412</v>
      </c>
      <c r="Q54" s="93">
        <f t="shared" si="31"/>
        <v>0.64954915031511906</v>
      </c>
      <c r="R54" s="94">
        <v>19191.837124514765</v>
      </c>
      <c r="S54" s="91">
        <v>14490.053819073202</v>
      </c>
      <c r="T54" s="92">
        <v>4620</v>
      </c>
      <c r="U54" s="92">
        <v>3951.2</v>
      </c>
      <c r="V54" s="92">
        <v>10380</v>
      </c>
      <c r="W54" s="92">
        <v>8501.2000000000007</v>
      </c>
      <c r="X54" s="92">
        <v>14320</v>
      </c>
      <c r="Y54" s="92">
        <v>11719.600000000002</v>
      </c>
      <c r="Z54" s="93">
        <f t="shared" si="32"/>
        <v>0.80880306907994626</v>
      </c>
      <c r="AA54" s="94">
        <v>19191.837124514765</v>
      </c>
      <c r="AB54" s="91">
        <v>14490.053819073202</v>
      </c>
      <c r="AC54" s="92">
        <v>5240</v>
      </c>
      <c r="AD54" s="92">
        <v>4130.8</v>
      </c>
      <c r="AE54" s="92">
        <v>10120</v>
      </c>
      <c r="AF54" s="92">
        <v>8108.8</v>
      </c>
      <c r="AG54" s="92"/>
      <c r="AH54" s="92"/>
      <c r="AI54" s="93">
        <f t="shared" si="33"/>
        <v>0</v>
      </c>
      <c r="AJ54" s="95">
        <f t="shared" si="10"/>
        <v>43470.158153082666</v>
      </c>
      <c r="AK54" s="96">
        <f t="shared" si="34"/>
        <v>21131.600000000002</v>
      </c>
      <c r="AL54" s="97">
        <f t="shared" si="11"/>
        <v>0.48611739404268683</v>
      </c>
      <c r="AN54" s="89">
        <v>1.3354876502803006E-2</v>
      </c>
      <c r="AO54" s="90"/>
      <c r="AP54" s="91"/>
      <c r="AQ54" s="92"/>
      <c r="AR54" s="92"/>
      <c r="AS54" s="92"/>
      <c r="AT54" s="92"/>
      <c r="AU54" s="92"/>
      <c r="AV54" s="92"/>
      <c r="AW54" s="93">
        <f t="shared" si="12"/>
        <v>0</v>
      </c>
      <c r="AX54" s="90"/>
      <c r="AY54" s="91"/>
      <c r="AZ54" s="92"/>
      <c r="BA54" s="92"/>
      <c r="BB54" s="92"/>
      <c r="BC54" s="92"/>
      <c r="BD54" s="92"/>
      <c r="BE54" s="92"/>
      <c r="BF54" s="93">
        <f t="shared" si="13"/>
        <v>0</v>
      </c>
      <c r="BG54" s="90"/>
      <c r="BH54" s="91"/>
      <c r="BI54" s="92"/>
      <c r="BJ54" s="92"/>
      <c r="BK54" s="92"/>
      <c r="BL54" s="92"/>
      <c r="BM54" s="92"/>
      <c r="BN54" s="92"/>
      <c r="BO54" s="93">
        <f t="shared" si="14"/>
        <v>0</v>
      </c>
      <c r="BP54" s="95">
        <f t="shared" si="15"/>
        <v>0</v>
      </c>
      <c r="BQ54" s="96">
        <f t="shared" si="16"/>
        <v>0</v>
      </c>
      <c r="BR54" s="97">
        <f t="shared" si="17"/>
        <v>0</v>
      </c>
      <c r="BT54" s="89"/>
      <c r="BU54" s="90"/>
      <c r="BV54" s="91"/>
      <c r="BW54" s="92"/>
      <c r="BX54" s="92"/>
      <c r="BY54" s="92"/>
      <c r="BZ54" s="92"/>
      <c r="CA54" s="92"/>
      <c r="CB54" s="92"/>
      <c r="CC54" s="93">
        <f t="shared" si="18"/>
        <v>0</v>
      </c>
      <c r="CD54" s="90"/>
      <c r="CE54" s="91"/>
      <c r="CF54" s="92"/>
      <c r="CG54" s="92"/>
      <c r="CH54" s="92"/>
      <c r="CI54" s="92"/>
      <c r="CJ54" s="92"/>
      <c r="CK54" s="92"/>
      <c r="CL54" s="93">
        <f t="shared" si="19"/>
        <v>0</v>
      </c>
      <c r="CM54" s="90"/>
      <c r="CN54" s="91"/>
      <c r="CO54" s="92"/>
      <c r="CP54" s="92"/>
      <c r="CQ54" s="92"/>
      <c r="CR54" s="92"/>
      <c r="CS54" s="92"/>
      <c r="CT54" s="92"/>
      <c r="CU54" s="93">
        <f t="shared" si="20"/>
        <v>0</v>
      </c>
      <c r="CV54" s="95">
        <f t="shared" si="21"/>
        <v>0</v>
      </c>
      <c r="CW54" s="96">
        <f t="shared" si="22"/>
        <v>0</v>
      </c>
      <c r="CX54" s="97">
        <f t="shared" si="23"/>
        <v>0</v>
      </c>
      <c r="CZ54" s="89"/>
      <c r="DA54" s="90"/>
      <c r="DB54" s="91"/>
      <c r="DC54" s="92"/>
      <c r="DD54" s="92"/>
      <c r="DE54" s="92"/>
      <c r="DF54" s="92"/>
      <c r="DG54" s="92"/>
      <c r="DH54" s="92"/>
      <c r="DI54" s="93">
        <f t="shared" si="24"/>
        <v>0</v>
      </c>
      <c r="DJ54" s="90"/>
      <c r="DK54" s="91"/>
      <c r="DL54" s="92"/>
      <c r="DM54" s="92"/>
      <c r="DN54" s="92"/>
      <c r="DO54" s="92"/>
      <c r="DP54" s="92"/>
      <c r="DQ54" s="92"/>
      <c r="DR54" s="93">
        <f t="shared" si="25"/>
        <v>0</v>
      </c>
      <c r="DS54" s="90"/>
      <c r="DT54" s="91"/>
      <c r="DU54" s="92"/>
      <c r="DV54" s="92"/>
      <c r="DW54" s="92"/>
      <c r="DX54" s="92"/>
      <c r="DY54" s="92"/>
      <c r="DZ54" s="92"/>
      <c r="EA54" s="93">
        <f t="shared" si="26"/>
        <v>0</v>
      </c>
      <c r="EB54" s="95">
        <f t="shared" si="27"/>
        <v>0</v>
      </c>
      <c r="EC54" s="96">
        <f t="shared" si="28"/>
        <v>0</v>
      </c>
      <c r="ED54" s="97">
        <f t="shared" si="29"/>
        <v>0</v>
      </c>
    </row>
    <row r="55" spans="1:134" s="6" customFormat="1" ht="21.95" customHeight="1" x14ac:dyDescent="0.5">
      <c r="A55" s="83">
        <v>25</v>
      </c>
      <c r="B55" s="98" t="s">
        <v>133</v>
      </c>
      <c r="C55" s="99" t="s">
        <v>134</v>
      </c>
      <c r="D55" s="100" t="s">
        <v>94</v>
      </c>
      <c r="E55" s="100" t="s">
        <v>95</v>
      </c>
      <c r="F55" s="87" t="s">
        <v>56</v>
      </c>
      <c r="G55" s="88" t="s">
        <v>57</v>
      </c>
      <c r="H55" s="89">
        <v>1.353375335324844E-2</v>
      </c>
      <c r="I55" s="90">
        <f t="shared" si="30"/>
        <v>24980.783879328796</v>
      </c>
      <c r="J55" s="91">
        <f t="shared" si="9"/>
        <v>18860.769709837346</v>
      </c>
      <c r="K55" s="92">
        <v>6360</v>
      </c>
      <c r="L55" s="92">
        <v>5206</v>
      </c>
      <c r="M55" s="92">
        <v>11820</v>
      </c>
      <c r="N55" s="92">
        <v>9910</v>
      </c>
      <c r="O55" s="92">
        <v>19700</v>
      </c>
      <c r="P55" s="92">
        <v>16132</v>
      </c>
      <c r="Q55" s="93">
        <f t="shared" si="31"/>
        <v>0.85532034207415819</v>
      </c>
      <c r="R55" s="94">
        <v>24980.783879328821</v>
      </c>
      <c r="S55" s="91">
        <v>18860.77401062056</v>
      </c>
      <c r="T55" s="92">
        <v>8060</v>
      </c>
      <c r="U55" s="92">
        <v>7102.4</v>
      </c>
      <c r="V55" s="92">
        <v>13000</v>
      </c>
      <c r="W55" s="92">
        <v>10758.4</v>
      </c>
      <c r="X55" s="92">
        <v>20756</v>
      </c>
      <c r="Y55" s="92">
        <v>17336.400000000001</v>
      </c>
      <c r="Z55" s="93">
        <f t="shared" si="32"/>
        <v>0.91917754755122039</v>
      </c>
      <c r="AA55" s="94">
        <v>24980.783879328821</v>
      </c>
      <c r="AB55" s="91">
        <v>18860.77401062056</v>
      </c>
      <c r="AC55" s="92">
        <v>5640</v>
      </c>
      <c r="AD55" s="92">
        <v>5035.2</v>
      </c>
      <c r="AE55" s="92">
        <v>15840</v>
      </c>
      <c r="AF55" s="92">
        <v>13325.2</v>
      </c>
      <c r="AG55" s="92"/>
      <c r="AH55" s="92"/>
      <c r="AI55" s="93">
        <f t="shared" si="33"/>
        <v>0</v>
      </c>
      <c r="AJ55" s="95">
        <f t="shared" si="10"/>
        <v>56582.317731078467</v>
      </c>
      <c r="AK55" s="96">
        <f t="shared" si="34"/>
        <v>33468.400000000001</v>
      </c>
      <c r="AL55" s="97">
        <f t="shared" si="11"/>
        <v>0.59149927648893585</v>
      </c>
      <c r="AN55" s="89">
        <v>1.1270706381911022E-2</v>
      </c>
      <c r="AO55" s="90"/>
      <c r="AP55" s="91"/>
      <c r="AQ55" s="92"/>
      <c r="AR55" s="92"/>
      <c r="AS55" s="92"/>
      <c r="AT55" s="92"/>
      <c r="AU55" s="92"/>
      <c r="AV55" s="92"/>
      <c r="AW55" s="93">
        <f t="shared" si="12"/>
        <v>0</v>
      </c>
      <c r="AX55" s="90"/>
      <c r="AY55" s="91"/>
      <c r="AZ55" s="92"/>
      <c r="BA55" s="92"/>
      <c r="BB55" s="92"/>
      <c r="BC55" s="92"/>
      <c r="BD55" s="92"/>
      <c r="BE55" s="92"/>
      <c r="BF55" s="93">
        <f t="shared" si="13"/>
        <v>0</v>
      </c>
      <c r="BG55" s="90"/>
      <c r="BH55" s="91"/>
      <c r="BI55" s="92"/>
      <c r="BJ55" s="92"/>
      <c r="BK55" s="92"/>
      <c r="BL55" s="92"/>
      <c r="BM55" s="92"/>
      <c r="BN55" s="92"/>
      <c r="BO55" s="93">
        <f t="shared" si="14"/>
        <v>0</v>
      </c>
      <c r="BP55" s="95">
        <f t="shared" si="15"/>
        <v>0</v>
      </c>
      <c r="BQ55" s="96">
        <f t="shared" si="16"/>
        <v>0</v>
      </c>
      <c r="BR55" s="97">
        <f t="shared" si="17"/>
        <v>0</v>
      </c>
      <c r="BT55" s="89"/>
      <c r="BU55" s="90"/>
      <c r="BV55" s="91"/>
      <c r="BW55" s="92"/>
      <c r="BX55" s="92"/>
      <c r="BY55" s="92"/>
      <c r="BZ55" s="92"/>
      <c r="CA55" s="92"/>
      <c r="CB55" s="92"/>
      <c r="CC55" s="93">
        <f t="shared" si="18"/>
        <v>0</v>
      </c>
      <c r="CD55" s="90"/>
      <c r="CE55" s="91"/>
      <c r="CF55" s="92"/>
      <c r="CG55" s="92"/>
      <c r="CH55" s="92"/>
      <c r="CI55" s="92"/>
      <c r="CJ55" s="92"/>
      <c r="CK55" s="92"/>
      <c r="CL55" s="93">
        <f t="shared" si="19"/>
        <v>0</v>
      </c>
      <c r="CM55" s="90"/>
      <c r="CN55" s="91"/>
      <c r="CO55" s="92"/>
      <c r="CP55" s="92"/>
      <c r="CQ55" s="92"/>
      <c r="CR55" s="92"/>
      <c r="CS55" s="92"/>
      <c r="CT55" s="92"/>
      <c r="CU55" s="93">
        <f t="shared" si="20"/>
        <v>0</v>
      </c>
      <c r="CV55" s="95">
        <f t="shared" si="21"/>
        <v>0</v>
      </c>
      <c r="CW55" s="96">
        <f t="shared" si="22"/>
        <v>0</v>
      </c>
      <c r="CX55" s="97">
        <f t="shared" si="23"/>
        <v>0</v>
      </c>
      <c r="CZ55" s="89"/>
      <c r="DA55" s="90"/>
      <c r="DB55" s="91"/>
      <c r="DC55" s="92"/>
      <c r="DD55" s="92"/>
      <c r="DE55" s="92"/>
      <c r="DF55" s="92"/>
      <c r="DG55" s="92"/>
      <c r="DH55" s="92"/>
      <c r="DI55" s="93">
        <f t="shared" si="24"/>
        <v>0</v>
      </c>
      <c r="DJ55" s="90"/>
      <c r="DK55" s="91"/>
      <c r="DL55" s="92"/>
      <c r="DM55" s="92"/>
      <c r="DN55" s="92"/>
      <c r="DO55" s="92"/>
      <c r="DP55" s="92"/>
      <c r="DQ55" s="92"/>
      <c r="DR55" s="93">
        <f t="shared" si="25"/>
        <v>0</v>
      </c>
      <c r="DS55" s="90"/>
      <c r="DT55" s="91"/>
      <c r="DU55" s="92"/>
      <c r="DV55" s="92"/>
      <c r="DW55" s="92"/>
      <c r="DX55" s="92"/>
      <c r="DY55" s="92"/>
      <c r="DZ55" s="92"/>
      <c r="EA55" s="93">
        <f t="shared" si="26"/>
        <v>0</v>
      </c>
      <c r="EB55" s="95">
        <f t="shared" si="27"/>
        <v>0</v>
      </c>
      <c r="EC55" s="96">
        <f t="shared" si="28"/>
        <v>0</v>
      </c>
      <c r="ED55" s="97">
        <f t="shared" si="29"/>
        <v>0</v>
      </c>
    </row>
    <row r="56" spans="1:134" s="6" customFormat="1" ht="21.95" customHeight="1" x14ac:dyDescent="0.5">
      <c r="A56" s="83">
        <v>26</v>
      </c>
      <c r="B56" s="98" t="s">
        <v>135</v>
      </c>
      <c r="C56" s="99" t="s">
        <v>136</v>
      </c>
      <c r="D56" s="100" t="s">
        <v>137</v>
      </c>
      <c r="E56" s="100" t="s">
        <v>138</v>
      </c>
      <c r="F56" s="87" t="s">
        <v>56</v>
      </c>
      <c r="G56" s="88" t="s">
        <v>57</v>
      </c>
      <c r="H56" s="89">
        <v>9.5018494772845519E-3</v>
      </c>
      <c r="I56" s="90">
        <f t="shared" si="30"/>
        <v>17538.641502505692</v>
      </c>
      <c r="J56" s="91">
        <f t="shared" si="9"/>
        <v>13241.869430521792</v>
      </c>
      <c r="K56" s="92">
        <v>7560</v>
      </c>
      <c r="L56" s="92">
        <v>5315.2</v>
      </c>
      <c r="M56" s="92">
        <v>15240</v>
      </c>
      <c r="N56" s="92">
        <v>11419.2</v>
      </c>
      <c r="O56" s="92">
        <v>15240</v>
      </c>
      <c r="P56" s="92">
        <v>11419.2</v>
      </c>
      <c r="Q56" s="93">
        <f t="shared" si="31"/>
        <v>0.86235558052546291</v>
      </c>
      <c r="R56" s="94">
        <v>17538.64150250571</v>
      </c>
      <c r="S56" s="91">
        <v>13241.872450038525</v>
      </c>
      <c r="T56" s="92">
        <v>7840</v>
      </c>
      <c r="U56" s="92">
        <v>5317.2</v>
      </c>
      <c r="V56" s="92">
        <v>7840</v>
      </c>
      <c r="W56" s="92">
        <v>5317.2</v>
      </c>
      <c r="X56" s="92">
        <v>15020</v>
      </c>
      <c r="Y56" s="92">
        <v>10860.4</v>
      </c>
      <c r="Z56" s="93">
        <f t="shared" si="32"/>
        <v>0.82015591382383413</v>
      </c>
      <c r="AA56" s="94">
        <v>17538.64150250571</v>
      </c>
      <c r="AB56" s="91">
        <v>13241.872450038525</v>
      </c>
      <c r="AC56" s="92">
        <v>7200</v>
      </c>
      <c r="AD56" s="92">
        <v>5313.6</v>
      </c>
      <c r="AE56" s="92">
        <v>15180</v>
      </c>
      <c r="AF56" s="92">
        <v>10068.400000000001</v>
      </c>
      <c r="AG56" s="92"/>
      <c r="AH56" s="92"/>
      <c r="AI56" s="93">
        <f t="shared" si="33"/>
        <v>0</v>
      </c>
      <c r="AJ56" s="95">
        <f t="shared" si="10"/>
        <v>39725.614330598837</v>
      </c>
      <c r="AK56" s="96">
        <f t="shared" si="34"/>
        <v>22279.599999999999</v>
      </c>
      <c r="AL56" s="97">
        <f t="shared" si="11"/>
        <v>0.56083714186489075</v>
      </c>
      <c r="AN56" s="89">
        <v>7.8206966186869127E-3</v>
      </c>
      <c r="AO56" s="90"/>
      <c r="AP56" s="91"/>
      <c r="AQ56" s="92"/>
      <c r="AR56" s="92"/>
      <c r="AS56" s="92"/>
      <c r="AT56" s="92"/>
      <c r="AU56" s="92"/>
      <c r="AV56" s="92"/>
      <c r="AW56" s="93">
        <f t="shared" si="12"/>
        <v>0</v>
      </c>
      <c r="AX56" s="90"/>
      <c r="AY56" s="91"/>
      <c r="AZ56" s="92"/>
      <c r="BA56" s="92"/>
      <c r="BB56" s="92"/>
      <c r="BC56" s="92"/>
      <c r="BD56" s="92"/>
      <c r="BE56" s="92"/>
      <c r="BF56" s="93">
        <f t="shared" si="13"/>
        <v>0</v>
      </c>
      <c r="BG56" s="90"/>
      <c r="BH56" s="91"/>
      <c r="BI56" s="92"/>
      <c r="BJ56" s="92"/>
      <c r="BK56" s="92"/>
      <c r="BL56" s="92"/>
      <c r="BM56" s="92"/>
      <c r="BN56" s="92"/>
      <c r="BO56" s="93">
        <f t="shared" si="14"/>
        <v>0</v>
      </c>
      <c r="BP56" s="95">
        <f t="shared" si="15"/>
        <v>0</v>
      </c>
      <c r="BQ56" s="96">
        <f t="shared" si="16"/>
        <v>0</v>
      </c>
      <c r="BR56" s="97">
        <f t="shared" si="17"/>
        <v>0</v>
      </c>
      <c r="BT56" s="89"/>
      <c r="BU56" s="90"/>
      <c r="BV56" s="91"/>
      <c r="BW56" s="92"/>
      <c r="BX56" s="92"/>
      <c r="BY56" s="92"/>
      <c r="BZ56" s="92"/>
      <c r="CA56" s="92"/>
      <c r="CB56" s="92"/>
      <c r="CC56" s="93">
        <f t="shared" si="18"/>
        <v>0</v>
      </c>
      <c r="CD56" s="90"/>
      <c r="CE56" s="91"/>
      <c r="CF56" s="92"/>
      <c r="CG56" s="92"/>
      <c r="CH56" s="92"/>
      <c r="CI56" s="92"/>
      <c r="CJ56" s="92"/>
      <c r="CK56" s="92"/>
      <c r="CL56" s="93">
        <f t="shared" si="19"/>
        <v>0</v>
      </c>
      <c r="CM56" s="90"/>
      <c r="CN56" s="91"/>
      <c r="CO56" s="92"/>
      <c r="CP56" s="92"/>
      <c r="CQ56" s="92"/>
      <c r="CR56" s="92"/>
      <c r="CS56" s="92"/>
      <c r="CT56" s="92"/>
      <c r="CU56" s="93">
        <f t="shared" si="20"/>
        <v>0</v>
      </c>
      <c r="CV56" s="95">
        <f t="shared" si="21"/>
        <v>0</v>
      </c>
      <c r="CW56" s="96">
        <f t="shared" si="22"/>
        <v>0</v>
      </c>
      <c r="CX56" s="97">
        <f t="shared" si="23"/>
        <v>0</v>
      </c>
      <c r="CZ56" s="89"/>
      <c r="DA56" s="90"/>
      <c r="DB56" s="91"/>
      <c r="DC56" s="92"/>
      <c r="DD56" s="92"/>
      <c r="DE56" s="92"/>
      <c r="DF56" s="92"/>
      <c r="DG56" s="92"/>
      <c r="DH56" s="92"/>
      <c r="DI56" s="93">
        <f t="shared" si="24"/>
        <v>0</v>
      </c>
      <c r="DJ56" s="90"/>
      <c r="DK56" s="91"/>
      <c r="DL56" s="92"/>
      <c r="DM56" s="92"/>
      <c r="DN56" s="92"/>
      <c r="DO56" s="92"/>
      <c r="DP56" s="92"/>
      <c r="DQ56" s="92"/>
      <c r="DR56" s="93">
        <f t="shared" si="25"/>
        <v>0</v>
      </c>
      <c r="DS56" s="90"/>
      <c r="DT56" s="91"/>
      <c r="DU56" s="92"/>
      <c r="DV56" s="92"/>
      <c r="DW56" s="92"/>
      <c r="DX56" s="92"/>
      <c r="DY56" s="92"/>
      <c r="DZ56" s="92"/>
      <c r="EA56" s="93">
        <f t="shared" si="26"/>
        <v>0</v>
      </c>
      <c r="EB56" s="95">
        <f t="shared" si="27"/>
        <v>0</v>
      </c>
      <c r="EC56" s="96">
        <f t="shared" si="28"/>
        <v>0</v>
      </c>
      <c r="ED56" s="97">
        <f t="shared" si="29"/>
        <v>0</v>
      </c>
    </row>
    <row r="57" spans="1:134" ht="21.95" customHeight="1" x14ac:dyDescent="0.5">
      <c r="A57" s="83">
        <v>27</v>
      </c>
      <c r="B57" s="98" t="s">
        <v>139</v>
      </c>
      <c r="C57" s="99" t="s">
        <v>140</v>
      </c>
      <c r="D57" s="100" t="s">
        <v>141</v>
      </c>
      <c r="E57" s="100" t="s">
        <v>142</v>
      </c>
      <c r="F57" s="87" t="s">
        <v>56</v>
      </c>
      <c r="G57" s="88" t="s">
        <v>57</v>
      </c>
      <c r="H57" s="89">
        <v>1.5122931617898697E-2</v>
      </c>
      <c r="I57" s="90">
        <f t="shared" si="30"/>
        <v>27914.110484207853</v>
      </c>
      <c r="J57" s="91">
        <f t="shared" si="9"/>
        <v>21075.463926224344</v>
      </c>
      <c r="K57" s="92">
        <v>4400</v>
      </c>
      <c r="L57" s="92">
        <v>3896</v>
      </c>
      <c r="M57" s="92">
        <v>11280</v>
      </c>
      <c r="N57" s="92">
        <v>9472.7999999999993</v>
      </c>
      <c r="O57" s="92">
        <v>23820</v>
      </c>
      <c r="P57" s="92">
        <v>19891.199999999997</v>
      </c>
      <c r="Q57" s="93">
        <f t="shared" si="31"/>
        <v>0.94380840533950194</v>
      </c>
      <c r="R57" s="94">
        <v>27914.110484207882</v>
      </c>
      <c r="S57" s="91">
        <v>21075.468732019803</v>
      </c>
      <c r="T57" s="92">
        <v>3840</v>
      </c>
      <c r="U57" s="92">
        <v>3219.2</v>
      </c>
      <c r="V57" s="92">
        <v>11270</v>
      </c>
      <c r="W57" s="92">
        <v>9918.4</v>
      </c>
      <c r="X57" s="92">
        <v>22610</v>
      </c>
      <c r="Y57" s="92">
        <v>19722.399999999998</v>
      </c>
      <c r="Z57" s="93">
        <f t="shared" si="32"/>
        <v>0.93579887834408648</v>
      </c>
      <c r="AA57" s="94">
        <v>27914.110484207882</v>
      </c>
      <c r="AB57" s="91">
        <v>21075.468732019803</v>
      </c>
      <c r="AC57" s="92">
        <v>14900</v>
      </c>
      <c r="AD57" s="92">
        <v>12111.2</v>
      </c>
      <c r="AE57" s="92">
        <v>18320</v>
      </c>
      <c r="AF57" s="92">
        <v>15380</v>
      </c>
      <c r="AG57" s="92"/>
      <c r="AH57" s="92"/>
      <c r="AI57" s="93">
        <f t="shared" si="33"/>
        <v>0</v>
      </c>
      <c r="AJ57" s="95">
        <f t="shared" si="10"/>
        <v>63226.401390263942</v>
      </c>
      <c r="AK57" s="96">
        <f t="shared" si="34"/>
        <v>39613.599999999991</v>
      </c>
      <c r="AL57" s="97">
        <f t="shared" si="11"/>
        <v>0.62653573711218646</v>
      </c>
      <c r="AN57" s="89">
        <v>7.7650512999252333E-3</v>
      </c>
      <c r="AO57" s="90"/>
      <c r="AP57" s="91"/>
      <c r="AQ57" s="92"/>
      <c r="AR57" s="92"/>
      <c r="AS57" s="92"/>
      <c r="AT57" s="92"/>
      <c r="AU57" s="92"/>
      <c r="AV57" s="92"/>
      <c r="AW57" s="93">
        <f t="shared" si="12"/>
        <v>0</v>
      </c>
      <c r="AX57" s="90"/>
      <c r="AY57" s="91"/>
      <c r="AZ57" s="92"/>
      <c r="BA57" s="92"/>
      <c r="BB57" s="92"/>
      <c r="BC57" s="92"/>
      <c r="BD57" s="92"/>
      <c r="BE57" s="92"/>
      <c r="BF57" s="93">
        <f t="shared" si="13"/>
        <v>0</v>
      </c>
      <c r="BG57" s="90"/>
      <c r="BH57" s="91"/>
      <c r="BI57" s="92"/>
      <c r="BJ57" s="92"/>
      <c r="BK57" s="92"/>
      <c r="BL57" s="92"/>
      <c r="BM57" s="92"/>
      <c r="BN57" s="92"/>
      <c r="BO57" s="93">
        <f t="shared" si="14"/>
        <v>0</v>
      </c>
      <c r="BP57" s="95">
        <f t="shared" si="15"/>
        <v>0</v>
      </c>
      <c r="BQ57" s="96">
        <f t="shared" si="16"/>
        <v>0</v>
      </c>
      <c r="BR57" s="97">
        <f t="shared" si="17"/>
        <v>0</v>
      </c>
      <c r="BT57" s="89"/>
      <c r="BU57" s="90"/>
      <c r="BV57" s="91"/>
      <c r="BW57" s="92"/>
      <c r="BX57" s="92"/>
      <c r="BY57" s="92"/>
      <c r="BZ57" s="92"/>
      <c r="CA57" s="92"/>
      <c r="CB57" s="92"/>
      <c r="CC57" s="93">
        <f t="shared" si="18"/>
        <v>0</v>
      </c>
      <c r="CD57" s="90"/>
      <c r="CE57" s="91"/>
      <c r="CF57" s="92"/>
      <c r="CG57" s="92"/>
      <c r="CH57" s="92"/>
      <c r="CI57" s="92"/>
      <c r="CJ57" s="92"/>
      <c r="CK57" s="92"/>
      <c r="CL57" s="93">
        <f t="shared" si="19"/>
        <v>0</v>
      </c>
      <c r="CM57" s="90"/>
      <c r="CN57" s="91"/>
      <c r="CO57" s="92"/>
      <c r="CP57" s="92"/>
      <c r="CQ57" s="92"/>
      <c r="CR57" s="92"/>
      <c r="CS57" s="92"/>
      <c r="CT57" s="92"/>
      <c r="CU57" s="93">
        <f t="shared" si="20"/>
        <v>0</v>
      </c>
      <c r="CV57" s="95">
        <f t="shared" si="21"/>
        <v>0</v>
      </c>
      <c r="CW57" s="96">
        <f t="shared" si="22"/>
        <v>0</v>
      </c>
      <c r="CX57" s="97">
        <f t="shared" si="23"/>
        <v>0</v>
      </c>
      <c r="CZ57" s="89"/>
      <c r="DA57" s="90"/>
      <c r="DB57" s="91"/>
      <c r="DC57" s="92"/>
      <c r="DD57" s="92"/>
      <c r="DE57" s="92"/>
      <c r="DF57" s="92"/>
      <c r="DG57" s="92"/>
      <c r="DH57" s="92"/>
      <c r="DI57" s="93">
        <f t="shared" si="24"/>
        <v>0</v>
      </c>
      <c r="DJ57" s="90"/>
      <c r="DK57" s="91"/>
      <c r="DL57" s="92"/>
      <c r="DM57" s="92"/>
      <c r="DN57" s="92"/>
      <c r="DO57" s="92"/>
      <c r="DP57" s="92"/>
      <c r="DQ57" s="92"/>
      <c r="DR57" s="93">
        <f t="shared" si="25"/>
        <v>0</v>
      </c>
      <c r="DS57" s="90"/>
      <c r="DT57" s="91"/>
      <c r="DU57" s="92"/>
      <c r="DV57" s="92"/>
      <c r="DW57" s="92"/>
      <c r="DX57" s="92"/>
      <c r="DY57" s="92"/>
      <c r="DZ57" s="92"/>
      <c r="EA57" s="93">
        <f t="shared" si="26"/>
        <v>0</v>
      </c>
      <c r="EB57" s="95">
        <f t="shared" si="27"/>
        <v>0</v>
      </c>
      <c r="EC57" s="96">
        <f t="shared" si="28"/>
        <v>0</v>
      </c>
      <c r="ED57" s="97">
        <f t="shared" si="29"/>
        <v>0</v>
      </c>
    </row>
    <row r="58" spans="1:134" ht="21.95" customHeight="1" x14ac:dyDescent="0.5">
      <c r="A58" s="83">
        <v>28</v>
      </c>
      <c r="B58" s="98" t="s">
        <v>143</v>
      </c>
      <c r="C58" s="99" t="s">
        <v>144</v>
      </c>
      <c r="D58" s="100" t="s">
        <v>145</v>
      </c>
      <c r="E58" s="100" t="s">
        <v>146</v>
      </c>
      <c r="F58" s="87" t="s">
        <v>56</v>
      </c>
      <c r="G58" s="88" t="s">
        <v>57</v>
      </c>
      <c r="H58" s="89">
        <v>1.025124728795955E-2</v>
      </c>
      <c r="I58" s="90">
        <f t="shared" si="30"/>
        <v>18921.890055917585</v>
      </c>
      <c r="J58" s="91">
        <f t="shared" si="9"/>
        <v>14286.237475311442</v>
      </c>
      <c r="K58" s="92">
        <v>3340</v>
      </c>
      <c r="L58" s="92">
        <v>2368</v>
      </c>
      <c r="M58" s="92">
        <v>10200</v>
      </c>
      <c r="N58" s="92">
        <v>7543.2</v>
      </c>
      <c r="O58" s="92">
        <v>16080</v>
      </c>
      <c r="P58" s="92">
        <v>11769.199999999999</v>
      </c>
      <c r="Q58" s="93">
        <f t="shared" si="31"/>
        <v>0.82381382924221824</v>
      </c>
      <c r="R58" s="94">
        <v>18921.890055917607</v>
      </c>
      <c r="S58" s="91">
        <v>14286.240732973309</v>
      </c>
      <c r="T58" s="92">
        <v>6920</v>
      </c>
      <c r="U58" s="92">
        <v>5026.3999999999996</v>
      </c>
      <c r="V58" s="92">
        <v>11480</v>
      </c>
      <c r="W58" s="92">
        <v>8254.4</v>
      </c>
      <c r="X58" s="92">
        <v>18080</v>
      </c>
      <c r="Y58" s="92">
        <v>13152.4</v>
      </c>
      <c r="Z58" s="93">
        <f t="shared" si="32"/>
        <v>0.92063407343008352</v>
      </c>
      <c r="AA58" s="94">
        <v>18921.890055917607</v>
      </c>
      <c r="AB58" s="91">
        <v>14286.240732973309</v>
      </c>
      <c r="AC58" s="92">
        <v>3740</v>
      </c>
      <c r="AD58" s="92">
        <v>2696</v>
      </c>
      <c r="AE58" s="92">
        <v>11460</v>
      </c>
      <c r="AF58" s="92">
        <v>8378.4</v>
      </c>
      <c r="AG58" s="92"/>
      <c r="AH58" s="92"/>
      <c r="AI58" s="93">
        <f t="shared" si="33"/>
        <v>0</v>
      </c>
      <c r="AJ58" s="95">
        <f t="shared" si="10"/>
        <v>42858.718941258063</v>
      </c>
      <c r="AK58" s="96">
        <f t="shared" si="34"/>
        <v>24921.599999999999</v>
      </c>
      <c r="AL58" s="97">
        <f t="shared" si="11"/>
        <v>0.58148261580467242</v>
      </c>
      <c r="AN58" s="89">
        <v>8.1545685312569872E-3</v>
      </c>
      <c r="AO58" s="90"/>
      <c r="AP58" s="91"/>
      <c r="AQ58" s="92"/>
      <c r="AR58" s="92"/>
      <c r="AS58" s="92"/>
      <c r="AT58" s="92"/>
      <c r="AU58" s="92"/>
      <c r="AV58" s="92"/>
      <c r="AW58" s="93">
        <f t="shared" si="12"/>
        <v>0</v>
      </c>
      <c r="AX58" s="90"/>
      <c r="AY58" s="91"/>
      <c r="AZ58" s="92"/>
      <c r="BA58" s="92"/>
      <c r="BB58" s="92"/>
      <c r="BC58" s="92"/>
      <c r="BD58" s="92"/>
      <c r="BE58" s="92"/>
      <c r="BF58" s="93">
        <f t="shared" si="13"/>
        <v>0</v>
      </c>
      <c r="BG58" s="90"/>
      <c r="BH58" s="91"/>
      <c r="BI58" s="92"/>
      <c r="BJ58" s="92"/>
      <c r="BK58" s="92"/>
      <c r="BL58" s="92"/>
      <c r="BM58" s="92"/>
      <c r="BN58" s="92"/>
      <c r="BO58" s="93">
        <f t="shared" si="14"/>
        <v>0</v>
      </c>
      <c r="BP58" s="95">
        <f t="shared" si="15"/>
        <v>0</v>
      </c>
      <c r="BQ58" s="96">
        <f t="shared" si="16"/>
        <v>0</v>
      </c>
      <c r="BR58" s="97">
        <f t="shared" si="17"/>
        <v>0</v>
      </c>
      <c r="BT58" s="89"/>
      <c r="BU58" s="90"/>
      <c r="BV58" s="91"/>
      <c r="BW58" s="92"/>
      <c r="BX58" s="92"/>
      <c r="BY58" s="92"/>
      <c r="BZ58" s="92"/>
      <c r="CA58" s="92"/>
      <c r="CB58" s="92"/>
      <c r="CC58" s="93">
        <f t="shared" si="18"/>
        <v>0</v>
      </c>
      <c r="CD58" s="90"/>
      <c r="CE58" s="91"/>
      <c r="CF58" s="92"/>
      <c r="CG58" s="92"/>
      <c r="CH58" s="92"/>
      <c r="CI58" s="92"/>
      <c r="CJ58" s="92"/>
      <c r="CK58" s="92"/>
      <c r="CL58" s="93">
        <f t="shared" si="19"/>
        <v>0</v>
      </c>
      <c r="CM58" s="90"/>
      <c r="CN58" s="91"/>
      <c r="CO58" s="92"/>
      <c r="CP58" s="92"/>
      <c r="CQ58" s="92"/>
      <c r="CR58" s="92"/>
      <c r="CS58" s="92"/>
      <c r="CT58" s="92"/>
      <c r="CU58" s="93">
        <f t="shared" si="20"/>
        <v>0</v>
      </c>
      <c r="CV58" s="95">
        <f t="shared" si="21"/>
        <v>0</v>
      </c>
      <c r="CW58" s="96">
        <f t="shared" si="22"/>
        <v>0</v>
      </c>
      <c r="CX58" s="97">
        <f t="shared" si="23"/>
        <v>0</v>
      </c>
      <c r="CZ58" s="89"/>
      <c r="DA58" s="90"/>
      <c r="DB58" s="91"/>
      <c r="DC58" s="92"/>
      <c r="DD58" s="92"/>
      <c r="DE58" s="92"/>
      <c r="DF58" s="92"/>
      <c r="DG58" s="92"/>
      <c r="DH58" s="92"/>
      <c r="DI58" s="93">
        <f t="shared" si="24"/>
        <v>0</v>
      </c>
      <c r="DJ58" s="90"/>
      <c r="DK58" s="91"/>
      <c r="DL58" s="92"/>
      <c r="DM58" s="92"/>
      <c r="DN58" s="92"/>
      <c r="DO58" s="92"/>
      <c r="DP58" s="92"/>
      <c r="DQ58" s="92"/>
      <c r="DR58" s="93">
        <f t="shared" si="25"/>
        <v>0</v>
      </c>
      <c r="DS58" s="90"/>
      <c r="DT58" s="91"/>
      <c r="DU58" s="92"/>
      <c r="DV58" s="92"/>
      <c r="DW58" s="92"/>
      <c r="DX58" s="92"/>
      <c r="DY58" s="92"/>
      <c r="DZ58" s="92"/>
      <c r="EA58" s="93">
        <f t="shared" si="26"/>
        <v>0</v>
      </c>
      <c r="EB58" s="95">
        <f t="shared" si="27"/>
        <v>0</v>
      </c>
      <c r="EC58" s="96">
        <f t="shared" si="28"/>
        <v>0</v>
      </c>
      <c r="ED58" s="97">
        <f t="shared" si="29"/>
        <v>0</v>
      </c>
    </row>
    <row r="59" spans="1:134" ht="21.95" customHeight="1" x14ac:dyDescent="0.5">
      <c r="A59" s="83">
        <v>29</v>
      </c>
      <c r="B59" s="98" t="s">
        <v>147</v>
      </c>
      <c r="C59" s="99" t="s">
        <v>148</v>
      </c>
      <c r="D59" s="100" t="s">
        <v>123</v>
      </c>
      <c r="E59" s="100" t="s">
        <v>124</v>
      </c>
      <c r="F59" s="87" t="s">
        <v>56</v>
      </c>
      <c r="G59" s="88" t="s">
        <v>57</v>
      </c>
      <c r="H59" s="89">
        <v>1.1340128691516209E-2</v>
      </c>
      <c r="I59" s="90">
        <f t="shared" si="30"/>
        <v>20931.761988890277</v>
      </c>
      <c r="J59" s="91">
        <f t="shared" si="9"/>
        <v>15803.713142095126</v>
      </c>
      <c r="K59" s="92">
        <v>4530</v>
      </c>
      <c r="L59" s="92">
        <v>3523.2</v>
      </c>
      <c r="M59" s="92">
        <v>7470</v>
      </c>
      <c r="N59" s="92">
        <v>5922</v>
      </c>
      <c r="O59" s="92">
        <v>12210</v>
      </c>
      <c r="P59" s="92">
        <v>9682.8000000000011</v>
      </c>
      <c r="Q59" s="93">
        <f t="shared" si="31"/>
        <v>0.61269145503588496</v>
      </c>
      <c r="R59" s="94">
        <v>20931.761988890299</v>
      </c>
      <c r="S59" s="91">
        <v>15803.716745783904</v>
      </c>
      <c r="T59" s="92">
        <v>2680</v>
      </c>
      <c r="U59" s="92">
        <v>2189.1999999999998</v>
      </c>
      <c r="V59" s="92">
        <v>4630</v>
      </c>
      <c r="W59" s="92">
        <v>4063.6</v>
      </c>
      <c r="X59" s="92">
        <v>6520</v>
      </c>
      <c r="Y59" s="92">
        <v>5878</v>
      </c>
      <c r="Z59" s="93">
        <f t="shared" si="32"/>
        <v>0.37193782289018346</v>
      </c>
      <c r="AA59" s="94">
        <v>20931.761988890299</v>
      </c>
      <c r="AB59" s="91">
        <v>15803.716745783904</v>
      </c>
      <c r="AC59" s="92">
        <v>2630</v>
      </c>
      <c r="AD59" s="92">
        <v>2114</v>
      </c>
      <c r="AE59" s="92">
        <v>4820</v>
      </c>
      <c r="AF59" s="92">
        <v>3758.8</v>
      </c>
      <c r="AG59" s="92"/>
      <c r="AH59" s="92"/>
      <c r="AI59" s="93">
        <f t="shared" si="33"/>
        <v>0</v>
      </c>
      <c r="AJ59" s="95">
        <f t="shared" si="10"/>
        <v>47411.146633662931</v>
      </c>
      <c r="AK59" s="96">
        <f t="shared" si="34"/>
        <v>15560.800000000001</v>
      </c>
      <c r="AL59" s="97">
        <f t="shared" si="11"/>
        <v>0.32820973768543071</v>
      </c>
      <c r="AN59" s="89">
        <v>1.3101943235704464E-2</v>
      </c>
      <c r="AO59" s="90"/>
      <c r="AP59" s="91"/>
      <c r="AQ59" s="92"/>
      <c r="AR59" s="92"/>
      <c r="AS59" s="92"/>
      <c r="AT59" s="92"/>
      <c r="AU59" s="92"/>
      <c r="AV59" s="92"/>
      <c r="AW59" s="93">
        <f t="shared" si="12"/>
        <v>0</v>
      </c>
      <c r="AX59" s="90"/>
      <c r="AY59" s="91"/>
      <c r="AZ59" s="92"/>
      <c r="BA59" s="92"/>
      <c r="BB59" s="92"/>
      <c r="BC59" s="92"/>
      <c r="BD59" s="92"/>
      <c r="BE59" s="92"/>
      <c r="BF59" s="93">
        <f t="shared" si="13"/>
        <v>0</v>
      </c>
      <c r="BG59" s="90"/>
      <c r="BH59" s="91"/>
      <c r="BI59" s="92"/>
      <c r="BJ59" s="92"/>
      <c r="BK59" s="92"/>
      <c r="BL59" s="92"/>
      <c r="BM59" s="92"/>
      <c r="BN59" s="92"/>
      <c r="BO59" s="93">
        <f t="shared" si="14"/>
        <v>0</v>
      </c>
      <c r="BP59" s="95">
        <f t="shared" si="15"/>
        <v>0</v>
      </c>
      <c r="BQ59" s="96">
        <f t="shared" si="16"/>
        <v>0</v>
      </c>
      <c r="BR59" s="97">
        <f t="shared" si="17"/>
        <v>0</v>
      </c>
      <c r="BT59" s="89"/>
      <c r="BU59" s="90"/>
      <c r="BV59" s="91"/>
      <c r="BW59" s="92"/>
      <c r="BX59" s="92"/>
      <c r="BY59" s="92"/>
      <c r="BZ59" s="92"/>
      <c r="CA59" s="92"/>
      <c r="CB59" s="92"/>
      <c r="CC59" s="93">
        <f t="shared" si="18"/>
        <v>0</v>
      </c>
      <c r="CD59" s="90"/>
      <c r="CE59" s="91"/>
      <c r="CF59" s="92"/>
      <c r="CG59" s="92"/>
      <c r="CH59" s="92"/>
      <c r="CI59" s="92"/>
      <c r="CJ59" s="92"/>
      <c r="CK59" s="92"/>
      <c r="CL59" s="93">
        <f t="shared" si="19"/>
        <v>0</v>
      </c>
      <c r="CM59" s="90"/>
      <c r="CN59" s="91"/>
      <c r="CO59" s="92"/>
      <c r="CP59" s="92"/>
      <c r="CQ59" s="92"/>
      <c r="CR59" s="92"/>
      <c r="CS59" s="92"/>
      <c r="CT59" s="92"/>
      <c r="CU59" s="93">
        <f t="shared" si="20"/>
        <v>0</v>
      </c>
      <c r="CV59" s="95">
        <f t="shared" si="21"/>
        <v>0</v>
      </c>
      <c r="CW59" s="96">
        <f t="shared" si="22"/>
        <v>0</v>
      </c>
      <c r="CX59" s="97">
        <f t="shared" si="23"/>
        <v>0</v>
      </c>
      <c r="CZ59" s="89"/>
      <c r="DA59" s="90"/>
      <c r="DB59" s="91"/>
      <c r="DC59" s="92"/>
      <c r="DD59" s="92"/>
      <c r="DE59" s="92"/>
      <c r="DF59" s="92"/>
      <c r="DG59" s="92"/>
      <c r="DH59" s="92"/>
      <c r="DI59" s="93">
        <f t="shared" si="24"/>
        <v>0</v>
      </c>
      <c r="DJ59" s="90"/>
      <c r="DK59" s="91"/>
      <c r="DL59" s="92"/>
      <c r="DM59" s="92"/>
      <c r="DN59" s="92"/>
      <c r="DO59" s="92"/>
      <c r="DP59" s="92"/>
      <c r="DQ59" s="92"/>
      <c r="DR59" s="93">
        <f t="shared" si="25"/>
        <v>0</v>
      </c>
      <c r="DS59" s="90"/>
      <c r="DT59" s="91"/>
      <c r="DU59" s="92"/>
      <c r="DV59" s="92"/>
      <c r="DW59" s="92"/>
      <c r="DX59" s="92"/>
      <c r="DY59" s="92"/>
      <c r="DZ59" s="92"/>
      <c r="EA59" s="93">
        <f t="shared" si="26"/>
        <v>0</v>
      </c>
      <c r="EB59" s="95">
        <f t="shared" si="27"/>
        <v>0</v>
      </c>
      <c r="EC59" s="96">
        <f t="shared" si="28"/>
        <v>0</v>
      </c>
      <c r="ED59" s="97">
        <f t="shared" si="29"/>
        <v>0</v>
      </c>
    </row>
    <row r="60" spans="1:134" ht="21.95" customHeight="1" x14ac:dyDescent="0.5">
      <c r="A60" s="83">
        <v>30</v>
      </c>
      <c r="B60" s="98" t="s">
        <v>149</v>
      </c>
      <c r="C60" s="99" t="s">
        <v>150</v>
      </c>
      <c r="D60" s="100" t="s">
        <v>151</v>
      </c>
      <c r="E60" s="100" t="s">
        <v>152</v>
      </c>
      <c r="F60" s="87" t="s">
        <v>56</v>
      </c>
      <c r="G60" s="88" t="s">
        <v>57</v>
      </c>
      <c r="H60" s="89">
        <v>1.0831950783159121E-2</v>
      </c>
      <c r="I60" s="90">
        <f t="shared" si="30"/>
        <v>19993.760373996749</v>
      </c>
      <c r="J60" s="91">
        <f t="shared" si="9"/>
        <v>15095.511488719396</v>
      </c>
      <c r="K60" s="92">
        <v>4160</v>
      </c>
      <c r="L60" s="92">
        <v>2732</v>
      </c>
      <c r="M60" s="92">
        <v>10368</v>
      </c>
      <c r="N60" s="92">
        <v>7388.4</v>
      </c>
      <c r="O60" s="92">
        <v>14008</v>
      </c>
      <c r="P60" s="92">
        <v>9908.4</v>
      </c>
      <c r="Q60" s="93">
        <f t="shared" si="31"/>
        <v>0.65638054115651323</v>
      </c>
      <c r="R60" s="94">
        <v>19993.760373996767</v>
      </c>
      <c r="S60" s="91">
        <v>15095.514930918382</v>
      </c>
      <c r="T60" s="92">
        <v>3640</v>
      </c>
      <c r="U60" s="92">
        <v>2520</v>
      </c>
      <c r="V60" s="92">
        <v>10880</v>
      </c>
      <c r="W60" s="92">
        <v>8568</v>
      </c>
      <c r="X60" s="92">
        <v>10880</v>
      </c>
      <c r="Y60" s="92">
        <v>8568</v>
      </c>
      <c r="Z60" s="93">
        <f t="shared" si="32"/>
        <v>0.56758580540046144</v>
      </c>
      <c r="AA60" s="94">
        <v>19993.760373996767</v>
      </c>
      <c r="AB60" s="91">
        <v>15095.514930918382</v>
      </c>
      <c r="AC60" s="92">
        <v>4120</v>
      </c>
      <c r="AD60" s="92">
        <v>3048</v>
      </c>
      <c r="AE60" s="92">
        <v>11620</v>
      </c>
      <c r="AF60" s="92">
        <v>8780</v>
      </c>
      <c r="AG60" s="92"/>
      <c r="AH60" s="92"/>
      <c r="AI60" s="93">
        <f t="shared" si="33"/>
        <v>0</v>
      </c>
      <c r="AJ60" s="95">
        <f t="shared" si="10"/>
        <v>45286.541350556159</v>
      </c>
      <c r="AK60" s="96">
        <f t="shared" si="34"/>
        <v>18476.400000000001</v>
      </c>
      <c r="AL60" s="97">
        <f t="shared" si="11"/>
        <v>0.40798876330557082</v>
      </c>
      <c r="AN60" s="89">
        <v>8.993295244955752E-3</v>
      </c>
      <c r="AO60" s="90"/>
      <c r="AP60" s="91"/>
      <c r="AQ60" s="92"/>
      <c r="AR60" s="92"/>
      <c r="AS60" s="92"/>
      <c r="AT60" s="92"/>
      <c r="AU60" s="92"/>
      <c r="AV60" s="92"/>
      <c r="AW60" s="93">
        <f t="shared" si="12"/>
        <v>0</v>
      </c>
      <c r="AX60" s="90"/>
      <c r="AY60" s="91"/>
      <c r="AZ60" s="92"/>
      <c r="BA60" s="92"/>
      <c r="BB60" s="92"/>
      <c r="BC60" s="92"/>
      <c r="BD60" s="92"/>
      <c r="BE60" s="92"/>
      <c r="BF60" s="93">
        <f t="shared" si="13"/>
        <v>0</v>
      </c>
      <c r="BG60" s="90"/>
      <c r="BH60" s="91"/>
      <c r="BI60" s="92"/>
      <c r="BJ60" s="92"/>
      <c r="BK60" s="92"/>
      <c r="BL60" s="92"/>
      <c r="BM60" s="92"/>
      <c r="BN60" s="92"/>
      <c r="BO60" s="93">
        <f t="shared" si="14"/>
        <v>0</v>
      </c>
      <c r="BP60" s="95">
        <f t="shared" si="15"/>
        <v>0</v>
      </c>
      <c r="BQ60" s="96">
        <f t="shared" si="16"/>
        <v>0</v>
      </c>
      <c r="BR60" s="97">
        <f t="shared" si="17"/>
        <v>0</v>
      </c>
      <c r="BT60" s="89"/>
      <c r="BU60" s="90"/>
      <c r="BV60" s="91"/>
      <c r="BW60" s="92"/>
      <c r="BX60" s="92"/>
      <c r="BY60" s="92"/>
      <c r="BZ60" s="92"/>
      <c r="CA60" s="92"/>
      <c r="CB60" s="92"/>
      <c r="CC60" s="93">
        <f t="shared" si="18"/>
        <v>0</v>
      </c>
      <c r="CD60" s="90"/>
      <c r="CE60" s="91"/>
      <c r="CF60" s="92"/>
      <c r="CG60" s="92"/>
      <c r="CH60" s="92"/>
      <c r="CI60" s="92"/>
      <c r="CJ60" s="92"/>
      <c r="CK60" s="92"/>
      <c r="CL60" s="93">
        <f t="shared" si="19"/>
        <v>0</v>
      </c>
      <c r="CM60" s="90"/>
      <c r="CN60" s="91"/>
      <c r="CO60" s="92"/>
      <c r="CP60" s="92"/>
      <c r="CQ60" s="92"/>
      <c r="CR60" s="92"/>
      <c r="CS60" s="92"/>
      <c r="CT60" s="92"/>
      <c r="CU60" s="93">
        <f t="shared" si="20"/>
        <v>0</v>
      </c>
      <c r="CV60" s="95">
        <f t="shared" si="21"/>
        <v>0</v>
      </c>
      <c r="CW60" s="96">
        <f t="shared" si="22"/>
        <v>0</v>
      </c>
      <c r="CX60" s="97">
        <f t="shared" si="23"/>
        <v>0</v>
      </c>
      <c r="CZ60" s="89"/>
      <c r="DA60" s="90"/>
      <c r="DB60" s="91"/>
      <c r="DC60" s="92"/>
      <c r="DD60" s="92"/>
      <c r="DE60" s="92"/>
      <c r="DF60" s="92"/>
      <c r="DG60" s="92"/>
      <c r="DH60" s="92"/>
      <c r="DI60" s="93">
        <f t="shared" si="24"/>
        <v>0</v>
      </c>
      <c r="DJ60" s="90"/>
      <c r="DK60" s="91"/>
      <c r="DL60" s="92"/>
      <c r="DM60" s="92"/>
      <c r="DN60" s="92"/>
      <c r="DO60" s="92"/>
      <c r="DP60" s="92"/>
      <c r="DQ60" s="92"/>
      <c r="DR60" s="93">
        <f t="shared" si="25"/>
        <v>0</v>
      </c>
      <c r="DS60" s="90"/>
      <c r="DT60" s="91"/>
      <c r="DU60" s="92"/>
      <c r="DV60" s="92"/>
      <c r="DW60" s="92"/>
      <c r="DX60" s="92"/>
      <c r="DY60" s="92"/>
      <c r="DZ60" s="92"/>
      <c r="EA60" s="93">
        <f t="shared" si="26"/>
        <v>0</v>
      </c>
      <c r="EB60" s="95">
        <f t="shared" si="27"/>
        <v>0</v>
      </c>
      <c r="EC60" s="96">
        <f t="shared" si="28"/>
        <v>0</v>
      </c>
      <c r="ED60" s="97">
        <f t="shared" si="29"/>
        <v>0</v>
      </c>
    </row>
    <row r="61" spans="1:134" ht="21.95" customHeight="1" x14ac:dyDescent="0.5">
      <c r="A61" s="83">
        <v>31</v>
      </c>
      <c r="B61" s="98" t="s">
        <v>153</v>
      </c>
      <c r="C61" s="99" t="s">
        <v>154</v>
      </c>
      <c r="D61" s="100" t="s">
        <v>116</v>
      </c>
      <c r="E61" s="100" t="s">
        <v>117</v>
      </c>
      <c r="F61" s="87" t="s">
        <v>56</v>
      </c>
      <c r="G61" s="88" t="s">
        <v>57</v>
      </c>
      <c r="H61" s="89">
        <v>7.1829261400720478E-3</v>
      </c>
      <c r="I61" s="90">
        <f t="shared" si="30"/>
        <v>13258.341632423224</v>
      </c>
      <c r="J61" s="91">
        <f t="shared" si="9"/>
        <v>10010.19541546117</v>
      </c>
      <c r="K61" s="92">
        <v>5210</v>
      </c>
      <c r="L61" s="92">
        <v>3492.4</v>
      </c>
      <c r="M61" s="92">
        <v>8960</v>
      </c>
      <c r="N61" s="92">
        <v>5877.6</v>
      </c>
      <c r="O61" s="92">
        <v>9020</v>
      </c>
      <c r="P61" s="92">
        <v>5937.6</v>
      </c>
      <c r="Q61" s="93">
        <f t="shared" si="31"/>
        <v>0.593155253575682</v>
      </c>
      <c r="R61" s="94">
        <v>13258.341632423238</v>
      </c>
      <c r="S61" s="91">
        <v>10010.197698065807</v>
      </c>
      <c r="T61" s="92">
        <v>7310</v>
      </c>
      <c r="U61" s="92">
        <v>4908</v>
      </c>
      <c r="V61" s="92">
        <v>7310</v>
      </c>
      <c r="W61" s="92">
        <v>4908</v>
      </c>
      <c r="X61" s="92">
        <v>11360</v>
      </c>
      <c r="Y61" s="92">
        <v>7442</v>
      </c>
      <c r="Z61" s="93">
        <f t="shared" si="32"/>
        <v>0.74344186043777738</v>
      </c>
      <c r="AA61" s="94">
        <v>13258.341632423238</v>
      </c>
      <c r="AB61" s="91">
        <v>10010.197698065807</v>
      </c>
      <c r="AC61" s="92">
        <v>6060</v>
      </c>
      <c r="AD61" s="92">
        <v>4014.8</v>
      </c>
      <c r="AE61" s="92">
        <v>6060</v>
      </c>
      <c r="AF61" s="92">
        <v>4014.8</v>
      </c>
      <c r="AG61" s="92"/>
      <c r="AH61" s="92"/>
      <c r="AI61" s="93">
        <f t="shared" si="33"/>
        <v>0</v>
      </c>
      <c r="AJ61" s="95">
        <f t="shared" si="10"/>
        <v>30030.590811592785</v>
      </c>
      <c r="AK61" s="96">
        <f t="shared" si="34"/>
        <v>13379.6</v>
      </c>
      <c r="AL61" s="97">
        <f t="shared" si="11"/>
        <v>0.44553236011710562</v>
      </c>
      <c r="AN61" s="89">
        <v>8.0807120172642129E-3</v>
      </c>
      <c r="AO61" s="90"/>
      <c r="AP61" s="91"/>
      <c r="AQ61" s="92"/>
      <c r="AR61" s="92"/>
      <c r="AS61" s="92"/>
      <c r="AT61" s="92"/>
      <c r="AU61" s="92"/>
      <c r="AV61" s="92"/>
      <c r="AW61" s="93">
        <f t="shared" si="12"/>
        <v>0</v>
      </c>
      <c r="AX61" s="90"/>
      <c r="AY61" s="91"/>
      <c r="AZ61" s="92"/>
      <c r="BA61" s="92"/>
      <c r="BB61" s="92"/>
      <c r="BC61" s="92"/>
      <c r="BD61" s="92"/>
      <c r="BE61" s="92"/>
      <c r="BF61" s="93">
        <f t="shared" si="13"/>
        <v>0</v>
      </c>
      <c r="BG61" s="90"/>
      <c r="BH61" s="91"/>
      <c r="BI61" s="92"/>
      <c r="BJ61" s="92"/>
      <c r="BK61" s="92"/>
      <c r="BL61" s="92"/>
      <c r="BM61" s="92"/>
      <c r="BN61" s="92"/>
      <c r="BO61" s="93">
        <f t="shared" si="14"/>
        <v>0</v>
      </c>
      <c r="BP61" s="95">
        <f t="shared" si="15"/>
        <v>0</v>
      </c>
      <c r="BQ61" s="96">
        <f t="shared" si="16"/>
        <v>0</v>
      </c>
      <c r="BR61" s="97">
        <f t="shared" si="17"/>
        <v>0</v>
      </c>
      <c r="BT61" s="89"/>
      <c r="BU61" s="90"/>
      <c r="BV61" s="91"/>
      <c r="BW61" s="92"/>
      <c r="BX61" s="92"/>
      <c r="BY61" s="92"/>
      <c r="BZ61" s="92"/>
      <c r="CA61" s="92"/>
      <c r="CB61" s="92"/>
      <c r="CC61" s="93">
        <f t="shared" si="18"/>
        <v>0</v>
      </c>
      <c r="CD61" s="90"/>
      <c r="CE61" s="91"/>
      <c r="CF61" s="92"/>
      <c r="CG61" s="92"/>
      <c r="CH61" s="92"/>
      <c r="CI61" s="92"/>
      <c r="CJ61" s="92"/>
      <c r="CK61" s="92"/>
      <c r="CL61" s="93">
        <f t="shared" si="19"/>
        <v>0</v>
      </c>
      <c r="CM61" s="90"/>
      <c r="CN61" s="91"/>
      <c r="CO61" s="92"/>
      <c r="CP61" s="92"/>
      <c r="CQ61" s="92"/>
      <c r="CR61" s="92"/>
      <c r="CS61" s="92"/>
      <c r="CT61" s="92"/>
      <c r="CU61" s="93">
        <f t="shared" si="20"/>
        <v>0</v>
      </c>
      <c r="CV61" s="95">
        <f t="shared" si="21"/>
        <v>0</v>
      </c>
      <c r="CW61" s="96">
        <f t="shared" si="22"/>
        <v>0</v>
      </c>
      <c r="CX61" s="97">
        <f t="shared" si="23"/>
        <v>0</v>
      </c>
      <c r="CZ61" s="89"/>
      <c r="DA61" s="90"/>
      <c r="DB61" s="91"/>
      <c r="DC61" s="92"/>
      <c r="DD61" s="92"/>
      <c r="DE61" s="92"/>
      <c r="DF61" s="92"/>
      <c r="DG61" s="92"/>
      <c r="DH61" s="92"/>
      <c r="DI61" s="93">
        <f t="shared" si="24"/>
        <v>0</v>
      </c>
      <c r="DJ61" s="90"/>
      <c r="DK61" s="91"/>
      <c r="DL61" s="92"/>
      <c r="DM61" s="92"/>
      <c r="DN61" s="92"/>
      <c r="DO61" s="92"/>
      <c r="DP61" s="92"/>
      <c r="DQ61" s="92"/>
      <c r="DR61" s="93">
        <f t="shared" si="25"/>
        <v>0</v>
      </c>
      <c r="DS61" s="90"/>
      <c r="DT61" s="91"/>
      <c r="DU61" s="92"/>
      <c r="DV61" s="92"/>
      <c r="DW61" s="92"/>
      <c r="DX61" s="92"/>
      <c r="DY61" s="92"/>
      <c r="DZ61" s="92"/>
      <c r="EA61" s="93">
        <f t="shared" si="26"/>
        <v>0</v>
      </c>
      <c r="EB61" s="95">
        <f t="shared" si="27"/>
        <v>0</v>
      </c>
      <c r="EC61" s="96">
        <f t="shared" si="28"/>
        <v>0</v>
      </c>
      <c r="ED61" s="97">
        <f t="shared" si="29"/>
        <v>0</v>
      </c>
    </row>
    <row r="62" spans="1:134" ht="21.95" customHeight="1" x14ac:dyDescent="0.5">
      <c r="A62" s="83">
        <v>32</v>
      </c>
      <c r="B62" s="98" t="s">
        <v>155</v>
      </c>
      <c r="C62" s="99" t="s">
        <v>156</v>
      </c>
      <c r="D62" s="100" t="s">
        <v>157</v>
      </c>
      <c r="E62" s="100" t="s">
        <v>158</v>
      </c>
      <c r="F62" s="87" t="s">
        <v>56</v>
      </c>
      <c r="G62" s="88" t="s">
        <v>57</v>
      </c>
      <c r="H62" s="89">
        <v>7.8826434249594859E-3</v>
      </c>
      <c r="I62" s="90">
        <f t="shared" si="30"/>
        <v>14549.889203460369</v>
      </c>
      <c r="J62" s="91">
        <f t="shared" si="9"/>
        <v>10985.328198495596</v>
      </c>
      <c r="K62" s="92">
        <v>2700</v>
      </c>
      <c r="L62" s="92">
        <v>1764</v>
      </c>
      <c r="M62" s="92">
        <v>11030</v>
      </c>
      <c r="N62" s="92">
        <v>7246.4</v>
      </c>
      <c r="O62" s="92">
        <v>13780</v>
      </c>
      <c r="P62" s="92">
        <v>9114.4</v>
      </c>
      <c r="Q62" s="93">
        <f t="shared" si="31"/>
        <v>0.82968845675891478</v>
      </c>
      <c r="R62" s="94">
        <v>14549.889203460383</v>
      </c>
      <c r="S62" s="91">
        <v>10985.330703457788</v>
      </c>
      <c r="T62" s="92">
        <v>5900</v>
      </c>
      <c r="U62" s="92">
        <v>3819.2</v>
      </c>
      <c r="V62" s="92">
        <v>8640</v>
      </c>
      <c r="W62" s="92">
        <v>5594.4</v>
      </c>
      <c r="X62" s="92">
        <v>15020</v>
      </c>
      <c r="Y62" s="92">
        <v>9864.7999999999993</v>
      </c>
      <c r="Z62" s="93">
        <f t="shared" si="32"/>
        <v>0.89799754475255933</v>
      </c>
      <c r="AA62" s="94">
        <v>14549.889203460383</v>
      </c>
      <c r="AB62" s="91">
        <v>10985.330703457788</v>
      </c>
      <c r="AC62" s="92">
        <v>3460</v>
      </c>
      <c r="AD62" s="92">
        <v>2300.8000000000002</v>
      </c>
      <c r="AE62" s="92">
        <v>9420</v>
      </c>
      <c r="AF62" s="92">
        <v>6244.8</v>
      </c>
      <c r="AG62" s="92"/>
      <c r="AH62" s="92"/>
      <c r="AI62" s="93">
        <f t="shared" si="33"/>
        <v>0</v>
      </c>
      <c r="AJ62" s="95">
        <f t="shared" si="10"/>
        <v>32955.989605411174</v>
      </c>
      <c r="AK62" s="96">
        <f t="shared" si="34"/>
        <v>18979.199999999997</v>
      </c>
      <c r="AL62" s="97">
        <f t="shared" si="11"/>
        <v>0.57589531454651655</v>
      </c>
      <c r="AN62" s="89">
        <v>7.6537606624018746E-3</v>
      </c>
      <c r="AO62" s="90"/>
      <c r="AP62" s="91"/>
      <c r="AQ62" s="92"/>
      <c r="AR62" s="92"/>
      <c r="AS62" s="92"/>
      <c r="AT62" s="92"/>
      <c r="AU62" s="92"/>
      <c r="AV62" s="92"/>
      <c r="AW62" s="93">
        <f t="shared" si="12"/>
        <v>0</v>
      </c>
      <c r="AX62" s="90"/>
      <c r="AY62" s="91"/>
      <c r="AZ62" s="92"/>
      <c r="BA62" s="92"/>
      <c r="BB62" s="92"/>
      <c r="BC62" s="92"/>
      <c r="BD62" s="92"/>
      <c r="BE62" s="92"/>
      <c r="BF62" s="93">
        <f t="shared" si="13"/>
        <v>0</v>
      </c>
      <c r="BG62" s="90"/>
      <c r="BH62" s="91"/>
      <c r="BI62" s="92"/>
      <c r="BJ62" s="92"/>
      <c r="BK62" s="92"/>
      <c r="BL62" s="92"/>
      <c r="BM62" s="92"/>
      <c r="BN62" s="92"/>
      <c r="BO62" s="93">
        <f t="shared" si="14"/>
        <v>0</v>
      </c>
      <c r="BP62" s="95">
        <f t="shared" si="15"/>
        <v>0</v>
      </c>
      <c r="BQ62" s="96">
        <f t="shared" si="16"/>
        <v>0</v>
      </c>
      <c r="BR62" s="97">
        <f t="shared" si="17"/>
        <v>0</v>
      </c>
      <c r="BT62" s="89"/>
      <c r="BU62" s="90"/>
      <c r="BV62" s="91"/>
      <c r="BW62" s="92"/>
      <c r="BX62" s="92"/>
      <c r="BY62" s="92"/>
      <c r="BZ62" s="92"/>
      <c r="CA62" s="92"/>
      <c r="CB62" s="92"/>
      <c r="CC62" s="93">
        <f t="shared" si="18"/>
        <v>0</v>
      </c>
      <c r="CD62" s="90"/>
      <c r="CE62" s="91"/>
      <c r="CF62" s="92"/>
      <c r="CG62" s="92"/>
      <c r="CH62" s="92"/>
      <c r="CI62" s="92"/>
      <c r="CJ62" s="92"/>
      <c r="CK62" s="92"/>
      <c r="CL62" s="93">
        <f t="shared" si="19"/>
        <v>0</v>
      </c>
      <c r="CM62" s="90"/>
      <c r="CN62" s="91"/>
      <c r="CO62" s="92"/>
      <c r="CP62" s="92"/>
      <c r="CQ62" s="92"/>
      <c r="CR62" s="92"/>
      <c r="CS62" s="92"/>
      <c r="CT62" s="92"/>
      <c r="CU62" s="93">
        <f t="shared" si="20"/>
        <v>0</v>
      </c>
      <c r="CV62" s="95">
        <f t="shared" si="21"/>
        <v>0</v>
      </c>
      <c r="CW62" s="96">
        <f t="shared" si="22"/>
        <v>0</v>
      </c>
      <c r="CX62" s="97">
        <f t="shared" si="23"/>
        <v>0</v>
      </c>
      <c r="CZ62" s="89"/>
      <c r="DA62" s="90"/>
      <c r="DB62" s="91"/>
      <c r="DC62" s="92"/>
      <c r="DD62" s="92"/>
      <c r="DE62" s="92"/>
      <c r="DF62" s="92"/>
      <c r="DG62" s="92"/>
      <c r="DH62" s="92"/>
      <c r="DI62" s="93">
        <f t="shared" si="24"/>
        <v>0</v>
      </c>
      <c r="DJ62" s="90"/>
      <c r="DK62" s="91"/>
      <c r="DL62" s="92"/>
      <c r="DM62" s="92"/>
      <c r="DN62" s="92"/>
      <c r="DO62" s="92"/>
      <c r="DP62" s="92"/>
      <c r="DQ62" s="92"/>
      <c r="DR62" s="93">
        <f t="shared" si="25"/>
        <v>0</v>
      </c>
      <c r="DS62" s="90"/>
      <c r="DT62" s="91"/>
      <c r="DU62" s="92"/>
      <c r="DV62" s="92"/>
      <c r="DW62" s="92"/>
      <c r="DX62" s="92"/>
      <c r="DY62" s="92"/>
      <c r="DZ62" s="92"/>
      <c r="EA62" s="93">
        <f t="shared" si="26"/>
        <v>0</v>
      </c>
      <c r="EB62" s="95">
        <f t="shared" si="27"/>
        <v>0</v>
      </c>
      <c r="EC62" s="96">
        <f t="shared" si="28"/>
        <v>0</v>
      </c>
      <c r="ED62" s="97">
        <f t="shared" si="29"/>
        <v>0</v>
      </c>
    </row>
    <row r="63" spans="1:134" ht="21.95" customHeight="1" x14ac:dyDescent="0.5">
      <c r="A63" s="83">
        <v>33</v>
      </c>
      <c r="B63" s="98" t="s">
        <v>159</v>
      </c>
      <c r="C63" s="103" t="s">
        <v>160</v>
      </c>
      <c r="D63" s="99" t="s">
        <v>161</v>
      </c>
      <c r="E63" s="99" t="s">
        <v>61</v>
      </c>
      <c r="F63" s="87" t="s">
        <v>56</v>
      </c>
      <c r="G63" s="88" t="s">
        <v>57</v>
      </c>
      <c r="H63" s="89">
        <v>5.5129920809940209E-3</v>
      </c>
      <c r="I63" s="90">
        <f t="shared" si="30"/>
        <v>10175.95489655549</v>
      </c>
      <c r="J63" s="91">
        <f t="shared" si="9"/>
        <v>7682.9591420644274</v>
      </c>
      <c r="K63" s="92">
        <v>1440</v>
      </c>
      <c r="L63" s="92">
        <v>1137.5999999999999</v>
      </c>
      <c r="M63" s="92">
        <v>3660</v>
      </c>
      <c r="N63" s="92">
        <v>2904</v>
      </c>
      <c r="O63" s="92">
        <v>4680</v>
      </c>
      <c r="P63" s="92">
        <v>3772.8</v>
      </c>
      <c r="Q63" s="93">
        <f t="shared" si="31"/>
        <v>0.49106079184305551</v>
      </c>
      <c r="R63" s="94">
        <v>10175.9548965555</v>
      </c>
      <c r="S63" s="91">
        <v>7682.9608939940772</v>
      </c>
      <c r="T63" s="92">
        <v>3800</v>
      </c>
      <c r="U63" s="92">
        <v>3088.8</v>
      </c>
      <c r="V63" s="92">
        <v>6100</v>
      </c>
      <c r="W63" s="92">
        <v>4932.4000000000005</v>
      </c>
      <c r="X63" s="92">
        <v>7580</v>
      </c>
      <c r="Y63" s="92">
        <v>6080.8</v>
      </c>
      <c r="Z63" s="93">
        <f t="shared" si="32"/>
        <v>0.7914656971316204</v>
      </c>
      <c r="AA63" s="94">
        <v>10175.9548965555</v>
      </c>
      <c r="AB63" s="91">
        <v>7682.9608939940772</v>
      </c>
      <c r="AC63" s="92">
        <v>2860</v>
      </c>
      <c r="AD63" s="92">
        <v>2225.6000000000004</v>
      </c>
      <c r="AE63" s="92">
        <v>5840</v>
      </c>
      <c r="AF63" s="92">
        <v>4444</v>
      </c>
      <c r="AG63" s="92"/>
      <c r="AH63" s="92"/>
      <c r="AI63" s="93">
        <f t="shared" si="33"/>
        <v>0</v>
      </c>
      <c r="AJ63" s="95">
        <f t="shared" si="10"/>
        <v>23048.880930052583</v>
      </c>
      <c r="AK63" s="96">
        <f t="shared" si="34"/>
        <v>9853.6</v>
      </c>
      <c r="AL63" s="97">
        <f t="shared" si="11"/>
        <v>0.42750882482768421</v>
      </c>
      <c r="AN63" s="89">
        <v>6.1897829124355147E-3</v>
      </c>
      <c r="AO63" s="90"/>
      <c r="AP63" s="91"/>
      <c r="AQ63" s="92"/>
      <c r="AR63" s="92"/>
      <c r="AS63" s="92"/>
      <c r="AT63" s="92"/>
      <c r="AU63" s="92"/>
      <c r="AV63" s="92"/>
      <c r="AW63" s="93">
        <f t="shared" si="12"/>
        <v>0</v>
      </c>
      <c r="AX63" s="90"/>
      <c r="AY63" s="91"/>
      <c r="AZ63" s="92"/>
      <c r="BA63" s="92"/>
      <c r="BB63" s="92"/>
      <c r="BC63" s="92"/>
      <c r="BD63" s="92"/>
      <c r="BE63" s="92"/>
      <c r="BF63" s="93">
        <f t="shared" si="13"/>
        <v>0</v>
      </c>
      <c r="BG63" s="90"/>
      <c r="BH63" s="91"/>
      <c r="BI63" s="92"/>
      <c r="BJ63" s="92"/>
      <c r="BK63" s="92"/>
      <c r="BL63" s="92"/>
      <c r="BM63" s="92"/>
      <c r="BN63" s="92"/>
      <c r="BO63" s="93">
        <f t="shared" si="14"/>
        <v>0</v>
      </c>
      <c r="BP63" s="95">
        <f t="shared" si="15"/>
        <v>0</v>
      </c>
      <c r="BQ63" s="96">
        <f t="shared" si="16"/>
        <v>0</v>
      </c>
      <c r="BR63" s="97">
        <f t="shared" si="17"/>
        <v>0</v>
      </c>
      <c r="BT63" s="89"/>
      <c r="BU63" s="90"/>
      <c r="BV63" s="91"/>
      <c r="BW63" s="92"/>
      <c r="BX63" s="92"/>
      <c r="BY63" s="92"/>
      <c r="BZ63" s="92"/>
      <c r="CA63" s="92"/>
      <c r="CB63" s="92"/>
      <c r="CC63" s="93">
        <f t="shared" si="18"/>
        <v>0</v>
      </c>
      <c r="CD63" s="90"/>
      <c r="CE63" s="91"/>
      <c r="CF63" s="92"/>
      <c r="CG63" s="92"/>
      <c r="CH63" s="92"/>
      <c r="CI63" s="92"/>
      <c r="CJ63" s="92"/>
      <c r="CK63" s="92"/>
      <c r="CL63" s="93">
        <f t="shared" si="19"/>
        <v>0</v>
      </c>
      <c r="CM63" s="90"/>
      <c r="CN63" s="91"/>
      <c r="CO63" s="92"/>
      <c r="CP63" s="92"/>
      <c r="CQ63" s="92"/>
      <c r="CR63" s="92"/>
      <c r="CS63" s="92"/>
      <c r="CT63" s="92"/>
      <c r="CU63" s="93">
        <f t="shared" si="20"/>
        <v>0</v>
      </c>
      <c r="CV63" s="95">
        <f t="shared" si="21"/>
        <v>0</v>
      </c>
      <c r="CW63" s="96">
        <f t="shared" si="22"/>
        <v>0</v>
      </c>
      <c r="CX63" s="97">
        <f t="shared" si="23"/>
        <v>0</v>
      </c>
      <c r="CZ63" s="89"/>
      <c r="DA63" s="90"/>
      <c r="DB63" s="91"/>
      <c r="DC63" s="92"/>
      <c r="DD63" s="92"/>
      <c r="DE63" s="92"/>
      <c r="DF63" s="92"/>
      <c r="DG63" s="92"/>
      <c r="DH63" s="92"/>
      <c r="DI63" s="93">
        <f t="shared" si="24"/>
        <v>0</v>
      </c>
      <c r="DJ63" s="90"/>
      <c r="DK63" s="91"/>
      <c r="DL63" s="92"/>
      <c r="DM63" s="92"/>
      <c r="DN63" s="92"/>
      <c r="DO63" s="92"/>
      <c r="DP63" s="92"/>
      <c r="DQ63" s="92"/>
      <c r="DR63" s="93">
        <f t="shared" si="25"/>
        <v>0</v>
      </c>
      <c r="DS63" s="90"/>
      <c r="DT63" s="91"/>
      <c r="DU63" s="92"/>
      <c r="DV63" s="92"/>
      <c r="DW63" s="92"/>
      <c r="DX63" s="92"/>
      <c r="DY63" s="92"/>
      <c r="DZ63" s="92"/>
      <c r="EA63" s="93">
        <f t="shared" si="26"/>
        <v>0</v>
      </c>
      <c r="EB63" s="95">
        <f t="shared" si="27"/>
        <v>0</v>
      </c>
      <c r="EC63" s="96">
        <f t="shared" si="28"/>
        <v>0</v>
      </c>
      <c r="ED63" s="97">
        <f t="shared" si="29"/>
        <v>0</v>
      </c>
    </row>
    <row r="64" spans="1:134" ht="21.95" customHeight="1" x14ac:dyDescent="0.5">
      <c r="A64" s="83">
        <v>34</v>
      </c>
      <c r="B64" s="98" t="s">
        <v>162</v>
      </c>
      <c r="C64" s="99" t="s">
        <v>163</v>
      </c>
      <c r="D64" s="100" t="s">
        <v>82</v>
      </c>
      <c r="E64" s="100" t="s">
        <v>83</v>
      </c>
      <c r="F64" s="87" t="s">
        <v>56</v>
      </c>
      <c r="G64" s="88" t="s">
        <v>57</v>
      </c>
      <c r="H64" s="89">
        <v>5.3437490850129065E-3</v>
      </c>
      <c r="I64" s="90">
        <f t="shared" si="30"/>
        <v>9863.5638993692173</v>
      </c>
      <c r="J64" s="91">
        <f t="shared" si="9"/>
        <v>7447.100464217564</v>
      </c>
      <c r="K64" s="92">
        <v>0</v>
      </c>
      <c r="L64" s="92">
        <v>0</v>
      </c>
      <c r="M64" s="92">
        <v>6500</v>
      </c>
      <c r="N64" s="92">
        <v>5614</v>
      </c>
      <c r="O64" s="92">
        <v>10100</v>
      </c>
      <c r="P64" s="92">
        <v>9214</v>
      </c>
      <c r="Q64" s="93">
        <f t="shared" si="31"/>
        <v>1.2372600644065672</v>
      </c>
      <c r="R64" s="94">
        <v>9863.5638993692282</v>
      </c>
      <c r="S64" s="91">
        <v>7447.1021623648367</v>
      </c>
      <c r="T64" s="92">
        <v>600</v>
      </c>
      <c r="U64" s="92">
        <v>600</v>
      </c>
      <c r="V64" s="92">
        <v>4800</v>
      </c>
      <c r="W64" s="92">
        <v>4036</v>
      </c>
      <c r="X64" s="92">
        <v>6480</v>
      </c>
      <c r="Y64" s="92">
        <v>5716</v>
      </c>
      <c r="Z64" s="93">
        <f t="shared" si="32"/>
        <v>0.76754687600322602</v>
      </c>
      <c r="AA64" s="94">
        <v>9863.5638993692282</v>
      </c>
      <c r="AB64" s="91">
        <v>7447.1021623648367</v>
      </c>
      <c r="AC64" s="92">
        <v>5440</v>
      </c>
      <c r="AD64" s="92">
        <v>3652</v>
      </c>
      <c r="AE64" s="92">
        <v>9276</v>
      </c>
      <c r="AF64" s="92">
        <v>6969.6</v>
      </c>
      <c r="AG64" s="92"/>
      <c r="AH64" s="92"/>
      <c r="AI64" s="93">
        <f t="shared" si="33"/>
        <v>0</v>
      </c>
      <c r="AJ64" s="95">
        <f t="shared" si="10"/>
        <v>22341.304788947236</v>
      </c>
      <c r="AK64" s="96">
        <f t="shared" si="34"/>
        <v>14930</v>
      </c>
      <c r="AL64" s="97">
        <f t="shared" si="11"/>
        <v>0.66826893688797528</v>
      </c>
      <c r="AN64" s="89">
        <v>7.2986423553955222E-3</v>
      </c>
      <c r="AO64" s="90"/>
      <c r="AP64" s="91"/>
      <c r="AQ64" s="92"/>
      <c r="AR64" s="92"/>
      <c r="AS64" s="92"/>
      <c r="AT64" s="92"/>
      <c r="AU64" s="92"/>
      <c r="AV64" s="92"/>
      <c r="AW64" s="93">
        <f t="shared" si="12"/>
        <v>0</v>
      </c>
      <c r="AX64" s="90"/>
      <c r="AY64" s="91"/>
      <c r="AZ64" s="92"/>
      <c r="BA64" s="92"/>
      <c r="BB64" s="92"/>
      <c r="BC64" s="92"/>
      <c r="BD64" s="92"/>
      <c r="BE64" s="92"/>
      <c r="BF64" s="93">
        <f t="shared" si="13"/>
        <v>0</v>
      </c>
      <c r="BG64" s="90"/>
      <c r="BH64" s="91"/>
      <c r="BI64" s="92"/>
      <c r="BJ64" s="92"/>
      <c r="BK64" s="92"/>
      <c r="BL64" s="92"/>
      <c r="BM64" s="92"/>
      <c r="BN64" s="92"/>
      <c r="BO64" s="93">
        <f t="shared" si="14"/>
        <v>0</v>
      </c>
      <c r="BP64" s="95">
        <f t="shared" si="15"/>
        <v>0</v>
      </c>
      <c r="BQ64" s="96">
        <f t="shared" si="16"/>
        <v>0</v>
      </c>
      <c r="BR64" s="97">
        <f t="shared" si="17"/>
        <v>0</v>
      </c>
      <c r="BT64" s="89"/>
      <c r="BU64" s="90"/>
      <c r="BV64" s="91"/>
      <c r="BW64" s="92"/>
      <c r="BX64" s="92"/>
      <c r="BY64" s="92"/>
      <c r="BZ64" s="92"/>
      <c r="CA64" s="92"/>
      <c r="CB64" s="92"/>
      <c r="CC64" s="93">
        <f t="shared" si="18"/>
        <v>0</v>
      </c>
      <c r="CD64" s="90"/>
      <c r="CE64" s="91"/>
      <c r="CF64" s="92"/>
      <c r="CG64" s="92"/>
      <c r="CH64" s="92"/>
      <c r="CI64" s="92"/>
      <c r="CJ64" s="92"/>
      <c r="CK64" s="92"/>
      <c r="CL64" s="93">
        <f t="shared" si="19"/>
        <v>0</v>
      </c>
      <c r="CM64" s="90"/>
      <c r="CN64" s="91"/>
      <c r="CO64" s="92"/>
      <c r="CP64" s="92"/>
      <c r="CQ64" s="92"/>
      <c r="CR64" s="92"/>
      <c r="CS64" s="92"/>
      <c r="CT64" s="92"/>
      <c r="CU64" s="93">
        <f t="shared" si="20"/>
        <v>0</v>
      </c>
      <c r="CV64" s="95">
        <f t="shared" si="21"/>
        <v>0</v>
      </c>
      <c r="CW64" s="96">
        <f t="shared" si="22"/>
        <v>0</v>
      </c>
      <c r="CX64" s="97">
        <f t="shared" si="23"/>
        <v>0</v>
      </c>
      <c r="CZ64" s="89"/>
      <c r="DA64" s="90"/>
      <c r="DB64" s="91"/>
      <c r="DC64" s="92"/>
      <c r="DD64" s="92"/>
      <c r="DE64" s="92"/>
      <c r="DF64" s="92"/>
      <c r="DG64" s="92"/>
      <c r="DH64" s="92"/>
      <c r="DI64" s="93">
        <f t="shared" si="24"/>
        <v>0</v>
      </c>
      <c r="DJ64" s="90"/>
      <c r="DK64" s="91"/>
      <c r="DL64" s="92"/>
      <c r="DM64" s="92"/>
      <c r="DN64" s="92"/>
      <c r="DO64" s="92"/>
      <c r="DP64" s="92"/>
      <c r="DQ64" s="92"/>
      <c r="DR64" s="93">
        <f t="shared" si="25"/>
        <v>0</v>
      </c>
      <c r="DS64" s="90"/>
      <c r="DT64" s="91"/>
      <c r="DU64" s="92"/>
      <c r="DV64" s="92"/>
      <c r="DW64" s="92"/>
      <c r="DX64" s="92"/>
      <c r="DY64" s="92"/>
      <c r="DZ64" s="92"/>
      <c r="EA64" s="93">
        <f t="shared" si="26"/>
        <v>0</v>
      </c>
      <c r="EB64" s="95">
        <f t="shared" si="27"/>
        <v>0</v>
      </c>
      <c r="EC64" s="96">
        <f t="shared" si="28"/>
        <v>0</v>
      </c>
      <c r="ED64" s="97">
        <f t="shared" si="29"/>
        <v>0</v>
      </c>
    </row>
    <row r="65" spans="1:134" ht="21.95" customHeight="1" x14ac:dyDescent="0.5">
      <c r="A65" s="83">
        <v>35</v>
      </c>
      <c r="B65" s="98" t="s">
        <v>164</v>
      </c>
      <c r="C65" s="99" t="s">
        <v>165</v>
      </c>
      <c r="D65" s="100" t="s">
        <v>116</v>
      </c>
      <c r="E65" s="100" t="s">
        <v>117</v>
      </c>
      <c r="F65" s="87" t="s">
        <v>56</v>
      </c>
      <c r="G65" s="88" t="s">
        <v>57</v>
      </c>
      <c r="H65" s="89">
        <v>7.5981276427383605E-3</v>
      </c>
      <c r="I65" s="90">
        <f t="shared" si="30"/>
        <v>14024.72614777204</v>
      </c>
      <c r="J65" s="91">
        <f t="shared" si="9"/>
        <v>10588.824249648407</v>
      </c>
      <c r="K65" s="92">
        <v>2540</v>
      </c>
      <c r="L65" s="92">
        <v>1715.6000000000001</v>
      </c>
      <c r="M65" s="92">
        <v>6080</v>
      </c>
      <c r="N65" s="92">
        <v>4427.6000000000004</v>
      </c>
      <c r="O65" s="92">
        <v>12320</v>
      </c>
      <c r="P65" s="92">
        <v>9083.6</v>
      </c>
      <c r="Q65" s="93">
        <f t="shared" si="31"/>
        <v>0.85784783898945283</v>
      </c>
      <c r="R65" s="94">
        <v>14024.726147772055</v>
      </c>
      <c r="S65" s="91">
        <v>10588.826664196606</v>
      </c>
      <c r="T65" s="92">
        <v>2800</v>
      </c>
      <c r="U65" s="92">
        <v>1863.6000000000001</v>
      </c>
      <c r="V65" s="92">
        <v>5700</v>
      </c>
      <c r="W65" s="92">
        <v>4251.6000000000004</v>
      </c>
      <c r="X65" s="92">
        <v>8780</v>
      </c>
      <c r="Y65" s="92">
        <v>6294.4000000000005</v>
      </c>
      <c r="Z65" s="93">
        <f t="shared" si="32"/>
        <v>0.59443791079165509</v>
      </c>
      <c r="AA65" s="94">
        <v>14024.726147772055</v>
      </c>
      <c r="AB65" s="91">
        <v>10588.826664196606</v>
      </c>
      <c r="AC65" s="92">
        <v>3520</v>
      </c>
      <c r="AD65" s="92">
        <v>2728</v>
      </c>
      <c r="AE65" s="92">
        <v>11940</v>
      </c>
      <c r="AF65" s="92">
        <v>8831.2000000000007</v>
      </c>
      <c r="AG65" s="92"/>
      <c r="AH65" s="92"/>
      <c r="AI65" s="93">
        <f t="shared" si="33"/>
        <v>0</v>
      </c>
      <c r="AJ65" s="95">
        <f t="shared" si="10"/>
        <v>31766.477578041617</v>
      </c>
      <c r="AK65" s="96">
        <f t="shared" si="34"/>
        <v>15378</v>
      </c>
      <c r="AL65" s="97">
        <f t="shared" si="11"/>
        <v>0.48409522151835771</v>
      </c>
      <c r="AN65" s="89">
        <v>9.5406428349569961E-3</v>
      </c>
      <c r="AO65" s="90"/>
      <c r="AP65" s="91"/>
      <c r="AQ65" s="92"/>
      <c r="AR65" s="92"/>
      <c r="AS65" s="92"/>
      <c r="AT65" s="92"/>
      <c r="AU65" s="92"/>
      <c r="AV65" s="92"/>
      <c r="AW65" s="93">
        <f t="shared" si="12"/>
        <v>0</v>
      </c>
      <c r="AX65" s="90"/>
      <c r="AY65" s="91"/>
      <c r="AZ65" s="92"/>
      <c r="BA65" s="92"/>
      <c r="BB65" s="92"/>
      <c r="BC65" s="92"/>
      <c r="BD65" s="92"/>
      <c r="BE65" s="92"/>
      <c r="BF65" s="93">
        <f t="shared" si="13"/>
        <v>0</v>
      </c>
      <c r="BG65" s="90"/>
      <c r="BH65" s="91"/>
      <c r="BI65" s="92"/>
      <c r="BJ65" s="92"/>
      <c r="BK65" s="92"/>
      <c r="BL65" s="92"/>
      <c r="BM65" s="92"/>
      <c r="BN65" s="92"/>
      <c r="BO65" s="93">
        <f t="shared" si="14"/>
        <v>0</v>
      </c>
      <c r="BP65" s="95">
        <f t="shared" si="15"/>
        <v>0</v>
      </c>
      <c r="BQ65" s="96">
        <f t="shared" si="16"/>
        <v>0</v>
      </c>
      <c r="BR65" s="97">
        <f t="shared" si="17"/>
        <v>0</v>
      </c>
      <c r="BT65" s="89"/>
      <c r="BU65" s="90"/>
      <c r="BV65" s="91"/>
      <c r="BW65" s="92"/>
      <c r="BX65" s="92"/>
      <c r="BY65" s="92"/>
      <c r="BZ65" s="92"/>
      <c r="CA65" s="92"/>
      <c r="CB65" s="92"/>
      <c r="CC65" s="93">
        <f t="shared" si="18"/>
        <v>0</v>
      </c>
      <c r="CD65" s="90"/>
      <c r="CE65" s="91"/>
      <c r="CF65" s="92"/>
      <c r="CG65" s="92"/>
      <c r="CH65" s="92"/>
      <c r="CI65" s="92"/>
      <c r="CJ65" s="92"/>
      <c r="CK65" s="92"/>
      <c r="CL65" s="93">
        <f t="shared" si="19"/>
        <v>0</v>
      </c>
      <c r="CM65" s="90"/>
      <c r="CN65" s="91"/>
      <c r="CO65" s="92"/>
      <c r="CP65" s="92"/>
      <c r="CQ65" s="92"/>
      <c r="CR65" s="92"/>
      <c r="CS65" s="92"/>
      <c r="CT65" s="92"/>
      <c r="CU65" s="93">
        <f t="shared" si="20"/>
        <v>0</v>
      </c>
      <c r="CV65" s="95">
        <f t="shared" si="21"/>
        <v>0</v>
      </c>
      <c r="CW65" s="96">
        <f t="shared" si="22"/>
        <v>0</v>
      </c>
      <c r="CX65" s="97">
        <f t="shared" si="23"/>
        <v>0</v>
      </c>
      <c r="CZ65" s="89"/>
      <c r="DA65" s="90"/>
      <c r="DB65" s="91"/>
      <c r="DC65" s="92"/>
      <c r="DD65" s="92"/>
      <c r="DE65" s="92"/>
      <c r="DF65" s="92"/>
      <c r="DG65" s="92"/>
      <c r="DH65" s="92"/>
      <c r="DI65" s="93">
        <f t="shared" si="24"/>
        <v>0</v>
      </c>
      <c r="DJ65" s="90"/>
      <c r="DK65" s="91"/>
      <c r="DL65" s="92"/>
      <c r="DM65" s="92"/>
      <c r="DN65" s="92"/>
      <c r="DO65" s="92"/>
      <c r="DP65" s="92"/>
      <c r="DQ65" s="92"/>
      <c r="DR65" s="93">
        <f t="shared" si="25"/>
        <v>0</v>
      </c>
      <c r="DS65" s="90"/>
      <c r="DT65" s="91"/>
      <c r="DU65" s="92"/>
      <c r="DV65" s="92"/>
      <c r="DW65" s="92"/>
      <c r="DX65" s="92"/>
      <c r="DY65" s="92"/>
      <c r="DZ65" s="92"/>
      <c r="EA65" s="93">
        <f t="shared" si="26"/>
        <v>0</v>
      </c>
      <c r="EB65" s="95">
        <f t="shared" si="27"/>
        <v>0</v>
      </c>
      <c r="EC65" s="96">
        <f t="shared" si="28"/>
        <v>0</v>
      </c>
      <c r="ED65" s="97">
        <f t="shared" si="29"/>
        <v>0</v>
      </c>
    </row>
    <row r="66" spans="1:134" ht="21.95" customHeight="1" x14ac:dyDescent="0.5">
      <c r="A66" s="83">
        <v>36</v>
      </c>
      <c r="B66" s="98" t="s">
        <v>166</v>
      </c>
      <c r="C66" s="104" t="s">
        <v>167</v>
      </c>
      <c r="D66" s="100" t="s">
        <v>168</v>
      </c>
      <c r="E66" s="99" t="s">
        <v>169</v>
      </c>
      <c r="F66" s="87" t="s">
        <v>56</v>
      </c>
      <c r="G66" s="88" t="s">
        <v>57</v>
      </c>
      <c r="H66" s="89">
        <v>1.0574070945486746E-2</v>
      </c>
      <c r="I66" s="90">
        <f t="shared" si="30"/>
        <v>19517.762302834639</v>
      </c>
      <c r="J66" s="91">
        <f t="shared" si="9"/>
        <v>14736.12765009037</v>
      </c>
      <c r="K66" s="92">
        <v>3630</v>
      </c>
      <c r="L66" s="92">
        <v>2837.6</v>
      </c>
      <c r="M66" s="92">
        <v>8250</v>
      </c>
      <c r="N66" s="92">
        <v>6486</v>
      </c>
      <c r="O66" s="92">
        <v>19430</v>
      </c>
      <c r="P66" s="92">
        <v>15099.6</v>
      </c>
      <c r="Q66" s="93">
        <f t="shared" si="31"/>
        <v>1.024665390972465</v>
      </c>
      <c r="R66" s="94">
        <v>19517.762302834657</v>
      </c>
      <c r="S66" s="91">
        <v>14736.131010339785</v>
      </c>
      <c r="T66" s="92">
        <v>3680</v>
      </c>
      <c r="U66" s="92">
        <v>2682</v>
      </c>
      <c r="V66" s="92">
        <v>9040</v>
      </c>
      <c r="W66" s="92">
        <v>6805.2</v>
      </c>
      <c r="X66" s="92">
        <v>16800</v>
      </c>
      <c r="Y66" s="92">
        <v>12563.6</v>
      </c>
      <c r="Z66" s="93">
        <f t="shared" si="32"/>
        <v>0.85257113900416592</v>
      </c>
      <c r="AA66" s="94">
        <v>19517.762302834657</v>
      </c>
      <c r="AB66" s="91">
        <v>14736.131010339785</v>
      </c>
      <c r="AC66" s="92">
        <v>3920</v>
      </c>
      <c r="AD66" s="92">
        <v>2866.4</v>
      </c>
      <c r="AE66" s="92">
        <v>9370</v>
      </c>
      <c r="AF66" s="92">
        <v>7473.6</v>
      </c>
      <c r="AG66" s="92"/>
      <c r="AH66" s="92"/>
      <c r="AI66" s="93">
        <f t="shared" si="33"/>
        <v>0</v>
      </c>
      <c r="AJ66" s="95">
        <f t="shared" si="10"/>
        <v>44208.389670769939</v>
      </c>
      <c r="AK66" s="96">
        <f t="shared" si="34"/>
        <v>27663.200000000001</v>
      </c>
      <c r="AL66" s="97">
        <f t="shared" si="11"/>
        <v>0.62574547967058347</v>
      </c>
      <c r="AN66" s="89">
        <v>5.6404118562974823E-3</v>
      </c>
      <c r="AO66" s="90"/>
      <c r="AP66" s="91"/>
      <c r="AQ66" s="92"/>
      <c r="AR66" s="92"/>
      <c r="AS66" s="92"/>
      <c r="AT66" s="92"/>
      <c r="AU66" s="92"/>
      <c r="AV66" s="92"/>
      <c r="AW66" s="93">
        <f t="shared" si="12"/>
        <v>0</v>
      </c>
      <c r="AX66" s="90"/>
      <c r="AY66" s="91"/>
      <c r="AZ66" s="92"/>
      <c r="BA66" s="92"/>
      <c r="BB66" s="92"/>
      <c r="BC66" s="92"/>
      <c r="BD66" s="92"/>
      <c r="BE66" s="92"/>
      <c r="BF66" s="93">
        <f t="shared" si="13"/>
        <v>0</v>
      </c>
      <c r="BG66" s="90"/>
      <c r="BH66" s="91"/>
      <c r="BI66" s="92"/>
      <c r="BJ66" s="92"/>
      <c r="BK66" s="92"/>
      <c r="BL66" s="92"/>
      <c r="BM66" s="92"/>
      <c r="BN66" s="92"/>
      <c r="BO66" s="93">
        <f t="shared" si="14"/>
        <v>0</v>
      </c>
      <c r="BP66" s="95">
        <f t="shared" si="15"/>
        <v>0</v>
      </c>
      <c r="BQ66" s="96">
        <f t="shared" si="16"/>
        <v>0</v>
      </c>
      <c r="BR66" s="97">
        <f t="shared" si="17"/>
        <v>0</v>
      </c>
      <c r="BT66" s="89"/>
      <c r="BU66" s="90"/>
      <c r="BV66" s="91"/>
      <c r="BW66" s="92"/>
      <c r="BX66" s="92"/>
      <c r="BY66" s="92"/>
      <c r="BZ66" s="92"/>
      <c r="CA66" s="92"/>
      <c r="CB66" s="92"/>
      <c r="CC66" s="93">
        <f t="shared" si="18"/>
        <v>0</v>
      </c>
      <c r="CD66" s="90"/>
      <c r="CE66" s="91"/>
      <c r="CF66" s="92"/>
      <c r="CG66" s="92"/>
      <c r="CH66" s="92"/>
      <c r="CI66" s="92"/>
      <c r="CJ66" s="92"/>
      <c r="CK66" s="92"/>
      <c r="CL66" s="93">
        <f t="shared" si="19"/>
        <v>0</v>
      </c>
      <c r="CM66" s="90"/>
      <c r="CN66" s="91"/>
      <c r="CO66" s="92"/>
      <c r="CP66" s="92"/>
      <c r="CQ66" s="92"/>
      <c r="CR66" s="92"/>
      <c r="CS66" s="92"/>
      <c r="CT66" s="92"/>
      <c r="CU66" s="93">
        <f t="shared" si="20"/>
        <v>0</v>
      </c>
      <c r="CV66" s="95">
        <f t="shared" si="21"/>
        <v>0</v>
      </c>
      <c r="CW66" s="96">
        <f t="shared" si="22"/>
        <v>0</v>
      </c>
      <c r="CX66" s="97">
        <f t="shared" si="23"/>
        <v>0</v>
      </c>
      <c r="CZ66" s="89"/>
      <c r="DA66" s="90"/>
      <c r="DB66" s="91"/>
      <c r="DC66" s="92"/>
      <c r="DD66" s="92"/>
      <c r="DE66" s="92"/>
      <c r="DF66" s="92"/>
      <c r="DG66" s="92"/>
      <c r="DH66" s="92"/>
      <c r="DI66" s="93">
        <f t="shared" si="24"/>
        <v>0</v>
      </c>
      <c r="DJ66" s="90"/>
      <c r="DK66" s="91"/>
      <c r="DL66" s="92"/>
      <c r="DM66" s="92"/>
      <c r="DN66" s="92"/>
      <c r="DO66" s="92"/>
      <c r="DP66" s="92"/>
      <c r="DQ66" s="92"/>
      <c r="DR66" s="93">
        <f t="shared" si="25"/>
        <v>0</v>
      </c>
      <c r="DS66" s="90"/>
      <c r="DT66" s="91"/>
      <c r="DU66" s="92"/>
      <c r="DV66" s="92"/>
      <c r="DW66" s="92"/>
      <c r="DX66" s="92"/>
      <c r="DY66" s="92"/>
      <c r="DZ66" s="92"/>
      <c r="EA66" s="93">
        <f t="shared" si="26"/>
        <v>0</v>
      </c>
      <c r="EB66" s="95">
        <f t="shared" si="27"/>
        <v>0</v>
      </c>
      <c r="EC66" s="96">
        <f t="shared" si="28"/>
        <v>0</v>
      </c>
      <c r="ED66" s="97">
        <f t="shared" si="29"/>
        <v>0</v>
      </c>
    </row>
    <row r="67" spans="1:134" ht="21.95" customHeight="1" x14ac:dyDescent="0.5">
      <c r="A67" s="83">
        <v>37</v>
      </c>
      <c r="B67" s="98" t="s">
        <v>170</v>
      </c>
      <c r="C67" s="99" t="s">
        <v>171</v>
      </c>
      <c r="D67" s="100" t="s">
        <v>172</v>
      </c>
      <c r="E67" s="100" t="s">
        <v>173</v>
      </c>
      <c r="F67" s="87" t="s">
        <v>56</v>
      </c>
      <c r="G67" s="88" t="s">
        <v>57</v>
      </c>
      <c r="H67" s="89">
        <v>7.6465112873306635E-3</v>
      </c>
      <c r="I67" s="90">
        <f t="shared" si="30"/>
        <v>14114.033329402069</v>
      </c>
      <c r="J67" s="91">
        <f t="shared" si="9"/>
        <v>10656.252165213235</v>
      </c>
      <c r="K67" s="92">
        <v>0</v>
      </c>
      <c r="L67" s="92">
        <v>0</v>
      </c>
      <c r="M67" s="92">
        <v>3432</v>
      </c>
      <c r="N67" s="92">
        <v>3108.0000000000005</v>
      </c>
      <c r="O67" s="92">
        <v>9116</v>
      </c>
      <c r="P67" s="92">
        <v>7484.0000000000009</v>
      </c>
      <c r="Q67" s="93">
        <f t="shared" si="31"/>
        <v>0.70231070773936066</v>
      </c>
      <c r="R67" s="94">
        <v>14114.033329402084</v>
      </c>
      <c r="S67" s="91">
        <v>10656.254595136887</v>
      </c>
      <c r="T67" s="92">
        <v>5164</v>
      </c>
      <c r="U67" s="92">
        <v>3797.6000000000004</v>
      </c>
      <c r="V67" s="92">
        <v>9064</v>
      </c>
      <c r="W67" s="92">
        <v>6988.8000000000011</v>
      </c>
      <c r="X67" s="92">
        <v>11924</v>
      </c>
      <c r="Y67" s="92">
        <v>9389.6</v>
      </c>
      <c r="Z67" s="93">
        <f t="shared" si="32"/>
        <v>0.88113510391212502</v>
      </c>
      <c r="AA67" s="94">
        <v>14114.033329402084</v>
      </c>
      <c r="AB67" s="91">
        <v>10656.254595136887</v>
      </c>
      <c r="AC67" s="92">
        <v>4304</v>
      </c>
      <c r="AD67" s="92">
        <v>3247.2</v>
      </c>
      <c r="AE67" s="92">
        <v>7768</v>
      </c>
      <c r="AF67" s="92">
        <v>5984.7999999999993</v>
      </c>
      <c r="AG67" s="92"/>
      <c r="AH67" s="92"/>
      <c r="AI67" s="93">
        <f t="shared" si="33"/>
        <v>0</v>
      </c>
      <c r="AJ67" s="95">
        <f t="shared" si="10"/>
        <v>31968.761355487011</v>
      </c>
      <c r="AK67" s="96">
        <f t="shared" si="34"/>
        <v>16873.600000000002</v>
      </c>
      <c r="AL67" s="97">
        <f t="shared" si="11"/>
        <v>0.52781525728721657</v>
      </c>
      <c r="AN67" s="89">
        <v>6.2251935698293109E-3</v>
      </c>
      <c r="AO67" s="90"/>
      <c r="AP67" s="91"/>
      <c r="AQ67" s="92"/>
      <c r="AR67" s="92"/>
      <c r="AS67" s="92"/>
      <c r="AT67" s="92"/>
      <c r="AU67" s="92"/>
      <c r="AV67" s="92"/>
      <c r="AW67" s="93">
        <f t="shared" si="12"/>
        <v>0</v>
      </c>
      <c r="AX67" s="90"/>
      <c r="AY67" s="91"/>
      <c r="AZ67" s="92"/>
      <c r="BA67" s="92"/>
      <c r="BB67" s="92"/>
      <c r="BC67" s="92"/>
      <c r="BD67" s="92"/>
      <c r="BE67" s="92"/>
      <c r="BF67" s="93">
        <f t="shared" si="13"/>
        <v>0</v>
      </c>
      <c r="BG67" s="90"/>
      <c r="BH67" s="91"/>
      <c r="BI67" s="92"/>
      <c r="BJ67" s="92"/>
      <c r="BK67" s="92"/>
      <c r="BL67" s="92"/>
      <c r="BM67" s="92"/>
      <c r="BN67" s="92"/>
      <c r="BO67" s="93">
        <f t="shared" si="14"/>
        <v>0</v>
      </c>
      <c r="BP67" s="95">
        <f t="shared" si="15"/>
        <v>0</v>
      </c>
      <c r="BQ67" s="96">
        <f t="shared" si="16"/>
        <v>0</v>
      </c>
      <c r="BR67" s="97">
        <f t="shared" si="17"/>
        <v>0</v>
      </c>
      <c r="BT67" s="89"/>
      <c r="BU67" s="90"/>
      <c r="BV67" s="91"/>
      <c r="BW67" s="92"/>
      <c r="BX67" s="92"/>
      <c r="BY67" s="92"/>
      <c r="BZ67" s="92"/>
      <c r="CA67" s="92"/>
      <c r="CB67" s="92"/>
      <c r="CC67" s="93">
        <f t="shared" si="18"/>
        <v>0</v>
      </c>
      <c r="CD67" s="90"/>
      <c r="CE67" s="91"/>
      <c r="CF67" s="92"/>
      <c r="CG67" s="92"/>
      <c r="CH67" s="92"/>
      <c r="CI67" s="92"/>
      <c r="CJ67" s="92"/>
      <c r="CK67" s="92"/>
      <c r="CL67" s="93">
        <f t="shared" si="19"/>
        <v>0</v>
      </c>
      <c r="CM67" s="90"/>
      <c r="CN67" s="91"/>
      <c r="CO67" s="92"/>
      <c r="CP67" s="92"/>
      <c r="CQ67" s="92"/>
      <c r="CR67" s="92"/>
      <c r="CS67" s="92"/>
      <c r="CT67" s="92"/>
      <c r="CU67" s="93">
        <f t="shared" si="20"/>
        <v>0</v>
      </c>
      <c r="CV67" s="95">
        <f t="shared" si="21"/>
        <v>0</v>
      </c>
      <c r="CW67" s="96">
        <f t="shared" si="22"/>
        <v>0</v>
      </c>
      <c r="CX67" s="97">
        <f t="shared" si="23"/>
        <v>0</v>
      </c>
      <c r="CZ67" s="89"/>
      <c r="DA67" s="90"/>
      <c r="DB67" s="91"/>
      <c r="DC67" s="92"/>
      <c r="DD67" s="92"/>
      <c r="DE67" s="92"/>
      <c r="DF67" s="92"/>
      <c r="DG67" s="92"/>
      <c r="DH67" s="92"/>
      <c r="DI67" s="93">
        <f t="shared" si="24"/>
        <v>0</v>
      </c>
      <c r="DJ67" s="90"/>
      <c r="DK67" s="91"/>
      <c r="DL67" s="92"/>
      <c r="DM67" s="92"/>
      <c r="DN67" s="92"/>
      <c r="DO67" s="92"/>
      <c r="DP67" s="92"/>
      <c r="DQ67" s="92"/>
      <c r="DR67" s="93">
        <f t="shared" si="25"/>
        <v>0</v>
      </c>
      <c r="DS67" s="90"/>
      <c r="DT67" s="91"/>
      <c r="DU67" s="92"/>
      <c r="DV67" s="92"/>
      <c r="DW67" s="92"/>
      <c r="DX67" s="92"/>
      <c r="DY67" s="92"/>
      <c r="DZ67" s="92"/>
      <c r="EA67" s="93">
        <f t="shared" si="26"/>
        <v>0</v>
      </c>
      <c r="EB67" s="95">
        <f t="shared" si="27"/>
        <v>0</v>
      </c>
      <c r="EC67" s="96">
        <f t="shared" si="28"/>
        <v>0</v>
      </c>
      <c r="ED67" s="97">
        <f t="shared" si="29"/>
        <v>0</v>
      </c>
    </row>
    <row r="68" spans="1:134" ht="21.95" customHeight="1" x14ac:dyDescent="0.5">
      <c r="A68" s="83">
        <v>38</v>
      </c>
      <c r="B68" s="98" t="s">
        <v>174</v>
      </c>
      <c r="C68" s="99" t="s">
        <v>175</v>
      </c>
      <c r="D68" s="99" t="s">
        <v>176</v>
      </c>
      <c r="E68" s="104" t="s">
        <v>177</v>
      </c>
      <c r="F68" s="87" t="s">
        <v>56</v>
      </c>
      <c r="G68" s="88" t="s">
        <v>57</v>
      </c>
      <c r="H68" s="89">
        <v>5.4543830269775731E-3</v>
      </c>
      <c r="I68" s="90">
        <f t="shared" si="30"/>
        <v>10067.773516745921</v>
      </c>
      <c r="J68" s="91">
        <f t="shared" si="9"/>
        <v>7601.2809969214677</v>
      </c>
      <c r="K68" s="92">
        <v>3950</v>
      </c>
      <c r="L68" s="92">
        <v>2978</v>
      </c>
      <c r="M68" s="92">
        <v>6750</v>
      </c>
      <c r="N68" s="92">
        <v>4770</v>
      </c>
      <c r="O68" s="92">
        <v>9320</v>
      </c>
      <c r="P68" s="92">
        <v>6821.6</v>
      </c>
      <c r="Q68" s="93">
        <f t="shared" si="31"/>
        <v>0.89742768393416328</v>
      </c>
      <c r="R68" s="94">
        <v>10067.773516745932</v>
      </c>
      <c r="S68" s="91">
        <v>7601.2827302262158</v>
      </c>
      <c r="T68" s="92">
        <v>4100</v>
      </c>
      <c r="U68" s="92">
        <v>2840</v>
      </c>
      <c r="V68" s="92">
        <v>4100</v>
      </c>
      <c r="W68" s="92">
        <v>2840</v>
      </c>
      <c r="X68" s="92">
        <v>8076</v>
      </c>
      <c r="Y68" s="92">
        <v>5869.2</v>
      </c>
      <c r="Z68" s="93">
        <f t="shared" si="32"/>
        <v>0.77213283708831748</v>
      </c>
      <c r="AA68" s="94">
        <v>10067.773516745932</v>
      </c>
      <c r="AB68" s="91">
        <v>7601.2827302262158</v>
      </c>
      <c r="AC68" s="92">
        <v>4050</v>
      </c>
      <c r="AD68" s="92">
        <v>2916</v>
      </c>
      <c r="AE68" s="92">
        <v>4050</v>
      </c>
      <c r="AF68" s="92">
        <v>2916</v>
      </c>
      <c r="AG68" s="92"/>
      <c r="AH68" s="92"/>
      <c r="AI68" s="93">
        <f t="shared" si="33"/>
        <v>0</v>
      </c>
      <c r="AJ68" s="95">
        <f t="shared" si="10"/>
        <v>22803.8464573739</v>
      </c>
      <c r="AK68" s="96">
        <f t="shared" si="34"/>
        <v>12690.8</v>
      </c>
      <c r="AL68" s="97">
        <f t="shared" si="11"/>
        <v>0.55652014776201386</v>
      </c>
      <c r="AN68" s="89">
        <v>7.072014148075228E-3</v>
      </c>
      <c r="AO68" s="90"/>
      <c r="AP68" s="91"/>
      <c r="AQ68" s="92"/>
      <c r="AR68" s="92"/>
      <c r="AS68" s="92"/>
      <c r="AT68" s="92"/>
      <c r="AU68" s="92"/>
      <c r="AV68" s="92"/>
      <c r="AW68" s="93">
        <f t="shared" si="12"/>
        <v>0</v>
      </c>
      <c r="AX68" s="90"/>
      <c r="AY68" s="91"/>
      <c r="AZ68" s="92"/>
      <c r="BA68" s="92"/>
      <c r="BB68" s="92"/>
      <c r="BC68" s="92"/>
      <c r="BD68" s="92"/>
      <c r="BE68" s="92"/>
      <c r="BF68" s="93">
        <f t="shared" si="13"/>
        <v>0</v>
      </c>
      <c r="BG68" s="90"/>
      <c r="BH68" s="91"/>
      <c r="BI68" s="92"/>
      <c r="BJ68" s="92"/>
      <c r="BK68" s="92"/>
      <c r="BL68" s="92"/>
      <c r="BM68" s="92"/>
      <c r="BN68" s="92"/>
      <c r="BO68" s="93">
        <f t="shared" si="14"/>
        <v>0</v>
      </c>
      <c r="BP68" s="95">
        <f t="shared" si="15"/>
        <v>0</v>
      </c>
      <c r="BQ68" s="96">
        <f t="shared" si="16"/>
        <v>0</v>
      </c>
      <c r="BR68" s="97">
        <f t="shared" si="17"/>
        <v>0</v>
      </c>
      <c r="BT68" s="89"/>
      <c r="BU68" s="90"/>
      <c r="BV68" s="91"/>
      <c r="BW68" s="92"/>
      <c r="BX68" s="92"/>
      <c r="BY68" s="92"/>
      <c r="BZ68" s="92"/>
      <c r="CA68" s="92"/>
      <c r="CB68" s="92"/>
      <c r="CC68" s="93">
        <f t="shared" si="18"/>
        <v>0</v>
      </c>
      <c r="CD68" s="90"/>
      <c r="CE68" s="91"/>
      <c r="CF68" s="92"/>
      <c r="CG68" s="92"/>
      <c r="CH68" s="92"/>
      <c r="CI68" s="92"/>
      <c r="CJ68" s="92"/>
      <c r="CK68" s="92"/>
      <c r="CL68" s="93">
        <f t="shared" si="19"/>
        <v>0</v>
      </c>
      <c r="CM68" s="90"/>
      <c r="CN68" s="91"/>
      <c r="CO68" s="92"/>
      <c r="CP68" s="92"/>
      <c r="CQ68" s="92"/>
      <c r="CR68" s="92"/>
      <c r="CS68" s="92"/>
      <c r="CT68" s="92"/>
      <c r="CU68" s="93">
        <f t="shared" si="20"/>
        <v>0</v>
      </c>
      <c r="CV68" s="95">
        <f t="shared" si="21"/>
        <v>0</v>
      </c>
      <c r="CW68" s="96">
        <f t="shared" si="22"/>
        <v>0</v>
      </c>
      <c r="CX68" s="97">
        <f t="shared" si="23"/>
        <v>0</v>
      </c>
      <c r="CZ68" s="89"/>
      <c r="DA68" s="90"/>
      <c r="DB68" s="91"/>
      <c r="DC68" s="92"/>
      <c r="DD68" s="92"/>
      <c r="DE68" s="92"/>
      <c r="DF68" s="92"/>
      <c r="DG68" s="92"/>
      <c r="DH68" s="92"/>
      <c r="DI68" s="93">
        <f t="shared" si="24"/>
        <v>0</v>
      </c>
      <c r="DJ68" s="90"/>
      <c r="DK68" s="91"/>
      <c r="DL68" s="92"/>
      <c r="DM68" s="92"/>
      <c r="DN68" s="92"/>
      <c r="DO68" s="92"/>
      <c r="DP68" s="92"/>
      <c r="DQ68" s="92"/>
      <c r="DR68" s="93">
        <f t="shared" si="25"/>
        <v>0</v>
      </c>
      <c r="DS68" s="90"/>
      <c r="DT68" s="91"/>
      <c r="DU68" s="92"/>
      <c r="DV68" s="92"/>
      <c r="DW68" s="92"/>
      <c r="DX68" s="92"/>
      <c r="DY68" s="92"/>
      <c r="DZ68" s="92"/>
      <c r="EA68" s="93">
        <f t="shared" si="26"/>
        <v>0</v>
      </c>
      <c r="EB68" s="95">
        <f t="shared" si="27"/>
        <v>0</v>
      </c>
      <c r="EC68" s="96">
        <f t="shared" si="28"/>
        <v>0</v>
      </c>
      <c r="ED68" s="97">
        <f t="shared" si="29"/>
        <v>0</v>
      </c>
    </row>
    <row r="69" spans="1:134" ht="21.95" customHeight="1" x14ac:dyDescent="0.5">
      <c r="A69" s="83">
        <v>39</v>
      </c>
      <c r="B69" s="98" t="s">
        <v>178</v>
      </c>
      <c r="C69" s="105" t="s">
        <v>179</v>
      </c>
      <c r="D69" s="106" t="s">
        <v>180</v>
      </c>
      <c r="E69" s="105" t="s">
        <v>71</v>
      </c>
      <c r="F69" s="87" t="s">
        <v>56</v>
      </c>
      <c r="G69" s="88" t="s">
        <v>57</v>
      </c>
      <c r="H69" s="89">
        <v>2.1228947565447233E-3</v>
      </c>
      <c r="I69" s="90">
        <f t="shared" si="30"/>
        <v>3918.4676805917366</v>
      </c>
      <c r="J69" s="91">
        <f t="shared" si="9"/>
        <v>2958.4866870505498</v>
      </c>
      <c r="K69" s="92">
        <v>2600</v>
      </c>
      <c r="L69" s="92">
        <v>2096</v>
      </c>
      <c r="M69" s="92">
        <v>2600</v>
      </c>
      <c r="N69" s="92">
        <v>2096</v>
      </c>
      <c r="O69" s="92">
        <v>2600</v>
      </c>
      <c r="P69" s="92">
        <v>2096</v>
      </c>
      <c r="Q69" s="93">
        <f t="shared" si="31"/>
        <v>0.70847031665692506</v>
      </c>
      <c r="R69" s="94">
        <v>3918.4676805917402</v>
      </c>
      <c r="S69" s="91">
        <v>2958.4873616682917</v>
      </c>
      <c r="T69" s="92">
        <v>2920</v>
      </c>
      <c r="U69" s="92">
        <v>1792</v>
      </c>
      <c r="V69" s="92">
        <v>4420</v>
      </c>
      <c r="W69" s="92">
        <v>3202</v>
      </c>
      <c r="X69" s="92">
        <v>4420</v>
      </c>
      <c r="Y69" s="92">
        <v>3202</v>
      </c>
      <c r="Z69" s="93">
        <f t="shared" si="32"/>
        <v>1.082309845729539</v>
      </c>
      <c r="AA69" s="94">
        <v>3918.4676805917402</v>
      </c>
      <c r="AB69" s="91">
        <v>2958.4873616682917</v>
      </c>
      <c r="AC69" s="92">
        <v>0</v>
      </c>
      <c r="AD69" s="92">
        <v>0</v>
      </c>
      <c r="AE69" s="92">
        <v>0</v>
      </c>
      <c r="AF69" s="92">
        <v>0</v>
      </c>
      <c r="AG69" s="92"/>
      <c r="AH69" s="92"/>
      <c r="AI69" s="93">
        <f t="shared" si="33"/>
        <v>0</v>
      </c>
      <c r="AJ69" s="95">
        <f t="shared" si="10"/>
        <v>8875.4614103871318</v>
      </c>
      <c r="AK69" s="96">
        <f t="shared" si="34"/>
        <v>5298</v>
      </c>
      <c r="AL69" s="97">
        <f t="shared" si="11"/>
        <v>0.59692671231713579</v>
      </c>
      <c r="AN69" s="89">
        <v>3.93564163605331E-3</v>
      </c>
      <c r="AO69" s="90"/>
      <c r="AP69" s="91"/>
      <c r="AQ69" s="92"/>
      <c r="AR69" s="92"/>
      <c r="AS69" s="92"/>
      <c r="AT69" s="92"/>
      <c r="AU69" s="92"/>
      <c r="AV69" s="92"/>
      <c r="AW69" s="93">
        <f t="shared" si="12"/>
        <v>0</v>
      </c>
      <c r="AX69" s="90"/>
      <c r="AY69" s="91"/>
      <c r="AZ69" s="92"/>
      <c r="BA69" s="92"/>
      <c r="BB69" s="92"/>
      <c r="BC69" s="92"/>
      <c r="BD69" s="92"/>
      <c r="BE69" s="92"/>
      <c r="BF69" s="93">
        <f t="shared" si="13"/>
        <v>0</v>
      </c>
      <c r="BG69" s="90"/>
      <c r="BH69" s="91"/>
      <c r="BI69" s="92"/>
      <c r="BJ69" s="92"/>
      <c r="BK69" s="92"/>
      <c r="BL69" s="92"/>
      <c r="BM69" s="92"/>
      <c r="BN69" s="92"/>
      <c r="BO69" s="93">
        <f t="shared" si="14"/>
        <v>0</v>
      </c>
      <c r="BP69" s="95">
        <f t="shared" si="15"/>
        <v>0</v>
      </c>
      <c r="BQ69" s="96">
        <f t="shared" si="16"/>
        <v>0</v>
      </c>
      <c r="BR69" s="97">
        <f t="shared" si="17"/>
        <v>0</v>
      </c>
      <c r="BT69" s="89"/>
      <c r="BU69" s="90"/>
      <c r="BV69" s="91"/>
      <c r="BW69" s="92"/>
      <c r="BX69" s="92"/>
      <c r="BY69" s="92"/>
      <c r="BZ69" s="92"/>
      <c r="CA69" s="92"/>
      <c r="CB69" s="92"/>
      <c r="CC69" s="93">
        <f t="shared" si="18"/>
        <v>0</v>
      </c>
      <c r="CD69" s="90"/>
      <c r="CE69" s="91"/>
      <c r="CF69" s="92"/>
      <c r="CG69" s="92"/>
      <c r="CH69" s="92"/>
      <c r="CI69" s="92"/>
      <c r="CJ69" s="92"/>
      <c r="CK69" s="92"/>
      <c r="CL69" s="93">
        <f t="shared" si="19"/>
        <v>0</v>
      </c>
      <c r="CM69" s="90"/>
      <c r="CN69" s="91"/>
      <c r="CO69" s="92"/>
      <c r="CP69" s="92"/>
      <c r="CQ69" s="92"/>
      <c r="CR69" s="92"/>
      <c r="CS69" s="92"/>
      <c r="CT69" s="92"/>
      <c r="CU69" s="93">
        <f t="shared" si="20"/>
        <v>0</v>
      </c>
      <c r="CV69" s="95">
        <f t="shared" si="21"/>
        <v>0</v>
      </c>
      <c r="CW69" s="96">
        <f t="shared" si="22"/>
        <v>0</v>
      </c>
      <c r="CX69" s="97">
        <f t="shared" si="23"/>
        <v>0</v>
      </c>
      <c r="CZ69" s="89"/>
      <c r="DA69" s="90"/>
      <c r="DB69" s="91"/>
      <c r="DC69" s="92"/>
      <c r="DD69" s="92"/>
      <c r="DE69" s="92"/>
      <c r="DF69" s="92"/>
      <c r="DG69" s="92"/>
      <c r="DH69" s="92"/>
      <c r="DI69" s="93">
        <f t="shared" si="24"/>
        <v>0</v>
      </c>
      <c r="DJ69" s="90"/>
      <c r="DK69" s="91"/>
      <c r="DL69" s="92"/>
      <c r="DM69" s="92"/>
      <c r="DN69" s="92"/>
      <c r="DO69" s="92"/>
      <c r="DP69" s="92"/>
      <c r="DQ69" s="92"/>
      <c r="DR69" s="93">
        <f t="shared" si="25"/>
        <v>0</v>
      </c>
      <c r="DS69" s="90"/>
      <c r="DT69" s="91"/>
      <c r="DU69" s="92"/>
      <c r="DV69" s="92"/>
      <c r="DW69" s="92"/>
      <c r="DX69" s="92"/>
      <c r="DY69" s="92"/>
      <c r="DZ69" s="92"/>
      <c r="EA69" s="93">
        <f t="shared" si="26"/>
        <v>0</v>
      </c>
      <c r="EB69" s="95">
        <f t="shared" si="27"/>
        <v>0</v>
      </c>
      <c r="EC69" s="96">
        <f t="shared" si="28"/>
        <v>0</v>
      </c>
      <c r="ED69" s="97">
        <f t="shared" si="29"/>
        <v>0</v>
      </c>
    </row>
    <row r="70" spans="1:134" ht="21.95" customHeight="1" x14ac:dyDescent="0.5">
      <c r="A70" s="83">
        <v>40</v>
      </c>
      <c r="B70" s="98" t="s">
        <v>181</v>
      </c>
      <c r="C70" s="99" t="s">
        <v>182</v>
      </c>
      <c r="D70" s="100" t="s">
        <v>157</v>
      </c>
      <c r="E70" s="100" t="s">
        <v>158</v>
      </c>
      <c r="F70" s="87" t="s">
        <v>56</v>
      </c>
      <c r="G70" s="88" t="s">
        <v>57</v>
      </c>
      <c r="H70" s="89">
        <v>4.69171712407417E-3</v>
      </c>
      <c r="I70" s="90">
        <f t="shared" si="30"/>
        <v>8660.0345403303272</v>
      </c>
      <c r="J70" s="91">
        <f t="shared" si="9"/>
        <v>6538.4224103377519</v>
      </c>
      <c r="K70" s="92">
        <v>2700</v>
      </c>
      <c r="L70" s="92">
        <v>1764</v>
      </c>
      <c r="M70" s="92">
        <v>5500</v>
      </c>
      <c r="N70" s="92">
        <v>3556</v>
      </c>
      <c r="O70" s="92">
        <v>8200</v>
      </c>
      <c r="P70" s="92">
        <v>5320</v>
      </c>
      <c r="Q70" s="93">
        <f t="shared" si="31"/>
        <v>0.81365192796180741</v>
      </c>
      <c r="R70" s="94">
        <v>8660.0345403303363</v>
      </c>
      <c r="S70" s="91">
        <v>6538.423901281004</v>
      </c>
      <c r="T70" s="92">
        <v>0</v>
      </c>
      <c r="U70" s="92">
        <v>0</v>
      </c>
      <c r="V70" s="92">
        <v>3080</v>
      </c>
      <c r="W70" s="92">
        <v>1971.1999999999998</v>
      </c>
      <c r="X70" s="92">
        <v>8680</v>
      </c>
      <c r="Y70" s="92">
        <v>5555.2</v>
      </c>
      <c r="Z70" s="93">
        <f t="shared" si="32"/>
        <v>0.84962371419687677</v>
      </c>
      <c r="AA70" s="94">
        <v>8660.0345403303363</v>
      </c>
      <c r="AB70" s="91">
        <v>6538.423901281004</v>
      </c>
      <c r="AC70" s="92">
        <v>0</v>
      </c>
      <c r="AD70" s="92">
        <v>0</v>
      </c>
      <c r="AE70" s="92">
        <v>3500</v>
      </c>
      <c r="AF70" s="92">
        <v>2240</v>
      </c>
      <c r="AG70" s="92"/>
      <c r="AH70" s="92"/>
      <c r="AI70" s="93">
        <f t="shared" si="33"/>
        <v>0</v>
      </c>
      <c r="AJ70" s="95">
        <f t="shared" si="10"/>
        <v>19615.270212899759</v>
      </c>
      <c r="AK70" s="96">
        <f t="shared" si="34"/>
        <v>10875.2</v>
      </c>
      <c r="AL70" s="97">
        <f t="shared" si="11"/>
        <v>0.55442519434924986</v>
      </c>
      <c r="AN70" s="89">
        <v>1.035002928967233E-2</v>
      </c>
      <c r="AO70" s="90"/>
      <c r="AP70" s="91"/>
      <c r="AQ70" s="92"/>
      <c r="AR70" s="92"/>
      <c r="AS70" s="92"/>
      <c r="AT70" s="92"/>
      <c r="AU70" s="92"/>
      <c r="AV70" s="92"/>
      <c r="AW70" s="93">
        <f t="shared" si="12"/>
        <v>0</v>
      </c>
      <c r="AX70" s="90"/>
      <c r="AY70" s="91"/>
      <c r="AZ70" s="92"/>
      <c r="BA70" s="92"/>
      <c r="BB70" s="92"/>
      <c r="BC70" s="92"/>
      <c r="BD70" s="92"/>
      <c r="BE70" s="92"/>
      <c r="BF70" s="93">
        <f t="shared" si="13"/>
        <v>0</v>
      </c>
      <c r="BG70" s="90"/>
      <c r="BH70" s="91"/>
      <c r="BI70" s="92"/>
      <c r="BJ70" s="92"/>
      <c r="BK70" s="92"/>
      <c r="BL70" s="92"/>
      <c r="BM70" s="92"/>
      <c r="BN70" s="92"/>
      <c r="BO70" s="93">
        <f t="shared" si="14"/>
        <v>0</v>
      </c>
      <c r="BP70" s="95">
        <f t="shared" si="15"/>
        <v>0</v>
      </c>
      <c r="BQ70" s="96">
        <f t="shared" si="16"/>
        <v>0</v>
      </c>
      <c r="BR70" s="97">
        <f t="shared" si="17"/>
        <v>0</v>
      </c>
      <c r="BT70" s="89"/>
      <c r="BU70" s="90"/>
      <c r="BV70" s="91"/>
      <c r="BW70" s="92"/>
      <c r="BX70" s="92"/>
      <c r="BY70" s="92"/>
      <c r="BZ70" s="92"/>
      <c r="CA70" s="92"/>
      <c r="CB70" s="92"/>
      <c r="CC70" s="93">
        <f t="shared" si="18"/>
        <v>0</v>
      </c>
      <c r="CD70" s="90"/>
      <c r="CE70" s="91"/>
      <c r="CF70" s="92"/>
      <c r="CG70" s="92"/>
      <c r="CH70" s="92"/>
      <c r="CI70" s="92"/>
      <c r="CJ70" s="92"/>
      <c r="CK70" s="92"/>
      <c r="CL70" s="93">
        <f t="shared" si="19"/>
        <v>0</v>
      </c>
      <c r="CM70" s="90"/>
      <c r="CN70" s="91"/>
      <c r="CO70" s="92"/>
      <c r="CP70" s="92"/>
      <c r="CQ70" s="92"/>
      <c r="CR70" s="92"/>
      <c r="CS70" s="92"/>
      <c r="CT70" s="92"/>
      <c r="CU70" s="93">
        <f t="shared" si="20"/>
        <v>0</v>
      </c>
      <c r="CV70" s="95">
        <f t="shared" si="21"/>
        <v>0</v>
      </c>
      <c r="CW70" s="96">
        <f t="shared" si="22"/>
        <v>0</v>
      </c>
      <c r="CX70" s="97">
        <f t="shared" si="23"/>
        <v>0</v>
      </c>
      <c r="CZ70" s="89"/>
      <c r="DA70" s="90"/>
      <c r="DB70" s="91"/>
      <c r="DC70" s="92"/>
      <c r="DD70" s="92"/>
      <c r="DE70" s="92"/>
      <c r="DF70" s="92"/>
      <c r="DG70" s="92"/>
      <c r="DH70" s="92"/>
      <c r="DI70" s="93">
        <f t="shared" si="24"/>
        <v>0</v>
      </c>
      <c r="DJ70" s="90"/>
      <c r="DK70" s="91"/>
      <c r="DL70" s="92"/>
      <c r="DM70" s="92"/>
      <c r="DN70" s="92"/>
      <c r="DO70" s="92"/>
      <c r="DP70" s="92"/>
      <c r="DQ70" s="92"/>
      <c r="DR70" s="93">
        <f t="shared" si="25"/>
        <v>0</v>
      </c>
      <c r="DS70" s="90"/>
      <c r="DT70" s="91"/>
      <c r="DU70" s="92"/>
      <c r="DV70" s="92"/>
      <c r="DW70" s="92"/>
      <c r="DX70" s="92"/>
      <c r="DY70" s="92"/>
      <c r="DZ70" s="92"/>
      <c r="EA70" s="93">
        <f t="shared" si="26"/>
        <v>0</v>
      </c>
      <c r="EB70" s="95">
        <f t="shared" si="27"/>
        <v>0</v>
      </c>
      <c r="EC70" s="96">
        <f t="shared" si="28"/>
        <v>0</v>
      </c>
      <c r="ED70" s="97">
        <f t="shared" si="29"/>
        <v>0</v>
      </c>
    </row>
    <row r="71" spans="1:134" ht="21.95" customHeight="1" x14ac:dyDescent="0.5">
      <c r="A71" s="83">
        <v>41</v>
      </c>
      <c r="B71" s="98" t="s">
        <v>183</v>
      </c>
      <c r="C71" s="99" t="s">
        <v>184</v>
      </c>
      <c r="D71" s="99" t="s">
        <v>185</v>
      </c>
      <c r="E71" s="104" t="s">
        <v>186</v>
      </c>
      <c r="F71" s="87" t="s">
        <v>56</v>
      </c>
      <c r="G71" s="88" t="s">
        <v>57</v>
      </c>
      <c r="H71" s="89">
        <v>6.0298989973961116E-3</v>
      </c>
      <c r="I71" s="90">
        <f t="shared" si="30"/>
        <v>11130.06863184619</v>
      </c>
      <c r="J71" s="91">
        <f t="shared" si="9"/>
        <v>8403.3256255678316</v>
      </c>
      <c r="K71" s="92">
        <v>3788</v>
      </c>
      <c r="L71" s="92">
        <v>3284</v>
      </c>
      <c r="M71" s="92">
        <v>3788</v>
      </c>
      <c r="N71" s="92">
        <v>3284</v>
      </c>
      <c r="O71" s="92">
        <v>6788</v>
      </c>
      <c r="P71" s="92">
        <v>6284</v>
      </c>
      <c r="Q71" s="93">
        <f t="shared" si="31"/>
        <v>0.7477991785633531</v>
      </c>
      <c r="R71" s="94">
        <v>11130.068631846201</v>
      </c>
      <c r="S71" s="91">
        <v>8403.3275417611949</v>
      </c>
      <c r="T71" s="92">
        <v>3980</v>
      </c>
      <c r="U71" s="92">
        <v>3627.2</v>
      </c>
      <c r="V71" s="92">
        <v>3980</v>
      </c>
      <c r="W71" s="92">
        <v>3627.2</v>
      </c>
      <c r="X71" s="92">
        <v>7800</v>
      </c>
      <c r="Y71" s="92">
        <v>7087.2</v>
      </c>
      <c r="Z71" s="93">
        <f t="shared" si="32"/>
        <v>0.8433801925224782</v>
      </c>
      <c r="AA71" s="94">
        <v>11130.068631846201</v>
      </c>
      <c r="AB71" s="91">
        <v>8403.3275417611949</v>
      </c>
      <c r="AC71" s="92">
        <v>10800</v>
      </c>
      <c r="AD71" s="92">
        <v>10800</v>
      </c>
      <c r="AE71" s="92">
        <v>18020</v>
      </c>
      <c r="AF71" s="92">
        <v>17738.8</v>
      </c>
      <c r="AG71" s="92"/>
      <c r="AH71" s="92"/>
      <c r="AI71" s="93">
        <f t="shared" si="33"/>
        <v>0</v>
      </c>
      <c r="AJ71" s="95">
        <f t="shared" si="10"/>
        <v>25209.980709090221</v>
      </c>
      <c r="AK71" s="96">
        <f t="shared" si="34"/>
        <v>13371.2</v>
      </c>
      <c r="AL71" s="97">
        <f t="shared" si="11"/>
        <v>0.5303931071703919</v>
      </c>
      <c r="AN71" s="89">
        <v>4.3504521940949184E-3</v>
      </c>
      <c r="AO71" s="90"/>
      <c r="AP71" s="91"/>
      <c r="AQ71" s="92"/>
      <c r="AR71" s="92"/>
      <c r="AS71" s="92"/>
      <c r="AT71" s="92"/>
      <c r="AU71" s="92"/>
      <c r="AV71" s="92"/>
      <c r="AW71" s="93">
        <f t="shared" si="12"/>
        <v>0</v>
      </c>
      <c r="AX71" s="90"/>
      <c r="AY71" s="91"/>
      <c r="AZ71" s="92"/>
      <c r="BA71" s="92"/>
      <c r="BB71" s="92"/>
      <c r="BC71" s="92"/>
      <c r="BD71" s="92"/>
      <c r="BE71" s="92"/>
      <c r="BF71" s="93">
        <f t="shared" si="13"/>
        <v>0</v>
      </c>
      <c r="BG71" s="90"/>
      <c r="BH71" s="91"/>
      <c r="BI71" s="92"/>
      <c r="BJ71" s="92"/>
      <c r="BK71" s="92"/>
      <c r="BL71" s="92"/>
      <c r="BM71" s="92"/>
      <c r="BN71" s="92"/>
      <c r="BO71" s="93">
        <f t="shared" si="14"/>
        <v>0</v>
      </c>
      <c r="BP71" s="95">
        <f t="shared" si="15"/>
        <v>0</v>
      </c>
      <c r="BQ71" s="96">
        <f t="shared" si="16"/>
        <v>0</v>
      </c>
      <c r="BR71" s="97">
        <f t="shared" si="17"/>
        <v>0</v>
      </c>
      <c r="BT71" s="89"/>
      <c r="BU71" s="90"/>
      <c r="BV71" s="91"/>
      <c r="BW71" s="92"/>
      <c r="BX71" s="92"/>
      <c r="BY71" s="92"/>
      <c r="BZ71" s="92"/>
      <c r="CA71" s="92"/>
      <c r="CB71" s="92"/>
      <c r="CC71" s="93">
        <f t="shared" si="18"/>
        <v>0</v>
      </c>
      <c r="CD71" s="90"/>
      <c r="CE71" s="91"/>
      <c r="CF71" s="92"/>
      <c r="CG71" s="92"/>
      <c r="CH71" s="92"/>
      <c r="CI71" s="92"/>
      <c r="CJ71" s="92"/>
      <c r="CK71" s="92"/>
      <c r="CL71" s="93">
        <f t="shared" si="19"/>
        <v>0</v>
      </c>
      <c r="CM71" s="90"/>
      <c r="CN71" s="91"/>
      <c r="CO71" s="92"/>
      <c r="CP71" s="92"/>
      <c r="CQ71" s="92"/>
      <c r="CR71" s="92"/>
      <c r="CS71" s="92"/>
      <c r="CT71" s="92"/>
      <c r="CU71" s="93">
        <f t="shared" si="20"/>
        <v>0</v>
      </c>
      <c r="CV71" s="95">
        <f t="shared" si="21"/>
        <v>0</v>
      </c>
      <c r="CW71" s="96">
        <f t="shared" si="22"/>
        <v>0</v>
      </c>
      <c r="CX71" s="97">
        <f t="shared" si="23"/>
        <v>0</v>
      </c>
      <c r="CZ71" s="89"/>
      <c r="DA71" s="90"/>
      <c r="DB71" s="91"/>
      <c r="DC71" s="92"/>
      <c r="DD71" s="92"/>
      <c r="DE71" s="92"/>
      <c r="DF71" s="92"/>
      <c r="DG71" s="92"/>
      <c r="DH71" s="92"/>
      <c r="DI71" s="93">
        <f t="shared" si="24"/>
        <v>0</v>
      </c>
      <c r="DJ71" s="90"/>
      <c r="DK71" s="91"/>
      <c r="DL71" s="92"/>
      <c r="DM71" s="92"/>
      <c r="DN71" s="92"/>
      <c r="DO71" s="92"/>
      <c r="DP71" s="92"/>
      <c r="DQ71" s="92"/>
      <c r="DR71" s="93">
        <f t="shared" si="25"/>
        <v>0</v>
      </c>
      <c r="DS71" s="90"/>
      <c r="DT71" s="91"/>
      <c r="DU71" s="92"/>
      <c r="DV71" s="92"/>
      <c r="DW71" s="92"/>
      <c r="DX71" s="92"/>
      <c r="DY71" s="92"/>
      <c r="DZ71" s="92"/>
      <c r="EA71" s="93">
        <f t="shared" si="26"/>
        <v>0</v>
      </c>
      <c r="EB71" s="95">
        <f t="shared" si="27"/>
        <v>0</v>
      </c>
      <c r="EC71" s="96">
        <f t="shared" si="28"/>
        <v>0</v>
      </c>
      <c r="ED71" s="97">
        <f t="shared" si="29"/>
        <v>0</v>
      </c>
    </row>
    <row r="72" spans="1:134" ht="21.95" customHeight="1" x14ac:dyDescent="0.5">
      <c r="A72" s="107"/>
      <c r="B72" s="108"/>
      <c r="C72" s="108"/>
      <c r="D72" s="108"/>
      <c r="E72" s="108"/>
      <c r="F72" s="107"/>
      <c r="G72" s="109"/>
      <c r="H72" s="110"/>
      <c r="I72" s="111"/>
      <c r="J72" s="112"/>
      <c r="K72" s="92"/>
      <c r="L72" s="92"/>
      <c r="M72" s="112">
        <v>0</v>
      </c>
      <c r="N72" s="112">
        <v>0</v>
      </c>
      <c r="O72" s="112"/>
      <c r="P72" s="112"/>
      <c r="Q72" s="113"/>
      <c r="R72" s="111"/>
      <c r="S72" s="112"/>
      <c r="T72" s="92"/>
      <c r="U72" s="92"/>
      <c r="V72" s="112"/>
      <c r="W72" s="112"/>
      <c r="X72" s="112"/>
      <c r="Y72" s="112"/>
      <c r="Z72" s="113"/>
      <c r="AA72" s="111"/>
      <c r="AB72" s="112"/>
      <c r="AC72" s="92"/>
      <c r="AD72" s="92"/>
      <c r="AE72" s="112"/>
      <c r="AF72" s="112"/>
      <c r="AG72" s="112"/>
      <c r="AH72" s="112"/>
      <c r="AI72" s="113"/>
      <c r="AJ72" s="114"/>
      <c r="AK72" s="115"/>
      <c r="AL72" s="116"/>
      <c r="AN72" s="110"/>
      <c r="AO72" s="111"/>
      <c r="AP72" s="112"/>
      <c r="AQ72" s="92"/>
      <c r="AR72" s="92"/>
      <c r="AS72" s="112"/>
      <c r="AT72" s="112"/>
      <c r="AU72" s="112"/>
      <c r="AV72" s="112"/>
      <c r="AW72" s="113"/>
      <c r="AX72" s="111"/>
      <c r="AY72" s="112"/>
      <c r="AZ72" s="92"/>
      <c r="BA72" s="92"/>
      <c r="BB72" s="112"/>
      <c r="BC72" s="112"/>
      <c r="BD72" s="112"/>
      <c r="BE72" s="112"/>
      <c r="BF72" s="113"/>
      <c r="BG72" s="111"/>
      <c r="BH72" s="112"/>
      <c r="BI72" s="92"/>
      <c r="BJ72" s="92"/>
      <c r="BK72" s="112"/>
      <c r="BL72" s="112"/>
      <c r="BM72" s="112"/>
      <c r="BN72" s="112"/>
      <c r="BO72" s="113"/>
      <c r="BP72" s="114"/>
      <c r="BQ72" s="115"/>
      <c r="BR72" s="116"/>
      <c r="BT72" s="110"/>
      <c r="BU72" s="111"/>
      <c r="BV72" s="112"/>
      <c r="BW72" s="92"/>
      <c r="BX72" s="92"/>
      <c r="BY72" s="112"/>
      <c r="BZ72" s="112"/>
      <c r="CA72" s="112"/>
      <c r="CB72" s="112"/>
      <c r="CC72" s="113"/>
      <c r="CD72" s="111"/>
      <c r="CE72" s="112"/>
      <c r="CF72" s="92"/>
      <c r="CG72" s="92"/>
      <c r="CH72" s="112"/>
      <c r="CI72" s="112"/>
      <c r="CJ72" s="112"/>
      <c r="CK72" s="112"/>
      <c r="CL72" s="113"/>
      <c r="CM72" s="111"/>
      <c r="CN72" s="112"/>
      <c r="CO72" s="92"/>
      <c r="CP72" s="92"/>
      <c r="CQ72" s="112"/>
      <c r="CR72" s="112"/>
      <c r="CS72" s="112"/>
      <c r="CT72" s="112"/>
      <c r="CU72" s="113"/>
      <c r="CV72" s="114"/>
      <c r="CW72" s="115"/>
      <c r="CX72" s="116"/>
      <c r="CZ72" s="110"/>
      <c r="DA72" s="111"/>
      <c r="DB72" s="112"/>
      <c r="DC72" s="92"/>
      <c r="DD72" s="92"/>
      <c r="DE72" s="112"/>
      <c r="DF72" s="112"/>
      <c r="DG72" s="112"/>
      <c r="DH72" s="112"/>
      <c r="DI72" s="113"/>
      <c r="DJ72" s="111"/>
      <c r="DK72" s="112"/>
      <c r="DL72" s="92"/>
      <c r="DM72" s="92"/>
      <c r="DN72" s="112"/>
      <c r="DO72" s="112"/>
      <c r="DP72" s="112"/>
      <c r="DQ72" s="112"/>
      <c r="DR72" s="113"/>
      <c r="DS72" s="111"/>
      <c r="DT72" s="112"/>
      <c r="DU72" s="92"/>
      <c r="DV72" s="92"/>
      <c r="DW72" s="112"/>
      <c r="DX72" s="112"/>
      <c r="DY72" s="112"/>
      <c r="DZ72" s="112"/>
      <c r="EA72" s="113"/>
      <c r="EB72" s="114"/>
      <c r="EC72" s="115"/>
      <c r="ED72" s="116"/>
    </row>
    <row r="73" spans="1:134" s="126" customFormat="1" ht="21.95" customHeight="1" thickBot="1" x14ac:dyDescent="0.55000000000000004">
      <c r="A73" s="117"/>
      <c r="B73" s="366" t="s">
        <v>187</v>
      </c>
      <c r="C73" s="367"/>
      <c r="D73" s="367"/>
      <c r="E73" s="367"/>
      <c r="F73" s="368"/>
      <c r="G73" s="118"/>
      <c r="H73" s="119">
        <f>SUM(H31:H72)</f>
        <v>0.99999999999999978</v>
      </c>
      <c r="I73" s="120">
        <f>SUM(I31:I72)</f>
        <v>1845813.4434179552</v>
      </c>
      <c r="J73" s="121">
        <f>SUM(J31:J72)</f>
        <v>1393609.6822179998</v>
      </c>
      <c r="K73" s="121">
        <f>SUM(K31:K72)</f>
        <v>514630</v>
      </c>
      <c r="L73" s="121">
        <f>SUM(L31:L72)</f>
        <v>386682.31999999995</v>
      </c>
      <c r="M73" s="121">
        <f t="shared" ref="M73:P73" si="35">SUM(M31:M72)</f>
        <v>1045226</v>
      </c>
      <c r="N73" s="121">
        <f t="shared" si="35"/>
        <v>783003.12</v>
      </c>
      <c r="O73" s="121">
        <f t="shared" si="35"/>
        <v>1607792</v>
      </c>
      <c r="P73" s="121">
        <f t="shared" si="35"/>
        <v>1210195.28</v>
      </c>
      <c r="Q73" s="122">
        <f>P73/J73</f>
        <v>0.86838897249473279</v>
      </c>
      <c r="R73" s="120">
        <f>SUM(R31:R72)</f>
        <v>1845813.4434179568</v>
      </c>
      <c r="S73" s="121">
        <f>SUM(S31:S72)</f>
        <v>1393609.9999999998</v>
      </c>
      <c r="T73" s="121">
        <f>SUM(T31:T72)</f>
        <v>523142</v>
      </c>
      <c r="U73" s="121">
        <f>SUM(U31:U72)</f>
        <v>395273.92000000004</v>
      </c>
      <c r="V73" s="121">
        <f t="shared" ref="V73:Y73" si="36">SUM(V31:V72)</f>
        <v>1006068</v>
      </c>
      <c r="W73" s="121">
        <f t="shared" si="36"/>
        <v>760690.47999999975</v>
      </c>
      <c r="X73" s="121">
        <f t="shared" si="36"/>
        <v>1474060</v>
      </c>
      <c r="Y73" s="121">
        <f t="shared" si="36"/>
        <v>1114566.56</v>
      </c>
      <c r="Z73" s="122">
        <f>Y73/S73</f>
        <v>0.79976934723487936</v>
      </c>
      <c r="AA73" s="120">
        <f>SUM(AA31:AA72)</f>
        <v>1845813.4434179568</v>
      </c>
      <c r="AB73" s="121">
        <f>SUM(AB31:AB72)</f>
        <v>1393609.9999999998</v>
      </c>
      <c r="AC73" s="121">
        <f t="shared" ref="AC73:AH73" si="37">SUM(AC31:AC72)</f>
        <v>551912</v>
      </c>
      <c r="AD73" s="121">
        <f t="shared" si="37"/>
        <v>422494.08000000007</v>
      </c>
      <c r="AE73" s="121">
        <f t="shared" si="37"/>
        <v>1159608</v>
      </c>
      <c r="AF73" s="121">
        <f t="shared" si="37"/>
        <v>879616.72000000032</v>
      </c>
      <c r="AG73" s="121">
        <f t="shared" si="37"/>
        <v>0</v>
      </c>
      <c r="AH73" s="121">
        <f t="shared" si="37"/>
        <v>0</v>
      </c>
      <c r="AI73" s="122">
        <f>AH73/AB73</f>
        <v>0</v>
      </c>
      <c r="AJ73" s="123">
        <f>SUM(AJ31:AJ72)</f>
        <v>4180829.6822179989</v>
      </c>
      <c r="AK73" s="124">
        <f>SUM(AK31:AK72)</f>
        <v>2324761.8400000008</v>
      </c>
      <c r="AL73" s="125">
        <f t="shared" ref="AL73" si="38">IFERROR((AK73/AJ73),0)</f>
        <v>0.55605274950274375</v>
      </c>
      <c r="AN73" s="119">
        <f>SUM(AN31:AN72)</f>
        <v>1.0000000000000002</v>
      </c>
      <c r="AO73" s="120">
        <f>SUM(AO31:AO72)</f>
        <v>0</v>
      </c>
      <c r="AP73" s="121">
        <f>SUM(AP31:AP72)</f>
        <v>0</v>
      </c>
      <c r="AQ73" s="121">
        <f>SUM(AQ31:AQ72)</f>
        <v>0</v>
      </c>
      <c r="AR73" s="121">
        <f>SUM(AR31:AR72)</f>
        <v>0</v>
      </c>
      <c r="AS73" s="121">
        <f t="shared" ref="AS73:AV73" si="39">SUM(AS31:AS72)</f>
        <v>0</v>
      </c>
      <c r="AT73" s="121">
        <f t="shared" si="39"/>
        <v>0</v>
      </c>
      <c r="AU73" s="121">
        <f t="shared" si="39"/>
        <v>0</v>
      </c>
      <c r="AV73" s="121">
        <f t="shared" si="39"/>
        <v>0</v>
      </c>
      <c r="AW73" s="122" t="e">
        <f>AU73/AP73</f>
        <v>#DIV/0!</v>
      </c>
      <c r="AX73" s="120">
        <f>SUM(AX31:AX72)</f>
        <v>0</v>
      </c>
      <c r="AY73" s="121">
        <f>SUM(AY31:AY72)</f>
        <v>0</v>
      </c>
      <c r="AZ73" s="121">
        <f>SUM(AZ31:AZ72)</f>
        <v>0</v>
      </c>
      <c r="BA73" s="121">
        <f>SUM(BA31:BA72)</f>
        <v>0</v>
      </c>
      <c r="BB73" s="121">
        <f t="shared" ref="BB73:BE73" si="40">SUM(BB31:BB72)</f>
        <v>0</v>
      </c>
      <c r="BC73" s="121">
        <f t="shared" si="40"/>
        <v>0</v>
      </c>
      <c r="BD73" s="121">
        <f t="shared" si="40"/>
        <v>0</v>
      </c>
      <c r="BE73" s="121">
        <f t="shared" si="40"/>
        <v>0</v>
      </c>
      <c r="BF73" s="122" t="e">
        <f>BD73/AY73</f>
        <v>#DIV/0!</v>
      </c>
      <c r="BG73" s="120">
        <f>SUM(BG31:BG72)</f>
        <v>0</v>
      </c>
      <c r="BH73" s="121">
        <f>SUM(BH31:BH72)</f>
        <v>0</v>
      </c>
      <c r="BI73" s="121">
        <f>SUM(BI31:BI72)</f>
        <v>0</v>
      </c>
      <c r="BJ73" s="121">
        <f>SUM(BJ31:BJ72)</f>
        <v>0</v>
      </c>
      <c r="BK73" s="121">
        <f t="shared" ref="BK73:BN73" si="41">SUM(BK31:BK72)</f>
        <v>0</v>
      </c>
      <c r="BL73" s="121">
        <f t="shared" si="41"/>
        <v>0</v>
      </c>
      <c r="BM73" s="121">
        <f t="shared" si="41"/>
        <v>0</v>
      </c>
      <c r="BN73" s="121">
        <f t="shared" si="41"/>
        <v>0</v>
      </c>
      <c r="BO73" s="122" t="e">
        <f>BM73/BH73</f>
        <v>#DIV/0!</v>
      </c>
      <c r="BP73" s="123">
        <f>SUM(BP31:BP72)</f>
        <v>0</v>
      </c>
      <c r="BQ73" s="124">
        <f>SUM(BQ31:BQ72)</f>
        <v>0</v>
      </c>
      <c r="BR73" s="125">
        <f t="shared" ref="BR73" si="42">IFERROR((BQ73/BP73),0)</f>
        <v>0</v>
      </c>
      <c r="BT73" s="119">
        <f>SUM(BT31:BT72)</f>
        <v>0</v>
      </c>
      <c r="BU73" s="120">
        <f>SUM(BU31:BU72)</f>
        <v>0</v>
      </c>
      <c r="BV73" s="121">
        <f>SUM(BV31:BV72)</f>
        <v>0</v>
      </c>
      <c r="BW73" s="121">
        <f>SUM(BW31:BW72)</f>
        <v>0</v>
      </c>
      <c r="BX73" s="121">
        <f>SUM(BX31:BX72)</f>
        <v>0</v>
      </c>
      <c r="BY73" s="121">
        <f t="shared" ref="BY73:CB73" si="43">SUM(BY31:BY72)</f>
        <v>0</v>
      </c>
      <c r="BZ73" s="121">
        <f t="shared" si="43"/>
        <v>0</v>
      </c>
      <c r="CA73" s="121">
        <f t="shared" si="43"/>
        <v>0</v>
      </c>
      <c r="CB73" s="121">
        <f t="shared" si="43"/>
        <v>0</v>
      </c>
      <c r="CC73" s="122" t="e">
        <f>CA73/BV73</f>
        <v>#DIV/0!</v>
      </c>
      <c r="CD73" s="120">
        <f>SUM(CD31:CD72)</f>
        <v>0</v>
      </c>
      <c r="CE73" s="121">
        <f>SUM(CE31:CE72)</f>
        <v>0</v>
      </c>
      <c r="CF73" s="121">
        <f>SUM(CF31:CF72)</f>
        <v>0</v>
      </c>
      <c r="CG73" s="121">
        <f>SUM(CG31:CG72)</f>
        <v>0</v>
      </c>
      <c r="CH73" s="121">
        <f t="shared" ref="CH73:CK73" si="44">SUM(CH31:CH72)</f>
        <v>0</v>
      </c>
      <c r="CI73" s="121">
        <f t="shared" si="44"/>
        <v>0</v>
      </c>
      <c r="CJ73" s="121">
        <f t="shared" si="44"/>
        <v>0</v>
      </c>
      <c r="CK73" s="121">
        <f t="shared" si="44"/>
        <v>0</v>
      </c>
      <c r="CL73" s="122" t="e">
        <f>CJ73/CE73</f>
        <v>#DIV/0!</v>
      </c>
      <c r="CM73" s="120">
        <f>SUM(CM31:CM72)</f>
        <v>0</v>
      </c>
      <c r="CN73" s="121">
        <f>SUM(CN31:CN72)</f>
        <v>0</v>
      </c>
      <c r="CO73" s="121">
        <f>SUM(CO31:CO72)</f>
        <v>0</v>
      </c>
      <c r="CP73" s="121">
        <f>SUM(CP31:CP72)</f>
        <v>0</v>
      </c>
      <c r="CQ73" s="121">
        <f t="shared" ref="CQ73:CT73" si="45">SUM(CQ31:CQ72)</f>
        <v>0</v>
      </c>
      <c r="CR73" s="121">
        <f t="shared" si="45"/>
        <v>0</v>
      </c>
      <c r="CS73" s="121">
        <f t="shared" si="45"/>
        <v>0</v>
      </c>
      <c r="CT73" s="121">
        <f t="shared" si="45"/>
        <v>0</v>
      </c>
      <c r="CU73" s="122" t="e">
        <f>CS73/CN73</f>
        <v>#DIV/0!</v>
      </c>
      <c r="CV73" s="123">
        <f>SUM(CV31:CV72)</f>
        <v>0</v>
      </c>
      <c r="CW73" s="124">
        <f>SUM(CW31:CW72)</f>
        <v>0</v>
      </c>
      <c r="CX73" s="125">
        <f t="shared" ref="CX73" si="46">IFERROR((CW73/CV73),0)</f>
        <v>0</v>
      </c>
      <c r="CZ73" s="119">
        <f>SUM(CZ31:CZ72)</f>
        <v>0</v>
      </c>
      <c r="DA73" s="120">
        <v>160916.92969303887</v>
      </c>
      <c r="DB73" s="121">
        <v>2252837.0157025452</v>
      </c>
      <c r="DC73" s="121">
        <v>520804</v>
      </c>
      <c r="DD73" s="121">
        <v>389100.79999999999</v>
      </c>
      <c r="DE73" s="121">
        <f t="shared" ref="DE73:DH73" si="47">SUM(DE31:DE72)</f>
        <v>0</v>
      </c>
      <c r="DF73" s="121">
        <f t="shared" si="47"/>
        <v>0</v>
      </c>
      <c r="DG73" s="121">
        <f t="shared" si="47"/>
        <v>0</v>
      </c>
      <c r="DH73" s="121">
        <f t="shared" si="47"/>
        <v>0</v>
      </c>
      <c r="DI73" s="122">
        <f>DG73/DB73</f>
        <v>0</v>
      </c>
      <c r="DJ73" s="120">
        <f>SUM(DJ31:DJ72)</f>
        <v>0</v>
      </c>
      <c r="DK73" s="121">
        <f>SUM(DK31:DK72)</f>
        <v>0</v>
      </c>
      <c r="DL73" s="121">
        <f>SUM(DL31:DL72)</f>
        <v>0</v>
      </c>
      <c r="DM73" s="121">
        <f>SUM(DM31:DM72)</f>
        <v>0</v>
      </c>
      <c r="DN73" s="121">
        <f t="shared" ref="DN73:DQ73" si="48">SUM(DN31:DN72)</f>
        <v>0</v>
      </c>
      <c r="DO73" s="121">
        <f t="shared" si="48"/>
        <v>0</v>
      </c>
      <c r="DP73" s="121">
        <f t="shared" si="48"/>
        <v>0</v>
      </c>
      <c r="DQ73" s="121">
        <f t="shared" si="48"/>
        <v>0</v>
      </c>
      <c r="DR73" s="122" t="e">
        <f>DP73/DK73</f>
        <v>#DIV/0!</v>
      </c>
      <c r="DS73" s="120">
        <f>SUM(DS31:DS72)</f>
        <v>0</v>
      </c>
      <c r="DT73" s="121">
        <f>SUM(DT31:DT72)</f>
        <v>0</v>
      </c>
      <c r="DU73" s="121">
        <f>SUM(DU31:DU72)</f>
        <v>0</v>
      </c>
      <c r="DV73" s="121">
        <f>SUM(DV31:DV72)</f>
        <v>0</v>
      </c>
      <c r="DW73" s="121">
        <f t="shared" ref="DW73:DZ73" si="49">SUM(DW31:DW72)</f>
        <v>0</v>
      </c>
      <c r="DX73" s="121">
        <f t="shared" si="49"/>
        <v>0</v>
      </c>
      <c r="DY73" s="121">
        <f t="shared" si="49"/>
        <v>0</v>
      </c>
      <c r="DZ73" s="121">
        <f t="shared" si="49"/>
        <v>0</v>
      </c>
      <c r="EA73" s="122" t="e">
        <f>DY73/DT73</f>
        <v>#DIV/0!</v>
      </c>
      <c r="EB73" s="123">
        <f>SUM(EB31:EB72)</f>
        <v>0</v>
      </c>
      <c r="EC73" s="124">
        <f>SUM(EC31:EC72)</f>
        <v>0</v>
      </c>
      <c r="ED73" s="125">
        <f t="shared" ref="ED73" si="50">IFERROR((EC73/EB73),0)</f>
        <v>0</v>
      </c>
    </row>
    <row r="74" spans="1:134" s="126" customFormat="1" ht="21.95" customHeight="1" thickBot="1" x14ac:dyDescent="0.55000000000000004">
      <c r="A74" s="127"/>
      <c r="B74" s="127"/>
      <c r="C74" s="127"/>
      <c r="D74" s="127"/>
      <c r="E74" s="127"/>
      <c r="F74" s="127"/>
      <c r="G74" s="128"/>
      <c r="H74" s="129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L74" s="131"/>
      <c r="AN74" s="129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  <c r="BN74" s="130"/>
      <c r="BO74" s="130"/>
      <c r="BR74" s="131"/>
      <c r="BT74" s="129"/>
      <c r="BU74" s="130"/>
      <c r="BV74" s="130"/>
      <c r="BW74" s="130"/>
      <c r="BX74" s="130"/>
      <c r="BY74" s="130"/>
      <c r="BZ74" s="130"/>
      <c r="CA74" s="130"/>
      <c r="CB74" s="130"/>
      <c r="CC74" s="130"/>
      <c r="CD74" s="130"/>
      <c r="CE74" s="130"/>
      <c r="CF74" s="130"/>
      <c r="CG74" s="130"/>
      <c r="CH74" s="130"/>
      <c r="CI74" s="130"/>
      <c r="CJ74" s="130"/>
      <c r="CK74" s="130"/>
      <c r="CL74" s="130"/>
      <c r="CM74" s="130"/>
      <c r="CN74" s="130"/>
      <c r="CO74" s="130"/>
      <c r="CP74" s="130"/>
      <c r="CQ74" s="130"/>
      <c r="CR74" s="130"/>
      <c r="CS74" s="130"/>
      <c r="CT74" s="130"/>
      <c r="CU74" s="130"/>
      <c r="CX74" s="131"/>
      <c r="CZ74" s="129"/>
      <c r="DA74" s="130"/>
      <c r="DB74" s="130"/>
      <c r="DC74" s="130"/>
      <c r="DD74" s="130"/>
      <c r="DE74" s="130"/>
      <c r="DF74" s="130"/>
      <c r="DG74" s="130"/>
      <c r="DH74" s="130"/>
      <c r="DI74" s="130"/>
      <c r="DJ74" s="130"/>
      <c r="DK74" s="130"/>
      <c r="DL74" s="130"/>
      <c r="DM74" s="130"/>
      <c r="DN74" s="130"/>
      <c r="DO74" s="130"/>
      <c r="DP74" s="130"/>
      <c r="DQ74" s="130"/>
      <c r="DR74" s="130"/>
      <c r="DS74" s="130"/>
      <c r="DT74" s="130"/>
      <c r="DU74" s="130"/>
      <c r="DV74" s="130"/>
      <c r="DW74" s="130"/>
      <c r="DX74" s="130"/>
      <c r="DY74" s="130"/>
      <c r="DZ74" s="130"/>
      <c r="EA74" s="130"/>
      <c r="ED74" s="131"/>
    </row>
    <row r="75" spans="1:134" s="126" customFormat="1" ht="21.95" customHeight="1" thickBot="1" x14ac:dyDescent="0.55000000000000004">
      <c r="A75" s="127"/>
      <c r="B75" s="127"/>
      <c r="C75" s="127"/>
      <c r="D75" s="127"/>
      <c r="E75" s="127"/>
      <c r="F75" s="127"/>
      <c r="G75" s="128"/>
      <c r="H75" s="129"/>
      <c r="I75" s="395" t="s">
        <v>31</v>
      </c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  <c r="AG75" s="396"/>
      <c r="AH75" s="396"/>
      <c r="AI75" s="396"/>
      <c r="AJ75" s="397"/>
      <c r="AK75" s="397"/>
      <c r="AL75" s="398"/>
      <c r="AN75" s="129"/>
      <c r="AO75" s="386" t="s">
        <v>32</v>
      </c>
      <c r="AP75" s="387"/>
      <c r="AQ75" s="387"/>
      <c r="AR75" s="387"/>
      <c r="AS75" s="387"/>
      <c r="AT75" s="387"/>
      <c r="AU75" s="387"/>
      <c r="AV75" s="387"/>
      <c r="AW75" s="387"/>
      <c r="AX75" s="387"/>
      <c r="AY75" s="387"/>
      <c r="AZ75" s="387"/>
      <c r="BA75" s="387"/>
      <c r="BB75" s="387"/>
      <c r="BC75" s="387"/>
      <c r="BD75" s="387"/>
      <c r="BE75" s="387"/>
      <c r="BF75" s="387"/>
      <c r="BG75" s="387"/>
      <c r="BH75" s="387"/>
      <c r="BI75" s="387"/>
      <c r="BJ75" s="387"/>
      <c r="BK75" s="387"/>
      <c r="BL75" s="387"/>
      <c r="BM75" s="387"/>
      <c r="BN75" s="387"/>
      <c r="BO75" s="387"/>
      <c r="BP75" s="387"/>
      <c r="BQ75" s="387"/>
      <c r="BR75" s="388"/>
      <c r="BT75" s="129"/>
      <c r="BU75" s="386" t="s">
        <v>33</v>
      </c>
      <c r="BV75" s="387"/>
      <c r="BW75" s="387"/>
      <c r="BX75" s="387"/>
      <c r="BY75" s="387"/>
      <c r="BZ75" s="387"/>
      <c r="CA75" s="387"/>
      <c r="CB75" s="387"/>
      <c r="CC75" s="387"/>
      <c r="CD75" s="387"/>
      <c r="CE75" s="387"/>
      <c r="CF75" s="387"/>
      <c r="CG75" s="387"/>
      <c r="CH75" s="387"/>
      <c r="CI75" s="387"/>
      <c r="CJ75" s="387"/>
      <c r="CK75" s="387"/>
      <c r="CL75" s="387"/>
      <c r="CM75" s="387"/>
      <c r="CN75" s="387"/>
      <c r="CO75" s="387"/>
      <c r="CP75" s="387"/>
      <c r="CQ75" s="387"/>
      <c r="CR75" s="387"/>
      <c r="CS75" s="387"/>
      <c r="CT75" s="387"/>
      <c r="CU75" s="387"/>
      <c r="CV75" s="387"/>
      <c r="CW75" s="387"/>
      <c r="CX75" s="388"/>
      <c r="CY75" s="1"/>
      <c r="CZ75" s="2"/>
      <c r="DA75" s="386" t="s">
        <v>34</v>
      </c>
      <c r="DB75" s="387"/>
      <c r="DC75" s="387"/>
      <c r="DD75" s="387"/>
      <c r="DE75" s="387"/>
      <c r="DF75" s="387"/>
      <c r="DG75" s="387"/>
      <c r="DH75" s="387"/>
      <c r="DI75" s="387"/>
      <c r="DJ75" s="387"/>
      <c r="DK75" s="387"/>
      <c r="DL75" s="387"/>
      <c r="DM75" s="387"/>
      <c r="DN75" s="387"/>
      <c r="DO75" s="387"/>
      <c r="DP75" s="387"/>
      <c r="DQ75" s="387"/>
      <c r="DR75" s="387"/>
      <c r="DS75" s="387"/>
      <c r="DT75" s="387"/>
      <c r="DU75" s="387"/>
      <c r="DV75" s="387"/>
      <c r="DW75" s="387"/>
      <c r="DX75" s="387"/>
      <c r="DY75" s="387"/>
      <c r="DZ75" s="387"/>
      <c r="EA75" s="387"/>
      <c r="EB75" s="387"/>
      <c r="EC75" s="387"/>
      <c r="ED75" s="388"/>
    </row>
    <row r="76" spans="1:134" s="71" customFormat="1" ht="21.95" customHeight="1" x14ac:dyDescent="0.6">
      <c r="A76" s="6"/>
      <c r="B76" s="392" t="s">
        <v>188</v>
      </c>
      <c r="C76" s="392"/>
      <c r="D76" s="392"/>
      <c r="E76" s="6"/>
      <c r="F76" s="6"/>
      <c r="H76" s="72"/>
      <c r="I76" s="374">
        <v>46023</v>
      </c>
      <c r="J76" s="375"/>
      <c r="K76" s="375"/>
      <c r="L76" s="375"/>
      <c r="M76" s="375"/>
      <c r="N76" s="375"/>
      <c r="O76" s="375"/>
      <c r="P76" s="375"/>
      <c r="Q76" s="376"/>
      <c r="R76" s="374">
        <v>46054</v>
      </c>
      <c r="S76" s="375"/>
      <c r="T76" s="375"/>
      <c r="U76" s="375"/>
      <c r="V76" s="375"/>
      <c r="W76" s="375"/>
      <c r="X76" s="375"/>
      <c r="Y76" s="375"/>
      <c r="Z76" s="376"/>
      <c r="AA76" s="374">
        <v>46082</v>
      </c>
      <c r="AB76" s="375"/>
      <c r="AC76" s="375"/>
      <c r="AD76" s="375"/>
      <c r="AE76" s="375"/>
      <c r="AF76" s="375"/>
      <c r="AG76" s="375"/>
      <c r="AH76" s="375"/>
      <c r="AI76" s="376"/>
      <c r="AJ76" s="377" t="s">
        <v>36</v>
      </c>
      <c r="AK76" s="378"/>
      <c r="AL76" s="379"/>
      <c r="AN76" s="72"/>
      <c r="AO76" s="374">
        <v>46113</v>
      </c>
      <c r="AP76" s="375"/>
      <c r="AQ76" s="375"/>
      <c r="AR76" s="375"/>
      <c r="AS76" s="375"/>
      <c r="AT76" s="375"/>
      <c r="AU76" s="375"/>
      <c r="AV76" s="375"/>
      <c r="AW76" s="376"/>
      <c r="AX76" s="374">
        <v>46143</v>
      </c>
      <c r="AY76" s="375"/>
      <c r="AZ76" s="375"/>
      <c r="BA76" s="375"/>
      <c r="BB76" s="375"/>
      <c r="BC76" s="375"/>
      <c r="BD76" s="375"/>
      <c r="BE76" s="375"/>
      <c r="BF76" s="376"/>
      <c r="BG76" s="374">
        <v>46174</v>
      </c>
      <c r="BH76" s="375"/>
      <c r="BI76" s="375"/>
      <c r="BJ76" s="375"/>
      <c r="BK76" s="375"/>
      <c r="BL76" s="375"/>
      <c r="BM76" s="375"/>
      <c r="BN76" s="375"/>
      <c r="BO76" s="376"/>
      <c r="BP76" s="377" t="s">
        <v>37</v>
      </c>
      <c r="BQ76" s="378"/>
      <c r="BR76" s="379"/>
      <c r="BT76" s="72"/>
      <c r="BU76" s="374">
        <v>46204</v>
      </c>
      <c r="BV76" s="375"/>
      <c r="BW76" s="375"/>
      <c r="BX76" s="375"/>
      <c r="BY76" s="375"/>
      <c r="BZ76" s="375"/>
      <c r="CA76" s="375"/>
      <c r="CB76" s="375"/>
      <c r="CC76" s="376"/>
      <c r="CD76" s="374">
        <v>46235</v>
      </c>
      <c r="CE76" s="375"/>
      <c r="CF76" s="375"/>
      <c r="CG76" s="375"/>
      <c r="CH76" s="375"/>
      <c r="CI76" s="375"/>
      <c r="CJ76" s="375"/>
      <c r="CK76" s="375"/>
      <c r="CL76" s="376"/>
      <c r="CM76" s="374">
        <v>46266</v>
      </c>
      <c r="CN76" s="375"/>
      <c r="CO76" s="375"/>
      <c r="CP76" s="375"/>
      <c r="CQ76" s="375"/>
      <c r="CR76" s="375"/>
      <c r="CS76" s="375"/>
      <c r="CT76" s="375"/>
      <c r="CU76" s="376"/>
      <c r="CV76" s="377" t="s">
        <v>38</v>
      </c>
      <c r="CW76" s="378"/>
      <c r="CX76" s="379"/>
      <c r="CZ76" s="72"/>
      <c r="DA76" s="374">
        <v>46296</v>
      </c>
      <c r="DB76" s="375"/>
      <c r="DC76" s="375"/>
      <c r="DD76" s="375"/>
      <c r="DE76" s="375"/>
      <c r="DF76" s="375"/>
      <c r="DG76" s="375"/>
      <c r="DH76" s="375"/>
      <c r="DI76" s="376"/>
      <c r="DJ76" s="374">
        <v>46327</v>
      </c>
      <c r="DK76" s="375"/>
      <c r="DL76" s="375"/>
      <c r="DM76" s="375"/>
      <c r="DN76" s="375"/>
      <c r="DO76" s="375"/>
      <c r="DP76" s="375"/>
      <c r="DQ76" s="375"/>
      <c r="DR76" s="376"/>
      <c r="DS76" s="374">
        <v>46357</v>
      </c>
      <c r="DT76" s="375"/>
      <c r="DU76" s="375"/>
      <c r="DV76" s="375"/>
      <c r="DW76" s="375"/>
      <c r="DX76" s="375"/>
      <c r="DY76" s="375"/>
      <c r="DZ76" s="375"/>
      <c r="EA76" s="376"/>
      <c r="EB76" s="377" t="s">
        <v>39</v>
      </c>
      <c r="EC76" s="378"/>
      <c r="ED76" s="379"/>
    </row>
    <row r="77" spans="1:134" s="71" customFormat="1" ht="21.95" customHeight="1" thickBot="1" x14ac:dyDescent="0.65">
      <c r="A77" s="6"/>
      <c r="B77" s="6"/>
      <c r="C77" s="6"/>
      <c r="D77" s="6"/>
      <c r="E77" s="6"/>
      <c r="F77" s="6"/>
      <c r="H77" s="224">
        <f>H6*J3</f>
        <v>319940.99685911217</v>
      </c>
      <c r="I77" s="390">
        <v>241559</v>
      </c>
      <c r="J77" s="393"/>
      <c r="K77" s="372">
        <v>10</v>
      </c>
      <c r="L77" s="372"/>
      <c r="M77" s="372">
        <v>20</v>
      </c>
      <c r="N77" s="372"/>
      <c r="O77" s="372">
        <v>30</v>
      </c>
      <c r="P77" s="372"/>
      <c r="Q77" s="132" t="s">
        <v>40</v>
      </c>
      <c r="R77" s="394">
        <v>241559</v>
      </c>
      <c r="S77" s="393"/>
      <c r="T77" s="372">
        <v>10</v>
      </c>
      <c r="U77" s="372"/>
      <c r="V77" s="372">
        <v>20</v>
      </c>
      <c r="W77" s="372"/>
      <c r="X77" s="372">
        <v>30</v>
      </c>
      <c r="Y77" s="372"/>
      <c r="Z77" s="133" t="s">
        <v>40</v>
      </c>
      <c r="AA77" s="390">
        <v>241559</v>
      </c>
      <c r="AB77" s="393"/>
      <c r="AC77" s="372">
        <v>10</v>
      </c>
      <c r="AD77" s="372"/>
      <c r="AE77" s="372">
        <v>20</v>
      </c>
      <c r="AF77" s="372"/>
      <c r="AG77" s="372">
        <v>30</v>
      </c>
      <c r="AH77" s="372"/>
      <c r="AI77" s="133" t="s">
        <v>40</v>
      </c>
      <c r="AJ77" s="77" t="s">
        <v>41</v>
      </c>
      <c r="AK77" s="78" t="s">
        <v>42</v>
      </c>
      <c r="AL77" s="79" t="s">
        <v>40</v>
      </c>
      <c r="AN77" s="72"/>
      <c r="AO77" s="390"/>
      <c r="AP77" s="393"/>
      <c r="AQ77" s="372">
        <v>10</v>
      </c>
      <c r="AR77" s="372"/>
      <c r="AS77" s="372">
        <v>20</v>
      </c>
      <c r="AT77" s="372"/>
      <c r="AU77" s="372">
        <v>30</v>
      </c>
      <c r="AV77" s="372"/>
      <c r="AW77" s="132" t="s">
        <v>40</v>
      </c>
      <c r="AX77" s="390"/>
      <c r="AY77" s="393"/>
      <c r="AZ77" s="372">
        <v>10</v>
      </c>
      <c r="BA77" s="372"/>
      <c r="BB77" s="372">
        <v>20</v>
      </c>
      <c r="BC77" s="372"/>
      <c r="BD77" s="372">
        <v>31</v>
      </c>
      <c r="BE77" s="372"/>
      <c r="BF77" s="133" t="s">
        <v>40</v>
      </c>
      <c r="BG77" s="390"/>
      <c r="BH77" s="393"/>
      <c r="BI77" s="372">
        <v>10</v>
      </c>
      <c r="BJ77" s="372"/>
      <c r="BK77" s="372">
        <v>20</v>
      </c>
      <c r="BL77" s="372"/>
      <c r="BM77" s="372">
        <v>30</v>
      </c>
      <c r="BN77" s="372"/>
      <c r="BO77" s="133" t="s">
        <v>40</v>
      </c>
      <c r="BP77" s="77" t="s">
        <v>41</v>
      </c>
      <c r="BQ77" s="78" t="s">
        <v>42</v>
      </c>
      <c r="BR77" s="79" t="s">
        <v>40</v>
      </c>
      <c r="BT77" s="72"/>
      <c r="BU77" s="370"/>
      <c r="BV77" s="371"/>
      <c r="BW77" s="369">
        <v>10</v>
      </c>
      <c r="BX77" s="369"/>
      <c r="BY77" s="369">
        <v>20</v>
      </c>
      <c r="BZ77" s="369"/>
      <c r="CA77" s="369">
        <v>30</v>
      </c>
      <c r="CB77" s="369"/>
      <c r="CC77" s="76" t="s">
        <v>40</v>
      </c>
      <c r="CD77" s="370"/>
      <c r="CE77" s="371"/>
      <c r="CF77" s="369">
        <v>10</v>
      </c>
      <c r="CG77" s="369"/>
      <c r="CH77" s="369">
        <v>20</v>
      </c>
      <c r="CI77" s="369"/>
      <c r="CJ77" s="369">
        <v>30</v>
      </c>
      <c r="CK77" s="369"/>
      <c r="CL77" s="76" t="s">
        <v>40</v>
      </c>
      <c r="CM77" s="370"/>
      <c r="CN77" s="371"/>
      <c r="CO77" s="369">
        <v>10</v>
      </c>
      <c r="CP77" s="369"/>
      <c r="CQ77" s="369">
        <v>20</v>
      </c>
      <c r="CR77" s="369"/>
      <c r="CS77" s="369">
        <v>30</v>
      </c>
      <c r="CT77" s="369"/>
      <c r="CU77" s="76" t="s">
        <v>40</v>
      </c>
      <c r="CV77" s="77" t="s">
        <v>41</v>
      </c>
      <c r="CW77" s="78" t="s">
        <v>42</v>
      </c>
      <c r="CX77" s="79" t="s">
        <v>40</v>
      </c>
      <c r="CZ77" s="72"/>
      <c r="DA77" s="370"/>
      <c r="DB77" s="371"/>
      <c r="DC77" s="369">
        <v>10</v>
      </c>
      <c r="DD77" s="369"/>
      <c r="DE77" s="369">
        <v>20</v>
      </c>
      <c r="DF77" s="369"/>
      <c r="DG77" s="369">
        <v>30</v>
      </c>
      <c r="DH77" s="369"/>
      <c r="DI77" s="76" t="s">
        <v>40</v>
      </c>
      <c r="DJ77" s="370"/>
      <c r="DK77" s="371"/>
      <c r="DL77" s="369">
        <v>10</v>
      </c>
      <c r="DM77" s="369"/>
      <c r="DN77" s="369">
        <v>20</v>
      </c>
      <c r="DO77" s="369"/>
      <c r="DP77" s="369">
        <v>30</v>
      </c>
      <c r="DQ77" s="369"/>
      <c r="DR77" s="76" t="s">
        <v>40</v>
      </c>
      <c r="DS77" s="370"/>
      <c r="DT77" s="371"/>
      <c r="DU77" s="369">
        <v>10</v>
      </c>
      <c r="DV77" s="369"/>
      <c r="DW77" s="369">
        <v>20</v>
      </c>
      <c r="DX77" s="369"/>
      <c r="DY77" s="369">
        <v>30</v>
      </c>
      <c r="DZ77" s="369"/>
      <c r="EA77" s="76" t="s">
        <v>40</v>
      </c>
      <c r="EB77" s="77" t="s">
        <v>41</v>
      </c>
      <c r="EC77" s="78" t="s">
        <v>42</v>
      </c>
      <c r="ED77" s="79" t="s">
        <v>40</v>
      </c>
    </row>
    <row r="78" spans="1:134" s="6" customFormat="1" ht="21.95" customHeight="1" x14ac:dyDescent="0.6">
      <c r="A78" s="80" t="s">
        <v>43</v>
      </c>
      <c r="B78" s="381" t="s">
        <v>44</v>
      </c>
      <c r="C78" s="382"/>
      <c r="D78" s="381" t="s">
        <v>45</v>
      </c>
      <c r="E78" s="382"/>
      <c r="F78" s="80" t="s">
        <v>46</v>
      </c>
      <c r="G78" s="81" t="s">
        <v>189</v>
      </c>
      <c r="H78" s="82" t="s">
        <v>190</v>
      </c>
      <c r="I78" s="73" t="s">
        <v>716</v>
      </c>
      <c r="J78" s="74" t="s">
        <v>50</v>
      </c>
      <c r="K78" s="74" t="s">
        <v>51</v>
      </c>
      <c r="L78" s="74" t="s">
        <v>50</v>
      </c>
      <c r="M78" s="74" t="s">
        <v>51</v>
      </c>
      <c r="N78" s="74" t="s">
        <v>50</v>
      </c>
      <c r="O78" s="74" t="s">
        <v>51</v>
      </c>
      <c r="P78" s="74" t="s">
        <v>50</v>
      </c>
      <c r="Q78" s="75" t="s">
        <v>50</v>
      </c>
      <c r="R78" s="73" t="s">
        <v>716</v>
      </c>
      <c r="S78" s="74" t="s">
        <v>50</v>
      </c>
      <c r="T78" s="74" t="s">
        <v>51</v>
      </c>
      <c r="U78" s="74" t="s">
        <v>50</v>
      </c>
      <c r="V78" s="74" t="s">
        <v>51</v>
      </c>
      <c r="W78" s="74" t="s">
        <v>50</v>
      </c>
      <c r="X78" s="74" t="s">
        <v>51</v>
      </c>
      <c r="Y78" s="74" t="s">
        <v>50</v>
      </c>
      <c r="Z78" s="75" t="s">
        <v>50</v>
      </c>
      <c r="AA78" s="73" t="s">
        <v>716</v>
      </c>
      <c r="AB78" s="74" t="s">
        <v>50</v>
      </c>
      <c r="AC78" s="74" t="s">
        <v>51</v>
      </c>
      <c r="AD78" s="74" t="s">
        <v>50</v>
      </c>
      <c r="AE78" s="74" t="s">
        <v>51</v>
      </c>
      <c r="AF78" s="74" t="s">
        <v>50</v>
      </c>
      <c r="AG78" s="74" t="s">
        <v>51</v>
      </c>
      <c r="AH78" s="74" t="s">
        <v>50</v>
      </c>
      <c r="AI78" s="75" t="s">
        <v>50</v>
      </c>
      <c r="AJ78" s="73" t="s">
        <v>50</v>
      </c>
      <c r="AK78" s="74" t="s">
        <v>50</v>
      </c>
      <c r="AL78" s="134"/>
      <c r="AN78" s="82" t="s">
        <v>48</v>
      </c>
      <c r="AO78" s="73" t="s">
        <v>49</v>
      </c>
      <c r="AP78" s="74" t="s">
        <v>51</v>
      </c>
      <c r="AQ78" s="74" t="s">
        <v>51</v>
      </c>
      <c r="AR78" s="74" t="s">
        <v>50</v>
      </c>
      <c r="AS78" s="74" t="s">
        <v>51</v>
      </c>
      <c r="AT78" s="74" t="s">
        <v>50</v>
      </c>
      <c r="AU78" s="74" t="s">
        <v>51</v>
      </c>
      <c r="AV78" s="74" t="s">
        <v>50</v>
      </c>
      <c r="AW78" s="135" t="s">
        <v>51</v>
      </c>
      <c r="AX78" s="73" t="s">
        <v>49</v>
      </c>
      <c r="AY78" s="74" t="s">
        <v>51</v>
      </c>
      <c r="AZ78" s="74" t="s">
        <v>51</v>
      </c>
      <c r="BA78" s="74" t="s">
        <v>50</v>
      </c>
      <c r="BB78" s="74" t="s">
        <v>51</v>
      </c>
      <c r="BC78" s="74" t="s">
        <v>50</v>
      </c>
      <c r="BD78" s="74" t="s">
        <v>51</v>
      </c>
      <c r="BE78" s="74" t="s">
        <v>50</v>
      </c>
      <c r="BF78" s="135" t="s">
        <v>51</v>
      </c>
      <c r="BG78" s="73" t="s">
        <v>49</v>
      </c>
      <c r="BH78" s="74" t="s">
        <v>51</v>
      </c>
      <c r="BI78" s="74" t="s">
        <v>51</v>
      </c>
      <c r="BJ78" s="74" t="s">
        <v>50</v>
      </c>
      <c r="BK78" s="74" t="s">
        <v>51</v>
      </c>
      <c r="BL78" s="74" t="s">
        <v>50</v>
      </c>
      <c r="BM78" s="74" t="s">
        <v>51</v>
      </c>
      <c r="BN78" s="74" t="s">
        <v>50</v>
      </c>
      <c r="BO78" s="135" t="s">
        <v>51</v>
      </c>
      <c r="BP78" s="136" t="s">
        <v>51</v>
      </c>
      <c r="BQ78" s="137" t="s">
        <v>51</v>
      </c>
      <c r="BR78" s="134"/>
      <c r="BT78" s="82" t="s">
        <v>190</v>
      </c>
      <c r="BU78" s="73" t="s">
        <v>49</v>
      </c>
      <c r="BV78" s="74" t="s">
        <v>51</v>
      </c>
      <c r="BW78" s="74" t="s">
        <v>51</v>
      </c>
      <c r="BX78" s="74" t="s">
        <v>50</v>
      </c>
      <c r="BY78" s="74" t="s">
        <v>51</v>
      </c>
      <c r="BZ78" s="74" t="s">
        <v>50</v>
      </c>
      <c r="CA78" s="74" t="s">
        <v>51</v>
      </c>
      <c r="CB78" s="74" t="s">
        <v>50</v>
      </c>
      <c r="CC78" s="75" t="s">
        <v>51</v>
      </c>
      <c r="CD78" s="73" t="s">
        <v>49</v>
      </c>
      <c r="CE78" s="74" t="s">
        <v>51</v>
      </c>
      <c r="CF78" s="74" t="s">
        <v>51</v>
      </c>
      <c r="CG78" s="74" t="s">
        <v>50</v>
      </c>
      <c r="CH78" s="74" t="s">
        <v>51</v>
      </c>
      <c r="CI78" s="74" t="s">
        <v>50</v>
      </c>
      <c r="CJ78" s="74" t="s">
        <v>51</v>
      </c>
      <c r="CK78" s="74" t="s">
        <v>50</v>
      </c>
      <c r="CL78" s="75" t="s">
        <v>51</v>
      </c>
      <c r="CM78" s="73" t="s">
        <v>49</v>
      </c>
      <c r="CN78" s="74" t="s">
        <v>51</v>
      </c>
      <c r="CO78" s="74" t="s">
        <v>51</v>
      </c>
      <c r="CP78" s="74" t="s">
        <v>50</v>
      </c>
      <c r="CQ78" s="74" t="s">
        <v>51</v>
      </c>
      <c r="CR78" s="74" t="s">
        <v>50</v>
      </c>
      <c r="CS78" s="74" t="s">
        <v>51</v>
      </c>
      <c r="CT78" s="74" t="s">
        <v>50</v>
      </c>
      <c r="CU78" s="75" t="s">
        <v>51</v>
      </c>
      <c r="CV78" s="73" t="s">
        <v>51</v>
      </c>
      <c r="CW78" s="74" t="s">
        <v>51</v>
      </c>
      <c r="CX78" s="75"/>
      <c r="CZ78" s="82" t="s">
        <v>190</v>
      </c>
      <c r="DA78" s="73" t="s">
        <v>49</v>
      </c>
      <c r="DB78" s="74" t="s">
        <v>51</v>
      </c>
      <c r="DC78" s="74" t="s">
        <v>51</v>
      </c>
      <c r="DD78" s="74" t="s">
        <v>50</v>
      </c>
      <c r="DE78" s="74" t="s">
        <v>51</v>
      </c>
      <c r="DF78" s="74" t="s">
        <v>50</v>
      </c>
      <c r="DG78" s="74" t="s">
        <v>51</v>
      </c>
      <c r="DH78" s="74" t="s">
        <v>50</v>
      </c>
      <c r="DI78" s="75" t="s">
        <v>51</v>
      </c>
      <c r="DJ78" s="73" t="s">
        <v>49</v>
      </c>
      <c r="DK78" s="74" t="s">
        <v>51</v>
      </c>
      <c r="DL78" s="74" t="s">
        <v>51</v>
      </c>
      <c r="DM78" s="74" t="s">
        <v>50</v>
      </c>
      <c r="DN78" s="74" t="s">
        <v>51</v>
      </c>
      <c r="DO78" s="74" t="s">
        <v>50</v>
      </c>
      <c r="DP78" s="74" t="s">
        <v>51</v>
      </c>
      <c r="DQ78" s="74" t="s">
        <v>50</v>
      </c>
      <c r="DR78" s="75" t="s">
        <v>51</v>
      </c>
      <c r="DS78" s="73" t="s">
        <v>49</v>
      </c>
      <c r="DT78" s="74" t="s">
        <v>51</v>
      </c>
      <c r="DU78" s="74" t="s">
        <v>51</v>
      </c>
      <c r="DV78" s="74" t="s">
        <v>50</v>
      </c>
      <c r="DW78" s="74" t="s">
        <v>51</v>
      </c>
      <c r="DX78" s="74" t="s">
        <v>50</v>
      </c>
      <c r="DY78" s="74" t="s">
        <v>51</v>
      </c>
      <c r="DZ78" s="74" t="s">
        <v>50</v>
      </c>
      <c r="EA78" s="75" t="s">
        <v>51</v>
      </c>
      <c r="EB78" s="73" t="s">
        <v>51</v>
      </c>
      <c r="EC78" s="74" t="s">
        <v>51</v>
      </c>
      <c r="ED78" s="74" t="s">
        <v>51</v>
      </c>
    </row>
    <row r="79" spans="1:134" s="6" customFormat="1" ht="21.95" customHeight="1" x14ac:dyDescent="0.5">
      <c r="A79" s="83">
        <v>1</v>
      </c>
      <c r="B79" s="99" t="s">
        <v>191</v>
      </c>
      <c r="C79" s="99" t="s">
        <v>191</v>
      </c>
      <c r="D79" s="100" t="s">
        <v>192</v>
      </c>
      <c r="E79" s="99" t="s">
        <v>193</v>
      </c>
      <c r="F79" s="87" t="s">
        <v>194</v>
      </c>
      <c r="G79" s="138" t="s">
        <v>195</v>
      </c>
      <c r="H79" s="217">
        <v>4.6448405280830728E-3</v>
      </c>
      <c r="I79" s="94">
        <f>H79*$H$77</f>
        <v>1486.0749088065033</v>
      </c>
      <c r="J79" s="91">
        <f t="shared" ref="J79:J110" si="51">H79*$I$77</f>
        <v>1122.003033123219</v>
      </c>
      <c r="K79" s="92">
        <v>680</v>
      </c>
      <c r="L79" s="92">
        <v>476.80000000000007</v>
      </c>
      <c r="M79" s="92">
        <v>904</v>
      </c>
      <c r="N79" s="92">
        <v>650.40000000000009</v>
      </c>
      <c r="O79" s="92">
        <v>1678</v>
      </c>
      <c r="P79" s="92">
        <v>1203.1200000000001</v>
      </c>
      <c r="Q79" s="93">
        <f>IFERROR(P79/J79,0)</f>
        <v>1.072296566481628</v>
      </c>
      <c r="R79" s="94">
        <v>1486.0749088065047</v>
      </c>
      <c r="S79" s="91">
        <v>1122.003033123219</v>
      </c>
      <c r="T79" s="92">
        <v>940</v>
      </c>
      <c r="U79" s="92">
        <v>688</v>
      </c>
      <c r="V79" s="92">
        <v>1620</v>
      </c>
      <c r="W79" s="92">
        <v>1317.6</v>
      </c>
      <c r="X79" s="92">
        <v>1700</v>
      </c>
      <c r="Y79" s="92">
        <v>1345.6</v>
      </c>
      <c r="Z79" s="93">
        <f>IFERROR(Y79/S79,0)</f>
        <v>1.1992837454764931</v>
      </c>
      <c r="AA79" s="94">
        <v>1486.0749088065047</v>
      </c>
      <c r="AB79" s="91">
        <v>1122.003033123219</v>
      </c>
      <c r="AC79" s="92">
        <v>258</v>
      </c>
      <c r="AD79" s="92">
        <v>182.4</v>
      </c>
      <c r="AE79" s="92">
        <v>1332</v>
      </c>
      <c r="AF79" s="92">
        <v>1072.56</v>
      </c>
      <c r="AG79" s="92"/>
      <c r="AH79" s="92"/>
      <c r="AI79" s="93">
        <f>IFERROR(AH79/AB79,0)</f>
        <v>0</v>
      </c>
      <c r="AJ79" s="95">
        <f t="shared" ref="AJ79:AJ142" si="52">+J79+S79+AB79</f>
        <v>3366.0090993696567</v>
      </c>
      <c r="AK79" s="96">
        <f>+P79+Y79+AH79</f>
        <v>2548.7200000000003</v>
      </c>
      <c r="AL79" s="97">
        <f t="shared" ref="AL79:AL142" si="53">IFERROR((AK79/AJ79),0)</f>
        <v>0.75719343731937383</v>
      </c>
      <c r="AN79" s="89">
        <v>6.9642506317279876E-3</v>
      </c>
      <c r="AO79" s="94"/>
      <c r="AP79" s="91"/>
      <c r="AQ79" s="92"/>
      <c r="AR79" s="92"/>
      <c r="AS79" s="92"/>
      <c r="AT79" s="92"/>
      <c r="AU79" s="92"/>
      <c r="AV79" s="92"/>
      <c r="AW79" s="140">
        <v>0</v>
      </c>
      <c r="AX79" s="94"/>
      <c r="AY79" s="91"/>
      <c r="AZ79" s="92"/>
      <c r="BA79" s="92"/>
      <c r="BB79" s="92"/>
      <c r="BC79" s="92"/>
      <c r="BD79" s="92"/>
      <c r="BE79" s="92"/>
      <c r="BF79" s="140">
        <v>0</v>
      </c>
      <c r="BG79" s="94"/>
      <c r="BH79" s="91"/>
      <c r="BI79" s="92"/>
      <c r="BJ79" s="92"/>
      <c r="BK79" s="92"/>
      <c r="BL79" s="92"/>
      <c r="BM79" s="92"/>
      <c r="BN79" s="92"/>
      <c r="BO79" s="140">
        <f t="shared" ref="BO79:BO148" si="54">IFERROR(BM79/BH79,0)</f>
        <v>0</v>
      </c>
      <c r="BP79" s="95">
        <f t="shared" ref="BP79:BP148" si="55">+AP79+AY79+BH79</f>
        <v>0</v>
      </c>
      <c r="BQ79" s="96">
        <f t="shared" ref="BQ79:BQ148" si="56">+AU79+BD79+BM79</f>
        <v>0</v>
      </c>
      <c r="BR79" s="97">
        <f t="shared" ref="BR79:BR148" si="57">IFERROR((BQ79/BP79),0)</f>
        <v>0</v>
      </c>
      <c r="BT79" s="139"/>
      <c r="BU79" s="94"/>
      <c r="BV79" s="91"/>
      <c r="BW79" s="92"/>
      <c r="BX79" s="92"/>
      <c r="BY79" s="92"/>
      <c r="BZ79" s="92"/>
      <c r="CA79" s="92"/>
      <c r="CB79" s="92"/>
      <c r="CC79" s="140">
        <f t="shared" ref="CC79:CC148" si="58">IFERROR(CA79/BV79,0)</f>
        <v>0</v>
      </c>
      <c r="CD79" s="94"/>
      <c r="CE79" s="91"/>
      <c r="CF79" s="92"/>
      <c r="CG79" s="92"/>
      <c r="CH79" s="92"/>
      <c r="CI79" s="92"/>
      <c r="CJ79" s="92"/>
      <c r="CK79" s="92"/>
      <c r="CL79" s="140">
        <f t="shared" ref="CL79:CL148" si="59">IFERROR(CJ79/CE79,0)</f>
        <v>0</v>
      </c>
      <c r="CM79" s="94"/>
      <c r="CN79" s="91"/>
      <c r="CO79" s="92"/>
      <c r="CP79" s="92"/>
      <c r="CQ79" s="92"/>
      <c r="CR79" s="92"/>
      <c r="CS79" s="92"/>
      <c r="CT79" s="92"/>
      <c r="CU79" s="140">
        <f t="shared" ref="CU79:CU148" si="60">IFERROR(CS79/CN79,0)</f>
        <v>0</v>
      </c>
      <c r="CV79" s="95">
        <f t="shared" ref="CV79:CV148" si="61">+BV79+CE79+CN79</f>
        <v>0</v>
      </c>
      <c r="CW79" s="96">
        <f t="shared" ref="CW79:CW148" si="62">+CA79+CJ79+CS79</f>
        <v>0</v>
      </c>
      <c r="CX79" s="97">
        <f t="shared" ref="CX79:CX148" si="63">IFERROR((CW79/CV79),0)</f>
        <v>0</v>
      </c>
      <c r="CZ79" s="139" t="s">
        <v>195</v>
      </c>
      <c r="DA79" s="94"/>
      <c r="DB79" s="91"/>
      <c r="DC79" s="92"/>
      <c r="DD79" s="92"/>
      <c r="DE79" s="92"/>
      <c r="DF79" s="92"/>
      <c r="DG79" s="92"/>
      <c r="DH79" s="92"/>
      <c r="DI79" s="140">
        <f t="shared" ref="DI79:DI148" si="64">IFERROR(DG79/DB79,0)</f>
        <v>0</v>
      </c>
      <c r="DJ79" s="94"/>
      <c r="DK79" s="91"/>
      <c r="DL79" s="92"/>
      <c r="DM79" s="92"/>
      <c r="DN79" s="92"/>
      <c r="DO79" s="92"/>
      <c r="DP79" s="92"/>
      <c r="DQ79" s="92"/>
      <c r="DR79" s="140">
        <f t="shared" ref="DR79:DR148" si="65">IFERROR(DP79/DK79,0)</f>
        <v>0</v>
      </c>
      <c r="DS79" s="94"/>
      <c r="DT79" s="91"/>
      <c r="DU79" s="92"/>
      <c r="DV79" s="92"/>
      <c r="DW79" s="92"/>
      <c r="DX79" s="92"/>
      <c r="DY79" s="92"/>
      <c r="DZ79" s="92"/>
      <c r="EA79" s="140">
        <f t="shared" ref="EA79:EA148" si="66">IFERROR(DY79/DT79,0)</f>
        <v>0</v>
      </c>
      <c r="EB79" s="95">
        <f t="shared" ref="EB79:EB148" si="67">+DB79+DK79+DT79</f>
        <v>0</v>
      </c>
      <c r="EC79" s="96">
        <f t="shared" ref="EC79:EC148" si="68">+DG79+DP79+DY79</f>
        <v>0</v>
      </c>
      <c r="ED79" s="97">
        <f t="shared" ref="ED79:ED148" si="69">IFERROR((EC79/EB79),0)</f>
        <v>0</v>
      </c>
    </row>
    <row r="80" spans="1:134" s="6" customFormat="1" ht="21.95" customHeight="1" x14ac:dyDescent="0.5">
      <c r="A80" s="83">
        <v>2</v>
      </c>
      <c r="B80" s="99" t="s">
        <v>196</v>
      </c>
      <c r="C80" s="104" t="s">
        <v>197</v>
      </c>
      <c r="D80" s="100" t="s">
        <v>168</v>
      </c>
      <c r="E80" s="99" t="s">
        <v>169</v>
      </c>
      <c r="F80" s="87" t="s">
        <v>194</v>
      </c>
      <c r="G80" s="138" t="s">
        <v>195</v>
      </c>
      <c r="H80" s="217">
        <v>2.5701074440557903E-2</v>
      </c>
      <c r="I80" s="94">
        <f t="shared" ref="I80:I143" si="70">H80*$H$77</f>
        <v>8222.827376862344</v>
      </c>
      <c r="J80" s="91">
        <f t="shared" si="51"/>
        <v>6208.325840786727</v>
      </c>
      <c r="K80" s="92">
        <v>2040</v>
      </c>
      <c r="L80" s="92">
        <v>1498.8</v>
      </c>
      <c r="M80" s="92">
        <v>4700</v>
      </c>
      <c r="N80" s="92">
        <v>3598.8</v>
      </c>
      <c r="O80" s="92">
        <v>8080</v>
      </c>
      <c r="P80" s="92">
        <v>6076.8</v>
      </c>
      <c r="Q80" s="93">
        <f t="shared" ref="Q80:Q143" si="71">IFERROR(P80/J80,0)</f>
        <v>0.97881460410427501</v>
      </c>
      <c r="R80" s="94">
        <v>8222.8273768623512</v>
      </c>
      <c r="S80" s="91">
        <v>6208.325840786727</v>
      </c>
      <c r="T80" s="92">
        <v>1940</v>
      </c>
      <c r="U80" s="92">
        <v>1268.8</v>
      </c>
      <c r="V80" s="92">
        <v>4500</v>
      </c>
      <c r="W80" s="92">
        <v>3338</v>
      </c>
      <c r="X80" s="92">
        <v>6500</v>
      </c>
      <c r="Y80" s="92">
        <v>4929.2</v>
      </c>
      <c r="Z80" s="93">
        <f t="shared" ref="Z80:Z143" si="72">IFERROR(Y80/S80,0)</f>
        <v>0.79396605887157579</v>
      </c>
      <c r="AA80" s="94">
        <v>8222.8273768623512</v>
      </c>
      <c r="AB80" s="91">
        <v>6208.325840786727</v>
      </c>
      <c r="AC80" s="92">
        <v>2100</v>
      </c>
      <c r="AD80" s="92">
        <v>1558.8</v>
      </c>
      <c r="AE80" s="92">
        <v>4640</v>
      </c>
      <c r="AF80" s="92">
        <v>3586.8</v>
      </c>
      <c r="AG80" s="92"/>
      <c r="AH80" s="92"/>
      <c r="AI80" s="93">
        <f t="shared" ref="AI80:AI143" si="73">IFERROR(AH80/AB80,0)</f>
        <v>0</v>
      </c>
      <c r="AJ80" s="95">
        <f t="shared" si="52"/>
        <v>18624.977522360183</v>
      </c>
      <c r="AK80" s="96">
        <f t="shared" ref="AK80:AK143" si="74">+P80+Y80+AH80</f>
        <v>11006</v>
      </c>
      <c r="AL80" s="97">
        <f t="shared" si="53"/>
        <v>0.5909268876586169</v>
      </c>
      <c r="AN80" s="89">
        <v>6.0971065841976544E-3</v>
      </c>
      <c r="AO80" s="94"/>
      <c r="AP80" s="91"/>
      <c r="AQ80" s="92"/>
      <c r="AR80" s="92"/>
      <c r="AS80" s="92"/>
      <c r="AT80" s="92"/>
      <c r="AU80" s="92"/>
      <c r="AV80" s="92"/>
      <c r="AW80" s="140">
        <v>0</v>
      </c>
      <c r="AX80" s="94"/>
      <c r="AY80" s="91"/>
      <c r="AZ80" s="92"/>
      <c r="BA80" s="92"/>
      <c r="BB80" s="92"/>
      <c r="BC80" s="92"/>
      <c r="BD80" s="92"/>
      <c r="BE80" s="92"/>
      <c r="BF80" s="140">
        <v>0</v>
      </c>
      <c r="BG80" s="94"/>
      <c r="BH80" s="91"/>
      <c r="BI80" s="92"/>
      <c r="BJ80" s="92"/>
      <c r="BK80" s="92"/>
      <c r="BL80" s="92"/>
      <c r="BM80" s="92"/>
      <c r="BN80" s="92"/>
      <c r="BO80" s="140">
        <f t="shared" si="54"/>
        <v>0</v>
      </c>
      <c r="BP80" s="95">
        <f t="shared" si="55"/>
        <v>0</v>
      </c>
      <c r="BQ80" s="96">
        <f t="shared" si="56"/>
        <v>0</v>
      </c>
      <c r="BR80" s="97">
        <f t="shared" si="57"/>
        <v>0</v>
      </c>
      <c r="BT80" s="139"/>
      <c r="BU80" s="94"/>
      <c r="BV80" s="91"/>
      <c r="BW80" s="92"/>
      <c r="BX80" s="92"/>
      <c r="BY80" s="92"/>
      <c r="BZ80" s="92"/>
      <c r="CA80" s="92"/>
      <c r="CB80" s="92"/>
      <c r="CC80" s="140">
        <f t="shared" si="58"/>
        <v>0</v>
      </c>
      <c r="CD80" s="94"/>
      <c r="CE80" s="91"/>
      <c r="CF80" s="92"/>
      <c r="CG80" s="92"/>
      <c r="CH80" s="92"/>
      <c r="CI80" s="92"/>
      <c r="CJ80" s="92"/>
      <c r="CK80" s="92"/>
      <c r="CL80" s="140">
        <f t="shared" si="59"/>
        <v>0</v>
      </c>
      <c r="CM80" s="94"/>
      <c r="CN80" s="91"/>
      <c r="CO80" s="92"/>
      <c r="CP80" s="92"/>
      <c r="CQ80" s="92"/>
      <c r="CR80" s="92"/>
      <c r="CS80" s="92"/>
      <c r="CT80" s="92"/>
      <c r="CU80" s="140">
        <f t="shared" si="60"/>
        <v>0</v>
      </c>
      <c r="CV80" s="95">
        <f t="shared" si="61"/>
        <v>0</v>
      </c>
      <c r="CW80" s="96">
        <f t="shared" si="62"/>
        <v>0</v>
      </c>
      <c r="CX80" s="97">
        <f t="shared" si="63"/>
        <v>0</v>
      </c>
      <c r="CZ80" s="139" t="s">
        <v>195</v>
      </c>
      <c r="DA80" s="94"/>
      <c r="DB80" s="91"/>
      <c r="DC80" s="92"/>
      <c r="DD80" s="92"/>
      <c r="DE80" s="92"/>
      <c r="DF80" s="92"/>
      <c r="DG80" s="92"/>
      <c r="DH80" s="92"/>
      <c r="DI80" s="140">
        <f t="shared" si="64"/>
        <v>0</v>
      </c>
      <c r="DJ80" s="94"/>
      <c r="DK80" s="91"/>
      <c r="DL80" s="92"/>
      <c r="DM80" s="92"/>
      <c r="DN80" s="92"/>
      <c r="DO80" s="92"/>
      <c r="DP80" s="92"/>
      <c r="DQ80" s="92"/>
      <c r="DR80" s="140">
        <f t="shared" si="65"/>
        <v>0</v>
      </c>
      <c r="DS80" s="94"/>
      <c r="DT80" s="91"/>
      <c r="DU80" s="92"/>
      <c r="DV80" s="92"/>
      <c r="DW80" s="92"/>
      <c r="DX80" s="92"/>
      <c r="DY80" s="92"/>
      <c r="DZ80" s="92"/>
      <c r="EA80" s="140">
        <f t="shared" si="66"/>
        <v>0</v>
      </c>
      <c r="EB80" s="95">
        <f t="shared" si="67"/>
        <v>0</v>
      </c>
      <c r="EC80" s="96">
        <f t="shared" si="68"/>
        <v>0</v>
      </c>
      <c r="ED80" s="97">
        <f t="shared" si="69"/>
        <v>0</v>
      </c>
    </row>
    <row r="81" spans="1:134" s="6" customFormat="1" ht="21.95" customHeight="1" x14ac:dyDescent="0.5">
      <c r="A81" s="83">
        <v>3</v>
      </c>
      <c r="B81" s="99" t="s">
        <v>198</v>
      </c>
      <c r="C81" s="104" t="s">
        <v>199</v>
      </c>
      <c r="D81" s="100" t="s">
        <v>168</v>
      </c>
      <c r="E81" s="99" t="s">
        <v>169</v>
      </c>
      <c r="F81" s="87" t="s">
        <v>194</v>
      </c>
      <c r="G81" s="138" t="s">
        <v>195</v>
      </c>
      <c r="H81" s="217">
        <v>4.1188017497354274E-3</v>
      </c>
      <c r="I81" s="94">
        <f t="shared" si="70"/>
        <v>1317.7735376754081</v>
      </c>
      <c r="J81" s="91">
        <f t="shared" si="51"/>
        <v>994.9336318643401</v>
      </c>
      <c r="K81" s="92">
        <v>314</v>
      </c>
      <c r="L81" s="92">
        <v>175.20000000000002</v>
      </c>
      <c r="M81" s="92">
        <v>714</v>
      </c>
      <c r="N81" s="92">
        <v>394.80000000000007</v>
      </c>
      <c r="O81" s="92">
        <v>1008</v>
      </c>
      <c r="P81" s="92">
        <v>524</v>
      </c>
      <c r="Q81" s="93">
        <f t="shared" si="71"/>
        <v>0.52666829547023275</v>
      </c>
      <c r="R81" s="94">
        <v>1317.7735376754092</v>
      </c>
      <c r="S81" s="91">
        <v>994.9336318643401</v>
      </c>
      <c r="T81" s="92">
        <v>448</v>
      </c>
      <c r="U81" s="92">
        <v>326.39999999999998</v>
      </c>
      <c r="V81" s="92">
        <v>1188</v>
      </c>
      <c r="W81" s="92">
        <v>836</v>
      </c>
      <c r="X81" s="92">
        <v>1554</v>
      </c>
      <c r="Y81" s="92">
        <v>1032.4000000000001</v>
      </c>
      <c r="Z81" s="93">
        <f t="shared" si="72"/>
        <v>1.0376571531363898</v>
      </c>
      <c r="AA81" s="94">
        <v>1317.7735376754092</v>
      </c>
      <c r="AB81" s="91">
        <v>994.9336318643401</v>
      </c>
      <c r="AC81" s="92">
        <v>400</v>
      </c>
      <c r="AD81" s="92">
        <v>140</v>
      </c>
      <c r="AE81" s="92">
        <v>650</v>
      </c>
      <c r="AF81" s="92">
        <v>340.8</v>
      </c>
      <c r="AG81" s="92"/>
      <c r="AH81" s="92"/>
      <c r="AI81" s="93">
        <f t="shared" si="73"/>
        <v>0</v>
      </c>
      <c r="AJ81" s="95">
        <f t="shared" si="52"/>
        <v>2984.8008955930204</v>
      </c>
      <c r="AK81" s="96">
        <f t="shared" si="74"/>
        <v>1556.4</v>
      </c>
      <c r="AL81" s="97">
        <f t="shared" si="53"/>
        <v>0.52144181620220753</v>
      </c>
      <c r="AN81" s="89">
        <v>2.6014321425909995E-2</v>
      </c>
      <c r="AO81" s="94"/>
      <c r="AP81" s="91"/>
      <c r="AQ81" s="92"/>
      <c r="AR81" s="92"/>
      <c r="AS81" s="92"/>
      <c r="AT81" s="92"/>
      <c r="AU81" s="92"/>
      <c r="AV81" s="92"/>
      <c r="AW81" s="140">
        <v>0</v>
      </c>
      <c r="AX81" s="94"/>
      <c r="AY81" s="91"/>
      <c r="AZ81" s="92"/>
      <c r="BA81" s="92"/>
      <c r="BB81" s="92"/>
      <c r="BC81" s="92"/>
      <c r="BD81" s="92"/>
      <c r="BE81" s="92"/>
      <c r="BF81" s="140">
        <v>0</v>
      </c>
      <c r="BG81" s="94"/>
      <c r="BH81" s="91"/>
      <c r="BI81" s="92"/>
      <c r="BJ81" s="92"/>
      <c r="BK81" s="92"/>
      <c r="BL81" s="92"/>
      <c r="BM81" s="92"/>
      <c r="BN81" s="92"/>
      <c r="BO81" s="140">
        <f t="shared" si="54"/>
        <v>0</v>
      </c>
      <c r="BP81" s="95">
        <f t="shared" si="55"/>
        <v>0</v>
      </c>
      <c r="BQ81" s="96">
        <f t="shared" si="56"/>
        <v>0</v>
      </c>
      <c r="BR81" s="97">
        <f t="shared" si="57"/>
        <v>0</v>
      </c>
      <c r="BT81" s="139"/>
      <c r="BU81" s="94"/>
      <c r="BV81" s="91"/>
      <c r="BW81" s="92"/>
      <c r="BX81" s="92"/>
      <c r="BY81" s="92"/>
      <c r="BZ81" s="92"/>
      <c r="CA81" s="92"/>
      <c r="CB81" s="92"/>
      <c r="CC81" s="140">
        <f t="shared" si="58"/>
        <v>0</v>
      </c>
      <c r="CD81" s="94"/>
      <c r="CE81" s="91"/>
      <c r="CF81" s="92"/>
      <c r="CG81" s="92"/>
      <c r="CH81" s="92"/>
      <c r="CI81" s="92"/>
      <c r="CJ81" s="92"/>
      <c r="CK81" s="92"/>
      <c r="CL81" s="140">
        <f t="shared" si="59"/>
        <v>0</v>
      </c>
      <c r="CM81" s="94"/>
      <c r="CN81" s="91"/>
      <c r="CO81" s="92"/>
      <c r="CP81" s="92"/>
      <c r="CQ81" s="92"/>
      <c r="CR81" s="92"/>
      <c r="CS81" s="92"/>
      <c r="CT81" s="92"/>
      <c r="CU81" s="140">
        <f t="shared" si="60"/>
        <v>0</v>
      </c>
      <c r="CV81" s="95">
        <f t="shared" si="61"/>
        <v>0</v>
      </c>
      <c r="CW81" s="96">
        <f t="shared" si="62"/>
        <v>0</v>
      </c>
      <c r="CX81" s="97">
        <f t="shared" si="63"/>
        <v>0</v>
      </c>
      <c r="CZ81" s="139" t="s">
        <v>195</v>
      </c>
      <c r="DA81" s="94"/>
      <c r="DB81" s="91"/>
      <c r="DC81" s="92"/>
      <c r="DD81" s="92"/>
      <c r="DE81" s="92"/>
      <c r="DF81" s="92"/>
      <c r="DG81" s="92"/>
      <c r="DH81" s="92"/>
      <c r="DI81" s="140">
        <f t="shared" si="64"/>
        <v>0</v>
      </c>
      <c r="DJ81" s="94"/>
      <c r="DK81" s="91"/>
      <c r="DL81" s="92"/>
      <c r="DM81" s="92"/>
      <c r="DN81" s="92"/>
      <c r="DO81" s="92"/>
      <c r="DP81" s="92"/>
      <c r="DQ81" s="92"/>
      <c r="DR81" s="140">
        <f t="shared" si="65"/>
        <v>0</v>
      </c>
      <c r="DS81" s="94"/>
      <c r="DT81" s="91"/>
      <c r="DU81" s="92"/>
      <c r="DV81" s="92"/>
      <c r="DW81" s="92"/>
      <c r="DX81" s="92"/>
      <c r="DY81" s="92"/>
      <c r="DZ81" s="92"/>
      <c r="EA81" s="140">
        <f t="shared" si="66"/>
        <v>0</v>
      </c>
      <c r="EB81" s="95">
        <f t="shared" si="67"/>
        <v>0</v>
      </c>
      <c r="EC81" s="96">
        <f t="shared" si="68"/>
        <v>0</v>
      </c>
      <c r="ED81" s="97">
        <f t="shared" si="69"/>
        <v>0</v>
      </c>
    </row>
    <row r="82" spans="1:134" s="6" customFormat="1" ht="21.95" customHeight="1" x14ac:dyDescent="0.5">
      <c r="A82" s="83">
        <v>4</v>
      </c>
      <c r="B82" s="99" t="s">
        <v>200</v>
      </c>
      <c r="C82" s="104" t="s">
        <v>201</v>
      </c>
      <c r="D82" s="100" t="s">
        <v>168</v>
      </c>
      <c r="E82" s="99" t="s">
        <v>169</v>
      </c>
      <c r="F82" s="87" t="s">
        <v>194</v>
      </c>
      <c r="G82" s="138" t="s">
        <v>195</v>
      </c>
      <c r="H82" s="217">
        <v>1.5301714157925708E-2</v>
      </c>
      <c r="I82" s="94">
        <f t="shared" si="70"/>
        <v>4895.6456813399409</v>
      </c>
      <c r="J82" s="91">
        <f t="shared" si="51"/>
        <v>3696.2667702743761</v>
      </c>
      <c r="K82" s="92">
        <v>420</v>
      </c>
      <c r="L82" s="92">
        <v>268.8</v>
      </c>
      <c r="M82" s="92">
        <v>1760</v>
      </c>
      <c r="N82" s="92">
        <v>1088.8</v>
      </c>
      <c r="O82" s="92">
        <v>3080</v>
      </c>
      <c r="P82" s="92">
        <v>2018.8</v>
      </c>
      <c r="Q82" s="93">
        <f t="shared" si="71"/>
        <v>0.54617269950192016</v>
      </c>
      <c r="R82" s="94">
        <v>4895.6456813399454</v>
      </c>
      <c r="S82" s="91">
        <v>3696.2667702743761</v>
      </c>
      <c r="T82" s="92">
        <v>2160</v>
      </c>
      <c r="U82" s="92">
        <v>1380</v>
      </c>
      <c r="V82" s="92">
        <v>3340</v>
      </c>
      <c r="W82" s="92">
        <v>2308</v>
      </c>
      <c r="X82" s="92">
        <v>5680</v>
      </c>
      <c r="Y82" s="92">
        <v>3478</v>
      </c>
      <c r="Z82" s="93">
        <f t="shared" si="72"/>
        <v>0.94094940007315164</v>
      </c>
      <c r="AA82" s="94">
        <v>4895.6456813399454</v>
      </c>
      <c r="AB82" s="91">
        <v>3696.2667702743761</v>
      </c>
      <c r="AC82" s="92">
        <v>600</v>
      </c>
      <c r="AD82" s="92">
        <v>600</v>
      </c>
      <c r="AE82" s="92">
        <v>2340</v>
      </c>
      <c r="AF82" s="92">
        <v>2340</v>
      </c>
      <c r="AG82" s="92"/>
      <c r="AH82" s="92"/>
      <c r="AI82" s="93">
        <f t="shared" si="73"/>
        <v>0</v>
      </c>
      <c r="AJ82" s="95">
        <f t="shared" si="52"/>
        <v>11088.800310823128</v>
      </c>
      <c r="AK82" s="96">
        <f t="shared" si="74"/>
        <v>5496.8</v>
      </c>
      <c r="AL82" s="97">
        <f t="shared" si="53"/>
        <v>0.49570736652502401</v>
      </c>
      <c r="AN82" s="89">
        <v>6.0971065841976544E-3</v>
      </c>
      <c r="AO82" s="94"/>
      <c r="AP82" s="91"/>
      <c r="AQ82" s="92"/>
      <c r="AR82" s="92"/>
      <c r="AS82" s="92"/>
      <c r="AT82" s="92"/>
      <c r="AU82" s="92"/>
      <c r="AV82" s="92"/>
      <c r="AW82" s="140">
        <v>0</v>
      </c>
      <c r="AX82" s="94"/>
      <c r="AY82" s="91"/>
      <c r="AZ82" s="92"/>
      <c r="BA82" s="92"/>
      <c r="BB82" s="92"/>
      <c r="BC82" s="92"/>
      <c r="BD82" s="92"/>
      <c r="BE82" s="92"/>
      <c r="BF82" s="140">
        <v>0</v>
      </c>
      <c r="BG82" s="94"/>
      <c r="BH82" s="91"/>
      <c r="BI82" s="92"/>
      <c r="BJ82" s="92"/>
      <c r="BK82" s="92"/>
      <c r="BL82" s="92"/>
      <c r="BM82" s="92"/>
      <c r="BN82" s="92"/>
      <c r="BO82" s="140">
        <f t="shared" si="54"/>
        <v>0</v>
      </c>
      <c r="BP82" s="95">
        <f t="shared" si="55"/>
        <v>0</v>
      </c>
      <c r="BQ82" s="96">
        <f t="shared" si="56"/>
        <v>0</v>
      </c>
      <c r="BR82" s="97">
        <f t="shared" si="57"/>
        <v>0</v>
      </c>
      <c r="BT82" s="139"/>
      <c r="BU82" s="94"/>
      <c r="BV82" s="91"/>
      <c r="BW82" s="92"/>
      <c r="BX82" s="92"/>
      <c r="BY82" s="92"/>
      <c r="BZ82" s="92"/>
      <c r="CA82" s="92"/>
      <c r="CB82" s="92"/>
      <c r="CC82" s="140">
        <f t="shared" si="58"/>
        <v>0</v>
      </c>
      <c r="CD82" s="94"/>
      <c r="CE82" s="91"/>
      <c r="CF82" s="92"/>
      <c r="CG82" s="92"/>
      <c r="CH82" s="92"/>
      <c r="CI82" s="92"/>
      <c r="CJ82" s="92"/>
      <c r="CK82" s="92"/>
      <c r="CL82" s="140">
        <f t="shared" si="59"/>
        <v>0</v>
      </c>
      <c r="CM82" s="94"/>
      <c r="CN82" s="91"/>
      <c r="CO82" s="92"/>
      <c r="CP82" s="92"/>
      <c r="CQ82" s="92"/>
      <c r="CR82" s="92"/>
      <c r="CS82" s="92"/>
      <c r="CT82" s="92"/>
      <c r="CU82" s="140">
        <f t="shared" si="60"/>
        <v>0</v>
      </c>
      <c r="CV82" s="95">
        <f t="shared" si="61"/>
        <v>0</v>
      </c>
      <c r="CW82" s="96">
        <f t="shared" si="62"/>
        <v>0</v>
      </c>
      <c r="CX82" s="97">
        <f t="shared" si="63"/>
        <v>0</v>
      </c>
      <c r="CZ82" s="139" t="s">
        <v>195</v>
      </c>
      <c r="DA82" s="94"/>
      <c r="DB82" s="91"/>
      <c r="DC82" s="92"/>
      <c r="DD82" s="92"/>
      <c r="DE82" s="92"/>
      <c r="DF82" s="92"/>
      <c r="DG82" s="92"/>
      <c r="DH82" s="92"/>
      <c r="DI82" s="140">
        <f t="shared" si="64"/>
        <v>0</v>
      </c>
      <c r="DJ82" s="94"/>
      <c r="DK82" s="91"/>
      <c r="DL82" s="92"/>
      <c r="DM82" s="92"/>
      <c r="DN82" s="92"/>
      <c r="DO82" s="92"/>
      <c r="DP82" s="92"/>
      <c r="DQ82" s="92"/>
      <c r="DR82" s="140">
        <f t="shared" si="65"/>
        <v>0</v>
      </c>
      <c r="DS82" s="94"/>
      <c r="DT82" s="91"/>
      <c r="DU82" s="92"/>
      <c r="DV82" s="92"/>
      <c r="DW82" s="92"/>
      <c r="DX82" s="92"/>
      <c r="DY82" s="92"/>
      <c r="DZ82" s="92"/>
      <c r="EA82" s="140">
        <f t="shared" si="66"/>
        <v>0</v>
      </c>
      <c r="EB82" s="95">
        <f t="shared" si="67"/>
        <v>0</v>
      </c>
      <c r="EC82" s="96">
        <f t="shared" si="68"/>
        <v>0</v>
      </c>
      <c r="ED82" s="97">
        <f t="shared" si="69"/>
        <v>0</v>
      </c>
    </row>
    <row r="83" spans="1:134" s="6" customFormat="1" ht="21.95" customHeight="1" x14ac:dyDescent="0.5">
      <c r="A83" s="83">
        <v>5</v>
      </c>
      <c r="B83" s="99" t="s">
        <v>202</v>
      </c>
      <c r="C83" s="104" t="s">
        <v>203</v>
      </c>
      <c r="D83" s="100" t="s">
        <v>168</v>
      </c>
      <c r="E83" s="99" t="s">
        <v>169</v>
      </c>
      <c r="F83" s="87" t="s">
        <v>194</v>
      </c>
      <c r="G83" s="138" t="s">
        <v>195</v>
      </c>
      <c r="H83" s="217">
        <v>6.8817053708474562E-3</v>
      </c>
      <c r="I83" s="94">
        <f t="shared" si="70"/>
        <v>2201.7396764396412</v>
      </c>
      <c r="J83" s="91">
        <f t="shared" si="51"/>
        <v>1662.3378676765406</v>
      </c>
      <c r="K83" s="92">
        <v>504</v>
      </c>
      <c r="L83" s="92">
        <v>504</v>
      </c>
      <c r="M83" s="92">
        <v>1008</v>
      </c>
      <c r="N83" s="92">
        <v>1008</v>
      </c>
      <c r="O83" s="92">
        <v>1764</v>
      </c>
      <c r="P83" s="92">
        <v>1764</v>
      </c>
      <c r="Q83" s="93">
        <f t="shared" si="71"/>
        <v>1.0611561189215724</v>
      </c>
      <c r="R83" s="94">
        <v>2201.7396764396435</v>
      </c>
      <c r="S83" s="91">
        <v>1662.3378676765406</v>
      </c>
      <c r="T83" s="92">
        <v>252</v>
      </c>
      <c r="U83" s="92">
        <v>252</v>
      </c>
      <c r="V83" s="92">
        <v>1008</v>
      </c>
      <c r="W83" s="92">
        <v>1008</v>
      </c>
      <c r="X83" s="92">
        <v>1308</v>
      </c>
      <c r="Y83" s="92">
        <v>1308</v>
      </c>
      <c r="Z83" s="93">
        <f t="shared" si="72"/>
        <v>0.78684365280579172</v>
      </c>
      <c r="AA83" s="94">
        <v>2201.7396764396435</v>
      </c>
      <c r="AB83" s="91">
        <v>1662.3378676765406</v>
      </c>
      <c r="AC83" s="92">
        <v>672</v>
      </c>
      <c r="AD83" s="92">
        <v>672</v>
      </c>
      <c r="AE83" s="92">
        <v>1092</v>
      </c>
      <c r="AF83" s="92">
        <v>1092</v>
      </c>
      <c r="AG83" s="92"/>
      <c r="AH83" s="92"/>
      <c r="AI83" s="93">
        <f t="shared" si="73"/>
        <v>0</v>
      </c>
      <c r="AJ83" s="95">
        <f t="shared" si="52"/>
        <v>4987.0136030296217</v>
      </c>
      <c r="AK83" s="96">
        <f t="shared" si="74"/>
        <v>3072</v>
      </c>
      <c r="AL83" s="97">
        <f t="shared" si="53"/>
        <v>0.61599992390912139</v>
      </c>
      <c r="AN83" s="89">
        <v>1.7952591609026427E-2</v>
      </c>
      <c r="AO83" s="94"/>
      <c r="AP83" s="91"/>
      <c r="AQ83" s="92"/>
      <c r="AR83" s="92"/>
      <c r="AS83" s="92"/>
      <c r="AT83" s="92"/>
      <c r="AU83" s="92"/>
      <c r="AV83" s="92"/>
      <c r="AW83" s="140">
        <v>0</v>
      </c>
      <c r="AX83" s="94"/>
      <c r="AY83" s="91"/>
      <c r="AZ83" s="92"/>
      <c r="BA83" s="92"/>
      <c r="BB83" s="92"/>
      <c r="BC83" s="92"/>
      <c r="BD83" s="92"/>
      <c r="BE83" s="92"/>
      <c r="BF83" s="140">
        <v>0</v>
      </c>
      <c r="BG83" s="94"/>
      <c r="BH83" s="91"/>
      <c r="BI83" s="92"/>
      <c r="BJ83" s="92"/>
      <c r="BK83" s="92"/>
      <c r="BL83" s="92"/>
      <c r="BM83" s="92"/>
      <c r="BN83" s="92"/>
      <c r="BO83" s="140">
        <f t="shared" si="54"/>
        <v>0</v>
      </c>
      <c r="BP83" s="95">
        <f t="shared" si="55"/>
        <v>0</v>
      </c>
      <c r="BQ83" s="96">
        <f t="shared" si="56"/>
        <v>0</v>
      </c>
      <c r="BR83" s="97">
        <f t="shared" si="57"/>
        <v>0</v>
      </c>
      <c r="BT83" s="139"/>
      <c r="BU83" s="94"/>
      <c r="BV83" s="91"/>
      <c r="BW83" s="92"/>
      <c r="BX83" s="92"/>
      <c r="BY83" s="92"/>
      <c r="BZ83" s="92"/>
      <c r="CA83" s="92"/>
      <c r="CB83" s="92"/>
      <c r="CC83" s="140">
        <f t="shared" si="58"/>
        <v>0</v>
      </c>
      <c r="CD83" s="94"/>
      <c r="CE83" s="91"/>
      <c r="CF83" s="92"/>
      <c r="CG83" s="92"/>
      <c r="CH83" s="92"/>
      <c r="CI83" s="92"/>
      <c r="CJ83" s="92"/>
      <c r="CK83" s="92"/>
      <c r="CL83" s="140">
        <f t="shared" si="59"/>
        <v>0</v>
      </c>
      <c r="CM83" s="94"/>
      <c r="CN83" s="91"/>
      <c r="CO83" s="92"/>
      <c r="CP83" s="92"/>
      <c r="CQ83" s="92"/>
      <c r="CR83" s="92"/>
      <c r="CS83" s="92"/>
      <c r="CT83" s="92"/>
      <c r="CU83" s="140">
        <f t="shared" si="60"/>
        <v>0</v>
      </c>
      <c r="CV83" s="95">
        <f t="shared" si="61"/>
        <v>0</v>
      </c>
      <c r="CW83" s="96">
        <f t="shared" si="62"/>
        <v>0</v>
      </c>
      <c r="CX83" s="97">
        <f t="shared" si="63"/>
        <v>0</v>
      </c>
      <c r="CZ83" s="139" t="s">
        <v>195</v>
      </c>
      <c r="DA83" s="94"/>
      <c r="DB83" s="91"/>
      <c r="DC83" s="92"/>
      <c r="DD83" s="92"/>
      <c r="DE83" s="92"/>
      <c r="DF83" s="92"/>
      <c r="DG83" s="92"/>
      <c r="DH83" s="92"/>
      <c r="DI83" s="140">
        <f t="shared" si="64"/>
        <v>0</v>
      </c>
      <c r="DJ83" s="94"/>
      <c r="DK83" s="91"/>
      <c r="DL83" s="92"/>
      <c r="DM83" s="92"/>
      <c r="DN83" s="92"/>
      <c r="DO83" s="92"/>
      <c r="DP83" s="92"/>
      <c r="DQ83" s="92"/>
      <c r="DR83" s="140">
        <f t="shared" si="65"/>
        <v>0</v>
      </c>
      <c r="DS83" s="94"/>
      <c r="DT83" s="91"/>
      <c r="DU83" s="92"/>
      <c r="DV83" s="92"/>
      <c r="DW83" s="92"/>
      <c r="DX83" s="92"/>
      <c r="DY83" s="92"/>
      <c r="DZ83" s="92"/>
      <c r="EA83" s="140">
        <f t="shared" si="66"/>
        <v>0</v>
      </c>
      <c r="EB83" s="95">
        <f t="shared" si="67"/>
        <v>0</v>
      </c>
      <c r="EC83" s="96">
        <f t="shared" si="68"/>
        <v>0</v>
      </c>
      <c r="ED83" s="97">
        <f t="shared" si="69"/>
        <v>0</v>
      </c>
    </row>
    <row r="84" spans="1:134" s="6" customFormat="1" ht="21.95" customHeight="1" x14ac:dyDescent="0.5">
      <c r="A84" s="83">
        <v>6</v>
      </c>
      <c r="B84" s="99" t="s">
        <v>204</v>
      </c>
      <c r="C84" s="104" t="s">
        <v>205</v>
      </c>
      <c r="D84" s="100" t="s">
        <v>168</v>
      </c>
      <c r="E84" s="99" t="s">
        <v>169</v>
      </c>
      <c r="F84" s="87" t="s">
        <v>194</v>
      </c>
      <c r="G84" s="138" t="s">
        <v>195</v>
      </c>
      <c r="H84" s="217">
        <v>6.6521457751434121E-3</v>
      </c>
      <c r="I84" s="94">
        <f t="shared" si="70"/>
        <v>2128.2941505515146</v>
      </c>
      <c r="J84" s="91">
        <f t="shared" si="51"/>
        <v>1606.8856812978674</v>
      </c>
      <c r="K84" s="92">
        <v>380</v>
      </c>
      <c r="L84" s="92">
        <v>329.6</v>
      </c>
      <c r="M84" s="92">
        <v>380</v>
      </c>
      <c r="N84" s="92">
        <v>329.6</v>
      </c>
      <c r="O84" s="92">
        <v>1120</v>
      </c>
      <c r="P84" s="92">
        <v>941.2</v>
      </c>
      <c r="Q84" s="93">
        <f t="shared" si="71"/>
        <v>0.58572928426358317</v>
      </c>
      <c r="R84" s="94">
        <v>2128.2941505515169</v>
      </c>
      <c r="S84" s="91">
        <v>1606.8856812978674</v>
      </c>
      <c r="T84" s="92">
        <v>600</v>
      </c>
      <c r="U84" s="92">
        <v>522</v>
      </c>
      <c r="V84" s="92">
        <v>1040</v>
      </c>
      <c r="W84" s="92">
        <v>911.6</v>
      </c>
      <c r="X84" s="92">
        <v>1220</v>
      </c>
      <c r="Y84" s="92">
        <v>1091.5999999999999</v>
      </c>
      <c r="Z84" s="93">
        <f t="shared" si="72"/>
        <v>0.67932648395891126</v>
      </c>
      <c r="AA84" s="94">
        <v>2128.2941505515169</v>
      </c>
      <c r="AB84" s="91">
        <v>1606.8856812978674</v>
      </c>
      <c r="AC84" s="92">
        <v>820</v>
      </c>
      <c r="AD84" s="92">
        <v>717.6</v>
      </c>
      <c r="AE84" s="92">
        <v>1300</v>
      </c>
      <c r="AF84" s="92">
        <v>1119.5999999999999</v>
      </c>
      <c r="AG84" s="92"/>
      <c r="AH84" s="92"/>
      <c r="AI84" s="93">
        <f t="shared" si="73"/>
        <v>0</v>
      </c>
      <c r="AJ84" s="95">
        <f t="shared" si="52"/>
        <v>4820.6570438936023</v>
      </c>
      <c r="AK84" s="96">
        <f t="shared" si="74"/>
        <v>2032.8</v>
      </c>
      <c r="AL84" s="97">
        <f t="shared" si="53"/>
        <v>0.42168525607416479</v>
      </c>
      <c r="AN84" s="89">
        <v>2.8114435916022518E-3</v>
      </c>
      <c r="AO84" s="94"/>
      <c r="AP84" s="91"/>
      <c r="AQ84" s="92"/>
      <c r="AR84" s="92"/>
      <c r="AS84" s="92"/>
      <c r="AT84" s="92"/>
      <c r="AU84" s="92"/>
      <c r="AV84" s="92"/>
      <c r="AW84" s="140">
        <v>0</v>
      </c>
      <c r="AX84" s="94"/>
      <c r="AY84" s="91"/>
      <c r="AZ84" s="92"/>
      <c r="BA84" s="92"/>
      <c r="BB84" s="92"/>
      <c r="BC84" s="92"/>
      <c r="BD84" s="92"/>
      <c r="BE84" s="92"/>
      <c r="BF84" s="140">
        <v>0</v>
      </c>
      <c r="BG84" s="94"/>
      <c r="BH84" s="91"/>
      <c r="BI84" s="92"/>
      <c r="BJ84" s="92"/>
      <c r="BK84" s="92"/>
      <c r="BL84" s="92"/>
      <c r="BM84" s="92"/>
      <c r="BN84" s="92"/>
      <c r="BO84" s="140">
        <f t="shared" si="54"/>
        <v>0</v>
      </c>
      <c r="BP84" s="95">
        <f t="shared" si="55"/>
        <v>0</v>
      </c>
      <c r="BQ84" s="96">
        <f t="shared" si="56"/>
        <v>0</v>
      </c>
      <c r="BR84" s="97">
        <f t="shared" si="57"/>
        <v>0</v>
      </c>
      <c r="BT84" s="139"/>
      <c r="BU84" s="94"/>
      <c r="BV84" s="91"/>
      <c r="BW84" s="92"/>
      <c r="BX84" s="92"/>
      <c r="BY84" s="92"/>
      <c r="BZ84" s="92"/>
      <c r="CA84" s="92"/>
      <c r="CB84" s="92"/>
      <c r="CC84" s="140">
        <f t="shared" si="58"/>
        <v>0</v>
      </c>
      <c r="CD84" s="94"/>
      <c r="CE84" s="91"/>
      <c r="CF84" s="92"/>
      <c r="CG84" s="92"/>
      <c r="CH84" s="92"/>
      <c r="CI84" s="92"/>
      <c r="CJ84" s="92"/>
      <c r="CK84" s="92"/>
      <c r="CL84" s="140">
        <f t="shared" si="59"/>
        <v>0</v>
      </c>
      <c r="CM84" s="94"/>
      <c r="CN84" s="91"/>
      <c r="CO84" s="92"/>
      <c r="CP84" s="92"/>
      <c r="CQ84" s="92"/>
      <c r="CR84" s="92"/>
      <c r="CS84" s="92"/>
      <c r="CT84" s="92"/>
      <c r="CU84" s="140">
        <f t="shared" si="60"/>
        <v>0</v>
      </c>
      <c r="CV84" s="95">
        <f t="shared" si="61"/>
        <v>0</v>
      </c>
      <c r="CW84" s="96">
        <f t="shared" si="62"/>
        <v>0</v>
      </c>
      <c r="CX84" s="97">
        <f t="shared" si="63"/>
        <v>0</v>
      </c>
      <c r="CZ84" s="139" t="s">
        <v>195</v>
      </c>
      <c r="DA84" s="94"/>
      <c r="DB84" s="91"/>
      <c r="DC84" s="92"/>
      <c r="DD84" s="92"/>
      <c r="DE84" s="92"/>
      <c r="DF84" s="92"/>
      <c r="DG84" s="92"/>
      <c r="DH84" s="92"/>
      <c r="DI84" s="140">
        <f t="shared" si="64"/>
        <v>0</v>
      </c>
      <c r="DJ84" s="94"/>
      <c r="DK84" s="91"/>
      <c r="DL84" s="92"/>
      <c r="DM84" s="92"/>
      <c r="DN84" s="92"/>
      <c r="DO84" s="92"/>
      <c r="DP84" s="92"/>
      <c r="DQ84" s="92"/>
      <c r="DR84" s="140">
        <f t="shared" si="65"/>
        <v>0</v>
      </c>
      <c r="DS84" s="94"/>
      <c r="DT84" s="91"/>
      <c r="DU84" s="92"/>
      <c r="DV84" s="92"/>
      <c r="DW84" s="92"/>
      <c r="DX84" s="92"/>
      <c r="DY84" s="92"/>
      <c r="DZ84" s="92"/>
      <c r="EA84" s="140">
        <f t="shared" si="66"/>
        <v>0</v>
      </c>
      <c r="EB84" s="95">
        <f t="shared" si="67"/>
        <v>0</v>
      </c>
      <c r="EC84" s="96">
        <f t="shared" si="68"/>
        <v>0</v>
      </c>
      <c r="ED84" s="97">
        <f t="shared" si="69"/>
        <v>0</v>
      </c>
    </row>
    <row r="85" spans="1:134" s="6" customFormat="1" ht="21.95" customHeight="1" x14ac:dyDescent="0.5">
      <c r="A85" s="83">
        <v>7</v>
      </c>
      <c r="B85" s="99" t="s">
        <v>206</v>
      </c>
      <c r="C85" s="104" t="s">
        <v>207</v>
      </c>
      <c r="D85" s="100" t="s">
        <v>168</v>
      </c>
      <c r="E85" s="99" t="s">
        <v>169</v>
      </c>
      <c r="F85" s="87" t="s">
        <v>194</v>
      </c>
      <c r="G85" s="138" t="s">
        <v>195</v>
      </c>
      <c r="H85" s="217">
        <v>4.2218635608448699E-3</v>
      </c>
      <c r="I85" s="94">
        <f t="shared" si="70"/>
        <v>1350.7472362598687</v>
      </c>
      <c r="J85" s="91">
        <f t="shared" si="51"/>
        <v>1019.8291398941259</v>
      </c>
      <c r="K85" s="92">
        <v>910</v>
      </c>
      <c r="L85" s="92">
        <v>884.8</v>
      </c>
      <c r="M85" s="92">
        <v>1270</v>
      </c>
      <c r="N85" s="92">
        <v>1244.8</v>
      </c>
      <c r="O85" s="92">
        <v>2030</v>
      </c>
      <c r="P85" s="92">
        <v>1902.3999999999999</v>
      </c>
      <c r="Q85" s="93">
        <f t="shared" si="71"/>
        <v>1.8654105139587387</v>
      </c>
      <c r="R85" s="94">
        <v>1350.7472362598699</v>
      </c>
      <c r="S85" s="91">
        <v>1019.8291398941259</v>
      </c>
      <c r="T85" s="92">
        <v>360</v>
      </c>
      <c r="U85" s="92">
        <v>360</v>
      </c>
      <c r="V85" s="92">
        <v>930</v>
      </c>
      <c r="W85" s="92">
        <v>852.8</v>
      </c>
      <c r="X85" s="92">
        <v>1750</v>
      </c>
      <c r="Y85" s="92">
        <v>1572</v>
      </c>
      <c r="Z85" s="93">
        <f t="shared" si="72"/>
        <v>1.5414346761685962</v>
      </c>
      <c r="AA85" s="94">
        <v>1350.7472362598699</v>
      </c>
      <c r="AB85" s="91">
        <v>1019.8291398941259</v>
      </c>
      <c r="AC85" s="92">
        <v>620</v>
      </c>
      <c r="AD85" s="92">
        <v>491.6</v>
      </c>
      <c r="AE85" s="92">
        <v>870</v>
      </c>
      <c r="AF85" s="92">
        <v>716.4</v>
      </c>
      <c r="AG85" s="92"/>
      <c r="AH85" s="92"/>
      <c r="AI85" s="93">
        <f t="shared" si="73"/>
        <v>0</v>
      </c>
      <c r="AJ85" s="95">
        <f t="shared" si="52"/>
        <v>3059.4874196823775</v>
      </c>
      <c r="AK85" s="96">
        <f t="shared" si="74"/>
        <v>3474.3999999999996</v>
      </c>
      <c r="AL85" s="97">
        <f t="shared" si="53"/>
        <v>1.1356150633757782</v>
      </c>
      <c r="AN85" s="89">
        <v>7.0319962604412948E-3</v>
      </c>
      <c r="AO85" s="94"/>
      <c r="AP85" s="91"/>
      <c r="AQ85" s="92"/>
      <c r="AR85" s="92"/>
      <c r="AS85" s="92"/>
      <c r="AT85" s="92"/>
      <c r="AU85" s="92"/>
      <c r="AV85" s="92"/>
      <c r="AW85" s="140">
        <v>0</v>
      </c>
      <c r="AX85" s="94"/>
      <c r="AY85" s="91"/>
      <c r="AZ85" s="92"/>
      <c r="BA85" s="92"/>
      <c r="BB85" s="92"/>
      <c r="BC85" s="92"/>
      <c r="BD85" s="92"/>
      <c r="BE85" s="92"/>
      <c r="BF85" s="140">
        <v>0</v>
      </c>
      <c r="BG85" s="94"/>
      <c r="BH85" s="91"/>
      <c r="BI85" s="92"/>
      <c r="BJ85" s="92"/>
      <c r="BK85" s="92"/>
      <c r="BL85" s="92"/>
      <c r="BM85" s="92"/>
      <c r="BN85" s="92"/>
      <c r="BO85" s="140">
        <f t="shared" si="54"/>
        <v>0</v>
      </c>
      <c r="BP85" s="95">
        <f t="shared" si="55"/>
        <v>0</v>
      </c>
      <c r="BQ85" s="96">
        <f t="shared" si="56"/>
        <v>0</v>
      </c>
      <c r="BR85" s="97">
        <f t="shared" si="57"/>
        <v>0</v>
      </c>
      <c r="BT85" s="139"/>
      <c r="BU85" s="94"/>
      <c r="BV85" s="91"/>
      <c r="BW85" s="92"/>
      <c r="BX85" s="92"/>
      <c r="BY85" s="92"/>
      <c r="BZ85" s="92"/>
      <c r="CA85" s="92"/>
      <c r="CB85" s="92"/>
      <c r="CC85" s="140">
        <f t="shared" si="58"/>
        <v>0</v>
      </c>
      <c r="CD85" s="94"/>
      <c r="CE85" s="91"/>
      <c r="CF85" s="92"/>
      <c r="CG85" s="92"/>
      <c r="CH85" s="92"/>
      <c r="CI85" s="92"/>
      <c r="CJ85" s="92"/>
      <c r="CK85" s="92"/>
      <c r="CL85" s="140">
        <f t="shared" si="59"/>
        <v>0</v>
      </c>
      <c r="CM85" s="94"/>
      <c r="CN85" s="91"/>
      <c r="CO85" s="92"/>
      <c r="CP85" s="92"/>
      <c r="CQ85" s="92"/>
      <c r="CR85" s="92"/>
      <c r="CS85" s="92"/>
      <c r="CT85" s="92"/>
      <c r="CU85" s="140">
        <f t="shared" si="60"/>
        <v>0</v>
      </c>
      <c r="CV85" s="95">
        <f t="shared" si="61"/>
        <v>0</v>
      </c>
      <c r="CW85" s="96">
        <f t="shared" si="62"/>
        <v>0</v>
      </c>
      <c r="CX85" s="97">
        <f t="shared" si="63"/>
        <v>0</v>
      </c>
      <c r="CZ85" s="139" t="s">
        <v>195</v>
      </c>
      <c r="DA85" s="94"/>
      <c r="DB85" s="91"/>
      <c r="DC85" s="92"/>
      <c r="DD85" s="92"/>
      <c r="DE85" s="92"/>
      <c r="DF85" s="92"/>
      <c r="DG85" s="92"/>
      <c r="DH85" s="92"/>
      <c r="DI85" s="140">
        <f t="shared" si="64"/>
        <v>0</v>
      </c>
      <c r="DJ85" s="94"/>
      <c r="DK85" s="91"/>
      <c r="DL85" s="92"/>
      <c r="DM85" s="92"/>
      <c r="DN85" s="92"/>
      <c r="DO85" s="92"/>
      <c r="DP85" s="92"/>
      <c r="DQ85" s="92"/>
      <c r="DR85" s="140">
        <f t="shared" si="65"/>
        <v>0</v>
      </c>
      <c r="DS85" s="94"/>
      <c r="DT85" s="91"/>
      <c r="DU85" s="92"/>
      <c r="DV85" s="92"/>
      <c r="DW85" s="92"/>
      <c r="DX85" s="92"/>
      <c r="DY85" s="92"/>
      <c r="DZ85" s="92"/>
      <c r="EA85" s="140">
        <f t="shared" si="66"/>
        <v>0</v>
      </c>
      <c r="EB85" s="95">
        <f t="shared" si="67"/>
        <v>0</v>
      </c>
      <c r="EC85" s="96">
        <f t="shared" si="68"/>
        <v>0</v>
      </c>
      <c r="ED85" s="97">
        <f t="shared" si="69"/>
        <v>0</v>
      </c>
    </row>
    <row r="86" spans="1:134" s="6" customFormat="1" ht="21.95" customHeight="1" x14ac:dyDescent="0.5">
      <c r="A86" s="83">
        <v>8</v>
      </c>
      <c r="B86" s="99" t="s">
        <v>208</v>
      </c>
      <c r="C86" s="104" t="s">
        <v>209</v>
      </c>
      <c r="D86" s="100" t="s">
        <v>168</v>
      </c>
      <c r="E86" s="99" t="s">
        <v>169</v>
      </c>
      <c r="F86" s="87" t="s">
        <v>194</v>
      </c>
      <c r="G86" s="138" t="s">
        <v>195</v>
      </c>
      <c r="H86" s="217">
        <v>5.3651437613438588E-3</v>
      </c>
      <c r="I86" s="94">
        <f t="shared" si="70"/>
        <v>1716.5294432968008</v>
      </c>
      <c r="J86" s="91">
        <f t="shared" si="51"/>
        <v>1295.9987618464611</v>
      </c>
      <c r="K86" s="92">
        <v>240</v>
      </c>
      <c r="L86" s="92">
        <v>240</v>
      </c>
      <c r="M86" s="92">
        <v>1080</v>
      </c>
      <c r="N86" s="92">
        <v>928.8</v>
      </c>
      <c r="O86" s="92">
        <v>1080</v>
      </c>
      <c r="P86" s="92">
        <v>928.8</v>
      </c>
      <c r="Q86" s="93">
        <f t="shared" si="71"/>
        <v>0.71666735134584669</v>
      </c>
      <c r="R86" s="94">
        <v>1716.5294432968024</v>
      </c>
      <c r="S86" s="91">
        <v>1295.9987618464611</v>
      </c>
      <c r="T86" s="92">
        <v>720</v>
      </c>
      <c r="U86" s="92">
        <v>568.79999999999995</v>
      </c>
      <c r="V86" s="92">
        <v>1700</v>
      </c>
      <c r="W86" s="92">
        <v>1347.1999999999998</v>
      </c>
      <c r="X86" s="92">
        <v>1700</v>
      </c>
      <c r="Y86" s="92">
        <v>1347.1999999999998</v>
      </c>
      <c r="Z86" s="93">
        <f t="shared" si="72"/>
        <v>1.0395071659486699</v>
      </c>
      <c r="AA86" s="94">
        <v>1716.5294432968024</v>
      </c>
      <c r="AB86" s="91">
        <v>1295.9987618464611</v>
      </c>
      <c r="AC86" s="92">
        <v>450</v>
      </c>
      <c r="AD86" s="92">
        <v>374.4</v>
      </c>
      <c r="AE86" s="92">
        <v>1250</v>
      </c>
      <c r="AF86" s="92">
        <v>1124</v>
      </c>
      <c r="AG86" s="92"/>
      <c r="AH86" s="92"/>
      <c r="AI86" s="93">
        <f t="shared" si="73"/>
        <v>0</v>
      </c>
      <c r="AJ86" s="95">
        <f t="shared" si="52"/>
        <v>3887.9962855393833</v>
      </c>
      <c r="AK86" s="96">
        <f t="shared" si="74"/>
        <v>2276</v>
      </c>
      <c r="AL86" s="97">
        <f t="shared" si="53"/>
        <v>0.58539150576483889</v>
      </c>
      <c r="AN86" s="89">
        <v>6.9100541287573421E-3</v>
      </c>
      <c r="AO86" s="94"/>
      <c r="AP86" s="91"/>
      <c r="AQ86" s="92"/>
      <c r="AR86" s="92"/>
      <c r="AS86" s="92"/>
      <c r="AT86" s="92"/>
      <c r="AU86" s="92"/>
      <c r="AV86" s="92"/>
      <c r="AW86" s="140">
        <v>0</v>
      </c>
      <c r="AX86" s="94"/>
      <c r="AY86" s="91"/>
      <c r="AZ86" s="92"/>
      <c r="BA86" s="92"/>
      <c r="BB86" s="92"/>
      <c r="BC86" s="92"/>
      <c r="BD86" s="92"/>
      <c r="BE86" s="92"/>
      <c r="BF86" s="140">
        <v>0</v>
      </c>
      <c r="BG86" s="94"/>
      <c r="BH86" s="91"/>
      <c r="BI86" s="92"/>
      <c r="BJ86" s="92"/>
      <c r="BK86" s="92"/>
      <c r="BL86" s="92"/>
      <c r="BM86" s="92"/>
      <c r="BN86" s="92"/>
      <c r="BO86" s="140">
        <f t="shared" si="54"/>
        <v>0</v>
      </c>
      <c r="BP86" s="95">
        <f t="shared" si="55"/>
        <v>0</v>
      </c>
      <c r="BQ86" s="96">
        <f t="shared" si="56"/>
        <v>0</v>
      </c>
      <c r="BR86" s="97">
        <f t="shared" si="57"/>
        <v>0</v>
      </c>
      <c r="BT86" s="139"/>
      <c r="BU86" s="94"/>
      <c r="BV86" s="91"/>
      <c r="BW86" s="92"/>
      <c r="BX86" s="92"/>
      <c r="BY86" s="92"/>
      <c r="BZ86" s="92"/>
      <c r="CA86" s="92"/>
      <c r="CB86" s="92"/>
      <c r="CC86" s="140">
        <f t="shared" si="58"/>
        <v>0</v>
      </c>
      <c r="CD86" s="94"/>
      <c r="CE86" s="91"/>
      <c r="CF86" s="92"/>
      <c r="CG86" s="92"/>
      <c r="CH86" s="92"/>
      <c r="CI86" s="92"/>
      <c r="CJ86" s="92"/>
      <c r="CK86" s="92"/>
      <c r="CL86" s="140">
        <f t="shared" si="59"/>
        <v>0</v>
      </c>
      <c r="CM86" s="94"/>
      <c r="CN86" s="91"/>
      <c r="CO86" s="92"/>
      <c r="CP86" s="92"/>
      <c r="CQ86" s="92"/>
      <c r="CR86" s="92"/>
      <c r="CS86" s="92"/>
      <c r="CT86" s="92"/>
      <c r="CU86" s="140">
        <f t="shared" si="60"/>
        <v>0</v>
      </c>
      <c r="CV86" s="95">
        <f t="shared" si="61"/>
        <v>0</v>
      </c>
      <c r="CW86" s="96">
        <f t="shared" si="62"/>
        <v>0</v>
      </c>
      <c r="CX86" s="97">
        <f t="shared" si="63"/>
        <v>0</v>
      </c>
      <c r="CZ86" s="139" t="s">
        <v>195</v>
      </c>
      <c r="DA86" s="94"/>
      <c r="DB86" s="91"/>
      <c r="DC86" s="92"/>
      <c r="DD86" s="92"/>
      <c r="DE86" s="92"/>
      <c r="DF86" s="92"/>
      <c r="DG86" s="92"/>
      <c r="DH86" s="92"/>
      <c r="DI86" s="140">
        <f t="shared" si="64"/>
        <v>0</v>
      </c>
      <c r="DJ86" s="94"/>
      <c r="DK86" s="91"/>
      <c r="DL86" s="92"/>
      <c r="DM86" s="92"/>
      <c r="DN86" s="92"/>
      <c r="DO86" s="92"/>
      <c r="DP86" s="92"/>
      <c r="DQ86" s="92"/>
      <c r="DR86" s="140">
        <f t="shared" si="65"/>
        <v>0</v>
      </c>
      <c r="DS86" s="94"/>
      <c r="DT86" s="91"/>
      <c r="DU86" s="92"/>
      <c r="DV86" s="92"/>
      <c r="DW86" s="92"/>
      <c r="DX86" s="92"/>
      <c r="DY86" s="92"/>
      <c r="DZ86" s="92"/>
      <c r="EA86" s="140">
        <f t="shared" si="66"/>
        <v>0</v>
      </c>
      <c r="EB86" s="95">
        <f t="shared" si="67"/>
        <v>0</v>
      </c>
      <c r="EC86" s="96">
        <f t="shared" si="68"/>
        <v>0</v>
      </c>
      <c r="ED86" s="97">
        <f t="shared" si="69"/>
        <v>0</v>
      </c>
    </row>
    <row r="87" spans="1:134" s="6" customFormat="1" ht="21.95" customHeight="1" x14ac:dyDescent="0.5">
      <c r="A87" s="83">
        <v>9</v>
      </c>
      <c r="B87" s="99" t="s">
        <v>210</v>
      </c>
      <c r="C87" s="104" t="s">
        <v>211</v>
      </c>
      <c r="D87" s="100" t="s">
        <v>168</v>
      </c>
      <c r="E87" s="99" t="s">
        <v>169</v>
      </c>
      <c r="F87" s="87" t="s">
        <v>194</v>
      </c>
      <c r="G87" s="138" t="s">
        <v>195</v>
      </c>
      <c r="H87" s="217">
        <v>2.9780627993733844E-3</v>
      </c>
      <c r="I87" s="94">
        <f t="shared" si="70"/>
        <v>952.80438074055883</v>
      </c>
      <c r="J87" s="91">
        <f t="shared" si="51"/>
        <v>719.37787175383539</v>
      </c>
      <c r="K87" s="92">
        <v>1400</v>
      </c>
      <c r="L87" s="92">
        <v>896</v>
      </c>
      <c r="M87" s="92">
        <v>1400</v>
      </c>
      <c r="N87" s="92">
        <v>896</v>
      </c>
      <c r="O87" s="92">
        <v>1760</v>
      </c>
      <c r="P87" s="92">
        <v>1256</v>
      </c>
      <c r="Q87" s="93">
        <f t="shared" si="71"/>
        <v>1.7459530648863104</v>
      </c>
      <c r="R87" s="94">
        <v>952.80438074055962</v>
      </c>
      <c r="S87" s="91">
        <v>719.37787175383539</v>
      </c>
      <c r="T87" s="92">
        <v>280</v>
      </c>
      <c r="U87" s="92">
        <v>179.20000000000002</v>
      </c>
      <c r="V87" s="92">
        <v>580</v>
      </c>
      <c r="W87" s="92">
        <v>479.20000000000005</v>
      </c>
      <c r="X87" s="92">
        <v>580</v>
      </c>
      <c r="Y87" s="92">
        <v>479.20000000000005</v>
      </c>
      <c r="Z87" s="93">
        <f t="shared" si="72"/>
        <v>0.66613113749484076</v>
      </c>
      <c r="AA87" s="94">
        <v>952.80438074055962</v>
      </c>
      <c r="AB87" s="91">
        <v>719.37787175383539</v>
      </c>
      <c r="AC87" s="92">
        <v>0</v>
      </c>
      <c r="AD87" s="92">
        <v>0</v>
      </c>
      <c r="AE87" s="92">
        <v>570</v>
      </c>
      <c r="AF87" s="92">
        <v>494.4</v>
      </c>
      <c r="AG87" s="92"/>
      <c r="AH87" s="92"/>
      <c r="AI87" s="93">
        <f t="shared" si="73"/>
        <v>0</v>
      </c>
      <c r="AJ87" s="95">
        <f t="shared" si="52"/>
        <v>2158.1336152615063</v>
      </c>
      <c r="AK87" s="96">
        <f t="shared" si="74"/>
        <v>1735.2</v>
      </c>
      <c r="AL87" s="97">
        <f t="shared" si="53"/>
        <v>0.80402806746038369</v>
      </c>
      <c r="AN87" s="89">
        <v>4.1663561658683975E-3</v>
      </c>
      <c r="AO87" s="94"/>
      <c r="AP87" s="91"/>
      <c r="AQ87" s="92"/>
      <c r="AR87" s="92"/>
      <c r="AS87" s="92"/>
      <c r="AT87" s="92"/>
      <c r="AU87" s="92"/>
      <c r="AV87" s="92"/>
      <c r="AW87" s="140">
        <v>0</v>
      </c>
      <c r="AX87" s="94"/>
      <c r="AY87" s="91"/>
      <c r="AZ87" s="92"/>
      <c r="BA87" s="92"/>
      <c r="BB87" s="92"/>
      <c r="BC87" s="92"/>
      <c r="BD87" s="92"/>
      <c r="BE87" s="92"/>
      <c r="BF87" s="140">
        <v>0</v>
      </c>
      <c r="BG87" s="94"/>
      <c r="BH87" s="91"/>
      <c r="BI87" s="92"/>
      <c r="BJ87" s="92"/>
      <c r="BK87" s="92"/>
      <c r="BL87" s="92"/>
      <c r="BM87" s="92"/>
      <c r="BN87" s="92"/>
      <c r="BO87" s="140">
        <f t="shared" si="54"/>
        <v>0</v>
      </c>
      <c r="BP87" s="95">
        <f t="shared" si="55"/>
        <v>0</v>
      </c>
      <c r="BQ87" s="96">
        <f t="shared" si="56"/>
        <v>0</v>
      </c>
      <c r="BR87" s="97">
        <f t="shared" si="57"/>
        <v>0</v>
      </c>
      <c r="BT87" s="139"/>
      <c r="BU87" s="94"/>
      <c r="BV87" s="91"/>
      <c r="BW87" s="92"/>
      <c r="BX87" s="92"/>
      <c r="BY87" s="92"/>
      <c r="BZ87" s="92"/>
      <c r="CA87" s="92"/>
      <c r="CB87" s="92"/>
      <c r="CC87" s="140">
        <f t="shared" si="58"/>
        <v>0</v>
      </c>
      <c r="CD87" s="94"/>
      <c r="CE87" s="91"/>
      <c r="CF87" s="92"/>
      <c r="CG87" s="92"/>
      <c r="CH87" s="92"/>
      <c r="CI87" s="92"/>
      <c r="CJ87" s="92"/>
      <c r="CK87" s="92"/>
      <c r="CL87" s="140">
        <f t="shared" si="59"/>
        <v>0</v>
      </c>
      <c r="CM87" s="94"/>
      <c r="CN87" s="91"/>
      <c r="CO87" s="92"/>
      <c r="CP87" s="92"/>
      <c r="CQ87" s="92"/>
      <c r="CR87" s="92"/>
      <c r="CS87" s="92"/>
      <c r="CT87" s="92"/>
      <c r="CU87" s="140">
        <f t="shared" si="60"/>
        <v>0</v>
      </c>
      <c r="CV87" s="95">
        <f t="shared" si="61"/>
        <v>0</v>
      </c>
      <c r="CW87" s="96">
        <f t="shared" si="62"/>
        <v>0</v>
      </c>
      <c r="CX87" s="97">
        <f t="shared" si="63"/>
        <v>0</v>
      </c>
      <c r="CZ87" s="139" t="s">
        <v>195</v>
      </c>
      <c r="DA87" s="94"/>
      <c r="DB87" s="91"/>
      <c r="DC87" s="92"/>
      <c r="DD87" s="92"/>
      <c r="DE87" s="92"/>
      <c r="DF87" s="92"/>
      <c r="DG87" s="92"/>
      <c r="DH87" s="92"/>
      <c r="DI87" s="140">
        <f t="shared" si="64"/>
        <v>0</v>
      </c>
      <c r="DJ87" s="94"/>
      <c r="DK87" s="91"/>
      <c r="DL87" s="92"/>
      <c r="DM87" s="92"/>
      <c r="DN87" s="92"/>
      <c r="DO87" s="92"/>
      <c r="DP87" s="92"/>
      <c r="DQ87" s="92"/>
      <c r="DR87" s="140">
        <f t="shared" si="65"/>
        <v>0</v>
      </c>
      <c r="DS87" s="94"/>
      <c r="DT87" s="91"/>
      <c r="DU87" s="92"/>
      <c r="DV87" s="92"/>
      <c r="DW87" s="92"/>
      <c r="DX87" s="92"/>
      <c r="DY87" s="92"/>
      <c r="DZ87" s="92"/>
      <c r="EA87" s="140">
        <f t="shared" si="66"/>
        <v>0</v>
      </c>
      <c r="EB87" s="95">
        <f t="shared" si="67"/>
        <v>0</v>
      </c>
      <c r="EC87" s="96">
        <f t="shared" si="68"/>
        <v>0</v>
      </c>
      <c r="ED87" s="97">
        <f t="shared" si="69"/>
        <v>0</v>
      </c>
    </row>
    <row r="88" spans="1:134" s="6" customFormat="1" ht="21.95" customHeight="1" x14ac:dyDescent="0.5">
      <c r="A88" s="83">
        <v>10</v>
      </c>
      <c r="B88" s="99" t="s">
        <v>212</v>
      </c>
      <c r="C88" s="104" t="s">
        <v>213</v>
      </c>
      <c r="D88" s="100" t="s">
        <v>214</v>
      </c>
      <c r="E88" s="99" t="s">
        <v>169</v>
      </c>
      <c r="F88" s="87" t="s">
        <v>194</v>
      </c>
      <c r="G88" s="138" t="s">
        <v>195</v>
      </c>
      <c r="H88" s="217">
        <v>2.3623743634168408E-2</v>
      </c>
      <c r="I88" s="94">
        <f t="shared" si="70"/>
        <v>7558.2040878599455</v>
      </c>
      <c r="J88" s="91">
        <f t="shared" si="51"/>
        <v>5706.5278885260868</v>
      </c>
      <c r="K88" s="92">
        <v>2848</v>
      </c>
      <c r="L88" s="92">
        <v>2837.92</v>
      </c>
      <c r="M88" s="92">
        <v>5614</v>
      </c>
      <c r="N88" s="92">
        <v>5558.56</v>
      </c>
      <c r="O88" s="92">
        <v>8610</v>
      </c>
      <c r="P88" s="92">
        <v>8534.4000000000015</v>
      </c>
      <c r="Q88" s="93">
        <f t="shared" si="71"/>
        <v>1.4955503883823675</v>
      </c>
      <c r="R88" s="94">
        <v>7558.2040878599528</v>
      </c>
      <c r="S88" s="91">
        <v>5706.5278885260868</v>
      </c>
      <c r="T88" s="92">
        <v>2368</v>
      </c>
      <c r="U88" s="92">
        <v>2357.92</v>
      </c>
      <c r="V88" s="92">
        <v>4750</v>
      </c>
      <c r="W88" s="92">
        <v>4724.8</v>
      </c>
      <c r="X88" s="92">
        <v>7492</v>
      </c>
      <c r="Y88" s="92">
        <v>7451.68</v>
      </c>
      <c r="Z88" s="93">
        <f t="shared" si="72"/>
        <v>1.3058168023646795</v>
      </c>
      <c r="AA88" s="94">
        <v>7558.2040878599528</v>
      </c>
      <c r="AB88" s="91">
        <v>5706.5278885260868</v>
      </c>
      <c r="AC88" s="92">
        <v>2488</v>
      </c>
      <c r="AD88" s="92">
        <v>2477.92</v>
      </c>
      <c r="AE88" s="92">
        <v>6038</v>
      </c>
      <c r="AF88" s="92">
        <v>6002.72</v>
      </c>
      <c r="AG88" s="92"/>
      <c r="AH88" s="92"/>
      <c r="AI88" s="93">
        <f t="shared" si="73"/>
        <v>0</v>
      </c>
      <c r="AJ88" s="95">
        <f t="shared" si="52"/>
        <v>17119.583665578262</v>
      </c>
      <c r="AK88" s="96">
        <f t="shared" si="74"/>
        <v>15986.080000000002</v>
      </c>
      <c r="AL88" s="97">
        <f t="shared" si="53"/>
        <v>0.93378906358234892</v>
      </c>
      <c r="AN88" s="89">
        <v>1.3616871371374762E-2</v>
      </c>
      <c r="AO88" s="94"/>
      <c r="AP88" s="91"/>
      <c r="AQ88" s="92"/>
      <c r="AR88" s="92"/>
      <c r="AS88" s="92"/>
      <c r="AT88" s="92"/>
      <c r="AU88" s="92"/>
      <c r="AV88" s="92"/>
      <c r="AW88" s="140">
        <v>0</v>
      </c>
      <c r="AX88" s="94"/>
      <c r="AY88" s="91"/>
      <c r="AZ88" s="92"/>
      <c r="BA88" s="92"/>
      <c r="BB88" s="92"/>
      <c r="BC88" s="92"/>
      <c r="BD88" s="92"/>
      <c r="BE88" s="92"/>
      <c r="BF88" s="140">
        <v>0</v>
      </c>
      <c r="BG88" s="94"/>
      <c r="BH88" s="91"/>
      <c r="BI88" s="92"/>
      <c r="BJ88" s="92"/>
      <c r="BK88" s="92"/>
      <c r="BL88" s="92"/>
      <c r="BM88" s="92"/>
      <c r="BN88" s="92"/>
      <c r="BO88" s="140">
        <f t="shared" si="54"/>
        <v>0</v>
      </c>
      <c r="BP88" s="95">
        <f t="shared" si="55"/>
        <v>0</v>
      </c>
      <c r="BQ88" s="96">
        <f t="shared" si="56"/>
        <v>0</v>
      </c>
      <c r="BR88" s="97">
        <f t="shared" si="57"/>
        <v>0</v>
      </c>
      <c r="BT88" s="139"/>
      <c r="BU88" s="94"/>
      <c r="BV88" s="91"/>
      <c r="BW88" s="92"/>
      <c r="BX88" s="92"/>
      <c r="BY88" s="92"/>
      <c r="BZ88" s="92"/>
      <c r="CA88" s="92"/>
      <c r="CB88" s="92"/>
      <c r="CC88" s="140">
        <f t="shared" si="58"/>
        <v>0</v>
      </c>
      <c r="CD88" s="94"/>
      <c r="CE88" s="91"/>
      <c r="CF88" s="92"/>
      <c r="CG88" s="92"/>
      <c r="CH88" s="92"/>
      <c r="CI88" s="92"/>
      <c r="CJ88" s="92"/>
      <c r="CK88" s="92"/>
      <c r="CL88" s="140">
        <f t="shared" si="59"/>
        <v>0</v>
      </c>
      <c r="CM88" s="94"/>
      <c r="CN88" s="91"/>
      <c r="CO88" s="92"/>
      <c r="CP88" s="92"/>
      <c r="CQ88" s="92"/>
      <c r="CR88" s="92"/>
      <c r="CS88" s="92"/>
      <c r="CT88" s="92"/>
      <c r="CU88" s="140">
        <f t="shared" si="60"/>
        <v>0</v>
      </c>
      <c r="CV88" s="95">
        <f t="shared" si="61"/>
        <v>0</v>
      </c>
      <c r="CW88" s="96">
        <f t="shared" si="62"/>
        <v>0</v>
      </c>
      <c r="CX88" s="97">
        <f t="shared" si="63"/>
        <v>0</v>
      </c>
      <c r="CZ88" s="139" t="s">
        <v>195</v>
      </c>
      <c r="DA88" s="94"/>
      <c r="DB88" s="91"/>
      <c r="DC88" s="92"/>
      <c r="DD88" s="92"/>
      <c r="DE88" s="92"/>
      <c r="DF88" s="92"/>
      <c r="DG88" s="92"/>
      <c r="DH88" s="92"/>
      <c r="DI88" s="140">
        <f t="shared" si="64"/>
        <v>0</v>
      </c>
      <c r="DJ88" s="94"/>
      <c r="DK88" s="91"/>
      <c r="DL88" s="92"/>
      <c r="DM88" s="92"/>
      <c r="DN88" s="92"/>
      <c r="DO88" s="92"/>
      <c r="DP88" s="92"/>
      <c r="DQ88" s="92"/>
      <c r="DR88" s="140">
        <f t="shared" si="65"/>
        <v>0</v>
      </c>
      <c r="DS88" s="94"/>
      <c r="DT88" s="91"/>
      <c r="DU88" s="92"/>
      <c r="DV88" s="92"/>
      <c r="DW88" s="92"/>
      <c r="DX88" s="92"/>
      <c r="DY88" s="92"/>
      <c r="DZ88" s="92"/>
      <c r="EA88" s="140">
        <f t="shared" si="66"/>
        <v>0</v>
      </c>
      <c r="EB88" s="95">
        <f t="shared" si="67"/>
        <v>0</v>
      </c>
      <c r="EC88" s="96">
        <f t="shared" si="68"/>
        <v>0</v>
      </c>
      <c r="ED88" s="97">
        <f t="shared" si="69"/>
        <v>0</v>
      </c>
    </row>
    <row r="89" spans="1:134" s="6" customFormat="1" ht="21.95" customHeight="1" x14ac:dyDescent="0.5">
      <c r="A89" s="83">
        <v>11</v>
      </c>
      <c r="B89" s="99" t="s">
        <v>215</v>
      </c>
      <c r="C89" s="104" t="s">
        <v>216</v>
      </c>
      <c r="D89" s="100" t="s">
        <v>185</v>
      </c>
      <c r="E89" s="99" t="s">
        <v>217</v>
      </c>
      <c r="F89" s="87" t="s">
        <v>194</v>
      </c>
      <c r="G89" s="138" t="s">
        <v>195</v>
      </c>
      <c r="H89" s="217">
        <v>4.6606527511573988E-3</v>
      </c>
      <c r="I89" s="94">
        <f t="shared" si="70"/>
        <v>1491.1338872194619</v>
      </c>
      <c r="J89" s="91">
        <f t="shared" si="51"/>
        <v>1125.82261791683</v>
      </c>
      <c r="K89" s="92">
        <v>0</v>
      </c>
      <c r="L89" s="92">
        <v>0</v>
      </c>
      <c r="M89" s="92">
        <v>2220</v>
      </c>
      <c r="N89" s="92">
        <v>2068.8000000000002</v>
      </c>
      <c r="O89" s="92">
        <v>2220</v>
      </c>
      <c r="P89" s="92">
        <v>2068.8000000000002</v>
      </c>
      <c r="Q89" s="93">
        <f t="shared" si="71"/>
        <v>1.8375896585094478</v>
      </c>
      <c r="R89" s="94">
        <v>1491.1338872194633</v>
      </c>
      <c r="S89" s="91">
        <v>1125.82261791683</v>
      </c>
      <c r="T89" s="92">
        <v>0</v>
      </c>
      <c r="U89" s="92">
        <v>0</v>
      </c>
      <c r="V89" s="92">
        <v>0</v>
      </c>
      <c r="W89" s="92">
        <v>0</v>
      </c>
      <c r="X89" s="92">
        <v>0</v>
      </c>
      <c r="Y89" s="92">
        <v>0</v>
      </c>
      <c r="Z89" s="93">
        <f t="shared" si="72"/>
        <v>0</v>
      </c>
      <c r="AA89" s="94">
        <v>1491.1338872194633</v>
      </c>
      <c r="AB89" s="91">
        <v>1125.82261791683</v>
      </c>
      <c r="AC89" s="92">
        <v>0</v>
      </c>
      <c r="AD89" s="92">
        <v>0</v>
      </c>
      <c r="AE89" s="92">
        <v>2420</v>
      </c>
      <c r="AF89" s="92">
        <v>2138.8000000000002</v>
      </c>
      <c r="AG89" s="92"/>
      <c r="AH89" s="92"/>
      <c r="AI89" s="93">
        <f t="shared" si="73"/>
        <v>0</v>
      </c>
      <c r="AJ89" s="95">
        <f t="shared" si="52"/>
        <v>3377.4678537504901</v>
      </c>
      <c r="AK89" s="96">
        <f t="shared" si="74"/>
        <v>2068.8000000000002</v>
      </c>
      <c r="AL89" s="97">
        <f t="shared" si="53"/>
        <v>0.61252988616981596</v>
      </c>
      <c r="AN89" s="89">
        <v>3.3872814356653638E-3</v>
      </c>
      <c r="AO89" s="94"/>
      <c r="AP89" s="91"/>
      <c r="AQ89" s="92"/>
      <c r="AR89" s="92"/>
      <c r="AS89" s="92"/>
      <c r="AT89" s="92"/>
      <c r="AU89" s="92"/>
      <c r="AV89" s="92"/>
      <c r="AW89" s="140">
        <v>0</v>
      </c>
      <c r="AX89" s="94"/>
      <c r="AY89" s="91"/>
      <c r="AZ89" s="92"/>
      <c r="BA89" s="92"/>
      <c r="BB89" s="92"/>
      <c r="BC89" s="92"/>
      <c r="BD89" s="92"/>
      <c r="BE89" s="92"/>
      <c r="BF89" s="140">
        <v>0</v>
      </c>
      <c r="BG89" s="94"/>
      <c r="BH89" s="91"/>
      <c r="BI89" s="92"/>
      <c r="BJ89" s="92"/>
      <c r="BK89" s="92"/>
      <c r="BL89" s="92"/>
      <c r="BM89" s="92"/>
      <c r="BN89" s="92"/>
      <c r="BO89" s="140">
        <f t="shared" si="54"/>
        <v>0</v>
      </c>
      <c r="BP89" s="95">
        <f t="shared" si="55"/>
        <v>0</v>
      </c>
      <c r="BQ89" s="96">
        <f t="shared" si="56"/>
        <v>0</v>
      </c>
      <c r="BR89" s="97">
        <f t="shared" si="57"/>
        <v>0</v>
      </c>
      <c r="BT89" s="139"/>
      <c r="BU89" s="94"/>
      <c r="BV89" s="91"/>
      <c r="BW89" s="92"/>
      <c r="BX89" s="92"/>
      <c r="BY89" s="92"/>
      <c r="BZ89" s="92"/>
      <c r="CA89" s="92"/>
      <c r="CB89" s="92"/>
      <c r="CC89" s="140">
        <f t="shared" si="58"/>
        <v>0</v>
      </c>
      <c r="CD89" s="94"/>
      <c r="CE89" s="91"/>
      <c r="CF89" s="92"/>
      <c r="CG89" s="92"/>
      <c r="CH89" s="92"/>
      <c r="CI89" s="92"/>
      <c r="CJ89" s="92"/>
      <c r="CK89" s="92"/>
      <c r="CL89" s="140">
        <f t="shared" si="59"/>
        <v>0</v>
      </c>
      <c r="CM89" s="94"/>
      <c r="CN89" s="91"/>
      <c r="CO89" s="92"/>
      <c r="CP89" s="92"/>
      <c r="CQ89" s="92"/>
      <c r="CR89" s="92"/>
      <c r="CS89" s="92"/>
      <c r="CT89" s="92"/>
      <c r="CU89" s="140">
        <f t="shared" si="60"/>
        <v>0</v>
      </c>
      <c r="CV89" s="95">
        <f t="shared" si="61"/>
        <v>0</v>
      </c>
      <c r="CW89" s="96">
        <f t="shared" si="62"/>
        <v>0</v>
      </c>
      <c r="CX89" s="97">
        <f t="shared" si="63"/>
        <v>0</v>
      </c>
      <c r="CZ89" s="139" t="s">
        <v>195</v>
      </c>
      <c r="DA89" s="94"/>
      <c r="DB89" s="91"/>
      <c r="DC89" s="92"/>
      <c r="DD89" s="92"/>
      <c r="DE89" s="92"/>
      <c r="DF89" s="92"/>
      <c r="DG89" s="92"/>
      <c r="DH89" s="92"/>
      <c r="DI89" s="140">
        <f t="shared" si="64"/>
        <v>0</v>
      </c>
      <c r="DJ89" s="94"/>
      <c r="DK89" s="91"/>
      <c r="DL89" s="92"/>
      <c r="DM89" s="92"/>
      <c r="DN89" s="92"/>
      <c r="DO89" s="92"/>
      <c r="DP89" s="92"/>
      <c r="DQ89" s="92"/>
      <c r="DR89" s="140">
        <f t="shared" si="65"/>
        <v>0</v>
      </c>
      <c r="DS89" s="94"/>
      <c r="DT89" s="91"/>
      <c r="DU89" s="92"/>
      <c r="DV89" s="92"/>
      <c r="DW89" s="92"/>
      <c r="DX89" s="92"/>
      <c r="DY89" s="92"/>
      <c r="DZ89" s="92"/>
      <c r="EA89" s="140">
        <f t="shared" si="66"/>
        <v>0</v>
      </c>
      <c r="EB89" s="95">
        <f t="shared" si="67"/>
        <v>0</v>
      </c>
      <c r="EC89" s="96">
        <f t="shared" si="68"/>
        <v>0</v>
      </c>
      <c r="ED89" s="97">
        <f t="shared" si="69"/>
        <v>0</v>
      </c>
    </row>
    <row r="90" spans="1:134" s="6" customFormat="1" ht="21.95" customHeight="1" x14ac:dyDescent="0.5">
      <c r="A90" s="83">
        <v>12</v>
      </c>
      <c r="B90" s="99" t="s">
        <v>218</v>
      </c>
      <c r="C90" s="104" t="s">
        <v>219</v>
      </c>
      <c r="D90" s="100" t="s">
        <v>78</v>
      </c>
      <c r="E90" s="99" t="s">
        <v>79</v>
      </c>
      <c r="F90" s="87" t="s">
        <v>194</v>
      </c>
      <c r="G90" s="138" t="s">
        <v>195</v>
      </c>
      <c r="H90" s="217">
        <v>1.1644855210861643E-2</v>
      </c>
      <c r="I90" s="94">
        <f t="shared" si="70"/>
        <v>3725.6665844431009</v>
      </c>
      <c r="J90" s="91">
        <f t="shared" si="51"/>
        <v>2812.9195798805276</v>
      </c>
      <c r="K90" s="92">
        <v>800</v>
      </c>
      <c r="L90" s="92">
        <v>670</v>
      </c>
      <c r="M90" s="92">
        <v>1560</v>
      </c>
      <c r="N90" s="92">
        <v>1329.2</v>
      </c>
      <c r="O90" s="92">
        <v>2638</v>
      </c>
      <c r="P90" s="92">
        <v>2321.52</v>
      </c>
      <c r="Q90" s="93">
        <f t="shared" si="71"/>
        <v>0.8253062108866267</v>
      </c>
      <c r="R90" s="94">
        <v>3725.6665844431045</v>
      </c>
      <c r="S90" s="91">
        <v>2812.9195798805276</v>
      </c>
      <c r="T90" s="92">
        <v>1000</v>
      </c>
      <c r="U90" s="92">
        <v>722</v>
      </c>
      <c r="V90" s="92">
        <v>1840</v>
      </c>
      <c r="W90" s="92">
        <v>1562</v>
      </c>
      <c r="X90" s="92">
        <v>3320</v>
      </c>
      <c r="Y90" s="92">
        <v>2632.4</v>
      </c>
      <c r="Z90" s="93">
        <f t="shared" si="72"/>
        <v>0.93582483439210351</v>
      </c>
      <c r="AA90" s="94">
        <v>3725.6665844431045</v>
      </c>
      <c r="AB90" s="91">
        <v>2812.9195798805276</v>
      </c>
      <c r="AC90" s="92">
        <v>0</v>
      </c>
      <c r="AD90" s="92">
        <v>0</v>
      </c>
      <c r="AE90" s="92">
        <v>1880</v>
      </c>
      <c r="AF90" s="92">
        <v>1368</v>
      </c>
      <c r="AG90" s="92"/>
      <c r="AH90" s="92"/>
      <c r="AI90" s="93">
        <f t="shared" si="73"/>
        <v>0</v>
      </c>
      <c r="AJ90" s="95">
        <f t="shared" si="52"/>
        <v>8438.7587396415838</v>
      </c>
      <c r="AK90" s="96">
        <f t="shared" si="74"/>
        <v>4953.92</v>
      </c>
      <c r="AL90" s="97">
        <f t="shared" si="53"/>
        <v>0.58704368175957666</v>
      </c>
      <c r="AN90" s="89">
        <v>3.0553278549701581E-3</v>
      </c>
      <c r="AO90" s="94"/>
      <c r="AP90" s="91"/>
      <c r="AQ90" s="92"/>
      <c r="AR90" s="92"/>
      <c r="AS90" s="92"/>
      <c r="AT90" s="92"/>
      <c r="AU90" s="92"/>
      <c r="AV90" s="92"/>
      <c r="AW90" s="140">
        <v>0</v>
      </c>
      <c r="AX90" s="94"/>
      <c r="AY90" s="91"/>
      <c r="AZ90" s="92"/>
      <c r="BA90" s="92"/>
      <c r="BB90" s="92"/>
      <c r="BC90" s="92"/>
      <c r="BD90" s="92"/>
      <c r="BE90" s="92"/>
      <c r="BF90" s="140">
        <v>0</v>
      </c>
      <c r="BG90" s="94"/>
      <c r="BH90" s="91"/>
      <c r="BI90" s="92"/>
      <c r="BJ90" s="92"/>
      <c r="BK90" s="92"/>
      <c r="BL90" s="92"/>
      <c r="BM90" s="92"/>
      <c r="BN90" s="92"/>
      <c r="BO90" s="140">
        <f t="shared" si="54"/>
        <v>0</v>
      </c>
      <c r="BP90" s="95">
        <f t="shared" si="55"/>
        <v>0</v>
      </c>
      <c r="BQ90" s="96">
        <f t="shared" si="56"/>
        <v>0</v>
      </c>
      <c r="BR90" s="97">
        <f t="shared" si="57"/>
        <v>0</v>
      </c>
      <c r="BT90" s="139"/>
      <c r="BU90" s="94"/>
      <c r="BV90" s="91"/>
      <c r="BW90" s="92"/>
      <c r="BX90" s="92"/>
      <c r="BY90" s="92"/>
      <c r="BZ90" s="92"/>
      <c r="CA90" s="92"/>
      <c r="CB90" s="92"/>
      <c r="CC90" s="140">
        <f t="shared" si="58"/>
        <v>0</v>
      </c>
      <c r="CD90" s="94"/>
      <c r="CE90" s="91"/>
      <c r="CF90" s="92"/>
      <c r="CG90" s="92"/>
      <c r="CH90" s="92"/>
      <c r="CI90" s="92"/>
      <c r="CJ90" s="92"/>
      <c r="CK90" s="92"/>
      <c r="CL90" s="140">
        <f t="shared" si="59"/>
        <v>0</v>
      </c>
      <c r="CM90" s="94"/>
      <c r="CN90" s="91"/>
      <c r="CO90" s="92"/>
      <c r="CP90" s="92"/>
      <c r="CQ90" s="92"/>
      <c r="CR90" s="92"/>
      <c r="CS90" s="92"/>
      <c r="CT90" s="92"/>
      <c r="CU90" s="140">
        <f t="shared" si="60"/>
        <v>0</v>
      </c>
      <c r="CV90" s="95">
        <f t="shared" si="61"/>
        <v>0</v>
      </c>
      <c r="CW90" s="96">
        <f t="shared" si="62"/>
        <v>0</v>
      </c>
      <c r="CX90" s="97">
        <f t="shared" si="63"/>
        <v>0</v>
      </c>
      <c r="CZ90" s="139" t="s">
        <v>195</v>
      </c>
      <c r="DA90" s="94"/>
      <c r="DB90" s="91"/>
      <c r="DC90" s="92"/>
      <c r="DD90" s="92"/>
      <c r="DE90" s="92"/>
      <c r="DF90" s="92"/>
      <c r="DG90" s="92"/>
      <c r="DH90" s="92"/>
      <c r="DI90" s="140">
        <f t="shared" si="64"/>
        <v>0</v>
      </c>
      <c r="DJ90" s="94"/>
      <c r="DK90" s="91"/>
      <c r="DL90" s="92"/>
      <c r="DM90" s="92"/>
      <c r="DN90" s="92"/>
      <c r="DO90" s="92"/>
      <c r="DP90" s="92"/>
      <c r="DQ90" s="92"/>
      <c r="DR90" s="140">
        <f t="shared" si="65"/>
        <v>0</v>
      </c>
      <c r="DS90" s="94"/>
      <c r="DT90" s="91"/>
      <c r="DU90" s="92"/>
      <c r="DV90" s="92"/>
      <c r="DW90" s="92"/>
      <c r="DX90" s="92"/>
      <c r="DY90" s="92"/>
      <c r="DZ90" s="92"/>
      <c r="EA90" s="140">
        <f t="shared" si="66"/>
        <v>0</v>
      </c>
      <c r="EB90" s="95">
        <f t="shared" si="67"/>
        <v>0</v>
      </c>
      <c r="EC90" s="96">
        <f t="shared" si="68"/>
        <v>0</v>
      </c>
      <c r="ED90" s="97">
        <f t="shared" si="69"/>
        <v>0</v>
      </c>
    </row>
    <row r="91" spans="1:134" s="6" customFormat="1" ht="21.95" customHeight="1" x14ac:dyDescent="0.5">
      <c r="A91" s="83">
        <v>13</v>
      </c>
      <c r="B91" s="99" t="s">
        <v>220</v>
      </c>
      <c r="C91" s="104" t="s">
        <v>221</v>
      </c>
      <c r="D91" s="100" t="s">
        <v>161</v>
      </c>
      <c r="E91" s="99" t="s">
        <v>61</v>
      </c>
      <c r="F91" s="87" t="s">
        <v>194</v>
      </c>
      <c r="G91" s="138" t="s">
        <v>195</v>
      </c>
      <c r="H91" s="217">
        <v>3.1048429450943145E-3</v>
      </c>
      <c r="I91" s="94">
        <f t="shared" si="70"/>
        <v>993.36654694445667</v>
      </c>
      <c r="J91" s="91">
        <f t="shared" si="51"/>
        <v>750.00275697403754</v>
      </c>
      <c r="K91" s="92">
        <v>0</v>
      </c>
      <c r="L91" s="92">
        <v>0</v>
      </c>
      <c r="M91" s="92">
        <v>0</v>
      </c>
      <c r="N91" s="92">
        <v>0</v>
      </c>
      <c r="O91" s="92">
        <v>0</v>
      </c>
      <c r="P91" s="92">
        <v>0</v>
      </c>
      <c r="Q91" s="93">
        <f t="shared" si="71"/>
        <v>0</v>
      </c>
      <c r="R91" s="94">
        <v>993.36654694445758</v>
      </c>
      <c r="S91" s="91">
        <v>750.00275697403754</v>
      </c>
      <c r="T91" s="92">
        <v>0</v>
      </c>
      <c r="U91" s="92">
        <v>0</v>
      </c>
      <c r="V91" s="92">
        <v>0</v>
      </c>
      <c r="W91" s="92">
        <v>0</v>
      </c>
      <c r="X91" s="92">
        <v>0</v>
      </c>
      <c r="Y91" s="92">
        <v>0</v>
      </c>
      <c r="Z91" s="93">
        <f t="shared" si="72"/>
        <v>0</v>
      </c>
      <c r="AA91" s="94">
        <v>993.36654694445758</v>
      </c>
      <c r="AB91" s="91">
        <v>750.00275697403754</v>
      </c>
      <c r="AC91" s="92">
        <v>0</v>
      </c>
      <c r="AD91" s="92">
        <v>0</v>
      </c>
      <c r="AE91" s="92">
        <v>0</v>
      </c>
      <c r="AF91" s="92">
        <v>0</v>
      </c>
      <c r="AG91" s="92"/>
      <c r="AH91" s="92"/>
      <c r="AI91" s="93">
        <f t="shared" si="73"/>
        <v>0</v>
      </c>
      <c r="AJ91" s="95">
        <f t="shared" si="52"/>
        <v>2250.0082709221124</v>
      </c>
      <c r="AK91" s="96">
        <f t="shared" si="74"/>
        <v>0</v>
      </c>
      <c r="AL91" s="97">
        <f t="shared" si="53"/>
        <v>0</v>
      </c>
      <c r="AN91" s="89">
        <v>6.0971065841976544E-3</v>
      </c>
      <c r="AO91" s="94"/>
      <c r="AP91" s="91"/>
      <c r="AQ91" s="92"/>
      <c r="AR91" s="92"/>
      <c r="AS91" s="92"/>
      <c r="AT91" s="92"/>
      <c r="AU91" s="92"/>
      <c r="AV91" s="92"/>
      <c r="AW91" s="140">
        <v>0</v>
      </c>
      <c r="AX91" s="94"/>
      <c r="AY91" s="91"/>
      <c r="AZ91" s="92"/>
      <c r="BA91" s="92"/>
      <c r="BB91" s="92"/>
      <c r="BC91" s="92"/>
      <c r="BD91" s="92"/>
      <c r="BE91" s="92"/>
      <c r="BF91" s="140">
        <v>0</v>
      </c>
      <c r="BG91" s="94"/>
      <c r="BH91" s="91"/>
      <c r="BI91" s="92"/>
      <c r="BJ91" s="92"/>
      <c r="BK91" s="92"/>
      <c r="BL91" s="92"/>
      <c r="BM91" s="92"/>
      <c r="BN91" s="92"/>
      <c r="BO91" s="140">
        <f t="shared" si="54"/>
        <v>0</v>
      </c>
      <c r="BP91" s="95">
        <f t="shared" si="55"/>
        <v>0</v>
      </c>
      <c r="BQ91" s="96">
        <f t="shared" si="56"/>
        <v>0</v>
      </c>
      <c r="BR91" s="97">
        <f t="shared" si="57"/>
        <v>0</v>
      </c>
      <c r="BT91" s="139"/>
      <c r="BU91" s="94"/>
      <c r="BV91" s="91"/>
      <c r="BW91" s="92"/>
      <c r="BX91" s="92"/>
      <c r="BY91" s="92"/>
      <c r="BZ91" s="92"/>
      <c r="CA91" s="92"/>
      <c r="CB91" s="92"/>
      <c r="CC91" s="140">
        <f t="shared" si="58"/>
        <v>0</v>
      </c>
      <c r="CD91" s="94"/>
      <c r="CE91" s="91"/>
      <c r="CF91" s="92"/>
      <c r="CG91" s="92"/>
      <c r="CH91" s="92"/>
      <c r="CI91" s="92"/>
      <c r="CJ91" s="92"/>
      <c r="CK91" s="92"/>
      <c r="CL91" s="140">
        <f t="shared" si="59"/>
        <v>0</v>
      </c>
      <c r="CM91" s="94"/>
      <c r="CN91" s="91"/>
      <c r="CO91" s="92"/>
      <c r="CP91" s="92"/>
      <c r="CQ91" s="92"/>
      <c r="CR91" s="92"/>
      <c r="CS91" s="92"/>
      <c r="CT91" s="92"/>
      <c r="CU91" s="140">
        <f t="shared" si="60"/>
        <v>0</v>
      </c>
      <c r="CV91" s="95">
        <f t="shared" si="61"/>
        <v>0</v>
      </c>
      <c r="CW91" s="96">
        <f t="shared" si="62"/>
        <v>0</v>
      </c>
      <c r="CX91" s="97">
        <f t="shared" si="63"/>
        <v>0</v>
      </c>
      <c r="CZ91" s="139" t="s">
        <v>195</v>
      </c>
      <c r="DA91" s="94"/>
      <c r="DB91" s="91"/>
      <c r="DC91" s="92"/>
      <c r="DD91" s="92"/>
      <c r="DE91" s="92"/>
      <c r="DF91" s="92"/>
      <c r="DG91" s="92"/>
      <c r="DH91" s="92"/>
      <c r="DI91" s="140">
        <f t="shared" si="64"/>
        <v>0</v>
      </c>
      <c r="DJ91" s="94"/>
      <c r="DK91" s="91"/>
      <c r="DL91" s="92"/>
      <c r="DM91" s="92"/>
      <c r="DN91" s="92"/>
      <c r="DO91" s="92"/>
      <c r="DP91" s="92"/>
      <c r="DQ91" s="92"/>
      <c r="DR91" s="140">
        <f t="shared" si="65"/>
        <v>0</v>
      </c>
      <c r="DS91" s="94"/>
      <c r="DT91" s="91"/>
      <c r="DU91" s="92"/>
      <c r="DV91" s="92"/>
      <c r="DW91" s="92"/>
      <c r="DX91" s="92"/>
      <c r="DY91" s="92"/>
      <c r="DZ91" s="92"/>
      <c r="EA91" s="140">
        <f t="shared" si="66"/>
        <v>0</v>
      </c>
      <c r="EB91" s="95">
        <f t="shared" si="67"/>
        <v>0</v>
      </c>
      <c r="EC91" s="96">
        <f t="shared" si="68"/>
        <v>0</v>
      </c>
      <c r="ED91" s="97">
        <f t="shared" si="69"/>
        <v>0</v>
      </c>
    </row>
    <row r="92" spans="1:134" s="6" customFormat="1" ht="21.95" customHeight="1" x14ac:dyDescent="0.5">
      <c r="A92" s="83">
        <v>14</v>
      </c>
      <c r="B92" s="99" t="s">
        <v>222</v>
      </c>
      <c r="C92" s="104" t="s">
        <v>223</v>
      </c>
      <c r="D92" s="100" t="s">
        <v>161</v>
      </c>
      <c r="E92" s="99" t="s">
        <v>61</v>
      </c>
      <c r="F92" s="87" t="s">
        <v>194</v>
      </c>
      <c r="G92" s="138" t="s">
        <v>195</v>
      </c>
      <c r="H92" s="217">
        <v>2.0518335966821438E-2</v>
      </c>
      <c r="I92" s="94">
        <f t="shared" si="70"/>
        <v>6564.6568631150258</v>
      </c>
      <c r="J92" s="91">
        <f t="shared" si="51"/>
        <v>4956.3887178094192</v>
      </c>
      <c r="K92" s="92">
        <v>2740</v>
      </c>
      <c r="L92" s="92">
        <v>2058</v>
      </c>
      <c r="M92" s="92">
        <v>3940</v>
      </c>
      <c r="N92" s="92">
        <v>3258</v>
      </c>
      <c r="O92" s="92">
        <v>7870</v>
      </c>
      <c r="P92" s="92">
        <v>6531.2</v>
      </c>
      <c r="Q92" s="93">
        <f t="shared" si="71"/>
        <v>1.3177336104676232</v>
      </c>
      <c r="R92" s="94">
        <v>6564.6568631150321</v>
      </c>
      <c r="S92" s="91">
        <v>4956.3887178094192</v>
      </c>
      <c r="T92" s="92">
        <v>2860</v>
      </c>
      <c r="U92" s="92">
        <v>2178</v>
      </c>
      <c r="V92" s="92">
        <v>4060</v>
      </c>
      <c r="W92" s="92">
        <v>3378</v>
      </c>
      <c r="X92" s="92">
        <v>7940</v>
      </c>
      <c r="Y92" s="92">
        <v>6504.4</v>
      </c>
      <c r="Z92" s="93">
        <f t="shared" si="72"/>
        <v>1.3123264478083061</v>
      </c>
      <c r="AA92" s="94">
        <v>6564.6568631150321</v>
      </c>
      <c r="AB92" s="91">
        <v>4956.3887178094192</v>
      </c>
      <c r="AC92" s="92">
        <v>1340</v>
      </c>
      <c r="AD92" s="92">
        <v>1162</v>
      </c>
      <c r="AE92" s="92">
        <v>5520</v>
      </c>
      <c r="AF92" s="92">
        <v>4580.3999999999996</v>
      </c>
      <c r="AG92" s="92"/>
      <c r="AH92" s="92"/>
      <c r="AI92" s="93">
        <f t="shared" si="73"/>
        <v>0</v>
      </c>
      <c r="AJ92" s="95">
        <f t="shared" si="52"/>
        <v>14869.166153428258</v>
      </c>
      <c r="AK92" s="96">
        <f t="shared" si="74"/>
        <v>13035.599999999999</v>
      </c>
      <c r="AL92" s="97">
        <f t="shared" si="53"/>
        <v>0.87668668609197642</v>
      </c>
      <c r="AN92" s="89">
        <v>2.3338369091734357E-2</v>
      </c>
      <c r="AO92" s="94"/>
      <c r="AP92" s="91"/>
      <c r="AQ92" s="92"/>
      <c r="AR92" s="92"/>
      <c r="AS92" s="92"/>
      <c r="AT92" s="92"/>
      <c r="AU92" s="92"/>
      <c r="AV92" s="92"/>
      <c r="AW92" s="140">
        <v>0</v>
      </c>
      <c r="AX92" s="94"/>
      <c r="AY92" s="91"/>
      <c r="AZ92" s="92"/>
      <c r="BA92" s="92"/>
      <c r="BB92" s="92"/>
      <c r="BC92" s="92"/>
      <c r="BD92" s="92"/>
      <c r="BE92" s="92"/>
      <c r="BF92" s="140">
        <v>0</v>
      </c>
      <c r="BG92" s="94"/>
      <c r="BH92" s="91"/>
      <c r="BI92" s="92"/>
      <c r="BJ92" s="92"/>
      <c r="BK92" s="92"/>
      <c r="BL92" s="92"/>
      <c r="BM92" s="92"/>
      <c r="BN92" s="92"/>
      <c r="BO92" s="140">
        <f t="shared" si="54"/>
        <v>0</v>
      </c>
      <c r="BP92" s="95">
        <f t="shared" si="55"/>
        <v>0</v>
      </c>
      <c r="BQ92" s="96">
        <f t="shared" si="56"/>
        <v>0</v>
      </c>
      <c r="BR92" s="97">
        <f t="shared" si="57"/>
        <v>0</v>
      </c>
      <c r="BT92" s="139"/>
      <c r="BU92" s="94"/>
      <c r="BV92" s="91"/>
      <c r="BW92" s="92"/>
      <c r="BX92" s="92"/>
      <c r="BY92" s="92"/>
      <c r="BZ92" s="92"/>
      <c r="CA92" s="92"/>
      <c r="CB92" s="92"/>
      <c r="CC92" s="140">
        <f t="shared" si="58"/>
        <v>0</v>
      </c>
      <c r="CD92" s="94"/>
      <c r="CE92" s="91"/>
      <c r="CF92" s="92"/>
      <c r="CG92" s="92"/>
      <c r="CH92" s="92"/>
      <c r="CI92" s="92"/>
      <c r="CJ92" s="92"/>
      <c r="CK92" s="92"/>
      <c r="CL92" s="140">
        <f t="shared" si="59"/>
        <v>0</v>
      </c>
      <c r="CM92" s="94"/>
      <c r="CN92" s="91"/>
      <c r="CO92" s="92"/>
      <c r="CP92" s="92"/>
      <c r="CQ92" s="92"/>
      <c r="CR92" s="92"/>
      <c r="CS92" s="92"/>
      <c r="CT92" s="92"/>
      <c r="CU92" s="140">
        <f t="shared" si="60"/>
        <v>0</v>
      </c>
      <c r="CV92" s="95">
        <f t="shared" si="61"/>
        <v>0</v>
      </c>
      <c r="CW92" s="96">
        <f t="shared" si="62"/>
        <v>0</v>
      </c>
      <c r="CX92" s="97">
        <f t="shared" si="63"/>
        <v>0</v>
      </c>
      <c r="CZ92" s="139" t="s">
        <v>195</v>
      </c>
      <c r="DA92" s="94"/>
      <c r="DB92" s="91"/>
      <c r="DC92" s="92"/>
      <c r="DD92" s="92"/>
      <c r="DE92" s="92"/>
      <c r="DF92" s="92"/>
      <c r="DG92" s="92"/>
      <c r="DH92" s="92"/>
      <c r="DI92" s="140">
        <f t="shared" si="64"/>
        <v>0</v>
      </c>
      <c r="DJ92" s="94"/>
      <c r="DK92" s="91"/>
      <c r="DL92" s="92"/>
      <c r="DM92" s="92"/>
      <c r="DN92" s="92"/>
      <c r="DO92" s="92"/>
      <c r="DP92" s="92"/>
      <c r="DQ92" s="92"/>
      <c r="DR92" s="140">
        <f t="shared" si="65"/>
        <v>0</v>
      </c>
      <c r="DS92" s="94"/>
      <c r="DT92" s="91"/>
      <c r="DU92" s="92"/>
      <c r="DV92" s="92"/>
      <c r="DW92" s="92"/>
      <c r="DX92" s="92"/>
      <c r="DY92" s="92"/>
      <c r="DZ92" s="92"/>
      <c r="EA92" s="140">
        <f t="shared" si="66"/>
        <v>0</v>
      </c>
      <c r="EB92" s="95">
        <f t="shared" si="67"/>
        <v>0</v>
      </c>
      <c r="EC92" s="96">
        <f t="shared" si="68"/>
        <v>0</v>
      </c>
      <c r="ED92" s="97">
        <f t="shared" si="69"/>
        <v>0</v>
      </c>
    </row>
    <row r="93" spans="1:134" s="6" customFormat="1" ht="21.95" customHeight="1" x14ac:dyDescent="0.5">
      <c r="A93" s="83">
        <v>15</v>
      </c>
      <c r="B93" s="99" t="s">
        <v>224</v>
      </c>
      <c r="C93" s="104" t="s">
        <v>225</v>
      </c>
      <c r="D93" s="100" t="s">
        <v>226</v>
      </c>
      <c r="E93" s="99" t="s">
        <v>227</v>
      </c>
      <c r="F93" s="87" t="s">
        <v>194</v>
      </c>
      <c r="G93" s="138" t="s">
        <v>195</v>
      </c>
      <c r="H93" s="217">
        <v>1.2809594856961502E-2</v>
      </c>
      <c r="I93" s="94">
        <f t="shared" si="70"/>
        <v>4098.3145478976194</v>
      </c>
      <c r="J93" s="91">
        <f t="shared" si="51"/>
        <v>3094.2729240527638</v>
      </c>
      <c r="K93" s="92">
        <v>1270</v>
      </c>
      <c r="L93" s="92">
        <v>996.40000000000009</v>
      </c>
      <c r="M93" s="92">
        <v>2478</v>
      </c>
      <c r="N93" s="92">
        <v>2063.1999999999998</v>
      </c>
      <c r="O93" s="92">
        <v>3874</v>
      </c>
      <c r="P93" s="92">
        <v>3191.2</v>
      </c>
      <c r="Q93" s="93">
        <f t="shared" si="71"/>
        <v>1.0313246692603588</v>
      </c>
      <c r="R93" s="94">
        <v>4098.314547897623</v>
      </c>
      <c r="S93" s="91">
        <v>3094.2729240527638</v>
      </c>
      <c r="T93" s="92">
        <v>1576</v>
      </c>
      <c r="U93" s="92">
        <v>1384.4</v>
      </c>
      <c r="V93" s="92">
        <v>2300</v>
      </c>
      <c r="W93" s="92">
        <v>1998</v>
      </c>
      <c r="X93" s="92">
        <v>3602</v>
      </c>
      <c r="Y93" s="92">
        <v>3128.8</v>
      </c>
      <c r="Z93" s="93">
        <f t="shared" si="72"/>
        <v>1.0111583809168372</v>
      </c>
      <c r="AA93" s="94">
        <v>4098.314547897623</v>
      </c>
      <c r="AB93" s="91">
        <v>3094.2729240527638</v>
      </c>
      <c r="AC93" s="92">
        <v>1030</v>
      </c>
      <c r="AD93" s="92">
        <v>852</v>
      </c>
      <c r="AE93" s="92">
        <v>1950</v>
      </c>
      <c r="AF93" s="92">
        <v>1544.8000000000002</v>
      </c>
      <c r="AG93" s="92"/>
      <c r="AH93" s="92"/>
      <c r="AI93" s="93">
        <f t="shared" si="73"/>
        <v>0</v>
      </c>
      <c r="AJ93" s="95">
        <f t="shared" si="52"/>
        <v>9282.8187721582908</v>
      </c>
      <c r="AK93" s="96">
        <f t="shared" si="74"/>
        <v>6320</v>
      </c>
      <c r="AL93" s="97">
        <f t="shared" si="53"/>
        <v>0.68082768339239874</v>
      </c>
      <c r="AN93" s="89">
        <v>1.8291319752592964E-3</v>
      </c>
      <c r="AO93" s="94"/>
      <c r="AP93" s="91"/>
      <c r="AQ93" s="92"/>
      <c r="AR93" s="92"/>
      <c r="AS93" s="92"/>
      <c r="AT93" s="92"/>
      <c r="AU93" s="92"/>
      <c r="AV93" s="92"/>
      <c r="AW93" s="140">
        <v>0</v>
      </c>
      <c r="AX93" s="94"/>
      <c r="AY93" s="91"/>
      <c r="AZ93" s="92"/>
      <c r="BA93" s="92"/>
      <c r="BB93" s="92"/>
      <c r="BC93" s="92"/>
      <c r="BD93" s="92"/>
      <c r="BE93" s="92"/>
      <c r="BF93" s="140">
        <v>0</v>
      </c>
      <c r="BG93" s="94"/>
      <c r="BH93" s="91"/>
      <c r="BI93" s="92"/>
      <c r="BJ93" s="92"/>
      <c r="BK93" s="92"/>
      <c r="BL93" s="92"/>
      <c r="BM93" s="92"/>
      <c r="BN93" s="92"/>
      <c r="BO93" s="140">
        <f t="shared" si="54"/>
        <v>0</v>
      </c>
      <c r="BP93" s="95">
        <f t="shared" si="55"/>
        <v>0</v>
      </c>
      <c r="BQ93" s="96">
        <f t="shared" si="56"/>
        <v>0</v>
      </c>
      <c r="BR93" s="97">
        <f t="shared" si="57"/>
        <v>0</v>
      </c>
      <c r="BT93" s="139"/>
      <c r="BU93" s="94"/>
      <c r="BV93" s="91"/>
      <c r="BW93" s="92"/>
      <c r="BX93" s="92"/>
      <c r="BY93" s="92"/>
      <c r="BZ93" s="92"/>
      <c r="CA93" s="92"/>
      <c r="CB93" s="92"/>
      <c r="CC93" s="140">
        <f t="shared" si="58"/>
        <v>0</v>
      </c>
      <c r="CD93" s="94"/>
      <c r="CE93" s="91"/>
      <c r="CF93" s="92"/>
      <c r="CG93" s="92"/>
      <c r="CH93" s="92"/>
      <c r="CI93" s="92"/>
      <c r="CJ93" s="92"/>
      <c r="CK93" s="92"/>
      <c r="CL93" s="140">
        <f t="shared" si="59"/>
        <v>0</v>
      </c>
      <c r="CM93" s="94"/>
      <c r="CN93" s="91"/>
      <c r="CO93" s="92"/>
      <c r="CP93" s="92"/>
      <c r="CQ93" s="92"/>
      <c r="CR93" s="92"/>
      <c r="CS93" s="92"/>
      <c r="CT93" s="92"/>
      <c r="CU93" s="140">
        <f t="shared" si="60"/>
        <v>0</v>
      </c>
      <c r="CV93" s="95">
        <f t="shared" si="61"/>
        <v>0</v>
      </c>
      <c r="CW93" s="96">
        <f t="shared" si="62"/>
        <v>0</v>
      </c>
      <c r="CX93" s="97">
        <f t="shared" si="63"/>
        <v>0</v>
      </c>
      <c r="CZ93" s="139" t="s">
        <v>195</v>
      </c>
      <c r="DA93" s="94"/>
      <c r="DB93" s="91"/>
      <c r="DC93" s="92"/>
      <c r="DD93" s="92"/>
      <c r="DE93" s="92"/>
      <c r="DF93" s="92"/>
      <c r="DG93" s="92"/>
      <c r="DH93" s="92"/>
      <c r="DI93" s="140">
        <f t="shared" si="64"/>
        <v>0</v>
      </c>
      <c r="DJ93" s="94"/>
      <c r="DK93" s="91"/>
      <c r="DL93" s="92"/>
      <c r="DM93" s="92"/>
      <c r="DN93" s="92"/>
      <c r="DO93" s="92"/>
      <c r="DP93" s="92"/>
      <c r="DQ93" s="92"/>
      <c r="DR93" s="140">
        <f t="shared" si="65"/>
        <v>0</v>
      </c>
      <c r="DS93" s="94"/>
      <c r="DT93" s="91"/>
      <c r="DU93" s="92"/>
      <c r="DV93" s="92"/>
      <c r="DW93" s="92"/>
      <c r="DX93" s="92"/>
      <c r="DY93" s="92"/>
      <c r="DZ93" s="92"/>
      <c r="EA93" s="140">
        <f t="shared" si="66"/>
        <v>0</v>
      </c>
      <c r="EB93" s="95">
        <f t="shared" si="67"/>
        <v>0</v>
      </c>
      <c r="EC93" s="96">
        <f t="shared" si="68"/>
        <v>0</v>
      </c>
      <c r="ED93" s="97">
        <f t="shared" si="69"/>
        <v>0</v>
      </c>
    </row>
    <row r="94" spans="1:134" s="6" customFormat="1" ht="21.95" customHeight="1" x14ac:dyDescent="0.5">
      <c r="A94" s="83">
        <v>16</v>
      </c>
      <c r="B94" s="99" t="s">
        <v>228</v>
      </c>
      <c r="C94" s="104" t="s">
        <v>229</v>
      </c>
      <c r="D94" s="100" t="s">
        <v>230</v>
      </c>
      <c r="E94" s="99" t="s">
        <v>227</v>
      </c>
      <c r="F94" s="87" t="s">
        <v>194</v>
      </c>
      <c r="G94" s="138" t="s">
        <v>195</v>
      </c>
      <c r="H94" s="217">
        <v>4.1749916138745487E-3</v>
      </c>
      <c r="I94" s="94">
        <f t="shared" si="70"/>
        <v>1335.7509788214566</v>
      </c>
      <c r="J94" s="91">
        <f t="shared" si="51"/>
        <v>1008.5067992559221</v>
      </c>
      <c r="K94" s="92">
        <v>0</v>
      </c>
      <c r="L94" s="92">
        <v>0</v>
      </c>
      <c r="M94" s="92">
        <v>152</v>
      </c>
      <c r="N94" s="92">
        <v>74.8</v>
      </c>
      <c r="O94" s="92">
        <v>758</v>
      </c>
      <c r="P94" s="92">
        <v>553.20000000000005</v>
      </c>
      <c r="Q94" s="93">
        <f t="shared" si="71"/>
        <v>0.54853373364279934</v>
      </c>
      <c r="R94" s="94">
        <v>1335.7509788214579</v>
      </c>
      <c r="S94" s="91">
        <v>1008.5067992559221</v>
      </c>
      <c r="T94" s="92">
        <v>360</v>
      </c>
      <c r="U94" s="92">
        <v>360</v>
      </c>
      <c r="V94" s="92">
        <v>756</v>
      </c>
      <c r="W94" s="92">
        <v>741.6</v>
      </c>
      <c r="X94" s="92">
        <v>756</v>
      </c>
      <c r="Y94" s="92">
        <v>741.6</v>
      </c>
      <c r="Z94" s="93">
        <f t="shared" si="72"/>
        <v>0.73534457134761377</v>
      </c>
      <c r="AA94" s="94">
        <v>1335.7509788214579</v>
      </c>
      <c r="AB94" s="91">
        <v>1008.5067992559221</v>
      </c>
      <c r="AC94" s="92">
        <v>374</v>
      </c>
      <c r="AD94" s="92">
        <v>239.20000000000005</v>
      </c>
      <c r="AE94" s="92">
        <v>670</v>
      </c>
      <c r="AF94" s="92">
        <v>458</v>
      </c>
      <c r="AG94" s="92"/>
      <c r="AH94" s="92"/>
      <c r="AI94" s="93">
        <f t="shared" si="73"/>
        <v>0</v>
      </c>
      <c r="AJ94" s="95">
        <f t="shared" si="52"/>
        <v>3025.5203977677666</v>
      </c>
      <c r="AK94" s="96">
        <f t="shared" si="74"/>
        <v>1294.8000000000002</v>
      </c>
      <c r="AL94" s="97">
        <f t="shared" si="53"/>
        <v>0.42795943499680439</v>
      </c>
      <c r="AN94" s="89">
        <v>1.1516756881262236E-2</v>
      </c>
      <c r="AO94" s="94"/>
      <c r="AP94" s="91"/>
      <c r="AQ94" s="92"/>
      <c r="AR94" s="92"/>
      <c r="AS94" s="92"/>
      <c r="AT94" s="92"/>
      <c r="AU94" s="92"/>
      <c r="AV94" s="92"/>
      <c r="AW94" s="140">
        <v>0</v>
      </c>
      <c r="AX94" s="94"/>
      <c r="AY94" s="91"/>
      <c r="AZ94" s="92"/>
      <c r="BA94" s="92"/>
      <c r="BB94" s="92"/>
      <c r="BC94" s="92"/>
      <c r="BD94" s="92"/>
      <c r="BE94" s="92"/>
      <c r="BF94" s="140">
        <v>0</v>
      </c>
      <c r="BG94" s="94"/>
      <c r="BH94" s="91"/>
      <c r="BI94" s="92"/>
      <c r="BJ94" s="92"/>
      <c r="BK94" s="92"/>
      <c r="BL94" s="92"/>
      <c r="BM94" s="92"/>
      <c r="BN94" s="92"/>
      <c r="BO94" s="140">
        <f t="shared" si="54"/>
        <v>0</v>
      </c>
      <c r="BP94" s="95">
        <f t="shared" si="55"/>
        <v>0</v>
      </c>
      <c r="BQ94" s="96">
        <f t="shared" si="56"/>
        <v>0</v>
      </c>
      <c r="BR94" s="97">
        <f t="shared" si="57"/>
        <v>0</v>
      </c>
      <c r="BT94" s="139"/>
      <c r="BU94" s="94"/>
      <c r="BV94" s="91"/>
      <c r="BW94" s="92"/>
      <c r="BX94" s="92"/>
      <c r="BY94" s="92"/>
      <c r="BZ94" s="92"/>
      <c r="CA94" s="92"/>
      <c r="CB94" s="92"/>
      <c r="CC94" s="140">
        <f t="shared" si="58"/>
        <v>0</v>
      </c>
      <c r="CD94" s="94"/>
      <c r="CE94" s="91"/>
      <c r="CF94" s="92"/>
      <c r="CG94" s="92"/>
      <c r="CH94" s="92"/>
      <c r="CI94" s="92"/>
      <c r="CJ94" s="92"/>
      <c r="CK94" s="92"/>
      <c r="CL94" s="140">
        <f t="shared" si="59"/>
        <v>0</v>
      </c>
      <c r="CM94" s="94"/>
      <c r="CN94" s="91"/>
      <c r="CO94" s="92"/>
      <c r="CP94" s="92"/>
      <c r="CQ94" s="92"/>
      <c r="CR94" s="92"/>
      <c r="CS94" s="92"/>
      <c r="CT94" s="92"/>
      <c r="CU94" s="140">
        <f t="shared" si="60"/>
        <v>0</v>
      </c>
      <c r="CV94" s="95">
        <f t="shared" si="61"/>
        <v>0</v>
      </c>
      <c r="CW94" s="96">
        <f t="shared" si="62"/>
        <v>0</v>
      </c>
      <c r="CX94" s="97">
        <f t="shared" si="63"/>
        <v>0</v>
      </c>
      <c r="CZ94" s="139" t="s">
        <v>195</v>
      </c>
      <c r="DA94" s="94"/>
      <c r="DB94" s="91"/>
      <c r="DC94" s="92"/>
      <c r="DD94" s="92"/>
      <c r="DE94" s="92"/>
      <c r="DF94" s="92"/>
      <c r="DG94" s="92"/>
      <c r="DH94" s="92"/>
      <c r="DI94" s="140">
        <f t="shared" si="64"/>
        <v>0</v>
      </c>
      <c r="DJ94" s="94"/>
      <c r="DK94" s="91"/>
      <c r="DL94" s="92"/>
      <c r="DM94" s="92"/>
      <c r="DN94" s="92"/>
      <c r="DO94" s="92"/>
      <c r="DP94" s="92"/>
      <c r="DQ94" s="92"/>
      <c r="DR94" s="140">
        <f t="shared" si="65"/>
        <v>0</v>
      </c>
      <c r="DS94" s="94"/>
      <c r="DT94" s="91"/>
      <c r="DU94" s="92"/>
      <c r="DV94" s="92"/>
      <c r="DW94" s="92"/>
      <c r="DX94" s="92"/>
      <c r="DY94" s="92"/>
      <c r="DZ94" s="92"/>
      <c r="EA94" s="140">
        <f t="shared" si="66"/>
        <v>0</v>
      </c>
      <c r="EB94" s="95">
        <f t="shared" si="67"/>
        <v>0</v>
      </c>
      <c r="EC94" s="96">
        <f t="shared" si="68"/>
        <v>0</v>
      </c>
      <c r="ED94" s="97">
        <f t="shared" si="69"/>
        <v>0</v>
      </c>
    </row>
    <row r="95" spans="1:134" s="6" customFormat="1" ht="21.95" customHeight="1" x14ac:dyDescent="0.5">
      <c r="A95" s="83">
        <v>17</v>
      </c>
      <c r="B95" s="99" t="s">
        <v>231</v>
      </c>
      <c r="C95" s="104" t="s">
        <v>232</v>
      </c>
      <c r="D95" s="100" t="s">
        <v>233</v>
      </c>
      <c r="E95" s="99" t="s">
        <v>234</v>
      </c>
      <c r="F95" s="87" t="s">
        <v>194</v>
      </c>
      <c r="G95" s="138" t="s">
        <v>195</v>
      </c>
      <c r="H95" s="217">
        <v>1.3804070743886036E-2</v>
      </c>
      <c r="I95" s="94">
        <f t="shared" si="70"/>
        <v>4416.4881545126045</v>
      </c>
      <c r="J95" s="91">
        <f t="shared" si="51"/>
        <v>3334.4975248223668</v>
      </c>
      <c r="K95" s="92">
        <v>1780</v>
      </c>
      <c r="L95" s="92">
        <v>1130</v>
      </c>
      <c r="M95" s="92">
        <v>2616</v>
      </c>
      <c r="N95" s="92">
        <v>1825.2</v>
      </c>
      <c r="O95" s="92">
        <v>4436</v>
      </c>
      <c r="P95" s="92">
        <v>3125.2</v>
      </c>
      <c r="Q95" s="93">
        <f t="shared" si="71"/>
        <v>0.937232664512619</v>
      </c>
      <c r="R95" s="94">
        <v>4416.4881545126082</v>
      </c>
      <c r="S95" s="91">
        <v>3334.4975248223668</v>
      </c>
      <c r="T95" s="92">
        <v>1520</v>
      </c>
      <c r="U95" s="92">
        <v>1000</v>
      </c>
      <c r="V95" s="92">
        <v>2844</v>
      </c>
      <c r="W95" s="92">
        <v>2056.8000000000002</v>
      </c>
      <c r="X95" s="92">
        <v>3720</v>
      </c>
      <c r="Y95" s="92">
        <v>2922</v>
      </c>
      <c r="Z95" s="93">
        <f t="shared" si="72"/>
        <v>0.87629394781321934</v>
      </c>
      <c r="AA95" s="94">
        <v>4416.4881545126082</v>
      </c>
      <c r="AB95" s="91">
        <v>3334.4975248223668</v>
      </c>
      <c r="AC95" s="92">
        <v>1700</v>
      </c>
      <c r="AD95" s="92">
        <v>1102</v>
      </c>
      <c r="AE95" s="92">
        <v>2504</v>
      </c>
      <c r="AF95" s="92">
        <v>1820.8</v>
      </c>
      <c r="AG95" s="92"/>
      <c r="AH95" s="92"/>
      <c r="AI95" s="93">
        <f t="shared" si="73"/>
        <v>0</v>
      </c>
      <c r="AJ95" s="95">
        <f t="shared" si="52"/>
        <v>10003.4925744671</v>
      </c>
      <c r="AK95" s="96">
        <f t="shared" si="74"/>
        <v>6047.2</v>
      </c>
      <c r="AL95" s="97">
        <f t="shared" si="53"/>
        <v>0.60450887077527948</v>
      </c>
      <c r="AN95" s="89">
        <v>1.0270237312937382E-2</v>
      </c>
      <c r="AO95" s="94"/>
      <c r="AP95" s="91"/>
      <c r="AQ95" s="92"/>
      <c r="AR95" s="92"/>
      <c r="AS95" s="92"/>
      <c r="AT95" s="92"/>
      <c r="AU95" s="92"/>
      <c r="AV95" s="92"/>
      <c r="AW95" s="140">
        <v>0</v>
      </c>
      <c r="AX95" s="94"/>
      <c r="AY95" s="91"/>
      <c r="AZ95" s="92"/>
      <c r="BA95" s="92"/>
      <c r="BB95" s="92"/>
      <c r="BC95" s="92"/>
      <c r="BD95" s="92"/>
      <c r="BE95" s="92"/>
      <c r="BF95" s="140">
        <v>0</v>
      </c>
      <c r="BG95" s="94"/>
      <c r="BH95" s="91"/>
      <c r="BI95" s="92"/>
      <c r="BJ95" s="92"/>
      <c r="BK95" s="92"/>
      <c r="BL95" s="92"/>
      <c r="BM95" s="92"/>
      <c r="BN95" s="92"/>
      <c r="BO95" s="140">
        <f t="shared" si="54"/>
        <v>0</v>
      </c>
      <c r="BP95" s="95">
        <f t="shared" si="55"/>
        <v>0</v>
      </c>
      <c r="BQ95" s="96">
        <f t="shared" si="56"/>
        <v>0</v>
      </c>
      <c r="BR95" s="97">
        <f t="shared" si="57"/>
        <v>0</v>
      </c>
      <c r="BT95" s="139"/>
      <c r="BU95" s="94"/>
      <c r="BV95" s="91"/>
      <c r="BW95" s="92"/>
      <c r="BX95" s="92"/>
      <c r="BY95" s="92"/>
      <c r="BZ95" s="92"/>
      <c r="CA95" s="92"/>
      <c r="CB95" s="92"/>
      <c r="CC95" s="140">
        <f t="shared" si="58"/>
        <v>0</v>
      </c>
      <c r="CD95" s="94"/>
      <c r="CE95" s="91"/>
      <c r="CF95" s="92"/>
      <c r="CG95" s="92"/>
      <c r="CH95" s="92"/>
      <c r="CI95" s="92"/>
      <c r="CJ95" s="92"/>
      <c r="CK95" s="92"/>
      <c r="CL95" s="140">
        <f t="shared" si="59"/>
        <v>0</v>
      </c>
      <c r="CM95" s="94"/>
      <c r="CN95" s="91"/>
      <c r="CO95" s="92"/>
      <c r="CP95" s="92"/>
      <c r="CQ95" s="92"/>
      <c r="CR95" s="92"/>
      <c r="CS95" s="92"/>
      <c r="CT95" s="92"/>
      <c r="CU95" s="140">
        <f t="shared" si="60"/>
        <v>0</v>
      </c>
      <c r="CV95" s="95">
        <f t="shared" si="61"/>
        <v>0</v>
      </c>
      <c r="CW95" s="96">
        <f t="shared" si="62"/>
        <v>0</v>
      </c>
      <c r="CX95" s="97">
        <f t="shared" si="63"/>
        <v>0</v>
      </c>
      <c r="CZ95" s="139" t="s">
        <v>195</v>
      </c>
      <c r="DA95" s="94"/>
      <c r="DB95" s="91"/>
      <c r="DC95" s="92"/>
      <c r="DD95" s="92"/>
      <c r="DE95" s="92"/>
      <c r="DF95" s="92"/>
      <c r="DG95" s="92"/>
      <c r="DH95" s="92"/>
      <c r="DI95" s="140">
        <f t="shared" si="64"/>
        <v>0</v>
      </c>
      <c r="DJ95" s="94"/>
      <c r="DK95" s="91"/>
      <c r="DL95" s="92"/>
      <c r="DM95" s="92"/>
      <c r="DN95" s="92"/>
      <c r="DO95" s="92"/>
      <c r="DP95" s="92"/>
      <c r="DQ95" s="92"/>
      <c r="DR95" s="140">
        <f t="shared" si="65"/>
        <v>0</v>
      </c>
      <c r="DS95" s="94"/>
      <c r="DT95" s="91"/>
      <c r="DU95" s="92"/>
      <c r="DV95" s="92"/>
      <c r="DW95" s="92"/>
      <c r="DX95" s="92"/>
      <c r="DY95" s="92"/>
      <c r="DZ95" s="92"/>
      <c r="EA95" s="140">
        <f t="shared" si="66"/>
        <v>0</v>
      </c>
      <c r="EB95" s="95">
        <f t="shared" si="67"/>
        <v>0</v>
      </c>
      <c r="EC95" s="96">
        <f t="shared" si="68"/>
        <v>0</v>
      </c>
      <c r="ED95" s="97">
        <f t="shared" si="69"/>
        <v>0</v>
      </c>
    </row>
    <row r="96" spans="1:134" s="6" customFormat="1" ht="21.95" customHeight="1" x14ac:dyDescent="0.5">
      <c r="A96" s="83">
        <v>18</v>
      </c>
      <c r="B96" s="99" t="s">
        <v>235</v>
      </c>
      <c r="C96" s="104" t="s">
        <v>236</v>
      </c>
      <c r="D96" s="100" t="s">
        <v>176</v>
      </c>
      <c r="E96" s="99" t="s">
        <v>177</v>
      </c>
      <c r="F96" s="87" t="s">
        <v>194</v>
      </c>
      <c r="G96" s="138" t="s">
        <v>195</v>
      </c>
      <c r="H96" s="217">
        <v>1.6627964368284748E-2</v>
      </c>
      <c r="I96" s="94">
        <f t="shared" si="70"/>
        <v>5319.9674957268198</v>
      </c>
      <c r="J96" s="91">
        <f t="shared" si="51"/>
        <v>4016.6344448384957</v>
      </c>
      <c r="K96" s="92">
        <v>2720</v>
      </c>
      <c r="L96" s="92">
        <v>1859.6000000000001</v>
      </c>
      <c r="M96" s="92">
        <v>2720</v>
      </c>
      <c r="N96" s="92">
        <v>1859.6000000000001</v>
      </c>
      <c r="O96" s="92">
        <v>4000</v>
      </c>
      <c r="P96" s="92">
        <v>2902</v>
      </c>
      <c r="Q96" s="93">
        <f t="shared" si="71"/>
        <v>0.7224954224373501</v>
      </c>
      <c r="R96" s="94">
        <v>5319.9674957268244</v>
      </c>
      <c r="S96" s="91">
        <v>4016.6344448384957</v>
      </c>
      <c r="T96" s="92">
        <v>2950</v>
      </c>
      <c r="U96" s="92">
        <v>2114.8000000000002</v>
      </c>
      <c r="V96" s="92">
        <v>2950</v>
      </c>
      <c r="W96" s="92">
        <v>2114.8000000000002</v>
      </c>
      <c r="X96" s="92">
        <v>5660</v>
      </c>
      <c r="Y96" s="92">
        <v>4043.6000000000004</v>
      </c>
      <c r="Z96" s="93">
        <f t="shared" si="72"/>
        <v>1.0067134700784524</v>
      </c>
      <c r="AA96" s="94">
        <v>5319.9674957268244</v>
      </c>
      <c r="AB96" s="91">
        <v>4016.6344448384957</v>
      </c>
      <c r="AC96" s="92">
        <v>2960</v>
      </c>
      <c r="AD96" s="92">
        <v>2456</v>
      </c>
      <c r="AE96" s="92">
        <v>2960</v>
      </c>
      <c r="AF96" s="92">
        <v>2456</v>
      </c>
      <c r="AG96" s="92"/>
      <c r="AH96" s="92"/>
      <c r="AI96" s="93">
        <f t="shared" si="73"/>
        <v>0</v>
      </c>
      <c r="AJ96" s="95">
        <f t="shared" si="52"/>
        <v>12049.903334515488</v>
      </c>
      <c r="AK96" s="96">
        <f t="shared" si="74"/>
        <v>6945.6</v>
      </c>
      <c r="AL96" s="97">
        <f t="shared" si="53"/>
        <v>0.57640296417193415</v>
      </c>
      <c r="AN96" s="89">
        <v>7.9262385594569516E-3</v>
      </c>
      <c r="AO96" s="94"/>
      <c r="AP96" s="91"/>
      <c r="AQ96" s="92"/>
      <c r="AR96" s="92"/>
      <c r="AS96" s="92"/>
      <c r="AT96" s="92"/>
      <c r="AU96" s="92"/>
      <c r="AV96" s="92"/>
      <c r="AW96" s="140">
        <v>0</v>
      </c>
      <c r="AX96" s="94"/>
      <c r="AY96" s="91"/>
      <c r="AZ96" s="92"/>
      <c r="BA96" s="92"/>
      <c r="BB96" s="92"/>
      <c r="BC96" s="92"/>
      <c r="BD96" s="92"/>
      <c r="BE96" s="92"/>
      <c r="BF96" s="140">
        <v>0</v>
      </c>
      <c r="BG96" s="94"/>
      <c r="BH96" s="91"/>
      <c r="BI96" s="92"/>
      <c r="BJ96" s="92"/>
      <c r="BK96" s="92"/>
      <c r="BL96" s="92"/>
      <c r="BM96" s="92"/>
      <c r="BN96" s="92"/>
      <c r="BO96" s="140">
        <f t="shared" si="54"/>
        <v>0</v>
      </c>
      <c r="BP96" s="95">
        <f t="shared" si="55"/>
        <v>0</v>
      </c>
      <c r="BQ96" s="96">
        <f t="shared" si="56"/>
        <v>0</v>
      </c>
      <c r="BR96" s="97">
        <f t="shared" si="57"/>
        <v>0</v>
      </c>
      <c r="BT96" s="139"/>
      <c r="BU96" s="94"/>
      <c r="BV96" s="91"/>
      <c r="BW96" s="92"/>
      <c r="BX96" s="92"/>
      <c r="BY96" s="92"/>
      <c r="BZ96" s="92"/>
      <c r="CA96" s="92"/>
      <c r="CB96" s="92"/>
      <c r="CC96" s="140">
        <f t="shared" si="58"/>
        <v>0</v>
      </c>
      <c r="CD96" s="94"/>
      <c r="CE96" s="91"/>
      <c r="CF96" s="92"/>
      <c r="CG96" s="92"/>
      <c r="CH96" s="92"/>
      <c r="CI96" s="92"/>
      <c r="CJ96" s="92"/>
      <c r="CK96" s="92"/>
      <c r="CL96" s="140">
        <f t="shared" si="59"/>
        <v>0</v>
      </c>
      <c r="CM96" s="94"/>
      <c r="CN96" s="91"/>
      <c r="CO96" s="92"/>
      <c r="CP96" s="92"/>
      <c r="CQ96" s="92"/>
      <c r="CR96" s="92"/>
      <c r="CS96" s="92"/>
      <c r="CT96" s="92"/>
      <c r="CU96" s="140">
        <f t="shared" si="60"/>
        <v>0</v>
      </c>
      <c r="CV96" s="95">
        <f t="shared" si="61"/>
        <v>0</v>
      </c>
      <c r="CW96" s="96">
        <f t="shared" si="62"/>
        <v>0</v>
      </c>
      <c r="CX96" s="97">
        <f t="shared" si="63"/>
        <v>0</v>
      </c>
      <c r="CZ96" s="139" t="s">
        <v>195</v>
      </c>
      <c r="DA96" s="94"/>
      <c r="DB96" s="91"/>
      <c r="DC96" s="92"/>
      <c r="DD96" s="92"/>
      <c r="DE96" s="92"/>
      <c r="DF96" s="92"/>
      <c r="DG96" s="92"/>
      <c r="DH96" s="92"/>
      <c r="DI96" s="140">
        <f t="shared" si="64"/>
        <v>0</v>
      </c>
      <c r="DJ96" s="94"/>
      <c r="DK96" s="91"/>
      <c r="DL96" s="92"/>
      <c r="DM96" s="92"/>
      <c r="DN96" s="92"/>
      <c r="DO96" s="92"/>
      <c r="DP96" s="92"/>
      <c r="DQ96" s="92"/>
      <c r="DR96" s="140">
        <f t="shared" si="65"/>
        <v>0</v>
      </c>
      <c r="DS96" s="94"/>
      <c r="DT96" s="91"/>
      <c r="DU96" s="92"/>
      <c r="DV96" s="92"/>
      <c r="DW96" s="92"/>
      <c r="DX96" s="92"/>
      <c r="DY96" s="92"/>
      <c r="DZ96" s="92"/>
      <c r="EA96" s="140">
        <f t="shared" si="66"/>
        <v>0</v>
      </c>
      <c r="EB96" s="95">
        <f t="shared" si="67"/>
        <v>0</v>
      </c>
      <c r="EC96" s="96">
        <f t="shared" si="68"/>
        <v>0</v>
      </c>
      <c r="ED96" s="97">
        <f t="shared" si="69"/>
        <v>0</v>
      </c>
    </row>
    <row r="97" spans="1:134" ht="21.95" customHeight="1" x14ac:dyDescent="0.5">
      <c r="A97" s="83">
        <v>19</v>
      </c>
      <c r="B97" s="99" t="s">
        <v>237</v>
      </c>
      <c r="C97" s="104" t="s">
        <v>238</v>
      </c>
      <c r="D97" s="100" t="s">
        <v>94</v>
      </c>
      <c r="E97" s="99" t="s">
        <v>95</v>
      </c>
      <c r="F97" s="87" t="s">
        <v>194</v>
      </c>
      <c r="G97" s="141" t="s">
        <v>195</v>
      </c>
      <c r="H97" s="217">
        <v>5.0929476355644002E-3</v>
      </c>
      <c r="I97" s="94">
        <f t="shared" si="70"/>
        <v>1629.4427434737324</v>
      </c>
      <c r="J97" s="91">
        <f t="shared" si="51"/>
        <v>1230.2473378993009</v>
      </c>
      <c r="K97" s="92">
        <v>508</v>
      </c>
      <c r="L97" s="92">
        <v>490.72</v>
      </c>
      <c r="M97" s="92">
        <v>1428</v>
      </c>
      <c r="N97" s="92">
        <v>1410.72</v>
      </c>
      <c r="O97" s="92">
        <v>1948</v>
      </c>
      <c r="P97" s="92">
        <v>1909.8400000000001</v>
      </c>
      <c r="Q97" s="93">
        <f t="shared" si="71"/>
        <v>1.5524032779141244</v>
      </c>
      <c r="R97" s="94">
        <v>1629.442743473734</v>
      </c>
      <c r="S97" s="91">
        <v>1230.2473378993009</v>
      </c>
      <c r="T97" s="92">
        <v>938</v>
      </c>
      <c r="U97" s="92">
        <v>925.76</v>
      </c>
      <c r="V97" s="92">
        <v>1894</v>
      </c>
      <c r="W97" s="92">
        <v>1740.96</v>
      </c>
      <c r="X97" s="92">
        <v>2614</v>
      </c>
      <c r="Y97" s="92">
        <v>2460.96</v>
      </c>
      <c r="Z97" s="93">
        <f t="shared" si="72"/>
        <v>2.0003782363001839</v>
      </c>
      <c r="AA97" s="94">
        <v>1629.442743473734</v>
      </c>
      <c r="AB97" s="91">
        <v>1230.2473378993009</v>
      </c>
      <c r="AC97" s="92">
        <v>448</v>
      </c>
      <c r="AD97" s="92">
        <v>437.92</v>
      </c>
      <c r="AE97" s="92">
        <v>1048</v>
      </c>
      <c r="AF97" s="92">
        <v>1037.92</v>
      </c>
      <c r="AG97" s="92"/>
      <c r="AH97" s="92"/>
      <c r="AI97" s="93">
        <f t="shared" si="73"/>
        <v>0</v>
      </c>
      <c r="AJ97" s="95">
        <f t="shared" si="52"/>
        <v>3690.7420136979026</v>
      </c>
      <c r="AK97" s="96">
        <f t="shared" si="74"/>
        <v>4370.8</v>
      </c>
      <c r="AL97" s="97">
        <f t="shared" si="53"/>
        <v>1.1842605047381027</v>
      </c>
      <c r="AN97" s="89">
        <v>1.6841563298128189E-2</v>
      </c>
      <c r="AO97" s="94"/>
      <c r="AP97" s="91"/>
      <c r="AQ97" s="92"/>
      <c r="AR97" s="92"/>
      <c r="AS97" s="92"/>
      <c r="AT97" s="92"/>
      <c r="AU97" s="92"/>
      <c r="AV97" s="92"/>
      <c r="AW97" s="140">
        <v>0</v>
      </c>
      <c r="AX97" s="94"/>
      <c r="AY97" s="91"/>
      <c r="AZ97" s="92"/>
      <c r="BA97" s="92"/>
      <c r="BB97" s="92"/>
      <c r="BC97" s="92"/>
      <c r="BD97" s="92"/>
      <c r="BE97" s="92"/>
      <c r="BF97" s="140">
        <v>0</v>
      </c>
      <c r="BG97" s="94"/>
      <c r="BH97" s="91"/>
      <c r="BI97" s="92"/>
      <c r="BJ97" s="92"/>
      <c r="BK97" s="92"/>
      <c r="BL97" s="92"/>
      <c r="BM97" s="92"/>
      <c r="BN97" s="92"/>
      <c r="BO97" s="140">
        <f t="shared" si="54"/>
        <v>0</v>
      </c>
      <c r="BP97" s="95">
        <f t="shared" si="55"/>
        <v>0</v>
      </c>
      <c r="BQ97" s="96">
        <f t="shared" si="56"/>
        <v>0</v>
      </c>
      <c r="BR97" s="97">
        <f t="shared" si="57"/>
        <v>0</v>
      </c>
      <c r="BT97" s="139"/>
      <c r="BU97" s="94"/>
      <c r="BV97" s="91"/>
      <c r="BW97" s="92"/>
      <c r="BX97" s="92"/>
      <c r="BY97" s="92"/>
      <c r="BZ97" s="92"/>
      <c r="CA97" s="92"/>
      <c r="CB97" s="92"/>
      <c r="CC97" s="140">
        <f t="shared" si="58"/>
        <v>0</v>
      </c>
      <c r="CD97" s="94"/>
      <c r="CE97" s="91"/>
      <c r="CF97" s="92"/>
      <c r="CG97" s="92"/>
      <c r="CH97" s="92"/>
      <c r="CI97" s="92"/>
      <c r="CJ97" s="92"/>
      <c r="CK97" s="92"/>
      <c r="CL97" s="140">
        <f t="shared" si="59"/>
        <v>0</v>
      </c>
      <c r="CM97" s="94"/>
      <c r="CN97" s="91"/>
      <c r="CO97" s="92"/>
      <c r="CP97" s="92"/>
      <c r="CQ97" s="92"/>
      <c r="CR97" s="92"/>
      <c r="CS97" s="92"/>
      <c r="CT97" s="92"/>
      <c r="CU97" s="140">
        <f t="shared" si="60"/>
        <v>0</v>
      </c>
      <c r="CV97" s="95">
        <f t="shared" si="61"/>
        <v>0</v>
      </c>
      <c r="CW97" s="96">
        <f t="shared" si="62"/>
        <v>0</v>
      </c>
      <c r="CX97" s="97">
        <f t="shared" si="63"/>
        <v>0</v>
      </c>
      <c r="CZ97" s="139" t="s">
        <v>195</v>
      </c>
      <c r="DA97" s="94"/>
      <c r="DB97" s="91"/>
      <c r="DC97" s="92"/>
      <c r="DD97" s="92"/>
      <c r="DE97" s="92"/>
      <c r="DF97" s="92"/>
      <c r="DG97" s="92"/>
      <c r="DH97" s="92"/>
      <c r="DI97" s="140">
        <f t="shared" si="64"/>
        <v>0</v>
      </c>
      <c r="DJ97" s="94"/>
      <c r="DK97" s="91"/>
      <c r="DL97" s="92"/>
      <c r="DM97" s="92"/>
      <c r="DN97" s="92"/>
      <c r="DO97" s="92"/>
      <c r="DP97" s="92"/>
      <c r="DQ97" s="92"/>
      <c r="DR97" s="140">
        <f t="shared" si="65"/>
        <v>0</v>
      </c>
      <c r="DS97" s="94"/>
      <c r="DT97" s="91"/>
      <c r="DU97" s="92"/>
      <c r="DV97" s="92"/>
      <c r="DW97" s="92"/>
      <c r="DX97" s="92"/>
      <c r="DY97" s="92"/>
      <c r="DZ97" s="92"/>
      <c r="EA97" s="140">
        <f t="shared" si="66"/>
        <v>0</v>
      </c>
      <c r="EB97" s="95">
        <f t="shared" si="67"/>
        <v>0</v>
      </c>
      <c r="EC97" s="96">
        <f t="shared" si="68"/>
        <v>0</v>
      </c>
      <c r="ED97" s="97">
        <f t="shared" si="69"/>
        <v>0</v>
      </c>
    </row>
    <row r="98" spans="1:134" ht="21.95" customHeight="1" x14ac:dyDescent="0.5">
      <c r="A98" s="83">
        <v>20</v>
      </c>
      <c r="B98" s="99" t="s">
        <v>239</v>
      </c>
      <c r="C98" s="104" t="s">
        <v>240</v>
      </c>
      <c r="D98" s="100" t="s">
        <v>94</v>
      </c>
      <c r="E98" s="99" t="s">
        <v>95</v>
      </c>
      <c r="F98" s="87" t="s">
        <v>194</v>
      </c>
      <c r="G98" s="141" t="s">
        <v>195</v>
      </c>
      <c r="H98" s="217">
        <v>2.3843420590451001E-2</v>
      </c>
      <c r="I98" s="94">
        <f t="shared" si="70"/>
        <v>7628.4877522399738</v>
      </c>
      <c r="J98" s="91">
        <f t="shared" si="51"/>
        <v>5759.5928344087533</v>
      </c>
      <c r="K98" s="92">
        <v>2800</v>
      </c>
      <c r="L98" s="92">
        <v>2540</v>
      </c>
      <c r="M98" s="92">
        <v>5320</v>
      </c>
      <c r="N98" s="92">
        <v>5060</v>
      </c>
      <c r="O98" s="92">
        <v>8740</v>
      </c>
      <c r="P98" s="92">
        <v>8328.7999999999993</v>
      </c>
      <c r="Q98" s="93">
        <f t="shared" si="71"/>
        <v>1.4460744430131207</v>
      </c>
      <c r="R98" s="94">
        <v>7628.4877522399811</v>
      </c>
      <c r="S98" s="91">
        <v>5759.5928344087533</v>
      </c>
      <c r="T98" s="92">
        <v>2400</v>
      </c>
      <c r="U98" s="92">
        <v>2400</v>
      </c>
      <c r="V98" s="92">
        <v>5540</v>
      </c>
      <c r="W98" s="92">
        <v>5258.7999999999993</v>
      </c>
      <c r="X98" s="92">
        <v>8300</v>
      </c>
      <c r="Y98" s="92">
        <v>7787.9999999999991</v>
      </c>
      <c r="Z98" s="93">
        <f t="shared" si="72"/>
        <v>1.3521789167930776</v>
      </c>
      <c r="AA98" s="94">
        <v>7628.4877522399811</v>
      </c>
      <c r="AB98" s="91">
        <v>5759.5928344087533</v>
      </c>
      <c r="AC98" s="92">
        <v>2400</v>
      </c>
      <c r="AD98" s="92">
        <v>2400</v>
      </c>
      <c r="AE98" s="92">
        <v>5600</v>
      </c>
      <c r="AF98" s="92">
        <v>5398.4</v>
      </c>
      <c r="AG98" s="92"/>
      <c r="AH98" s="92"/>
      <c r="AI98" s="93">
        <f t="shared" si="73"/>
        <v>0</v>
      </c>
      <c r="AJ98" s="95">
        <f t="shared" si="52"/>
        <v>17278.778503226262</v>
      </c>
      <c r="AK98" s="96">
        <f t="shared" si="74"/>
        <v>16116.8</v>
      </c>
      <c r="AL98" s="97">
        <f t="shared" si="53"/>
        <v>0.93275111993539939</v>
      </c>
      <c r="AN98" s="89">
        <v>1.842681101001958E-2</v>
      </c>
      <c r="AO98" s="94"/>
      <c r="AP98" s="91"/>
      <c r="AQ98" s="92"/>
      <c r="AR98" s="92"/>
      <c r="AS98" s="92"/>
      <c r="AT98" s="92"/>
      <c r="AU98" s="92"/>
      <c r="AV98" s="92"/>
      <c r="AW98" s="140">
        <v>0</v>
      </c>
      <c r="AX98" s="94"/>
      <c r="AY98" s="91"/>
      <c r="AZ98" s="92"/>
      <c r="BA98" s="92"/>
      <c r="BB98" s="92"/>
      <c r="BC98" s="92"/>
      <c r="BD98" s="92"/>
      <c r="BE98" s="92"/>
      <c r="BF98" s="140">
        <v>0</v>
      </c>
      <c r="BG98" s="94"/>
      <c r="BH98" s="91"/>
      <c r="BI98" s="92"/>
      <c r="BJ98" s="92"/>
      <c r="BK98" s="92"/>
      <c r="BL98" s="92"/>
      <c r="BM98" s="92"/>
      <c r="BN98" s="92"/>
      <c r="BO98" s="140">
        <f t="shared" si="54"/>
        <v>0</v>
      </c>
      <c r="BP98" s="95">
        <f t="shared" si="55"/>
        <v>0</v>
      </c>
      <c r="BQ98" s="96">
        <f t="shared" si="56"/>
        <v>0</v>
      </c>
      <c r="BR98" s="97">
        <f t="shared" si="57"/>
        <v>0</v>
      </c>
      <c r="BT98" s="139"/>
      <c r="BU98" s="94"/>
      <c r="BV98" s="91"/>
      <c r="BW98" s="92"/>
      <c r="BX98" s="92"/>
      <c r="BY98" s="92"/>
      <c r="BZ98" s="92"/>
      <c r="CA98" s="92"/>
      <c r="CB98" s="92"/>
      <c r="CC98" s="140">
        <f t="shared" si="58"/>
        <v>0</v>
      </c>
      <c r="CD98" s="94"/>
      <c r="CE98" s="91"/>
      <c r="CF98" s="92"/>
      <c r="CG98" s="92"/>
      <c r="CH98" s="92"/>
      <c r="CI98" s="92"/>
      <c r="CJ98" s="92"/>
      <c r="CK98" s="92"/>
      <c r="CL98" s="140">
        <f t="shared" si="59"/>
        <v>0</v>
      </c>
      <c r="CM98" s="94"/>
      <c r="CN98" s="91"/>
      <c r="CO98" s="92"/>
      <c r="CP98" s="92"/>
      <c r="CQ98" s="92"/>
      <c r="CR98" s="92"/>
      <c r="CS98" s="92"/>
      <c r="CT98" s="92"/>
      <c r="CU98" s="140">
        <f t="shared" si="60"/>
        <v>0</v>
      </c>
      <c r="CV98" s="95">
        <f t="shared" si="61"/>
        <v>0</v>
      </c>
      <c r="CW98" s="96">
        <f t="shared" si="62"/>
        <v>0</v>
      </c>
      <c r="CX98" s="97">
        <f t="shared" si="63"/>
        <v>0</v>
      </c>
      <c r="CZ98" s="139" t="s">
        <v>195</v>
      </c>
      <c r="DA98" s="94"/>
      <c r="DB98" s="91"/>
      <c r="DC98" s="92"/>
      <c r="DD98" s="92"/>
      <c r="DE98" s="92"/>
      <c r="DF98" s="92"/>
      <c r="DG98" s="92"/>
      <c r="DH98" s="92"/>
      <c r="DI98" s="140">
        <f t="shared" si="64"/>
        <v>0</v>
      </c>
      <c r="DJ98" s="94"/>
      <c r="DK98" s="91"/>
      <c r="DL98" s="92"/>
      <c r="DM98" s="92"/>
      <c r="DN98" s="92"/>
      <c r="DO98" s="92"/>
      <c r="DP98" s="92"/>
      <c r="DQ98" s="92"/>
      <c r="DR98" s="140">
        <f t="shared" si="65"/>
        <v>0</v>
      </c>
      <c r="DS98" s="94"/>
      <c r="DT98" s="91"/>
      <c r="DU98" s="92"/>
      <c r="DV98" s="92"/>
      <c r="DW98" s="92"/>
      <c r="DX98" s="92"/>
      <c r="DY98" s="92"/>
      <c r="DZ98" s="92"/>
      <c r="EA98" s="140">
        <f t="shared" si="66"/>
        <v>0</v>
      </c>
      <c r="EB98" s="95">
        <f t="shared" si="67"/>
        <v>0</v>
      </c>
      <c r="EC98" s="96">
        <f t="shared" si="68"/>
        <v>0</v>
      </c>
      <c r="ED98" s="97">
        <f t="shared" si="69"/>
        <v>0</v>
      </c>
    </row>
    <row r="99" spans="1:134" ht="21.95" customHeight="1" x14ac:dyDescent="0.5">
      <c r="A99" s="83">
        <v>21</v>
      </c>
      <c r="B99" s="99" t="s">
        <v>241</v>
      </c>
      <c r="C99" s="104" t="s">
        <v>242</v>
      </c>
      <c r="D99" s="100" t="s">
        <v>94</v>
      </c>
      <c r="E99" s="99" t="s">
        <v>95</v>
      </c>
      <c r="F99" s="87" t="s">
        <v>194</v>
      </c>
      <c r="G99" s="141" t="s">
        <v>195</v>
      </c>
      <c r="H99" s="217">
        <v>1.6741755902194625E-2</v>
      </c>
      <c r="I99" s="94">
        <f t="shared" si="70"/>
        <v>5356.3740725200732</v>
      </c>
      <c r="J99" s="91">
        <f t="shared" si="51"/>
        <v>4044.1218139782313</v>
      </c>
      <c r="K99" s="92">
        <v>4880</v>
      </c>
      <c r="L99" s="92">
        <v>4376</v>
      </c>
      <c r="M99" s="92">
        <v>6240</v>
      </c>
      <c r="N99" s="92">
        <v>5332.8</v>
      </c>
      <c r="O99" s="92">
        <v>7080</v>
      </c>
      <c r="P99" s="92">
        <v>6172.8</v>
      </c>
      <c r="Q99" s="93">
        <f t="shared" si="71"/>
        <v>1.5263635181967412</v>
      </c>
      <c r="R99" s="94">
        <v>5356.3740725200778</v>
      </c>
      <c r="S99" s="91">
        <v>4044.1218139782313</v>
      </c>
      <c r="T99" s="92">
        <v>1620</v>
      </c>
      <c r="U99" s="92">
        <v>1468.8</v>
      </c>
      <c r="V99" s="92">
        <v>3180</v>
      </c>
      <c r="W99" s="92">
        <v>2726.4</v>
      </c>
      <c r="X99" s="92">
        <v>5880</v>
      </c>
      <c r="Y99" s="92">
        <v>3874.4</v>
      </c>
      <c r="Z99" s="93">
        <f t="shared" si="72"/>
        <v>0.95803246742182702</v>
      </c>
      <c r="AA99" s="94">
        <v>5356.3740725200778</v>
      </c>
      <c r="AB99" s="91">
        <v>4044.1218139782313</v>
      </c>
      <c r="AC99" s="92">
        <v>2400</v>
      </c>
      <c r="AD99" s="92">
        <v>2400</v>
      </c>
      <c r="AE99" s="92">
        <v>5220</v>
      </c>
      <c r="AF99" s="92">
        <v>4766.3999999999996</v>
      </c>
      <c r="AG99" s="92"/>
      <c r="AH99" s="92"/>
      <c r="AI99" s="93">
        <f t="shared" si="73"/>
        <v>0</v>
      </c>
      <c r="AJ99" s="95">
        <f t="shared" si="52"/>
        <v>12132.365441934693</v>
      </c>
      <c r="AK99" s="96">
        <f t="shared" si="74"/>
        <v>10047.200000000001</v>
      </c>
      <c r="AL99" s="97">
        <f t="shared" si="53"/>
        <v>0.82813199520618952</v>
      </c>
      <c r="AN99" s="89">
        <v>2.0323688613992181E-3</v>
      </c>
      <c r="AO99" s="94"/>
      <c r="AP99" s="91"/>
      <c r="AQ99" s="92"/>
      <c r="AR99" s="92"/>
      <c r="AS99" s="92"/>
      <c r="AT99" s="92"/>
      <c r="AU99" s="92"/>
      <c r="AV99" s="92"/>
      <c r="AW99" s="140">
        <v>0</v>
      </c>
      <c r="AX99" s="94"/>
      <c r="AY99" s="91"/>
      <c r="AZ99" s="92"/>
      <c r="BA99" s="92"/>
      <c r="BB99" s="92"/>
      <c r="BC99" s="92"/>
      <c r="BD99" s="92"/>
      <c r="BE99" s="92"/>
      <c r="BF99" s="140">
        <v>0</v>
      </c>
      <c r="BG99" s="94"/>
      <c r="BH99" s="91"/>
      <c r="BI99" s="92"/>
      <c r="BJ99" s="92"/>
      <c r="BK99" s="92"/>
      <c r="BL99" s="92"/>
      <c r="BM99" s="92"/>
      <c r="BN99" s="92"/>
      <c r="BO99" s="140">
        <f t="shared" si="54"/>
        <v>0</v>
      </c>
      <c r="BP99" s="95">
        <f t="shared" si="55"/>
        <v>0</v>
      </c>
      <c r="BQ99" s="96">
        <f t="shared" si="56"/>
        <v>0</v>
      </c>
      <c r="BR99" s="97">
        <f t="shared" si="57"/>
        <v>0</v>
      </c>
      <c r="BT99" s="139"/>
      <c r="BU99" s="94"/>
      <c r="BV99" s="91"/>
      <c r="BW99" s="92"/>
      <c r="BX99" s="92"/>
      <c r="BY99" s="92"/>
      <c r="BZ99" s="92"/>
      <c r="CA99" s="92"/>
      <c r="CB99" s="92"/>
      <c r="CC99" s="140">
        <f t="shared" si="58"/>
        <v>0</v>
      </c>
      <c r="CD99" s="94"/>
      <c r="CE99" s="91"/>
      <c r="CF99" s="92"/>
      <c r="CG99" s="92"/>
      <c r="CH99" s="92"/>
      <c r="CI99" s="92"/>
      <c r="CJ99" s="92"/>
      <c r="CK99" s="92"/>
      <c r="CL99" s="140">
        <f t="shared" si="59"/>
        <v>0</v>
      </c>
      <c r="CM99" s="94"/>
      <c r="CN99" s="91"/>
      <c r="CO99" s="92"/>
      <c r="CP99" s="92"/>
      <c r="CQ99" s="92"/>
      <c r="CR99" s="92"/>
      <c r="CS99" s="92"/>
      <c r="CT99" s="92"/>
      <c r="CU99" s="140">
        <f t="shared" si="60"/>
        <v>0</v>
      </c>
      <c r="CV99" s="95">
        <f t="shared" si="61"/>
        <v>0</v>
      </c>
      <c r="CW99" s="96">
        <f t="shared" si="62"/>
        <v>0</v>
      </c>
      <c r="CX99" s="97">
        <f t="shared" si="63"/>
        <v>0</v>
      </c>
      <c r="CZ99" s="139" t="s">
        <v>195</v>
      </c>
      <c r="DA99" s="94"/>
      <c r="DB99" s="91"/>
      <c r="DC99" s="92"/>
      <c r="DD99" s="92"/>
      <c r="DE99" s="92"/>
      <c r="DF99" s="92"/>
      <c r="DG99" s="92"/>
      <c r="DH99" s="92"/>
      <c r="DI99" s="140">
        <f t="shared" si="64"/>
        <v>0</v>
      </c>
      <c r="DJ99" s="94"/>
      <c r="DK99" s="91"/>
      <c r="DL99" s="92"/>
      <c r="DM99" s="92"/>
      <c r="DN99" s="92"/>
      <c r="DO99" s="92"/>
      <c r="DP99" s="92"/>
      <c r="DQ99" s="92"/>
      <c r="DR99" s="140">
        <f t="shared" si="65"/>
        <v>0</v>
      </c>
      <c r="DS99" s="94"/>
      <c r="DT99" s="91"/>
      <c r="DU99" s="92"/>
      <c r="DV99" s="92"/>
      <c r="DW99" s="92"/>
      <c r="DX99" s="92"/>
      <c r="DY99" s="92"/>
      <c r="DZ99" s="92"/>
      <c r="EA99" s="140">
        <f t="shared" si="66"/>
        <v>0</v>
      </c>
      <c r="EB99" s="95">
        <f t="shared" si="67"/>
        <v>0</v>
      </c>
      <c r="EC99" s="96">
        <f t="shared" si="68"/>
        <v>0</v>
      </c>
      <c r="ED99" s="97">
        <f t="shared" si="69"/>
        <v>0</v>
      </c>
    </row>
    <row r="100" spans="1:134" ht="21.95" customHeight="1" x14ac:dyDescent="0.5">
      <c r="A100" s="83">
        <v>22</v>
      </c>
      <c r="B100" s="99" t="s">
        <v>243</v>
      </c>
      <c r="C100" s="104" t="s">
        <v>244</v>
      </c>
      <c r="D100" s="100" t="s">
        <v>94</v>
      </c>
      <c r="E100" s="99" t="s">
        <v>95</v>
      </c>
      <c r="F100" s="87" t="s">
        <v>194</v>
      </c>
      <c r="G100" s="141" t="s">
        <v>195</v>
      </c>
      <c r="H100" s="217">
        <v>3.9983182571315952E-2</v>
      </c>
      <c r="I100" s="94">
        <f t="shared" si="70"/>
        <v>12792.259289466705</v>
      </c>
      <c r="J100" s="91">
        <f t="shared" si="51"/>
        <v>9658.2975987445097</v>
      </c>
      <c r="K100" s="92">
        <v>6300</v>
      </c>
      <c r="L100" s="92">
        <v>5544</v>
      </c>
      <c r="M100" s="92">
        <v>9900</v>
      </c>
      <c r="N100" s="92">
        <v>9144</v>
      </c>
      <c r="O100" s="92">
        <v>9900</v>
      </c>
      <c r="P100" s="92">
        <v>9144</v>
      </c>
      <c r="Q100" s="93">
        <f t="shared" si="71"/>
        <v>0.94675069871409179</v>
      </c>
      <c r="R100" s="94">
        <v>12792.259289466718</v>
      </c>
      <c r="S100" s="91">
        <v>9658.2975987445097</v>
      </c>
      <c r="T100" s="92">
        <v>6400</v>
      </c>
      <c r="U100" s="92">
        <v>5392</v>
      </c>
      <c r="V100" s="92">
        <v>12500</v>
      </c>
      <c r="W100" s="92">
        <v>11240</v>
      </c>
      <c r="X100" s="92">
        <v>15500</v>
      </c>
      <c r="Y100" s="92">
        <v>14240</v>
      </c>
      <c r="Z100" s="93">
        <f t="shared" si="72"/>
        <v>1.4743799157577284</v>
      </c>
      <c r="AA100" s="94">
        <v>12792.259289466718</v>
      </c>
      <c r="AB100" s="91">
        <v>9658.2975987445097</v>
      </c>
      <c r="AC100" s="92">
        <v>9400</v>
      </c>
      <c r="AD100" s="92">
        <v>8392</v>
      </c>
      <c r="AE100" s="92">
        <v>9400</v>
      </c>
      <c r="AF100" s="92">
        <v>8392</v>
      </c>
      <c r="AG100" s="92"/>
      <c r="AH100" s="92"/>
      <c r="AI100" s="93">
        <f t="shared" si="73"/>
        <v>0</v>
      </c>
      <c r="AJ100" s="95">
        <f t="shared" si="52"/>
        <v>28974.892796233529</v>
      </c>
      <c r="AK100" s="96">
        <f t="shared" si="74"/>
        <v>23384</v>
      </c>
      <c r="AL100" s="97">
        <f t="shared" si="53"/>
        <v>0.80704353815727337</v>
      </c>
      <c r="AN100" s="89">
        <v>2.0323688613992181E-3</v>
      </c>
      <c r="AO100" s="94"/>
      <c r="AP100" s="91"/>
      <c r="AQ100" s="92"/>
      <c r="AR100" s="92"/>
      <c r="AS100" s="92"/>
      <c r="AT100" s="92"/>
      <c r="AU100" s="92"/>
      <c r="AV100" s="92"/>
      <c r="AW100" s="140">
        <v>0</v>
      </c>
      <c r="AX100" s="94"/>
      <c r="AY100" s="91"/>
      <c r="AZ100" s="92"/>
      <c r="BA100" s="92"/>
      <c r="BB100" s="92"/>
      <c r="BC100" s="92"/>
      <c r="BD100" s="92"/>
      <c r="BE100" s="92"/>
      <c r="BF100" s="140">
        <v>0</v>
      </c>
      <c r="BG100" s="94"/>
      <c r="BH100" s="91"/>
      <c r="BI100" s="92"/>
      <c r="BJ100" s="92"/>
      <c r="BK100" s="92"/>
      <c r="BL100" s="92"/>
      <c r="BM100" s="92"/>
      <c r="BN100" s="92"/>
      <c r="BO100" s="140">
        <f t="shared" si="54"/>
        <v>0</v>
      </c>
      <c r="BP100" s="95">
        <f t="shared" si="55"/>
        <v>0</v>
      </c>
      <c r="BQ100" s="96">
        <f t="shared" si="56"/>
        <v>0</v>
      </c>
      <c r="BR100" s="97">
        <f t="shared" si="57"/>
        <v>0</v>
      </c>
      <c r="BT100" s="139"/>
      <c r="BU100" s="94"/>
      <c r="BV100" s="91"/>
      <c r="BW100" s="92"/>
      <c r="BX100" s="92"/>
      <c r="BY100" s="92"/>
      <c r="BZ100" s="92"/>
      <c r="CA100" s="92"/>
      <c r="CB100" s="92"/>
      <c r="CC100" s="140">
        <f t="shared" si="58"/>
        <v>0</v>
      </c>
      <c r="CD100" s="94"/>
      <c r="CE100" s="91"/>
      <c r="CF100" s="92"/>
      <c r="CG100" s="92"/>
      <c r="CH100" s="92"/>
      <c r="CI100" s="92"/>
      <c r="CJ100" s="92"/>
      <c r="CK100" s="92"/>
      <c r="CL100" s="140">
        <f t="shared" si="59"/>
        <v>0</v>
      </c>
      <c r="CM100" s="94"/>
      <c r="CN100" s="91"/>
      <c r="CO100" s="92"/>
      <c r="CP100" s="92"/>
      <c r="CQ100" s="92"/>
      <c r="CR100" s="92"/>
      <c r="CS100" s="92"/>
      <c r="CT100" s="92"/>
      <c r="CU100" s="140">
        <f t="shared" si="60"/>
        <v>0</v>
      </c>
      <c r="CV100" s="95">
        <f t="shared" si="61"/>
        <v>0</v>
      </c>
      <c r="CW100" s="96">
        <f t="shared" si="62"/>
        <v>0</v>
      </c>
      <c r="CX100" s="97">
        <f t="shared" si="63"/>
        <v>0</v>
      </c>
      <c r="CZ100" s="139" t="s">
        <v>195</v>
      </c>
      <c r="DA100" s="94"/>
      <c r="DB100" s="91"/>
      <c r="DC100" s="92"/>
      <c r="DD100" s="92"/>
      <c r="DE100" s="92"/>
      <c r="DF100" s="92"/>
      <c r="DG100" s="92"/>
      <c r="DH100" s="92"/>
      <c r="DI100" s="140">
        <f t="shared" si="64"/>
        <v>0</v>
      </c>
      <c r="DJ100" s="94"/>
      <c r="DK100" s="91"/>
      <c r="DL100" s="92"/>
      <c r="DM100" s="92"/>
      <c r="DN100" s="92"/>
      <c r="DO100" s="92"/>
      <c r="DP100" s="92"/>
      <c r="DQ100" s="92"/>
      <c r="DR100" s="140">
        <f t="shared" si="65"/>
        <v>0</v>
      </c>
      <c r="DS100" s="94"/>
      <c r="DT100" s="91"/>
      <c r="DU100" s="92"/>
      <c r="DV100" s="92"/>
      <c r="DW100" s="92"/>
      <c r="DX100" s="92"/>
      <c r="DY100" s="92"/>
      <c r="DZ100" s="92"/>
      <c r="EA100" s="140">
        <f t="shared" si="66"/>
        <v>0</v>
      </c>
      <c r="EB100" s="95">
        <f t="shared" si="67"/>
        <v>0</v>
      </c>
      <c r="EC100" s="96">
        <f t="shared" si="68"/>
        <v>0</v>
      </c>
      <c r="ED100" s="97">
        <f t="shared" si="69"/>
        <v>0</v>
      </c>
    </row>
    <row r="101" spans="1:134" ht="21.95" customHeight="1" x14ac:dyDescent="0.5">
      <c r="A101" s="83">
        <v>23</v>
      </c>
      <c r="B101" s="99" t="s">
        <v>245</v>
      </c>
      <c r="C101" s="99" t="s">
        <v>246</v>
      </c>
      <c r="D101" s="100" t="s">
        <v>247</v>
      </c>
      <c r="E101" s="100" t="s">
        <v>248</v>
      </c>
      <c r="F101" s="87" t="s">
        <v>194</v>
      </c>
      <c r="G101" s="141" t="s">
        <v>195</v>
      </c>
      <c r="H101" s="217">
        <v>5.7070830853261445E-3</v>
      </c>
      <c r="I101" s="94">
        <f t="shared" si="70"/>
        <v>1825.9298514770242</v>
      </c>
      <c r="J101" s="91">
        <f t="shared" si="51"/>
        <v>1378.5972830082981</v>
      </c>
      <c r="K101" s="92">
        <v>0</v>
      </c>
      <c r="L101" s="92">
        <v>0</v>
      </c>
      <c r="M101" s="92">
        <v>0</v>
      </c>
      <c r="N101" s="92">
        <v>0</v>
      </c>
      <c r="O101" s="92">
        <v>1240</v>
      </c>
      <c r="P101" s="92">
        <v>1139.2</v>
      </c>
      <c r="Q101" s="93">
        <f t="shared" si="71"/>
        <v>0.82634719656062383</v>
      </c>
      <c r="R101" s="94">
        <v>1825.929851477026</v>
      </c>
      <c r="S101" s="91">
        <v>1378.5972830082981</v>
      </c>
      <c r="T101" s="92">
        <v>0</v>
      </c>
      <c r="U101" s="92">
        <v>0</v>
      </c>
      <c r="V101" s="92">
        <v>0</v>
      </c>
      <c r="W101" s="92">
        <v>0</v>
      </c>
      <c r="X101" s="92">
        <v>1200</v>
      </c>
      <c r="Y101" s="92">
        <v>1200</v>
      </c>
      <c r="Z101" s="93">
        <f t="shared" si="72"/>
        <v>0.87044999637706155</v>
      </c>
      <c r="AA101" s="94">
        <v>1825.929851477026</v>
      </c>
      <c r="AB101" s="91">
        <v>1378.5972830082981</v>
      </c>
      <c r="AC101" s="92">
        <v>0</v>
      </c>
      <c r="AD101" s="92">
        <v>0</v>
      </c>
      <c r="AE101" s="92">
        <v>0</v>
      </c>
      <c r="AF101" s="92">
        <v>0</v>
      </c>
      <c r="AG101" s="92"/>
      <c r="AH101" s="92"/>
      <c r="AI101" s="93">
        <f t="shared" si="73"/>
        <v>0</v>
      </c>
      <c r="AJ101" s="95">
        <f t="shared" si="52"/>
        <v>4135.791849024894</v>
      </c>
      <c r="AK101" s="96">
        <f t="shared" si="74"/>
        <v>2339.1999999999998</v>
      </c>
      <c r="AL101" s="97">
        <f t="shared" si="53"/>
        <v>0.56559906431256179</v>
      </c>
      <c r="AN101" s="89">
        <v>0</v>
      </c>
      <c r="AO101" s="94"/>
      <c r="AP101" s="91"/>
      <c r="AQ101" s="92"/>
      <c r="AR101" s="92"/>
      <c r="AS101" s="92"/>
      <c r="AT101" s="92"/>
      <c r="AU101" s="92"/>
      <c r="AV101" s="92"/>
      <c r="AW101" s="140">
        <v>0</v>
      </c>
      <c r="AX101" s="94"/>
      <c r="AY101" s="91"/>
      <c r="AZ101" s="92"/>
      <c r="BA101" s="92"/>
      <c r="BB101" s="92"/>
      <c r="BC101" s="92"/>
      <c r="BD101" s="92"/>
      <c r="BE101" s="92"/>
      <c r="BF101" s="140">
        <v>0</v>
      </c>
      <c r="BG101" s="94"/>
      <c r="BH101" s="91"/>
      <c r="BI101" s="92"/>
      <c r="BJ101" s="92"/>
      <c r="BK101" s="92"/>
      <c r="BL101" s="92"/>
      <c r="BM101" s="92"/>
      <c r="BN101" s="92"/>
      <c r="BO101" s="140">
        <f t="shared" si="54"/>
        <v>0</v>
      </c>
      <c r="BP101" s="95">
        <f t="shared" si="55"/>
        <v>0</v>
      </c>
      <c r="BQ101" s="96">
        <f t="shared" si="56"/>
        <v>0</v>
      </c>
      <c r="BR101" s="97">
        <f t="shared" si="57"/>
        <v>0</v>
      </c>
      <c r="BT101" s="139"/>
      <c r="BU101" s="94"/>
      <c r="BV101" s="91"/>
      <c r="BW101" s="92"/>
      <c r="BX101" s="92"/>
      <c r="BY101" s="92"/>
      <c r="BZ101" s="92"/>
      <c r="CA101" s="92"/>
      <c r="CB101" s="92"/>
      <c r="CC101" s="140">
        <f t="shared" si="58"/>
        <v>0</v>
      </c>
      <c r="CD101" s="94"/>
      <c r="CE101" s="91"/>
      <c r="CF101" s="92"/>
      <c r="CG101" s="92"/>
      <c r="CH101" s="92"/>
      <c r="CI101" s="92"/>
      <c r="CJ101" s="92"/>
      <c r="CK101" s="92"/>
      <c r="CL101" s="140">
        <f t="shared" si="59"/>
        <v>0</v>
      </c>
      <c r="CM101" s="94"/>
      <c r="CN101" s="91"/>
      <c r="CO101" s="92"/>
      <c r="CP101" s="92"/>
      <c r="CQ101" s="92"/>
      <c r="CR101" s="92"/>
      <c r="CS101" s="92"/>
      <c r="CT101" s="92"/>
      <c r="CU101" s="140">
        <f t="shared" si="60"/>
        <v>0</v>
      </c>
      <c r="CV101" s="95">
        <f t="shared" si="61"/>
        <v>0</v>
      </c>
      <c r="CW101" s="96">
        <f t="shared" si="62"/>
        <v>0</v>
      </c>
      <c r="CX101" s="97">
        <f t="shared" si="63"/>
        <v>0</v>
      </c>
      <c r="CZ101" s="139" t="s">
        <v>195</v>
      </c>
      <c r="DA101" s="94"/>
      <c r="DB101" s="91"/>
      <c r="DC101" s="92"/>
      <c r="DD101" s="92"/>
      <c r="DE101" s="92"/>
      <c r="DF101" s="92"/>
      <c r="DG101" s="92"/>
      <c r="DH101" s="92"/>
      <c r="DI101" s="140">
        <f t="shared" si="64"/>
        <v>0</v>
      </c>
      <c r="DJ101" s="94"/>
      <c r="DK101" s="91"/>
      <c r="DL101" s="92"/>
      <c r="DM101" s="92"/>
      <c r="DN101" s="92"/>
      <c r="DO101" s="92"/>
      <c r="DP101" s="92"/>
      <c r="DQ101" s="92"/>
      <c r="DR101" s="140">
        <f t="shared" si="65"/>
        <v>0</v>
      </c>
      <c r="DS101" s="94"/>
      <c r="DT101" s="91"/>
      <c r="DU101" s="92"/>
      <c r="DV101" s="92"/>
      <c r="DW101" s="92"/>
      <c r="DX101" s="92"/>
      <c r="DY101" s="92"/>
      <c r="DZ101" s="92"/>
      <c r="EA101" s="140">
        <f t="shared" si="66"/>
        <v>0</v>
      </c>
      <c r="EB101" s="95">
        <f t="shared" si="67"/>
        <v>0</v>
      </c>
      <c r="EC101" s="96">
        <f t="shared" si="68"/>
        <v>0</v>
      </c>
      <c r="ED101" s="97">
        <f t="shared" si="69"/>
        <v>0</v>
      </c>
    </row>
    <row r="102" spans="1:134" ht="21.95" customHeight="1" x14ac:dyDescent="0.5">
      <c r="A102" s="83">
        <v>24</v>
      </c>
      <c r="B102" s="99" t="s">
        <v>249</v>
      </c>
      <c r="C102" s="99" t="s">
        <v>250</v>
      </c>
      <c r="D102" s="100" t="s">
        <v>251</v>
      </c>
      <c r="E102" s="100" t="s">
        <v>252</v>
      </c>
      <c r="F102" s="87" t="s">
        <v>194</v>
      </c>
      <c r="G102" s="141" t="s">
        <v>195</v>
      </c>
      <c r="H102" s="217">
        <v>2.1917717708899234E-2</v>
      </c>
      <c r="I102" s="94">
        <f t="shared" si="70"/>
        <v>7012.376452661837</v>
      </c>
      <c r="J102" s="91">
        <f t="shared" si="51"/>
        <v>5294.4219720439905</v>
      </c>
      <c r="K102" s="92">
        <v>0</v>
      </c>
      <c r="L102" s="92">
        <v>0</v>
      </c>
      <c r="M102" s="92">
        <v>0</v>
      </c>
      <c r="N102" s="92">
        <v>0</v>
      </c>
      <c r="O102" s="92">
        <v>3880</v>
      </c>
      <c r="P102" s="92">
        <v>3246</v>
      </c>
      <c r="Q102" s="93">
        <f t="shared" si="71"/>
        <v>0.61309809024285866</v>
      </c>
      <c r="R102" s="94">
        <v>7012.3764526618434</v>
      </c>
      <c r="S102" s="91">
        <v>5294.4219720439905</v>
      </c>
      <c r="T102" s="92">
        <v>3380</v>
      </c>
      <c r="U102" s="92">
        <v>2645.2</v>
      </c>
      <c r="V102" s="92">
        <v>3380</v>
      </c>
      <c r="W102" s="92">
        <v>2645.2</v>
      </c>
      <c r="X102" s="92">
        <v>7580</v>
      </c>
      <c r="Y102" s="92">
        <v>5850.4</v>
      </c>
      <c r="Z102" s="93">
        <f t="shared" si="72"/>
        <v>1.1050120354765312</v>
      </c>
      <c r="AA102" s="94">
        <v>7012.3764526618434</v>
      </c>
      <c r="AB102" s="91">
        <v>5294.4219720439905</v>
      </c>
      <c r="AC102" s="92">
        <v>0</v>
      </c>
      <c r="AD102" s="92">
        <v>0</v>
      </c>
      <c r="AE102" s="92">
        <v>3940</v>
      </c>
      <c r="AF102" s="92">
        <v>3306</v>
      </c>
      <c r="AG102" s="92"/>
      <c r="AH102" s="92"/>
      <c r="AI102" s="93">
        <f t="shared" si="73"/>
        <v>0</v>
      </c>
      <c r="AJ102" s="95">
        <f t="shared" si="52"/>
        <v>15883.265916131972</v>
      </c>
      <c r="AK102" s="96">
        <f t="shared" si="74"/>
        <v>9096.4</v>
      </c>
      <c r="AL102" s="97">
        <f t="shared" si="53"/>
        <v>0.57270337523979653</v>
      </c>
      <c r="AN102" s="89">
        <v>9.5182608342196714E-3</v>
      </c>
      <c r="AO102" s="94"/>
      <c r="AP102" s="91"/>
      <c r="AQ102" s="92"/>
      <c r="AR102" s="92"/>
      <c r="AS102" s="92"/>
      <c r="AT102" s="92"/>
      <c r="AU102" s="92"/>
      <c r="AV102" s="92"/>
      <c r="AW102" s="140">
        <v>0</v>
      </c>
      <c r="AX102" s="94"/>
      <c r="AY102" s="91"/>
      <c r="AZ102" s="92"/>
      <c r="BA102" s="92"/>
      <c r="BB102" s="92"/>
      <c r="BC102" s="92"/>
      <c r="BD102" s="92"/>
      <c r="BE102" s="92"/>
      <c r="BF102" s="140">
        <v>0</v>
      </c>
      <c r="BG102" s="94"/>
      <c r="BH102" s="91"/>
      <c r="BI102" s="92"/>
      <c r="BJ102" s="92"/>
      <c r="BK102" s="92"/>
      <c r="BL102" s="92"/>
      <c r="BM102" s="92"/>
      <c r="BN102" s="92"/>
      <c r="BO102" s="140">
        <f t="shared" si="54"/>
        <v>0</v>
      </c>
      <c r="BP102" s="95">
        <f t="shared" si="55"/>
        <v>0</v>
      </c>
      <c r="BQ102" s="96">
        <f t="shared" si="56"/>
        <v>0</v>
      </c>
      <c r="BR102" s="97">
        <f t="shared" si="57"/>
        <v>0</v>
      </c>
      <c r="BT102" s="139"/>
      <c r="BU102" s="94"/>
      <c r="BV102" s="91"/>
      <c r="BW102" s="92"/>
      <c r="BX102" s="92"/>
      <c r="BY102" s="92"/>
      <c r="BZ102" s="92"/>
      <c r="CA102" s="92"/>
      <c r="CB102" s="92"/>
      <c r="CC102" s="140">
        <f t="shared" si="58"/>
        <v>0</v>
      </c>
      <c r="CD102" s="94"/>
      <c r="CE102" s="91"/>
      <c r="CF102" s="92"/>
      <c r="CG102" s="92"/>
      <c r="CH102" s="92"/>
      <c r="CI102" s="92"/>
      <c r="CJ102" s="92"/>
      <c r="CK102" s="92"/>
      <c r="CL102" s="140">
        <f t="shared" si="59"/>
        <v>0</v>
      </c>
      <c r="CM102" s="94"/>
      <c r="CN102" s="91"/>
      <c r="CO102" s="92"/>
      <c r="CP102" s="92"/>
      <c r="CQ102" s="92"/>
      <c r="CR102" s="92"/>
      <c r="CS102" s="92"/>
      <c r="CT102" s="92"/>
      <c r="CU102" s="140">
        <f t="shared" si="60"/>
        <v>0</v>
      </c>
      <c r="CV102" s="95">
        <f t="shared" si="61"/>
        <v>0</v>
      </c>
      <c r="CW102" s="96">
        <f t="shared" si="62"/>
        <v>0</v>
      </c>
      <c r="CX102" s="97">
        <f t="shared" si="63"/>
        <v>0</v>
      </c>
      <c r="CZ102" s="139" t="s">
        <v>195</v>
      </c>
      <c r="DA102" s="94"/>
      <c r="DB102" s="91"/>
      <c r="DC102" s="92"/>
      <c r="DD102" s="92"/>
      <c r="DE102" s="92"/>
      <c r="DF102" s="92"/>
      <c r="DG102" s="92"/>
      <c r="DH102" s="92"/>
      <c r="DI102" s="140">
        <f t="shared" si="64"/>
        <v>0</v>
      </c>
      <c r="DJ102" s="94"/>
      <c r="DK102" s="91"/>
      <c r="DL102" s="92"/>
      <c r="DM102" s="92"/>
      <c r="DN102" s="92"/>
      <c r="DO102" s="92"/>
      <c r="DP102" s="92"/>
      <c r="DQ102" s="92"/>
      <c r="DR102" s="140">
        <f t="shared" si="65"/>
        <v>0</v>
      </c>
      <c r="DS102" s="94"/>
      <c r="DT102" s="91"/>
      <c r="DU102" s="92"/>
      <c r="DV102" s="92"/>
      <c r="DW102" s="92"/>
      <c r="DX102" s="92"/>
      <c r="DY102" s="92"/>
      <c r="DZ102" s="92"/>
      <c r="EA102" s="140">
        <f t="shared" si="66"/>
        <v>0</v>
      </c>
      <c r="EB102" s="95">
        <f t="shared" si="67"/>
        <v>0</v>
      </c>
      <c r="EC102" s="96">
        <f t="shared" si="68"/>
        <v>0</v>
      </c>
      <c r="ED102" s="97">
        <f t="shared" si="69"/>
        <v>0</v>
      </c>
    </row>
    <row r="103" spans="1:134" ht="21.95" customHeight="1" x14ac:dyDescent="0.5">
      <c r="A103" s="83">
        <v>25</v>
      </c>
      <c r="B103" s="99" t="s">
        <v>253</v>
      </c>
      <c r="C103" s="99" t="s">
        <v>254</v>
      </c>
      <c r="D103" s="100" t="s">
        <v>255</v>
      </c>
      <c r="E103" s="100" t="s">
        <v>256</v>
      </c>
      <c r="F103" s="87" t="s">
        <v>194</v>
      </c>
      <c r="G103" s="141" t="s">
        <v>195</v>
      </c>
      <c r="H103" s="217">
        <v>5.255305283202563E-3</v>
      </c>
      <c r="I103" s="94">
        <f t="shared" si="70"/>
        <v>1681.3876111067868</v>
      </c>
      <c r="J103" s="91">
        <f t="shared" si="51"/>
        <v>1269.4662889051278</v>
      </c>
      <c r="K103" s="92">
        <v>960</v>
      </c>
      <c r="L103" s="92">
        <v>960</v>
      </c>
      <c r="M103" s="92">
        <v>960</v>
      </c>
      <c r="N103" s="92">
        <v>960</v>
      </c>
      <c r="O103" s="92">
        <v>1680</v>
      </c>
      <c r="P103" s="92">
        <v>1680</v>
      </c>
      <c r="Q103" s="93">
        <f t="shared" si="71"/>
        <v>1.3233907939760603</v>
      </c>
      <c r="R103" s="94">
        <v>1681.3876111067884</v>
      </c>
      <c r="S103" s="91">
        <v>1269.4662889051278</v>
      </c>
      <c r="T103" s="92">
        <v>420</v>
      </c>
      <c r="U103" s="92">
        <v>420</v>
      </c>
      <c r="V103" s="92">
        <v>1020</v>
      </c>
      <c r="W103" s="92">
        <v>1020</v>
      </c>
      <c r="X103" s="92">
        <v>1020</v>
      </c>
      <c r="Y103" s="92">
        <v>1020</v>
      </c>
      <c r="Z103" s="93">
        <f t="shared" si="72"/>
        <v>0.80348726777117951</v>
      </c>
      <c r="AA103" s="94">
        <v>1681.3876111067884</v>
      </c>
      <c r="AB103" s="91">
        <v>1269.4662889051278</v>
      </c>
      <c r="AC103" s="92">
        <v>420</v>
      </c>
      <c r="AD103" s="92">
        <v>420</v>
      </c>
      <c r="AE103" s="92">
        <v>1020</v>
      </c>
      <c r="AF103" s="92">
        <v>1020</v>
      </c>
      <c r="AG103" s="92"/>
      <c r="AH103" s="92"/>
      <c r="AI103" s="93">
        <f t="shared" si="73"/>
        <v>0</v>
      </c>
      <c r="AJ103" s="95">
        <f t="shared" si="52"/>
        <v>3808.3988667153835</v>
      </c>
      <c r="AK103" s="96">
        <f t="shared" si="74"/>
        <v>2700</v>
      </c>
      <c r="AL103" s="97">
        <f t="shared" si="53"/>
        <v>0.7089593539157466</v>
      </c>
      <c r="AN103" s="89">
        <v>3.0079059148708431E-3</v>
      </c>
      <c r="AO103" s="94"/>
      <c r="AP103" s="91"/>
      <c r="AQ103" s="92"/>
      <c r="AR103" s="92"/>
      <c r="AS103" s="92"/>
      <c r="AT103" s="92"/>
      <c r="AU103" s="92"/>
      <c r="AV103" s="92"/>
      <c r="AW103" s="140">
        <v>0</v>
      </c>
      <c r="AX103" s="94"/>
      <c r="AY103" s="91"/>
      <c r="AZ103" s="92"/>
      <c r="BA103" s="92"/>
      <c r="BB103" s="92"/>
      <c r="BC103" s="92"/>
      <c r="BD103" s="92"/>
      <c r="BE103" s="92"/>
      <c r="BF103" s="140">
        <v>0</v>
      </c>
      <c r="BG103" s="94"/>
      <c r="BH103" s="91"/>
      <c r="BI103" s="92"/>
      <c r="BJ103" s="92"/>
      <c r="BK103" s="92"/>
      <c r="BL103" s="92"/>
      <c r="BM103" s="92"/>
      <c r="BN103" s="92"/>
      <c r="BO103" s="140">
        <f t="shared" si="54"/>
        <v>0</v>
      </c>
      <c r="BP103" s="95">
        <f t="shared" si="55"/>
        <v>0</v>
      </c>
      <c r="BQ103" s="96">
        <f t="shared" si="56"/>
        <v>0</v>
      </c>
      <c r="BR103" s="97">
        <f t="shared" si="57"/>
        <v>0</v>
      </c>
      <c r="BT103" s="139"/>
      <c r="BU103" s="94"/>
      <c r="BV103" s="91"/>
      <c r="BW103" s="92"/>
      <c r="BX103" s="92"/>
      <c r="BY103" s="92"/>
      <c r="BZ103" s="92"/>
      <c r="CA103" s="92"/>
      <c r="CB103" s="92"/>
      <c r="CC103" s="140">
        <f t="shared" si="58"/>
        <v>0</v>
      </c>
      <c r="CD103" s="94"/>
      <c r="CE103" s="91"/>
      <c r="CF103" s="92"/>
      <c r="CG103" s="92"/>
      <c r="CH103" s="92"/>
      <c r="CI103" s="92"/>
      <c r="CJ103" s="92"/>
      <c r="CK103" s="92"/>
      <c r="CL103" s="140">
        <f t="shared" si="59"/>
        <v>0</v>
      </c>
      <c r="CM103" s="94"/>
      <c r="CN103" s="91"/>
      <c r="CO103" s="92"/>
      <c r="CP103" s="92"/>
      <c r="CQ103" s="92"/>
      <c r="CR103" s="92"/>
      <c r="CS103" s="92"/>
      <c r="CT103" s="92"/>
      <c r="CU103" s="140">
        <f t="shared" si="60"/>
        <v>0</v>
      </c>
      <c r="CV103" s="95">
        <f t="shared" si="61"/>
        <v>0</v>
      </c>
      <c r="CW103" s="96">
        <f t="shared" si="62"/>
        <v>0</v>
      </c>
      <c r="CX103" s="97">
        <f t="shared" si="63"/>
        <v>0</v>
      </c>
      <c r="CZ103" s="139" t="s">
        <v>195</v>
      </c>
      <c r="DA103" s="94"/>
      <c r="DB103" s="91"/>
      <c r="DC103" s="92"/>
      <c r="DD103" s="92"/>
      <c r="DE103" s="92"/>
      <c r="DF103" s="92"/>
      <c r="DG103" s="92"/>
      <c r="DH103" s="92"/>
      <c r="DI103" s="140">
        <f t="shared" si="64"/>
        <v>0</v>
      </c>
      <c r="DJ103" s="94"/>
      <c r="DK103" s="91"/>
      <c r="DL103" s="92"/>
      <c r="DM103" s="92"/>
      <c r="DN103" s="92"/>
      <c r="DO103" s="92"/>
      <c r="DP103" s="92"/>
      <c r="DQ103" s="92"/>
      <c r="DR103" s="140">
        <f t="shared" si="65"/>
        <v>0</v>
      </c>
      <c r="DS103" s="94"/>
      <c r="DT103" s="91"/>
      <c r="DU103" s="92"/>
      <c r="DV103" s="92"/>
      <c r="DW103" s="92"/>
      <c r="DX103" s="92"/>
      <c r="DY103" s="92"/>
      <c r="DZ103" s="92"/>
      <c r="EA103" s="140">
        <f t="shared" si="66"/>
        <v>0</v>
      </c>
      <c r="EB103" s="95">
        <f t="shared" si="67"/>
        <v>0</v>
      </c>
      <c r="EC103" s="96">
        <f t="shared" si="68"/>
        <v>0</v>
      </c>
      <c r="ED103" s="97">
        <f t="shared" si="69"/>
        <v>0</v>
      </c>
    </row>
    <row r="104" spans="1:134" ht="21.95" customHeight="1" x14ac:dyDescent="0.5">
      <c r="A104" s="83">
        <v>26</v>
      </c>
      <c r="B104" s="99" t="s">
        <v>257</v>
      </c>
      <c r="C104" s="104" t="s">
        <v>258</v>
      </c>
      <c r="D104" s="100" t="s">
        <v>141</v>
      </c>
      <c r="E104" s="104" t="s">
        <v>142</v>
      </c>
      <c r="F104" s="87" t="s">
        <v>194</v>
      </c>
      <c r="G104" s="141" t="s">
        <v>195</v>
      </c>
      <c r="H104" s="217">
        <v>2.8286937635462753E-2</v>
      </c>
      <c r="I104" s="94">
        <f t="shared" si="70"/>
        <v>9050.1510251814907</v>
      </c>
      <c r="J104" s="91">
        <f t="shared" si="51"/>
        <v>6832.9643682847473</v>
      </c>
      <c r="K104" s="92">
        <v>0</v>
      </c>
      <c r="L104" s="92">
        <v>0</v>
      </c>
      <c r="M104" s="92">
        <v>4460</v>
      </c>
      <c r="N104" s="92">
        <v>2822.8</v>
      </c>
      <c r="O104" s="92">
        <v>9040</v>
      </c>
      <c r="P104" s="92">
        <v>5940.8</v>
      </c>
      <c r="Q104" s="93">
        <f t="shared" si="71"/>
        <v>0.86943231075143101</v>
      </c>
      <c r="R104" s="94">
        <v>9050.1510251814998</v>
      </c>
      <c r="S104" s="91">
        <v>6832.9643682847473</v>
      </c>
      <c r="T104" s="92">
        <v>4340</v>
      </c>
      <c r="U104" s="92">
        <v>2878</v>
      </c>
      <c r="V104" s="92">
        <v>4340</v>
      </c>
      <c r="W104" s="92">
        <v>2878</v>
      </c>
      <c r="X104" s="92">
        <v>4340</v>
      </c>
      <c r="Y104" s="92">
        <v>2878</v>
      </c>
      <c r="Z104" s="93">
        <f t="shared" si="72"/>
        <v>0.42119347400057544</v>
      </c>
      <c r="AA104" s="94">
        <v>9050.1510251814998</v>
      </c>
      <c r="AB104" s="91">
        <v>6832.9643682847473</v>
      </c>
      <c r="AC104" s="92">
        <v>3040</v>
      </c>
      <c r="AD104" s="92">
        <v>2729.2</v>
      </c>
      <c r="AE104" s="92">
        <v>6750</v>
      </c>
      <c r="AF104" s="92">
        <v>5761.2</v>
      </c>
      <c r="AG104" s="92"/>
      <c r="AH104" s="92"/>
      <c r="AI104" s="93">
        <f t="shared" si="73"/>
        <v>0</v>
      </c>
      <c r="AJ104" s="95">
        <f t="shared" si="52"/>
        <v>20498.893104854244</v>
      </c>
      <c r="AK104" s="96">
        <f t="shared" si="74"/>
        <v>8818.7999999999993</v>
      </c>
      <c r="AL104" s="97">
        <f t="shared" si="53"/>
        <v>0.43020859491733543</v>
      </c>
      <c r="AN104" s="89">
        <v>1.3278143227808226E-2</v>
      </c>
      <c r="AO104" s="94"/>
      <c r="AP104" s="91"/>
      <c r="AQ104" s="92"/>
      <c r="AR104" s="92"/>
      <c r="AS104" s="92"/>
      <c r="AT104" s="92"/>
      <c r="AU104" s="92"/>
      <c r="AV104" s="92"/>
      <c r="AW104" s="140">
        <v>0</v>
      </c>
      <c r="AX104" s="94"/>
      <c r="AY104" s="91"/>
      <c r="AZ104" s="92"/>
      <c r="BA104" s="92"/>
      <c r="BB104" s="92"/>
      <c r="BC104" s="92"/>
      <c r="BD104" s="92"/>
      <c r="BE104" s="92"/>
      <c r="BF104" s="140">
        <v>0</v>
      </c>
      <c r="BG104" s="94"/>
      <c r="BH104" s="91"/>
      <c r="BI104" s="92"/>
      <c r="BJ104" s="92"/>
      <c r="BK104" s="92"/>
      <c r="BL104" s="92"/>
      <c r="BM104" s="92"/>
      <c r="BN104" s="92"/>
      <c r="BO104" s="140">
        <f t="shared" si="54"/>
        <v>0</v>
      </c>
      <c r="BP104" s="95">
        <f t="shared" si="55"/>
        <v>0</v>
      </c>
      <c r="BQ104" s="96">
        <f t="shared" si="56"/>
        <v>0</v>
      </c>
      <c r="BR104" s="97">
        <f t="shared" si="57"/>
        <v>0</v>
      </c>
      <c r="BT104" s="139"/>
      <c r="BU104" s="94"/>
      <c r="BV104" s="91"/>
      <c r="BW104" s="92"/>
      <c r="BX104" s="92"/>
      <c r="BY104" s="92"/>
      <c r="BZ104" s="92"/>
      <c r="CA104" s="92"/>
      <c r="CB104" s="92"/>
      <c r="CC104" s="140">
        <f t="shared" si="58"/>
        <v>0</v>
      </c>
      <c r="CD104" s="94"/>
      <c r="CE104" s="91"/>
      <c r="CF104" s="92"/>
      <c r="CG104" s="92"/>
      <c r="CH104" s="92"/>
      <c r="CI104" s="92"/>
      <c r="CJ104" s="92"/>
      <c r="CK104" s="92"/>
      <c r="CL104" s="140">
        <f t="shared" si="59"/>
        <v>0</v>
      </c>
      <c r="CM104" s="94"/>
      <c r="CN104" s="91"/>
      <c r="CO104" s="92"/>
      <c r="CP104" s="92"/>
      <c r="CQ104" s="92"/>
      <c r="CR104" s="92"/>
      <c r="CS104" s="92"/>
      <c r="CT104" s="92"/>
      <c r="CU104" s="140">
        <f t="shared" si="60"/>
        <v>0</v>
      </c>
      <c r="CV104" s="95">
        <f t="shared" si="61"/>
        <v>0</v>
      </c>
      <c r="CW104" s="96">
        <f t="shared" si="62"/>
        <v>0</v>
      </c>
      <c r="CX104" s="97">
        <f t="shared" si="63"/>
        <v>0</v>
      </c>
      <c r="CZ104" s="139" t="s">
        <v>195</v>
      </c>
      <c r="DA104" s="94"/>
      <c r="DB104" s="91"/>
      <c r="DC104" s="92"/>
      <c r="DD104" s="92"/>
      <c r="DE104" s="92"/>
      <c r="DF104" s="92"/>
      <c r="DG104" s="92"/>
      <c r="DH104" s="92"/>
      <c r="DI104" s="140">
        <f t="shared" si="64"/>
        <v>0</v>
      </c>
      <c r="DJ104" s="94"/>
      <c r="DK104" s="91"/>
      <c r="DL104" s="92"/>
      <c r="DM104" s="92"/>
      <c r="DN104" s="92"/>
      <c r="DO104" s="92"/>
      <c r="DP104" s="92"/>
      <c r="DQ104" s="92"/>
      <c r="DR104" s="140">
        <f t="shared" si="65"/>
        <v>0</v>
      </c>
      <c r="DS104" s="94"/>
      <c r="DT104" s="91"/>
      <c r="DU104" s="92"/>
      <c r="DV104" s="92"/>
      <c r="DW104" s="92"/>
      <c r="DX104" s="92"/>
      <c r="DY104" s="92"/>
      <c r="DZ104" s="92"/>
      <c r="EA104" s="140">
        <f t="shared" si="66"/>
        <v>0</v>
      </c>
      <c r="EB104" s="95">
        <f t="shared" si="67"/>
        <v>0</v>
      </c>
      <c r="EC104" s="96">
        <f t="shared" si="68"/>
        <v>0</v>
      </c>
      <c r="ED104" s="97">
        <f t="shared" si="69"/>
        <v>0</v>
      </c>
    </row>
    <row r="105" spans="1:134" ht="21.95" customHeight="1" x14ac:dyDescent="0.5">
      <c r="A105" s="83">
        <v>27</v>
      </c>
      <c r="B105" s="99" t="s">
        <v>259</v>
      </c>
      <c r="C105" s="104" t="s">
        <v>260</v>
      </c>
      <c r="D105" s="100" t="s">
        <v>168</v>
      </c>
      <c r="E105" s="99" t="s">
        <v>169</v>
      </c>
      <c r="F105" s="87" t="s">
        <v>194</v>
      </c>
      <c r="G105" s="141" t="s">
        <v>195</v>
      </c>
      <c r="H105" s="217">
        <v>3.1407028081378735E-3</v>
      </c>
      <c r="I105" s="94">
        <f t="shared" si="70"/>
        <v>1004.8395872738441</v>
      </c>
      <c r="J105" s="91">
        <f t="shared" si="51"/>
        <v>758.66502963097662</v>
      </c>
      <c r="K105" s="92">
        <v>360</v>
      </c>
      <c r="L105" s="92">
        <v>360</v>
      </c>
      <c r="M105" s="92">
        <v>1260</v>
      </c>
      <c r="N105" s="92">
        <v>949.6</v>
      </c>
      <c r="O105" s="92">
        <v>1260</v>
      </c>
      <c r="P105" s="92">
        <v>949.6</v>
      </c>
      <c r="Q105" s="93">
        <f t="shared" si="71"/>
        <v>1.2516722966154066</v>
      </c>
      <c r="R105" s="94">
        <v>1004.839587273845</v>
      </c>
      <c r="S105" s="91">
        <v>758.66502963097662</v>
      </c>
      <c r="T105" s="92">
        <v>360</v>
      </c>
      <c r="U105" s="92">
        <v>360</v>
      </c>
      <c r="V105" s="92">
        <v>360</v>
      </c>
      <c r="W105" s="92">
        <v>360</v>
      </c>
      <c r="X105" s="92">
        <v>360</v>
      </c>
      <c r="Y105" s="92">
        <v>360</v>
      </c>
      <c r="Z105" s="93">
        <f t="shared" si="72"/>
        <v>0.47451771986262253</v>
      </c>
      <c r="AA105" s="94">
        <v>1004.839587273845</v>
      </c>
      <c r="AB105" s="91">
        <v>758.66502963097662</v>
      </c>
      <c r="AC105" s="92">
        <v>1260</v>
      </c>
      <c r="AD105" s="92">
        <v>949.6</v>
      </c>
      <c r="AE105" s="92">
        <v>1260</v>
      </c>
      <c r="AF105" s="92">
        <v>949.6</v>
      </c>
      <c r="AG105" s="92"/>
      <c r="AH105" s="92"/>
      <c r="AI105" s="93">
        <f t="shared" si="73"/>
        <v>0</v>
      </c>
      <c r="AJ105" s="95">
        <f t="shared" si="52"/>
        <v>2275.9950888929297</v>
      </c>
      <c r="AK105" s="96">
        <f t="shared" si="74"/>
        <v>1309.5999999999999</v>
      </c>
      <c r="AL105" s="97">
        <f t="shared" si="53"/>
        <v>0.57539667215934309</v>
      </c>
      <c r="AN105" s="89">
        <v>1.0229589935709398E-2</v>
      </c>
      <c r="AO105" s="94"/>
      <c r="AP105" s="91"/>
      <c r="AQ105" s="92"/>
      <c r="AR105" s="92"/>
      <c r="AS105" s="92"/>
      <c r="AT105" s="92"/>
      <c r="AU105" s="92"/>
      <c r="AV105" s="92"/>
      <c r="AW105" s="140">
        <v>0</v>
      </c>
      <c r="AX105" s="94"/>
      <c r="AY105" s="91"/>
      <c r="AZ105" s="92"/>
      <c r="BA105" s="92"/>
      <c r="BB105" s="92"/>
      <c r="BC105" s="92"/>
      <c r="BD105" s="92"/>
      <c r="BE105" s="92"/>
      <c r="BF105" s="140">
        <v>0</v>
      </c>
      <c r="BG105" s="94"/>
      <c r="BH105" s="91"/>
      <c r="BI105" s="92"/>
      <c r="BJ105" s="92"/>
      <c r="BK105" s="92"/>
      <c r="BL105" s="92"/>
      <c r="BM105" s="92"/>
      <c r="BN105" s="92"/>
      <c r="BO105" s="140">
        <f t="shared" si="54"/>
        <v>0</v>
      </c>
      <c r="BP105" s="95">
        <f t="shared" si="55"/>
        <v>0</v>
      </c>
      <c r="BQ105" s="96">
        <f t="shared" si="56"/>
        <v>0</v>
      </c>
      <c r="BR105" s="97">
        <f t="shared" si="57"/>
        <v>0</v>
      </c>
      <c r="BT105" s="139"/>
      <c r="BU105" s="94"/>
      <c r="BV105" s="91"/>
      <c r="BW105" s="92"/>
      <c r="BX105" s="92"/>
      <c r="BY105" s="92"/>
      <c r="BZ105" s="92"/>
      <c r="CA105" s="92"/>
      <c r="CB105" s="92"/>
      <c r="CC105" s="140">
        <f t="shared" si="58"/>
        <v>0</v>
      </c>
      <c r="CD105" s="94"/>
      <c r="CE105" s="91"/>
      <c r="CF105" s="92"/>
      <c r="CG105" s="92"/>
      <c r="CH105" s="92"/>
      <c r="CI105" s="92"/>
      <c r="CJ105" s="92"/>
      <c r="CK105" s="92"/>
      <c r="CL105" s="140">
        <f t="shared" si="59"/>
        <v>0</v>
      </c>
      <c r="CM105" s="94"/>
      <c r="CN105" s="91"/>
      <c r="CO105" s="92"/>
      <c r="CP105" s="92"/>
      <c r="CQ105" s="92"/>
      <c r="CR105" s="92"/>
      <c r="CS105" s="92"/>
      <c r="CT105" s="92"/>
      <c r="CU105" s="140">
        <f t="shared" si="60"/>
        <v>0</v>
      </c>
      <c r="CV105" s="95">
        <f t="shared" si="61"/>
        <v>0</v>
      </c>
      <c r="CW105" s="96">
        <f t="shared" si="62"/>
        <v>0</v>
      </c>
      <c r="CX105" s="97">
        <f t="shared" si="63"/>
        <v>0</v>
      </c>
      <c r="CZ105" s="139" t="s">
        <v>195</v>
      </c>
      <c r="DA105" s="94"/>
      <c r="DB105" s="91"/>
      <c r="DC105" s="92"/>
      <c r="DD105" s="92"/>
      <c r="DE105" s="92"/>
      <c r="DF105" s="92"/>
      <c r="DG105" s="92"/>
      <c r="DH105" s="92"/>
      <c r="DI105" s="140">
        <f t="shared" si="64"/>
        <v>0</v>
      </c>
      <c r="DJ105" s="94"/>
      <c r="DK105" s="91"/>
      <c r="DL105" s="92"/>
      <c r="DM105" s="92"/>
      <c r="DN105" s="92"/>
      <c r="DO105" s="92"/>
      <c r="DP105" s="92"/>
      <c r="DQ105" s="92"/>
      <c r="DR105" s="140">
        <f t="shared" si="65"/>
        <v>0</v>
      </c>
      <c r="DS105" s="94"/>
      <c r="DT105" s="91"/>
      <c r="DU105" s="92"/>
      <c r="DV105" s="92"/>
      <c r="DW105" s="92"/>
      <c r="DX105" s="92"/>
      <c r="DY105" s="92"/>
      <c r="DZ105" s="92"/>
      <c r="EA105" s="140">
        <f t="shared" si="66"/>
        <v>0</v>
      </c>
      <c r="EB105" s="95">
        <f t="shared" si="67"/>
        <v>0</v>
      </c>
      <c r="EC105" s="96">
        <f t="shared" si="68"/>
        <v>0</v>
      </c>
      <c r="ED105" s="97">
        <f t="shared" si="69"/>
        <v>0</v>
      </c>
    </row>
    <row r="106" spans="1:134" ht="21.95" customHeight="1" x14ac:dyDescent="0.5">
      <c r="A106" s="83">
        <v>28</v>
      </c>
      <c r="B106" s="99" t="s">
        <v>261</v>
      </c>
      <c r="C106" s="104" t="s">
        <v>262</v>
      </c>
      <c r="D106" s="100" t="s">
        <v>263</v>
      </c>
      <c r="E106" s="99" t="s">
        <v>264</v>
      </c>
      <c r="F106" s="87" t="s">
        <v>194</v>
      </c>
      <c r="G106" s="141" t="s">
        <v>195</v>
      </c>
      <c r="H106" s="217">
        <v>1.1668008823220477E-2</v>
      </c>
      <c r="I106" s="94">
        <f t="shared" si="70"/>
        <v>3733.0743742620757</v>
      </c>
      <c r="J106" s="91">
        <f t="shared" si="51"/>
        <v>2818.5125433283151</v>
      </c>
      <c r="K106" s="92">
        <v>0</v>
      </c>
      <c r="L106" s="92">
        <v>0</v>
      </c>
      <c r="M106" s="92">
        <v>0</v>
      </c>
      <c r="N106" s="92">
        <v>0</v>
      </c>
      <c r="O106" s="92">
        <v>0</v>
      </c>
      <c r="P106" s="92">
        <v>0</v>
      </c>
      <c r="Q106" s="93">
        <f t="shared" si="71"/>
        <v>0</v>
      </c>
      <c r="R106" s="94">
        <v>3733.0743742620789</v>
      </c>
      <c r="S106" s="91">
        <v>2818.5125433283151</v>
      </c>
      <c r="T106" s="92">
        <v>0</v>
      </c>
      <c r="U106" s="92">
        <v>0</v>
      </c>
      <c r="V106" s="92">
        <v>0</v>
      </c>
      <c r="W106" s="92">
        <v>0</v>
      </c>
      <c r="X106" s="92">
        <v>6100</v>
      </c>
      <c r="Y106" s="92">
        <v>4320</v>
      </c>
      <c r="Z106" s="93">
        <f t="shared" si="72"/>
        <v>1.5327233544607943</v>
      </c>
      <c r="AA106" s="94">
        <v>3733.0743742620789</v>
      </c>
      <c r="AB106" s="91">
        <v>2818.5125433283151</v>
      </c>
      <c r="AC106" s="92">
        <v>0</v>
      </c>
      <c r="AD106" s="92">
        <v>0</v>
      </c>
      <c r="AE106" s="92">
        <v>0</v>
      </c>
      <c r="AF106" s="92">
        <v>0</v>
      </c>
      <c r="AG106" s="92"/>
      <c r="AH106" s="92"/>
      <c r="AI106" s="93">
        <f t="shared" si="73"/>
        <v>0</v>
      </c>
      <c r="AJ106" s="95">
        <f t="shared" si="52"/>
        <v>8455.5376299849449</v>
      </c>
      <c r="AK106" s="96">
        <f t="shared" si="74"/>
        <v>4320</v>
      </c>
      <c r="AL106" s="97">
        <f t="shared" si="53"/>
        <v>0.51090778482026478</v>
      </c>
      <c r="AN106" s="89">
        <v>7.3165279010371856E-3</v>
      </c>
      <c r="AO106" s="94"/>
      <c r="AP106" s="91"/>
      <c r="AQ106" s="92"/>
      <c r="AR106" s="92"/>
      <c r="AS106" s="92"/>
      <c r="AT106" s="92"/>
      <c r="AU106" s="92"/>
      <c r="AV106" s="92"/>
      <c r="AW106" s="140">
        <v>0</v>
      </c>
      <c r="AX106" s="94"/>
      <c r="AY106" s="91"/>
      <c r="AZ106" s="92"/>
      <c r="BA106" s="92"/>
      <c r="BB106" s="92"/>
      <c r="BC106" s="92"/>
      <c r="BD106" s="92"/>
      <c r="BE106" s="92"/>
      <c r="BF106" s="140">
        <v>0</v>
      </c>
      <c r="BG106" s="94"/>
      <c r="BH106" s="91"/>
      <c r="BI106" s="92"/>
      <c r="BJ106" s="92"/>
      <c r="BK106" s="92"/>
      <c r="BL106" s="92"/>
      <c r="BM106" s="92"/>
      <c r="BN106" s="92"/>
      <c r="BO106" s="140">
        <f t="shared" si="54"/>
        <v>0</v>
      </c>
      <c r="BP106" s="95">
        <f t="shared" si="55"/>
        <v>0</v>
      </c>
      <c r="BQ106" s="96">
        <f t="shared" si="56"/>
        <v>0</v>
      </c>
      <c r="BR106" s="97">
        <f t="shared" si="57"/>
        <v>0</v>
      </c>
      <c r="BT106" s="139"/>
      <c r="BU106" s="94"/>
      <c r="BV106" s="91"/>
      <c r="BW106" s="92"/>
      <c r="BX106" s="92"/>
      <c r="BY106" s="92"/>
      <c r="BZ106" s="92"/>
      <c r="CA106" s="92"/>
      <c r="CB106" s="92"/>
      <c r="CC106" s="140">
        <f t="shared" si="58"/>
        <v>0</v>
      </c>
      <c r="CD106" s="94"/>
      <c r="CE106" s="91"/>
      <c r="CF106" s="92"/>
      <c r="CG106" s="92"/>
      <c r="CH106" s="92"/>
      <c r="CI106" s="92"/>
      <c r="CJ106" s="92"/>
      <c r="CK106" s="92"/>
      <c r="CL106" s="140">
        <f t="shared" si="59"/>
        <v>0</v>
      </c>
      <c r="CM106" s="94"/>
      <c r="CN106" s="91"/>
      <c r="CO106" s="92"/>
      <c r="CP106" s="92"/>
      <c r="CQ106" s="92"/>
      <c r="CR106" s="92"/>
      <c r="CS106" s="92"/>
      <c r="CT106" s="92"/>
      <c r="CU106" s="140">
        <f t="shared" si="60"/>
        <v>0</v>
      </c>
      <c r="CV106" s="95">
        <f t="shared" si="61"/>
        <v>0</v>
      </c>
      <c r="CW106" s="96">
        <f t="shared" si="62"/>
        <v>0</v>
      </c>
      <c r="CX106" s="97">
        <f t="shared" si="63"/>
        <v>0</v>
      </c>
      <c r="CZ106" s="139" t="s">
        <v>195</v>
      </c>
      <c r="DA106" s="94"/>
      <c r="DB106" s="91"/>
      <c r="DC106" s="92"/>
      <c r="DD106" s="92"/>
      <c r="DE106" s="92"/>
      <c r="DF106" s="92"/>
      <c r="DG106" s="92"/>
      <c r="DH106" s="92"/>
      <c r="DI106" s="140">
        <f t="shared" si="64"/>
        <v>0</v>
      </c>
      <c r="DJ106" s="94"/>
      <c r="DK106" s="91"/>
      <c r="DL106" s="92"/>
      <c r="DM106" s="92"/>
      <c r="DN106" s="92"/>
      <c r="DO106" s="92"/>
      <c r="DP106" s="92"/>
      <c r="DQ106" s="92"/>
      <c r="DR106" s="140">
        <f t="shared" si="65"/>
        <v>0</v>
      </c>
      <c r="DS106" s="94"/>
      <c r="DT106" s="91"/>
      <c r="DU106" s="92"/>
      <c r="DV106" s="92"/>
      <c r="DW106" s="92"/>
      <c r="DX106" s="92"/>
      <c r="DY106" s="92"/>
      <c r="DZ106" s="92"/>
      <c r="EA106" s="140">
        <f t="shared" si="66"/>
        <v>0</v>
      </c>
      <c r="EB106" s="95">
        <f t="shared" si="67"/>
        <v>0</v>
      </c>
      <c r="EC106" s="96">
        <f t="shared" si="68"/>
        <v>0</v>
      </c>
      <c r="ED106" s="97">
        <f t="shared" si="69"/>
        <v>0</v>
      </c>
    </row>
    <row r="107" spans="1:134" ht="21.95" customHeight="1" x14ac:dyDescent="0.5">
      <c r="A107" s="83">
        <v>29</v>
      </c>
      <c r="B107" s="99" t="s">
        <v>265</v>
      </c>
      <c r="C107" s="104" t="s">
        <v>266</v>
      </c>
      <c r="D107" s="100" t="s">
        <v>94</v>
      </c>
      <c r="E107" s="99" t="s">
        <v>95</v>
      </c>
      <c r="F107" s="87" t="s">
        <v>194</v>
      </c>
      <c r="G107" s="141" t="s">
        <v>195</v>
      </c>
      <c r="H107" s="217">
        <v>3.4174167119385675E-3</v>
      </c>
      <c r="I107" s="94">
        <f t="shared" si="70"/>
        <v>1093.3717095006148</v>
      </c>
      <c r="J107" s="91">
        <f t="shared" si="51"/>
        <v>825.50776351916841</v>
      </c>
      <c r="K107" s="92">
        <v>0</v>
      </c>
      <c r="L107" s="92">
        <v>0</v>
      </c>
      <c r="M107" s="92">
        <v>0</v>
      </c>
      <c r="N107" s="92">
        <v>0</v>
      </c>
      <c r="O107" s="92">
        <v>700</v>
      </c>
      <c r="P107" s="92">
        <v>448</v>
      </c>
      <c r="Q107" s="93">
        <f t="shared" si="71"/>
        <v>0.54269628923919544</v>
      </c>
      <c r="R107" s="94">
        <v>1093.3717095006157</v>
      </c>
      <c r="S107" s="91">
        <v>825.50776351916841</v>
      </c>
      <c r="T107" s="92">
        <v>140</v>
      </c>
      <c r="U107" s="92">
        <v>89.600000000000009</v>
      </c>
      <c r="V107" s="92">
        <v>660</v>
      </c>
      <c r="W107" s="92">
        <v>508.80000000000007</v>
      </c>
      <c r="X107" s="92">
        <v>660</v>
      </c>
      <c r="Y107" s="92">
        <v>508.80000000000007</v>
      </c>
      <c r="Z107" s="93">
        <f t="shared" si="72"/>
        <v>0.61634792849308639</v>
      </c>
      <c r="AA107" s="94">
        <v>1093.3717095006157</v>
      </c>
      <c r="AB107" s="91">
        <v>825.50776351916841</v>
      </c>
      <c r="AC107" s="92">
        <v>0</v>
      </c>
      <c r="AD107" s="92">
        <v>0</v>
      </c>
      <c r="AE107" s="92">
        <v>0</v>
      </c>
      <c r="AF107" s="92">
        <v>0</v>
      </c>
      <c r="AG107" s="92"/>
      <c r="AH107" s="92"/>
      <c r="AI107" s="93">
        <f t="shared" si="73"/>
        <v>0</v>
      </c>
      <c r="AJ107" s="95">
        <f t="shared" si="52"/>
        <v>2476.5232905575053</v>
      </c>
      <c r="AK107" s="96">
        <f t="shared" si="74"/>
        <v>956.80000000000007</v>
      </c>
      <c r="AL107" s="97">
        <f t="shared" si="53"/>
        <v>0.38634807257742726</v>
      </c>
      <c r="AN107" s="89">
        <v>3.2179173638820957E-3</v>
      </c>
      <c r="AO107" s="94"/>
      <c r="AP107" s="91"/>
      <c r="AQ107" s="92"/>
      <c r="AR107" s="92"/>
      <c r="AS107" s="92"/>
      <c r="AT107" s="92"/>
      <c r="AU107" s="92"/>
      <c r="AV107" s="92"/>
      <c r="AW107" s="140">
        <v>0</v>
      </c>
      <c r="AX107" s="94"/>
      <c r="AY107" s="91"/>
      <c r="AZ107" s="92"/>
      <c r="BA107" s="92"/>
      <c r="BB107" s="92"/>
      <c r="BC107" s="92"/>
      <c r="BD107" s="92"/>
      <c r="BE107" s="92"/>
      <c r="BF107" s="140">
        <v>0</v>
      </c>
      <c r="BG107" s="94"/>
      <c r="BH107" s="91"/>
      <c r="BI107" s="92"/>
      <c r="BJ107" s="92"/>
      <c r="BK107" s="92"/>
      <c r="BL107" s="92"/>
      <c r="BM107" s="92"/>
      <c r="BN107" s="92"/>
      <c r="BO107" s="140">
        <f t="shared" si="54"/>
        <v>0</v>
      </c>
      <c r="BP107" s="95">
        <f t="shared" si="55"/>
        <v>0</v>
      </c>
      <c r="BQ107" s="96">
        <f t="shared" si="56"/>
        <v>0</v>
      </c>
      <c r="BR107" s="97">
        <f t="shared" si="57"/>
        <v>0</v>
      </c>
      <c r="BT107" s="139"/>
      <c r="BU107" s="94"/>
      <c r="BV107" s="91"/>
      <c r="BW107" s="92"/>
      <c r="BX107" s="92"/>
      <c r="BY107" s="92"/>
      <c r="BZ107" s="92"/>
      <c r="CA107" s="92"/>
      <c r="CB107" s="92"/>
      <c r="CC107" s="140">
        <f t="shared" si="58"/>
        <v>0</v>
      </c>
      <c r="CD107" s="94"/>
      <c r="CE107" s="91"/>
      <c r="CF107" s="92"/>
      <c r="CG107" s="92"/>
      <c r="CH107" s="92"/>
      <c r="CI107" s="92"/>
      <c r="CJ107" s="92"/>
      <c r="CK107" s="92"/>
      <c r="CL107" s="140">
        <f t="shared" si="59"/>
        <v>0</v>
      </c>
      <c r="CM107" s="94"/>
      <c r="CN107" s="91"/>
      <c r="CO107" s="92"/>
      <c r="CP107" s="92"/>
      <c r="CQ107" s="92"/>
      <c r="CR107" s="92"/>
      <c r="CS107" s="92"/>
      <c r="CT107" s="92"/>
      <c r="CU107" s="140">
        <f t="shared" si="60"/>
        <v>0</v>
      </c>
      <c r="CV107" s="95">
        <f t="shared" si="61"/>
        <v>0</v>
      </c>
      <c r="CW107" s="96">
        <f t="shared" si="62"/>
        <v>0</v>
      </c>
      <c r="CX107" s="97">
        <f t="shared" si="63"/>
        <v>0</v>
      </c>
      <c r="CZ107" s="139" t="s">
        <v>195</v>
      </c>
      <c r="DA107" s="94"/>
      <c r="DB107" s="91"/>
      <c r="DC107" s="92"/>
      <c r="DD107" s="92"/>
      <c r="DE107" s="92"/>
      <c r="DF107" s="92"/>
      <c r="DG107" s="92"/>
      <c r="DH107" s="92"/>
      <c r="DI107" s="140">
        <f t="shared" si="64"/>
        <v>0</v>
      </c>
      <c r="DJ107" s="94"/>
      <c r="DK107" s="91"/>
      <c r="DL107" s="92"/>
      <c r="DM107" s="92"/>
      <c r="DN107" s="92"/>
      <c r="DO107" s="92"/>
      <c r="DP107" s="92"/>
      <c r="DQ107" s="92"/>
      <c r="DR107" s="140">
        <f t="shared" si="65"/>
        <v>0</v>
      </c>
      <c r="DS107" s="94"/>
      <c r="DT107" s="91"/>
      <c r="DU107" s="92"/>
      <c r="DV107" s="92"/>
      <c r="DW107" s="92"/>
      <c r="DX107" s="92"/>
      <c r="DY107" s="92"/>
      <c r="DZ107" s="92"/>
      <c r="EA107" s="140">
        <f t="shared" si="66"/>
        <v>0</v>
      </c>
      <c r="EB107" s="95">
        <f t="shared" si="67"/>
        <v>0</v>
      </c>
      <c r="EC107" s="96">
        <f t="shared" si="68"/>
        <v>0</v>
      </c>
      <c r="ED107" s="97">
        <f t="shared" si="69"/>
        <v>0</v>
      </c>
    </row>
    <row r="108" spans="1:134" ht="21.95" customHeight="1" x14ac:dyDescent="0.5">
      <c r="A108" s="83">
        <v>30</v>
      </c>
      <c r="B108" s="99" t="s">
        <v>257</v>
      </c>
      <c r="C108" s="104" t="s">
        <v>267</v>
      </c>
      <c r="D108" s="100" t="s">
        <v>268</v>
      </c>
      <c r="E108" s="99" t="s">
        <v>269</v>
      </c>
      <c r="F108" s="87" t="s">
        <v>194</v>
      </c>
      <c r="G108" s="141" t="s">
        <v>195</v>
      </c>
      <c r="H108" s="217">
        <v>3.3126607340711618E-3</v>
      </c>
      <c r="I108" s="94">
        <f t="shared" si="70"/>
        <v>1059.8559775147658</v>
      </c>
      <c r="J108" s="91">
        <f t="shared" si="51"/>
        <v>800.20301426149581</v>
      </c>
      <c r="K108" s="92">
        <v>180</v>
      </c>
      <c r="L108" s="92">
        <v>180</v>
      </c>
      <c r="M108" s="92">
        <v>960</v>
      </c>
      <c r="N108" s="92">
        <v>570</v>
      </c>
      <c r="O108" s="92">
        <v>1320</v>
      </c>
      <c r="P108" s="92">
        <v>930</v>
      </c>
      <c r="Q108" s="93">
        <f t="shared" si="71"/>
        <v>1.1622050697450739</v>
      </c>
      <c r="R108" s="94">
        <v>1059.8559775147667</v>
      </c>
      <c r="S108" s="91">
        <v>800.20301426149581</v>
      </c>
      <c r="T108" s="92">
        <v>360</v>
      </c>
      <c r="U108" s="92">
        <v>360</v>
      </c>
      <c r="V108" s="92">
        <v>540</v>
      </c>
      <c r="W108" s="92">
        <v>540</v>
      </c>
      <c r="X108" s="92">
        <v>540</v>
      </c>
      <c r="Y108" s="92">
        <v>540</v>
      </c>
      <c r="Z108" s="93">
        <f t="shared" si="72"/>
        <v>0.67482875017455901</v>
      </c>
      <c r="AA108" s="94">
        <v>1059.8559775147667</v>
      </c>
      <c r="AB108" s="91">
        <v>800.20301426149581</v>
      </c>
      <c r="AC108" s="92">
        <v>180</v>
      </c>
      <c r="AD108" s="92">
        <v>180</v>
      </c>
      <c r="AE108" s="92">
        <v>960</v>
      </c>
      <c r="AF108" s="92">
        <v>570</v>
      </c>
      <c r="AG108" s="92"/>
      <c r="AH108" s="92"/>
      <c r="AI108" s="93">
        <f t="shared" si="73"/>
        <v>0</v>
      </c>
      <c r="AJ108" s="95">
        <f t="shared" si="52"/>
        <v>2400.6090427844874</v>
      </c>
      <c r="AK108" s="96">
        <f t="shared" si="74"/>
        <v>1470</v>
      </c>
      <c r="AL108" s="97">
        <f t="shared" si="53"/>
        <v>0.61234460663987755</v>
      </c>
      <c r="AN108" s="89">
        <v>4.8099396386448168E-3</v>
      </c>
      <c r="AO108" s="94"/>
      <c r="AP108" s="91"/>
      <c r="AQ108" s="92"/>
      <c r="AR108" s="92"/>
      <c r="AS108" s="92"/>
      <c r="AT108" s="92"/>
      <c r="AU108" s="92"/>
      <c r="AV108" s="92"/>
      <c r="AW108" s="140">
        <v>0</v>
      </c>
      <c r="AX108" s="94"/>
      <c r="AY108" s="91"/>
      <c r="AZ108" s="92"/>
      <c r="BA108" s="92"/>
      <c r="BB108" s="92"/>
      <c r="BC108" s="92"/>
      <c r="BD108" s="92"/>
      <c r="BE108" s="92"/>
      <c r="BF108" s="140">
        <v>0</v>
      </c>
      <c r="BG108" s="94"/>
      <c r="BH108" s="91"/>
      <c r="BI108" s="92"/>
      <c r="BJ108" s="92"/>
      <c r="BK108" s="92"/>
      <c r="BL108" s="92"/>
      <c r="BM108" s="92"/>
      <c r="BN108" s="92"/>
      <c r="BO108" s="140">
        <f t="shared" si="54"/>
        <v>0</v>
      </c>
      <c r="BP108" s="95">
        <f t="shared" si="55"/>
        <v>0</v>
      </c>
      <c r="BQ108" s="96">
        <f t="shared" si="56"/>
        <v>0</v>
      </c>
      <c r="BR108" s="97">
        <f t="shared" si="57"/>
        <v>0</v>
      </c>
      <c r="BT108" s="139"/>
      <c r="BU108" s="94"/>
      <c r="BV108" s="91"/>
      <c r="BW108" s="92"/>
      <c r="BX108" s="92"/>
      <c r="BY108" s="92"/>
      <c r="BZ108" s="92"/>
      <c r="CA108" s="92"/>
      <c r="CB108" s="92"/>
      <c r="CC108" s="140">
        <f t="shared" si="58"/>
        <v>0</v>
      </c>
      <c r="CD108" s="94"/>
      <c r="CE108" s="91"/>
      <c r="CF108" s="92"/>
      <c r="CG108" s="92"/>
      <c r="CH108" s="92"/>
      <c r="CI108" s="92"/>
      <c r="CJ108" s="92"/>
      <c r="CK108" s="92"/>
      <c r="CL108" s="140">
        <f t="shared" si="59"/>
        <v>0</v>
      </c>
      <c r="CM108" s="94"/>
      <c r="CN108" s="91"/>
      <c r="CO108" s="92"/>
      <c r="CP108" s="92"/>
      <c r="CQ108" s="92"/>
      <c r="CR108" s="92"/>
      <c r="CS108" s="92"/>
      <c r="CT108" s="92"/>
      <c r="CU108" s="140">
        <f t="shared" si="60"/>
        <v>0</v>
      </c>
      <c r="CV108" s="95">
        <f t="shared" si="61"/>
        <v>0</v>
      </c>
      <c r="CW108" s="96">
        <f t="shared" si="62"/>
        <v>0</v>
      </c>
      <c r="CX108" s="97">
        <f t="shared" si="63"/>
        <v>0</v>
      </c>
      <c r="CZ108" s="139" t="s">
        <v>195</v>
      </c>
      <c r="DA108" s="94"/>
      <c r="DB108" s="91"/>
      <c r="DC108" s="92"/>
      <c r="DD108" s="92"/>
      <c r="DE108" s="92"/>
      <c r="DF108" s="92"/>
      <c r="DG108" s="92"/>
      <c r="DH108" s="92"/>
      <c r="DI108" s="140">
        <f t="shared" si="64"/>
        <v>0</v>
      </c>
      <c r="DJ108" s="94"/>
      <c r="DK108" s="91"/>
      <c r="DL108" s="92"/>
      <c r="DM108" s="92"/>
      <c r="DN108" s="92"/>
      <c r="DO108" s="92"/>
      <c r="DP108" s="92"/>
      <c r="DQ108" s="92"/>
      <c r="DR108" s="140">
        <f t="shared" si="65"/>
        <v>0</v>
      </c>
      <c r="DS108" s="94"/>
      <c r="DT108" s="91"/>
      <c r="DU108" s="92"/>
      <c r="DV108" s="92"/>
      <c r="DW108" s="92"/>
      <c r="DX108" s="92"/>
      <c r="DY108" s="92"/>
      <c r="DZ108" s="92"/>
      <c r="EA108" s="140">
        <f t="shared" si="66"/>
        <v>0</v>
      </c>
      <c r="EB108" s="95">
        <f t="shared" si="67"/>
        <v>0</v>
      </c>
      <c r="EC108" s="96">
        <f t="shared" si="68"/>
        <v>0</v>
      </c>
      <c r="ED108" s="97">
        <f t="shared" si="69"/>
        <v>0</v>
      </c>
    </row>
    <row r="109" spans="1:134" ht="21.95" customHeight="1" x14ac:dyDescent="0.5">
      <c r="A109" s="83">
        <v>31</v>
      </c>
      <c r="B109" s="99" t="s">
        <v>270</v>
      </c>
      <c r="C109" s="104" t="s">
        <v>271</v>
      </c>
      <c r="D109" s="100" t="s">
        <v>272</v>
      </c>
      <c r="E109" s="99" t="s">
        <v>273</v>
      </c>
      <c r="F109" s="87" t="s">
        <v>194</v>
      </c>
      <c r="G109" s="141" t="s">
        <v>195</v>
      </c>
      <c r="H109" s="217">
        <v>5.234410559854347E-3</v>
      </c>
      <c r="I109" s="94">
        <f t="shared" si="70"/>
        <v>1674.7025324896633</v>
      </c>
      <c r="J109" s="91">
        <f t="shared" si="51"/>
        <v>1264.4189804278562</v>
      </c>
      <c r="K109" s="92">
        <v>1300</v>
      </c>
      <c r="L109" s="92">
        <v>1048</v>
      </c>
      <c r="M109" s="92">
        <v>1300</v>
      </c>
      <c r="N109" s="92">
        <v>1048</v>
      </c>
      <c r="O109" s="92">
        <v>1936</v>
      </c>
      <c r="P109" s="92">
        <v>1673.2</v>
      </c>
      <c r="Q109" s="93">
        <f t="shared" si="71"/>
        <v>1.3232955419838919</v>
      </c>
      <c r="R109" s="94">
        <v>1674.7025324896647</v>
      </c>
      <c r="S109" s="91">
        <v>1264.4189804278562</v>
      </c>
      <c r="T109" s="92">
        <v>1260</v>
      </c>
      <c r="U109" s="92">
        <v>1108.8</v>
      </c>
      <c r="V109" s="92">
        <v>1260</v>
      </c>
      <c r="W109" s="92">
        <v>1108.8</v>
      </c>
      <c r="X109" s="92">
        <v>1260</v>
      </c>
      <c r="Y109" s="92">
        <v>1108.8</v>
      </c>
      <c r="Z109" s="93">
        <f t="shared" si="72"/>
        <v>0.87692451407586613</v>
      </c>
      <c r="AA109" s="94">
        <v>1674.7025324896647</v>
      </c>
      <c r="AB109" s="91">
        <v>1264.4189804278562</v>
      </c>
      <c r="AC109" s="92">
        <v>600</v>
      </c>
      <c r="AD109" s="92">
        <v>600</v>
      </c>
      <c r="AE109" s="92">
        <v>2120</v>
      </c>
      <c r="AF109" s="92">
        <v>1918.4</v>
      </c>
      <c r="AG109" s="92"/>
      <c r="AH109" s="92"/>
      <c r="AI109" s="93">
        <f t="shared" si="73"/>
        <v>0</v>
      </c>
      <c r="AJ109" s="95">
        <f t="shared" si="52"/>
        <v>3793.2569412835687</v>
      </c>
      <c r="AK109" s="96">
        <f t="shared" si="74"/>
        <v>2782</v>
      </c>
      <c r="AL109" s="97">
        <f t="shared" si="53"/>
        <v>0.73340668535325271</v>
      </c>
      <c r="AN109" s="89">
        <v>1.0703809336702549E-2</v>
      </c>
      <c r="AO109" s="94"/>
      <c r="AP109" s="91"/>
      <c r="AQ109" s="92"/>
      <c r="AR109" s="92"/>
      <c r="AS109" s="92"/>
      <c r="AT109" s="92"/>
      <c r="AU109" s="92"/>
      <c r="AV109" s="92"/>
      <c r="AW109" s="140">
        <v>0</v>
      </c>
      <c r="AX109" s="94"/>
      <c r="AY109" s="91"/>
      <c r="AZ109" s="92"/>
      <c r="BA109" s="92"/>
      <c r="BB109" s="92"/>
      <c r="BC109" s="92"/>
      <c r="BD109" s="92"/>
      <c r="BE109" s="92"/>
      <c r="BF109" s="140">
        <v>0</v>
      </c>
      <c r="BG109" s="94"/>
      <c r="BH109" s="91"/>
      <c r="BI109" s="92"/>
      <c r="BJ109" s="92"/>
      <c r="BK109" s="92"/>
      <c r="BL109" s="92"/>
      <c r="BM109" s="92"/>
      <c r="BN109" s="92"/>
      <c r="BO109" s="140">
        <f t="shared" si="54"/>
        <v>0</v>
      </c>
      <c r="BP109" s="95">
        <f t="shared" si="55"/>
        <v>0</v>
      </c>
      <c r="BQ109" s="96">
        <f t="shared" si="56"/>
        <v>0</v>
      </c>
      <c r="BR109" s="97">
        <f t="shared" si="57"/>
        <v>0</v>
      </c>
      <c r="BT109" s="139"/>
      <c r="BU109" s="94"/>
      <c r="BV109" s="91"/>
      <c r="BW109" s="92"/>
      <c r="BX109" s="92"/>
      <c r="BY109" s="92"/>
      <c r="BZ109" s="92"/>
      <c r="CA109" s="92"/>
      <c r="CB109" s="92"/>
      <c r="CC109" s="140">
        <f t="shared" si="58"/>
        <v>0</v>
      </c>
      <c r="CD109" s="94"/>
      <c r="CE109" s="91"/>
      <c r="CF109" s="92"/>
      <c r="CG109" s="92"/>
      <c r="CH109" s="92"/>
      <c r="CI109" s="92"/>
      <c r="CJ109" s="92"/>
      <c r="CK109" s="92"/>
      <c r="CL109" s="140">
        <f t="shared" si="59"/>
        <v>0</v>
      </c>
      <c r="CM109" s="94"/>
      <c r="CN109" s="91"/>
      <c r="CO109" s="92"/>
      <c r="CP109" s="92"/>
      <c r="CQ109" s="92"/>
      <c r="CR109" s="92"/>
      <c r="CS109" s="92"/>
      <c r="CT109" s="92"/>
      <c r="CU109" s="140">
        <f t="shared" si="60"/>
        <v>0</v>
      </c>
      <c r="CV109" s="95">
        <f t="shared" si="61"/>
        <v>0</v>
      </c>
      <c r="CW109" s="96">
        <f t="shared" si="62"/>
        <v>0</v>
      </c>
      <c r="CX109" s="97">
        <f t="shared" si="63"/>
        <v>0</v>
      </c>
      <c r="CZ109" s="139" t="s">
        <v>195</v>
      </c>
      <c r="DA109" s="94"/>
      <c r="DB109" s="91"/>
      <c r="DC109" s="92"/>
      <c r="DD109" s="92"/>
      <c r="DE109" s="92"/>
      <c r="DF109" s="92"/>
      <c r="DG109" s="92"/>
      <c r="DH109" s="92"/>
      <c r="DI109" s="140">
        <f t="shared" si="64"/>
        <v>0</v>
      </c>
      <c r="DJ109" s="94"/>
      <c r="DK109" s="91"/>
      <c r="DL109" s="92"/>
      <c r="DM109" s="92"/>
      <c r="DN109" s="92"/>
      <c r="DO109" s="92"/>
      <c r="DP109" s="92"/>
      <c r="DQ109" s="92"/>
      <c r="DR109" s="140">
        <f t="shared" si="65"/>
        <v>0</v>
      </c>
      <c r="DS109" s="94"/>
      <c r="DT109" s="91"/>
      <c r="DU109" s="92"/>
      <c r="DV109" s="92"/>
      <c r="DW109" s="92"/>
      <c r="DX109" s="92"/>
      <c r="DY109" s="92"/>
      <c r="DZ109" s="92"/>
      <c r="EA109" s="140">
        <f t="shared" si="66"/>
        <v>0</v>
      </c>
      <c r="EB109" s="95">
        <f t="shared" si="67"/>
        <v>0</v>
      </c>
      <c r="EC109" s="96">
        <f t="shared" si="68"/>
        <v>0</v>
      </c>
      <c r="ED109" s="97">
        <f t="shared" si="69"/>
        <v>0</v>
      </c>
    </row>
    <row r="110" spans="1:134" ht="21.95" customHeight="1" x14ac:dyDescent="0.5">
      <c r="A110" s="83">
        <v>32</v>
      </c>
      <c r="B110" s="99" t="s">
        <v>274</v>
      </c>
      <c r="C110" s="104" t="s">
        <v>274</v>
      </c>
      <c r="D110" s="99" t="s">
        <v>272</v>
      </c>
      <c r="E110" s="99" t="s">
        <v>273</v>
      </c>
      <c r="F110" s="87" t="s">
        <v>194</v>
      </c>
      <c r="G110" s="141" t="s">
        <v>195</v>
      </c>
      <c r="H110" s="217">
        <v>1.1173029768768827E-2</v>
      </c>
      <c r="I110" s="94">
        <f t="shared" si="70"/>
        <v>3574.710282156434</v>
      </c>
      <c r="J110" s="91">
        <f t="shared" si="51"/>
        <v>2698.945897914029</v>
      </c>
      <c r="K110" s="92">
        <v>300</v>
      </c>
      <c r="L110" s="92">
        <v>210</v>
      </c>
      <c r="M110" s="92">
        <v>300</v>
      </c>
      <c r="N110" s="92">
        <v>210</v>
      </c>
      <c r="O110" s="92">
        <v>3780</v>
      </c>
      <c r="P110" s="92">
        <v>2782.8</v>
      </c>
      <c r="Q110" s="93">
        <f t="shared" si="71"/>
        <v>1.0310692045182457</v>
      </c>
      <c r="R110" s="94">
        <v>3574.7102821564376</v>
      </c>
      <c r="S110" s="91">
        <v>2698.945897914029</v>
      </c>
      <c r="T110" s="92">
        <v>0</v>
      </c>
      <c r="U110" s="92">
        <v>0</v>
      </c>
      <c r="V110" s="92">
        <v>2280</v>
      </c>
      <c r="W110" s="92">
        <v>1675.2</v>
      </c>
      <c r="X110" s="92">
        <v>2280</v>
      </c>
      <c r="Y110" s="92">
        <v>1675.2</v>
      </c>
      <c r="Z110" s="93">
        <f t="shared" si="72"/>
        <v>0.62068676563495939</v>
      </c>
      <c r="AA110" s="94">
        <v>3574.7102821564376</v>
      </c>
      <c r="AB110" s="91">
        <v>2698.945897914029</v>
      </c>
      <c r="AC110" s="92">
        <v>5820</v>
      </c>
      <c r="AD110" s="92">
        <v>4387.2</v>
      </c>
      <c r="AE110" s="92">
        <v>9120</v>
      </c>
      <c r="AF110" s="92">
        <v>6931.2</v>
      </c>
      <c r="AG110" s="92"/>
      <c r="AH110" s="92"/>
      <c r="AI110" s="93">
        <f t="shared" si="73"/>
        <v>0</v>
      </c>
      <c r="AJ110" s="95">
        <f t="shared" si="52"/>
        <v>8096.8376937420871</v>
      </c>
      <c r="AK110" s="96">
        <f t="shared" si="74"/>
        <v>4458</v>
      </c>
      <c r="AL110" s="97">
        <f t="shared" si="53"/>
        <v>0.55058532338440169</v>
      </c>
      <c r="AN110" s="89">
        <v>1.86300478961595E-3</v>
      </c>
      <c r="AO110" s="94"/>
      <c r="AP110" s="91"/>
      <c r="AQ110" s="92"/>
      <c r="AR110" s="92"/>
      <c r="AS110" s="92"/>
      <c r="AT110" s="92"/>
      <c r="AU110" s="92"/>
      <c r="AV110" s="92"/>
      <c r="AW110" s="140">
        <v>0</v>
      </c>
      <c r="AX110" s="94"/>
      <c r="AY110" s="91"/>
      <c r="AZ110" s="92"/>
      <c r="BA110" s="92"/>
      <c r="BB110" s="92"/>
      <c r="BC110" s="92"/>
      <c r="BD110" s="92"/>
      <c r="BE110" s="92"/>
      <c r="BF110" s="140">
        <v>0</v>
      </c>
      <c r="BG110" s="94"/>
      <c r="BH110" s="91"/>
      <c r="BI110" s="92"/>
      <c r="BJ110" s="92"/>
      <c r="BK110" s="92"/>
      <c r="BL110" s="92"/>
      <c r="BM110" s="92"/>
      <c r="BN110" s="92"/>
      <c r="BO110" s="140">
        <f t="shared" si="54"/>
        <v>0</v>
      </c>
      <c r="BP110" s="95">
        <f t="shared" si="55"/>
        <v>0</v>
      </c>
      <c r="BQ110" s="96">
        <f t="shared" si="56"/>
        <v>0</v>
      </c>
      <c r="BR110" s="97">
        <f t="shared" si="57"/>
        <v>0</v>
      </c>
      <c r="BT110" s="139"/>
      <c r="BU110" s="94"/>
      <c r="BV110" s="91"/>
      <c r="BW110" s="92"/>
      <c r="BX110" s="92"/>
      <c r="BY110" s="92"/>
      <c r="BZ110" s="92"/>
      <c r="CA110" s="92"/>
      <c r="CB110" s="92"/>
      <c r="CC110" s="140">
        <f t="shared" si="58"/>
        <v>0</v>
      </c>
      <c r="CD110" s="94"/>
      <c r="CE110" s="91"/>
      <c r="CF110" s="92"/>
      <c r="CG110" s="92"/>
      <c r="CH110" s="92"/>
      <c r="CI110" s="92"/>
      <c r="CJ110" s="92"/>
      <c r="CK110" s="92"/>
      <c r="CL110" s="140">
        <f t="shared" si="59"/>
        <v>0</v>
      </c>
      <c r="CM110" s="94"/>
      <c r="CN110" s="91"/>
      <c r="CO110" s="92"/>
      <c r="CP110" s="92"/>
      <c r="CQ110" s="92"/>
      <c r="CR110" s="92"/>
      <c r="CS110" s="92"/>
      <c r="CT110" s="92"/>
      <c r="CU110" s="140">
        <f t="shared" si="60"/>
        <v>0</v>
      </c>
      <c r="CV110" s="95">
        <f t="shared" si="61"/>
        <v>0</v>
      </c>
      <c r="CW110" s="96">
        <f t="shared" si="62"/>
        <v>0</v>
      </c>
      <c r="CX110" s="97">
        <f t="shared" si="63"/>
        <v>0</v>
      </c>
      <c r="CZ110" s="139" t="s">
        <v>195</v>
      </c>
      <c r="DA110" s="94"/>
      <c r="DB110" s="91"/>
      <c r="DC110" s="92"/>
      <c r="DD110" s="92"/>
      <c r="DE110" s="92"/>
      <c r="DF110" s="92"/>
      <c r="DG110" s="92"/>
      <c r="DH110" s="92"/>
      <c r="DI110" s="140">
        <f t="shared" si="64"/>
        <v>0</v>
      </c>
      <c r="DJ110" s="94"/>
      <c r="DK110" s="91"/>
      <c r="DL110" s="92"/>
      <c r="DM110" s="92"/>
      <c r="DN110" s="92"/>
      <c r="DO110" s="92"/>
      <c r="DP110" s="92"/>
      <c r="DQ110" s="92"/>
      <c r="DR110" s="140">
        <f t="shared" si="65"/>
        <v>0</v>
      </c>
      <c r="DS110" s="94"/>
      <c r="DT110" s="91"/>
      <c r="DU110" s="92"/>
      <c r="DV110" s="92"/>
      <c r="DW110" s="92"/>
      <c r="DX110" s="92"/>
      <c r="DY110" s="92"/>
      <c r="DZ110" s="92"/>
      <c r="EA110" s="140">
        <f t="shared" si="66"/>
        <v>0</v>
      </c>
      <c r="EB110" s="95">
        <f t="shared" si="67"/>
        <v>0</v>
      </c>
      <c r="EC110" s="96">
        <f t="shared" si="68"/>
        <v>0</v>
      </c>
      <c r="ED110" s="97">
        <f t="shared" si="69"/>
        <v>0</v>
      </c>
    </row>
    <row r="111" spans="1:134" ht="21.95" customHeight="1" x14ac:dyDescent="0.5">
      <c r="A111" s="83">
        <v>33</v>
      </c>
      <c r="B111" s="103" t="s">
        <v>275</v>
      </c>
      <c r="C111" s="99" t="s">
        <v>276</v>
      </c>
      <c r="D111" s="99" t="s">
        <v>277</v>
      </c>
      <c r="E111" s="104"/>
      <c r="F111" s="87" t="s">
        <v>194</v>
      </c>
      <c r="G111" s="141" t="s">
        <v>195</v>
      </c>
      <c r="H111" s="217">
        <v>3.4877246323940497E-3</v>
      </c>
      <c r="I111" s="94">
        <f t="shared" si="70"/>
        <v>1115.8660956582328</v>
      </c>
      <c r="J111" s="91">
        <f t="shared" ref="J111:J142" si="75">H111*$I$77</f>
        <v>842.49127447647425</v>
      </c>
      <c r="K111" s="92">
        <v>0</v>
      </c>
      <c r="L111" s="92">
        <v>0</v>
      </c>
      <c r="M111" s="92">
        <v>1200</v>
      </c>
      <c r="N111" s="92">
        <v>1020</v>
      </c>
      <c r="O111" s="92">
        <v>2400</v>
      </c>
      <c r="P111" s="92">
        <v>2220</v>
      </c>
      <c r="Q111" s="93">
        <f t="shared" si="71"/>
        <v>2.6350421271478597</v>
      </c>
      <c r="R111" s="94">
        <v>1115.8660956582339</v>
      </c>
      <c r="S111" s="91">
        <v>842.49127447647425</v>
      </c>
      <c r="T111" s="92">
        <v>0</v>
      </c>
      <c r="U111" s="92">
        <v>0</v>
      </c>
      <c r="V111" s="92">
        <v>0</v>
      </c>
      <c r="W111" s="92">
        <v>0</v>
      </c>
      <c r="X111" s="92">
        <v>0</v>
      </c>
      <c r="Y111" s="92">
        <v>0</v>
      </c>
      <c r="Z111" s="93">
        <f t="shared" si="72"/>
        <v>0</v>
      </c>
      <c r="AA111" s="94">
        <v>1115.8660956582339</v>
      </c>
      <c r="AB111" s="91">
        <v>842.49127447647425</v>
      </c>
      <c r="AC111" s="92">
        <v>2400</v>
      </c>
      <c r="AD111" s="92">
        <v>2220</v>
      </c>
      <c r="AE111" s="92">
        <v>2400</v>
      </c>
      <c r="AF111" s="92">
        <v>2220</v>
      </c>
      <c r="AG111" s="92"/>
      <c r="AH111" s="92"/>
      <c r="AI111" s="93">
        <f t="shared" si="73"/>
        <v>0</v>
      </c>
      <c r="AJ111" s="95">
        <f t="shared" si="52"/>
        <v>2527.4738234294227</v>
      </c>
      <c r="AK111" s="96">
        <f t="shared" si="74"/>
        <v>2220</v>
      </c>
      <c r="AL111" s="97">
        <f t="shared" si="53"/>
        <v>0.87834737571595323</v>
      </c>
      <c r="AN111" s="89">
        <v>4.0376394713131133E-2</v>
      </c>
      <c r="AO111" s="94"/>
      <c r="AP111" s="91"/>
      <c r="AQ111" s="92"/>
      <c r="AR111" s="92"/>
      <c r="AS111" s="92"/>
      <c r="AT111" s="92"/>
      <c r="AU111" s="92"/>
      <c r="AV111" s="92"/>
      <c r="AW111" s="140">
        <v>0</v>
      </c>
      <c r="AX111" s="94"/>
      <c r="AY111" s="91"/>
      <c r="AZ111" s="92"/>
      <c r="BA111" s="92"/>
      <c r="BB111" s="92"/>
      <c r="BC111" s="92"/>
      <c r="BD111" s="92"/>
      <c r="BE111" s="92"/>
      <c r="BF111" s="140">
        <v>0</v>
      </c>
      <c r="BG111" s="94"/>
      <c r="BH111" s="91"/>
      <c r="BI111" s="92"/>
      <c r="BJ111" s="92"/>
      <c r="BK111" s="92"/>
      <c r="BL111" s="92"/>
      <c r="BM111" s="92"/>
      <c r="BN111" s="92"/>
      <c r="BO111" s="140">
        <f t="shared" si="54"/>
        <v>0</v>
      </c>
      <c r="BP111" s="95">
        <f t="shared" si="55"/>
        <v>0</v>
      </c>
      <c r="BQ111" s="96">
        <f t="shared" si="56"/>
        <v>0</v>
      </c>
      <c r="BR111" s="97">
        <f t="shared" si="57"/>
        <v>0</v>
      </c>
      <c r="BT111" s="139"/>
      <c r="BU111" s="94"/>
      <c r="BV111" s="91"/>
      <c r="BW111" s="92"/>
      <c r="BX111" s="92"/>
      <c r="BY111" s="92"/>
      <c r="BZ111" s="92"/>
      <c r="CA111" s="92"/>
      <c r="CB111" s="92"/>
      <c r="CC111" s="140">
        <f t="shared" si="58"/>
        <v>0</v>
      </c>
      <c r="CD111" s="94"/>
      <c r="CE111" s="91"/>
      <c r="CF111" s="92"/>
      <c r="CG111" s="92"/>
      <c r="CH111" s="92"/>
      <c r="CI111" s="92"/>
      <c r="CJ111" s="92"/>
      <c r="CK111" s="92"/>
      <c r="CL111" s="140">
        <f t="shared" si="59"/>
        <v>0</v>
      </c>
      <c r="CM111" s="94"/>
      <c r="CN111" s="91"/>
      <c r="CO111" s="92"/>
      <c r="CP111" s="92"/>
      <c r="CQ111" s="92"/>
      <c r="CR111" s="92"/>
      <c r="CS111" s="92"/>
      <c r="CT111" s="92"/>
      <c r="CU111" s="140">
        <f t="shared" si="60"/>
        <v>0</v>
      </c>
      <c r="CV111" s="95">
        <f t="shared" si="61"/>
        <v>0</v>
      </c>
      <c r="CW111" s="96">
        <f t="shared" si="62"/>
        <v>0</v>
      </c>
      <c r="CX111" s="97">
        <f t="shared" si="63"/>
        <v>0</v>
      </c>
      <c r="CZ111" s="139" t="s">
        <v>195</v>
      </c>
      <c r="DA111" s="94"/>
      <c r="DB111" s="91"/>
      <c r="DC111" s="92"/>
      <c r="DD111" s="92"/>
      <c r="DE111" s="92"/>
      <c r="DF111" s="92"/>
      <c r="DG111" s="92"/>
      <c r="DH111" s="92"/>
      <c r="DI111" s="140">
        <f t="shared" si="64"/>
        <v>0</v>
      </c>
      <c r="DJ111" s="94"/>
      <c r="DK111" s="91"/>
      <c r="DL111" s="92"/>
      <c r="DM111" s="92"/>
      <c r="DN111" s="92"/>
      <c r="DO111" s="92"/>
      <c r="DP111" s="92"/>
      <c r="DQ111" s="92"/>
      <c r="DR111" s="140">
        <f t="shared" si="65"/>
        <v>0</v>
      </c>
      <c r="DS111" s="94"/>
      <c r="DT111" s="91"/>
      <c r="DU111" s="92"/>
      <c r="DV111" s="92"/>
      <c r="DW111" s="92"/>
      <c r="DX111" s="92"/>
      <c r="DY111" s="92"/>
      <c r="DZ111" s="92"/>
      <c r="EA111" s="140">
        <f t="shared" si="66"/>
        <v>0</v>
      </c>
      <c r="EB111" s="95">
        <f t="shared" si="67"/>
        <v>0</v>
      </c>
      <c r="EC111" s="96">
        <f t="shared" si="68"/>
        <v>0</v>
      </c>
      <c r="ED111" s="97">
        <f t="shared" si="69"/>
        <v>0</v>
      </c>
    </row>
    <row r="112" spans="1:134" ht="21.95" customHeight="1" x14ac:dyDescent="0.5">
      <c r="A112" s="83">
        <v>34</v>
      </c>
      <c r="B112" s="99" t="s">
        <v>278</v>
      </c>
      <c r="C112" s="142" t="s">
        <v>279</v>
      </c>
      <c r="D112" s="100" t="s">
        <v>272</v>
      </c>
      <c r="E112" s="105" t="s">
        <v>273</v>
      </c>
      <c r="F112" s="87" t="s">
        <v>194</v>
      </c>
      <c r="G112" s="141" t="s">
        <v>195</v>
      </c>
      <c r="H112" s="217">
        <v>6.576190632161384E-3</v>
      </c>
      <c r="I112" s="94">
        <f t="shared" si="70"/>
        <v>2103.992986389268</v>
      </c>
      <c r="J112" s="91">
        <f t="shared" si="75"/>
        <v>1588.5380329142718</v>
      </c>
      <c r="K112" s="92">
        <v>2600</v>
      </c>
      <c r="L112" s="92">
        <v>2096</v>
      </c>
      <c r="M112" s="92">
        <v>2600</v>
      </c>
      <c r="N112" s="92">
        <v>2096</v>
      </c>
      <c r="O112" s="92">
        <v>4500</v>
      </c>
      <c r="P112" s="92">
        <v>3744</v>
      </c>
      <c r="Q112" s="93">
        <f t="shared" si="71"/>
        <v>2.3568840798425201</v>
      </c>
      <c r="R112" s="94">
        <v>2103.9929863892703</v>
      </c>
      <c r="S112" s="91">
        <v>1588.5380329142718</v>
      </c>
      <c r="T112" s="92">
        <v>1200</v>
      </c>
      <c r="U112" s="92">
        <v>1200</v>
      </c>
      <c r="V112" s="92">
        <v>1200</v>
      </c>
      <c r="W112" s="92">
        <v>1200</v>
      </c>
      <c r="X112" s="92">
        <v>1200</v>
      </c>
      <c r="Y112" s="92">
        <v>1200</v>
      </c>
      <c r="Z112" s="93">
        <f t="shared" si="72"/>
        <v>0.75541156405208976</v>
      </c>
      <c r="AA112" s="94">
        <v>2103.9929863892703</v>
      </c>
      <c r="AB112" s="91">
        <v>1588.5380329142718</v>
      </c>
      <c r="AC112" s="92">
        <v>2560</v>
      </c>
      <c r="AD112" s="92">
        <v>1926</v>
      </c>
      <c r="AE112" s="92">
        <v>3520</v>
      </c>
      <c r="AF112" s="92">
        <v>2886</v>
      </c>
      <c r="AG112" s="92"/>
      <c r="AH112" s="92"/>
      <c r="AI112" s="93">
        <f t="shared" si="73"/>
        <v>0</v>
      </c>
      <c r="AJ112" s="95">
        <f t="shared" si="52"/>
        <v>4765.6140987428153</v>
      </c>
      <c r="AK112" s="96">
        <f t="shared" si="74"/>
        <v>4944</v>
      </c>
      <c r="AL112" s="97">
        <f t="shared" si="53"/>
        <v>1.0374318812982033</v>
      </c>
      <c r="AN112" s="89">
        <v>0</v>
      </c>
      <c r="AO112" s="94"/>
      <c r="AP112" s="91"/>
      <c r="AQ112" s="92"/>
      <c r="AR112" s="92"/>
      <c r="AS112" s="92"/>
      <c r="AT112" s="92"/>
      <c r="AU112" s="92"/>
      <c r="AV112" s="92"/>
      <c r="AW112" s="140">
        <v>0</v>
      </c>
      <c r="AX112" s="94"/>
      <c r="AY112" s="91"/>
      <c r="AZ112" s="92"/>
      <c r="BA112" s="92"/>
      <c r="BB112" s="92"/>
      <c r="BC112" s="92"/>
      <c r="BD112" s="92"/>
      <c r="BE112" s="92"/>
      <c r="BF112" s="140">
        <v>0</v>
      </c>
      <c r="BG112" s="94"/>
      <c r="BH112" s="91"/>
      <c r="BI112" s="92"/>
      <c r="BJ112" s="92"/>
      <c r="BK112" s="92"/>
      <c r="BL112" s="92"/>
      <c r="BM112" s="92"/>
      <c r="BN112" s="92"/>
      <c r="BO112" s="140">
        <f t="shared" si="54"/>
        <v>0</v>
      </c>
      <c r="BP112" s="95">
        <f t="shared" si="55"/>
        <v>0</v>
      </c>
      <c r="BQ112" s="96">
        <f t="shared" si="56"/>
        <v>0</v>
      </c>
      <c r="BR112" s="97">
        <f t="shared" si="57"/>
        <v>0</v>
      </c>
      <c r="BT112" s="139"/>
      <c r="BU112" s="94"/>
      <c r="BV112" s="91"/>
      <c r="BW112" s="92"/>
      <c r="BX112" s="92"/>
      <c r="BY112" s="92"/>
      <c r="BZ112" s="92"/>
      <c r="CA112" s="92"/>
      <c r="CB112" s="92"/>
      <c r="CC112" s="140">
        <f t="shared" si="58"/>
        <v>0</v>
      </c>
      <c r="CD112" s="94"/>
      <c r="CE112" s="91"/>
      <c r="CF112" s="92"/>
      <c r="CG112" s="92"/>
      <c r="CH112" s="92"/>
      <c r="CI112" s="92"/>
      <c r="CJ112" s="92"/>
      <c r="CK112" s="92"/>
      <c r="CL112" s="140">
        <f t="shared" si="59"/>
        <v>0</v>
      </c>
      <c r="CM112" s="94"/>
      <c r="CN112" s="91"/>
      <c r="CO112" s="92"/>
      <c r="CP112" s="92"/>
      <c r="CQ112" s="92"/>
      <c r="CR112" s="92"/>
      <c r="CS112" s="92"/>
      <c r="CT112" s="92"/>
      <c r="CU112" s="140">
        <f t="shared" si="60"/>
        <v>0</v>
      </c>
      <c r="CV112" s="95">
        <f t="shared" si="61"/>
        <v>0</v>
      </c>
      <c r="CW112" s="96">
        <f t="shared" si="62"/>
        <v>0</v>
      </c>
      <c r="CX112" s="97">
        <f t="shared" si="63"/>
        <v>0</v>
      </c>
      <c r="CZ112" s="139" t="s">
        <v>195</v>
      </c>
      <c r="DA112" s="94"/>
      <c r="DB112" s="91"/>
      <c r="DC112" s="92"/>
      <c r="DD112" s="92"/>
      <c r="DE112" s="92"/>
      <c r="DF112" s="92"/>
      <c r="DG112" s="92"/>
      <c r="DH112" s="92"/>
      <c r="DI112" s="140">
        <f t="shared" si="64"/>
        <v>0</v>
      </c>
      <c r="DJ112" s="94"/>
      <c r="DK112" s="91"/>
      <c r="DL112" s="92"/>
      <c r="DM112" s="92"/>
      <c r="DN112" s="92"/>
      <c r="DO112" s="92"/>
      <c r="DP112" s="92"/>
      <c r="DQ112" s="92"/>
      <c r="DR112" s="140">
        <f t="shared" si="65"/>
        <v>0</v>
      </c>
      <c r="DS112" s="94"/>
      <c r="DT112" s="91"/>
      <c r="DU112" s="92"/>
      <c r="DV112" s="92"/>
      <c r="DW112" s="92"/>
      <c r="DX112" s="92"/>
      <c r="DY112" s="92"/>
      <c r="DZ112" s="92"/>
      <c r="EA112" s="140">
        <f t="shared" si="66"/>
        <v>0</v>
      </c>
      <c r="EB112" s="95">
        <f t="shared" si="67"/>
        <v>0</v>
      </c>
      <c r="EC112" s="96">
        <f t="shared" si="68"/>
        <v>0</v>
      </c>
      <c r="ED112" s="97">
        <f t="shared" si="69"/>
        <v>0</v>
      </c>
    </row>
    <row r="113" spans="1:134" ht="21.95" customHeight="1" x14ac:dyDescent="0.5">
      <c r="A113" s="83">
        <v>35</v>
      </c>
      <c r="B113" s="99" t="s">
        <v>280</v>
      </c>
      <c r="C113" s="143" t="s">
        <v>281</v>
      </c>
      <c r="D113" s="99" t="s">
        <v>272</v>
      </c>
      <c r="E113" s="105" t="s">
        <v>273</v>
      </c>
      <c r="F113" s="87" t="s">
        <v>194</v>
      </c>
      <c r="G113" s="144" t="s">
        <v>195</v>
      </c>
      <c r="H113" s="217">
        <v>1.0682850853464742E-2</v>
      </c>
      <c r="I113" s="94">
        <f t="shared" si="70"/>
        <v>3417.8819513547269</v>
      </c>
      <c r="J113" s="91">
        <f t="shared" si="75"/>
        <v>2580.5387693120897</v>
      </c>
      <c r="K113" s="92">
        <v>1400</v>
      </c>
      <c r="L113" s="92">
        <v>896</v>
      </c>
      <c r="M113" s="92">
        <v>1400</v>
      </c>
      <c r="N113" s="92">
        <v>896</v>
      </c>
      <c r="O113" s="92">
        <v>3160</v>
      </c>
      <c r="P113" s="92">
        <v>2152</v>
      </c>
      <c r="Q113" s="93">
        <f t="shared" si="71"/>
        <v>0.83393438052227831</v>
      </c>
      <c r="R113" s="94">
        <v>3417.8819513547301</v>
      </c>
      <c r="S113" s="91">
        <v>2580.5387693120897</v>
      </c>
      <c r="T113" s="92">
        <v>1640</v>
      </c>
      <c r="U113" s="92">
        <v>1136</v>
      </c>
      <c r="V113" s="92">
        <v>3160</v>
      </c>
      <c r="W113" s="92">
        <v>2152</v>
      </c>
      <c r="X113" s="92">
        <v>3160</v>
      </c>
      <c r="Y113" s="92">
        <v>2152</v>
      </c>
      <c r="Z113" s="93">
        <f t="shared" si="72"/>
        <v>0.83393438052227831</v>
      </c>
      <c r="AA113" s="94">
        <v>3417.8819513547301</v>
      </c>
      <c r="AB113" s="91">
        <v>2580.5387693120897</v>
      </c>
      <c r="AC113" s="92">
        <v>2220</v>
      </c>
      <c r="AD113" s="92">
        <v>1464</v>
      </c>
      <c r="AE113" s="92">
        <v>3280</v>
      </c>
      <c r="AF113" s="92">
        <v>2272</v>
      </c>
      <c r="AG113" s="92"/>
      <c r="AH113" s="92"/>
      <c r="AI113" s="93">
        <f t="shared" si="73"/>
        <v>0</v>
      </c>
      <c r="AJ113" s="95">
        <f t="shared" si="52"/>
        <v>7741.6163079362686</v>
      </c>
      <c r="AK113" s="96">
        <f t="shared" si="74"/>
        <v>4304</v>
      </c>
      <c r="AL113" s="97">
        <f t="shared" si="53"/>
        <v>0.55595625368151891</v>
      </c>
      <c r="AN113" s="89">
        <v>4.166356165868397E-2</v>
      </c>
      <c r="AO113" s="94"/>
      <c r="AP113" s="91"/>
      <c r="AQ113" s="92"/>
      <c r="AR113" s="92"/>
      <c r="AS113" s="92"/>
      <c r="AT113" s="92"/>
      <c r="AU113" s="92"/>
      <c r="AV113" s="92"/>
      <c r="AW113" s="140">
        <v>0</v>
      </c>
      <c r="AX113" s="94"/>
      <c r="AY113" s="91"/>
      <c r="AZ113" s="92"/>
      <c r="BA113" s="92"/>
      <c r="BB113" s="92"/>
      <c r="BC113" s="92"/>
      <c r="BD113" s="92"/>
      <c r="BE113" s="92"/>
      <c r="BF113" s="140">
        <v>0</v>
      </c>
      <c r="BG113" s="94"/>
      <c r="BH113" s="91"/>
      <c r="BI113" s="92"/>
      <c r="BJ113" s="92"/>
      <c r="BK113" s="92"/>
      <c r="BL113" s="92"/>
      <c r="BM113" s="92"/>
      <c r="BN113" s="92"/>
      <c r="BO113" s="140">
        <f t="shared" si="54"/>
        <v>0</v>
      </c>
      <c r="BP113" s="95">
        <f t="shared" si="55"/>
        <v>0</v>
      </c>
      <c r="BQ113" s="96">
        <f t="shared" si="56"/>
        <v>0</v>
      </c>
      <c r="BR113" s="97">
        <f t="shared" si="57"/>
        <v>0</v>
      </c>
      <c r="BT113" s="139"/>
      <c r="BU113" s="94"/>
      <c r="BV113" s="91"/>
      <c r="BW113" s="92"/>
      <c r="BX113" s="92"/>
      <c r="BY113" s="92"/>
      <c r="BZ113" s="92"/>
      <c r="CA113" s="92"/>
      <c r="CB113" s="92"/>
      <c r="CC113" s="140">
        <f t="shared" si="58"/>
        <v>0</v>
      </c>
      <c r="CD113" s="94"/>
      <c r="CE113" s="91"/>
      <c r="CF113" s="92"/>
      <c r="CG113" s="92"/>
      <c r="CH113" s="92"/>
      <c r="CI113" s="92"/>
      <c r="CJ113" s="92"/>
      <c r="CK113" s="92"/>
      <c r="CL113" s="140">
        <f t="shared" si="59"/>
        <v>0</v>
      </c>
      <c r="CM113" s="94"/>
      <c r="CN113" s="91"/>
      <c r="CO113" s="92"/>
      <c r="CP113" s="92"/>
      <c r="CQ113" s="92"/>
      <c r="CR113" s="92"/>
      <c r="CS113" s="92"/>
      <c r="CT113" s="92"/>
      <c r="CU113" s="140">
        <f t="shared" si="60"/>
        <v>0</v>
      </c>
      <c r="CV113" s="95">
        <f t="shared" si="61"/>
        <v>0</v>
      </c>
      <c r="CW113" s="96">
        <f t="shared" si="62"/>
        <v>0</v>
      </c>
      <c r="CX113" s="97">
        <f t="shared" si="63"/>
        <v>0</v>
      </c>
      <c r="CZ113" s="139" t="s">
        <v>195</v>
      </c>
      <c r="DA113" s="94"/>
      <c r="DB113" s="91"/>
      <c r="DC113" s="92"/>
      <c r="DD113" s="92"/>
      <c r="DE113" s="92"/>
      <c r="DF113" s="92"/>
      <c r="DG113" s="92"/>
      <c r="DH113" s="92"/>
      <c r="DI113" s="140">
        <f t="shared" si="64"/>
        <v>0</v>
      </c>
      <c r="DJ113" s="94"/>
      <c r="DK113" s="91"/>
      <c r="DL113" s="92"/>
      <c r="DM113" s="92"/>
      <c r="DN113" s="92"/>
      <c r="DO113" s="92"/>
      <c r="DP113" s="92"/>
      <c r="DQ113" s="92"/>
      <c r="DR113" s="140">
        <f t="shared" si="65"/>
        <v>0</v>
      </c>
      <c r="DS113" s="94"/>
      <c r="DT113" s="91"/>
      <c r="DU113" s="92"/>
      <c r="DV113" s="92"/>
      <c r="DW113" s="92"/>
      <c r="DX113" s="92"/>
      <c r="DY113" s="92"/>
      <c r="DZ113" s="92"/>
      <c r="EA113" s="140">
        <f t="shared" si="66"/>
        <v>0</v>
      </c>
      <c r="EB113" s="95">
        <f t="shared" si="67"/>
        <v>0</v>
      </c>
      <c r="EC113" s="96">
        <f t="shared" si="68"/>
        <v>0</v>
      </c>
      <c r="ED113" s="97">
        <f t="shared" si="69"/>
        <v>0</v>
      </c>
    </row>
    <row r="114" spans="1:134" ht="21.95" customHeight="1" x14ac:dyDescent="0.5">
      <c r="A114" s="83">
        <v>36</v>
      </c>
      <c r="B114" s="99" t="s">
        <v>282</v>
      </c>
      <c r="C114" s="143" t="s">
        <v>283</v>
      </c>
      <c r="D114" s="99" t="s">
        <v>284</v>
      </c>
      <c r="E114" s="105" t="s">
        <v>285</v>
      </c>
      <c r="F114" s="87" t="s">
        <v>194</v>
      </c>
      <c r="G114" s="141" t="s">
        <v>195</v>
      </c>
      <c r="H114" s="217">
        <v>3.6966718658762061E-3</v>
      </c>
      <c r="I114" s="94">
        <f t="shared" si="70"/>
        <v>1182.7168818294676</v>
      </c>
      <c r="J114" s="91">
        <f t="shared" si="75"/>
        <v>892.96435924919047</v>
      </c>
      <c r="K114" s="92">
        <v>616</v>
      </c>
      <c r="L114" s="92">
        <v>497.6</v>
      </c>
      <c r="M114" s="92">
        <v>616</v>
      </c>
      <c r="N114" s="92">
        <v>497.6</v>
      </c>
      <c r="O114" s="92">
        <v>1236</v>
      </c>
      <c r="P114" s="92">
        <v>987.6</v>
      </c>
      <c r="Q114" s="93">
        <f t="shared" si="71"/>
        <v>1.1059791914095873</v>
      </c>
      <c r="R114" s="94">
        <v>1182.7168818294688</v>
      </c>
      <c r="S114" s="91">
        <v>892.96435924919047</v>
      </c>
      <c r="T114" s="92">
        <v>656</v>
      </c>
      <c r="U114" s="92">
        <v>511.6</v>
      </c>
      <c r="V114" s="92">
        <v>1440</v>
      </c>
      <c r="W114" s="92">
        <v>1104</v>
      </c>
      <c r="X114" s="92">
        <v>2132</v>
      </c>
      <c r="Y114" s="92">
        <v>1661.2</v>
      </c>
      <c r="Z114" s="93">
        <f t="shared" si="72"/>
        <v>1.860320608312684</v>
      </c>
      <c r="AA114" s="94">
        <v>1182.7168818294688</v>
      </c>
      <c r="AB114" s="91">
        <v>892.96435924919047</v>
      </c>
      <c r="AC114" s="92">
        <v>460</v>
      </c>
      <c r="AD114" s="92">
        <v>359.20000000000005</v>
      </c>
      <c r="AE114" s="92">
        <v>1620</v>
      </c>
      <c r="AF114" s="92">
        <v>1206</v>
      </c>
      <c r="AG114" s="92"/>
      <c r="AH114" s="92"/>
      <c r="AI114" s="93">
        <f t="shared" si="73"/>
        <v>0</v>
      </c>
      <c r="AJ114" s="95">
        <f t="shared" si="52"/>
        <v>2678.8930777475716</v>
      </c>
      <c r="AK114" s="96">
        <f t="shared" si="74"/>
        <v>2648.8</v>
      </c>
      <c r="AL114" s="97">
        <f t="shared" si="53"/>
        <v>0.98876659990742377</v>
      </c>
      <c r="AN114" s="89">
        <v>4.7421940099315095E-3</v>
      </c>
      <c r="AO114" s="94"/>
      <c r="AP114" s="91"/>
      <c r="AQ114" s="92"/>
      <c r="AR114" s="92"/>
      <c r="AS114" s="92"/>
      <c r="AT114" s="92"/>
      <c r="AU114" s="92"/>
      <c r="AV114" s="92"/>
      <c r="AW114" s="140">
        <v>0</v>
      </c>
      <c r="AX114" s="94"/>
      <c r="AY114" s="91"/>
      <c r="AZ114" s="92"/>
      <c r="BA114" s="92"/>
      <c r="BB114" s="92"/>
      <c r="BC114" s="92"/>
      <c r="BD114" s="92"/>
      <c r="BE114" s="92"/>
      <c r="BF114" s="140">
        <v>0</v>
      </c>
      <c r="BG114" s="94"/>
      <c r="BH114" s="91"/>
      <c r="BI114" s="92"/>
      <c r="BJ114" s="92"/>
      <c r="BK114" s="92"/>
      <c r="BL114" s="92"/>
      <c r="BM114" s="92"/>
      <c r="BN114" s="92"/>
      <c r="BO114" s="140">
        <f t="shared" si="54"/>
        <v>0</v>
      </c>
      <c r="BP114" s="95">
        <f t="shared" si="55"/>
        <v>0</v>
      </c>
      <c r="BQ114" s="96">
        <f t="shared" si="56"/>
        <v>0</v>
      </c>
      <c r="BR114" s="97">
        <f t="shared" si="57"/>
        <v>0</v>
      </c>
      <c r="BT114" s="139"/>
      <c r="BU114" s="94"/>
      <c r="BV114" s="91"/>
      <c r="BW114" s="92"/>
      <c r="BX114" s="92"/>
      <c r="BY114" s="92"/>
      <c r="BZ114" s="92"/>
      <c r="CA114" s="92"/>
      <c r="CB114" s="92"/>
      <c r="CC114" s="140">
        <f t="shared" si="58"/>
        <v>0</v>
      </c>
      <c r="CD114" s="94"/>
      <c r="CE114" s="91"/>
      <c r="CF114" s="92"/>
      <c r="CG114" s="92"/>
      <c r="CH114" s="92"/>
      <c r="CI114" s="92"/>
      <c r="CJ114" s="92"/>
      <c r="CK114" s="92"/>
      <c r="CL114" s="140">
        <f t="shared" si="59"/>
        <v>0</v>
      </c>
      <c r="CM114" s="94"/>
      <c r="CN114" s="91"/>
      <c r="CO114" s="92"/>
      <c r="CP114" s="92"/>
      <c r="CQ114" s="92"/>
      <c r="CR114" s="92"/>
      <c r="CS114" s="92"/>
      <c r="CT114" s="92"/>
      <c r="CU114" s="140">
        <f t="shared" si="60"/>
        <v>0</v>
      </c>
      <c r="CV114" s="95">
        <f t="shared" si="61"/>
        <v>0</v>
      </c>
      <c r="CW114" s="96">
        <f t="shared" si="62"/>
        <v>0</v>
      </c>
      <c r="CX114" s="97">
        <f t="shared" si="63"/>
        <v>0</v>
      </c>
      <c r="CZ114" s="139" t="s">
        <v>195</v>
      </c>
      <c r="DA114" s="94"/>
      <c r="DB114" s="91"/>
      <c r="DC114" s="92"/>
      <c r="DD114" s="92"/>
      <c r="DE114" s="92"/>
      <c r="DF114" s="92"/>
      <c r="DG114" s="92"/>
      <c r="DH114" s="92"/>
      <c r="DI114" s="140">
        <f t="shared" si="64"/>
        <v>0</v>
      </c>
      <c r="DJ114" s="94"/>
      <c r="DK114" s="91"/>
      <c r="DL114" s="92"/>
      <c r="DM114" s="92"/>
      <c r="DN114" s="92"/>
      <c r="DO114" s="92"/>
      <c r="DP114" s="92"/>
      <c r="DQ114" s="92"/>
      <c r="DR114" s="140">
        <f t="shared" si="65"/>
        <v>0</v>
      </c>
      <c r="DS114" s="94"/>
      <c r="DT114" s="91"/>
      <c r="DU114" s="92"/>
      <c r="DV114" s="92"/>
      <c r="DW114" s="92"/>
      <c r="DX114" s="92"/>
      <c r="DY114" s="92"/>
      <c r="DZ114" s="92"/>
      <c r="EA114" s="140">
        <f t="shared" si="66"/>
        <v>0</v>
      </c>
      <c r="EB114" s="95">
        <f t="shared" si="67"/>
        <v>0</v>
      </c>
      <c r="EC114" s="96">
        <f t="shared" si="68"/>
        <v>0</v>
      </c>
      <c r="ED114" s="97">
        <f t="shared" si="69"/>
        <v>0</v>
      </c>
    </row>
    <row r="115" spans="1:134" ht="21.95" customHeight="1" x14ac:dyDescent="0.5">
      <c r="A115" s="83">
        <v>37</v>
      </c>
      <c r="B115" s="99" t="s">
        <v>286</v>
      </c>
      <c r="C115" s="99" t="s">
        <v>287</v>
      </c>
      <c r="D115" s="100" t="s">
        <v>123</v>
      </c>
      <c r="E115" s="100" t="s">
        <v>124</v>
      </c>
      <c r="F115" s="87" t="s">
        <v>194</v>
      </c>
      <c r="G115" s="141" t="s">
        <v>288</v>
      </c>
      <c r="H115" s="217">
        <v>9.6793394104977351E-3</v>
      </c>
      <c r="I115" s="94">
        <f t="shared" si="70"/>
        <v>3096.8174999323364</v>
      </c>
      <c r="J115" s="91">
        <f t="shared" si="75"/>
        <v>2338.1315486604226</v>
      </c>
      <c r="K115" s="92">
        <v>710</v>
      </c>
      <c r="L115" s="92">
        <v>584</v>
      </c>
      <c r="M115" s="92">
        <v>1970</v>
      </c>
      <c r="N115" s="92">
        <v>1462</v>
      </c>
      <c r="O115" s="92">
        <v>2750</v>
      </c>
      <c r="P115" s="92">
        <v>2011.2</v>
      </c>
      <c r="Q115" s="93">
        <f t="shared" si="71"/>
        <v>0.86017401422613271</v>
      </c>
      <c r="R115" s="94">
        <v>3096.8174999323392</v>
      </c>
      <c r="S115" s="91">
        <v>2338.1315486604226</v>
      </c>
      <c r="T115" s="92">
        <v>600</v>
      </c>
      <c r="U115" s="92">
        <v>448.80000000000007</v>
      </c>
      <c r="V115" s="92">
        <v>720</v>
      </c>
      <c r="W115" s="92">
        <v>568.80000000000007</v>
      </c>
      <c r="X115" s="92">
        <v>1450</v>
      </c>
      <c r="Y115" s="92">
        <v>1042.8000000000002</v>
      </c>
      <c r="Z115" s="93">
        <f t="shared" si="72"/>
        <v>0.44599714699433735</v>
      </c>
      <c r="AA115" s="94">
        <v>3096.8174999323392</v>
      </c>
      <c r="AB115" s="91">
        <v>2338.1315486604226</v>
      </c>
      <c r="AC115" s="92">
        <v>140</v>
      </c>
      <c r="AD115" s="92">
        <v>88</v>
      </c>
      <c r="AE115" s="92">
        <v>800</v>
      </c>
      <c r="AF115" s="92">
        <v>518.80000000000007</v>
      </c>
      <c r="AG115" s="92"/>
      <c r="AH115" s="92"/>
      <c r="AI115" s="93">
        <f t="shared" si="73"/>
        <v>0</v>
      </c>
      <c r="AJ115" s="95">
        <f t="shared" si="52"/>
        <v>7014.3946459812678</v>
      </c>
      <c r="AK115" s="96">
        <f t="shared" si="74"/>
        <v>3054</v>
      </c>
      <c r="AL115" s="97">
        <f t="shared" si="53"/>
        <v>0.43539038707348998</v>
      </c>
      <c r="AN115" s="89">
        <v>2.438842633679062E-3</v>
      </c>
      <c r="AO115" s="94"/>
      <c r="AP115" s="91"/>
      <c r="AQ115" s="92"/>
      <c r="AR115" s="92"/>
      <c r="AS115" s="92"/>
      <c r="AT115" s="92"/>
      <c r="AU115" s="92"/>
      <c r="AV115" s="92"/>
      <c r="AW115" s="140">
        <v>0</v>
      </c>
      <c r="AX115" s="94"/>
      <c r="AY115" s="91"/>
      <c r="AZ115" s="92"/>
      <c r="BA115" s="92"/>
      <c r="BB115" s="92"/>
      <c r="BC115" s="92"/>
      <c r="BD115" s="92"/>
      <c r="BE115" s="92"/>
      <c r="BF115" s="140">
        <v>0</v>
      </c>
      <c r="BG115" s="94"/>
      <c r="BH115" s="91"/>
      <c r="BI115" s="92"/>
      <c r="BJ115" s="92"/>
      <c r="BK115" s="92"/>
      <c r="BL115" s="92"/>
      <c r="BM115" s="92"/>
      <c r="BN115" s="92"/>
      <c r="BO115" s="140">
        <f t="shared" si="54"/>
        <v>0</v>
      </c>
      <c r="BP115" s="95">
        <f t="shared" si="55"/>
        <v>0</v>
      </c>
      <c r="BQ115" s="96">
        <f t="shared" si="56"/>
        <v>0</v>
      </c>
      <c r="BR115" s="97">
        <f t="shared" si="57"/>
        <v>0</v>
      </c>
      <c r="BT115" s="139"/>
      <c r="BU115" s="94"/>
      <c r="BV115" s="91"/>
      <c r="BW115" s="92"/>
      <c r="BX115" s="92"/>
      <c r="BY115" s="92"/>
      <c r="BZ115" s="92"/>
      <c r="CA115" s="92"/>
      <c r="CB115" s="92"/>
      <c r="CC115" s="140">
        <f t="shared" si="58"/>
        <v>0</v>
      </c>
      <c r="CD115" s="94"/>
      <c r="CE115" s="91"/>
      <c r="CF115" s="92"/>
      <c r="CG115" s="92"/>
      <c r="CH115" s="92"/>
      <c r="CI115" s="92"/>
      <c r="CJ115" s="92"/>
      <c r="CK115" s="92"/>
      <c r="CL115" s="140">
        <f t="shared" si="59"/>
        <v>0</v>
      </c>
      <c r="CM115" s="94"/>
      <c r="CN115" s="91"/>
      <c r="CO115" s="92"/>
      <c r="CP115" s="92"/>
      <c r="CQ115" s="92"/>
      <c r="CR115" s="92"/>
      <c r="CS115" s="92"/>
      <c r="CT115" s="92"/>
      <c r="CU115" s="140">
        <f t="shared" si="60"/>
        <v>0</v>
      </c>
      <c r="CV115" s="95">
        <f t="shared" si="61"/>
        <v>0</v>
      </c>
      <c r="CW115" s="96">
        <f t="shared" si="62"/>
        <v>0</v>
      </c>
      <c r="CX115" s="97">
        <f t="shared" si="63"/>
        <v>0</v>
      </c>
      <c r="CZ115" s="139" t="s">
        <v>195</v>
      </c>
      <c r="DA115" s="94"/>
      <c r="DB115" s="91"/>
      <c r="DC115" s="92"/>
      <c r="DD115" s="92"/>
      <c r="DE115" s="92"/>
      <c r="DF115" s="92"/>
      <c r="DG115" s="92"/>
      <c r="DH115" s="92"/>
      <c r="DI115" s="140">
        <f t="shared" si="64"/>
        <v>0</v>
      </c>
      <c r="DJ115" s="94"/>
      <c r="DK115" s="91"/>
      <c r="DL115" s="92"/>
      <c r="DM115" s="92"/>
      <c r="DN115" s="92"/>
      <c r="DO115" s="92"/>
      <c r="DP115" s="92"/>
      <c r="DQ115" s="92"/>
      <c r="DR115" s="140">
        <f t="shared" si="65"/>
        <v>0</v>
      </c>
      <c r="DS115" s="94"/>
      <c r="DT115" s="91"/>
      <c r="DU115" s="92"/>
      <c r="DV115" s="92"/>
      <c r="DW115" s="92"/>
      <c r="DX115" s="92"/>
      <c r="DY115" s="92"/>
      <c r="DZ115" s="92"/>
      <c r="EA115" s="140">
        <f t="shared" si="66"/>
        <v>0</v>
      </c>
      <c r="EB115" s="95">
        <f t="shared" si="67"/>
        <v>0</v>
      </c>
      <c r="EC115" s="96">
        <f t="shared" si="68"/>
        <v>0</v>
      </c>
      <c r="ED115" s="97">
        <f t="shared" si="69"/>
        <v>0</v>
      </c>
    </row>
    <row r="116" spans="1:134" ht="21.95" customHeight="1" x14ac:dyDescent="0.5">
      <c r="A116" s="83">
        <v>38</v>
      </c>
      <c r="B116" s="99" t="s">
        <v>289</v>
      </c>
      <c r="C116" s="99" t="s">
        <v>290</v>
      </c>
      <c r="D116" s="100" t="s">
        <v>123</v>
      </c>
      <c r="E116" s="99" t="s">
        <v>124</v>
      </c>
      <c r="F116" s="87" t="s">
        <v>194</v>
      </c>
      <c r="G116" s="141" t="s">
        <v>288</v>
      </c>
      <c r="H116" s="217">
        <v>5.5873619677633954E-3</v>
      </c>
      <c r="I116" s="94">
        <f t="shared" si="70"/>
        <v>1787.6261577789112</v>
      </c>
      <c r="J116" s="91">
        <f t="shared" si="75"/>
        <v>1349.677569570958</v>
      </c>
      <c r="K116" s="92">
        <v>280</v>
      </c>
      <c r="L116" s="92">
        <v>254</v>
      </c>
      <c r="M116" s="92">
        <v>720</v>
      </c>
      <c r="N116" s="92">
        <v>642</v>
      </c>
      <c r="O116" s="92">
        <v>1060</v>
      </c>
      <c r="P116" s="92">
        <v>956</v>
      </c>
      <c r="Q116" s="93">
        <f t="shared" si="71"/>
        <v>0.70831732078343568</v>
      </c>
      <c r="R116" s="94">
        <v>1787.626157778913</v>
      </c>
      <c r="S116" s="91">
        <v>1349.677569570958</v>
      </c>
      <c r="T116" s="92">
        <v>520</v>
      </c>
      <c r="U116" s="92">
        <v>417.6</v>
      </c>
      <c r="V116" s="92">
        <v>800</v>
      </c>
      <c r="W116" s="92">
        <v>671.6</v>
      </c>
      <c r="X116" s="92">
        <v>920</v>
      </c>
      <c r="Y116" s="92">
        <v>791.6</v>
      </c>
      <c r="Z116" s="93">
        <f t="shared" si="72"/>
        <v>0.58651045097507082</v>
      </c>
      <c r="AA116" s="94">
        <v>1787.626157778913</v>
      </c>
      <c r="AB116" s="91">
        <v>1349.677569570958</v>
      </c>
      <c r="AC116" s="92">
        <v>1400</v>
      </c>
      <c r="AD116" s="92">
        <v>1196.8000000000002</v>
      </c>
      <c r="AE116" s="92">
        <v>740</v>
      </c>
      <c r="AF116" s="92">
        <v>611.6</v>
      </c>
      <c r="AG116" s="92"/>
      <c r="AH116" s="92"/>
      <c r="AI116" s="93">
        <f t="shared" si="73"/>
        <v>0</v>
      </c>
      <c r="AJ116" s="95">
        <f t="shared" si="52"/>
        <v>4049.032708712874</v>
      </c>
      <c r="AK116" s="96">
        <f t="shared" si="74"/>
        <v>1747.6</v>
      </c>
      <c r="AL116" s="97">
        <f t="shared" si="53"/>
        <v>0.43160925725283544</v>
      </c>
      <c r="AN116" s="89">
        <v>4.7421940099315095E-3</v>
      </c>
      <c r="AO116" s="94"/>
      <c r="AP116" s="91"/>
      <c r="AQ116" s="92"/>
      <c r="AR116" s="92"/>
      <c r="AS116" s="92"/>
      <c r="AT116" s="92"/>
      <c r="AU116" s="92"/>
      <c r="AV116" s="92"/>
      <c r="AW116" s="140">
        <v>0</v>
      </c>
      <c r="AX116" s="94"/>
      <c r="AY116" s="91"/>
      <c r="AZ116" s="92"/>
      <c r="BA116" s="92"/>
      <c r="BB116" s="92"/>
      <c r="BC116" s="92"/>
      <c r="BD116" s="92"/>
      <c r="BE116" s="92"/>
      <c r="BF116" s="140">
        <v>0</v>
      </c>
      <c r="BG116" s="94"/>
      <c r="BH116" s="91"/>
      <c r="BI116" s="92"/>
      <c r="BJ116" s="92"/>
      <c r="BK116" s="92"/>
      <c r="BL116" s="92"/>
      <c r="BM116" s="92"/>
      <c r="BN116" s="92"/>
      <c r="BO116" s="140">
        <f t="shared" si="54"/>
        <v>0</v>
      </c>
      <c r="BP116" s="95">
        <f t="shared" si="55"/>
        <v>0</v>
      </c>
      <c r="BQ116" s="96">
        <f t="shared" si="56"/>
        <v>0</v>
      </c>
      <c r="BR116" s="97">
        <f t="shared" si="57"/>
        <v>0</v>
      </c>
      <c r="BT116" s="139"/>
      <c r="BU116" s="94"/>
      <c r="BV116" s="91"/>
      <c r="BW116" s="92"/>
      <c r="BX116" s="92"/>
      <c r="BY116" s="92"/>
      <c r="BZ116" s="92"/>
      <c r="CA116" s="92"/>
      <c r="CB116" s="92"/>
      <c r="CC116" s="140">
        <f t="shared" si="58"/>
        <v>0</v>
      </c>
      <c r="CD116" s="94"/>
      <c r="CE116" s="91"/>
      <c r="CF116" s="92"/>
      <c r="CG116" s="92"/>
      <c r="CH116" s="92"/>
      <c r="CI116" s="92"/>
      <c r="CJ116" s="92"/>
      <c r="CK116" s="92"/>
      <c r="CL116" s="140">
        <f t="shared" si="59"/>
        <v>0</v>
      </c>
      <c r="CM116" s="94"/>
      <c r="CN116" s="91"/>
      <c r="CO116" s="92"/>
      <c r="CP116" s="92"/>
      <c r="CQ116" s="92"/>
      <c r="CR116" s="92"/>
      <c r="CS116" s="92"/>
      <c r="CT116" s="92"/>
      <c r="CU116" s="140">
        <f t="shared" si="60"/>
        <v>0</v>
      </c>
      <c r="CV116" s="95">
        <f t="shared" si="61"/>
        <v>0</v>
      </c>
      <c r="CW116" s="96">
        <f t="shared" si="62"/>
        <v>0</v>
      </c>
      <c r="CX116" s="97">
        <f t="shared" si="63"/>
        <v>0</v>
      </c>
      <c r="CZ116" s="139" t="s">
        <v>195</v>
      </c>
      <c r="DA116" s="94"/>
      <c r="DB116" s="91"/>
      <c r="DC116" s="92"/>
      <c r="DD116" s="92"/>
      <c r="DE116" s="92"/>
      <c r="DF116" s="92"/>
      <c r="DG116" s="92"/>
      <c r="DH116" s="92"/>
      <c r="DI116" s="140">
        <f t="shared" si="64"/>
        <v>0</v>
      </c>
      <c r="DJ116" s="94"/>
      <c r="DK116" s="91"/>
      <c r="DL116" s="92"/>
      <c r="DM116" s="92"/>
      <c r="DN116" s="92"/>
      <c r="DO116" s="92"/>
      <c r="DP116" s="92"/>
      <c r="DQ116" s="92"/>
      <c r="DR116" s="140">
        <f t="shared" si="65"/>
        <v>0</v>
      </c>
      <c r="DS116" s="94"/>
      <c r="DT116" s="91"/>
      <c r="DU116" s="92"/>
      <c r="DV116" s="92"/>
      <c r="DW116" s="92"/>
      <c r="DX116" s="92"/>
      <c r="DY116" s="92"/>
      <c r="DZ116" s="92"/>
      <c r="EA116" s="140">
        <f t="shared" si="66"/>
        <v>0</v>
      </c>
      <c r="EB116" s="95">
        <f t="shared" si="67"/>
        <v>0</v>
      </c>
      <c r="EC116" s="96">
        <f t="shared" si="68"/>
        <v>0</v>
      </c>
      <c r="ED116" s="97">
        <f t="shared" si="69"/>
        <v>0</v>
      </c>
    </row>
    <row r="117" spans="1:134" ht="21.95" customHeight="1" x14ac:dyDescent="0.5">
      <c r="A117" s="83">
        <v>39</v>
      </c>
      <c r="B117" s="99" t="s">
        <v>291</v>
      </c>
      <c r="C117" s="143" t="s">
        <v>292</v>
      </c>
      <c r="D117" s="105" t="s">
        <v>123</v>
      </c>
      <c r="E117" s="105" t="s">
        <v>124</v>
      </c>
      <c r="F117" s="87" t="s">
        <v>194</v>
      </c>
      <c r="G117" s="141" t="s">
        <v>288</v>
      </c>
      <c r="H117" s="217">
        <v>1.4066101869117711E-2</v>
      </c>
      <c r="I117" s="94">
        <f t="shared" si="70"/>
        <v>4500.3226539273419</v>
      </c>
      <c r="J117" s="91">
        <f t="shared" si="75"/>
        <v>3397.793501402205</v>
      </c>
      <c r="K117" s="92">
        <v>1230</v>
      </c>
      <c r="L117" s="92">
        <v>1001.6</v>
      </c>
      <c r="M117" s="92">
        <v>1930</v>
      </c>
      <c r="N117" s="92">
        <v>1600.8000000000002</v>
      </c>
      <c r="O117" s="92">
        <v>4130</v>
      </c>
      <c r="P117" s="92">
        <v>3318</v>
      </c>
      <c r="Q117" s="93">
        <f t="shared" si="71"/>
        <v>0.97651608275509505</v>
      </c>
      <c r="R117" s="94">
        <v>4500.3226539273455</v>
      </c>
      <c r="S117" s="91">
        <v>3397.793501402205</v>
      </c>
      <c r="T117" s="92">
        <v>1110</v>
      </c>
      <c r="U117" s="92">
        <v>803.6</v>
      </c>
      <c r="V117" s="92">
        <v>2660</v>
      </c>
      <c r="W117" s="92">
        <v>1996.8000000000002</v>
      </c>
      <c r="X117" s="92">
        <v>3600</v>
      </c>
      <c r="Y117" s="92">
        <v>2758</v>
      </c>
      <c r="Z117" s="93">
        <f t="shared" si="72"/>
        <v>0.81170324178377107</v>
      </c>
      <c r="AA117" s="94">
        <v>4500.3226539273455</v>
      </c>
      <c r="AB117" s="91">
        <v>3397.793501402205</v>
      </c>
      <c r="AC117" s="92">
        <v>2560</v>
      </c>
      <c r="AD117" s="92">
        <v>1997.6</v>
      </c>
      <c r="AE117" s="92">
        <v>6640</v>
      </c>
      <c r="AF117" s="92">
        <v>4770.8000000000011</v>
      </c>
      <c r="AG117" s="92"/>
      <c r="AH117" s="92"/>
      <c r="AI117" s="93">
        <f t="shared" si="73"/>
        <v>0</v>
      </c>
      <c r="AJ117" s="95">
        <f t="shared" si="52"/>
        <v>10193.380504206616</v>
      </c>
      <c r="AK117" s="96">
        <f t="shared" si="74"/>
        <v>6076</v>
      </c>
      <c r="AL117" s="97">
        <f t="shared" si="53"/>
        <v>0.596073108179622</v>
      </c>
      <c r="AN117" s="89">
        <v>0</v>
      </c>
      <c r="AO117" s="94"/>
      <c r="AP117" s="91"/>
      <c r="AQ117" s="92"/>
      <c r="AR117" s="92"/>
      <c r="AS117" s="92"/>
      <c r="AT117" s="92"/>
      <c r="AU117" s="92"/>
      <c r="AV117" s="92"/>
      <c r="AW117" s="140">
        <v>0</v>
      </c>
      <c r="AX117" s="94"/>
      <c r="AY117" s="91"/>
      <c r="AZ117" s="92"/>
      <c r="BA117" s="92"/>
      <c r="BB117" s="92"/>
      <c r="BC117" s="92"/>
      <c r="BD117" s="92"/>
      <c r="BE117" s="92"/>
      <c r="BF117" s="140">
        <v>0</v>
      </c>
      <c r="BG117" s="94"/>
      <c r="BH117" s="91"/>
      <c r="BI117" s="92"/>
      <c r="BJ117" s="92"/>
      <c r="BK117" s="92"/>
      <c r="BL117" s="92"/>
      <c r="BM117" s="92"/>
      <c r="BN117" s="92"/>
      <c r="BO117" s="140">
        <f t="shared" si="54"/>
        <v>0</v>
      </c>
      <c r="BP117" s="95">
        <f t="shared" si="55"/>
        <v>0</v>
      </c>
      <c r="BQ117" s="96">
        <f t="shared" si="56"/>
        <v>0</v>
      </c>
      <c r="BR117" s="97">
        <f t="shared" si="57"/>
        <v>0</v>
      </c>
      <c r="BT117" s="139"/>
      <c r="BU117" s="94"/>
      <c r="BV117" s="91"/>
      <c r="BW117" s="92"/>
      <c r="BX117" s="92"/>
      <c r="BY117" s="92"/>
      <c r="BZ117" s="92"/>
      <c r="CA117" s="92"/>
      <c r="CB117" s="92"/>
      <c r="CC117" s="140">
        <f t="shared" si="58"/>
        <v>0</v>
      </c>
      <c r="CD117" s="94"/>
      <c r="CE117" s="91"/>
      <c r="CF117" s="92"/>
      <c r="CG117" s="92"/>
      <c r="CH117" s="92"/>
      <c r="CI117" s="92"/>
      <c r="CJ117" s="92"/>
      <c r="CK117" s="92"/>
      <c r="CL117" s="140">
        <f t="shared" si="59"/>
        <v>0</v>
      </c>
      <c r="CM117" s="94"/>
      <c r="CN117" s="91"/>
      <c r="CO117" s="92"/>
      <c r="CP117" s="92"/>
      <c r="CQ117" s="92"/>
      <c r="CR117" s="92"/>
      <c r="CS117" s="92"/>
      <c r="CT117" s="92"/>
      <c r="CU117" s="140">
        <f t="shared" si="60"/>
        <v>0</v>
      </c>
      <c r="CV117" s="95">
        <f t="shared" si="61"/>
        <v>0</v>
      </c>
      <c r="CW117" s="96">
        <f t="shared" si="62"/>
        <v>0</v>
      </c>
      <c r="CX117" s="97">
        <f t="shared" si="63"/>
        <v>0</v>
      </c>
      <c r="CZ117" s="139" t="s">
        <v>195</v>
      </c>
      <c r="DA117" s="94"/>
      <c r="DB117" s="91"/>
      <c r="DC117" s="92"/>
      <c r="DD117" s="92"/>
      <c r="DE117" s="92"/>
      <c r="DF117" s="92"/>
      <c r="DG117" s="92"/>
      <c r="DH117" s="92"/>
      <c r="DI117" s="140">
        <f t="shared" si="64"/>
        <v>0</v>
      </c>
      <c r="DJ117" s="94"/>
      <c r="DK117" s="91"/>
      <c r="DL117" s="92"/>
      <c r="DM117" s="92"/>
      <c r="DN117" s="92"/>
      <c r="DO117" s="92"/>
      <c r="DP117" s="92"/>
      <c r="DQ117" s="92"/>
      <c r="DR117" s="140">
        <f t="shared" si="65"/>
        <v>0</v>
      </c>
      <c r="DS117" s="94"/>
      <c r="DT117" s="91"/>
      <c r="DU117" s="92"/>
      <c r="DV117" s="92"/>
      <c r="DW117" s="92"/>
      <c r="DX117" s="92"/>
      <c r="DY117" s="92"/>
      <c r="DZ117" s="92"/>
      <c r="EA117" s="140">
        <f t="shared" si="66"/>
        <v>0</v>
      </c>
      <c r="EB117" s="95">
        <f t="shared" si="67"/>
        <v>0</v>
      </c>
      <c r="EC117" s="96">
        <f t="shared" si="68"/>
        <v>0</v>
      </c>
      <c r="ED117" s="97">
        <f t="shared" si="69"/>
        <v>0</v>
      </c>
    </row>
    <row r="118" spans="1:134" ht="21.95" customHeight="1" x14ac:dyDescent="0.5">
      <c r="A118" s="83">
        <v>40</v>
      </c>
      <c r="B118" s="145" t="s">
        <v>293</v>
      </c>
      <c r="C118" s="143" t="s">
        <v>294</v>
      </c>
      <c r="D118" s="105" t="s">
        <v>123</v>
      </c>
      <c r="E118" s="105" t="s">
        <v>124</v>
      </c>
      <c r="F118" s="87" t="s">
        <v>194</v>
      </c>
      <c r="G118" s="141" t="s">
        <v>288</v>
      </c>
      <c r="H118" s="217">
        <v>2.6934992562607934E-2</v>
      </c>
      <c r="I118" s="94">
        <f t="shared" si="70"/>
        <v>8617.608370873555</v>
      </c>
      <c r="J118" s="91">
        <f t="shared" si="75"/>
        <v>6506.3898684310097</v>
      </c>
      <c r="K118" s="92">
        <v>2120</v>
      </c>
      <c r="L118" s="92">
        <v>1687.6</v>
      </c>
      <c r="M118" s="92">
        <v>3970</v>
      </c>
      <c r="N118" s="92">
        <v>3179.2</v>
      </c>
      <c r="O118" s="92">
        <v>7070</v>
      </c>
      <c r="P118" s="92">
        <v>5563.9999999999991</v>
      </c>
      <c r="Q118" s="93">
        <f t="shared" si="71"/>
        <v>0.8551593299068222</v>
      </c>
      <c r="R118" s="94">
        <v>8617.6083708735623</v>
      </c>
      <c r="S118" s="91">
        <v>6506.3898684310097</v>
      </c>
      <c r="T118" s="92">
        <v>2480</v>
      </c>
      <c r="U118" s="92">
        <v>1890</v>
      </c>
      <c r="V118" s="92">
        <v>4720</v>
      </c>
      <c r="W118" s="92">
        <v>3777.2</v>
      </c>
      <c r="X118" s="92">
        <v>6640</v>
      </c>
      <c r="Y118" s="92">
        <v>5391.6</v>
      </c>
      <c r="Z118" s="93">
        <f t="shared" si="72"/>
        <v>0.82866230106499339</v>
      </c>
      <c r="AA118" s="94">
        <v>8617.6083708735623</v>
      </c>
      <c r="AB118" s="91">
        <v>6506.3898684310097</v>
      </c>
      <c r="AC118" s="92">
        <v>1700</v>
      </c>
      <c r="AD118" s="92">
        <v>1269.2</v>
      </c>
      <c r="AE118" s="92">
        <v>5250</v>
      </c>
      <c r="AF118" s="92">
        <v>4101.6000000000004</v>
      </c>
      <c r="AG118" s="92"/>
      <c r="AH118" s="92"/>
      <c r="AI118" s="93">
        <f t="shared" si="73"/>
        <v>0</v>
      </c>
      <c r="AJ118" s="95">
        <f t="shared" si="52"/>
        <v>19519.169605293027</v>
      </c>
      <c r="AK118" s="96">
        <f t="shared" si="74"/>
        <v>10955.599999999999</v>
      </c>
      <c r="AL118" s="97">
        <f t="shared" si="53"/>
        <v>0.56127387699060516</v>
      </c>
      <c r="AN118" s="89">
        <v>9.6472560302280717E-3</v>
      </c>
      <c r="AO118" s="94"/>
      <c r="AP118" s="91"/>
      <c r="AQ118" s="92"/>
      <c r="AR118" s="92"/>
      <c r="AS118" s="92"/>
      <c r="AT118" s="92"/>
      <c r="AU118" s="92"/>
      <c r="AV118" s="92"/>
      <c r="AW118" s="140">
        <v>0</v>
      </c>
      <c r="AX118" s="94"/>
      <c r="AY118" s="91"/>
      <c r="AZ118" s="92"/>
      <c r="BA118" s="92"/>
      <c r="BB118" s="92"/>
      <c r="BC118" s="92"/>
      <c r="BD118" s="92"/>
      <c r="BE118" s="92"/>
      <c r="BF118" s="140">
        <v>0</v>
      </c>
      <c r="BG118" s="94"/>
      <c r="BH118" s="91"/>
      <c r="BI118" s="92"/>
      <c r="BJ118" s="92"/>
      <c r="BK118" s="92"/>
      <c r="BL118" s="92"/>
      <c r="BM118" s="92"/>
      <c r="BN118" s="92"/>
      <c r="BO118" s="140">
        <f t="shared" si="54"/>
        <v>0</v>
      </c>
      <c r="BP118" s="95">
        <f t="shared" si="55"/>
        <v>0</v>
      </c>
      <c r="BQ118" s="96">
        <f t="shared" si="56"/>
        <v>0</v>
      </c>
      <c r="BR118" s="97">
        <f t="shared" si="57"/>
        <v>0</v>
      </c>
      <c r="BT118" s="139"/>
      <c r="BU118" s="94"/>
      <c r="BV118" s="91"/>
      <c r="BW118" s="92"/>
      <c r="BX118" s="92"/>
      <c r="BY118" s="92"/>
      <c r="BZ118" s="92"/>
      <c r="CA118" s="92"/>
      <c r="CB118" s="92"/>
      <c r="CC118" s="140">
        <f t="shared" si="58"/>
        <v>0</v>
      </c>
      <c r="CD118" s="94"/>
      <c r="CE118" s="91"/>
      <c r="CF118" s="92"/>
      <c r="CG118" s="92"/>
      <c r="CH118" s="92"/>
      <c r="CI118" s="92"/>
      <c r="CJ118" s="92"/>
      <c r="CK118" s="92"/>
      <c r="CL118" s="140">
        <f t="shared" si="59"/>
        <v>0</v>
      </c>
      <c r="CM118" s="94"/>
      <c r="CN118" s="91"/>
      <c r="CO118" s="92"/>
      <c r="CP118" s="92"/>
      <c r="CQ118" s="92"/>
      <c r="CR118" s="92"/>
      <c r="CS118" s="92"/>
      <c r="CT118" s="92"/>
      <c r="CU118" s="140">
        <f t="shared" si="60"/>
        <v>0</v>
      </c>
      <c r="CV118" s="95">
        <f t="shared" si="61"/>
        <v>0</v>
      </c>
      <c r="CW118" s="96">
        <f t="shared" si="62"/>
        <v>0</v>
      </c>
      <c r="CX118" s="97">
        <f t="shared" si="63"/>
        <v>0</v>
      </c>
      <c r="CZ118" s="139" t="s">
        <v>195</v>
      </c>
      <c r="DA118" s="94"/>
      <c r="DB118" s="91"/>
      <c r="DC118" s="92"/>
      <c r="DD118" s="92"/>
      <c r="DE118" s="92"/>
      <c r="DF118" s="92"/>
      <c r="DG118" s="92"/>
      <c r="DH118" s="92"/>
      <c r="DI118" s="140">
        <f t="shared" si="64"/>
        <v>0</v>
      </c>
      <c r="DJ118" s="94"/>
      <c r="DK118" s="91"/>
      <c r="DL118" s="92"/>
      <c r="DM118" s="92"/>
      <c r="DN118" s="92"/>
      <c r="DO118" s="92"/>
      <c r="DP118" s="92"/>
      <c r="DQ118" s="92"/>
      <c r="DR118" s="140">
        <f t="shared" si="65"/>
        <v>0</v>
      </c>
      <c r="DS118" s="94"/>
      <c r="DT118" s="91"/>
      <c r="DU118" s="92"/>
      <c r="DV118" s="92"/>
      <c r="DW118" s="92"/>
      <c r="DX118" s="92"/>
      <c r="DY118" s="92"/>
      <c r="DZ118" s="92"/>
      <c r="EA118" s="140">
        <f t="shared" si="66"/>
        <v>0</v>
      </c>
      <c r="EB118" s="95">
        <f t="shared" si="67"/>
        <v>0</v>
      </c>
      <c r="EC118" s="96">
        <f t="shared" si="68"/>
        <v>0</v>
      </c>
      <c r="ED118" s="97">
        <f t="shared" si="69"/>
        <v>0</v>
      </c>
    </row>
    <row r="119" spans="1:134" ht="21.95" customHeight="1" x14ac:dyDescent="0.5">
      <c r="A119" s="83">
        <v>41</v>
      </c>
      <c r="B119" s="145" t="s">
        <v>295</v>
      </c>
      <c r="C119" s="143" t="s">
        <v>296</v>
      </c>
      <c r="D119" s="105" t="s">
        <v>297</v>
      </c>
      <c r="E119" s="105" t="s">
        <v>298</v>
      </c>
      <c r="F119" s="87" t="s">
        <v>194</v>
      </c>
      <c r="G119" s="141" t="s">
        <v>288</v>
      </c>
      <c r="H119" s="217">
        <v>1.6030770586102638E-2</v>
      </c>
      <c r="I119" s="94">
        <f t="shared" si="70"/>
        <v>5128.9007217374119</v>
      </c>
      <c r="J119" s="91">
        <f t="shared" si="75"/>
        <v>3872.3769120083671</v>
      </c>
      <c r="K119" s="92">
        <v>1734</v>
      </c>
      <c r="L119" s="92">
        <v>1346.4</v>
      </c>
      <c r="M119" s="92">
        <v>2094</v>
      </c>
      <c r="N119" s="92">
        <v>1706.4</v>
      </c>
      <c r="O119" s="92">
        <v>3734</v>
      </c>
      <c r="P119" s="92">
        <v>2993.6000000000004</v>
      </c>
      <c r="Q119" s="93">
        <f t="shared" si="71"/>
        <v>0.77306524339527727</v>
      </c>
      <c r="R119" s="94">
        <v>5128.9007217374165</v>
      </c>
      <c r="S119" s="91">
        <v>3872.3769120083671</v>
      </c>
      <c r="T119" s="92">
        <v>640</v>
      </c>
      <c r="U119" s="92">
        <v>539.20000000000005</v>
      </c>
      <c r="V119" s="92">
        <v>2940</v>
      </c>
      <c r="W119" s="92">
        <v>2335.1999999999998</v>
      </c>
      <c r="X119" s="92">
        <v>3370</v>
      </c>
      <c r="Y119" s="92">
        <v>2740</v>
      </c>
      <c r="Z119" s="93">
        <f t="shared" si="72"/>
        <v>0.7075757505689001</v>
      </c>
      <c r="AA119" s="94">
        <v>5128.9007217374165</v>
      </c>
      <c r="AB119" s="91">
        <v>3872.3769120083671</v>
      </c>
      <c r="AC119" s="92">
        <v>1400</v>
      </c>
      <c r="AD119" s="92">
        <v>896</v>
      </c>
      <c r="AE119" s="92">
        <v>2060</v>
      </c>
      <c r="AF119" s="92">
        <v>1629.2</v>
      </c>
      <c r="AG119" s="92"/>
      <c r="AH119" s="92"/>
      <c r="AI119" s="93">
        <f t="shared" si="73"/>
        <v>0</v>
      </c>
      <c r="AJ119" s="95">
        <f t="shared" si="52"/>
        <v>11617.130736025101</v>
      </c>
      <c r="AK119" s="96">
        <f t="shared" si="74"/>
        <v>5733.6</v>
      </c>
      <c r="AL119" s="97">
        <f t="shared" si="53"/>
        <v>0.49354699798805912</v>
      </c>
      <c r="AN119" s="89">
        <v>1.0922468034223736E-2</v>
      </c>
      <c r="AO119" s="94"/>
      <c r="AP119" s="91"/>
      <c r="AQ119" s="92"/>
      <c r="AR119" s="92"/>
      <c r="AS119" s="92"/>
      <c r="AT119" s="92"/>
      <c r="AU119" s="92"/>
      <c r="AV119" s="92"/>
      <c r="AW119" s="140">
        <v>0</v>
      </c>
      <c r="AX119" s="94"/>
      <c r="AY119" s="91"/>
      <c r="AZ119" s="92"/>
      <c r="BA119" s="92"/>
      <c r="BB119" s="92"/>
      <c r="BC119" s="92"/>
      <c r="BD119" s="92"/>
      <c r="BE119" s="92"/>
      <c r="BF119" s="140">
        <v>0</v>
      </c>
      <c r="BG119" s="94"/>
      <c r="BH119" s="91"/>
      <c r="BI119" s="92"/>
      <c r="BJ119" s="92"/>
      <c r="BK119" s="92"/>
      <c r="BL119" s="92"/>
      <c r="BM119" s="92"/>
      <c r="BN119" s="92"/>
      <c r="BO119" s="140">
        <f t="shared" si="54"/>
        <v>0</v>
      </c>
      <c r="BP119" s="95">
        <f t="shared" si="55"/>
        <v>0</v>
      </c>
      <c r="BQ119" s="96">
        <f t="shared" si="56"/>
        <v>0</v>
      </c>
      <c r="BR119" s="97">
        <f t="shared" si="57"/>
        <v>0</v>
      </c>
      <c r="BT119" s="139"/>
      <c r="BU119" s="94"/>
      <c r="BV119" s="91"/>
      <c r="BW119" s="92"/>
      <c r="BX119" s="92"/>
      <c r="BY119" s="92"/>
      <c r="BZ119" s="92"/>
      <c r="CA119" s="92"/>
      <c r="CB119" s="92"/>
      <c r="CC119" s="140">
        <f t="shared" si="58"/>
        <v>0</v>
      </c>
      <c r="CD119" s="94"/>
      <c r="CE119" s="91"/>
      <c r="CF119" s="92"/>
      <c r="CG119" s="92"/>
      <c r="CH119" s="92"/>
      <c r="CI119" s="92"/>
      <c r="CJ119" s="92"/>
      <c r="CK119" s="92"/>
      <c r="CL119" s="140">
        <f t="shared" si="59"/>
        <v>0</v>
      </c>
      <c r="CM119" s="94"/>
      <c r="CN119" s="91"/>
      <c r="CO119" s="92"/>
      <c r="CP119" s="92"/>
      <c r="CQ119" s="92"/>
      <c r="CR119" s="92"/>
      <c r="CS119" s="92"/>
      <c r="CT119" s="92"/>
      <c r="CU119" s="140">
        <f t="shared" si="60"/>
        <v>0</v>
      </c>
      <c r="CV119" s="95">
        <f t="shared" si="61"/>
        <v>0</v>
      </c>
      <c r="CW119" s="96">
        <f t="shared" si="62"/>
        <v>0</v>
      </c>
      <c r="CX119" s="97">
        <f t="shared" si="63"/>
        <v>0</v>
      </c>
      <c r="CZ119" s="139" t="s">
        <v>195</v>
      </c>
      <c r="DA119" s="94"/>
      <c r="DB119" s="91"/>
      <c r="DC119" s="92"/>
      <c r="DD119" s="92"/>
      <c r="DE119" s="92"/>
      <c r="DF119" s="92"/>
      <c r="DG119" s="92"/>
      <c r="DH119" s="92"/>
      <c r="DI119" s="140">
        <f t="shared" si="64"/>
        <v>0</v>
      </c>
      <c r="DJ119" s="94"/>
      <c r="DK119" s="91"/>
      <c r="DL119" s="92"/>
      <c r="DM119" s="92"/>
      <c r="DN119" s="92"/>
      <c r="DO119" s="92"/>
      <c r="DP119" s="92"/>
      <c r="DQ119" s="92"/>
      <c r="DR119" s="140">
        <f t="shared" si="65"/>
        <v>0</v>
      </c>
      <c r="DS119" s="94"/>
      <c r="DT119" s="91"/>
      <c r="DU119" s="92"/>
      <c r="DV119" s="92"/>
      <c r="DW119" s="92"/>
      <c r="DX119" s="92"/>
      <c r="DY119" s="92"/>
      <c r="DZ119" s="92"/>
      <c r="EA119" s="140">
        <f t="shared" si="66"/>
        <v>0</v>
      </c>
      <c r="EB119" s="95">
        <f t="shared" si="67"/>
        <v>0</v>
      </c>
      <c r="EC119" s="96">
        <f t="shared" si="68"/>
        <v>0</v>
      </c>
      <c r="ED119" s="97">
        <f t="shared" si="69"/>
        <v>0</v>
      </c>
    </row>
    <row r="120" spans="1:134" ht="21.95" customHeight="1" x14ac:dyDescent="0.5">
      <c r="A120" s="83">
        <v>42</v>
      </c>
      <c r="B120" s="145" t="s">
        <v>299</v>
      </c>
      <c r="C120" s="143" t="s">
        <v>300</v>
      </c>
      <c r="D120" s="105" t="s">
        <v>301</v>
      </c>
      <c r="E120" s="105" t="s">
        <v>87</v>
      </c>
      <c r="F120" s="87" t="s">
        <v>194</v>
      </c>
      <c r="G120" s="141" t="s">
        <v>288</v>
      </c>
      <c r="H120" s="217">
        <v>1.1986794534843928E-2</v>
      </c>
      <c r="I120" s="94">
        <f t="shared" si="70"/>
        <v>3835.066992623324</v>
      </c>
      <c r="J120" s="91">
        <f t="shared" si="75"/>
        <v>2895.5181010423644</v>
      </c>
      <c r="K120" s="92">
        <v>700</v>
      </c>
      <c r="L120" s="92">
        <v>448</v>
      </c>
      <c r="M120" s="92">
        <v>1400</v>
      </c>
      <c r="N120" s="92">
        <v>896</v>
      </c>
      <c r="O120" s="92">
        <v>2100</v>
      </c>
      <c r="P120" s="92">
        <v>1344</v>
      </c>
      <c r="Q120" s="93">
        <f t="shared" si="71"/>
        <v>0.46416563568232239</v>
      </c>
      <c r="R120" s="94">
        <v>3835.0669926233277</v>
      </c>
      <c r="S120" s="91">
        <v>2895.5181010423644</v>
      </c>
      <c r="T120" s="92">
        <v>700</v>
      </c>
      <c r="U120" s="92">
        <v>448</v>
      </c>
      <c r="V120" s="92">
        <v>1400</v>
      </c>
      <c r="W120" s="92">
        <v>896</v>
      </c>
      <c r="X120" s="92">
        <v>2100</v>
      </c>
      <c r="Y120" s="92">
        <v>1344</v>
      </c>
      <c r="Z120" s="93">
        <f t="shared" si="72"/>
        <v>0.46416563568232239</v>
      </c>
      <c r="AA120" s="94">
        <v>3835.0669926233277</v>
      </c>
      <c r="AB120" s="91">
        <v>2895.5181010423644</v>
      </c>
      <c r="AC120" s="92">
        <v>902</v>
      </c>
      <c r="AD120" s="92">
        <v>836.48</v>
      </c>
      <c r="AE120" s="92">
        <v>2240</v>
      </c>
      <c r="AF120" s="92">
        <v>1433.6</v>
      </c>
      <c r="AG120" s="92"/>
      <c r="AH120" s="92"/>
      <c r="AI120" s="93">
        <f t="shared" si="73"/>
        <v>0</v>
      </c>
      <c r="AJ120" s="95">
        <f t="shared" si="52"/>
        <v>8686.5543031270936</v>
      </c>
      <c r="AK120" s="96">
        <f t="shared" si="74"/>
        <v>2688</v>
      </c>
      <c r="AL120" s="97">
        <f t="shared" si="53"/>
        <v>0.30944375712154826</v>
      </c>
      <c r="AN120" s="89">
        <v>1.82965200573291E-3</v>
      </c>
      <c r="AO120" s="94"/>
      <c r="AP120" s="91"/>
      <c r="AQ120" s="92"/>
      <c r="AR120" s="92"/>
      <c r="AS120" s="92"/>
      <c r="AT120" s="92"/>
      <c r="AU120" s="92"/>
      <c r="AV120" s="92"/>
      <c r="AW120" s="140">
        <v>0</v>
      </c>
      <c r="AX120" s="94"/>
      <c r="AY120" s="91"/>
      <c r="AZ120" s="92"/>
      <c r="BA120" s="92"/>
      <c r="BB120" s="92"/>
      <c r="BC120" s="92"/>
      <c r="BD120" s="92"/>
      <c r="BE120" s="92"/>
      <c r="BF120" s="140">
        <v>0</v>
      </c>
      <c r="BG120" s="94"/>
      <c r="BH120" s="91"/>
      <c r="BI120" s="92"/>
      <c r="BJ120" s="92"/>
      <c r="BK120" s="92"/>
      <c r="BL120" s="92"/>
      <c r="BM120" s="92"/>
      <c r="BN120" s="92"/>
      <c r="BO120" s="140">
        <f t="shared" si="54"/>
        <v>0</v>
      </c>
      <c r="BP120" s="95">
        <f t="shared" si="55"/>
        <v>0</v>
      </c>
      <c r="BQ120" s="96">
        <f t="shared" si="56"/>
        <v>0</v>
      </c>
      <c r="BR120" s="97">
        <f t="shared" si="57"/>
        <v>0</v>
      </c>
      <c r="BT120" s="139"/>
      <c r="BU120" s="94"/>
      <c r="BV120" s="91"/>
      <c r="BW120" s="92"/>
      <c r="BX120" s="92"/>
      <c r="BY120" s="92"/>
      <c r="BZ120" s="92"/>
      <c r="CA120" s="92"/>
      <c r="CB120" s="92"/>
      <c r="CC120" s="140">
        <f t="shared" si="58"/>
        <v>0</v>
      </c>
      <c r="CD120" s="94"/>
      <c r="CE120" s="91"/>
      <c r="CF120" s="92"/>
      <c r="CG120" s="92"/>
      <c r="CH120" s="92"/>
      <c r="CI120" s="92"/>
      <c r="CJ120" s="92"/>
      <c r="CK120" s="92"/>
      <c r="CL120" s="140">
        <f t="shared" si="59"/>
        <v>0</v>
      </c>
      <c r="CM120" s="94"/>
      <c r="CN120" s="91"/>
      <c r="CO120" s="92"/>
      <c r="CP120" s="92"/>
      <c r="CQ120" s="92"/>
      <c r="CR120" s="92"/>
      <c r="CS120" s="92"/>
      <c r="CT120" s="92"/>
      <c r="CU120" s="140">
        <f t="shared" si="60"/>
        <v>0</v>
      </c>
      <c r="CV120" s="95">
        <f t="shared" si="61"/>
        <v>0</v>
      </c>
      <c r="CW120" s="96">
        <f t="shared" si="62"/>
        <v>0</v>
      </c>
      <c r="CX120" s="97">
        <f t="shared" si="63"/>
        <v>0</v>
      </c>
      <c r="CZ120" s="139" t="s">
        <v>195</v>
      </c>
      <c r="DA120" s="94"/>
      <c r="DB120" s="91"/>
      <c r="DC120" s="92"/>
      <c r="DD120" s="92"/>
      <c r="DE120" s="92"/>
      <c r="DF120" s="92"/>
      <c r="DG120" s="92"/>
      <c r="DH120" s="92"/>
      <c r="DI120" s="140">
        <f t="shared" si="64"/>
        <v>0</v>
      </c>
      <c r="DJ120" s="94"/>
      <c r="DK120" s="91"/>
      <c r="DL120" s="92"/>
      <c r="DM120" s="92"/>
      <c r="DN120" s="92"/>
      <c r="DO120" s="92"/>
      <c r="DP120" s="92"/>
      <c r="DQ120" s="92"/>
      <c r="DR120" s="140">
        <f t="shared" si="65"/>
        <v>0</v>
      </c>
      <c r="DS120" s="94"/>
      <c r="DT120" s="91"/>
      <c r="DU120" s="92"/>
      <c r="DV120" s="92"/>
      <c r="DW120" s="92"/>
      <c r="DX120" s="92"/>
      <c r="DY120" s="92"/>
      <c r="DZ120" s="92"/>
      <c r="EA120" s="140">
        <f t="shared" si="66"/>
        <v>0</v>
      </c>
      <c r="EB120" s="95">
        <f t="shared" si="67"/>
        <v>0</v>
      </c>
      <c r="EC120" s="96">
        <f t="shared" si="68"/>
        <v>0</v>
      </c>
      <c r="ED120" s="97">
        <f t="shared" si="69"/>
        <v>0</v>
      </c>
    </row>
    <row r="121" spans="1:134" ht="21.95" customHeight="1" x14ac:dyDescent="0.5">
      <c r="A121" s="83">
        <v>43</v>
      </c>
      <c r="B121" s="145" t="s">
        <v>302</v>
      </c>
      <c r="C121" s="143" t="s">
        <v>303</v>
      </c>
      <c r="D121" s="105" t="s">
        <v>304</v>
      </c>
      <c r="E121" s="105" t="s">
        <v>305</v>
      </c>
      <c r="F121" s="87" t="s">
        <v>194</v>
      </c>
      <c r="G121" s="141" t="s">
        <v>288</v>
      </c>
      <c r="H121" s="217">
        <v>8.5561068499679805E-3</v>
      </c>
      <c r="I121" s="94">
        <f t="shared" si="70"/>
        <v>2737.4493548118339</v>
      </c>
      <c r="J121" s="91">
        <f t="shared" si="75"/>
        <v>2066.8046145714152</v>
      </c>
      <c r="K121" s="92">
        <v>0</v>
      </c>
      <c r="L121" s="92">
        <v>0</v>
      </c>
      <c r="M121" s="92">
        <v>1184</v>
      </c>
      <c r="N121" s="92">
        <v>921.92000000000007</v>
      </c>
      <c r="O121" s="92">
        <v>1866</v>
      </c>
      <c r="P121" s="92">
        <v>1488</v>
      </c>
      <c r="Q121" s="93">
        <f t="shared" si="71"/>
        <v>0.71995194393765205</v>
      </c>
      <c r="R121" s="94">
        <v>2737.4493548118362</v>
      </c>
      <c r="S121" s="91">
        <v>2066.8046145714152</v>
      </c>
      <c r="T121" s="92">
        <v>322</v>
      </c>
      <c r="U121" s="92">
        <v>206.08</v>
      </c>
      <c r="V121" s="92">
        <v>1218</v>
      </c>
      <c r="W121" s="92">
        <v>930.72</v>
      </c>
      <c r="X121" s="92">
        <v>1670</v>
      </c>
      <c r="Y121" s="92">
        <v>1162</v>
      </c>
      <c r="Z121" s="93">
        <f t="shared" si="72"/>
        <v>0.56222053686529005</v>
      </c>
      <c r="AA121" s="94">
        <v>2737.4493548118362</v>
      </c>
      <c r="AB121" s="91">
        <v>2066.8046145714152</v>
      </c>
      <c r="AC121" s="92">
        <v>0</v>
      </c>
      <c r="AD121" s="92">
        <v>0</v>
      </c>
      <c r="AE121" s="92">
        <v>1442</v>
      </c>
      <c r="AF121" s="92">
        <v>1225.28</v>
      </c>
      <c r="AG121" s="92"/>
      <c r="AH121" s="92"/>
      <c r="AI121" s="93">
        <f t="shared" si="73"/>
        <v>0</v>
      </c>
      <c r="AJ121" s="95">
        <f t="shared" si="52"/>
        <v>6200.4138437142456</v>
      </c>
      <c r="AK121" s="96">
        <f t="shared" si="74"/>
        <v>2650</v>
      </c>
      <c r="AL121" s="97">
        <f t="shared" si="53"/>
        <v>0.42739082693431402</v>
      </c>
      <c r="AN121" s="89">
        <v>1.6633200052117365E-3</v>
      </c>
      <c r="AO121" s="94"/>
      <c r="AP121" s="91"/>
      <c r="AQ121" s="92"/>
      <c r="AR121" s="92"/>
      <c r="AS121" s="92"/>
      <c r="AT121" s="92"/>
      <c r="AU121" s="92"/>
      <c r="AV121" s="92"/>
      <c r="AW121" s="140">
        <v>0</v>
      </c>
      <c r="AX121" s="94"/>
      <c r="AY121" s="91"/>
      <c r="AZ121" s="92"/>
      <c r="BA121" s="92"/>
      <c r="BB121" s="92"/>
      <c r="BC121" s="92"/>
      <c r="BD121" s="92"/>
      <c r="BE121" s="92"/>
      <c r="BF121" s="140">
        <v>0</v>
      </c>
      <c r="BG121" s="94"/>
      <c r="BH121" s="91"/>
      <c r="BI121" s="92"/>
      <c r="BJ121" s="92"/>
      <c r="BK121" s="92"/>
      <c r="BL121" s="92"/>
      <c r="BM121" s="92"/>
      <c r="BN121" s="92"/>
      <c r="BO121" s="140">
        <f t="shared" si="54"/>
        <v>0</v>
      </c>
      <c r="BP121" s="95">
        <f t="shared" si="55"/>
        <v>0</v>
      </c>
      <c r="BQ121" s="96">
        <f t="shared" si="56"/>
        <v>0</v>
      </c>
      <c r="BR121" s="97">
        <f t="shared" si="57"/>
        <v>0</v>
      </c>
      <c r="BT121" s="139"/>
      <c r="BU121" s="94"/>
      <c r="BV121" s="91"/>
      <c r="BW121" s="92"/>
      <c r="BX121" s="92"/>
      <c r="BY121" s="92"/>
      <c r="BZ121" s="92"/>
      <c r="CA121" s="92"/>
      <c r="CB121" s="92"/>
      <c r="CC121" s="140">
        <f t="shared" si="58"/>
        <v>0</v>
      </c>
      <c r="CD121" s="94"/>
      <c r="CE121" s="91"/>
      <c r="CF121" s="92"/>
      <c r="CG121" s="92"/>
      <c r="CH121" s="92"/>
      <c r="CI121" s="92"/>
      <c r="CJ121" s="92"/>
      <c r="CK121" s="92"/>
      <c r="CL121" s="140">
        <f t="shared" si="59"/>
        <v>0</v>
      </c>
      <c r="CM121" s="94"/>
      <c r="CN121" s="91"/>
      <c r="CO121" s="92"/>
      <c r="CP121" s="92"/>
      <c r="CQ121" s="92"/>
      <c r="CR121" s="92"/>
      <c r="CS121" s="92"/>
      <c r="CT121" s="92"/>
      <c r="CU121" s="140">
        <f t="shared" si="60"/>
        <v>0</v>
      </c>
      <c r="CV121" s="95">
        <f t="shared" si="61"/>
        <v>0</v>
      </c>
      <c r="CW121" s="96">
        <f t="shared" si="62"/>
        <v>0</v>
      </c>
      <c r="CX121" s="97">
        <f t="shared" si="63"/>
        <v>0</v>
      </c>
      <c r="CZ121" s="139" t="s">
        <v>195</v>
      </c>
      <c r="DA121" s="94"/>
      <c r="DB121" s="91"/>
      <c r="DC121" s="92"/>
      <c r="DD121" s="92"/>
      <c r="DE121" s="92"/>
      <c r="DF121" s="92"/>
      <c r="DG121" s="92"/>
      <c r="DH121" s="92"/>
      <c r="DI121" s="140">
        <f t="shared" si="64"/>
        <v>0</v>
      </c>
      <c r="DJ121" s="94"/>
      <c r="DK121" s="91"/>
      <c r="DL121" s="92"/>
      <c r="DM121" s="92"/>
      <c r="DN121" s="92"/>
      <c r="DO121" s="92"/>
      <c r="DP121" s="92"/>
      <c r="DQ121" s="92"/>
      <c r="DR121" s="140">
        <f t="shared" si="65"/>
        <v>0</v>
      </c>
      <c r="DS121" s="94"/>
      <c r="DT121" s="91"/>
      <c r="DU121" s="92"/>
      <c r="DV121" s="92"/>
      <c r="DW121" s="92"/>
      <c r="DX121" s="92"/>
      <c r="DY121" s="92"/>
      <c r="DZ121" s="92"/>
      <c r="EA121" s="140">
        <f t="shared" si="66"/>
        <v>0</v>
      </c>
      <c r="EB121" s="95">
        <f t="shared" si="67"/>
        <v>0</v>
      </c>
      <c r="EC121" s="96">
        <f t="shared" si="68"/>
        <v>0</v>
      </c>
      <c r="ED121" s="97">
        <f t="shared" si="69"/>
        <v>0</v>
      </c>
    </row>
    <row r="122" spans="1:134" ht="21.95" customHeight="1" x14ac:dyDescent="0.5">
      <c r="A122" s="83">
        <v>44</v>
      </c>
      <c r="B122" s="145" t="s">
        <v>306</v>
      </c>
      <c r="C122" s="143" t="s">
        <v>307</v>
      </c>
      <c r="D122" s="105" t="s">
        <v>308</v>
      </c>
      <c r="E122" s="105" t="s">
        <v>309</v>
      </c>
      <c r="F122" s="87" t="s">
        <v>194</v>
      </c>
      <c r="G122" s="141" t="s">
        <v>288</v>
      </c>
      <c r="H122" s="217">
        <v>1.1185171297200898E-2</v>
      </c>
      <c r="I122" s="94">
        <f t="shared" si="70"/>
        <v>3578.5948548663841</v>
      </c>
      <c r="J122" s="91">
        <f t="shared" si="75"/>
        <v>2701.878793380552</v>
      </c>
      <c r="K122" s="92">
        <v>0</v>
      </c>
      <c r="L122" s="92">
        <v>0</v>
      </c>
      <c r="M122" s="92">
        <v>0</v>
      </c>
      <c r="N122" s="92">
        <v>0</v>
      </c>
      <c r="O122" s="92">
        <v>2680</v>
      </c>
      <c r="P122" s="92">
        <v>1799.2</v>
      </c>
      <c r="Q122" s="93">
        <f t="shared" si="71"/>
        <v>0.6659069993842569</v>
      </c>
      <c r="R122" s="94">
        <v>3578.5948548663873</v>
      </c>
      <c r="S122" s="91">
        <v>2701.878793380552</v>
      </c>
      <c r="T122" s="92">
        <v>0</v>
      </c>
      <c r="U122" s="92">
        <v>0</v>
      </c>
      <c r="V122" s="92">
        <v>340</v>
      </c>
      <c r="W122" s="92">
        <v>236</v>
      </c>
      <c r="X122" s="92">
        <v>966</v>
      </c>
      <c r="Y122" s="92">
        <v>766.24</v>
      </c>
      <c r="Z122" s="93">
        <f t="shared" si="72"/>
        <v>0.28359525300588762</v>
      </c>
      <c r="AA122" s="94">
        <v>3578.5948548663873</v>
      </c>
      <c r="AB122" s="91">
        <v>2701.878793380552</v>
      </c>
      <c r="AC122" s="92">
        <v>2300</v>
      </c>
      <c r="AD122" s="92">
        <v>1939.1999999999998</v>
      </c>
      <c r="AE122" s="92">
        <v>0</v>
      </c>
      <c r="AF122" s="92">
        <v>0</v>
      </c>
      <c r="AG122" s="92"/>
      <c r="AH122" s="92"/>
      <c r="AI122" s="93">
        <f t="shared" si="73"/>
        <v>0</v>
      </c>
      <c r="AJ122" s="95">
        <f t="shared" si="52"/>
        <v>8105.6363801416555</v>
      </c>
      <c r="AK122" s="96">
        <f t="shared" si="74"/>
        <v>2565.44</v>
      </c>
      <c r="AL122" s="97">
        <f t="shared" si="53"/>
        <v>0.31650075079671486</v>
      </c>
      <c r="AN122" s="89">
        <v>1.5446698448399658E-2</v>
      </c>
      <c r="AO122" s="94"/>
      <c r="AP122" s="91"/>
      <c r="AQ122" s="92"/>
      <c r="AR122" s="92"/>
      <c r="AS122" s="92"/>
      <c r="AT122" s="92"/>
      <c r="AU122" s="92"/>
      <c r="AV122" s="92"/>
      <c r="AW122" s="140">
        <v>0</v>
      </c>
      <c r="AX122" s="94"/>
      <c r="AY122" s="91"/>
      <c r="AZ122" s="92"/>
      <c r="BA122" s="92"/>
      <c r="BB122" s="92"/>
      <c r="BC122" s="92"/>
      <c r="BD122" s="92"/>
      <c r="BE122" s="92"/>
      <c r="BF122" s="140">
        <v>0</v>
      </c>
      <c r="BG122" s="94"/>
      <c r="BH122" s="91"/>
      <c r="BI122" s="92"/>
      <c r="BJ122" s="92"/>
      <c r="BK122" s="92"/>
      <c r="BL122" s="92"/>
      <c r="BM122" s="92"/>
      <c r="BN122" s="92"/>
      <c r="BO122" s="140">
        <f t="shared" si="54"/>
        <v>0</v>
      </c>
      <c r="BP122" s="95">
        <f t="shared" si="55"/>
        <v>0</v>
      </c>
      <c r="BQ122" s="96">
        <f t="shared" si="56"/>
        <v>0</v>
      </c>
      <c r="BR122" s="97">
        <f t="shared" si="57"/>
        <v>0</v>
      </c>
      <c r="BT122" s="139"/>
      <c r="BU122" s="94"/>
      <c r="BV122" s="91"/>
      <c r="BW122" s="92"/>
      <c r="BX122" s="92"/>
      <c r="BY122" s="92"/>
      <c r="BZ122" s="92"/>
      <c r="CA122" s="92"/>
      <c r="CB122" s="92"/>
      <c r="CC122" s="140">
        <f t="shared" si="58"/>
        <v>0</v>
      </c>
      <c r="CD122" s="94"/>
      <c r="CE122" s="91"/>
      <c r="CF122" s="92"/>
      <c r="CG122" s="92"/>
      <c r="CH122" s="92"/>
      <c r="CI122" s="92"/>
      <c r="CJ122" s="92"/>
      <c r="CK122" s="92"/>
      <c r="CL122" s="140">
        <f t="shared" si="59"/>
        <v>0</v>
      </c>
      <c r="CM122" s="94"/>
      <c r="CN122" s="91"/>
      <c r="CO122" s="92"/>
      <c r="CP122" s="92"/>
      <c r="CQ122" s="92"/>
      <c r="CR122" s="92"/>
      <c r="CS122" s="92"/>
      <c r="CT122" s="92"/>
      <c r="CU122" s="140">
        <f t="shared" si="60"/>
        <v>0</v>
      </c>
      <c r="CV122" s="95">
        <f t="shared" si="61"/>
        <v>0</v>
      </c>
      <c r="CW122" s="96">
        <f t="shared" si="62"/>
        <v>0</v>
      </c>
      <c r="CX122" s="97">
        <f t="shared" si="63"/>
        <v>0</v>
      </c>
      <c r="CZ122" s="139" t="s">
        <v>195</v>
      </c>
      <c r="DA122" s="94"/>
      <c r="DB122" s="91"/>
      <c r="DC122" s="92"/>
      <c r="DD122" s="92"/>
      <c r="DE122" s="92"/>
      <c r="DF122" s="92"/>
      <c r="DG122" s="92"/>
      <c r="DH122" s="92"/>
      <c r="DI122" s="140">
        <f t="shared" si="64"/>
        <v>0</v>
      </c>
      <c r="DJ122" s="94"/>
      <c r="DK122" s="91"/>
      <c r="DL122" s="92"/>
      <c r="DM122" s="92"/>
      <c r="DN122" s="92"/>
      <c r="DO122" s="92"/>
      <c r="DP122" s="92"/>
      <c r="DQ122" s="92"/>
      <c r="DR122" s="140">
        <f t="shared" si="65"/>
        <v>0</v>
      </c>
      <c r="DS122" s="94"/>
      <c r="DT122" s="91"/>
      <c r="DU122" s="92"/>
      <c r="DV122" s="92"/>
      <c r="DW122" s="92"/>
      <c r="DX122" s="92"/>
      <c r="DY122" s="92"/>
      <c r="DZ122" s="92"/>
      <c r="EA122" s="140">
        <f t="shared" si="66"/>
        <v>0</v>
      </c>
      <c r="EB122" s="95">
        <f t="shared" si="67"/>
        <v>0</v>
      </c>
      <c r="EC122" s="96">
        <f t="shared" si="68"/>
        <v>0</v>
      </c>
      <c r="ED122" s="97">
        <f t="shared" si="69"/>
        <v>0</v>
      </c>
    </row>
    <row r="123" spans="1:134" ht="21.95" customHeight="1" x14ac:dyDescent="0.5">
      <c r="A123" s="83">
        <v>45</v>
      </c>
      <c r="B123" s="145" t="s">
        <v>310</v>
      </c>
      <c r="C123" s="143" t="s">
        <v>311</v>
      </c>
      <c r="D123" s="105" t="s">
        <v>312</v>
      </c>
      <c r="E123" s="105" t="s">
        <v>313</v>
      </c>
      <c r="F123" s="87" t="s">
        <v>194</v>
      </c>
      <c r="G123" s="141" t="s">
        <v>288</v>
      </c>
      <c r="H123" s="217">
        <v>2.8263784023103918E-2</v>
      </c>
      <c r="I123" s="94">
        <f t="shared" si="70"/>
        <v>9042.7432353625154</v>
      </c>
      <c r="J123" s="91">
        <f t="shared" si="75"/>
        <v>6827.3714048369593</v>
      </c>
      <c r="K123" s="92">
        <v>3510</v>
      </c>
      <c r="L123" s="92">
        <v>2765.6</v>
      </c>
      <c r="M123" s="92">
        <v>6230</v>
      </c>
      <c r="N123" s="92">
        <v>4710.7999999999993</v>
      </c>
      <c r="O123" s="92">
        <v>9310</v>
      </c>
      <c r="P123" s="92">
        <v>6991.9999999999991</v>
      </c>
      <c r="Q123" s="93">
        <f t="shared" si="71"/>
        <v>1.0241130276062624</v>
      </c>
      <c r="R123" s="94">
        <v>9042.7432353625245</v>
      </c>
      <c r="S123" s="91">
        <v>6827.3714048369593</v>
      </c>
      <c r="T123" s="92">
        <v>3090</v>
      </c>
      <c r="U123" s="92">
        <v>2345.6</v>
      </c>
      <c r="V123" s="92">
        <v>5180</v>
      </c>
      <c r="W123" s="92">
        <v>3975.2</v>
      </c>
      <c r="X123" s="92">
        <v>8330</v>
      </c>
      <c r="Y123" s="92">
        <v>6508</v>
      </c>
      <c r="Z123" s="93">
        <f t="shared" si="72"/>
        <v>0.95322190841841481</v>
      </c>
      <c r="AA123" s="94">
        <v>9042.7432353625245</v>
      </c>
      <c r="AB123" s="91">
        <v>6827.3714048369593</v>
      </c>
      <c r="AC123" s="92">
        <v>0</v>
      </c>
      <c r="AD123" s="92">
        <v>0</v>
      </c>
      <c r="AE123" s="92">
        <v>5880</v>
      </c>
      <c r="AF123" s="92">
        <v>4439.2</v>
      </c>
      <c r="AG123" s="92"/>
      <c r="AH123" s="92"/>
      <c r="AI123" s="93">
        <f t="shared" si="73"/>
        <v>0</v>
      </c>
      <c r="AJ123" s="95">
        <f t="shared" si="52"/>
        <v>20482.114214510879</v>
      </c>
      <c r="AK123" s="96">
        <f t="shared" si="74"/>
        <v>13500</v>
      </c>
      <c r="AL123" s="97">
        <f t="shared" si="53"/>
        <v>0.65911164534155908</v>
      </c>
      <c r="AN123" s="89">
        <v>8.2611560258849569E-4</v>
      </c>
      <c r="AO123" s="94"/>
      <c r="AP123" s="91"/>
      <c r="AQ123" s="92"/>
      <c r="AR123" s="92"/>
      <c r="AS123" s="92"/>
      <c r="AT123" s="92"/>
      <c r="AU123" s="92"/>
      <c r="AV123" s="92"/>
      <c r="AW123" s="140">
        <v>0</v>
      </c>
      <c r="AX123" s="94"/>
      <c r="AY123" s="91"/>
      <c r="AZ123" s="92"/>
      <c r="BA123" s="92"/>
      <c r="BB123" s="92"/>
      <c r="BC123" s="92"/>
      <c r="BD123" s="92"/>
      <c r="BE123" s="92"/>
      <c r="BF123" s="140">
        <v>0</v>
      </c>
      <c r="BG123" s="94"/>
      <c r="BH123" s="91"/>
      <c r="BI123" s="92"/>
      <c r="BJ123" s="92"/>
      <c r="BK123" s="92"/>
      <c r="BL123" s="92"/>
      <c r="BM123" s="92"/>
      <c r="BN123" s="92"/>
      <c r="BO123" s="140">
        <f t="shared" si="54"/>
        <v>0</v>
      </c>
      <c r="BP123" s="95">
        <f t="shared" si="55"/>
        <v>0</v>
      </c>
      <c r="BQ123" s="96">
        <f t="shared" si="56"/>
        <v>0</v>
      </c>
      <c r="BR123" s="97">
        <f t="shared" si="57"/>
        <v>0</v>
      </c>
      <c r="BT123" s="139"/>
      <c r="BU123" s="94"/>
      <c r="BV123" s="91"/>
      <c r="BW123" s="92"/>
      <c r="BX123" s="92"/>
      <c r="BY123" s="92"/>
      <c r="BZ123" s="92"/>
      <c r="CA123" s="92"/>
      <c r="CB123" s="92"/>
      <c r="CC123" s="140">
        <f t="shared" si="58"/>
        <v>0</v>
      </c>
      <c r="CD123" s="94"/>
      <c r="CE123" s="91"/>
      <c r="CF123" s="92"/>
      <c r="CG123" s="92"/>
      <c r="CH123" s="92"/>
      <c r="CI123" s="92"/>
      <c r="CJ123" s="92"/>
      <c r="CK123" s="92"/>
      <c r="CL123" s="140">
        <f t="shared" si="59"/>
        <v>0</v>
      </c>
      <c r="CM123" s="94"/>
      <c r="CN123" s="91"/>
      <c r="CO123" s="92"/>
      <c r="CP123" s="92"/>
      <c r="CQ123" s="92"/>
      <c r="CR123" s="92"/>
      <c r="CS123" s="92"/>
      <c r="CT123" s="92"/>
      <c r="CU123" s="140">
        <f t="shared" si="60"/>
        <v>0</v>
      </c>
      <c r="CV123" s="95">
        <f t="shared" si="61"/>
        <v>0</v>
      </c>
      <c r="CW123" s="96">
        <f t="shared" si="62"/>
        <v>0</v>
      </c>
      <c r="CX123" s="97">
        <f t="shared" si="63"/>
        <v>0</v>
      </c>
      <c r="CZ123" s="139" t="s">
        <v>195</v>
      </c>
      <c r="DA123" s="94"/>
      <c r="DB123" s="91"/>
      <c r="DC123" s="92"/>
      <c r="DD123" s="92"/>
      <c r="DE123" s="92"/>
      <c r="DF123" s="92"/>
      <c r="DG123" s="92"/>
      <c r="DH123" s="92"/>
      <c r="DI123" s="140">
        <f t="shared" si="64"/>
        <v>0</v>
      </c>
      <c r="DJ123" s="94"/>
      <c r="DK123" s="91"/>
      <c r="DL123" s="92"/>
      <c r="DM123" s="92"/>
      <c r="DN123" s="92"/>
      <c r="DO123" s="92"/>
      <c r="DP123" s="92"/>
      <c r="DQ123" s="92"/>
      <c r="DR123" s="140">
        <f t="shared" si="65"/>
        <v>0</v>
      </c>
      <c r="DS123" s="94"/>
      <c r="DT123" s="91"/>
      <c r="DU123" s="92"/>
      <c r="DV123" s="92"/>
      <c r="DW123" s="92"/>
      <c r="DX123" s="92"/>
      <c r="DY123" s="92"/>
      <c r="DZ123" s="92"/>
      <c r="EA123" s="140">
        <f t="shared" si="66"/>
        <v>0</v>
      </c>
      <c r="EB123" s="95">
        <f t="shared" si="67"/>
        <v>0</v>
      </c>
      <c r="EC123" s="96">
        <f t="shared" si="68"/>
        <v>0</v>
      </c>
      <c r="ED123" s="97">
        <f t="shared" si="69"/>
        <v>0</v>
      </c>
    </row>
    <row r="124" spans="1:134" ht="21.95" customHeight="1" x14ac:dyDescent="0.5">
      <c r="A124" s="83">
        <v>46</v>
      </c>
      <c r="B124" s="99">
        <v>126</v>
      </c>
      <c r="C124" s="104">
        <v>126</v>
      </c>
      <c r="D124" s="100" t="s">
        <v>314</v>
      </c>
      <c r="E124" s="100" t="s">
        <v>132</v>
      </c>
      <c r="F124" s="87" t="s">
        <v>194</v>
      </c>
      <c r="G124" s="141" t="s">
        <v>288</v>
      </c>
      <c r="H124" s="218">
        <v>4.2100043935391256E-3</v>
      </c>
      <c r="I124" s="94">
        <f t="shared" si="70"/>
        <v>1346.9530024501498</v>
      </c>
      <c r="J124" s="91">
        <f t="shared" si="75"/>
        <v>1016.9644512989177</v>
      </c>
      <c r="K124" s="92">
        <v>0</v>
      </c>
      <c r="L124" s="92">
        <v>0</v>
      </c>
      <c r="M124" s="92">
        <v>470</v>
      </c>
      <c r="N124" s="92">
        <v>342.4</v>
      </c>
      <c r="O124" s="92">
        <v>470</v>
      </c>
      <c r="P124" s="92">
        <v>342.4</v>
      </c>
      <c r="Q124" s="93">
        <f t="shared" si="71"/>
        <v>0.33668826827001636</v>
      </c>
      <c r="R124" s="94">
        <v>1346.953002450151</v>
      </c>
      <c r="S124" s="91">
        <v>1016.9644512989177</v>
      </c>
      <c r="T124" s="92">
        <v>780</v>
      </c>
      <c r="U124" s="92">
        <v>549.20000000000005</v>
      </c>
      <c r="V124" s="92">
        <v>780</v>
      </c>
      <c r="W124" s="92">
        <v>549.20000000000005</v>
      </c>
      <c r="X124" s="92">
        <v>1160</v>
      </c>
      <c r="Y124" s="92">
        <v>878.80000000000007</v>
      </c>
      <c r="Z124" s="93">
        <f t="shared" si="72"/>
        <v>0.86414033339862861</v>
      </c>
      <c r="AA124" s="94">
        <v>1346.953002450151</v>
      </c>
      <c r="AB124" s="91">
        <v>1016.9644512989177</v>
      </c>
      <c r="AC124" s="92">
        <v>2000</v>
      </c>
      <c r="AD124" s="92">
        <v>1639.2</v>
      </c>
      <c r="AE124" s="92">
        <v>1040</v>
      </c>
      <c r="AF124" s="92">
        <v>838.40000000000009</v>
      </c>
      <c r="AG124" s="92"/>
      <c r="AH124" s="92"/>
      <c r="AI124" s="93">
        <f t="shared" si="73"/>
        <v>0</v>
      </c>
      <c r="AJ124" s="95">
        <f t="shared" si="52"/>
        <v>3050.8933538967531</v>
      </c>
      <c r="AK124" s="96">
        <f t="shared" si="74"/>
        <v>1221.2</v>
      </c>
      <c r="AL124" s="97">
        <f t="shared" si="53"/>
        <v>0.40027620055621499</v>
      </c>
      <c r="AN124" s="89">
        <v>1.7952591609026427E-2</v>
      </c>
      <c r="AO124" s="94"/>
      <c r="AP124" s="91"/>
      <c r="AQ124" s="92"/>
      <c r="AR124" s="92"/>
      <c r="AS124" s="92"/>
      <c r="AT124" s="92"/>
      <c r="AU124" s="92"/>
      <c r="AV124" s="92"/>
      <c r="AW124" s="140">
        <v>0</v>
      </c>
      <c r="AX124" s="94"/>
      <c r="AY124" s="91"/>
      <c r="AZ124" s="92"/>
      <c r="BA124" s="92"/>
      <c r="BB124" s="92"/>
      <c r="BC124" s="92"/>
      <c r="BD124" s="92"/>
      <c r="BE124" s="92"/>
      <c r="BF124" s="140">
        <v>0</v>
      </c>
      <c r="BG124" s="94"/>
      <c r="BH124" s="91"/>
      <c r="BI124" s="92"/>
      <c r="BJ124" s="92"/>
      <c r="BK124" s="92"/>
      <c r="BL124" s="92"/>
      <c r="BM124" s="92"/>
      <c r="BN124" s="92"/>
      <c r="BO124" s="140">
        <f t="shared" si="54"/>
        <v>0</v>
      </c>
      <c r="BP124" s="95">
        <f t="shared" si="55"/>
        <v>0</v>
      </c>
      <c r="BQ124" s="96">
        <f t="shared" si="56"/>
        <v>0</v>
      </c>
      <c r="BR124" s="97">
        <f t="shared" si="57"/>
        <v>0</v>
      </c>
      <c r="BT124" s="139"/>
      <c r="BU124" s="94"/>
      <c r="BV124" s="91"/>
      <c r="BW124" s="92"/>
      <c r="BX124" s="92"/>
      <c r="BY124" s="92"/>
      <c r="BZ124" s="92"/>
      <c r="CA124" s="92"/>
      <c r="CB124" s="92"/>
      <c r="CC124" s="140">
        <f t="shared" si="58"/>
        <v>0</v>
      </c>
      <c r="CD124" s="94"/>
      <c r="CE124" s="91"/>
      <c r="CF124" s="92"/>
      <c r="CG124" s="92"/>
      <c r="CH124" s="92"/>
      <c r="CI124" s="92"/>
      <c r="CJ124" s="92"/>
      <c r="CK124" s="92"/>
      <c r="CL124" s="140">
        <f t="shared" si="59"/>
        <v>0</v>
      </c>
      <c r="CM124" s="94"/>
      <c r="CN124" s="91"/>
      <c r="CO124" s="92"/>
      <c r="CP124" s="92"/>
      <c r="CQ124" s="92"/>
      <c r="CR124" s="92"/>
      <c r="CS124" s="92"/>
      <c r="CT124" s="92"/>
      <c r="CU124" s="140">
        <f t="shared" si="60"/>
        <v>0</v>
      </c>
      <c r="CV124" s="95">
        <f t="shared" si="61"/>
        <v>0</v>
      </c>
      <c r="CW124" s="96">
        <f t="shared" si="62"/>
        <v>0</v>
      </c>
      <c r="CX124" s="97">
        <f t="shared" si="63"/>
        <v>0</v>
      </c>
      <c r="CZ124" s="146" t="s">
        <v>288</v>
      </c>
      <c r="DA124" s="94"/>
      <c r="DB124" s="91"/>
      <c r="DC124" s="92"/>
      <c r="DD124" s="92"/>
      <c r="DE124" s="92"/>
      <c r="DF124" s="92"/>
      <c r="DG124" s="92"/>
      <c r="DH124" s="92"/>
      <c r="DI124" s="140">
        <f t="shared" si="64"/>
        <v>0</v>
      </c>
      <c r="DJ124" s="94"/>
      <c r="DK124" s="91"/>
      <c r="DL124" s="92"/>
      <c r="DM124" s="92"/>
      <c r="DN124" s="92"/>
      <c r="DO124" s="92"/>
      <c r="DP124" s="92"/>
      <c r="DQ124" s="92"/>
      <c r="DR124" s="140">
        <f t="shared" si="65"/>
        <v>0</v>
      </c>
      <c r="DS124" s="94"/>
      <c r="DT124" s="91"/>
      <c r="DU124" s="92"/>
      <c r="DV124" s="92"/>
      <c r="DW124" s="92"/>
      <c r="DX124" s="92"/>
      <c r="DY124" s="92"/>
      <c r="DZ124" s="92"/>
      <c r="EA124" s="140">
        <f t="shared" si="66"/>
        <v>0</v>
      </c>
      <c r="EB124" s="95">
        <f t="shared" si="67"/>
        <v>0</v>
      </c>
      <c r="EC124" s="96">
        <f t="shared" si="68"/>
        <v>0</v>
      </c>
      <c r="ED124" s="97">
        <f t="shared" si="69"/>
        <v>0</v>
      </c>
    </row>
    <row r="125" spans="1:134" ht="21.95" customHeight="1" x14ac:dyDescent="0.5">
      <c r="A125" s="83">
        <v>47</v>
      </c>
      <c r="B125" s="99" t="s">
        <v>315</v>
      </c>
      <c r="C125" s="104" t="s">
        <v>316</v>
      </c>
      <c r="D125" s="100" t="s">
        <v>90</v>
      </c>
      <c r="E125" s="100" t="s">
        <v>91</v>
      </c>
      <c r="F125" s="87" t="s">
        <v>194</v>
      </c>
      <c r="G125" s="141" t="s">
        <v>288</v>
      </c>
      <c r="H125" s="218">
        <v>2.6575264487667033E-2</v>
      </c>
      <c r="I125" s="94">
        <f t="shared" si="70"/>
        <v>8502.5166119787536</v>
      </c>
      <c r="J125" s="91">
        <f t="shared" si="75"/>
        <v>6419.4943143763612</v>
      </c>
      <c r="K125" s="92">
        <v>1940</v>
      </c>
      <c r="L125" s="92">
        <v>1658.8000000000002</v>
      </c>
      <c r="M125" s="92">
        <v>4480</v>
      </c>
      <c r="N125" s="92">
        <v>3503.6000000000004</v>
      </c>
      <c r="O125" s="92">
        <v>7610</v>
      </c>
      <c r="P125" s="92">
        <v>6202.4000000000005</v>
      </c>
      <c r="Q125" s="93">
        <f t="shared" si="71"/>
        <v>0.96618202248576168</v>
      </c>
      <c r="R125" s="94">
        <v>8502.5166119787609</v>
      </c>
      <c r="S125" s="91">
        <v>6419.4943143763612</v>
      </c>
      <c r="T125" s="92">
        <v>1770</v>
      </c>
      <c r="U125" s="92">
        <v>1360</v>
      </c>
      <c r="V125" s="92">
        <v>4910</v>
      </c>
      <c r="W125" s="92">
        <v>3828.8</v>
      </c>
      <c r="X125" s="92">
        <v>8050</v>
      </c>
      <c r="Y125" s="92">
        <v>6066.8</v>
      </c>
      <c r="Z125" s="93">
        <f t="shared" si="72"/>
        <v>0.94505886334590139</v>
      </c>
      <c r="AA125" s="94">
        <v>8502.5166119787609</v>
      </c>
      <c r="AB125" s="91">
        <v>6419.4943143763612</v>
      </c>
      <c r="AC125" s="92">
        <v>350</v>
      </c>
      <c r="AD125" s="92">
        <v>224</v>
      </c>
      <c r="AE125" s="92">
        <v>5130</v>
      </c>
      <c r="AF125" s="92">
        <v>3924</v>
      </c>
      <c r="AG125" s="92"/>
      <c r="AH125" s="92"/>
      <c r="AI125" s="93">
        <f t="shared" si="73"/>
        <v>0</v>
      </c>
      <c r="AJ125" s="95">
        <f t="shared" si="52"/>
        <v>19258.482943129085</v>
      </c>
      <c r="AK125" s="96">
        <f t="shared" si="74"/>
        <v>12269.2</v>
      </c>
      <c r="AL125" s="97">
        <f t="shared" si="53"/>
        <v>0.63708029527722099</v>
      </c>
      <c r="AN125" s="89">
        <v>5.2502862252813134E-3</v>
      </c>
      <c r="AO125" s="94"/>
      <c r="AP125" s="91"/>
      <c r="AQ125" s="92"/>
      <c r="AR125" s="92"/>
      <c r="AS125" s="92"/>
      <c r="AT125" s="92"/>
      <c r="AU125" s="92"/>
      <c r="AV125" s="92"/>
      <c r="AW125" s="140">
        <v>0</v>
      </c>
      <c r="AX125" s="94"/>
      <c r="AY125" s="91"/>
      <c r="AZ125" s="92"/>
      <c r="BA125" s="92"/>
      <c r="BB125" s="92"/>
      <c r="BC125" s="92"/>
      <c r="BD125" s="92"/>
      <c r="BE125" s="92"/>
      <c r="BF125" s="140">
        <v>0</v>
      </c>
      <c r="BG125" s="94"/>
      <c r="BH125" s="91"/>
      <c r="BI125" s="92"/>
      <c r="BJ125" s="92"/>
      <c r="BK125" s="92"/>
      <c r="BL125" s="92"/>
      <c r="BM125" s="92"/>
      <c r="BN125" s="92"/>
      <c r="BO125" s="140">
        <f t="shared" si="54"/>
        <v>0</v>
      </c>
      <c r="BP125" s="95">
        <f t="shared" si="55"/>
        <v>0</v>
      </c>
      <c r="BQ125" s="96">
        <f t="shared" si="56"/>
        <v>0</v>
      </c>
      <c r="BR125" s="97">
        <f t="shared" si="57"/>
        <v>0</v>
      </c>
      <c r="BT125" s="146"/>
      <c r="BU125" s="94"/>
      <c r="BV125" s="91"/>
      <c r="BW125" s="92"/>
      <c r="BX125" s="92"/>
      <c r="BY125" s="92"/>
      <c r="BZ125" s="92"/>
      <c r="CA125" s="92"/>
      <c r="CB125" s="92"/>
      <c r="CC125" s="140">
        <f t="shared" si="58"/>
        <v>0</v>
      </c>
      <c r="CD125" s="94"/>
      <c r="CE125" s="91"/>
      <c r="CF125" s="92"/>
      <c r="CG125" s="92"/>
      <c r="CH125" s="92"/>
      <c r="CI125" s="92"/>
      <c r="CJ125" s="92"/>
      <c r="CK125" s="92"/>
      <c r="CL125" s="140">
        <f t="shared" si="59"/>
        <v>0</v>
      </c>
      <c r="CM125" s="94"/>
      <c r="CN125" s="91"/>
      <c r="CO125" s="92"/>
      <c r="CP125" s="92"/>
      <c r="CQ125" s="92"/>
      <c r="CR125" s="92"/>
      <c r="CS125" s="92"/>
      <c r="CT125" s="92"/>
      <c r="CU125" s="140">
        <f t="shared" si="60"/>
        <v>0</v>
      </c>
      <c r="CV125" s="95">
        <f t="shared" si="61"/>
        <v>0</v>
      </c>
      <c r="CW125" s="96">
        <f t="shared" si="62"/>
        <v>0</v>
      </c>
      <c r="CX125" s="97">
        <f t="shared" si="63"/>
        <v>0</v>
      </c>
      <c r="CZ125" s="146" t="s">
        <v>288</v>
      </c>
      <c r="DA125" s="94"/>
      <c r="DB125" s="91"/>
      <c r="DC125" s="92"/>
      <c r="DD125" s="92"/>
      <c r="DE125" s="92"/>
      <c r="DF125" s="92"/>
      <c r="DG125" s="92"/>
      <c r="DH125" s="92"/>
      <c r="DI125" s="140">
        <f t="shared" si="64"/>
        <v>0</v>
      </c>
      <c r="DJ125" s="94"/>
      <c r="DK125" s="91"/>
      <c r="DL125" s="92"/>
      <c r="DM125" s="92"/>
      <c r="DN125" s="92"/>
      <c r="DO125" s="92"/>
      <c r="DP125" s="92"/>
      <c r="DQ125" s="92"/>
      <c r="DR125" s="140">
        <f t="shared" si="65"/>
        <v>0</v>
      </c>
      <c r="DS125" s="94"/>
      <c r="DT125" s="91"/>
      <c r="DU125" s="92"/>
      <c r="DV125" s="92"/>
      <c r="DW125" s="92"/>
      <c r="DX125" s="92"/>
      <c r="DY125" s="92"/>
      <c r="DZ125" s="92"/>
      <c r="EA125" s="140">
        <f t="shared" si="66"/>
        <v>0</v>
      </c>
      <c r="EB125" s="95">
        <f t="shared" si="67"/>
        <v>0</v>
      </c>
      <c r="EC125" s="96">
        <f t="shared" si="68"/>
        <v>0</v>
      </c>
      <c r="ED125" s="97">
        <f t="shared" si="69"/>
        <v>0</v>
      </c>
    </row>
    <row r="126" spans="1:134" ht="21.95" customHeight="1" x14ac:dyDescent="0.5">
      <c r="A126" s="83">
        <v>48</v>
      </c>
      <c r="B126" s="99" t="s">
        <v>317</v>
      </c>
      <c r="C126" s="104" t="s">
        <v>318</v>
      </c>
      <c r="D126" s="100" t="s">
        <v>90</v>
      </c>
      <c r="E126" s="100" t="s">
        <v>91</v>
      </c>
      <c r="F126" s="87" t="s">
        <v>194</v>
      </c>
      <c r="G126" s="141" t="s">
        <v>288</v>
      </c>
      <c r="H126" s="218">
        <v>7.402944010047539E-3</v>
      </c>
      <c r="I126" s="94">
        <f t="shared" si="70"/>
        <v>2368.5052862668031</v>
      </c>
      <c r="J126" s="91">
        <f t="shared" si="75"/>
        <v>1788.2477521230735</v>
      </c>
      <c r="K126" s="92">
        <v>350</v>
      </c>
      <c r="L126" s="92">
        <v>224</v>
      </c>
      <c r="M126" s="92">
        <v>1910</v>
      </c>
      <c r="N126" s="92">
        <v>1004</v>
      </c>
      <c r="O126" s="92">
        <v>2210</v>
      </c>
      <c r="P126" s="92">
        <v>1304</v>
      </c>
      <c r="Q126" s="93">
        <f t="shared" si="71"/>
        <v>0.72920544619829286</v>
      </c>
      <c r="R126" s="94">
        <v>2368.5052862668049</v>
      </c>
      <c r="S126" s="91">
        <v>1788.2477521230735</v>
      </c>
      <c r="T126" s="92">
        <v>700</v>
      </c>
      <c r="U126" s="92">
        <v>448</v>
      </c>
      <c r="V126" s="92">
        <v>1410</v>
      </c>
      <c r="W126" s="92">
        <v>1032</v>
      </c>
      <c r="X126" s="92">
        <v>1410</v>
      </c>
      <c r="Y126" s="92">
        <v>1032</v>
      </c>
      <c r="Z126" s="93">
        <f t="shared" si="72"/>
        <v>0.5771012426968084</v>
      </c>
      <c r="AA126" s="94">
        <v>2368.5052862668049</v>
      </c>
      <c r="AB126" s="91">
        <v>1788.2477521230735</v>
      </c>
      <c r="AC126" s="92">
        <v>2526</v>
      </c>
      <c r="AD126" s="92">
        <v>1667.6000000000001</v>
      </c>
      <c r="AE126" s="92">
        <v>2270</v>
      </c>
      <c r="AF126" s="92">
        <v>1364</v>
      </c>
      <c r="AG126" s="92"/>
      <c r="AH126" s="92"/>
      <c r="AI126" s="93">
        <f t="shared" si="73"/>
        <v>0</v>
      </c>
      <c r="AJ126" s="95">
        <f t="shared" si="52"/>
        <v>5364.74325636922</v>
      </c>
      <c r="AK126" s="96">
        <f t="shared" si="74"/>
        <v>2336</v>
      </c>
      <c r="AL126" s="97">
        <f t="shared" si="53"/>
        <v>0.43543556296503383</v>
      </c>
      <c r="AN126" s="89">
        <v>1.9239758554579267E-2</v>
      </c>
      <c r="AO126" s="94"/>
      <c r="AP126" s="91"/>
      <c r="AQ126" s="92"/>
      <c r="AR126" s="92"/>
      <c r="AS126" s="92"/>
      <c r="AT126" s="92"/>
      <c r="AU126" s="92"/>
      <c r="AV126" s="92"/>
      <c r="AW126" s="140">
        <v>0</v>
      </c>
      <c r="AX126" s="94"/>
      <c r="AY126" s="91"/>
      <c r="AZ126" s="92"/>
      <c r="BA126" s="92"/>
      <c r="BB126" s="92"/>
      <c r="BC126" s="92"/>
      <c r="BD126" s="92"/>
      <c r="BE126" s="92"/>
      <c r="BF126" s="140">
        <v>0</v>
      </c>
      <c r="BG126" s="94"/>
      <c r="BH126" s="91"/>
      <c r="BI126" s="92"/>
      <c r="BJ126" s="92"/>
      <c r="BK126" s="92"/>
      <c r="BL126" s="92"/>
      <c r="BM126" s="92"/>
      <c r="BN126" s="92"/>
      <c r="BO126" s="140">
        <f t="shared" si="54"/>
        <v>0</v>
      </c>
      <c r="BP126" s="95">
        <f t="shared" si="55"/>
        <v>0</v>
      </c>
      <c r="BQ126" s="96">
        <f t="shared" si="56"/>
        <v>0</v>
      </c>
      <c r="BR126" s="97">
        <f t="shared" si="57"/>
        <v>0</v>
      </c>
      <c r="BT126" s="146"/>
      <c r="BU126" s="94"/>
      <c r="BV126" s="91"/>
      <c r="BW126" s="92"/>
      <c r="BX126" s="92"/>
      <c r="BY126" s="92"/>
      <c r="BZ126" s="92"/>
      <c r="CA126" s="92"/>
      <c r="CB126" s="92"/>
      <c r="CC126" s="140">
        <f t="shared" si="58"/>
        <v>0</v>
      </c>
      <c r="CD126" s="94"/>
      <c r="CE126" s="91"/>
      <c r="CF126" s="92"/>
      <c r="CG126" s="92"/>
      <c r="CH126" s="92"/>
      <c r="CI126" s="92"/>
      <c r="CJ126" s="92"/>
      <c r="CK126" s="92"/>
      <c r="CL126" s="140">
        <f t="shared" si="59"/>
        <v>0</v>
      </c>
      <c r="CM126" s="94"/>
      <c r="CN126" s="91"/>
      <c r="CO126" s="92"/>
      <c r="CP126" s="92"/>
      <c r="CQ126" s="92"/>
      <c r="CR126" s="92"/>
      <c r="CS126" s="92"/>
      <c r="CT126" s="92"/>
      <c r="CU126" s="140">
        <f t="shared" si="60"/>
        <v>0</v>
      </c>
      <c r="CV126" s="95">
        <f t="shared" si="61"/>
        <v>0</v>
      </c>
      <c r="CW126" s="96">
        <f t="shared" si="62"/>
        <v>0</v>
      </c>
      <c r="CX126" s="97">
        <f t="shared" si="63"/>
        <v>0</v>
      </c>
      <c r="CZ126" s="146" t="s">
        <v>288</v>
      </c>
      <c r="DA126" s="94"/>
      <c r="DB126" s="91"/>
      <c r="DC126" s="92"/>
      <c r="DD126" s="92"/>
      <c r="DE126" s="92"/>
      <c r="DF126" s="92"/>
      <c r="DG126" s="92"/>
      <c r="DH126" s="92"/>
      <c r="DI126" s="140">
        <f t="shared" si="64"/>
        <v>0</v>
      </c>
      <c r="DJ126" s="94"/>
      <c r="DK126" s="91"/>
      <c r="DL126" s="92"/>
      <c r="DM126" s="92"/>
      <c r="DN126" s="92"/>
      <c r="DO126" s="92"/>
      <c r="DP126" s="92"/>
      <c r="DQ126" s="92"/>
      <c r="DR126" s="140">
        <f t="shared" si="65"/>
        <v>0</v>
      </c>
      <c r="DS126" s="94"/>
      <c r="DT126" s="91"/>
      <c r="DU126" s="92"/>
      <c r="DV126" s="92"/>
      <c r="DW126" s="92"/>
      <c r="DX126" s="92"/>
      <c r="DY126" s="92"/>
      <c r="DZ126" s="92"/>
      <c r="EA126" s="140">
        <f t="shared" si="66"/>
        <v>0</v>
      </c>
      <c r="EB126" s="95">
        <f t="shared" si="67"/>
        <v>0</v>
      </c>
      <c r="EC126" s="96">
        <f t="shared" si="68"/>
        <v>0</v>
      </c>
      <c r="ED126" s="97">
        <f t="shared" si="69"/>
        <v>0</v>
      </c>
    </row>
    <row r="127" spans="1:134" ht="21.95" customHeight="1" x14ac:dyDescent="0.5">
      <c r="A127" s="83">
        <v>49</v>
      </c>
      <c r="B127" s="99" t="s">
        <v>319</v>
      </c>
      <c r="C127" s="104" t="s">
        <v>320</v>
      </c>
      <c r="D127" s="100" t="s">
        <v>90</v>
      </c>
      <c r="E127" s="100" t="s">
        <v>91</v>
      </c>
      <c r="F127" s="87" t="s">
        <v>194</v>
      </c>
      <c r="G127" s="141" t="s">
        <v>288</v>
      </c>
      <c r="H127" s="218">
        <v>1.8848169904595823E-2</v>
      </c>
      <c r="I127" s="94">
        <f t="shared" si="70"/>
        <v>6030.3022682463052</v>
      </c>
      <c r="J127" s="91">
        <f t="shared" si="75"/>
        <v>4552.9450739842623</v>
      </c>
      <c r="K127" s="92">
        <v>1580</v>
      </c>
      <c r="L127" s="92">
        <v>1147.6000000000001</v>
      </c>
      <c r="M127" s="92">
        <v>3780</v>
      </c>
      <c r="N127" s="92">
        <v>2864.8</v>
      </c>
      <c r="O127" s="92">
        <v>6270</v>
      </c>
      <c r="P127" s="92">
        <v>4507.2</v>
      </c>
      <c r="Q127" s="93">
        <f t="shared" si="71"/>
        <v>0.9899526409300099</v>
      </c>
      <c r="R127" s="94">
        <v>6030.3022682463106</v>
      </c>
      <c r="S127" s="91">
        <v>4552.9450739842623</v>
      </c>
      <c r="T127" s="92">
        <v>2320</v>
      </c>
      <c r="U127" s="92">
        <v>1837.1999999999998</v>
      </c>
      <c r="V127" s="92">
        <v>4280</v>
      </c>
      <c r="W127" s="92">
        <v>3234.7999999999997</v>
      </c>
      <c r="X127" s="92">
        <v>6030</v>
      </c>
      <c r="Y127" s="92">
        <v>4577.6000000000004</v>
      </c>
      <c r="Z127" s="93">
        <f t="shared" si="72"/>
        <v>1.0054151599931695</v>
      </c>
      <c r="AA127" s="94">
        <v>6030.3022682463106</v>
      </c>
      <c r="AB127" s="91">
        <v>4552.9450739842623</v>
      </c>
      <c r="AC127" s="92">
        <v>560</v>
      </c>
      <c r="AD127" s="92">
        <v>382</v>
      </c>
      <c r="AE127" s="92">
        <v>4086</v>
      </c>
      <c r="AF127" s="92">
        <v>2925.2000000000003</v>
      </c>
      <c r="AG127" s="92"/>
      <c r="AH127" s="92"/>
      <c r="AI127" s="93">
        <f t="shared" si="73"/>
        <v>0</v>
      </c>
      <c r="AJ127" s="95">
        <f t="shared" si="52"/>
        <v>13658.835221952788</v>
      </c>
      <c r="AK127" s="96">
        <f t="shared" si="74"/>
        <v>9084.7999999999993</v>
      </c>
      <c r="AL127" s="97">
        <f t="shared" si="53"/>
        <v>0.66512260030772641</v>
      </c>
      <c r="AN127" s="89">
        <v>2.8805441328898253E-2</v>
      </c>
      <c r="AO127" s="94"/>
      <c r="AP127" s="91"/>
      <c r="AQ127" s="92"/>
      <c r="AR127" s="92"/>
      <c r="AS127" s="92"/>
      <c r="AT127" s="92"/>
      <c r="AU127" s="92"/>
      <c r="AV127" s="92"/>
      <c r="AW127" s="140">
        <v>0</v>
      </c>
      <c r="AX127" s="94"/>
      <c r="AY127" s="91"/>
      <c r="AZ127" s="92"/>
      <c r="BA127" s="92"/>
      <c r="BB127" s="92"/>
      <c r="BC127" s="92"/>
      <c r="BD127" s="92"/>
      <c r="BE127" s="92"/>
      <c r="BF127" s="140">
        <v>0</v>
      </c>
      <c r="BG127" s="94"/>
      <c r="BH127" s="91"/>
      <c r="BI127" s="92"/>
      <c r="BJ127" s="92"/>
      <c r="BK127" s="92"/>
      <c r="BL127" s="92"/>
      <c r="BM127" s="92"/>
      <c r="BN127" s="92"/>
      <c r="BO127" s="140">
        <f t="shared" si="54"/>
        <v>0</v>
      </c>
      <c r="BP127" s="95">
        <f t="shared" si="55"/>
        <v>0</v>
      </c>
      <c r="BQ127" s="96">
        <f t="shared" si="56"/>
        <v>0</v>
      </c>
      <c r="BR127" s="97">
        <f t="shared" si="57"/>
        <v>0</v>
      </c>
      <c r="BT127" s="146"/>
      <c r="BU127" s="94"/>
      <c r="BV127" s="91"/>
      <c r="BW127" s="92"/>
      <c r="BX127" s="92"/>
      <c r="BY127" s="92"/>
      <c r="BZ127" s="92"/>
      <c r="CA127" s="92"/>
      <c r="CB127" s="92"/>
      <c r="CC127" s="140">
        <f t="shared" si="58"/>
        <v>0</v>
      </c>
      <c r="CD127" s="94"/>
      <c r="CE127" s="91"/>
      <c r="CF127" s="92"/>
      <c r="CG127" s="92"/>
      <c r="CH127" s="92"/>
      <c r="CI127" s="92"/>
      <c r="CJ127" s="92"/>
      <c r="CK127" s="92"/>
      <c r="CL127" s="140">
        <f t="shared" si="59"/>
        <v>0</v>
      </c>
      <c r="CM127" s="94"/>
      <c r="CN127" s="91"/>
      <c r="CO127" s="92"/>
      <c r="CP127" s="92"/>
      <c r="CQ127" s="92"/>
      <c r="CR127" s="92"/>
      <c r="CS127" s="92"/>
      <c r="CT127" s="92"/>
      <c r="CU127" s="140">
        <f t="shared" si="60"/>
        <v>0</v>
      </c>
      <c r="CV127" s="95">
        <f t="shared" si="61"/>
        <v>0</v>
      </c>
      <c r="CW127" s="96">
        <f t="shared" si="62"/>
        <v>0</v>
      </c>
      <c r="CX127" s="97">
        <f t="shared" si="63"/>
        <v>0</v>
      </c>
      <c r="CZ127" s="146" t="s">
        <v>288</v>
      </c>
      <c r="DA127" s="94"/>
      <c r="DB127" s="91"/>
      <c r="DC127" s="92"/>
      <c r="DD127" s="92"/>
      <c r="DE127" s="92"/>
      <c r="DF127" s="92"/>
      <c r="DG127" s="92"/>
      <c r="DH127" s="92"/>
      <c r="DI127" s="140">
        <f t="shared" si="64"/>
        <v>0</v>
      </c>
      <c r="DJ127" s="94"/>
      <c r="DK127" s="91"/>
      <c r="DL127" s="92"/>
      <c r="DM127" s="92"/>
      <c r="DN127" s="92"/>
      <c r="DO127" s="92"/>
      <c r="DP127" s="92"/>
      <c r="DQ127" s="92"/>
      <c r="DR127" s="140">
        <f t="shared" si="65"/>
        <v>0</v>
      </c>
      <c r="DS127" s="94"/>
      <c r="DT127" s="91"/>
      <c r="DU127" s="92"/>
      <c r="DV127" s="92"/>
      <c r="DW127" s="92"/>
      <c r="DX127" s="92"/>
      <c r="DY127" s="92"/>
      <c r="DZ127" s="92"/>
      <c r="EA127" s="140">
        <f t="shared" si="66"/>
        <v>0</v>
      </c>
      <c r="EB127" s="95">
        <f t="shared" si="67"/>
        <v>0</v>
      </c>
      <c r="EC127" s="96">
        <f t="shared" si="68"/>
        <v>0</v>
      </c>
      <c r="ED127" s="97">
        <f t="shared" si="69"/>
        <v>0</v>
      </c>
    </row>
    <row r="128" spans="1:134" ht="21.95" customHeight="1" x14ac:dyDescent="0.5">
      <c r="A128" s="83">
        <v>50</v>
      </c>
      <c r="B128" s="99" t="s">
        <v>321</v>
      </c>
      <c r="C128" s="104" t="s">
        <v>322</v>
      </c>
      <c r="D128" s="100" t="s">
        <v>323</v>
      </c>
      <c r="E128" s="100" t="s">
        <v>91</v>
      </c>
      <c r="F128" s="87" t="s">
        <v>194</v>
      </c>
      <c r="G128" s="141" t="s">
        <v>288</v>
      </c>
      <c r="H128" s="218">
        <v>5.0347812435409898E-3</v>
      </c>
      <c r="I128" s="94">
        <f t="shared" si="70"/>
        <v>1610.8329300260648</v>
      </c>
      <c r="J128" s="91">
        <f t="shared" si="75"/>
        <v>1216.1967224085179</v>
      </c>
      <c r="K128" s="92">
        <v>620</v>
      </c>
      <c r="L128" s="92">
        <v>466</v>
      </c>
      <c r="M128" s="92">
        <v>620</v>
      </c>
      <c r="N128" s="92">
        <v>466</v>
      </c>
      <c r="O128" s="92">
        <v>1120</v>
      </c>
      <c r="P128" s="92">
        <v>867.6</v>
      </c>
      <c r="Q128" s="93">
        <f t="shared" si="71"/>
        <v>0.71337143408989967</v>
      </c>
      <c r="R128" s="94">
        <v>1610.8329300260662</v>
      </c>
      <c r="S128" s="91">
        <v>1216.1967224085179</v>
      </c>
      <c r="T128" s="92">
        <v>560</v>
      </c>
      <c r="U128" s="92">
        <v>382</v>
      </c>
      <c r="V128" s="92">
        <v>1010</v>
      </c>
      <c r="W128" s="92">
        <v>756.4</v>
      </c>
      <c r="X128" s="92">
        <v>1010</v>
      </c>
      <c r="Y128" s="92">
        <v>756.4</v>
      </c>
      <c r="Z128" s="93">
        <f t="shared" si="72"/>
        <v>0.62193885747533439</v>
      </c>
      <c r="AA128" s="94">
        <v>1610.8329300260662</v>
      </c>
      <c r="AB128" s="91">
        <v>1216.1967224085179</v>
      </c>
      <c r="AC128" s="92">
        <v>6000</v>
      </c>
      <c r="AD128" s="92">
        <v>4456</v>
      </c>
      <c r="AE128" s="92">
        <v>1520</v>
      </c>
      <c r="AF128" s="92">
        <v>1087.2</v>
      </c>
      <c r="AG128" s="92"/>
      <c r="AH128" s="92"/>
      <c r="AI128" s="93">
        <f t="shared" si="73"/>
        <v>0</v>
      </c>
      <c r="AJ128" s="95">
        <f t="shared" si="52"/>
        <v>3648.5901672255536</v>
      </c>
      <c r="AK128" s="96">
        <f t="shared" si="74"/>
        <v>1624</v>
      </c>
      <c r="AL128" s="97">
        <f t="shared" si="53"/>
        <v>0.44510343052174467</v>
      </c>
      <c r="AN128" s="89">
        <v>8.0549552540122357E-3</v>
      </c>
      <c r="AO128" s="94"/>
      <c r="AP128" s="91"/>
      <c r="AQ128" s="92"/>
      <c r="AR128" s="92"/>
      <c r="AS128" s="92"/>
      <c r="AT128" s="92"/>
      <c r="AU128" s="92"/>
      <c r="AV128" s="92"/>
      <c r="AW128" s="140">
        <v>0</v>
      </c>
      <c r="AX128" s="94"/>
      <c r="AY128" s="91"/>
      <c r="AZ128" s="92"/>
      <c r="BA128" s="92"/>
      <c r="BB128" s="92"/>
      <c r="BC128" s="92"/>
      <c r="BD128" s="92"/>
      <c r="BE128" s="92"/>
      <c r="BF128" s="140">
        <v>0</v>
      </c>
      <c r="BG128" s="94"/>
      <c r="BH128" s="91"/>
      <c r="BI128" s="92"/>
      <c r="BJ128" s="92"/>
      <c r="BK128" s="92"/>
      <c r="BL128" s="92"/>
      <c r="BM128" s="92"/>
      <c r="BN128" s="92"/>
      <c r="BO128" s="140">
        <f t="shared" si="54"/>
        <v>0</v>
      </c>
      <c r="BP128" s="95">
        <f t="shared" si="55"/>
        <v>0</v>
      </c>
      <c r="BQ128" s="96">
        <f t="shared" si="56"/>
        <v>0</v>
      </c>
      <c r="BR128" s="97">
        <f t="shared" si="57"/>
        <v>0</v>
      </c>
      <c r="BT128" s="146"/>
      <c r="BU128" s="94"/>
      <c r="BV128" s="91"/>
      <c r="BW128" s="92"/>
      <c r="BX128" s="92"/>
      <c r="BY128" s="92"/>
      <c r="BZ128" s="92"/>
      <c r="CA128" s="92"/>
      <c r="CB128" s="92"/>
      <c r="CC128" s="140">
        <f t="shared" si="58"/>
        <v>0</v>
      </c>
      <c r="CD128" s="94"/>
      <c r="CE128" s="91"/>
      <c r="CF128" s="92"/>
      <c r="CG128" s="92"/>
      <c r="CH128" s="92"/>
      <c r="CI128" s="92"/>
      <c r="CJ128" s="92"/>
      <c r="CK128" s="92"/>
      <c r="CL128" s="140">
        <f t="shared" si="59"/>
        <v>0</v>
      </c>
      <c r="CM128" s="94"/>
      <c r="CN128" s="91"/>
      <c r="CO128" s="92"/>
      <c r="CP128" s="92"/>
      <c r="CQ128" s="92"/>
      <c r="CR128" s="92"/>
      <c r="CS128" s="92"/>
      <c r="CT128" s="92"/>
      <c r="CU128" s="140">
        <f t="shared" si="60"/>
        <v>0</v>
      </c>
      <c r="CV128" s="95">
        <f t="shared" si="61"/>
        <v>0</v>
      </c>
      <c r="CW128" s="96">
        <f t="shared" si="62"/>
        <v>0</v>
      </c>
      <c r="CX128" s="97">
        <f t="shared" si="63"/>
        <v>0</v>
      </c>
      <c r="CZ128" s="146" t="s">
        <v>288</v>
      </c>
      <c r="DA128" s="94"/>
      <c r="DB128" s="91"/>
      <c r="DC128" s="92"/>
      <c r="DD128" s="92"/>
      <c r="DE128" s="92"/>
      <c r="DF128" s="92"/>
      <c r="DG128" s="92"/>
      <c r="DH128" s="92"/>
      <c r="DI128" s="140">
        <f t="shared" si="64"/>
        <v>0</v>
      </c>
      <c r="DJ128" s="94"/>
      <c r="DK128" s="91"/>
      <c r="DL128" s="92"/>
      <c r="DM128" s="92"/>
      <c r="DN128" s="92"/>
      <c r="DO128" s="92"/>
      <c r="DP128" s="92"/>
      <c r="DQ128" s="92"/>
      <c r="DR128" s="140">
        <f t="shared" si="65"/>
        <v>0</v>
      </c>
      <c r="DS128" s="94"/>
      <c r="DT128" s="91"/>
      <c r="DU128" s="92"/>
      <c r="DV128" s="92"/>
      <c r="DW128" s="92"/>
      <c r="DX128" s="92"/>
      <c r="DY128" s="92"/>
      <c r="DZ128" s="92"/>
      <c r="EA128" s="140">
        <f t="shared" si="66"/>
        <v>0</v>
      </c>
      <c r="EB128" s="95">
        <f t="shared" si="67"/>
        <v>0</v>
      </c>
      <c r="EC128" s="96">
        <f t="shared" si="68"/>
        <v>0</v>
      </c>
      <c r="ED128" s="97">
        <f t="shared" si="69"/>
        <v>0</v>
      </c>
    </row>
    <row r="129" spans="1:134" ht="21.95" customHeight="1" x14ac:dyDescent="0.5">
      <c r="A129" s="83">
        <v>51</v>
      </c>
      <c r="B129" s="99" t="s">
        <v>324</v>
      </c>
      <c r="C129" s="104" t="s">
        <v>325</v>
      </c>
      <c r="D129" s="100" t="s">
        <v>297</v>
      </c>
      <c r="E129" s="99" t="s">
        <v>298</v>
      </c>
      <c r="F129" s="87" t="s">
        <v>194</v>
      </c>
      <c r="G129" s="141" t="s">
        <v>288</v>
      </c>
      <c r="H129" s="218">
        <v>9.3647891157691929E-3</v>
      </c>
      <c r="I129" s="94">
        <f t="shared" si="70"/>
        <v>2996.1799650745593</v>
      </c>
      <c r="J129" s="91">
        <f t="shared" si="75"/>
        <v>2262.1490940160907</v>
      </c>
      <c r="K129" s="92">
        <v>1400</v>
      </c>
      <c r="L129" s="92">
        <v>1039.2</v>
      </c>
      <c r="M129" s="92">
        <v>1820</v>
      </c>
      <c r="N129" s="92">
        <v>1308</v>
      </c>
      <c r="O129" s="92">
        <v>2320</v>
      </c>
      <c r="P129" s="92">
        <v>1757.6</v>
      </c>
      <c r="Q129" s="93">
        <f t="shared" si="71"/>
        <v>0.77696028287846275</v>
      </c>
      <c r="R129" s="94">
        <v>2996.179965074562</v>
      </c>
      <c r="S129" s="91">
        <v>2262.1490940160907</v>
      </c>
      <c r="T129" s="92">
        <v>940</v>
      </c>
      <c r="U129" s="92">
        <v>759.6</v>
      </c>
      <c r="V129" s="92">
        <v>2830</v>
      </c>
      <c r="W129" s="92">
        <v>2112.4</v>
      </c>
      <c r="X129" s="92">
        <v>2950</v>
      </c>
      <c r="Y129" s="92">
        <v>2232.4</v>
      </c>
      <c r="Z129" s="93">
        <f t="shared" si="72"/>
        <v>0.98684918951859368</v>
      </c>
      <c r="AA129" s="94">
        <v>2996.179965074562</v>
      </c>
      <c r="AB129" s="91">
        <v>2262.1490940160907</v>
      </c>
      <c r="AC129" s="92">
        <v>0</v>
      </c>
      <c r="AD129" s="92">
        <v>0</v>
      </c>
      <c r="AE129" s="92">
        <v>7540</v>
      </c>
      <c r="AF129" s="92">
        <v>5441.6</v>
      </c>
      <c r="AG129" s="92"/>
      <c r="AH129" s="92"/>
      <c r="AI129" s="93">
        <f t="shared" si="73"/>
        <v>0</v>
      </c>
      <c r="AJ129" s="95">
        <f t="shared" si="52"/>
        <v>6786.4472820482715</v>
      </c>
      <c r="AK129" s="96">
        <f t="shared" si="74"/>
        <v>3990</v>
      </c>
      <c r="AL129" s="97">
        <f t="shared" si="53"/>
        <v>0.58793649079901888</v>
      </c>
      <c r="AN129" s="89">
        <v>2.8520909688302364E-2</v>
      </c>
      <c r="AO129" s="94"/>
      <c r="AP129" s="91"/>
      <c r="AQ129" s="92"/>
      <c r="AR129" s="92"/>
      <c r="AS129" s="92"/>
      <c r="AT129" s="92"/>
      <c r="AU129" s="92"/>
      <c r="AV129" s="92"/>
      <c r="AW129" s="140">
        <v>0</v>
      </c>
      <c r="AX129" s="94"/>
      <c r="AY129" s="91"/>
      <c r="AZ129" s="92"/>
      <c r="BA129" s="92"/>
      <c r="BB129" s="92"/>
      <c r="BC129" s="92"/>
      <c r="BD129" s="92"/>
      <c r="BE129" s="92"/>
      <c r="BF129" s="140">
        <v>0</v>
      </c>
      <c r="BG129" s="94"/>
      <c r="BH129" s="91"/>
      <c r="BI129" s="92"/>
      <c r="BJ129" s="92"/>
      <c r="BK129" s="92"/>
      <c r="BL129" s="92"/>
      <c r="BM129" s="92"/>
      <c r="BN129" s="92"/>
      <c r="BO129" s="140">
        <f t="shared" si="54"/>
        <v>0</v>
      </c>
      <c r="BP129" s="95">
        <f t="shared" si="55"/>
        <v>0</v>
      </c>
      <c r="BQ129" s="96">
        <f t="shared" si="56"/>
        <v>0</v>
      </c>
      <c r="BR129" s="97">
        <f t="shared" si="57"/>
        <v>0</v>
      </c>
      <c r="BT129" s="146"/>
      <c r="BU129" s="94"/>
      <c r="BV129" s="91"/>
      <c r="BW129" s="92"/>
      <c r="BX129" s="92"/>
      <c r="BY129" s="92"/>
      <c r="BZ129" s="92"/>
      <c r="CA129" s="92"/>
      <c r="CB129" s="92"/>
      <c r="CC129" s="140">
        <f t="shared" si="58"/>
        <v>0</v>
      </c>
      <c r="CD129" s="94"/>
      <c r="CE129" s="91"/>
      <c r="CF129" s="92"/>
      <c r="CG129" s="92"/>
      <c r="CH129" s="92"/>
      <c r="CI129" s="92"/>
      <c r="CJ129" s="92"/>
      <c r="CK129" s="92"/>
      <c r="CL129" s="140">
        <f t="shared" si="59"/>
        <v>0</v>
      </c>
      <c r="CM129" s="94"/>
      <c r="CN129" s="91"/>
      <c r="CO129" s="92"/>
      <c r="CP129" s="92"/>
      <c r="CQ129" s="92"/>
      <c r="CR129" s="92"/>
      <c r="CS129" s="92"/>
      <c r="CT129" s="92"/>
      <c r="CU129" s="140">
        <f t="shared" si="60"/>
        <v>0</v>
      </c>
      <c r="CV129" s="95">
        <f t="shared" si="61"/>
        <v>0</v>
      </c>
      <c r="CW129" s="96">
        <f t="shared" si="62"/>
        <v>0</v>
      </c>
      <c r="CX129" s="97">
        <f t="shared" si="63"/>
        <v>0</v>
      </c>
      <c r="CZ129" s="146" t="s">
        <v>288</v>
      </c>
      <c r="DA129" s="94"/>
      <c r="DB129" s="91"/>
      <c r="DC129" s="92"/>
      <c r="DD129" s="92"/>
      <c r="DE129" s="92"/>
      <c r="DF129" s="92"/>
      <c r="DG129" s="92"/>
      <c r="DH129" s="92"/>
      <c r="DI129" s="140">
        <f t="shared" si="64"/>
        <v>0</v>
      </c>
      <c r="DJ129" s="94"/>
      <c r="DK129" s="91"/>
      <c r="DL129" s="92"/>
      <c r="DM129" s="92"/>
      <c r="DN129" s="92"/>
      <c r="DO129" s="92"/>
      <c r="DP129" s="92"/>
      <c r="DQ129" s="92"/>
      <c r="DR129" s="140">
        <f t="shared" si="65"/>
        <v>0</v>
      </c>
      <c r="DS129" s="94"/>
      <c r="DT129" s="91"/>
      <c r="DU129" s="92"/>
      <c r="DV129" s="92"/>
      <c r="DW129" s="92"/>
      <c r="DX129" s="92"/>
      <c r="DY129" s="92"/>
      <c r="DZ129" s="92"/>
      <c r="EA129" s="140">
        <f t="shared" si="66"/>
        <v>0</v>
      </c>
      <c r="EB129" s="95">
        <f t="shared" si="67"/>
        <v>0</v>
      </c>
      <c r="EC129" s="96">
        <f t="shared" si="68"/>
        <v>0</v>
      </c>
      <c r="ED129" s="97">
        <f t="shared" si="69"/>
        <v>0</v>
      </c>
    </row>
    <row r="130" spans="1:134" ht="21.95" customHeight="1" x14ac:dyDescent="0.5">
      <c r="A130" s="83">
        <v>52</v>
      </c>
      <c r="B130" s="99" t="s">
        <v>326</v>
      </c>
      <c r="C130" s="104" t="s">
        <v>327</v>
      </c>
      <c r="D130" s="100" t="s">
        <v>328</v>
      </c>
      <c r="E130" s="99" t="s">
        <v>329</v>
      </c>
      <c r="F130" s="87" t="s">
        <v>194</v>
      </c>
      <c r="G130" s="141" t="s">
        <v>288</v>
      </c>
      <c r="H130" s="218">
        <v>5.2315869485910745E-3</v>
      </c>
      <c r="I130" s="94">
        <f t="shared" si="70"/>
        <v>1673.7991434873493</v>
      </c>
      <c r="J130" s="91">
        <f t="shared" si="75"/>
        <v>1263.7369117147114</v>
      </c>
      <c r="K130" s="92">
        <v>0</v>
      </c>
      <c r="L130" s="92">
        <v>0</v>
      </c>
      <c r="M130" s="92">
        <v>180</v>
      </c>
      <c r="N130" s="92">
        <v>180</v>
      </c>
      <c r="O130" s="92">
        <v>180</v>
      </c>
      <c r="P130" s="92">
        <v>180</v>
      </c>
      <c r="Q130" s="93">
        <f t="shared" si="71"/>
        <v>0.14243470957555998</v>
      </c>
      <c r="R130" s="94">
        <v>1673.7991434873506</v>
      </c>
      <c r="S130" s="91">
        <v>1263.7369117147114</v>
      </c>
      <c r="T130" s="92">
        <v>0</v>
      </c>
      <c r="U130" s="92">
        <v>0</v>
      </c>
      <c r="V130" s="92">
        <v>60</v>
      </c>
      <c r="W130" s="92">
        <v>60</v>
      </c>
      <c r="X130" s="92">
        <v>60</v>
      </c>
      <c r="Y130" s="92">
        <v>60</v>
      </c>
      <c r="Z130" s="93">
        <f t="shared" si="72"/>
        <v>4.7478236525186658E-2</v>
      </c>
      <c r="AA130" s="94">
        <v>1673.7991434873506</v>
      </c>
      <c r="AB130" s="91">
        <v>1263.7369117147114</v>
      </c>
      <c r="AC130" s="92">
        <v>1400</v>
      </c>
      <c r="AD130" s="92">
        <v>896</v>
      </c>
      <c r="AE130" s="92">
        <v>180</v>
      </c>
      <c r="AF130" s="92">
        <v>180</v>
      </c>
      <c r="AG130" s="92"/>
      <c r="AH130" s="92"/>
      <c r="AI130" s="93">
        <f t="shared" si="73"/>
        <v>0</v>
      </c>
      <c r="AJ130" s="95">
        <f t="shared" si="52"/>
        <v>3791.2107351441341</v>
      </c>
      <c r="AK130" s="96">
        <f t="shared" si="74"/>
        <v>240</v>
      </c>
      <c r="AL130" s="97">
        <f t="shared" si="53"/>
        <v>6.3304315366915553E-2</v>
      </c>
      <c r="AN130" s="89">
        <v>0</v>
      </c>
      <c r="AO130" s="94"/>
      <c r="AP130" s="91"/>
      <c r="AQ130" s="92"/>
      <c r="AR130" s="92"/>
      <c r="AS130" s="92"/>
      <c r="AT130" s="92"/>
      <c r="AU130" s="92"/>
      <c r="AV130" s="92"/>
      <c r="AW130" s="140">
        <v>0</v>
      </c>
      <c r="AX130" s="94"/>
      <c r="AY130" s="91"/>
      <c r="AZ130" s="92"/>
      <c r="BA130" s="92"/>
      <c r="BB130" s="92"/>
      <c r="BC130" s="92"/>
      <c r="BD130" s="92"/>
      <c r="BE130" s="92"/>
      <c r="BF130" s="140">
        <v>0</v>
      </c>
      <c r="BG130" s="94"/>
      <c r="BH130" s="91"/>
      <c r="BI130" s="92"/>
      <c r="BJ130" s="92"/>
      <c r="BK130" s="92"/>
      <c r="BL130" s="92"/>
      <c r="BM130" s="92"/>
      <c r="BN130" s="92"/>
      <c r="BO130" s="140">
        <f t="shared" si="54"/>
        <v>0</v>
      </c>
      <c r="BP130" s="95">
        <f t="shared" si="55"/>
        <v>0</v>
      </c>
      <c r="BQ130" s="96">
        <f t="shared" si="56"/>
        <v>0</v>
      </c>
      <c r="BR130" s="97">
        <f t="shared" si="57"/>
        <v>0</v>
      </c>
      <c r="BT130" s="146"/>
      <c r="BU130" s="94"/>
      <c r="BV130" s="91"/>
      <c r="BW130" s="92"/>
      <c r="BX130" s="92"/>
      <c r="BY130" s="92"/>
      <c r="BZ130" s="92"/>
      <c r="CA130" s="92"/>
      <c r="CB130" s="92"/>
      <c r="CC130" s="140">
        <f t="shared" si="58"/>
        <v>0</v>
      </c>
      <c r="CD130" s="94"/>
      <c r="CE130" s="91"/>
      <c r="CF130" s="92"/>
      <c r="CG130" s="92"/>
      <c r="CH130" s="92"/>
      <c r="CI130" s="92"/>
      <c r="CJ130" s="92"/>
      <c r="CK130" s="92"/>
      <c r="CL130" s="140">
        <f t="shared" si="59"/>
        <v>0</v>
      </c>
      <c r="CM130" s="94"/>
      <c r="CN130" s="91"/>
      <c r="CO130" s="92"/>
      <c r="CP130" s="92"/>
      <c r="CQ130" s="92"/>
      <c r="CR130" s="92"/>
      <c r="CS130" s="92"/>
      <c r="CT130" s="92"/>
      <c r="CU130" s="140">
        <f t="shared" si="60"/>
        <v>0</v>
      </c>
      <c r="CV130" s="95">
        <f t="shared" si="61"/>
        <v>0</v>
      </c>
      <c r="CW130" s="96">
        <f t="shared" si="62"/>
        <v>0</v>
      </c>
      <c r="CX130" s="97">
        <f t="shared" si="63"/>
        <v>0</v>
      </c>
      <c r="CZ130" s="146" t="s">
        <v>288</v>
      </c>
      <c r="DA130" s="94"/>
      <c r="DB130" s="91"/>
      <c r="DC130" s="92"/>
      <c r="DD130" s="92"/>
      <c r="DE130" s="92"/>
      <c r="DF130" s="92"/>
      <c r="DG130" s="92"/>
      <c r="DH130" s="92"/>
      <c r="DI130" s="140">
        <f t="shared" si="64"/>
        <v>0</v>
      </c>
      <c r="DJ130" s="94"/>
      <c r="DK130" s="91"/>
      <c r="DL130" s="92"/>
      <c r="DM130" s="92"/>
      <c r="DN130" s="92"/>
      <c r="DO130" s="92"/>
      <c r="DP130" s="92"/>
      <c r="DQ130" s="92"/>
      <c r="DR130" s="140">
        <f t="shared" si="65"/>
        <v>0</v>
      </c>
      <c r="DS130" s="94"/>
      <c r="DT130" s="91"/>
      <c r="DU130" s="92"/>
      <c r="DV130" s="92"/>
      <c r="DW130" s="92"/>
      <c r="DX130" s="92"/>
      <c r="DY130" s="92"/>
      <c r="DZ130" s="92"/>
      <c r="EA130" s="140">
        <f t="shared" si="66"/>
        <v>0</v>
      </c>
      <c r="EB130" s="95">
        <f t="shared" si="67"/>
        <v>0</v>
      </c>
      <c r="EC130" s="96">
        <f t="shared" si="68"/>
        <v>0</v>
      </c>
      <c r="ED130" s="97">
        <f t="shared" si="69"/>
        <v>0</v>
      </c>
    </row>
    <row r="131" spans="1:134" ht="21.95" customHeight="1" x14ac:dyDescent="0.5">
      <c r="A131" s="83">
        <v>53</v>
      </c>
      <c r="B131" s="99" t="s">
        <v>210</v>
      </c>
      <c r="C131" s="104" t="s">
        <v>211</v>
      </c>
      <c r="D131" s="100" t="s">
        <v>330</v>
      </c>
      <c r="E131" s="99" t="s">
        <v>331</v>
      </c>
      <c r="F131" s="87" t="s">
        <v>194</v>
      </c>
      <c r="G131" s="141" t="s">
        <v>288</v>
      </c>
      <c r="H131" s="218">
        <v>1.0276250831553518E-2</v>
      </c>
      <c r="I131" s="94">
        <f t="shared" si="70"/>
        <v>3287.7939350215129</v>
      </c>
      <c r="J131" s="91">
        <f t="shared" si="75"/>
        <v>2482.3208746192363</v>
      </c>
      <c r="K131" s="92">
        <v>1380</v>
      </c>
      <c r="L131" s="92">
        <v>1380</v>
      </c>
      <c r="M131" s="92">
        <v>2760</v>
      </c>
      <c r="N131" s="92">
        <v>2760</v>
      </c>
      <c r="O131" s="92">
        <v>3960</v>
      </c>
      <c r="P131" s="92">
        <v>3960</v>
      </c>
      <c r="Q131" s="93">
        <f t="shared" si="71"/>
        <v>1.5952812710433437</v>
      </c>
      <c r="R131" s="94">
        <v>3287.7939350215161</v>
      </c>
      <c r="S131" s="91">
        <v>2482.3208746192363</v>
      </c>
      <c r="T131" s="92">
        <v>0</v>
      </c>
      <c r="U131" s="92">
        <v>0</v>
      </c>
      <c r="V131" s="92">
        <v>1380</v>
      </c>
      <c r="W131" s="92">
        <v>1380</v>
      </c>
      <c r="X131" s="92">
        <v>2760</v>
      </c>
      <c r="Y131" s="92">
        <v>2760</v>
      </c>
      <c r="Z131" s="93">
        <f t="shared" si="72"/>
        <v>1.1118627040605122</v>
      </c>
      <c r="AA131" s="94">
        <v>3287.7939350215161</v>
      </c>
      <c r="AB131" s="91">
        <v>2482.3208746192363</v>
      </c>
      <c r="AC131" s="92">
        <v>1120</v>
      </c>
      <c r="AD131" s="92">
        <v>860</v>
      </c>
      <c r="AE131" s="92">
        <v>4160</v>
      </c>
      <c r="AF131" s="92">
        <v>3656</v>
      </c>
      <c r="AG131" s="92"/>
      <c r="AH131" s="92"/>
      <c r="AI131" s="93">
        <f t="shared" si="73"/>
        <v>0</v>
      </c>
      <c r="AJ131" s="95">
        <f t="shared" si="52"/>
        <v>7446.9626238577093</v>
      </c>
      <c r="AK131" s="96">
        <f t="shared" si="74"/>
        <v>6720</v>
      </c>
      <c r="AL131" s="97">
        <f t="shared" si="53"/>
        <v>0.90238132503461865</v>
      </c>
      <c r="AN131" s="89">
        <v>1.4226582029794528E-2</v>
      </c>
      <c r="AO131" s="94"/>
      <c r="AP131" s="91"/>
      <c r="AQ131" s="92"/>
      <c r="AR131" s="92"/>
      <c r="AS131" s="92"/>
      <c r="AT131" s="92"/>
      <c r="AU131" s="92"/>
      <c r="AV131" s="92"/>
      <c r="AW131" s="140">
        <v>0</v>
      </c>
      <c r="AX131" s="94"/>
      <c r="AY131" s="91"/>
      <c r="AZ131" s="92"/>
      <c r="BA131" s="92"/>
      <c r="BB131" s="92"/>
      <c r="BC131" s="92"/>
      <c r="BD131" s="92"/>
      <c r="BE131" s="92"/>
      <c r="BF131" s="140">
        <v>0</v>
      </c>
      <c r="BG131" s="94"/>
      <c r="BH131" s="91"/>
      <c r="BI131" s="92"/>
      <c r="BJ131" s="92"/>
      <c r="BK131" s="92"/>
      <c r="BL131" s="92"/>
      <c r="BM131" s="92"/>
      <c r="BN131" s="92"/>
      <c r="BO131" s="140">
        <f t="shared" si="54"/>
        <v>0</v>
      </c>
      <c r="BP131" s="95">
        <f t="shared" si="55"/>
        <v>0</v>
      </c>
      <c r="BQ131" s="96">
        <f t="shared" si="56"/>
        <v>0</v>
      </c>
      <c r="BR131" s="97">
        <f t="shared" si="57"/>
        <v>0</v>
      </c>
      <c r="BT131" s="146"/>
      <c r="BU131" s="94"/>
      <c r="BV131" s="91"/>
      <c r="BW131" s="92"/>
      <c r="BX131" s="92"/>
      <c r="BY131" s="92"/>
      <c r="BZ131" s="92"/>
      <c r="CA131" s="92"/>
      <c r="CB131" s="92"/>
      <c r="CC131" s="140">
        <f t="shared" si="58"/>
        <v>0</v>
      </c>
      <c r="CD131" s="94"/>
      <c r="CE131" s="91"/>
      <c r="CF131" s="92"/>
      <c r="CG131" s="92"/>
      <c r="CH131" s="92"/>
      <c r="CI131" s="92"/>
      <c r="CJ131" s="92"/>
      <c r="CK131" s="92"/>
      <c r="CL131" s="140">
        <f t="shared" si="59"/>
        <v>0</v>
      </c>
      <c r="CM131" s="94"/>
      <c r="CN131" s="91"/>
      <c r="CO131" s="92"/>
      <c r="CP131" s="92"/>
      <c r="CQ131" s="92"/>
      <c r="CR131" s="92"/>
      <c r="CS131" s="92"/>
      <c r="CT131" s="92"/>
      <c r="CU131" s="140">
        <f t="shared" si="60"/>
        <v>0</v>
      </c>
      <c r="CV131" s="95">
        <f t="shared" si="61"/>
        <v>0</v>
      </c>
      <c r="CW131" s="96">
        <f t="shared" si="62"/>
        <v>0</v>
      </c>
      <c r="CX131" s="97">
        <f t="shared" si="63"/>
        <v>0</v>
      </c>
      <c r="CZ131" s="146" t="s">
        <v>288</v>
      </c>
      <c r="DA131" s="94"/>
      <c r="DB131" s="91"/>
      <c r="DC131" s="92"/>
      <c r="DD131" s="92"/>
      <c r="DE131" s="92"/>
      <c r="DF131" s="92"/>
      <c r="DG131" s="92"/>
      <c r="DH131" s="92"/>
      <c r="DI131" s="140">
        <f t="shared" si="64"/>
        <v>0</v>
      </c>
      <c r="DJ131" s="94"/>
      <c r="DK131" s="91"/>
      <c r="DL131" s="92"/>
      <c r="DM131" s="92"/>
      <c r="DN131" s="92"/>
      <c r="DO131" s="92"/>
      <c r="DP131" s="92"/>
      <c r="DQ131" s="92"/>
      <c r="DR131" s="140">
        <f t="shared" si="65"/>
        <v>0</v>
      </c>
      <c r="DS131" s="94"/>
      <c r="DT131" s="91"/>
      <c r="DU131" s="92"/>
      <c r="DV131" s="92"/>
      <c r="DW131" s="92"/>
      <c r="DX131" s="92"/>
      <c r="DY131" s="92"/>
      <c r="DZ131" s="92"/>
      <c r="EA131" s="140">
        <f t="shared" si="66"/>
        <v>0</v>
      </c>
      <c r="EB131" s="95">
        <f t="shared" si="67"/>
        <v>0</v>
      </c>
      <c r="EC131" s="96">
        <f t="shared" si="68"/>
        <v>0</v>
      </c>
      <c r="ED131" s="97">
        <f t="shared" si="69"/>
        <v>0</v>
      </c>
    </row>
    <row r="132" spans="1:134" ht="21.95" customHeight="1" x14ac:dyDescent="0.5">
      <c r="A132" s="83">
        <v>54</v>
      </c>
      <c r="B132" s="99" t="s">
        <v>332</v>
      </c>
      <c r="C132" s="104" t="s">
        <v>333</v>
      </c>
      <c r="D132" s="100" t="s">
        <v>98</v>
      </c>
      <c r="E132" s="99" t="s">
        <v>334</v>
      </c>
      <c r="F132" s="87" t="s">
        <v>194</v>
      </c>
      <c r="G132" s="141" t="s">
        <v>288</v>
      </c>
      <c r="H132" s="218">
        <v>7.6375861060254749E-3</v>
      </c>
      <c r="I132" s="94">
        <f t="shared" si="70"/>
        <v>2443.5769123590953</v>
      </c>
      <c r="J132" s="91">
        <f t="shared" si="75"/>
        <v>1844.9276621854076</v>
      </c>
      <c r="K132" s="92">
        <v>1560</v>
      </c>
      <c r="L132" s="92">
        <v>780</v>
      </c>
      <c r="M132" s="92">
        <v>1560</v>
      </c>
      <c r="N132" s="92">
        <v>780</v>
      </c>
      <c r="O132" s="92">
        <v>2320</v>
      </c>
      <c r="P132" s="92">
        <v>1280</v>
      </c>
      <c r="Q132" s="93">
        <f t="shared" si="71"/>
        <v>0.69379413959449066</v>
      </c>
      <c r="R132" s="94">
        <v>2443.5769123590976</v>
      </c>
      <c r="S132" s="91">
        <v>1844.9276621854076</v>
      </c>
      <c r="T132" s="92">
        <v>0</v>
      </c>
      <c r="U132" s="92">
        <v>0</v>
      </c>
      <c r="V132" s="92">
        <v>1160</v>
      </c>
      <c r="W132" s="92">
        <v>640</v>
      </c>
      <c r="X132" s="92">
        <v>1160</v>
      </c>
      <c r="Y132" s="92">
        <v>640</v>
      </c>
      <c r="Z132" s="93">
        <f t="shared" si="72"/>
        <v>0.34689706979724533</v>
      </c>
      <c r="AA132" s="94">
        <v>2443.5769123590976</v>
      </c>
      <c r="AB132" s="91">
        <v>1844.9276621854076</v>
      </c>
      <c r="AC132" s="92">
        <v>0</v>
      </c>
      <c r="AD132" s="92">
        <v>0</v>
      </c>
      <c r="AE132" s="92">
        <v>2320</v>
      </c>
      <c r="AF132" s="92">
        <v>1280</v>
      </c>
      <c r="AG132" s="92"/>
      <c r="AH132" s="92"/>
      <c r="AI132" s="93">
        <f t="shared" si="73"/>
        <v>0</v>
      </c>
      <c r="AJ132" s="95">
        <f t="shared" si="52"/>
        <v>5534.7829865562226</v>
      </c>
      <c r="AK132" s="96">
        <f t="shared" si="74"/>
        <v>1920</v>
      </c>
      <c r="AL132" s="97">
        <f t="shared" si="53"/>
        <v>0.34689706979724533</v>
      </c>
      <c r="AN132" s="89">
        <v>9.884087229271532E-3</v>
      </c>
      <c r="AO132" s="94"/>
      <c r="AP132" s="91"/>
      <c r="AQ132" s="92"/>
      <c r="AR132" s="92"/>
      <c r="AS132" s="92"/>
      <c r="AT132" s="92"/>
      <c r="AU132" s="92"/>
      <c r="AV132" s="92"/>
      <c r="AW132" s="140">
        <v>0</v>
      </c>
      <c r="AX132" s="94"/>
      <c r="AY132" s="91"/>
      <c r="AZ132" s="92"/>
      <c r="BA132" s="92"/>
      <c r="BB132" s="92"/>
      <c r="BC132" s="92"/>
      <c r="BD132" s="92"/>
      <c r="BE132" s="92"/>
      <c r="BF132" s="140">
        <v>0</v>
      </c>
      <c r="BG132" s="94"/>
      <c r="BH132" s="91"/>
      <c r="BI132" s="92"/>
      <c r="BJ132" s="92"/>
      <c r="BK132" s="92"/>
      <c r="BL132" s="92"/>
      <c r="BM132" s="92"/>
      <c r="BN132" s="92"/>
      <c r="BO132" s="140">
        <f t="shared" si="54"/>
        <v>0</v>
      </c>
      <c r="BP132" s="95">
        <f t="shared" si="55"/>
        <v>0</v>
      </c>
      <c r="BQ132" s="96">
        <f t="shared" si="56"/>
        <v>0</v>
      </c>
      <c r="BR132" s="97">
        <f t="shared" si="57"/>
        <v>0</v>
      </c>
      <c r="BT132" s="146"/>
      <c r="BU132" s="94"/>
      <c r="BV132" s="91"/>
      <c r="BW132" s="92"/>
      <c r="BX132" s="92"/>
      <c r="BY132" s="92"/>
      <c r="BZ132" s="92"/>
      <c r="CA132" s="92"/>
      <c r="CB132" s="92"/>
      <c r="CC132" s="140">
        <f t="shared" si="58"/>
        <v>0</v>
      </c>
      <c r="CD132" s="94"/>
      <c r="CE132" s="91"/>
      <c r="CF132" s="92"/>
      <c r="CG132" s="92"/>
      <c r="CH132" s="92"/>
      <c r="CI132" s="92"/>
      <c r="CJ132" s="92"/>
      <c r="CK132" s="92"/>
      <c r="CL132" s="140">
        <f t="shared" si="59"/>
        <v>0</v>
      </c>
      <c r="CM132" s="94"/>
      <c r="CN132" s="91"/>
      <c r="CO132" s="92"/>
      <c r="CP132" s="92"/>
      <c r="CQ132" s="92"/>
      <c r="CR132" s="92"/>
      <c r="CS132" s="92"/>
      <c r="CT132" s="92"/>
      <c r="CU132" s="140">
        <f t="shared" si="60"/>
        <v>0</v>
      </c>
      <c r="CV132" s="95">
        <f t="shared" si="61"/>
        <v>0</v>
      </c>
      <c r="CW132" s="96">
        <f t="shared" si="62"/>
        <v>0</v>
      </c>
      <c r="CX132" s="97">
        <f t="shared" si="63"/>
        <v>0</v>
      </c>
      <c r="CZ132" s="146" t="s">
        <v>288</v>
      </c>
      <c r="DA132" s="94"/>
      <c r="DB132" s="91"/>
      <c r="DC132" s="92"/>
      <c r="DD132" s="92"/>
      <c r="DE132" s="92"/>
      <c r="DF132" s="92"/>
      <c r="DG132" s="92"/>
      <c r="DH132" s="92"/>
      <c r="DI132" s="140">
        <f t="shared" si="64"/>
        <v>0</v>
      </c>
      <c r="DJ132" s="94"/>
      <c r="DK132" s="91"/>
      <c r="DL132" s="92"/>
      <c r="DM132" s="92"/>
      <c r="DN132" s="92"/>
      <c r="DO132" s="92"/>
      <c r="DP132" s="92"/>
      <c r="DQ132" s="92"/>
      <c r="DR132" s="140">
        <f t="shared" si="65"/>
        <v>0</v>
      </c>
      <c r="DS132" s="94"/>
      <c r="DT132" s="91"/>
      <c r="DU132" s="92"/>
      <c r="DV132" s="92"/>
      <c r="DW132" s="92"/>
      <c r="DX132" s="92"/>
      <c r="DY132" s="92"/>
      <c r="DZ132" s="92"/>
      <c r="EA132" s="140">
        <f t="shared" si="66"/>
        <v>0</v>
      </c>
      <c r="EB132" s="95">
        <f t="shared" si="67"/>
        <v>0</v>
      </c>
      <c r="EC132" s="96">
        <f t="shared" si="68"/>
        <v>0</v>
      </c>
      <c r="ED132" s="97">
        <f t="shared" si="69"/>
        <v>0</v>
      </c>
    </row>
    <row r="133" spans="1:134" ht="21.95" customHeight="1" x14ac:dyDescent="0.5">
      <c r="A133" s="83">
        <v>55</v>
      </c>
      <c r="B133" s="99" t="s">
        <v>335</v>
      </c>
      <c r="C133" s="104" t="s">
        <v>336</v>
      </c>
      <c r="D133" s="100" t="s">
        <v>337</v>
      </c>
      <c r="E133" s="99" t="s">
        <v>338</v>
      </c>
      <c r="F133" s="87" t="s">
        <v>194</v>
      </c>
      <c r="G133" s="141" t="s">
        <v>288</v>
      </c>
      <c r="H133" s="218">
        <v>3.0246523852173785E-3</v>
      </c>
      <c r="I133" s="94">
        <f t="shared" si="70"/>
        <v>967.7102992787394</v>
      </c>
      <c r="J133" s="91">
        <f t="shared" si="75"/>
        <v>730.63200552072476</v>
      </c>
      <c r="K133" s="92">
        <v>0</v>
      </c>
      <c r="L133" s="92">
        <v>0</v>
      </c>
      <c r="M133" s="92">
        <v>0</v>
      </c>
      <c r="N133" s="92">
        <v>0</v>
      </c>
      <c r="O133" s="92">
        <v>0</v>
      </c>
      <c r="P133" s="92">
        <v>0</v>
      </c>
      <c r="Q133" s="93">
        <f t="shared" si="71"/>
        <v>0</v>
      </c>
      <c r="R133" s="94">
        <v>967.71029927874031</v>
      </c>
      <c r="S133" s="91">
        <v>730.63200552072476</v>
      </c>
      <c r="T133" s="92">
        <v>0</v>
      </c>
      <c r="U133" s="92">
        <v>0</v>
      </c>
      <c r="V133" s="92">
        <v>0</v>
      </c>
      <c r="W133" s="92">
        <v>0</v>
      </c>
      <c r="X133" s="92">
        <v>0</v>
      </c>
      <c r="Y133" s="92">
        <v>0</v>
      </c>
      <c r="Z133" s="93">
        <f t="shared" si="72"/>
        <v>0</v>
      </c>
      <c r="AA133" s="94">
        <v>967.71029927874031</v>
      </c>
      <c r="AB133" s="91">
        <v>730.63200552072476</v>
      </c>
      <c r="AC133" s="92">
        <v>0</v>
      </c>
      <c r="AD133" s="92">
        <v>0</v>
      </c>
      <c r="AE133" s="92">
        <v>1540</v>
      </c>
      <c r="AF133" s="92">
        <v>1080.8</v>
      </c>
      <c r="AG133" s="92"/>
      <c r="AH133" s="92"/>
      <c r="AI133" s="93">
        <f t="shared" si="73"/>
        <v>0</v>
      </c>
      <c r="AJ133" s="95">
        <f t="shared" si="52"/>
        <v>2191.8960165621743</v>
      </c>
      <c r="AK133" s="96">
        <f t="shared" si="74"/>
        <v>0</v>
      </c>
      <c r="AL133" s="97">
        <f t="shared" si="53"/>
        <v>0</v>
      </c>
      <c r="AN133" s="89">
        <v>1.192323065354208E-2</v>
      </c>
      <c r="AO133" s="94"/>
      <c r="AP133" s="91"/>
      <c r="AQ133" s="92"/>
      <c r="AR133" s="92"/>
      <c r="AS133" s="92"/>
      <c r="AT133" s="92"/>
      <c r="AU133" s="92"/>
      <c r="AV133" s="92"/>
      <c r="AW133" s="140">
        <v>0</v>
      </c>
      <c r="AX133" s="94"/>
      <c r="AY133" s="91"/>
      <c r="AZ133" s="92"/>
      <c r="BA133" s="92"/>
      <c r="BB133" s="92"/>
      <c r="BC133" s="92"/>
      <c r="BD133" s="92"/>
      <c r="BE133" s="92"/>
      <c r="BF133" s="140">
        <v>0</v>
      </c>
      <c r="BG133" s="94"/>
      <c r="BH133" s="91"/>
      <c r="BI133" s="92"/>
      <c r="BJ133" s="92"/>
      <c r="BK133" s="92"/>
      <c r="BL133" s="92"/>
      <c r="BM133" s="92"/>
      <c r="BN133" s="92"/>
      <c r="BO133" s="140">
        <f t="shared" si="54"/>
        <v>0</v>
      </c>
      <c r="BP133" s="95">
        <f t="shared" si="55"/>
        <v>0</v>
      </c>
      <c r="BQ133" s="96">
        <f t="shared" si="56"/>
        <v>0</v>
      </c>
      <c r="BR133" s="97">
        <f t="shared" si="57"/>
        <v>0</v>
      </c>
      <c r="BT133" s="146"/>
      <c r="BU133" s="94"/>
      <c r="BV133" s="91"/>
      <c r="BW133" s="92"/>
      <c r="BX133" s="92"/>
      <c r="BY133" s="92"/>
      <c r="BZ133" s="92"/>
      <c r="CA133" s="92"/>
      <c r="CB133" s="92"/>
      <c r="CC133" s="140">
        <f t="shared" si="58"/>
        <v>0</v>
      </c>
      <c r="CD133" s="94"/>
      <c r="CE133" s="91"/>
      <c r="CF133" s="92"/>
      <c r="CG133" s="92"/>
      <c r="CH133" s="92"/>
      <c r="CI133" s="92"/>
      <c r="CJ133" s="92"/>
      <c r="CK133" s="92"/>
      <c r="CL133" s="140">
        <f t="shared" si="59"/>
        <v>0</v>
      </c>
      <c r="CM133" s="94"/>
      <c r="CN133" s="91"/>
      <c r="CO133" s="92"/>
      <c r="CP133" s="92"/>
      <c r="CQ133" s="92"/>
      <c r="CR133" s="92"/>
      <c r="CS133" s="92"/>
      <c r="CT133" s="92"/>
      <c r="CU133" s="140">
        <f t="shared" si="60"/>
        <v>0</v>
      </c>
      <c r="CV133" s="95">
        <f t="shared" si="61"/>
        <v>0</v>
      </c>
      <c r="CW133" s="96">
        <f t="shared" si="62"/>
        <v>0</v>
      </c>
      <c r="CX133" s="97">
        <f t="shared" si="63"/>
        <v>0</v>
      </c>
      <c r="CZ133" s="146" t="s">
        <v>288</v>
      </c>
      <c r="DA133" s="94"/>
      <c r="DB133" s="91"/>
      <c r="DC133" s="92"/>
      <c r="DD133" s="92"/>
      <c r="DE133" s="92"/>
      <c r="DF133" s="92"/>
      <c r="DG133" s="92"/>
      <c r="DH133" s="92"/>
      <c r="DI133" s="140">
        <f t="shared" si="64"/>
        <v>0</v>
      </c>
      <c r="DJ133" s="94"/>
      <c r="DK133" s="91"/>
      <c r="DL133" s="92"/>
      <c r="DM133" s="92"/>
      <c r="DN133" s="92"/>
      <c r="DO133" s="92"/>
      <c r="DP133" s="92"/>
      <c r="DQ133" s="92"/>
      <c r="DR133" s="140">
        <f t="shared" si="65"/>
        <v>0</v>
      </c>
      <c r="DS133" s="94"/>
      <c r="DT133" s="91"/>
      <c r="DU133" s="92"/>
      <c r="DV133" s="92"/>
      <c r="DW133" s="92"/>
      <c r="DX133" s="92"/>
      <c r="DY133" s="92"/>
      <c r="DZ133" s="92"/>
      <c r="EA133" s="140">
        <f t="shared" si="66"/>
        <v>0</v>
      </c>
      <c r="EB133" s="95">
        <f t="shared" si="67"/>
        <v>0</v>
      </c>
      <c r="EC133" s="96">
        <f t="shared" si="68"/>
        <v>0</v>
      </c>
      <c r="ED133" s="97">
        <f t="shared" si="69"/>
        <v>0</v>
      </c>
    </row>
    <row r="134" spans="1:134" ht="21.95" customHeight="1" x14ac:dyDescent="0.5">
      <c r="A134" s="83">
        <v>56</v>
      </c>
      <c r="B134" s="99" t="s">
        <v>339</v>
      </c>
      <c r="C134" s="104" t="s">
        <v>339</v>
      </c>
      <c r="D134" s="100" t="s">
        <v>337</v>
      </c>
      <c r="E134" s="99" t="s">
        <v>338</v>
      </c>
      <c r="F134" s="87" t="s">
        <v>194</v>
      </c>
      <c r="G134" s="141" t="s">
        <v>288</v>
      </c>
      <c r="H134" s="218">
        <v>6.4592931258619073E-3</v>
      </c>
      <c r="I134" s="94">
        <f t="shared" si="70"/>
        <v>2066.5926816934693</v>
      </c>
      <c r="J134" s="91">
        <f t="shared" si="75"/>
        <v>1560.3003881900765</v>
      </c>
      <c r="K134" s="92">
        <v>1020</v>
      </c>
      <c r="L134" s="92">
        <v>868.8</v>
      </c>
      <c r="M134" s="92">
        <v>2200</v>
      </c>
      <c r="N134" s="92">
        <v>1637.6</v>
      </c>
      <c r="O134" s="92">
        <v>2200</v>
      </c>
      <c r="P134" s="92">
        <v>1637.6</v>
      </c>
      <c r="Q134" s="93">
        <f t="shared" si="71"/>
        <v>1.0495414936732725</v>
      </c>
      <c r="R134" s="94">
        <v>2066.5926816934711</v>
      </c>
      <c r="S134" s="91">
        <v>1560.3003881900765</v>
      </c>
      <c r="T134" s="92">
        <v>600</v>
      </c>
      <c r="U134" s="92">
        <v>600</v>
      </c>
      <c r="V134" s="92">
        <v>1910</v>
      </c>
      <c r="W134" s="92">
        <v>1322.4</v>
      </c>
      <c r="X134" s="92">
        <v>2810</v>
      </c>
      <c r="Y134" s="92">
        <v>2222.4</v>
      </c>
      <c r="Z134" s="93">
        <f t="shared" si="72"/>
        <v>1.4243411184290919</v>
      </c>
      <c r="AA134" s="94">
        <v>2066.5926816934711</v>
      </c>
      <c r="AB134" s="91">
        <v>1560.3003881900765</v>
      </c>
      <c r="AC134" s="92">
        <v>780</v>
      </c>
      <c r="AD134" s="92">
        <v>628.79999999999995</v>
      </c>
      <c r="AE134" s="92">
        <v>0</v>
      </c>
      <c r="AF134" s="92">
        <v>0</v>
      </c>
      <c r="AG134" s="92"/>
      <c r="AH134" s="92"/>
      <c r="AI134" s="93">
        <f t="shared" si="73"/>
        <v>0</v>
      </c>
      <c r="AJ134" s="95">
        <f t="shared" si="52"/>
        <v>4680.9011645702294</v>
      </c>
      <c r="AK134" s="96">
        <f t="shared" si="74"/>
        <v>3860</v>
      </c>
      <c r="AL134" s="97">
        <f t="shared" si="53"/>
        <v>0.82462753736745487</v>
      </c>
      <c r="AN134" s="89">
        <v>2.6759523341756374E-2</v>
      </c>
      <c r="AO134" s="94"/>
      <c r="AP134" s="91"/>
      <c r="AQ134" s="92"/>
      <c r="AR134" s="92"/>
      <c r="AS134" s="92"/>
      <c r="AT134" s="92"/>
      <c r="AU134" s="92"/>
      <c r="AV134" s="92"/>
      <c r="AW134" s="140">
        <v>0</v>
      </c>
      <c r="AX134" s="94"/>
      <c r="AY134" s="91"/>
      <c r="AZ134" s="92"/>
      <c r="BA134" s="92"/>
      <c r="BB134" s="92"/>
      <c r="BC134" s="92"/>
      <c r="BD134" s="92"/>
      <c r="BE134" s="92"/>
      <c r="BF134" s="140">
        <v>0</v>
      </c>
      <c r="BG134" s="94"/>
      <c r="BH134" s="91"/>
      <c r="BI134" s="92"/>
      <c r="BJ134" s="92"/>
      <c r="BK134" s="92"/>
      <c r="BL134" s="92"/>
      <c r="BM134" s="92"/>
      <c r="BN134" s="92"/>
      <c r="BO134" s="140">
        <f t="shared" si="54"/>
        <v>0</v>
      </c>
      <c r="BP134" s="95">
        <f t="shared" si="55"/>
        <v>0</v>
      </c>
      <c r="BQ134" s="96">
        <f t="shared" si="56"/>
        <v>0</v>
      </c>
      <c r="BR134" s="97">
        <f t="shared" si="57"/>
        <v>0</v>
      </c>
      <c r="BT134" s="146"/>
      <c r="BU134" s="94"/>
      <c r="BV134" s="91"/>
      <c r="BW134" s="92"/>
      <c r="BX134" s="92"/>
      <c r="BY134" s="92"/>
      <c r="BZ134" s="92"/>
      <c r="CA134" s="92"/>
      <c r="CB134" s="92"/>
      <c r="CC134" s="140">
        <f t="shared" si="58"/>
        <v>0</v>
      </c>
      <c r="CD134" s="94"/>
      <c r="CE134" s="91"/>
      <c r="CF134" s="92"/>
      <c r="CG134" s="92"/>
      <c r="CH134" s="92"/>
      <c r="CI134" s="92"/>
      <c r="CJ134" s="92"/>
      <c r="CK134" s="92"/>
      <c r="CL134" s="140">
        <f t="shared" si="59"/>
        <v>0</v>
      </c>
      <c r="CM134" s="94"/>
      <c r="CN134" s="91"/>
      <c r="CO134" s="92"/>
      <c r="CP134" s="92"/>
      <c r="CQ134" s="92"/>
      <c r="CR134" s="92"/>
      <c r="CS134" s="92"/>
      <c r="CT134" s="92"/>
      <c r="CU134" s="140">
        <f t="shared" si="60"/>
        <v>0</v>
      </c>
      <c r="CV134" s="95">
        <f t="shared" si="61"/>
        <v>0</v>
      </c>
      <c r="CW134" s="96">
        <f t="shared" si="62"/>
        <v>0</v>
      </c>
      <c r="CX134" s="97">
        <f t="shared" si="63"/>
        <v>0</v>
      </c>
      <c r="CZ134" s="146" t="s">
        <v>288</v>
      </c>
      <c r="DA134" s="94"/>
      <c r="DB134" s="91"/>
      <c r="DC134" s="92"/>
      <c r="DD134" s="92"/>
      <c r="DE134" s="92"/>
      <c r="DF134" s="92"/>
      <c r="DG134" s="92"/>
      <c r="DH134" s="92"/>
      <c r="DI134" s="140">
        <f t="shared" si="64"/>
        <v>0</v>
      </c>
      <c r="DJ134" s="94"/>
      <c r="DK134" s="91"/>
      <c r="DL134" s="92"/>
      <c r="DM134" s="92"/>
      <c r="DN134" s="92"/>
      <c r="DO134" s="92"/>
      <c r="DP134" s="92"/>
      <c r="DQ134" s="92"/>
      <c r="DR134" s="140">
        <f t="shared" si="65"/>
        <v>0</v>
      </c>
      <c r="DS134" s="94"/>
      <c r="DT134" s="91"/>
      <c r="DU134" s="92"/>
      <c r="DV134" s="92"/>
      <c r="DW134" s="92"/>
      <c r="DX134" s="92"/>
      <c r="DY134" s="92"/>
      <c r="DZ134" s="92"/>
      <c r="EA134" s="140">
        <f t="shared" si="66"/>
        <v>0</v>
      </c>
      <c r="EB134" s="95">
        <f t="shared" si="67"/>
        <v>0</v>
      </c>
      <c r="EC134" s="96">
        <f t="shared" si="68"/>
        <v>0</v>
      </c>
      <c r="ED134" s="97">
        <f t="shared" si="69"/>
        <v>0</v>
      </c>
    </row>
    <row r="135" spans="1:134" ht="21.95" customHeight="1" x14ac:dyDescent="0.5">
      <c r="A135" s="83">
        <v>57</v>
      </c>
      <c r="B135" s="103" t="s">
        <v>340</v>
      </c>
      <c r="C135" s="147" t="s">
        <v>341</v>
      </c>
      <c r="D135" s="100" t="s">
        <v>337</v>
      </c>
      <c r="E135" s="99" t="s">
        <v>338</v>
      </c>
      <c r="F135" s="87" t="s">
        <v>194</v>
      </c>
      <c r="G135" s="141" t="s">
        <v>288</v>
      </c>
      <c r="H135" s="218">
        <v>1.6310308101166605E-2</v>
      </c>
      <c r="I135" s="94">
        <f t="shared" si="70"/>
        <v>5218.3362329664969</v>
      </c>
      <c r="J135" s="91">
        <f t="shared" si="75"/>
        <v>3939.901714609704</v>
      </c>
      <c r="K135" s="92">
        <v>1190</v>
      </c>
      <c r="L135" s="92">
        <v>834.8</v>
      </c>
      <c r="M135" s="92">
        <v>3140</v>
      </c>
      <c r="N135" s="92">
        <v>2176</v>
      </c>
      <c r="O135" s="92">
        <v>4500</v>
      </c>
      <c r="P135" s="92">
        <v>3132.8</v>
      </c>
      <c r="Q135" s="93">
        <f t="shared" si="71"/>
        <v>0.79514673891055243</v>
      </c>
      <c r="R135" s="94">
        <v>5218.3362329665015</v>
      </c>
      <c r="S135" s="91">
        <v>3939.901714609704</v>
      </c>
      <c r="T135" s="92">
        <v>1610</v>
      </c>
      <c r="U135" s="92">
        <v>1022.4</v>
      </c>
      <c r="V135" s="92">
        <v>3210</v>
      </c>
      <c r="W135" s="92">
        <v>2060</v>
      </c>
      <c r="X135" s="92">
        <v>4670</v>
      </c>
      <c r="Y135" s="92">
        <v>3087.6000000000004</v>
      </c>
      <c r="Z135" s="93">
        <f t="shared" si="72"/>
        <v>0.78367437150798702</v>
      </c>
      <c r="AA135" s="94">
        <v>5218.3362329665015</v>
      </c>
      <c r="AB135" s="91">
        <v>3939.901714609704</v>
      </c>
      <c r="AC135" s="92">
        <v>2140</v>
      </c>
      <c r="AD135" s="92">
        <v>1649.2</v>
      </c>
      <c r="AE135" s="92">
        <v>2340</v>
      </c>
      <c r="AF135" s="92">
        <v>1655.6</v>
      </c>
      <c r="AG135" s="92"/>
      <c r="AH135" s="92"/>
      <c r="AI135" s="93">
        <f t="shared" si="73"/>
        <v>0</v>
      </c>
      <c r="AJ135" s="95">
        <f t="shared" si="52"/>
        <v>11819.705143829113</v>
      </c>
      <c r="AK135" s="96">
        <f t="shared" si="74"/>
        <v>6220.4000000000005</v>
      </c>
      <c r="AL135" s="97">
        <f t="shared" si="53"/>
        <v>0.52627370347284641</v>
      </c>
      <c r="AN135" s="89">
        <v>2.3710970049657548E-3</v>
      </c>
      <c r="AO135" s="94"/>
      <c r="AP135" s="91"/>
      <c r="AQ135" s="92"/>
      <c r="AR135" s="92"/>
      <c r="AS135" s="92"/>
      <c r="AT135" s="92"/>
      <c r="AU135" s="92"/>
      <c r="AV135" s="92"/>
      <c r="AW135" s="140">
        <v>0</v>
      </c>
      <c r="AX135" s="94"/>
      <c r="AY135" s="91"/>
      <c r="AZ135" s="92"/>
      <c r="BA135" s="92"/>
      <c r="BB135" s="92"/>
      <c r="BC135" s="92"/>
      <c r="BD135" s="92"/>
      <c r="BE135" s="92"/>
      <c r="BF135" s="140">
        <v>0</v>
      </c>
      <c r="BG135" s="94"/>
      <c r="BH135" s="91"/>
      <c r="BI135" s="92"/>
      <c r="BJ135" s="92"/>
      <c r="BK135" s="92"/>
      <c r="BL135" s="92"/>
      <c r="BM135" s="92"/>
      <c r="BN135" s="92"/>
      <c r="BO135" s="140">
        <f t="shared" si="54"/>
        <v>0</v>
      </c>
      <c r="BP135" s="95">
        <f t="shared" si="55"/>
        <v>0</v>
      </c>
      <c r="BQ135" s="96">
        <f t="shared" si="56"/>
        <v>0</v>
      </c>
      <c r="BR135" s="97">
        <f t="shared" si="57"/>
        <v>0</v>
      </c>
      <c r="BT135" s="146"/>
      <c r="BU135" s="94"/>
      <c r="BV135" s="91"/>
      <c r="BW135" s="92"/>
      <c r="BX135" s="92"/>
      <c r="BY135" s="92"/>
      <c r="BZ135" s="92"/>
      <c r="CA135" s="92"/>
      <c r="CB135" s="92"/>
      <c r="CC135" s="140">
        <f t="shared" si="58"/>
        <v>0</v>
      </c>
      <c r="CD135" s="94"/>
      <c r="CE135" s="91"/>
      <c r="CF135" s="92"/>
      <c r="CG135" s="92"/>
      <c r="CH135" s="92"/>
      <c r="CI135" s="92"/>
      <c r="CJ135" s="92"/>
      <c r="CK135" s="92"/>
      <c r="CL135" s="140">
        <f t="shared" si="59"/>
        <v>0</v>
      </c>
      <c r="CM135" s="94"/>
      <c r="CN135" s="91"/>
      <c r="CO135" s="92"/>
      <c r="CP135" s="92"/>
      <c r="CQ135" s="92"/>
      <c r="CR135" s="92"/>
      <c r="CS135" s="92"/>
      <c r="CT135" s="92"/>
      <c r="CU135" s="140">
        <f t="shared" si="60"/>
        <v>0</v>
      </c>
      <c r="CV135" s="95">
        <f t="shared" si="61"/>
        <v>0</v>
      </c>
      <c r="CW135" s="96">
        <f t="shared" si="62"/>
        <v>0</v>
      </c>
      <c r="CX135" s="97">
        <f t="shared" si="63"/>
        <v>0</v>
      </c>
      <c r="CZ135" s="146" t="s">
        <v>288</v>
      </c>
      <c r="DA135" s="94"/>
      <c r="DB135" s="91"/>
      <c r="DC135" s="92"/>
      <c r="DD135" s="92"/>
      <c r="DE135" s="92"/>
      <c r="DF135" s="92"/>
      <c r="DG135" s="92"/>
      <c r="DH135" s="92"/>
      <c r="DI135" s="140">
        <f t="shared" si="64"/>
        <v>0</v>
      </c>
      <c r="DJ135" s="94"/>
      <c r="DK135" s="91"/>
      <c r="DL135" s="92"/>
      <c r="DM135" s="92"/>
      <c r="DN135" s="92"/>
      <c r="DO135" s="92"/>
      <c r="DP135" s="92"/>
      <c r="DQ135" s="92"/>
      <c r="DR135" s="140">
        <f t="shared" si="65"/>
        <v>0</v>
      </c>
      <c r="DS135" s="94"/>
      <c r="DT135" s="91"/>
      <c r="DU135" s="92"/>
      <c r="DV135" s="92"/>
      <c r="DW135" s="92"/>
      <c r="DX135" s="92"/>
      <c r="DY135" s="92"/>
      <c r="DZ135" s="92"/>
      <c r="EA135" s="140">
        <f t="shared" si="66"/>
        <v>0</v>
      </c>
      <c r="EB135" s="95">
        <f t="shared" si="67"/>
        <v>0</v>
      </c>
      <c r="EC135" s="96">
        <f t="shared" si="68"/>
        <v>0</v>
      </c>
      <c r="ED135" s="97">
        <f t="shared" si="69"/>
        <v>0</v>
      </c>
    </row>
    <row r="136" spans="1:134" ht="21.95" customHeight="1" x14ac:dyDescent="0.5">
      <c r="A136" s="83">
        <v>58</v>
      </c>
      <c r="B136" s="99" t="s">
        <v>342</v>
      </c>
      <c r="C136" s="104" t="s">
        <v>343</v>
      </c>
      <c r="D136" s="100" t="s">
        <v>131</v>
      </c>
      <c r="E136" s="99" t="s">
        <v>132</v>
      </c>
      <c r="F136" s="87" t="s">
        <v>194</v>
      </c>
      <c r="G136" s="141" t="s">
        <v>288</v>
      </c>
      <c r="H136" s="218">
        <v>1.4825653298937985E-2</v>
      </c>
      <c r="I136" s="94">
        <f t="shared" si="70"/>
        <v>4743.3342955498038</v>
      </c>
      <c r="J136" s="91">
        <f t="shared" si="75"/>
        <v>3581.2699852381606</v>
      </c>
      <c r="K136" s="92">
        <v>1200</v>
      </c>
      <c r="L136" s="92">
        <v>1200</v>
      </c>
      <c r="M136" s="92">
        <v>2680</v>
      </c>
      <c r="N136" s="92">
        <v>2232.8000000000002</v>
      </c>
      <c r="O136" s="92">
        <v>6080</v>
      </c>
      <c r="P136" s="92">
        <v>4490.8</v>
      </c>
      <c r="Q136" s="93">
        <f t="shared" si="71"/>
        <v>1.2539685693932272</v>
      </c>
      <c r="R136" s="94">
        <v>4743.3342955498083</v>
      </c>
      <c r="S136" s="91">
        <v>3581.2699852381606</v>
      </c>
      <c r="T136" s="92">
        <v>780</v>
      </c>
      <c r="U136" s="92">
        <v>628.79999999999995</v>
      </c>
      <c r="V136" s="92">
        <v>2460</v>
      </c>
      <c r="W136" s="92">
        <v>1998.3999999999999</v>
      </c>
      <c r="X136" s="92">
        <v>4640</v>
      </c>
      <c r="Y136" s="92">
        <v>3507.2</v>
      </c>
      <c r="Z136" s="93">
        <f t="shared" si="72"/>
        <v>0.97931739702857534</v>
      </c>
      <c r="AA136" s="94">
        <v>4743.3342955498083</v>
      </c>
      <c r="AB136" s="91">
        <v>3581.2699852381606</v>
      </c>
      <c r="AC136" s="92">
        <v>0</v>
      </c>
      <c r="AD136" s="92">
        <v>0</v>
      </c>
      <c r="AE136" s="92">
        <v>5160</v>
      </c>
      <c r="AF136" s="92">
        <v>3790.8</v>
      </c>
      <c r="AG136" s="92"/>
      <c r="AH136" s="92"/>
      <c r="AI136" s="93">
        <f t="shared" si="73"/>
        <v>0</v>
      </c>
      <c r="AJ136" s="95">
        <f t="shared" si="52"/>
        <v>10743.809955714481</v>
      </c>
      <c r="AK136" s="96">
        <f t="shared" si="74"/>
        <v>7998</v>
      </c>
      <c r="AL136" s="97">
        <f t="shared" si="53"/>
        <v>0.74442865547393422</v>
      </c>
      <c r="AN136" s="89">
        <v>2.785700252691195E-2</v>
      </c>
      <c r="AO136" s="94"/>
      <c r="AP136" s="91"/>
      <c r="AQ136" s="92"/>
      <c r="AR136" s="92"/>
      <c r="AS136" s="92"/>
      <c r="AT136" s="92"/>
      <c r="AU136" s="92"/>
      <c r="AV136" s="92"/>
      <c r="AW136" s="140">
        <v>0</v>
      </c>
      <c r="AX136" s="94"/>
      <c r="AY136" s="91"/>
      <c r="AZ136" s="92"/>
      <c r="BA136" s="92"/>
      <c r="BB136" s="92"/>
      <c r="BC136" s="92"/>
      <c r="BD136" s="92"/>
      <c r="BE136" s="92"/>
      <c r="BF136" s="140">
        <v>0</v>
      </c>
      <c r="BG136" s="94"/>
      <c r="BH136" s="91"/>
      <c r="BI136" s="92"/>
      <c r="BJ136" s="92"/>
      <c r="BK136" s="92"/>
      <c r="BL136" s="92"/>
      <c r="BM136" s="92"/>
      <c r="BN136" s="92"/>
      <c r="BO136" s="140">
        <f t="shared" si="54"/>
        <v>0</v>
      </c>
      <c r="BP136" s="95">
        <f t="shared" si="55"/>
        <v>0</v>
      </c>
      <c r="BQ136" s="96">
        <f t="shared" si="56"/>
        <v>0</v>
      </c>
      <c r="BR136" s="97">
        <f t="shared" si="57"/>
        <v>0</v>
      </c>
      <c r="BT136" s="146"/>
      <c r="BU136" s="94"/>
      <c r="BV136" s="91"/>
      <c r="BW136" s="92"/>
      <c r="BX136" s="92"/>
      <c r="BY136" s="92"/>
      <c r="BZ136" s="92"/>
      <c r="CA136" s="92"/>
      <c r="CB136" s="92"/>
      <c r="CC136" s="140">
        <f t="shared" si="58"/>
        <v>0</v>
      </c>
      <c r="CD136" s="94"/>
      <c r="CE136" s="91"/>
      <c r="CF136" s="92"/>
      <c r="CG136" s="92"/>
      <c r="CH136" s="92"/>
      <c r="CI136" s="92"/>
      <c r="CJ136" s="92"/>
      <c r="CK136" s="92"/>
      <c r="CL136" s="140">
        <f t="shared" si="59"/>
        <v>0</v>
      </c>
      <c r="CM136" s="94"/>
      <c r="CN136" s="91"/>
      <c r="CO136" s="92"/>
      <c r="CP136" s="92"/>
      <c r="CQ136" s="92"/>
      <c r="CR136" s="92"/>
      <c r="CS136" s="92"/>
      <c r="CT136" s="92"/>
      <c r="CU136" s="140">
        <f t="shared" si="60"/>
        <v>0</v>
      </c>
      <c r="CV136" s="95">
        <f t="shared" si="61"/>
        <v>0</v>
      </c>
      <c r="CW136" s="96">
        <f t="shared" si="62"/>
        <v>0</v>
      </c>
      <c r="CX136" s="97">
        <f t="shared" si="63"/>
        <v>0</v>
      </c>
      <c r="CZ136" s="146" t="s">
        <v>288</v>
      </c>
      <c r="DA136" s="94"/>
      <c r="DB136" s="91"/>
      <c r="DC136" s="92"/>
      <c r="DD136" s="92"/>
      <c r="DE136" s="92"/>
      <c r="DF136" s="92"/>
      <c r="DG136" s="92"/>
      <c r="DH136" s="92"/>
      <c r="DI136" s="140">
        <f t="shared" si="64"/>
        <v>0</v>
      </c>
      <c r="DJ136" s="94"/>
      <c r="DK136" s="91"/>
      <c r="DL136" s="92"/>
      <c r="DM136" s="92"/>
      <c r="DN136" s="92"/>
      <c r="DO136" s="92"/>
      <c r="DP136" s="92"/>
      <c r="DQ136" s="92"/>
      <c r="DR136" s="140">
        <f t="shared" si="65"/>
        <v>0</v>
      </c>
      <c r="DS136" s="94"/>
      <c r="DT136" s="91"/>
      <c r="DU136" s="92"/>
      <c r="DV136" s="92"/>
      <c r="DW136" s="92"/>
      <c r="DX136" s="92"/>
      <c r="DY136" s="92"/>
      <c r="DZ136" s="92"/>
      <c r="EA136" s="140">
        <f t="shared" si="66"/>
        <v>0</v>
      </c>
      <c r="EB136" s="95">
        <f t="shared" si="67"/>
        <v>0</v>
      </c>
      <c r="EC136" s="96">
        <f t="shared" si="68"/>
        <v>0</v>
      </c>
      <c r="ED136" s="97">
        <f t="shared" si="69"/>
        <v>0</v>
      </c>
    </row>
    <row r="137" spans="1:134" ht="21.95" customHeight="1" x14ac:dyDescent="0.5">
      <c r="A137" s="83">
        <v>59</v>
      </c>
      <c r="B137" s="99" t="s">
        <v>344</v>
      </c>
      <c r="C137" s="104" t="s">
        <v>345</v>
      </c>
      <c r="D137" s="100" t="s">
        <v>131</v>
      </c>
      <c r="E137" s="99" t="s">
        <v>132</v>
      </c>
      <c r="F137" s="87" t="s">
        <v>194</v>
      </c>
      <c r="G137" s="141" t="s">
        <v>288</v>
      </c>
      <c r="H137" s="218">
        <v>9.5779717661462569E-3</v>
      </c>
      <c r="I137" s="94">
        <f t="shared" si="70"/>
        <v>3064.3858347492646</v>
      </c>
      <c r="J137" s="91">
        <f t="shared" si="75"/>
        <v>2313.6452818585235</v>
      </c>
      <c r="K137" s="92">
        <v>1190</v>
      </c>
      <c r="L137" s="92">
        <v>818.8</v>
      </c>
      <c r="M137" s="92">
        <v>2242</v>
      </c>
      <c r="N137" s="92">
        <v>1559.36</v>
      </c>
      <c r="O137" s="92">
        <v>3516</v>
      </c>
      <c r="P137" s="92">
        <v>2396.96</v>
      </c>
      <c r="Q137" s="93">
        <f t="shared" si="71"/>
        <v>1.0360101519428038</v>
      </c>
      <c r="R137" s="94">
        <v>3064.3858347492674</v>
      </c>
      <c r="S137" s="91">
        <v>2313.6452818585235</v>
      </c>
      <c r="T137" s="92">
        <v>420</v>
      </c>
      <c r="U137" s="92">
        <v>268.8</v>
      </c>
      <c r="V137" s="92">
        <v>2014</v>
      </c>
      <c r="W137" s="92">
        <v>1527.9999999999998</v>
      </c>
      <c r="X137" s="92">
        <v>2998</v>
      </c>
      <c r="Y137" s="92">
        <v>2043.1999999999998</v>
      </c>
      <c r="Z137" s="93">
        <f t="shared" si="72"/>
        <v>0.88310858022225502</v>
      </c>
      <c r="AA137" s="94">
        <v>3064.3858347492674</v>
      </c>
      <c r="AB137" s="91">
        <v>2313.6452818585235</v>
      </c>
      <c r="AC137" s="92">
        <v>840</v>
      </c>
      <c r="AD137" s="92">
        <v>537.6</v>
      </c>
      <c r="AE137" s="92">
        <v>720</v>
      </c>
      <c r="AF137" s="92">
        <v>568.79999999999995</v>
      </c>
      <c r="AG137" s="92"/>
      <c r="AH137" s="92"/>
      <c r="AI137" s="93">
        <f t="shared" si="73"/>
        <v>0</v>
      </c>
      <c r="AJ137" s="95">
        <f t="shared" si="52"/>
        <v>6940.9358455755701</v>
      </c>
      <c r="AK137" s="96">
        <f t="shared" si="74"/>
        <v>4440.16</v>
      </c>
      <c r="AL137" s="97">
        <f t="shared" si="53"/>
        <v>0.63970624405501963</v>
      </c>
      <c r="AN137" s="89">
        <v>3.4096374931407554E-2</v>
      </c>
      <c r="AO137" s="94"/>
      <c r="AP137" s="91"/>
      <c r="AQ137" s="92"/>
      <c r="AR137" s="92"/>
      <c r="AS137" s="92"/>
      <c r="AT137" s="92"/>
      <c r="AU137" s="92"/>
      <c r="AV137" s="92"/>
      <c r="AW137" s="140">
        <v>0</v>
      </c>
      <c r="AX137" s="94"/>
      <c r="AY137" s="91"/>
      <c r="AZ137" s="92"/>
      <c r="BA137" s="92"/>
      <c r="BB137" s="92"/>
      <c r="BC137" s="92"/>
      <c r="BD137" s="92"/>
      <c r="BE137" s="92"/>
      <c r="BF137" s="140">
        <v>0</v>
      </c>
      <c r="BG137" s="94"/>
      <c r="BH137" s="91"/>
      <c r="BI137" s="92"/>
      <c r="BJ137" s="92"/>
      <c r="BK137" s="92"/>
      <c r="BL137" s="92"/>
      <c r="BM137" s="92"/>
      <c r="BN137" s="92"/>
      <c r="BO137" s="140">
        <f t="shared" si="54"/>
        <v>0</v>
      </c>
      <c r="BP137" s="95">
        <f t="shared" si="55"/>
        <v>0</v>
      </c>
      <c r="BQ137" s="96">
        <f t="shared" si="56"/>
        <v>0</v>
      </c>
      <c r="BR137" s="97">
        <f t="shared" si="57"/>
        <v>0</v>
      </c>
      <c r="BT137" s="146"/>
      <c r="BU137" s="94"/>
      <c r="BV137" s="91"/>
      <c r="BW137" s="92"/>
      <c r="BX137" s="92"/>
      <c r="BY137" s="92"/>
      <c r="BZ137" s="92"/>
      <c r="CA137" s="92"/>
      <c r="CB137" s="92"/>
      <c r="CC137" s="140">
        <f t="shared" si="58"/>
        <v>0</v>
      </c>
      <c r="CD137" s="94"/>
      <c r="CE137" s="91"/>
      <c r="CF137" s="92"/>
      <c r="CG137" s="92"/>
      <c r="CH137" s="92"/>
      <c r="CI137" s="92"/>
      <c r="CJ137" s="92"/>
      <c r="CK137" s="92"/>
      <c r="CL137" s="140">
        <f t="shared" si="59"/>
        <v>0</v>
      </c>
      <c r="CM137" s="94"/>
      <c r="CN137" s="91"/>
      <c r="CO137" s="92"/>
      <c r="CP137" s="92"/>
      <c r="CQ137" s="92"/>
      <c r="CR137" s="92"/>
      <c r="CS137" s="92"/>
      <c r="CT137" s="92"/>
      <c r="CU137" s="140">
        <f t="shared" si="60"/>
        <v>0</v>
      </c>
      <c r="CV137" s="95">
        <f t="shared" si="61"/>
        <v>0</v>
      </c>
      <c r="CW137" s="96">
        <f t="shared" si="62"/>
        <v>0</v>
      </c>
      <c r="CX137" s="97">
        <f t="shared" si="63"/>
        <v>0</v>
      </c>
      <c r="CZ137" s="146" t="s">
        <v>288</v>
      </c>
      <c r="DA137" s="94"/>
      <c r="DB137" s="91"/>
      <c r="DC137" s="92"/>
      <c r="DD137" s="92"/>
      <c r="DE137" s="92"/>
      <c r="DF137" s="92"/>
      <c r="DG137" s="92"/>
      <c r="DH137" s="92"/>
      <c r="DI137" s="140">
        <f t="shared" si="64"/>
        <v>0</v>
      </c>
      <c r="DJ137" s="94"/>
      <c r="DK137" s="91"/>
      <c r="DL137" s="92"/>
      <c r="DM137" s="92"/>
      <c r="DN137" s="92"/>
      <c r="DO137" s="92"/>
      <c r="DP137" s="92"/>
      <c r="DQ137" s="92"/>
      <c r="DR137" s="140">
        <f t="shared" si="65"/>
        <v>0</v>
      </c>
      <c r="DS137" s="94"/>
      <c r="DT137" s="91"/>
      <c r="DU137" s="92"/>
      <c r="DV137" s="92"/>
      <c r="DW137" s="92"/>
      <c r="DX137" s="92"/>
      <c r="DY137" s="92"/>
      <c r="DZ137" s="92"/>
      <c r="EA137" s="140">
        <f t="shared" si="66"/>
        <v>0</v>
      </c>
      <c r="EB137" s="95">
        <f t="shared" si="67"/>
        <v>0</v>
      </c>
      <c r="EC137" s="96">
        <f t="shared" si="68"/>
        <v>0</v>
      </c>
      <c r="ED137" s="97">
        <f t="shared" si="69"/>
        <v>0</v>
      </c>
    </row>
    <row r="138" spans="1:134" ht="21.95" customHeight="1" x14ac:dyDescent="0.5">
      <c r="A138" s="83">
        <v>60</v>
      </c>
      <c r="B138" s="99" t="s">
        <v>346</v>
      </c>
      <c r="C138" s="104" t="s">
        <v>347</v>
      </c>
      <c r="D138" s="100" t="s">
        <v>54</v>
      </c>
      <c r="E138" s="99" t="s">
        <v>120</v>
      </c>
      <c r="F138" s="87" t="s">
        <v>194</v>
      </c>
      <c r="G138" s="141" t="s">
        <v>288</v>
      </c>
      <c r="H138" s="218">
        <v>3.9982335487936975E-3</v>
      </c>
      <c r="I138" s="94">
        <f t="shared" si="70"/>
        <v>1279.1988272766014</v>
      </c>
      <c r="J138" s="91">
        <f t="shared" si="75"/>
        <v>965.80929781305679</v>
      </c>
      <c r="K138" s="92">
        <v>420</v>
      </c>
      <c r="L138" s="92">
        <v>268.8</v>
      </c>
      <c r="M138" s="92">
        <v>770</v>
      </c>
      <c r="N138" s="92">
        <v>492.80000000000007</v>
      </c>
      <c r="O138" s="92">
        <v>1120</v>
      </c>
      <c r="P138" s="92">
        <v>716.80000000000007</v>
      </c>
      <c r="Q138" s="93">
        <f t="shared" si="71"/>
        <v>0.7421755015437268</v>
      </c>
      <c r="R138" s="94">
        <v>1279.1988272766025</v>
      </c>
      <c r="S138" s="91">
        <v>965.80929781305679</v>
      </c>
      <c r="T138" s="92">
        <v>280</v>
      </c>
      <c r="U138" s="92">
        <v>179.20000000000002</v>
      </c>
      <c r="V138" s="92">
        <v>280</v>
      </c>
      <c r="W138" s="92">
        <v>179.20000000000002</v>
      </c>
      <c r="X138" s="92">
        <v>490</v>
      </c>
      <c r="Y138" s="92">
        <v>313.60000000000002</v>
      </c>
      <c r="Z138" s="93">
        <f t="shared" si="72"/>
        <v>0.32470178192538046</v>
      </c>
      <c r="AA138" s="94">
        <v>1279.1988272766025</v>
      </c>
      <c r="AB138" s="91">
        <v>965.80929781305679</v>
      </c>
      <c r="AC138" s="92">
        <v>0</v>
      </c>
      <c r="AD138" s="92">
        <v>0</v>
      </c>
      <c r="AE138" s="92">
        <v>1120</v>
      </c>
      <c r="AF138" s="92">
        <v>716.80000000000007</v>
      </c>
      <c r="AG138" s="92"/>
      <c r="AH138" s="92"/>
      <c r="AI138" s="93">
        <f t="shared" si="73"/>
        <v>0</v>
      </c>
      <c r="AJ138" s="95">
        <f t="shared" si="52"/>
        <v>2897.4278934391705</v>
      </c>
      <c r="AK138" s="96">
        <f t="shared" si="74"/>
        <v>1030.4000000000001</v>
      </c>
      <c r="AL138" s="97">
        <f t="shared" si="53"/>
        <v>0.35562576115636912</v>
      </c>
      <c r="AN138" s="89">
        <v>8.5359492178767159E-3</v>
      </c>
      <c r="AO138" s="94"/>
      <c r="AP138" s="91"/>
      <c r="AQ138" s="92"/>
      <c r="AR138" s="92"/>
      <c r="AS138" s="92"/>
      <c r="AT138" s="92"/>
      <c r="AU138" s="92"/>
      <c r="AV138" s="92"/>
      <c r="AW138" s="140">
        <v>0</v>
      </c>
      <c r="AX138" s="94"/>
      <c r="AY138" s="91"/>
      <c r="AZ138" s="92"/>
      <c r="BA138" s="92"/>
      <c r="BB138" s="92"/>
      <c r="BC138" s="92"/>
      <c r="BD138" s="92"/>
      <c r="BE138" s="92"/>
      <c r="BF138" s="140">
        <v>0</v>
      </c>
      <c r="BG138" s="94"/>
      <c r="BH138" s="91"/>
      <c r="BI138" s="92"/>
      <c r="BJ138" s="92"/>
      <c r="BK138" s="92"/>
      <c r="BL138" s="92"/>
      <c r="BM138" s="92"/>
      <c r="BN138" s="92"/>
      <c r="BO138" s="140">
        <f t="shared" si="54"/>
        <v>0</v>
      </c>
      <c r="BP138" s="95">
        <f t="shared" si="55"/>
        <v>0</v>
      </c>
      <c r="BQ138" s="96">
        <f t="shared" si="56"/>
        <v>0</v>
      </c>
      <c r="BR138" s="97">
        <f t="shared" si="57"/>
        <v>0</v>
      </c>
      <c r="BT138" s="146"/>
      <c r="BU138" s="94"/>
      <c r="BV138" s="91"/>
      <c r="BW138" s="92"/>
      <c r="BX138" s="92"/>
      <c r="BY138" s="92"/>
      <c r="BZ138" s="92"/>
      <c r="CA138" s="92"/>
      <c r="CB138" s="92"/>
      <c r="CC138" s="140">
        <f t="shared" si="58"/>
        <v>0</v>
      </c>
      <c r="CD138" s="94"/>
      <c r="CE138" s="91"/>
      <c r="CF138" s="92"/>
      <c r="CG138" s="92"/>
      <c r="CH138" s="92"/>
      <c r="CI138" s="92"/>
      <c r="CJ138" s="92"/>
      <c r="CK138" s="92"/>
      <c r="CL138" s="140">
        <f t="shared" si="59"/>
        <v>0</v>
      </c>
      <c r="CM138" s="94"/>
      <c r="CN138" s="91"/>
      <c r="CO138" s="92"/>
      <c r="CP138" s="92"/>
      <c r="CQ138" s="92"/>
      <c r="CR138" s="92"/>
      <c r="CS138" s="92"/>
      <c r="CT138" s="92"/>
      <c r="CU138" s="140">
        <f t="shared" si="60"/>
        <v>0</v>
      </c>
      <c r="CV138" s="95">
        <f t="shared" si="61"/>
        <v>0</v>
      </c>
      <c r="CW138" s="96">
        <f t="shared" si="62"/>
        <v>0</v>
      </c>
      <c r="CX138" s="97">
        <f t="shared" si="63"/>
        <v>0</v>
      </c>
      <c r="CZ138" s="146" t="s">
        <v>288</v>
      </c>
      <c r="DA138" s="94"/>
      <c r="DB138" s="91"/>
      <c r="DC138" s="92"/>
      <c r="DD138" s="92"/>
      <c r="DE138" s="92"/>
      <c r="DF138" s="92"/>
      <c r="DG138" s="92"/>
      <c r="DH138" s="92"/>
      <c r="DI138" s="140">
        <f t="shared" si="64"/>
        <v>0</v>
      </c>
      <c r="DJ138" s="94"/>
      <c r="DK138" s="91"/>
      <c r="DL138" s="92"/>
      <c r="DM138" s="92"/>
      <c r="DN138" s="92"/>
      <c r="DO138" s="92"/>
      <c r="DP138" s="92"/>
      <c r="DQ138" s="92"/>
      <c r="DR138" s="140">
        <f t="shared" si="65"/>
        <v>0</v>
      </c>
      <c r="DS138" s="94"/>
      <c r="DT138" s="91"/>
      <c r="DU138" s="92"/>
      <c r="DV138" s="92"/>
      <c r="DW138" s="92"/>
      <c r="DX138" s="92"/>
      <c r="DY138" s="92"/>
      <c r="DZ138" s="92"/>
      <c r="EA138" s="140">
        <f t="shared" si="66"/>
        <v>0</v>
      </c>
      <c r="EB138" s="95">
        <f t="shared" si="67"/>
        <v>0</v>
      </c>
      <c r="EC138" s="96">
        <f t="shared" si="68"/>
        <v>0</v>
      </c>
      <c r="ED138" s="97">
        <f t="shared" si="69"/>
        <v>0</v>
      </c>
    </row>
    <row r="139" spans="1:134" ht="21.95" customHeight="1" x14ac:dyDescent="0.5">
      <c r="A139" s="83">
        <v>61</v>
      </c>
      <c r="B139" s="99" t="s">
        <v>348</v>
      </c>
      <c r="C139" s="104" t="s">
        <v>349</v>
      </c>
      <c r="D139" s="100" t="s">
        <v>54</v>
      </c>
      <c r="E139" s="99" t="s">
        <v>120</v>
      </c>
      <c r="F139" s="87" t="s">
        <v>194</v>
      </c>
      <c r="G139" s="141" t="s">
        <v>288</v>
      </c>
      <c r="H139" s="218">
        <v>2.5068020795332234E-2</v>
      </c>
      <c r="I139" s="94">
        <f t="shared" si="70"/>
        <v>8020.287562543549</v>
      </c>
      <c r="J139" s="91">
        <f t="shared" si="75"/>
        <v>6055.4060352996594</v>
      </c>
      <c r="K139" s="92">
        <v>3980</v>
      </c>
      <c r="L139" s="92">
        <v>2329.1999999999998</v>
      </c>
      <c r="M139" s="92">
        <v>3980</v>
      </c>
      <c r="N139" s="92">
        <v>2329.1999999999998</v>
      </c>
      <c r="O139" s="92">
        <v>12620</v>
      </c>
      <c r="P139" s="92">
        <v>7912.4</v>
      </c>
      <c r="Q139" s="93">
        <f t="shared" si="71"/>
        <v>1.3066671258500413</v>
      </c>
      <c r="R139" s="94">
        <v>8020.2875625435563</v>
      </c>
      <c r="S139" s="91">
        <v>6055.4060352996594</v>
      </c>
      <c r="T139" s="92">
        <v>0</v>
      </c>
      <c r="U139" s="92">
        <v>0</v>
      </c>
      <c r="V139" s="92">
        <v>0</v>
      </c>
      <c r="W139" s="92">
        <v>0</v>
      </c>
      <c r="X139" s="92">
        <v>1160</v>
      </c>
      <c r="Y139" s="92">
        <v>630</v>
      </c>
      <c r="Z139" s="93">
        <f t="shared" si="72"/>
        <v>0.10403926612475685</v>
      </c>
      <c r="AA139" s="94">
        <v>8020.2875625435563</v>
      </c>
      <c r="AB139" s="91">
        <v>6055.4060352996594</v>
      </c>
      <c r="AC139" s="92">
        <v>640</v>
      </c>
      <c r="AD139" s="92">
        <v>380</v>
      </c>
      <c r="AE139" s="92">
        <v>9280</v>
      </c>
      <c r="AF139" s="92">
        <v>7093.6</v>
      </c>
      <c r="AG139" s="92"/>
      <c r="AH139" s="92"/>
      <c r="AI139" s="93">
        <f t="shared" si="73"/>
        <v>0</v>
      </c>
      <c r="AJ139" s="95">
        <f t="shared" si="52"/>
        <v>18166.218105898977</v>
      </c>
      <c r="AK139" s="96">
        <f t="shared" si="74"/>
        <v>8542.4</v>
      </c>
      <c r="AL139" s="97">
        <f t="shared" si="53"/>
        <v>0.47023546399159938</v>
      </c>
      <c r="AN139" s="89">
        <v>1.9442995440719188E-2</v>
      </c>
      <c r="AO139" s="94"/>
      <c r="AP139" s="91"/>
      <c r="AQ139" s="92"/>
      <c r="AR139" s="92"/>
      <c r="AS139" s="92"/>
      <c r="AT139" s="92"/>
      <c r="AU139" s="92"/>
      <c r="AV139" s="92"/>
      <c r="AW139" s="140">
        <v>0</v>
      </c>
      <c r="AX139" s="94"/>
      <c r="AY139" s="91"/>
      <c r="AZ139" s="92"/>
      <c r="BA139" s="92"/>
      <c r="BB139" s="92"/>
      <c r="BC139" s="92"/>
      <c r="BD139" s="92"/>
      <c r="BE139" s="92"/>
      <c r="BF139" s="140">
        <v>0</v>
      </c>
      <c r="BG139" s="94"/>
      <c r="BH139" s="91"/>
      <c r="BI139" s="92"/>
      <c r="BJ139" s="92"/>
      <c r="BK139" s="92"/>
      <c r="BL139" s="92"/>
      <c r="BM139" s="92"/>
      <c r="BN139" s="92"/>
      <c r="BO139" s="140">
        <f t="shared" si="54"/>
        <v>0</v>
      </c>
      <c r="BP139" s="95">
        <f t="shared" si="55"/>
        <v>0</v>
      </c>
      <c r="BQ139" s="96">
        <f t="shared" si="56"/>
        <v>0</v>
      </c>
      <c r="BR139" s="97">
        <f t="shared" si="57"/>
        <v>0</v>
      </c>
      <c r="BT139" s="146"/>
      <c r="BU139" s="94"/>
      <c r="BV139" s="91"/>
      <c r="BW139" s="92"/>
      <c r="BX139" s="92"/>
      <c r="BY139" s="92"/>
      <c r="BZ139" s="92"/>
      <c r="CA139" s="92"/>
      <c r="CB139" s="92"/>
      <c r="CC139" s="140">
        <f t="shared" si="58"/>
        <v>0</v>
      </c>
      <c r="CD139" s="94"/>
      <c r="CE139" s="91"/>
      <c r="CF139" s="92"/>
      <c r="CG139" s="92"/>
      <c r="CH139" s="92"/>
      <c r="CI139" s="92"/>
      <c r="CJ139" s="92"/>
      <c r="CK139" s="92"/>
      <c r="CL139" s="140">
        <f t="shared" si="59"/>
        <v>0</v>
      </c>
      <c r="CM139" s="94"/>
      <c r="CN139" s="91"/>
      <c r="CO139" s="92"/>
      <c r="CP139" s="92"/>
      <c r="CQ139" s="92"/>
      <c r="CR139" s="92"/>
      <c r="CS139" s="92"/>
      <c r="CT139" s="92"/>
      <c r="CU139" s="140">
        <f t="shared" si="60"/>
        <v>0</v>
      </c>
      <c r="CV139" s="95">
        <f t="shared" si="61"/>
        <v>0</v>
      </c>
      <c r="CW139" s="96">
        <f t="shared" si="62"/>
        <v>0</v>
      </c>
      <c r="CX139" s="97">
        <f t="shared" si="63"/>
        <v>0</v>
      </c>
      <c r="CZ139" s="146" t="s">
        <v>288</v>
      </c>
      <c r="DA139" s="94"/>
      <c r="DB139" s="91"/>
      <c r="DC139" s="92"/>
      <c r="DD139" s="92"/>
      <c r="DE139" s="92"/>
      <c r="DF139" s="92"/>
      <c r="DG139" s="92"/>
      <c r="DH139" s="92"/>
      <c r="DI139" s="140">
        <f t="shared" si="64"/>
        <v>0</v>
      </c>
      <c r="DJ139" s="94"/>
      <c r="DK139" s="91"/>
      <c r="DL139" s="92"/>
      <c r="DM139" s="92"/>
      <c r="DN139" s="92"/>
      <c r="DO139" s="92"/>
      <c r="DP139" s="92"/>
      <c r="DQ139" s="92"/>
      <c r="DR139" s="140">
        <f t="shared" si="65"/>
        <v>0</v>
      </c>
      <c r="DS139" s="94"/>
      <c r="DT139" s="91"/>
      <c r="DU139" s="92"/>
      <c r="DV139" s="92"/>
      <c r="DW139" s="92"/>
      <c r="DX139" s="92"/>
      <c r="DY139" s="92"/>
      <c r="DZ139" s="92"/>
      <c r="EA139" s="140">
        <f t="shared" si="66"/>
        <v>0</v>
      </c>
      <c r="EB139" s="95">
        <f t="shared" si="67"/>
        <v>0</v>
      </c>
      <c r="EC139" s="96">
        <f t="shared" si="68"/>
        <v>0</v>
      </c>
      <c r="ED139" s="97">
        <f t="shared" si="69"/>
        <v>0</v>
      </c>
    </row>
    <row r="140" spans="1:134" ht="21.95" customHeight="1" x14ac:dyDescent="0.5">
      <c r="A140" s="83">
        <v>62</v>
      </c>
      <c r="B140" s="99" t="s">
        <v>350</v>
      </c>
      <c r="C140" s="104" t="s">
        <v>351</v>
      </c>
      <c r="D140" s="100" t="s">
        <v>54</v>
      </c>
      <c r="E140" s="99" t="s">
        <v>120</v>
      </c>
      <c r="F140" s="87" t="s">
        <v>194</v>
      </c>
      <c r="G140" s="141" t="s">
        <v>288</v>
      </c>
      <c r="H140" s="218">
        <v>7.6542454124787808E-3</v>
      </c>
      <c r="I140" s="94">
        <f t="shared" si="70"/>
        <v>2448.9069074727472</v>
      </c>
      <c r="J140" s="91">
        <f t="shared" si="75"/>
        <v>1848.9518675929619</v>
      </c>
      <c r="K140" s="92">
        <v>940</v>
      </c>
      <c r="L140" s="92">
        <v>639.6</v>
      </c>
      <c r="M140" s="92">
        <v>1360</v>
      </c>
      <c r="N140" s="92">
        <v>908.40000000000009</v>
      </c>
      <c r="O140" s="92">
        <v>1740</v>
      </c>
      <c r="P140" s="92">
        <v>1220</v>
      </c>
      <c r="Q140" s="93">
        <f t="shared" si="71"/>
        <v>0.65983329332863805</v>
      </c>
      <c r="R140" s="94">
        <v>2448.9069074727495</v>
      </c>
      <c r="S140" s="91">
        <v>1848.9518675929619</v>
      </c>
      <c r="T140" s="92">
        <v>520</v>
      </c>
      <c r="U140" s="92">
        <v>417.6</v>
      </c>
      <c r="V140" s="92">
        <v>910</v>
      </c>
      <c r="W140" s="92">
        <v>732</v>
      </c>
      <c r="X140" s="92">
        <v>1810</v>
      </c>
      <c r="Y140" s="92">
        <v>1480.8000000000002</v>
      </c>
      <c r="Z140" s="93">
        <f t="shared" si="72"/>
        <v>0.80088618095167818</v>
      </c>
      <c r="AA140" s="94">
        <v>2448.9069074727495</v>
      </c>
      <c r="AB140" s="91">
        <v>1848.9518675929619</v>
      </c>
      <c r="AC140" s="92">
        <v>880</v>
      </c>
      <c r="AD140" s="92">
        <v>628</v>
      </c>
      <c r="AE140" s="92">
        <v>1260</v>
      </c>
      <c r="AF140" s="92">
        <v>913.6</v>
      </c>
      <c r="AG140" s="92"/>
      <c r="AH140" s="92"/>
      <c r="AI140" s="93">
        <f t="shared" si="73"/>
        <v>0</v>
      </c>
      <c r="AJ140" s="95">
        <f t="shared" si="52"/>
        <v>5546.8556027788854</v>
      </c>
      <c r="AK140" s="96">
        <f t="shared" si="74"/>
        <v>2700.8</v>
      </c>
      <c r="AL140" s="97">
        <f t="shared" si="53"/>
        <v>0.48690649142677211</v>
      </c>
      <c r="AN140" s="89">
        <v>2.8791892203155591E-3</v>
      </c>
      <c r="AO140" s="94"/>
      <c r="AP140" s="91"/>
      <c r="AQ140" s="92"/>
      <c r="AR140" s="92"/>
      <c r="AS140" s="92"/>
      <c r="AT140" s="92"/>
      <c r="AU140" s="92"/>
      <c r="AV140" s="92"/>
      <c r="AW140" s="140">
        <v>0</v>
      </c>
      <c r="AX140" s="94"/>
      <c r="AY140" s="91"/>
      <c r="AZ140" s="92"/>
      <c r="BA140" s="92"/>
      <c r="BB140" s="92"/>
      <c r="BC140" s="92"/>
      <c r="BD140" s="92"/>
      <c r="BE140" s="92"/>
      <c r="BF140" s="140">
        <v>0</v>
      </c>
      <c r="BG140" s="94"/>
      <c r="BH140" s="91"/>
      <c r="BI140" s="92"/>
      <c r="BJ140" s="92"/>
      <c r="BK140" s="92"/>
      <c r="BL140" s="92"/>
      <c r="BM140" s="92"/>
      <c r="BN140" s="92"/>
      <c r="BO140" s="140">
        <f t="shared" si="54"/>
        <v>0</v>
      </c>
      <c r="BP140" s="95">
        <f t="shared" si="55"/>
        <v>0</v>
      </c>
      <c r="BQ140" s="96">
        <f t="shared" si="56"/>
        <v>0</v>
      </c>
      <c r="BR140" s="97">
        <f t="shared" si="57"/>
        <v>0</v>
      </c>
      <c r="BT140" s="146"/>
      <c r="BU140" s="94"/>
      <c r="BV140" s="91"/>
      <c r="BW140" s="92"/>
      <c r="BX140" s="92"/>
      <c r="BY140" s="92"/>
      <c r="BZ140" s="92"/>
      <c r="CA140" s="92"/>
      <c r="CB140" s="92"/>
      <c r="CC140" s="140">
        <f t="shared" si="58"/>
        <v>0</v>
      </c>
      <c r="CD140" s="94"/>
      <c r="CE140" s="91"/>
      <c r="CF140" s="92"/>
      <c r="CG140" s="92"/>
      <c r="CH140" s="92"/>
      <c r="CI140" s="92"/>
      <c r="CJ140" s="92"/>
      <c r="CK140" s="92"/>
      <c r="CL140" s="140">
        <f t="shared" si="59"/>
        <v>0</v>
      </c>
      <c r="CM140" s="94"/>
      <c r="CN140" s="91"/>
      <c r="CO140" s="92"/>
      <c r="CP140" s="92"/>
      <c r="CQ140" s="92"/>
      <c r="CR140" s="92"/>
      <c r="CS140" s="92"/>
      <c r="CT140" s="92"/>
      <c r="CU140" s="140">
        <f t="shared" si="60"/>
        <v>0</v>
      </c>
      <c r="CV140" s="95">
        <f t="shared" si="61"/>
        <v>0</v>
      </c>
      <c r="CW140" s="96">
        <f t="shared" si="62"/>
        <v>0</v>
      </c>
      <c r="CX140" s="97">
        <f t="shared" si="63"/>
        <v>0</v>
      </c>
      <c r="CZ140" s="146" t="s">
        <v>288</v>
      </c>
      <c r="DA140" s="94"/>
      <c r="DB140" s="91"/>
      <c r="DC140" s="92"/>
      <c r="DD140" s="92"/>
      <c r="DE140" s="92"/>
      <c r="DF140" s="92"/>
      <c r="DG140" s="92"/>
      <c r="DH140" s="92"/>
      <c r="DI140" s="140">
        <f t="shared" si="64"/>
        <v>0</v>
      </c>
      <c r="DJ140" s="94"/>
      <c r="DK140" s="91"/>
      <c r="DL140" s="92"/>
      <c r="DM140" s="92"/>
      <c r="DN140" s="92"/>
      <c r="DO140" s="92"/>
      <c r="DP140" s="92"/>
      <c r="DQ140" s="92"/>
      <c r="DR140" s="140">
        <f t="shared" si="65"/>
        <v>0</v>
      </c>
      <c r="DS140" s="94"/>
      <c r="DT140" s="91"/>
      <c r="DU140" s="92"/>
      <c r="DV140" s="92"/>
      <c r="DW140" s="92"/>
      <c r="DX140" s="92"/>
      <c r="DY140" s="92"/>
      <c r="DZ140" s="92"/>
      <c r="EA140" s="140">
        <f t="shared" si="66"/>
        <v>0</v>
      </c>
      <c r="EB140" s="95">
        <f t="shared" si="67"/>
        <v>0</v>
      </c>
      <c r="EC140" s="96">
        <f t="shared" si="68"/>
        <v>0</v>
      </c>
      <c r="ED140" s="97">
        <f t="shared" si="69"/>
        <v>0</v>
      </c>
    </row>
    <row r="141" spans="1:134" ht="21.95" customHeight="1" x14ac:dyDescent="0.5">
      <c r="A141" s="83">
        <v>63</v>
      </c>
      <c r="B141" s="99" t="s">
        <v>352</v>
      </c>
      <c r="C141" s="104" t="s">
        <v>353</v>
      </c>
      <c r="D141" s="100" t="s">
        <v>54</v>
      </c>
      <c r="E141" s="148" t="s">
        <v>120</v>
      </c>
      <c r="F141" s="87" t="s">
        <v>194</v>
      </c>
      <c r="G141" s="141" t="s">
        <v>288</v>
      </c>
      <c r="H141" s="218">
        <v>1.7897742353378342E-2</v>
      </c>
      <c r="I141" s="94">
        <f t="shared" si="70"/>
        <v>5726.2215300674188</v>
      </c>
      <c r="J141" s="91">
        <f t="shared" si="75"/>
        <v>4323.3607451397193</v>
      </c>
      <c r="K141" s="92">
        <v>2570</v>
      </c>
      <c r="L141" s="92">
        <v>2141.6</v>
      </c>
      <c r="M141" s="92">
        <v>3170</v>
      </c>
      <c r="N141" s="92">
        <v>2518.4</v>
      </c>
      <c r="O141" s="92">
        <v>3170</v>
      </c>
      <c r="P141" s="92">
        <v>2518.4</v>
      </c>
      <c r="Q141" s="93">
        <f t="shared" si="71"/>
        <v>0.58250979931090907</v>
      </c>
      <c r="R141" s="94">
        <v>5726.2215300674243</v>
      </c>
      <c r="S141" s="91">
        <v>4323.3607451397193</v>
      </c>
      <c r="T141" s="92">
        <v>0</v>
      </c>
      <c r="U141" s="92">
        <v>0</v>
      </c>
      <c r="V141" s="92">
        <v>540</v>
      </c>
      <c r="W141" s="92">
        <v>540</v>
      </c>
      <c r="X141" s="92">
        <v>1960</v>
      </c>
      <c r="Y141" s="92">
        <v>1708</v>
      </c>
      <c r="Z141" s="93">
        <f t="shared" si="72"/>
        <v>0.3950630309811915</v>
      </c>
      <c r="AA141" s="94">
        <v>5726.2215300674243</v>
      </c>
      <c r="AB141" s="91">
        <v>4323.3607451397193</v>
      </c>
      <c r="AC141" s="92">
        <v>1040</v>
      </c>
      <c r="AD141" s="92">
        <v>607.60000000000014</v>
      </c>
      <c r="AE141" s="92">
        <v>4450</v>
      </c>
      <c r="AF141" s="92">
        <v>3668.8</v>
      </c>
      <c r="AG141" s="92"/>
      <c r="AH141" s="92"/>
      <c r="AI141" s="93">
        <f t="shared" si="73"/>
        <v>0</v>
      </c>
      <c r="AJ141" s="95">
        <f t="shared" si="52"/>
        <v>12970.082235419159</v>
      </c>
      <c r="AK141" s="96">
        <f t="shared" si="74"/>
        <v>4226.3999999999996</v>
      </c>
      <c r="AL141" s="97">
        <f t="shared" si="53"/>
        <v>0.3258576100973668</v>
      </c>
      <c r="AN141" s="89">
        <v>1.3887853886227991E-2</v>
      </c>
      <c r="AO141" s="94"/>
      <c r="AP141" s="91"/>
      <c r="AQ141" s="92"/>
      <c r="AR141" s="92"/>
      <c r="AS141" s="92"/>
      <c r="AT141" s="92"/>
      <c r="AU141" s="92"/>
      <c r="AV141" s="92"/>
      <c r="AW141" s="140">
        <v>0</v>
      </c>
      <c r="AX141" s="94"/>
      <c r="AY141" s="91"/>
      <c r="AZ141" s="92"/>
      <c r="BA141" s="92"/>
      <c r="BB141" s="92"/>
      <c r="BC141" s="92"/>
      <c r="BD141" s="92"/>
      <c r="BE141" s="92"/>
      <c r="BF141" s="140">
        <v>0</v>
      </c>
      <c r="BG141" s="94"/>
      <c r="BH141" s="91"/>
      <c r="BI141" s="92"/>
      <c r="BJ141" s="92"/>
      <c r="BK141" s="92"/>
      <c r="BL141" s="92"/>
      <c r="BM141" s="92"/>
      <c r="BN141" s="92"/>
      <c r="BO141" s="140">
        <f t="shared" si="54"/>
        <v>0</v>
      </c>
      <c r="BP141" s="95">
        <f t="shared" si="55"/>
        <v>0</v>
      </c>
      <c r="BQ141" s="96">
        <f t="shared" si="56"/>
        <v>0</v>
      </c>
      <c r="BR141" s="97">
        <f t="shared" si="57"/>
        <v>0</v>
      </c>
      <c r="BT141" s="146"/>
      <c r="BU141" s="94"/>
      <c r="BV141" s="91"/>
      <c r="BW141" s="92"/>
      <c r="BX141" s="92"/>
      <c r="BY141" s="92"/>
      <c r="BZ141" s="92"/>
      <c r="CA141" s="92"/>
      <c r="CB141" s="92"/>
      <c r="CC141" s="140">
        <f t="shared" si="58"/>
        <v>0</v>
      </c>
      <c r="CD141" s="94"/>
      <c r="CE141" s="91"/>
      <c r="CF141" s="92"/>
      <c r="CG141" s="92"/>
      <c r="CH141" s="92"/>
      <c r="CI141" s="92"/>
      <c r="CJ141" s="92"/>
      <c r="CK141" s="92"/>
      <c r="CL141" s="140">
        <f t="shared" si="59"/>
        <v>0</v>
      </c>
      <c r="CM141" s="94"/>
      <c r="CN141" s="91"/>
      <c r="CO141" s="92"/>
      <c r="CP141" s="92"/>
      <c r="CQ141" s="92"/>
      <c r="CR141" s="92"/>
      <c r="CS141" s="92"/>
      <c r="CT141" s="92"/>
      <c r="CU141" s="140">
        <f t="shared" si="60"/>
        <v>0</v>
      </c>
      <c r="CV141" s="95">
        <f t="shared" si="61"/>
        <v>0</v>
      </c>
      <c r="CW141" s="96">
        <f t="shared" si="62"/>
        <v>0</v>
      </c>
      <c r="CX141" s="97">
        <f t="shared" si="63"/>
        <v>0</v>
      </c>
      <c r="CZ141" s="146" t="s">
        <v>288</v>
      </c>
      <c r="DA141" s="94"/>
      <c r="DB141" s="91"/>
      <c r="DC141" s="92"/>
      <c r="DD141" s="92"/>
      <c r="DE141" s="92"/>
      <c r="DF141" s="92"/>
      <c r="DG141" s="92"/>
      <c r="DH141" s="92"/>
      <c r="DI141" s="140">
        <f t="shared" si="64"/>
        <v>0</v>
      </c>
      <c r="DJ141" s="94"/>
      <c r="DK141" s="91"/>
      <c r="DL141" s="92"/>
      <c r="DM141" s="92"/>
      <c r="DN141" s="92"/>
      <c r="DO141" s="92"/>
      <c r="DP141" s="92"/>
      <c r="DQ141" s="92"/>
      <c r="DR141" s="140">
        <f t="shared" si="65"/>
        <v>0</v>
      </c>
      <c r="DS141" s="94"/>
      <c r="DT141" s="91"/>
      <c r="DU141" s="92"/>
      <c r="DV141" s="92"/>
      <c r="DW141" s="92"/>
      <c r="DX141" s="92"/>
      <c r="DY141" s="92"/>
      <c r="DZ141" s="92"/>
      <c r="EA141" s="140">
        <f t="shared" si="66"/>
        <v>0</v>
      </c>
      <c r="EB141" s="95">
        <f t="shared" si="67"/>
        <v>0</v>
      </c>
      <c r="EC141" s="96">
        <f t="shared" si="68"/>
        <v>0</v>
      </c>
      <c r="ED141" s="97">
        <f t="shared" si="69"/>
        <v>0</v>
      </c>
    </row>
    <row r="142" spans="1:134" ht="21.95" customHeight="1" x14ac:dyDescent="0.5">
      <c r="A142" s="83">
        <v>64</v>
      </c>
      <c r="B142" s="99" t="s">
        <v>354</v>
      </c>
      <c r="C142" s="104" t="s">
        <v>355</v>
      </c>
      <c r="D142" s="100" t="s">
        <v>54</v>
      </c>
      <c r="E142" s="99" t="s">
        <v>120</v>
      </c>
      <c r="F142" s="87" t="s">
        <v>194</v>
      </c>
      <c r="G142" s="141" t="s">
        <v>288</v>
      </c>
      <c r="H142" s="218">
        <v>8.0018319589876125E-3</v>
      </c>
      <c r="I142" s="94">
        <f t="shared" si="70"/>
        <v>2560.1140936575989</v>
      </c>
      <c r="J142" s="91">
        <f t="shared" si="75"/>
        <v>1932.9145261810886</v>
      </c>
      <c r="K142" s="92">
        <v>750</v>
      </c>
      <c r="L142" s="92">
        <v>419.6</v>
      </c>
      <c r="M142" s="92">
        <v>1320</v>
      </c>
      <c r="N142" s="92">
        <v>786.40000000000009</v>
      </c>
      <c r="O142" s="92">
        <v>2090</v>
      </c>
      <c r="P142" s="92">
        <v>1279.2</v>
      </c>
      <c r="Q142" s="93">
        <f t="shared" si="71"/>
        <v>0.66179853411694822</v>
      </c>
      <c r="R142" s="94">
        <v>2560.1140936576016</v>
      </c>
      <c r="S142" s="91">
        <v>1932.9145261810886</v>
      </c>
      <c r="T142" s="92">
        <v>590</v>
      </c>
      <c r="U142" s="92">
        <v>360.40000000000003</v>
      </c>
      <c r="V142" s="92">
        <v>1270</v>
      </c>
      <c r="W142" s="92">
        <v>759.2</v>
      </c>
      <c r="X142" s="92">
        <v>1770</v>
      </c>
      <c r="Y142" s="92">
        <v>1160.8000000000002</v>
      </c>
      <c r="Z142" s="93">
        <f t="shared" si="72"/>
        <v>0.60054388555577987</v>
      </c>
      <c r="AA142" s="94">
        <v>2560.1140936576016</v>
      </c>
      <c r="AB142" s="91">
        <v>1932.9145261810886</v>
      </c>
      <c r="AC142" s="92">
        <v>3430</v>
      </c>
      <c r="AD142" s="92">
        <v>2385.6000000000004</v>
      </c>
      <c r="AE142" s="92">
        <v>1820</v>
      </c>
      <c r="AF142" s="92">
        <v>1132.8000000000002</v>
      </c>
      <c r="AG142" s="92"/>
      <c r="AH142" s="92"/>
      <c r="AI142" s="93">
        <f t="shared" si="73"/>
        <v>0</v>
      </c>
      <c r="AJ142" s="95">
        <f t="shared" si="52"/>
        <v>5798.7435785432663</v>
      </c>
      <c r="AK142" s="96">
        <f t="shared" si="74"/>
        <v>2440</v>
      </c>
      <c r="AL142" s="97">
        <f t="shared" si="53"/>
        <v>0.42078080655757599</v>
      </c>
      <c r="AN142" s="89">
        <v>2.662403208432976E-3</v>
      </c>
      <c r="AO142" s="94"/>
      <c r="AP142" s="91"/>
      <c r="AQ142" s="92"/>
      <c r="AR142" s="92"/>
      <c r="AS142" s="92"/>
      <c r="AT142" s="92"/>
      <c r="AU142" s="92"/>
      <c r="AV142" s="92"/>
      <c r="AW142" s="140">
        <v>0</v>
      </c>
      <c r="AX142" s="94"/>
      <c r="AY142" s="91"/>
      <c r="AZ142" s="92"/>
      <c r="BA142" s="92"/>
      <c r="BB142" s="92"/>
      <c r="BC142" s="92"/>
      <c r="BD142" s="92"/>
      <c r="BE142" s="92"/>
      <c r="BF142" s="140">
        <v>0</v>
      </c>
      <c r="BG142" s="94"/>
      <c r="BH142" s="91"/>
      <c r="BI142" s="92"/>
      <c r="BJ142" s="92"/>
      <c r="BK142" s="92"/>
      <c r="BL142" s="92"/>
      <c r="BM142" s="92"/>
      <c r="BN142" s="92"/>
      <c r="BO142" s="140">
        <f t="shared" si="54"/>
        <v>0</v>
      </c>
      <c r="BP142" s="95">
        <f t="shared" si="55"/>
        <v>0</v>
      </c>
      <c r="BQ142" s="96">
        <f t="shared" si="56"/>
        <v>0</v>
      </c>
      <c r="BR142" s="97">
        <f t="shared" si="57"/>
        <v>0</v>
      </c>
      <c r="BT142" s="146"/>
      <c r="BU142" s="94"/>
      <c r="BV142" s="91"/>
      <c r="BW142" s="92"/>
      <c r="BX142" s="92"/>
      <c r="BY142" s="92"/>
      <c r="BZ142" s="92"/>
      <c r="CA142" s="92"/>
      <c r="CB142" s="92"/>
      <c r="CC142" s="140">
        <f t="shared" si="58"/>
        <v>0</v>
      </c>
      <c r="CD142" s="94"/>
      <c r="CE142" s="91"/>
      <c r="CF142" s="92"/>
      <c r="CG142" s="92"/>
      <c r="CH142" s="92"/>
      <c r="CI142" s="92"/>
      <c r="CJ142" s="92"/>
      <c r="CK142" s="92"/>
      <c r="CL142" s="140">
        <f t="shared" si="59"/>
        <v>0</v>
      </c>
      <c r="CM142" s="94"/>
      <c r="CN142" s="91"/>
      <c r="CO142" s="92"/>
      <c r="CP142" s="92"/>
      <c r="CQ142" s="92"/>
      <c r="CR142" s="92"/>
      <c r="CS142" s="92"/>
      <c r="CT142" s="92"/>
      <c r="CU142" s="140">
        <f t="shared" si="60"/>
        <v>0</v>
      </c>
      <c r="CV142" s="95">
        <f t="shared" si="61"/>
        <v>0</v>
      </c>
      <c r="CW142" s="96">
        <f t="shared" si="62"/>
        <v>0</v>
      </c>
      <c r="CX142" s="97">
        <f t="shared" si="63"/>
        <v>0</v>
      </c>
      <c r="CZ142" s="146" t="s">
        <v>288</v>
      </c>
      <c r="DA142" s="94"/>
      <c r="DB142" s="91"/>
      <c r="DC142" s="92"/>
      <c r="DD142" s="92"/>
      <c r="DE142" s="92"/>
      <c r="DF142" s="92"/>
      <c r="DG142" s="92"/>
      <c r="DH142" s="92"/>
      <c r="DI142" s="140">
        <f t="shared" si="64"/>
        <v>0</v>
      </c>
      <c r="DJ142" s="94"/>
      <c r="DK142" s="91"/>
      <c r="DL142" s="92"/>
      <c r="DM142" s="92"/>
      <c r="DN142" s="92"/>
      <c r="DO142" s="92"/>
      <c r="DP142" s="92"/>
      <c r="DQ142" s="92"/>
      <c r="DR142" s="140">
        <f t="shared" si="65"/>
        <v>0</v>
      </c>
      <c r="DS142" s="94"/>
      <c r="DT142" s="91"/>
      <c r="DU142" s="92"/>
      <c r="DV142" s="92"/>
      <c r="DW142" s="92"/>
      <c r="DX142" s="92"/>
      <c r="DY142" s="92"/>
      <c r="DZ142" s="92"/>
      <c r="EA142" s="140">
        <f t="shared" si="66"/>
        <v>0</v>
      </c>
      <c r="EB142" s="95">
        <f t="shared" si="67"/>
        <v>0</v>
      </c>
      <c r="EC142" s="96">
        <f t="shared" si="68"/>
        <v>0</v>
      </c>
      <c r="ED142" s="97">
        <f t="shared" si="69"/>
        <v>0</v>
      </c>
    </row>
    <row r="143" spans="1:134" ht="21.95" customHeight="1" x14ac:dyDescent="0.5">
      <c r="A143" s="83">
        <v>65</v>
      </c>
      <c r="B143" s="99" t="s">
        <v>356</v>
      </c>
      <c r="C143" s="104" t="s">
        <v>357</v>
      </c>
      <c r="D143" s="100" t="s">
        <v>54</v>
      </c>
      <c r="E143" s="99" t="s">
        <v>120</v>
      </c>
      <c r="F143" s="87" t="s">
        <v>194</v>
      </c>
      <c r="G143" s="141" t="s">
        <v>288</v>
      </c>
      <c r="H143" s="218">
        <v>2.6454978647851631E-2</v>
      </c>
      <c r="I143" s="94">
        <f t="shared" si="70"/>
        <v>8464.0322404801773</v>
      </c>
      <c r="J143" s="91">
        <f t="shared" ref="J143:J174" si="76">H143*$I$77</f>
        <v>6390.4381871963924</v>
      </c>
      <c r="K143" s="92">
        <v>2330</v>
      </c>
      <c r="L143" s="92">
        <v>1718</v>
      </c>
      <c r="M143" s="92">
        <v>5200</v>
      </c>
      <c r="N143" s="92">
        <v>3776.8</v>
      </c>
      <c r="O143" s="92">
        <v>7140</v>
      </c>
      <c r="P143" s="92">
        <v>5156.8</v>
      </c>
      <c r="Q143" s="93">
        <f t="shared" si="71"/>
        <v>0.80695561852580677</v>
      </c>
      <c r="R143" s="94">
        <v>8464.0322404801864</v>
      </c>
      <c r="S143" s="91">
        <v>6390.4381871963924</v>
      </c>
      <c r="T143" s="92">
        <v>2820</v>
      </c>
      <c r="U143" s="92">
        <v>1928</v>
      </c>
      <c r="V143" s="92">
        <v>4880</v>
      </c>
      <c r="W143" s="92">
        <v>3348.3999999999996</v>
      </c>
      <c r="X143" s="92">
        <v>6940</v>
      </c>
      <c r="Y143" s="92">
        <v>4593.2</v>
      </c>
      <c r="Z143" s="93">
        <f t="shared" si="72"/>
        <v>0.71876135336114166</v>
      </c>
      <c r="AA143" s="94">
        <v>8464.0322404801864</v>
      </c>
      <c r="AB143" s="91">
        <v>6390.4381871963924</v>
      </c>
      <c r="AC143" s="92">
        <v>0</v>
      </c>
      <c r="AD143" s="92">
        <v>0</v>
      </c>
      <c r="AE143" s="92">
        <v>4840</v>
      </c>
      <c r="AF143" s="92">
        <v>3393.2000000000003</v>
      </c>
      <c r="AG143" s="92"/>
      <c r="AH143" s="92"/>
      <c r="AI143" s="93">
        <f t="shared" si="73"/>
        <v>0</v>
      </c>
      <c r="AJ143" s="95">
        <f t="shared" ref="AJ143:AJ188" si="77">+J143+S143+AB143</f>
        <v>19171.314561589177</v>
      </c>
      <c r="AK143" s="96">
        <f t="shared" si="74"/>
        <v>9750</v>
      </c>
      <c r="AL143" s="97">
        <f t="shared" ref="AL143:AL188" si="78">IFERROR((AK143/AJ143),0)</f>
        <v>0.50857232396231611</v>
      </c>
      <c r="AN143" s="89">
        <v>2.3053837451138464E-2</v>
      </c>
      <c r="AO143" s="94"/>
      <c r="AP143" s="91"/>
      <c r="AQ143" s="92"/>
      <c r="AR143" s="92"/>
      <c r="AS143" s="92"/>
      <c r="AT143" s="92"/>
      <c r="AU143" s="92"/>
      <c r="AV143" s="92"/>
      <c r="AW143" s="140">
        <v>0</v>
      </c>
      <c r="AX143" s="94"/>
      <c r="AY143" s="91"/>
      <c r="AZ143" s="92"/>
      <c r="BA143" s="92"/>
      <c r="BB143" s="92"/>
      <c r="BC143" s="92"/>
      <c r="BD143" s="92"/>
      <c r="BE143" s="92"/>
      <c r="BF143" s="140">
        <v>0</v>
      </c>
      <c r="BG143" s="94"/>
      <c r="BH143" s="91"/>
      <c r="BI143" s="92"/>
      <c r="BJ143" s="92"/>
      <c r="BK143" s="92"/>
      <c r="BL143" s="92"/>
      <c r="BM143" s="92"/>
      <c r="BN143" s="92"/>
      <c r="BO143" s="140">
        <f t="shared" si="54"/>
        <v>0</v>
      </c>
      <c r="BP143" s="95">
        <f t="shared" si="55"/>
        <v>0</v>
      </c>
      <c r="BQ143" s="96">
        <f t="shared" si="56"/>
        <v>0</v>
      </c>
      <c r="BR143" s="97">
        <f t="shared" si="57"/>
        <v>0</v>
      </c>
      <c r="BT143" s="146"/>
      <c r="BU143" s="94"/>
      <c r="BV143" s="91"/>
      <c r="BW143" s="92"/>
      <c r="BX143" s="92"/>
      <c r="BY143" s="92"/>
      <c r="BZ143" s="92"/>
      <c r="CA143" s="92"/>
      <c r="CB143" s="92"/>
      <c r="CC143" s="140">
        <f t="shared" si="58"/>
        <v>0</v>
      </c>
      <c r="CD143" s="94"/>
      <c r="CE143" s="91"/>
      <c r="CF143" s="92"/>
      <c r="CG143" s="92"/>
      <c r="CH143" s="92"/>
      <c r="CI143" s="92"/>
      <c r="CJ143" s="92"/>
      <c r="CK143" s="92"/>
      <c r="CL143" s="140">
        <f t="shared" si="59"/>
        <v>0</v>
      </c>
      <c r="CM143" s="94"/>
      <c r="CN143" s="91"/>
      <c r="CO143" s="92"/>
      <c r="CP143" s="92"/>
      <c r="CQ143" s="92"/>
      <c r="CR143" s="92"/>
      <c r="CS143" s="92"/>
      <c r="CT143" s="92"/>
      <c r="CU143" s="140">
        <f t="shared" si="60"/>
        <v>0</v>
      </c>
      <c r="CV143" s="95">
        <f t="shared" si="61"/>
        <v>0</v>
      </c>
      <c r="CW143" s="96">
        <f t="shared" si="62"/>
        <v>0</v>
      </c>
      <c r="CX143" s="97">
        <f t="shared" si="63"/>
        <v>0</v>
      </c>
      <c r="CZ143" s="146" t="s">
        <v>288</v>
      </c>
      <c r="DA143" s="94"/>
      <c r="DB143" s="91"/>
      <c r="DC143" s="92"/>
      <c r="DD143" s="92"/>
      <c r="DE143" s="92"/>
      <c r="DF143" s="92"/>
      <c r="DG143" s="92"/>
      <c r="DH143" s="92"/>
      <c r="DI143" s="140">
        <f t="shared" si="64"/>
        <v>0</v>
      </c>
      <c r="DJ143" s="94"/>
      <c r="DK143" s="91"/>
      <c r="DL143" s="92"/>
      <c r="DM143" s="92"/>
      <c r="DN143" s="92"/>
      <c r="DO143" s="92"/>
      <c r="DP143" s="92"/>
      <c r="DQ143" s="92"/>
      <c r="DR143" s="140">
        <f t="shared" si="65"/>
        <v>0</v>
      </c>
      <c r="DS143" s="94"/>
      <c r="DT143" s="91"/>
      <c r="DU143" s="92"/>
      <c r="DV143" s="92"/>
      <c r="DW143" s="92"/>
      <c r="DX143" s="92"/>
      <c r="DY143" s="92"/>
      <c r="DZ143" s="92"/>
      <c r="EA143" s="140">
        <f t="shared" si="66"/>
        <v>0</v>
      </c>
      <c r="EB143" s="95">
        <f t="shared" si="67"/>
        <v>0</v>
      </c>
      <c r="EC143" s="96">
        <f t="shared" si="68"/>
        <v>0</v>
      </c>
      <c r="ED143" s="97">
        <f t="shared" si="69"/>
        <v>0</v>
      </c>
    </row>
    <row r="144" spans="1:134" ht="21.95" customHeight="1" x14ac:dyDescent="0.5">
      <c r="A144" s="83">
        <v>66</v>
      </c>
      <c r="B144" s="99" t="s">
        <v>358</v>
      </c>
      <c r="C144" s="104" t="s">
        <v>359</v>
      </c>
      <c r="D144" s="100" t="s">
        <v>360</v>
      </c>
      <c r="E144" s="99" t="s">
        <v>361</v>
      </c>
      <c r="F144" s="87" t="s">
        <v>194</v>
      </c>
      <c r="G144" s="141" t="s">
        <v>288</v>
      </c>
      <c r="H144" s="218">
        <v>3.6368113070948315E-3</v>
      </c>
      <c r="I144" s="94">
        <f t="shared" ref="I144:I188" si="79">H144*$H$77</f>
        <v>1163.5650349804112</v>
      </c>
      <c r="J144" s="91">
        <f t="shared" si="76"/>
        <v>878.50450253052043</v>
      </c>
      <c r="K144" s="92">
        <v>180</v>
      </c>
      <c r="L144" s="92">
        <v>180</v>
      </c>
      <c r="M144" s="92">
        <v>1376</v>
      </c>
      <c r="N144" s="92">
        <v>845.2</v>
      </c>
      <c r="O144" s="92">
        <v>1376</v>
      </c>
      <c r="P144" s="92">
        <v>845.2</v>
      </c>
      <c r="Q144" s="93">
        <f t="shared" ref="Q144:Q188" si="80">IFERROR(P144/J144,0)</f>
        <v>0.96208954827825333</v>
      </c>
      <c r="R144" s="94">
        <v>1163.5650349804123</v>
      </c>
      <c r="S144" s="91">
        <v>878.50450253052043</v>
      </c>
      <c r="T144" s="92">
        <v>0</v>
      </c>
      <c r="U144" s="92">
        <v>0</v>
      </c>
      <c r="V144" s="92">
        <v>180</v>
      </c>
      <c r="W144" s="92">
        <v>180</v>
      </c>
      <c r="X144" s="92">
        <v>180</v>
      </c>
      <c r="Y144" s="92">
        <v>180</v>
      </c>
      <c r="Z144" s="93">
        <f t="shared" ref="Z144:Z188" si="81">IFERROR(Y144/S144,0)</f>
        <v>0.20489365675589871</v>
      </c>
      <c r="AA144" s="94">
        <v>1163.5650349804123</v>
      </c>
      <c r="AB144" s="91">
        <v>878.50450253052043</v>
      </c>
      <c r="AC144" s="92">
        <v>1200</v>
      </c>
      <c r="AD144" s="92">
        <v>1200</v>
      </c>
      <c r="AE144" s="92">
        <v>1682</v>
      </c>
      <c r="AF144" s="92">
        <v>1154.8800000000001</v>
      </c>
      <c r="AG144" s="92"/>
      <c r="AH144" s="92"/>
      <c r="AI144" s="93">
        <f t="shared" ref="AI144:AI188" si="82">IFERROR(AH144/AB144,0)</f>
        <v>0</v>
      </c>
      <c r="AJ144" s="95">
        <f t="shared" si="77"/>
        <v>2635.5135075915614</v>
      </c>
      <c r="AK144" s="96">
        <f t="shared" ref="AK144:AK188" si="83">+P144+Y144+AH144</f>
        <v>1025.2</v>
      </c>
      <c r="AL144" s="97">
        <f t="shared" si="78"/>
        <v>0.38899440167805066</v>
      </c>
      <c r="AN144" s="89">
        <v>9.3488967624364046E-3</v>
      </c>
      <c r="AO144" s="94"/>
      <c r="AP144" s="91"/>
      <c r="AQ144" s="92"/>
      <c r="AR144" s="92"/>
      <c r="AS144" s="92"/>
      <c r="AT144" s="92"/>
      <c r="AU144" s="92"/>
      <c r="AV144" s="92"/>
      <c r="AW144" s="140">
        <v>0</v>
      </c>
      <c r="AX144" s="94"/>
      <c r="AY144" s="91"/>
      <c r="AZ144" s="92"/>
      <c r="BA144" s="92"/>
      <c r="BB144" s="92"/>
      <c r="BC144" s="92"/>
      <c r="BD144" s="92"/>
      <c r="BE144" s="92"/>
      <c r="BF144" s="140">
        <v>0</v>
      </c>
      <c r="BG144" s="94"/>
      <c r="BH144" s="91"/>
      <c r="BI144" s="92"/>
      <c r="BJ144" s="92"/>
      <c r="BK144" s="92"/>
      <c r="BL144" s="92"/>
      <c r="BM144" s="92"/>
      <c r="BN144" s="92"/>
      <c r="BO144" s="140">
        <f t="shared" si="54"/>
        <v>0</v>
      </c>
      <c r="BP144" s="95">
        <f t="shared" si="55"/>
        <v>0</v>
      </c>
      <c r="BQ144" s="96">
        <f t="shared" si="56"/>
        <v>0</v>
      </c>
      <c r="BR144" s="97">
        <f t="shared" si="57"/>
        <v>0</v>
      </c>
      <c r="BT144" s="146"/>
      <c r="BU144" s="94"/>
      <c r="BV144" s="91"/>
      <c r="BW144" s="92"/>
      <c r="BX144" s="92"/>
      <c r="BY144" s="92"/>
      <c r="BZ144" s="92"/>
      <c r="CA144" s="92"/>
      <c r="CB144" s="92"/>
      <c r="CC144" s="140">
        <f t="shared" si="58"/>
        <v>0</v>
      </c>
      <c r="CD144" s="94"/>
      <c r="CE144" s="91"/>
      <c r="CF144" s="92"/>
      <c r="CG144" s="92"/>
      <c r="CH144" s="92"/>
      <c r="CI144" s="92"/>
      <c r="CJ144" s="92"/>
      <c r="CK144" s="92"/>
      <c r="CL144" s="140">
        <f t="shared" si="59"/>
        <v>0</v>
      </c>
      <c r="CM144" s="94"/>
      <c r="CN144" s="91"/>
      <c r="CO144" s="92"/>
      <c r="CP144" s="92"/>
      <c r="CQ144" s="92"/>
      <c r="CR144" s="92"/>
      <c r="CS144" s="92"/>
      <c r="CT144" s="92"/>
      <c r="CU144" s="140">
        <f t="shared" si="60"/>
        <v>0</v>
      </c>
      <c r="CV144" s="95">
        <f t="shared" si="61"/>
        <v>0</v>
      </c>
      <c r="CW144" s="96">
        <f t="shared" si="62"/>
        <v>0</v>
      </c>
      <c r="CX144" s="97">
        <f t="shared" si="63"/>
        <v>0</v>
      </c>
      <c r="CZ144" s="146" t="s">
        <v>288</v>
      </c>
      <c r="DA144" s="94"/>
      <c r="DB144" s="91"/>
      <c r="DC144" s="92"/>
      <c r="DD144" s="92"/>
      <c r="DE144" s="92"/>
      <c r="DF144" s="92"/>
      <c r="DG144" s="92"/>
      <c r="DH144" s="92"/>
      <c r="DI144" s="140">
        <f t="shared" si="64"/>
        <v>0</v>
      </c>
      <c r="DJ144" s="94"/>
      <c r="DK144" s="91"/>
      <c r="DL144" s="92"/>
      <c r="DM144" s="92"/>
      <c r="DN144" s="92"/>
      <c r="DO144" s="92"/>
      <c r="DP144" s="92"/>
      <c r="DQ144" s="92"/>
      <c r="DR144" s="140">
        <f t="shared" si="65"/>
        <v>0</v>
      </c>
      <c r="DS144" s="94"/>
      <c r="DT144" s="91"/>
      <c r="DU144" s="92"/>
      <c r="DV144" s="92"/>
      <c r="DW144" s="92"/>
      <c r="DX144" s="92"/>
      <c r="DY144" s="92"/>
      <c r="DZ144" s="92"/>
      <c r="EA144" s="140">
        <f t="shared" si="66"/>
        <v>0</v>
      </c>
      <c r="EB144" s="95">
        <f t="shared" si="67"/>
        <v>0</v>
      </c>
      <c r="EC144" s="96">
        <f t="shared" si="68"/>
        <v>0</v>
      </c>
      <c r="ED144" s="97">
        <f t="shared" si="69"/>
        <v>0</v>
      </c>
    </row>
    <row r="145" spans="1:134" ht="21.95" customHeight="1" x14ac:dyDescent="0.5">
      <c r="A145" s="83">
        <v>67</v>
      </c>
      <c r="B145" s="99" t="s">
        <v>362</v>
      </c>
      <c r="C145" s="104" t="s">
        <v>362</v>
      </c>
      <c r="D145" s="100" t="s">
        <v>98</v>
      </c>
      <c r="E145" s="99" t="s">
        <v>99</v>
      </c>
      <c r="F145" s="87" t="s">
        <v>194</v>
      </c>
      <c r="G145" s="141" t="s">
        <v>288</v>
      </c>
      <c r="H145" s="218">
        <v>1.6742038263320953E-2</v>
      </c>
      <c r="I145" s="94">
        <f t="shared" si="79"/>
        <v>5356.4644114203047</v>
      </c>
      <c r="J145" s="91">
        <f t="shared" si="76"/>
        <v>4044.1900208495458</v>
      </c>
      <c r="K145" s="92">
        <v>2400</v>
      </c>
      <c r="L145" s="92">
        <v>1620</v>
      </c>
      <c r="M145" s="92">
        <v>5880</v>
      </c>
      <c r="N145" s="92">
        <v>3699.2</v>
      </c>
      <c r="O145" s="92">
        <v>6240</v>
      </c>
      <c r="P145" s="92">
        <v>4059.2</v>
      </c>
      <c r="Q145" s="93">
        <f t="shared" si="80"/>
        <v>1.0037114920597379</v>
      </c>
      <c r="R145" s="94">
        <v>5356.4644114203093</v>
      </c>
      <c r="S145" s="91">
        <v>4044.1900208495458</v>
      </c>
      <c r="T145" s="92">
        <v>3300</v>
      </c>
      <c r="U145" s="92">
        <v>2272.8000000000002</v>
      </c>
      <c r="V145" s="92">
        <v>3300</v>
      </c>
      <c r="W145" s="92">
        <v>2272.8000000000002</v>
      </c>
      <c r="X145" s="92">
        <v>3300</v>
      </c>
      <c r="Y145" s="92">
        <v>2272.8000000000002</v>
      </c>
      <c r="Z145" s="93">
        <f t="shared" si="81"/>
        <v>0.5619913971110988</v>
      </c>
      <c r="AA145" s="94">
        <v>5356.4644114203093</v>
      </c>
      <c r="AB145" s="91">
        <v>4044.1900208495458</v>
      </c>
      <c r="AC145" s="92">
        <v>0</v>
      </c>
      <c r="AD145" s="92">
        <v>0</v>
      </c>
      <c r="AE145" s="92">
        <v>1200</v>
      </c>
      <c r="AF145" s="92">
        <v>1200</v>
      </c>
      <c r="AG145" s="92"/>
      <c r="AH145" s="92"/>
      <c r="AI145" s="93">
        <f t="shared" si="82"/>
        <v>0</v>
      </c>
      <c r="AJ145" s="95">
        <f t="shared" si="77"/>
        <v>12132.570062548637</v>
      </c>
      <c r="AK145" s="96">
        <f t="shared" si="83"/>
        <v>6332</v>
      </c>
      <c r="AL145" s="97">
        <f t="shared" si="78"/>
        <v>0.52190096305694555</v>
      </c>
      <c r="AN145" s="89">
        <v>5.9616153267710399E-3</v>
      </c>
      <c r="AO145" s="94"/>
      <c r="AP145" s="91"/>
      <c r="AQ145" s="92"/>
      <c r="AR145" s="92"/>
      <c r="AS145" s="92"/>
      <c r="AT145" s="92"/>
      <c r="AU145" s="92"/>
      <c r="AV145" s="92"/>
      <c r="AW145" s="140">
        <v>0</v>
      </c>
      <c r="AX145" s="94"/>
      <c r="AY145" s="91"/>
      <c r="AZ145" s="92"/>
      <c r="BA145" s="92"/>
      <c r="BB145" s="92"/>
      <c r="BC145" s="92"/>
      <c r="BD145" s="92"/>
      <c r="BE145" s="92"/>
      <c r="BF145" s="140">
        <v>0</v>
      </c>
      <c r="BG145" s="94"/>
      <c r="BH145" s="91"/>
      <c r="BI145" s="92"/>
      <c r="BJ145" s="92"/>
      <c r="BK145" s="92"/>
      <c r="BL145" s="92"/>
      <c r="BM145" s="92"/>
      <c r="BN145" s="92"/>
      <c r="BO145" s="140">
        <f t="shared" si="54"/>
        <v>0</v>
      </c>
      <c r="BP145" s="95">
        <f t="shared" si="55"/>
        <v>0</v>
      </c>
      <c r="BQ145" s="96">
        <f t="shared" si="56"/>
        <v>0</v>
      </c>
      <c r="BR145" s="97">
        <f t="shared" si="57"/>
        <v>0</v>
      </c>
      <c r="BT145" s="146"/>
      <c r="BU145" s="94"/>
      <c r="BV145" s="91"/>
      <c r="BW145" s="92"/>
      <c r="BX145" s="92"/>
      <c r="BY145" s="92"/>
      <c r="BZ145" s="92"/>
      <c r="CA145" s="92"/>
      <c r="CB145" s="92"/>
      <c r="CC145" s="140">
        <f t="shared" si="58"/>
        <v>0</v>
      </c>
      <c r="CD145" s="94"/>
      <c r="CE145" s="91"/>
      <c r="CF145" s="92"/>
      <c r="CG145" s="92"/>
      <c r="CH145" s="92"/>
      <c r="CI145" s="92"/>
      <c r="CJ145" s="92"/>
      <c r="CK145" s="92"/>
      <c r="CL145" s="140">
        <f t="shared" si="59"/>
        <v>0</v>
      </c>
      <c r="CM145" s="94"/>
      <c r="CN145" s="91"/>
      <c r="CO145" s="92"/>
      <c r="CP145" s="92"/>
      <c r="CQ145" s="92"/>
      <c r="CR145" s="92"/>
      <c r="CS145" s="92"/>
      <c r="CT145" s="92"/>
      <c r="CU145" s="140">
        <f t="shared" si="60"/>
        <v>0</v>
      </c>
      <c r="CV145" s="95">
        <f t="shared" si="61"/>
        <v>0</v>
      </c>
      <c r="CW145" s="96">
        <f t="shared" si="62"/>
        <v>0</v>
      </c>
      <c r="CX145" s="97">
        <f t="shared" si="63"/>
        <v>0</v>
      </c>
      <c r="CZ145" s="146" t="s">
        <v>288</v>
      </c>
      <c r="DA145" s="94"/>
      <c r="DB145" s="91"/>
      <c r="DC145" s="92"/>
      <c r="DD145" s="92"/>
      <c r="DE145" s="92"/>
      <c r="DF145" s="92"/>
      <c r="DG145" s="92"/>
      <c r="DH145" s="92"/>
      <c r="DI145" s="140">
        <f t="shared" si="64"/>
        <v>0</v>
      </c>
      <c r="DJ145" s="94"/>
      <c r="DK145" s="91"/>
      <c r="DL145" s="92"/>
      <c r="DM145" s="92"/>
      <c r="DN145" s="92"/>
      <c r="DO145" s="92"/>
      <c r="DP145" s="92"/>
      <c r="DQ145" s="92"/>
      <c r="DR145" s="140">
        <f t="shared" si="65"/>
        <v>0</v>
      </c>
      <c r="DS145" s="94"/>
      <c r="DT145" s="91"/>
      <c r="DU145" s="92"/>
      <c r="DV145" s="92"/>
      <c r="DW145" s="92"/>
      <c r="DX145" s="92"/>
      <c r="DY145" s="92"/>
      <c r="DZ145" s="92"/>
      <c r="EA145" s="140">
        <f t="shared" si="66"/>
        <v>0</v>
      </c>
      <c r="EB145" s="95">
        <f t="shared" si="67"/>
        <v>0</v>
      </c>
      <c r="EC145" s="96">
        <f t="shared" si="68"/>
        <v>0</v>
      </c>
      <c r="ED145" s="97">
        <f t="shared" si="69"/>
        <v>0</v>
      </c>
    </row>
    <row r="146" spans="1:134" ht="21.95" customHeight="1" x14ac:dyDescent="0.5">
      <c r="A146" s="83">
        <v>68</v>
      </c>
      <c r="B146" s="99" t="s">
        <v>363</v>
      </c>
      <c r="C146" s="104" t="s">
        <v>364</v>
      </c>
      <c r="D146" s="100" t="s">
        <v>365</v>
      </c>
      <c r="E146" s="99" t="s">
        <v>366</v>
      </c>
      <c r="F146" s="87" t="s">
        <v>194</v>
      </c>
      <c r="G146" s="141" t="s">
        <v>288</v>
      </c>
      <c r="H146" s="218">
        <v>5.2866473682248866E-3</v>
      </c>
      <c r="I146" s="94">
        <f t="shared" si="79"/>
        <v>1691.4152290324721</v>
      </c>
      <c r="J146" s="91">
        <f t="shared" si="76"/>
        <v>1277.0372516210355</v>
      </c>
      <c r="K146" s="92">
        <v>0</v>
      </c>
      <c r="L146" s="92">
        <v>0</v>
      </c>
      <c r="M146" s="92">
        <v>0</v>
      </c>
      <c r="N146" s="92">
        <v>0</v>
      </c>
      <c r="O146" s="92">
        <v>0</v>
      </c>
      <c r="P146" s="92">
        <v>0</v>
      </c>
      <c r="Q146" s="93">
        <f t="shared" si="80"/>
        <v>0</v>
      </c>
      <c r="R146" s="94">
        <v>1691.4152290324737</v>
      </c>
      <c r="S146" s="91">
        <v>1277.0372516210355</v>
      </c>
      <c r="T146" s="92">
        <v>0</v>
      </c>
      <c r="U146" s="92">
        <v>0</v>
      </c>
      <c r="V146" s="92">
        <v>0</v>
      </c>
      <c r="W146" s="92">
        <v>0</v>
      </c>
      <c r="X146" s="92">
        <v>0</v>
      </c>
      <c r="Y146" s="92">
        <v>0</v>
      </c>
      <c r="Z146" s="93">
        <f t="shared" si="81"/>
        <v>0</v>
      </c>
      <c r="AA146" s="94">
        <v>1691.4152290324737</v>
      </c>
      <c r="AB146" s="91">
        <v>1277.0372516210355</v>
      </c>
      <c r="AC146" s="92">
        <v>560</v>
      </c>
      <c r="AD146" s="92">
        <v>430</v>
      </c>
      <c r="AE146" s="92">
        <v>0</v>
      </c>
      <c r="AF146" s="92">
        <v>0</v>
      </c>
      <c r="AG146" s="92"/>
      <c r="AH146" s="92"/>
      <c r="AI146" s="93">
        <f t="shared" si="82"/>
        <v>0</v>
      </c>
      <c r="AJ146" s="95">
        <f t="shared" si="77"/>
        <v>3831.1117548631064</v>
      </c>
      <c r="AK146" s="96">
        <f t="shared" si="83"/>
        <v>0</v>
      </c>
      <c r="AL146" s="97">
        <f t="shared" si="78"/>
        <v>0</v>
      </c>
      <c r="AN146" s="89">
        <v>7.1132910148972639E-3</v>
      </c>
      <c r="AO146" s="94"/>
      <c r="AP146" s="91"/>
      <c r="AQ146" s="92"/>
      <c r="AR146" s="92"/>
      <c r="AS146" s="92"/>
      <c r="AT146" s="92"/>
      <c r="AU146" s="92"/>
      <c r="AV146" s="92"/>
      <c r="AW146" s="140">
        <v>0</v>
      </c>
      <c r="AX146" s="94"/>
      <c r="AY146" s="91"/>
      <c r="AZ146" s="92"/>
      <c r="BA146" s="92"/>
      <c r="BB146" s="92"/>
      <c r="BC146" s="92"/>
      <c r="BD146" s="92"/>
      <c r="BE146" s="92"/>
      <c r="BF146" s="140">
        <v>0</v>
      </c>
      <c r="BG146" s="94"/>
      <c r="BH146" s="91"/>
      <c r="BI146" s="92"/>
      <c r="BJ146" s="92"/>
      <c r="BK146" s="92"/>
      <c r="BL146" s="92"/>
      <c r="BM146" s="92"/>
      <c r="BN146" s="92"/>
      <c r="BO146" s="140">
        <f t="shared" si="54"/>
        <v>0</v>
      </c>
      <c r="BP146" s="95">
        <f t="shared" si="55"/>
        <v>0</v>
      </c>
      <c r="BQ146" s="96">
        <f t="shared" si="56"/>
        <v>0</v>
      </c>
      <c r="BR146" s="97">
        <f t="shared" si="57"/>
        <v>0</v>
      </c>
      <c r="BT146" s="146"/>
      <c r="BU146" s="94"/>
      <c r="BV146" s="91"/>
      <c r="BW146" s="92"/>
      <c r="BX146" s="92"/>
      <c r="BY146" s="92"/>
      <c r="BZ146" s="92"/>
      <c r="CA146" s="92"/>
      <c r="CB146" s="92"/>
      <c r="CC146" s="140">
        <f t="shared" si="58"/>
        <v>0</v>
      </c>
      <c r="CD146" s="94"/>
      <c r="CE146" s="91"/>
      <c r="CF146" s="92"/>
      <c r="CG146" s="92"/>
      <c r="CH146" s="92"/>
      <c r="CI146" s="92"/>
      <c r="CJ146" s="92"/>
      <c r="CK146" s="92"/>
      <c r="CL146" s="140">
        <f t="shared" si="59"/>
        <v>0</v>
      </c>
      <c r="CM146" s="94"/>
      <c r="CN146" s="91"/>
      <c r="CO146" s="92"/>
      <c r="CP146" s="92"/>
      <c r="CQ146" s="92"/>
      <c r="CR146" s="92"/>
      <c r="CS146" s="92"/>
      <c r="CT146" s="92"/>
      <c r="CU146" s="140">
        <f t="shared" si="60"/>
        <v>0</v>
      </c>
      <c r="CV146" s="95">
        <f t="shared" si="61"/>
        <v>0</v>
      </c>
      <c r="CW146" s="96">
        <f t="shared" si="62"/>
        <v>0</v>
      </c>
      <c r="CX146" s="97">
        <f t="shared" si="63"/>
        <v>0</v>
      </c>
      <c r="CZ146" s="146" t="s">
        <v>288</v>
      </c>
      <c r="DA146" s="94"/>
      <c r="DB146" s="91"/>
      <c r="DC146" s="92"/>
      <c r="DD146" s="92"/>
      <c r="DE146" s="92"/>
      <c r="DF146" s="92"/>
      <c r="DG146" s="92"/>
      <c r="DH146" s="92"/>
      <c r="DI146" s="140">
        <f t="shared" si="64"/>
        <v>0</v>
      </c>
      <c r="DJ146" s="94"/>
      <c r="DK146" s="91"/>
      <c r="DL146" s="92"/>
      <c r="DM146" s="92"/>
      <c r="DN146" s="92"/>
      <c r="DO146" s="92"/>
      <c r="DP146" s="92"/>
      <c r="DQ146" s="92"/>
      <c r="DR146" s="140">
        <f t="shared" si="65"/>
        <v>0</v>
      </c>
      <c r="DS146" s="94"/>
      <c r="DT146" s="91"/>
      <c r="DU146" s="92"/>
      <c r="DV146" s="92"/>
      <c r="DW146" s="92"/>
      <c r="DX146" s="92"/>
      <c r="DY146" s="92"/>
      <c r="DZ146" s="92"/>
      <c r="EA146" s="140">
        <f t="shared" si="66"/>
        <v>0</v>
      </c>
      <c r="EB146" s="95">
        <f t="shared" si="67"/>
        <v>0</v>
      </c>
      <c r="EC146" s="96">
        <f t="shared" si="68"/>
        <v>0</v>
      </c>
      <c r="ED146" s="97">
        <f t="shared" si="69"/>
        <v>0</v>
      </c>
    </row>
    <row r="147" spans="1:134" ht="21.95" customHeight="1" x14ac:dyDescent="0.5">
      <c r="A147" s="83">
        <v>69</v>
      </c>
      <c r="B147" s="99" t="s">
        <v>367</v>
      </c>
      <c r="C147" s="104" t="s">
        <v>368</v>
      </c>
      <c r="D147" s="100" t="s">
        <v>301</v>
      </c>
      <c r="E147" s="99" t="s">
        <v>87</v>
      </c>
      <c r="F147" s="87" t="s">
        <v>194</v>
      </c>
      <c r="G147" s="141" t="s">
        <v>288</v>
      </c>
      <c r="H147" s="218">
        <v>7.5898670756761703E-3</v>
      </c>
      <c r="I147" s="94">
        <f t="shared" si="79"/>
        <v>2428.3096382199883</v>
      </c>
      <c r="J147" s="91">
        <f t="shared" si="76"/>
        <v>1833.4007009332599</v>
      </c>
      <c r="K147" s="92">
        <v>1320</v>
      </c>
      <c r="L147" s="92">
        <v>938</v>
      </c>
      <c r="M147" s="92">
        <v>2372</v>
      </c>
      <c r="N147" s="92">
        <v>1532.96</v>
      </c>
      <c r="O147" s="92">
        <v>2552</v>
      </c>
      <c r="P147" s="92">
        <v>1712.96</v>
      </c>
      <c r="Q147" s="93">
        <f t="shared" si="80"/>
        <v>0.93430748615294423</v>
      </c>
      <c r="R147" s="94">
        <v>2428.3096382199906</v>
      </c>
      <c r="S147" s="91">
        <v>1833.4007009332599</v>
      </c>
      <c r="T147" s="92">
        <v>1380</v>
      </c>
      <c r="U147" s="92">
        <v>897.6</v>
      </c>
      <c r="V147" s="92">
        <v>2882</v>
      </c>
      <c r="W147" s="92">
        <v>1874.08</v>
      </c>
      <c r="X147" s="92">
        <v>2882</v>
      </c>
      <c r="Y147" s="92">
        <v>1874.08</v>
      </c>
      <c r="Z147" s="93">
        <f t="shared" si="81"/>
        <v>1.02218789326634</v>
      </c>
      <c r="AA147" s="94">
        <v>2428.3096382199906</v>
      </c>
      <c r="AB147" s="91">
        <v>1833.4007009332599</v>
      </c>
      <c r="AC147" s="92">
        <v>0</v>
      </c>
      <c r="AD147" s="92">
        <v>0</v>
      </c>
      <c r="AE147" s="92">
        <v>2920</v>
      </c>
      <c r="AF147" s="92">
        <v>1974</v>
      </c>
      <c r="AG147" s="92"/>
      <c r="AH147" s="92"/>
      <c r="AI147" s="93">
        <f t="shared" si="82"/>
        <v>0</v>
      </c>
      <c r="AJ147" s="95">
        <f t="shared" si="77"/>
        <v>5500.2021027997798</v>
      </c>
      <c r="AK147" s="96">
        <f t="shared" si="83"/>
        <v>3587.04</v>
      </c>
      <c r="AL147" s="97">
        <f t="shared" si="78"/>
        <v>0.65216512647309477</v>
      </c>
      <c r="AN147" s="89">
        <v>1.0195717121352746E-2</v>
      </c>
      <c r="AO147" s="94"/>
      <c r="AP147" s="91"/>
      <c r="AQ147" s="92"/>
      <c r="AR147" s="92"/>
      <c r="AS147" s="92"/>
      <c r="AT147" s="92"/>
      <c r="AU147" s="92"/>
      <c r="AV147" s="92"/>
      <c r="AW147" s="140">
        <v>0</v>
      </c>
      <c r="AX147" s="94"/>
      <c r="AY147" s="91"/>
      <c r="AZ147" s="92"/>
      <c r="BA147" s="92"/>
      <c r="BB147" s="92"/>
      <c r="BC147" s="92"/>
      <c r="BD147" s="92"/>
      <c r="BE147" s="92"/>
      <c r="BF147" s="140">
        <v>0</v>
      </c>
      <c r="BG147" s="94"/>
      <c r="BH147" s="91"/>
      <c r="BI147" s="92"/>
      <c r="BJ147" s="92"/>
      <c r="BK147" s="92"/>
      <c r="BL147" s="92"/>
      <c r="BM147" s="92"/>
      <c r="BN147" s="92"/>
      <c r="BO147" s="140">
        <f t="shared" si="54"/>
        <v>0</v>
      </c>
      <c r="BP147" s="95">
        <f t="shared" si="55"/>
        <v>0</v>
      </c>
      <c r="BQ147" s="96">
        <f t="shared" si="56"/>
        <v>0</v>
      </c>
      <c r="BR147" s="97">
        <f t="shared" si="57"/>
        <v>0</v>
      </c>
      <c r="BT147" s="146"/>
      <c r="BU147" s="94"/>
      <c r="BV147" s="91"/>
      <c r="BW147" s="92"/>
      <c r="BX147" s="92"/>
      <c r="BY147" s="92"/>
      <c r="BZ147" s="92"/>
      <c r="CA147" s="92"/>
      <c r="CB147" s="92"/>
      <c r="CC147" s="140">
        <f t="shared" si="58"/>
        <v>0</v>
      </c>
      <c r="CD147" s="94"/>
      <c r="CE147" s="91"/>
      <c r="CF147" s="92"/>
      <c r="CG147" s="92"/>
      <c r="CH147" s="92"/>
      <c r="CI147" s="92"/>
      <c r="CJ147" s="92"/>
      <c r="CK147" s="92"/>
      <c r="CL147" s="140">
        <f t="shared" si="59"/>
        <v>0</v>
      </c>
      <c r="CM147" s="94"/>
      <c r="CN147" s="91"/>
      <c r="CO147" s="92"/>
      <c r="CP147" s="92"/>
      <c r="CQ147" s="92"/>
      <c r="CR147" s="92"/>
      <c r="CS147" s="92"/>
      <c r="CT147" s="92"/>
      <c r="CU147" s="140">
        <f t="shared" si="60"/>
        <v>0</v>
      </c>
      <c r="CV147" s="95">
        <f t="shared" si="61"/>
        <v>0</v>
      </c>
      <c r="CW147" s="96">
        <f t="shared" si="62"/>
        <v>0</v>
      </c>
      <c r="CX147" s="97">
        <f t="shared" si="63"/>
        <v>0</v>
      </c>
      <c r="CZ147" s="146" t="s">
        <v>288</v>
      </c>
      <c r="DA147" s="94"/>
      <c r="DB147" s="91"/>
      <c r="DC147" s="92"/>
      <c r="DD147" s="92"/>
      <c r="DE147" s="92"/>
      <c r="DF147" s="92"/>
      <c r="DG147" s="92"/>
      <c r="DH147" s="92"/>
      <c r="DI147" s="140">
        <f t="shared" si="64"/>
        <v>0</v>
      </c>
      <c r="DJ147" s="94"/>
      <c r="DK147" s="91"/>
      <c r="DL147" s="92"/>
      <c r="DM147" s="92"/>
      <c r="DN147" s="92"/>
      <c r="DO147" s="92"/>
      <c r="DP147" s="92"/>
      <c r="DQ147" s="92"/>
      <c r="DR147" s="140">
        <f t="shared" si="65"/>
        <v>0</v>
      </c>
      <c r="DS147" s="94"/>
      <c r="DT147" s="91"/>
      <c r="DU147" s="92"/>
      <c r="DV147" s="92"/>
      <c r="DW147" s="92"/>
      <c r="DX147" s="92"/>
      <c r="DY147" s="92"/>
      <c r="DZ147" s="92"/>
      <c r="EA147" s="140">
        <f t="shared" si="66"/>
        <v>0</v>
      </c>
      <c r="EB147" s="95">
        <f t="shared" si="67"/>
        <v>0</v>
      </c>
      <c r="EC147" s="96">
        <f t="shared" si="68"/>
        <v>0</v>
      </c>
      <c r="ED147" s="97">
        <f t="shared" si="69"/>
        <v>0</v>
      </c>
    </row>
    <row r="148" spans="1:134" ht="21.95" customHeight="1" x14ac:dyDescent="0.5">
      <c r="A148" s="83">
        <v>70</v>
      </c>
      <c r="B148" s="99" t="s">
        <v>369</v>
      </c>
      <c r="C148" s="104" t="s">
        <v>369</v>
      </c>
      <c r="D148" s="100" t="s">
        <v>131</v>
      </c>
      <c r="E148" s="99" t="s">
        <v>132</v>
      </c>
      <c r="F148" s="87" t="s">
        <v>194</v>
      </c>
      <c r="G148" s="141" t="s">
        <v>288</v>
      </c>
      <c r="H148" s="218">
        <v>3.9950146319535668E-2</v>
      </c>
      <c r="I148" s="94">
        <f t="shared" si="79"/>
        <v>12781.689638139633</v>
      </c>
      <c r="J148" s="91">
        <f t="shared" si="76"/>
        <v>9650.317394800717</v>
      </c>
      <c r="K148" s="92">
        <v>8040</v>
      </c>
      <c r="L148" s="92">
        <v>6096.8</v>
      </c>
      <c r="M148" s="92">
        <v>8040</v>
      </c>
      <c r="N148" s="92">
        <v>6096.8</v>
      </c>
      <c r="O148" s="92">
        <v>14900</v>
      </c>
      <c r="P148" s="92">
        <v>11536.8</v>
      </c>
      <c r="Q148" s="93">
        <f t="shared" si="80"/>
        <v>1.1954839958129935</v>
      </c>
      <c r="R148" s="94">
        <v>12781.689638139644</v>
      </c>
      <c r="S148" s="91">
        <v>9650.317394800717</v>
      </c>
      <c r="T148" s="92">
        <v>0</v>
      </c>
      <c r="U148" s="92">
        <v>0</v>
      </c>
      <c r="V148" s="92">
        <v>6100</v>
      </c>
      <c r="W148" s="92">
        <v>5848</v>
      </c>
      <c r="X148" s="92">
        <v>9400</v>
      </c>
      <c r="Y148" s="92">
        <v>7356</v>
      </c>
      <c r="Z148" s="93">
        <f t="shared" si="81"/>
        <v>0.76225472169062314</v>
      </c>
      <c r="AA148" s="94">
        <v>12781.689638139644</v>
      </c>
      <c r="AB148" s="91">
        <v>9650.317394800717</v>
      </c>
      <c r="AC148" s="92">
        <v>0</v>
      </c>
      <c r="AD148" s="92">
        <v>0</v>
      </c>
      <c r="AE148" s="92">
        <v>0</v>
      </c>
      <c r="AF148" s="92">
        <v>0</v>
      </c>
      <c r="AG148" s="92"/>
      <c r="AH148" s="92"/>
      <c r="AI148" s="93">
        <f t="shared" si="82"/>
        <v>0</v>
      </c>
      <c r="AJ148" s="95">
        <f t="shared" si="77"/>
        <v>28950.952184402151</v>
      </c>
      <c r="AK148" s="96">
        <f t="shared" si="83"/>
        <v>18892.8</v>
      </c>
      <c r="AL148" s="97">
        <f t="shared" si="78"/>
        <v>0.65257957250120557</v>
      </c>
      <c r="AN148" s="89">
        <v>1.5987968376340516E-2</v>
      </c>
      <c r="AO148" s="94"/>
      <c r="AP148" s="91"/>
      <c r="AQ148" s="92"/>
      <c r="AR148" s="92"/>
      <c r="AS148" s="92"/>
      <c r="AT148" s="92"/>
      <c r="AU148" s="92"/>
      <c r="AV148" s="92"/>
      <c r="AW148" s="140">
        <v>0</v>
      </c>
      <c r="AX148" s="94"/>
      <c r="AY148" s="91"/>
      <c r="AZ148" s="92"/>
      <c r="BA148" s="92"/>
      <c r="BB148" s="92"/>
      <c r="BC148" s="92"/>
      <c r="BD148" s="92"/>
      <c r="BE148" s="92"/>
      <c r="BF148" s="140">
        <v>0</v>
      </c>
      <c r="BG148" s="94"/>
      <c r="BH148" s="91"/>
      <c r="BI148" s="92"/>
      <c r="BJ148" s="92"/>
      <c r="BK148" s="92"/>
      <c r="BL148" s="92"/>
      <c r="BM148" s="92"/>
      <c r="BN148" s="92"/>
      <c r="BO148" s="140">
        <f t="shared" si="54"/>
        <v>0</v>
      </c>
      <c r="BP148" s="95">
        <f t="shared" si="55"/>
        <v>0</v>
      </c>
      <c r="BQ148" s="96">
        <f t="shared" si="56"/>
        <v>0</v>
      </c>
      <c r="BR148" s="97">
        <f t="shared" si="57"/>
        <v>0</v>
      </c>
      <c r="BT148" s="146"/>
      <c r="BU148" s="94"/>
      <c r="BV148" s="91"/>
      <c r="BW148" s="92"/>
      <c r="BX148" s="92"/>
      <c r="BY148" s="92"/>
      <c r="BZ148" s="92"/>
      <c r="CA148" s="92"/>
      <c r="CB148" s="92"/>
      <c r="CC148" s="140">
        <f t="shared" si="58"/>
        <v>0</v>
      </c>
      <c r="CD148" s="94"/>
      <c r="CE148" s="91"/>
      <c r="CF148" s="92"/>
      <c r="CG148" s="92"/>
      <c r="CH148" s="92"/>
      <c r="CI148" s="92"/>
      <c r="CJ148" s="92"/>
      <c r="CK148" s="92"/>
      <c r="CL148" s="140">
        <f t="shared" si="59"/>
        <v>0</v>
      </c>
      <c r="CM148" s="94"/>
      <c r="CN148" s="91"/>
      <c r="CO148" s="92"/>
      <c r="CP148" s="92"/>
      <c r="CQ148" s="92"/>
      <c r="CR148" s="92"/>
      <c r="CS148" s="92"/>
      <c r="CT148" s="92"/>
      <c r="CU148" s="140">
        <f t="shared" si="60"/>
        <v>0</v>
      </c>
      <c r="CV148" s="95">
        <f t="shared" si="61"/>
        <v>0</v>
      </c>
      <c r="CW148" s="96">
        <f t="shared" si="62"/>
        <v>0</v>
      </c>
      <c r="CX148" s="97">
        <f t="shared" si="63"/>
        <v>0</v>
      </c>
      <c r="CZ148" s="146" t="s">
        <v>288</v>
      </c>
      <c r="DA148" s="94"/>
      <c r="DB148" s="91"/>
      <c r="DC148" s="92"/>
      <c r="DD148" s="92"/>
      <c r="DE148" s="92"/>
      <c r="DF148" s="92"/>
      <c r="DG148" s="92"/>
      <c r="DH148" s="92"/>
      <c r="DI148" s="140">
        <f t="shared" si="64"/>
        <v>0</v>
      </c>
      <c r="DJ148" s="94"/>
      <c r="DK148" s="91"/>
      <c r="DL148" s="92"/>
      <c r="DM148" s="92"/>
      <c r="DN148" s="92"/>
      <c r="DO148" s="92"/>
      <c r="DP148" s="92"/>
      <c r="DQ148" s="92"/>
      <c r="DR148" s="140">
        <f t="shared" si="65"/>
        <v>0</v>
      </c>
      <c r="DS148" s="94"/>
      <c r="DT148" s="91"/>
      <c r="DU148" s="92"/>
      <c r="DV148" s="92"/>
      <c r="DW148" s="92"/>
      <c r="DX148" s="92"/>
      <c r="DY148" s="92"/>
      <c r="DZ148" s="92"/>
      <c r="EA148" s="140">
        <f t="shared" si="66"/>
        <v>0</v>
      </c>
      <c r="EB148" s="95">
        <f t="shared" si="67"/>
        <v>0</v>
      </c>
      <c r="EC148" s="96">
        <f t="shared" si="68"/>
        <v>0</v>
      </c>
      <c r="ED148" s="97">
        <f t="shared" si="69"/>
        <v>0</v>
      </c>
    </row>
    <row r="149" spans="1:134" ht="21.95" customHeight="1" x14ac:dyDescent="0.5">
      <c r="A149" s="83">
        <v>71</v>
      </c>
      <c r="B149" s="99" t="s">
        <v>370</v>
      </c>
      <c r="C149" s="104" t="s">
        <v>371</v>
      </c>
      <c r="D149" s="100" t="s">
        <v>301</v>
      </c>
      <c r="E149" s="99" t="s">
        <v>87</v>
      </c>
      <c r="F149" s="87" t="s">
        <v>194</v>
      </c>
      <c r="G149" s="141" t="s">
        <v>288</v>
      </c>
      <c r="H149" s="218">
        <v>1.5877166133380621E-2</v>
      </c>
      <c r="I149" s="94">
        <f t="shared" si="79"/>
        <v>5079.7563600115309</v>
      </c>
      <c r="J149" s="91">
        <f t="shared" si="76"/>
        <v>3835.2723740132892</v>
      </c>
      <c r="K149" s="92">
        <v>3980</v>
      </c>
      <c r="L149" s="92">
        <v>2528.8000000000002</v>
      </c>
      <c r="M149" s="92">
        <v>3980</v>
      </c>
      <c r="N149" s="92">
        <v>2528.8000000000002</v>
      </c>
      <c r="O149" s="92">
        <v>6670</v>
      </c>
      <c r="P149" s="92">
        <v>4201.2</v>
      </c>
      <c r="Q149" s="93">
        <f t="shared" si="80"/>
        <v>1.095411118247072</v>
      </c>
      <c r="R149" s="94">
        <v>5079.7563600115363</v>
      </c>
      <c r="S149" s="91">
        <v>3835.2723740132892</v>
      </c>
      <c r="T149" s="92">
        <v>600</v>
      </c>
      <c r="U149" s="92">
        <v>552</v>
      </c>
      <c r="V149" s="92">
        <v>3000</v>
      </c>
      <c r="W149" s="92">
        <v>2108.4</v>
      </c>
      <c r="X149" s="92">
        <v>5610</v>
      </c>
      <c r="Y149" s="92">
        <v>3878.8</v>
      </c>
      <c r="Z149" s="93">
        <f t="shared" si="81"/>
        <v>1.0113492919777072</v>
      </c>
      <c r="AA149" s="94">
        <v>5079.7563600115363</v>
      </c>
      <c r="AB149" s="91">
        <v>3835.2723740132892</v>
      </c>
      <c r="AC149" s="92">
        <v>600</v>
      </c>
      <c r="AD149" s="92">
        <v>600</v>
      </c>
      <c r="AE149" s="92">
        <v>1350</v>
      </c>
      <c r="AF149" s="92">
        <v>972</v>
      </c>
      <c r="AG149" s="92"/>
      <c r="AH149" s="92"/>
      <c r="AI149" s="93">
        <f t="shared" si="82"/>
        <v>0</v>
      </c>
      <c r="AJ149" s="95">
        <f t="shared" si="77"/>
        <v>11505.817122039867</v>
      </c>
      <c r="AK149" s="96">
        <f t="shared" si="83"/>
        <v>8080</v>
      </c>
      <c r="AL149" s="97">
        <f t="shared" si="78"/>
        <v>0.70225347007492644</v>
      </c>
      <c r="AN149" s="89">
        <v>0</v>
      </c>
      <c r="AO149" s="94"/>
      <c r="AP149" s="91"/>
      <c r="AQ149" s="92"/>
      <c r="AR149" s="92"/>
      <c r="AS149" s="92"/>
      <c r="AT149" s="92"/>
      <c r="AU149" s="92"/>
      <c r="AV149" s="92"/>
      <c r="AW149" s="140">
        <v>0</v>
      </c>
      <c r="AX149" s="94"/>
      <c r="AY149" s="91"/>
      <c r="AZ149" s="92"/>
      <c r="BA149" s="92"/>
      <c r="BB149" s="92"/>
      <c r="BC149" s="92"/>
      <c r="BD149" s="92"/>
      <c r="BE149" s="92"/>
      <c r="BF149" s="140">
        <v>0</v>
      </c>
      <c r="BG149" s="94"/>
      <c r="BH149" s="91"/>
      <c r="BI149" s="92"/>
      <c r="BJ149" s="92"/>
      <c r="BK149" s="92"/>
      <c r="BL149" s="92"/>
      <c r="BM149" s="92"/>
      <c r="BN149" s="92"/>
      <c r="BO149" s="140">
        <f t="shared" ref="BO149:BO189" si="84">IFERROR(BM149/BH149,0)</f>
        <v>0</v>
      </c>
      <c r="BP149" s="95">
        <f t="shared" ref="BP149:BP189" si="85">+AP149+AY149+BH149</f>
        <v>0</v>
      </c>
      <c r="BQ149" s="96">
        <f t="shared" ref="BQ149:BQ189" si="86">+AU149+BD149+BM149</f>
        <v>0</v>
      </c>
      <c r="BR149" s="97">
        <f t="shared" ref="BR149:BR190" si="87">IFERROR((BQ149/BP149),0)</f>
        <v>0</v>
      </c>
      <c r="BT149" s="146"/>
      <c r="BU149" s="94"/>
      <c r="BV149" s="91"/>
      <c r="BW149" s="92"/>
      <c r="BX149" s="92"/>
      <c r="BY149" s="92"/>
      <c r="BZ149" s="92"/>
      <c r="CA149" s="92"/>
      <c r="CB149" s="92"/>
      <c r="CC149" s="140">
        <f t="shared" ref="CC149:CC188" si="88">IFERROR(CA149/BV149,0)</f>
        <v>0</v>
      </c>
      <c r="CD149" s="94"/>
      <c r="CE149" s="91"/>
      <c r="CF149" s="92"/>
      <c r="CG149" s="92"/>
      <c r="CH149" s="92"/>
      <c r="CI149" s="92"/>
      <c r="CJ149" s="92"/>
      <c r="CK149" s="92"/>
      <c r="CL149" s="140">
        <f t="shared" ref="CL149:CL188" si="89">IFERROR(CJ149/CE149,0)</f>
        <v>0</v>
      </c>
      <c r="CM149" s="94"/>
      <c r="CN149" s="91"/>
      <c r="CO149" s="92"/>
      <c r="CP149" s="92"/>
      <c r="CQ149" s="92"/>
      <c r="CR149" s="92"/>
      <c r="CS149" s="92"/>
      <c r="CT149" s="92"/>
      <c r="CU149" s="140">
        <f t="shared" ref="CU149:CU188" si="90">IFERROR(CS149/CN149,0)</f>
        <v>0</v>
      </c>
      <c r="CV149" s="95">
        <f t="shared" ref="CV149:CV188" si="91">+BV149+CE149+CN149</f>
        <v>0</v>
      </c>
      <c r="CW149" s="96">
        <f t="shared" ref="CW149:CW188" si="92">+CA149+CJ149+CS149</f>
        <v>0</v>
      </c>
      <c r="CX149" s="97">
        <f t="shared" ref="CX149:CX188" si="93">IFERROR((CW149/CV149),0)</f>
        <v>0</v>
      </c>
      <c r="CZ149" s="146" t="s">
        <v>288</v>
      </c>
      <c r="DA149" s="94"/>
      <c r="DB149" s="91"/>
      <c r="DC149" s="92"/>
      <c r="DD149" s="92"/>
      <c r="DE149" s="92"/>
      <c r="DF149" s="92"/>
      <c r="DG149" s="92"/>
      <c r="DH149" s="92"/>
      <c r="DI149" s="140">
        <f t="shared" ref="DI149:DI188" si="94">IFERROR(DG149/DB149,0)</f>
        <v>0</v>
      </c>
      <c r="DJ149" s="94"/>
      <c r="DK149" s="91"/>
      <c r="DL149" s="92"/>
      <c r="DM149" s="92"/>
      <c r="DN149" s="92"/>
      <c r="DO149" s="92"/>
      <c r="DP149" s="92"/>
      <c r="DQ149" s="92"/>
      <c r="DR149" s="140">
        <f t="shared" ref="DR149:DR188" si="95">IFERROR(DP149/DK149,0)</f>
        <v>0</v>
      </c>
      <c r="DS149" s="94"/>
      <c r="DT149" s="91"/>
      <c r="DU149" s="92"/>
      <c r="DV149" s="92"/>
      <c r="DW149" s="92"/>
      <c r="DX149" s="92"/>
      <c r="DY149" s="92"/>
      <c r="DZ149" s="92"/>
      <c r="EA149" s="140">
        <f t="shared" ref="EA149:EA188" si="96">IFERROR(DY149/DT149,0)</f>
        <v>0</v>
      </c>
      <c r="EB149" s="95">
        <f t="shared" ref="EB149:EB188" si="97">+DB149+DK149+DT149</f>
        <v>0</v>
      </c>
      <c r="EC149" s="96">
        <f t="shared" ref="EC149:EC188" si="98">+DG149+DP149+DY149</f>
        <v>0</v>
      </c>
      <c r="ED149" s="97">
        <f t="shared" ref="ED149:ED188" si="99">IFERROR((EC149/EB149),0)</f>
        <v>0</v>
      </c>
    </row>
    <row r="150" spans="1:134" ht="21.95" customHeight="1" x14ac:dyDescent="0.5">
      <c r="A150" s="83">
        <v>72</v>
      </c>
      <c r="B150" s="99" t="s">
        <v>372</v>
      </c>
      <c r="C150" s="104" t="s">
        <v>373</v>
      </c>
      <c r="D150" s="100" t="s">
        <v>301</v>
      </c>
      <c r="E150" s="99" t="s">
        <v>87</v>
      </c>
      <c r="F150" s="87" t="s">
        <v>194</v>
      </c>
      <c r="G150" s="141" t="s">
        <v>288</v>
      </c>
      <c r="H150" s="218">
        <v>2.6512580317622388E-2</v>
      </c>
      <c r="I150" s="94">
        <f t="shared" si="79"/>
        <v>8482.4613761273831</v>
      </c>
      <c r="J150" s="91">
        <f t="shared" si="76"/>
        <v>6404.352388944546</v>
      </c>
      <c r="K150" s="92">
        <v>1300</v>
      </c>
      <c r="L150" s="92">
        <v>1048</v>
      </c>
      <c r="M150" s="92">
        <v>3440</v>
      </c>
      <c r="N150" s="92">
        <v>2546</v>
      </c>
      <c r="O150" s="92">
        <v>5520</v>
      </c>
      <c r="P150" s="92">
        <v>4063.6</v>
      </c>
      <c r="Q150" s="93">
        <f t="shared" si="80"/>
        <v>0.63450599736122448</v>
      </c>
      <c r="R150" s="94">
        <v>8482.4613761273904</v>
      </c>
      <c r="S150" s="91">
        <v>6404.352388944546</v>
      </c>
      <c r="T150" s="92">
        <v>1300</v>
      </c>
      <c r="U150" s="92">
        <v>1048</v>
      </c>
      <c r="V150" s="92">
        <v>2900</v>
      </c>
      <c r="W150" s="92">
        <v>2085.6</v>
      </c>
      <c r="X150" s="92">
        <v>6420</v>
      </c>
      <c r="Y150" s="92">
        <v>4581.6000000000004</v>
      </c>
      <c r="Z150" s="93">
        <f t="shared" si="81"/>
        <v>0.71538849234919444</v>
      </c>
      <c r="AA150" s="94">
        <v>8482.4613761273904</v>
      </c>
      <c r="AB150" s="91">
        <v>6404.352388944546</v>
      </c>
      <c r="AC150" s="92">
        <v>0</v>
      </c>
      <c r="AD150" s="92">
        <v>0</v>
      </c>
      <c r="AE150" s="92">
        <v>2780</v>
      </c>
      <c r="AF150" s="92">
        <v>2427.1999999999998</v>
      </c>
      <c r="AG150" s="92"/>
      <c r="AH150" s="92"/>
      <c r="AI150" s="93">
        <f t="shared" si="82"/>
        <v>0</v>
      </c>
      <c r="AJ150" s="95">
        <f t="shared" si="77"/>
        <v>19213.057166833638</v>
      </c>
      <c r="AK150" s="96">
        <f t="shared" si="83"/>
        <v>8645.2000000000007</v>
      </c>
      <c r="AL150" s="97">
        <f t="shared" si="78"/>
        <v>0.44996482990347297</v>
      </c>
      <c r="AN150" s="89">
        <v>1.219421316839531E-3</v>
      </c>
      <c r="AO150" s="94"/>
      <c r="AP150" s="91"/>
      <c r="AQ150" s="92"/>
      <c r="AR150" s="92"/>
      <c r="AS150" s="92"/>
      <c r="AT150" s="92"/>
      <c r="AU150" s="92"/>
      <c r="AV150" s="92"/>
      <c r="AW150" s="140">
        <v>0</v>
      </c>
      <c r="AX150" s="94"/>
      <c r="AY150" s="91"/>
      <c r="AZ150" s="92"/>
      <c r="BA150" s="92"/>
      <c r="BB150" s="92"/>
      <c r="BC150" s="92"/>
      <c r="BD150" s="92"/>
      <c r="BE150" s="92"/>
      <c r="BF150" s="140">
        <v>0</v>
      </c>
      <c r="BG150" s="94"/>
      <c r="BH150" s="91"/>
      <c r="BI150" s="92"/>
      <c r="BJ150" s="92"/>
      <c r="BK150" s="92"/>
      <c r="BL150" s="92"/>
      <c r="BM150" s="92"/>
      <c r="BN150" s="92"/>
      <c r="BO150" s="140">
        <f t="shared" si="84"/>
        <v>0</v>
      </c>
      <c r="BP150" s="95">
        <f t="shared" si="85"/>
        <v>0</v>
      </c>
      <c r="BQ150" s="96">
        <f t="shared" si="86"/>
        <v>0</v>
      </c>
      <c r="BR150" s="97">
        <f t="shared" si="87"/>
        <v>0</v>
      </c>
      <c r="BT150" s="146"/>
      <c r="BU150" s="94"/>
      <c r="BV150" s="91"/>
      <c r="BW150" s="92"/>
      <c r="BX150" s="92"/>
      <c r="BY150" s="92"/>
      <c r="BZ150" s="92"/>
      <c r="CA150" s="92"/>
      <c r="CB150" s="92"/>
      <c r="CC150" s="140">
        <f t="shared" si="88"/>
        <v>0</v>
      </c>
      <c r="CD150" s="94"/>
      <c r="CE150" s="91"/>
      <c r="CF150" s="92"/>
      <c r="CG150" s="92"/>
      <c r="CH150" s="92"/>
      <c r="CI150" s="92"/>
      <c r="CJ150" s="92"/>
      <c r="CK150" s="92"/>
      <c r="CL150" s="140">
        <f t="shared" si="89"/>
        <v>0</v>
      </c>
      <c r="CM150" s="94"/>
      <c r="CN150" s="91"/>
      <c r="CO150" s="92"/>
      <c r="CP150" s="92"/>
      <c r="CQ150" s="92"/>
      <c r="CR150" s="92"/>
      <c r="CS150" s="92"/>
      <c r="CT150" s="92"/>
      <c r="CU150" s="140">
        <f t="shared" si="90"/>
        <v>0</v>
      </c>
      <c r="CV150" s="95">
        <f t="shared" si="91"/>
        <v>0</v>
      </c>
      <c r="CW150" s="96">
        <f t="shared" si="92"/>
        <v>0</v>
      </c>
      <c r="CX150" s="97">
        <f t="shared" si="93"/>
        <v>0</v>
      </c>
      <c r="CZ150" s="146" t="s">
        <v>288</v>
      </c>
      <c r="DA150" s="94"/>
      <c r="DB150" s="91"/>
      <c r="DC150" s="92"/>
      <c r="DD150" s="92"/>
      <c r="DE150" s="92"/>
      <c r="DF150" s="92"/>
      <c r="DG150" s="92"/>
      <c r="DH150" s="92"/>
      <c r="DI150" s="140">
        <f t="shared" si="94"/>
        <v>0</v>
      </c>
      <c r="DJ150" s="94"/>
      <c r="DK150" s="91"/>
      <c r="DL150" s="92"/>
      <c r="DM150" s="92"/>
      <c r="DN150" s="92"/>
      <c r="DO150" s="92"/>
      <c r="DP150" s="92"/>
      <c r="DQ150" s="92"/>
      <c r="DR150" s="140">
        <f t="shared" si="95"/>
        <v>0</v>
      </c>
      <c r="DS150" s="94"/>
      <c r="DT150" s="91"/>
      <c r="DU150" s="92"/>
      <c r="DV150" s="92"/>
      <c r="DW150" s="92"/>
      <c r="DX150" s="92"/>
      <c r="DY150" s="92"/>
      <c r="DZ150" s="92"/>
      <c r="EA150" s="140">
        <f t="shared" si="96"/>
        <v>0</v>
      </c>
      <c r="EB150" s="95">
        <f t="shared" si="97"/>
        <v>0</v>
      </c>
      <c r="EC150" s="96">
        <f t="shared" si="98"/>
        <v>0</v>
      </c>
      <c r="ED150" s="97">
        <f t="shared" si="99"/>
        <v>0</v>
      </c>
    </row>
    <row r="151" spans="1:134" ht="21.95" customHeight="1" x14ac:dyDescent="0.5">
      <c r="A151" s="83">
        <v>73</v>
      </c>
      <c r="B151" s="99" t="s">
        <v>374</v>
      </c>
      <c r="C151" s="104" t="s">
        <v>375</v>
      </c>
      <c r="D151" s="100" t="s">
        <v>301</v>
      </c>
      <c r="E151" s="99" t="s">
        <v>87</v>
      </c>
      <c r="F151" s="87" t="s">
        <v>194</v>
      </c>
      <c r="G151" s="141" t="s">
        <v>288</v>
      </c>
      <c r="H151" s="218">
        <v>9.7761892768279783E-3</v>
      </c>
      <c r="I151" s="94">
        <f t="shared" si="79"/>
        <v>3127.8037427117065</v>
      </c>
      <c r="J151" s="91">
        <f t="shared" si="76"/>
        <v>2361.5265055212894</v>
      </c>
      <c r="K151" s="92">
        <v>1080</v>
      </c>
      <c r="L151" s="92">
        <v>777.6</v>
      </c>
      <c r="M151" s="92">
        <v>2160</v>
      </c>
      <c r="N151" s="92">
        <v>1555.2</v>
      </c>
      <c r="O151" s="92">
        <v>2160</v>
      </c>
      <c r="P151" s="92">
        <v>1555.2</v>
      </c>
      <c r="Q151" s="93">
        <f t="shared" si="80"/>
        <v>0.65855708007677061</v>
      </c>
      <c r="R151" s="94">
        <v>3127.8037427117092</v>
      </c>
      <c r="S151" s="91">
        <v>2361.5265055212894</v>
      </c>
      <c r="T151" s="92">
        <v>1080</v>
      </c>
      <c r="U151" s="92">
        <v>777.6</v>
      </c>
      <c r="V151" s="92">
        <v>2120</v>
      </c>
      <c r="W151" s="92">
        <v>1616</v>
      </c>
      <c r="X151" s="92">
        <v>3180</v>
      </c>
      <c r="Y151" s="92">
        <v>2424</v>
      </c>
      <c r="Z151" s="93">
        <f t="shared" si="81"/>
        <v>1.0264547081443491</v>
      </c>
      <c r="AA151" s="94">
        <v>3127.8037427117092</v>
      </c>
      <c r="AB151" s="91">
        <v>2361.5265055212894</v>
      </c>
      <c r="AC151" s="92">
        <v>4200</v>
      </c>
      <c r="AD151" s="92">
        <v>3046</v>
      </c>
      <c r="AE151" s="92">
        <v>1040</v>
      </c>
      <c r="AF151" s="92">
        <v>838.40000000000009</v>
      </c>
      <c r="AG151" s="92"/>
      <c r="AH151" s="92"/>
      <c r="AI151" s="93">
        <f t="shared" si="82"/>
        <v>0</v>
      </c>
      <c r="AJ151" s="95">
        <f t="shared" si="77"/>
        <v>7084.5795165638683</v>
      </c>
      <c r="AK151" s="96">
        <f t="shared" si="83"/>
        <v>3979.2</v>
      </c>
      <c r="AL151" s="97">
        <f t="shared" si="78"/>
        <v>0.56167059607370662</v>
      </c>
      <c r="AN151" s="89">
        <v>0</v>
      </c>
      <c r="AO151" s="94"/>
      <c r="AP151" s="91"/>
      <c r="AQ151" s="92"/>
      <c r="AR151" s="92"/>
      <c r="AS151" s="92"/>
      <c r="AT151" s="92"/>
      <c r="AU151" s="92"/>
      <c r="AV151" s="92"/>
      <c r="AW151" s="140">
        <v>0</v>
      </c>
      <c r="AX151" s="94"/>
      <c r="AY151" s="91"/>
      <c r="AZ151" s="92"/>
      <c r="BA151" s="92"/>
      <c r="BB151" s="92"/>
      <c r="BC151" s="92"/>
      <c r="BD151" s="92"/>
      <c r="BE151" s="92"/>
      <c r="BF151" s="140">
        <v>0</v>
      </c>
      <c r="BG151" s="94"/>
      <c r="BH151" s="91"/>
      <c r="BI151" s="92"/>
      <c r="BJ151" s="92"/>
      <c r="BK151" s="92"/>
      <c r="BL151" s="92"/>
      <c r="BM151" s="92"/>
      <c r="BN151" s="92"/>
      <c r="BO151" s="140">
        <f t="shared" si="84"/>
        <v>0</v>
      </c>
      <c r="BP151" s="95">
        <f t="shared" si="85"/>
        <v>0</v>
      </c>
      <c r="BQ151" s="96">
        <f t="shared" si="86"/>
        <v>0</v>
      </c>
      <c r="BR151" s="97">
        <f t="shared" si="87"/>
        <v>0</v>
      </c>
      <c r="BT151" s="146"/>
      <c r="BU151" s="94"/>
      <c r="BV151" s="91"/>
      <c r="BW151" s="92"/>
      <c r="BX151" s="92"/>
      <c r="BY151" s="92"/>
      <c r="BZ151" s="92"/>
      <c r="CA151" s="92"/>
      <c r="CB151" s="92"/>
      <c r="CC151" s="140">
        <f t="shared" si="88"/>
        <v>0</v>
      </c>
      <c r="CD151" s="94"/>
      <c r="CE151" s="91"/>
      <c r="CF151" s="92"/>
      <c r="CG151" s="92"/>
      <c r="CH151" s="92"/>
      <c r="CI151" s="92"/>
      <c r="CJ151" s="92"/>
      <c r="CK151" s="92"/>
      <c r="CL151" s="140">
        <f t="shared" si="89"/>
        <v>0</v>
      </c>
      <c r="CM151" s="94"/>
      <c r="CN151" s="91"/>
      <c r="CO151" s="92"/>
      <c r="CP151" s="92"/>
      <c r="CQ151" s="92"/>
      <c r="CR151" s="92"/>
      <c r="CS151" s="92"/>
      <c r="CT151" s="92"/>
      <c r="CU151" s="140">
        <f t="shared" si="90"/>
        <v>0</v>
      </c>
      <c r="CV151" s="95">
        <f t="shared" si="91"/>
        <v>0</v>
      </c>
      <c r="CW151" s="96">
        <f t="shared" si="92"/>
        <v>0</v>
      </c>
      <c r="CX151" s="97">
        <f t="shared" si="93"/>
        <v>0</v>
      </c>
      <c r="CZ151" s="146" t="s">
        <v>288</v>
      </c>
      <c r="DA151" s="94"/>
      <c r="DB151" s="91"/>
      <c r="DC151" s="92"/>
      <c r="DD151" s="92"/>
      <c r="DE151" s="92"/>
      <c r="DF151" s="92"/>
      <c r="DG151" s="92"/>
      <c r="DH151" s="92"/>
      <c r="DI151" s="140">
        <f t="shared" si="94"/>
        <v>0</v>
      </c>
      <c r="DJ151" s="94"/>
      <c r="DK151" s="91"/>
      <c r="DL151" s="92"/>
      <c r="DM151" s="92"/>
      <c r="DN151" s="92"/>
      <c r="DO151" s="92"/>
      <c r="DP151" s="92"/>
      <c r="DQ151" s="92"/>
      <c r="DR151" s="140">
        <f t="shared" si="95"/>
        <v>0</v>
      </c>
      <c r="DS151" s="94"/>
      <c r="DT151" s="91"/>
      <c r="DU151" s="92"/>
      <c r="DV151" s="92"/>
      <c r="DW151" s="92"/>
      <c r="DX151" s="92"/>
      <c r="DY151" s="92"/>
      <c r="DZ151" s="92"/>
      <c r="EA151" s="140">
        <f t="shared" si="96"/>
        <v>0</v>
      </c>
      <c r="EB151" s="95">
        <f t="shared" si="97"/>
        <v>0</v>
      </c>
      <c r="EC151" s="96">
        <f t="shared" si="98"/>
        <v>0</v>
      </c>
      <c r="ED151" s="97">
        <f t="shared" si="99"/>
        <v>0</v>
      </c>
    </row>
    <row r="152" spans="1:134" ht="21.95" customHeight="1" x14ac:dyDescent="0.5">
      <c r="A152" s="83">
        <v>74</v>
      </c>
      <c r="B152" s="99" t="s">
        <v>376</v>
      </c>
      <c r="C152" s="104" t="s">
        <v>376</v>
      </c>
      <c r="D152" s="100" t="s">
        <v>377</v>
      </c>
      <c r="E152" s="99" t="s">
        <v>117</v>
      </c>
      <c r="F152" s="87" t="s">
        <v>194</v>
      </c>
      <c r="G152" s="141" t="s">
        <v>288</v>
      </c>
      <c r="H152" s="218">
        <v>1.5523085280966263E-2</v>
      </c>
      <c r="I152" s="94">
        <f t="shared" si="79"/>
        <v>4966.4713791213571</v>
      </c>
      <c r="J152" s="91">
        <f t="shared" si="76"/>
        <v>3749.7409573849295</v>
      </c>
      <c r="K152" s="92">
        <v>3400</v>
      </c>
      <c r="L152" s="92">
        <v>2376</v>
      </c>
      <c r="M152" s="92">
        <v>7720</v>
      </c>
      <c r="N152" s="92">
        <v>5168</v>
      </c>
      <c r="O152" s="92">
        <v>7720</v>
      </c>
      <c r="P152" s="92">
        <v>5168</v>
      </c>
      <c r="Q152" s="93">
        <f t="shared" si="80"/>
        <v>1.3782285386466175</v>
      </c>
      <c r="R152" s="94">
        <v>4966.4713791213617</v>
      </c>
      <c r="S152" s="91">
        <v>3749.7409573849295</v>
      </c>
      <c r="T152" s="92">
        <v>0</v>
      </c>
      <c r="U152" s="92">
        <v>0</v>
      </c>
      <c r="V152" s="92">
        <v>2200</v>
      </c>
      <c r="W152" s="92">
        <v>1696</v>
      </c>
      <c r="X152" s="92">
        <v>2200</v>
      </c>
      <c r="Y152" s="92">
        <v>1696</v>
      </c>
      <c r="Z152" s="93">
        <f t="shared" si="81"/>
        <v>0.45229791051560825</v>
      </c>
      <c r="AA152" s="94">
        <v>4966.4713791213617</v>
      </c>
      <c r="AB152" s="91">
        <v>3749.7409573849295</v>
      </c>
      <c r="AC152" s="92">
        <v>0</v>
      </c>
      <c r="AD152" s="92">
        <v>0</v>
      </c>
      <c r="AE152" s="92">
        <v>8600</v>
      </c>
      <c r="AF152" s="92">
        <v>6178</v>
      </c>
      <c r="AG152" s="92"/>
      <c r="AH152" s="92"/>
      <c r="AI152" s="93">
        <f t="shared" si="82"/>
        <v>0</v>
      </c>
      <c r="AJ152" s="95">
        <f t="shared" si="77"/>
        <v>11249.222872154789</v>
      </c>
      <c r="AK152" s="96">
        <f t="shared" si="83"/>
        <v>6864</v>
      </c>
      <c r="AL152" s="97">
        <f t="shared" si="78"/>
        <v>0.61017548305407521</v>
      </c>
      <c r="AN152" s="89">
        <v>2.3710970049657548E-3</v>
      </c>
      <c r="AO152" s="94"/>
      <c r="AP152" s="91"/>
      <c r="AQ152" s="92"/>
      <c r="AR152" s="92"/>
      <c r="AS152" s="92"/>
      <c r="AT152" s="92"/>
      <c r="AU152" s="92"/>
      <c r="AV152" s="92"/>
      <c r="AW152" s="140">
        <v>0</v>
      </c>
      <c r="AX152" s="94"/>
      <c r="AY152" s="91"/>
      <c r="AZ152" s="92"/>
      <c r="BA152" s="92"/>
      <c r="BB152" s="92"/>
      <c r="BC152" s="92"/>
      <c r="BD152" s="92"/>
      <c r="BE152" s="92"/>
      <c r="BF152" s="140">
        <v>0</v>
      </c>
      <c r="BG152" s="94"/>
      <c r="BH152" s="91"/>
      <c r="BI152" s="92"/>
      <c r="BJ152" s="92"/>
      <c r="BK152" s="92"/>
      <c r="BL152" s="92"/>
      <c r="BM152" s="92"/>
      <c r="BN152" s="92"/>
      <c r="BO152" s="140">
        <f t="shared" si="84"/>
        <v>0</v>
      </c>
      <c r="BP152" s="95">
        <f t="shared" si="85"/>
        <v>0</v>
      </c>
      <c r="BQ152" s="96">
        <f t="shared" si="86"/>
        <v>0</v>
      </c>
      <c r="BR152" s="97">
        <f t="shared" si="87"/>
        <v>0</v>
      </c>
      <c r="BT152" s="146"/>
      <c r="BU152" s="94"/>
      <c r="BV152" s="91"/>
      <c r="BW152" s="92"/>
      <c r="BX152" s="92"/>
      <c r="BY152" s="92"/>
      <c r="BZ152" s="92"/>
      <c r="CA152" s="92"/>
      <c r="CB152" s="92"/>
      <c r="CC152" s="140">
        <f t="shared" si="88"/>
        <v>0</v>
      </c>
      <c r="CD152" s="94"/>
      <c r="CE152" s="91"/>
      <c r="CF152" s="92"/>
      <c r="CG152" s="92"/>
      <c r="CH152" s="92"/>
      <c r="CI152" s="92"/>
      <c r="CJ152" s="92"/>
      <c r="CK152" s="92"/>
      <c r="CL152" s="140">
        <f t="shared" si="89"/>
        <v>0</v>
      </c>
      <c r="CM152" s="94"/>
      <c r="CN152" s="91"/>
      <c r="CO152" s="92"/>
      <c r="CP152" s="92"/>
      <c r="CQ152" s="92"/>
      <c r="CR152" s="92"/>
      <c r="CS152" s="92"/>
      <c r="CT152" s="92"/>
      <c r="CU152" s="140">
        <f t="shared" si="90"/>
        <v>0</v>
      </c>
      <c r="CV152" s="95">
        <f t="shared" si="91"/>
        <v>0</v>
      </c>
      <c r="CW152" s="96">
        <f t="shared" si="92"/>
        <v>0</v>
      </c>
      <c r="CX152" s="97">
        <f t="shared" si="93"/>
        <v>0</v>
      </c>
      <c r="CZ152" s="146" t="s">
        <v>288</v>
      </c>
      <c r="DA152" s="94"/>
      <c r="DB152" s="91"/>
      <c r="DC152" s="92"/>
      <c r="DD152" s="92"/>
      <c r="DE152" s="92"/>
      <c r="DF152" s="92"/>
      <c r="DG152" s="92"/>
      <c r="DH152" s="92"/>
      <c r="DI152" s="140">
        <f t="shared" si="94"/>
        <v>0</v>
      </c>
      <c r="DJ152" s="94"/>
      <c r="DK152" s="91"/>
      <c r="DL152" s="92"/>
      <c r="DM152" s="92"/>
      <c r="DN152" s="92"/>
      <c r="DO152" s="92"/>
      <c r="DP152" s="92"/>
      <c r="DQ152" s="92"/>
      <c r="DR152" s="140">
        <f t="shared" si="95"/>
        <v>0</v>
      </c>
      <c r="DS152" s="94"/>
      <c r="DT152" s="91"/>
      <c r="DU152" s="92"/>
      <c r="DV152" s="92"/>
      <c r="DW152" s="92"/>
      <c r="DX152" s="92"/>
      <c r="DY152" s="92"/>
      <c r="DZ152" s="92"/>
      <c r="EA152" s="140">
        <f t="shared" si="96"/>
        <v>0</v>
      </c>
      <c r="EB152" s="95">
        <f t="shared" si="97"/>
        <v>0</v>
      </c>
      <c r="EC152" s="96">
        <f t="shared" si="98"/>
        <v>0</v>
      </c>
      <c r="ED152" s="97">
        <f t="shared" si="99"/>
        <v>0</v>
      </c>
    </row>
    <row r="153" spans="1:134" ht="21.95" customHeight="1" x14ac:dyDescent="0.5">
      <c r="A153" s="83">
        <v>75</v>
      </c>
      <c r="B153" s="99" t="s">
        <v>378</v>
      </c>
      <c r="C153" s="104" t="s">
        <v>379</v>
      </c>
      <c r="D153" s="100" t="s">
        <v>323</v>
      </c>
      <c r="E153" s="99" t="s">
        <v>91</v>
      </c>
      <c r="F153" s="87" t="s">
        <v>194</v>
      </c>
      <c r="G153" s="141" t="s">
        <v>288</v>
      </c>
      <c r="H153" s="218">
        <v>3.5560560249652414E-3</v>
      </c>
      <c r="I153" s="94">
        <f t="shared" si="79"/>
        <v>1137.7281095142312</v>
      </c>
      <c r="J153" s="91">
        <f t="shared" si="76"/>
        <v>858.99733733457879</v>
      </c>
      <c r="K153" s="92">
        <v>0</v>
      </c>
      <c r="L153" s="92">
        <v>0</v>
      </c>
      <c r="M153" s="92">
        <v>0</v>
      </c>
      <c r="N153" s="92">
        <v>0</v>
      </c>
      <c r="O153" s="92">
        <v>1370</v>
      </c>
      <c r="P153" s="92">
        <v>694.8</v>
      </c>
      <c r="Q153" s="93">
        <f t="shared" si="80"/>
        <v>0.80885000430376874</v>
      </c>
      <c r="R153" s="94">
        <v>1137.7281095142323</v>
      </c>
      <c r="S153" s="91">
        <v>858.99733733457879</v>
      </c>
      <c r="T153" s="92">
        <v>0</v>
      </c>
      <c r="U153" s="92">
        <v>0</v>
      </c>
      <c r="V153" s="92">
        <v>0</v>
      </c>
      <c r="W153" s="92">
        <v>0</v>
      </c>
      <c r="X153" s="92">
        <v>720</v>
      </c>
      <c r="Y153" s="92">
        <v>720</v>
      </c>
      <c r="Z153" s="93">
        <f t="shared" si="81"/>
        <v>0.83818653295727341</v>
      </c>
      <c r="AA153" s="94">
        <v>1137.7281095142323</v>
      </c>
      <c r="AB153" s="91">
        <v>858.99733733457879</v>
      </c>
      <c r="AC153" s="92">
        <v>2570</v>
      </c>
      <c r="AD153" s="92">
        <v>1974.3999999999999</v>
      </c>
      <c r="AE153" s="92">
        <v>500</v>
      </c>
      <c r="AF153" s="92">
        <v>370</v>
      </c>
      <c r="AG153" s="92"/>
      <c r="AH153" s="92"/>
      <c r="AI153" s="93">
        <f t="shared" si="82"/>
        <v>0</v>
      </c>
      <c r="AJ153" s="95">
        <f t="shared" si="77"/>
        <v>2576.9920120037364</v>
      </c>
      <c r="AK153" s="96">
        <f t="shared" si="83"/>
        <v>1414.8</v>
      </c>
      <c r="AL153" s="97">
        <f t="shared" si="78"/>
        <v>0.54901217908701405</v>
      </c>
      <c r="AN153" s="89">
        <v>6.1445285242969694E-3</v>
      </c>
      <c r="AO153" s="94"/>
      <c r="AP153" s="91"/>
      <c r="AQ153" s="92"/>
      <c r="AR153" s="92"/>
      <c r="AS153" s="92"/>
      <c r="AT153" s="92"/>
      <c r="AU153" s="92"/>
      <c r="AV153" s="92"/>
      <c r="AW153" s="140">
        <v>0</v>
      </c>
      <c r="AX153" s="94"/>
      <c r="AY153" s="91"/>
      <c r="AZ153" s="92"/>
      <c r="BA153" s="92"/>
      <c r="BB153" s="92"/>
      <c r="BC153" s="92"/>
      <c r="BD153" s="92"/>
      <c r="BE153" s="92"/>
      <c r="BF153" s="140">
        <v>0</v>
      </c>
      <c r="BG153" s="94"/>
      <c r="BH153" s="91"/>
      <c r="BI153" s="92"/>
      <c r="BJ153" s="92"/>
      <c r="BK153" s="92"/>
      <c r="BL153" s="92"/>
      <c r="BM153" s="92"/>
      <c r="BN153" s="92"/>
      <c r="BO153" s="140">
        <f t="shared" si="84"/>
        <v>0</v>
      </c>
      <c r="BP153" s="95">
        <f t="shared" si="85"/>
        <v>0</v>
      </c>
      <c r="BQ153" s="96">
        <f t="shared" si="86"/>
        <v>0</v>
      </c>
      <c r="BR153" s="97">
        <f t="shared" si="87"/>
        <v>0</v>
      </c>
      <c r="BT153" s="146"/>
      <c r="BU153" s="94"/>
      <c r="BV153" s="91"/>
      <c r="BW153" s="92"/>
      <c r="BX153" s="92"/>
      <c r="BY153" s="92"/>
      <c r="BZ153" s="92"/>
      <c r="CA153" s="92"/>
      <c r="CB153" s="92"/>
      <c r="CC153" s="140">
        <f t="shared" si="88"/>
        <v>0</v>
      </c>
      <c r="CD153" s="94"/>
      <c r="CE153" s="91"/>
      <c r="CF153" s="92"/>
      <c r="CG153" s="92"/>
      <c r="CH153" s="92"/>
      <c r="CI153" s="92"/>
      <c r="CJ153" s="92"/>
      <c r="CK153" s="92"/>
      <c r="CL153" s="140">
        <f t="shared" si="89"/>
        <v>0</v>
      </c>
      <c r="CM153" s="94"/>
      <c r="CN153" s="91"/>
      <c r="CO153" s="92"/>
      <c r="CP153" s="92"/>
      <c r="CQ153" s="92"/>
      <c r="CR153" s="92"/>
      <c r="CS153" s="92"/>
      <c r="CT153" s="92"/>
      <c r="CU153" s="140">
        <f t="shared" si="90"/>
        <v>0</v>
      </c>
      <c r="CV153" s="95">
        <f t="shared" si="91"/>
        <v>0</v>
      </c>
      <c r="CW153" s="96">
        <f t="shared" si="92"/>
        <v>0</v>
      </c>
      <c r="CX153" s="97">
        <f t="shared" si="93"/>
        <v>0</v>
      </c>
      <c r="CZ153" s="146" t="s">
        <v>288</v>
      </c>
      <c r="DA153" s="94"/>
      <c r="DB153" s="91"/>
      <c r="DC153" s="92"/>
      <c r="DD153" s="92"/>
      <c r="DE153" s="92"/>
      <c r="DF153" s="92"/>
      <c r="DG153" s="92"/>
      <c r="DH153" s="92"/>
      <c r="DI153" s="140">
        <f t="shared" si="94"/>
        <v>0</v>
      </c>
      <c r="DJ153" s="94"/>
      <c r="DK153" s="91"/>
      <c r="DL153" s="92"/>
      <c r="DM153" s="92"/>
      <c r="DN153" s="92"/>
      <c r="DO153" s="92"/>
      <c r="DP153" s="92"/>
      <c r="DQ153" s="92"/>
      <c r="DR153" s="140">
        <f t="shared" si="95"/>
        <v>0</v>
      </c>
      <c r="DS153" s="94"/>
      <c r="DT153" s="91"/>
      <c r="DU153" s="92"/>
      <c r="DV153" s="92"/>
      <c r="DW153" s="92"/>
      <c r="DX153" s="92"/>
      <c r="DY153" s="92"/>
      <c r="DZ153" s="92"/>
      <c r="EA153" s="140">
        <f t="shared" si="96"/>
        <v>0</v>
      </c>
      <c r="EB153" s="95">
        <f t="shared" si="97"/>
        <v>0</v>
      </c>
      <c r="EC153" s="96">
        <f t="shared" si="98"/>
        <v>0</v>
      </c>
      <c r="ED153" s="97">
        <f t="shared" si="99"/>
        <v>0</v>
      </c>
    </row>
    <row r="154" spans="1:134" ht="21.95" customHeight="1" x14ac:dyDescent="0.5">
      <c r="A154" s="83">
        <v>76</v>
      </c>
      <c r="B154" s="99" t="s">
        <v>380</v>
      </c>
      <c r="C154" s="104" t="s">
        <v>380</v>
      </c>
      <c r="D154" s="100" t="s">
        <v>123</v>
      </c>
      <c r="E154" s="99" t="s">
        <v>124</v>
      </c>
      <c r="F154" s="87" t="s">
        <v>194</v>
      </c>
      <c r="G154" s="141" t="s">
        <v>288</v>
      </c>
      <c r="H154" s="218">
        <v>2.0423744989501814E-2</v>
      </c>
      <c r="I154" s="94">
        <f t="shared" si="79"/>
        <v>6534.3933315375079</v>
      </c>
      <c r="J154" s="91">
        <f t="shared" si="76"/>
        <v>4933.5394159190691</v>
      </c>
      <c r="K154" s="92">
        <v>930</v>
      </c>
      <c r="L154" s="92">
        <v>854.4</v>
      </c>
      <c r="M154" s="92">
        <v>2660</v>
      </c>
      <c r="N154" s="92">
        <v>1988.7999999999997</v>
      </c>
      <c r="O154" s="92">
        <v>6400</v>
      </c>
      <c r="P154" s="92">
        <v>4588</v>
      </c>
      <c r="Q154" s="93">
        <f t="shared" si="80"/>
        <v>0.92996115227049447</v>
      </c>
      <c r="R154" s="94">
        <v>6534.3933315375143</v>
      </c>
      <c r="S154" s="91">
        <v>4933.5394159190691</v>
      </c>
      <c r="T154" s="92">
        <v>1240</v>
      </c>
      <c r="U154" s="92">
        <v>1139.2</v>
      </c>
      <c r="V154" s="92">
        <v>4870</v>
      </c>
      <c r="W154" s="92">
        <v>3682.8</v>
      </c>
      <c r="X154" s="92">
        <v>6660</v>
      </c>
      <c r="Y154" s="92">
        <v>4877.2</v>
      </c>
      <c r="Z154" s="93">
        <f t="shared" si="81"/>
        <v>0.98858032516426675</v>
      </c>
      <c r="AA154" s="94">
        <v>6534.3933315375143</v>
      </c>
      <c r="AB154" s="91">
        <v>4933.5394159190691</v>
      </c>
      <c r="AC154" s="92">
        <v>708</v>
      </c>
      <c r="AD154" s="92">
        <v>453.12</v>
      </c>
      <c r="AE154" s="92">
        <v>7580</v>
      </c>
      <c r="AF154" s="92">
        <v>5667.2</v>
      </c>
      <c r="AG154" s="92"/>
      <c r="AH154" s="92"/>
      <c r="AI154" s="93">
        <f t="shared" si="82"/>
        <v>0</v>
      </c>
      <c r="AJ154" s="95">
        <f t="shared" si="77"/>
        <v>14800.618247757207</v>
      </c>
      <c r="AK154" s="96">
        <f t="shared" si="83"/>
        <v>9465.2000000000007</v>
      </c>
      <c r="AL154" s="97">
        <f t="shared" si="78"/>
        <v>0.63951382581158711</v>
      </c>
      <c r="AN154" s="89">
        <v>0</v>
      </c>
      <c r="AO154" s="94"/>
      <c r="AP154" s="91"/>
      <c r="AQ154" s="92"/>
      <c r="AR154" s="92"/>
      <c r="AS154" s="92"/>
      <c r="AT154" s="92"/>
      <c r="AU154" s="92"/>
      <c r="AV154" s="92"/>
      <c r="AW154" s="140">
        <v>0</v>
      </c>
      <c r="AX154" s="94"/>
      <c r="AY154" s="91"/>
      <c r="AZ154" s="92"/>
      <c r="BA154" s="92"/>
      <c r="BB154" s="92"/>
      <c r="BC154" s="92"/>
      <c r="BD154" s="92"/>
      <c r="BE154" s="92"/>
      <c r="BF154" s="140">
        <v>0</v>
      </c>
      <c r="BG154" s="94"/>
      <c r="BH154" s="91"/>
      <c r="BI154" s="92"/>
      <c r="BJ154" s="92"/>
      <c r="BK154" s="92"/>
      <c r="BL154" s="92"/>
      <c r="BM154" s="92"/>
      <c r="BN154" s="92"/>
      <c r="BO154" s="140">
        <f t="shared" si="84"/>
        <v>0</v>
      </c>
      <c r="BP154" s="95">
        <f t="shared" si="85"/>
        <v>0</v>
      </c>
      <c r="BQ154" s="96">
        <f t="shared" si="86"/>
        <v>0</v>
      </c>
      <c r="BR154" s="97">
        <f t="shared" si="87"/>
        <v>0</v>
      </c>
      <c r="BT154" s="146"/>
      <c r="BU154" s="94"/>
      <c r="BV154" s="91"/>
      <c r="BW154" s="92"/>
      <c r="BX154" s="92"/>
      <c r="BY154" s="92"/>
      <c r="BZ154" s="92"/>
      <c r="CA154" s="92"/>
      <c r="CB154" s="92"/>
      <c r="CC154" s="140">
        <f t="shared" si="88"/>
        <v>0</v>
      </c>
      <c r="CD154" s="94"/>
      <c r="CE154" s="91"/>
      <c r="CF154" s="92"/>
      <c r="CG154" s="92"/>
      <c r="CH154" s="92"/>
      <c r="CI154" s="92"/>
      <c r="CJ154" s="92"/>
      <c r="CK154" s="92"/>
      <c r="CL154" s="140">
        <f t="shared" si="89"/>
        <v>0</v>
      </c>
      <c r="CM154" s="94"/>
      <c r="CN154" s="91"/>
      <c r="CO154" s="92"/>
      <c r="CP154" s="92"/>
      <c r="CQ154" s="92"/>
      <c r="CR154" s="92"/>
      <c r="CS154" s="92"/>
      <c r="CT154" s="92"/>
      <c r="CU154" s="140">
        <f t="shared" si="90"/>
        <v>0</v>
      </c>
      <c r="CV154" s="95">
        <f t="shared" si="91"/>
        <v>0</v>
      </c>
      <c r="CW154" s="96">
        <f t="shared" si="92"/>
        <v>0</v>
      </c>
      <c r="CX154" s="97">
        <f t="shared" si="93"/>
        <v>0</v>
      </c>
      <c r="CZ154" s="146" t="s">
        <v>288</v>
      </c>
      <c r="DA154" s="94"/>
      <c r="DB154" s="91"/>
      <c r="DC154" s="92"/>
      <c r="DD154" s="92"/>
      <c r="DE154" s="92"/>
      <c r="DF154" s="92"/>
      <c r="DG154" s="92"/>
      <c r="DH154" s="92"/>
      <c r="DI154" s="140">
        <f t="shared" si="94"/>
        <v>0</v>
      </c>
      <c r="DJ154" s="94"/>
      <c r="DK154" s="91"/>
      <c r="DL154" s="92"/>
      <c r="DM154" s="92"/>
      <c r="DN154" s="92"/>
      <c r="DO154" s="92"/>
      <c r="DP154" s="92"/>
      <c r="DQ154" s="92"/>
      <c r="DR154" s="140">
        <f t="shared" si="95"/>
        <v>0</v>
      </c>
      <c r="DS154" s="94"/>
      <c r="DT154" s="91"/>
      <c r="DU154" s="92"/>
      <c r="DV154" s="92"/>
      <c r="DW154" s="92"/>
      <c r="DX154" s="92"/>
      <c r="DY154" s="92"/>
      <c r="DZ154" s="92"/>
      <c r="EA154" s="140">
        <f t="shared" si="96"/>
        <v>0</v>
      </c>
      <c r="EB154" s="95">
        <f t="shared" si="97"/>
        <v>0</v>
      </c>
      <c r="EC154" s="96">
        <f t="shared" si="98"/>
        <v>0</v>
      </c>
      <c r="ED154" s="97">
        <f t="shared" si="99"/>
        <v>0</v>
      </c>
    </row>
    <row r="155" spans="1:134" ht="21.95" customHeight="1" x14ac:dyDescent="0.5">
      <c r="A155" s="83">
        <v>77</v>
      </c>
      <c r="B155" s="99" t="s">
        <v>381</v>
      </c>
      <c r="C155" s="104" t="s">
        <v>381</v>
      </c>
      <c r="D155" s="100" t="s">
        <v>123</v>
      </c>
      <c r="E155" s="99" t="s">
        <v>124</v>
      </c>
      <c r="F155" s="87" t="s">
        <v>194</v>
      </c>
      <c r="G155" s="141" t="s">
        <v>288</v>
      </c>
      <c r="H155" s="218">
        <v>3.9911745206355166E-3</v>
      </c>
      <c r="I155" s="94">
        <f t="shared" si="79"/>
        <v>1276.9403547708164</v>
      </c>
      <c r="J155" s="91">
        <f t="shared" si="76"/>
        <v>964.10412603019472</v>
      </c>
      <c r="K155" s="92">
        <v>396</v>
      </c>
      <c r="L155" s="92">
        <v>253.44</v>
      </c>
      <c r="M155" s="92">
        <v>672</v>
      </c>
      <c r="N155" s="92">
        <v>430.08000000000004</v>
      </c>
      <c r="O155" s="92">
        <v>1308</v>
      </c>
      <c r="P155" s="92">
        <v>837.12000000000012</v>
      </c>
      <c r="Q155" s="93">
        <f t="shared" si="80"/>
        <v>0.86828795500226119</v>
      </c>
      <c r="R155" s="94">
        <v>1276.9403547708175</v>
      </c>
      <c r="S155" s="91">
        <v>964.10412603019472</v>
      </c>
      <c r="T155" s="92">
        <v>1368</v>
      </c>
      <c r="U155" s="92">
        <v>875.52</v>
      </c>
      <c r="V155" s="92">
        <v>1368</v>
      </c>
      <c r="W155" s="92">
        <v>875.52</v>
      </c>
      <c r="X155" s="92">
        <v>1368</v>
      </c>
      <c r="Y155" s="92">
        <v>875.52</v>
      </c>
      <c r="Z155" s="93">
        <f t="shared" si="81"/>
        <v>0.90811767770878682</v>
      </c>
      <c r="AA155" s="94">
        <v>1276.9403547708175</v>
      </c>
      <c r="AB155" s="91">
        <v>964.10412603019472</v>
      </c>
      <c r="AC155" s="92">
        <v>2600</v>
      </c>
      <c r="AD155" s="92">
        <v>2096</v>
      </c>
      <c r="AE155" s="92">
        <v>1416</v>
      </c>
      <c r="AF155" s="92">
        <v>906.24</v>
      </c>
      <c r="AG155" s="92"/>
      <c r="AH155" s="92"/>
      <c r="AI155" s="93">
        <f t="shared" si="82"/>
        <v>0</v>
      </c>
      <c r="AJ155" s="95">
        <f t="shared" si="77"/>
        <v>2892.3123780905844</v>
      </c>
      <c r="AK155" s="96">
        <f t="shared" si="83"/>
        <v>1712.64</v>
      </c>
      <c r="AL155" s="97">
        <f t="shared" si="78"/>
        <v>0.5921352109036826</v>
      </c>
      <c r="AN155" s="89">
        <v>4.7421940099315095E-3</v>
      </c>
      <c r="AO155" s="94"/>
      <c r="AP155" s="91"/>
      <c r="AQ155" s="92"/>
      <c r="AR155" s="92"/>
      <c r="AS155" s="92"/>
      <c r="AT155" s="92"/>
      <c r="AU155" s="92"/>
      <c r="AV155" s="92"/>
      <c r="AW155" s="140">
        <v>0</v>
      </c>
      <c r="AX155" s="94"/>
      <c r="AY155" s="91"/>
      <c r="AZ155" s="92"/>
      <c r="BA155" s="92"/>
      <c r="BB155" s="92"/>
      <c r="BC155" s="92"/>
      <c r="BD155" s="92"/>
      <c r="BE155" s="92"/>
      <c r="BF155" s="140">
        <v>0</v>
      </c>
      <c r="BG155" s="94"/>
      <c r="BH155" s="91"/>
      <c r="BI155" s="92"/>
      <c r="BJ155" s="92"/>
      <c r="BK155" s="92"/>
      <c r="BL155" s="92"/>
      <c r="BM155" s="92"/>
      <c r="BN155" s="92"/>
      <c r="BO155" s="140">
        <f t="shared" si="84"/>
        <v>0</v>
      </c>
      <c r="BP155" s="95">
        <f t="shared" si="85"/>
        <v>0</v>
      </c>
      <c r="BQ155" s="96">
        <f t="shared" si="86"/>
        <v>0</v>
      </c>
      <c r="BR155" s="97">
        <f t="shared" si="87"/>
        <v>0</v>
      </c>
      <c r="BT155" s="146"/>
      <c r="BU155" s="94"/>
      <c r="BV155" s="91"/>
      <c r="BW155" s="92"/>
      <c r="BX155" s="92"/>
      <c r="BY155" s="92"/>
      <c r="BZ155" s="92"/>
      <c r="CA155" s="92"/>
      <c r="CB155" s="92"/>
      <c r="CC155" s="140">
        <f t="shared" si="88"/>
        <v>0</v>
      </c>
      <c r="CD155" s="94"/>
      <c r="CE155" s="91"/>
      <c r="CF155" s="92"/>
      <c r="CG155" s="92"/>
      <c r="CH155" s="92"/>
      <c r="CI155" s="92"/>
      <c r="CJ155" s="92"/>
      <c r="CK155" s="92"/>
      <c r="CL155" s="140">
        <f t="shared" si="89"/>
        <v>0</v>
      </c>
      <c r="CM155" s="94"/>
      <c r="CN155" s="91"/>
      <c r="CO155" s="92"/>
      <c r="CP155" s="92"/>
      <c r="CQ155" s="92"/>
      <c r="CR155" s="92"/>
      <c r="CS155" s="92"/>
      <c r="CT155" s="92"/>
      <c r="CU155" s="140">
        <f t="shared" si="90"/>
        <v>0</v>
      </c>
      <c r="CV155" s="95">
        <f t="shared" si="91"/>
        <v>0</v>
      </c>
      <c r="CW155" s="96">
        <f t="shared" si="92"/>
        <v>0</v>
      </c>
      <c r="CX155" s="97">
        <f t="shared" si="93"/>
        <v>0</v>
      </c>
      <c r="CZ155" s="146" t="s">
        <v>288</v>
      </c>
      <c r="DA155" s="94"/>
      <c r="DB155" s="91"/>
      <c r="DC155" s="92"/>
      <c r="DD155" s="92"/>
      <c r="DE155" s="92"/>
      <c r="DF155" s="92"/>
      <c r="DG155" s="92"/>
      <c r="DH155" s="92"/>
      <c r="DI155" s="140">
        <f t="shared" si="94"/>
        <v>0</v>
      </c>
      <c r="DJ155" s="94"/>
      <c r="DK155" s="91"/>
      <c r="DL155" s="92"/>
      <c r="DM155" s="92"/>
      <c r="DN155" s="92"/>
      <c r="DO155" s="92"/>
      <c r="DP155" s="92"/>
      <c r="DQ155" s="92"/>
      <c r="DR155" s="140">
        <f t="shared" si="95"/>
        <v>0</v>
      </c>
      <c r="DS155" s="94"/>
      <c r="DT155" s="91"/>
      <c r="DU155" s="92"/>
      <c r="DV155" s="92"/>
      <c r="DW155" s="92"/>
      <c r="DX155" s="92"/>
      <c r="DY155" s="92"/>
      <c r="DZ155" s="92"/>
      <c r="EA155" s="140">
        <f t="shared" si="96"/>
        <v>0</v>
      </c>
      <c r="EB155" s="95">
        <f t="shared" si="97"/>
        <v>0</v>
      </c>
      <c r="EC155" s="96">
        <f t="shared" si="98"/>
        <v>0</v>
      </c>
      <c r="ED155" s="97">
        <f t="shared" si="99"/>
        <v>0</v>
      </c>
    </row>
    <row r="156" spans="1:134" ht="21.95" customHeight="1" x14ac:dyDescent="0.5">
      <c r="A156" s="83">
        <v>78</v>
      </c>
      <c r="B156" s="99" t="s">
        <v>382</v>
      </c>
      <c r="C156" s="104" t="s">
        <v>383</v>
      </c>
      <c r="D156" s="100" t="s">
        <v>82</v>
      </c>
      <c r="E156" s="99" t="s">
        <v>83</v>
      </c>
      <c r="F156" s="87" t="s">
        <v>194</v>
      </c>
      <c r="G156" s="141" t="s">
        <v>288</v>
      </c>
      <c r="H156" s="218">
        <v>9.7713891376804158E-3</v>
      </c>
      <c r="I156" s="94">
        <f t="shared" si="79"/>
        <v>3126.2679814077728</v>
      </c>
      <c r="J156" s="91">
        <f t="shared" si="76"/>
        <v>2360.3669887089436</v>
      </c>
      <c r="K156" s="92">
        <v>0</v>
      </c>
      <c r="L156" s="92">
        <v>0</v>
      </c>
      <c r="M156" s="92">
        <v>1060</v>
      </c>
      <c r="N156" s="92">
        <v>808</v>
      </c>
      <c r="O156" s="92">
        <v>2260</v>
      </c>
      <c r="P156" s="92">
        <v>2008</v>
      </c>
      <c r="Q156" s="93">
        <f t="shared" si="80"/>
        <v>0.85071516827911631</v>
      </c>
      <c r="R156" s="94">
        <v>3126.2679814077756</v>
      </c>
      <c r="S156" s="91">
        <v>2360.3669887089436</v>
      </c>
      <c r="T156" s="92">
        <v>1400</v>
      </c>
      <c r="U156" s="92">
        <v>896</v>
      </c>
      <c r="V156" s="92">
        <v>1400</v>
      </c>
      <c r="W156" s="92">
        <v>896</v>
      </c>
      <c r="X156" s="92">
        <v>2820</v>
      </c>
      <c r="Y156" s="92">
        <v>2064</v>
      </c>
      <c r="Z156" s="93">
        <f t="shared" si="81"/>
        <v>0.87444029249407174</v>
      </c>
      <c r="AA156" s="94">
        <v>3126.2679814077756</v>
      </c>
      <c r="AB156" s="91">
        <v>2360.3669887089436</v>
      </c>
      <c r="AC156" s="92">
        <v>2340</v>
      </c>
      <c r="AD156" s="92">
        <v>1560</v>
      </c>
      <c r="AE156" s="92">
        <v>2600</v>
      </c>
      <c r="AF156" s="92">
        <v>2096</v>
      </c>
      <c r="AG156" s="92"/>
      <c r="AH156" s="92"/>
      <c r="AI156" s="93">
        <f t="shared" si="82"/>
        <v>0</v>
      </c>
      <c r="AJ156" s="95">
        <f t="shared" si="77"/>
        <v>7081.1009661268308</v>
      </c>
      <c r="AK156" s="96">
        <f t="shared" si="83"/>
        <v>4072</v>
      </c>
      <c r="AL156" s="97">
        <f t="shared" si="78"/>
        <v>0.57505182025772938</v>
      </c>
      <c r="AN156" s="89">
        <v>7.8923657451002976E-3</v>
      </c>
      <c r="AO156" s="94"/>
      <c r="AP156" s="91"/>
      <c r="AQ156" s="92"/>
      <c r="AR156" s="92"/>
      <c r="AS156" s="92"/>
      <c r="AT156" s="92"/>
      <c r="AU156" s="92"/>
      <c r="AV156" s="92"/>
      <c r="AW156" s="140">
        <v>0</v>
      </c>
      <c r="AX156" s="94"/>
      <c r="AY156" s="91"/>
      <c r="AZ156" s="92"/>
      <c r="BA156" s="92"/>
      <c r="BB156" s="92"/>
      <c r="BC156" s="92"/>
      <c r="BD156" s="92"/>
      <c r="BE156" s="92"/>
      <c r="BF156" s="140">
        <v>0</v>
      </c>
      <c r="BG156" s="94"/>
      <c r="BH156" s="91"/>
      <c r="BI156" s="92"/>
      <c r="BJ156" s="92"/>
      <c r="BK156" s="92"/>
      <c r="BL156" s="92"/>
      <c r="BM156" s="92"/>
      <c r="BN156" s="92"/>
      <c r="BO156" s="140">
        <f t="shared" si="84"/>
        <v>0</v>
      </c>
      <c r="BP156" s="95">
        <f t="shared" si="85"/>
        <v>0</v>
      </c>
      <c r="BQ156" s="96">
        <f t="shared" si="86"/>
        <v>0</v>
      </c>
      <c r="BR156" s="97">
        <f t="shared" si="87"/>
        <v>0</v>
      </c>
      <c r="BT156" s="146"/>
      <c r="BU156" s="94"/>
      <c r="BV156" s="91"/>
      <c r="BW156" s="92"/>
      <c r="BX156" s="92"/>
      <c r="BY156" s="92"/>
      <c r="BZ156" s="92"/>
      <c r="CA156" s="92"/>
      <c r="CB156" s="92"/>
      <c r="CC156" s="140">
        <f t="shared" si="88"/>
        <v>0</v>
      </c>
      <c r="CD156" s="94"/>
      <c r="CE156" s="91"/>
      <c r="CF156" s="92"/>
      <c r="CG156" s="92"/>
      <c r="CH156" s="92"/>
      <c r="CI156" s="92"/>
      <c r="CJ156" s="92"/>
      <c r="CK156" s="92"/>
      <c r="CL156" s="140">
        <f t="shared" si="89"/>
        <v>0</v>
      </c>
      <c r="CM156" s="94"/>
      <c r="CN156" s="91"/>
      <c r="CO156" s="92"/>
      <c r="CP156" s="92"/>
      <c r="CQ156" s="92"/>
      <c r="CR156" s="92"/>
      <c r="CS156" s="92"/>
      <c r="CT156" s="92"/>
      <c r="CU156" s="140">
        <f t="shared" si="90"/>
        <v>0</v>
      </c>
      <c r="CV156" s="95">
        <f t="shared" si="91"/>
        <v>0</v>
      </c>
      <c r="CW156" s="96">
        <f t="shared" si="92"/>
        <v>0</v>
      </c>
      <c r="CX156" s="97">
        <f t="shared" si="93"/>
        <v>0</v>
      </c>
      <c r="CZ156" s="146" t="s">
        <v>288</v>
      </c>
      <c r="DA156" s="94"/>
      <c r="DB156" s="91"/>
      <c r="DC156" s="92"/>
      <c r="DD156" s="92"/>
      <c r="DE156" s="92"/>
      <c r="DF156" s="92"/>
      <c r="DG156" s="92"/>
      <c r="DH156" s="92"/>
      <c r="DI156" s="140">
        <f t="shared" si="94"/>
        <v>0</v>
      </c>
      <c r="DJ156" s="94"/>
      <c r="DK156" s="91"/>
      <c r="DL156" s="92"/>
      <c r="DM156" s="92"/>
      <c r="DN156" s="92"/>
      <c r="DO156" s="92"/>
      <c r="DP156" s="92"/>
      <c r="DQ156" s="92"/>
      <c r="DR156" s="140">
        <f t="shared" si="95"/>
        <v>0</v>
      </c>
      <c r="DS156" s="94"/>
      <c r="DT156" s="91"/>
      <c r="DU156" s="92"/>
      <c r="DV156" s="92"/>
      <c r="DW156" s="92"/>
      <c r="DX156" s="92"/>
      <c r="DY156" s="92"/>
      <c r="DZ156" s="92"/>
      <c r="EA156" s="140">
        <f t="shared" si="96"/>
        <v>0</v>
      </c>
      <c r="EB156" s="95">
        <f t="shared" si="97"/>
        <v>0</v>
      </c>
      <c r="EC156" s="96">
        <f t="shared" si="98"/>
        <v>0</v>
      </c>
      <c r="ED156" s="97">
        <f t="shared" si="99"/>
        <v>0</v>
      </c>
    </row>
    <row r="157" spans="1:134" ht="21.95" customHeight="1" x14ac:dyDescent="0.5">
      <c r="A157" s="83">
        <v>79</v>
      </c>
      <c r="B157" s="99" t="s">
        <v>384</v>
      </c>
      <c r="C157" s="104" t="s">
        <v>385</v>
      </c>
      <c r="D157" s="100" t="s">
        <v>123</v>
      </c>
      <c r="E157" s="99" t="s">
        <v>124</v>
      </c>
      <c r="F157" s="87" t="s">
        <v>194</v>
      </c>
      <c r="G157" s="141" t="s">
        <v>288</v>
      </c>
      <c r="H157" s="218">
        <v>1.6057877254230055E-2</v>
      </c>
      <c r="I157" s="94">
        <f t="shared" si="79"/>
        <v>5137.5732561596269</v>
      </c>
      <c r="J157" s="91">
        <f t="shared" si="76"/>
        <v>3878.9247716545578</v>
      </c>
      <c r="K157" s="92">
        <v>1740</v>
      </c>
      <c r="L157" s="92">
        <v>1350</v>
      </c>
      <c r="M157" s="92">
        <v>5300</v>
      </c>
      <c r="N157" s="92">
        <v>4159.2</v>
      </c>
      <c r="O157" s="92">
        <v>8100</v>
      </c>
      <c r="P157" s="92">
        <v>5823.2</v>
      </c>
      <c r="Q157" s="93">
        <f t="shared" si="80"/>
        <v>1.5012407671717001</v>
      </c>
      <c r="R157" s="94">
        <v>5137.5732561596315</v>
      </c>
      <c r="S157" s="91">
        <v>3878.9247716545578</v>
      </c>
      <c r="T157" s="92">
        <v>2990</v>
      </c>
      <c r="U157" s="92">
        <v>1614.4</v>
      </c>
      <c r="V157" s="92">
        <v>7310</v>
      </c>
      <c r="W157" s="92">
        <v>5313.6</v>
      </c>
      <c r="X157" s="92">
        <v>9860</v>
      </c>
      <c r="Y157" s="92">
        <v>7398</v>
      </c>
      <c r="Z157" s="93">
        <f t="shared" si="81"/>
        <v>1.9072295637340702</v>
      </c>
      <c r="AA157" s="94">
        <v>5137.5732561596315</v>
      </c>
      <c r="AB157" s="91">
        <v>3878.9247716545578</v>
      </c>
      <c r="AC157" s="92">
        <v>1980</v>
      </c>
      <c r="AD157" s="92">
        <v>1200</v>
      </c>
      <c r="AE157" s="92">
        <v>6150</v>
      </c>
      <c r="AF157" s="92">
        <v>4283.6000000000004</v>
      </c>
      <c r="AG157" s="92"/>
      <c r="AH157" s="92"/>
      <c r="AI157" s="93">
        <f t="shared" si="82"/>
        <v>0</v>
      </c>
      <c r="AJ157" s="95">
        <f t="shared" si="77"/>
        <v>11636.774314963674</v>
      </c>
      <c r="AK157" s="96">
        <f t="shared" si="83"/>
        <v>13221.2</v>
      </c>
      <c r="AL157" s="97">
        <f t="shared" si="78"/>
        <v>1.1361567769685901</v>
      </c>
      <c r="AN157" s="89">
        <v>1.3230721287708911E-2</v>
      </c>
      <c r="AO157" s="94"/>
      <c r="AP157" s="91"/>
      <c r="AQ157" s="92"/>
      <c r="AR157" s="92"/>
      <c r="AS157" s="92"/>
      <c r="AT157" s="92"/>
      <c r="AU157" s="92"/>
      <c r="AV157" s="92"/>
      <c r="AW157" s="140">
        <v>0</v>
      </c>
      <c r="AX157" s="94"/>
      <c r="AY157" s="91"/>
      <c r="AZ157" s="92"/>
      <c r="BA157" s="92"/>
      <c r="BB157" s="92"/>
      <c r="BC157" s="92"/>
      <c r="BD157" s="92"/>
      <c r="BE157" s="92"/>
      <c r="BF157" s="140">
        <v>0</v>
      </c>
      <c r="BG157" s="94"/>
      <c r="BH157" s="91"/>
      <c r="BI157" s="92"/>
      <c r="BJ157" s="92"/>
      <c r="BK157" s="92"/>
      <c r="BL157" s="92"/>
      <c r="BM157" s="92"/>
      <c r="BN157" s="92"/>
      <c r="BO157" s="140">
        <f t="shared" si="84"/>
        <v>0</v>
      </c>
      <c r="BP157" s="95">
        <f t="shared" si="85"/>
        <v>0</v>
      </c>
      <c r="BQ157" s="96">
        <f t="shared" si="86"/>
        <v>0</v>
      </c>
      <c r="BR157" s="97">
        <f t="shared" si="87"/>
        <v>0</v>
      </c>
      <c r="BT157" s="146"/>
      <c r="BU157" s="94"/>
      <c r="BV157" s="91"/>
      <c r="BW157" s="92"/>
      <c r="BX157" s="92"/>
      <c r="BY157" s="92"/>
      <c r="BZ157" s="92"/>
      <c r="CA157" s="92"/>
      <c r="CB157" s="92"/>
      <c r="CC157" s="140">
        <f t="shared" si="88"/>
        <v>0</v>
      </c>
      <c r="CD157" s="94"/>
      <c r="CE157" s="91"/>
      <c r="CF157" s="92"/>
      <c r="CG157" s="92"/>
      <c r="CH157" s="92"/>
      <c r="CI157" s="92"/>
      <c r="CJ157" s="92"/>
      <c r="CK157" s="92"/>
      <c r="CL157" s="140">
        <f t="shared" si="89"/>
        <v>0</v>
      </c>
      <c r="CM157" s="94"/>
      <c r="CN157" s="91"/>
      <c r="CO157" s="92"/>
      <c r="CP157" s="92"/>
      <c r="CQ157" s="92"/>
      <c r="CR157" s="92"/>
      <c r="CS157" s="92"/>
      <c r="CT157" s="92"/>
      <c r="CU157" s="140">
        <f t="shared" si="90"/>
        <v>0</v>
      </c>
      <c r="CV157" s="95">
        <f t="shared" si="91"/>
        <v>0</v>
      </c>
      <c r="CW157" s="96">
        <f t="shared" si="92"/>
        <v>0</v>
      </c>
      <c r="CX157" s="97">
        <f t="shared" si="93"/>
        <v>0</v>
      </c>
      <c r="CZ157" s="146" t="s">
        <v>288</v>
      </c>
      <c r="DA157" s="94"/>
      <c r="DB157" s="91"/>
      <c r="DC157" s="92"/>
      <c r="DD157" s="92"/>
      <c r="DE157" s="92"/>
      <c r="DF157" s="92"/>
      <c r="DG157" s="92"/>
      <c r="DH157" s="92"/>
      <c r="DI157" s="140">
        <f t="shared" si="94"/>
        <v>0</v>
      </c>
      <c r="DJ157" s="94"/>
      <c r="DK157" s="91"/>
      <c r="DL157" s="92"/>
      <c r="DM157" s="92"/>
      <c r="DN157" s="92"/>
      <c r="DO157" s="92"/>
      <c r="DP157" s="92"/>
      <c r="DQ157" s="92"/>
      <c r="DR157" s="140">
        <f t="shared" si="95"/>
        <v>0</v>
      </c>
      <c r="DS157" s="94"/>
      <c r="DT157" s="91"/>
      <c r="DU157" s="92"/>
      <c r="DV157" s="92"/>
      <c r="DW157" s="92"/>
      <c r="DX157" s="92"/>
      <c r="DY157" s="92"/>
      <c r="DZ157" s="92"/>
      <c r="EA157" s="140">
        <f t="shared" si="96"/>
        <v>0</v>
      </c>
      <c r="EB157" s="95">
        <f t="shared" si="97"/>
        <v>0</v>
      </c>
      <c r="EC157" s="96">
        <f t="shared" si="98"/>
        <v>0</v>
      </c>
      <c r="ED157" s="97">
        <f t="shared" si="99"/>
        <v>0</v>
      </c>
    </row>
    <row r="158" spans="1:134" ht="21.95" customHeight="1" x14ac:dyDescent="0.5">
      <c r="A158" s="83">
        <v>80</v>
      </c>
      <c r="B158" s="99" t="s">
        <v>386</v>
      </c>
      <c r="C158" s="104" t="s">
        <v>387</v>
      </c>
      <c r="D158" s="100" t="s">
        <v>123</v>
      </c>
      <c r="E158" s="99" t="s">
        <v>124</v>
      </c>
      <c r="F158" s="87" t="s">
        <v>194</v>
      </c>
      <c r="G158" s="141" t="s">
        <v>288</v>
      </c>
      <c r="H158" s="218">
        <v>1.1223854771507729E-2</v>
      </c>
      <c r="I158" s="94">
        <f t="shared" si="79"/>
        <v>3590.9712841980854</v>
      </c>
      <c r="J158" s="91">
        <f t="shared" si="76"/>
        <v>2711.2231347506354</v>
      </c>
      <c r="K158" s="92">
        <v>1800</v>
      </c>
      <c r="L158" s="92">
        <v>1179.2</v>
      </c>
      <c r="M158" s="92">
        <v>1800</v>
      </c>
      <c r="N158" s="92">
        <v>1179.2</v>
      </c>
      <c r="O158" s="92">
        <v>4420</v>
      </c>
      <c r="P158" s="92">
        <v>2870.4</v>
      </c>
      <c r="Q158" s="93">
        <f t="shared" si="80"/>
        <v>1.0587103522425516</v>
      </c>
      <c r="R158" s="94">
        <v>3590.9712841980891</v>
      </c>
      <c r="S158" s="91">
        <v>2711.2231347506354</v>
      </c>
      <c r="T158" s="92">
        <v>2280</v>
      </c>
      <c r="U158" s="92">
        <v>1579.6</v>
      </c>
      <c r="V158" s="92">
        <v>4360</v>
      </c>
      <c r="W158" s="92">
        <v>3009.6</v>
      </c>
      <c r="X158" s="92">
        <v>6364</v>
      </c>
      <c r="Y158" s="92">
        <v>4258</v>
      </c>
      <c r="Z158" s="93">
        <f t="shared" si="81"/>
        <v>1.5705088767589133</v>
      </c>
      <c r="AA158" s="94">
        <v>3590.9712841980891</v>
      </c>
      <c r="AB158" s="91">
        <v>2711.2231347506354</v>
      </c>
      <c r="AC158" s="92">
        <v>1192</v>
      </c>
      <c r="AD158" s="92">
        <v>840.4</v>
      </c>
      <c r="AE158" s="92">
        <v>1980</v>
      </c>
      <c r="AF158" s="92">
        <v>1200</v>
      </c>
      <c r="AG158" s="92"/>
      <c r="AH158" s="92"/>
      <c r="AI158" s="93">
        <f t="shared" si="82"/>
        <v>0</v>
      </c>
      <c r="AJ158" s="95">
        <f t="shared" si="77"/>
        <v>8133.6694042519066</v>
      </c>
      <c r="AK158" s="96">
        <f t="shared" si="83"/>
        <v>7128.4</v>
      </c>
      <c r="AL158" s="97">
        <f t="shared" si="78"/>
        <v>0.87640640966715488</v>
      </c>
      <c r="AN158" s="89">
        <v>0</v>
      </c>
      <c r="AO158" s="94"/>
      <c r="AP158" s="91"/>
      <c r="AQ158" s="92"/>
      <c r="AR158" s="92"/>
      <c r="AS158" s="92"/>
      <c r="AT158" s="92"/>
      <c r="AU158" s="92"/>
      <c r="AV158" s="92"/>
      <c r="AW158" s="140">
        <v>0</v>
      </c>
      <c r="AX158" s="94"/>
      <c r="AY158" s="91"/>
      <c r="AZ158" s="92"/>
      <c r="BA158" s="92"/>
      <c r="BB158" s="92"/>
      <c r="BC158" s="92"/>
      <c r="BD158" s="92"/>
      <c r="BE158" s="92"/>
      <c r="BF158" s="140">
        <v>0</v>
      </c>
      <c r="BG158" s="94"/>
      <c r="BH158" s="91"/>
      <c r="BI158" s="92"/>
      <c r="BJ158" s="92"/>
      <c r="BK158" s="92"/>
      <c r="BL158" s="92"/>
      <c r="BM158" s="92"/>
      <c r="BN158" s="92"/>
      <c r="BO158" s="140">
        <f t="shared" si="84"/>
        <v>0</v>
      </c>
      <c r="BP158" s="95">
        <f t="shared" si="85"/>
        <v>0</v>
      </c>
      <c r="BQ158" s="96">
        <f t="shared" si="86"/>
        <v>0</v>
      </c>
      <c r="BR158" s="97">
        <f t="shared" si="87"/>
        <v>0</v>
      </c>
      <c r="BT158" s="146"/>
      <c r="BU158" s="94"/>
      <c r="BV158" s="91"/>
      <c r="BW158" s="92"/>
      <c r="BX158" s="92"/>
      <c r="BY158" s="92"/>
      <c r="BZ158" s="92"/>
      <c r="CA158" s="92"/>
      <c r="CB158" s="92"/>
      <c r="CC158" s="140">
        <f t="shared" si="88"/>
        <v>0</v>
      </c>
      <c r="CD158" s="94"/>
      <c r="CE158" s="91"/>
      <c r="CF158" s="92"/>
      <c r="CG158" s="92"/>
      <c r="CH158" s="92"/>
      <c r="CI158" s="92"/>
      <c r="CJ158" s="92"/>
      <c r="CK158" s="92"/>
      <c r="CL158" s="140">
        <f t="shared" si="89"/>
        <v>0</v>
      </c>
      <c r="CM158" s="94"/>
      <c r="CN158" s="91"/>
      <c r="CO158" s="92"/>
      <c r="CP158" s="92"/>
      <c r="CQ158" s="92"/>
      <c r="CR158" s="92"/>
      <c r="CS158" s="92"/>
      <c r="CT158" s="92"/>
      <c r="CU158" s="140">
        <f t="shared" si="90"/>
        <v>0</v>
      </c>
      <c r="CV158" s="95">
        <f t="shared" si="91"/>
        <v>0</v>
      </c>
      <c r="CW158" s="96">
        <f t="shared" si="92"/>
        <v>0</v>
      </c>
      <c r="CX158" s="97">
        <f t="shared" si="93"/>
        <v>0</v>
      </c>
      <c r="CZ158" s="146" t="s">
        <v>288</v>
      </c>
      <c r="DA158" s="94"/>
      <c r="DB158" s="91"/>
      <c r="DC158" s="92"/>
      <c r="DD158" s="92"/>
      <c r="DE158" s="92"/>
      <c r="DF158" s="92"/>
      <c r="DG158" s="92"/>
      <c r="DH158" s="92"/>
      <c r="DI158" s="140">
        <f t="shared" si="94"/>
        <v>0</v>
      </c>
      <c r="DJ158" s="94"/>
      <c r="DK158" s="91"/>
      <c r="DL158" s="92"/>
      <c r="DM158" s="92"/>
      <c r="DN158" s="92"/>
      <c r="DO158" s="92"/>
      <c r="DP158" s="92"/>
      <c r="DQ158" s="92"/>
      <c r="DR158" s="140">
        <f t="shared" si="95"/>
        <v>0</v>
      </c>
      <c r="DS158" s="94"/>
      <c r="DT158" s="91"/>
      <c r="DU158" s="92"/>
      <c r="DV158" s="92"/>
      <c r="DW158" s="92"/>
      <c r="DX158" s="92"/>
      <c r="DY158" s="92"/>
      <c r="DZ158" s="92"/>
      <c r="EA158" s="140">
        <f t="shared" si="96"/>
        <v>0</v>
      </c>
      <c r="EB158" s="95">
        <f t="shared" si="97"/>
        <v>0</v>
      </c>
      <c r="EC158" s="96">
        <f t="shared" si="98"/>
        <v>0</v>
      </c>
      <c r="ED158" s="97">
        <f t="shared" si="99"/>
        <v>0</v>
      </c>
    </row>
    <row r="159" spans="1:134" ht="21.95" customHeight="1" x14ac:dyDescent="0.5">
      <c r="A159" s="83">
        <v>81</v>
      </c>
      <c r="B159" s="99" t="s">
        <v>388</v>
      </c>
      <c r="C159" s="104" t="s">
        <v>389</v>
      </c>
      <c r="D159" s="100" t="s">
        <v>297</v>
      </c>
      <c r="E159" s="99" t="s">
        <v>298</v>
      </c>
      <c r="F159" s="87" t="s">
        <v>194</v>
      </c>
      <c r="G159" s="141" t="s">
        <v>288</v>
      </c>
      <c r="H159" s="218">
        <v>5.4348869595466868E-3</v>
      </c>
      <c r="I159" s="94">
        <f t="shared" si="79"/>
        <v>1738.8431516539563</v>
      </c>
      <c r="J159" s="91">
        <f t="shared" si="76"/>
        <v>1312.8458590611381</v>
      </c>
      <c r="K159" s="92">
        <v>1352</v>
      </c>
      <c r="L159" s="92">
        <v>976</v>
      </c>
      <c r="M159" s="92">
        <v>2702</v>
      </c>
      <c r="N159" s="92">
        <v>1928.4</v>
      </c>
      <c r="O159" s="92">
        <v>3446</v>
      </c>
      <c r="P159" s="92">
        <v>2437.6000000000004</v>
      </c>
      <c r="Q159" s="93">
        <f t="shared" si="80"/>
        <v>1.856729777662713</v>
      </c>
      <c r="R159" s="94">
        <v>1738.8431516539579</v>
      </c>
      <c r="S159" s="91">
        <v>1312.8458590611381</v>
      </c>
      <c r="T159" s="92">
        <v>1028</v>
      </c>
      <c r="U159" s="92">
        <v>735.60000000000014</v>
      </c>
      <c r="V159" s="92">
        <v>2520</v>
      </c>
      <c r="W159" s="92">
        <v>1801.2000000000003</v>
      </c>
      <c r="X159" s="92">
        <v>3196</v>
      </c>
      <c r="Y159" s="92">
        <v>2289.2000000000003</v>
      </c>
      <c r="Z159" s="93">
        <f t="shared" si="81"/>
        <v>1.7436928975326069</v>
      </c>
      <c r="AA159" s="94">
        <v>1738.8431516539579</v>
      </c>
      <c r="AB159" s="91">
        <v>1312.8458590611381</v>
      </c>
      <c r="AC159" s="92"/>
      <c r="AD159" s="92"/>
      <c r="AE159" s="92">
        <v>2412</v>
      </c>
      <c r="AF159" s="92">
        <v>1762.8000000000002</v>
      </c>
      <c r="AG159" s="92"/>
      <c r="AH159" s="92"/>
      <c r="AI159" s="93">
        <f t="shared" si="82"/>
        <v>0</v>
      </c>
      <c r="AJ159" s="95">
        <f t="shared" si="77"/>
        <v>3938.5375771834142</v>
      </c>
      <c r="AK159" s="96">
        <f t="shared" si="83"/>
        <v>4726.8000000000011</v>
      </c>
      <c r="AL159" s="97">
        <f t="shared" si="78"/>
        <v>1.2001408917317735</v>
      </c>
      <c r="AN159" s="89">
        <v>1.2058721910968694E-2</v>
      </c>
      <c r="AO159" s="94"/>
      <c r="AP159" s="91"/>
      <c r="AQ159" s="92"/>
      <c r="AR159" s="92"/>
      <c r="AS159" s="92"/>
      <c r="AT159" s="92"/>
      <c r="AU159" s="92"/>
      <c r="AV159" s="92"/>
      <c r="AW159" s="140">
        <v>0</v>
      </c>
      <c r="AX159" s="94"/>
      <c r="AY159" s="91"/>
      <c r="AZ159" s="92"/>
      <c r="BA159" s="92"/>
      <c r="BB159" s="92"/>
      <c r="BC159" s="92"/>
      <c r="BD159" s="92"/>
      <c r="BE159" s="92"/>
      <c r="BF159" s="140">
        <v>0</v>
      </c>
      <c r="BG159" s="94"/>
      <c r="BH159" s="91"/>
      <c r="BI159" s="92"/>
      <c r="BJ159" s="92"/>
      <c r="BK159" s="92"/>
      <c r="BL159" s="92"/>
      <c r="BM159" s="92"/>
      <c r="BN159" s="92"/>
      <c r="BO159" s="140">
        <f t="shared" si="84"/>
        <v>0</v>
      </c>
      <c r="BP159" s="95">
        <f t="shared" si="85"/>
        <v>0</v>
      </c>
      <c r="BQ159" s="96">
        <f t="shared" si="86"/>
        <v>0</v>
      </c>
      <c r="BR159" s="97">
        <f t="shared" si="87"/>
        <v>0</v>
      </c>
      <c r="BT159" s="146"/>
      <c r="BU159" s="94"/>
      <c r="BV159" s="91"/>
      <c r="BW159" s="92"/>
      <c r="BX159" s="92"/>
      <c r="BY159" s="92"/>
      <c r="BZ159" s="92"/>
      <c r="CA159" s="92"/>
      <c r="CB159" s="92"/>
      <c r="CC159" s="140">
        <f t="shared" si="88"/>
        <v>0</v>
      </c>
      <c r="CD159" s="94"/>
      <c r="CE159" s="91"/>
      <c r="CF159" s="92"/>
      <c r="CG159" s="92"/>
      <c r="CH159" s="92"/>
      <c r="CI159" s="92"/>
      <c r="CJ159" s="92"/>
      <c r="CK159" s="92"/>
      <c r="CL159" s="140">
        <f t="shared" si="89"/>
        <v>0</v>
      </c>
      <c r="CM159" s="94"/>
      <c r="CN159" s="91"/>
      <c r="CO159" s="92"/>
      <c r="CP159" s="92"/>
      <c r="CQ159" s="92"/>
      <c r="CR159" s="92"/>
      <c r="CS159" s="92"/>
      <c r="CT159" s="92"/>
      <c r="CU159" s="140">
        <f t="shared" si="90"/>
        <v>0</v>
      </c>
      <c r="CV159" s="95">
        <f t="shared" si="91"/>
        <v>0</v>
      </c>
      <c r="CW159" s="96">
        <f t="shared" si="92"/>
        <v>0</v>
      </c>
      <c r="CX159" s="97">
        <f t="shared" si="93"/>
        <v>0</v>
      </c>
      <c r="CZ159" s="146" t="s">
        <v>288</v>
      </c>
      <c r="DA159" s="94"/>
      <c r="DB159" s="91"/>
      <c r="DC159" s="92"/>
      <c r="DD159" s="92"/>
      <c r="DE159" s="92"/>
      <c r="DF159" s="92"/>
      <c r="DG159" s="92"/>
      <c r="DH159" s="92"/>
      <c r="DI159" s="140">
        <f t="shared" si="94"/>
        <v>0</v>
      </c>
      <c r="DJ159" s="94"/>
      <c r="DK159" s="91"/>
      <c r="DL159" s="92"/>
      <c r="DM159" s="92"/>
      <c r="DN159" s="92"/>
      <c r="DO159" s="92"/>
      <c r="DP159" s="92"/>
      <c r="DQ159" s="92"/>
      <c r="DR159" s="140">
        <f t="shared" si="95"/>
        <v>0</v>
      </c>
      <c r="DS159" s="94"/>
      <c r="DT159" s="91"/>
      <c r="DU159" s="92"/>
      <c r="DV159" s="92"/>
      <c r="DW159" s="92"/>
      <c r="DX159" s="92"/>
      <c r="DY159" s="92"/>
      <c r="DZ159" s="92"/>
      <c r="EA159" s="140">
        <f t="shared" si="96"/>
        <v>0</v>
      </c>
      <c r="EB159" s="95">
        <f t="shared" si="97"/>
        <v>0</v>
      </c>
      <c r="EC159" s="96">
        <f t="shared" si="98"/>
        <v>0</v>
      </c>
      <c r="ED159" s="97">
        <f t="shared" si="99"/>
        <v>0</v>
      </c>
    </row>
    <row r="160" spans="1:134" ht="21.95" customHeight="1" x14ac:dyDescent="0.5">
      <c r="A160" s="83">
        <v>83</v>
      </c>
      <c r="B160" s="99" t="s">
        <v>390</v>
      </c>
      <c r="C160" s="104" t="s">
        <v>391</v>
      </c>
      <c r="D160" s="100" t="s">
        <v>392</v>
      </c>
      <c r="E160" s="99" t="s">
        <v>393</v>
      </c>
      <c r="F160" s="87" t="s">
        <v>194</v>
      </c>
      <c r="G160" s="141" t="s">
        <v>288</v>
      </c>
      <c r="H160" s="218">
        <v>2.2435285653457062E-2</v>
      </c>
      <c r="I160" s="94">
        <f t="shared" si="79"/>
        <v>7177.9676567859906</v>
      </c>
      <c r="J160" s="91">
        <f t="shared" si="76"/>
        <v>5419.4451671634342</v>
      </c>
      <c r="K160" s="92">
        <v>4300</v>
      </c>
      <c r="L160" s="92">
        <v>4048</v>
      </c>
      <c r="M160" s="92">
        <v>8600</v>
      </c>
      <c r="N160" s="92">
        <v>8096</v>
      </c>
      <c r="O160" s="92">
        <v>13400</v>
      </c>
      <c r="P160" s="92">
        <v>12896</v>
      </c>
      <c r="Q160" s="93">
        <f t="shared" si="80"/>
        <v>2.3795793853838054</v>
      </c>
      <c r="R160" s="94">
        <v>7177.967656785997</v>
      </c>
      <c r="S160" s="91">
        <v>5419.4451671634342</v>
      </c>
      <c r="T160" s="92">
        <v>0</v>
      </c>
      <c r="U160" s="92">
        <v>0</v>
      </c>
      <c r="V160" s="92">
        <v>4100</v>
      </c>
      <c r="W160" s="92">
        <v>2840</v>
      </c>
      <c r="X160" s="92">
        <v>7100</v>
      </c>
      <c r="Y160" s="92">
        <v>5840</v>
      </c>
      <c r="Z160" s="93">
        <f t="shared" si="81"/>
        <v>1.0776010864331129</v>
      </c>
      <c r="AA160" s="94">
        <v>7177.967656785997</v>
      </c>
      <c r="AB160" s="91">
        <v>5419.4451671634342</v>
      </c>
      <c r="AC160" s="92"/>
      <c r="AD160" s="92"/>
      <c r="AE160" s="92">
        <v>8400</v>
      </c>
      <c r="AF160" s="92">
        <v>8400</v>
      </c>
      <c r="AG160" s="92"/>
      <c r="AH160" s="92"/>
      <c r="AI160" s="93">
        <f t="shared" si="82"/>
        <v>0</v>
      </c>
      <c r="AJ160" s="95">
        <f t="shared" si="77"/>
        <v>16258.335501490303</v>
      </c>
      <c r="AK160" s="96">
        <f t="shared" si="83"/>
        <v>18736</v>
      </c>
      <c r="AL160" s="97">
        <f t="shared" si="78"/>
        <v>1.1523934906056394</v>
      </c>
      <c r="AN160" s="89">
        <v>2.6847592659083673E-2</v>
      </c>
      <c r="AO160" s="94"/>
      <c r="AP160" s="91"/>
      <c r="AQ160" s="92"/>
      <c r="AR160" s="92"/>
      <c r="AS160" s="92"/>
      <c r="AT160" s="92"/>
      <c r="AU160" s="92"/>
      <c r="AV160" s="92"/>
      <c r="AW160" s="140">
        <v>0</v>
      </c>
      <c r="AX160" s="94"/>
      <c r="AY160" s="91"/>
      <c r="AZ160" s="92"/>
      <c r="BA160" s="92"/>
      <c r="BB160" s="92"/>
      <c r="BC160" s="92"/>
      <c r="BD160" s="92"/>
      <c r="BE160" s="92"/>
      <c r="BF160" s="140">
        <v>0</v>
      </c>
      <c r="BG160" s="94"/>
      <c r="BH160" s="91"/>
      <c r="BI160" s="92"/>
      <c r="BJ160" s="92"/>
      <c r="BK160" s="92"/>
      <c r="BL160" s="92"/>
      <c r="BM160" s="92"/>
      <c r="BN160" s="92"/>
      <c r="BO160" s="140">
        <f t="shared" si="84"/>
        <v>0</v>
      </c>
      <c r="BP160" s="95">
        <f t="shared" si="85"/>
        <v>0</v>
      </c>
      <c r="BQ160" s="96">
        <f t="shared" si="86"/>
        <v>0</v>
      </c>
      <c r="BR160" s="97">
        <f t="shared" si="87"/>
        <v>0</v>
      </c>
      <c r="BT160" s="146"/>
      <c r="BU160" s="94"/>
      <c r="BV160" s="91"/>
      <c r="BW160" s="92"/>
      <c r="BX160" s="92"/>
      <c r="BY160" s="92"/>
      <c r="BZ160" s="92"/>
      <c r="CA160" s="92"/>
      <c r="CB160" s="92"/>
      <c r="CC160" s="140">
        <f t="shared" si="88"/>
        <v>0</v>
      </c>
      <c r="CD160" s="94"/>
      <c r="CE160" s="91"/>
      <c r="CF160" s="92"/>
      <c r="CG160" s="92"/>
      <c r="CH160" s="92"/>
      <c r="CI160" s="92"/>
      <c r="CJ160" s="92"/>
      <c r="CK160" s="92"/>
      <c r="CL160" s="140">
        <f t="shared" si="89"/>
        <v>0</v>
      </c>
      <c r="CM160" s="94"/>
      <c r="CN160" s="91"/>
      <c r="CO160" s="92"/>
      <c r="CP160" s="92"/>
      <c r="CQ160" s="92"/>
      <c r="CR160" s="92"/>
      <c r="CS160" s="92"/>
      <c r="CT160" s="92"/>
      <c r="CU160" s="140">
        <f t="shared" si="90"/>
        <v>0</v>
      </c>
      <c r="CV160" s="95">
        <f t="shared" si="91"/>
        <v>0</v>
      </c>
      <c r="CW160" s="96">
        <f t="shared" si="92"/>
        <v>0</v>
      </c>
      <c r="CX160" s="97">
        <f t="shared" si="93"/>
        <v>0</v>
      </c>
      <c r="CZ160" s="146" t="s">
        <v>288</v>
      </c>
      <c r="DA160" s="94"/>
      <c r="DB160" s="91"/>
      <c r="DC160" s="92"/>
      <c r="DD160" s="92"/>
      <c r="DE160" s="92"/>
      <c r="DF160" s="92"/>
      <c r="DG160" s="92"/>
      <c r="DH160" s="92"/>
      <c r="DI160" s="140">
        <f t="shared" si="94"/>
        <v>0</v>
      </c>
      <c r="DJ160" s="94"/>
      <c r="DK160" s="91"/>
      <c r="DL160" s="92"/>
      <c r="DM160" s="92"/>
      <c r="DN160" s="92"/>
      <c r="DO160" s="92"/>
      <c r="DP160" s="92"/>
      <c r="DQ160" s="92"/>
      <c r="DR160" s="140">
        <f t="shared" si="95"/>
        <v>0</v>
      </c>
      <c r="DS160" s="94"/>
      <c r="DT160" s="91"/>
      <c r="DU160" s="92"/>
      <c r="DV160" s="92"/>
      <c r="DW160" s="92"/>
      <c r="DX160" s="92"/>
      <c r="DY160" s="92"/>
      <c r="DZ160" s="92"/>
      <c r="EA160" s="140">
        <f t="shared" si="96"/>
        <v>0</v>
      </c>
      <c r="EB160" s="95">
        <f t="shared" si="97"/>
        <v>0</v>
      </c>
      <c r="EC160" s="96">
        <f t="shared" si="98"/>
        <v>0</v>
      </c>
      <c r="ED160" s="97">
        <f t="shared" si="99"/>
        <v>0</v>
      </c>
    </row>
    <row r="161" spans="1:134" ht="21.95" customHeight="1" x14ac:dyDescent="0.5">
      <c r="A161" s="83">
        <v>84</v>
      </c>
      <c r="B161" s="99" t="s">
        <v>394</v>
      </c>
      <c r="C161" s="104" t="s">
        <v>394</v>
      </c>
      <c r="D161" s="100" t="s">
        <v>377</v>
      </c>
      <c r="E161" s="99" t="s">
        <v>117</v>
      </c>
      <c r="F161" s="87" t="s">
        <v>194</v>
      </c>
      <c r="G161" s="141" t="s">
        <v>288</v>
      </c>
      <c r="H161" s="218">
        <v>4.0140457718680226E-3</v>
      </c>
      <c r="I161" s="94">
        <f t="shared" si="79"/>
        <v>1284.2578056895595</v>
      </c>
      <c r="J161" s="91">
        <f t="shared" si="76"/>
        <v>969.62888260666762</v>
      </c>
      <c r="K161" s="92"/>
      <c r="L161" s="92"/>
      <c r="M161" s="92"/>
      <c r="N161" s="92"/>
      <c r="O161" s="92"/>
      <c r="P161" s="92"/>
      <c r="Q161" s="93">
        <f t="shared" si="80"/>
        <v>0</v>
      </c>
      <c r="R161" s="94">
        <v>1284.2578056895607</v>
      </c>
      <c r="S161" s="91">
        <v>969.62888260666762</v>
      </c>
      <c r="T161" s="92">
        <v>3400</v>
      </c>
      <c r="U161" s="92">
        <v>1596</v>
      </c>
      <c r="V161" s="92">
        <v>3400</v>
      </c>
      <c r="W161" s="92">
        <v>1596</v>
      </c>
      <c r="X161" s="92">
        <v>3400</v>
      </c>
      <c r="Y161" s="92">
        <v>1596</v>
      </c>
      <c r="Z161" s="93">
        <f t="shared" si="81"/>
        <v>1.6459905729184239</v>
      </c>
      <c r="AA161" s="94">
        <v>1284.2578056895607</v>
      </c>
      <c r="AB161" s="91">
        <v>969.62888260666762</v>
      </c>
      <c r="AC161" s="92"/>
      <c r="AD161" s="92"/>
      <c r="AE161" s="92">
        <v>0</v>
      </c>
      <c r="AF161" s="92">
        <v>0</v>
      </c>
      <c r="AG161" s="92"/>
      <c r="AH161" s="92"/>
      <c r="AI161" s="93">
        <f t="shared" si="82"/>
        <v>0</v>
      </c>
      <c r="AJ161" s="95">
        <f t="shared" si="77"/>
        <v>2908.886647820003</v>
      </c>
      <c r="AK161" s="96">
        <f t="shared" si="83"/>
        <v>1596</v>
      </c>
      <c r="AL161" s="97">
        <f t="shared" si="78"/>
        <v>0.54866352430614129</v>
      </c>
      <c r="AN161" s="89">
        <v>1.1679346390174174E-2</v>
      </c>
      <c r="AO161" s="94"/>
      <c r="AP161" s="91"/>
      <c r="AQ161" s="92"/>
      <c r="AR161" s="92"/>
      <c r="AS161" s="92"/>
      <c r="AT161" s="92"/>
      <c r="AU161" s="92"/>
      <c r="AV161" s="92"/>
      <c r="AW161" s="140">
        <v>0</v>
      </c>
      <c r="AX161" s="94"/>
      <c r="AY161" s="91"/>
      <c r="AZ161" s="92"/>
      <c r="BA161" s="92"/>
      <c r="BB161" s="92"/>
      <c r="BC161" s="92"/>
      <c r="BD161" s="92"/>
      <c r="BE161" s="92"/>
      <c r="BF161" s="140">
        <v>0</v>
      </c>
      <c r="BG161" s="94"/>
      <c r="BH161" s="91"/>
      <c r="BI161" s="92"/>
      <c r="BJ161" s="92"/>
      <c r="BK161" s="92"/>
      <c r="BL161" s="92"/>
      <c r="BM161" s="92"/>
      <c r="BN161" s="92"/>
      <c r="BO161" s="140">
        <f t="shared" si="84"/>
        <v>0</v>
      </c>
      <c r="BP161" s="95">
        <f t="shared" si="85"/>
        <v>0</v>
      </c>
      <c r="BQ161" s="96">
        <f t="shared" si="86"/>
        <v>0</v>
      </c>
      <c r="BR161" s="97">
        <f t="shared" si="87"/>
        <v>0</v>
      </c>
      <c r="BT161" s="146"/>
      <c r="BU161" s="94"/>
      <c r="BV161" s="91"/>
      <c r="BW161" s="92"/>
      <c r="BX161" s="92"/>
      <c r="BY161" s="92"/>
      <c r="BZ161" s="92"/>
      <c r="CA161" s="92"/>
      <c r="CB161" s="92"/>
      <c r="CC161" s="140">
        <f t="shared" si="88"/>
        <v>0</v>
      </c>
      <c r="CD161" s="94"/>
      <c r="CE161" s="91"/>
      <c r="CF161" s="92"/>
      <c r="CG161" s="92"/>
      <c r="CH161" s="92"/>
      <c r="CI161" s="92"/>
      <c r="CJ161" s="92"/>
      <c r="CK161" s="92"/>
      <c r="CL161" s="140">
        <f t="shared" si="89"/>
        <v>0</v>
      </c>
      <c r="CM161" s="94"/>
      <c r="CN161" s="91"/>
      <c r="CO161" s="92"/>
      <c r="CP161" s="92"/>
      <c r="CQ161" s="92"/>
      <c r="CR161" s="92"/>
      <c r="CS161" s="92"/>
      <c r="CT161" s="92"/>
      <c r="CU161" s="140">
        <f t="shared" si="90"/>
        <v>0</v>
      </c>
      <c r="CV161" s="95">
        <f t="shared" si="91"/>
        <v>0</v>
      </c>
      <c r="CW161" s="96">
        <f t="shared" si="92"/>
        <v>0</v>
      </c>
      <c r="CX161" s="97">
        <f t="shared" si="93"/>
        <v>0</v>
      </c>
      <c r="CZ161" s="146" t="s">
        <v>288</v>
      </c>
      <c r="DA161" s="94"/>
      <c r="DB161" s="91"/>
      <c r="DC161" s="92"/>
      <c r="DD161" s="92"/>
      <c r="DE161" s="92"/>
      <c r="DF161" s="92"/>
      <c r="DG161" s="92"/>
      <c r="DH161" s="92"/>
      <c r="DI161" s="140">
        <f t="shared" si="94"/>
        <v>0</v>
      </c>
      <c r="DJ161" s="94"/>
      <c r="DK161" s="91"/>
      <c r="DL161" s="92"/>
      <c r="DM161" s="92"/>
      <c r="DN161" s="92"/>
      <c r="DO161" s="92"/>
      <c r="DP161" s="92"/>
      <c r="DQ161" s="92"/>
      <c r="DR161" s="140">
        <f t="shared" si="95"/>
        <v>0</v>
      </c>
      <c r="DS161" s="94"/>
      <c r="DT161" s="91"/>
      <c r="DU161" s="92"/>
      <c r="DV161" s="92"/>
      <c r="DW161" s="92"/>
      <c r="DX161" s="92"/>
      <c r="DY161" s="92"/>
      <c r="DZ161" s="92"/>
      <c r="EA161" s="140">
        <f t="shared" si="96"/>
        <v>0</v>
      </c>
      <c r="EB161" s="95">
        <f t="shared" si="97"/>
        <v>0</v>
      </c>
      <c r="EC161" s="96">
        <f t="shared" si="98"/>
        <v>0</v>
      </c>
      <c r="ED161" s="97">
        <f t="shared" si="99"/>
        <v>0</v>
      </c>
    </row>
    <row r="162" spans="1:134" ht="21.95" hidden="1" customHeight="1" x14ac:dyDescent="0.5">
      <c r="A162" s="83"/>
      <c r="B162" s="99"/>
      <c r="C162" s="104"/>
      <c r="D162" s="99"/>
      <c r="E162" s="99"/>
      <c r="F162" s="87"/>
      <c r="G162" s="141"/>
      <c r="H162" s="146"/>
      <c r="I162" s="94">
        <f t="shared" si="79"/>
        <v>0</v>
      </c>
      <c r="J162" s="91">
        <f t="shared" si="76"/>
        <v>0</v>
      </c>
      <c r="K162" s="92"/>
      <c r="L162" s="92"/>
      <c r="M162" s="92"/>
      <c r="N162" s="92"/>
      <c r="O162" s="92"/>
      <c r="P162" s="92"/>
      <c r="Q162" s="93">
        <f t="shared" si="80"/>
        <v>0</v>
      </c>
      <c r="R162" s="94"/>
      <c r="S162" s="91"/>
      <c r="T162" s="92"/>
      <c r="U162" s="92"/>
      <c r="V162" s="92"/>
      <c r="W162" s="92"/>
      <c r="X162" s="92"/>
      <c r="Y162" s="92"/>
      <c r="Z162" s="93">
        <f t="shared" si="81"/>
        <v>0</v>
      </c>
      <c r="AA162" s="94"/>
      <c r="AB162" s="91"/>
      <c r="AC162" s="92"/>
      <c r="AD162" s="92"/>
      <c r="AE162" s="92"/>
      <c r="AF162" s="92"/>
      <c r="AG162" s="92"/>
      <c r="AH162" s="92"/>
      <c r="AI162" s="93">
        <f t="shared" si="82"/>
        <v>0</v>
      </c>
      <c r="AJ162" s="95">
        <f t="shared" si="77"/>
        <v>0</v>
      </c>
      <c r="AK162" s="96">
        <f t="shared" si="83"/>
        <v>0</v>
      </c>
      <c r="AL162" s="97">
        <f t="shared" si="78"/>
        <v>0</v>
      </c>
      <c r="AN162" s="89">
        <v>3.0146804777421736E-3</v>
      </c>
      <c r="AO162" s="94"/>
      <c r="AP162" s="91"/>
      <c r="AQ162" s="92"/>
      <c r="AR162" s="92"/>
      <c r="AS162" s="92"/>
      <c r="AT162" s="92"/>
      <c r="AU162" s="92"/>
      <c r="AV162" s="92"/>
      <c r="AW162" s="140">
        <v>0</v>
      </c>
      <c r="AX162" s="94"/>
      <c r="AY162" s="91"/>
      <c r="AZ162" s="92"/>
      <c r="BA162" s="92"/>
      <c r="BB162" s="92"/>
      <c r="BC162" s="92"/>
      <c r="BD162" s="92"/>
      <c r="BE162" s="92"/>
      <c r="BF162" s="140">
        <v>0</v>
      </c>
      <c r="BG162" s="94"/>
      <c r="BH162" s="91"/>
      <c r="BI162" s="92"/>
      <c r="BJ162" s="92"/>
      <c r="BK162" s="92"/>
      <c r="BL162" s="92"/>
      <c r="BM162" s="92"/>
      <c r="BN162" s="92"/>
      <c r="BO162" s="140">
        <f t="shared" si="84"/>
        <v>0</v>
      </c>
      <c r="BP162" s="95">
        <f t="shared" si="85"/>
        <v>0</v>
      </c>
      <c r="BQ162" s="96">
        <f t="shared" si="86"/>
        <v>0</v>
      </c>
      <c r="BR162" s="97">
        <f t="shared" si="87"/>
        <v>0</v>
      </c>
      <c r="BT162" s="146"/>
      <c r="BU162" s="94"/>
      <c r="BV162" s="91"/>
      <c r="BW162" s="92"/>
      <c r="BX162" s="92"/>
      <c r="BY162" s="92"/>
      <c r="BZ162" s="92"/>
      <c r="CA162" s="92"/>
      <c r="CB162" s="92"/>
      <c r="CC162" s="140">
        <f t="shared" si="88"/>
        <v>0</v>
      </c>
      <c r="CD162" s="94"/>
      <c r="CE162" s="91"/>
      <c r="CF162" s="92"/>
      <c r="CG162" s="92"/>
      <c r="CH162" s="92"/>
      <c r="CI162" s="92"/>
      <c r="CJ162" s="92"/>
      <c r="CK162" s="92"/>
      <c r="CL162" s="140">
        <f t="shared" si="89"/>
        <v>0</v>
      </c>
      <c r="CM162" s="94"/>
      <c r="CN162" s="91"/>
      <c r="CO162" s="92"/>
      <c r="CP162" s="92"/>
      <c r="CQ162" s="92"/>
      <c r="CR162" s="92"/>
      <c r="CS162" s="92"/>
      <c r="CT162" s="92"/>
      <c r="CU162" s="140">
        <f t="shared" si="90"/>
        <v>0</v>
      </c>
      <c r="CV162" s="95">
        <f t="shared" si="91"/>
        <v>0</v>
      </c>
      <c r="CW162" s="96">
        <f t="shared" si="92"/>
        <v>0</v>
      </c>
      <c r="CX162" s="97">
        <f t="shared" si="93"/>
        <v>0</v>
      </c>
      <c r="CZ162" s="146" t="s">
        <v>288</v>
      </c>
      <c r="DA162" s="94"/>
      <c r="DB162" s="91"/>
      <c r="DC162" s="92"/>
      <c r="DD162" s="92"/>
      <c r="DE162" s="92"/>
      <c r="DF162" s="92"/>
      <c r="DG162" s="92"/>
      <c r="DH162" s="92"/>
      <c r="DI162" s="140">
        <f t="shared" si="94"/>
        <v>0</v>
      </c>
      <c r="DJ162" s="94"/>
      <c r="DK162" s="91"/>
      <c r="DL162" s="92"/>
      <c r="DM162" s="92"/>
      <c r="DN162" s="92"/>
      <c r="DO162" s="92"/>
      <c r="DP162" s="92"/>
      <c r="DQ162" s="92"/>
      <c r="DR162" s="140">
        <f t="shared" si="95"/>
        <v>0</v>
      </c>
      <c r="DS162" s="94"/>
      <c r="DT162" s="91"/>
      <c r="DU162" s="92"/>
      <c r="DV162" s="92"/>
      <c r="DW162" s="92"/>
      <c r="DX162" s="92"/>
      <c r="DY162" s="92"/>
      <c r="DZ162" s="92"/>
      <c r="EA162" s="140">
        <f t="shared" si="96"/>
        <v>0</v>
      </c>
      <c r="EB162" s="95">
        <f t="shared" si="97"/>
        <v>0</v>
      </c>
      <c r="EC162" s="96">
        <f t="shared" si="98"/>
        <v>0</v>
      </c>
      <c r="ED162" s="97">
        <f t="shared" si="99"/>
        <v>0</v>
      </c>
    </row>
    <row r="163" spans="1:134" ht="21.95" hidden="1" customHeight="1" x14ac:dyDescent="0.5">
      <c r="A163" s="83"/>
      <c r="B163" s="99"/>
      <c r="C163" s="104"/>
      <c r="D163" s="99"/>
      <c r="E163" s="99"/>
      <c r="F163" s="87"/>
      <c r="G163" s="141"/>
      <c r="H163" s="146"/>
      <c r="I163" s="94">
        <f t="shared" si="79"/>
        <v>0</v>
      </c>
      <c r="J163" s="91">
        <f t="shared" si="76"/>
        <v>0</v>
      </c>
      <c r="K163" s="92"/>
      <c r="L163" s="92"/>
      <c r="M163" s="92"/>
      <c r="N163" s="92"/>
      <c r="O163" s="92"/>
      <c r="P163" s="92"/>
      <c r="Q163" s="93">
        <f t="shared" si="80"/>
        <v>0</v>
      </c>
      <c r="R163" s="94"/>
      <c r="S163" s="91"/>
      <c r="T163" s="92"/>
      <c r="U163" s="92"/>
      <c r="V163" s="92"/>
      <c r="W163" s="92"/>
      <c r="X163" s="92"/>
      <c r="Y163" s="92"/>
      <c r="Z163" s="93">
        <f t="shared" si="81"/>
        <v>0</v>
      </c>
      <c r="AA163" s="94"/>
      <c r="AB163" s="91"/>
      <c r="AC163" s="92"/>
      <c r="AD163" s="92"/>
      <c r="AE163" s="92"/>
      <c r="AF163" s="92"/>
      <c r="AG163" s="92"/>
      <c r="AH163" s="92"/>
      <c r="AI163" s="93">
        <f t="shared" si="82"/>
        <v>0</v>
      </c>
      <c r="AJ163" s="95">
        <f t="shared" si="77"/>
        <v>0</v>
      </c>
      <c r="AK163" s="96">
        <f t="shared" si="83"/>
        <v>0</v>
      </c>
      <c r="AL163" s="97">
        <f t="shared" si="78"/>
        <v>0</v>
      </c>
      <c r="AN163" s="89">
        <v>1.9713977955572417E-2</v>
      </c>
      <c r="AO163" s="94"/>
      <c r="AP163" s="91"/>
      <c r="AQ163" s="92"/>
      <c r="AR163" s="92"/>
      <c r="AS163" s="92"/>
      <c r="AT163" s="92"/>
      <c r="AU163" s="92"/>
      <c r="AV163" s="92"/>
      <c r="AW163" s="140">
        <v>0</v>
      </c>
      <c r="AX163" s="94"/>
      <c r="AY163" s="91"/>
      <c r="AZ163" s="92"/>
      <c r="BA163" s="92"/>
      <c r="BB163" s="92"/>
      <c r="BC163" s="92"/>
      <c r="BD163" s="92"/>
      <c r="BE163" s="92"/>
      <c r="BF163" s="140">
        <v>0</v>
      </c>
      <c r="BG163" s="94"/>
      <c r="BH163" s="91"/>
      <c r="BI163" s="92"/>
      <c r="BJ163" s="92"/>
      <c r="BK163" s="92"/>
      <c r="BL163" s="92"/>
      <c r="BM163" s="92"/>
      <c r="BN163" s="92"/>
      <c r="BO163" s="140">
        <f t="shared" si="84"/>
        <v>0</v>
      </c>
      <c r="BP163" s="95">
        <f t="shared" si="85"/>
        <v>0</v>
      </c>
      <c r="BQ163" s="96">
        <f t="shared" si="86"/>
        <v>0</v>
      </c>
      <c r="BR163" s="97">
        <f t="shared" si="87"/>
        <v>0</v>
      </c>
      <c r="BT163" s="146"/>
      <c r="BU163" s="94"/>
      <c r="BV163" s="91"/>
      <c r="BW163" s="92"/>
      <c r="BX163" s="92"/>
      <c r="BY163" s="92"/>
      <c r="BZ163" s="92"/>
      <c r="CA163" s="92"/>
      <c r="CB163" s="92"/>
      <c r="CC163" s="140">
        <f t="shared" si="88"/>
        <v>0</v>
      </c>
      <c r="CD163" s="94"/>
      <c r="CE163" s="91"/>
      <c r="CF163" s="92"/>
      <c r="CG163" s="92"/>
      <c r="CH163" s="92"/>
      <c r="CI163" s="92"/>
      <c r="CJ163" s="92"/>
      <c r="CK163" s="92"/>
      <c r="CL163" s="140">
        <f t="shared" si="89"/>
        <v>0</v>
      </c>
      <c r="CM163" s="94"/>
      <c r="CN163" s="91"/>
      <c r="CO163" s="92"/>
      <c r="CP163" s="92"/>
      <c r="CQ163" s="92"/>
      <c r="CR163" s="92"/>
      <c r="CS163" s="92"/>
      <c r="CT163" s="92"/>
      <c r="CU163" s="140">
        <f t="shared" si="90"/>
        <v>0</v>
      </c>
      <c r="CV163" s="95">
        <f t="shared" si="91"/>
        <v>0</v>
      </c>
      <c r="CW163" s="96">
        <f t="shared" si="92"/>
        <v>0</v>
      </c>
      <c r="CX163" s="97">
        <f t="shared" si="93"/>
        <v>0</v>
      </c>
      <c r="CZ163" s="146" t="s">
        <v>288</v>
      </c>
      <c r="DA163" s="94"/>
      <c r="DB163" s="91"/>
      <c r="DC163" s="92"/>
      <c r="DD163" s="92"/>
      <c r="DE163" s="92"/>
      <c r="DF163" s="92"/>
      <c r="DG163" s="92"/>
      <c r="DH163" s="92"/>
      <c r="DI163" s="140">
        <f t="shared" si="94"/>
        <v>0</v>
      </c>
      <c r="DJ163" s="94"/>
      <c r="DK163" s="91"/>
      <c r="DL163" s="92"/>
      <c r="DM163" s="92"/>
      <c r="DN163" s="92"/>
      <c r="DO163" s="92"/>
      <c r="DP163" s="92"/>
      <c r="DQ163" s="92"/>
      <c r="DR163" s="140">
        <f t="shared" si="95"/>
        <v>0</v>
      </c>
      <c r="DS163" s="94"/>
      <c r="DT163" s="91"/>
      <c r="DU163" s="92"/>
      <c r="DV163" s="92"/>
      <c r="DW163" s="92"/>
      <c r="DX163" s="92"/>
      <c r="DY163" s="92"/>
      <c r="DZ163" s="92"/>
      <c r="EA163" s="140">
        <f t="shared" si="96"/>
        <v>0</v>
      </c>
      <c r="EB163" s="95">
        <f t="shared" si="97"/>
        <v>0</v>
      </c>
      <c r="EC163" s="96">
        <f t="shared" si="98"/>
        <v>0</v>
      </c>
      <c r="ED163" s="97">
        <f t="shared" si="99"/>
        <v>0</v>
      </c>
    </row>
    <row r="164" spans="1:134" ht="21.95" hidden="1" customHeight="1" x14ac:dyDescent="0.5">
      <c r="A164" s="83"/>
      <c r="B164" s="99"/>
      <c r="C164" s="104"/>
      <c r="D164" s="99"/>
      <c r="E164" s="99"/>
      <c r="F164" s="87"/>
      <c r="G164" s="141"/>
      <c r="H164" s="146"/>
      <c r="I164" s="94">
        <f t="shared" si="79"/>
        <v>0</v>
      </c>
      <c r="J164" s="91">
        <f t="shared" si="76"/>
        <v>0</v>
      </c>
      <c r="K164" s="92"/>
      <c r="L164" s="92"/>
      <c r="M164" s="92"/>
      <c r="N164" s="92"/>
      <c r="O164" s="92"/>
      <c r="P164" s="92"/>
      <c r="Q164" s="93">
        <f t="shared" si="80"/>
        <v>0</v>
      </c>
      <c r="R164" s="94"/>
      <c r="S164" s="91"/>
      <c r="T164" s="92"/>
      <c r="U164" s="92"/>
      <c r="V164" s="92"/>
      <c r="W164" s="92"/>
      <c r="X164" s="92"/>
      <c r="Y164" s="92"/>
      <c r="Z164" s="93">
        <f t="shared" si="81"/>
        <v>0</v>
      </c>
      <c r="AA164" s="94"/>
      <c r="AB164" s="91"/>
      <c r="AC164" s="92"/>
      <c r="AD164" s="92"/>
      <c r="AE164" s="92"/>
      <c r="AF164" s="92"/>
      <c r="AG164" s="92"/>
      <c r="AH164" s="92"/>
      <c r="AI164" s="93">
        <f t="shared" si="82"/>
        <v>0</v>
      </c>
      <c r="AJ164" s="95">
        <f t="shared" si="77"/>
        <v>0</v>
      </c>
      <c r="AK164" s="96">
        <f t="shared" si="83"/>
        <v>0</v>
      </c>
      <c r="AL164" s="97">
        <f t="shared" si="78"/>
        <v>0</v>
      </c>
      <c r="AN164" s="89">
        <v>8.170122822824857E-3</v>
      </c>
      <c r="AO164" s="94"/>
      <c r="AP164" s="91"/>
      <c r="AQ164" s="92"/>
      <c r="AR164" s="92"/>
      <c r="AS164" s="92"/>
      <c r="AT164" s="92"/>
      <c r="AU164" s="92"/>
      <c r="AV164" s="92"/>
      <c r="AW164" s="140">
        <v>0</v>
      </c>
      <c r="AX164" s="94"/>
      <c r="AY164" s="91"/>
      <c r="AZ164" s="92"/>
      <c r="BA164" s="92"/>
      <c r="BB164" s="92"/>
      <c r="BC164" s="92"/>
      <c r="BD164" s="92"/>
      <c r="BE164" s="92"/>
      <c r="BF164" s="140">
        <v>0</v>
      </c>
      <c r="BG164" s="94"/>
      <c r="BH164" s="91"/>
      <c r="BI164" s="92"/>
      <c r="BJ164" s="92"/>
      <c r="BK164" s="92"/>
      <c r="BL164" s="92"/>
      <c r="BM164" s="92"/>
      <c r="BN164" s="92"/>
      <c r="BO164" s="140">
        <f t="shared" si="84"/>
        <v>0</v>
      </c>
      <c r="BP164" s="95">
        <f t="shared" si="85"/>
        <v>0</v>
      </c>
      <c r="BQ164" s="96">
        <f t="shared" si="86"/>
        <v>0</v>
      </c>
      <c r="BR164" s="97">
        <f t="shared" si="87"/>
        <v>0</v>
      </c>
      <c r="BT164" s="146"/>
      <c r="BU164" s="94"/>
      <c r="BV164" s="91"/>
      <c r="BW164" s="92"/>
      <c r="BX164" s="92"/>
      <c r="BY164" s="92"/>
      <c r="BZ164" s="92"/>
      <c r="CA164" s="92"/>
      <c r="CB164" s="92"/>
      <c r="CC164" s="140">
        <f t="shared" si="88"/>
        <v>0</v>
      </c>
      <c r="CD164" s="94"/>
      <c r="CE164" s="91"/>
      <c r="CF164" s="92"/>
      <c r="CG164" s="92"/>
      <c r="CH164" s="92"/>
      <c r="CI164" s="92"/>
      <c r="CJ164" s="92"/>
      <c r="CK164" s="92"/>
      <c r="CL164" s="140">
        <f t="shared" si="89"/>
        <v>0</v>
      </c>
      <c r="CM164" s="94"/>
      <c r="CN164" s="91"/>
      <c r="CO164" s="92"/>
      <c r="CP164" s="92"/>
      <c r="CQ164" s="92"/>
      <c r="CR164" s="92"/>
      <c r="CS164" s="92"/>
      <c r="CT164" s="92"/>
      <c r="CU164" s="140">
        <f t="shared" si="90"/>
        <v>0</v>
      </c>
      <c r="CV164" s="95">
        <f t="shared" si="91"/>
        <v>0</v>
      </c>
      <c r="CW164" s="96">
        <f t="shared" si="92"/>
        <v>0</v>
      </c>
      <c r="CX164" s="97">
        <f t="shared" si="93"/>
        <v>0</v>
      </c>
      <c r="CZ164" s="146" t="s">
        <v>288</v>
      </c>
      <c r="DA164" s="94"/>
      <c r="DB164" s="91"/>
      <c r="DC164" s="92"/>
      <c r="DD164" s="92"/>
      <c r="DE164" s="92"/>
      <c r="DF164" s="92"/>
      <c r="DG164" s="92"/>
      <c r="DH164" s="92"/>
      <c r="DI164" s="140">
        <f t="shared" si="94"/>
        <v>0</v>
      </c>
      <c r="DJ164" s="94"/>
      <c r="DK164" s="91"/>
      <c r="DL164" s="92"/>
      <c r="DM164" s="92"/>
      <c r="DN164" s="92"/>
      <c r="DO164" s="92"/>
      <c r="DP164" s="92"/>
      <c r="DQ164" s="92"/>
      <c r="DR164" s="140">
        <f t="shared" si="95"/>
        <v>0</v>
      </c>
      <c r="DS164" s="94"/>
      <c r="DT164" s="91"/>
      <c r="DU164" s="92"/>
      <c r="DV164" s="92"/>
      <c r="DW164" s="92"/>
      <c r="DX164" s="92"/>
      <c r="DY164" s="92"/>
      <c r="DZ164" s="92"/>
      <c r="EA164" s="140">
        <f t="shared" si="96"/>
        <v>0</v>
      </c>
      <c r="EB164" s="95">
        <f t="shared" si="97"/>
        <v>0</v>
      </c>
      <c r="EC164" s="96">
        <f t="shared" si="98"/>
        <v>0</v>
      </c>
      <c r="ED164" s="97">
        <f t="shared" si="99"/>
        <v>0</v>
      </c>
    </row>
    <row r="165" spans="1:134" ht="21.95" hidden="1" customHeight="1" x14ac:dyDescent="0.5">
      <c r="A165" s="83"/>
      <c r="B165" s="99"/>
      <c r="C165" s="104"/>
      <c r="D165" s="99"/>
      <c r="E165" s="105"/>
      <c r="F165" s="87"/>
      <c r="G165" s="141"/>
      <c r="H165" s="146"/>
      <c r="I165" s="94">
        <f t="shared" si="79"/>
        <v>0</v>
      </c>
      <c r="J165" s="91">
        <f t="shared" si="76"/>
        <v>0</v>
      </c>
      <c r="K165" s="92"/>
      <c r="L165" s="92"/>
      <c r="M165" s="92"/>
      <c r="N165" s="92"/>
      <c r="O165" s="92"/>
      <c r="P165" s="92"/>
      <c r="Q165" s="93">
        <f t="shared" si="80"/>
        <v>0</v>
      </c>
      <c r="R165" s="94"/>
      <c r="S165" s="91"/>
      <c r="T165" s="92"/>
      <c r="U165" s="92"/>
      <c r="V165" s="92"/>
      <c r="W165" s="92"/>
      <c r="X165" s="92"/>
      <c r="Y165" s="92"/>
      <c r="Z165" s="93">
        <f t="shared" si="81"/>
        <v>0</v>
      </c>
      <c r="AA165" s="94"/>
      <c r="AB165" s="91"/>
      <c r="AC165" s="92"/>
      <c r="AD165" s="92"/>
      <c r="AE165" s="92"/>
      <c r="AF165" s="92"/>
      <c r="AG165" s="92"/>
      <c r="AH165" s="92"/>
      <c r="AI165" s="93">
        <f t="shared" si="82"/>
        <v>0</v>
      </c>
      <c r="AJ165" s="95">
        <f t="shared" si="77"/>
        <v>0</v>
      </c>
      <c r="AK165" s="96">
        <f t="shared" si="83"/>
        <v>0</v>
      </c>
      <c r="AL165" s="97">
        <f t="shared" si="78"/>
        <v>0</v>
      </c>
      <c r="AN165" s="89">
        <v>1.3413634485234841E-2</v>
      </c>
      <c r="AO165" s="94"/>
      <c r="AP165" s="91"/>
      <c r="AQ165" s="92"/>
      <c r="AR165" s="92"/>
      <c r="AS165" s="92"/>
      <c r="AT165" s="92"/>
      <c r="AU165" s="92"/>
      <c r="AV165" s="92"/>
      <c r="AW165" s="140">
        <v>0</v>
      </c>
      <c r="AX165" s="94"/>
      <c r="AY165" s="91"/>
      <c r="AZ165" s="92"/>
      <c r="BA165" s="92"/>
      <c r="BB165" s="92"/>
      <c r="BC165" s="92"/>
      <c r="BD165" s="92"/>
      <c r="BE165" s="92"/>
      <c r="BF165" s="140">
        <v>0</v>
      </c>
      <c r="BG165" s="94"/>
      <c r="BH165" s="91"/>
      <c r="BI165" s="92"/>
      <c r="BJ165" s="92"/>
      <c r="BK165" s="92"/>
      <c r="BL165" s="92"/>
      <c r="BM165" s="92"/>
      <c r="BN165" s="92"/>
      <c r="BO165" s="140">
        <f t="shared" si="84"/>
        <v>0</v>
      </c>
      <c r="BP165" s="95">
        <f t="shared" si="85"/>
        <v>0</v>
      </c>
      <c r="BQ165" s="96">
        <f t="shared" si="86"/>
        <v>0</v>
      </c>
      <c r="BR165" s="97">
        <f t="shared" si="87"/>
        <v>0</v>
      </c>
      <c r="BT165" s="146"/>
      <c r="BU165" s="94"/>
      <c r="BV165" s="91"/>
      <c r="BW165" s="92"/>
      <c r="BX165" s="92"/>
      <c r="BY165" s="92"/>
      <c r="BZ165" s="92"/>
      <c r="CA165" s="92"/>
      <c r="CB165" s="92"/>
      <c r="CC165" s="140">
        <f t="shared" si="88"/>
        <v>0</v>
      </c>
      <c r="CD165" s="94"/>
      <c r="CE165" s="91"/>
      <c r="CF165" s="92"/>
      <c r="CG165" s="92"/>
      <c r="CH165" s="92"/>
      <c r="CI165" s="92"/>
      <c r="CJ165" s="92"/>
      <c r="CK165" s="92"/>
      <c r="CL165" s="140">
        <f t="shared" si="89"/>
        <v>0</v>
      </c>
      <c r="CM165" s="94"/>
      <c r="CN165" s="91"/>
      <c r="CO165" s="92"/>
      <c r="CP165" s="92"/>
      <c r="CQ165" s="92"/>
      <c r="CR165" s="92"/>
      <c r="CS165" s="92"/>
      <c r="CT165" s="92"/>
      <c r="CU165" s="140">
        <f t="shared" si="90"/>
        <v>0</v>
      </c>
      <c r="CV165" s="95">
        <f t="shared" si="91"/>
        <v>0</v>
      </c>
      <c r="CW165" s="96">
        <f t="shared" si="92"/>
        <v>0</v>
      </c>
      <c r="CX165" s="97">
        <f t="shared" si="93"/>
        <v>0</v>
      </c>
      <c r="CZ165" s="146" t="s">
        <v>288</v>
      </c>
      <c r="DA165" s="94"/>
      <c r="DB165" s="91"/>
      <c r="DC165" s="92"/>
      <c r="DD165" s="92"/>
      <c r="DE165" s="92"/>
      <c r="DF165" s="92"/>
      <c r="DG165" s="92"/>
      <c r="DH165" s="92"/>
      <c r="DI165" s="140">
        <f t="shared" si="94"/>
        <v>0</v>
      </c>
      <c r="DJ165" s="94"/>
      <c r="DK165" s="91"/>
      <c r="DL165" s="92"/>
      <c r="DM165" s="92"/>
      <c r="DN165" s="92"/>
      <c r="DO165" s="92"/>
      <c r="DP165" s="92"/>
      <c r="DQ165" s="92"/>
      <c r="DR165" s="140">
        <f t="shared" si="95"/>
        <v>0</v>
      </c>
      <c r="DS165" s="94"/>
      <c r="DT165" s="91"/>
      <c r="DU165" s="92"/>
      <c r="DV165" s="92"/>
      <c r="DW165" s="92"/>
      <c r="DX165" s="92"/>
      <c r="DY165" s="92"/>
      <c r="DZ165" s="92"/>
      <c r="EA165" s="140">
        <f t="shared" si="96"/>
        <v>0</v>
      </c>
      <c r="EB165" s="95">
        <f t="shared" si="97"/>
        <v>0</v>
      </c>
      <c r="EC165" s="96">
        <f t="shared" si="98"/>
        <v>0</v>
      </c>
      <c r="ED165" s="97">
        <f t="shared" si="99"/>
        <v>0</v>
      </c>
    </row>
    <row r="166" spans="1:134" ht="21.95" hidden="1" customHeight="1" x14ac:dyDescent="0.5">
      <c r="A166" s="83"/>
      <c r="B166" s="99"/>
      <c r="C166" s="99"/>
      <c r="D166" s="99"/>
      <c r="E166" s="99"/>
      <c r="F166" s="87"/>
      <c r="G166" s="141"/>
      <c r="H166" s="146"/>
      <c r="I166" s="94">
        <f t="shared" si="79"/>
        <v>0</v>
      </c>
      <c r="J166" s="91">
        <f t="shared" si="76"/>
        <v>0</v>
      </c>
      <c r="K166" s="92"/>
      <c r="L166" s="92"/>
      <c r="M166" s="92"/>
      <c r="N166" s="92"/>
      <c r="O166" s="92"/>
      <c r="P166" s="92"/>
      <c r="Q166" s="93">
        <f t="shared" si="80"/>
        <v>0</v>
      </c>
      <c r="R166" s="94"/>
      <c r="S166" s="91"/>
      <c r="T166" s="92"/>
      <c r="U166" s="92"/>
      <c r="V166" s="92"/>
      <c r="W166" s="92"/>
      <c r="X166" s="92"/>
      <c r="Y166" s="92"/>
      <c r="Z166" s="93">
        <f t="shared" si="81"/>
        <v>0</v>
      </c>
      <c r="AA166" s="94"/>
      <c r="AB166" s="91"/>
      <c r="AC166" s="92"/>
      <c r="AD166" s="92"/>
      <c r="AE166" s="92"/>
      <c r="AF166" s="92"/>
      <c r="AG166" s="92"/>
      <c r="AH166" s="92"/>
      <c r="AI166" s="93">
        <f t="shared" si="82"/>
        <v>0</v>
      </c>
      <c r="AJ166" s="95">
        <f t="shared" si="77"/>
        <v>0</v>
      </c>
      <c r="AK166" s="96">
        <f t="shared" si="83"/>
        <v>0</v>
      </c>
      <c r="AL166" s="97">
        <f t="shared" si="78"/>
        <v>0</v>
      </c>
      <c r="AN166" s="89">
        <v>0</v>
      </c>
      <c r="AO166" s="94"/>
      <c r="AP166" s="91"/>
      <c r="AQ166" s="92"/>
      <c r="AR166" s="92"/>
      <c r="AS166" s="92"/>
      <c r="AT166" s="92"/>
      <c r="AU166" s="92"/>
      <c r="AV166" s="92"/>
      <c r="AW166" s="140">
        <v>0</v>
      </c>
      <c r="AX166" s="94"/>
      <c r="AY166" s="91"/>
      <c r="AZ166" s="92"/>
      <c r="BA166" s="92"/>
      <c r="BB166" s="92"/>
      <c r="BC166" s="92"/>
      <c r="BD166" s="92"/>
      <c r="BE166" s="92"/>
      <c r="BF166" s="140">
        <v>0</v>
      </c>
      <c r="BG166" s="94"/>
      <c r="BH166" s="91"/>
      <c r="BI166" s="92"/>
      <c r="BJ166" s="92"/>
      <c r="BK166" s="92"/>
      <c r="BL166" s="92"/>
      <c r="BM166" s="92"/>
      <c r="BN166" s="92"/>
      <c r="BO166" s="140">
        <f t="shared" si="84"/>
        <v>0</v>
      </c>
      <c r="BP166" s="95">
        <f t="shared" si="85"/>
        <v>0</v>
      </c>
      <c r="BQ166" s="96">
        <f t="shared" si="86"/>
        <v>0</v>
      </c>
      <c r="BR166" s="97">
        <f t="shared" si="87"/>
        <v>0</v>
      </c>
      <c r="BT166" s="146"/>
      <c r="BU166" s="94"/>
      <c r="BV166" s="91"/>
      <c r="BW166" s="92"/>
      <c r="BX166" s="92"/>
      <c r="BY166" s="92"/>
      <c r="BZ166" s="92"/>
      <c r="CA166" s="92"/>
      <c r="CB166" s="92"/>
      <c r="CC166" s="140">
        <f t="shared" si="88"/>
        <v>0</v>
      </c>
      <c r="CD166" s="94"/>
      <c r="CE166" s="91"/>
      <c r="CF166" s="92"/>
      <c r="CG166" s="92"/>
      <c r="CH166" s="92"/>
      <c r="CI166" s="92"/>
      <c r="CJ166" s="92"/>
      <c r="CK166" s="92"/>
      <c r="CL166" s="140">
        <f t="shared" si="89"/>
        <v>0</v>
      </c>
      <c r="CM166" s="94"/>
      <c r="CN166" s="91"/>
      <c r="CO166" s="92"/>
      <c r="CP166" s="92"/>
      <c r="CQ166" s="92"/>
      <c r="CR166" s="92"/>
      <c r="CS166" s="92"/>
      <c r="CT166" s="92"/>
      <c r="CU166" s="140">
        <f t="shared" si="90"/>
        <v>0</v>
      </c>
      <c r="CV166" s="95">
        <f t="shared" si="91"/>
        <v>0</v>
      </c>
      <c r="CW166" s="96">
        <f t="shared" si="92"/>
        <v>0</v>
      </c>
      <c r="CX166" s="97">
        <f t="shared" si="93"/>
        <v>0</v>
      </c>
      <c r="CZ166" s="146" t="s">
        <v>288</v>
      </c>
      <c r="DA166" s="94"/>
      <c r="DB166" s="91"/>
      <c r="DC166" s="92"/>
      <c r="DD166" s="92"/>
      <c r="DE166" s="92"/>
      <c r="DF166" s="92"/>
      <c r="DG166" s="92"/>
      <c r="DH166" s="92"/>
      <c r="DI166" s="140">
        <f t="shared" si="94"/>
        <v>0</v>
      </c>
      <c r="DJ166" s="94"/>
      <c r="DK166" s="91"/>
      <c r="DL166" s="92"/>
      <c r="DM166" s="92"/>
      <c r="DN166" s="92"/>
      <c r="DO166" s="92"/>
      <c r="DP166" s="92"/>
      <c r="DQ166" s="92"/>
      <c r="DR166" s="140">
        <f t="shared" si="95"/>
        <v>0</v>
      </c>
      <c r="DS166" s="94"/>
      <c r="DT166" s="91"/>
      <c r="DU166" s="92"/>
      <c r="DV166" s="92"/>
      <c r="DW166" s="92"/>
      <c r="DX166" s="92"/>
      <c r="DY166" s="92"/>
      <c r="DZ166" s="92"/>
      <c r="EA166" s="140">
        <f t="shared" si="96"/>
        <v>0</v>
      </c>
      <c r="EB166" s="95">
        <f t="shared" si="97"/>
        <v>0</v>
      </c>
      <c r="EC166" s="96">
        <f t="shared" si="98"/>
        <v>0</v>
      </c>
      <c r="ED166" s="97">
        <f t="shared" si="99"/>
        <v>0</v>
      </c>
    </row>
    <row r="167" spans="1:134" ht="21.95" hidden="1" customHeight="1" x14ac:dyDescent="0.5">
      <c r="A167" s="83"/>
      <c r="B167" s="99"/>
      <c r="C167" s="143"/>
      <c r="D167" s="99"/>
      <c r="E167" s="105"/>
      <c r="F167" s="87"/>
      <c r="G167" s="141"/>
      <c r="H167" s="146"/>
      <c r="I167" s="94">
        <f t="shared" si="79"/>
        <v>0</v>
      </c>
      <c r="J167" s="91">
        <f t="shared" si="76"/>
        <v>0</v>
      </c>
      <c r="K167" s="92"/>
      <c r="L167" s="92"/>
      <c r="M167" s="92"/>
      <c r="N167" s="92"/>
      <c r="O167" s="92"/>
      <c r="P167" s="92"/>
      <c r="Q167" s="93">
        <f t="shared" si="80"/>
        <v>0</v>
      </c>
      <c r="R167" s="94"/>
      <c r="S167" s="91"/>
      <c r="T167" s="92"/>
      <c r="U167" s="92"/>
      <c r="V167" s="92"/>
      <c r="W167" s="92"/>
      <c r="X167" s="92"/>
      <c r="Y167" s="92"/>
      <c r="Z167" s="93">
        <f t="shared" si="81"/>
        <v>0</v>
      </c>
      <c r="AA167" s="94"/>
      <c r="AB167" s="91"/>
      <c r="AC167" s="92"/>
      <c r="AD167" s="92"/>
      <c r="AE167" s="92"/>
      <c r="AF167" s="92"/>
      <c r="AG167" s="92"/>
      <c r="AH167" s="92"/>
      <c r="AI167" s="93">
        <f t="shared" si="82"/>
        <v>0</v>
      </c>
      <c r="AJ167" s="95">
        <f t="shared" si="77"/>
        <v>0</v>
      </c>
      <c r="AK167" s="96">
        <f t="shared" si="83"/>
        <v>0</v>
      </c>
      <c r="AL167" s="97">
        <f t="shared" si="78"/>
        <v>0</v>
      </c>
      <c r="AN167" s="89">
        <v>1.8406487321405585E-2</v>
      </c>
      <c r="AO167" s="94"/>
      <c r="AP167" s="91"/>
      <c r="AQ167" s="92"/>
      <c r="AR167" s="92"/>
      <c r="AS167" s="92"/>
      <c r="AT167" s="92"/>
      <c r="AU167" s="92"/>
      <c r="AV167" s="92"/>
      <c r="AW167" s="140">
        <v>0</v>
      </c>
      <c r="AX167" s="94"/>
      <c r="AY167" s="91"/>
      <c r="AZ167" s="92"/>
      <c r="BA167" s="92"/>
      <c r="BB167" s="92"/>
      <c r="BC167" s="92"/>
      <c r="BD167" s="92"/>
      <c r="BE167" s="92"/>
      <c r="BF167" s="140">
        <v>0</v>
      </c>
      <c r="BG167" s="94"/>
      <c r="BH167" s="91"/>
      <c r="BI167" s="92"/>
      <c r="BJ167" s="92"/>
      <c r="BK167" s="92"/>
      <c r="BL167" s="92"/>
      <c r="BM167" s="92"/>
      <c r="BN167" s="92"/>
      <c r="BO167" s="140">
        <f t="shared" si="84"/>
        <v>0</v>
      </c>
      <c r="BP167" s="95">
        <f t="shared" si="85"/>
        <v>0</v>
      </c>
      <c r="BQ167" s="96">
        <f t="shared" si="86"/>
        <v>0</v>
      </c>
      <c r="BR167" s="97">
        <f t="shared" si="87"/>
        <v>0</v>
      </c>
      <c r="BT167" s="146"/>
      <c r="BU167" s="94"/>
      <c r="BV167" s="91"/>
      <c r="BW167" s="92"/>
      <c r="BX167" s="92"/>
      <c r="BY167" s="92"/>
      <c r="BZ167" s="92"/>
      <c r="CA167" s="92"/>
      <c r="CB167" s="92"/>
      <c r="CC167" s="140">
        <f t="shared" si="88"/>
        <v>0</v>
      </c>
      <c r="CD167" s="94"/>
      <c r="CE167" s="91"/>
      <c r="CF167" s="92"/>
      <c r="CG167" s="92"/>
      <c r="CH167" s="92"/>
      <c r="CI167" s="92"/>
      <c r="CJ167" s="92"/>
      <c r="CK167" s="92"/>
      <c r="CL167" s="140">
        <f t="shared" si="89"/>
        <v>0</v>
      </c>
      <c r="CM167" s="94"/>
      <c r="CN167" s="91"/>
      <c r="CO167" s="92"/>
      <c r="CP167" s="92"/>
      <c r="CQ167" s="92"/>
      <c r="CR167" s="92"/>
      <c r="CS167" s="92"/>
      <c r="CT167" s="92"/>
      <c r="CU167" s="140">
        <f t="shared" si="90"/>
        <v>0</v>
      </c>
      <c r="CV167" s="95">
        <f t="shared" si="91"/>
        <v>0</v>
      </c>
      <c r="CW167" s="96">
        <f t="shared" si="92"/>
        <v>0</v>
      </c>
      <c r="CX167" s="97">
        <f t="shared" si="93"/>
        <v>0</v>
      </c>
      <c r="CZ167" s="146" t="s">
        <v>288</v>
      </c>
      <c r="DA167" s="94"/>
      <c r="DB167" s="91"/>
      <c r="DC167" s="92"/>
      <c r="DD167" s="92"/>
      <c r="DE167" s="92"/>
      <c r="DF167" s="92"/>
      <c r="DG167" s="92"/>
      <c r="DH167" s="92"/>
      <c r="DI167" s="140">
        <f t="shared" si="94"/>
        <v>0</v>
      </c>
      <c r="DJ167" s="94"/>
      <c r="DK167" s="91"/>
      <c r="DL167" s="92"/>
      <c r="DM167" s="92"/>
      <c r="DN167" s="92"/>
      <c r="DO167" s="92"/>
      <c r="DP167" s="92"/>
      <c r="DQ167" s="92"/>
      <c r="DR167" s="140">
        <f t="shared" si="95"/>
        <v>0</v>
      </c>
      <c r="DS167" s="94"/>
      <c r="DT167" s="91"/>
      <c r="DU167" s="92"/>
      <c r="DV167" s="92"/>
      <c r="DW167" s="92"/>
      <c r="DX167" s="92"/>
      <c r="DY167" s="92"/>
      <c r="DZ167" s="92"/>
      <c r="EA167" s="140">
        <f t="shared" si="96"/>
        <v>0</v>
      </c>
      <c r="EB167" s="95">
        <f t="shared" si="97"/>
        <v>0</v>
      </c>
      <c r="EC167" s="96">
        <f t="shared" si="98"/>
        <v>0</v>
      </c>
      <c r="ED167" s="97">
        <f t="shared" si="99"/>
        <v>0</v>
      </c>
    </row>
    <row r="168" spans="1:134" ht="21.95" hidden="1" customHeight="1" x14ac:dyDescent="0.5">
      <c r="A168" s="83"/>
      <c r="B168" s="99"/>
      <c r="C168" s="143"/>
      <c r="D168" s="99"/>
      <c r="E168" s="105"/>
      <c r="F168" s="87"/>
      <c r="G168" s="141"/>
      <c r="H168" s="146"/>
      <c r="I168" s="94">
        <f t="shared" si="79"/>
        <v>0</v>
      </c>
      <c r="J168" s="91">
        <f t="shared" si="76"/>
        <v>0</v>
      </c>
      <c r="K168" s="92"/>
      <c r="L168" s="92"/>
      <c r="M168" s="92"/>
      <c r="N168" s="92"/>
      <c r="O168" s="92"/>
      <c r="P168" s="92"/>
      <c r="Q168" s="93">
        <f t="shared" si="80"/>
        <v>0</v>
      </c>
      <c r="R168" s="94"/>
      <c r="S168" s="91"/>
      <c r="T168" s="92"/>
      <c r="U168" s="92"/>
      <c r="V168" s="92"/>
      <c r="W168" s="92"/>
      <c r="X168" s="92"/>
      <c r="Y168" s="92"/>
      <c r="Z168" s="93">
        <f t="shared" si="81"/>
        <v>0</v>
      </c>
      <c r="AA168" s="94"/>
      <c r="AB168" s="91"/>
      <c r="AC168" s="92"/>
      <c r="AD168" s="92"/>
      <c r="AE168" s="92"/>
      <c r="AF168" s="92"/>
      <c r="AG168" s="92"/>
      <c r="AH168" s="92"/>
      <c r="AI168" s="93">
        <f t="shared" si="82"/>
        <v>0</v>
      </c>
      <c r="AJ168" s="95">
        <f t="shared" si="77"/>
        <v>0</v>
      </c>
      <c r="AK168" s="96">
        <f t="shared" si="83"/>
        <v>0</v>
      </c>
      <c r="AL168" s="97">
        <f t="shared" si="78"/>
        <v>0</v>
      </c>
      <c r="AN168" s="89">
        <v>2.3710970049657548E-3</v>
      </c>
      <c r="AO168" s="94"/>
      <c r="AP168" s="91"/>
      <c r="AQ168" s="92"/>
      <c r="AR168" s="92"/>
      <c r="AS168" s="92"/>
      <c r="AT168" s="92"/>
      <c r="AU168" s="92"/>
      <c r="AV168" s="92"/>
      <c r="AW168" s="140">
        <v>0</v>
      </c>
      <c r="AX168" s="94"/>
      <c r="AY168" s="91"/>
      <c r="AZ168" s="92"/>
      <c r="BA168" s="92"/>
      <c r="BB168" s="92"/>
      <c r="BC168" s="92"/>
      <c r="BD168" s="92"/>
      <c r="BE168" s="92"/>
      <c r="BF168" s="140">
        <v>0</v>
      </c>
      <c r="BG168" s="94"/>
      <c r="BH168" s="91"/>
      <c r="BI168" s="92"/>
      <c r="BJ168" s="92"/>
      <c r="BK168" s="92"/>
      <c r="BL168" s="92"/>
      <c r="BM168" s="92"/>
      <c r="BN168" s="92"/>
      <c r="BO168" s="140">
        <f t="shared" si="84"/>
        <v>0</v>
      </c>
      <c r="BP168" s="95">
        <f t="shared" si="85"/>
        <v>0</v>
      </c>
      <c r="BQ168" s="96">
        <f t="shared" si="86"/>
        <v>0</v>
      </c>
      <c r="BR168" s="97">
        <f t="shared" si="87"/>
        <v>0</v>
      </c>
      <c r="BT168" s="146"/>
      <c r="BU168" s="94"/>
      <c r="BV168" s="91"/>
      <c r="BW168" s="92"/>
      <c r="BX168" s="92"/>
      <c r="BY168" s="92"/>
      <c r="BZ168" s="92"/>
      <c r="CA168" s="92"/>
      <c r="CB168" s="92"/>
      <c r="CC168" s="140">
        <f t="shared" si="88"/>
        <v>0</v>
      </c>
      <c r="CD168" s="94"/>
      <c r="CE168" s="91"/>
      <c r="CF168" s="92"/>
      <c r="CG168" s="92"/>
      <c r="CH168" s="92"/>
      <c r="CI168" s="92"/>
      <c r="CJ168" s="92"/>
      <c r="CK168" s="92"/>
      <c r="CL168" s="140">
        <f t="shared" si="89"/>
        <v>0</v>
      </c>
      <c r="CM168" s="94"/>
      <c r="CN168" s="91"/>
      <c r="CO168" s="92"/>
      <c r="CP168" s="92"/>
      <c r="CQ168" s="92"/>
      <c r="CR168" s="92"/>
      <c r="CS168" s="92"/>
      <c r="CT168" s="92"/>
      <c r="CU168" s="140">
        <f t="shared" si="90"/>
        <v>0</v>
      </c>
      <c r="CV168" s="95">
        <f t="shared" si="91"/>
        <v>0</v>
      </c>
      <c r="CW168" s="96">
        <f t="shared" si="92"/>
        <v>0</v>
      </c>
      <c r="CX168" s="97">
        <f t="shared" si="93"/>
        <v>0</v>
      </c>
      <c r="CZ168" s="146" t="s">
        <v>288</v>
      </c>
      <c r="DA168" s="94"/>
      <c r="DB168" s="91"/>
      <c r="DC168" s="92"/>
      <c r="DD168" s="92"/>
      <c r="DE168" s="92"/>
      <c r="DF168" s="92"/>
      <c r="DG168" s="92"/>
      <c r="DH168" s="92"/>
      <c r="DI168" s="140">
        <f t="shared" si="94"/>
        <v>0</v>
      </c>
      <c r="DJ168" s="94"/>
      <c r="DK168" s="91"/>
      <c r="DL168" s="92"/>
      <c r="DM168" s="92"/>
      <c r="DN168" s="92"/>
      <c r="DO168" s="92"/>
      <c r="DP168" s="92"/>
      <c r="DQ168" s="92"/>
      <c r="DR168" s="140">
        <f t="shared" si="95"/>
        <v>0</v>
      </c>
      <c r="DS168" s="94"/>
      <c r="DT168" s="91"/>
      <c r="DU168" s="92"/>
      <c r="DV168" s="92"/>
      <c r="DW168" s="92"/>
      <c r="DX168" s="92"/>
      <c r="DY168" s="92"/>
      <c r="DZ168" s="92"/>
      <c r="EA168" s="140">
        <f t="shared" si="96"/>
        <v>0</v>
      </c>
      <c r="EB168" s="95">
        <f t="shared" si="97"/>
        <v>0</v>
      </c>
      <c r="EC168" s="96">
        <f t="shared" si="98"/>
        <v>0</v>
      </c>
      <c r="ED168" s="97">
        <f t="shared" si="99"/>
        <v>0</v>
      </c>
    </row>
    <row r="169" spans="1:134" ht="21.95" hidden="1" customHeight="1" x14ac:dyDescent="0.5">
      <c r="A169" s="83"/>
      <c r="B169" s="99"/>
      <c r="C169" s="143"/>
      <c r="D169" s="99"/>
      <c r="E169" s="105"/>
      <c r="F169" s="87"/>
      <c r="G169" s="141"/>
      <c r="H169" s="146"/>
      <c r="I169" s="94">
        <f t="shared" si="79"/>
        <v>0</v>
      </c>
      <c r="J169" s="91">
        <f t="shared" si="76"/>
        <v>0</v>
      </c>
      <c r="K169" s="92"/>
      <c r="L169" s="92"/>
      <c r="M169" s="92"/>
      <c r="N169" s="92"/>
      <c r="O169" s="92"/>
      <c r="P169" s="92"/>
      <c r="Q169" s="93">
        <f t="shared" si="80"/>
        <v>0</v>
      </c>
      <c r="R169" s="94"/>
      <c r="S169" s="91"/>
      <c r="T169" s="92"/>
      <c r="U169" s="92"/>
      <c r="V169" s="92"/>
      <c r="W169" s="92"/>
      <c r="X169" s="92"/>
      <c r="Y169" s="92"/>
      <c r="Z169" s="93">
        <f t="shared" si="81"/>
        <v>0</v>
      </c>
      <c r="AA169" s="94"/>
      <c r="AB169" s="91"/>
      <c r="AC169" s="92"/>
      <c r="AD169" s="92"/>
      <c r="AE169" s="92"/>
      <c r="AF169" s="92"/>
      <c r="AG169" s="92"/>
      <c r="AH169" s="92"/>
      <c r="AI169" s="93">
        <f t="shared" si="82"/>
        <v>0</v>
      </c>
      <c r="AJ169" s="95">
        <f t="shared" si="77"/>
        <v>0</v>
      </c>
      <c r="AK169" s="96">
        <f t="shared" si="83"/>
        <v>0</v>
      </c>
      <c r="AL169" s="97">
        <f t="shared" si="78"/>
        <v>0</v>
      </c>
      <c r="AN169" s="89">
        <v>3.8039170522522037E-2</v>
      </c>
      <c r="AO169" s="94"/>
      <c r="AP169" s="91"/>
      <c r="AQ169" s="92"/>
      <c r="AR169" s="92"/>
      <c r="AS169" s="92"/>
      <c r="AT169" s="92"/>
      <c r="AU169" s="92"/>
      <c r="AV169" s="92"/>
      <c r="AW169" s="140">
        <v>0</v>
      </c>
      <c r="AX169" s="94"/>
      <c r="AY169" s="91"/>
      <c r="AZ169" s="92"/>
      <c r="BA169" s="92"/>
      <c r="BB169" s="92"/>
      <c r="BC169" s="92"/>
      <c r="BD169" s="92"/>
      <c r="BE169" s="92"/>
      <c r="BF169" s="140">
        <v>0</v>
      </c>
      <c r="BG169" s="94"/>
      <c r="BH169" s="91"/>
      <c r="BI169" s="92"/>
      <c r="BJ169" s="92"/>
      <c r="BK169" s="92"/>
      <c r="BL169" s="92"/>
      <c r="BM169" s="92"/>
      <c r="BN169" s="92"/>
      <c r="BO169" s="140">
        <f t="shared" si="84"/>
        <v>0</v>
      </c>
      <c r="BP169" s="95">
        <f t="shared" si="85"/>
        <v>0</v>
      </c>
      <c r="BQ169" s="96">
        <f t="shared" si="86"/>
        <v>0</v>
      </c>
      <c r="BR169" s="97">
        <f t="shared" si="87"/>
        <v>0</v>
      </c>
      <c r="BT169" s="146"/>
      <c r="BU169" s="94"/>
      <c r="BV169" s="91"/>
      <c r="BW169" s="92"/>
      <c r="BX169" s="92"/>
      <c r="BY169" s="92"/>
      <c r="BZ169" s="92"/>
      <c r="CA169" s="92"/>
      <c r="CB169" s="92"/>
      <c r="CC169" s="140">
        <f t="shared" si="88"/>
        <v>0</v>
      </c>
      <c r="CD169" s="94"/>
      <c r="CE169" s="91"/>
      <c r="CF169" s="92"/>
      <c r="CG169" s="92"/>
      <c r="CH169" s="92"/>
      <c r="CI169" s="92"/>
      <c r="CJ169" s="92"/>
      <c r="CK169" s="92"/>
      <c r="CL169" s="140">
        <f t="shared" si="89"/>
        <v>0</v>
      </c>
      <c r="CM169" s="94"/>
      <c r="CN169" s="91"/>
      <c r="CO169" s="92"/>
      <c r="CP169" s="92"/>
      <c r="CQ169" s="92"/>
      <c r="CR169" s="92"/>
      <c r="CS169" s="92"/>
      <c r="CT169" s="92"/>
      <c r="CU169" s="140">
        <f t="shared" si="90"/>
        <v>0</v>
      </c>
      <c r="CV169" s="95">
        <f t="shared" si="91"/>
        <v>0</v>
      </c>
      <c r="CW169" s="96">
        <f t="shared" si="92"/>
        <v>0</v>
      </c>
      <c r="CX169" s="97">
        <f t="shared" si="93"/>
        <v>0</v>
      </c>
      <c r="CZ169" s="146" t="s">
        <v>288</v>
      </c>
      <c r="DA169" s="94"/>
      <c r="DB169" s="91"/>
      <c r="DC169" s="92"/>
      <c r="DD169" s="92"/>
      <c r="DE169" s="92"/>
      <c r="DF169" s="92"/>
      <c r="DG169" s="92"/>
      <c r="DH169" s="92"/>
      <c r="DI169" s="140">
        <f t="shared" si="94"/>
        <v>0</v>
      </c>
      <c r="DJ169" s="94"/>
      <c r="DK169" s="91"/>
      <c r="DL169" s="92"/>
      <c r="DM169" s="92"/>
      <c r="DN169" s="92"/>
      <c r="DO169" s="92"/>
      <c r="DP169" s="92"/>
      <c r="DQ169" s="92"/>
      <c r="DR169" s="140">
        <f t="shared" si="95"/>
        <v>0</v>
      </c>
      <c r="DS169" s="94"/>
      <c r="DT169" s="91"/>
      <c r="DU169" s="92"/>
      <c r="DV169" s="92"/>
      <c r="DW169" s="92"/>
      <c r="DX169" s="92"/>
      <c r="DY169" s="92"/>
      <c r="DZ169" s="92"/>
      <c r="EA169" s="140">
        <f t="shared" si="96"/>
        <v>0</v>
      </c>
      <c r="EB169" s="95">
        <f t="shared" si="97"/>
        <v>0</v>
      </c>
      <c r="EC169" s="96">
        <f t="shared" si="98"/>
        <v>0</v>
      </c>
      <c r="ED169" s="97">
        <f t="shared" si="99"/>
        <v>0</v>
      </c>
    </row>
    <row r="170" spans="1:134" ht="21.95" hidden="1" customHeight="1" x14ac:dyDescent="0.5">
      <c r="A170" s="83"/>
      <c r="B170" s="99"/>
      <c r="C170" s="143"/>
      <c r="D170" s="99"/>
      <c r="E170" s="105"/>
      <c r="F170" s="87"/>
      <c r="G170" s="141"/>
      <c r="H170" s="146"/>
      <c r="I170" s="94">
        <f t="shared" si="79"/>
        <v>0</v>
      </c>
      <c r="J170" s="91">
        <f t="shared" si="76"/>
        <v>0</v>
      </c>
      <c r="K170" s="92"/>
      <c r="L170" s="92"/>
      <c r="M170" s="92"/>
      <c r="N170" s="92"/>
      <c r="O170" s="92"/>
      <c r="P170" s="92"/>
      <c r="Q170" s="93">
        <f t="shared" si="80"/>
        <v>0</v>
      </c>
      <c r="R170" s="94"/>
      <c r="S170" s="91"/>
      <c r="T170" s="92"/>
      <c r="U170" s="92"/>
      <c r="V170" s="92"/>
      <c r="W170" s="92"/>
      <c r="X170" s="92"/>
      <c r="Y170" s="92"/>
      <c r="Z170" s="93">
        <f t="shared" si="81"/>
        <v>0</v>
      </c>
      <c r="AA170" s="94"/>
      <c r="AB170" s="91"/>
      <c r="AC170" s="92"/>
      <c r="AD170" s="92"/>
      <c r="AE170" s="92"/>
      <c r="AF170" s="92"/>
      <c r="AG170" s="92"/>
      <c r="AH170" s="92"/>
      <c r="AI170" s="93">
        <f t="shared" si="82"/>
        <v>0</v>
      </c>
      <c r="AJ170" s="95">
        <f t="shared" si="77"/>
        <v>0</v>
      </c>
      <c r="AK170" s="96">
        <f t="shared" si="83"/>
        <v>0</v>
      </c>
      <c r="AL170" s="97">
        <f t="shared" si="78"/>
        <v>0</v>
      </c>
      <c r="AN170" s="89">
        <v>1.666542466347359E-2</v>
      </c>
      <c r="AO170" s="94"/>
      <c r="AP170" s="91"/>
      <c r="AQ170" s="92"/>
      <c r="AR170" s="92"/>
      <c r="AS170" s="92"/>
      <c r="AT170" s="92"/>
      <c r="AU170" s="92"/>
      <c r="AV170" s="92"/>
      <c r="AW170" s="140">
        <v>0</v>
      </c>
      <c r="AX170" s="94"/>
      <c r="AY170" s="91"/>
      <c r="AZ170" s="92"/>
      <c r="BA170" s="92"/>
      <c r="BB170" s="92"/>
      <c r="BC170" s="92"/>
      <c r="BD170" s="92"/>
      <c r="BE170" s="92"/>
      <c r="BF170" s="140">
        <v>0</v>
      </c>
      <c r="BG170" s="94"/>
      <c r="BH170" s="91"/>
      <c r="BI170" s="92"/>
      <c r="BJ170" s="92"/>
      <c r="BK170" s="92"/>
      <c r="BL170" s="92"/>
      <c r="BM170" s="92"/>
      <c r="BN170" s="92"/>
      <c r="BO170" s="140">
        <f t="shared" si="84"/>
        <v>0</v>
      </c>
      <c r="BP170" s="95">
        <f t="shared" si="85"/>
        <v>0</v>
      </c>
      <c r="BQ170" s="96">
        <f t="shared" si="86"/>
        <v>0</v>
      </c>
      <c r="BR170" s="97">
        <f t="shared" si="87"/>
        <v>0</v>
      </c>
      <c r="BT170" s="146"/>
      <c r="BU170" s="94"/>
      <c r="BV170" s="91"/>
      <c r="BW170" s="92"/>
      <c r="BX170" s="92"/>
      <c r="BY170" s="92"/>
      <c r="BZ170" s="92"/>
      <c r="CA170" s="92"/>
      <c r="CB170" s="92"/>
      <c r="CC170" s="140">
        <f t="shared" si="88"/>
        <v>0</v>
      </c>
      <c r="CD170" s="94"/>
      <c r="CE170" s="91"/>
      <c r="CF170" s="92"/>
      <c r="CG170" s="92"/>
      <c r="CH170" s="92"/>
      <c r="CI170" s="92"/>
      <c r="CJ170" s="92"/>
      <c r="CK170" s="92"/>
      <c r="CL170" s="140">
        <f t="shared" si="89"/>
        <v>0</v>
      </c>
      <c r="CM170" s="94"/>
      <c r="CN170" s="91"/>
      <c r="CO170" s="92"/>
      <c r="CP170" s="92"/>
      <c r="CQ170" s="92"/>
      <c r="CR170" s="92"/>
      <c r="CS170" s="92"/>
      <c r="CT170" s="92"/>
      <c r="CU170" s="140">
        <f t="shared" si="90"/>
        <v>0</v>
      </c>
      <c r="CV170" s="95">
        <f t="shared" si="91"/>
        <v>0</v>
      </c>
      <c r="CW170" s="96">
        <f t="shared" si="92"/>
        <v>0</v>
      </c>
      <c r="CX170" s="97">
        <f t="shared" si="93"/>
        <v>0</v>
      </c>
      <c r="CZ170" s="146" t="s">
        <v>288</v>
      </c>
      <c r="DA170" s="94"/>
      <c r="DB170" s="91"/>
      <c r="DC170" s="92"/>
      <c r="DD170" s="92"/>
      <c r="DE170" s="92"/>
      <c r="DF170" s="92"/>
      <c r="DG170" s="92"/>
      <c r="DH170" s="92"/>
      <c r="DI170" s="140">
        <f t="shared" si="94"/>
        <v>0</v>
      </c>
      <c r="DJ170" s="94"/>
      <c r="DK170" s="91"/>
      <c r="DL170" s="92"/>
      <c r="DM170" s="92"/>
      <c r="DN170" s="92"/>
      <c r="DO170" s="92"/>
      <c r="DP170" s="92"/>
      <c r="DQ170" s="92"/>
      <c r="DR170" s="140">
        <f t="shared" si="95"/>
        <v>0</v>
      </c>
      <c r="DS170" s="94"/>
      <c r="DT170" s="91"/>
      <c r="DU170" s="92"/>
      <c r="DV170" s="92"/>
      <c r="DW170" s="92"/>
      <c r="DX170" s="92"/>
      <c r="DY170" s="92"/>
      <c r="DZ170" s="92"/>
      <c r="EA170" s="140">
        <f t="shared" si="96"/>
        <v>0</v>
      </c>
      <c r="EB170" s="95">
        <f t="shared" si="97"/>
        <v>0</v>
      </c>
      <c r="EC170" s="96">
        <f t="shared" si="98"/>
        <v>0</v>
      </c>
      <c r="ED170" s="97">
        <f t="shared" si="99"/>
        <v>0</v>
      </c>
    </row>
    <row r="171" spans="1:134" ht="21.95" hidden="1" customHeight="1" x14ac:dyDescent="0.5">
      <c r="A171" s="83"/>
      <c r="B171" s="99"/>
      <c r="C171" s="143"/>
      <c r="D171" s="105"/>
      <c r="E171" s="105"/>
      <c r="F171" s="87"/>
      <c r="G171" s="141"/>
      <c r="H171" s="146"/>
      <c r="I171" s="94">
        <f t="shared" si="79"/>
        <v>0</v>
      </c>
      <c r="J171" s="91">
        <f t="shared" si="76"/>
        <v>0</v>
      </c>
      <c r="K171" s="92"/>
      <c r="L171" s="92"/>
      <c r="M171" s="92"/>
      <c r="N171" s="92"/>
      <c r="O171" s="92"/>
      <c r="P171" s="92"/>
      <c r="Q171" s="93">
        <f t="shared" si="80"/>
        <v>0</v>
      </c>
      <c r="R171" s="94"/>
      <c r="S171" s="91"/>
      <c r="T171" s="92"/>
      <c r="U171" s="92"/>
      <c r="V171" s="92"/>
      <c r="W171" s="92"/>
      <c r="X171" s="92"/>
      <c r="Y171" s="92"/>
      <c r="Z171" s="93">
        <f t="shared" si="81"/>
        <v>0</v>
      </c>
      <c r="AA171" s="94"/>
      <c r="AB171" s="91"/>
      <c r="AC171" s="92"/>
      <c r="AD171" s="92"/>
      <c r="AE171" s="92"/>
      <c r="AF171" s="92"/>
      <c r="AG171" s="92"/>
      <c r="AH171" s="92"/>
      <c r="AI171" s="93">
        <f t="shared" si="82"/>
        <v>0</v>
      </c>
      <c r="AJ171" s="95">
        <f t="shared" si="77"/>
        <v>0</v>
      </c>
      <c r="AK171" s="96">
        <f t="shared" si="83"/>
        <v>0</v>
      </c>
      <c r="AL171" s="97">
        <f t="shared" si="78"/>
        <v>0</v>
      </c>
      <c r="AN171" s="89">
        <v>4.6067027525048945E-2</v>
      </c>
      <c r="AO171" s="94"/>
      <c r="AP171" s="91"/>
      <c r="AQ171" s="92"/>
      <c r="AR171" s="92"/>
      <c r="AS171" s="92"/>
      <c r="AT171" s="92"/>
      <c r="AU171" s="92"/>
      <c r="AV171" s="92"/>
      <c r="AW171" s="140">
        <v>0</v>
      </c>
      <c r="AX171" s="94"/>
      <c r="AY171" s="91"/>
      <c r="AZ171" s="92"/>
      <c r="BA171" s="92"/>
      <c r="BB171" s="92"/>
      <c r="BC171" s="92"/>
      <c r="BD171" s="92"/>
      <c r="BE171" s="92"/>
      <c r="BF171" s="140">
        <v>0</v>
      </c>
      <c r="BG171" s="94"/>
      <c r="BH171" s="91"/>
      <c r="BI171" s="92"/>
      <c r="BJ171" s="92"/>
      <c r="BK171" s="92"/>
      <c r="BL171" s="92"/>
      <c r="BM171" s="92"/>
      <c r="BN171" s="92"/>
      <c r="BO171" s="140">
        <f t="shared" si="84"/>
        <v>0</v>
      </c>
      <c r="BP171" s="95">
        <f t="shared" si="85"/>
        <v>0</v>
      </c>
      <c r="BQ171" s="96">
        <f t="shared" si="86"/>
        <v>0</v>
      </c>
      <c r="BR171" s="97">
        <f t="shared" si="87"/>
        <v>0</v>
      </c>
      <c r="BT171" s="146"/>
      <c r="BU171" s="94"/>
      <c r="BV171" s="91"/>
      <c r="BW171" s="92"/>
      <c r="BX171" s="92"/>
      <c r="BY171" s="92"/>
      <c r="BZ171" s="92"/>
      <c r="CA171" s="92"/>
      <c r="CB171" s="92"/>
      <c r="CC171" s="140">
        <f t="shared" si="88"/>
        <v>0</v>
      </c>
      <c r="CD171" s="94"/>
      <c r="CE171" s="91"/>
      <c r="CF171" s="92"/>
      <c r="CG171" s="92"/>
      <c r="CH171" s="92"/>
      <c r="CI171" s="92"/>
      <c r="CJ171" s="92"/>
      <c r="CK171" s="92"/>
      <c r="CL171" s="140">
        <f t="shared" si="89"/>
        <v>0</v>
      </c>
      <c r="CM171" s="94"/>
      <c r="CN171" s="91"/>
      <c r="CO171" s="92"/>
      <c r="CP171" s="92"/>
      <c r="CQ171" s="92"/>
      <c r="CR171" s="92"/>
      <c r="CS171" s="92"/>
      <c r="CT171" s="92"/>
      <c r="CU171" s="140">
        <f t="shared" si="90"/>
        <v>0</v>
      </c>
      <c r="CV171" s="95">
        <f t="shared" si="91"/>
        <v>0</v>
      </c>
      <c r="CW171" s="96">
        <f t="shared" si="92"/>
        <v>0</v>
      </c>
      <c r="CX171" s="97">
        <f t="shared" si="93"/>
        <v>0</v>
      </c>
      <c r="CZ171" s="146" t="s">
        <v>288</v>
      </c>
      <c r="DA171" s="94"/>
      <c r="DB171" s="91"/>
      <c r="DC171" s="92"/>
      <c r="DD171" s="92"/>
      <c r="DE171" s="92"/>
      <c r="DF171" s="92"/>
      <c r="DG171" s="92"/>
      <c r="DH171" s="92"/>
      <c r="DI171" s="140">
        <f t="shared" si="94"/>
        <v>0</v>
      </c>
      <c r="DJ171" s="94"/>
      <c r="DK171" s="91"/>
      <c r="DL171" s="92"/>
      <c r="DM171" s="92"/>
      <c r="DN171" s="92"/>
      <c r="DO171" s="92"/>
      <c r="DP171" s="92"/>
      <c r="DQ171" s="92"/>
      <c r="DR171" s="140">
        <f t="shared" si="95"/>
        <v>0</v>
      </c>
      <c r="DS171" s="94"/>
      <c r="DT171" s="91"/>
      <c r="DU171" s="92"/>
      <c r="DV171" s="92"/>
      <c r="DW171" s="92"/>
      <c r="DX171" s="92"/>
      <c r="DY171" s="92"/>
      <c r="DZ171" s="92"/>
      <c r="EA171" s="140">
        <f t="shared" si="96"/>
        <v>0</v>
      </c>
      <c r="EB171" s="95">
        <f t="shared" si="97"/>
        <v>0</v>
      </c>
      <c r="EC171" s="96">
        <f t="shared" si="98"/>
        <v>0</v>
      </c>
      <c r="ED171" s="97">
        <f t="shared" si="99"/>
        <v>0</v>
      </c>
    </row>
    <row r="172" spans="1:134" ht="21.95" hidden="1" customHeight="1" x14ac:dyDescent="0.5">
      <c r="A172" s="83"/>
      <c r="B172" s="99"/>
      <c r="C172" s="99"/>
      <c r="D172" s="100"/>
      <c r="E172" s="149"/>
      <c r="F172" s="87"/>
      <c r="G172" s="141"/>
      <c r="H172" s="146"/>
      <c r="I172" s="94">
        <f t="shared" si="79"/>
        <v>0</v>
      </c>
      <c r="J172" s="91">
        <f t="shared" si="76"/>
        <v>0</v>
      </c>
      <c r="K172" s="92"/>
      <c r="L172" s="92"/>
      <c r="M172" s="92"/>
      <c r="N172" s="92"/>
      <c r="O172" s="92"/>
      <c r="P172" s="92"/>
      <c r="Q172" s="93">
        <f t="shared" si="80"/>
        <v>0</v>
      </c>
      <c r="R172" s="94"/>
      <c r="S172" s="91"/>
      <c r="T172" s="92"/>
      <c r="U172" s="92"/>
      <c r="V172" s="92"/>
      <c r="W172" s="92"/>
      <c r="X172" s="92"/>
      <c r="Y172" s="92"/>
      <c r="Z172" s="93">
        <f t="shared" si="81"/>
        <v>0</v>
      </c>
      <c r="AA172" s="94"/>
      <c r="AB172" s="91"/>
      <c r="AC172" s="92"/>
      <c r="AD172" s="92"/>
      <c r="AE172" s="92"/>
      <c r="AF172" s="92"/>
      <c r="AG172" s="92"/>
      <c r="AH172" s="92"/>
      <c r="AI172" s="93">
        <f t="shared" si="82"/>
        <v>0</v>
      </c>
      <c r="AJ172" s="95">
        <f t="shared" si="77"/>
        <v>0</v>
      </c>
      <c r="AK172" s="96">
        <f t="shared" si="83"/>
        <v>0</v>
      </c>
      <c r="AL172" s="97">
        <f t="shared" si="78"/>
        <v>0</v>
      </c>
      <c r="AN172" s="89">
        <v>4.7421940099315095E-3</v>
      </c>
      <c r="AO172" s="94"/>
      <c r="AP172" s="91"/>
      <c r="AQ172" s="92"/>
      <c r="AR172" s="92"/>
      <c r="AS172" s="92"/>
      <c r="AT172" s="92"/>
      <c r="AU172" s="92"/>
      <c r="AV172" s="92"/>
      <c r="AW172" s="140">
        <v>0</v>
      </c>
      <c r="AX172" s="94"/>
      <c r="AY172" s="91"/>
      <c r="AZ172" s="92"/>
      <c r="BA172" s="92"/>
      <c r="BB172" s="92"/>
      <c r="BC172" s="92"/>
      <c r="BD172" s="92"/>
      <c r="BE172" s="92"/>
      <c r="BF172" s="140">
        <v>0</v>
      </c>
      <c r="BG172" s="94"/>
      <c r="BH172" s="91"/>
      <c r="BI172" s="92"/>
      <c r="BJ172" s="92"/>
      <c r="BK172" s="92"/>
      <c r="BL172" s="92"/>
      <c r="BM172" s="92"/>
      <c r="BN172" s="92"/>
      <c r="BO172" s="140">
        <f t="shared" si="84"/>
        <v>0</v>
      </c>
      <c r="BP172" s="95">
        <f t="shared" si="85"/>
        <v>0</v>
      </c>
      <c r="BQ172" s="96">
        <f t="shared" si="86"/>
        <v>0</v>
      </c>
      <c r="BR172" s="97">
        <f t="shared" si="87"/>
        <v>0</v>
      </c>
      <c r="BT172" s="146"/>
      <c r="BU172" s="94"/>
      <c r="BV172" s="91"/>
      <c r="BW172" s="92"/>
      <c r="BX172" s="92"/>
      <c r="BY172" s="92"/>
      <c r="BZ172" s="92"/>
      <c r="CA172" s="92"/>
      <c r="CB172" s="92"/>
      <c r="CC172" s="140">
        <f t="shared" si="88"/>
        <v>0</v>
      </c>
      <c r="CD172" s="94"/>
      <c r="CE172" s="91"/>
      <c r="CF172" s="92"/>
      <c r="CG172" s="92"/>
      <c r="CH172" s="92"/>
      <c r="CI172" s="92"/>
      <c r="CJ172" s="92"/>
      <c r="CK172" s="92"/>
      <c r="CL172" s="140">
        <f t="shared" si="89"/>
        <v>0</v>
      </c>
      <c r="CM172" s="94"/>
      <c r="CN172" s="91"/>
      <c r="CO172" s="92"/>
      <c r="CP172" s="92"/>
      <c r="CQ172" s="92"/>
      <c r="CR172" s="92"/>
      <c r="CS172" s="92"/>
      <c r="CT172" s="92"/>
      <c r="CU172" s="140">
        <f t="shared" si="90"/>
        <v>0</v>
      </c>
      <c r="CV172" s="95">
        <f t="shared" si="91"/>
        <v>0</v>
      </c>
      <c r="CW172" s="96">
        <f t="shared" si="92"/>
        <v>0</v>
      </c>
      <c r="CX172" s="97">
        <f t="shared" si="93"/>
        <v>0</v>
      </c>
      <c r="CZ172" s="146" t="s">
        <v>288</v>
      </c>
      <c r="DA172" s="94"/>
      <c r="DB172" s="91"/>
      <c r="DC172" s="92"/>
      <c r="DD172" s="92"/>
      <c r="DE172" s="92"/>
      <c r="DF172" s="92"/>
      <c r="DG172" s="92"/>
      <c r="DH172" s="92"/>
      <c r="DI172" s="140">
        <f t="shared" si="94"/>
        <v>0</v>
      </c>
      <c r="DJ172" s="94"/>
      <c r="DK172" s="91"/>
      <c r="DL172" s="92"/>
      <c r="DM172" s="92"/>
      <c r="DN172" s="92"/>
      <c r="DO172" s="92"/>
      <c r="DP172" s="92"/>
      <c r="DQ172" s="92"/>
      <c r="DR172" s="140">
        <f t="shared" si="95"/>
        <v>0</v>
      </c>
      <c r="DS172" s="94"/>
      <c r="DT172" s="91"/>
      <c r="DU172" s="92"/>
      <c r="DV172" s="92"/>
      <c r="DW172" s="92"/>
      <c r="DX172" s="92"/>
      <c r="DY172" s="92"/>
      <c r="DZ172" s="92"/>
      <c r="EA172" s="140">
        <f t="shared" si="96"/>
        <v>0</v>
      </c>
      <c r="EB172" s="95">
        <f t="shared" si="97"/>
        <v>0</v>
      </c>
      <c r="EC172" s="96">
        <f t="shared" si="98"/>
        <v>0</v>
      </c>
      <c r="ED172" s="97">
        <f t="shared" si="99"/>
        <v>0</v>
      </c>
    </row>
    <row r="173" spans="1:134" ht="21.95" hidden="1" customHeight="1" x14ac:dyDescent="0.5">
      <c r="A173" s="83"/>
      <c r="B173" s="99"/>
      <c r="C173" s="99"/>
      <c r="D173" s="100"/>
      <c r="E173" s="105"/>
      <c r="F173" s="87"/>
      <c r="G173" s="141"/>
      <c r="H173" s="146"/>
      <c r="I173" s="94">
        <f t="shared" si="79"/>
        <v>0</v>
      </c>
      <c r="J173" s="91">
        <f t="shared" si="76"/>
        <v>0</v>
      </c>
      <c r="K173" s="92"/>
      <c r="L173" s="92"/>
      <c r="M173" s="92"/>
      <c r="N173" s="92"/>
      <c r="O173" s="92"/>
      <c r="P173" s="92"/>
      <c r="Q173" s="93">
        <f t="shared" si="80"/>
        <v>0</v>
      </c>
      <c r="R173" s="94"/>
      <c r="S173" s="91"/>
      <c r="T173" s="92"/>
      <c r="U173" s="92"/>
      <c r="V173" s="92"/>
      <c r="W173" s="92"/>
      <c r="X173" s="92"/>
      <c r="Y173" s="92"/>
      <c r="Z173" s="93">
        <f t="shared" si="81"/>
        <v>0</v>
      </c>
      <c r="AA173" s="94"/>
      <c r="AB173" s="91"/>
      <c r="AC173" s="92"/>
      <c r="AD173" s="92"/>
      <c r="AE173" s="92"/>
      <c r="AF173" s="92"/>
      <c r="AG173" s="92"/>
      <c r="AH173" s="92"/>
      <c r="AI173" s="93">
        <f t="shared" si="82"/>
        <v>0</v>
      </c>
      <c r="AJ173" s="95">
        <f t="shared" si="77"/>
        <v>0</v>
      </c>
      <c r="AK173" s="96">
        <f t="shared" si="83"/>
        <v>0</v>
      </c>
      <c r="AL173" s="97">
        <f t="shared" si="78"/>
        <v>0</v>
      </c>
      <c r="AN173" s="89">
        <v>3.6582639505185928E-3</v>
      </c>
      <c r="AO173" s="94"/>
      <c r="AP173" s="91"/>
      <c r="AQ173" s="92"/>
      <c r="AR173" s="92"/>
      <c r="AS173" s="92"/>
      <c r="AT173" s="92"/>
      <c r="AU173" s="92"/>
      <c r="AV173" s="92"/>
      <c r="AW173" s="140">
        <v>0</v>
      </c>
      <c r="AX173" s="94"/>
      <c r="AY173" s="91"/>
      <c r="AZ173" s="92"/>
      <c r="BA173" s="92"/>
      <c r="BB173" s="92"/>
      <c r="BC173" s="92"/>
      <c r="BD173" s="92"/>
      <c r="BE173" s="92"/>
      <c r="BF173" s="140">
        <v>0</v>
      </c>
      <c r="BG173" s="94"/>
      <c r="BH173" s="91"/>
      <c r="BI173" s="92"/>
      <c r="BJ173" s="92"/>
      <c r="BK173" s="92"/>
      <c r="BL173" s="92"/>
      <c r="BM173" s="92"/>
      <c r="BN173" s="92"/>
      <c r="BO173" s="140">
        <f t="shared" si="84"/>
        <v>0</v>
      </c>
      <c r="BP173" s="95">
        <f t="shared" si="85"/>
        <v>0</v>
      </c>
      <c r="BQ173" s="96">
        <f t="shared" si="86"/>
        <v>0</v>
      </c>
      <c r="BR173" s="97">
        <f t="shared" si="87"/>
        <v>0</v>
      </c>
      <c r="BT173" s="146"/>
      <c r="BU173" s="94"/>
      <c r="BV173" s="91"/>
      <c r="BW173" s="92"/>
      <c r="BX173" s="92"/>
      <c r="BY173" s="92"/>
      <c r="BZ173" s="92"/>
      <c r="CA173" s="92"/>
      <c r="CB173" s="92"/>
      <c r="CC173" s="140">
        <f t="shared" si="88"/>
        <v>0</v>
      </c>
      <c r="CD173" s="94"/>
      <c r="CE173" s="91"/>
      <c r="CF173" s="92"/>
      <c r="CG173" s="92"/>
      <c r="CH173" s="92"/>
      <c r="CI173" s="92"/>
      <c r="CJ173" s="92"/>
      <c r="CK173" s="92"/>
      <c r="CL173" s="140">
        <f t="shared" si="89"/>
        <v>0</v>
      </c>
      <c r="CM173" s="94"/>
      <c r="CN173" s="91"/>
      <c r="CO173" s="92"/>
      <c r="CP173" s="92"/>
      <c r="CQ173" s="92"/>
      <c r="CR173" s="92"/>
      <c r="CS173" s="92"/>
      <c r="CT173" s="92"/>
      <c r="CU173" s="140">
        <f t="shared" si="90"/>
        <v>0</v>
      </c>
      <c r="CV173" s="95">
        <f t="shared" si="91"/>
        <v>0</v>
      </c>
      <c r="CW173" s="96">
        <f t="shared" si="92"/>
        <v>0</v>
      </c>
      <c r="CX173" s="97">
        <f t="shared" si="93"/>
        <v>0</v>
      </c>
      <c r="CZ173" s="146" t="s">
        <v>288</v>
      </c>
      <c r="DA173" s="94"/>
      <c r="DB173" s="91"/>
      <c r="DC173" s="92"/>
      <c r="DD173" s="92"/>
      <c r="DE173" s="92"/>
      <c r="DF173" s="92"/>
      <c r="DG173" s="92"/>
      <c r="DH173" s="92"/>
      <c r="DI173" s="140">
        <f t="shared" si="94"/>
        <v>0</v>
      </c>
      <c r="DJ173" s="94"/>
      <c r="DK173" s="91"/>
      <c r="DL173" s="92"/>
      <c r="DM173" s="92"/>
      <c r="DN173" s="92"/>
      <c r="DO173" s="92"/>
      <c r="DP173" s="92"/>
      <c r="DQ173" s="92"/>
      <c r="DR173" s="140">
        <f t="shared" si="95"/>
        <v>0</v>
      </c>
      <c r="DS173" s="94"/>
      <c r="DT173" s="91"/>
      <c r="DU173" s="92"/>
      <c r="DV173" s="92"/>
      <c r="DW173" s="92"/>
      <c r="DX173" s="92"/>
      <c r="DY173" s="92"/>
      <c r="DZ173" s="92"/>
      <c r="EA173" s="140">
        <f t="shared" si="96"/>
        <v>0</v>
      </c>
      <c r="EB173" s="95">
        <f t="shared" si="97"/>
        <v>0</v>
      </c>
      <c r="EC173" s="96">
        <f t="shared" si="98"/>
        <v>0</v>
      </c>
      <c r="ED173" s="97">
        <f t="shared" si="99"/>
        <v>0</v>
      </c>
    </row>
    <row r="174" spans="1:134" ht="21.95" hidden="1" customHeight="1" x14ac:dyDescent="0.5">
      <c r="A174" s="83"/>
      <c r="B174" s="99"/>
      <c r="C174" s="99"/>
      <c r="D174" s="100"/>
      <c r="E174" s="105"/>
      <c r="F174" s="87"/>
      <c r="G174" s="141"/>
      <c r="H174" s="146"/>
      <c r="I174" s="94">
        <f t="shared" si="79"/>
        <v>0</v>
      </c>
      <c r="J174" s="91">
        <f t="shared" si="76"/>
        <v>0</v>
      </c>
      <c r="K174" s="92"/>
      <c r="L174" s="92"/>
      <c r="M174" s="92"/>
      <c r="N174" s="92"/>
      <c r="O174" s="92"/>
      <c r="P174" s="92"/>
      <c r="Q174" s="93">
        <f t="shared" si="80"/>
        <v>0</v>
      </c>
      <c r="R174" s="94"/>
      <c r="S174" s="91"/>
      <c r="T174" s="92"/>
      <c r="U174" s="92"/>
      <c r="V174" s="92"/>
      <c r="W174" s="92"/>
      <c r="X174" s="92"/>
      <c r="Y174" s="92"/>
      <c r="Z174" s="93">
        <f t="shared" si="81"/>
        <v>0</v>
      </c>
      <c r="AA174" s="94"/>
      <c r="AB174" s="91"/>
      <c r="AC174" s="92"/>
      <c r="AD174" s="92"/>
      <c r="AE174" s="92"/>
      <c r="AF174" s="92"/>
      <c r="AG174" s="92"/>
      <c r="AH174" s="92"/>
      <c r="AI174" s="93">
        <f t="shared" si="82"/>
        <v>0</v>
      </c>
      <c r="AJ174" s="95">
        <f t="shared" si="77"/>
        <v>0</v>
      </c>
      <c r="AK174" s="96">
        <f t="shared" si="83"/>
        <v>0</v>
      </c>
      <c r="AL174" s="97">
        <f t="shared" si="78"/>
        <v>0</v>
      </c>
      <c r="AN174" s="89">
        <v>6.1648522129109616E-3</v>
      </c>
      <c r="AO174" s="94"/>
      <c r="AP174" s="91"/>
      <c r="AQ174" s="92"/>
      <c r="AR174" s="92"/>
      <c r="AS174" s="92"/>
      <c r="AT174" s="92"/>
      <c r="AU174" s="92"/>
      <c r="AV174" s="92"/>
      <c r="AW174" s="140">
        <v>0</v>
      </c>
      <c r="AX174" s="94"/>
      <c r="AY174" s="91"/>
      <c r="AZ174" s="92"/>
      <c r="BA174" s="92"/>
      <c r="BB174" s="92"/>
      <c r="BC174" s="92"/>
      <c r="BD174" s="92"/>
      <c r="BE174" s="92"/>
      <c r="BF174" s="140">
        <v>0</v>
      </c>
      <c r="BG174" s="94"/>
      <c r="BH174" s="91"/>
      <c r="BI174" s="92"/>
      <c r="BJ174" s="92"/>
      <c r="BK174" s="92"/>
      <c r="BL174" s="92"/>
      <c r="BM174" s="92"/>
      <c r="BN174" s="92"/>
      <c r="BO174" s="140">
        <f t="shared" si="84"/>
        <v>0</v>
      </c>
      <c r="BP174" s="95">
        <f t="shared" si="85"/>
        <v>0</v>
      </c>
      <c r="BQ174" s="96">
        <f t="shared" si="86"/>
        <v>0</v>
      </c>
      <c r="BR174" s="97">
        <f t="shared" si="87"/>
        <v>0</v>
      </c>
      <c r="BT174" s="146"/>
      <c r="BU174" s="94"/>
      <c r="BV174" s="91"/>
      <c r="BW174" s="92"/>
      <c r="BX174" s="92"/>
      <c r="BY174" s="92"/>
      <c r="BZ174" s="92"/>
      <c r="CA174" s="92"/>
      <c r="CB174" s="92"/>
      <c r="CC174" s="140">
        <f t="shared" si="88"/>
        <v>0</v>
      </c>
      <c r="CD174" s="94"/>
      <c r="CE174" s="91"/>
      <c r="CF174" s="92"/>
      <c r="CG174" s="92"/>
      <c r="CH174" s="92"/>
      <c r="CI174" s="92"/>
      <c r="CJ174" s="92"/>
      <c r="CK174" s="92"/>
      <c r="CL174" s="140">
        <f t="shared" si="89"/>
        <v>0</v>
      </c>
      <c r="CM174" s="94"/>
      <c r="CN174" s="91"/>
      <c r="CO174" s="92"/>
      <c r="CP174" s="92"/>
      <c r="CQ174" s="92"/>
      <c r="CR174" s="92"/>
      <c r="CS174" s="92"/>
      <c r="CT174" s="92"/>
      <c r="CU174" s="140">
        <f t="shared" si="90"/>
        <v>0</v>
      </c>
      <c r="CV174" s="95">
        <f t="shared" si="91"/>
        <v>0</v>
      </c>
      <c r="CW174" s="96">
        <f t="shared" si="92"/>
        <v>0</v>
      </c>
      <c r="CX174" s="97">
        <f t="shared" si="93"/>
        <v>0</v>
      </c>
      <c r="CZ174" s="146" t="s">
        <v>288</v>
      </c>
      <c r="DA174" s="94"/>
      <c r="DB174" s="91"/>
      <c r="DC174" s="92"/>
      <c r="DD174" s="92"/>
      <c r="DE174" s="92"/>
      <c r="DF174" s="92"/>
      <c r="DG174" s="92"/>
      <c r="DH174" s="92"/>
      <c r="DI174" s="140">
        <f t="shared" si="94"/>
        <v>0</v>
      </c>
      <c r="DJ174" s="94"/>
      <c r="DK174" s="91"/>
      <c r="DL174" s="92"/>
      <c r="DM174" s="92"/>
      <c r="DN174" s="92"/>
      <c r="DO174" s="92"/>
      <c r="DP174" s="92"/>
      <c r="DQ174" s="92"/>
      <c r="DR174" s="140">
        <f t="shared" si="95"/>
        <v>0</v>
      </c>
      <c r="DS174" s="94"/>
      <c r="DT174" s="91"/>
      <c r="DU174" s="92"/>
      <c r="DV174" s="92"/>
      <c r="DW174" s="92"/>
      <c r="DX174" s="92"/>
      <c r="DY174" s="92"/>
      <c r="DZ174" s="92"/>
      <c r="EA174" s="140">
        <f t="shared" si="96"/>
        <v>0</v>
      </c>
      <c r="EB174" s="95">
        <f t="shared" si="97"/>
        <v>0</v>
      </c>
      <c r="EC174" s="96">
        <f t="shared" si="98"/>
        <v>0</v>
      </c>
      <c r="ED174" s="97">
        <f t="shared" si="99"/>
        <v>0</v>
      </c>
    </row>
    <row r="175" spans="1:134" ht="21.95" hidden="1" customHeight="1" x14ac:dyDescent="0.5">
      <c r="A175" s="83"/>
      <c r="B175" s="99"/>
      <c r="C175" s="99"/>
      <c r="D175" s="100"/>
      <c r="E175" s="105"/>
      <c r="F175" s="87"/>
      <c r="G175" s="141"/>
      <c r="H175" s="146"/>
      <c r="I175" s="94">
        <f t="shared" si="79"/>
        <v>0</v>
      </c>
      <c r="J175" s="91">
        <f t="shared" ref="J175:J188" si="100">H175*$I$77</f>
        <v>0</v>
      </c>
      <c r="K175" s="92"/>
      <c r="L175" s="92"/>
      <c r="M175" s="92"/>
      <c r="N175" s="92"/>
      <c r="O175" s="92"/>
      <c r="P175" s="92"/>
      <c r="Q175" s="93">
        <f t="shared" si="80"/>
        <v>0</v>
      </c>
      <c r="R175" s="94"/>
      <c r="S175" s="91"/>
      <c r="T175" s="92"/>
      <c r="U175" s="92"/>
      <c r="V175" s="92"/>
      <c r="W175" s="92"/>
      <c r="X175" s="92"/>
      <c r="Y175" s="92"/>
      <c r="Z175" s="93">
        <f t="shared" si="81"/>
        <v>0</v>
      </c>
      <c r="AA175" s="94"/>
      <c r="AB175" s="91"/>
      <c r="AC175" s="92"/>
      <c r="AD175" s="92"/>
      <c r="AE175" s="92"/>
      <c r="AF175" s="92"/>
      <c r="AG175" s="92"/>
      <c r="AH175" s="92"/>
      <c r="AI175" s="93">
        <f t="shared" si="82"/>
        <v>0</v>
      </c>
      <c r="AJ175" s="95">
        <f t="shared" si="77"/>
        <v>0</v>
      </c>
      <c r="AK175" s="96">
        <f t="shared" si="83"/>
        <v>0</v>
      </c>
      <c r="AL175" s="97">
        <f t="shared" si="78"/>
        <v>0</v>
      </c>
      <c r="AN175" s="89">
        <v>7.6552560446037218E-3</v>
      </c>
      <c r="AO175" s="94"/>
      <c r="AP175" s="91"/>
      <c r="AQ175" s="92"/>
      <c r="AR175" s="92"/>
      <c r="AS175" s="92"/>
      <c r="AT175" s="92"/>
      <c r="AU175" s="92"/>
      <c r="AV175" s="92"/>
      <c r="AW175" s="140">
        <v>0</v>
      </c>
      <c r="AX175" s="94"/>
      <c r="AY175" s="91"/>
      <c r="AZ175" s="92"/>
      <c r="BA175" s="92"/>
      <c r="BB175" s="92"/>
      <c r="BC175" s="92"/>
      <c r="BD175" s="92"/>
      <c r="BE175" s="92"/>
      <c r="BF175" s="140">
        <v>0</v>
      </c>
      <c r="BG175" s="94"/>
      <c r="BH175" s="91"/>
      <c r="BI175" s="92"/>
      <c r="BJ175" s="92"/>
      <c r="BK175" s="92"/>
      <c r="BL175" s="92"/>
      <c r="BM175" s="92"/>
      <c r="BN175" s="92"/>
      <c r="BO175" s="140">
        <f t="shared" si="84"/>
        <v>0</v>
      </c>
      <c r="BP175" s="95">
        <f t="shared" si="85"/>
        <v>0</v>
      </c>
      <c r="BQ175" s="96">
        <f t="shared" si="86"/>
        <v>0</v>
      </c>
      <c r="BR175" s="97">
        <f t="shared" si="87"/>
        <v>0</v>
      </c>
      <c r="BT175" s="146"/>
      <c r="BU175" s="94"/>
      <c r="BV175" s="91"/>
      <c r="BW175" s="92"/>
      <c r="BX175" s="92"/>
      <c r="BY175" s="92"/>
      <c r="BZ175" s="92"/>
      <c r="CA175" s="92"/>
      <c r="CB175" s="92"/>
      <c r="CC175" s="140">
        <f t="shared" si="88"/>
        <v>0</v>
      </c>
      <c r="CD175" s="94"/>
      <c r="CE175" s="91"/>
      <c r="CF175" s="92"/>
      <c r="CG175" s="92"/>
      <c r="CH175" s="92"/>
      <c r="CI175" s="92"/>
      <c r="CJ175" s="92"/>
      <c r="CK175" s="92"/>
      <c r="CL175" s="140">
        <f t="shared" si="89"/>
        <v>0</v>
      </c>
      <c r="CM175" s="94"/>
      <c r="CN175" s="91"/>
      <c r="CO175" s="92"/>
      <c r="CP175" s="92"/>
      <c r="CQ175" s="92"/>
      <c r="CR175" s="92"/>
      <c r="CS175" s="92"/>
      <c r="CT175" s="92"/>
      <c r="CU175" s="140">
        <f t="shared" si="90"/>
        <v>0</v>
      </c>
      <c r="CV175" s="95">
        <f t="shared" si="91"/>
        <v>0</v>
      </c>
      <c r="CW175" s="96">
        <f t="shared" si="92"/>
        <v>0</v>
      </c>
      <c r="CX175" s="97">
        <f t="shared" si="93"/>
        <v>0</v>
      </c>
      <c r="CZ175" s="146" t="s">
        <v>288</v>
      </c>
      <c r="DA175" s="94"/>
      <c r="DB175" s="91"/>
      <c r="DC175" s="92"/>
      <c r="DD175" s="92"/>
      <c r="DE175" s="92"/>
      <c r="DF175" s="92"/>
      <c r="DG175" s="92"/>
      <c r="DH175" s="92"/>
      <c r="DI175" s="140">
        <f t="shared" si="94"/>
        <v>0</v>
      </c>
      <c r="DJ175" s="94"/>
      <c r="DK175" s="91"/>
      <c r="DL175" s="92"/>
      <c r="DM175" s="92"/>
      <c r="DN175" s="92"/>
      <c r="DO175" s="92"/>
      <c r="DP175" s="92"/>
      <c r="DQ175" s="92"/>
      <c r="DR175" s="140">
        <f t="shared" si="95"/>
        <v>0</v>
      </c>
      <c r="DS175" s="94"/>
      <c r="DT175" s="91"/>
      <c r="DU175" s="92"/>
      <c r="DV175" s="92"/>
      <c r="DW175" s="92"/>
      <c r="DX175" s="92"/>
      <c r="DY175" s="92"/>
      <c r="DZ175" s="92"/>
      <c r="EA175" s="140">
        <f t="shared" si="96"/>
        <v>0</v>
      </c>
      <c r="EB175" s="95">
        <f t="shared" si="97"/>
        <v>0</v>
      </c>
      <c r="EC175" s="96">
        <f t="shared" si="98"/>
        <v>0</v>
      </c>
      <c r="ED175" s="97">
        <f t="shared" si="99"/>
        <v>0</v>
      </c>
    </row>
    <row r="176" spans="1:134" ht="21.95" hidden="1" customHeight="1" x14ac:dyDescent="0.5">
      <c r="A176" s="83"/>
      <c r="B176" s="99"/>
      <c r="C176" s="99"/>
      <c r="D176" s="100"/>
      <c r="E176" s="149"/>
      <c r="F176" s="87"/>
      <c r="G176" s="141"/>
      <c r="H176" s="146"/>
      <c r="I176" s="94">
        <f t="shared" si="79"/>
        <v>0</v>
      </c>
      <c r="J176" s="91">
        <f t="shared" si="100"/>
        <v>0</v>
      </c>
      <c r="K176" s="92"/>
      <c r="L176" s="92"/>
      <c r="M176" s="92"/>
      <c r="N176" s="92"/>
      <c r="O176" s="92"/>
      <c r="P176" s="92"/>
      <c r="Q176" s="93">
        <f t="shared" si="80"/>
        <v>0</v>
      </c>
      <c r="R176" s="94"/>
      <c r="S176" s="91"/>
      <c r="T176" s="92"/>
      <c r="U176" s="92"/>
      <c r="V176" s="92"/>
      <c r="W176" s="92"/>
      <c r="X176" s="92"/>
      <c r="Y176" s="92"/>
      <c r="Z176" s="93">
        <f t="shared" si="81"/>
        <v>0</v>
      </c>
      <c r="AA176" s="94"/>
      <c r="AB176" s="91"/>
      <c r="AC176" s="92"/>
      <c r="AD176" s="92"/>
      <c r="AE176" s="92"/>
      <c r="AF176" s="92"/>
      <c r="AG176" s="92"/>
      <c r="AH176" s="92"/>
      <c r="AI176" s="93">
        <f t="shared" si="82"/>
        <v>0</v>
      </c>
      <c r="AJ176" s="95">
        <f t="shared" si="77"/>
        <v>0</v>
      </c>
      <c r="AK176" s="96">
        <f t="shared" si="83"/>
        <v>0</v>
      </c>
      <c r="AL176" s="97">
        <f t="shared" si="78"/>
        <v>0</v>
      </c>
      <c r="AN176" s="89">
        <v>0</v>
      </c>
      <c r="AO176" s="94"/>
      <c r="AP176" s="91"/>
      <c r="AQ176" s="92"/>
      <c r="AR176" s="92"/>
      <c r="AS176" s="92"/>
      <c r="AT176" s="92"/>
      <c r="AU176" s="92"/>
      <c r="AV176" s="92"/>
      <c r="AW176" s="140">
        <v>0</v>
      </c>
      <c r="AX176" s="94"/>
      <c r="AY176" s="91"/>
      <c r="AZ176" s="92"/>
      <c r="BA176" s="92"/>
      <c r="BB176" s="92"/>
      <c r="BC176" s="92"/>
      <c r="BD176" s="92"/>
      <c r="BE176" s="92"/>
      <c r="BF176" s="140">
        <v>0</v>
      </c>
      <c r="BG176" s="94"/>
      <c r="BH176" s="91"/>
      <c r="BI176" s="92"/>
      <c r="BJ176" s="92"/>
      <c r="BK176" s="92"/>
      <c r="BL176" s="92"/>
      <c r="BM176" s="92"/>
      <c r="BN176" s="92"/>
      <c r="BO176" s="140">
        <f t="shared" si="84"/>
        <v>0</v>
      </c>
      <c r="BP176" s="95">
        <f t="shared" si="85"/>
        <v>0</v>
      </c>
      <c r="BQ176" s="96">
        <f t="shared" si="86"/>
        <v>0</v>
      </c>
      <c r="BR176" s="97">
        <f t="shared" si="87"/>
        <v>0</v>
      </c>
      <c r="BT176" s="146"/>
      <c r="BU176" s="94"/>
      <c r="BV176" s="91"/>
      <c r="BW176" s="92"/>
      <c r="BX176" s="92"/>
      <c r="BY176" s="92"/>
      <c r="BZ176" s="92"/>
      <c r="CA176" s="92"/>
      <c r="CB176" s="92"/>
      <c r="CC176" s="140">
        <f t="shared" si="88"/>
        <v>0</v>
      </c>
      <c r="CD176" s="94"/>
      <c r="CE176" s="91"/>
      <c r="CF176" s="92"/>
      <c r="CG176" s="92"/>
      <c r="CH176" s="92"/>
      <c r="CI176" s="92"/>
      <c r="CJ176" s="92"/>
      <c r="CK176" s="92"/>
      <c r="CL176" s="140">
        <f t="shared" si="89"/>
        <v>0</v>
      </c>
      <c r="CM176" s="94"/>
      <c r="CN176" s="91"/>
      <c r="CO176" s="92"/>
      <c r="CP176" s="92"/>
      <c r="CQ176" s="92"/>
      <c r="CR176" s="92"/>
      <c r="CS176" s="92"/>
      <c r="CT176" s="92"/>
      <c r="CU176" s="140">
        <f t="shared" si="90"/>
        <v>0</v>
      </c>
      <c r="CV176" s="95">
        <f t="shared" si="91"/>
        <v>0</v>
      </c>
      <c r="CW176" s="96">
        <f t="shared" si="92"/>
        <v>0</v>
      </c>
      <c r="CX176" s="97">
        <f t="shared" si="93"/>
        <v>0</v>
      </c>
      <c r="CZ176" s="146" t="s">
        <v>288</v>
      </c>
      <c r="DA176" s="94"/>
      <c r="DB176" s="91"/>
      <c r="DC176" s="92"/>
      <c r="DD176" s="92"/>
      <c r="DE176" s="92"/>
      <c r="DF176" s="92"/>
      <c r="DG176" s="92"/>
      <c r="DH176" s="92"/>
      <c r="DI176" s="140">
        <f t="shared" si="94"/>
        <v>0</v>
      </c>
      <c r="DJ176" s="94"/>
      <c r="DK176" s="91"/>
      <c r="DL176" s="92"/>
      <c r="DM176" s="92"/>
      <c r="DN176" s="92"/>
      <c r="DO176" s="92"/>
      <c r="DP176" s="92"/>
      <c r="DQ176" s="92"/>
      <c r="DR176" s="140">
        <f t="shared" si="95"/>
        <v>0</v>
      </c>
      <c r="DS176" s="94"/>
      <c r="DT176" s="91"/>
      <c r="DU176" s="92"/>
      <c r="DV176" s="92"/>
      <c r="DW176" s="92"/>
      <c r="DX176" s="92"/>
      <c r="DY176" s="92"/>
      <c r="DZ176" s="92"/>
      <c r="EA176" s="140">
        <f t="shared" si="96"/>
        <v>0</v>
      </c>
      <c r="EB176" s="95">
        <f t="shared" si="97"/>
        <v>0</v>
      </c>
      <c r="EC176" s="96">
        <f t="shared" si="98"/>
        <v>0</v>
      </c>
      <c r="ED176" s="97">
        <f t="shared" si="99"/>
        <v>0</v>
      </c>
    </row>
    <row r="177" spans="1:134" ht="21.95" hidden="1" customHeight="1" x14ac:dyDescent="0.5">
      <c r="A177" s="83"/>
      <c r="B177" s="99"/>
      <c r="C177" s="99"/>
      <c r="D177" s="100"/>
      <c r="E177" s="149"/>
      <c r="F177" s="87"/>
      <c r="G177" s="141"/>
      <c r="H177" s="146"/>
      <c r="I177" s="94">
        <f t="shared" si="79"/>
        <v>0</v>
      </c>
      <c r="J177" s="91">
        <f t="shared" si="100"/>
        <v>0</v>
      </c>
      <c r="K177" s="92"/>
      <c r="L177" s="92"/>
      <c r="M177" s="92"/>
      <c r="N177" s="92"/>
      <c r="O177" s="92"/>
      <c r="P177" s="92"/>
      <c r="Q177" s="93">
        <f t="shared" si="80"/>
        <v>0</v>
      </c>
      <c r="R177" s="94"/>
      <c r="S177" s="91"/>
      <c r="T177" s="92"/>
      <c r="U177" s="92"/>
      <c r="V177" s="92"/>
      <c r="W177" s="92"/>
      <c r="X177" s="92"/>
      <c r="Y177" s="92"/>
      <c r="Z177" s="93">
        <f t="shared" si="81"/>
        <v>0</v>
      </c>
      <c r="AA177" s="94"/>
      <c r="AB177" s="91"/>
      <c r="AC177" s="92"/>
      <c r="AD177" s="92"/>
      <c r="AE177" s="92"/>
      <c r="AF177" s="92"/>
      <c r="AG177" s="92"/>
      <c r="AH177" s="92"/>
      <c r="AI177" s="93">
        <f t="shared" si="82"/>
        <v>0</v>
      </c>
      <c r="AJ177" s="95">
        <f t="shared" si="77"/>
        <v>0</v>
      </c>
      <c r="AK177" s="96">
        <f t="shared" si="83"/>
        <v>0</v>
      </c>
      <c r="AL177" s="97">
        <f t="shared" si="78"/>
        <v>0</v>
      </c>
      <c r="AN177" s="89">
        <v>0</v>
      </c>
      <c r="AO177" s="94"/>
      <c r="AP177" s="91"/>
      <c r="AQ177" s="92"/>
      <c r="AR177" s="92"/>
      <c r="AS177" s="92"/>
      <c r="AT177" s="92"/>
      <c r="AU177" s="92"/>
      <c r="AV177" s="92"/>
      <c r="AW177" s="140">
        <v>0</v>
      </c>
      <c r="AX177" s="94"/>
      <c r="AY177" s="91"/>
      <c r="AZ177" s="92"/>
      <c r="BA177" s="92"/>
      <c r="BB177" s="92"/>
      <c r="BC177" s="92"/>
      <c r="BD177" s="92"/>
      <c r="BE177" s="92"/>
      <c r="BF177" s="140">
        <v>0</v>
      </c>
      <c r="BG177" s="94"/>
      <c r="BH177" s="91"/>
      <c r="BI177" s="92"/>
      <c r="BJ177" s="92"/>
      <c r="BK177" s="92"/>
      <c r="BL177" s="92"/>
      <c r="BM177" s="92"/>
      <c r="BN177" s="92"/>
      <c r="BO177" s="140">
        <f t="shared" si="84"/>
        <v>0</v>
      </c>
      <c r="BP177" s="95">
        <f t="shared" si="85"/>
        <v>0</v>
      </c>
      <c r="BQ177" s="96">
        <f t="shared" si="86"/>
        <v>0</v>
      </c>
      <c r="BR177" s="97">
        <f t="shared" si="87"/>
        <v>0</v>
      </c>
      <c r="BT177" s="146"/>
      <c r="BU177" s="94"/>
      <c r="BV177" s="91"/>
      <c r="BW177" s="92"/>
      <c r="BX177" s="92"/>
      <c r="BY177" s="92"/>
      <c r="BZ177" s="92"/>
      <c r="CA177" s="92"/>
      <c r="CB177" s="92"/>
      <c r="CC177" s="140">
        <f t="shared" si="88"/>
        <v>0</v>
      </c>
      <c r="CD177" s="94"/>
      <c r="CE177" s="91"/>
      <c r="CF177" s="92"/>
      <c r="CG177" s="92"/>
      <c r="CH177" s="92"/>
      <c r="CI177" s="92"/>
      <c r="CJ177" s="92"/>
      <c r="CK177" s="92"/>
      <c r="CL177" s="140">
        <f t="shared" si="89"/>
        <v>0</v>
      </c>
      <c r="CM177" s="94"/>
      <c r="CN177" s="91"/>
      <c r="CO177" s="92"/>
      <c r="CP177" s="92"/>
      <c r="CQ177" s="92"/>
      <c r="CR177" s="92"/>
      <c r="CS177" s="92"/>
      <c r="CT177" s="92"/>
      <c r="CU177" s="140">
        <f t="shared" si="90"/>
        <v>0</v>
      </c>
      <c r="CV177" s="95">
        <f t="shared" si="91"/>
        <v>0</v>
      </c>
      <c r="CW177" s="96">
        <f t="shared" si="92"/>
        <v>0</v>
      </c>
      <c r="CX177" s="97">
        <f t="shared" si="93"/>
        <v>0</v>
      </c>
      <c r="CZ177" s="146" t="s">
        <v>288</v>
      </c>
      <c r="DA177" s="94"/>
      <c r="DB177" s="91"/>
      <c r="DC177" s="92"/>
      <c r="DD177" s="92"/>
      <c r="DE177" s="92"/>
      <c r="DF177" s="92"/>
      <c r="DG177" s="92"/>
      <c r="DH177" s="92"/>
      <c r="DI177" s="140">
        <f t="shared" si="94"/>
        <v>0</v>
      </c>
      <c r="DJ177" s="94"/>
      <c r="DK177" s="91"/>
      <c r="DL177" s="92"/>
      <c r="DM177" s="92"/>
      <c r="DN177" s="92"/>
      <c r="DO177" s="92"/>
      <c r="DP177" s="92"/>
      <c r="DQ177" s="92"/>
      <c r="DR177" s="140">
        <f t="shared" si="95"/>
        <v>0</v>
      </c>
      <c r="DS177" s="94"/>
      <c r="DT177" s="91"/>
      <c r="DU177" s="92"/>
      <c r="DV177" s="92"/>
      <c r="DW177" s="92"/>
      <c r="DX177" s="92"/>
      <c r="DY177" s="92"/>
      <c r="DZ177" s="92"/>
      <c r="EA177" s="140">
        <f t="shared" si="96"/>
        <v>0</v>
      </c>
      <c r="EB177" s="95">
        <f t="shared" si="97"/>
        <v>0</v>
      </c>
      <c r="EC177" s="96">
        <f t="shared" si="98"/>
        <v>0</v>
      </c>
      <c r="ED177" s="97">
        <f t="shared" si="99"/>
        <v>0</v>
      </c>
    </row>
    <row r="178" spans="1:134" ht="21.95" hidden="1" customHeight="1" x14ac:dyDescent="0.5">
      <c r="A178" s="83"/>
      <c r="B178" s="99"/>
      <c r="C178" s="99"/>
      <c r="D178" s="100"/>
      <c r="E178" s="99"/>
      <c r="F178" s="87"/>
      <c r="G178" s="141"/>
      <c r="H178" s="146"/>
      <c r="I178" s="94">
        <f t="shared" si="79"/>
        <v>0</v>
      </c>
      <c r="J178" s="91">
        <f t="shared" si="100"/>
        <v>0</v>
      </c>
      <c r="K178" s="92"/>
      <c r="L178" s="92"/>
      <c r="M178" s="92"/>
      <c r="N178" s="92"/>
      <c r="O178" s="92"/>
      <c r="P178" s="92"/>
      <c r="Q178" s="93">
        <f t="shared" si="80"/>
        <v>0</v>
      </c>
      <c r="R178" s="94"/>
      <c r="S178" s="91"/>
      <c r="T178" s="92"/>
      <c r="U178" s="92"/>
      <c r="V178" s="92"/>
      <c r="W178" s="92"/>
      <c r="X178" s="92"/>
      <c r="Y178" s="92"/>
      <c r="Z178" s="93">
        <f t="shared" si="81"/>
        <v>0</v>
      </c>
      <c r="AA178" s="94"/>
      <c r="AB178" s="91"/>
      <c r="AC178" s="92"/>
      <c r="AD178" s="92"/>
      <c r="AE178" s="92"/>
      <c r="AF178" s="92"/>
      <c r="AG178" s="92"/>
      <c r="AH178" s="92"/>
      <c r="AI178" s="93">
        <f t="shared" si="82"/>
        <v>0</v>
      </c>
      <c r="AJ178" s="95">
        <f t="shared" si="77"/>
        <v>0</v>
      </c>
      <c r="AK178" s="96">
        <f t="shared" si="83"/>
        <v>0</v>
      </c>
      <c r="AL178" s="97">
        <f t="shared" si="78"/>
        <v>0</v>
      </c>
      <c r="AN178" s="89">
        <v>5.5551415544911962E-4</v>
      </c>
      <c r="AO178" s="94"/>
      <c r="AP178" s="91"/>
      <c r="AQ178" s="92"/>
      <c r="AR178" s="92"/>
      <c r="AS178" s="92"/>
      <c r="AT178" s="92"/>
      <c r="AU178" s="92"/>
      <c r="AV178" s="92"/>
      <c r="AW178" s="140">
        <v>0</v>
      </c>
      <c r="AX178" s="94"/>
      <c r="AY178" s="91"/>
      <c r="AZ178" s="92"/>
      <c r="BA178" s="92"/>
      <c r="BB178" s="92"/>
      <c r="BC178" s="92"/>
      <c r="BD178" s="92"/>
      <c r="BE178" s="92"/>
      <c r="BF178" s="140">
        <v>0</v>
      </c>
      <c r="BG178" s="94"/>
      <c r="BH178" s="91"/>
      <c r="BI178" s="92"/>
      <c r="BJ178" s="92"/>
      <c r="BK178" s="92"/>
      <c r="BL178" s="92"/>
      <c r="BM178" s="92"/>
      <c r="BN178" s="92"/>
      <c r="BO178" s="140">
        <f t="shared" si="84"/>
        <v>0</v>
      </c>
      <c r="BP178" s="95">
        <f t="shared" si="85"/>
        <v>0</v>
      </c>
      <c r="BQ178" s="96">
        <f t="shared" si="86"/>
        <v>0</v>
      </c>
      <c r="BR178" s="97">
        <f t="shared" si="87"/>
        <v>0</v>
      </c>
      <c r="BT178" s="146"/>
      <c r="BU178" s="94"/>
      <c r="BV178" s="91"/>
      <c r="BW178" s="92"/>
      <c r="BX178" s="92"/>
      <c r="BY178" s="92"/>
      <c r="BZ178" s="92"/>
      <c r="CA178" s="92"/>
      <c r="CB178" s="92"/>
      <c r="CC178" s="140">
        <f t="shared" si="88"/>
        <v>0</v>
      </c>
      <c r="CD178" s="94"/>
      <c r="CE178" s="91"/>
      <c r="CF178" s="92"/>
      <c r="CG178" s="92"/>
      <c r="CH178" s="92"/>
      <c r="CI178" s="92"/>
      <c r="CJ178" s="92"/>
      <c r="CK178" s="92"/>
      <c r="CL178" s="140">
        <f t="shared" si="89"/>
        <v>0</v>
      </c>
      <c r="CM178" s="94"/>
      <c r="CN178" s="91"/>
      <c r="CO178" s="92"/>
      <c r="CP178" s="92"/>
      <c r="CQ178" s="92"/>
      <c r="CR178" s="92"/>
      <c r="CS178" s="92"/>
      <c r="CT178" s="92"/>
      <c r="CU178" s="140">
        <f t="shared" si="90"/>
        <v>0</v>
      </c>
      <c r="CV178" s="95">
        <f t="shared" si="91"/>
        <v>0</v>
      </c>
      <c r="CW178" s="96">
        <f t="shared" si="92"/>
        <v>0</v>
      </c>
      <c r="CX178" s="97">
        <f t="shared" si="93"/>
        <v>0</v>
      </c>
      <c r="CZ178" s="146" t="s">
        <v>288</v>
      </c>
      <c r="DA178" s="94"/>
      <c r="DB178" s="91"/>
      <c r="DC178" s="92"/>
      <c r="DD178" s="92"/>
      <c r="DE178" s="92"/>
      <c r="DF178" s="92"/>
      <c r="DG178" s="92"/>
      <c r="DH178" s="92"/>
      <c r="DI178" s="140">
        <f t="shared" si="94"/>
        <v>0</v>
      </c>
      <c r="DJ178" s="94"/>
      <c r="DK178" s="91"/>
      <c r="DL178" s="92"/>
      <c r="DM178" s="92"/>
      <c r="DN178" s="92"/>
      <c r="DO178" s="92"/>
      <c r="DP178" s="92"/>
      <c r="DQ178" s="92"/>
      <c r="DR178" s="140">
        <f t="shared" si="95"/>
        <v>0</v>
      </c>
      <c r="DS178" s="94"/>
      <c r="DT178" s="91"/>
      <c r="DU178" s="92"/>
      <c r="DV178" s="92"/>
      <c r="DW178" s="92"/>
      <c r="DX178" s="92"/>
      <c r="DY178" s="92"/>
      <c r="DZ178" s="92"/>
      <c r="EA178" s="140">
        <f t="shared" si="96"/>
        <v>0</v>
      </c>
      <c r="EB178" s="95">
        <f t="shared" si="97"/>
        <v>0</v>
      </c>
      <c r="EC178" s="96">
        <f t="shared" si="98"/>
        <v>0</v>
      </c>
      <c r="ED178" s="97">
        <f t="shared" si="99"/>
        <v>0</v>
      </c>
    </row>
    <row r="179" spans="1:134" ht="21.95" hidden="1" customHeight="1" x14ac:dyDescent="0.5">
      <c r="A179" s="83"/>
      <c r="B179" s="99"/>
      <c r="C179" s="143"/>
      <c r="D179" s="105"/>
      <c r="E179" s="99"/>
      <c r="F179" s="87"/>
      <c r="G179" s="141"/>
      <c r="H179" s="146"/>
      <c r="I179" s="94">
        <f t="shared" si="79"/>
        <v>0</v>
      </c>
      <c r="J179" s="91">
        <f t="shared" si="100"/>
        <v>0</v>
      </c>
      <c r="K179" s="92"/>
      <c r="L179" s="92"/>
      <c r="M179" s="92"/>
      <c r="N179" s="92"/>
      <c r="O179" s="92"/>
      <c r="P179" s="92"/>
      <c r="Q179" s="93">
        <f t="shared" si="80"/>
        <v>0</v>
      </c>
      <c r="R179" s="94"/>
      <c r="S179" s="91"/>
      <c r="T179" s="92"/>
      <c r="U179" s="92"/>
      <c r="V179" s="92"/>
      <c r="W179" s="92"/>
      <c r="X179" s="92"/>
      <c r="Y179" s="92"/>
      <c r="Z179" s="93">
        <f t="shared" si="81"/>
        <v>0</v>
      </c>
      <c r="AA179" s="94"/>
      <c r="AB179" s="91"/>
      <c r="AC179" s="92"/>
      <c r="AD179" s="92"/>
      <c r="AE179" s="92"/>
      <c r="AF179" s="92"/>
      <c r="AG179" s="92"/>
      <c r="AH179" s="92"/>
      <c r="AI179" s="93">
        <f t="shared" si="82"/>
        <v>0</v>
      </c>
      <c r="AJ179" s="95">
        <f t="shared" si="77"/>
        <v>0</v>
      </c>
      <c r="AK179" s="96">
        <f t="shared" si="83"/>
        <v>0</v>
      </c>
      <c r="AL179" s="97">
        <f t="shared" si="78"/>
        <v>0</v>
      </c>
      <c r="AN179" s="89">
        <v>0</v>
      </c>
      <c r="AO179" s="94"/>
      <c r="AP179" s="91"/>
      <c r="AQ179" s="92"/>
      <c r="AR179" s="92"/>
      <c r="AS179" s="92"/>
      <c r="AT179" s="92"/>
      <c r="AU179" s="92"/>
      <c r="AV179" s="92"/>
      <c r="AW179" s="140">
        <v>0</v>
      </c>
      <c r="AX179" s="94"/>
      <c r="AY179" s="91"/>
      <c r="AZ179" s="92"/>
      <c r="BA179" s="92"/>
      <c r="BB179" s="92"/>
      <c r="BC179" s="92"/>
      <c r="BD179" s="92"/>
      <c r="BE179" s="92"/>
      <c r="BF179" s="140">
        <v>0</v>
      </c>
      <c r="BG179" s="94"/>
      <c r="BH179" s="91"/>
      <c r="BI179" s="92"/>
      <c r="BJ179" s="92"/>
      <c r="BK179" s="92"/>
      <c r="BL179" s="92"/>
      <c r="BM179" s="92"/>
      <c r="BN179" s="92"/>
      <c r="BO179" s="140">
        <f t="shared" si="84"/>
        <v>0</v>
      </c>
      <c r="BP179" s="95">
        <f t="shared" si="85"/>
        <v>0</v>
      </c>
      <c r="BQ179" s="96">
        <f t="shared" si="86"/>
        <v>0</v>
      </c>
      <c r="BR179" s="97">
        <f t="shared" si="87"/>
        <v>0</v>
      </c>
      <c r="BT179" s="146"/>
      <c r="BU179" s="94"/>
      <c r="BV179" s="91"/>
      <c r="BW179" s="92"/>
      <c r="BX179" s="92"/>
      <c r="BY179" s="92"/>
      <c r="BZ179" s="92"/>
      <c r="CA179" s="92"/>
      <c r="CB179" s="92"/>
      <c r="CC179" s="140">
        <f t="shared" si="88"/>
        <v>0</v>
      </c>
      <c r="CD179" s="94"/>
      <c r="CE179" s="91"/>
      <c r="CF179" s="92"/>
      <c r="CG179" s="92"/>
      <c r="CH179" s="92"/>
      <c r="CI179" s="92"/>
      <c r="CJ179" s="92"/>
      <c r="CK179" s="92"/>
      <c r="CL179" s="140">
        <f t="shared" si="89"/>
        <v>0</v>
      </c>
      <c r="CM179" s="94"/>
      <c r="CN179" s="91"/>
      <c r="CO179" s="92"/>
      <c r="CP179" s="92"/>
      <c r="CQ179" s="92"/>
      <c r="CR179" s="92"/>
      <c r="CS179" s="92"/>
      <c r="CT179" s="92"/>
      <c r="CU179" s="140">
        <f t="shared" si="90"/>
        <v>0</v>
      </c>
      <c r="CV179" s="95">
        <f t="shared" si="91"/>
        <v>0</v>
      </c>
      <c r="CW179" s="96">
        <f t="shared" si="92"/>
        <v>0</v>
      </c>
      <c r="CX179" s="97">
        <f t="shared" si="93"/>
        <v>0</v>
      </c>
      <c r="CZ179" s="146" t="s">
        <v>288</v>
      </c>
      <c r="DA179" s="94"/>
      <c r="DB179" s="91"/>
      <c r="DC179" s="92"/>
      <c r="DD179" s="92"/>
      <c r="DE179" s="92"/>
      <c r="DF179" s="92"/>
      <c r="DG179" s="92"/>
      <c r="DH179" s="92"/>
      <c r="DI179" s="140">
        <f t="shared" si="94"/>
        <v>0</v>
      </c>
      <c r="DJ179" s="94"/>
      <c r="DK179" s="91"/>
      <c r="DL179" s="92"/>
      <c r="DM179" s="92"/>
      <c r="DN179" s="92"/>
      <c r="DO179" s="92"/>
      <c r="DP179" s="92"/>
      <c r="DQ179" s="92"/>
      <c r="DR179" s="140">
        <f t="shared" si="95"/>
        <v>0</v>
      </c>
      <c r="DS179" s="94"/>
      <c r="DT179" s="91"/>
      <c r="DU179" s="92"/>
      <c r="DV179" s="92"/>
      <c r="DW179" s="92"/>
      <c r="DX179" s="92"/>
      <c r="DY179" s="92"/>
      <c r="DZ179" s="92"/>
      <c r="EA179" s="140">
        <f t="shared" si="96"/>
        <v>0</v>
      </c>
      <c r="EB179" s="95">
        <f t="shared" si="97"/>
        <v>0</v>
      </c>
      <c r="EC179" s="96">
        <f t="shared" si="98"/>
        <v>0</v>
      </c>
      <c r="ED179" s="97">
        <f t="shared" si="99"/>
        <v>0</v>
      </c>
    </row>
    <row r="180" spans="1:134" ht="21.95" hidden="1" customHeight="1" x14ac:dyDescent="0.5">
      <c r="A180" s="83"/>
      <c r="B180" s="99"/>
      <c r="C180" s="143"/>
      <c r="D180" s="105"/>
      <c r="E180" s="148"/>
      <c r="F180" s="87"/>
      <c r="G180" s="141"/>
      <c r="H180" s="146"/>
      <c r="I180" s="94">
        <f t="shared" si="79"/>
        <v>0</v>
      </c>
      <c r="J180" s="91">
        <f t="shared" si="100"/>
        <v>0</v>
      </c>
      <c r="K180" s="92"/>
      <c r="L180" s="92"/>
      <c r="M180" s="92"/>
      <c r="N180" s="92"/>
      <c r="O180" s="92"/>
      <c r="P180" s="92"/>
      <c r="Q180" s="93">
        <f t="shared" si="80"/>
        <v>0</v>
      </c>
      <c r="R180" s="94"/>
      <c r="S180" s="91"/>
      <c r="T180" s="92"/>
      <c r="U180" s="92"/>
      <c r="V180" s="92"/>
      <c r="W180" s="92"/>
      <c r="X180" s="92"/>
      <c r="Y180" s="92"/>
      <c r="Z180" s="93">
        <f t="shared" si="81"/>
        <v>0</v>
      </c>
      <c r="AA180" s="94"/>
      <c r="AB180" s="91"/>
      <c r="AC180" s="92"/>
      <c r="AD180" s="92"/>
      <c r="AE180" s="92"/>
      <c r="AF180" s="92"/>
      <c r="AG180" s="92"/>
      <c r="AH180" s="92"/>
      <c r="AI180" s="93">
        <f t="shared" si="82"/>
        <v>0</v>
      </c>
      <c r="AJ180" s="95">
        <f t="shared" si="77"/>
        <v>0</v>
      </c>
      <c r="AK180" s="96">
        <f t="shared" si="83"/>
        <v>0</v>
      </c>
      <c r="AL180" s="97">
        <f t="shared" si="78"/>
        <v>0</v>
      </c>
      <c r="AN180" s="89">
        <v>3.3872814356653638E-3</v>
      </c>
      <c r="AO180" s="94"/>
      <c r="AP180" s="91"/>
      <c r="AQ180" s="92"/>
      <c r="AR180" s="92"/>
      <c r="AS180" s="92"/>
      <c r="AT180" s="92"/>
      <c r="AU180" s="92"/>
      <c r="AV180" s="92"/>
      <c r="AW180" s="140">
        <v>0</v>
      </c>
      <c r="AX180" s="94"/>
      <c r="AY180" s="91"/>
      <c r="AZ180" s="92"/>
      <c r="BA180" s="92"/>
      <c r="BB180" s="92"/>
      <c r="BC180" s="92"/>
      <c r="BD180" s="92"/>
      <c r="BE180" s="92"/>
      <c r="BF180" s="140">
        <v>0</v>
      </c>
      <c r="BG180" s="94"/>
      <c r="BH180" s="91"/>
      <c r="BI180" s="92"/>
      <c r="BJ180" s="92"/>
      <c r="BK180" s="92"/>
      <c r="BL180" s="92"/>
      <c r="BM180" s="92"/>
      <c r="BN180" s="92"/>
      <c r="BO180" s="140">
        <f t="shared" si="84"/>
        <v>0</v>
      </c>
      <c r="BP180" s="95">
        <f t="shared" si="85"/>
        <v>0</v>
      </c>
      <c r="BQ180" s="96">
        <f t="shared" si="86"/>
        <v>0</v>
      </c>
      <c r="BR180" s="97">
        <f t="shared" si="87"/>
        <v>0</v>
      </c>
      <c r="BT180" s="146"/>
      <c r="BU180" s="94"/>
      <c r="BV180" s="91"/>
      <c r="BW180" s="92"/>
      <c r="BX180" s="92"/>
      <c r="BY180" s="92"/>
      <c r="BZ180" s="92"/>
      <c r="CA180" s="92"/>
      <c r="CB180" s="92"/>
      <c r="CC180" s="140">
        <f t="shared" si="88"/>
        <v>0</v>
      </c>
      <c r="CD180" s="94"/>
      <c r="CE180" s="91"/>
      <c r="CF180" s="92"/>
      <c r="CG180" s="92"/>
      <c r="CH180" s="92"/>
      <c r="CI180" s="92"/>
      <c r="CJ180" s="92"/>
      <c r="CK180" s="92"/>
      <c r="CL180" s="140">
        <f t="shared" si="89"/>
        <v>0</v>
      </c>
      <c r="CM180" s="94"/>
      <c r="CN180" s="91"/>
      <c r="CO180" s="92"/>
      <c r="CP180" s="92"/>
      <c r="CQ180" s="92"/>
      <c r="CR180" s="92"/>
      <c r="CS180" s="92"/>
      <c r="CT180" s="92"/>
      <c r="CU180" s="140">
        <f t="shared" si="90"/>
        <v>0</v>
      </c>
      <c r="CV180" s="95">
        <f t="shared" si="91"/>
        <v>0</v>
      </c>
      <c r="CW180" s="96">
        <f t="shared" si="92"/>
        <v>0</v>
      </c>
      <c r="CX180" s="97">
        <f t="shared" si="93"/>
        <v>0</v>
      </c>
      <c r="CZ180" s="146" t="s">
        <v>288</v>
      </c>
      <c r="DA180" s="94"/>
      <c r="DB180" s="91"/>
      <c r="DC180" s="92"/>
      <c r="DD180" s="92"/>
      <c r="DE180" s="92"/>
      <c r="DF180" s="92"/>
      <c r="DG180" s="92"/>
      <c r="DH180" s="92"/>
      <c r="DI180" s="140">
        <f t="shared" si="94"/>
        <v>0</v>
      </c>
      <c r="DJ180" s="94"/>
      <c r="DK180" s="91"/>
      <c r="DL180" s="92"/>
      <c r="DM180" s="92"/>
      <c r="DN180" s="92"/>
      <c r="DO180" s="92"/>
      <c r="DP180" s="92"/>
      <c r="DQ180" s="92"/>
      <c r="DR180" s="140">
        <f t="shared" si="95"/>
        <v>0</v>
      </c>
      <c r="DS180" s="94"/>
      <c r="DT180" s="91"/>
      <c r="DU180" s="92"/>
      <c r="DV180" s="92"/>
      <c r="DW180" s="92"/>
      <c r="DX180" s="92"/>
      <c r="DY180" s="92"/>
      <c r="DZ180" s="92"/>
      <c r="EA180" s="140">
        <f t="shared" si="96"/>
        <v>0</v>
      </c>
      <c r="EB180" s="95">
        <f t="shared" si="97"/>
        <v>0</v>
      </c>
      <c r="EC180" s="96">
        <f t="shared" si="98"/>
        <v>0</v>
      </c>
      <c r="ED180" s="97">
        <f t="shared" si="99"/>
        <v>0</v>
      </c>
    </row>
    <row r="181" spans="1:134" ht="21.95" hidden="1" customHeight="1" x14ac:dyDescent="0.5">
      <c r="A181" s="83"/>
      <c r="B181" s="99"/>
      <c r="C181" s="143"/>
      <c r="D181" s="105"/>
      <c r="E181" s="148"/>
      <c r="F181" s="87"/>
      <c r="G181" s="141"/>
      <c r="H181" s="146"/>
      <c r="I181" s="94">
        <f t="shared" si="79"/>
        <v>0</v>
      </c>
      <c r="J181" s="91">
        <f t="shared" si="100"/>
        <v>0</v>
      </c>
      <c r="K181" s="92"/>
      <c r="L181" s="92"/>
      <c r="M181" s="92"/>
      <c r="N181" s="92"/>
      <c r="O181" s="92"/>
      <c r="P181" s="92"/>
      <c r="Q181" s="93">
        <f t="shared" si="80"/>
        <v>0</v>
      </c>
      <c r="R181" s="94"/>
      <c r="S181" s="91"/>
      <c r="T181" s="92"/>
      <c r="U181" s="92"/>
      <c r="V181" s="92"/>
      <c r="W181" s="92"/>
      <c r="X181" s="92"/>
      <c r="Y181" s="92"/>
      <c r="Z181" s="93">
        <f t="shared" si="81"/>
        <v>0</v>
      </c>
      <c r="AA181" s="94"/>
      <c r="AB181" s="91"/>
      <c r="AC181" s="92"/>
      <c r="AD181" s="92"/>
      <c r="AE181" s="92"/>
      <c r="AF181" s="92"/>
      <c r="AG181" s="92"/>
      <c r="AH181" s="92"/>
      <c r="AI181" s="93">
        <f t="shared" si="82"/>
        <v>0</v>
      </c>
      <c r="AJ181" s="95">
        <f t="shared" si="77"/>
        <v>0</v>
      </c>
      <c r="AK181" s="96">
        <f t="shared" si="83"/>
        <v>0</v>
      </c>
      <c r="AL181" s="97">
        <f t="shared" si="78"/>
        <v>0</v>
      </c>
      <c r="AN181" s="89">
        <v>5.4535231114212351E-3</v>
      </c>
      <c r="AO181" s="94"/>
      <c r="AP181" s="91"/>
      <c r="AQ181" s="92"/>
      <c r="AR181" s="92"/>
      <c r="AS181" s="92"/>
      <c r="AT181" s="92"/>
      <c r="AU181" s="92"/>
      <c r="AV181" s="92"/>
      <c r="AW181" s="140">
        <v>0</v>
      </c>
      <c r="AX181" s="94"/>
      <c r="AY181" s="91"/>
      <c r="AZ181" s="92"/>
      <c r="BA181" s="92"/>
      <c r="BB181" s="92"/>
      <c r="BC181" s="92"/>
      <c r="BD181" s="92"/>
      <c r="BE181" s="92"/>
      <c r="BF181" s="140">
        <v>0</v>
      </c>
      <c r="BG181" s="94"/>
      <c r="BH181" s="91"/>
      <c r="BI181" s="92"/>
      <c r="BJ181" s="92"/>
      <c r="BK181" s="92"/>
      <c r="BL181" s="92"/>
      <c r="BM181" s="92"/>
      <c r="BN181" s="92"/>
      <c r="BO181" s="140">
        <f t="shared" si="84"/>
        <v>0</v>
      </c>
      <c r="BP181" s="95">
        <f t="shared" si="85"/>
        <v>0</v>
      </c>
      <c r="BQ181" s="96">
        <f t="shared" si="86"/>
        <v>0</v>
      </c>
      <c r="BR181" s="97">
        <f t="shared" si="87"/>
        <v>0</v>
      </c>
      <c r="BT181" s="146"/>
      <c r="BU181" s="94"/>
      <c r="BV181" s="91"/>
      <c r="BW181" s="92"/>
      <c r="BX181" s="92"/>
      <c r="BY181" s="92"/>
      <c r="BZ181" s="92"/>
      <c r="CA181" s="92"/>
      <c r="CB181" s="92"/>
      <c r="CC181" s="140">
        <f t="shared" si="88"/>
        <v>0</v>
      </c>
      <c r="CD181" s="94"/>
      <c r="CE181" s="91"/>
      <c r="CF181" s="92"/>
      <c r="CG181" s="92"/>
      <c r="CH181" s="92"/>
      <c r="CI181" s="92"/>
      <c r="CJ181" s="92"/>
      <c r="CK181" s="92"/>
      <c r="CL181" s="140">
        <f t="shared" si="89"/>
        <v>0</v>
      </c>
      <c r="CM181" s="94"/>
      <c r="CN181" s="91"/>
      <c r="CO181" s="92"/>
      <c r="CP181" s="92"/>
      <c r="CQ181" s="92"/>
      <c r="CR181" s="92"/>
      <c r="CS181" s="92"/>
      <c r="CT181" s="92"/>
      <c r="CU181" s="140">
        <f t="shared" si="90"/>
        <v>0</v>
      </c>
      <c r="CV181" s="95">
        <f t="shared" si="91"/>
        <v>0</v>
      </c>
      <c r="CW181" s="96">
        <f t="shared" si="92"/>
        <v>0</v>
      </c>
      <c r="CX181" s="97">
        <f t="shared" si="93"/>
        <v>0</v>
      </c>
      <c r="CZ181" s="146" t="s">
        <v>288</v>
      </c>
      <c r="DA181" s="94"/>
      <c r="DB181" s="91"/>
      <c r="DC181" s="92"/>
      <c r="DD181" s="92"/>
      <c r="DE181" s="92"/>
      <c r="DF181" s="92"/>
      <c r="DG181" s="92"/>
      <c r="DH181" s="92"/>
      <c r="DI181" s="140">
        <f t="shared" si="94"/>
        <v>0</v>
      </c>
      <c r="DJ181" s="94"/>
      <c r="DK181" s="91"/>
      <c r="DL181" s="92"/>
      <c r="DM181" s="92"/>
      <c r="DN181" s="92"/>
      <c r="DO181" s="92"/>
      <c r="DP181" s="92"/>
      <c r="DQ181" s="92"/>
      <c r="DR181" s="140">
        <f t="shared" si="95"/>
        <v>0</v>
      </c>
      <c r="DS181" s="94"/>
      <c r="DT181" s="91"/>
      <c r="DU181" s="92"/>
      <c r="DV181" s="92"/>
      <c r="DW181" s="92"/>
      <c r="DX181" s="92"/>
      <c r="DY181" s="92"/>
      <c r="DZ181" s="92"/>
      <c r="EA181" s="140">
        <f t="shared" si="96"/>
        <v>0</v>
      </c>
      <c r="EB181" s="95">
        <f t="shared" si="97"/>
        <v>0</v>
      </c>
      <c r="EC181" s="96">
        <f t="shared" si="98"/>
        <v>0</v>
      </c>
      <c r="ED181" s="97">
        <f t="shared" si="99"/>
        <v>0</v>
      </c>
    </row>
    <row r="182" spans="1:134" ht="21.95" hidden="1" customHeight="1" x14ac:dyDescent="0.5">
      <c r="A182" s="83"/>
      <c r="B182" s="99"/>
      <c r="C182" s="143"/>
      <c r="D182" s="105"/>
      <c r="E182" s="148"/>
      <c r="F182" s="87"/>
      <c r="G182" s="141"/>
      <c r="H182" s="146"/>
      <c r="I182" s="94">
        <f t="shared" si="79"/>
        <v>0</v>
      </c>
      <c r="J182" s="91">
        <f t="shared" si="100"/>
        <v>0</v>
      </c>
      <c r="K182" s="92"/>
      <c r="L182" s="92"/>
      <c r="M182" s="92"/>
      <c r="N182" s="92"/>
      <c r="O182" s="92"/>
      <c r="P182" s="92"/>
      <c r="Q182" s="93">
        <f t="shared" si="80"/>
        <v>0</v>
      </c>
      <c r="R182" s="94"/>
      <c r="S182" s="91"/>
      <c r="T182" s="92"/>
      <c r="U182" s="92"/>
      <c r="V182" s="92"/>
      <c r="W182" s="92"/>
      <c r="X182" s="92"/>
      <c r="Y182" s="92"/>
      <c r="Z182" s="93">
        <f t="shared" si="81"/>
        <v>0</v>
      </c>
      <c r="AA182" s="94"/>
      <c r="AB182" s="91"/>
      <c r="AC182" s="92"/>
      <c r="AD182" s="92"/>
      <c r="AE182" s="92"/>
      <c r="AF182" s="92"/>
      <c r="AG182" s="92"/>
      <c r="AH182" s="92"/>
      <c r="AI182" s="93">
        <f t="shared" si="82"/>
        <v>0</v>
      </c>
      <c r="AJ182" s="95">
        <f t="shared" si="77"/>
        <v>0</v>
      </c>
      <c r="AK182" s="96">
        <f t="shared" si="83"/>
        <v>0</v>
      </c>
      <c r="AL182" s="97">
        <f t="shared" si="78"/>
        <v>0</v>
      </c>
      <c r="AN182" s="89">
        <v>5.2602495164821165E-3</v>
      </c>
      <c r="AO182" s="94"/>
      <c r="AP182" s="91"/>
      <c r="AQ182" s="92"/>
      <c r="AR182" s="92"/>
      <c r="AS182" s="92"/>
      <c r="AT182" s="92"/>
      <c r="AU182" s="92"/>
      <c r="AV182" s="92"/>
      <c r="AW182" s="140">
        <v>0</v>
      </c>
      <c r="AX182" s="94"/>
      <c r="AY182" s="91"/>
      <c r="AZ182" s="92"/>
      <c r="BA182" s="92"/>
      <c r="BB182" s="92"/>
      <c r="BC182" s="92"/>
      <c r="BD182" s="92"/>
      <c r="BE182" s="92"/>
      <c r="BF182" s="140">
        <v>0</v>
      </c>
      <c r="BG182" s="94"/>
      <c r="BH182" s="91"/>
      <c r="BI182" s="92"/>
      <c r="BJ182" s="92"/>
      <c r="BK182" s="92"/>
      <c r="BL182" s="92"/>
      <c r="BM182" s="92"/>
      <c r="BN182" s="92"/>
      <c r="BO182" s="140">
        <f t="shared" si="84"/>
        <v>0</v>
      </c>
      <c r="BP182" s="95">
        <f t="shared" si="85"/>
        <v>0</v>
      </c>
      <c r="BQ182" s="96">
        <f t="shared" si="86"/>
        <v>0</v>
      </c>
      <c r="BR182" s="97">
        <f t="shared" si="87"/>
        <v>0</v>
      </c>
      <c r="BT182" s="146"/>
      <c r="BU182" s="94"/>
      <c r="BV182" s="91"/>
      <c r="BW182" s="92"/>
      <c r="BX182" s="92"/>
      <c r="BY182" s="92"/>
      <c r="BZ182" s="92"/>
      <c r="CA182" s="92"/>
      <c r="CB182" s="92"/>
      <c r="CC182" s="140">
        <f t="shared" si="88"/>
        <v>0</v>
      </c>
      <c r="CD182" s="94"/>
      <c r="CE182" s="91"/>
      <c r="CF182" s="92"/>
      <c r="CG182" s="92"/>
      <c r="CH182" s="92"/>
      <c r="CI182" s="92"/>
      <c r="CJ182" s="92"/>
      <c r="CK182" s="92"/>
      <c r="CL182" s="140">
        <f t="shared" si="89"/>
        <v>0</v>
      </c>
      <c r="CM182" s="94"/>
      <c r="CN182" s="91"/>
      <c r="CO182" s="92"/>
      <c r="CP182" s="92"/>
      <c r="CQ182" s="92"/>
      <c r="CR182" s="92"/>
      <c r="CS182" s="92"/>
      <c r="CT182" s="92"/>
      <c r="CU182" s="140">
        <f t="shared" si="90"/>
        <v>0</v>
      </c>
      <c r="CV182" s="95">
        <f t="shared" si="91"/>
        <v>0</v>
      </c>
      <c r="CW182" s="96">
        <f t="shared" si="92"/>
        <v>0</v>
      </c>
      <c r="CX182" s="97">
        <f t="shared" si="93"/>
        <v>0</v>
      </c>
      <c r="CZ182" s="146" t="s">
        <v>288</v>
      </c>
      <c r="DA182" s="94"/>
      <c r="DB182" s="91"/>
      <c r="DC182" s="92"/>
      <c r="DD182" s="92"/>
      <c r="DE182" s="92"/>
      <c r="DF182" s="92"/>
      <c r="DG182" s="92"/>
      <c r="DH182" s="92"/>
      <c r="DI182" s="140">
        <f t="shared" si="94"/>
        <v>0</v>
      </c>
      <c r="DJ182" s="94"/>
      <c r="DK182" s="91"/>
      <c r="DL182" s="92"/>
      <c r="DM182" s="92"/>
      <c r="DN182" s="92"/>
      <c r="DO182" s="92"/>
      <c r="DP182" s="92"/>
      <c r="DQ182" s="92"/>
      <c r="DR182" s="140">
        <f t="shared" si="95"/>
        <v>0</v>
      </c>
      <c r="DS182" s="94"/>
      <c r="DT182" s="91"/>
      <c r="DU182" s="92"/>
      <c r="DV182" s="92"/>
      <c r="DW182" s="92"/>
      <c r="DX182" s="92"/>
      <c r="DY182" s="92"/>
      <c r="DZ182" s="92"/>
      <c r="EA182" s="140">
        <f t="shared" si="96"/>
        <v>0</v>
      </c>
      <c r="EB182" s="95">
        <f t="shared" si="97"/>
        <v>0</v>
      </c>
      <c r="EC182" s="96">
        <f t="shared" si="98"/>
        <v>0</v>
      </c>
      <c r="ED182" s="97">
        <f t="shared" si="99"/>
        <v>0</v>
      </c>
    </row>
    <row r="183" spans="1:134" ht="21.95" hidden="1" customHeight="1" x14ac:dyDescent="0.5">
      <c r="A183" s="83"/>
      <c r="B183" s="99"/>
      <c r="C183" s="143"/>
      <c r="D183" s="105"/>
      <c r="E183" s="148"/>
      <c r="F183" s="87"/>
      <c r="G183" s="141"/>
      <c r="H183" s="146"/>
      <c r="I183" s="94">
        <f t="shared" si="79"/>
        <v>0</v>
      </c>
      <c r="J183" s="91">
        <f t="shared" si="100"/>
        <v>0</v>
      </c>
      <c r="K183" s="92"/>
      <c r="L183" s="92"/>
      <c r="M183" s="92"/>
      <c r="N183" s="92"/>
      <c r="O183" s="92"/>
      <c r="P183" s="92"/>
      <c r="Q183" s="93">
        <f t="shared" si="80"/>
        <v>0</v>
      </c>
      <c r="R183" s="94"/>
      <c r="S183" s="91"/>
      <c r="T183" s="92"/>
      <c r="U183" s="92"/>
      <c r="V183" s="92"/>
      <c r="W183" s="92"/>
      <c r="X183" s="92"/>
      <c r="Y183" s="92"/>
      <c r="Z183" s="93">
        <f t="shared" si="81"/>
        <v>0</v>
      </c>
      <c r="AA183" s="94"/>
      <c r="AB183" s="91"/>
      <c r="AC183" s="92"/>
      <c r="AD183" s="92"/>
      <c r="AE183" s="92"/>
      <c r="AF183" s="92"/>
      <c r="AG183" s="92"/>
      <c r="AH183" s="92"/>
      <c r="AI183" s="93">
        <f t="shared" si="82"/>
        <v>0</v>
      </c>
      <c r="AJ183" s="95">
        <f t="shared" si="77"/>
        <v>0</v>
      </c>
      <c r="AK183" s="96">
        <f t="shared" si="83"/>
        <v>0</v>
      </c>
      <c r="AL183" s="97">
        <f t="shared" si="78"/>
        <v>0</v>
      </c>
      <c r="AN183" s="89">
        <v>5.9186470185450951E-3</v>
      </c>
      <c r="AO183" s="94"/>
      <c r="AP183" s="91"/>
      <c r="AQ183" s="92"/>
      <c r="AR183" s="92"/>
      <c r="AS183" s="92"/>
      <c r="AT183" s="92"/>
      <c r="AU183" s="92"/>
      <c r="AV183" s="92"/>
      <c r="AW183" s="140">
        <v>0</v>
      </c>
      <c r="AX183" s="94"/>
      <c r="AY183" s="91"/>
      <c r="AZ183" s="92"/>
      <c r="BA183" s="92"/>
      <c r="BB183" s="92"/>
      <c r="BC183" s="92"/>
      <c r="BD183" s="92"/>
      <c r="BE183" s="92"/>
      <c r="BF183" s="140">
        <v>0</v>
      </c>
      <c r="BG183" s="94"/>
      <c r="BH183" s="91"/>
      <c r="BI183" s="92"/>
      <c r="BJ183" s="92"/>
      <c r="BK183" s="92"/>
      <c r="BL183" s="92"/>
      <c r="BM183" s="92"/>
      <c r="BN183" s="92"/>
      <c r="BO183" s="140">
        <f t="shared" si="84"/>
        <v>0</v>
      </c>
      <c r="BP183" s="95">
        <f t="shared" si="85"/>
        <v>0</v>
      </c>
      <c r="BQ183" s="96">
        <f t="shared" si="86"/>
        <v>0</v>
      </c>
      <c r="BR183" s="97">
        <f t="shared" si="87"/>
        <v>0</v>
      </c>
      <c r="BT183" s="146"/>
      <c r="BU183" s="94"/>
      <c r="BV183" s="91"/>
      <c r="BW183" s="92"/>
      <c r="BX183" s="92"/>
      <c r="BY183" s="92"/>
      <c r="BZ183" s="92"/>
      <c r="CA183" s="92"/>
      <c r="CB183" s="92"/>
      <c r="CC183" s="140">
        <f t="shared" si="88"/>
        <v>0</v>
      </c>
      <c r="CD183" s="94"/>
      <c r="CE183" s="91"/>
      <c r="CF183" s="92"/>
      <c r="CG183" s="92"/>
      <c r="CH183" s="92"/>
      <c r="CI183" s="92"/>
      <c r="CJ183" s="92"/>
      <c r="CK183" s="92"/>
      <c r="CL183" s="140">
        <f t="shared" si="89"/>
        <v>0</v>
      </c>
      <c r="CM183" s="94"/>
      <c r="CN183" s="91"/>
      <c r="CO183" s="92"/>
      <c r="CP183" s="92"/>
      <c r="CQ183" s="92"/>
      <c r="CR183" s="92"/>
      <c r="CS183" s="92"/>
      <c r="CT183" s="92"/>
      <c r="CU183" s="140">
        <f t="shared" si="90"/>
        <v>0</v>
      </c>
      <c r="CV183" s="95">
        <f t="shared" si="91"/>
        <v>0</v>
      </c>
      <c r="CW183" s="96">
        <f t="shared" si="92"/>
        <v>0</v>
      </c>
      <c r="CX183" s="97">
        <f t="shared" si="93"/>
        <v>0</v>
      </c>
      <c r="CZ183" s="146" t="s">
        <v>288</v>
      </c>
      <c r="DA183" s="94"/>
      <c r="DB183" s="91"/>
      <c r="DC183" s="92"/>
      <c r="DD183" s="92"/>
      <c r="DE183" s="92"/>
      <c r="DF183" s="92"/>
      <c r="DG183" s="92"/>
      <c r="DH183" s="92"/>
      <c r="DI183" s="140">
        <f t="shared" si="94"/>
        <v>0</v>
      </c>
      <c r="DJ183" s="94"/>
      <c r="DK183" s="91"/>
      <c r="DL183" s="92"/>
      <c r="DM183" s="92"/>
      <c r="DN183" s="92"/>
      <c r="DO183" s="92"/>
      <c r="DP183" s="92"/>
      <c r="DQ183" s="92"/>
      <c r="DR183" s="140">
        <f t="shared" si="95"/>
        <v>0</v>
      </c>
      <c r="DS183" s="94"/>
      <c r="DT183" s="91"/>
      <c r="DU183" s="92"/>
      <c r="DV183" s="92"/>
      <c r="DW183" s="92"/>
      <c r="DX183" s="92"/>
      <c r="DY183" s="92"/>
      <c r="DZ183" s="92"/>
      <c r="EA183" s="140">
        <f t="shared" si="96"/>
        <v>0</v>
      </c>
      <c r="EB183" s="95">
        <f t="shared" si="97"/>
        <v>0</v>
      </c>
      <c r="EC183" s="96">
        <f t="shared" si="98"/>
        <v>0</v>
      </c>
      <c r="ED183" s="97">
        <f t="shared" si="99"/>
        <v>0</v>
      </c>
    </row>
    <row r="184" spans="1:134" ht="21.95" hidden="1" customHeight="1" x14ac:dyDescent="0.5">
      <c r="A184" s="83"/>
      <c r="B184" s="99"/>
      <c r="C184" s="143"/>
      <c r="D184" s="105"/>
      <c r="E184" s="148"/>
      <c r="F184" s="87"/>
      <c r="G184" s="141"/>
      <c r="H184" s="146"/>
      <c r="I184" s="94">
        <f t="shared" si="79"/>
        <v>0</v>
      </c>
      <c r="J184" s="91">
        <f t="shared" si="100"/>
        <v>0</v>
      </c>
      <c r="K184" s="92"/>
      <c r="L184" s="92"/>
      <c r="M184" s="92"/>
      <c r="N184" s="92"/>
      <c r="O184" s="92"/>
      <c r="P184" s="92"/>
      <c r="Q184" s="93">
        <f t="shared" si="80"/>
        <v>0</v>
      </c>
      <c r="R184" s="94"/>
      <c r="S184" s="91"/>
      <c r="T184" s="92"/>
      <c r="U184" s="92"/>
      <c r="V184" s="92"/>
      <c r="W184" s="92"/>
      <c r="X184" s="92"/>
      <c r="Y184" s="92"/>
      <c r="Z184" s="93">
        <f t="shared" si="81"/>
        <v>0</v>
      </c>
      <c r="AA184" s="94"/>
      <c r="AB184" s="91"/>
      <c r="AC184" s="92"/>
      <c r="AD184" s="92"/>
      <c r="AE184" s="92"/>
      <c r="AF184" s="92"/>
      <c r="AG184" s="92"/>
      <c r="AH184" s="92"/>
      <c r="AI184" s="93">
        <f t="shared" si="82"/>
        <v>0</v>
      </c>
      <c r="AJ184" s="95">
        <f t="shared" si="77"/>
        <v>0</v>
      </c>
      <c r="AK184" s="96">
        <f t="shared" si="83"/>
        <v>0</v>
      </c>
      <c r="AL184" s="97">
        <f t="shared" si="78"/>
        <v>0</v>
      </c>
      <c r="AN184" s="89">
        <v>6.7475348211422769E-3</v>
      </c>
      <c r="AO184" s="94"/>
      <c r="AP184" s="91"/>
      <c r="AQ184" s="92"/>
      <c r="AR184" s="92"/>
      <c r="AS184" s="92"/>
      <c r="AT184" s="92"/>
      <c r="AU184" s="92"/>
      <c r="AV184" s="92"/>
      <c r="AW184" s="140">
        <v>0</v>
      </c>
      <c r="AX184" s="94"/>
      <c r="AY184" s="91"/>
      <c r="AZ184" s="92"/>
      <c r="BA184" s="92"/>
      <c r="BB184" s="92"/>
      <c r="BC184" s="92"/>
      <c r="BD184" s="92"/>
      <c r="BE184" s="92"/>
      <c r="BF184" s="140">
        <v>0</v>
      </c>
      <c r="BG184" s="94"/>
      <c r="BH184" s="91"/>
      <c r="BI184" s="92"/>
      <c r="BJ184" s="92"/>
      <c r="BK184" s="92"/>
      <c r="BL184" s="92"/>
      <c r="BM184" s="92"/>
      <c r="BN184" s="92"/>
      <c r="BO184" s="140">
        <f t="shared" si="84"/>
        <v>0</v>
      </c>
      <c r="BP184" s="95">
        <f t="shared" si="85"/>
        <v>0</v>
      </c>
      <c r="BQ184" s="96">
        <f t="shared" si="86"/>
        <v>0</v>
      </c>
      <c r="BR184" s="97">
        <f t="shared" si="87"/>
        <v>0</v>
      </c>
      <c r="BT184" s="146"/>
      <c r="BU184" s="94"/>
      <c r="BV184" s="91"/>
      <c r="BW184" s="92"/>
      <c r="BX184" s="92"/>
      <c r="BY184" s="92"/>
      <c r="BZ184" s="92"/>
      <c r="CA184" s="92"/>
      <c r="CB184" s="92"/>
      <c r="CC184" s="140">
        <f t="shared" si="88"/>
        <v>0</v>
      </c>
      <c r="CD184" s="94"/>
      <c r="CE184" s="91"/>
      <c r="CF184" s="92"/>
      <c r="CG184" s="92"/>
      <c r="CH184" s="92"/>
      <c r="CI184" s="92"/>
      <c r="CJ184" s="92"/>
      <c r="CK184" s="92"/>
      <c r="CL184" s="140">
        <f t="shared" si="89"/>
        <v>0</v>
      </c>
      <c r="CM184" s="94"/>
      <c r="CN184" s="91"/>
      <c r="CO184" s="92"/>
      <c r="CP184" s="92"/>
      <c r="CQ184" s="92"/>
      <c r="CR184" s="92"/>
      <c r="CS184" s="92"/>
      <c r="CT184" s="92"/>
      <c r="CU184" s="140">
        <f t="shared" si="90"/>
        <v>0</v>
      </c>
      <c r="CV184" s="95">
        <f t="shared" si="91"/>
        <v>0</v>
      </c>
      <c r="CW184" s="96">
        <f t="shared" si="92"/>
        <v>0</v>
      </c>
      <c r="CX184" s="97">
        <f t="shared" si="93"/>
        <v>0</v>
      </c>
      <c r="CZ184" s="146" t="s">
        <v>288</v>
      </c>
      <c r="DA184" s="94"/>
      <c r="DB184" s="91"/>
      <c r="DC184" s="92"/>
      <c r="DD184" s="92"/>
      <c r="DE184" s="92"/>
      <c r="DF184" s="92"/>
      <c r="DG184" s="92"/>
      <c r="DH184" s="92"/>
      <c r="DI184" s="140">
        <f t="shared" si="94"/>
        <v>0</v>
      </c>
      <c r="DJ184" s="94"/>
      <c r="DK184" s="91"/>
      <c r="DL184" s="92"/>
      <c r="DM184" s="92"/>
      <c r="DN184" s="92"/>
      <c r="DO184" s="92"/>
      <c r="DP184" s="92"/>
      <c r="DQ184" s="92"/>
      <c r="DR184" s="140">
        <f t="shared" si="95"/>
        <v>0</v>
      </c>
      <c r="DS184" s="94"/>
      <c r="DT184" s="91"/>
      <c r="DU184" s="92"/>
      <c r="DV184" s="92"/>
      <c r="DW184" s="92"/>
      <c r="DX184" s="92"/>
      <c r="DY184" s="92"/>
      <c r="DZ184" s="92"/>
      <c r="EA184" s="140">
        <f t="shared" si="96"/>
        <v>0</v>
      </c>
      <c r="EB184" s="95">
        <f t="shared" si="97"/>
        <v>0</v>
      </c>
      <c r="EC184" s="96">
        <f t="shared" si="98"/>
        <v>0</v>
      </c>
      <c r="ED184" s="97">
        <f t="shared" si="99"/>
        <v>0</v>
      </c>
    </row>
    <row r="185" spans="1:134" ht="21.95" hidden="1" customHeight="1" x14ac:dyDescent="0.5">
      <c r="A185" s="83"/>
      <c r="B185" s="99"/>
      <c r="C185" s="143"/>
      <c r="D185" s="105"/>
      <c r="E185" s="148"/>
      <c r="F185" s="87"/>
      <c r="G185" s="141"/>
      <c r="H185" s="146"/>
      <c r="I185" s="94">
        <f t="shared" si="79"/>
        <v>0</v>
      </c>
      <c r="J185" s="91">
        <f t="shared" si="100"/>
        <v>0</v>
      </c>
      <c r="K185" s="92"/>
      <c r="L185" s="92"/>
      <c r="M185" s="92"/>
      <c r="N185" s="92"/>
      <c r="O185" s="92"/>
      <c r="P185" s="92"/>
      <c r="Q185" s="93">
        <f t="shared" si="80"/>
        <v>0</v>
      </c>
      <c r="R185" s="94"/>
      <c r="S185" s="91"/>
      <c r="T185" s="92"/>
      <c r="U185" s="92"/>
      <c r="V185" s="92"/>
      <c r="W185" s="92"/>
      <c r="X185" s="92"/>
      <c r="Y185" s="92"/>
      <c r="Z185" s="93">
        <f t="shared" si="81"/>
        <v>0</v>
      </c>
      <c r="AA185" s="94"/>
      <c r="AB185" s="91"/>
      <c r="AC185" s="92"/>
      <c r="AD185" s="92"/>
      <c r="AE185" s="92"/>
      <c r="AF185" s="92"/>
      <c r="AG185" s="92"/>
      <c r="AH185" s="92"/>
      <c r="AI185" s="93">
        <f t="shared" si="82"/>
        <v>0</v>
      </c>
      <c r="AJ185" s="95">
        <f t="shared" si="77"/>
        <v>0</v>
      </c>
      <c r="AK185" s="96">
        <f t="shared" si="83"/>
        <v>0</v>
      </c>
      <c r="AL185" s="97">
        <f t="shared" si="78"/>
        <v>0</v>
      </c>
      <c r="AN185" s="89">
        <v>5.7232069179327166E-3</v>
      </c>
      <c r="AO185" s="94"/>
      <c r="AP185" s="91"/>
      <c r="AQ185" s="92"/>
      <c r="AR185" s="92"/>
      <c r="AS185" s="92"/>
      <c r="AT185" s="92"/>
      <c r="AU185" s="92"/>
      <c r="AV185" s="92"/>
      <c r="AW185" s="140">
        <v>0</v>
      </c>
      <c r="AX185" s="94"/>
      <c r="AY185" s="91"/>
      <c r="AZ185" s="92"/>
      <c r="BA185" s="92"/>
      <c r="BB185" s="92"/>
      <c r="BC185" s="92"/>
      <c r="BD185" s="92"/>
      <c r="BE185" s="92"/>
      <c r="BF185" s="140">
        <v>0</v>
      </c>
      <c r="BG185" s="94"/>
      <c r="BH185" s="91"/>
      <c r="BI185" s="92"/>
      <c r="BJ185" s="92"/>
      <c r="BK185" s="92"/>
      <c r="BL185" s="92"/>
      <c r="BM185" s="92"/>
      <c r="BN185" s="92"/>
      <c r="BO185" s="140">
        <f t="shared" si="84"/>
        <v>0</v>
      </c>
      <c r="BP185" s="95">
        <f t="shared" si="85"/>
        <v>0</v>
      </c>
      <c r="BQ185" s="96">
        <f t="shared" si="86"/>
        <v>0</v>
      </c>
      <c r="BR185" s="97">
        <f t="shared" si="87"/>
        <v>0</v>
      </c>
      <c r="BT185" s="146"/>
      <c r="BU185" s="94"/>
      <c r="BV185" s="91"/>
      <c r="BW185" s="92"/>
      <c r="BX185" s="92"/>
      <c r="BY185" s="92"/>
      <c r="BZ185" s="92"/>
      <c r="CA185" s="92"/>
      <c r="CB185" s="92"/>
      <c r="CC185" s="140">
        <f t="shared" si="88"/>
        <v>0</v>
      </c>
      <c r="CD185" s="94"/>
      <c r="CE185" s="91"/>
      <c r="CF185" s="92"/>
      <c r="CG185" s="92"/>
      <c r="CH185" s="92"/>
      <c r="CI185" s="92"/>
      <c r="CJ185" s="92"/>
      <c r="CK185" s="92"/>
      <c r="CL185" s="140">
        <f t="shared" si="89"/>
        <v>0</v>
      </c>
      <c r="CM185" s="94"/>
      <c r="CN185" s="91"/>
      <c r="CO185" s="92"/>
      <c r="CP185" s="92"/>
      <c r="CQ185" s="92"/>
      <c r="CR185" s="92"/>
      <c r="CS185" s="92"/>
      <c r="CT185" s="92"/>
      <c r="CU185" s="140">
        <f t="shared" si="90"/>
        <v>0</v>
      </c>
      <c r="CV185" s="95">
        <f t="shared" si="91"/>
        <v>0</v>
      </c>
      <c r="CW185" s="96">
        <f t="shared" si="92"/>
        <v>0</v>
      </c>
      <c r="CX185" s="97">
        <f t="shared" si="93"/>
        <v>0</v>
      </c>
      <c r="CZ185" s="146" t="s">
        <v>288</v>
      </c>
      <c r="DA185" s="94"/>
      <c r="DB185" s="91"/>
      <c r="DC185" s="92"/>
      <c r="DD185" s="92"/>
      <c r="DE185" s="92"/>
      <c r="DF185" s="92"/>
      <c r="DG185" s="92"/>
      <c r="DH185" s="92"/>
      <c r="DI185" s="140">
        <f t="shared" si="94"/>
        <v>0</v>
      </c>
      <c r="DJ185" s="94"/>
      <c r="DK185" s="91"/>
      <c r="DL185" s="92"/>
      <c r="DM185" s="92"/>
      <c r="DN185" s="92"/>
      <c r="DO185" s="92"/>
      <c r="DP185" s="92"/>
      <c r="DQ185" s="92"/>
      <c r="DR185" s="140">
        <f t="shared" si="95"/>
        <v>0</v>
      </c>
      <c r="DS185" s="94"/>
      <c r="DT185" s="91"/>
      <c r="DU185" s="92"/>
      <c r="DV185" s="92"/>
      <c r="DW185" s="92"/>
      <c r="DX185" s="92"/>
      <c r="DY185" s="92"/>
      <c r="DZ185" s="92"/>
      <c r="EA185" s="140">
        <f t="shared" si="96"/>
        <v>0</v>
      </c>
      <c r="EB185" s="95">
        <f t="shared" si="97"/>
        <v>0</v>
      </c>
      <c r="EC185" s="96">
        <f t="shared" si="98"/>
        <v>0</v>
      </c>
      <c r="ED185" s="97">
        <f t="shared" si="99"/>
        <v>0</v>
      </c>
    </row>
    <row r="186" spans="1:134" ht="21.95" hidden="1" customHeight="1" x14ac:dyDescent="0.5">
      <c r="A186" s="83"/>
      <c r="B186" s="99"/>
      <c r="C186" s="143"/>
      <c r="D186" s="105"/>
      <c r="E186" s="148"/>
      <c r="F186" s="87"/>
      <c r="G186" s="141"/>
      <c r="H186" s="146"/>
      <c r="I186" s="94">
        <f t="shared" si="79"/>
        <v>0</v>
      </c>
      <c r="J186" s="91">
        <f t="shared" si="100"/>
        <v>0</v>
      </c>
      <c r="K186" s="92"/>
      <c r="L186" s="92"/>
      <c r="M186" s="92"/>
      <c r="N186" s="92"/>
      <c r="O186" s="92"/>
      <c r="P186" s="92"/>
      <c r="Q186" s="93">
        <f t="shared" si="80"/>
        <v>0</v>
      </c>
      <c r="R186" s="94"/>
      <c r="S186" s="91"/>
      <c r="T186" s="92"/>
      <c r="U186" s="92"/>
      <c r="V186" s="92"/>
      <c r="W186" s="92"/>
      <c r="X186" s="92"/>
      <c r="Y186" s="92"/>
      <c r="Z186" s="93">
        <f t="shared" si="81"/>
        <v>0</v>
      </c>
      <c r="AA186" s="94"/>
      <c r="AB186" s="91"/>
      <c r="AC186" s="92"/>
      <c r="AD186" s="92"/>
      <c r="AE186" s="92"/>
      <c r="AF186" s="92"/>
      <c r="AG186" s="92"/>
      <c r="AH186" s="92"/>
      <c r="AI186" s="93">
        <f t="shared" si="82"/>
        <v>0</v>
      </c>
      <c r="AJ186" s="95">
        <f t="shared" si="77"/>
        <v>0</v>
      </c>
      <c r="AK186" s="96">
        <f t="shared" si="83"/>
        <v>0</v>
      </c>
      <c r="AL186" s="97">
        <f t="shared" si="78"/>
        <v>0</v>
      </c>
      <c r="AN186" s="89">
        <v>4.1624583130423706E-3</v>
      </c>
      <c r="AO186" s="94"/>
      <c r="AP186" s="91"/>
      <c r="AQ186" s="92"/>
      <c r="AR186" s="92"/>
      <c r="AS186" s="92"/>
      <c r="AT186" s="92"/>
      <c r="AU186" s="92"/>
      <c r="AV186" s="92"/>
      <c r="AW186" s="140">
        <v>0</v>
      </c>
      <c r="AX186" s="94"/>
      <c r="AY186" s="91"/>
      <c r="AZ186" s="92"/>
      <c r="BA186" s="92"/>
      <c r="BB186" s="92"/>
      <c r="BC186" s="92"/>
      <c r="BD186" s="92"/>
      <c r="BE186" s="92"/>
      <c r="BF186" s="140">
        <v>0</v>
      </c>
      <c r="BG186" s="94"/>
      <c r="BH186" s="91"/>
      <c r="BI186" s="92"/>
      <c r="BJ186" s="92"/>
      <c r="BK186" s="92"/>
      <c r="BL186" s="92"/>
      <c r="BM186" s="92"/>
      <c r="BN186" s="92"/>
      <c r="BO186" s="140">
        <f t="shared" si="84"/>
        <v>0</v>
      </c>
      <c r="BP186" s="95">
        <f t="shared" si="85"/>
        <v>0</v>
      </c>
      <c r="BQ186" s="96">
        <f t="shared" si="86"/>
        <v>0</v>
      </c>
      <c r="BR186" s="97">
        <f t="shared" si="87"/>
        <v>0</v>
      </c>
      <c r="BT186" s="146"/>
      <c r="BU186" s="94"/>
      <c r="BV186" s="91"/>
      <c r="BW186" s="92"/>
      <c r="BX186" s="92"/>
      <c r="BY186" s="92"/>
      <c r="BZ186" s="92"/>
      <c r="CA186" s="92"/>
      <c r="CB186" s="92"/>
      <c r="CC186" s="140">
        <f t="shared" si="88"/>
        <v>0</v>
      </c>
      <c r="CD186" s="94"/>
      <c r="CE186" s="91"/>
      <c r="CF186" s="92"/>
      <c r="CG186" s="92"/>
      <c r="CH186" s="92"/>
      <c r="CI186" s="92"/>
      <c r="CJ186" s="92"/>
      <c r="CK186" s="92"/>
      <c r="CL186" s="140">
        <f t="shared" si="89"/>
        <v>0</v>
      </c>
      <c r="CM186" s="94"/>
      <c r="CN186" s="91"/>
      <c r="CO186" s="92"/>
      <c r="CP186" s="92"/>
      <c r="CQ186" s="92"/>
      <c r="CR186" s="92"/>
      <c r="CS186" s="92"/>
      <c r="CT186" s="92"/>
      <c r="CU186" s="140">
        <f t="shared" si="90"/>
        <v>0</v>
      </c>
      <c r="CV186" s="95">
        <f t="shared" si="91"/>
        <v>0</v>
      </c>
      <c r="CW186" s="96">
        <f t="shared" si="92"/>
        <v>0</v>
      </c>
      <c r="CX186" s="97">
        <f t="shared" si="93"/>
        <v>0</v>
      </c>
      <c r="CZ186" s="146" t="s">
        <v>288</v>
      </c>
      <c r="DA186" s="94"/>
      <c r="DB186" s="91"/>
      <c r="DC186" s="92"/>
      <c r="DD186" s="92"/>
      <c r="DE186" s="92"/>
      <c r="DF186" s="92"/>
      <c r="DG186" s="92"/>
      <c r="DH186" s="92"/>
      <c r="DI186" s="140">
        <f t="shared" si="94"/>
        <v>0</v>
      </c>
      <c r="DJ186" s="94"/>
      <c r="DK186" s="91"/>
      <c r="DL186" s="92"/>
      <c r="DM186" s="92"/>
      <c r="DN186" s="92"/>
      <c r="DO186" s="92"/>
      <c r="DP186" s="92"/>
      <c r="DQ186" s="92"/>
      <c r="DR186" s="140">
        <f t="shared" si="95"/>
        <v>0</v>
      </c>
      <c r="DS186" s="94"/>
      <c r="DT186" s="91"/>
      <c r="DU186" s="92"/>
      <c r="DV186" s="92"/>
      <c r="DW186" s="92"/>
      <c r="DX186" s="92"/>
      <c r="DY186" s="92"/>
      <c r="DZ186" s="92"/>
      <c r="EA186" s="140">
        <f t="shared" si="96"/>
        <v>0</v>
      </c>
      <c r="EB186" s="95">
        <f t="shared" si="97"/>
        <v>0</v>
      </c>
      <c r="EC186" s="96">
        <f t="shared" si="98"/>
        <v>0</v>
      </c>
      <c r="ED186" s="97">
        <f t="shared" si="99"/>
        <v>0</v>
      </c>
    </row>
    <row r="187" spans="1:134" ht="21.95" hidden="1" customHeight="1" x14ac:dyDescent="0.5">
      <c r="A187" s="83"/>
      <c r="B187" s="99"/>
      <c r="C187" s="143"/>
      <c r="D187" s="105"/>
      <c r="E187" s="148"/>
      <c r="F187" s="87"/>
      <c r="G187" s="141"/>
      <c r="H187" s="146"/>
      <c r="I187" s="94">
        <f t="shared" si="79"/>
        <v>0</v>
      </c>
      <c r="J187" s="91">
        <f t="shared" si="100"/>
        <v>0</v>
      </c>
      <c r="K187" s="92"/>
      <c r="L187" s="92"/>
      <c r="M187" s="92"/>
      <c r="N187" s="92"/>
      <c r="O187" s="92"/>
      <c r="P187" s="92"/>
      <c r="Q187" s="93">
        <f t="shared" si="80"/>
        <v>0</v>
      </c>
      <c r="R187" s="94"/>
      <c r="S187" s="91"/>
      <c r="T187" s="92"/>
      <c r="U187" s="92"/>
      <c r="V187" s="92"/>
      <c r="W187" s="92"/>
      <c r="X187" s="92"/>
      <c r="Y187" s="92"/>
      <c r="Z187" s="93">
        <f t="shared" si="81"/>
        <v>0</v>
      </c>
      <c r="AA187" s="94"/>
      <c r="AB187" s="91"/>
      <c r="AC187" s="92"/>
      <c r="AD187" s="92"/>
      <c r="AE187" s="92"/>
      <c r="AF187" s="92"/>
      <c r="AG187" s="92"/>
      <c r="AH187" s="92"/>
      <c r="AI187" s="93">
        <f t="shared" si="82"/>
        <v>0</v>
      </c>
      <c r="AJ187" s="95">
        <f t="shared" si="77"/>
        <v>0</v>
      </c>
      <c r="AK187" s="96">
        <f t="shared" si="83"/>
        <v>0</v>
      </c>
      <c r="AL187" s="97">
        <f t="shared" si="78"/>
        <v>0</v>
      </c>
      <c r="AN187" s="89">
        <v>2.7326961585624487E-2</v>
      </c>
      <c r="AO187" s="94"/>
      <c r="AP187" s="91"/>
      <c r="AQ187" s="92"/>
      <c r="AR187" s="92"/>
      <c r="AS187" s="92"/>
      <c r="AT187" s="92"/>
      <c r="AU187" s="92"/>
      <c r="AV187" s="92"/>
      <c r="AW187" s="140">
        <v>0</v>
      </c>
      <c r="AX187" s="94"/>
      <c r="AY187" s="91"/>
      <c r="AZ187" s="92"/>
      <c r="BA187" s="92"/>
      <c r="BB187" s="92"/>
      <c r="BC187" s="92"/>
      <c r="BD187" s="92"/>
      <c r="BE187" s="92"/>
      <c r="BF187" s="140">
        <v>0</v>
      </c>
      <c r="BG187" s="94"/>
      <c r="BH187" s="91"/>
      <c r="BI187" s="92"/>
      <c r="BJ187" s="92"/>
      <c r="BK187" s="92"/>
      <c r="BL187" s="92"/>
      <c r="BM187" s="92"/>
      <c r="BN187" s="92"/>
      <c r="BO187" s="140">
        <f t="shared" si="84"/>
        <v>0</v>
      </c>
      <c r="BP187" s="95">
        <f t="shared" si="85"/>
        <v>0</v>
      </c>
      <c r="BQ187" s="96">
        <f t="shared" si="86"/>
        <v>0</v>
      </c>
      <c r="BR187" s="97">
        <f t="shared" si="87"/>
        <v>0</v>
      </c>
      <c r="BT187" s="146"/>
      <c r="BU187" s="94"/>
      <c r="BV187" s="91"/>
      <c r="BW187" s="92"/>
      <c r="BX187" s="92"/>
      <c r="BY187" s="92"/>
      <c r="BZ187" s="92"/>
      <c r="CA187" s="92"/>
      <c r="CB187" s="92"/>
      <c r="CC187" s="140">
        <f t="shared" si="88"/>
        <v>0</v>
      </c>
      <c r="CD187" s="94"/>
      <c r="CE187" s="91"/>
      <c r="CF187" s="92"/>
      <c r="CG187" s="92"/>
      <c r="CH187" s="92"/>
      <c r="CI187" s="92"/>
      <c r="CJ187" s="92"/>
      <c r="CK187" s="92"/>
      <c r="CL187" s="140">
        <f t="shared" si="89"/>
        <v>0</v>
      </c>
      <c r="CM187" s="94"/>
      <c r="CN187" s="91"/>
      <c r="CO187" s="92"/>
      <c r="CP187" s="92"/>
      <c r="CQ187" s="92"/>
      <c r="CR187" s="92"/>
      <c r="CS187" s="92"/>
      <c r="CT187" s="92"/>
      <c r="CU187" s="140">
        <f t="shared" si="90"/>
        <v>0</v>
      </c>
      <c r="CV187" s="95">
        <f t="shared" si="91"/>
        <v>0</v>
      </c>
      <c r="CW187" s="96">
        <f t="shared" si="92"/>
        <v>0</v>
      </c>
      <c r="CX187" s="97">
        <f t="shared" si="93"/>
        <v>0</v>
      </c>
      <c r="CZ187" s="146" t="s">
        <v>288</v>
      </c>
      <c r="DA187" s="94"/>
      <c r="DB187" s="91"/>
      <c r="DC187" s="92"/>
      <c r="DD187" s="92"/>
      <c r="DE187" s="92"/>
      <c r="DF187" s="92"/>
      <c r="DG187" s="92"/>
      <c r="DH187" s="92"/>
      <c r="DI187" s="140">
        <f t="shared" si="94"/>
        <v>0</v>
      </c>
      <c r="DJ187" s="94"/>
      <c r="DK187" s="91"/>
      <c r="DL187" s="92"/>
      <c r="DM187" s="92"/>
      <c r="DN187" s="92"/>
      <c r="DO187" s="92"/>
      <c r="DP187" s="92"/>
      <c r="DQ187" s="92"/>
      <c r="DR187" s="140">
        <f t="shared" si="95"/>
        <v>0</v>
      </c>
      <c r="DS187" s="94"/>
      <c r="DT187" s="91"/>
      <c r="DU187" s="92"/>
      <c r="DV187" s="92"/>
      <c r="DW187" s="92"/>
      <c r="DX187" s="92"/>
      <c r="DY187" s="92"/>
      <c r="DZ187" s="92"/>
      <c r="EA187" s="140">
        <f t="shared" si="96"/>
        <v>0</v>
      </c>
      <c r="EB187" s="95">
        <f t="shared" si="97"/>
        <v>0</v>
      </c>
      <c r="EC187" s="96">
        <f t="shared" si="98"/>
        <v>0</v>
      </c>
      <c r="ED187" s="97">
        <f t="shared" si="99"/>
        <v>0</v>
      </c>
    </row>
    <row r="188" spans="1:134" ht="21.95" hidden="1" customHeight="1" x14ac:dyDescent="0.5">
      <c r="A188" s="83"/>
      <c r="B188" s="99"/>
      <c r="C188" s="143"/>
      <c r="D188" s="105"/>
      <c r="E188" s="148"/>
      <c r="F188" s="87"/>
      <c r="G188" s="141"/>
      <c r="H188" s="146"/>
      <c r="I188" s="94">
        <f t="shared" si="79"/>
        <v>0</v>
      </c>
      <c r="J188" s="91">
        <f t="shared" si="100"/>
        <v>0</v>
      </c>
      <c r="K188" s="92"/>
      <c r="L188" s="92"/>
      <c r="M188" s="92"/>
      <c r="N188" s="92"/>
      <c r="O188" s="92"/>
      <c r="P188" s="92"/>
      <c r="Q188" s="93">
        <f t="shared" si="80"/>
        <v>0</v>
      </c>
      <c r="R188" s="94"/>
      <c r="S188" s="91"/>
      <c r="T188" s="92"/>
      <c r="U188" s="92"/>
      <c r="V188" s="92"/>
      <c r="W188" s="92"/>
      <c r="X188" s="92"/>
      <c r="Y188" s="92"/>
      <c r="Z188" s="93">
        <f t="shared" si="81"/>
        <v>0</v>
      </c>
      <c r="AA188" s="94"/>
      <c r="AB188" s="91"/>
      <c r="AC188" s="92"/>
      <c r="AD188" s="92"/>
      <c r="AE188" s="92"/>
      <c r="AF188" s="92"/>
      <c r="AG188" s="92"/>
      <c r="AH188" s="92"/>
      <c r="AI188" s="93">
        <f t="shared" si="82"/>
        <v>0</v>
      </c>
      <c r="AJ188" s="95">
        <f t="shared" si="77"/>
        <v>0</v>
      </c>
      <c r="AK188" s="96">
        <f t="shared" si="83"/>
        <v>0</v>
      </c>
      <c r="AL188" s="97">
        <f t="shared" si="78"/>
        <v>0</v>
      </c>
      <c r="AN188" s="89">
        <v>5.9047860185016642E-3</v>
      </c>
      <c r="AO188" s="94"/>
      <c r="AP188" s="91"/>
      <c r="AQ188" s="92"/>
      <c r="AR188" s="92"/>
      <c r="AS188" s="92"/>
      <c r="AT188" s="92"/>
      <c r="AU188" s="92"/>
      <c r="AV188" s="92"/>
      <c r="AW188" s="140">
        <v>0</v>
      </c>
      <c r="AX188" s="94"/>
      <c r="AY188" s="91"/>
      <c r="AZ188" s="92"/>
      <c r="BA188" s="92"/>
      <c r="BB188" s="92"/>
      <c r="BC188" s="92"/>
      <c r="BD188" s="92"/>
      <c r="BE188" s="92"/>
      <c r="BF188" s="140">
        <v>0</v>
      </c>
      <c r="BG188" s="94"/>
      <c r="BH188" s="91"/>
      <c r="BI188" s="92"/>
      <c r="BJ188" s="92"/>
      <c r="BK188" s="92"/>
      <c r="BL188" s="92"/>
      <c r="BM188" s="92"/>
      <c r="BN188" s="92"/>
      <c r="BO188" s="140">
        <f t="shared" si="84"/>
        <v>0</v>
      </c>
      <c r="BP188" s="95">
        <f t="shared" si="85"/>
        <v>0</v>
      </c>
      <c r="BQ188" s="96">
        <f t="shared" si="86"/>
        <v>0</v>
      </c>
      <c r="BR188" s="97">
        <f t="shared" si="87"/>
        <v>0</v>
      </c>
      <c r="BT188" s="146"/>
      <c r="BU188" s="94"/>
      <c r="BV188" s="91"/>
      <c r="BW188" s="92"/>
      <c r="BX188" s="92"/>
      <c r="BY188" s="92"/>
      <c r="BZ188" s="92"/>
      <c r="CA188" s="92"/>
      <c r="CB188" s="92"/>
      <c r="CC188" s="140">
        <f t="shared" si="88"/>
        <v>0</v>
      </c>
      <c r="CD188" s="94"/>
      <c r="CE188" s="91"/>
      <c r="CF188" s="92"/>
      <c r="CG188" s="92"/>
      <c r="CH188" s="92"/>
      <c r="CI188" s="92"/>
      <c r="CJ188" s="92"/>
      <c r="CK188" s="92"/>
      <c r="CL188" s="140">
        <f t="shared" si="89"/>
        <v>0</v>
      </c>
      <c r="CM188" s="94"/>
      <c r="CN188" s="91"/>
      <c r="CO188" s="92"/>
      <c r="CP188" s="92"/>
      <c r="CQ188" s="92"/>
      <c r="CR188" s="92"/>
      <c r="CS188" s="92"/>
      <c r="CT188" s="92"/>
      <c r="CU188" s="140">
        <f t="shared" si="90"/>
        <v>0</v>
      </c>
      <c r="CV188" s="95">
        <f t="shared" si="91"/>
        <v>0</v>
      </c>
      <c r="CW188" s="96">
        <f t="shared" si="92"/>
        <v>0</v>
      </c>
      <c r="CX188" s="97">
        <f t="shared" si="93"/>
        <v>0</v>
      </c>
      <c r="CZ188" s="146" t="s">
        <v>288</v>
      </c>
      <c r="DA188" s="94"/>
      <c r="DB188" s="91"/>
      <c r="DC188" s="92"/>
      <c r="DD188" s="92"/>
      <c r="DE188" s="92"/>
      <c r="DF188" s="92"/>
      <c r="DG188" s="92"/>
      <c r="DH188" s="92"/>
      <c r="DI188" s="140">
        <f t="shared" si="94"/>
        <v>0</v>
      </c>
      <c r="DJ188" s="94"/>
      <c r="DK188" s="91"/>
      <c r="DL188" s="92"/>
      <c r="DM188" s="92"/>
      <c r="DN188" s="92"/>
      <c r="DO188" s="92"/>
      <c r="DP188" s="92"/>
      <c r="DQ188" s="92"/>
      <c r="DR188" s="140">
        <f t="shared" si="95"/>
        <v>0</v>
      </c>
      <c r="DS188" s="94"/>
      <c r="DT188" s="91"/>
      <c r="DU188" s="92"/>
      <c r="DV188" s="92"/>
      <c r="DW188" s="92"/>
      <c r="DX188" s="92"/>
      <c r="DY188" s="92"/>
      <c r="DZ188" s="92"/>
      <c r="EA188" s="140">
        <f t="shared" si="96"/>
        <v>0</v>
      </c>
      <c r="EB188" s="95">
        <f t="shared" si="97"/>
        <v>0</v>
      </c>
      <c r="EC188" s="96">
        <f t="shared" si="98"/>
        <v>0</v>
      </c>
      <c r="ED188" s="97">
        <f t="shared" si="99"/>
        <v>0</v>
      </c>
    </row>
    <row r="189" spans="1:134" ht="21.95" customHeight="1" x14ac:dyDescent="0.5">
      <c r="A189" s="83"/>
      <c r="B189" s="150"/>
      <c r="C189" s="151"/>
      <c r="D189" s="152"/>
      <c r="E189" s="152"/>
      <c r="F189" s="87"/>
      <c r="G189" s="141"/>
      <c r="H189" s="153"/>
      <c r="I189" s="111"/>
      <c r="J189" s="112"/>
      <c r="K189" s="112"/>
      <c r="L189" s="112"/>
      <c r="M189" s="112"/>
      <c r="N189" s="112"/>
      <c r="O189" s="112"/>
      <c r="P189" s="112"/>
      <c r="Q189" s="154"/>
      <c r="R189" s="111"/>
      <c r="S189" s="112"/>
      <c r="T189" s="112"/>
      <c r="U189" s="112"/>
      <c r="V189" s="112"/>
      <c r="W189" s="112"/>
      <c r="X189" s="112"/>
      <c r="Y189" s="112"/>
      <c r="Z189" s="154"/>
      <c r="AA189" s="111"/>
      <c r="AB189" s="112"/>
      <c r="AC189" s="112"/>
      <c r="AD189" s="112"/>
      <c r="AE189" s="112"/>
      <c r="AF189" s="112"/>
      <c r="AG189" s="112"/>
      <c r="AH189" s="112"/>
      <c r="AI189" s="154"/>
      <c r="AJ189" s="155"/>
      <c r="AK189" s="115"/>
      <c r="AL189" s="156"/>
      <c r="AN189" s="153"/>
      <c r="AO189" s="111"/>
      <c r="AP189" s="112"/>
      <c r="AQ189" s="112"/>
      <c r="AR189" s="112"/>
      <c r="AS189" s="112"/>
      <c r="AT189" s="112"/>
      <c r="AU189" s="112"/>
      <c r="AV189" s="112"/>
      <c r="AW189" s="154"/>
      <c r="AX189" s="111"/>
      <c r="AY189" s="112"/>
      <c r="AZ189" s="112"/>
      <c r="BA189" s="112"/>
      <c r="BB189" s="112"/>
      <c r="BC189" s="112"/>
      <c r="BD189" s="112"/>
      <c r="BE189" s="112"/>
      <c r="BF189" s="154"/>
      <c r="BG189" s="111"/>
      <c r="BH189" s="112"/>
      <c r="BI189" s="112"/>
      <c r="BJ189" s="112"/>
      <c r="BK189" s="112"/>
      <c r="BL189" s="112"/>
      <c r="BM189" s="112"/>
      <c r="BN189" s="112"/>
      <c r="BO189" s="140">
        <f t="shared" si="84"/>
        <v>0</v>
      </c>
      <c r="BP189" s="95">
        <f t="shared" si="85"/>
        <v>0</v>
      </c>
      <c r="BQ189" s="96">
        <f t="shared" si="86"/>
        <v>0</v>
      </c>
      <c r="BR189" s="97">
        <f t="shared" si="87"/>
        <v>0</v>
      </c>
      <c r="BT189" s="153"/>
      <c r="BU189" s="111"/>
      <c r="BV189" s="112"/>
      <c r="BW189" s="112"/>
      <c r="BX189" s="112"/>
      <c r="BY189" s="112"/>
      <c r="BZ189" s="112"/>
      <c r="CA189" s="112"/>
      <c r="CB189" s="112"/>
      <c r="CC189" s="154"/>
      <c r="CD189" s="111"/>
      <c r="CE189" s="112"/>
      <c r="CF189" s="112"/>
      <c r="CG189" s="112"/>
      <c r="CH189" s="112"/>
      <c r="CI189" s="112"/>
      <c r="CJ189" s="112"/>
      <c r="CK189" s="112"/>
      <c r="CL189" s="154"/>
      <c r="CM189" s="111"/>
      <c r="CN189" s="112"/>
      <c r="CO189" s="112"/>
      <c r="CP189" s="112"/>
      <c r="CQ189" s="112"/>
      <c r="CR189" s="112"/>
      <c r="CS189" s="112"/>
      <c r="CT189" s="112"/>
      <c r="CU189" s="154"/>
      <c r="CV189" s="155"/>
      <c r="CW189" s="115"/>
      <c r="CX189" s="156"/>
      <c r="CZ189" s="153"/>
      <c r="DA189" s="111"/>
      <c r="DB189" s="112"/>
      <c r="DC189" s="112"/>
      <c r="DD189" s="112"/>
      <c r="DE189" s="112"/>
      <c r="DF189" s="112"/>
      <c r="DG189" s="112"/>
      <c r="DH189" s="112"/>
      <c r="DI189" s="154"/>
      <c r="DJ189" s="111"/>
      <c r="DK189" s="112"/>
      <c r="DL189" s="112"/>
      <c r="DM189" s="112"/>
      <c r="DN189" s="112"/>
      <c r="DO189" s="112"/>
      <c r="DP189" s="112"/>
      <c r="DQ189" s="112"/>
      <c r="DR189" s="154"/>
      <c r="DS189" s="111"/>
      <c r="DT189" s="112"/>
      <c r="DU189" s="112"/>
      <c r="DV189" s="112"/>
      <c r="DW189" s="112"/>
      <c r="DX189" s="112"/>
      <c r="DY189" s="112"/>
      <c r="DZ189" s="112"/>
      <c r="EA189" s="154"/>
      <c r="EB189" s="155"/>
      <c r="EC189" s="115"/>
      <c r="ED189" s="156"/>
    </row>
    <row r="190" spans="1:134" s="126" customFormat="1" ht="21.95" customHeight="1" x14ac:dyDescent="0.5">
      <c r="A190" s="117"/>
      <c r="B190" s="366" t="s">
        <v>395</v>
      </c>
      <c r="C190" s="367"/>
      <c r="D190" s="367"/>
      <c r="E190" s="367"/>
      <c r="F190" s="368"/>
      <c r="G190" s="157">
        <f>SUM(G79:G189)</f>
        <v>0</v>
      </c>
      <c r="H190" s="158"/>
      <c r="I190" s="159">
        <f>SUM(I79:I189)</f>
        <v>319940.99685911217</v>
      </c>
      <c r="J190" s="160">
        <f>SUM(J79:J189)</f>
        <v>241559.00000000006</v>
      </c>
      <c r="K190" s="160">
        <f>SUM(K79:K189)</f>
        <v>108172</v>
      </c>
      <c r="L190" s="160">
        <f>SUM(L79:L189)</f>
        <v>84272.48</v>
      </c>
      <c r="M190" s="160">
        <f t="shared" ref="M190:P190" si="101">SUM(M79:M189)</f>
        <v>193362</v>
      </c>
      <c r="N190" s="160">
        <f t="shared" si="101"/>
        <v>149502.39999999999</v>
      </c>
      <c r="O190" s="160">
        <f t="shared" si="101"/>
        <v>312984</v>
      </c>
      <c r="P190" s="160">
        <f t="shared" si="101"/>
        <v>241917.52000000002</v>
      </c>
      <c r="Q190" s="161">
        <f>P190/J190</f>
        <v>1.0014841922677273</v>
      </c>
      <c r="R190" s="159">
        <f>SUM(R79:R189)</f>
        <v>319940.99685911235</v>
      </c>
      <c r="S190" s="160">
        <f>SUM(S79:S189)</f>
        <v>241559.00000000006</v>
      </c>
      <c r="T190" s="160">
        <f>SUM(T79:T189)</f>
        <v>90966</v>
      </c>
      <c r="U190" s="160">
        <f>SUM(U79:U189)</f>
        <v>68382.48</v>
      </c>
      <c r="V190" s="160">
        <f t="shared" ref="V190:Y190" si="102">SUM(V79:V189)</f>
        <v>185442</v>
      </c>
      <c r="W190" s="160">
        <f t="shared" si="102"/>
        <v>144276.88</v>
      </c>
      <c r="X190" s="160">
        <f t="shared" si="102"/>
        <v>276152</v>
      </c>
      <c r="Y190" s="160">
        <f t="shared" si="102"/>
        <v>213281.68000000002</v>
      </c>
      <c r="Z190" s="161">
        <f>Y190/S190</f>
        <v>0.88293824697071921</v>
      </c>
      <c r="AA190" s="159">
        <f>SUM(AA97:AA115)</f>
        <v>70034.238676489127</v>
      </c>
      <c r="AB190" s="160">
        <f>SUM(AB79:AB189)</f>
        <v>241559.00000000006</v>
      </c>
      <c r="AC190" s="160">
        <f t="shared" ref="AC190:AH190" si="103">SUM(AC79:AC189)</f>
        <v>101478</v>
      </c>
      <c r="AD190" s="160">
        <f t="shared" si="103"/>
        <v>80455.839999999967</v>
      </c>
      <c r="AE190" s="160">
        <f t="shared" si="103"/>
        <v>231682</v>
      </c>
      <c r="AF190" s="160">
        <f t="shared" si="103"/>
        <v>183762.80000000002</v>
      </c>
      <c r="AG190" s="160">
        <f t="shared" si="103"/>
        <v>0</v>
      </c>
      <c r="AH190" s="160">
        <f t="shared" si="103"/>
        <v>0</v>
      </c>
      <c r="AI190" s="161">
        <f>AH190/AB190</f>
        <v>0</v>
      </c>
      <c r="AJ190" s="162">
        <f>SUM(AJ79:AJ189)</f>
        <v>724677.00000000012</v>
      </c>
      <c r="AK190" s="163">
        <f>SUM(AK79:AK189)</f>
        <v>455199.20000000013</v>
      </c>
      <c r="AL190" s="164">
        <f t="shared" ref="AL190" si="104">IFERROR((AK190/AJ190),0)</f>
        <v>0.62814081307948233</v>
      </c>
      <c r="AN190" s="158"/>
      <c r="AO190" s="159">
        <f>SUM(AO79:AO189)</f>
        <v>0</v>
      </c>
      <c r="AP190" s="160">
        <f>SUM(AP79:AP189)</f>
        <v>0</v>
      </c>
      <c r="AQ190" s="160">
        <f>SUM(AQ79:AQ189)</f>
        <v>0</v>
      </c>
      <c r="AR190" s="160">
        <f>SUM(AR79:AR189)</f>
        <v>0</v>
      </c>
      <c r="AS190" s="160">
        <f t="shared" ref="AS190:AV190" si="105">SUM(AS79:AS189)</f>
        <v>0</v>
      </c>
      <c r="AT190" s="160">
        <f t="shared" si="105"/>
        <v>0</v>
      </c>
      <c r="AU190" s="160">
        <f t="shared" si="105"/>
        <v>0</v>
      </c>
      <c r="AV190" s="160">
        <f t="shared" si="105"/>
        <v>0</v>
      </c>
      <c r="AW190" s="161" t="e">
        <f>AU190/AP190</f>
        <v>#DIV/0!</v>
      </c>
      <c r="AX190" s="159">
        <f>SUM(AX79:AX189)</f>
        <v>0</v>
      </c>
      <c r="AY190" s="160">
        <f>SUM(AY79:AY189)</f>
        <v>0</v>
      </c>
      <c r="AZ190" s="160">
        <f>SUM(AZ79:AZ189)</f>
        <v>0</v>
      </c>
      <c r="BA190" s="160">
        <f>SUM(BA79:BA189)</f>
        <v>0</v>
      </c>
      <c r="BB190" s="160">
        <f t="shared" ref="BB190:BE190" si="106">SUM(BB79:BB189)</f>
        <v>0</v>
      </c>
      <c r="BC190" s="160">
        <f t="shared" si="106"/>
        <v>0</v>
      </c>
      <c r="BD190" s="160">
        <f t="shared" si="106"/>
        <v>0</v>
      </c>
      <c r="BE190" s="160">
        <f t="shared" si="106"/>
        <v>0</v>
      </c>
      <c r="BF190" s="161" t="e">
        <f>BD190/AY190</f>
        <v>#DIV/0!</v>
      </c>
      <c r="BG190" s="159">
        <f>SUM(BG97:BG115)</f>
        <v>0</v>
      </c>
      <c r="BH190" s="160">
        <f>SUM(BH79:BH189)</f>
        <v>0</v>
      </c>
      <c r="BI190" s="160">
        <f t="shared" ref="BI190:BN190" si="107">SUM(BI79:BI189)</f>
        <v>0</v>
      </c>
      <c r="BJ190" s="160">
        <f t="shared" si="107"/>
        <v>0</v>
      </c>
      <c r="BK190" s="160">
        <f t="shared" si="107"/>
        <v>0</v>
      </c>
      <c r="BL190" s="160">
        <f t="shared" si="107"/>
        <v>0</v>
      </c>
      <c r="BM190" s="160">
        <f t="shared" si="107"/>
        <v>0</v>
      </c>
      <c r="BN190" s="160">
        <f t="shared" si="107"/>
        <v>0</v>
      </c>
      <c r="BO190" s="161" t="e">
        <f>BM190/BH190</f>
        <v>#DIV/0!</v>
      </c>
      <c r="BP190" s="162">
        <f>SUM(BP79:BP189)</f>
        <v>0</v>
      </c>
      <c r="BQ190" s="163">
        <f>SUM(BQ79:BQ189)</f>
        <v>0</v>
      </c>
      <c r="BR190" s="164">
        <f t="shared" si="87"/>
        <v>0</v>
      </c>
      <c r="BT190" s="158"/>
      <c r="BU190" s="159">
        <f>SUM(BU79:BU189)</f>
        <v>0</v>
      </c>
      <c r="BV190" s="160">
        <f>SUM(BV79:BV189)</f>
        <v>0</v>
      </c>
      <c r="BW190" s="160">
        <f>SUM(BW79:BW189)</f>
        <v>0</v>
      </c>
      <c r="BX190" s="160">
        <f>SUM(BX79:BX189)</f>
        <v>0</v>
      </c>
      <c r="BY190" s="160">
        <f t="shared" ref="BY190:CB190" si="108">SUM(BY79:BY189)</f>
        <v>0</v>
      </c>
      <c r="BZ190" s="160">
        <f t="shared" si="108"/>
        <v>0</v>
      </c>
      <c r="CA190" s="160">
        <f t="shared" si="108"/>
        <v>0</v>
      </c>
      <c r="CB190" s="160">
        <f t="shared" si="108"/>
        <v>0</v>
      </c>
      <c r="CC190" s="161" t="e">
        <f>CA190/BV190</f>
        <v>#DIV/0!</v>
      </c>
      <c r="CD190" s="159">
        <f>SUM(CD79:CD189)</f>
        <v>0</v>
      </c>
      <c r="CE190" s="160">
        <f>SUM(CE79:CE189)</f>
        <v>0</v>
      </c>
      <c r="CF190" s="160">
        <f>SUM(CF79:CF189)</f>
        <v>0</v>
      </c>
      <c r="CG190" s="160">
        <f>SUM(CG79:CG189)</f>
        <v>0</v>
      </c>
      <c r="CH190" s="160">
        <f t="shared" ref="CH190:CK190" si="109">SUM(CH79:CH189)</f>
        <v>0</v>
      </c>
      <c r="CI190" s="160">
        <f t="shared" si="109"/>
        <v>0</v>
      </c>
      <c r="CJ190" s="160">
        <f t="shared" si="109"/>
        <v>0</v>
      </c>
      <c r="CK190" s="160">
        <f t="shared" si="109"/>
        <v>0</v>
      </c>
      <c r="CL190" s="161" t="e">
        <f>CJ190/CE190</f>
        <v>#DIV/0!</v>
      </c>
      <c r="CM190" s="159">
        <f>SUM(CM97:CM115)</f>
        <v>0</v>
      </c>
      <c r="CN190" s="160">
        <f>SUM(CN79:CN189)</f>
        <v>0</v>
      </c>
      <c r="CO190" s="160">
        <f t="shared" ref="CO190:CT190" si="110">SUM(CO79:CO189)</f>
        <v>0</v>
      </c>
      <c r="CP190" s="160">
        <f t="shared" si="110"/>
        <v>0</v>
      </c>
      <c r="CQ190" s="160">
        <f t="shared" si="110"/>
        <v>0</v>
      </c>
      <c r="CR190" s="160">
        <f t="shared" si="110"/>
        <v>0</v>
      </c>
      <c r="CS190" s="160">
        <f t="shared" si="110"/>
        <v>0</v>
      </c>
      <c r="CT190" s="160">
        <f t="shared" si="110"/>
        <v>0</v>
      </c>
      <c r="CU190" s="161" t="e">
        <f>CS190/CN190</f>
        <v>#DIV/0!</v>
      </c>
      <c r="CV190" s="162">
        <f>SUM(CV79:CV189)</f>
        <v>0</v>
      </c>
      <c r="CW190" s="163">
        <f>SUM(CW79:CW189)</f>
        <v>0</v>
      </c>
      <c r="CX190" s="164">
        <f t="shared" ref="CX190" si="111">IFERROR((CW190/CV190),0)</f>
        <v>0</v>
      </c>
      <c r="CZ190" s="158"/>
      <c r="DA190" s="159">
        <f>SUM(DA79:DA189)</f>
        <v>0</v>
      </c>
      <c r="DB190" s="160">
        <f>SUM(DB79:DB189)</f>
        <v>0</v>
      </c>
      <c r="DC190" s="160">
        <f>SUM(DC79:DC189)</f>
        <v>0</v>
      </c>
      <c r="DD190" s="160">
        <f>SUM(DD79:DD189)</f>
        <v>0</v>
      </c>
      <c r="DE190" s="160">
        <f t="shared" ref="DE190:DH190" si="112">SUM(DE79:DE189)</f>
        <v>0</v>
      </c>
      <c r="DF190" s="160">
        <f t="shared" si="112"/>
        <v>0</v>
      </c>
      <c r="DG190" s="160">
        <f t="shared" si="112"/>
        <v>0</v>
      </c>
      <c r="DH190" s="160">
        <f t="shared" si="112"/>
        <v>0</v>
      </c>
      <c r="DI190" s="161" t="e">
        <f>DG190/DB190</f>
        <v>#DIV/0!</v>
      </c>
      <c r="DJ190" s="159">
        <f>SUM(DJ79:DJ189)</f>
        <v>0</v>
      </c>
      <c r="DK190" s="160">
        <f>SUM(DK79:DK189)</f>
        <v>0</v>
      </c>
      <c r="DL190" s="160">
        <f>SUM(DL79:DL189)</f>
        <v>0</v>
      </c>
      <c r="DM190" s="160">
        <f>SUM(DM79:DM189)</f>
        <v>0</v>
      </c>
      <c r="DN190" s="160">
        <f t="shared" ref="DN190:DQ190" si="113">SUM(DN79:DN189)</f>
        <v>0</v>
      </c>
      <c r="DO190" s="160">
        <f t="shared" si="113"/>
        <v>0</v>
      </c>
      <c r="DP190" s="160">
        <f t="shared" si="113"/>
        <v>0</v>
      </c>
      <c r="DQ190" s="160">
        <f t="shared" si="113"/>
        <v>0</v>
      </c>
      <c r="DR190" s="161" t="e">
        <f>DP190/DK190</f>
        <v>#DIV/0!</v>
      </c>
      <c r="DS190" s="159">
        <f>SUM(DS97:DS115)</f>
        <v>0</v>
      </c>
      <c r="DT190" s="160">
        <f>SUM(DT79:DT189)</f>
        <v>0</v>
      </c>
      <c r="DU190" s="160">
        <f t="shared" ref="DU190:DZ190" si="114">SUM(DU79:DU189)</f>
        <v>0</v>
      </c>
      <c r="DV190" s="160">
        <f t="shared" si="114"/>
        <v>0</v>
      </c>
      <c r="DW190" s="160">
        <f t="shared" si="114"/>
        <v>0</v>
      </c>
      <c r="DX190" s="160">
        <f t="shared" si="114"/>
        <v>0</v>
      </c>
      <c r="DY190" s="160">
        <f t="shared" si="114"/>
        <v>0</v>
      </c>
      <c r="DZ190" s="160">
        <f t="shared" si="114"/>
        <v>0</v>
      </c>
      <c r="EA190" s="161" t="e">
        <f>DY190/DT190</f>
        <v>#DIV/0!</v>
      </c>
      <c r="EB190" s="162">
        <f>SUM(EB79:EB189)</f>
        <v>0</v>
      </c>
      <c r="EC190" s="163">
        <f>SUM(EC79:EC189)</f>
        <v>0</v>
      </c>
      <c r="ED190" s="164">
        <f t="shared" ref="ED190" si="115">IFERROR((EC190/EB190),0)</f>
        <v>0</v>
      </c>
    </row>
    <row r="191" spans="1:134" ht="21.95" customHeight="1" thickBot="1" x14ac:dyDescent="0.55000000000000004">
      <c r="A191" s="107"/>
      <c r="B191" s="108"/>
      <c r="C191" s="108"/>
      <c r="D191" s="108"/>
      <c r="E191" s="108"/>
      <c r="F191" s="107"/>
      <c r="G191" s="109"/>
      <c r="H191" s="110"/>
      <c r="I191" s="165"/>
      <c r="J191" s="166"/>
      <c r="K191" s="166"/>
      <c r="L191" s="166"/>
      <c r="M191" s="166"/>
      <c r="N191" s="166"/>
      <c r="O191" s="166"/>
      <c r="P191" s="166"/>
      <c r="Q191" s="167"/>
      <c r="R191" s="165"/>
      <c r="S191" s="166"/>
      <c r="T191" s="166"/>
      <c r="U191" s="166"/>
      <c r="V191" s="166"/>
      <c r="W191" s="166"/>
      <c r="X191" s="166"/>
      <c r="Y191" s="166"/>
      <c r="Z191" s="167"/>
      <c r="AA191" s="165"/>
      <c r="AB191" s="166"/>
      <c r="AC191" s="166"/>
      <c r="AD191" s="166"/>
      <c r="AE191" s="166"/>
      <c r="AF191" s="166"/>
      <c r="AG191" s="166"/>
      <c r="AH191" s="166"/>
      <c r="AI191" s="167"/>
      <c r="AJ191" s="168"/>
      <c r="AK191" s="169"/>
      <c r="AL191" s="170"/>
      <c r="AN191" s="110"/>
      <c r="AO191" s="165"/>
      <c r="AP191" s="166"/>
      <c r="AQ191" s="166"/>
      <c r="AR191" s="166"/>
      <c r="AS191" s="166"/>
      <c r="AT191" s="166"/>
      <c r="AU191" s="166"/>
      <c r="AV191" s="166"/>
      <c r="AW191" s="167"/>
      <c r="AX191" s="165"/>
      <c r="AY191" s="166"/>
      <c r="AZ191" s="166"/>
      <c r="BA191" s="166"/>
      <c r="BB191" s="166"/>
      <c r="BC191" s="166"/>
      <c r="BD191" s="166"/>
      <c r="BE191" s="166"/>
      <c r="BF191" s="167"/>
      <c r="BG191" s="165"/>
      <c r="BH191" s="166"/>
      <c r="BI191" s="166"/>
      <c r="BJ191" s="166"/>
      <c r="BK191" s="166"/>
      <c r="BL191" s="166"/>
      <c r="BM191" s="166"/>
      <c r="BN191" s="166"/>
      <c r="BO191" s="167"/>
      <c r="BP191" s="168"/>
      <c r="BQ191" s="169"/>
      <c r="BR191" s="170"/>
      <c r="BT191" s="110"/>
      <c r="BU191" s="165"/>
      <c r="BV191" s="166"/>
      <c r="BW191" s="166"/>
      <c r="BX191" s="166"/>
      <c r="BY191" s="166"/>
      <c r="BZ191" s="166"/>
      <c r="CA191" s="166"/>
      <c r="CB191" s="166"/>
      <c r="CC191" s="167"/>
      <c r="CD191" s="165"/>
      <c r="CE191" s="166"/>
      <c r="CF191" s="166"/>
      <c r="CG191" s="166"/>
      <c r="CH191" s="166"/>
      <c r="CI191" s="166"/>
      <c r="CJ191" s="166"/>
      <c r="CK191" s="166"/>
      <c r="CL191" s="167"/>
      <c r="CM191" s="165"/>
      <c r="CN191" s="166"/>
      <c r="CO191" s="166"/>
      <c r="CP191" s="166"/>
      <c r="CQ191" s="166"/>
      <c r="CR191" s="166"/>
      <c r="CS191" s="166"/>
      <c r="CT191" s="166"/>
      <c r="CU191" s="167"/>
      <c r="CV191" s="168"/>
      <c r="CW191" s="169"/>
      <c r="CX191" s="170"/>
      <c r="CZ191" s="110"/>
      <c r="DA191" s="165"/>
      <c r="DB191" s="166"/>
      <c r="DC191" s="166"/>
      <c r="DD191" s="166"/>
      <c r="DE191" s="166"/>
      <c r="DF191" s="166"/>
      <c r="DG191" s="166"/>
      <c r="DH191" s="166"/>
      <c r="DI191" s="167"/>
      <c r="DJ191" s="165"/>
      <c r="DK191" s="166"/>
      <c r="DL191" s="166"/>
      <c r="DM191" s="166"/>
      <c r="DN191" s="166"/>
      <c r="DO191" s="166"/>
      <c r="DP191" s="166"/>
      <c r="DQ191" s="166"/>
      <c r="DR191" s="167"/>
      <c r="DS191" s="165"/>
      <c r="DT191" s="166"/>
      <c r="DU191" s="166"/>
      <c r="DV191" s="166"/>
      <c r="DW191" s="166"/>
      <c r="DX191" s="166"/>
      <c r="DY191" s="166"/>
      <c r="DZ191" s="166"/>
      <c r="EA191" s="167"/>
      <c r="EB191" s="168"/>
      <c r="EC191" s="169"/>
      <c r="ED191" s="170"/>
    </row>
    <row r="192" spans="1:134" ht="21.95" customHeight="1" thickBot="1" x14ac:dyDescent="0.55000000000000004">
      <c r="A192" s="171"/>
      <c r="B192" s="172"/>
      <c r="C192" s="172"/>
      <c r="D192" s="172"/>
      <c r="E192" s="172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  <c r="AX192" s="171"/>
      <c r="AY192" s="171"/>
      <c r="AZ192" s="171"/>
      <c r="BA192" s="171"/>
      <c r="BB192" s="171"/>
      <c r="BC192" s="171"/>
      <c r="BD192" s="171"/>
      <c r="BE192" s="171"/>
      <c r="BF192" s="171"/>
      <c r="BG192" s="171"/>
      <c r="BH192" s="171"/>
      <c r="BI192" s="171"/>
      <c r="BJ192" s="171"/>
      <c r="BK192" s="171"/>
      <c r="BL192" s="171"/>
      <c r="BM192" s="171"/>
      <c r="BN192" s="171"/>
      <c r="BO192" s="171"/>
      <c r="BP192" s="171"/>
      <c r="BQ192" s="171"/>
      <c r="BR192" s="171"/>
      <c r="BT192" s="171"/>
      <c r="BU192" s="171"/>
      <c r="BV192" s="171"/>
      <c r="BW192" s="171"/>
      <c r="BX192" s="171"/>
      <c r="BY192" s="171"/>
      <c r="BZ192" s="171"/>
      <c r="CA192" s="171"/>
      <c r="CB192" s="171"/>
      <c r="CC192" s="171"/>
      <c r="CD192" s="171"/>
      <c r="CE192" s="171"/>
      <c r="CF192" s="171"/>
      <c r="CG192" s="171"/>
      <c r="CH192" s="171"/>
      <c r="CI192" s="171"/>
      <c r="CJ192" s="171"/>
      <c r="CK192" s="171"/>
      <c r="CL192" s="171"/>
      <c r="CM192" s="171"/>
      <c r="CN192" s="171"/>
      <c r="CO192" s="171"/>
      <c r="CP192" s="171"/>
      <c r="CQ192" s="171"/>
      <c r="CR192" s="171"/>
      <c r="CS192" s="171"/>
      <c r="CT192" s="171"/>
      <c r="CU192" s="171"/>
      <c r="CV192" s="171"/>
      <c r="CW192" s="171"/>
      <c r="CX192" s="171"/>
      <c r="CZ192" s="171"/>
      <c r="DA192" s="171"/>
      <c r="DB192" s="171"/>
      <c r="DC192" s="171"/>
      <c r="DD192" s="171"/>
      <c r="DE192" s="171"/>
      <c r="DF192" s="171"/>
      <c r="DG192" s="171"/>
      <c r="DH192" s="171"/>
      <c r="DI192" s="171"/>
      <c r="DJ192" s="171"/>
      <c r="DK192" s="171"/>
      <c r="DL192" s="171"/>
      <c r="DM192" s="171"/>
      <c r="DN192" s="171"/>
      <c r="DO192" s="171"/>
      <c r="DP192" s="171"/>
      <c r="DQ192" s="171"/>
      <c r="DR192" s="171"/>
      <c r="DS192" s="171"/>
      <c r="DT192" s="171"/>
      <c r="DU192" s="171"/>
      <c r="DV192" s="171"/>
      <c r="DW192" s="171"/>
      <c r="DX192" s="171"/>
      <c r="DY192" s="171"/>
      <c r="DZ192" s="171"/>
      <c r="EA192" s="171"/>
      <c r="EB192" s="171"/>
      <c r="EC192" s="171"/>
      <c r="ED192" s="171"/>
    </row>
    <row r="193" spans="1:134" ht="21.95" customHeight="1" thickBot="1" x14ac:dyDescent="0.55000000000000004">
      <c r="A193" s="171"/>
      <c r="B193" s="172"/>
      <c r="C193" s="172"/>
      <c r="D193" s="172"/>
      <c r="E193" s="172"/>
      <c r="F193" s="171"/>
      <c r="G193" s="173"/>
      <c r="H193" s="174"/>
      <c r="I193" s="383" t="s">
        <v>396</v>
      </c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  <c r="AB193" s="384"/>
      <c r="AC193" s="384"/>
      <c r="AD193" s="384"/>
      <c r="AE193" s="384"/>
      <c r="AF193" s="384"/>
      <c r="AG193" s="384"/>
      <c r="AH193" s="384"/>
      <c r="AI193" s="384"/>
      <c r="AJ193" s="384"/>
      <c r="AK193" s="384"/>
      <c r="AL193" s="385"/>
      <c r="AN193" s="174"/>
      <c r="AO193" s="386" t="s">
        <v>32</v>
      </c>
      <c r="AP193" s="387"/>
      <c r="AQ193" s="387"/>
      <c r="AR193" s="387"/>
      <c r="AS193" s="387"/>
      <c r="AT193" s="387"/>
      <c r="AU193" s="387"/>
      <c r="AV193" s="387"/>
      <c r="AW193" s="387"/>
      <c r="AX193" s="387"/>
      <c r="AY193" s="387"/>
      <c r="AZ193" s="387"/>
      <c r="BA193" s="387"/>
      <c r="BB193" s="387"/>
      <c r="BC193" s="387"/>
      <c r="BD193" s="387"/>
      <c r="BE193" s="387"/>
      <c r="BF193" s="387"/>
      <c r="BG193" s="387"/>
      <c r="BH193" s="387"/>
      <c r="BI193" s="387"/>
      <c r="BJ193" s="387"/>
      <c r="BK193" s="387"/>
      <c r="BL193" s="387"/>
      <c r="BM193" s="387"/>
      <c r="BN193" s="387"/>
      <c r="BO193" s="387"/>
      <c r="BP193" s="387"/>
      <c r="BQ193" s="387"/>
      <c r="BR193" s="388"/>
      <c r="BT193" s="174"/>
      <c r="BU193" s="386" t="s">
        <v>33</v>
      </c>
      <c r="BV193" s="387"/>
      <c r="BW193" s="387"/>
      <c r="BX193" s="387"/>
      <c r="BY193" s="387"/>
      <c r="BZ193" s="387"/>
      <c r="CA193" s="387"/>
      <c r="CB193" s="387"/>
      <c r="CC193" s="387"/>
      <c r="CD193" s="387"/>
      <c r="CE193" s="387"/>
      <c r="CF193" s="387"/>
      <c r="CG193" s="387"/>
      <c r="CH193" s="387"/>
      <c r="CI193" s="387"/>
      <c r="CJ193" s="387"/>
      <c r="CK193" s="387"/>
      <c r="CL193" s="387"/>
      <c r="CM193" s="387"/>
      <c r="CN193" s="387"/>
      <c r="CO193" s="387"/>
      <c r="CP193" s="387"/>
      <c r="CQ193" s="387"/>
      <c r="CR193" s="387"/>
      <c r="CS193" s="387"/>
      <c r="CT193" s="387"/>
      <c r="CU193" s="387"/>
      <c r="CV193" s="387"/>
      <c r="CW193" s="387"/>
      <c r="CX193" s="388"/>
      <c r="CY193" s="1"/>
      <c r="CZ193" s="2"/>
      <c r="DA193" s="386" t="s">
        <v>34</v>
      </c>
      <c r="DB193" s="387"/>
      <c r="DC193" s="387"/>
      <c r="DD193" s="387"/>
      <c r="DE193" s="387"/>
      <c r="DF193" s="387"/>
      <c r="DG193" s="387"/>
      <c r="DH193" s="387"/>
      <c r="DI193" s="387"/>
      <c r="DJ193" s="387"/>
      <c r="DK193" s="387"/>
      <c r="DL193" s="387"/>
      <c r="DM193" s="387"/>
      <c r="DN193" s="387"/>
      <c r="DO193" s="387"/>
      <c r="DP193" s="387"/>
      <c r="DQ193" s="387"/>
      <c r="DR193" s="387"/>
      <c r="DS193" s="387"/>
      <c r="DT193" s="387"/>
      <c r="DU193" s="387"/>
      <c r="DV193" s="387"/>
      <c r="DW193" s="387"/>
      <c r="DX193" s="387"/>
      <c r="DY193" s="387"/>
      <c r="DZ193" s="387"/>
      <c r="EA193" s="387"/>
      <c r="EB193" s="387"/>
      <c r="EC193" s="387"/>
      <c r="ED193" s="388"/>
    </row>
    <row r="194" spans="1:134" s="71" customFormat="1" ht="21.95" customHeight="1" x14ac:dyDescent="0.6">
      <c r="A194" s="6"/>
      <c r="B194" s="392" t="s">
        <v>397</v>
      </c>
      <c r="C194" s="392"/>
      <c r="D194" s="392"/>
      <c r="E194" s="6"/>
      <c r="F194" s="6"/>
      <c r="H194" s="72"/>
      <c r="I194" s="374">
        <v>46023</v>
      </c>
      <c r="J194" s="375"/>
      <c r="K194" s="375"/>
      <c r="L194" s="375"/>
      <c r="M194" s="375"/>
      <c r="N194" s="375"/>
      <c r="O194" s="375"/>
      <c r="P194" s="375"/>
      <c r="Q194" s="380"/>
      <c r="R194" s="374">
        <v>46054</v>
      </c>
      <c r="S194" s="375"/>
      <c r="T194" s="375"/>
      <c r="U194" s="375"/>
      <c r="V194" s="375"/>
      <c r="W194" s="375"/>
      <c r="X194" s="375"/>
      <c r="Y194" s="375"/>
      <c r="Z194" s="380"/>
      <c r="AA194" s="374">
        <v>46082</v>
      </c>
      <c r="AB194" s="375"/>
      <c r="AC194" s="375"/>
      <c r="AD194" s="375"/>
      <c r="AE194" s="375"/>
      <c r="AF194" s="375"/>
      <c r="AG194" s="375"/>
      <c r="AH194" s="375"/>
      <c r="AI194" s="380"/>
      <c r="AJ194" s="377" t="s">
        <v>36</v>
      </c>
      <c r="AK194" s="378"/>
      <c r="AL194" s="379"/>
      <c r="AN194" s="72"/>
      <c r="AO194" s="374">
        <v>46113</v>
      </c>
      <c r="AP194" s="375"/>
      <c r="AQ194" s="375"/>
      <c r="AR194" s="375"/>
      <c r="AS194" s="375"/>
      <c r="AT194" s="375"/>
      <c r="AU194" s="375"/>
      <c r="AV194" s="375"/>
      <c r="AW194" s="376"/>
      <c r="AX194" s="374">
        <v>46143</v>
      </c>
      <c r="AY194" s="375"/>
      <c r="AZ194" s="375"/>
      <c r="BA194" s="375"/>
      <c r="BB194" s="375"/>
      <c r="BC194" s="375"/>
      <c r="BD194" s="375"/>
      <c r="BE194" s="375"/>
      <c r="BF194" s="376"/>
      <c r="BG194" s="374">
        <v>46174</v>
      </c>
      <c r="BH194" s="375"/>
      <c r="BI194" s="375"/>
      <c r="BJ194" s="375"/>
      <c r="BK194" s="375"/>
      <c r="BL194" s="375"/>
      <c r="BM194" s="375"/>
      <c r="BN194" s="375"/>
      <c r="BO194" s="376"/>
      <c r="BP194" s="377" t="s">
        <v>37</v>
      </c>
      <c r="BQ194" s="378"/>
      <c r="BR194" s="379"/>
      <c r="BT194" s="72"/>
      <c r="BU194" s="374">
        <v>46204</v>
      </c>
      <c r="BV194" s="375"/>
      <c r="BW194" s="375"/>
      <c r="BX194" s="375"/>
      <c r="BY194" s="375"/>
      <c r="BZ194" s="375"/>
      <c r="CA194" s="375"/>
      <c r="CB194" s="375"/>
      <c r="CC194" s="376"/>
      <c r="CD194" s="374">
        <v>46235</v>
      </c>
      <c r="CE194" s="375"/>
      <c r="CF194" s="375"/>
      <c r="CG194" s="375"/>
      <c r="CH194" s="375"/>
      <c r="CI194" s="375"/>
      <c r="CJ194" s="375"/>
      <c r="CK194" s="375"/>
      <c r="CL194" s="376"/>
      <c r="CM194" s="374">
        <v>46266</v>
      </c>
      <c r="CN194" s="375"/>
      <c r="CO194" s="375"/>
      <c r="CP194" s="375"/>
      <c r="CQ194" s="375"/>
      <c r="CR194" s="375"/>
      <c r="CS194" s="375"/>
      <c r="CT194" s="375"/>
      <c r="CU194" s="376"/>
      <c r="CV194" s="377" t="s">
        <v>38</v>
      </c>
      <c r="CW194" s="378"/>
      <c r="CX194" s="379"/>
      <c r="CZ194" s="72"/>
      <c r="DA194" s="374">
        <v>46296</v>
      </c>
      <c r="DB194" s="375"/>
      <c r="DC194" s="375"/>
      <c r="DD194" s="375"/>
      <c r="DE194" s="375"/>
      <c r="DF194" s="375"/>
      <c r="DG194" s="375"/>
      <c r="DH194" s="375"/>
      <c r="DI194" s="376"/>
      <c r="DJ194" s="374">
        <v>46327</v>
      </c>
      <c r="DK194" s="375"/>
      <c r="DL194" s="375"/>
      <c r="DM194" s="375"/>
      <c r="DN194" s="375"/>
      <c r="DO194" s="375"/>
      <c r="DP194" s="375"/>
      <c r="DQ194" s="375"/>
      <c r="DR194" s="376"/>
      <c r="DS194" s="374">
        <v>46357</v>
      </c>
      <c r="DT194" s="375"/>
      <c r="DU194" s="375"/>
      <c r="DV194" s="375"/>
      <c r="DW194" s="375"/>
      <c r="DX194" s="375"/>
      <c r="DY194" s="375"/>
      <c r="DZ194" s="375"/>
      <c r="EA194" s="376"/>
      <c r="EB194" s="377" t="s">
        <v>39</v>
      </c>
      <c r="EC194" s="378"/>
      <c r="ED194" s="379"/>
    </row>
    <row r="195" spans="1:134" s="71" customFormat="1" ht="21.95" customHeight="1" thickBot="1" x14ac:dyDescent="0.65">
      <c r="A195" s="6"/>
      <c r="B195" s="6"/>
      <c r="C195" s="6"/>
      <c r="D195" s="6"/>
      <c r="E195" s="6"/>
      <c r="F195" s="6"/>
      <c r="H195" s="224">
        <f>H7*J3</f>
        <v>98443.383648957592</v>
      </c>
      <c r="I195" s="390">
        <v>74326</v>
      </c>
      <c r="J195" s="391"/>
      <c r="K195" s="369">
        <v>10</v>
      </c>
      <c r="L195" s="369"/>
      <c r="M195" s="369">
        <v>20</v>
      </c>
      <c r="N195" s="369"/>
      <c r="O195" s="369">
        <v>30</v>
      </c>
      <c r="P195" s="369"/>
      <c r="Q195" s="175" t="s">
        <v>40</v>
      </c>
      <c r="R195" s="370">
        <v>74326</v>
      </c>
      <c r="S195" s="371"/>
      <c r="T195" s="369">
        <v>10</v>
      </c>
      <c r="U195" s="369"/>
      <c r="V195" s="369">
        <v>20</v>
      </c>
      <c r="W195" s="369"/>
      <c r="X195" s="369">
        <v>30</v>
      </c>
      <c r="Y195" s="369"/>
      <c r="Z195" s="175" t="s">
        <v>40</v>
      </c>
      <c r="AA195" s="370">
        <v>74326</v>
      </c>
      <c r="AB195" s="371"/>
      <c r="AC195" s="369">
        <v>10</v>
      </c>
      <c r="AD195" s="369"/>
      <c r="AE195" s="369">
        <v>20</v>
      </c>
      <c r="AF195" s="369"/>
      <c r="AG195" s="369">
        <v>30</v>
      </c>
      <c r="AH195" s="369"/>
      <c r="AI195" s="76" t="s">
        <v>40</v>
      </c>
      <c r="AJ195" s="77" t="s">
        <v>41</v>
      </c>
      <c r="AK195" s="78" t="s">
        <v>42</v>
      </c>
      <c r="AL195" s="79" t="s">
        <v>40</v>
      </c>
      <c r="AN195" s="72"/>
      <c r="AO195" s="390"/>
      <c r="AP195" s="391"/>
      <c r="AQ195" s="369">
        <v>10</v>
      </c>
      <c r="AR195" s="369"/>
      <c r="AS195" s="369">
        <v>20</v>
      </c>
      <c r="AT195" s="369"/>
      <c r="AU195" s="369">
        <v>30</v>
      </c>
      <c r="AV195" s="369"/>
      <c r="AW195" s="175" t="s">
        <v>40</v>
      </c>
      <c r="AX195" s="370"/>
      <c r="AY195" s="389"/>
      <c r="AZ195" s="369">
        <v>10</v>
      </c>
      <c r="BA195" s="369"/>
      <c r="BB195" s="369">
        <v>20</v>
      </c>
      <c r="BC195" s="369"/>
      <c r="BD195" s="369">
        <v>31</v>
      </c>
      <c r="BE195" s="369"/>
      <c r="BF195" s="175" t="s">
        <v>40</v>
      </c>
      <c r="BG195" s="370"/>
      <c r="BH195" s="389"/>
      <c r="BI195" s="369">
        <v>10</v>
      </c>
      <c r="BJ195" s="369"/>
      <c r="BK195" s="369">
        <v>20</v>
      </c>
      <c r="BL195" s="369"/>
      <c r="BM195" s="369">
        <v>30</v>
      </c>
      <c r="BN195" s="369"/>
      <c r="BO195" s="76" t="s">
        <v>40</v>
      </c>
      <c r="BP195" s="77" t="s">
        <v>41</v>
      </c>
      <c r="BQ195" s="78" t="s">
        <v>42</v>
      </c>
      <c r="BR195" s="79" t="s">
        <v>40</v>
      </c>
      <c r="BT195" s="72"/>
      <c r="BU195" s="370"/>
      <c r="BV195" s="371"/>
      <c r="BW195" s="369">
        <v>10</v>
      </c>
      <c r="BX195" s="369"/>
      <c r="BY195" s="369">
        <v>20</v>
      </c>
      <c r="BZ195" s="369"/>
      <c r="CA195" s="369">
        <v>30</v>
      </c>
      <c r="CB195" s="369"/>
      <c r="CC195" s="76" t="s">
        <v>40</v>
      </c>
      <c r="CD195" s="370"/>
      <c r="CE195" s="371"/>
      <c r="CF195" s="369">
        <v>10</v>
      </c>
      <c r="CG195" s="369"/>
      <c r="CH195" s="369">
        <v>20</v>
      </c>
      <c r="CI195" s="369"/>
      <c r="CJ195" s="369">
        <v>30</v>
      </c>
      <c r="CK195" s="369"/>
      <c r="CL195" s="76" t="s">
        <v>40</v>
      </c>
      <c r="CM195" s="370"/>
      <c r="CN195" s="371"/>
      <c r="CO195" s="369">
        <v>10</v>
      </c>
      <c r="CP195" s="369"/>
      <c r="CQ195" s="369">
        <v>20</v>
      </c>
      <c r="CR195" s="369"/>
      <c r="CS195" s="369">
        <v>30</v>
      </c>
      <c r="CT195" s="369"/>
      <c r="CU195" s="76" t="s">
        <v>40</v>
      </c>
      <c r="CV195" s="77" t="s">
        <v>41</v>
      </c>
      <c r="CW195" s="78" t="s">
        <v>42</v>
      </c>
      <c r="CX195" s="79" t="s">
        <v>40</v>
      </c>
      <c r="CZ195" s="72"/>
      <c r="DA195" s="370"/>
      <c r="DB195" s="371"/>
      <c r="DC195" s="369">
        <v>10</v>
      </c>
      <c r="DD195" s="369"/>
      <c r="DE195" s="369">
        <v>20</v>
      </c>
      <c r="DF195" s="369"/>
      <c r="DG195" s="369">
        <v>30</v>
      </c>
      <c r="DH195" s="369"/>
      <c r="DI195" s="76" t="s">
        <v>40</v>
      </c>
      <c r="DJ195" s="370"/>
      <c r="DK195" s="371"/>
      <c r="DL195" s="369">
        <v>10</v>
      </c>
      <c r="DM195" s="369"/>
      <c r="DN195" s="369">
        <v>20</v>
      </c>
      <c r="DO195" s="369"/>
      <c r="DP195" s="369">
        <v>30</v>
      </c>
      <c r="DQ195" s="369"/>
      <c r="DR195" s="76" t="s">
        <v>40</v>
      </c>
      <c r="DS195" s="370"/>
      <c r="DT195" s="371"/>
      <c r="DU195" s="369">
        <v>10</v>
      </c>
      <c r="DV195" s="369"/>
      <c r="DW195" s="369">
        <v>20</v>
      </c>
      <c r="DX195" s="369"/>
      <c r="DY195" s="369">
        <v>30</v>
      </c>
      <c r="DZ195" s="369"/>
      <c r="EA195" s="76" t="s">
        <v>40</v>
      </c>
      <c r="EB195" s="77" t="s">
        <v>41</v>
      </c>
      <c r="EC195" s="78" t="s">
        <v>42</v>
      </c>
      <c r="ED195" s="79" t="s">
        <v>40</v>
      </c>
    </row>
    <row r="196" spans="1:134" s="6" customFormat="1" ht="21.95" customHeight="1" x14ac:dyDescent="0.6">
      <c r="A196" s="80" t="s">
        <v>43</v>
      </c>
      <c r="B196" s="381" t="s">
        <v>44</v>
      </c>
      <c r="C196" s="382"/>
      <c r="D196" s="381" t="s">
        <v>45</v>
      </c>
      <c r="E196" s="382"/>
      <c r="F196" s="80" t="s">
        <v>46</v>
      </c>
      <c r="G196" s="81" t="s">
        <v>190</v>
      </c>
      <c r="H196" s="82" t="s">
        <v>189</v>
      </c>
      <c r="I196" s="73" t="s">
        <v>716</v>
      </c>
      <c r="J196" s="74" t="s">
        <v>50</v>
      </c>
      <c r="K196" s="74" t="s">
        <v>51</v>
      </c>
      <c r="L196" s="74" t="s">
        <v>50</v>
      </c>
      <c r="M196" s="74" t="s">
        <v>51</v>
      </c>
      <c r="N196" s="74" t="s">
        <v>50</v>
      </c>
      <c r="O196" s="74" t="s">
        <v>51</v>
      </c>
      <c r="P196" s="74" t="s">
        <v>50</v>
      </c>
      <c r="Q196" s="75" t="s">
        <v>50</v>
      </c>
      <c r="R196" s="73" t="s">
        <v>716</v>
      </c>
      <c r="S196" s="74" t="s">
        <v>50</v>
      </c>
      <c r="T196" s="74" t="s">
        <v>51</v>
      </c>
      <c r="U196" s="74" t="s">
        <v>50</v>
      </c>
      <c r="V196" s="74" t="s">
        <v>51</v>
      </c>
      <c r="W196" s="74" t="s">
        <v>50</v>
      </c>
      <c r="X196" s="74" t="s">
        <v>51</v>
      </c>
      <c r="Y196" s="74" t="s">
        <v>50</v>
      </c>
      <c r="Z196" s="75" t="s">
        <v>50</v>
      </c>
      <c r="AA196" s="73" t="s">
        <v>716</v>
      </c>
      <c r="AB196" s="74" t="s">
        <v>50</v>
      </c>
      <c r="AC196" s="74" t="s">
        <v>51</v>
      </c>
      <c r="AD196" s="74" t="s">
        <v>50</v>
      </c>
      <c r="AE196" s="74" t="s">
        <v>51</v>
      </c>
      <c r="AF196" s="74" t="s">
        <v>50</v>
      </c>
      <c r="AG196" s="74" t="s">
        <v>51</v>
      </c>
      <c r="AH196" s="74" t="s">
        <v>50</v>
      </c>
      <c r="AI196" s="75" t="s">
        <v>50</v>
      </c>
      <c r="AJ196" s="73" t="s">
        <v>50</v>
      </c>
      <c r="AK196" s="74" t="s">
        <v>50</v>
      </c>
      <c r="AL196" s="176"/>
      <c r="AN196" s="82" t="s">
        <v>189</v>
      </c>
      <c r="AO196" s="73" t="s">
        <v>49</v>
      </c>
      <c r="AP196" s="74" t="s">
        <v>51</v>
      </c>
      <c r="AQ196" s="74" t="s">
        <v>51</v>
      </c>
      <c r="AR196" s="74" t="s">
        <v>50</v>
      </c>
      <c r="AS196" s="74" t="s">
        <v>51</v>
      </c>
      <c r="AT196" s="74" t="s">
        <v>50</v>
      </c>
      <c r="AU196" s="74" t="s">
        <v>51</v>
      </c>
      <c r="AV196" s="74" t="s">
        <v>50</v>
      </c>
      <c r="AW196" s="75" t="s">
        <v>51</v>
      </c>
      <c r="AX196" s="177" t="s">
        <v>49</v>
      </c>
      <c r="AY196" s="178" t="s">
        <v>51</v>
      </c>
      <c r="AZ196" s="178" t="s">
        <v>51</v>
      </c>
      <c r="BA196" s="178" t="s">
        <v>50</v>
      </c>
      <c r="BB196" s="178" t="s">
        <v>51</v>
      </c>
      <c r="BC196" s="178" t="s">
        <v>50</v>
      </c>
      <c r="BD196" s="178" t="s">
        <v>51</v>
      </c>
      <c r="BE196" s="178" t="s">
        <v>50</v>
      </c>
      <c r="BF196" s="176" t="s">
        <v>51</v>
      </c>
      <c r="BG196" s="177" t="s">
        <v>49</v>
      </c>
      <c r="BH196" s="178" t="s">
        <v>51</v>
      </c>
      <c r="BI196" s="178" t="s">
        <v>51</v>
      </c>
      <c r="BJ196" s="178" t="s">
        <v>50</v>
      </c>
      <c r="BK196" s="178" t="s">
        <v>51</v>
      </c>
      <c r="BL196" s="178" t="s">
        <v>50</v>
      </c>
      <c r="BM196" s="178" t="s">
        <v>51</v>
      </c>
      <c r="BN196" s="178" t="s">
        <v>50</v>
      </c>
      <c r="BO196" s="176" t="s">
        <v>51</v>
      </c>
      <c r="BP196" s="177" t="s">
        <v>51</v>
      </c>
      <c r="BQ196" s="178" t="s">
        <v>51</v>
      </c>
      <c r="BR196" s="176"/>
      <c r="BT196" s="82" t="s">
        <v>190</v>
      </c>
      <c r="BU196" s="73" t="s">
        <v>49</v>
      </c>
      <c r="BV196" s="74" t="s">
        <v>51</v>
      </c>
      <c r="BW196" s="74" t="s">
        <v>51</v>
      </c>
      <c r="BX196" s="74" t="s">
        <v>50</v>
      </c>
      <c r="BY196" s="74" t="s">
        <v>51</v>
      </c>
      <c r="BZ196" s="74" t="s">
        <v>50</v>
      </c>
      <c r="CA196" s="74" t="s">
        <v>51</v>
      </c>
      <c r="CB196" s="74" t="s">
        <v>50</v>
      </c>
      <c r="CC196" s="75" t="s">
        <v>51</v>
      </c>
      <c r="CD196" s="73" t="s">
        <v>49</v>
      </c>
      <c r="CE196" s="74" t="s">
        <v>51</v>
      </c>
      <c r="CF196" s="74" t="s">
        <v>51</v>
      </c>
      <c r="CG196" s="74" t="s">
        <v>50</v>
      </c>
      <c r="CH196" s="74" t="s">
        <v>51</v>
      </c>
      <c r="CI196" s="74" t="s">
        <v>50</v>
      </c>
      <c r="CJ196" s="74" t="s">
        <v>51</v>
      </c>
      <c r="CK196" s="74" t="s">
        <v>50</v>
      </c>
      <c r="CL196" s="75" t="s">
        <v>51</v>
      </c>
      <c r="CM196" s="73" t="s">
        <v>49</v>
      </c>
      <c r="CN196" s="74" t="s">
        <v>51</v>
      </c>
      <c r="CO196" s="74" t="s">
        <v>51</v>
      </c>
      <c r="CP196" s="74" t="s">
        <v>50</v>
      </c>
      <c r="CQ196" s="74" t="s">
        <v>51</v>
      </c>
      <c r="CR196" s="74" t="s">
        <v>50</v>
      </c>
      <c r="CS196" s="74" t="s">
        <v>51</v>
      </c>
      <c r="CT196" s="74" t="s">
        <v>50</v>
      </c>
      <c r="CU196" s="75" t="s">
        <v>51</v>
      </c>
      <c r="CV196" s="73" t="s">
        <v>51</v>
      </c>
      <c r="CW196" s="74" t="s">
        <v>51</v>
      </c>
      <c r="CX196" s="75"/>
      <c r="CZ196" s="82"/>
      <c r="DA196" s="73" t="s">
        <v>49</v>
      </c>
      <c r="DB196" s="74" t="s">
        <v>51</v>
      </c>
      <c r="DC196" s="74" t="s">
        <v>51</v>
      </c>
      <c r="DD196" s="74" t="s">
        <v>50</v>
      </c>
      <c r="DE196" s="74" t="s">
        <v>51</v>
      </c>
      <c r="DF196" s="74" t="s">
        <v>50</v>
      </c>
      <c r="DG196" s="74" t="s">
        <v>51</v>
      </c>
      <c r="DH196" s="74" t="s">
        <v>50</v>
      </c>
      <c r="DI196" s="75" t="s">
        <v>51</v>
      </c>
      <c r="DJ196" s="73" t="s">
        <v>49</v>
      </c>
      <c r="DK196" s="74" t="s">
        <v>51</v>
      </c>
      <c r="DL196" s="74" t="s">
        <v>51</v>
      </c>
      <c r="DM196" s="74" t="s">
        <v>50</v>
      </c>
      <c r="DN196" s="74" t="s">
        <v>51</v>
      </c>
      <c r="DO196" s="74" t="s">
        <v>50</v>
      </c>
      <c r="DP196" s="74" t="s">
        <v>51</v>
      </c>
      <c r="DQ196" s="74" t="s">
        <v>50</v>
      </c>
      <c r="DR196" s="75" t="s">
        <v>51</v>
      </c>
      <c r="DS196" s="73" t="s">
        <v>49</v>
      </c>
      <c r="DT196" s="74" t="s">
        <v>51</v>
      </c>
      <c r="DU196" s="74" t="s">
        <v>51</v>
      </c>
      <c r="DV196" s="74" t="s">
        <v>50</v>
      </c>
      <c r="DW196" s="74" t="s">
        <v>51</v>
      </c>
      <c r="DX196" s="74" t="s">
        <v>50</v>
      </c>
      <c r="DY196" s="74" t="s">
        <v>51</v>
      </c>
      <c r="DZ196" s="74" t="s">
        <v>50</v>
      </c>
      <c r="EA196" s="75" t="s">
        <v>51</v>
      </c>
      <c r="EB196" s="73" t="s">
        <v>51</v>
      </c>
      <c r="EC196" s="74" t="s">
        <v>51</v>
      </c>
      <c r="ED196" s="74" t="s">
        <v>51</v>
      </c>
    </row>
    <row r="197" spans="1:134" s="6" customFormat="1" ht="21.95" customHeight="1" x14ac:dyDescent="0.5">
      <c r="A197" s="83">
        <v>1</v>
      </c>
      <c r="B197" s="103" t="s">
        <v>398</v>
      </c>
      <c r="C197" s="103" t="s">
        <v>399</v>
      </c>
      <c r="D197" s="103" t="s">
        <v>90</v>
      </c>
      <c r="E197" s="148" t="s">
        <v>91</v>
      </c>
      <c r="F197" s="83" t="s">
        <v>400</v>
      </c>
      <c r="G197" s="222"/>
      <c r="H197" s="180">
        <v>1.1883519584259513E-2</v>
      </c>
      <c r="I197" s="181">
        <f>H197*$H$195</f>
        <v>1169.8538775331601</v>
      </c>
      <c r="J197" s="182">
        <f t="shared" ref="J197:J228" si="116">H197*$I$195</f>
        <v>883.25447661967257</v>
      </c>
      <c r="K197" s="92">
        <v>218</v>
      </c>
      <c r="L197" s="92">
        <v>205.76</v>
      </c>
      <c r="M197" s="92">
        <v>646</v>
      </c>
      <c r="N197" s="92">
        <v>602.66</v>
      </c>
      <c r="O197" s="92">
        <v>826</v>
      </c>
      <c r="P197" s="92">
        <v>782.66</v>
      </c>
      <c r="Q197" s="93">
        <f t="shared" ref="Q197:Q260" si="117">IFERROR(P197/J197,0)</f>
        <v>0.8861092932077056</v>
      </c>
      <c r="R197" s="94">
        <v>1169.8538775331615</v>
      </c>
      <c r="S197" s="91">
        <v>883.25447661967257</v>
      </c>
      <c r="T197" s="92">
        <v>360</v>
      </c>
      <c r="U197" s="92">
        <v>360</v>
      </c>
      <c r="V197" s="92">
        <v>540</v>
      </c>
      <c r="W197" s="92">
        <v>540</v>
      </c>
      <c r="X197" s="92">
        <v>720</v>
      </c>
      <c r="Y197" s="92">
        <v>720</v>
      </c>
      <c r="Z197" s="93">
        <f t="shared" ref="Z197:Z260" si="118">IFERROR(Y197/S197,0)</f>
        <v>0.81516711101825579</v>
      </c>
      <c r="AA197" s="94">
        <v>1169.8538775331615</v>
      </c>
      <c r="AB197" s="91">
        <v>883.25447661967257</v>
      </c>
      <c r="AC197" s="92">
        <v>1164</v>
      </c>
      <c r="AD197" s="92">
        <v>946.52</v>
      </c>
      <c r="AE197" s="92">
        <v>1524</v>
      </c>
      <c r="AF197" s="92">
        <v>1306.52</v>
      </c>
      <c r="AG197" s="92"/>
      <c r="AH197" s="92"/>
      <c r="AI197" s="93">
        <f t="shared" ref="AI197:AI260" si="119">IFERROR(AH197/AB197,0)</f>
        <v>0</v>
      </c>
      <c r="AJ197" s="95">
        <f t="shared" ref="AJ197:AJ260" si="120">+J197+S197+AB197</f>
        <v>2649.7634298590178</v>
      </c>
      <c r="AK197" s="96">
        <f t="shared" ref="AK197:AK260" si="121">+P197+Y197+AH197</f>
        <v>1502.6599999999999</v>
      </c>
      <c r="AL197" s="97">
        <f t="shared" ref="AL197:AL260" si="122">IFERROR((AK197/AJ197),0)</f>
        <v>0.56709213474198705</v>
      </c>
      <c r="AN197" s="89">
        <v>5.4413965270654324E-3</v>
      </c>
      <c r="AO197" s="183"/>
      <c r="AP197" s="184"/>
      <c r="AQ197" s="92"/>
      <c r="AR197" s="92"/>
      <c r="AS197" s="92"/>
      <c r="AT197" s="92"/>
      <c r="AU197" s="92"/>
      <c r="AV197" s="92"/>
      <c r="AW197" s="93">
        <f t="shared" ref="AW197:AW260" si="123">IFERROR(AU197/AP197,0)</f>
        <v>0</v>
      </c>
      <c r="AX197" s="183"/>
      <c r="AY197" s="184"/>
      <c r="AZ197" s="92"/>
      <c r="BA197" s="92"/>
      <c r="BB197" s="92"/>
      <c r="BC197" s="92"/>
      <c r="BD197" s="92"/>
      <c r="BE197" s="92"/>
      <c r="BF197" s="93">
        <f t="shared" ref="BF197:BF260" si="124">IFERROR(BD197/AY197,0)</f>
        <v>0</v>
      </c>
      <c r="BG197" s="181"/>
      <c r="BH197" s="182"/>
      <c r="BI197" s="92"/>
      <c r="BJ197" s="92"/>
      <c r="BK197" s="92"/>
      <c r="BL197" s="92"/>
      <c r="BM197" s="92"/>
      <c r="BN197" s="92"/>
      <c r="BO197" s="93">
        <f t="shared" ref="BO197:BO260" si="125">IFERROR(BM197/BH197,0)</f>
        <v>0</v>
      </c>
      <c r="BP197" s="95">
        <f t="shared" ref="BP197:BP260" si="126">+AP197+AY197+BH197</f>
        <v>0</v>
      </c>
      <c r="BQ197" s="96">
        <f t="shared" ref="BQ197:BQ260" si="127">+AU197+BD197+BM197</f>
        <v>0</v>
      </c>
      <c r="BR197" s="97">
        <f t="shared" ref="BR197:BR260" si="128">IFERROR((BQ197/BP197),0)</f>
        <v>0</v>
      </c>
      <c r="BT197" s="82"/>
      <c r="BU197" s="181"/>
      <c r="BV197" s="182"/>
      <c r="BW197" s="92"/>
      <c r="BX197" s="92"/>
      <c r="BY197" s="92"/>
      <c r="BZ197" s="92"/>
      <c r="CA197" s="92"/>
      <c r="CB197" s="92"/>
      <c r="CC197" s="93">
        <f t="shared" ref="CC197:CC260" si="129">IFERROR(CA197/BV197,0)</f>
        <v>0</v>
      </c>
      <c r="CD197" s="181"/>
      <c r="CE197" s="182"/>
      <c r="CF197" s="92"/>
      <c r="CG197" s="92"/>
      <c r="CH197" s="92"/>
      <c r="CI197" s="92"/>
      <c r="CJ197" s="92"/>
      <c r="CK197" s="92"/>
      <c r="CL197" s="93">
        <f t="shared" ref="CL197:CL260" si="130">IFERROR(CJ197/CE197,0)</f>
        <v>0</v>
      </c>
      <c r="CM197" s="181"/>
      <c r="CN197" s="182"/>
      <c r="CO197" s="92"/>
      <c r="CP197" s="92"/>
      <c r="CQ197" s="92"/>
      <c r="CR197" s="92"/>
      <c r="CS197" s="92"/>
      <c r="CT197" s="92"/>
      <c r="CU197" s="93">
        <f t="shared" ref="CU197:CU260" si="131">IFERROR(CS197/CN197,0)</f>
        <v>0</v>
      </c>
      <c r="CV197" s="95">
        <f t="shared" ref="CV197:CV260" si="132">+BV197+CE197+CN197</f>
        <v>0</v>
      </c>
      <c r="CW197" s="96">
        <f t="shared" ref="CW197:CW260" si="133">+CA197+CJ197+CS197</f>
        <v>0</v>
      </c>
      <c r="CX197" s="97">
        <f t="shared" ref="CX197:CX260" si="134">IFERROR((CW197/CV197),0)</f>
        <v>0</v>
      </c>
      <c r="CZ197" s="82"/>
      <c r="DA197" s="136"/>
      <c r="DB197" s="137"/>
      <c r="DC197" s="92"/>
      <c r="DD197" s="92"/>
      <c r="DE197" s="92"/>
      <c r="DF197" s="92"/>
      <c r="DG197" s="92"/>
      <c r="DH197" s="92"/>
      <c r="DI197" s="93">
        <f t="shared" ref="DI197:DI260" si="135">IFERROR(DG197/DB197,0)</f>
        <v>0</v>
      </c>
      <c r="DJ197" s="183"/>
      <c r="DK197" s="184"/>
      <c r="DL197" s="92"/>
      <c r="DM197" s="92"/>
      <c r="DN197" s="92"/>
      <c r="DO197" s="92"/>
      <c r="DP197" s="92"/>
      <c r="DQ197" s="92"/>
      <c r="DR197" s="93">
        <f t="shared" ref="DR197:DR260" si="136">IFERROR(DP197/DK197,0)</f>
        <v>0</v>
      </c>
      <c r="DS197" s="183"/>
      <c r="DT197" s="184"/>
      <c r="DU197" s="92"/>
      <c r="DV197" s="92"/>
      <c r="DW197" s="92"/>
      <c r="DX197" s="92"/>
      <c r="DY197" s="92"/>
      <c r="DZ197" s="92"/>
      <c r="EA197" s="93">
        <f t="shared" ref="EA197:EA260" si="137">IFERROR(DY197/DT197,0)</f>
        <v>0</v>
      </c>
      <c r="EB197" s="95">
        <f t="shared" ref="EB197:EB260" si="138">+DB197+DK197+DT197</f>
        <v>0</v>
      </c>
      <c r="EC197" s="96">
        <f t="shared" ref="EC197:EC260" si="139">+DG197+DP197+DY197</f>
        <v>0</v>
      </c>
      <c r="ED197" s="97">
        <f t="shared" ref="ED197:ED260" si="140">IFERROR((EC197/EB197),0)</f>
        <v>0</v>
      </c>
    </row>
    <row r="198" spans="1:134" s="6" customFormat="1" ht="21.95" customHeight="1" x14ac:dyDescent="0.5">
      <c r="A198" s="83">
        <v>2</v>
      </c>
      <c r="B198" s="103" t="s">
        <v>401</v>
      </c>
      <c r="C198" s="103" t="s">
        <v>402</v>
      </c>
      <c r="D198" s="103" t="s">
        <v>90</v>
      </c>
      <c r="E198" s="148" t="s">
        <v>91</v>
      </c>
      <c r="F198" s="83" t="s">
        <v>400</v>
      </c>
      <c r="G198" s="222"/>
      <c r="H198" s="180">
        <v>7.7129198258274719E-3</v>
      </c>
      <c r="I198" s="181">
        <f t="shared" ref="I198:I261" si="141">H198*$H$195</f>
        <v>759.285925467585</v>
      </c>
      <c r="J198" s="182">
        <f t="shared" si="116"/>
        <v>573.27047897445266</v>
      </c>
      <c r="K198" s="92">
        <v>360</v>
      </c>
      <c r="L198" s="92">
        <v>360</v>
      </c>
      <c r="M198" s="92">
        <v>720</v>
      </c>
      <c r="N198" s="92">
        <v>720</v>
      </c>
      <c r="O198" s="92">
        <v>720</v>
      </c>
      <c r="P198" s="92">
        <v>720</v>
      </c>
      <c r="Q198" s="93">
        <f t="shared" si="117"/>
        <v>1.2559516430848452</v>
      </c>
      <c r="R198" s="94">
        <v>759.2859254675858</v>
      </c>
      <c r="S198" s="91">
        <v>573.27047897445266</v>
      </c>
      <c r="T198" s="92">
        <v>180</v>
      </c>
      <c r="U198" s="92">
        <v>180</v>
      </c>
      <c r="V198" s="92">
        <v>720</v>
      </c>
      <c r="W198" s="92">
        <v>720</v>
      </c>
      <c r="X198" s="92">
        <v>1150</v>
      </c>
      <c r="Y198" s="92">
        <v>1124.8</v>
      </c>
      <c r="Z198" s="93">
        <f t="shared" si="118"/>
        <v>1.962075566863658</v>
      </c>
      <c r="AA198" s="94">
        <v>759.2859254675858</v>
      </c>
      <c r="AB198" s="91">
        <v>573.27047897445266</v>
      </c>
      <c r="AC198" s="92">
        <v>384</v>
      </c>
      <c r="AD198" s="92">
        <v>384</v>
      </c>
      <c r="AE198" s="92">
        <v>1164</v>
      </c>
      <c r="AF198" s="92">
        <v>774</v>
      </c>
      <c r="AG198" s="92"/>
      <c r="AH198" s="92"/>
      <c r="AI198" s="93">
        <f t="shared" si="119"/>
        <v>0</v>
      </c>
      <c r="AJ198" s="95">
        <f t="shared" si="120"/>
        <v>1719.8114369233581</v>
      </c>
      <c r="AK198" s="96">
        <f t="shared" si="121"/>
        <v>1844.8</v>
      </c>
      <c r="AL198" s="97">
        <f t="shared" si="122"/>
        <v>1.072675736649501</v>
      </c>
      <c r="AN198" s="89">
        <v>5.9561232255716219E-3</v>
      </c>
      <c r="AO198" s="183"/>
      <c r="AP198" s="184"/>
      <c r="AQ198" s="92"/>
      <c r="AR198" s="92"/>
      <c r="AS198" s="92"/>
      <c r="AT198" s="92"/>
      <c r="AU198" s="92"/>
      <c r="AV198" s="92"/>
      <c r="AW198" s="93">
        <f t="shared" si="123"/>
        <v>0</v>
      </c>
      <c r="AX198" s="183"/>
      <c r="AY198" s="184"/>
      <c r="AZ198" s="92"/>
      <c r="BA198" s="92"/>
      <c r="BB198" s="92"/>
      <c r="BC198" s="92"/>
      <c r="BD198" s="92"/>
      <c r="BE198" s="92"/>
      <c r="BF198" s="93">
        <f t="shared" si="124"/>
        <v>0</v>
      </c>
      <c r="BG198" s="181"/>
      <c r="BH198" s="182"/>
      <c r="BI198" s="92"/>
      <c r="BJ198" s="92"/>
      <c r="BK198" s="92"/>
      <c r="BL198" s="92"/>
      <c r="BM198" s="92"/>
      <c r="BN198" s="92"/>
      <c r="BO198" s="93">
        <f t="shared" si="125"/>
        <v>0</v>
      </c>
      <c r="BP198" s="95">
        <f t="shared" si="126"/>
        <v>0</v>
      </c>
      <c r="BQ198" s="96">
        <f t="shared" si="127"/>
        <v>0</v>
      </c>
      <c r="BR198" s="97">
        <f t="shared" si="128"/>
        <v>0</v>
      </c>
      <c r="BT198" s="82"/>
      <c r="BU198" s="181"/>
      <c r="BV198" s="182"/>
      <c r="BW198" s="92"/>
      <c r="BX198" s="92"/>
      <c r="BY198" s="92"/>
      <c r="BZ198" s="92"/>
      <c r="CA198" s="92"/>
      <c r="CB198" s="92"/>
      <c r="CC198" s="93">
        <f t="shared" si="129"/>
        <v>0</v>
      </c>
      <c r="CD198" s="181"/>
      <c r="CE198" s="182"/>
      <c r="CF198" s="92"/>
      <c r="CG198" s="92"/>
      <c r="CH198" s="92"/>
      <c r="CI198" s="92"/>
      <c r="CJ198" s="92"/>
      <c r="CK198" s="92"/>
      <c r="CL198" s="93">
        <f t="shared" si="130"/>
        <v>0</v>
      </c>
      <c r="CM198" s="181"/>
      <c r="CN198" s="182"/>
      <c r="CO198" s="92"/>
      <c r="CP198" s="92"/>
      <c r="CQ198" s="92"/>
      <c r="CR198" s="92"/>
      <c r="CS198" s="92"/>
      <c r="CT198" s="92"/>
      <c r="CU198" s="93">
        <f t="shared" si="131"/>
        <v>0</v>
      </c>
      <c r="CV198" s="95">
        <f t="shared" si="132"/>
        <v>0</v>
      </c>
      <c r="CW198" s="96">
        <f t="shared" si="133"/>
        <v>0</v>
      </c>
      <c r="CX198" s="97">
        <f t="shared" si="134"/>
        <v>0</v>
      </c>
      <c r="CZ198" s="82"/>
      <c r="DA198" s="136"/>
      <c r="DB198" s="137"/>
      <c r="DC198" s="92"/>
      <c r="DD198" s="92"/>
      <c r="DE198" s="92"/>
      <c r="DF198" s="92"/>
      <c r="DG198" s="92"/>
      <c r="DH198" s="92"/>
      <c r="DI198" s="93">
        <f t="shared" si="135"/>
        <v>0</v>
      </c>
      <c r="DJ198" s="183"/>
      <c r="DK198" s="184"/>
      <c r="DL198" s="92"/>
      <c r="DM198" s="92"/>
      <c r="DN198" s="92"/>
      <c r="DO198" s="92"/>
      <c r="DP198" s="92"/>
      <c r="DQ198" s="92"/>
      <c r="DR198" s="93">
        <f t="shared" si="136"/>
        <v>0</v>
      </c>
      <c r="DS198" s="183"/>
      <c r="DT198" s="184"/>
      <c r="DU198" s="92"/>
      <c r="DV198" s="92"/>
      <c r="DW198" s="92"/>
      <c r="DX198" s="92"/>
      <c r="DY198" s="92"/>
      <c r="DZ198" s="92"/>
      <c r="EA198" s="93">
        <f t="shared" si="137"/>
        <v>0</v>
      </c>
      <c r="EB198" s="95">
        <f t="shared" si="138"/>
        <v>0</v>
      </c>
      <c r="EC198" s="96">
        <f t="shared" si="139"/>
        <v>0</v>
      </c>
      <c r="ED198" s="97">
        <f t="shared" si="140"/>
        <v>0</v>
      </c>
    </row>
    <row r="199" spans="1:134" s="6" customFormat="1" ht="21.95" customHeight="1" x14ac:dyDescent="0.5">
      <c r="A199" s="83">
        <v>3</v>
      </c>
      <c r="B199" s="103" t="s">
        <v>403</v>
      </c>
      <c r="C199" s="103" t="s">
        <v>404</v>
      </c>
      <c r="D199" s="103" t="s">
        <v>405</v>
      </c>
      <c r="E199" s="148" t="s">
        <v>406</v>
      </c>
      <c r="F199" s="83" t="s">
        <v>400</v>
      </c>
      <c r="G199" s="222"/>
      <c r="H199" s="180">
        <v>1.2903585964698599E-2</v>
      </c>
      <c r="I199" s="181">
        <f t="shared" si="141"/>
        <v>1270.2726635701288</v>
      </c>
      <c r="J199" s="182">
        <f t="shared" si="116"/>
        <v>959.07193041218807</v>
      </c>
      <c r="K199" s="92">
        <v>360</v>
      </c>
      <c r="L199" s="92">
        <v>360</v>
      </c>
      <c r="M199" s="92">
        <v>720</v>
      </c>
      <c r="N199" s="92">
        <v>720</v>
      </c>
      <c r="O199" s="92">
        <v>1290</v>
      </c>
      <c r="P199" s="92">
        <v>1214.4000000000001</v>
      </c>
      <c r="Q199" s="93">
        <f t="shared" si="117"/>
        <v>1.2662241084233146</v>
      </c>
      <c r="R199" s="94">
        <v>1270.2726635701301</v>
      </c>
      <c r="S199" s="91">
        <v>959.07193041218807</v>
      </c>
      <c r="T199" s="92">
        <v>180</v>
      </c>
      <c r="U199" s="92">
        <v>180</v>
      </c>
      <c r="V199" s="92">
        <v>360</v>
      </c>
      <c r="W199" s="92">
        <v>360</v>
      </c>
      <c r="X199" s="92">
        <v>1220</v>
      </c>
      <c r="Y199" s="92">
        <v>1169.5999999999999</v>
      </c>
      <c r="Z199" s="93">
        <f t="shared" si="118"/>
        <v>1.2195122836066441</v>
      </c>
      <c r="AA199" s="94">
        <v>1270.2726635701301</v>
      </c>
      <c r="AB199" s="91">
        <v>959.07193041218807</v>
      </c>
      <c r="AC199" s="92">
        <v>960</v>
      </c>
      <c r="AD199" s="92">
        <v>960</v>
      </c>
      <c r="AE199" s="92">
        <v>1700</v>
      </c>
      <c r="AF199" s="92">
        <v>1570</v>
      </c>
      <c r="AG199" s="92"/>
      <c r="AH199" s="92"/>
      <c r="AI199" s="93">
        <f t="shared" si="119"/>
        <v>0</v>
      </c>
      <c r="AJ199" s="95">
        <f t="shared" si="120"/>
        <v>2877.2157912365642</v>
      </c>
      <c r="AK199" s="96">
        <f t="shared" si="121"/>
        <v>2384</v>
      </c>
      <c r="AL199" s="97">
        <f t="shared" si="122"/>
        <v>0.82857879734331952</v>
      </c>
      <c r="AN199" s="89">
        <v>1.9853744085238738E-3</v>
      </c>
      <c r="AO199" s="183"/>
      <c r="AP199" s="184"/>
      <c r="AQ199" s="92"/>
      <c r="AR199" s="92"/>
      <c r="AS199" s="92"/>
      <c r="AT199" s="92"/>
      <c r="AU199" s="92"/>
      <c r="AV199" s="92"/>
      <c r="AW199" s="93">
        <f t="shared" si="123"/>
        <v>0</v>
      </c>
      <c r="AX199" s="183"/>
      <c r="AY199" s="184"/>
      <c r="AZ199" s="92"/>
      <c r="BA199" s="92"/>
      <c r="BB199" s="92"/>
      <c r="BC199" s="92"/>
      <c r="BD199" s="92"/>
      <c r="BE199" s="92"/>
      <c r="BF199" s="93">
        <f t="shared" si="124"/>
        <v>0</v>
      </c>
      <c r="BG199" s="181"/>
      <c r="BH199" s="182"/>
      <c r="BI199" s="92"/>
      <c r="BJ199" s="92"/>
      <c r="BK199" s="92"/>
      <c r="BL199" s="92"/>
      <c r="BM199" s="92"/>
      <c r="BN199" s="92"/>
      <c r="BO199" s="93">
        <f t="shared" si="125"/>
        <v>0</v>
      </c>
      <c r="BP199" s="95">
        <f t="shared" si="126"/>
        <v>0</v>
      </c>
      <c r="BQ199" s="96">
        <f t="shared" si="127"/>
        <v>0</v>
      </c>
      <c r="BR199" s="97">
        <f t="shared" si="128"/>
        <v>0</v>
      </c>
      <c r="BT199" s="82"/>
      <c r="BU199" s="181"/>
      <c r="BV199" s="182"/>
      <c r="BW199" s="92"/>
      <c r="BX199" s="92"/>
      <c r="BY199" s="92"/>
      <c r="BZ199" s="92"/>
      <c r="CA199" s="92"/>
      <c r="CB199" s="92"/>
      <c r="CC199" s="93">
        <f t="shared" si="129"/>
        <v>0</v>
      </c>
      <c r="CD199" s="181"/>
      <c r="CE199" s="182"/>
      <c r="CF199" s="92"/>
      <c r="CG199" s="92"/>
      <c r="CH199" s="92"/>
      <c r="CI199" s="92"/>
      <c r="CJ199" s="92"/>
      <c r="CK199" s="92"/>
      <c r="CL199" s="93">
        <f t="shared" si="130"/>
        <v>0</v>
      </c>
      <c r="CM199" s="181"/>
      <c r="CN199" s="182"/>
      <c r="CO199" s="92"/>
      <c r="CP199" s="92"/>
      <c r="CQ199" s="92"/>
      <c r="CR199" s="92"/>
      <c r="CS199" s="92"/>
      <c r="CT199" s="92"/>
      <c r="CU199" s="93">
        <f t="shared" si="131"/>
        <v>0</v>
      </c>
      <c r="CV199" s="95">
        <f t="shared" si="132"/>
        <v>0</v>
      </c>
      <c r="CW199" s="96">
        <f t="shared" si="133"/>
        <v>0</v>
      </c>
      <c r="CX199" s="97">
        <f t="shared" si="134"/>
        <v>0</v>
      </c>
      <c r="CZ199" s="82"/>
      <c r="DA199" s="136"/>
      <c r="DB199" s="137"/>
      <c r="DC199" s="92"/>
      <c r="DD199" s="92"/>
      <c r="DE199" s="92"/>
      <c r="DF199" s="92"/>
      <c r="DG199" s="92"/>
      <c r="DH199" s="92"/>
      <c r="DI199" s="93">
        <f t="shared" si="135"/>
        <v>0</v>
      </c>
      <c r="DJ199" s="183"/>
      <c r="DK199" s="184"/>
      <c r="DL199" s="92"/>
      <c r="DM199" s="92"/>
      <c r="DN199" s="92"/>
      <c r="DO199" s="92"/>
      <c r="DP199" s="92"/>
      <c r="DQ199" s="92"/>
      <c r="DR199" s="93">
        <f t="shared" si="136"/>
        <v>0</v>
      </c>
      <c r="DS199" s="183"/>
      <c r="DT199" s="184"/>
      <c r="DU199" s="92"/>
      <c r="DV199" s="92"/>
      <c r="DW199" s="92"/>
      <c r="DX199" s="92"/>
      <c r="DY199" s="92"/>
      <c r="DZ199" s="92"/>
      <c r="EA199" s="93">
        <f t="shared" si="137"/>
        <v>0</v>
      </c>
      <c r="EB199" s="95">
        <f t="shared" si="138"/>
        <v>0</v>
      </c>
      <c r="EC199" s="96">
        <f t="shared" si="139"/>
        <v>0</v>
      </c>
      <c r="ED199" s="97">
        <f t="shared" si="140"/>
        <v>0</v>
      </c>
    </row>
    <row r="200" spans="1:134" s="6" customFormat="1" ht="21.95" customHeight="1" x14ac:dyDescent="0.5">
      <c r="A200" s="83">
        <v>4</v>
      </c>
      <c r="B200" s="103" t="s">
        <v>407</v>
      </c>
      <c r="C200" s="103" t="s">
        <v>408</v>
      </c>
      <c r="D200" s="103" t="s">
        <v>90</v>
      </c>
      <c r="E200" s="148" t="s">
        <v>91</v>
      </c>
      <c r="F200" s="83" t="s">
        <v>400</v>
      </c>
      <c r="G200" s="222"/>
      <c r="H200" s="180">
        <v>5.6666971164093666E-3</v>
      </c>
      <c r="I200" s="181">
        <f t="shared" si="141"/>
        <v>557.84883825312897</v>
      </c>
      <c r="J200" s="182">
        <f t="shared" si="116"/>
        <v>421.18292987424257</v>
      </c>
      <c r="K200" s="92">
        <v>180</v>
      </c>
      <c r="L200" s="92">
        <v>180</v>
      </c>
      <c r="M200" s="92">
        <v>540</v>
      </c>
      <c r="N200" s="92">
        <v>540</v>
      </c>
      <c r="O200" s="92">
        <v>720</v>
      </c>
      <c r="P200" s="92">
        <v>720</v>
      </c>
      <c r="Q200" s="93">
        <f t="shared" si="117"/>
        <v>1.7094709897549236</v>
      </c>
      <c r="R200" s="94">
        <v>557.84883825312954</v>
      </c>
      <c r="S200" s="91">
        <v>421.18292987424257</v>
      </c>
      <c r="T200" s="92">
        <v>360</v>
      </c>
      <c r="U200" s="92">
        <v>360</v>
      </c>
      <c r="V200" s="92">
        <v>720</v>
      </c>
      <c r="W200" s="92">
        <v>720</v>
      </c>
      <c r="X200" s="92">
        <v>1020</v>
      </c>
      <c r="Y200" s="92">
        <v>1020</v>
      </c>
      <c r="Z200" s="93">
        <f t="shared" si="118"/>
        <v>2.4217505688194749</v>
      </c>
      <c r="AA200" s="94">
        <v>557.84883825312954</v>
      </c>
      <c r="AB200" s="91">
        <v>421.18292987424257</v>
      </c>
      <c r="AC200" s="92">
        <v>0</v>
      </c>
      <c r="AD200" s="92">
        <v>0</v>
      </c>
      <c r="AE200" s="92">
        <v>780</v>
      </c>
      <c r="AF200" s="92">
        <v>390</v>
      </c>
      <c r="AG200" s="92"/>
      <c r="AH200" s="92"/>
      <c r="AI200" s="93">
        <f t="shared" si="119"/>
        <v>0</v>
      </c>
      <c r="AJ200" s="95">
        <f t="shared" si="120"/>
        <v>1263.5487896227278</v>
      </c>
      <c r="AK200" s="96">
        <f t="shared" si="121"/>
        <v>1740</v>
      </c>
      <c r="AL200" s="97">
        <f t="shared" si="122"/>
        <v>1.3770738528581328</v>
      </c>
      <c r="AN200" s="89">
        <v>2.7795241719334235E-3</v>
      </c>
      <c r="AO200" s="183"/>
      <c r="AP200" s="184"/>
      <c r="AQ200" s="92"/>
      <c r="AR200" s="92"/>
      <c r="AS200" s="92"/>
      <c r="AT200" s="92"/>
      <c r="AU200" s="92"/>
      <c r="AV200" s="92"/>
      <c r="AW200" s="93">
        <f t="shared" si="123"/>
        <v>0</v>
      </c>
      <c r="AX200" s="183"/>
      <c r="AY200" s="184"/>
      <c r="AZ200" s="92"/>
      <c r="BA200" s="92"/>
      <c r="BB200" s="92"/>
      <c r="BC200" s="92"/>
      <c r="BD200" s="92"/>
      <c r="BE200" s="92"/>
      <c r="BF200" s="93">
        <f t="shared" si="124"/>
        <v>0</v>
      </c>
      <c r="BG200" s="181"/>
      <c r="BH200" s="182"/>
      <c r="BI200" s="92"/>
      <c r="BJ200" s="92"/>
      <c r="BK200" s="92"/>
      <c r="BL200" s="92"/>
      <c r="BM200" s="92"/>
      <c r="BN200" s="92"/>
      <c r="BO200" s="93">
        <f t="shared" si="125"/>
        <v>0</v>
      </c>
      <c r="BP200" s="95">
        <f t="shared" si="126"/>
        <v>0</v>
      </c>
      <c r="BQ200" s="96">
        <f t="shared" si="127"/>
        <v>0</v>
      </c>
      <c r="BR200" s="97">
        <f t="shared" si="128"/>
        <v>0</v>
      </c>
      <c r="BT200" s="82"/>
      <c r="BU200" s="181"/>
      <c r="BV200" s="182"/>
      <c r="BW200" s="92"/>
      <c r="BX200" s="92"/>
      <c r="BY200" s="92"/>
      <c r="BZ200" s="92"/>
      <c r="CA200" s="92"/>
      <c r="CB200" s="92"/>
      <c r="CC200" s="93">
        <f t="shared" si="129"/>
        <v>0</v>
      </c>
      <c r="CD200" s="181"/>
      <c r="CE200" s="182"/>
      <c r="CF200" s="92"/>
      <c r="CG200" s="92"/>
      <c r="CH200" s="92"/>
      <c r="CI200" s="92"/>
      <c r="CJ200" s="92"/>
      <c r="CK200" s="92"/>
      <c r="CL200" s="93">
        <f t="shared" si="130"/>
        <v>0</v>
      </c>
      <c r="CM200" s="181"/>
      <c r="CN200" s="182"/>
      <c r="CO200" s="92"/>
      <c r="CP200" s="92"/>
      <c r="CQ200" s="92"/>
      <c r="CR200" s="92"/>
      <c r="CS200" s="92"/>
      <c r="CT200" s="92"/>
      <c r="CU200" s="93">
        <f t="shared" si="131"/>
        <v>0</v>
      </c>
      <c r="CV200" s="95">
        <f t="shared" si="132"/>
        <v>0</v>
      </c>
      <c r="CW200" s="96">
        <f t="shared" si="133"/>
        <v>0</v>
      </c>
      <c r="CX200" s="97">
        <f t="shared" si="134"/>
        <v>0</v>
      </c>
      <c r="CZ200" s="82"/>
      <c r="DA200" s="136"/>
      <c r="DB200" s="137"/>
      <c r="DC200" s="92"/>
      <c r="DD200" s="92"/>
      <c r="DE200" s="92"/>
      <c r="DF200" s="92"/>
      <c r="DG200" s="92"/>
      <c r="DH200" s="92"/>
      <c r="DI200" s="93">
        <f t="shared" si="135"/>
        <v>0</v>
      </c>
      <c r="DJ200" s="183"/>
      <c r="DK200" s="184"/>
      <c r="DL200" s="92"/>
      <c r="DM200" s="92"/>
      <c r="DN200" s="92"/>
      <c r="DO200" s="92"/>
      <c r="DP200" s="92"/>
      <c r="DQ200" s="92"/>
      <c r="DR200" s="93">
        <f t="shared" si="136"/>
        <v>0</v>
      </c>
      <c r="DS200" s="183"/>
      <c r="DT200" s="184"/>
      <c r="DU200" s="92"/>
      <c r="DV200" s="92"/>
      <c r="DW200" s="92"/>
      <c r="DX200" s="92"/>
      <c r="DY200" s="92"/>
      <c r="DZ200" s="92"/>
      <c r="EA200" s="93">
        <f t="shared" si="137"/>
        <v>0</v>
      </c>
      <c r="EB200" s="95">
        <f t="shared" si="138"/>
        <v>0</v>
      </c>
      <c r="EC200" s="96">
        <f t="shared" si="139"/>
        <v>0</v>
      </c>
      <c r="ED200" s="97">
        <f t="shared" si="140"/>
        <v>0</v>
      </c>
    </row>
    <row r="201" spans="1:134" s="6" customFormat="1" ht="21.95" customHeight="1" x14ac:dyDescent="0.5">
      <c r="A201" s="83">
        <v>5</v>
      </c>
      <c r="B201" s="103" t="s">
        <v>409</v>
      </c>
      <c r="C201" s="103" t="s">
        <v>410</v>
      </c>
      <c r="D201" s="103" t="s">
        <v>90</v>
      </c>
      <c r="E201" s="148" t="s">
        <v>91</v>
      </c>
      <c r="F201" s="83" t="s">
        <v>400</v>
      </c>
      <c r="G201" s="222"/>
      <c r="H201" s="180">
        <v>7.3718827075911209E-3</v>
      </c>
      <c r="I201" s="181">
        <f t="shared" si="141"/>
        <v>725.71307759850902</v>
      </c>
      <c r="J201" s="182">
        <f t="shared" si="116"/>
        <v>547.92255412441762</v>
      </c>
      <c r="K201" s="92">
        <v>180</v>
      </c>
      <c r="L201" s="92">
        <v>180</v>
      </c>
      <c r="M201" s="92">
        <v>360</v>
      </c>
      <c r="N201" s="92">
        <v>360</v>
      </c>
      <c r="O201" s="92">
        <v>360</v>
      </c>
      <c r="P201" s="92">
        <v>360</v>
      </c>
      <c r="Q201" s="93">
        <f t="shared" si="117"/>
        <v>0.65702716066375733</v>
      </c>
      <c r="R201" s="94">
        <v>725.7130775985097</v>
      </c>
      <c r="S201" s="91">
        <v>547.92255412441762</v>
      </c>
      <c r="T201" s="92">
        <v>180</v>
      </c>
      <c r="U201" s="92">
        <v>180</v>
      </c>
      <c r="V201" s="92">
        <v>360</v>
      </c>
      <c r="W201" s="92">
        <v>360</v>
      </c>
      <c r="X201" s="92">
        <v>540</v>
      </c>
      <c r="Y201" s="92">
        <v>540</v>
      </c>
      <c r="Z201" s="93">
        <f t="shared" si="118"/>
        <v>0.98554074099563593</v>
      </c>
      <c r="AA201" s="94">
        <v>725.7130775985097</v>
      </c>
      <c r="AB201" s="91">
        <v>547.92255412441762</v>
      </c>
      <c r="AC201" s="92">
        <v>866</v>
      </c>
      <c r="AD201" s="92">
        <v>724</v>
      </c>
      <c r="AE201" s="92">
        <v>1046</v>
      </c>
      <c r="AF201" s="92">
        <v>904</v>
      </c>
      <c r="AG201" s="92"/>
      <c r="AH201" s="92"/>
      <c r="AI201" s="93">
        <f t="shared" si="119"/>
        <v>0</v>
      </c>
      <c r="AJ201" s="95">
        <f t="shared" si="120"/>
        <v>1643.7676623732527</v>
      </c>
      <c r="AK201" s="96">
        <f t="shared" si="121"/>
        <v>900</v>
      </c>
      <c r="AL201" s="97">
        <f t="shared" si="122"/>
        <v>0.54752263388646449</v>
      </c>
      <c r="AN201" s="89">
        <v>5.6399339679178203E-3</v>
      </c>
      <c r="AO201" s="183"/>
      <c r="AP201" s="184"/>
      <c r="AQ201" s="92"/>
      <c r="AR201" s="92"/>
      <c r="AS201" s="92"/>
      <c r="AT201" s="92"/>
      <c r="AU201" s="92"/>
      <c r="AV201" s="92"/>
      <c r="AW201" s="93">
        <f t="shared" si="123"/>
        <v>0</v>
      </c>
      <c r="AX201" s="183"/>
      <c r="AY201" s="184"/>
      <c r="AZ201" s="92"/>
      <c r="BA201" s="92"/>
      <c r="BB201" s="92"/>
      <c r="BC201" s="92"/>
      <c r="BD201" s="92"/>
      <c r="BE201" s="92"/>
      <c r="BF201" s="93">
        <f t="shared" si="124"/>
        <v>0</v>
      </c>
      <c r="BG201" s="181"/>
      <c r="BH201" s="182"/>
      <c r="BI201" s="92"/>
      <c r="BJ201" s="92"/>
      <c r="BK201" s="92"/>
      <c r="BL201" s="92"/>
      <c r="BM201" s="92"/>
      <c r="BN201" s="92"/>
      <c r="BO201" s="93">
        <f t="shared" si="125"/>
        <v>0</v>
      </c>
      <c r="BP201" s="95">
        <f t="shared" si="126"/>
        <v>0</v>
      </c>
      <c r="BQ201" s="96">
        <f t="shared" si="127"/>
        <v>0</v>
      </c>
      <c r="BR201" s="97">
        <f t="shared" si="128"/>
        <v>0</v>
      </c>
      <c r="BT201" s="82"/>
      <c r="BU201" s="181"/>
      <c r="BV201" s="182"/>
      <c r="BW201" s="92"/>
      <c r="BX201" s="92"/>
      <c r="BY201" s="92"/>
      <c r="BZ201" s="92"/>
      <c r="CA201" s="92"/>
      <c r="CB201" s="92"/>
      <c r="CC201" s="93">
        <f t="shared" si="129"/>
        <v>0</v>
      </c>
      <c r="CD201" s="181"/>
      <c r="CE201" s="182"/>
      <c r="CF201" s="92"/>
      <c r="CG201" s="92"/>
      <c r="CH201" s="92"/>
      <c r="CI201" s="92"/>
      <c r="CJ201" s="92"/>
      <c r="CK201" s="92"/>
      <c r="CL201" s="93">
        <f t="shared" si="130"/>
        <v>0</v>
      </c>
      <c r="CM201" s="181"/>
      <c r="CN201" s="182"/>
      <c r="CO201" s="92"/>
      <c r="CP201" s="92"/>
      <c r="CQ201" s="92"/>
      <c r="CR201" s="92"/>
      <c r="CS201" s="92"/>
      <c r="CT201" s="92"/>
      <c r="CU201" s="93">
        <f t="shared" si="131"/>
        <v>0</v>
      </c>
      <c r="CV201" s="95">
        <f t="shared" si="132"/>
        <v>0</v>
      </c>
      <c r="CW201" s="96">
        <f t="shared" si="133"/>
        <v>0</v>
      </c>
      <c r="CX201" s="97">
        <f t="shared" si="134"/>
        <v>0</v>
      </c>
      <c r="CZ201" s="82"/>
      <c r="DA201" s="136"/>
      <c r="DB201" s="137"/>
      <c r="DC201" s="92"/>
      <c r="DD201" s="92"/>
      <c r="DE201" s="92"/>
      <c r="DF201" s="92"/>
      <c r="DG201" s="92"/>
      <c r="DH201" s="92"/>
      <c r="DI201" s="93">
        <f t="shared" si="135"/>
        <v>0</v>
      </c>
      <c r="DJ201" s="183"/>
      <c r="DK201" s="184"/>
      <c r="DL201" s="92"/>
      <c r="DM201" s="92"/>
      <c r="DN201" s="92"/>
      <c r="DO201" s="92"/>
      <c r="DP201" s="92"/>
      <c r="DQ201" s="92"/>
      <c r="DR201" s="93">
        <f t="shared" si="136"/>
        <v>0</v>
      </c>
      <c r="DS201" s="183"/>
      <c r="DT201" s="184"/>
      <c r="DU201" s="92"/>
      <c r="DV201" s="92"/>
      <c r="DW201" s="92"/>
      <c r="DX201" s="92"/>
      <c r="DY201" s="92"/>
      <c r="DZ201" s="92"/>
      <c r="EA201" s="93">
        <f t="shared" si="137"/>
        <v>0</v>
      </c>
      <c r="EB201" s="95">
        <f t="shared" si="138"/>
        <v>0</v>
      </c>
      <c r="EC201" s="96">
        <f t="shared" si="139"/>
        <v>0</v>
      </c>
      <c r="ED201" s="97">
        <f t="shared" si="140"/>
        <v>0</v>
      </c>
    </row>
    <row r="202" spans="1:134" s="6" customFormat="1" ht="21.95" customHeight="1" x14ac:dyDescent="0.5">
      <c r="A202" s="83">
        <v>6</v>
      </c>
      <c r="B202" s="103" t="s">
        <v>411</v>
      </c>
      <c r="C202" s="103" t="s">
        <v>412</v>
      </c>
      <c r="D202" s="103" t="s">
        <v>90</v>
      </c>
      <c r="E202" s="148" t="s">
        <v>91</v>
      </c>
      <c r="F202" s="83" t="s">
        <v>400</v>
      </c>
      <c r="G202" s="222"/>
      <c r="H202" s="180">
        <v>1.0094089704941992E-2</v>
      </c>
      <c r="I202" s="181">
        <f t="shared" si="141"/>
        <v>993.6963454105977</v>
      </c>
      <c r="J202" s="182">
        <f t="shared" si="116"/>
        <v>750.25331140951857</v>
      </c>
      <c r="K202" s="92">
        <v>180</v>
      </c>
      <c r="L202" s="92">
        <v>180</v>
      </c>
      <c r="M202" s="92">
        <v>360</v>
      </c>
      <c r="N202" s="92">
        <v>360</v>
      </c>
      <c r="O202" s="92">
        <v>790</v>
      </c>
      <c r="P202" s="92">
        <v>764.8</v>
      </c>
      <c r="Q202" s="93">
        <f t="shared" si="117"/>
        <v>1.0193890361685338</v>
      </c>
      <c r="R202" s="94">
        <v>993.69634541059872</v>
      </c>
      <c r="S202" s="91">
        <v>750.25331140951857</v>
      </c>
      <c r="T202" s="92">
        <v>180</v>
      </c>
      <c r="U202" s="92">
        <v>180</v>
      </c>
      <c r="V202" s="92">
        <v>360</v>
      </c>
      <c r="W202" s="92">
        <v>360</v>
      </c>
      <c r="X202" s="92">
        <v>900</v>
      </c>
      <c r="Y202" s="92">
        <v>900</v>
      </c>
      <c r="Z202" s="93">
        <f t="shared" si="118"/>
        <v>1.1995948385874482</v>
      </c>
      <c r="AA202" s="94">
        <v>993.69634541059872</v>
      </c>
      <c r="AB202" s="91">
        <v>750.25331140951857</v>
      </c>
      <c r="AC202" s="92">
        <v>0</v>
      </c>
      <c r="AD202" s="92">
        <v>0</v>
      </c>
      <c r="AE202" s="92">
        <v>760</v>
      </c>
      <c r="AF202" s="92">
        <v>500</v>
      </c>
      <c r="AG202" s="92"/>
      <c r="AH202" s="92"/>
      <c r="AI202" s="93">
        <f t="shared" si="119"/>
        <v>0</v>
      </c>
      <c r="AJ202" s="95">
        <f t="shared" si="120"/>
        <v>2250.7599342285557</v>
      </c>
      <c r="AK202" s="96">
        <f t="shared" si="121"/>
        <v>1664.8</v>
      </c>
      <c r="AL202" s="97">
        <f t="shared" si="122"/>
        <v>0.73966129158532734</v>
      </c>
      <c r="AN202" s="89">
        <v>8.2944530844997408E-3</v>
      </c>
      <c r="AO202" s="183"/>
      <c r="AP202" s="184"/>
      <c r="AQ202" s="92"/>
      <c r="AR202" s="92"/>
      <c r="AS202" s="92"/>
      <c r="AT202" s="92"/>
      <c r="AU202" s="92"/>
      <c r="AV202" s="92"/>
      <c r="AW202" s="93">
        <f t="shared" si="123"/>
        <v>0</v>
      </c>
      <c r="AX202" s="183"/>
      <c r="AY202" s="184"/>
      <c r="AZ202" s="92"/>
      <c r="BA202" s="92"/>
      <c r="BB202" s="92"/>
      <c r="BC202" s="92"/>
      <c r="BD202" s="92"/>
      <c r="BE202" s="92"/>
      <c r="BF202" s="93">
        <f t="shared" si="124"/>
        <v>0</v>
      </c>
      <c r="BG202" s="181"/>
      <c r="BH202" s="182"/>
      <c r="BI202" s="92"/>
      <c r="BJ202" s="92"/>
      <c r="BK202" s="92"/>
      <c r="BL202" s="92"/>
      <c r="BM202" s="92"/>
      <c r="BN202" s="92"/>
      <c r="BO202" s="93">
        <f t="shared" si="125"/>
        <v>0</v>
      </c>
      <c r="BP202" s="95">
        <f t="shared" si="126"/>
        <v>0</v>
      </c>
      <c r="BQ202" s="96">
        <f t="shared" si="127"/>
        <v>0</v>
      </c>
      <c r="BR202" s="97">
        <f t="shared" si="128"/>
        <v>0</v>
      </c>
      <c r="BT202" s="82"/>
      <c r="BU202" s="181"/>
      <c r="BV202" s="182"/>
      <c r="BW202" s="92"/>
      <c r="BX202" s="92"/>
      <c r="BY202" s="92"/>
      <c r="BZ202" s="92"/>
      <c r="CA202" s="92"/>
      <c r="CB202" s="92"/>
      <c r="CC202" s="93">
        <f t="shared" si="129"/>
        <v>0</v>
      </c>
      <c r="CD202" s="181"/>
      <c r="CE202" s="182"/>
      <c r="CF202" s="92"/>
      <c r="CG202" s="92"/>
      <c r="CH202" s="92"/>
      <c r="CI202" s="92"/>
      <c r="CJ202" s="92"/>
      <c r="CK202" s="92"/>
      <c r="CL202" s="93">
        <f t="shared" si="130"/>
        <v>0</v>
      </c>
      <c r="CM202" s="181"/>
      <c r="CN202" s="182"/>
      <c r="CO202" s="92"/>
      <c r="CP202" s="92"/>
      <c r="CQ202" s="92"/>
      <c r="CR202" s="92"/>
      <c r="CS202" s="92"/>
      <c r="CT202" s="92"/>
      <c r="CU202" s="93">
        <f t="shared" si="131"/>
        <v>0</v>
      </c>
      <c r="CV202" s="95">
        <f t="shared" si="132"/>
        <v>0</v>
      </c>
      <c r="CW202" s="96">
        <f t="shared" si="133"/>
        <v>0</v>
      </c>
      <c r="CX202" s="97">
        <f t="shared" si="134"/>
        <v>0</v>
      </c>
      <c r="CZ202" s="82"/>
      <c r="DA202" s="136"/>
      <c r="DB202" s="137"/>
      <c r="DC202" s="92"/>
      <c r="DD202" s="92"/>
      <c r="DE202" s="92"/>
      <c r="DF202" s="92"/>
      <c r="DG202" s="92"/>
      <c r="DH202" s="92"/>
      <c r="DI202" s="93">
        <f t="shared" si="135"/>
        <v>0</v>
      </c>
      <c r="DJ202" s="183"/>
      <c r="DK202" s="184"/>
      <c r="DL202" s="92"/>
      <c r="DM202" s="92"/>
      <c r="DN202" s="92"/>
      <c r="DO202" s="92"/>
      <c r="DP202" s="92"/>
      <c r="DQ202" s="92"/>
      <c r="DR202" s="93">
        <f t="shared" si="136"/>
        <v>0</v>
      </c>
      <c r="DS202" s="183"/>
      <c r="DT202" s="184"/>
      <c r="DU202" s="92"/>
      <c r="DV202" s="92"/>
      <c r="DW202" s="92"/>
      <c r="DX202" s="92"/>
      <c r="DY202" s="92"/>
      <c r="DZ202" s="92"/>
      <c r="EA202" s="93">
        <f t="shared" si="137"/>
        <v>0</v>
      </c>
      <c r="EB202" s="95">
        <f t="shared" si="138"/>
        <v>0</v>
      </c>
      <c r="EC202" s="96">
        <f t="shared" si="139"/>
        <v>0</v>
      </c>
      <c r="ED202" s="97">
        <f t="shared" si="140"/>
        <v>0</v>
      </c>
    </row>
    <row r="203" spans="1:134" s="6" customFormat="1" ht="21.95" customHeight="1" x14ac:dyDescent="0.5">
      <c r="A203" s="83">
        <v>7</v>
      </c>
      <c r="B203" s="103" t="s">
        <v>413</v>
      </c>
      <c r="C203" s="103" t="s">
        <v>414</v>
      </c>
      <c r="D203" s="103" t="s">
        <v>90</v>
      </c>
      <c r="E203" s="148" t="s">
        <v>91</v>
      </c>
      <c r="F203" s="83" t="s">
        <v>400</v>
      </c>
      <c r="G203" s="222"/>
      <c r="H203" s="180">
        <v>9.74391766389574E-4</v>
      </c>
      <c r="I203" s="181">
        <f t="shared" si="141"/>
        <v>95.9224224830743</v>
      </c>
      <c r="J203" s="182">
        <f t="shared" si="116"/>
        <v>72.42264242867148</v>
      </c>
      <c r="K203" s="92">
        <v>0</v>
      </c>
      <c r="L203" s="92">
        <v>0</v>
      </c>
      <c r="M203" s="92">
        <v>0</v>
      </c>
      <c r="N203" s="92">
        <v>0</v>
      </c>
      <c r="O203" s="92">
        <v>0</v>
      </c>
      <c r="P203" s="92">
        <v>0</v>
      </c>
      <c r="Q203" s="93">
        <f t="shared" si="117"/>
        <v>0</v>
      </c>
      <c r="R203" s="94">
        <v>95.922422483074399</v>
      </c>
      <c r="S203" s="91">
        <v>72.42264242867148</v>
      </c>
      <c r="T203" s="92">
        <v>0</v>
      </c>
      <c r="U203" s="92">
        <v>0</v>
      </c>
      <c r="V203" s="92">
        <v>0</v>
      </c>
      <c r="W203" s="92">
        <v>0</v>
      </c>
      <c r="X203" s="92">
        <v>0</v>
      </c>
      <c r="Y203" s="92">
        <v>0</v>
      </c>
      <c r="Z203" s="93">
        <f t="shared" si="118"/>
        <v>0</v>
      </c>
      <c r="AA203" s="94">
        <v>95.922422483074399</v>
      </c>
      <c r="AB203" s="91">
        <v>72.42264242867148</v>
      </c>
      <c r="AC203" s="92">
        <v>0</v>
      </c>
      <c r="AD203" s="92">
        <v>0</v>
      </c>
      <c r="AE203" s="92">
        <v>0</v>
      </c>
      <c r="AF203" s="92">
        <v>0</v>
      </c>
      <c r="AG203" s="92"/>
      <c r="AH203" s="92"/>
      <c r="AI203" s="93">
        <f t="shared" si="119"/>
        <v>0</v>
      </c>
      <c r="AJ203" s="95">
        <f t="shared" si="120"/>
        <v>217.26792728601444</v>
      </c>
      <c r="AK203" s="96">
        <f t="shared" si="121"/>
        <v>0</v>
      </c>
      <c r="AL203" s="97">
        <f t="shared" si="122"/>
        <v>0</v>
      </c>
      <c r="AN203" s="89">
        <v>5.3237447102640178E-3</v>
      </c>
      <c r="AO203" s="183"/>
      <c r="AP203" s="184"/>
      <c r="AQ203" s="92"/>
      <c r="AR203" s="92"/>
      <c r="AS203" s="92"/>
      <c r="AT203" s="92"/>
      <c r="AU203" s="92"/>
      <c r="AV203" s="92"/>
      <c r="AW203" s="93">
        <f t="shared" si="123"/>
        <v>0</v>
      </c>
      <c r="AX203" s="183"/>
      <c r="AY203" s="184"/>
      <c r="AZ203" s="92"/>
      <c r="BA203" s="92"/>
      <c r="BB203" s="92"/>
      <c r="BC203" s="92"/>
      <c r="BD203" s="92"/>
      <c r="BE203" s="92"/>
      <c r="BF203" s="93">
        <f t="shared" si="124"/>
        <v>0</v>
      </c>
      <c r="BG203" s="181"/>
      <c r="BH203" s="182"/>
      <c r="BI203" s="92"/>
      <c r="BJ203" s="92"/>
      <c r="BK203" s="92"/>
      <c r="BL203" s="92"/>
      <c r="BM203" s="92"/>
      <c r="BN203" s="92"/>
      <c r="BO203" s="93">
        <f t="shared" si="125"/>
        <v>0</v>
      </c>
      <c r="BP203" s="95">
        <f t="shared" si="126"/>
        <v>0</v>
      </c>
      <c r="BQ203" s="96">
        <f t="shared" si="127"/>
        <v>0</v>
      </c>
      <c r="BR203" s="97">
        <f t="shared" si="128"/>
        <v>0</v>
      </c>
      <c r="BT203" s="82"/>
      <c r="BU203" s="181"/>
      <c r="BV203" s="182"/>
      <c r="BW203" s="92"/>
      <c r="BX203" s="92"/>
      <c r="BY203" s="92"/>
      <c r="BZ203" s="92"/>
      <c r="CA203" s="92"/>
      <c r="CB203" s="92"/>
      <c r="CC203" s="93">
        <f t="shared" si="129"/>
        <v>0</v>
      </c>
      <c r="CD203" s="181"/>
      <c r="CE203" s="182"/>
      <c r="CF203" s="92"/>
      <c r="CG203" s="92"/>
      <c r="CH203" s="92"/>
      <c r="CI203" s="92"/>
      <c r="CJ203" s="92"/>
      <c r="CK203" s="92"/>
      <c r="CL203" s="93">
        <f t="shared" si="130"/>
        <v>0</v>
      </c>
      <c r="CM203" s="181"/>
      <c r="CN203" s="182"/>
      <c r="CO203" s="92"/>
      <c r="CP203" s="92"/>
      <c r="CQ203" s="92"/>
      <c r="CR203" s="92"/>
      <c r="CS203" s="92"/>
      <c r="CT203" s="92"/>
      <c r="CU203" s="93">
        <f t="shared" si="131"/>
        <v>0</v>
      </c>
      <c r="CV203" s="95">
        <f t="shared" si="132"/>
        <v>0</v>
      </c>
      <c r="CW203" s="96">
        <f t="shared" si="133"/>
        <v>0</v>
      </c>
      <c r="CX203" s="97">
        <f t="shared" si="134"/>
        <v>0</v>
      </c>
      <c r="CZ203" s="82"/>
      <c r="DA203" s="136"/>
      <c r="DB203" s="137"/>
      <c r="DC203" s="92"/>
      <c r="DD203" s="92"/>
      <c r="DE203" s="92"/>
      <c r="DF203" s="92"/>
      <c r="DG203" s="92"/>
      <c r="DH203" s="92"/>
      <c r="DI203" s="93">
        <f t="shared" si="135"/>
        <v>0</v>
      </c>
      <c r="DJ203" s="183"/>
      <c r="DK203" s="184"/>
      <c r="DL203" s="92"/>
      <c r="DM203" s="92"/>
      <c r="DN203" s="92"/>
      <c r="DO203" s="92"/>
      <c r="DP203" s="92"/>
      <c r="DQ203" s="92"/>
      <c r="DR203" s="93">
        <f t="shared" si="136"/>
        <v>0</v>
      </c>
      <c r="DS203" s="183"/>
      <c r="DT203" s="184"/>
      <c r="DU203" s="92"/>
      <c r="DV203" s="92"/>
      <c r="DW203" s="92"/>
      <c r="DX203" s="92"/>
      <c r="DY203" s="92"/>
      <c r="DZ203" s="92"/>
      <c r="EA203" s="93">
        <f t="shared" si="137"/>
        <v>0</v>
      </c>
      <c r="EB203" s="95">
        <f t="shared" si="138"/>
        <v>0</v>
      </c>
      <c r="EC203" s="96">
        <f t="shared" si="139"/>
        <v>0</v>
      </c>
      <c r="ED203" s="97">
        <f t="shared" si="140"/>
        <v>0</v>
      </c>
    </row>
    <row r="204" spans="1:134" s="6" customFormat="1" ht="21.95" customHeight="1" x14ac:dyDescent="0.5">
      <c r="A204" s="83">
        <v>8</v>
      </c>
      <c r="B204" s="103" t="s">
        <v>415</v>
      </c>
      <c r="C204" s="103" t="s">
        <v>416</v>
      </c>
      <c r="D204" s="103" t="s">
        <v>90</v>
      </c>
      <c r="E204" s="148" t="s">
        <v>91</v>
      </c>
      <c r="F204" s="83" t="s">
        <v>400</v>
      </c>
      <c r="G204" s="222"/>
      <c r="H204" s="180">
        <v>8.8334703571754814E-3</v>
      </c>
      <c r="I204" s="181">
        <f t="shared" si="141"/>
        <v>869.59671132312042</v>
      </c>
      <c r="J204" s="182">
        <f t="shared" si="116"/>
        <v>656.55651776742479</v>
      </c>
      <c r="K204" s="92">
        <v>552</v>
      </c>
      <c r="L204" s="92">
        <v>552</v>
      </c>
      <c r="M204" s="92">
        <v>552</v>
      </c>
      <c r="N204" s="92">
        <v>552</v>
      </c>
      <c r="O204" s="92">
        <v>912</v>
      </c>
      <c r="P204" s="92">
        <v>912</v>
      </c>
      <c r="Q204" s="93">
        <f t="shared" si="117"/>
        <v>1.3890654883774411</v>
      </c>
      <c r="R204" s="94">
        <v>869.59671132312121</v>
      </c>
      <c r="S204" s="91">
        <v>656.55651776742479</v>
      </c>
      <c r="T204" s="92">
        <v>180</v>
      </c>
      <c r="U204" s="92">
        <v>180</v>
      </c>
      <c r="V204" s="92">
        <v>540</v>
      </c>
      <c r="W204" s="92">
        <v>540</v>
      </c>
      <c r="X204" s="92">
        <v>900</v>
      </c>
      <c r="Y204" s="92">
        <v>900</v>
      </c>
      <c r="Z204" s="93">
        <f t="shared" si="118"/>
        <v>1.3707883108987906</v>
      </c>
      <c r="AA204" s="94">
        <v>869.59671132312121</v>
      </c>
      <c r="AB204" s="91">
        <v>656.55651776742479</v>
      </c>
      <c r="AC204" s="92">
        <v>360</v>
      </c>
      <c r="AD204" s="92">
        <v>360</v>
      </c>
      <c r="AE204" s="92">
        <v>540</v>
      </c>
      <c r="AF204" s="92">
        <v>540</v>
      </c>
      <c r="AG204" s="92"/>
      <c r="AH204" s="92"/>
      <c r="AI204" s="93">
        <f t="shared" si="119"/>
        <v>0</v>
      </c>
      <c r="AJ204" s="95">
        <f t="shared" si="120"/>
        <v>1969.6695533022744</v>
      </c>
      <c r="AK204" s="96">
        <f t="shared" si="121"/>
        <v>1812</v>
      </c>
      <c r="AL204" s="97">
        <f t="shared" si="122"/>
        <v>0.91995126642541059</v>
      </c>
      <c r="AN204" s="89">
        <v>1.323582939015916E-3</v>
      </c>
      <c r="AO204" s="183"/>
      <c r="AP204" s="184"/>
      <c r="AQ204" s="92"/>
      <c r="AR204" s="92"/>
      <c r="AS204" s="92"/>
      <c r="AT204" s="92"/>
      <c r="AU204" s="92"/>
      <c r="AV204" s="92"/>
      <c r="AW204" s="93">
        <f t="shared" si="123"/>
        <v>0</v>
      </c>
      <c r="AX204" s="183"/>
      <c r="AY204" s="184"/>
      <c r="AZ204" s="92"/>
      <c r="BA204" s="92"/>
      <c r="BB204" s="92"/>
      <c r="BC204" s="92"/>
      <c r="BD204" s="92"/>
      <c r="BE204" s="92"/>
      <c r="BF204" s="93">
        <f t="shared" si="124"/>
        <v>0</v>
      </c>
      <c r="BG204" s="181"/>
      <c r="BH204" s="182"/>
      <c r="BI204" s="92"/>
      <c r="BJ204" s="92"/>
      <c r="BK204" s="92"/>
      <c r="BL204" s="92"/>
      <c r="BM204" s="92"/>
      <c r="BN204" s="92"/>
      <c r="BO204" s="93">
        <f t="shared" si="125"/>
        <v>0</v>
      </c>
      <c r="BP204" s="95">
        <f t="shared" si="126"/>
        <v>0</v>
      </c>
      <c r="BQ204" s="96">
        <f t="shared" si="127"/>
        <v>0</v>
      </c>
      <c r="BR204" s="97">
        <f t="shared" si="128"/>
        <v>0</v>
      </c>
      <c r="BT204" s="82"/>
      <c r="BU204" s="181"/>
      <c r="BV204" s="182"/>
      <c r="BW204" s="92"/>
      <c r="BX204" s="92"/>
      <c r="BY204" s="92"/>
      <c r="BZ204" s="92"/>
      <c r="CA204" s="92"/>
      <c r="CB204" s="92"/>
      <c r="CC204" s="93">
        <f t="shared" si="129"/>
        <v>0</v>
      </c>
      <c r="CD204" s="181"/>
      <c r="CE204" s="182"/>
      <c r="CF204" s="92"/>
      <c r="CG204" s="92"/>
      <c r="CH204" s="92"/>
      <c r="CI204" s="92"/>
      <c r="CJ204" s="92"/>
      <c r="CK204" s="92"/>
      <c r="CL204" s="93">
        <f t="shared" si="130"/>
        <v>0</v>
      </c>
      <c r="CM204" s="181"/>
      <c r="CN204" s="182"/>
      <c r="CO204" s="92"/>
      <c r="CP204" s="92"/>
      <c r="CQ204" s="92"/>
      <c r="CR204" s="92"/>
      <c r="CS204" s="92"/>
      <c r="CT204" s="92"/>
      <c r="CU204" s="93">
        <f t="shared" si="131"/>
        <v>0</v>
      </c>
      <c r="CV204" s="95">
        <f t="shared" si="132"/>
        <v>0</v>
      </c>
      <c r="CW204" s="96">
        <f t="shared" si="133"/>
        <v>0</v>
      </c>
      <c r="CX204" s="97">
        <f t="shared" si="134"/>
        <v>0</v>
      </c>
      <c r="CZ204" s="82"/>
      <c r="DA204" s="136"/>
      <c r="DB204" s="137"/>
      <c r="DC204" s="92"/>
      <c r="DD204" s="92"/>
      <c r="DE204" s="92"/>
      <c r="DF204" s="92"/>
      <c r="DG204" s="92"/>
      <c r="DH204" s="92"/>
      <c r="DI204" s="93">
        <f t="shared" si="135"/>
        <v>0</v>
      </c>
      <c r="DJ204" s="183"/>
      <c r="DK204" s="184"/>
      <c r="DL204" s="92"/>
      <c r="DM204" s="92"/>
      <c r="DN204" s="92"/>
      <c r="DO204" s="92"/>
      <c r="DP204" s="92"/>
      <c r="DQ204" s="92"/>
      <c r="DR204" s="93">
        <f t="shared" si="136"/>
        <v>0</v>
      </c>
      <c r="DS204" s="183"/>
      <c r="DT204" s="184"/>
      <c r="DU204" s="92"/>
      <c r="DV204" s="92"/>
      <c r="DW204" s="92"/>
      <c r="DX204" s="92"/>
      <c r="DY204" s="92"/>
      <c r="DZ204" s="92"/>
      <c r="EA204" s="93">
        <f t="shared" si="137"/>
        <v>0</v>
      </c>
      <c r="EB204" s="95">
        <f t="shared" si="138"/>
        <v>0</v>
      </c>
      <c r="EC204" s="96">
        <f t="shared" si="139"/>
        <v>0</v>
      </c>
      <c r="ED204" s="97">
        <f t="shared" si="140"/>
        <v>0</v>
      </c>
    </row>
    <row r="205" spans="1:134" s="6" customFormat="1" ht="21.95" customHeight="1" x14ac:dyDescent="0.5">
      <c r="A205" s="83">
        <v>9</v>
      </c>
      <c r="B205" s="103" t="s">
        <v>417</v>
      </c>
      <c r="C205" s="103" t="s">
        <v>418</v>
      </c>
      <c r="D205" s="103" t="s">
        <v>90</v>
      </c>
      <c r="E205" s="148" t="s">
        <v>91</v>
      </c>
      <c r="F205" s="83" t="s">
        <v>400</v>
      </c>
      <c r="G205" s="222"/>
      <c r="H205" s="180">
        <v>9.1166529642824519E-3</v>
      </c>
      <c r="I205" s="181">
        <f t="shared" si="141"/>
        <v>897.47416535726393</v>
      </c>
      <c r="J205" s="182">
        <f t="shared" si="116"/>
        <v>677.60434822325749</v>
      </c>
      <c r="K205" s="92">
        <v>180</v>
      </c>
      <c r="L205" s="92">
        <v>180</v>
      </c>
      <c r="M205" s="92">
        <v>360</v>
      </c>
      <c r="N205" s="92">
        <v>360</v>
      </c>
      <c r="O205" s="92">
        <v>1040</v>
      </c>
      <c r="P205" s="92">
        <v>989.6</v>
      </c>
      <c r="Q205" s="93">
        <f t="shared" si="117"/>
        <v>1.4604392704899616</v>
      </c>
      <c r="R205" s="94">
        <v>897.47416535726484</v>
      </c>
      <c r="S205" s="91">
        <v>677.60434822325749</v>
      </c>
      <c r="T205" s="92">
        <v>180</v>
      </c>
      <c r="U205" s="92">
        <v>180</v>
      </c>
      <c r="V205" s="92">
        <v>540</v>
      </c>
      <c r="W205" s="92">
        <v>540</v>
      </c>
      <c r="X205" s="92">
        <v>900</v>
      </c>
      <c r="Y205" s="92">
        <v>900</v>
      </c>
      <c r="Z205" s="93">
        <f t="shared" si="118"/>
        <v>1.3282087140672649</v>
      </c>
      <c r="AA205" s="94">
        <v>897.47416535726484</v>
      </c>
      <c r="AB205" s="91">
        <v>677.60434822325749</v>
      </c>
      <c r="AC205" s="92">
        <v>930</v>
      </c>
      <c r="AD205" s="92">
        <v>750.8</v>
      </c>
      <c r="AE205" s="92">
        <v>1290</v>
      </c>
      <c r="AF205" s="92">
        <v>1110.8</v>
      </c>
      <c r="AG205" s="92"/>
      <c r="AH205" s="92"/>
      <c r="AI205" s="93">
        <f t="shared" si="119"/>
        <v>0</v>
      </c>
      <c r="AJ205" s="95">
        <f t="shared" si="120"/>
        <v>2032.8130446697724</v>
      </c>
      <c r="AK205" s="96">
        <f t="shared" si="121"/>
        <v>1889.6</v>
      </c>
      <c r="AL205" s="97">
        <f t="shared" si="122"/>
        <v>0.9295493281857421</v>
      </c>
      <c r="AN205" s="89">
        <v>5.9561232255716219E-3</v>
      </c>
      <c r="AO205" s="183"/>
      <c r="AP205" s="184"/>
      <c r="AQ205" s="92"/>
      <c r="AR205" s="92"/>
      <c r="AS205" s="92"/>
      <c r="AT205" s="92"/>
      <c r="AU205" s="92"/>
      <c r="AV205" s="92"/>
      <c r="AW205" s="93">
        <f t="shared" si="123"/>
        <v>0</v>
      </c>
      <c r="AX205" s="183"/>
      <c r="AY205" s="184"/>
      <c r="AZ205" s="92"/>
      <c r="BA205" s="92"/>
      <c r="BB205" s="92"/>
      <c r="BC205" s="92"/>
      <c r="BD205" s="92"/>
      <c r="BE205" s="92"/>
      <c r="BF205" s="93">
        <f t="shared" si="124"/>
        <v>0</v>
      </c>
      <c r="BG205" s="181"/>
      <c r="BH205" s="182"/>
      <c r="BI205" s="92"/>
      <c r="BJ205" s="92"/>
      <c r="BK205" s="92"/>
      <c r="BL205" s="92"/>
      <c r="BM205" s="92"/>
      <c r="BN205" s="92"/>
      <c r="BO205" s="93">
        <f t="shared" si="125"/>
        <v>0</v>
      </c>
      <c r="BP205" s="95">
        <f t="shared" si="126"/>
        <v>0</v>
      </c>
      <c r="BQ205" s="96">
        <f t="shared" si="127"/>
        <v>0</v>
      </c>
      <c r="BR205" s="97">
        <f t="shared" si="128"/>
        <v>0</v>
      </c>
      <c r="BT205" s="82"/>
      <c r="BU205" s="181"/>
      <c r="BV205" s="182"/>
      <c r="BW205" s="92"/>
      <c r="BX205" s="92"/>
      <c r="BY205" s="92"/>
      <c r="BZ205" s="92"/>
      <c r="CA205" s="92"/>
      <c r="CB205" s="92"/>
      <c r="CC205" s="93">
        <f t="shared" si="129"/>
        <v>0</v>
      </c>
      <c r="CD205" s="181"/>
      <c r="CE205" s="182"/>
      <c r="CF205" s="92"/>
      <c r="CG205" s="92"/>
      <c r="CH205" s="92"/>
      <c r="CI205" s="92"/>
      <c r="CJ205" s="92"/>
      <c r="CK205" s="92"/>
      <c r="CL205" s="93">
        <f t="shared" si="130"/>
        <v>0</v>
      </c>
      <c r="CM205" s="181"/>
      <c r="CN205" s="182"/>
      <c r="CO205" s="92"/>
      <c r="CP205" s="92"/>
      <c r="CQ205" s="92"/>
      <c r="CR205" s="92"/>
      <c r="CS205" s="92"/>
      <c r="CT205" s="92"/>
      <c r="CU205" s="93">
        <f t="shared" si="131"/>
        <v>0</v>
      </c>
      <c r="CV205" s="95">
        <f t="shared" si="132"/>
        <v>0</v>
      </c>
      <c r="CW205" s="96">
        <f t="shared" si="133"/>
        <v>0</v>
      </c>
      <c r="CX205" s="97">
        <f t="shared" si="134"/>
        <v>0</v>
      </c>
      <c r="CZ205" s="82"/>
      <c r="DA205" s="136"/>
      <c r="DB205" s="137"/>
      <c r="DC205" s="92"/>
      <c r="DD205" s="92"/>
      <c r="DE205" s="92"/>
      <c r="DF205" s="92"/>
      <c r="DG205" s="92"/>
      <c r="DH205" s="92"/>
      <c r="DI205" s="93">
        <f t="shared" si="135"/>
        <v>0</v>
      </c>
      <c r="DJ205" s="183"/>
      <c r="DK205" s="184"/>
      <c r="DL205" s="92"/>
      <c r="DM205" s="92"/>
      <c r="DN205" s="92"/>
      <c r="DO205" s="92"/>
      <c r="DP205" s="92"/>
      <c r="DQ205" s="92"/>
      <c r="DR205" s="93">
        <f t="shared" si="136"/>
        <v>0</v>
      </c>
      <c r="DS205" s="183"/>
      <c r="DT205" s="184"/>
      <c r="DU205" s="92"/>
      <c r="DV205" s="92"/>
      <c r="DW205" s="92"/>
      <c r="DX205" s="92"/>
      <c r="DY205" s="92"/>
      <c r="DZ205" s="92"/>
      <c r="EA205" s="93">
        <f t="shared" si="137"/>
        <v>0</v>
      </c>
      <c r="EB205" s="95">
        <f t="shared" si="138"/>
        <v>0</v>
      </c>
      <c r="EC205" s="96">
        <f t="shared" si="139"/>
        <v>0</v>
      </c>
      <c r="ED205" s="97">
        <f t="shared" si="140"/>
        <v>0</v>
      </c>
    </row>
    <row r="206" spans="1:134" s="6" customFormat="1" ht="21.95" customHeight="1" x14ac:dyDescent="0.5">
      <c r="A206" s="83">
        <v>10</v>
      </c>
      <c r="B206" s="103" t="s">
        <v>419</v>
      </c>
      <c r="C206" s="103" t="s">
        <v>420</v>
      </c>
      <c r="D206" s="103" t="s">
        <v>90</v>
      </c>
      <c r="E206" s="148" t="s">
        <v>91</v>
      </c>
      <c r="F206" s="83" t="s">
        <v>400</v>
      </c>
      <c r="G206" s="222"/>
      <c r="H206" s="180">
        <v>6.66950864265197E-3</v>
      </c>
      <c r="I206" s="181">
        <f t="shared" si="141"/>
        <v>656.56899805862633</v>
      </c>
      <c r="J206" s="182">
        <f t="shared" si="116"/>
        <v>495.7178993737503</v>
      </c>
      <c r="K206" s="92">
        <v>180</v>
      </c>
      <c r="L206" s="92">
        <v>180</v>
      </c>
      <c r="M206" s="92">
        <v>180</v>
      </c>
      <c r="N206" s="92">
        <v>180</v>
      </c>
      <c r="O206" s="92">
        <v>540</v>
      </c>
      <c r="P206" s="92">
        <v>540</v>
      </c>
      <c r="Q206" s="93">
        <f t="shared" si="117"/>
        <v>1.0893292347970329</v>
      </c>
      <c r="R206" s="94">
        <v>656.56899805862702</v>
      </c>
      <c r="S206" s="91">
        <v>495.7178993737503</v>
      </c>
      <c r="T206" s="92">
        <v>180</v>
      </c>
      <c r="U206" s="92">
        <v>180</v>
      </c>
      <c r="V206" s="92">
        <v>180</v>
      </c>
      <c r="W206" s="92">
        <v>180</v>
      </c>
      <c r="X206" s="92">
        <v>360</v>
      </c>
      <c r="Y206" s="92">
        <v>360</v>
      </c>
      <c r="Z206" s="93">
        <f t="shared" si="118"/>
        <v>0.72621948986468865</v>
      </c>
      <c r="AA206" s="94">
        <v>656.56899805862702</v>
      </c>
      <c r="AB206" s="91">
        <v>495.7178993737503</v>
      </c>
      <c r="AC206" s="92">
        <v>180</v>
      </c>
      <c r="AD206" s="92">
        <v>180</v>
      </c>
      <c r="AE206" s="92">
        <v>884</v>
      </c>
      <c r="AF206" s="92">
        <v>754</v>
      </c>
      <c r="AG206" s="92"/>
      <c r="AH206" s="92"/>
      <c r="AI206" s="93">
        <f t="shared" si="119"/>
        <v>0</v>
      </c>
      <c r="AJ206" s="95">
        <f t="shared" si="120"/>
        <v>1487.153698121251</v>
      </c>
      <c r="AK206" s="96">
        <f t="shared" si="121"/>
        <v>900</v>
      </c>
      <c r="AL206" s="97">
        <f t="shared" si="122"/>
        <v>0.60518290822057386</v>
      </c>
      <c r="AN206" s="89">
        <v>5.073734599561011E-3</v>
      </c>
      <c r="AO206" s="183"/>
      <c r="AP206" s="184"/>
      <c r="AQ206" s="92"/>
      <c r="AR206" s="92"/>
      <c r="AS206" s="92"/>
      <c r="AT206" s="92"/>
      <c r="AU206" s="92"/>
      <c r="AV206" s="92"/>
      <c r="AW206" s="93">
        <f t="shared" si="123"/>
        <v>0</v>
      </c>
      <c r="AX206" s="183"/>
      <c r="AY206" s="184"/>
      <c r="AZ206" s="92"/>
      <c r="BA206" s="92"/>
      <c r="BB206" s="92"/>
      <c r="BC206" s="92"/>
      <c r="BD206" s="92"/>
      <c r="BE206" s="92"/>
      <c r="BF206" s="93">
        <f t="shared" si="124"/>
        <v>0</v>
      </c>
      <c r="BG206" s="181"/>
      <c r="BH206" s="182"/>
      <c r="BI206" s="92"/>
      <c r="BJ206" s="92"/>
      <c r="BK206" s="92"/>
      <c r="BL206" s="92"/>
      <c r="BM206" s="92"/>
      <c r="BN206" s="92"/>
      <c r="BO206" s="93">
        <f t="shared" si="125"/>
        <v>0</v>
      </c>
      <c r="BP206" s="95">
        <f t="shared" si="126"/>
        <v>0</v>
      </c>
      <c r="BQ206" s="96">
        <f t="shared" si="127"/>
        <v>0</v>
      </c>
      <c r="BR206" s="97">
        <f t="shared" si="128"/>
        <v>0</v>
      </c>
      <c r="BT206" s="82"/>
      <c r="BU206" s="181"/>
      <c r="BV206" s="182"/>
      <c r="BW206" s="92"/>
      <c r="BX206" s="92"/>
      <c r="BY206" s="92"/>
      <c r="BZ206" s="92"/>
      <c r="CA206" s="92"/>
      <c r="CB206" s="92"/>
      <c r="CC206" s="93">
        <f t="shared" si="129"/>
        <v>0</v>
      </c>
      <c r="CD206" s="181"/>
      <c r="CE206" s="182"/>
      <c r="CF206" s="92"/>
      <c r="CG206" s="92"/>
      <c r="CH206" s="92"/>
      <c r="CI206" s="92"/>
      <c r="CJ206" s="92"/>
      <c r="CK206" s="92"/>
      <c r="CL206" s="93">
        <f t="shared" si="130"/>
        <v>0</v>
      </c>
      <c r="CM206" s="181"/>
      <c r="CN206" s="182"/>
      <c r="CO206" s="92"/>
      <c r="CP206" s="92"/>
      <c r="CQ206" s="92"/>
      <c r="CR206" s="92"/>
      <c r="CS206" s="92"/>
      <c r="CT206" s="92"/>
      <c r="CU206" s="93">
        <f t="shared" si="131"/>
        <v>0</v>
      </c>
      <c r="CV206" s="95">
        <f t="shared" si="132"/>
        <v>0</v>
      </c>
      <c r="CW206" s="96">
        <f t="shared" si="133"/>
        <v>0</v>
      </c>
      <c r="CX206" s="97">
        <f t="shared" si="134"/>
        <v>0</v>
      </c>
      <c r="CZ206" s="82"/>
      <c r="DA206" s="136"/>
      <c r="DB206" s="137"/>
      <c r="DC206" s="92"/>
      <c r="DD206" s="92"/>
      <c r="DE206" s="92"/>
      <c r="DF206" s="92"/>
      <c r="DG206" s="92"/>
      <c r="DH206" s="92"/>
      <c r="DI206" s="93">
        <f t="shared" si="135"/>
        <v>0</v>
      </c>
      <c r="DJ206" s="183"/>
      <c r="DK206" s="184"/>
      <c r="DL206" s="92"/>
      <c r="DM206" s="92"/>
      <c r="DN206" s="92"/>
      <c r="DO206" s="92"/>
      <c r="DP206" s="92"/>
      <c r="DQ206" s="92"/>
      <c r="DR206" s="93">
        <f t="shared" si="136"/>
        <v>0</v>
      </c>
      <c r="DS206" s="183"/>
      <c r="DT206" s="184"/>
      <c r="DU206" s="92"/>
      <c r="DV206" s="92"/>
      <c r="DW206" s="92"/>
      <c r="DX206" s="92"/>
      <c r="DY206" s="92"/>
      <c r="DZ206" s="92"/>
      <c r="EA206" s="93">
        <f t="shared" si="137"/>
        <v>0</v>
      </c>
      <c r="EB206" s="95">
        <f t="shared" si="138"/>
        <v>0</v>
      </c>
      <c r="EC206" s="96">
        <f t="shared" si="139"/>
        <v>0</v>
      </c>
      <c r="ED206" s="97">
        <f t="shared" si="140"/>
        <v>0</v>
      </c>
    </row>
    <row r="207" spans="1:134" s="6" customFormat="1" ht="21.95" customHeight="1" x14ac:dyDescent="0.5">
      <c r="A207" s="83">
        <v>11</v>
      </c>
      <c r="B207" s="103" t="s">
        <v>421</v>
      </c>
      <c r="C207" s="103" t="s">
        <v>422</v>
      </c>
      <c r="D207" s="103" t="s">
        <v>90</v>
      </c>
      <c r="E207" s="148" t="s">
        <v>91</v>
      </c>
      <c r="F207" s="83" t="s">
        <v>400</v>
      </c>
      <c r="G207" s="222"/>
      <c r="H207" s="180">
        <v>7.0805801690975714E-3</v>
      </c>
      <c r="I207" s="181">
        <f t="shared" si="141"/>
        <v>697.0362700436732</v>
      </c>
      <c r="J207" s="182">
        <f t="shared" si="116"/>
        <v>526.27120164834605</v>
      </c>
      <c r="K207" s="92">
        <v>0</v>
      </c>
      <c r="L207" s="92">
        <v>0</v>
      </c>
      <c r="M207" s="92">
        <v>0</v>
      </c>
      <c r="N207" s="92">
        <v>0</v>
      </c>
      <c r="O207" s="92">
        <v>0</v>
      </c>
      <c r="P207" s="92">
        <v>0</v>
      </c>
      <c r="Q207" s="93">
        <f t="shared" si="117"/>
        <v>0</v>
      </c>
      <c r="R207" s="94">
        <v>697.03627004367399</v>
      </c>
      <c r="S207" s="91">
        <v>526.27120164834605</v>
      </c>
      <c r="T207" s="92">
        <v>180</v>
      </c>
      <c r="U207" s="92">
        <v>180</v>
      </c>
      <c r="V207" s="92">
        <v>360</v>
      </c>
      <c r="W207" s="92">
        <v>360</v>
      </c>
      <c r="X207" s="92">
        <v>720</v>
      </c>
      <c r="Y207" s="92">
        <v>720</v>
      </c>
      <c r="Z207" s="93">
        <f t="shared" si="118"/>
        <v>1.3681159024945153</v>
      </c>
      <c r="AA207" s="94">
        <v>697.03627004367399</v>
      </c>
      <c r="AB207" s="91">
        <v>526.27120164834605</v>
      </c>
      <c r="AC207" s="92">
        <v>0</v>
      </c>
      <c r="AD207" s="92">
        <v>0</v>
      </c>
      <c r="AE207" s="92">
        <v>800</v>
      </c>
      <c r="AF207" s="92">
        <v>280</v>
      </c>
      <c r="AG207" s="92"/>
      <c r="AH207" s="92"/>
      <c r="AI207" s="93">
        <f t="shared" si="119"/>
        <v>0</v>
      </c>
      <c r="AJ207" s="95">
        <f t="shared" si="120"/>
        <v>1578.8136049450382</v>
      </c>
      <c r="AK207" s="96">
        <f t="shared" si="121"/>
        <v>720</v>
      </c>
      <c r="AL207" s="97">
        <f t="shared" si="122"/>
        <v>0.45603863416483842</v>
      </c>
      <c r="AN207" s="89">
        <v>2.8677630345344848E-3</v>
      </c>
      <c r="AO207" s="183"/>
      <c r="AP207" s="184"/>
      <c r="AQ207" s="92"/>
      <c r="AR207" s="92"/>
      <c r="AS207" s="92"/>
      <c r="AT207" s="92"/>
      <c r="AU207" s="92"/>
      <c r="AV207" s="92"/>
      <c r="AW207" s="93">
        <f t="shared" si="123"/>
        <v>0</v>
      </c>
      <c r="AX207" s="183"/>
      <c r="AY207" s="184"/>
      <c r="AZ207" s="92"/>
      <c r="BA207" s="92"/>
      <c r="BB207" s="92"/>
      <c r="BC207" s="92"/>
      <c r="BD207" s="92"/>
      <c r="BE207" s="92"/>
      <c r="BF207" s="93">
        <f t="shared" si="124"/>
        <v>0</v>
      </c>
      <c r="BG207" s="181"/>
      <c r="BH207" s="182"/>
      <c r="BI207" s="92"/>
      <c r="BJ207" s="92"/>
      <c r="BK207" s="92"/>
      <c r="BL207" s="92"/>
      <c r="BM207" s="92"/>
      <c r="BN207" s="92"/>
      <c r="BO207" s="93">
        <f t="shared" si="125"/>
        <v>0</v>
      </c>
      <c r="BP207" s="95">
        <f t="shared" si="126"/>
        <v>0</v>
      </c>
      <c r="BQ207" s="96">
        <f t="shared" si="127"/>
        <v>0</v>
      </c>
      <c r="BR207" s="97">
        <f t="shared" si="128"/>
        <v>0</v>
      </c>
      <c r="BT207" s="82"/>
      <c r="BU207" s="181"/>
      <c r="BV207" s="182"/>
      <c r="BW207" s="92"/>
      <c r="BX207" s="92"/>
      <c r="BY207" s="92"/>
      <c r="BZ207" s="92"/>
      <c r="CA207" s="92"/>
      <c r="CB207" s="92"/>
      <c r="CC207" s="93">
        <f t="shared" si="129"/>
        <v>0</v>
      </c>
      <c r="CD207" s="181"/>
      <c r="CE207" s="182"/>
      <c r="CF207" s="92"/>
      <c r="CG207" s="92"/>
      <c r="CH207" s="92"/>
      <c r="CI207" s="92"/>
      <c r="CJ207" s="92"/>
      <c r="CK207" s="92"/>
      <c r="CL207" s="93">
        <f t="shared" si="130"/>
        <v>0</v>
      </c>
      <c r="CM207" s="181"/>
      <c r="CN207" s="182"/>
      <c r="CO207" s="92"/>
      <c r="CP207" s="92"/>
      <c r="CQ207" s="92"/>
      <c r="CR207" s="92"/>
      <c r="CS207" s="92"/>
      <c r="CT207" s="92"/>
      <c r="CU207" s="93">
        <f t="shared" si="131"/>
        <v>0</v>
      </c>
      <c r="CV207" s="95">
        <f t="shared" si="132"/>
        <v>0</v>
      </c>
      <c r="CW207" s="96">
        <f t="shared" si="133"/>
        <v>0</v>
      </c>
      <c r="CX207" s="97">
        <f t="shared" si="134"/>
        <v>0</v>
      </c>
      <c r="CZ207" s="82"/>
      <c r="DA207" s="136"/>
      <c r="DB207" s="137"/>
      <c r="DC207" s="92"/>
      <c r="DD207" s="92"/>
      <c r="DE207" s="92"/>
      <c r="DF207" s="92"/>
      <c r="DG207" s="92"/>
      <c r="DH207" s="92"/>
      <c r="DI207" s="93">
        <f t="shared" si="135"/>
        <v>0</v>
      </c>
      <c r="DJ207" s="183"/>
      <c r="DK207" s="184"/>
      <c r="DL207" s="92"/>
      <c r="DM207" s="92"/>
      <c r="DN207" s="92"/>
      <c r="DO207" s="92"/>
      <c r="DP207" s="92"/>
      <c r="DQ207" s="92"/>
      <c r="DR207" s="93">
        <f t="shared" si="136"/>
        <v>0</v>
      </c>
      <c r="DS207" s="183"/>
      <c r="DT207" s="184"/>
      <c r="DU207" s="92"/>
      <c r="DV207" s="92"/>
      <c r="DW207" s="92"/>
      <c r="DX207" s="92"/>
      <c r="DY207" s="92"/>
      <c r="DZ207" s="92"/>
      <c r="EA207" s="93">
        <f t="shared" si="137"/>
        <v>0</v>
      </c>
      <c r="EB207" s="95">
        <f t="shared" si="138"/>
        <v>0</v>
      </c>
      <c r="EC207" s="96">
        <f t="shared" si="139"/>
        <v>0</v>
      </c>
      <c r="ED207" s="97">
        <f t="shared" si="140"/>
        <v>0</v>
      </c>
    </row>
    <row r="208" spans="1:134" s="6" customFormat="1" ht="21.95" customHeight="1" x14ac:dyDescent="0.5">
      <c r="A208" s="83">
        <v>12</v>
      </c>
      <c r="B208" s="103" t="s">
        <v>423</v>
      </c>
      <c r="C208" s="185" t="s">
        <v>424</v>
      </c>
      <c r="D208" s="103" t="s">
        <v>90</v>
      </c>
      <c r="E208" s="148" t="s">
        <v>91</v>
      </c>
      <c r="F208" s="83" t="s">
        <v>400</v>
      </c>
      <c r="G208" s="222"/>
      <c r="H208" s="180">
        <v>8.0235072013641485E-3</v>
      </c>
      <c r="I208" s="181">
        <f t="shared" si="141"/>
        <v>789.86119763406487</v>
      </c>
      <c r="J208" s="182">
        <f t="shared" si="116"/>
        <v>596.35519624859171</v>
      </c>
      <c r="K208" s="92">
        <v>366</v>
      </c>
      <c r="L208" s="92">
        <v>362.1</v>
      </c>
      <c r="M208" s="92">
        <v>555</v>
      </c>
      <c r="N208" s="92">
        <v>545.25</v>
      </c>
      <c r="O208" s="92">
        <v>1725</v>
      </c>
      <c r="P208" s="92">
        <v>1488.4500000000003</v>
      </c>
      <c r="Q208" s="93">
        <f t="shared" si="117"/>
        <v>2.4959118481119722</v>
      </c>
      <c r="R208" s="94">
        <v>789.86119763406566</v>
      </c>
      <c r="S208" s="91">
        <v>596.35519624859171</v>
      </c>
      <c r="T208" s="92">
        <v>180</v>
      </c>
      <c r="U208" s="92">
        <v>180</v>
      </c>
      <c r="V208" s="92">
        <v>360</v>
      </c>
      <c r="W208" s="92">
        <v>360</v>
      </c>
      <c r="X208" s="92">
        <v>1140</v>
      </c>
      <c r="Y208" s="92">
        <v>750</v>
      </c>
      <c r="Z208" s="93">
        <f t="shared" si="118"/>
        <v>1.2576397501320022</v>
      </c>
      <c r="AA208" s="94">
        <v>789.86119763406566</v>
      </c>
      <c r="AB208" s="91">
        <v>596.35519624859171</v>
      </c>
      <c r="AC208" s="92">
        <v>0</v>
      </c>
      <c r="AD208" s="92">
        <v>0</v>
      </c>
      <c r="AE208" s="92">
        <v>480</v>
      </c>
      <c r="AF208" s="92">
        <v>480</v>
      </c>
      <c r="AG208" s="92"/>
      <c r="AH208" s="92"/>
      <c r="AI208" s="93">
        <f t="shared" si="119"/>
        <v>0</v>
      </c>
      <c r="AJ208" s="95">
        <f t="shared" si="120"/>
        <v>1789.0655887457751</v>
      </c>
      <c r="AK208" s="96">
        <f t="shared" si="121"/>
        <v>2238.4500000000003</v>
      </c>
      <c r="AL208" s="97">
        <f t="shared" si="122"/>
        <v>1.2511838660813248</v>
      </c>
      <c r="AN208" s="89"/>
      <c r="AO208" s="183"/>
      <c r="AP208" s="184"/>
      <c r="AQ208" s="92"/>
      <c r="AR208" s="92"/>
      <c r="AS208" s="92"/>
      <c r="AT208" s="92"/>
      <c r="AU208" s="92"/>
      <c r="AV208" s="92"/>
      <c r="AW208" s="93">
        <f t="shared" si="123"/>
        <v>0</v>
      </c>
      <c r="AX208" s="183"/>
      <c r="AY208" s="184"/>
      <c r="AZ208" s="92"/>
      <c r="BA208" s="92"/>
      <c r="BB208" s="92"/>
      <c r="BC208" s="92"/>
      <c r="BD208" s="92"/>
      <c r="BE208" s="92"/>
      <c r="BF208" s="93">
        <f t="shared" si="124"/>
        <v>0</v>
      </c>
      <c r="BG208" s="181"/>
      <c r="BH208" s="182"/>
      <c r="BI208" s="92"/>
      <c r="BJ208" s="92"/>
      <c r="BK208" s="92"/>
      <c r="BL208" s="92"/>
      <c r="BM208" s="92"/>
      <c r="BN208" s="92"/>
      <c r="BO208" s="93">
        <f t="shared" si="125"/>
        <v>0</v>
      </c>
      <c r="BP208" s="95">
        <f t="shared" si="126"/>
        <v>0</v>
      </c>
      <c r="BQ208" s="96">
        <f t="shared" si="127"/>
        <v>0</v>
      </c>
      <c r="BR208" s="97">
        <f t="shared" si="128"/>
        <v>0</v>
      </c>
      <c r="BT208" s="82"/>
      <c r="BU208" s="181"/>
      <c r="BV208" s="182"/>
      <c r="BW208" s="92"/>
      <c r="BX208" s="92"/>
      <c r="BY208" s="92"/>
      <c r="BZ208" s="92"/>
      <c r="CA208" s="92"/>
      <c r="CB208" s="92"/>
      <c r="CC208" s="93">
        <f t="shared" si="129"/>
        <v>0</v>
      </c>
      <c r="CD208" s="181"/>
      <c r="CE208" s="182"/>
      <c r="CF208" s="92"/>
      <c r="CG208" s="92"/>
      <c r="CH208" s="92"/>
      <c r="CI208" s="92"/>
      <c r="CJ208" s="92"/>
      <c r="CK208" s="92"/>
      <c r="CL208" s="93">
        <f t="shared" si="130"/>
        <v>0</v>
      </c>
      <c r="CM208" s="181"/>
      <c r="CN208" s="182"/>
      <c r="CO208" s="92"/>
      <c r="CP208" s="92"/>
      <c r="CQ208" s="92"/>
      <c r="CR208" s="92"/>
      <c r="CS208" s="92"/>
      <c r="CT208" s="92"/>
      <c r="CU208" s="93">
        <f t="shared" si="131"/>
        <v>0</v>
      </c>
      <c r="CV208" s="95">
        <f t="shared" si="132"/>
        <v>0</v>
      </c>
      <c r="CW208" s="96">
        <f t="shared" si="133"/>
        <v>0</v>
      </c>
      <c r="CX208" s="97">
        <f t="shared" si="134"/>
        <v>0</v>
      </c>
      <c r="CZ208" s="82"/>
      <c r="DA208" s="136"/>
      <c r="DB208" s="137"/>
      <c r="DC208" s="92"/>
      <c r="DD208" s="92"/>
      <c r="DE208" s="92"/>
      <c r="DF208" s="92"/>
      <c r="DG208" s="92"/>
      <c r="DH208" s="92"/>
      <c r="DI208" s="93">
        <f t="shared" si="135"/>
        <v>0</v>
      </c>
      <c r="DJ208" s="183"/>
      <c r="DK208" s="184"/>
      <c r="DL208" s="92"/>
      <c r="DM208" s="92"/>
      <c r="DN208" s="92"/>
      <c r="DO208" s="92"/>
      <c r="DP208" s="92"/>
      <c r="DQ208" s="92"/>
      <c r="DR208" s="93">
        <f t="shared" si="136"/>
        <v>0</v>
      </c>
      <c r="DS208" s="183"/>
      <c r="DT208" s="184"/>
      <c r="DU208" s="92"/>
      <c r="DV208" s="92"/>
      <c r="DW208" s="92"/>
      <c r="DX208" s="92"/>
      <c r="DY208" s="92"/>
      <c r="DZ208" s="92"/>
      <c r="EA208" s="93">
        <f t="shared" si="137"/>
        <v>0</v>
      </c>
      <c r="EB208" s="95">
        <f t="shared" si="138"/>
        <v>0</v>
      </c>
      <c r="EC208" s="96">
        <f t="shared" si="139"/>
        <v>0</v>
      </c>
      <c r="ED208" s="97">
        <f t="shared" si="140"/>
        <v>0</v>
      </c>
    </row>
    <row r="209" spans="1:134" s="6" customFormat="1" ht="21.95" customHeight="1" x14ac:dyDescent="0.5">
      <c r="A209" s="83">
        <v>13</v>
      </c>
      <c r="B209" s="103" t="s">
        <v>425</v>
      </c>
      <c r="C209" s="185" t="s">
        <v>425</v>
      </c>
      <c r="D209" s="103" t="s">
        <v>90</v>
      </c>
      <c r="E209" s="148" t="s">
        <v>91</v>
      </c>
      <c r="F209" s="83" t="s">
        <v>400</v>
      </c>
      <c r="G209" s="222"/>
      <c r="H209" s="180">
        <v>6.8958517300528807E-3</v>
      </c>
      <c r="I209" s="181">
        <f t="shared" si="141"/>
        <v>678.8509774479237</v>
      </c>
      <c r="J209" s="182">
        <f t="shared" si="116"/>
        <v>512.54107568791039</v>
      </c>
      <c r="K209" s="92">
        <v>0</v>
      </c>
      <c r="L209" s="92">
        <v>0</v>
      </c>
      <c r="M209" s="92">
        <v>180</v>
      </c>
      <c r="N209" s="92">
        <v>180</v>
      </c>
      <c r="O209" s="92">
        <v>610</v>
      </c>
      <c r="P209" s="92">
        <v>584.79999999999995</v>
      </c>
      <c r="Q209" s="93">
        <f t="shared" si="117"/>
        <v>1.140981723689378</v>
      </c>
      <c r="R209" s="94">
        <v>678.85097744792438</v>
      </c>
      <c r="S209" s="91">
        <v>512.54107568791039</v>
      </c>
      <c r="T209" s="92">
        <v>180</v>
      </c>
      <c r="U209" s="92">
        <v>180</v>
      </c>
      <c r="V209" s="92">
        <v>360</v>
      </c>
      <c r="W209" s="92">
        <v>360</v>
      </c>
      <c r="X209" s="92">
        <v>540</v>
      </c>
      <c r="Y209" s="92">
        <v>540</v>
      </c>
      <c r="Z209" s="93">
        <f t="shared" si="118"/>
        <v>1.0535740950620112</v>
      </c>
      <c r="AA209" s="94">
        <v>678.85097744792438</v>
      </c>
      <c r="AB209" s="91">
        <v>512.54107568791039</v>
      </c>
      <c r="AC209" s="92">
        <v>0</v>
      </c>
      <c r="AD209" s="92">
        <v>0</v>
      </c>
      <c r="AE209" s="92">
        <v>380</v>
      </c>
      <c r="AF209" s="92">
        <v>250</v>
      </c>
      <c r="AG209" s="92"/>
      <c r="AH209" s="92"/>
      <c r="AI209" s="93">
        <f t="shared" si="119"/>
        <v>0</v>
      </c>
      <c r="AJ209" s="95">
        <f t="shared" si="120"/>
        <v>1537.6232270637311</v>
      </c>
      <c r="AK209" s="96">
        <f t="shared" si="121"/>
        <v>1124.8</v>
      </c>
      <c r="AL209" s="97">
        <f t="shared" si="122"/>
        <v>0.73151860625046317</v>
      </c>
      <c r="AN209" s="89"/>
      <c r="AO209" s="183"/>
      <c r="AP209" s="184"/>
      <c r="AQ209" s="92"/>
      <c r="AR209" s="92"/>
      <c r="AS209" s="92"/>
      <c r="AT209" s="92"/>
      <c r="AU209" s="92"/>
      <c r="AV209" s="92"/>
      <c r="AW209" s="93">
        <f t="shared" si="123"/>
        <v>0</v>
      </c>
      <c r="AX209" s="183"/>
      <c r="AY209" s="184"/>
      <c r="AZ209" s="92"/>
      <c r="BA209" s="92"/>
      <c r="BB209" s="92"/>
      <c r="BC209" s="92"/>
      <c r="BD209" s="92"/>
      <c r="BE209" s="92"/>
      <c r="BF209" s="93">
        <f t="shared" si="124"/>
        <v>0</v>
      </c>
      <c r="BG209" s="181"/>
      <c r="BH209" s="182"/>
      <c r="BI209" s="92"/>
      <c r="BJ209" s="92"/>
      <c r="BK209" s="92"/>
      <c r="BL209" s="92"/>
      <c r="BM209" s="92"/>
      <c r="BN209" s="92"/>
      <c r="BO209" s="93">
        <f t="shared" si="125"/>
        <v>0</v>
      </c>
      <c r="BP209" s="95">
        <f t="shared" si="126"/>
        <v>0</v>
      </c>
      <c r="BQ209" s="96">
        <f t="shared" si="127"/>
        <v>0</v>
      </c>
      <c r="BR209" s="97">
        <f t="shared" si="128"/>
        <v>0</v>
      </c>
      <c r="BT209" s="82"/>
      <c r="BU209" s="181"/>
      <c r="BV209" s="182"/>
      <c r="BW209" s="92"/>
      <c r="BX209" s="92"/>
      <c r="BY209" s="92"/>
      <c r="BZ209" s="92"/>
      <c r="CA209" s="92"/>
      <c r="CB209" s="92"/>
      <c r="CC209" s="93">
        <f t="shared" si="129"/>
        <v>0</v>
      </c>
      <c r="CD209" s="181"/>
      <c r="CE209" s="182"/>
      <c r="CF209" s="92"/>
      <c r="CG209" s="92"/>
      <c r="CH209" s="92"/>
      <c r="CI209" s="92"/>
      <c r="CJ209" s="92"/>
      <c r="CK209" s="92"/>
      <c r="CL209" s="93">
        <f t="shared" si="130"/>
        <v>0</v>
      </c>
      <c r="CM209" s="181"/>
      <c r="CN209" s="182"/>
      <c r="CO209" s="92"/>
      <c r="CP209" s="92"/>
      <c r="CQ209" s="92"/>
      <c r="CR209" s="92"/>
      <c r="CS209" s="92"/>
      <c r="CT209" s="92"/>
      <c r="CU209" s="93">
        <f t="shared" si="131"/>
        <v>0</v>
      </c>
      <c r="CV209" s="95">
        <f t="shared" si="132"/>
        <v>0</v>
      </c>
      <c r="CW209" s="96">
        <f t="shared" si="133"/>
        <v>0</v>
      </c>
      <c r="CX209" s="97">
        <f t="shared" si="134"/>
        <v>0</v>
      </c>
      <c r="CZ209" s="82"/>
      <c r="DA209" s="136"/>
      <c r="DB209" s="137"/>
      <c r="DC209" s="92"/>
      <c r="DD209" s="92"/>
      <c r="DE209" s="92"/>
      <c r="DF209" s="92"/>
      <c r="DG209" s="92"/>
      <c r="DH209" s="92"/>
      <c r="DI209" s="93">
        <f t="shared" si="135"/>
        <v>0</v>
      </c>
      <c r="DJ209" s="183"/>
      <c r="DK209" s="184"/>
      <c r="DL209" s="92"/>
      <c r="DM209" s="92"/>
      <c r="DN209" s="92"/>
      <c r="DO209" s="92"/>
      <c r="DP209" s="92"/>
      <c r="DQ209" s="92"/>
      <c r="DR209" s="93">
        <f t="shared" si="136"/>
        <v>0</v>
      </c>
      <c r="DS209" s="183"/>
      <c r="DT209" s="184"/>
      <c r="DU209" s="92"/>
      <c r="DV209" s="92"/>
      <c r="DW209" s="92"/>
      <c r="DX209" s="92"/>
      <c r="DY209" s="92"/>
      <c r="DZ209" s="92"/>
      <c r="EA209" s="93">
        <f t="shared" si="137"/>
        <v>0</v>
      </c>
      <c r="EB209" s="95">
        <f t="shared" si="138"/>
        <v>0</v>
      </c>
      <c r="EC209" s="96">
        <f t="shared" si="139"/>
        <v>0</v>
      </c>
      <c r="ED209" s="97">
        <f t="shared" si="140"/>
        <v>0</v>
      </c>
    </row>
    <row r="210" spans="1:134" s="6" customFormat="1" ht="21.95" customHeight="1" x14ac:dyDescent="0.5">
      <c r="A210" s="83">
        <v>14</v>
      </c>
      <c r="B210" s="103" t="s">
        <v>426</v>
      </c>
      <c r="C210" s="103" t="s">
        <v>427</v>
      </c>
      <c r="D210" s="103" t="s">
        <v>90</v>
      </c>
      <c r="E210" s="148" t="s">
        <v>91</v>
      </c>
      <c r="F210" s="83" t="s">
        <v>400</v>
      </c>
      <c r="G210" s="222"/>
      <c r="H210" s="180">
        <v>1.0480801437227856E-2</v>
      </c>
      <c r="I210" s="181">
        <f t="shared" si="141"/>
        <v>1031.7655568335679</v>
      </c>
      <c r="J210" s="182">
        <f t="shared" si="116"/>
        <v>778.99604762339766</v>
      </c>
      <c r="K210" s="92">
        <v>0</v>
      </c>
      <c r="L210" s="92">
        <v>0</v>
      </c>
      <c r="M210" s="92">
        <v>0</v>
      </c>
      <c r="N210" s="92">
        <v>0</v>
      </c>
      <c r="O210" s="92">
        <v>180</v>
      </c>
      <c r="P210" s="92">
        <v>180</v>
      </c>
      <c r="Q210" s="93">
        <f t="shared" si="117"/>
        <v>0.23106664090164966</v>
      </c>
      <c r="R210" s="94">
        <v>1031.765556833569</v>
      </c>
      <c r="S210" s="91">
        <v>778.99604762339766</v>
      </c>
      <c r="T210" s="92">
        <v>0</v>
      </c>
      <c r="U210" s="92">
        <v>0</v>
      </c>
      <c r="V210" s="92">
        <v>0</v>
      </c>
      <c r="W210" s="92">
        <v>0</v>
      </c>
      <c r="X210" s="92">
        <v>0</v>
      </c>
      <c r="Y210" s="92">
        <v>0</v>
      </c>
      <c r="Z210" s="93">
        <f t="shared" si="118"/>
        <v>0</v>
      </c>
      <c r="AA210" s="94">
        <v>1031.765556833569</v>
      </c>
      <c r="AB210" s="91">
        <v>778.99604762339766</v>
      </c>
      <c r="AC210" s="92">
        <v>360</v>
      </c>
      <c r="AD210" s="92">
        <v>360</v>
      </c>
      <c r="AE210" s="92">
        <v>920</v>
      </c>
      <c r="AF210" s="92">
        <v>790</v>
      </c>
      <c r="AG210" s="92"/>
      <c r="AH210" s="92"/>
      <c r="AI210" s="93">
        <f t="shared" si="119"/>
        <v>0</v>
      </c>
      <c r="AJ210" s="95">
        <f t="shared" si="120"/>
        <v>2336.9881428701929</v>
      </c>
      <c r="AK210" s="96">
        <f t="shared" si="121"/>
        <v>180</v>
      </c>
      <c r="AL210" s="97">
        <f t="shared" si="122"/>
        <v>7.7022213633883216E-2</v>
      </c>
      <c r="AN210" s="89">
        <v>1.2993172518006241E-2</v>
      </c>
      <c r="AO210" s="183"/>
      <c r="AP210" s="184"/>
      <c r="AQ210" s="92"/>
      <c r="AR210" s="92"/>
      <c r="AS210" s="92"/>
      <c r="AT210" s="92"/>
      <c r="AU210" s="92"/>
      <c r="AV210" s="92"/>
      <c r="AW210" s="93">
        <f t="shared" si="123"/>
        <v>0</v>
      </c>
      <c r="AX210" s="183"/>
      <c r="AY210" s="184"/>
      <c r="AZ210" s="92"/>
      <c r="BA210" s="92"/>
      <c r="BB210" s="92"/>
      <c r="BC210" s="92"/>
      <c r="BD210" s="92"/>
      <c r="BE210" s="92"/>
      <c r="BF210" s="93">
        <f t="shared" si="124"/>
        <v>0</v>
      </c>
      <c r="BG210" s="181"/>
      <c r="BH210" s="182"/>
      <c r="BI210" s="92"/>
      <c r="BJ210" s="92"/>
      <c r="BK210" s="92"/>
      <c r="BL210" s="92"/>
      <c r="BM210" s="92"/>
      <c r="BN210" s="92"/>
      <c r="BO210" s="93">
        <f t="shared" si="125"/>
        <v>0</v>
      </c>
      <c r="BP210" s="95">
        <f t="shared" si="126"/>
        <v>0</v>
      </c>
      <c r="BQ210" s="96">
        <f t="shared" si="127"/>
        <v>0</v>
      </c>
      <c r="BR210" s="97">
        <f t="shared" si="128"/>
        <v>0</v>
      </c>
      <c r="BT210" s="82"/>
      <c r="BU210" s="181"/>
      <c r="BV210" s="182"/>
      <c r="BW210" s="92"/>
      <c r="BX210" s="92"/>
      <c r="BY210" s="92"/>
      <c r="BZ210" s="92"/>
      <c r="CA210" s="92"/>
      <c r="CB210" s="92"/>
      <c r="CC210" s="93">
        <f t="shared" si="129"/>
        <v>0</v>
      </c>
      <c r="CD210" s="181"/>
      <c r="CE210" s="182"/>
      <c r="CF210" s="92"/>
      <c r="CG210" s="92"/>
      <c r="CH210" s="92"/>
      <c r="CI210" s="92"/>
      <c r="CJ210" s="92"/>
      <c r="CK210" s="92"/>
      <c r="CL210" s="93">
        <f t="shared" si="130"/>
        <v>0</v>
      </c>
      <c r="CM210" s="181"/>
      <c r="CN210" s="182"/>
      <c r="CO210" s="92"/>
      <c r="CP210" s="92"/>
      <c r="CQ210" s="92"/>
      <c r="CR210" s="92"/>
      <c r="CS210" s="92"/>
      <c r="CT210" s="92"/>
      <c r="CU210" s="93">
        <f t="shared" si="131"/>
        <v>0</v>
      </c>
      <c r="CV210" s="95">
        <f t="shared" si="132"/>
        <v>0</v>
      </c>
      <c r="CW210" s="96">
        <f t="shared" si="133"/>
        <v>0</v>
      </c>
      <c r="CX210" s="97">
        <f t="shared" si="134"/>
        <v>0</v>
      </c>
      <c r="CZ210" s="82"/>
      <c r="DA210" s="136"/>
      <c r="DB210" s="137"/>
      <c r="DC210" s="92"/>
      <c r="DD210" s="92"/>
      <c r="DE210" s="92"/>
      <c r="DF210" s="92"/>
      <c r="DG210" s="92"/>
      <c r="DH210" s="92"/>
      <c r="DI210" s="93">
        <f t="shared" si="135"/>
        <v>0</v>
      </c>
      <c r="DJ210" s="183"/>
      <c r="DK210" s="184"/>
      <c r="DL210" s="92"/>
      <c r="DM210" s="92"/>
      <c r="DN210" s="92"/>
      <c r="DO210" s="92"/>
      <c r="DP210" s="92"/>
      <c r="DQ210" s="92"/>
      <c r="DR210" s="93">
        <f t="shared" si="136"/>
        <v>0</v>
      </c>
      <c r="DS210" s="183"/>
      <c r="DT210" s="184"/>
      <c r="DU210" s="92"/>
      <c r="DV210" s="92"/>
      <c r="DW210" s="92"/>
      <c r="DX210" s="92"/>
      <c r="DY210" s="92"/>
      <c r="DZ210" s="92"/>
      <c r="EA210" s="93">
        <f t="shared" si="137"/>
        <v>0</v>
      </c>
      <c r="EB210" s="95">
        <f t="shared" si="138"/>
        <v>0</v>
      </c>
      <c r="EC210" s="96">
        <f t="shared" si="139"/>
        <v>0</v>
      </c>
      <c r="ED210" s="97">
        <f t="shared" si="140"/>
        <v>0</v>
      </c>
    </row>
    <row r="211" spans="1:134" s="6" customFormat="1" ht="21.95" customHeight="1" x14ac:dyDescent="0.5">
      <c r="A211" s="83">
        <v>15</v>
      </c>
      <c r="B211" s="103" t="s">
        <v>428</v>
      </c>
      <c r="C211" s="103" t="s">
        <v>429</v>
      </c>
      <c r="D211" s="103" t="s">
        <v>430</v>
      </c>
      <c r="E211" s="148" t="s">
        <v>120</v>
      </c>
      <c r="F211" s="83" t="s">
        <v>431</v>
      </c>
      <c r="G211" s="222"/>
      <c r="H211" s="180">
        <v>5.0171026054829839E-3</v>
      </c>
      <c r="I211" s="181">
        <f t="shared" si="141"/>
        <v>493.90055659774612</v>
      </c>
      <c r="J211" s="182">
        <f t="shared" si="116"/>
        <v>372.90116825512825</v>
      </c>
      <c r="K211" s="92">
        <v>672</v>
      </c>
      <c r="L211" s="92">
        <v>430.08</v>
      </c>
      <c r="M211" s="92">
        <v>852</v>
      </c>
      <c r="N211" s="92">
        <v>610.07999999999993</v>
      </c>
      <c r="O211" s="92">
        <v>852</v>
      </c>
      <c r="P211" s="92">
        <v>610.07999999999993</v>
      </c>
      <c r="Q211" s="93">
        <f t="shared" si="117"/>
        <v>1.6360367087469159</v>
      </c>
      <c r="R211" s="94">
        <v>493.90055659774663</v>
      </c>
      <c r="S211" s="91">
        <v>372.90116825512825</v>
      </c>
      <c r="T211" s="92">
        <v>548</v>
      </c>
      <c r="U211" s="92">
        <v>359.12</v>
      </c>
      <c r="V211" s="92">
        <v>1676</v>
      </c>
      <c r="W211" s="92">
        <v>1044.24</v>
      </c>
      <c r="X211" s="92">
        <v>2056</v>
      </c>
      <c r="Y211" s="92">
        <v>1373.8400000000001</v>
      </c>
      <c r="Z211" s="93">
        <f t="shared" si="118"/>
        <v>3.6841933384881709</v>
      </c>
      <c r="AA211" s="94">
        <v>493.90055659774663</v>
      </c>
      <c r="AB211" s="91">
        <v>372.90116825512825</v>
      </c>
      <c r="AC211" s="92">
        <v>1048</v>
      </c>
      <c r="AD211" s="92">
        <v>945.6</v>
      </c>
      <c r="AE211" s="92">
        <v>1378</v>
      </c>
      <c r="AF211" s="92">
        <v>1200</v>
      </c>
      <c r="AG211" s="92"/>
      <c r="AH211" s="92"/>
      <c r="AI211" s="93">
        <f t="shared" si="119"/>
        <v>0</v>
      </c>
      <c r="AJ211" s="95">
        <f t="shared" si="120"/>
        <v>1118.7035047653849</v>
      </c>
      <c r="AK211" s="96">
        <f t="shared" si="121"/>
        <v>1983.92</v>
      </c>
      <c r="AL211" s="97">
        <f t="shared" si="122"/>
        <v>1.7734100157450288</v>
      </c>
      <c r="AN211" s="89">
        <v>6.8238053744820561E-3</v>
      </c>
      <c r="AO211" s="183"/>
      <c r="AP211" s="184"/>
      <c r="AQ211" s="92"/>
      <c r="AR211" s="92"/>
      <c r="AS211" s="92"/>
      <c r="AT211" s="92"/>
      <c r="AU211" s="92"/>
      <c r="AV211" s="92"/>
      <c r="AW211" s="93">
        <f t="shared" si="123"/>
        <v>0</v>
      </c>
      <c r="AX211" s="183"/>
      <c r="AY211" s="184"/>
      <c r="AZ211" s="92"/>
      <c r="BA211" s="92"/>
      <c r="BB211" s="92"/>
      <c r="BC211" s="92"/>
      <c r="BD211" s="92"/>
      <c r="BE211" s="92"/>
      <c r="BF211" s="93">
        <f t="shared" si="124"/>
        <v>0</v>
      </c>
      <c r="BG211" s="181"/>
      <c r="BH211" s="182"/>
      <c r="BI211" s="92"/>
      <c r="BJ211" s="92"/>
      <c r="BK211" s="92"/>
      <c r="BL211" s="92"/>
      <c r="BM211" s="92"/>
      <c r="BN211" s="92"/>
      <c r="BO211" s="93">
        <f t="shared" si="125"/>
        <v>0</v>
      </c>
      <c r="BP211" s="95">
        <f t="shared" si="126"/>
        <v>0</v>
      </c>
      <c r="BQ211" s="96">
        <f t="shared" si="127"/>
        <v>0</v>
      </c>
      <c r="BR211" s="97">
        <f t="shared" si="128"/>
        <v>0</v>
      </c>
      <c r="BT211" s="82"/>
      <c r="BU211" s="181"/>
      <c r="BV211" s="182"/>
      <c r="BW211" s="92"/>
      <c r="BX211" s="92"/>
      <c r="BY211" s="92"/>
      <c r="BZ211" s="92"/>
      <c r="CA211" s="92"/>
      <c r="CB211" s="92"/>
      <c r="CC211" s="93">
        <f t="shared" si="129"/>
        <v>0</v>
      </c>
      <c r="CD211" s="181"/>
      <c r="CE211" s="182"/>
      <c r="CF211" s="92"/>
      <c r="CG211" s="92"/>
      <c r="CH211" s="92"/>
      <c r="CI211" s="92"/>
      <c r="CJ211" s="92"/>
      <c r="CK211" s="92"/>
      <c r="CL211" s="93">
        <f t="shared" si="130"/>
        <v>0</v>
      </c>
      <c r="CM211" s="181"/>
      <c r="CN211" s="182"/>
      <c r="CO211" s="92"/>
      <c r="CP211" s="92"/>
      <c r="CQ211" s="92"/>
      <c r="CR211" s="92"/>
      <c r="CS211" s="92"/>
      <c r="CT211" s="92"/>
      <c r="CU211" s="93">
        <f t="shared" si="131"/>
        <v>0</v>
      </c>
      <c r="CV211" s="95">
        <f t="shared" si="132"/>
        <v>0</v>
      </c>
      <c r="CW211" s="96">
        <f t="shared" si="133"/>
        <v>0</v>
      </c>
      <c r="CX211" s="97">
        <f t="shared" si="134"/>
        <v>0</v>
      </c>
      <c r="CZ211" s="82"/>
      <c r="DA211" s="136"/>
      <c r="DB211" s="137"/>
      <c r="DC211" s="92"/>
      <c r="DD211" s="92"/>
      <c r="DE211" s="92"/>
      <c r="DF211" s="92"/>
      <c r="DG211" s="92"/>
      <c r="DH211" s="92"/>
      <c r="DI211" s="93">
        <f t="shared" si="135"/>
        <v>0</v>
      </c>
      <c r="DJ211" s="183"/>
      <c r="DK211" s="184"/>
      <c r="DL211" s="92"/>
      <c r="DM211" s="92"/>
      <c r="DN211" s="92"/>
      <c r="DO211" s="92"/>
      <c r="DP211" s="92"/>
      <c r="DQ211" s="92"/>
      <c r="DR211" s="93">
        <f t="shared" si="136"/>
        <v>0</v>
      </c>
      <c r="DS211" s="183"/>
      <c r="DT211" s="184"/>
      <c r="DU211" s="92"/>
      <c r="DV211" s="92"/>
      <c r="DW211" s="92"/>
      <c r="DX211" s="92"/>
      <c r="DY211" s="92"/>
      <c r="DZ211" s="92"/>
      <c r="EA211" s="93">
        <f t="shared" si="137"/>
        <v>0</v>
      </c>
      <c r="EB211" s="95">
        <f t="shared" si="138"/>
        <v>0</v>
      </c>
      <c r="EC211" s="96">
        <f t="shared" si="139"/>
        <v>0</v>
      </c>
      <c r="ED211" s="97">
        <f t="shared" si="140"/>
        <v>0</v>
      </c>
    </row>
    <row r="212" spans="1:134" s="6" customFormat="1" ht="21.95" customHeight="1" x14ac:dyDescent="0.5">
      <c r="A212" s="83">
        <v>16</v>
      </c>
      <c r="B212" s="103" t="s">
        <v>432</v>
      </c>
      <c r="C212" s="103" t="s">
        <v>433</v>
      </c>
      <c r="D212" s="103" t="s">
        <v>430</v>
      </c>
      <c r="E212" s="148" t="s">
        <v>120</v>
      </c>
      <c r="F212" s="83" t="s">
        <v>431</v>
      </c>
      <c r="G212" s="222"/>
      <c r="H212" s="180">
        <v>7.3495528962780263E-3</v>
      </c>
      <c r="I212" s="181">
        <f t="shared" si="141"/>
        <v>723.5148554166052</v>
      </c>
      <c r="J212" s="182">
        <f t="shared" si="116"/>
        <v>546.26286856876061</v>
      </c>
      <c r="K212" s="92">
        <v>144</v>
      </c>
      <c r="L212" s="92">
        <v>144</v>
      </c>
      <c r="M212" s="92">
        <v>144</v>
      </c>
      <c r="N212" s="92">
        <v>144</v>
      </c>
      <c r="O212" s="92">
        <v>144</v>
      </c>
      <c r="P212" s="92">
        <v>144</v>
      </c>
      <c r="Q212" s="93">
        <f t="shared" si="117"/>
        <v>0.26360935052621842</v>
      </c>
      <c r="R212" s="94">
        <v>723.51485541660588</v>
      </c>
      <c r="S212" s="91">
        <v>546.26286856876061</v>
      </c>
      <c r="T212" s="92">
        <v>604</v>
      </c>
      <c r="U212" s="92">
        <v>472.96000000000004</v>
      </c>
      <c r="V212" s="92">
        <v>1708</v>
      </c>
      <c r="W212" s="92">
        <v>1290.32</v>
      </c>
      <c r="X212" s="92">
        <v>2158</v>
      </c>
      <c r="Y212" s="92">
        <v>1585.12</v>
      </c>
      <c r="Z212" s="93">
        <f t="shared" si="118"/>
        <v>2.9017531507369396</v>
      </c>
      <c r="AA212" s="94">
        <v>723.51485541660588</v>
      </c>
      <c r="AB212" s="91">
        <v>546.26286856876061</v>
      </c>
      <c r="AC212" s="92">
        <v>680</v>
      </c>
      <c r="AD212" s="92">
        <v>508.56</v>
      </c>
      <c r="AE212" s="92">
        <v>2116</v>
      </c>
      <c r="AF212" s="92">
        <v>1234.96</v>
      </c>
      <c r="AG212" s="92"/>
      <c r="AH212" s="92"/>
      <c r="AI212" s="93">
        <f t="shared" si="119"/>
        <v>0</v>
      </c>
      <c r="AJ212" s="95">
        <f t="shared" si="120"/>
        <v>1638.7886057062819</v>
      </c>
      <c r="AK212" s="96">
        <f t="shared" si="121"/>
        <v>1729.12</v>
      </c>
      <c r="AL212" s="97">
        <f t="shared" si="122"/>
        <v>1.055120833754386</v>
      </c>
      <c r="AN212" s="89">
        <v>4.7060726720565904E-3</v>
      </c>
      <c r="AO212" s="183"/>
      <c r="AP212" s="184"/>
      <c r="AQ212" s="92"/>
      <c r="AR212" s="92"/>
      <c r="AS212" s="92"/>
      <c r="AT212" s="92"/>
      <c r="AU212" s="92"/>
      <c r="AV212" s="92"/>
      <c r="AW212" s="93">
        <f t="shared" si="123"/>
        <v>0</v>
      </c>
      <c r="AX212" s="183"/>
      <c r="AY212" s="184"/>
      <c r="AZ212" s="92"/>
      <c r="BA212" s="92"/>
      <c r="BB212" s="92"/>
      <c r="BC212" s="92"/>
      <c r="BD212" s="92"/>
      <c r="BE212" s="92"/>
      <c r="BF212" s="93">
        <f t="shared" si="124"/>
        <v>0</v>
      </c>
      <c r="BG212" s="181"/>
      <c r="BH212" s="182"/>
      <c r="BI212" s="92"/>
      <c r="BJ212" s="92"/>
      <c r="BK212" s="92"/>
      <c r="BL212" s="92"/>
      <c r="BM212" s="92"/>
      <c r="BN212" s="92"/>
      <c r="BO212" s="93">
        <f t="shared" si="125"/>
        <v>0</v>
      </c>
      <c r="BP212" s="95">
        <f t="shared" si="126"/>
        <v>0</v>
      </c>
      <c r="BQ212" s="96">
        <f t="shared" si="127"/>
        <v>0</v>
      </c>
      <c r="BR212" s="97">
        <f t="shared" si="128"/>
        <v>0</v>
      </c>
      <c r="BT212" s="82"/>
      <c r="BU212" s="181"/>
      <c r="BV212" s="182"/>
      <c r="BW212" s="92"/>
      <c r="BX212" s="92"/>
      <c r="BY212" s="92"/>
      <c r="BZ212" s="92"/>
      <c r="CA212" s="92"/>
      <c r="CB212" s="92"/>
      <c r="CC212" s="93">
        <f t="shared" si="129"/>
        <v>0</v>
      </c>
      <c r="CD212" s="181"/>
      <c r="CE212" s="182"/>
      <c r="CF212" s="92"/>
      <c r="CG212" s="92"/>
      <c r="CH212" s="92"/>
      <c r="CI212" s="92"/>
      <c r="CJ212" s="92"/>
      <c r="CK212" s="92"/>
      <c r="CL212" s="93">
        <f t="shared" si="130"/>
        <v>0</v>
      </c>
      <c r="CM212" s="181"/>
      <c r="CN212" s="182"/>
      <c r="CO212" s="92"/>
      <c r="CP212" s="92"/>
      <c r="CQ212" s="92"/>
      <c r="CR212" s="92"/>
      <c r="CS212" s="92"/>
      <c r="CT212" s="92"/>
      <c r="CU212" s="93">
        <f t="shared" si="131"/>
        <v>0</v>
      </c>
      <c r="CV212" s="95">
        <f t="shared" si="132"/>
        <v>0</v>
      </c>
      <c r="CW212" s="96">
        <f t="shared" si="133"/>
        <v>0</v>
      </c>
      <c r="CX212" s="97">
        <f t="shared" si="134"/>
        <v>0</v>
      </c>
      <c r="CZ212" s="82"/>
      <c r="DA212" s="136"/>
      <c r="DB212" s="137"/>
      <c r="DC212" s="92"/>
      <c r="DD212" s="92"/>
      <c r="DE212" s="92"/>
      <c r="DF212" s="92"/>
      <c r="DG212" s="92"/>
      <c r="DH212" s="92"/>
      <c r="DI212" s="93">
        <f t="shared" si="135"/>
        <v>0</v>
      </c>
      <c r="DJ212" s="183"/>
      <c r="DK212" s="184"/>
      <c r="DL212" s="92"/>
      <c r="DM212" s="92"/>
      <c r="DN212" s="92"/>
      <c r="DO212" s="92"/>
      <c r="DP212" s="92"/>
      <c r="DQ212" s="92"/>
      <c r="DR212" s="93">
        <f t="shared" si="136"/>
        <v>0</v>
      </c>
      <c r="DS212" s="183"/>
      <c r="DT212" s="184"/>
      <c r="DU212" s="92"/>
      <c r="DV212" s="92"/>
      <c r="DW212" s="92"/>
      <c r="DX212" s="92"/>
      <c r="DY212" s="92"/>
      <c r="DZ212" s="92"/>
      <c r="EA212" s="93">
        <f t="shared" si="137"/>
        <v>0</v>
      </c>
      <c r="EB212" s="95">
        <f t="shared" si="138"/>
        <v>0</v>
      </c>
      <c r="EC212" s="96">
        <f t="shared" si="139"/>
        <v>0</v>
      </c>
      <c r="ED212" s="97">
        <f t="shared" si="140"/>
        <v>0</v>
      </c>
    </row>
    <row r="213" spans="1:134" s="6" customFormat="1" ht="21.95" customHeight="1" x14ac:dyDescent="0.5">
      <c r="A213" s="83">
        <v>17</v>
      </c>
      <c r="B213" s="103" t="s">
        <v>434</v>
      </c>
      <c r="C213" s="103" t="s">
        <v>435</v>
      </c>
      <c r="D213" s="103" t="s">
        <v>430</v>
      </c>
      <c r="E213" s="148" t="s">
        <v>120</v>
      </c>
      <c r="F213" s="83" t="s">
        <v>431</v>
      </c>
      <c r="G213" s="222"/>
      <c r="H213" s="180">
        <v>2.7973163626767352E-3</v>
      </c>
      <c r="I213" s="181">
        <f t="shared" si="141"/>
        <v>275.37728787849244</v>
      </c>
      <c r="J213" s="182">
        <f t="shared" si="116"/>
        <v>207.91333597231102</v>
      </c>
      <c r="K213" s="92">
        <v>0</v>
      </c>
      <c r="L213" s="92">
        <v>0</v>
      </c>
      <c r="M213" s="92">
        <v>0</v>
      </c>
      <c r="N213" s="92">
        <v>0</v>
      </c>
      <c r="O213" s="92">
        <v>0</v>
      </c>
      <c r="P213" s="92">
        <v>0</v>
      </c>
      <c r="Q213" s="93">
        <f t="shared" si="117"/>
        <v>0</v>
      </c>
      <c r="R213" s="94">
        <v>275.37728787849272</v>
      </c>
      <c r="S213" s="91">
        <v>207.91333597231102</v>
      </c>
      <c r="T213" s="92">
        <v>0</v>
      </c>
      <c r="U213" s="92">
        <v>0</v>
      </c>
      <c r="V213" s="92">
        <v>96</v>
      </c>
      <c r="W213" s="92">
        <v>96</v>
      </c>
      <c r="X213" s="92">
        <v>96</v>
      </c>
      <c r="Y213" s="92">
        <v>96</v>
      </c>
      <c r="Z213" s="93">
        <f t="shared" si="118"/>
        <v>0.46173084353177257</v>
      </c>
      <c r="AA213" s="94">
        <v>275.37728787849272</v>
      </c>
      <c r="AB213" s="91">
        <v>207.91333597231102</v>
      </c>
      <c r="AC213" s="92">
        <v>240</v>
      </c>
      <c r="AD213" s="92">
        <v>240</v>
      </c>
      <c r="AE213" s="92">
        <v>310</v>
      </c>
      <c r="AF213" s="92">
        <v>284.8</v>
      </c>
      <c r="AG213" s="92"/>
      <c r="AH213" s="92"/>
      <c r="AI213" s="93">
        <f t="shared" si="119"/>
        <v>0</v>
      </c>
      <c r="AJ213" s="95">
        <f t="shared" si="120"/>
        <v>623.74000791693311</v>
      </c>
      <c r="AK213" s="96">
        <f t="shared" si="121"/>
        <v>96</v>
      </c>
      <c r="AL213" s="97">
        <f t="shared" si="122"/>
        <v>0.1539102811772575</v>
      </c>
      <c r="AN213" s="89">
        <v>7.0738154851850621E-3</v>
      </c>
      <c r="AO213" s="183"/>
      <c r="AP213" s="184"/>
      <c r="AQ213" s="92"/>
      <c r="AR213" s="92"/>
      <c r="AS213" s="92"/>
      <c r="AT213" s="92"/>
      <c r="AU213" s="92"/>
      <c r="AV213" s="92"/>
      <c r="AW213" s="93">
        <f t="shared" si="123"/>
        <v>0</v>
      </c>
      <c r="AX213" s="183"/>
      <c r="AY213" s="184"/>
      <c r="AZ213" s="92"/>
      <c r="BA213" s="92"/>
      <c r="BB213" s="92"/>
      <c r="BC213" s="92"/>
      <c r="BD213" s="92"/>
      <c r="BE213" s="92"/>
      <c r="BF213" s="93">
        <f t="shared" si="124"/>
        <v>0</v>
      </c>
      <c r="BG213" s="181"/>
      <c r="BH213" s="182"/>
      <c r="BI213" s="92"/>
      <c r="BJ213" s="92"/>
      <c r="BK213" s="92"/>
      <c r="BL213" s="92"/>
      <c r="BM213" s="92"/>
      <c r="BN213" s="92"/>
      <c r="BO213" s="93">
        <f t="shared" si="125"/>
        <v>0</v>
      </c>
      <c r="BP213" s="95">
        <f t="shared" si="126"/>
        <v>0</v>
      </c>
      <c r="BQ213" s="96">
        <f t="shared" si="127"/>
        <v>0</v>
      </c>
      <c r="BR213" s="97">
        <f t="shared" si="128"/>
        <v>0</v>
      </c>
      <c r="BT213" s="82"/>
      <c r="BU213" s="181"/>
      <c r="BV213" s="182"/>
      <c r="BW213" s="92"/>
      <c r="BX213" s="92"/>
      <c r="BY213" s="92"/>
      <c r="BZ213" s="92"/>
      <c r="CA213" s="92"/>
      <c r="CB213" s="92"/>
      <c r="CC213" s="93">
        <f t="shared" si="129"/>
        <v>0</v>
      </c>
      <c r="CD213" s="181"/>
      <c r="CE213" s="182"/>
      <c r="CF213" s="92"/>
      <c r="CG213" s="92"/>
      <c r="CH213" s="92"/>
      <c r="CI213" s="92"/>
      <c r="CJ213" s="92"/>
      <c r="CK213" s="92"/>
      <c r="CL213" s="93">
        <f t="shared" si="130"/>
        <v>0</v>
      </c>
      <c r="CM213" s="181"/>
      <c r="CN213" s="182"/>
      <c r="CO213" s="92"/>
      <c r="CP213" s="92"/>
      <c r="CQ213" s="92"/>
      <c r="CR213" s="92"/>
      <c r="CS213" s="92"/>
      <c r="CT213" s="92"/>
      <c r="CU213" s="93">
        <f t="shared" si="131"/>
        <v>0</v>
      </c>
      <c r="CV213" s="95">
        <f t="shared" si="132"/>
        <v>0</v>
      </c>
      <c r="CW213" s="96">
        <f t="shared" si="133"/>
        <v>0</v>
      </c>
      <c r="CX213" s="97">
        <f t="shared" si="134"/>
        <v>0</v>
      </c>
      <c r="CZ213" s="82"/>
      <c r="DA213" s="136"/>
      <c r="DB213" s="137"/>
      <c r="DC213" s="92"/>
      <c r="DD213" s="92"/>
      <c r="DE213" s="92"/>
      <c r="DF213" s="92"/>
      <c r="DG213" s="92"/>
      <c r="DH213" s="92"/>
      <c r="DI213" s="93">
        <f t="shared" si="135"/>
        <v>0</v>
      </c>
      <c r="DJ213" s="183"/>
      <c r="DK213" s="184"/>
      <c r="DL213" s="92"/>
      <c r="DM213" s="92"/>
      <c r="DN213" s="92"/>
      <c r="DO213" s="92"/>
      <c r="DP213" s="92"/>
      <c r="DQ213" s="92"/>
      <c r="DR213" s="93">
        <f t="shared" si="136"/>
        <v>0</v>
      </c>
      <c r="DS213" s="183"/>
      <c r="DT213" s="184"/>
      <c r="DU213" s="92"/>
      <c r="DV213" s="92"/>
      <c r="DW213" s="92"/>
      <c r="DX213" s="92"/>
      <c r="DY213" s="92"/>
      <c r="DZ213" s="92"/>
      <c r="EA213" s="93">
        <f t="shared" si="137"/>
        <v>0</v>
      </c>
      <c r="EB213" s="95">
        <f t="shared" si="138"/>
        <v>0</v>
      </c>
      <c r="EC213" s="96">
        <f t="shared" si="139"/>
        <v>0</v>
      </c>
      <c r="ED213" s="97">
        <f t="shared" si="140"/>
        <v>0</v>
      </c>
    </row>
    <row r="214" spans="1:134" s="6" customFormat="1" ht="21.95" customHeight="1" x14ac:dyDescent="0.5">
      <c r="A214" s="83">
        <v>18</v>
      </c>
      <c r="B214" s="103" t="s">
        <v>436</v>
      </c>
      <c r="C214" s="103" t="s">
        <v>437</v>
      </c>
      <c r="D214" s="103" t="s">
        <v>123</v>
      </c>
      <c r="E214" s="148" t="s">
        <v>438</v>
      </c>
      <c r="F214" s="83" t="s">
        <v>431</v>
      </c>
      <c r="G214" s="222"/>
      <c r="H214" s="180">
        <v>6.5801893973995917E-3</v>
      </c>
      <c r="I214" s="181">
        <f t="shared" si="141"/>
        <v>647.77610933101107</v>
      </c>
      <c r="J214" s="182">
        <f t="shared" si="116"/>
        <v>489.07915715112205</v>
      </c>
      <c r="K214" s="92">
        <v>0</v>
      </c>
      <c r="L214" s="92">
        <v>0</v>
      </c>
      <c r="M214" s="92">
        <v>0</v>
      </c>
      <c r="N214" s="92">
        <v>0</v>
      </c>
      <c r="O214" s="92">
        <v>0</v>
      </c>
      <c r="P214" s="92">
        <v>0</v>
      </c>
      <c r="Q214" s="93">
        <f t="shared" si="117"/>
        <v>0</v>
      </c>
      <c r="R214" s="94">
        <v>647.77610933101175</v>
      </c>
      <c r="S214" s="91">
        <v>489.07915715112205</v>
      </c>
      <c r="T214" s="92">
        <v>0</v>
      </c>
      <c r="U214" s="92">
        <v>0</v>
      </c>
      <c r="V214" s="92">
        <v>0</v>
      </c>
      <c r="W214" s="92">
        <v>0</v>
      </c>
      <c r="X214" s="92">
        <v>0</v>
      </c>
      <c r="Y214" s="92">
        <v>0</v>
      </c>
      <c r="Z214" s="93">
        <f t="shared" si="118"/>
        <v>0</v>
      </c>
      <c r="AA214" s="94">
        <v>647.77610933101175</v>
      </c>
      <c r="AB214" s="91">
        <v>489.07915715112205</v>
      </c>
      <c r="AC214" s="92">
        <v>0</v>
      </c>
      <c r="AD214" s="92">
        <v>0</v>
      </c>
      <c r="AE214" s="92">
        <v>0</v>
      </c>
      <c r="AF214" s="92">
        <v>0</v>
      </c>
      <c r="AG214" s="92"/>
      <c r="AH214" s="92"/>
      <c r="AI214" s="93">
        <f t="shared" si="119"/>
        <v>0</v>
      </c>
      <c r="AJ214" s="95">
        <f t="shared" si="120"/>
        <v>1467.2374714533662</v>
      </c>
      <c r="AK214" s="96">
        <f t="shared" si="121"/>
        <v>0</v>
      </c>
      <c r="AL214" s="97">
        <f t="shared" si="122"/>
        <v>0</v>
      </c>
      <c r="AN214" s="89">
        <v>1.0515131126626444E-2</v>
      </c>
      <c r="AO214" s="183"/>
      <c r="AP214" s="184"/>
      <c r="AQ214" s="92"/>
      <c r="AR214" s="92"/>
      <c r="AS214" s="92"/>
      <c r="AT214" s="92"/>
      <c r="AU214" s="92"/>
      <c r="AV214" s="92"/>
      <c r="AW214" s="93">
        <f t="shared" si="123"/>
        <v>0</v>
      </c>
      <c r="AX214" s="183"/>
      <c r="AY214" s="184"/>
      <c r="AZ214" s="92"/>
      <c r="BA214" s="92"/>
      <c r="BB214" s="92"/>
      <c r="BC214" s="92"/>
      <c r="BD214" s="92"/>
      <c r="BE214" s="92"/>
      <c r="BF214" s="93">
        <f t="shared" si="124"/>
        <v>0</v>
      </c>
      <c r="BG214" s="181"/>
      <c r="BH214" s="182"/>
      <c r="BI214" s="92"/>
      <c r="BJ214" s="92"/>
      <c r="BK214" s="92"/>
      <c r="BL214" s="92"/>
      <c r="BM214" s="92"/>
      <c r="BN214" s="92"/>
      <c r="BO214" s="93">
        <f t="shared" si="125"/>
        <v>0</v>
      </c>
      <c r="BP214" s="95">
        <f t="shared" si="126"/>
        <v>0</v>
      </c>
      <c r="BQ214" s="96">
        <f t="shared" si="127"/>
        <v>0</v>
      </c>
      <c r="BR214" s="97">
        <f t="shared" si="128"/>
        <v>0</v>
      </c>
      <c r="BT214" s="82"/>
      <c r="BU214" s="181"/>
      <c r="BV214" s="182"/>
      <c r="BW214" s="92"/>
      <c r="BX214" s="92"/>
      <c r="BY214" s="92"/>
      <c r="BZ214" s="92"/>
      <c r="CA214" s="92"/>
      <c r="CB214" s="92"/>
      <c r="CC214" s="93">
        <f t="shared" si="129"/>
        <v>0</v>
      </c>
      <c r="CD214" s="181"/>
      <c r="CE214" s="182"/>
      <c r="CF214" s="92"/>
      <c r="CG214" s="92"/>
      <c r="CH214" s="92"/>
      <c r="CI214" s="92"/>
      <c r="CJ214" s="92"/>
      <c r="CK214" s="92"/>
      <c r="CL214" s="93">
        <f t="shared" si="130"/>
        <v>0</v>
      </c>
      <c r="CM214" s="181"/>
      <c r="CN214" s="182"/>
      <c r="CO214" s="92"/>
      <c r="CP214" s="92"/>
      <c r="CQ214" s="92"/>
      <c r="CR214" s="92"/>
      <c r="CS214" s="92"/>
      <c r="CT214" s="92"/>
      <c r="CU214" s="93">
        <f t="shared" si="131"/>
        <v>0</v>
      </c>
      <c r="CV214" s="95">
        <f t="shared" si="132"/>
        <v>0</v>
      </c>
      <c r="CW214" s="96">
        <f t="shared" si="133"/>
        <v>0</v>
      </c>
      <c r="CX214" s="97">
        <f t="shared" si="134"/>
        <v>0</v>
      </c>
      <c r="CZ214" s="82"/>
      <c r="DA214" s="136"/>
      <c r="DB214" s="137"/>
      <c r="DC214" s="92"/>
      <c r="DD214" s="92"/>
      <c r="DE214" s="92"/>
      <c r="DF214" s="92"/>
      <c r="DG214" s="92"/>
      <c r="DH214" s="92"/>
      <c r="DI214" s="93">
        <f t="shared" si="135"/>
        <v>0</v>
      </c>
      <c r="DJ214" s="183"/>
      <c r="DK214" s="184"/>
      <c r="DL214" s="92"/>
      <c r="DM214" s="92"/>
      <c r="DN214" s="92"/>
      <c r="DO214" s="92"/>
      <c r="DP214" s="92"/>
      <c r="DQ214" s="92"/>
      <c r="DR214" s="93">
        <f t="shared" si="136"/>
        <v>0</v>
      </c>
      <c r="DS214" s="183"/>
      <c r="DT214" s="184"/>
      <c r="DU214" s="92"/>
      <c r="DV214" s="92"/>
      <c r="DW214" s="92"/>
      <c r="DX214" s="92"/>
      <c r="DY214" s="92"/>
      <c r="DZ214" s="92"/>
      <c r="EA214" s="93">
        <f t="shared" si="137"/>
        <v>0</v>
      </c>
      <c r="EB214" s="95">
        <f t="shared" si="138"/>
        <v>0</v>
      </c>
      <c r="EC214" s="96">
        <f t="shared" si="139"/>
        <v>0</v>
      </c>
      <c r="ED214" s="97">
        <f t="shared" si="140"/>
        <v>0</v>
      </c>
    </row>
    <row r="215" spans="1:134" s="6" customFormat="1" ht="21.95" customHeight="1" x14ac:dyDescent="0.5">
      <c r="A215" s="83">
        <v>19</v>
      </c>
      <c r="B215" s="103" t="s">
        <v>439</v>
      </c>
      <c r="C215" s="103" t="s">
        <v>440</v>
      </c>
      <c r="D215" s="103" t="s">
        <v>123</v>
      </c>
      <c r="E215" s="148" t="s">
        <v>438</v>
      </c>
      <c r="F215" s="83" t="s">
        <v>431</v>
      </c>
      <c r="G215" s="222"/>
      <c r="H215" s="180">
        <v>5.3418998609461744E-3</v>
      </c>
      <c r="I215" s="181">
        <f t="shared" si="141"/>
        <v>525.87469742543749</v>
      </c>
      <c r="J215" s="182">
        <f t="shared" si="116"/>
        <v>397.04204906468533</v>
      </c>
      <c r="K215" s="92">
        <v>360</v>
      </c>
      <c r="L215" s="92">
        <v>360</v>
      </c>
      <c r="M215" s="92">
        <v>540</v>
      </c>
      <c r="N215" s="92">
        <v>540</v>
      </c>
      <c r="O215" s="92">
        <v>540</v>
      </c>
      <c r="P215" s="92">
        <v>540</v>
      </c>
      <c r="Q215" s="93">
        <f t="shared" si="117"/>
        <v>1.3600574580754903</v>
      </c>
      <c r="R215" s="94">
        <v>525.87469742543794</v>
      </c>
      <c r="S215" s="91">
        <v>397.04204906468533</v>
      </c>
      <c r="T215" s="92">
        <v>180</v>
      </c>
      <c r="U215" s="92">
        <v>180</v>
      </c>
      <c r="V215" s="92">
        <v>740</v>
      </c>
      <c r="W215" s="92">
        <v>610</v>
      </c>
      <c r="X215" s="92">
        <v>740</v>
      </c>
      <c r="Y215" s="92">
        <v>610</v>
      </c>
      <c r="Z215" s="93">
        <f t="shared" si="118"/>
        <v>1.5363612026408315</v>
      </c>
      <c r="AA215" s="94">
        <v>525.87469742543794</v>
      </c>
      <c r="AB215" s="91">
        <v>397.04204906468533</v>
      </c>
      <c r="AC215" s="92">
        <v>0</v>
      </c>
      <c r="AD215" s="92">
        <v>0</v>
      </c>
      <c r="AE215" s="92">
        <v>800</v>
      </c>
      <c r="AF215" s="92">
        <v>670</v>
      </c>
      <c r="AG215" s="92"/>
      <c r="AH215" s="92"/>
      <c r="AI215" s="93">
        <f t="shared" si="119"/>
        <v>0</v>
      </c>
      <c r="AJ215" s="95">
        <f t="shared" si="120"/>
        <v>1191.1261471940561</v>
      </c>
      <c r="AK215" s="96">
        <f t="shared" si="121"/>
        <v>1150</v>
      </c>
      <c r="AL215" s="97">
        <f t="shared" si="122"/>
        <v>0.96547288690544053</v>
      </c>
      <c r="AN215" s="89">
        <v>7.9120846798951417E-3</v>
      </c>
      <c r="AO215" s="183"/>
      <c r="AP215" s="184"/>
      <c r="AQ215" s="92"/>
      <c r="AR215" s="92"/>
      <c r="AS215" s="92"/>
      <c r="AT215" s="92"/>
      <c r="AU215" s="92"/>
      <c r="AV215" s="92"/>
      <c r="AW215" s="93">
        <f t="shared" si="123"/>
        <v>0</v>
      </c>
      <c r="AX215" s="183"/>
      <c r="AY215" s="184"/>
      <c r="AZ215" s="92"/>
      <c r="BA215" s="92"/>
      <c r="BB215" s="92"/>
      <c r="BC215" s="92"/>
      <c r="BD215" s="92"/>
      <c r="BE215" s="92"/>
      <c r="BF215" s="93">
        <f t="shared" si="124"/>
        <v>0</v>
      </c>
      <c r="BG215" s="181"/>
      <c r="BH215" s="182"/>
      <c r="BI215" s="92"/>
      <c r="BJ215" s="92"/>
      <c r="BK215" s="92"/>
      <c r="BL215" s="92"/>
      <c r="BM215" s="92"/>
      <c r="BN215" s="92"/>
      <c r="BO215" s="93">
        <f t="shared" si="125"/>
        <v>0</v>
      </c>
      <c r="BP215" s="95">
        <f t="shared" si="126"/>
        <v>0</v>
      </c>
      <c r="BQ215" s="96">
        <f t="shared" si="127"/>
        <v>0</v>
      </c>
      <c r="BR215" s="97">
        <f t="shared" si="128"/>
        <v>0</v>
      </c>
      <c r="BT215" s="82"/>
      <c r="BU215" s="181"/>
      <c r="BV215" s="182"/>
      <c r="BW215" s="92"/>
      <c r="BX215" s="92"/>
      <c r="BY215" s="92"/>
      <c r="BZ215" s="92"/>
      <c r="CA215" s="92"/>
      <c r="CB215" s="92"/>
      <c r="CC215" s="93">
        <f t="shared" si="129"/>
        <v>0</v>
      </c>
      <c r="CD215" s="181"/>
      <c r="CE215" s="182"/>
      <c r="CF215" s="92"/>
      <c r="CG215" s="92"/>
      <c r="CH215" s="92"/>
      <c r="CI215" s="92"/>
      <c r="CJ215" s="92"/>
      <c r="CK215" s="92"/>
      <c r="CL215" s="93">
        <f t="shared" si="130"/>
        <v>0</v>
      </c>
      <c r="CM215" s="181"/>
      <c r="CN215" s="182"/>
      <c r="CO215" s="92"/>
      <c r="CP215" s="92"/>
      <c r="CQ215" s="92"/>
      <c r="CR215" s="92"/>
      <c r="CS215" s="92"/>
      <c r="CT215" s="92"/>
      <c r="CU215" s="93">
        <f t="shared" si="131"/>
        <v>0</v>
      </c>
      <c r="CV215" s="95">
        <f t="shared" si="132"/>
        <v>0</v>
      </c>
      <c r="CW215" s="96">
        <f t="shared" si="133"/>
        <v>0</v>
      </c>
      <c r="CX215" s="97">
        <f t="shared" si="134"/>
        <v>0</v>
      </c>
      <c r="CZ215" s="82"/>
      <c r="DA215" s="136"/>
      <c r="DB215" s="137"/>
      <c r="DC215" s="92"/>
      <c r="DD215" s="92"/>
      <c r="DE215" s="92"/>
      <c r="DF215" s="92"/>
      <c r="DG215" s="92"/>
      <c r="DH215" s="92"/>
      <c r="DI215" s="93">
        <f t="shared" si="135"/>
        <v>0</v>
      </c>
      <c r="DJ215" s="183"/>
      <c r="DK215" s="184"/>
      <c r="DL215" s="92"/>
      <c r="DM215" s="92"/>
      <c r="DN215" s="92"/>
      <c r="DO215" s="92"/>
      <c r="DP215" s="92"/>
      <c r="DQ215" s="92"/>
      <c r="DR215" s="93">
        <f t="shared" si="136"/>
        <v>0</v>
      </c>
      <c r="DS215" s="183"/>
      <c r="DT215" s="184"/>
      <c r="DU215" s="92"/>
      <c r="DV215" s="92"/>
      <c r="DW215" s="92"/>
      <c r="DX215" s="92"/>
      <c r="DY215" s="92"/>
      <c r="DZ215" s="92"/>
      <c r="EA215" s="93">
        <f t="shared" si="137"/>
        <v>0</v>
      </c>
      <c r="EB215" s="95">
        <f t="shared" si="138"/>
        <v>0</v>
      </c>
      <c r="EC215" s="96">
        <f t="shared" si="139"/>
        <v>0</v>
      </c>
      <c r="ED215" s="97">
        <f t="shared" si="140"/>
        <v>0</v>
      </c>
    </row>
    <row r="216" spans="1:134" s="6" customFormat="1" ht="21.95" customHeight="1" x14ac:dyDescent="0.5">
      <c r="A216" s="83">
        <v>20</v>
      </c>
      <c r="B216" s="103" t="s">
        <v>441</v>
      </c>
      <c r="C216" s="103" t="s">
        <v>442</v>
      </c>
      <c r="D216" s="103" t="s">
        <v>123</v>
      </c>
      <c r="E216" s="148" t="s">
        <v>438</v>
      </c>
      <c r="F216" s="83" t="s">
        <v>431</v>
      </c>
      <c r="G216" s="222"/>
      <c r="H216" s="180">
        <v>6.0940085056281276E-3</v>
      </c>
      <c r="I216" s="181">
        <f t="shared" si="141"/>
        <v>599.91481727956045</v>
      </c>
      <c r="J216" s="182">
        <f t="shared" si="116"/>
        <v>452.94327618931624</v>
      </c>
      <c r="K216" s="92">
        <v>180</v>
      </c>
      <c r="L216" s="92">
        <v>180</v>
      </c>
      <c r="M216" s="92">
        <v>180</v>
      </c>
      <c r="N216" s="92">
        <v>180</v>
      </c>
      <c r="O216" s="92">
        <v>360</v>
      </c>
      <c r="P216" s="92">
        <v>360</v>
      </c>
      <c r="Q216" s="93">
        <f t="shared" si="117"/>
        <v>0.79480151030993818</v>
      </c>
      <c r="R216" s="94">
        <v>599.91481727956113</v>
      </c>
      <c r="S216" s="91">
        <v>452.94327618931624</v>
      </c>
      <c r="T216" s="92">
        <v>250</v>
      </c>
      <c r="U216" s="92">
        <v>200.8</v>
      </c>
      <c r="V216" s="92">
        <v>560</v>
      </c>
      <c r="W216" s="92">
        <v>485.6</v>
      </c>
      <c r="X216" s="92">
        <v>820</v>
      </c>
      <c r="Y216" s="92">
        <v>695.2</v>
      </c>
      <c r="Z216" s="93">
        <f t="shared" si="118"/>
        <v>1.534850027687414</v>
      </c>
      <c r="AA216" s="94">
        <v>599.91481727956113</v>
      </c>
      <c r="AB216" s="91">
        <v>452.94327618931624</v>
      </c>
      <c r="AC216" s="92">
        <v>180</v>
      </c>
      <c r="AD216" s="92">
        <v>180</v>
      </c>
      <c r="AE216" s="92">
        <v>1020</v>
      </c>
      <c r="AF216" s="92">
        <v>1020</v>
      </c>
      <c r="AG216" s="92"/>
      <c r="AH216" s="92"/>
      <c r="AI216" s="93">
        <f t="shared" si="119"/>
        <v>0</v>
      </c>
      <c r="AJ216" s="95">
        <f t="shared" si="120"/>
        <v>1358.8298285679487</v>
      </c>
      <c r="AK216" s="96">
        <f t="shared" si="121"/>
        <v>1055.2</v>
      </c>
      <c r="AL216" s="97">
        <f t="shared" si="122"/>
        <v>0.77655051266578412</v>
      </c>
      <c r="AN216" s="89">
        <v>6.4120240156771043E-3</v>
      </c>
      <c r="AO216" s="183"/>
      <c r="AP216" s="184"/>
      <c r="AQ216" s="92"/>
      <c r="AR216" s="92"/>
      <c r="AS216" s="92"/>
      <c r="AT216" s="92"/>
      <c r="AU216" s="92"/>
      <c r="AV216" s="92"/>
      <c r="AW216" s="93">
        <f t="shared" si="123"/>
        <v>0</v>
      </c>
      <c r="AX216" s="183"/>
      <c r="AY216" s="184"/>
      <c r="AZ216" s="92"/>
      <c r="BA216" s="92"/>
      <c r="BB216" s="92"/>
      <c r="BC216" s="92"/>
      <c r="BD216" s="92"/>
      <c r="BE216" s="92"/>
      <c r="BF216" s="93">
        <f t="shared" si="124"/>
        <v>0</v>
      </c>
      <c r="BG216" s="181"/>
      <c r="BH216" s="182"/>
      <c r="BI216" s="92"/>
      <c r="BJ216" s="92"/>
      <c r="BK216" s="92"/>
      <c r="BL216" s="92"/>
      <c r="BM216" s="92"/>
      <c r="BN216" s="92"/>
      <c r="BO216" s="93">
        <f t="shared" si="125"/>
        <v>0</v>
      </c>
      <c r="BP216" s="95">
        <f t="shared" si="126"/>
        <v>0</v>
      </c>
      <c r="BQ216" s="96">
        <f t="shared" si="127"/>
        <v>0</v>
      </c>
      <c r="BR216" s="97">
        <f t="shared" si="128"/>
        <v>0</v>
      </c>
      <c r="BT216" s="82"/>
      <c r="BU216" s="181"/>
      <c r="BV216" s="182"/>
      <c r="BW216" s="92"/>
      <c r="BX216" s="92"/>
      <c r="BY216" s="92"/>
      <c r="BZ216" s="92"/>
      <c r="CA216" s="92"/>
      <c r="CB216" s="92"/>
      <c r="CC216" s="93">
        <f t="shared" si="129"/>
        <v>0</v>
      </c>
      <c r="CD216" s="181"/>
      <c r="CE216" s="182"/>
      <c r="CF216" s="92"/>
      <c r="CG216" s="92"/>
      <c r="CH216" s="92"/>
      <c r="CI216" s="92"/>
      <c r="CJ216" s="92"/>
      <c r="CK216" s="92"/>
      <c r="CL216" s="93">
        <f t="shared" si="130"/>
        <v>0</v>
      </c>
      <c r="CM216" s="181"/>
      <c r="CN216" s="182"/>
      <c r="CO216" s="92"/>
      <c r="CP216" s="92"/>
      <c r="CQ216" s="92"/>
      <c r="CR216" s="92"/>
      <c r="CS216" s="92"/>
      <c r="CT216" s="92"/>
      <c r="CU216" s="93">
        <f t="shared" si="131"/>
        <v>0</v>
      </c>
      <c r="CV216" s="95">
        <f t="shared" si="132"/>
        <v>0</v>
      </c>
      <c r="CW216" s="96">
        <f t="shared" si="133"/>
        <v>0</v>
      </c>
      <c r="CX216" s="97">
        <f t="shared" si="134"/>
        <v>0</v>
      </c>
      <c r="CZ216" s="82"/>
      <c r="DA216" s="136"/>
      <c r="DB216" s="137"/>
      <c r="DC216" s="92"/>
      <c r="DD216" s="92"/>
      <c r="DE216" s="92"/>
      <c r="DF216" s="92"/>
      <c r="DG216" s="92"/>
      <c r="DH216" s="92"/>
      <c r="DI216" s="93">
        <f t="shared" si="135"/>
        <v>0</v>
      </c>
      <c r="DJ216" s="183"/>
      <c r="DK216" s="184"/>
      <c r="DL216" s="92"/>
      <c r="DM216" s="92"/>
      <c r="DN216" s="92"/>
      <c r="DO216" s="92"/>
      <c r="DP216" s="92"/>
      <c r="DQ216" s="92"/>
      <c r="DR216" s="93">
        <f t="shared" si="136"/>
        <v>0</v>
      </c>
      <c r="DS216" s="183"/>
      <c r="DT216" s="184"/>
      <c r="DU216" s="92"/>
      <c r="DV216" s="92"/>
      <c r="DW216" s="92"/>
      <c r="DX216" s="92"/>
      <c r="DY216" s="92"/>
      <c r="DZ216" s="92"/>
      <c r="EA216" s="93">
        <f t="shared" si="137"/>
        <v>0</v>
      </c>
      <c r="EB216" s="95">
        <f t="shared" si="138"/>
        <v>0</v>
      </c>
      <c r="EC216" s="96">
        <f t="shared" si="139"/>
        <v>0</v>
      </c>
      <c r="ED216" s="97">
        <f t="shared" si="140"/>
        <v>0</v>
      </c>
    </row>
    <row r="217" spans="1:134" s="6" customFormat="1" ht="21.95" customHeight="1" x14ac:dyDescent="0.5">
      <c r="A217" s="83">
        <v>21</v>
      </c>
      <c r="B217" s="103" t="s">
        <v>443</v>
      </c>
      <c r="C217" s="103" t="s">
        <v>444</v>
      </c>
      <c r="D217" s="103" t="s">
        <v>123</v>
      </c>
      <c r="E217" s="148" t="s">
        <v>438</v>
      </c>
      <c r="F217" s="83" t="s">
        <v>431</v>
      </c>
      <c r="G217" s="222"/>
      <c r="H217" s="180">
        <v>5.4880586259046108E-3</v>
      </c>
      <c r="I217" s="181">
        <f t="shared" si="141"/>
        <v>540.26306079789867</v>
      </c>
      <c r="J217" s="182">
        <f t="shared" si="116"/>
        <v>407.90544542898613</v>
      </c>
      <c r="K217" s="92">
        <v>0</v>
      </c>
      <c r="L217" s="92">
        <v>0</v>
      </c>
      <c r="M217" s="92">
        <v>0</v>
      </c>
      <c r="N217" s="92">
        <v>0</v>
      </c>
      <c r="O217" s="92">
        <v>0</v>
      </c>
      <c r="P217" s="92">
        <v>0</v>
      </c>
      <c r="Q217" s="93">
        <f t="shared" si="117"/>
        <v>0</v>
      </c>
      <c r="R217" s="94">
        <v>540.26306079789924</v>
      </c>
      <c r="S217" s="91">
        <v>407.90544542898613</v>
      </c>
      <c r="T217" s="92">
        <v>360</v>
      </c>
      <c r="U217" s="92">
        <v>360</v>
      </c>
      <c r="V217" s="92">
        <v>360</v>
      </c>
      <c r="W217" s="92">
        <v>360</v>
      </c>
      <c r="X217" s="92">
        <v>720</v>
      </c>
      <c r="Y217" s="92">
        <v>720</v>
      </c>
      <c r="Z217" s="93">
        <f t="shared" si="118"/>
        <v>1.7651149502130088</v>
      </c>
      <c r="AA217" s="94">
        <v>540.26306079789924</v>
      </c>
      <c r="AB217" s="91">
        <v>407.90544542898613</v>
      </c>
      <c r="AC217" s="92">
        <v>0</v>
      </c>
      <c r="AD217" s="92">
        <v>0</v>
      </c>
      <c r="AE217" s="92">
        <v>340</v>
      </c>
      <c r="AF217" s="92">
        <v>314</v>
      </c>
      <c r="AG217" s="92"/>
      <c r="AH217" s="92"/>
      <c r="AI217" s="93">
        <f t="shared" si="119"/>
        <v>0</v>
      </c>
      <c r="AJ217" s="95">
        <f t="shared" si="120"/>
        <v>1223.7163362869583</v>
      </c>
      <c r="AK217" s="96">
        <f t="shared" si="121"/>
        <v>720</v>
      </c>
      <c r="AL217" s="97">
        <f t="shared" si="122"/>
        <v>0.58837165007100301</v>
      </c>
      <c r="AN217" s="89">
        <v>1.1323987367136171E-2</v>
      </c>
      <c r="AO217" s="183"/>
      <c r="AP217" s="184"/>
      <c r="AQ217" s="92"/>
      <c r="AR217" s="92"/>
      <c r="AS217" s="92"/>
      <c r="AT217" s="92"/>
      <c r="AU217" s="92"/>
      <c r="AV217" s="92"/>
      <c r="AW217" s="93">
        <f t="shared" si="123"/>
        <v>0</v>
      </c>
      <c r="AX217" s="183"/>
      <c r="AY217" s="184"/>
      <c r="AZ217" s="92"/>
      <c r="BA217" s="92"/>
      <c r="BB217" s="92"/>
      <c r="BC217" s="92"/>
      <c r="BD217" s="92"/>
      <c r="BE217" s="92"/>
      <c r="BF217" s="93">
        <f t="shared" si="124"/>
        <v>0</v>
      </c>
      <c r="BG217" s="181"/>
      <c r="BH217" s="182"/>
      <c r="BI217" s="92"/>
      <c r="BJ217" s="92"/>
      <c r="BK217" s="92"/>
      <c r="BL217" s="92"/>
      <c r="BM217" s="92"/>
      <c r="BN217" s="92"/>
      <c r="BO217" s="93">
        <f t="shared" si="125"/>
        <v>0</v>
      </c>
      <c r="BP217" s="95">
        <f t="shared" si="126"/>
        <v>0</v>
      </c>
      <c r="BQ217" s="96">
        <f t="shared" si="127"/>
        <v>0</v>
      </c>
      <c r="BR217" s="97">
        <f t="shared" si="128"/>
        <v>0</v>
      </c>
      <c r="BT217" s="82"/>
      <c r="BU217" s="181"/>
      <c r="BV217" s="182"/>
      <c r="BW217" s="92"/>
      <c r="BX217" s="92"/>
      <c r="BY217" s="92"/>
      <c r="BZ217" s="92"/>
      <c r="CA217" s="92"/>
      <c r="CB217" s="92"/>
      <c r="CC217" s="93">
        <f t="shared" si="129"/>
        <v>0</v>
      </c>
      <c r="CD217" s="181"/>
      <c r="CE217" s="182"/>
      <c r="CF217" s="92"/>
      <c r="CG217" s="92"/>
      <c r="CH217" s="92"/>
      <c r="CI217" s="92"/>
      <c r="CJ217" s="92"/>
      <c r="CK217" s="92"/>
      <c r="CL217" s="93">
        <f t="shared" si="130"/>
        <v>0</v>
      </c>
      <c r="CM217" s="181"/>
      <c r="CN217" s="182"/>
      <c r="CO217" s="92"/>
      <c r="CP217" s="92"/>
      <c r="CQ217" s="92"/>
      <c r="CR217" s="92"/>
      <c r="CS217" s="92"/>
      <c r="CT217" s="92"/>
      <c r="CU217" s="93">
        <f t="shared" si="131"/>
        <v>0</v>
      </c>
      <c r="CV217" s="95">
        <f t="shared" si="132"/>
        <v>0</v>
      </c>
      <c r="CW217" s="96">
        <f t="shared" si="133"/>
        <v>0</v>
      </c>
      <c r="CX217" s="97">
        <f t="shared" si="134"/>
        <v>0</v>
      </c>
      <c r="CZ217" s="82"/>
      <c r="DA217" s="136"/>
      <c r="DB217" s="137"/>
      <c r="DC217" s="92"/>
      <c r="DD217" s="92"/>
      <c r="DE217" s="92"/>
      <c r="DF217" s="92"/>
      <c r="DG217" s="92"/>
      <c r="DH217" s="92"/>
      <c r="DI217" s="93">
        <f t="shared" si="135"/>
        <v>0</v>
      </c>
      <c r="DJ217" s="183"/>
      <c r="DK217" s="184"/>
      <c r="DL217" s="92"/>
      <c r="DM217" s="92"/>
      <c r="DN217" s="92"/>
      <c r="DO217" s="92"/>
      <c r="DP217" s="92"/>
      <c r="DQ217" s="92"/>
      <c r="DR217" s="93">
        <f t="shared" si="136"/>
        <v>0</v>
      </c>
      <c r="DS217" s="183"/>
      <c r="DT217" s="184"/>
      <c r="DU217" s="92"/>
      <c r="DV217" s="92"/>
      <c r="DW217" s="92"/>
      <c r="DX217" s="92"/>
      <c r="DY217" s="92"/>
      <c r="DZ217" s="92"/>
      <c r="EA217" s="93">
        <f t="shared" si="137"/>
        <v>0</v>
      </c>
      <c r="EB217" s="95">
        <f t="shared" si="138"/>
        <v>0</v>
      </c>
      <c r="EC217" s="96">
        <f t="shared" si="139"/>
        <v>0</v>
      </c>
      <c r="ED217" s="97">
        <f t="shared" si="140"/>
        <v>0</v>
      </c>
    </row>
    <row r="218" spans="1:134" s="6" customFormat="1" ht="21.95" customHeight="1" x14ac:dyDescent="0.5">
      <c r="A218" s="83">
        <v>22</v>
      </c>
      <c r="B218" s="103" t="s">
        <v>445</v>
      </c>
      <c r="C218" s="103" t="s">
        <v>446</v>
      </c>
      <c r="D218" s="103" t="s">
        <v>123</v>
      </c>
      <c r="E218" s="148" t="s">
        <v>438</v>
      </c>
      <c r="F218" s="83" t="s">
        <v>431</v>
      </c>
      <c r="G218" s="222"/>
      <c r="H218" s="180">
        <v>1.0727444353095217E-2</v>
      </c>
      <c r="I218" s="181">
        <f t="shared" si="141"/>
        <v>1056.0459200245962</v>
      </c>
      <c r="J218" s="182">
        <f t="shared" si="116"/>
        <v>797.3280289881551</v>
      </c>
      <c r="K218" s="92">
        <v>0</v>
      </c>
      <c r="L218" s="92">
        <v>0</v>
      </c>
      <c r="M218" s="92">
        <v>0</v>
      </c>
      <c r="N218" s="92">
        <v>0</v>
      </c>
      <c r="O218" s="92">
        <v>180</v>
      </c>
      <c r="P218" s="92">
        <v>180</v>
      </c>
      <c r="Q218" s="93">
        <f t="shared" si="117"/>
        <v>0.22575401021387401</v>
      </c>
      <c r="R218" s="94">
        <v>1056.0459200245973</v>
      </c>
      <c r="S218" s="91">
        <v>797.3280289881551</v>
      </c>
      <c r="T218" s="92">
        <v>0</v>
      </c>
      <c r="U218" s="92">
        <v>0</v>
      </c>
      <c r="V218" s="92">
        <v>0</v>
      </c>
      <c r="W218" s="92">
        <v>0</v>
      </c>
      <c r="X218" s="92">
        <v>360</v>
      </c>
      <c r="Y218" s="92">
        <v>360</v>
      </c>
      <c r="Z218" s="93">
        <f t="shared" si="118"/>
        <v>0.45150802042774801</v>
      </c>
      <c r="AA218" s="94">
        <v>1056.0459200245973</v>
      </c>
      <c r="AB218" s="91">
        <v>797.3280289881551</v>
      </c>
      <c r="AC218" s="92">
        <v>160</v>
      </c>
      <c r="AD218" s="92">
        <v>56</v>
      </c>
      <c r="AE218" s="92">
        <v>280</v>
      </c>
      <c r="AF218" s="92">
        <v>176</v>
      </c>
      <c r="AG218" s="92"/>
      <c r="AH218" s="92"/>
      <c r="AI218" s="93">
        <f t="shared" si="119"/>
        <v>0</v>
      </c>
      <c r="AJ218" s="95">
        <f t="shared" si="120"/>
        <v>2391.9840869644654</v>
      </c>
      <c r="AK218" s="96">
        <f t="shared" si="121"/>
        <v>540</v>
      </c>
      <c r="AL218" s="97">
        <f t="shared" si="122"/>
        <v>0.22575401021387401</v>
      </c>
      <c r="AN218" s="89">
        <v>1.4485879943674193E-2</v>
      </c>
      <c r="AO218" s="183"/>
      <c r="AP218" s="184"/>
      <c r="AQ218" s="92"/>
      <c r="AR218" s="92"/>
      <c r="AS218" s="92"/>
      <c r="AT218" s="92"/>
      <c r="AU218" s="92"/>
      <c r="AV218" s="92"/>
      <c r="AW218" s="93">
        <f t="shared" si="123"/>
        <v>0</v>
      </c>
      <c r="AX218" s="183"/>
      <c r="AY218" s="184"/>
      <c r="AZ218" s="92"/>
      <c r="BA218" s="92"/>
      <c r="BB218" s="92"/>
      <c r="BC218" s="92"/>
      <c r="BD218" s="92"/>
      <c r="BE218" s="92"/>
      <c r="BF218" s="93">
        <f t="shared" si="124"/>
        <v>0</v>
      </c>
      <c r="BG218" s="181"/>
      <c r="BH218" s="182"/>
      <c r="BI218" s="92"/>
      <c r="BJ218" s="92"/>
      <c r="BK218" s="92"/>
      <c r="BL218" s="92"/>
      <c r="BM218" s="92"/>
      <c r="BN218" s="92"/>
      <c r="BO218" s="93">
        <f t="shared" si="125"/>
        <v>0</v>
      </c>
      <c r="BP218" s="95">
        <f t="shared" si="126"/>
        <v>0</v>
      </c>
      <c r="BQ218" s="96">
        <f t="shared" si="127"/>
        <v>0</v>
      </c>
      <c r="BR218" s="97">
        <f t="shared" si="128"/>
        <v>0</v>
      </c>
      <c r="BT218" s="82"/>
      <c r="BU218" s="181"/>
      <c r="BV218" s="182"/>
      <c r="BW218" s="92"/>
      <c r="BX218" s="92"/>
      <c r="BY218" s="92"/>
      <c r="BZ218" s="92"/>
      <c r="CA218" s="92"/>
      <c r="CB218" s="92"/>
      <c r="CC218" s="93">
        <f t="shared" si="129"/>
        <v>0</v>
      </c>
      <c r="CD218" s="181"/>
      <c r="CE218" s="182"/>
      <c r="CF218" s="92"/>
      <c r="CG218" s="92"/>
      <c r="CH218" s="92"/>
      <c r="CI218" s="92"/>
      <c r="CJ218" s="92"/>
      <c r="CK218" s="92"/>
      <c r="CL218" s="93">
        <f t="shared" si="130"/>
        <v>0</v>
      </c>
      <c r="CM218" s="181"/>
      <c r="CN218" s="182"/>
      <c r="CO218" s="92"/>
      <c r="CP218" s="92"/>
      <c r="CQ218" s="92"/>
      <c r="CR218" s="92"/>
      <c r="CS218" s="92"/>
      <c r="CT218" s="92"/>
      <c r="CU218" s="93">
        <f t="shared" si="131"/>
        <v>0</v>
      </c>
      <c r="CV218" s="95">
        <f t="shared" si="132"/>
        <v>0</v>
      </c>
      <c r="CW218" s="96">
        <f t="shared" si="133"/>
        <v>0</v>
      </c>
      <c r="CX218" s="97">
        <f t="shared" si="134"/>
        <v>0</v>
      </c>
      <c r="CZ218" s="82"/>
      <c r="DA218" s="136"/>
      <c r="DB218" s="137"/>
      <c r="DC218" s="92"/>
      <c r="DD218" s="92"/>
      <c r="DE218" s="92"/>
      <c r="DF218" s="92"/>
      <c r="DG218" s="92"/>
      <c r="DH218" s="92"/>
      <c r="DI218" s="93">
        <f t="shared" si="135"/>
        <v>0</v>
      </c>
      <c r="DJ218" s="183"/>
      <c r="DK218" s="184"/>
      <c r="DL218" s="92"/>
      <c r="DM218" s="92"/>
      <c r="DN218" s="92"/>
      <c r="DO218" s="92"/>
      <c r="DP218" s="92"/>
      <c r="DQ218" s="92"/>
      <c r="DR218" s="93">
        <f t="shared" si="136"/>
        <v>0</v>
      </c>
      <c r="DS218" s="183"/>
      <c r="DT218" s="184"/>
      <c r="DU218" s="92"/>
      <c r="DV218" s="92"/>
      <c r="DW218" s="92"/>
      <c r="DX218" s="92"/>
      <c r="DY218" s="92"/>
      <c r="DZ218" s="92"/>
      <c r="EA218" s="93">
        <f t="shared" si="137"/>
        <v>0</v>
      </c>
      <c r="EB218" s="95">
        <f t="shared" si="138"/>
        <v>0</v>
      </c>
      <c r="EC218" s="96">
        <f t="shared" si="139"/>
        <v>0</v>
      </c>
      <c r="ED218" s="97">
        <f t="shared" si="140"/>
        <v>0</v>
      </c>
    </row>
    <row r="219" spans="1:134" s="6" customFormat="1" ht="21.95" customHeight="1" x14ac:dyDescent="0.5">
      <c r="A219" s="83">
        <v>23</v>
      </c>
      <c r="B219" s="103" t="s">
        <v>447</v>
      </c>
      <c r="C219" s="103" t="s">
        <v>448</v>
      </c>
      <c r="D219" s="103" t="s">
        <v>123</v>
      </c>
      <c r="E219" s="148" t="s">
        <v>438</v>
      </c>
      <c r="F219" s="83" t="s">
        <v>431</v>
      </c>
      <c r="G219" s="222"/>
      <c r="H219" s="180">
        <v>6.2523471676664338E-3</v>
      </c>
      <c r="I219" s="181">
        <f t="shared" si="141"/>
        <v>615.50221093306016</v>
      </c>
      <c r="J219" s="182">
        <f t="shared" si="116"/>
        <v>464.71195558397534</v>
      </c>
      <c r="K219" s="92">
        <v>0</v>
      </c>
      <c r="L219" s="92">
        <v>0</v>
      </c>
      <c r="M219" s="92">
        <v>320</v>
      </c>
      <c r="N219" s="92">
        <v>268</v>
      </c>
      <c r="O219" s="92">
        <v>500</v>
      </c>
      <c r="P219" s="92">
        <v>448</v>
      </c>
      <c r="Q219" s="93">
        <f t="shared" si="117"/>
        <v>0.96403803391936749</v>
      </c>
      <c r="R219" s="94">
        <v>615.50221093306072</v>
      </c>
      <c r="S219" s="91">
        <v>464.71195558397534</v>
      </c>
      <c r="T219" s="92">
        <v>1000</v>
      </c>
      <c r="U219" s="92">
        <v>506</v>
      </c>
      <c r="V219" s="92">
        <v>1320</v>
      </c>
      <c r="W219" s="92">
        <v>774</v>
      </c>
      <c r="X219" s="92">
        <v>1320</v>
      </c>
      <c r="Y219" s="92">
        <v>774</v>
      </c>
      <c r="Z219" s="93">
        <f t="shared" si="118"/>
        <v>1.6655478532446215</v>
      </c>
      <c r="AA219" s="94">
        <v>615.50221093306072</v>
      </c>
      <c r="AB219" s="91">
        <v>464.71195558397534</v>
      </c>
      <c r="AC219" s="92">
        <v>520</v>
      </c>
      <c r="AD219" s="92">
        <v>416</v>
      </c>
      <c r="AE219" s="92">
        <v>1060</v>
      </c>
      <c r="AF219" s="92">
        <v>956</v>
      </c>
      <c r="AG219" s="92"/>
      <c r="AH219" s="92"/>
      <c r="AI219" s="93">
        <f t="shared" si="119"/>
        <v>0</v>
      </c>
      <c r="AJ219" s="95">
        <f t="shared" si="120"/>
        <v>1394.135866751926</v>
      </c>
      <c r="AK219" s="96">
        <f t="shared" si="121"/>
        <v>1222</v>
      </c>
      <c r="AL219" s="97">
        <f t="shared" si="122"/>
        <v>0.876528629054663</v>
      </c>
      <c r="AN219" s="89">
        <v>1.1816654349992094E-2</v>
      </c>
      <c r="AO219" s="183"/>
      <c r="AP219" s="184"/>
      <c r="AQ219" s="92"/>
      <c r="AR219" s="92"/>
      <c r="AS219" s="92"/>
      <c r="AT219" s="92"/>
      <c r="AU219" s="92"/>
      <c r="AV219" s="92"/>
      <c r="AW219" s="93">
        <f t="shared" si="123"/>
        <v>0</v>
      </c>
      <c r="AX219" s="183"/>
      <c r="AY219" s="184"/>
      <c r="AZ219" s="92"/>
      <c r="BA219" s="92"/>
      <c r="BB219" s="92"/>
      <c r="BC219" s="92"/>
      <c r="BD219" s="92"/>
      <c r="BE219" s="92"/>
      <c r="BF219" s="93">
        <f t="shared" si="124"/>
        <v>0</v>
      </c>
      <c r="BG219" s="181"/>
      <c r="BH219" s="182"/>
      <c r="BI219" s="92"/>
      <c r="BJ219" s="92"/>
      <c r="BK219" s="92"/>
      <c r="BL219" s="92"/>
      <c r="BM219" s="92"/>
      <c r="BN219" s="92"/>
      <c r="BO219" s="93">
        <f t="shared" si="125"/>
        <v>0</v>
      </c>
      <c r="BP219" s="95">
        <f t="shared" si="126"/>
        <v>0</v>
      </c>
      <c r="BQ219" s="96">
        <f t="shared" si="127"/>
        <v>0</v>
      </c>
      <c r="BR219" s="97">
        <f t="shared" si="128"/>
        <v>0</v>
      </c>
      <c r="BT219" s="82"/>
      <c r="BU219" s="181"/>
      <c r="BV219" s="182"/>
      <c r="BW219" s="92"/>
      <c r="BX219" s="92"/>
      <c r="BY219" s="92"/>
      <c r="BZ219" s="92"/>
      <c r="CA219" s="92"/>
      <c r="CB219" s="92"/>
      <c r="CC219" s="93">
        <f t="shared" si="129"/>
        <v>0</v>
      </c>
      <c r="CD219" s="181"/>
      <c r="CE219" s="182"/>
      <c r="CF219" s="92"/>
      <c r="CG219" s="92"/>
      <c r="CH219" s="92"/>
      <c r="CI219" s="92"/>
      <c r="CJ219" s="92"/>
      <c r="CK219" s="92"/>
      <c r="CL219" s="93">
        <f t="shared" si="130"/>
        <v>0</v>
      </c>
      <c r="CM219" s="181"/>
      <c r="CN219" s="182"/>
      <c r="CO219" s="92"/>
      <c r="CP219" s="92"/>
      <c r="CQ219" s="92"/>
      <c r="CR219" s="92"/>
      <c r="CS219" s="92"/>
      <c r="CT219" s="92"/>
      <c r="CU219" s="93">
        <f t="shared" si="131"/>
        <v>0</v>
      </c>
      <c r="CV219" s="95">
        <f t="shared" si="132"/>
        <v>0</v>
      </c>
      <c r="CW219" s="96">
        <f t="shared" si="133"/>
        <v>0</v>
      </c>
      <c r="CX219" s="97">
        <f t="shared" si="134"/>
        <v>0</v>
      </c>
      <c r="CZ219" s="82"/>
      <c r="DA219" s="136"/>
      <c r="DB219" s="137"/>
      <c r="DC219" s="92"/>
      <c r="DD219" s="92"/>
      <c r="DE219" s="92"/>
      <c r="DF219" s="92"/>
      <c r="DG219" s="92"/>
      <c r="DH219" s="92"/>
      <c r="DI219" s="93">
        <f t="shared" si="135"/>
        <v>0</v>
      </c>
      <c r="DJ219" s="183"/>
      <c r="DK219" s="184"/>
      <c r="DL219" s="92"/>
      <c r="DM219" s="92"/>
      <c r="DN219" s="92"/>
      <c r="DO219" s="92"/>
      <c r="DP219" s="92"/>
      <c r="DQ219" s="92"/>
      <c r="DR219" s="93">
        <f t="shared" si="136"/>
        <v>0</v>
      </c>
      <c r="DS219" s="183"/>
      <c r="DT219" s="184"/>
      <c r="DU219" s="92"/>
      <c r="DV219" s="92"/>
      <c r="DW219" s="92"/>
      <c r="DX219" s="92"/>
      <c r="DY219" s="92"/>
      <c r="DZ219" s="92"/>
      <c r="EA219" s="93">
        <f t="shared" si="137"/>
        <v>0</v>
      </c>
      <c r="EB219" s="95">
        <f t="shared" si="138"/>
        <v>0</v>
      </c>
      <c r="EC219" s="96">
        <f t="shared" si="139"/>
        <v>0</v>
      </c>
      <c r="ED219" s="97">
        <f t="shared" si="140"/>
        <v>0</v>
      </c>
    </row>
    <row r="220" spans="1:134" s="6" customFormat="1" ht="21.95" customHeight="1" x14ac:dyDescent="0.5">
      <c r="A220" s="83">
        <v>24</v>
      </c>
      <c r="B220" s="103" t="s">
        <v>449</v>
      </c>
      <c r="C220" s="103" t="s">
        <v>450</v>
      </c>
      <c r="D220" s="103" t="s">
        <v>123</v>
      </c>
      <c r="E220" s="148" t="s">
        <v>438</v>
      </c>
      <c r="F220" s="83" t="s">
        <v>431</v>
      </c>
      <c r="G220" s="222"/>
      <c r="H220" s="180">
        <v>1.0583315570983425E-2</v>
      </c>
      <c r="I220" s="181">
        <f t="shared" si="141"/>
        <v>1041.857395032308</v>
      </c>
      <c r="J220" s="182">
        <f t="shared" si="116"/>
        <v>786.61551312891402</v>
      </c>
      <c r="K220" s="92">
        <v>0</v>
      </c>
      <c r="L220" s="92">
        <v>0</v>
      </c>
      <c r="M220" s="92">
        <v>0</v>
      </c>
      <c r="N220" s="92">
        <v>0</v>
      </c>
      <c r="O220" s="92">
        <v>0</v>
      </c>
      <c r="P220" s="92">
        <v>0</v>
      </c>
      <c r="Q220" s="93">
        <f t="shared" si="117"/>
        <v>0</v>
      </c>
      <c r="R220" s="94">
        <v>1041.8573950323091</v>
      </c>
      <c r="S220" s="91">
        <v>786.61551312891402</v>
      </c>
      <c r="T220" s="92">
        <v>14</v>
      </c>
      <c r="U220" s="92">
        <v>8.9600000000000009</v>
      </c>
      <c r="V220" s="92">
        <v>14</v>
      </c>
      <c r="W220" s="92">
        <v>8.9600000000000009</v>
      </c>
      <c r="X220" s="92">
        <v>534</v>
      </c>
      <c r="Y220" s="92">
        <v>268.95999999999998</v>
      </c>
      <c r="Z220" s="93">
        <f t="shared" si="118"/>
        <v>0.34192053870150618</v>
      </c>
      <c r="AA220" s="94">
        <v>1041.8573950323091</v>
      </c>
      <c r="AB220" s="91">
        <v>786.61551312891402</v>
      </c>
      <c r="AC220" s="92">
        <v>240</v>
      </c>
      <c r="AD220" s="92">
        <v>162</v>
      </c>
      <c r="AE220" s="92">
        <v>310</v>
      </c>
      <c r="AF220" s="92">
        <v>206.8</v>
      </c>
      <c r="AG220" s="92"/>
      <c r="AH220" s="92"/>
      <c r="AI220" s="93">
        <f t="shared" si="119"/>
        <v>0</v>
      </c>
      <c r="AJ220" s="95">
        <f t="shared" si="120"/>
        <v>2359.8465393867418</v>
      </c>
      <c r="AK220" s="96">
        <f t="shared" si="121"/>
        <v>268.95999999999998</v>
      </c>
      <c r="AL220" s="97">
        <f t="shared" si="122"/>
        <v>0.11397351290050206</v>
      </c>
      <c r="AN220" s="89">
        <v>9.0444834166087586E-3</v>
      </c>
      <c r="AO220" s="183"/>
      <c r="AP220" s="184"/>
      <c r="AQ220" s="92"/>
      <c r="AR220" s="92"/>
      <c r="AS220" s="92"/>
      <c r="AT220" s="92"/>
      <c r="AU220" s="92"/>
      <c r="AV220" s="92"/>
      <c r="AW220" s="93">
        <f t="shared" si="123"/>
        <v>0</v>
      </c>
      <c r="AX220" s="183"/>
      <c r="AY220" s="184"/>
      <c r="AZ220" s="92"/>
      <c r="BA220" s="92"/>
      <c r="BB220" s="92"/>
      <c r="BC220" s="92"/>
      <c r="BD220" s="92"/>
      <c r="BE220" s="92"/>
      <c r="BF220" s="93">
        <f t="shared" si="124"/>
        <v>0</v>
      </c>
      <c r="BG220" s="181"/>
      <c r="BH220" s="182"/>
      <c r="BI220" s="92"/>
      <c r="BJ220" s="92"/>
      <c r="BK220" s="92"/>
      <c r="BL220" s="92"/>
      <c r="BM220" s="92"/>
      <c r="BN220" s="92"/>
      <c r="BO220" s="93">
        <f t="shared" si="125"/>
        <v>0</v>
      </c>
      <c r="BP220" s="95">
        <f t="shared" si="126"/>
        <v>0</v>
      </c>
      <c r="BQ220" s="96">
        <f t="shared" si="127"/>
        <v>0</v>
      </c>
      <c r="BR220" s="97">
        <f t="shared" si="128"/>
        <v>0</v>
      </c>
      <c r="BT220" s="82"/>
      <c r="BU220" s="181"/>
      <c r="BV220" s="182"/>
      <c r="BW220" s="92"/>
      <c r="BX220" s="92"/>
      <c r="BY220" s="92"/>
      <c r="BZ220" s="92"/>
      <c r="CA220" s="92"/>
      <c r="CB220" s="92"/>
      <c r="CC220" s="93">
        <f t="shared" si="129"/>
        <v>0</v>
      </c>
      <c r="CD220" s="181"/>
      <c r="CE220" s="182"/>
      <c r="CF220" s="92"/>
      <c r="CG220" s="92"/>
      <c r="CH220" s="92"/>
      <c r="CI220" s="92"/>
      <c r="CJ220" s="92"/>
      <c r="CK220" s="92"/>
      <c r="CL220" s="93">
        <f t="shared" si="130"/>
        <v>0</v>
      </c>
      <c r="CM220" s="181"/>
      <c r="CN220" s="182"/>
      <c r="CO220" s="92"/>
      <c r="CP220" s="92"/>
      <c r="CQ220" s="92"/>
      <c r="CR220" s="92"/>
      <c r="CS220" s="92"/>
      <c r="CT220" s="92"/>
      <c r="CU220" s="93">
        <f t="shared" si="131"/>
        <v>0</v>
      </c>
      <c r="CV220" s="95">
        <f t="shared" si="132"/>
        <v>0</v>
      </c>
      <c r="CW220" s="96">
        <f t="shared" si="133"/>
        <v>0</v>
      </c>
      <c r="CX220" s="97">
        <f t="shared" si="134"/>
        <v>0</v>
      </c>
      <c r="CZ220" s="82"/>
      <c r="DA220" s="136"/>
      <c r="DB220" s="137"/>
      <c r="DC220" s="92"/>
      <c r="DD220" s="92"/>
      <c r="DE220" s="92"/>
      <c r="DF220" s="92"/>
      <c r="DG220" s="92"/>
      <c r="DH220" s="92"/>
      <c r="DI220" s="93">
        <f t="shared" si="135"/>
        <v>0</v>
      </c>
      <c r="DJ220" s="183"/>
      <c r="DK220" s="184"/>
      <c r="DL220" s="92"/>
      <c r="DM220" s="92"/>
      <c r="DN220" s="92"/>
      <c r="DO220" s="92"/>
      <c r="DP220" s="92"/>
      <c r="DQ220" s="92"/>
      <c r="DR220" s="93">
        <f t="shared" si="136"/>
        <v>0</v>
      </c>
      <c r="DS220" s="183"/>
      <c r="DT220" s="184"/>
      <c r="DU220" s="92"/>
      <c r="DV220" s="92"/>
      <c r="DW220" s="92"/>
      <c r="DX220" s="92"/>
      <c r="DY220" s="92"/>
      <c r="DZ220" s="92"/>
      <c r="EA220" s="93">
        <f t="shared" si="137"/>
        <v>0</v>
      </c>
      <c r="EB220" s="95">
        <f t="shared" si="138"/>
        <v>0</v>
      </c>
      <c r="EC220" s="96">
        <f t="shared" si="139"/>
        <v>0</v>
      </c>
      <c r="ED220" s="97">
        <f t="shared" si="140"/>
        <v>0</v>
      </c>
    </row>
    <row r="221" spans="1:134" s="6" customFormat="1" ht="21.95" customHeight="1" x14ac:dyDescent="0.5">
      <c r="A221" s="83">
        <v>25</v>
      </c>
      <c r="B221" s="103">
        <v>494</v>
      </c>
      <c r="C221" s="103">
        <v>494</v>
      </c>
      <c r="D221" s="103" t="s">
        <v>123</v>
      </c>
      <c r="E221" s="148" t="s">
        <v>438</v>
      </c>
      <c r="F221" s="83" t="s">
        <v>431</v>
      </c>
      <c r="G221" s="222"/>
      <c r="H221" s="180">
        <v>8.6345320382042769E-3</v>
      </c>
      <c r="I221" s="181">
        <f t="shared" si="141"/>
        <v>850.01255006615941</v>
      </c>
      <c r="J221" s="182">
        <f t="shared" si="116"/>
        <v>641.77022827157111</v>
      </c>
      <c r="K221" s="92">
        <v>0</v>
      </c>
      <c r="L221" s="92">
        <v>0</v>
      </c>
      <c r="M221" s="92">
        <v>122</v>
      </c>
      <c r="N221" s="92">
        <v>54.88</v>
      </c>
      <c r="O221" s="92">
        <v>122</v>
      </c>
      <c r="P221" s="92">
        <v>54.88</v>
      </c>
      <c r="Q221" s="93">
        <f t="shared" si="117"/>
        <v>8.5513471305460761E-2</v>
      </c>
      <c r="R221" s="94">
        <v>850.0125500661602</v>
      </c>
      <c r="S221" s="91">
        <v>641.77022827157111</v>
      </c>
      <c r="T221" s="92">
        <v>260</v>
      </c>
      <c r="U221" s="92">
        <v>208</v>
      </c>
      <c r="V221" s="92">
        <v>940</v>
      </c>
      <c r="W221" s="92">
        <v>446</v>
      </c>
      <c r="X221" s="92">
        <v>1162</v>
      </c>
      <c r="Y221" s="92">
        <v>652.88</v>
      </c>
      <c r="Z221" s="93">
        <f t="shared" si="118"/>
        <v>1.01731113604062</v>
      </c>
      <c r="AA221" s="94">
        <v>850.0125500661602</v>
      </c>
      <c r="AB221" s="91">
        <v>641.77022827157111</v>
      </c>
      <c r="AC221" s="92">
        <v>120</v>
      </c>
      <c r="AD221" s="92">
        <v>42</v>
      </c>
      <c r="AE221" s="92">
        <v>722</v>
      </c>
      <c r="AF221" s="92">
        <v>498.88</v>
      </c>
      <c r="AG221" s="92"/>
      <c r="AH221" s="92"/>
      <c r="AI221" s="93">
        <f t="shared" si="119"/>
        <v>0</v>
      </c>
      <c r="AJ221" s="95">
        <f t="shared" si="120"/>
        <v>1925.3106848147133</v>
      </c>
      <c r="AK221" s="96">
        <f t="shared" si="121"/>
        <v>707.76</v>
      </c>
      <c r="AL221" s="97">
        <f t="shared" si="122"/>
        <v>0.36760820244869358</v>
      </c>
      <c r="AN221" s="89">
        <v>1.9780211699737857E-2</v>
      </c>
      <c r="AO221" s="183"/>
      <c r="AP221" s="184"/>
      <c r="AQ221" s="92"/>
      <c r="AR221" s="92"/>
      <c r="AS221" s="92"/>
      <c r="AT221" s="92"/>
      <c r="AU221" s="92"/>
      <c r="AV221" s="92"/>
      <c r="AW221" s="93">
        <f t="shared" si="123"/>
        <v>0</v>
      </c>
      <c r="AX221" s="183"/>
      <c r="AY221" s="184"/>
      <c r="AZ221" s="92"/>
      <c r="BA221" s="92"/>
      <c r="BB221" s="92"/>
      <c r="BC221" s="92"/>
      <c r="BD221" s="92"/>
      <c r="BE221" s="92"/>
      <c r="BF221" s="93">
        <f t="shared" si="124"/>
        <v>0</v>
      </c>
      <c r="BG221" s="181"/>
      <c r="BH221" s="182"/>
      <c r="BI221" s="92"/>
      <c r="BJ221" s="92"/>
      <c r="BK221" s="92"/>
      <c r="BL221" s="92"/>
      <c r="BM221" s="92"/>
      <c r="BN221" s="92"/>
      <c r="BO221" s="93">
        <f t="shared" si="125"/>
        <v>0</v>
      </c>
      <c r="BP221" s="95">
        <f t="shared" si="126"/>
        <v>0</v>
      </c>
      <c r="BQ221" s="96">
        <f t="shared" si="127"/>
        <v>0</v>
      </c>
      <c r="BR221" s="97">
        <f t="shared" si="128"/>
        <v>0</v>
      </c>
      <c r="BT221" s="82"/>
      <c r="BU221" s="181"/>
      <c r="BV221" s="182"/>
      <c r="BW221" s="92"/>
      <c r="BX221" s="92"/>
      <c r="BY221" s="92"/>
      <c r="BZ221" s="92"/>
      <c r="CA221" s="92"/>
      <c r="CB221" s="92"/>
      <c r="CC221" s="93">
        <f t="shared" si="129"/>
        <v>0</v>
      </c>
      <c r="CD221" s="181"/>
      <c r="CE221" s="182"/>
      <c r="CF221" s="92"/>
      <c r="CG221" s="92"/>
      <c r="CH221" s="92"/>
      <c r="CI221" s="92"/>
      <c r="CJ221" s="92"/>
      <c r="CK221" s="92"/>
      <c r="CL221" s="93">
        <f t="shared" si="130"/>
        <v>0</v>
      </c>
      <c r="CM221" s="181"/>
      <c r="CN221" s="182"/>
      <c r="CO221" s="92"/>
      <c r="CP221" s="92"/>
      <c r="CQ221" s="92"/>
      <c r="CR221" s="92"/>
      <c r="CS221" s="92"/>
      <c r="CT221" s="92"/>
      <c r="CU221" s="93">
        <f t="shared" si="131"/>
        <v>0</v>
      </c>
      <c r="CV221" s="95">
        <f t="shared" si="132"/>
        <v>0</v>
      </c>
      <c r="CW221" s="96">
        <f t="shared" si="133"/>
        <v>0</v>
      </c>
      <c r="CX221" s="97">
        <f t="shared" si="134"/>
        <v>0</v>
      </c>
      <c r="CZ221" s="82"/>
      <c r="DA221" s="136"/>
      <c r="DB221" s="137"/>
      <c r="DC221" s="92"/>
      <c r="DD221" s="92"/>
      <c r="DE221" s="92"/>
      <c r="DF221" s="92"/>
      <c r="DG221" s="92"/>
      <c r="DH221" s="92"/>
      <c r="DI221" s="93">
        <f t="shared" si="135"/>
        <v>0</v>
      </c>
      <c r="DJ221" s="183"/>
      <c r="DK221" s="184"/>
      <c r="DL221" s="92"/>
      <c r="DM221" s="92"/>
      <c r="DN221" s="92"/>
      <c r="DO221" s="92"/>
      <c r="DP221" s="92"/>
      <c r="DQ221" s="92"/>
      <c r="DR221" s="93">
        <f t="shared" si="136"/>
        <v>0</v>
      </c>
      <c r="DS221" s="183"/>
      <c r="DT221" s="184"/>
      <c r="DU221" s="92"/>
      <c r="DV221" s="92"/>
      <c r="DW221" s="92"/>
      <c r="DX221" s="92"/>
      <c r="DY221" s="92"/>
      <c r="DZ221" s="92"/>
      <c r="EA221" s="93">
        <f t="shared" si="137"/>
        <v>0</v>
      </c>
      <c r="EB221" s="95">
        <f t="shared" si="138"/>
        <v>0</v>
      </c>
      <c r="EC221" s="96">
        <f t="shared" si="139"/>
        <v>0</v>
      </c>
      <c r="ED221" s="97">
        <f t="shared" si="140"/>
        <v>0</v>
      </c>
    </row>
    <row r="222" spans="1:134" s="6" customFormat="1" ht="21.95" customHeight="1" x14ac:dyDescent="0.5">
      <c r="A222" s="83">
        <v>26</v>
      </c>
      <c r="B222" s="103" t="s">
        <v>451</v>
      </c>
      <c r="C222" s="103" t="s">
        <v>451</v>
      </c>
      <c r="D222" s="103" t="s">
        <v>108</v>
      </c>
      <c r="E222" s="148" t="s">
        <v>109</v>
      </c>
      <c r="F222" s="83" t="s">
        <v>431</v>
      </c>
      <c r="G222" s="222"/>
      <c r="H222" s="180">
        <v>4.899363600377577E-3</v>
      </c>
      <c r="I222" s="181">
        <f t="shared" si="141"/>
        <v>482.30993054770795</v>
      </c>
      <c r="J222" s="182">
        <f t="shared" si="116"/>
        <v>364.15009896166379</v>
      </c>
      <c r="K222" s="92">
        <v>780</v>
      </c>
      <c r="L222" s="92">
        <v>390</v>
      </c>
      <c r="M222" s="92">
        <v>960</v>
      </c>
      <c r="N222" s="92">
        <v>570</v>
      </c>
      <c r="O222" s="92">
        <v>960</v>
      </c>
      <c r="P222" s="92">
        <v>570</v>
      </c>
      <c r="Q222" s="93">
        <f t="shared" si="117"/>
        <v>1.565288603862242</v>
      </c>
      <c r="R222" s="94">
        <v>482.30993054770846</v>
      </c>
      <c r="S222" s="91">
        <v>364.15009896166379</v>
      </c>
      <c r="T222" s="92">
        <v>600</v>
      </c>
      <c r="U222" s="92">
        <v>210</v>
      </c>
      <c r="V222" s="92">
        <v>1150</v>
      </c>
      <c r="W222" s="92">
        <v>734.8</v>
      </c>
      <c r="X222" s="92">
        <v>1510</v>
      </c>
      <c r="Y222" s="92">
        <v>1094.8</v>
      </c>
      <c r="Z222" s="93">
        <f t="shared" si="118"/>
        <v>3.0064525675585658</v>
      </c>
      <c r="AA222" s="94">
        <v>482.30993054770846</v>
      </c>
      <c r="AB222" s="91">
        <v>364.15009896166379</v>
      </c>
      <c r="AC222" s="92">
        <v>1740</v>
      </c>
      <c r="AD222" s="92">
        <v>1350</v>
      </c>
      <c r="AE222" s="92">
        <v>2880</v>
      </c>
      <c r="AF222" s="92">
        <v>2100</v>
      </c>
      <c r="AG222" s="92"/>
      <c r="AH222" s="92"/>
      <c r="AI222" s="93">
        <f t="shared" si="119"/>
        <v>0</v>
      </c>
      <c r="AJ222" s="95">
        <f t="shared" si="120"/>
        <v>1092.4502968849913</v>
      </c>
      <c r="AK222" s="96">
        <f t="shared" si="121"/>
        <v>1664.8</v>
      </c>
      <c r="AL222" s="97">
        <f t="shared" si="122"/>
        <v>1.523913723806936</v>
      </c>
      <c r="AN222" s="89">
        <v>1.29564063252558E-2</v>
      </c>
      <c r="AO222" s="183"/>
      <c r="AP222" s="184"/>
      <c r="AQ222" s="92"/>
      <c r="AR222" s="92"/>
      <c r="AS222" s="92"/>
      <c r="AT222" s="92"/>
      <c r="AU222" s="92"/>
      <c r="AV222" s="92"/>
      <c r="AW222" s="93">
        <f t="shared" si="123"/>
        <v>0</v>
      </c>
      <c r="AX222" s="183"/>
      <c r="AY222" s="184"/>
      <c r="AZ222" s="92"/>
      <c r="BA222" s="92"/>
      <c r="BB222" s="92"/>
      <c r="BC222" s="92"/>
      <c r="BD222" s="92"/>
      <c r="BE222" s="92"/>
      <c r="BF222" s="93">
        <f t="shared" si="124"/>
        <v>0</v>
      </c>
      <c r="BG222" s="181"/>
      <c r="BH222" s="182"/>
      <c r="BI222" s="92"/>
      <c r="BJ222" s="92"/>
      <c r="BK222" s="92"/>
      <c r="BL222" s="92"/>
      <c r="BM222" s="92"/>
      <c r="BN222" s="92"/>
      <c r="BO222" s="93">
        <f t="shared" si="125"/>
        <v>0</v>
      </c>
      <c r="BP222" s="95">
        <f t="shared" si="126"/>
        <v>0</v>
      </c>
      <c r="BQ222" s="96">
        <f t="shared" si="127"/>
        <v>0</v>
      </c>
      <c r="BR222" s="97">
        <f t="shared" si="128"/>
        <v>0</v>
      </c>
      <c r="BT222" s="82"/>
      <c r="BU222" s="181"/>
      <c r="BV222" s="182"/>
      <c r="BW222" s="92"/>
      <c r="BX222" s="92"/>
      <c r="BY222" s="92"/>
      <c r="BZ222" s="92"/>
      <c r="CA222" s="92"/>
      <c r="CB222" s="92"/>
      <c r="CC222" s="93">
        <f t="shared" si="129"/>
        <v>0</v>
      </c>
      <c r="CD222" s="181"/>
      <c r="CE222" s="182"/>
      <c r="CF222" s="92"/>
      <c r="CG222" s="92"/>
      <c r="CH222" s="92"/>
      <c r="CI222" s="92"/>
      <c r="CJ222" s="92"/>
      <c r="CK222" s="92"/>
      <c r="CL222" s="93">
        <f t="shared" si="130"/>
        <v>0</v>
      </c>
      <c r="CM222" s="181"/>
      <c r="CN222" s="182"/>
      <c r="CO222" s="92"/>
      <c r="CP222" s="92"/>
      <c r="CQ222" s="92"/>
      <c r="CR222" s="92"/>
      <c r="CS222" s="92"/>
      <c r="CT222" s="92"/>
      <c r="CU222" s="93">
        <f t="shared" si="131"/>
        <v>0</v>
      </c>
      <c r="CV222" s="95">
        <f t="shared" si="132"/>
        <v>0</v>
      </c>
      <c r="CW222" s="96">
        <f t="shared" si="133"/>
        <v>0</v>
      </c>
      <c r="CX222" s="97">
        <f t="shared" si="134"/>
        <v>0</v>
      </c>
      <c r="CZ222" s="82"/>
      <c r="DA222" s="136"/>
      <c r="DB222" s="137"/>
      <c r="DC222" s="92"/>
      <c r="DD222" s="92"/>
      <c r="DE222" s="92"/>
      <c r="DF222" s="92"/>
      <c r="DG222" s="92"/>
      <c r="DH222" s="92"/>
      <c r="DI222" s="93">
        <f t="shared" si="135"/>
        <v>0</v>
      </c>
      <c r="DJ222" s="183"/>
      <c r="DK222" s="184"/>
      <c r="DL222" s="92"/>
      <c r="DM222" s="92"/>
      <c r="DN222" s="92"/>
      <c r="DO222" s="92"/>
      <c r="DP222" s="92"/>
      <c r="DQ222" s="92"/>
      <c r="DR222" s="93">
        <f t="shared" si="136"/>
        <v>0</v>
      </c>
      <c r="DS222" s="183"/>
      <c r="DT222" s="184"/>
      <c r="DU222" s="92"/>
      <c r="DV222" s="92"/>
      <c r="DW222" s="92"/>
      <c r="DX222" s="92"/>
      <c r="DY222" s="92"/>
      <c r="DZ222" s="92"/>
      <c r="EA222" s="93">
        <f t="shared" si="137"/>
        <v>0</v>
      </c>
      <c r="EB222" s="95">
        <f t="shared" si="138"/>
        <v>0</v>
      </c>
      <c r="EC222" s="96">
        <f t="shared" si="139"/>
        <v>0</v>
      </c>
      <c r="ED222" s="97">
        <f t="shared" si="140"/>
        <v>0</v>
      </c>
    </row>
    <row r="223" spans="1:134" s="6" customFormat="1" ht="21.95" customHeight="1" x14ac:dyDescent="0.5">
      <c r="A223" s="83">
        <v>27</v>
      </c>
      <c r="B223" s="186" t="s">
        <v>452</v>
      </c>
      <c r="C223" s="103" t="s">
        <v>452</v>
      </c>
      <c r="D223" s="103" t="s">
        <v>123</v>
      </c>
      <c r="E223" s="148" t="s">
        <v>438</v>
      </c>
      <c r="F223" s="83" t="s">
        <v>431</v>
      </c>
      <c r="G223" s="222"/>
      <c r="H223" s="180">
        <v>7.7037849030175696E-3</v>
      </c>
      <c r="I223" s="181">
        <f t="shared" si="141"/>
        <v>758.38665275680614</v>
      </c>
      <c r="J223" s="182">
        <f t="shared" si="116"/>
        <v>572.59151670168387</v>
      </c>
      <c r="K223" s="92">
        <v>600</v>
      </c>
      <c r="L223" s="92">
        <v>210</v>
      </c>
      <c r="M223" s="92">
        <v>780</v>
      </c>
      <c r="N223" s="92">
        <v>390</v>
      </c>
      <c r="O223" s="92">
        <v>780</v>
      </c>
      <c r="P223" s="92">
        <v>390</v>
      </c>
      <c r="Q223" s="93">
        <f t="shared" si="117"/>
        <v>0.68111382831259659</v>
      </c>
      <c r="R223" s="94">
        <v>758.38665275680694</v>
      </c>
      <c r="S223" s="91">
        <v>572.59151670168387</v>
      </c>
      <c r="T223" s="92">
        <v>176</v>
      </c>
      <c r="U223" s="92">
        <v>109.6</v>
      </c>
      <c r="V223" s="92">
        <v>356</v>
      </c>
      <c r="W223" s="92">
        <v>289.60000000000002</v>
      </c>
      <c r="X223" s="92">
        <v>980</v>
      </c>
      <c r="Y223" s="92">
        <v>592</v>
      </c>
      <c r="Z223" s="93">
        <f t="shared" si="118"/>
        <v>1.0338958624642491</v>
      </c>
      <c r="AA223" s="94">
        <v>758.38665275680694</v>
      </c>
      <c r="AB223" s="91">
        <v>572.59151670168387</v>
      </c>
      <c r="AC223" s="92">
        <v>820</v>
      </c>
      <c r="AD223" s="92">
        <v>459.6</v>
      </c>
      <c r="AE223" s="92">
        <v>1116</v>
      </c>
      <c r="AF223" s="92">
        <v>703.6</v>
      </c>
      <c r="AG223" s="92"/>
      <c r="AH223" s="92"/>
      <c r="AI223" s="93">
        <f t="shared" si="119"/>
        <v>0</v>
      </c>
      <c r="AJ223" s="95">
        <f t="shared" si="120"/>
        <v>1717.7745501050517</v>
      </c>
      <c r="AK223" s="96">
        <f t="shared" si="121"/>
        <v>982</v>
      </c>
      <c r="AL223" s="97">
        <f t="shared" si="122"/>
        <v>0.57166989692561521</v>
      </c>
      <c r="AN223" s="89">
        <v>9.2503740960112359E-3</v>
      </c>
      <c r="AO223" s="183"/>
      <c r="AP223" s="184"/>
      <c r="AQ223" s="92"/>
      <c r="AR223" s="92"/>
      <c r="AS223" s="92"/>
      <c r="AT223" s="92"/>
      <c r="AU223" s="92"/>
      <c r="AV223" s="92"/>
      <c r="AW223" s="93">
        <f t="shared" si="123"/>
        <v>0</v>
      </c>
      <c r="AX223" s="183"/>
      <c r="AY223" s="184"/>
      <c r="AZ223" s="92"/>
      <c r="BA223" s="92"/>
      <c r="BB223" s="92"/>
      <c r="BC223" s="92"/>
      <c r="BD223" s="92"/>
      <c r="BE223" s="92"/>
      <c r="BF223" s="93">
        <f t="shared" si="124"/>
        <v>0</v>
      </c>
      <c r="BG223" s="181"/>
      <c r="BH223" s="182"/>
      <c r="BI223" s="92"/>
      <c r="BJ223" s="92"/>
      <c r="BK223" s="92"/>
      <c r="BL223" s="92"/>
      <c r="BM223" s="92"/>
      <c r="BN223" s="92"/>
      <c r="BO223" s="93">
        <f t="shared" si="125"/>
        <v>0</v>
      </c>
      <c r="BP223" s="95">
        <f t="shared" si="126"/>
        <v>0</v>
      </c>
      <c r="BQ223" s="96">
        <f t="shared" si="127"/>
        <v>0</v>
      </c>
      <c r="BR223" s="97">
        <f t="shared" si="128"/>
        <v>0</v>
      </c>
      <c r="BT223" s="82"/>
      <c r="BU223" s="181"/>
      <c r="BV223" s="182"/>
      <c r="BW223" s="92"/>
      <c r="BX223" s="92"/>
      <c r="BY223" s="92"/>
      <c r="BZ223" s="92"/>
      <c r="CA223" s="92"/>
      <c r="CB223" s="92"/>
      <c r="CC223" s="93">
        <f t="shared" si="129"/>
        <v>0</v>
      </c>
      <c r="CD223" s="181"/>
      <c r="CE223" s="182"/>
      <c r="CF223" s="92"/>
      <c r="CG223" s="92"/>
      <c r="CH223" s="92"/>
      <c r="CI223" s="92"/>
      <c r="CJ223" s="92"/>
      <c r="CK223" s="92"/>
      <c r="CL223" s="93">
        <f t="shared" si="130"/>
        <v>0</v>
      </c>
      <c r="CM223" s="181"/>
      <c r="CN223" s="182"/>
      <c r="CO223" s="92"/>
      <c r="CP223" s="92"/>
      <c r="CQ223" s="92"/>
      <c r="CR223" s="92"/>
      <c r="CS223" s="92"/>
      <c r="CT223" s="92"/>
      <c r="CU223" s="93">
        <f t="shared" si="131"/>
        <v>0</v>
      </c>
      <c r="CV223" s="95">
        <f t="shared" si="132"/>
        <v>0</v>
      </c>
      <c r="CW223" s="96">
        <f t="shared" si="133"/>
        <v>0</v>
      </c>
      <c r="CX223" s="97">
        <f t="shared" si="134"/>
        <v>0</v>
      </c>
      <c r="CZ223" s="82"/>
      <c r="DA223" s="136"/>
      <c r="DB223" s="137"/>
      <c r="DC223" s="92"/>
      <c r="DD223" s="92"/>
      <c r="DE223" s="92"/>
      <c r="DF223" s="92"/>
      <c r="DG223" s="92"/>
      <c r="DH223" s="92"/>
      <c r="DI223" s="93">
        <f t="shared" si="135"/>
        <v>0</v>
      </c>
      <c r="DJ223" s="183"/>
      <c r="DK223" s="184"/>
      <c r="DL223" s="92"/>
      <c r="DM223" s="92"/>
      <c r="DN223" s="92"/>
      <c r="DO223" s="92"/>
      <c r="DP223" s="92"/>
      <c r="DQ223" s="92"/>
      <c r="DR223" s="93">
        <f t="shared" si="136"/>
        <v>0</v>
      </c>
      <c r="DS223" s="183"/>
      <c r="DT223" s="184"/>
      <c r="DU223" s="92"/>
      <c r="DV223" s="92"/>
      <c r="DW223" s="92"/>
      <c r="DX223" s="92"/>
      <c r="DY223" s="92"/>
      <c r="DZ223" s="92"/>
      <c r="EA223" s="93">
        <f t="shared" si="137"/>
        <v>0</v>
      </c>
      <c r="EB223" s="95">
        <f t="shared" si="138"/>
        <v>0</v>
      </c>
      <c r="EC223" s="96">
        <f t="shared" si="139"/>
        <v>0</v>
      </c>
      <c r="ED223" s="97">
        <f t="shared" si="140"/>
        <v>0</v>
      </c>
    </row>
    <row r="224" spans="1:134" s="6" customFormat="1" ht="21.95" customHeight="1" x14ac:dyDescent="0.5">
      <c r="A224" s="83">
        <v>28</v>
      </c>
      <c r="B224" s="103" t="s">
        <v>453</v>
      </c>
      <c r="C224" s="103" t="s">
        <v>454</v>
      </c>
      <c r="D224" s="103" t="s">
        <v>430</v>
      </c>
      <c r="E224" s="148" t="s">
        <v>120</v>
      </c>
      <c r="F224" s="83" t="s">
        <v>431</v>
      </c>
      <c r="G224" s="222"/>
      <c r="H224" s="180">
        <v>2.7711295839550155E-2</v>
      </c>
      <c r="I224" s="181">
        <f t="shared" si="141"/>
        <v>2727.9937277425984</v>
      </c>
      <c r="J224" s="182">
        <f t="shared" si="116"/>
        <v>2059.669774570405</v>
      </c>
      <c r="K224" s="92">
        <v>2540</v>
      </c>
      <c r="L224" s="92">
        <v>1932</v>
      </c>
      <c r="M224" s="92">
        <v>2540</v>
      </c>
      <c r="N224" s="92">
        <v>1932</v>
      </c>
      <c r="O224" s="92">
        <v>5460</v>
      </c>
      <c r="P224" s="92">
        <v>3732</v>
      </c>
      <c r="Q224" s="93">
        <f t="shared" si="117"/>
        <v>1.8119409461054992</v>
      </c>
      <c r="R224" s="94">
        <v>2727.9937277426011</v>
      </c>
      <c r="S224" s="91">
        <v>2059.669774570405</v>
      </c>
      <c r="T224" s="92">
        <v>0</v>
      </c>
      <c r="U224" s="92">
        <v>0</v>
      </c>
      <c r="V224" s="92">
        <v>2560</v>
      </c>
      <c r="W224" s="92">
        <v>1766</v>
      </c>
      <c r="X224" s="92">
        <v>2560</v>
      </c>
      <c r="Y224" s="92">
        <v>1766</v>
      </c>
      <c r="Z224" s="93">
        <f t="shared" si="118"/>
        <v>0.85741900075624644</v>
      </c>
      <c r="AA224" s="94">
        <v>2727.9937277426011</v>
      </c>
      <c r="AB224" s="91">
        <v>2059.669774570405</v>
      </c>
      <c r="AC224" s="92">
        <v>280</v>
      </c>
      <c r="AD224" s="92">
        <v>179.2</v>
      </c>
      <c r="AE224" s="92">
        <v>1340</v>
      </c>
      <c r="AF224" s="92">
        <v>987.2</v>
      </c>
      <c r="AG224" s="92"/>
      <c r="AH224" s="92"/>
      <c r="AI224" s="93">
        <f t="shared" si="119"/>
        <v>0</v>
      </c>
      <c r="AJ224" s="95">
        <f t="shared" si="120"/>
        <v>6179.0093237112151</v>
      </c>
      <c r="AK224" s="96">
        <f t="shared" si="121"/>
        <v>5498</v>
      </c>
      <c r="AL224" s="97">
        <f t="shared" si="122"/>
        <v>0.88978664895391524</v>
      </c>
      <c r="AN224" s="89">
        <v>3.2354249620389058E-3</v>
      </c>
      <c r="AO224" s="183"/>
      <c r="AP224" s="184"/>
      <c r="AQ224" s="92"/>
      <c r="AR224" s="92"/>
      <c r="AS224" s="92"/>
      <c r="AT224" s="92"/>
      <c r="AU224" s="92"/>
      <c r="AV224" s="92"/>
      <c r="AW224" s="93">
        <f t="shared" si="123"/>
        <v>0</v>
      </c>
      <c r="AX224" s="183"/>
      <c r="AY224" s="184"/>
      <c r="AZ224" s="92"/>
      <c r="BA224" s="92"/>
      <c r="BB224" s="92"/>
      <c r="BC224" s="92"/>
      <c r="BD224" s="92"/>
      <c r="BE224" s="92"/>
      <c r="BF224" s="93">
        <f t="shared" si="124"/>
        <v>0</v>
      </c>
      <c r="BG224" s="181"/>
      <c r="BH224" s="182"/>
      <c r="BI224" s="92"/>
      <c r="BJ224" s="92"/>
      <c r="BK224" s="92"/>
      <c r="BL224" s="92"/>
      <c r="BM224" s="92"/>
      <c r="BN224" s="92"/>
      <c r="BO224" s="93">
        <f t="shared" si="125"/>
        <v>0</v>
      </c>
      <c r="BP224" s="95">
        <f t="shared" si="126"/>
        <v>0</v>
      </c>
      <c r="BQ224" s="96">
        <f t="shared" si="127"/>
        <v>0</v>
      </c>
      <c r="BR224" s="97">
        <f t="shared" si="128"/>
        <v>0</v>
      </c>
      <c r="BT224" s="82"/>
      <c r="BU224" s="181"/>
      <c r="BV224" s="182"/>
      <c r="BW224" s="92"/>
      <c r="BX224" s="92"/>
      <c r="BY224" s="92"/>
      <c r="BZ224" s="92"/>
      <c r="CA224" s="92"/>
      <c r="CB224" s="92"/>
      <c r="CC224" s="93">
        <f t="shared" si="129"/>
        <v>0</v>
      </c>
      <c r="CD224" s="181"/>
      <c r="CE224" s="182"/>
      <c r="CF224" s="92"/>
      <c r="CG224" s="92"/>
      <c r="CH224" s="92"/>
      <c r="CI224" s="92"/>
      <c r="CJ224" s="92"/>
      <c r="CK224" s="92"/>
      <c r="CL224" s="93">
        <f t="shared" si="130"/>
        <v>0</v>
      </c>
      <c r="CM224" s="181"/>
      <c r="CN224" s="182"/>
      <c r="CO224" s="92"/>
      <c r="CP224" s="92"/>
      <c r="CQ224" s="92"/>
      <c r="CR224" s="92"/>
      <c r="CS224" s="92"/>
      <c r="CT224" s="92"/>
      <c r="CU224" s="93">
        <f t="shared" si="131"/>
        <v>0</v>
      </c>
      <c r="CV224" s="95">
        <f t="shared" si="132"/>
        <v>0</v>
      </c>
      <c r="CW224" s="96">
        <f t="shared" si="133"/>
        <v>0</v>
      </c>
      <c r="CX224" s="97">
        <f t="shared" si="134"/>
        <v>0</v>
      </c>
      <c r="CZ224" s="82"/>
      <c r="DA224" s="136"/>
      <c r="DB224" s="137"/>
      <c r="DC224" s="92"/>
      <c r="DD224" s="92"/>
      <c r="DE224" s="92"/>
      <c r="DF224" s="92"/>
      <c r="DG224" s="92"/>
      <c r="DH224" s="92"/>
      <c r="DI224" s="93">
        <f t="shared" si="135"/>
        <v>0</v>
      </c>
      <c r="DJ224" s="183"/>
      <c r="DK224" s="184"/>
      <c r="DL224" s="92"/>
      <c r="DM224" s="92"/>
      <c r="DN224" s="92"/>
      <c r="DO224" s="92"/>
      <c r="DP224" s="92"/>
      <c r="DQ224" s="92"/>
      <c r="DR224" s="93">
        <f t="shared" si="136"/>
        <v>0</v>
      </c>
      <c r="DS224" s="183"/>
      <c r="DT224" s="184"/>
      <c r="DU224" s="92"/>
      <c r="DV224" s="92"/>
      <c r="DW224" s="92"/>
      <c r="DX224" s="92"/>
      <c r="DY224" s="92"/>
      <c r="DZ224" s="92"/>
      <c r="EA224" s="93">
        <f t="shared" si="137"/>
        <v>0</v>
      </c>
      <c r="EB224" s="95">
        <f t="shared" si="138"/>
        <v>0</v>
      </c>
      <c r="EC224" s="96">
        <f t="shared" si="139"/>
        <v>0</v>
      </c>
      <c r="ED224" s="97">
        <f t="shared" si="140"/>
        <v>0</v>
      </c>
    </row>
    <row r="225" spans="1:134" s="6" customFormat="1" ht="21.95" customHeight="1" x14ac:dyDescent="0.5">
      <c r="A225" s="83">
        <v>29</v>
      </c>
      <c r="B225" s="103" t="s">
        <v>455</v>
      </c>
      <c r="C225" s="103" t="s">
        <v>456</v>
      </c>
      <c r="D225" s="103" t="s">
        <v>430</v>
      </c>
      <c r="E225" s="148" t="s">
        <v>120</v>
      </c>
      <c r="F225" s="83" t="s">
        <v>431</v>
      </c>
      <c r="G225" s="222"/>
      <c r="H225" s="180">
        <v>1.2179897079869674E-5</v>
      </c>
      <c r="I225" s="181">
        <f t="shared" si="141"/>
        <v>1.1990302810384286</v>
      </c>
      <c r="J225" s="182">
        <f t="shared" si="116"/>
        <v>0.90528303035839341</v>
      </c>
      <c r="K225" s="92">
        <v>0</v>
      </c>
      <c r="L225" s="92">
        <v>0</v>
      </c>
      <c r="M225" s="92">
        <v>0</v>
      </c>
      <c r="N225" s="92">
        <v>0</v>
      </c>
      <c r="O225" s="92">
        <v>0</v>
      </c>
      <c r="P225" s="92">
        <v>0</v>
      </c>
      <c r="Q225" s="93">
        <f t="shared" si="117"/>
        <v>0</v>
      </c>
      <c r="R225" s="94">
        <v>1.1990302810384299</v>
      </c>
      <c r="S225" s="91">
        <v>0.90528303035839341</v>
      </c>
      <c r="T225" s="92">
        <v>0</v>
      </c>
      <c r="U225" s="92">
        <v>0</v>
      </c>
      <c r="V225" s="92">
        <v>120</v>
      </c>
      <c r="W225" s="92">
        <v>96</v>
      </c>
      <c r="X225" s="92">
        <v>120</v>
      </c>
      <c r="Y225" s="92">
        <v>96</v>
      </c>
      <c r="Z225" s="93">
        <f t="shared" si="118"/>
        <v>106.04418373113043</v>
      </c>
      <c r="AA225" s="94">
        <v>1.1990302810384299</v>
      </c>
      <c r="AB225" s="91">
        <v>0.90528303035839341</v>
      </c>
      <c r="AC225" s="92">
        <v>0</v>
      </c>
      <c r="AD225" s="92">
        <v>0</v>
      </c>
      <c r="AE225" s="92">
        <v>0</v>
      </c>
      <c r="AF225" s="92">
        <v>0</v>
      </c>
      <c r="AG225" s="92"/>
      <c r="AH225" s="92"/>
      <c r="AI225" s="93">
        <f t="shared" si="119"/>
        <v>0</v>
      </c>
      <c r="AJ225" s="95">
        <f t="shared" si="120"/>
        <v>2.7158490910751802</v>
      </c>
      <c r="AK225" s="96">
        <f t="shared" si="121"/>
        <v>96</v>
      </c>
      <c r="AL225" s="97">
        <f t="shared" si="122"/>
        <v>35.348061243710141</v>
      </c>
      <c r="AN225" s="89">
        <v>9.1474287563099981E-3</v>
      </c>
      <c r="AO225" s="183"/>
      <c r="AP225" s="184"/>
      <c r="AQ225" s="92"/>
      <c r="AR225" s="92"/>
      <c r="AS225" s="92"/>
      <c r="AT225" s="92"/>
      <c r="AU225" s="92"/>
      <c r="AV225" s="92"/>
      <c r="AW225" s="93">
        <f t="shared" si="123"/>
        <v>0</v>
      </c>
      <c r="AX225" s="183"/>
      <c r="AY225" s="184"/>
      <c r="AZ225" s="92"/>
      <c r="BA225" s="92"/>
      <c r="BB225" s="92"/>
      <c r="BC225" s="92"/>
      <c r="BD225" s="92"/>
      <c r="BE225" s="92"/>
      <c r="BF225" s="93">
        <f t="shared" si="124"/>
        <v>0</v>
      </c>
      <c r="BG225" s="181"/>
      <c r="BH225" s="182"/>
      <c r="BI225" s="92"/>
      <c r="BJ225" s="92"/>
      <c r="BK225" s="92"/>
      <c r="BL225" s="92"/>
      <c r="BM225" s="92"/>
      <c r="BN225" s="92"/>
      <c r="BO225" s="93">
        <f t="shared" si="125"/>
        <v>0</v>
      </c>
      <c r="BP225" s="95">
        <f t="shared" si="126"/>
        <v>0</v>
      </c>
      <c r="BQ225" s="96">
        <f t="shared" si="127"/>
        <v>0</v>
      </c>
      <c r="BR225" s="97">
        <f t="shared" si="128"/>
        <v>0</v>
      </c>
      <c r="BT225" s="82"/>
      <c r="BU225" s="181"/>
      <c r="BV225" s="182"/>
      <c r="BW225" s="92"/>
      <c r="BX225" s="92"/>
      <c r="BY225" s="92"/>
      <c r="BZ225" s="92"/>
      <c r="CA225" s="92"/>
      <c r="CB225" s="92"/>
      <c r="CC225" s="93">
        <f t="shared" si="129"/>
        <v>0</v>
      </c>
      <c r="CD225" s="181"/>
      <c r="CE225" s="182"/>
      <c r="CF225" s="92"/>
      <c r="CG225" s="92"/>
      <c r="CH225" s="92"/>
      <c r="CI225" s="92"/>
      <c r="CJ225" s="92"/>
      <c r="CK225" s="92"/>
      <c r="CL225" s="93">
        <f t="shared" si="130"/>
        <v>0</v>
      </c>
      <c r="CM225" s="181"/>
      <c r="CN225" s="182"/>
      <c r="CO225" s="92"/>
      <c r="CP225" s="92"/>
      <c r="CQ225" s="92"/>
      <c r="CR225" s="92"/>
      <c r="CS225" s="92"/>
      <c r="CT225" s="92"/>
      <c r="CU225" s="93">
        <f t="shared" si="131"/>
        <v>0</v>
      </c>
      <c r="CV225" s="95">
        <f t="shared" si="132"/>
        <v>0</v>
      </c>
      <c r="CW225" s="96">
        <f t="shared" si="133"/>
        <v>0</v>
      </c>
      <c r="CX225" s="97">
        <f t="shared" si="134"/>
        <v>0</v>
      </c>
      <c r="CZ225" s="82"/>
      <c r="DA225" s="136"/>
      <c r="DB225" s="137"/>
      <c r="DC225" s="92"/>
      <c r="DD225" s="92"/>
      <c r="DE225" s="92"/>
      <c r="DF225" s="92"/>
      <c r="DG225" s="92"/>
      <c r="DH225" s="92"/>
      <c r="DI225" s="93">
        <f t="shared" si="135"/>
        <v>0</v>
      </c>
      <c r="DJ225" s="183"/>
      <c r="DK225" s="184"/>
      <c r="DL225" s="92"/>
      <c r="DM225" s="92"/>
      <c r="DN225" s="92"/>
      <c r="DO225" s="92"/>
      <c r="DP225" s="92"/>
      <c r="DQ225" s="92"/>
      <c r="DR225" s="93">
        <f t="shared" si="136"/>
        <v>0</v>
      </c>
      <c r="DS225" s="183"/>
      <c r="DT225" s="184"/>
      <c r="DU225" s="92"/>
      <c r="DV225" s="92"/>
      <c r="DW225" s="92"/>
      <c r="DX225" s="92"/>
      <c r="DY225" s="92"/>
      <c r="DZ225" s="92"/>
      <c r="EA225" s="93">
        <f t="shared" si="137"/>
        <v>0</v>
      </c>
      <c r="EB225" s="95">
        <f t="shared" si="138"/>
        <v>0</v>
      </c>
      <c r="EC225" s="96">
        <f t="shared" si="139"/>
        <v>0</v>
      </c>
      <c r="ED225" s="97">
        <f t="shared" si="140"/>
        <v>0</v>
      </c>
    </row>
    <row r="226" spans="1:134" s="6" customFormat="1" ht="21.95" customHeight="1" x14ac:dyDescent="0.5">
      <c r="A226" s="83">
        <v>30</v>
      </c>
      <c r="B226" s="103" t="s">
        <v>457</v>
      </c>
      <c r="C226" s="103" t="s">
        <v>458</v>
      </c>
      <c r="D226" s="103" t="s">
        <v>123</v>
      </c>
      <c r="E226" s="148" t="s">
        <v>438</v>
      </c>
      <c r="F226" s="83" t="s">
        <v>431</v>
      </c>
      <c r="G226" s="222"/>
      <c r="H226" s="180">
        <v>8.5096880931356117E-3</v>
      </c>
      <c r="I226" s="181">
        <f t="shared" si="141"/>
        <v>837.72248968551537</v>
      </c>
      <c r="J226" s="182">
        <f t="shared" si="116"/>
        <v>632.49107721039752</v>
      </c>
      <c r="K226" s="92">
        <v>700</v>
      </c>
      <c r="L226" s="92">
        <v>448</v>
      </c>
      <c r="M226" s="92">
        <v>700</v>
      </c>
      <c r="N226" s="92">
        <v>448</v>
      </c>
      <c r="O226" s="92">
        <v>700</v>
      </c>
      <c r="P226" s="92">
        <v>448</v>
      </c>
      <c r="Q226" s="93">
        <f t="shared" si="117"/>
        <v>0.70831038751709263</v>
      </c>
      <c r="R226" s="94">
        <v>837.72248968551628</v>
      </c>
      <c r="S226" s="91">
        <v>632.49107721039752</v>
      </c>
      <c r="T226" s="92">
        <v>0</v>
      </c>
      <c r="U226" s="92">
        <v>0</v>
      </c>
      <c r="V226" s="92">
        <v>350</v>
      </c>
      <c r="W226" s="92">
        <v>224</v>
      </c>
      <c r="X226" s="92">
        <v>350</v>
      </c>
      <c r="Y226" s="92">
        <v>224</v>
      </c>
      <c r="Z226" s="93">
        <f t="shared" si="118"/>
        <v>0.35415519375854632</v>
      </c>
      <c r="AA226" s="94">
        <v>837.72248968551628</v>
      </c>
      <c r="AB226" s="91">
        <v>632.49107721039752</v>
      </c>
      <c r="AC226" s="92">
        <v>700</v>
      </c>
      <c r="AD226" s="92">
        <v>448</v>
      </c>
      <c r="AE226" s="92">
        <v>2100</v>
      </c>
      <c r="AF226" s="92">
        <v>1344</v>
      </c>
      <c r="AG226" s="92"/>
      <c r="AH226" s="92"/>
      <c r="AI226" s="93">
        <f t="shared" si="119"/>
        <v>0</v>
      </c>
      <c r="AJ226" s="95">
        <f t="shared" si="120"/>
        <v>1897.4732316311924</v>
      </c>
      <c r="AK226" s="96">
        <f t="shared" si="121"/>
        <v>672</v>
      </c>
      <c r="AL226" s="97">
        <f t="shared" si="122"/>
        <v>0.35415519375854632</v>
      </c>
      <c r="AN226" s="89">
        <v>1.0007757666670343E-2</v>
      </c>
      <c r="AO226" s="183"/>
      <c r="AP226" s="184"/>
      <c r="AQ226" s="92"/>
      <c r="AR226" s="92"/>
      <c r="AS226" s="92"/>
      <c r="AT226" s="92"/>
      <c r="AU226" s="92"/>
      <c r="AV226" s="92"/>
      <c r="AW226" s="93">
        <f t="shared" si="123"/>
        <v>0</v>
      </c>
      <c r="AX226" s="183"/>
      <c r="AY226" s="184"/>
      <c r="AZ226" s="92"/>
      <c r="BA226" s="92"/>
      <c r="BB226" s="92"/>
      <c r="BC226" s="92"/>
      <c r="BD226" s="92"/>
      <c r="BE226" s="92"/>
      <c r="BF226" s="93">
        <f t="shared" si="124"/>
        <v>0</v>
      </c>
      <c r="BG226" s="181"/>
      <c r="BH226" s="182"/>
      <c r="BI226" s="92"/>
      <c r="BJ226" s="92"/>
      <c r="BK226" s="92"/>
      <c r="BL226" s="92"/>
      <c r="BM226" s="92"/>
      <c r="BN226" s="92"/>
      <c r="BO226" s="93">
        <f t="shared" si="125"/>
        <v>0</v>
      </c>
      <c r="BP226" s="95">
        <f t="shared" si="126"/>
        <v>0</v>
      </c>
      <c r="BQ226" s="96">
        <f t="shared" si="127"/>
        <v>0</v>
      </c>
      <c r="BR226" s="97">
        <f t="shared" si="128"/>
        <v>0</v>
      </c>
      <c r="BT226" s="82"/>
      <c r="BU226" s="181"/>
      <c r="BV226" s="182"/>
      <c r="BW226" s="92"/>
      <c r="BX226" s="92"/>
      <c r="BY226" s="92"/>
      <c r="BZ226" s="92"/>
      <c r="CA226" s="92"/>
      <c r="CB226" s="92"/>
      <c r="CC226" s="93">
        <f t="shared" si="129"/>
        <v>0</v>
      </c>
      <c r="CD226" s="181"/>
      <c r="CE226" s="182"/>
      <c r="CF226" s="92"/>
      <c r="CG226" s="92"/>
      <c r="CH226" s="92"/>
      <c r="CI226" s="92"/>
      <c r="CJ226" s="92"/>
      <c r="CK226" s="92"/>
      <c r="CL226" s="93">
        <f t="shared" si="130"/>
        <v>0</v>
      </c>
      <c r="CM226" s="181"/>
      <c r="CN226" s="182"/>
      <c r="CO226" s="92"/>
      <c r="CP226" s="92"/>
      <c r="CQ226" s="92"/>
      <c r="CR226" s="92"/>
      <c r="CS226" s="92"/>
      <c r="CT226" s="92"/>
      <c r="CU226" s="93">
        <f t="shared" si="131"/>
        <v>0</v>
      </c>
      <c r="CV226" s="95">
        <f t="shared" si="132"/>
        <v>0</v>
      </c>
      <c r="CW226" s="96">
        <f t="shared" si="133"/>
        <v>0</v>
      </c>
      <c r="CX226" s="97">
        <f t="shared" si="134"/>
        <v>0</v>
      </c>
      <c r="CZ226" s="82"/>
      <c r="DA226" s="136"/>
      <c r="DB226" s="137"/>
      <c r="DC226" s="92"/>
      <c r="DD226" s="92"/>
      <c r="DE226" s="92"/>
      <c r="DF226" s="92"/>
      <c r="DG226" s="92"/>
      <c r="DH226" s="92"/>
      <c r="DI226" s="93">
        <f t="shared" si="135"/>
        <v>0</v>
      </c>
      <c r="DJ226" s="183"/>
      <c r="DK226" s="184"/>
      <c r="DL226" s="92"/>
      <c r="DM226" s="92"/>
      <c r="DN226" s="92"/>
      <c r="DO226" s="92"/>
      <c r="DP226" s="92"/>
      <c r="DQ226" s="92"/>
      <c r="DR226" s="93">
        <f t="shared" si="136"/>
        <v>0</v>
      </c>
      <c r="DS226" s="183"/>
      <c r="DT226" s="184"/>
      <c r="DU226" s="92"/>
      <c r="DV226" s="92"/>
      <c r="DW226" s="92"/>
      <c r="DX226" s="92"/>
      <c r="DY226" s="92"/>
      <c r="DZ226" s="92"/>
      <c r="EA226" s="93">
        <f t="shared" si="137"/>
        <v>0</v>
      </c>
      <c r="EB226" s="95">
        <f t="shared" si="138"/>
        <v>0</v>
      </c>
      <c r="EC226" s="96">
        <f t="shared" si="139"/>
        <v>0</v>
      </c>
      <c r="ED226" s="97">
        <f t="shared" si="140"/>
        <v>0</v>
      </c>
    </row>
    <row r="227" spans="1:134" s="6" customFormat="1" ht="21.95" customHeight="1" x14ac:dyDescent="0.5">
      <c r="A227" s="83">
        <v>31</v>
      </c>
      <c r="B227" s="103" t="s">
        <v>459</v>
      </c>
      <c r="C227" s="103" t="s">
        <v>73</v>
      </c>
      <c r="D227" s="103" t="s">
        <v>430</v>
      </c>
      <c r="E227" s="148" t="s">
        <v>120</v>
      </c>
      <c r="F227" s="83" t="s">
        <v>431</v>
      </c>
      <c r="G227" s="222"/>
      <c r="H227" s="180">
        <v>8.6223521411244071E-3</v>
      </c>
      <c r="I227" s="181">
        <f t="shared" si="141"/>
        <v>848.81351978512089</v>
      </c>
      <c r="J227" s="182">
        <f t="shared" si="116"/>
        <v>640.86494524121269</v>
      </c>
      <c r="K227" s="92">
        <v>464</v>
      </c>
      <c r="L227" s="92">
        <v>302</v>
      </c>
      <c r="M227" s="92">
        <v>464</v>
      </c>
      <c r="N227" s="92">
        <v>302</v>
      </c>
      <c r="O227" s="92">
        <v>464</v>
      </c>
      <c r="P227" s="92">
        <v>302</v>
      </c>
      <c r="Q227" s="93">
        <f t="shared" si="117"/>
        <v>0.47123813253092095</v>
      </c>
      <c r="R227" s="94">
        <v>848.8135197851218</v>
      </c>
      <c r="S227" s="91">
        <v>640.86494524121269</v>
      </c>
      <c r="T227" s="92">
        <v>308</v>
      </c>
      <c r="U227" s="92">
        <v>227.28</v>
      </c>
      <c r="V227" s="92">
        <v>564</v>
      </c>
      <c r="W227" s="92">
        <v>401.52</v>
      </c>
      <c r="X227" s="92">
        <v>564</v>
      </c>
      <c r="Y227" s="92">
        <v>401.52</v>
      </c>
      <c r="Z227" s="93">
        <f t="shared" si="118"/>
        <v>0.62652826150269991</v>
      </c>
      <c r="AA227" s="94">
        <v>848.8135197851218</v>
      </c>
      <c r="AB227" s="91">
        <v>640.86494524121269</v>
      </c>
      <c r="AC227" s="92">
        <v>1134</v>
      </c>
      <c r="AD227" s="92">
        <v>690.4</v>
      </c>
      <c r="AE227" s="92">
        <v>1274</v>
      </c>
      <c r="AF227" s="92">
        <v>780</v>
      </c>
      <c r="AG227" s="92"/>
      <c r="AH227" s="92"/>
      <c r="AI227" s="93">
        <f t="shared" si="119"/>
        <v>0</v>
      </c>
      <c r="AJ227" s="95">
        <f t="shared" si="120"/>
        <v>1922.594835723638</v>
      </c>
      <c r="AK227" s="96">
        <f t="shared" si="121"/>
        <v>703.52</v>
      </c>
      <c r="AL227" s="97">
        <f t="shared" si="122"/>
        <v>0.36592213134454032</v>
      </c>
      <c r="AN227" s="89">
        <v>1.8677225917224591E-3</v>
      </c>
      <c r="AO227" s="183"/>
      <c r="AP227" s="184"/>
      <c r="AQ227" s="92"/>
      <c r="AR227" s="92"/>
      <c r="AS227" s="92"/>
      <c r="AT227" s="92"/>
      <c r="AU227" s="92"/>
      <c r="AV227" s="92"/>
      <c r="AW227" s="93">
        <f t="shared" si="123"/>
        <v>0</v>
      </c>
      <c r="AX227" s="183"/>
      <c r="AY227" s="184"/>
      <c r="AZ227" s="92"/>
      <c r="BA227" s="92"/>
      <c r="BB227" s="92"/>
      <c r="BC227" s="92"/>
      <c r="BD227" s="92"/>
      <c r="BE227" s="92"/>
      <c r="BF227" s="93">
        <f t="shared" si="124"/>
        <v>0</v>
      </c>
      <c r="BG227" s="181"/>
      <c r="BH227" s="182"/>
      <c r="BI227" s="92"/>
      <c r="BJ227" s="92"/>
      <c r="BK227" s="92"/>
      <c r="BL227" s="92"/>
      <c r="BM227" s="92"/>
      <c r="BN227" s="92"/>
      <c r="BO227" s="93">
        <f t="shared" si="125"/>
        <v>0</v>
      </c>
      <c r="BP227" s="95">
        <f t="shared" si="126"/>
        <v>0</v>
      </c>
      <c r="BQ227" s="96">
        <f t="shared" si="127"/>
        <v>0</v>
      </c>
      <c r="BR227" s="97">
        <f t="shared" si="128"/>
        <v>0</v>
      </c>
      <c r="BT227" s="82"/>
      <c r="BU227" s="181"/>
      <c r="BV227" s="182"/>
      <c r="BW227" s="92"/>
      <c r="BX227" s="92"/>
      <c r="BY227" s="92"/>
      <c r="BZ227" s="92"/>
      <c r="CA227" s="92"/>
      <c r="CB227" s="92"/>
      <c r="CC227" s="93">
        <f t="shared" si="129"/>
        <v>0</v>
      </c>
      <c r="CD227" s="181"/>
      <c r="CE227" s="182"/>
      <c r="CF227" s="92"/>
      <c r="CG227" s="92"/>
      <c r="CH227" s="92"/>
      <c r="CI227" s="92"/>
      <c r="CJ227" s="92"/>
      <c r="CK227" s="92"/>
      <c r="CL227" s="93">
        <f t="shared" si="130"/>
        <v>0</v>
      </c>
      <c r="CM227" s="181"/>
      <c r="CN227" s="182"/>
      <c r="CO227" s="92"/>
      <c r="CP227" s="92"/>
      <c r="CQ227" s="92"/>
      <c r="CR227" s="92"/>
      <c r="CS227" s="92"/>
      <c r="CT227" s="92"/>
      <c r="CU227" s="93">
        <f t="shared" si="131"/>
        <v>0</v>
      </c>
      <c r="CV227" s="95">
        <f t="shared" si="132"/>
        <v>0</v>
      </c>
      <c r="CW227" s="96">
        <f t="shared" si="133"/>
        <v>0</v>
      </c>
      <c r="CX227" s="97">
        <f t="shared" si="134"/>
        <v>0</v>
      </c>
      <c r="CZ227" s="82"/>
      <c r="DA227" s="136"/>
      <c r="DB227" s="137"/>
      <c r="DC227" s="92"/>
      <c r="DD227" s="92"/>
      <c r="DE227" s="92"/>
      <c r="DF227" s="92"/>
      <c r="DG227" s="92"/>
      <c r="DH227" s="92"/>
      <c r="DI227" s="93">
        <f t="shared" si="135"/>
        <v>0</v>
      </c>
      <c r="DJ227" s="183"/>
      <c r="DK227" s="184"/>
      <c r="DL227" s="92"/>
      <c r="DM227" s="92"/>
      <c r="DN227" s="92"/>
      <c r="DO227" s="92"/>
      <c r="DP227" s="92"/>
      <c r="DQ227" s="92"/>
      <c r="DR227" s="93">
        <f t="shared" si="136"/>
        <v>0</v>
      </c>
      <c r="DS227" s="183"/>
      <c r="DT227" s="184"/>
      <c r="DU227" s="92"/>
      <c r="DV227" s="92"/>
      <c r="DW227" s="92"/>
      <c r="DX227" s="92"/>
      <c r="DY227" s="92"/>
      <c r="DZ227" s="92"/>
      <c r="EA227" s="93">
        <f t="shared" si="137"/>
        <v>0</v>
      </c>
      <c r="EB227" s="95">
        <f t="shared" si="138"/>
        <v>0</v>
      </c>
      <c r="EC227" s="96">
        <f t="shared" si="139"/>
        <v>0</v>
      </c>
      <c r="ED227" s="97">
        <f t="shared" si="140"/>
        <v>0</v>
      </c>
    </row>
    <row r="228" spans="1:134" s="6" customFormat="1" ht="21.95" customHeight="1" x14ac:dyDescent="0.5">
      <c r="A228" s="83">
        <v>32</v>
      </c>
      <c r="B228" s="103" t="s">
        <v>460</v>
      </c>
      <c r="C228" s="103" t="s">
        <v>461</v>
      </c>
      <c r="D228" s="103" t="s">
        <v>304</v>
      </c>
      <c r="E228" s="148" t="s">
        <v>305</v>
      </c>
      <c r="F228" s="83" t="s">
        <v>462</v>
      </c>
      <c r="G228" s="222"/>
      <c r="H228" s="180">
        <v>6.3173066187590709E-3</v>
      </c>
      <c r="I228" s="181">
        <f t="shared" si="141"/>
        <v>621.89703909859827</v>
      </c>
      <c r="J228" s="182">
        <f t="shared" si="116"/>
        <v>469.5401317458867</v>
      </c>
      <c r="K228" s="92">
        <v>112</v>
      </c>
      <c r="L228" s="92">
        <v>82.16</v>
      </c>
      <c r="M228" s="92">
        <v>112</v>
      </c>
      <c r="N228" s="92">
        <v>82.16</v>
      </c>
      <c r="O228" s="92">
        <v>472</v>
      </c>
      <c r="P228" s="92">
        <v>442.15999999999997</v>
      </c>
      <c r="Q228" s="93">
        <f t="shared" si="117"/>
        <v>0.94168734492602491</v>
      </c>
      <c r="R228" s="94">
        <v>621.89703909859895</v>
      </c>
      <c r="S228" s="91">
        <v>469.5401317458867</v>
      </c>
      <c r="T228" s="92">
        <v>360</v>
      </c>
      <c r="U228" s="92">
        <v>360</v>
      </c>
      <c r="V228" s="92">
        <v>480</v>
      </c>
      <c r="W228" s="92">
        <v>480</v>
      </c>
      <c r="X228" s="92">
        <v>600</v>
      </c>
      <c r="Y228" s="92">
        <v>600</v>
      </c>
      <c r="Z228" s="93">
        <f t="shared" si="118"/>
        <v>1.2778460443179278</v>
      </c>
      <c r="AA228" s="94">
        <v>621.89703909859895</v>
      </c>
      <c r="AB228" s="91">
        <v>469.5401317458867</v>
      </c>
      <c r="AC228" s="92">
        <v>720</v>
      </c>
      <c r="AD228" s="92">
        <v>564</v>
      </c>
      <c r="AE228" s="92">
        <v>900</v>
      </c>
      <c r="AF228" s="92">
        <v>744</v>
      </c>
      <c r="AG228" s="92"/>
      <c r="AH228" s="92"/>
      <c r="AI228" s="93">
        <f t="shared" si="119"/>
        <v>0</v>
      </c>
      <c r="AJ228" s="95">
        <f t="shared" si="120"/>
        <v>1408.62039523766</v>
      </c>
      <c r="AK228" s="96">
        <f t="shared" si="121"/>
        <v>1042.1599999999999</v>
      </c>
      <c r="AL228" s="97">
        <f t="shared" si="122"/>
        <v>0.73984446308131757</v>
      </c>
      <c r="AN228" s="89">
        <v>2.8530565574343076E-3</v>
      </c>
      <c r="AO228" s="183"/>
      <c r="AP228" s="184"/>
      <c r="AQ228" s="92"/>
      <c r="AR228" s="92"/>
      <c r="AS228" s="92"/>
      <c r="AT228" s="92"/>
      <c r="AU228" s="92"/>
      <c r="AV228" s="92"/>
      <c r="AW228" s="93">
        <f t="shared" si="123"/>
        <v>0</v>
      </c>
      <c r="AX228" s="183"/>
      <c r="AY228" s="184"/>
      <c r="AZ228" s="92"/>
      <c r="BA228" s="92"/>
      <c r="BB228" s="92"/>
      <c r="BC228" s="92"/>
      <c r="BD228" s="92"/>
      <c r="BE228" s="92"/>
      <c r="BF228" s="93">
        <f t="shared" si="124"/>
        <v>0</v>
      </c>
      <c r="BG228" s="181"/>
      <c r="BH228" s="182"/>
      <c r="BI228" s="92"/>
      <c r="BJ228" s="92"/>
      <c r="BK228" s="92"/>
      <c r="BL228" s="92"/>
      <c r="BM228" s="92"/>
      <c r="BN228" s="92"/>
      <c r="BO228" s="93">
        <f t="shared" si="125"/>
        <v>0</v>
      </c>
      <c r="BP228" s="95">
        <f t="shared" si="126"/>
        <v>0</v>
      </c>
      <c r="BQ228" s="96">
        <f t="shared" si="127"/>
        <v>0</v>
      </c>
      <c r="BR228" s="97">
        <f t="shared" si="128"/>
        <v>0</v>
      </c>
      <c r="BT228" s="82"/>
      <c r="BU228" s="181"/>
      <c r="BV228" s="182"/>
      <c r="BW228" s="92"/>
      <c r="BX228" s="92"/>
      <c r="BY228" s="92"/>
      <c r="BZ228" s="92"/>
      <c r="CA228" s="92"/>
      <c r="CB228" s="92"/>
      <c r="CC228" s="93">
        <f t="shared" si="129"/>
        <v>0</v>
      </c>
      <c r="CD228" s="181"/>
      <c r="CE228" s="182"/>
      <c r="CF228" s="92"/>
      <c r="CG228" s="92"/>
      <c r="CH228" s="92"/>
      <c r="CI228" s="92"/>
      <c r="CJ228" s="92"/>
      <c r="CK228" s="92"/>
      <c r="CL228" s="93">
        <f t="shared" si="130"/>
        <v>0</v>
      </c>
      <c r="CM228" s="181"/>
      <c r="CN228" s="182"/>
      <c r="CO228" s="92"/>
      <c r="CP228" s="92"/>
      <c r="CQ228" s="92"/>
      <c r="CR228" s="92"/>
      <c r="CS228" s="92"/>
      <c r="CT228" s="92"/>
      <c r="CU228" s="93">
        <f t="shared" si="131"/>
        <v>0</v>
      </c>
      <c r="CV228" s="95">
        <f t="shared" si="132"/>
        <v>0</v>
      </c>
      <c r="CW228" s="96">
        <f t="shared" si="133"/>
        <v>0</v>
      </c>
      <c r="CX228" s="97">
        <f t="shared" si="134"/>
        <v>0</v>
      </c>
      <c r="CZ228" s="82"/>
      <c r="DA228" s="136"/>
      <c r="DB228" s="137"/>
      <c r="DC228" s="92"/>
      <c r="DD228" s="92"/>
      <c r="DE228" s="92"/>
      <c r="DF228" s="92"/>
      <c r="DG228" s="92"/>
      <c r="DH228" s="92"/>
      <c r="DI228" s="93">
        <f t="shared" si="135"/>
        <v>0</v>
      </c>
      <c r="DJ228" s="183"/>
      <c r="DK228" s="184"/>
      <c r="DL228" s="92"/>
      <c r="DM228" s="92"/>
      <c r="DN228" s="92"/>
      <c r="DO228" s="92"/>
      <c r="DP228" s="92"/>
      <c r="DQ228" s="92"/>
      <c r="DR228" s="93">
        <f t="shared" si="136"/>
        <v>0</v>
      </c>
      <c r="DS228" s="183"/>
      <c r="DT228" s="184"/>
      <c r="DU228" s="92"/>
      <c r="DV228" s="92"/>
      <c r="DW228" s="92"/>
      <c r="DX228" s="92"/>
      <c r="DY228" s="92"/>
      <c r="DZ228" s="92"/>
      <c r="EA228" s="93">
        <f t="shared" si="137"/>
        <v>0</v>
      </c>
      <c r="EB228" s="95">
        <f t="shared" si="138"/>
        <v>0</v>
      </c>
      <c r="EC228" s="96">
        <f t="shared" si="139"/>
        <v>0</v>
      </c>
      <c r="ED228" s="97">
        <f t="shared" si="140"/>
        <v>0</v>
      </c>
    </row>
    <row r="229" spans="1:134" s="6" customFormat="1" ht="21.95" customHeight="1" x14ac:dyDescent="0.5">
      <c r="A229" s="83">
        <v>33</v>
      </c>
      <c r="B229" s="103" t="s">
        <v>463</v>
      </c>
      <c r="C229" s="103" t="s">
        <v>464</v>
      </c>
      <c r="D229" s="103" t="s">
        <v>304</v>
      </c>
      <c r="E229" s="148" t="s">
        <v>305</v>
      </c>
      <c r="F229" s="83" t="s">
        <v>462</v>
      </c>
      <c r="G229" s="222"/>
      <c r="H229" s="180">
        <v>7.1739593800432388E-3</v>
      </c>
      <c r="I229" s="181">
        <f t="shared" si="141"/>
        <v>706.22883553163456</v>
      </c>
      <c r="J229" s="182">
        <f t="shared" ref="J229:J260" si="142">H229*$I$195</f>
        <v>533.21170488109374</v>
      </c>
      <c r="K229" s="92">
        <v>0</v>
      </c>
      <c r="L229" s="92">
        <v>0</v>
      </c>
      <c r="M229" s="92">
        <v>180</v>
      </c>
      <c r="N229" s="92">
        <v>180</v>
      </c>
      <c r="O229" s="92">
        <v>840</v>
      </c>
      <c r="P229" s="92">
        <v>450</v>
      </c>
      <c r="Q229" s="93">
        <f t="shared" si="117"/>
        <v>0.84394246390436989</v>
      </c>
      <c r="R229" s="94">
        <v>706.22883553163524</v>
      </c>
      <c r="S229" s="91">
        <v>533.21170488109374</v>
      </c>
      <c r="T229" s="92">
        <v>24</v>
      </c>
      <c r="U229" s="92">
        <v>8.4</v>
      </c>
      <c r="V229" s="92">
        <v>564</v>
      </c>
      <c r="W229" s="92">
        <v>548.4</v>
      </c>
      <c r="X229" s="92">
        <v>1000</v>
      </c>
      <c r="Y229" s="92">
        <v>708.8</v>
      </c>
      <c r="Z229" s="93">
        <f t="shared" si="118"/>
        <v>1.3293031520342609</v>
      </c>
      <c r="AA229" s="94">
        <v>706.22883553163524</v>
      </c>
      <c r="AB229" s="91">
        <v>533.21170488109374</v>
      </c>
      <c r="AC229" s="92">
        <v>724</v>
      </c>
      <c r="AD229" s="92">
        <v>542</v>
      </c>
      <c r="AE229" s="92">
        <v>724</v>
      </c>
      <c r="AF229" s="92">
        <v>542</v>
      </c>
      <c r="AG229" s="92"/>
      <c r="AH229" s="92"/>
      <c r="AI229" s="93">
        <f t="shared" si="119"/>
        <v>0</v>
      </c>
      <c r="AJ229" s="95">
        <f t="shared" si="120"/>
        <v>1599.6351146432812</v>
      </c>
      <c r="AK229" s="96">
        <f t="shared" si="121"/>
        <v>1158.8</v>
      </c>
      <c r="AL229" s="97">
        <f t="shared" si="122"/>
        <v>0.72441520531287695</v>
      </c>
      <c r="AN229" s="89">
        <v>7.1767608248862998E-3</v>
      </c>
      <c r="AO229" s="183"/>
      <c r="AP229" s="184"/>
      <c r="AQ229" s="92"/>
      <c r="AR229" s="92"/>
      <c r="AS229" s="92"/>
      <c r="AT229" s="92"/>
      <c r="AU229" s="92"/>
      <c r="AV229" s="92"/>
      <c r="AW229" s="93">
        <f t="shared" si="123"/>
        <v>0</v>
      </c>
      <c r="AX229" s="183"/>
      <c r="AY229" s="184"/>
      <c r="AZ229" s="92"/>
      <c r="BA229" s="92"/>
      <c r="BB229" s="92"/>
      <c r="BC229" s="92"/>
      <c r="BD229" s="92"/>
      <c r="BE229" s="92"/>
      <c r="BF229" s="93">
        <f t="shared" si="124"/>
        <v>0</v>
      </c>
      <c r="BG229" s="181"/>
      <c r="BH229" s="182"/>
      <c r="BI229" s="92"/>
      <c r="BJ229" s="92"/>
      <c r="BK229" s="92"/>
      <c r="BL229" s="92"/>
      <c r="BM229" s="92"/>
      <c r="BN229" s="92"/>
      <c r="BO229" s="93">
        <f t="shared" si="125"/>
        <v>0</v>
      </c>
      <c r="BP229" s="95">
        <f t="shared" si="126"/>
        <v>0</v>
      </c>
      <c r="BQ229" s="96">
        <f t="shared" si="127"/>
        <v>0</v>
      </c>
      <c r="BR229" s="97">
        <f t="shared" si="128"/>
        <v>0</v>
      </c>
      <c r="BT229" s="82"/>
      <c r="BU229" s="181"/>
      <c r="BV229" s="182"/>
      <c r="BW229" s="92"/>
      <c r="BX229" s="92"/>
      <c r="BY229" s="92"/>
      <c r="BZ229" s="92"/>
      <c r="CA229" s="92"/>
      <c r="CB229" s="92"/>
      <c r="CC229" s="93">
        <f t="shared" si="129"/>
        <v>0</v>
      </c>
      <c r="CD229" s="181"/>
      <c r="CE229" s="182"/>
      <c r="CF229" s="92"/>
      <c r="CG229" s="92"/>
      <c r="CH229" s="92"/>
      <c r="CI229" s="92"/>
      <c r="CJ229" s="92"/>
      <c r="CK229" s="92"/>
      <c r="CL229" s="93">
        <f t="shared" si="130"/>
        <v>0</v>
      </c>
      <c r="CM229" s="181"/>
      <c r="CN229" s="182"/>
      <c r="CO229" s="92"/>
      <c r="CP229" s="92"/>
      <c r="CQ229" s="92"/>
      <c r="CR229" s="92"/>
      <c r="CS229" s="92"/>
      <c r="CT229" s="92"/>
      <c r="CU229" s="93">
        <f t="shared" si="131"/>
        <v>0</v>
      </c>
      <c r="CV229" s="95">
        <f t="shared" si="132"/>
        <v>0</v>
      </c>
      <c r="CW229" s="96">
        <f t="shared" si="133"/>
        <v>0</v>
      </c>
      <c r="CX229" s="97">
        <f t="shared" si="134"/>
        <v>0</v>
      </c>
      <c r="CZ229" s="82"/>
      <c r="DA229" s="136"/>
      <c r="DB229" s="137"/>
      <c r="DC229" s="92"/>
      <c r="DD229" s="92"/>
      <c r="DE229" s="92"/>
      <c r="DF229" s="92"/>
      <c r="DG229" s="92"/>
      <c r="DH229" s="92"/>
      <c r="DI229" s="93">
        <f t="shared" si="135"/>
        <v>0</v>
      </c>
      <c r="DJ229" s="183"/>
      <c r="DK229" s="184"/>
      <c r="DL229" s="92"/>
      <c r="DM229" s="92"/>
      <c r="DN229" s="92"/>
      <c r="DO229" s="92"/>
      <c r="DP229" s="92"/>
      <c r="DQ229" s="92"/>
      <c r="DR229" s="93">
        <f t="shared" si="136"/>
        <v>0</v>
      </c>
      <c r="DS229" s="183"/>
      <c r="DT229" s="184"/>
      <c r="DU229" s="92"/>
      <c r="DV229" s="92"/>
      <c r="DW229" s="92"/>
      <c r="DX229" s="92"/>
      <c r="DY229" s="92"/>
      <c r="DZ229" s="92"/>
      <c r="EA229" s="93">
        <f t="shared" si="137"/>
        <v>0</v>
      </c>
      <c r="EB229" s="95">
        <f t="shared" si="138"/>
        <v>0</v>
      </c>
      <c r="EC229" s="96">
        <f t="shared" si="139"/>
        <v>0</v>
      </c>
      <c r="ED229" s="97">
        <f t="shared" si="140"/>
        <v>0</v>
      </c>
    </row>
    <row r="230" spans="1:134" s="6" customFormat="1" ht="21.95" customHeight="1" x14ac:dyDescent="0.5">
      <c r="A230" s="83">
        <v>34</v>
      </c>
      <c r="B230" s="103" t="s">
        <v>465</v>
      </c>
      <c r="C230" s="103" t="s">
        <v>465</v>
      </c>
      <c r="D230" s="103" t="s">
        <v>304</v>
      </c>
      <c r="E230" s="148" t="s">
        <v>305</v>
      </c>
      <c r="F230" s="83" t="s">
        <v>462</v>
      </c>
      <c r="G230" s="222"/>
      <c r="H230" s="180">
        <v>2.6176628807486574E-3</v>
      </c>
      <c r="I230" s="181">
        <f t="shared" si="141"/>
        <v>257.69159123317559</v>
      </c>
      <c r="J230" s="182">
        <f t="shared" si="142"/>
        <v>194.56041127452471</v>
      </c>
      <c r="K230" s="92">
        <v>180</v>
      </c>
      <c r="L230" s="92">
        <v>180</v>
      </c>
      <c r="M230" s="92">
        <v>180</v>
      </c>
      <c r="N230" s="92">
        <v>180</v>
      </c>
      <c r="O230" s="92">
        <v>360</v>
      </c>
      <c r="P230" s="92">
        <v>360</v>
      </c>
      <c r="Q230" s="93">
        <f t="shared" si="117"/>
        <v>1.8503250360220511</v>
      </c>
      <c r="R230" s="94">
        <v>257.69159123317587</v>
      </c>
      <c r="S230" s="91">
        <v>194.56041127452471</v>
      </c>
      <c r="T230" s="92">
        <v>0</v>
      </c>
      <c r="U230" s="92">
        <v>0</v>
      </c>
      <c r="V230" s="92">
        <v>180</v>
      </c>
      <c r="W230" s="92">
        <v>180</v>
      </c>
      <c r="X230" s="92">
        <v>360</v>
      </c>
      <c r="Y230" s="92">
        <v>360</v>
      </c>
      <c r="Z230" s="93">
        <f t="shared" si="118"/>
        <v>1.8503250360220511</v>
      </c>
      <c r="AA230" s="94">
        <v>257.69159123317587</v>
      </c>
      <c r="AB230" s="91">
        <v>194.56041127452471</v>
      </c>
      <c r="AC230" s="92">
        <v>0</v>
      </c>
      <c r="AD230" s="92">
        <v>0</v>
      </c>
      <c r="AE230" s="92">
        <v>180</v>
      </c>
      <c r="AF230" s="92">
        <v>180</v>
      </c>
      <c r="AG230" s="92"/>
      <c r="AH230" s="92"/>
      <c r="AI230" s="93">
        <f t="shared" si="119"/>
        <v>0</v>
      </c>
      <c r="AJ230" s="95">
        <f t="shared" si="120"/>
        <v>583.68123382357408</v>
      </c>
      <c r="AK230" s="96">
        <f t="shared" si="121"/>
        <v>720</v>
      </c>
      <c r="AL230" s="97">
        <f t="shared" si="122"/>
        <v>1.2335500240147008</v>
      </c>
      <c r="AN230" s="89">
        <v>1.660361264609966E-2</v>
      </c>
      <c r="AO230" s="183"/>
      <c r="AP230" s="184"/>
      <c r="AQ230" s="92"/>
      <c r="AR230" s="92"/>
      <c r="AS230" s="92"/>
      <c r="AT230" s="92"/>
      <c r="AU230" s="92"/>
      <c r="AV230" s="92"/>
      <c r="AW230" s="93">
        <f t="shared" si="123"/>
        <v>0</v>
      </c>
      <c r="AX230" s="183"/>
      <c r="AY230" s="184"/>
      <c r="AZ230" s="92"/>
      <c r="BA230" s="92"/>
      <c r="BB230" s="92"/>
      <c r="BC230" s="92"/>
      <c r="BD230" s="92"/>
      <c r="BE230" s="92"/>
      <c r="BF230" s="93">
        <f t="shared" si="124"/>
        <v>0</v>
      </c>
      <c r="BG230" s="181"/>
      <c r="BH230" s="182"/>
      <c r="BI230" s="92"/>
      <c r="BJ230" s="92"/>
      <c r="BK230" s="92"/>
      <c r="BL230" s="92"/>
      <c r="BM230" s="92"/>
      <c r="BN230" s="92"/>
      <c r="BO230" s="93">
        <f t="shared" si="125"/>
        <v>0</v>
      </c>
      <c r="BP230" s="95">
        <f t="shared" si="126"/>
        <v>0</v>
      </c>
      <c r="BQ230" s="96">
        <f t="shared" si="127"/>
        <v>0</v>
      </c>
      <c r="BR230" s="97">
        <f t="shared" si="128"/>
        <v>0</v>
      </c>
      <c r="BT230" s="82"/>
      <c r="BU230" s="181"/>
      <c r="BV230" s="182"/>
      <c r="BW230" s="92"/>
      <c r="BX230" s="92"/>
      <c r="BY230" s="92"/>
      <c r="BZ230" s="92"/>
      <c r="CA230" s="92"/>
      <c r="CB230" s="92"/>
      <c r="CC230" s="93">
        <f t="shared" si="129"/>
        <v>0</v>
      </c>
      <c r="CD230" s="181"/>
      <c r="CE230" s="182"/>
      <c r="CF230" s="92"/>
      <c r="CG230" s="92"/>
      <c r="CH230" s="92"/>
      <c r="CI230" s="92"/>
      <c r="CJ230" s="92"/>
      <c r="CK230" s="92"/>
      <c r="CL230" s="93">
        <f t="shared" si="130"/>
        <v>0</v>
      </c>
      <c r="CM230" s="181"/>
      <c r="CN230" s="182"/>
      <c r="CO230" s="92"/>
      <c r="CP230" s="92"/>
      <c r="CQ230" s="92"/>
      <c r="CR230" s="92"/>
      <c r="CS230" s="92"/>
      <c r="CT230" s="92"/>
      <c r="CU230" s="93">
        <f t="shared" si="131"/>
        <v>0</v>
      </c>
      <c r="CV230" s="95">
        <f t="shared" si="132"/>
        <v>0</v>
      </c>
      <c r="CW230" s="96">
        <f t="shared" si="133"/>
        <v>0</v>
      </c>
      <c r="CX230" s="97">
        <f t="shared" si="134"/>
        <v>0</v>
      </c>
      <c r="CZ230" s="82"/>
      <c r="DA230" s="136"/>
      <c r="DB230" s="137"/>
      <c r="DC230" s="92"/>
      <c r="DD230" s="92"/>
      <c r="DE230" s="92"/>
      <c r="DF230" s="92"/>
      <c r="DG230" s="92"/>
      <c r="DH230" s="92"/>
      <c r="DI230" s="93">
        <f t="shared" si="135"/>
        <v>0</v>
      </c>
      <c r="DJ230" s="183"/>
      <c r="DK230" s="184"/>
      <c r="DL230" s="92"/>
      <c r="DM230" s="92"/>
      <c r="DN230" s="92"/>
      <c r="DO230" s="92"/>
      <c r="DP230" s="92"/>
      <c r="DQ230" s="92"/>
      <c r="DR230" s="93">
        <f t="shared" si="136"/>
        <v>0</v>
      </c>
      <c r="DS230" s="183"/>
      <c r="DT230" s="184"/>
      <c r="DU230" s="92"/>
      <c r="DV230" s="92"/>
      <c r="DW230" s="92"/>
      <c r="DX230" s="92"/>
      <c r="DY230" s="92"/>
      <c r="DZ230" s="92"/>
      <c r="EA230" s="93">
        <f t="shared" si="137"/>
        <v>0</v>
      </c>
      <c r="EB230" s="95">
        <f t="shared" si="138"/>
        <v>0</v>
      </c>
      <c r="EC230" s="96">
        <f t="shared" si="139"/>
        <v>0</v>
      </c>
      <c r="ED230" s="97">
        <f t="shared" si="140"/>
        <v>0</v>
      </c>
    </row>
    <row r="231" spans="1:134" s="6" customFormat="1" ht="21.95" customHeight="1" x14ac:dyDescent="0.5">
      <c r="A231" s="83">
        <v>35</v>
      </c>
      <c r="B231" s="103" t="s">
        <v>466</v>
      </c>
      <c r="C231" s="103" t="s">
        <v>467</v>
      </c>
      <c r="D231" s="103" t="s">
        <v>304</v>
      </c>
      <c r="E231" s="148" t="s">
        <v>305</v>
      </c>
      <c r="F231" s="83" t="s">
        <v>462</v>
      </c>
      <c r="G231" s="222"/>
      <c r="H231" s="180">
        <v>6.75984287932767E-3</v>
      </c>
      <c r="I231" s="181">
        <f t="shared" si="141"/>
        <v>665.46180597632792</v>
      </c>
      <c r="J231" s="182">
        <f t="shared" si="142"/>
        <v>502.43208184890841</v>
      </c>
      <c r="K231" s="92">
        <v>524</v>
      </c>
      <c r="L231" s="92">
        <v>462.4</v>
      </c>
      <c r="M231" s="92">
        <v>524</v>
      </c>
      <c r="N231" s="92">
        <v>462.4</v>
      </c>
      <c r="O231" s="92">
        <v>524</v>
      </c>
      <c r="P231" s="92">
        <v>462.4</v>
      </c>
      <c r="Q231" s="93">
        <f t="shared" si="117"/>
        <v>0.92032339634524596</v>
      </c>
      <c r="R231" s="94">
        <v>665.46180597632861</v>
      </c>
      <c r="S231" s="91">
        <v>502.43208184890841</v>
      </c>
      <c r="T231" s="92">
        <v>0</v>
      </c>
      <c r="U231" s="92">
        <v>0</v>
      </c>
      <c r="V231" s="92">
        <v>240</v>
      </c>
      <c r="W231" s="92">
        <v>240</v>
      </c>
      <c r="X231" s="92">
        <v>1160</v>
      </c>
      <c r="Y231" s="92">
        <v>874</v>
      </c>
      <c r="Z231" s="93">
        <f t="shared" si="118"/>
        <v>1.7395385994933932</v>
      </c>
      <c r="AA231" s="94">
        <v>665.46180597632861</v>
      </c>
      <c r="AB231" s="91">
        <v>502.43208184890841</v>
      </c>
      <c r="AC231" s="92">
        <v>520</v>
      </c>
      <c r="AD231" s="92">
        <v>484.4</v>
      </c>
      <c r="AE231" s="92">
        <v>520</v>
      </c>
      <c r="AF231" s="92">
        <v>484.4</v>
      </c>
      <c r="AG231" s="92"/>
      <c r="AH231" s="92"/>
      <c r="AI231" s="93">
        <f t="shared" si="119"/>
        <v>0</v>
      </c>
      <c r="AJ231" s="95">
        <f t="shared" si="120"/>
        <v>1507.2962455467252</v>
      </c>
      <c r="AK231" s="96">
        <f t="shared" si="121"/>
        <v>1336.4</v>
      </c>
      <c r="AL231" s="97">
        <f t="shared" si="122"/>
        <v>0.88662066527954642</v>
      </c>
      <c r="AN231" s="89">
        <v>3.5295545040424424E-4</v>
      </c>
      <c r="AO231" s="183"/>
      <c r="AP231" s="184"/>
      <c r="AQ231" s="92"/>
      <c r="AR231" s="92"/>
      <c r="AS231" s="92"/>
      <c r="AT231" s="92"/>
      <c r="AU231" s="92"/>
      <c r="AV231" s="92"/>
      <c r="AW231" s="93">
        <f t="shared" si="123"/>
        <v>0</v>
      </c>
      <c r="AX231" s="183"/>
      <c r="AY231" s="184"/>
      <c r="AZ231" s="92"/>
      <c r="BA231" s="92"/>
      <c r="BB231" s="92"/>
      <c r="BC231" s="92"/>
      <c r="BD231" s="92"/>
      <c r="BE231" s="92"/>
      <c r="BF231" s="93">
        <f t="shared" si="124"/>
        <v>0</v>
      </c>
      <c r="BG231" s="181"/>
      <c r="BH231" s="182"/>
      <c r="BI231" s="92"/>
      <c r="BJ231" s="92"/>
      <c r="BK231" s="92"/>
      <c r="BL231" s="92"/>
      <c r="BM231" s="92"/>
      <c r="BN231" s="92"/>
      <c r="BO231" s="93">
        <f t="shared" si="125"/>
        <v>0</v>
      </c>
      <c r="BP231" s="95">
        <f t="shared" si="126"/>
        <v>0</v>
      </c>
      <c r="BQ231" s="96">
        <f t="shared" si="127"/>
        <v>0</v>
      </c>
      <c r="BR231" s="97">
        <f t="shared" si="128"/>
        <v>0</v>
      </c>
      <c r="BT231" s="82"/>
      <c r="BU231" s="181"/>
      <c r="BV231" s="182"/>
      <c r="BW231" s="92"/>
      <c r="BX231" s="92"/>
      <c r="BY231" s="92"/>
      <c r="BZ231" s="92"/>
      <c r="CA231" s="92"/>
      <c r="CB231" s="92"/>
      <c r="CC231" s="93">
        <f t="shared" si="129"/>
        <v>0</v>
      </c>
      <c r="CD231" s="181"/>
      <c r="CE231" s="182"/>
      <c r="CF231" s="92"/>
      <c r="CG231" s="92"/>
      <c r="CH231" s="92"/>
      <c r="CI231" s="92"/>
      <c r="CJ231" s="92"/>
      <c r="CK231" s="92"/>
      <c r="CL231" s="93">
        <f t="shared" si="130"/>
        <v>0</v>
      </c>
      <c r="CM231" s="181"/>
      <c r="CN231" s="182"/>
      <c r="CO231" s="92"/>
      <c r="CP231" s="92"/>
      <c r="CQ231" s="92"/>
      <c r="CR231" s="92"/>
      <c r="CS231" s="92"/>
      <c r="CT231" s="92"/>
      <c r="CU231" s="93">
        <f t="shared" si="131"/>
        <v>0</v>
      </c>
      <c r="CV231" s="95">
        <f t="shared" si="132"/>
        <v>0</v>
      </c>
      <c r="CW231" s="96">
        <f t="shared" si="133"/>
        <v>0</v>
      </c>
      <c r="CX231" s="97">
        <f t="shared" si="134"/>
        <v>0</v>
      </c>
      <c r="CZ231" s="82"/>
      <c r="DA231" s="136"/>
      <c r="DB231" s="137"/>
      <c r="DC231" s="92"/>
      <c r="DD231" s="92"/>
      <c r="DE231" s="92"/>
      <c r="DF231" s="92"/>
      <c r="DG231" s="92"/>
      <c r="DH231" s="92"/>
      <c r="DI231" s="93">
        <f t="shared" si="135"/>
        <v>0</v>
      </c>
      <c r="DJ231" s="183"/>
      <c r="DK231" s="184"/>
      <c r="DL231" s="92"/>
      <c r="DM231" s="92"/>
      <c r="DN231" s="92"/>
      <c r="DO231" s="92"/>
      <c r="DP231" s="92"/>
      <c r="DQ231" s="92"/>
      <c r="DR231" s="93">
        <f t="shared" si="136"/>
        <v>0</v>
      </c>
      <c r="DS231" s="183"/>
      <c r="DT231" s="184"/>
      <c r="DU231" s="92"/>
      <c r="DV231" s="92"/>
      <c r="DW231" s="92"/>
      <c r="DX231" s="92"/>
      <c r="DY231" s="92"/>
      <c r="DZ231" s="92"/>
      <c r="EA231" s="93">
        <f t="shared" si="137"/>
        <v>0</v>
      </c>
      <c r="EB231" s="95">
        <f t="shared" si="138"/>
        <v>0</v>
      </c>
      <c r="EC231" s="96">
        <f t="shared" si="139"/>
        <v>0</v>
      </c>
      <c r="ED231" s="97">
        <f t="shared" si="140"/>
        <v>0</v>
      </c>
    </row>
    <row r="232" spans="1:134" s="6" customFormat="1" ht="21.95" customHeight="1" x14ac:dyDescent="0.5">
      <c r="A232" s="83">
        <v>36</v>
      </c>
      <c r="B232" s="103" t="s">
        <v>423</v>
      </c>
      <c r="C232" s="103" t="s">
        <v>424</v>
      </c>
      <c r="D232" s="103" t="s">
        <v>468</v>
      </c>
      <c r="E232" s="148" t="s">
        <v>469</v>
      </c>
      <c r="F232" s="83" t="s">
        <v>462</v>
      </c>
      <c r="G232" s="222"/>
      <c r="H232" s="180">
        <v>1.1710971042294693E-2</v>
      </c>
      <c r="I232" s="181">
        <f t="shared" si="141"/>
        <v>1152.8676152184491</v>
      </c>
      <c r="J232" s="182">
        <f t="shared" si="142"/>
        <v>870.42963368959533</v>
      </c>
      <c r="K232" s="92">
        <v>24</v>
      </c>
      <c r="L232" s="92">
        <v>8.4</v>
      </c>
      <c r="M232" s="92">
        <v>24</v>
      </c>
      <c r="N232" s="92">
        <v>8.4</v>
      </c>
      <c r="O232" s="92">
        <v>308</v>
      </c>
      <c r="P232" s="92">
        <v>122.80000000000001</v>
      </c>
      <c r="Q232" s="93">
        <f t="shared" si="117"/>
        <v>0.14107975561387173</v>
      </c>
      <c r="R232" s="94">
        <v>1152.8676152184503</v>
      </c>
      <c r="S232" s="91">
        <v>870.42963368959533</v>
      </c>
      <c r="T232" s="92">
        <v>660</v>
      </c>
      <c r="U232" s="92">
        <v>426</v>
      </c>
      <c r="V232" s="92">
        <v>684</v>
      </c>
      <c r="W232" s="92">
        <v>434.4</v>
      </c>
      <c r="X232" s="92">
        <v>684</v>
      </c>
      <c r="Y232" s="92">
        <v>434.4</v>
      </c>
      <c r="Z232" s="93">
        <f t="shared" si="118"/>
        <v>0.49906389119434752</v>
      </c>
      <c r="AA232" s="94">
        <v>1152.8676152184503</v>
      </c>
      <c r="AB232" s="91">
        <v>870.42963368959533</v>
      </c>
      <c r="AC232" s="92">
        <v>204</v>
      </c>
      <c r="AD232" s="92">
        <v>188.4</v>
      </c>
      <c r="AE232" s="92">
        <v>1112</v>
      </c>
      <c r="AF232" s="92">
        <v>638.79999999999995</v>
      </c>
      <c r="AG232" s="92"/>
      <c r="AH232" s="92"/>
      <c r="AI232" s="93">
        <f t="shared" si="119"/>
        <v>0</v>
      </c>
      <c r="AJ232" s="95">
        <f t="shared" si="120"/>
        <v>2611.2889010687859</v>
      </c>
      <c r="AK232" s="96">
        <f t="shared" si="121"/>
        <v>557.20000000000005</v>
      </c>
      <c r="AL232" s="97">
        <f t="shared" si="122"/>
        <v>0.21338121560273979</v>
      </c>
      <c r="AN232" s="89">
        <v>1.1985778836644128E-2</v>
      </c>
      <c r="AO232" s="183"/>
      <c r="AP232" s="184"/>
      <c r="AQ232" s="92"/>
      <c r="AR232" s="92"/>
      <c r="AS232" s="92"/>
      <c r="AT232" s="92"/>
      <c r="AU232" s="92"/>
      <c r="AV232" s="92"/>
      <c r="AW232" s="93">
        <f t="shared" si="123"/>
        <v>0</v>
      </c>
      <c r="AX232" s="183"/>
      <c r="AY232" s="184"/>
      <c r="AZ232" s="92"/>
      <c r="BA232" s="92"/>
      <c r="BB232" s="92"/>
      <c r="BC232" s="92"/>
      <c r="BD232" s="92"/>
      <c r="BE232" s="92"/>
      <c r="BF232" s="93">
        <f t="shared" si="124"/>
        <v>0</v>
      </c>
      <c r="BG232" s="181"/>
      <c r="BH232" s="182"/>
      <c r="BI232" s="92"/>
      <c r="BJ232" s="92"/>
      <c r="BK232" s="92"/>
      <c r="BL232" s="92"/>
      <c r="BM232" s="92"/>
      <c r="BN232" s="92"/>
      <c r="BO232" s="93">
        <f t="shared" si="125"/>
        <v>0</v>
      </c>
      <c r="BP232" s="95">
        <f t="shared" si="126"/>
        <v>0</v>
      </c>
      <c r="BQ232" s="96">
        <f t="shared" si="127"/>
        <v>0</v>
      </c>
      <c r="BR232" s="97">
        <f t="shared" si="128"/>
        <v>0</v>
      </c>
      <c r="BT232" s="82"/>
      <c r="BU232" s="181"/>
      <c r="BV232" s="182"/>
      <c r="BW232" s="92"/>
      <c r="BX232" s="92"/>
      <c r="BY232" s="92"/>
      <c r="BZ232" s="92"/>
      <c r="CA232" s="92"/>
      <c r="CB232" s="92"/>
      <c r="CC232" s="93">
        <f t="shared" si="129"/>
        <v>0</v>
      </c>
      <c r="CD232" s="181"/>
      <c r="CE232" s="182"/>
      <c r="CF232" s="92"/>
      <c r="CG232" s="92"/>
      <c r="CH232" s="92"/>
      <c r="CI232" s="92"/>
      <c r="CJ232" s="92"/>
      <c r="CK232" s="92"/>
      <c r="CL232" s="93">
        <f t="shared" si="130"/>
        <v>0</v>
      </c>
      <c r="CM232" s="181"/>
      <c r="CN232" s="182"/>
      <c r="CO232" s="92"/>
      <c r="CP232" s="92"/>
      <c r="CQ232" s="92"/>
      <c r="CR232" s="92"/>
      <c r="CS232" s="92"/>
      <c r="CT232" s="92"/>
      <c r="CU232" s="93">
        <f t="shared" si="131"/>
        <v>0</v>
      </c>
      <c r="CV232" s="95">
        <f t="shared" si="132"/>
        <v>0</v>
      </c>
      <c r="CW232" s="96">
        <f t="shared" si="133"/>
        <v>0</v>
      </c>
      <c r="CX232" s="97">
        <f t="shared" si="134"/>
        <v>0</v>
      </c>
      <c r="CZ232" s="82"/>
      <c r="DA232" s="136"/>
      <c r="DB232" s="137"/>
      <c r="DC232" s="92"/>
      <c r="DD232" s="92"/>
      <c r="DE232" s="92"/>
      <c r="DF232" s="92"/>
      <c r="DG232" s="92"/>
      <c r="DH232" s="92"/>
      <c r="DI232" s="93">
        <f t="shared" si="135"/>
        <v>0</v>
      </c>
      <c r="DJ232" s="183"/>
      <c r="DK232" s="184"/>
      <c r="DL232" s="92"/>
      <c r="DM232" s="92"/>
      <c r="DN232" s="92"/>
      <c r="DO232" s="92"/>
      <c r="DP232" s="92"/>
      <c r="DQ232" s="92"/>
      <c r="DR232" s="93">
        <f t="shared" si="136"/>
        <v>0</v>
      </c>
      <c r="DS232" s="183"/>
      <c r="DT232" s="184"/>
      <c r="DU232" s="92"/>
      <c r="DV232" s="92"/>
      <c r="DW232" s="92"/>
      <c r="DX232" s="92"/>
      <c r="DY232" s="92"/>
      <c r="DZ232" s="92"/>
      <c r="EA232" s="93">
        <f t="shared" si="137"/>
        <v>0</v>
      </c>
      <c r="EB232" s="95">
        <f t="shared" si="138"/>
        <v>0</v>
      </c>
      <c r="EC232" s="96">
        <f t="shared" si="139"/>
        <v>0</v>
      </c>
      <c r="ED232" s="97">
        <f t="shared" si="140"/>
        <v>0</v>
      </c>
    </row>
    <row r="233" spans="1:134" s="6" customFormat="1" ht="21.95" customHeight="1" x14ac:dyDescent="0.5">
      <c r="A233" s="83">
        <v>37</v>
      </c>
      <c r="B233" s="103" t="s">
        <v>470</v>
      </c>
      <c r="C233" s="103" t="s">
        <v>470</v>
      </c>
      <c r="D233" s="103" t="s">
        <v>468</v>
      </c>
      <c r="E233" s="148" t="s">
        <v>469</v>
      </c>
      <c r="F233" s="83" t="s">
        <v>462</v>
      </c>
      <c r="G233" s="222"/>
      <c r="H233" s="180">
        <v>1.0595495468063295E-2</v>
      </c>
      <c r="I233" s="181">
        <f t="shared" si="141"/>
        <v>1043.0564253133464</v>
      </c>
      <c r="J233" s="182">
        <f t="shared" si="142"/>
        <v>787.52079615927244</v>
      </c>
      <c r="K233" s="92">
        <v>460</v>
      </c>
      <c r="L233" s="92">
        <v>434</v>
      </c>
      <c r="M233" s="92">
        <v>820</v>
      </c>
      <c r="N233" s="92">
        <v>794</v>
      </c>
      <c r="O233" s="92">
        <v>1000</v>
      </c>
      <c r="P233" s="92">
        <v>974</v>
      </c>
      <c r="Q233" s="93">
        <f t="shared" si="117"/>
        <v>1.2367927358238462</v>
      </c>
      <c r="R233" s="94">
        <v>1043.0564253133475</v>
      </c>
      <c r="S233" s="91">
        <v>787.52079615927244</v>
      </c>
      <c r="T233" s="92">
        <v>192</v>
      </c>
      <c r="U233" s="92">
        <v>188.16</v>
      </c>
      <c r="V233" s="92">
        <v>592</v>
      </c>
      <c r="W233" s="92">
        <v>562.16</v>
      </c>
      <c r="X233" s="92">
        <v>772</v>
      </c>
      <c r="Y233" s="92">
        <v>742.16</v>
      </c>
      <c r="Z233" s="93">
        <f t="shared" si="118"/>
        <v>0.94240051008113512</v>
      </c>
      <c r="AA233" s="94">
        <v>1043.0564253133475</v>
      </c>
      <c r="AB233" s="91">
        <v>787.52079615927244</v>
      </c>
      <c r="AC233" s="92">
        <v>0</v>
      </c>
      <c r="AD233" s="92">
        <v>0</v>
      </c>
      <c r="AE233" s="92">
        <v>640</v>
      </c>
      <c r="AF233" s="92">
        <v>380</v>
      </c>
      <c r="AG233" s="92"/>
      <c r="AH233" s="92"/>
      <c r="AI233" s="93">
        <f t="shared" si="119"/>
        <v>0</v>
      </c>
      <c r="AJ233" s="95">
        <f t="shared" si="120"/>
        <v>2362.5623884778174</v>
      </c>
      <c r="AK233" s="96">
        <f t="shared" si="121"/>
        <v>1716.1599999999999</v>
      </c>
      <c r="AL233" s="97">
        <f t="shared" si="122"/>
        <v>0.72639774863499362</v>
      </c>
      <c r="AN233" s="89">
        <v>2.0736132711249352E-2</v>
      </c>
      <c r="AO233" s="183"/>
      <c r="AP233" s="184"/>
      <c r="AQ233" s="92"/>
      <c r="AR233" s="92"/>
      <c r="AS233" s="92"/>
      <c r="AT233" s="92"/>
      <c r="AU233" s="92"/>
      <c r="AV233" s="92"/>
      <c r="AW233" s="93">
        <f t="shared" si="123"/>
        <v>0</v>
      </c>
      <c r="AX233" s="183"/>
      <c r="AY233" s="184"/>
      <c r="AZ233" s="92"/>
      <c r="BA233" s="92"/>
      <c r="BB233" s="92"/>
      <c r="BC233" s="92"/>
      <c r="BD233" s="92"/>
      <c r="BE233" s="92"/>
      <c r="BF233" s="93">
        <f t="shared" si="124"/>
        <v>0</v>
      </c>
      <c r="BG233" s="181"/>
      <c r="BH233" s="182"/>
      <c r="BI233" s="92"/>
      <c r="BJ233" s="92"/>
      <c r="BK233" s="92"/>
      <c r="BL233" s="92"/>
      <c r="BM233" s="92"/>
      <c r="BN233" s="92"/>
      <c r="BO233" s="93">
        <f t="shared" si="125"/>
        <v>0</v>
      </c>
      <c r="BP233" s="95">
        <f t="shared" si="126"/>
        <v>0</v>
      </c>
      <c r="BQ233" s="96">
        <f t="shared" si="127"/>
        <v>0</v>
      </c>
      <c r="BR233" s="97">
        <f t="shared" si="128"/>
        <v>0</v>
      </c>
      <c r="BT233" s="82"/>
      <c r="BU233" s="181"/>
      <c r="BV233" s="182"/>
      <c r="BW233" s="92"/>
      <c r="BX233" s="92"/>
      <c r="BY233" s="92"/>
      <c r="BZ233" s="92"/>
      <c r="CA233" s="92"/>
      <c r="CB233" s="92"/>
      <c r="CC233" s="93">
        <f t="shared" si="129"/>
        <v>0</v>
      </c>
      <c r="CD233" s="181"/>
      <c r="CE233" s="182"/>
      <c r="CF233" s="92"/>
      <c r="CG233" s="92"/>
      <c r="CH233" s="92"/>
      <c r="CI233" s="92"/>
      <c r="CJ233" s="92"/>
      <c r="CK233" s="92"/>
      <c r="CL233" s="93">
        <f t="shared" si="130"/>
        <v>0</v>
      </c>
      <c r="CM233" s="181"/>
      <c r="CN233" s="182"/>
      <c r="CO233" s="92"/>
      <c r="CP233" s="92"/>
      <c r="CQ233" s="92"/>
      <c r="CR233" s="92"/>
      <c r="CS233" s="92"/>
      <c r="CT233" s="92"/>
      <c r="CU233" s="93">
        <f t="shared" si="131"/>
        <v>0</v>
      </c>
      <c r="CV233" s="95">
        <f t="shared" si="132"/>
        <v>0</v>
      </c>
      <c r="CW233" s="96">
        <f t="shared" si="133"/>
        <v>0</v>
      </c>
      <c r="CX233" s="97">
        <f t="shared" si="134"/>
        <v>0</v>
      </c>
      <c r="CZ233" s="82"/>
      <c r="DA233" s="136"/>
      <c r="DB233" s="137"/>
      <c r="DC233" s="92"/>
      <c r="DD233" s="92"/>
      <c r="DE233" s="92"/>
      <c r="DF233" s="92"/>
      <c r="DG233" s="92"/>
      <c r="DH233" s="92"/>
      <c r="DI233" s="93">
        <f t="shared" si="135"/>
        <v>0</v>
      </c>
      <c r="DJ233" s="183"/>
      <c r="DK233" s="184"/>
      <c r="DL233" s="92"/>
      <c r="DM233" s="92"/>
      <c r="DN233" s="92"/>
      <c r="DO233" s="92"/>
      <c r="DP233" s="92"/>
      <c r="DQ233" s="92"/>
      <c r="DR233" s="93">
        <f t="shared" si="136"/>
        <v>0</v>
      </c>
      <c r="DS233" s="183"/>
      <c r="DT233" s="184"/>
      <c r="DU233" s="92"/>
      <c r="DV233" s="92"/>
      <c r="DW233" s="92"/>
      <c r="DX233" s="92"/>
      <c r="DY233" s="92"/>
      <c r="DZ233" s="92"/>
      <c r="EA233" s="93">
        <f t="shared" si="137"/>
        <v>0</v>
      </c>
      <c r="EB233" s="95">
        <f t="shared" si="138"/>
        <v>0</v>
      </c>
      <c r="EC233" s="96">
        <f t="shared" si="139"/>
        <v>0</v>
      </c>
      <c r="ED233" s="97">
        <f t="shared" si="140"/>
        <v>0</v>
      </c>
    </row>
    <row r="234" spans="1:134" s="6" customFormat="1" ht="21.95" customHeight="1" x14ac:dyDescent="0.5">
      <c r="A234" s="83">
        <v>38</v>
      </c>
      <c r="B234" s="103" t="s">
        <v>471</v>
      </c>
      <c r="C234" s="103" t="s">
        <v>472</v>
      </c>
      <c r="D234" s="103" t="s">
        <v>473</v>
      </c>
      <c r="E234" s="148" t="s">
        <v>474</v>
      </c>
      <c r="F234" s="83" t="s">
        <v>462</v>
      </c>
      <c r="G234" s="222"/>
      <c r="H234" s="180">
        <v>8.4599535133928119E-3</v>
      </c>
      <c r="I234" s="181">
        <f t="shared" si="141"/>
        <v>832.82644937127532</v>
      </c>
      <c r="J234" s="182">
        <f t="shared" si="142"/>
        <v>628.79450483643416</v>
      </c>
      <c r="K234" s="92">
        <v>380</v>
      </c>
      <c r="L234" s="92">
        <v>250</v>
      </c>
      <c r="M234" s="92">
        <v>380</v>
      </c>
      <c r="N234" s="92">
        <v>250</v>
      </c>
      <c r="O234" s="92">
        <v>700</v>
      </c>
      <c r="P234" s="92">
        <v>518</v>
      </c>
      <c r="Q234" s="93">
        <f t="shared" si="117"/>
        <v>0.82379854788130713</v>
      </c>
      <c r="R234" s="94">
        <v>832.82644937127611</v>
      </c>
      <c r="S234" s="91">
        <v>628.79450483643416</v>
      </c>
      <c r="T234" s="92">
        <v>180</v>
      </c>
      <c r="U234" s="92">
        <v>180</v>
      </c>
      <c r="V234" s="92">
        <v>180</v>
      </c>
      <c r="W234" s="92">
        <v>180</v>
      </c>
      <c r="X234" s="92">
        <v>920</v>
      </c>
      <c r="Y234" s="92">
        <v>790</v>
      </c>
      <c r="Z234" s="93">
        <f t="shared" si="118"/>
        <v>1.2563723027533449</v>
      </c>
      <c r="AA234" s="94">
        <v>832.82644937127611</v>
      </c>
      <c r="AB234" s="91">
        <v>628.79450483643416</v>
      </c>
      <c r="AC234" s="92">
        <v>360</v>
      </c>
      <c r="AD234" s="92">
        <v>282</v>
      </c>
      <c r="AE234" s="92">
        <v>1060</v>
      </c>
      <c r="AF234" s="92">
        <v>878</v>
      </c>
      <c r="AG234" s="92"/>
      <c r="AH234" s="92"/>
      <c r="AI234" s="93">
        <f t="shared" si="119"/>
        <v>0</v>
      </c>
      <c r="AJ234" s="95">
        <f t="shared" si="120"/>
        <v>1886.3835145093026</v>
      </c>
      <c r="AK234" s="96">
        <f t="shared" si="121"/>
        <v>1308</v>
      </c>
      <c r="AL234" s="97">
        <f t="shared" si="122"/>
        <v>0.69339028354488397</v>
      </c>
      <c r="AN234" s="89">
        <v>4.7207791491567673E-3</v>
      </c>
      <c r="AO234" s="183"/>
      <c r="AP234" s="184"/>
      <c r="AQ234" s="92"/>
      <c r="AR234" s="92"/>
      <c r="AS234" s="92"/>
      <c r="AT234" s="92"/>
      <c r="AU234" s="92"/>
      <c r="AV234" s="92"/>
      <c r="AW234" s="93">
        <f t="shared" si="123"/>
        <v>0</v>
      </c>
      <c r="AX234" s="183"/>
      <c r="AY234" s="184"/>
      <c r="AZ234" s="92"/>
      <c r="BA234" s="92"/>
      <c r="BB234" s="92"/>
      <c r="BC234" s="92"/>
      <c r="BD234" s="92"/>
      <c r="BE234" s="92"/>
      <c r="BF234" s="93">
        <f t="shared" si="124"/>
        <v>0</v>
      </c>
      <c r="BG234" s="181"/>
      <c r="BH234" s="182"/>
      <c r="BI234" s="92"/>
      <c r="BJ234" s="92"/>
      <c r="BK234" s="92"/>
      <c r="BL234" s="92"/>
      <c r="BM234" s="92"/>
      <c r="BN234" s="92"/>
      <c r="BO234" s="93">
        <f t="shared" si="125"/>
        <v>0</v>
      </c>
      <c r="BP234" s="95">
        <f t="shared" si="126"/>
        <v>0</v>
      </c>
      <c r="BQ234" s="96">
        <f t="shared" si="127"/>
        <v>0</v>
      </c>
      <c r="BR234" s="97">
        <f t="shared" si="128"/>
        <v>0</v>
      </c>
      <c r="BT234" s="82"/>
      <c r="BU234" s="181"/>
      <c r="BV234" s="182"/>
      <c r="BW234" s="92"/>
      <c r="BX234" s="92"/>
      <c r="BY234" s="92"/>
      <c r="BZ234" s="92"/>
      <c r="CA234" s="92"/>
      <c r="CB234" s="92"/>
      <c r="CC234" s="93">
        <f t="shared" si="129"/>
        <v>0</v>
      </c>
      <c r="CD234" s="181"/>
      <c r="CE234" s="182"/>
      <c r="CF234" s="92"/>
      <c r="CG234" s="92"/>
      <c r="CH234" s="92"/>
      <c r="CI234" s="92"/>
      <c r="CJ234" s="92"/>
      <c r="CK234" s="92"/>
      <c r="CL234" s="93">
        <f t="shared" si="130"/>
        <v>0</v>
      </c>
      <c r="CM234" s="181"/>
      <c r="CN234" s="182"/>
      <c r="CO234" s="92"/>
      <c r="CP234" s="92"/>
      <c r="CQ234" s="92"/>
      <c r="CR234" s="92"/>
      <c r="CS234" s="92"/>
      <c r="CT234" s="92"/>
      <c r="CU234" s="93">
        <f t="shared" si="131"/>
        <v>0</v>
      </c>
      <c r="CV234" s="95">
        <f t="shared" si="132"/>
        <v>0</v>
      </c>
      <c r="CW234" s="96">
        <f t="shared" si="133"/>
        <v>0</v>
      </c>
      <c r="CX234" s="97">
        <f t="shared" si="134"/>
        <v>0</v>
      </c>
      <c r="CZ234" s="82"/>
      <c r="DA234" s="136"/>
      <c r="DB234" s="137"/>
      <c r="DC234" s="92"/>
      <c r="DD234" s="92"/>
      <c r="DE234" s="92"/>
      <c r="DF234" s="92"/>
      <c r="DG234" s="92"/>
      <c r="DH234" s="92"/>
      <c r="DI234" s="93">
        <f t="shared" si="135"/>
        <v>0</v>
      </c>
      <c r="DJ234" s="183"/>
      <c r="DK234" s="184"/>
      <c r="DL234" s="92"/>
      <c r="DM234" s="92"/>
      <c r="DN234" s="92"/>
      <c r="DO234" s="92"/>
      <c r="DP234" s="92"/>
      <c r="DQ234" s="92"/>
      <c r="DR234" s="93">
        <f t="shared" si="136"/>
        <v>0</v>
      </c>
      <c r="DS234" s="183"/>
      <c r="DT234" s="184"/>
      <c r="DU234" s="92"/>
      <c r="DV234" s="92"/>
      <c r="DW234" s="92"/>
      <c r="DX234" s="92"/>
      <c r="DY234" s="92"/>
      <c r="DZ234" s="92"/>
      <c r="EA234" s="93">
        <f t="shared" si="137"/>
        <v>0</v>
      </c>
      <c r="EB234" s="95">
        <f t="shared" si="138"/>
        <v>0</v>
      </c>
      <c r="EC234" s="96">
        <f t="shared" si="139"/>
        <v>0</v>
      </c>
      <c r="ED234" s="97">
        <f t="shared" si="140"/>
        <v>0</v>
      </c>
    </row>
    <row r="235" spans="1:134" s="6" customFormat="1" ht="21.95" customHeight="1" x14ac:dyDescent="0.5">
      <c r="A235" s="83">
        <v>39</v>
      </c>
      <c r="B235" s="103" t="s">
        <v>475</v>
      </c>
      <c r="C235" s="103" t="s">
        <v>476</v>
      </c>
      <c r="D235" s="103" t="s">
        <v>473</v>
      </c>
      <c r="E235" s="148" t="s">
        <v>474</v>
      </c>
      <c r="F235" s="83" t="s">
        <v>462</v>
      </c>
      <c r="G235" s="222"/>
      <c r="H235" s="180">
        <v>4.1411650071556897E-3</v>
      </c>
      <c r="I235" s="181">
        <f t="shared" si="141"/>
        <v>407.67029555306578</v>
      </c>
      <c r="J235" s="182">
        <f t="shared" si="142"/>
        <v>307.79623032185378</v>
      </c>
      <c r="K235" s="92">
        <v>132</v>
      </c>
      <c r="L235" s="92">
        <v>132</v>
      </c>
      <c r="M235" s="92">
        <v>192</v>
      </c>
      <c r="N235" s="92">
        <v>192</v>
      </c>
      <c r="O235" s="92">
        <v>324</v>
      </c>
      <c r="P235" s="92">
        <v>324</v>
      </c>
      <c r="Q235" s="93">
        <f t="shared" si="117"/>
        <v>1.0526444708604858</v>
      </c>
      <c r="R235" s="94">
        <v>407.67029555306618</v>
      </c>
      <c r="S235" s="91">
        <v>307.79623032185378</v>
      </c>
      <c r="T235" s="92">
        <v>60</v>
      </c>
      <c r="U235" s="92">
        <v>60</v>
      </c>
      <c r="V235" s="92">
        <v>120</v>
      </c>
      <c r="W235" s="92">
        <v>120</v>
      </c>
      <c r="X235" s="92">
        <v>240</v>
      </c>
      <c r="Y235" s="92">
        <v>240</v>
      </c>
      <c r="Z235" s="93">
        <f t="shared" si="118"/>
        <v>0.77973664508184137</v>
      </c>
      <c r="AA235" s="94">
        <v>407.67029555306618</v>
      </c>
      <c r="AB235" s="91">
        <v>307.79623032185378</v>
      </c>
      <c r="AC235" s="92">
        <v>120</v>
      </c>
      <c r="AD235" s="92">
        <v>120</v>
      </c>
      <c r="AE235" s="92">
        <v>180</v>
      </c>
      <c r="AF235" s="92">
        <v>180</v>
      </c>
      <c r="AG235" s="92"/>
      <c r="AH235" s="92"/>
      <c r="AI235" s="93">
        <f t="shared" si="119"/>
        <v>0</v>
      </c>
      <c r="AJ235" s="95">
        <f t="shared" si="120"/>
        <v>923.38869096556141</v>
      </c>
      <c r="AK235" s="96">
        <f t="shared" si="121"/>
        <v>564</v>
      </c>
      <c r="AL235" s="97">
        <f t="shared" si="122"/>
        <v>0.61079370531410904</v>
      </c>
      <c r="AN235" s="89">
        <v>9.8533396571184855E-3</v>
      </c>
      <c r="AO235" s="183"/>
      <c r="AP235" s="184"/>
      <c r="AQ235" s="92"/>
      <c r="AR235" s="92"/>
      <c r="AS235" s="92"/>
      <c r="AT235" s="92"/>
      <c r="AU235" s="92"/>
      <c r="AV235" s="92"/>
      <c r="AW235" s="93">
        <f t="shared" si="123"/>
        <v>0</v>
      </c>
      <c r="AX235" s="183"/>
      <c r="AY235" s="184"/>
      <c r="AZ235" s="92"/>
      <c r="BA235" s="92"/>
      <c r="BB235" s="92"/>
      <c r="BC235" s="92"/>
      <c r="BD235" s="92"/>
      <c r="BE235" s="92"/>
      <c r="BF235" s="93">
        <f t="shared" si="124"/>
        <v>0</v>
      </c>
      <c r="BG235" s="181"/>
      <c r="BH235" s="182"/>
      <c r="BI235" s="92"/>
      <c r="BJ235" s="92"/>
      <c r="BK235" s="92"/>
      <c r="BL235" s="92"/>
      <c r="BM235" s="92"/>
      <c r="BN235" s="92"/>
      <c r="BO235" s="93">
        <f t="shared" si="125"/>
        <v>0</v>
      </c>
      <c r="BP235" s="95">
        <f t="shared" si="126"/>
        <v>0</v>
      </c>
      <c r="BQ235" s="96">
        <f t="shared" si="127"/>
        <v>0</v>
      </c>
      <c r="BR235" s="97">
        <f t="shared" si="128"/>
        <v>0</v>
      </c>
      <c r="BT235" s="82"/>
      <c r="BU235" s="181"/>
      <c r="BV235" s="182"/>
      <c r="BW235" s="92"/>
      <c r="BX235" s="92"/>
      <c r="BY235" s="92"/>
      <c r="BZ235" s="92"/>
      <c r="CA235" s="92"/>
      <c r="CB235" s="92"/>
      <c r="CC235" s="93">
        <f t="shared" si="129"/>
        <v>0</v>
      </c>
      <c r="CD235" s="181"/>
      <c r="CE235" s="182"/>
      <c r="CF235" s="92"/>
      <c r="CG235" s="92"/>
      <c r="CH235" s="92"/>
      <c r="CI235" s="92"/>
      <c r="CJ235" s="92"/>
      <c r="CK235" s="92"/>
      <c r="CL235" s="93">
        <f t="shared" si="130"/>
        <v>0</v>
      </c>
      <c r="CM235" s="181"/>
      <c r="CN235" s="182"/>
      <c r="CO235" s="92"/>
      <c r="CP235" s="92"/>
      <c r="CQ235" s="92"/>
      <c r="CR235" s="92"/>
      <c r="CS235" s="92"/>
      <c r="CT235" s="92"/>
      <c r="CU235" s="93">
        <f t="shared" si="131"/>
        <v>0</v>
      </c>
      <c r="CV235" s="95">
        <f t="shared" si="132"/>
        <v>0</v>
      </c>
      <c r="CW235" s="96">
        <f t="shared" si="133"/>
        <v>0</v>
      </c>
      <c r="CX235" s="97">
        <f t="shared" si="134"/>
        <v>0</v>
      </c>
      <c r="CZ235" s="82"/>
      <c r="DA235" s="136"/>
      <c r="DB235" s="137"/>
      <c r="DC235" s="92"/>
      <c r="DD235" s="92"/>
      <c r="DE235" s="92"/>
      <c r="DF235" s="92"/>
      <c r="DG235" s="92"/>
      <c r="DH235" s="92"/>
      <c r="DI235" s="93">
        <f t="shared" si="135"/>
        <v>0</v>
      </c>
      <c r="DJ235" s="183"/>
      <c r="DK235" s="184"/>
      <c r="DL235" s="92"/>
      <c r="DM235" s="92"/>
      <c r="DN235" s="92"/>
      <c r="DO235" s="92"/>
      <c r="DP235" s="92"/>
      <c r="DQ235" s="92"/>
      <c r="DR235" s="93">
        <f t="shared" si="136"/>
        <v>0</v>
      </c>
      <c r="DS235" s="183"/>
      <c r="DT235" s="184"/>
      <c r="DU235" s="92"/>
      <c r="DV235" s="92"/>
      <c r="DW235" s="92"/>
      <c r="DX235" s="92"/>
      <c r="DY235" s="92"/>
      <c r="DZ235" s="92"/>
      <c r="EA235" s="93">
        <f t="shared" si="137"/>
        <v>0</v>
      </c>
      <c r="EB235" s="95">
        <f t="shared" si="138"/>
        <v>0</v>
      </c>
      <c r="EC235" s="96">
        <f t="shared" si="139"/>
        <v>0</v>
      </c>
      <c r="ED235" s="97">
        <f t="shared" si="140"/>
        <v>0</v>
      </c>
    </row>
    <row r="236" spans="1:134" s="6" customFormat="1" ht="21.95" customHeight="1" x14ac:dyDescent="0.5">
      <c r="A236" s="83">
        <v>40</v>
      </c>
      <c r="B236" s="103" t="s">
        <v>477</v>
      </c>
      <c r="C236" s="103" t="s">
        <v>477</v>
      </c>
      <c r="D236" s="103" t="s">
        <v>473</v>
      </c>
      <c r="E236" s="148" t="s">
        <v>474</v>
      </c>
      <c r="F236" s="83" t="s">
        <v>462</v>
      </c>
      <c r="G236" s="222"/>
      <c r="H236" s="180">
        <v>1.6109943870974291E-2</v>
      </c>
      <c r="I236" s="181">
        <f t="shared" si="141"/>
        <v>1585.9173850534951</v>
      </c>
      <c r="J236" s="182">
        <f t="shared" si="142"/>
        <v>1197.3876881540352</v>
      </c>
      <c r="K236" s="92">
        <v>420</v>
      </c>
      <c r="L236" s="92">
        <v>420</v>
      </c>
      <c r="M236" s="92">
        <v>600</v>
      </c>
      <c r="N236" s="92">
        <v>600</v>
      </c>
      <c r="O236" s="92">
        <v>1736</v>
      </c>
      <c r="P236" s="92">
        <v>1309.92</v>
      </c>
      <c r="Q236" s="93">
        <f t="shared" si="117"/>
        <v>1.093981517397637</v>
      </c>
      <c r="R236" s="94">
        <v>1585.9173850534967</v>
      </c>
      <c r="S236" s="91">
        <v>1197.3876881540352</v>
      </c>
      <c r="T236" s="92">
        <v>380</v>
      </c>
      <c r="U236" s="92">
        <v>250</v>
      </c>
      <c r="V236" s="92">
        <v>1040</v>
      </c>
      <c r="W236" s="92">
        <v>910</v>
      </c>
      <c r="X236" s="92">
        <v>1860</v>
      </c>
      <c r="Y236" s="92">
        <v>1548</v>
      </c>
      <c r="Z236" s="93">
        <f t="shared" si="118"/>
        <v>1.2928143618935064</v>
      </c>
      <c r="AA236" s="94">
        <v>1585.9173850534967</v>
      </c>
      <c r="AB236" s="91">
        <v>1197.3876881540352</v>
      </c>
      <c r="AC236" s="92">
        <v>342</v>
      </c>
      <c r="AD236" s="92">
        <v>326.88</v>
      </c>
      <c r="AE236" s="92">
        <v>1150</v>
      </c>
      <c r="AF236" s="92">
        <v>1124.8</v>
      </c>
      <c r="AG236" s="92"/>
      <c r="AH236" s="92"/>
      <c r="AI236" s="93">
        <f t="shared" si="119"/>
        <v>0</v>
      </c>
      <c r="AJ236" s="95">
        <f t="shared" si="120"/>
        <v>3592.1630644621055</v>
      </c>
      <c r="AK236" s="96">
        <f t="shared" si="121"/>
        <v>2857.92</v>
      </c>
      <c r="AL236" s="97">
        <f t="shared" si="122"/>
        <v>0.79559862643038126</v>
      </c>
      <c r="AN236" s="89">
        <v>1.3515252455062521E-2</v>
      </c>
      <c r="AO236" s="183"/>
      <c r="AP236" s="184"/>
      <c r="AQ236" s="92"/>
      <c r="AR236" s="92"/>
      <c r="AS236" s="92"/>
      <c r="AT236" s="92"/>
      <c r="AU236" s="92"/>
      <c r="AV236" s="92"/>
      <c r="AW236" s="93">
        <f t="shared" si="123"/>
        <v>0</v>
      </c>
      <c r="AX236" s="183"/>
      <c r="AY236" s="184"/>
      <c r="AZ236" s="92"/>
      <c r="BA236" s="92"/>
      <c r="BB236" s="92"/>
      <c r="BC236" s="92"/>
      <c r="BD236" s="92"/>
      <c r="BE236" s="92"/>
      <c r="BF236" s="93">
        <f t="shared" si="124"/>
        <v>0</v>
      </c>
      <c r="BG236" s="181"/>
      <c r="BH236" s="182"/>
      <c r="BI236" s="92"/>
      <c r="BJ236" s="92"/>
      <c r="BK236" s="92"/>
      <c r="BL236" s="92"/>
      <c r="BM236" s="92"/>
      <c r="BN236" s="92"/>
      <c r="BO236" s="93">
        <f t="shared" si="125"/>
        <v>0</v>
      </c>
      <c r="BP236" s="95">
        <f t="shared" si="126"/>
        <v>0</v>
      </c>
      <c r="BQ236" s="96">
        <f t="shared" si="127"/>
        <v>0</v>
      </c>
      <c r="BR236" s="97">
        <f t="shared" si="128"/>
        <v>0</v>
      </c>
      <c r="BT236" s="82"/>
      <c r="BU236" s="181"/>
      <c r="BV236" s="182"/>
      <c r="BW236" s="92"/>
      <c r="BX236" s="92"/>
      <c r="BY236" s="92"/>
      <c r="BZ236" s="92"/>
      <c r="CA236" s="92"/>
      <c r="CB236" s="92"/>
      <c r="CC236" s="93">
        <f t="shared" si="129"/>
        <v>0</v>
      </c>
      <c r="CD236" s="181"/>
      <c r="CE236" s="182"/>
      <c r="CF236" s="92"/>
      <c r="CG236" s="92"/>
      <c r="CH236" s="92"/>
      <c r="CI236" s="92"/>
      <c r="CJ236" s="92"/>
      <c r="CK236" s="92"/>
      <c r="CL236" s="93">
        <f t="shared" si="130"/>
        <v>0</v>
      </c>
      <c r="CM236" s="181"/>
      <c r="CN236" s="182"/>
      <c r="CO236" s="92"/>
      <c r="CP236" s="92"/>
      <c r="CQ236" s="92"/>
      <c r="CR236" s="92"/>
      <c r="CS236" s="92"/>
      <c r="CT236" s="92"/>
      <c r="CU236" s="93">
        <f t="shared" si="131"/>
        <v>0</v>
      </c>
      <c r="CV236" s="95">
        <f t="shared" si="132"/>
        <v>0</v>
      </c>
      <c r="CW236" s="96">
        <f t="shared" si="133"/>
        <v>0</v>
      </c>
      <c r="CX236" s="97">
        <f t="shared" si="134"/>
        <v>0</v>
      </c>
      <c r="CZ236" s="82"/>
      <c r="DA236" s="136"/>
      <c r="DB236" s="137"/>
      <c r="DC236" s="92"/>
      <c r="DD236" s="92"/>
      <c r="DE236" s="92"/>
      <c r="DF236" s="92"/>
      <c r="DG236" s="92"/>
      <c r="DH236" s="92"/>
      <c r="DI236" s="93">
        <f t="shared" si="135"/>
        <v>0</v>
      </c>
      <c r="DJ236" s="183"/>
      <c r="DK236" s="184"/>
      <c r="DL236" s="92"/>
      <c r="DM236" s="92"/>
      <c r="DN236" s="92"/>
      <c r="DO236" s="92"/>
      <c r="DP236" s="92"/>
      <c r="DQ236" s="92"/>
      <c r="DR236" s="93">
        <f t="shared" si="136"/>
        <v>0</v>
      </c>
      <c r="DS236" s="183"/>
      <c r="DT236" s="184"/>
      <c r="DU236" s="92"/>
      <c r="DV236" s="92"/>
      <c r="DW236" s="92"/>
      <c r="DX236" s="92"/>
      <c r="DY236" s="92"/>
      <c r="DZ236" s="92"/>
      <c r="EA236" s="93">
        <f t="shared" si="137"/>
        <v>0</v>
      </c>
      <c r="EB236" s="95">
        <f t="shared" si="138"/>
        <v>0</v>
      </c>
      <c r="EC236" s="96">
        <f t="shared" si="139"/>
        <v>0</v>
      </c>
      <c r="ED236" s="97">
        <f t="shared" si="140"/>
        <v>0</v>
      </c>
    </row>
    <row r="237" spans="1:134" s="6" customFormat="1" ht="21.95" customHeight="1" x14ac:dyDescent="0.5">
      <c r="A237" s="83">
        <v>41</v>
      </c>
      <c r="B237" s="103" t="s">
        <v>478</v>
      </c>
      <c r="C237" s="103" t="s">
        <v>478</v>
      </c>
      <c r="D237" s="103" t="s">
        <v>365</v>
      </c>
      <c r="E237" s="148" t="s">
        <v>479</v>
      </c>
      <c r="F237" s="83" t="s">
        <v>462</v>
      </c>
      <c r="G237" s="222"/>
      <c r="H237" s="180">
        <v>1.3153273854835928E-2</v>
      </c>
      <c r="I237" s="181">
        <f t="shared" si="141"/>
        <v>1294.8527843314166</v>
      </c>
      <c r="J237" s="182">
        <f t="shared" si="142"/>
        <v>977.63023253453514</v>
      </c>
      <c r="K237" s="92">
        <v>0</v>
      </c>
      <c r="L237" s="92">
        <v>0</v>
      </c>
      <c r="M237" s="92">
        <v>180</v>
      </c>
      <c r="N237" s="92">
        <v>180</v>
      </c>
      <c r="O237" s="92">
        <v>620</v>
      </c>
      <c r="P237" s="92">
        <v>568</v>
      </c>
      <c r="Q237" s="93">
        <f t="shared" si="117"/>
        <v>0.58099676247474807</v>
      </c>
      <c r="R237" s="94">
        <v>1294.852784331418</v>
      </c>
      <c r="S237" s="91">
        <v>977.63023253453514</v>
      </c>
      <c r="T237" s="92">
        <v>320</v>
      </c>
      <c r="U237" s="92">
        <v>190</v>
      </c>
      <c r="V237" s="92">
        <v>320</v>
      </c>
      <c r="W237" s="92">
        <v>190</v>
      </c>
      <c r="X237" s="92">
        <v>1000</v>
      </c>
      <c r="Y237" s="92">
        <v>740</v>
      </c>
      <c r="Z237" s="93">
        <f t="shared" si="118"/>
        <v>0.75693240181569288</v>
      </c>
      <c r="AA237" s="94">
        <v>1294.852784331418</v>
      </c>
      <c r="AB237" s="91">
        <v>977.63023253453514</v>
      </c>
      <c r="AC237" s="92">
        <v>0</v>
      </c>
      <c r="AD237" s="92">
        <v>0</v>
      </c>
      <c r="AE237" s="92">
        <v>540</v>
      </c>
      <c r="AF237" s="92">
        <v>540</v>
      </c>
      <c r="AG237" s="92"/>
      <c r="AH237" s="92"/>
      <c r="AI237" s="93">
        <f t="shared" si="119"/>
        <v>0</v>
      </c>
      <c r="AJ237" s="95">
        <f t="shared" si="120"/>
        <v>2932.8906976036055</v>
      </c>
      <c r="AK237" s="96">
        <f t="shared" si="121"/>
        <v>1308</v>
      </c>
      <c r="AL237" s="97">
        <f t="shared" si="122"/>
        <v>0.44597638809681361</v>
      </c>
      <c r="AN237" s="89">
        <v>8.7209409204048686E-3</v>
      </c>
      <c r="AO237" s="183"/>
      <c r="AP237" s="184"/>
      <c r="AQ237" s="92"/>
      <c r="AR237" s="92"/>
      <c r="AS237" s="92"/>
      <c r="AT237" s="92"/>
      <c r="AU237" s="92"/>
      <c r="AV237" s="92"/>
      <c r="AW237" s="93">
        <f t="shared" si="123"/>
        <v>0</v>
      </c>
      <c r="AX237" s="183"/>
      <c r="AY237" s="184"/>
      <c r="AZ237" s="92"/>
      <c r="BA237" s="92"/>
      <c r="BB237" s="92"/>
      <c r="BC237" s="92"/>
      <c r="BD237" s="92"/>
      <c r="BE237" s="92"/>
      <c r="BF237" s="93">
        <f t="shared" si="124"/>
        <v>0</v>
      </c>
      <c r="BG237" s="181"/>
      <c r="BH237" s="182"/>
      <c r="BI237" s="92"/>
      <c r="BJ237" s="92"/>
      <c r="BK237" s="92"/>
      <c r="BL237" s="92"/>
      <c r="BM237" s="92"/>
      <c r="BN237" s="92"/>
      <c r="BO237" s="93">
        <f t="shared" si="125"/>
        <v>0</v>
      </c>
      <c r="BP237" s="95">
        <f t="shared" si="126"/>
        <v>0</v>
      </c>
      <c r="BQ237" s="96">
        <f t="shared" si="127"/>
        <v>0</v>
      </c>
      <c r="BR237" s="97">
        <f t="shared" si="128"/>
        <v>0</v>
      </c>
      <c r="BT237" s="82"/>
      <c r="BU237" s="181"/>
      <c r="BV237" s="182"/>
      <c r="BW237" s="92"/>
      <c r="BX237" s="92"/>
      <c r="BY237" s="92"/>
      <c r="BZ237" s="92"/>
      <c r="CA237" s="92"/>
      <c r="CB237" s="92"/>
      <c r="CC237" s="93">
        <f t="shared" si="129"/>
        <v>0</v>
      </c>
      <c r="CD237" s="181"/>
      <c r="CE237" s="182"/>
      <c r="CF237" s="92"/>
      <c r="CG237" s="92"/>
      <c r="CH237" s="92"/>
      <c r="CI237" s="92"/>
      <c r="CJ237" s="92"/>
      <c r="CK237" s="92"/>
      <c r="CL237" s="93">
        <f t="shared" si="130"/>
        <v>0</v>
      </c>
      <c r="CM237" s="181"/>
      <c r="CN237" s="182"/>
      <c r="CO237" s="92"/>
      <c r="CP237" s="92"/>
      <c r="CQ237" s="92"/>
      <c r="CR237" s="92"/>
      <c r="CS237" s="92"/>
      <c r="CT237" s="92"/>
      <c r="CU237" s="93">
        <f t="shared" si="131"/>
        <v>0</v>
      </c>
      <c r="CV237" s="95">
        <f t="shared" si="132"/>
        <v>0</v>
      </c>
      <c r="CW237" s="96">
        <f t="shared" si="133"/>
        <v>0</v>
      </c>
      <c r="CX237" s="97">
        <f t="shared" si="134"/>
        <v>0</v>
      </c>
      <c r="CZ237" s="82"/>
      <c r="DA237" s="136"/>
      <c r="DB237" s="137"/>
      <c r="DC237" s="92"/>
      <c r="DD237" s="92"/>
      <c r="DE237" s="92"/>
      <c r="DF237" s="92"/>
      <c r="DG237" s="92"/>
      <c r="DH237" s="92"/>
      <c r="DI237" s="93">
        <f t="shared" si="135"/>
        <v>0</v>
      </c>
      <c r="DJ237" s="183"/>
      <c r="DK237" s="184"/>
      <c r="DL237" s="92"/>
      <c r="DM237" s="92"/>
      <c r="DN237" s="92"/>
      <c r="DO237" s="92"/>
      <c r="DP237" s="92"/>
      <c r="DQ237" s="92"/>
      <c r="DR237" s="93">
        <f t="shared" si="136"/>
        <v>0</v>
      </c>
      <c r="DS237" s="183"/>
      <c r="DT237" s="184"/>
      <c r="DU237" s="92"/>
      <c r="DV237" s="92"/>
      <c r="DW237" s="92"/>
      <c r="DX237" s="92"/>
      <c r="DY237" s="92"/>
      <c r="DZ237" s="92"/>
      <c r="EA237" s="93">
        <f t="shared" si="137"/>
        <v>0</v>
      </c>
      <c r="EB237" s="95">
        <f t="shared" si="138"/>
        <v>0</v>
      </c>
      <c r="EC237" s="96">
        <f t="shared" si="139"/>
        <v>0</v>
      </c>
      <c r="ED237" s="97">
        <f t="shared" si="140"/>
        <v>0</v>
      </c>
    </row>
    <row r="238" spans="1:134" s="6" customFormat="1" ht="21.95" customHeight="1" x14ac:dyDescent="0.5">
      <c r="A238" s="83">
        <v>42</v>
      </c>
      <c r="B238" s="103" t="s">
        <v>480</v>
      </c>
      <c r="C238" s="103" t="s">
        <v>480</v>
      </c>
      <c r="D238" s="103" t="s">
        <v>365</v>
      </c>
      <c r="E238" s="148" t="s">
        <v>479</v>
      </c>
      <c r="F238" s="83" t="s">
        <v>462</v>
      </c>
      <c r="G238" s="222"/>
      <c r="H238" s="180">
        <v>2.3101204794819482E-3</v>
      </c>
      <c r="I238" s="181">
        <f t="shared" si="141"/>
        <v>227.4160766369553</v>
      </c>
      <c r="J238" s="182">
        <f t="shared" si="142"/>
        <v>171.70201475797529</v>
      </c>
      <c r="K238" s="92">
        <v>0</v>
      </c>
      <c r="L238" s="92">
        <v>0</v>
      </c>
      <c r="M238" s="92">
        <v>0</v>
      </c>
      <c r="N238" s="92">
        <v>0</v>
      </c>
      <c r="O238" s="92">
        <v>0</v>
      </c>
      <c r="P238" s="92">
        <v>0</v>
      </c>
      <c r="Q238" s="93">
        <f t="shared" si="117"/>
        <v>0</v>
      </c>
      <c r="R238" s="94">
        <v>227.41607663695552</v>
      </c>
      <c r="S238" s="91">
        <v>171.70201475797529</v>
      </c>
      <c r="T238" s="92">
        <v>0</v>
      </c>
      <c r="U238" s="92">
        <v>0</v>
      </c>
      <c r="V238" s="92">
        <v>0</v>
      </c>
      <c r="W238" s="92">
        <v>0</v>
      </c>
      <c r="X238" s="92">
        <v>0</v>
      </c>
      <c r="Y238" s="92">
        <v>0</v>
      </c>
      <c r="Z238" s="93">
        <f t="shared" si="118"/>
        <v>0</v>
      </c>
      <c r="AA238" s="94">
        <v>227.41607663695552</v>
      </c>
      <c r="AB238" s="91">
        <v>171.70201475797529</v>
      </c>
      <c r="AC238" s="92">
        <v>120</v>
      </c>
      <c r="AD238" s="92">
        <v>110.4</v>
      </c>
      <c r="AE238" s="92">
        <v>120</v>
      </c>
      <c r="AF238" s="92">
        <v>110.4</v>
      </c>
      <c r="AG238" s="92"/>
      <c r="AH238" s="92"/>
      <c r="AI238" s="93">
        <f t="shared" si="119"/>
        <v>0</v>
      </c>
      <c r="AJ238" s="95">
        <f t="shared" si="120"/>
        <v>515.10604427392582</v>
      </c>
      <c r="AK238" s="96">
        <f t="shared" si="121"/>
        <v>0</v>
      </c>
      <c r="AL238" s="97">
        <f t="shared" si="122"/>
        <v>0</v>
      </c>
      <c r="AN238" s="89">
        <v>7.1179349164855925E-3</v>
      </c>
      <c r="AO238" s="183"/>
      <c r="AP238" s="184"/>
      <c r="AQ238" s="92"/>
      <c r="AR238" s="92"/>
      <c r="AS238" s="92"/>
      <c r="AT238" s="92"/>
      <c r="AU238" s="92"/>
      <c r="AV238" s="92"/>
      <c r="AW238" s="93">
        <f t="shared" si="123"/>
        <v>0</v>
      </c>
      <c r="AX238" s="183"/>
      <c r="AY238" s="184"/>
      <c r="AZ238" s="92"/>
      <c r="BA238" s="92"/>
      <c r="BB238" s="92"/>
      <c r="BC238" s="92"/>
      <c r="BD238" s="92"/>
      <c r="BE238" s="92"/>
      <c r="BF238" s="93">
        <f t="shared" si="124"/>
        <v>0</v>
      </c>
      <c r="BG238" s="181"/>
      <c r="BH238" s="182"/>
      <c r="BI238" s="92"/>
      <c r="BJ238" s="92"/>
      <c r="BK238" s="92"/>
      <c r="BL238" s="92"/>
      <c r="BM238" s="92"/>
      <c r="BN238" s="92"/>
      <c r="BO238" s="93">
        <f t="shared" si="125"/>
        <v>0</v>
      </c>
      <c r="BP238" s="95">
        <f t="shared" si="126"/>
        <v>0</v>
      </c>
      <c r="BQ238" s="96">
        <f t="shared" si="127"/>
        <v>0</v>
      </c>
      <c r="BR238" s="97">
        <f t="shared" si="128"/>
        <v>0</v>
      </c>
      <c r="BT238" s="82"/>
      <c r="BU238" s="181"/>
      <c r="BV238" s="182"/>
      <c r="BW238" s="92"/>
      <c r="BX238" s="92"/>
      <c r="BY238" s="92"/>
      <c r="BZ238" s="92"/>
      <c r="CA238" s="92"/>
      <c r="CB238" s="92"/>
      <c r="CC238" s="93">
        <f t="shared" si="129"/>
        <v>0</v>
      </c>
      <c r="CD238" s="181"/>
      <c r="CE238" s="182"/>
      <c r="CF238" s="92"/>
      <c r="CG238" s="92"/>
      <c r="CH238" s="92"/>
      <c r="CI238" s="92"/>
      <c r="CJ238" s="92"/>
      <c r="CK238" s="92"/>
      <c r="CL238" s="93">
        <f t="shared" si="130"/>
        <v>0</v>
      </c>
      <c r="CM238" s="181"/>
      <c r="CN238" s="182"/>
      <c r="CO238" s="92"/>
      <c r="CP238" s="92"/>
      <c r="CQ238" s="92"/>
      <c r="CR238" s="92"/>
      <c r="CS238" s="92"/>
      <c r="CT238" s="92"/>
      <c r="CU238" s="93">
        <f t="shared" si="131"/>
        <v>0</v>
      </c>
      <c r="CV238" s="95">
        <f t="shared" si="132"/>
        <v>0</v>
      </c>
      <c r="CW238" s="96">
        <f t="shared" si="133"/>
        <v>0</v>
      </c>
      <c r="CX238" s="97">
        <f t="shared" si="134"/>
        <v>0</v>
      </c>
      <c r="CZ238" s="82"/>
      <c r="DA238" s="136"/>
      <c r="DB238" s="137"/>
      <c r="DC238" s="92"/>
      <c r="DD238" s="92"/>
      <c r="DE238" s="92"/>
      <c r="DF238" s="92"/>
      <c r="DG238" s="92"/>
      <c r="DH238" s="92"/>
      <c r="DI238" s="93">
        <f t="shared" si="135"/>
        <v>0</v>
      </c>
      <c r="DJ238" s="183"/>
      <c r="DK238" s="184"/>
      <c r="DL238" s="92"/>
      <c r="DM238" s="92"/>
      <c r="DN238" s="92"/>
      <c r="DO238" s="92"/>
      <c r="DP238" s="92"/>
      <c r="DQ238" s="92"/>
      <c r="DR238" s="93">
        <f t="shared" si="136"/>
        <v>0</v>
      </c>
      <c r="DS238" s="183"/>
      <c r="DT238" s="184"/>
      <c r="DU238" s="92"/>
      <c r="DV238" s="92"/>
      <c r="DW238" s="92"/>
      <c r="DX238" s="92"/>
      <c r="DY238" s="92"/>
      <c r="DZ238" s="92"/>
      <c r="EA238" s="93">
        <f t="shared" si="137"/>
        <v>0</v>
      </c>
      <c r="EB238" s="95">
        <f t="shared" si="138"/>
        <v>0</v>
      </c>
      <c r="EC238" s="96">
        <f t="shared" si="139"/>
        <v>0</v>
      </c>
      <c r="ED238" s="97">
        <f t="shared" si="140"/>
        <v>0</v>
      </c>
    </row>
    <row r="239" spans="1:134" s="6" customFormat="1" ht="21.95" customHeight="1" x14ac:dyDescent="0.5">
      <c r="A239" s="83">
        <v>43</v>
      </c>
      <c r="B239" s="103" t="s">
        <v>481</v>
      </c>
      <c r="C239" s="103" t="s">
        <v>481</v>
      </c>
      <c r="D239" s="103" t="s">
        <v>365</v>
      </c>
      <c r="E239" s="148" t="s">
        <v>479</v>
      </c>
      <c r="F239" s="83" t="s">
        <v>462</v>
      </c>
      <c r="G239" s="222"/>
      <c r="H239" s="180">
        <v>7.4601869614201758E-3</v>
      </c>
      <c r="I239" s="181">
        <f t="shared" si="141"/>
        <v>734.4060471360375</v>
      </c>
      <c r="J239" s="182">
        <f t="shared" si="142"/>
        <v>554.48585609451595</v>
      </c>
      <c r="K239" s="92">
        <v>0</v>
      </c>
      <c r="L239" s="92">
        <v>0</v>
      </c>
      <c r="M239" s="92">
        <v>240</v>
      </c>
      <c r="N239" s="92">
        <v>240</v>
      </c>
      <c r="O239" s="92">
        <v>420</v>
      </c>
      <c r="P239" s="92">
        <v>420</v>
      </c>
      <c r="Q239" s="93">
        <f t="shared" si="117"/>
        <v>0.75745845522236022</v>
      </c>
      <c r="R239" s="94">
        <v>734.4060471360383</v>
      </c>
      <c r="S239" s="91">
        <v>554.48585609451595</v>
      </c>
      <c r="T239" s="92">
        <v>180</v>
      </c>
      <c r="U239" s="92">
        <v>180</v>
      </c>
      <c r="V239" s="92">
        <v>180</v>
      </c>
      <c r="W239" s="92">
        <v>180</v>
      </c>
      <c r="X239" s="92">
        <v>360</v>
      </c>
      <c r="Y239" s="92">
        <v>360</v>
      </c>
      <c r="Z239" s="93">
        <f t="shared" si="118"/>
        <v>0.64925010447630882</v>
      </c>
      <c r="AA239" s="94">
        <v>734.4060471360383</v>
      </c>
      <c r="AB239" s="91">
        <v>554.48585609451595</v>
      </c>
      <c r="AC239" s="92">
        <v>380</v>
      </c>
      <c r="AD239" s="92">
        <v>250</v>
      </c>
      <c r="AE239" s="92">
        <v>380</v>
      </c>
      <c r="AF239" s="92">
        <v>250</v>
      </c>
      <c r="AG239" s="92"/>
      <c r="AH239" s="92"/>
      <c r="AI239" s="93">
        <f t="shared" si="119"/>
        <v>0</v>
      </c>
      <c r="AJ239" s="95">
        <f t="shared" si="120"/>
        <v>1663.457568283548</v>
      </c>
      <c r="AK239" s="96">
        <f t="shared" si="121"/>
        <v>780</v>
      </c>
      <c r="AL239" s="97">
        <f t="shared" si="122"/>
        <v>0.46890285323288966</v>
      </c>
      <c r="AN239" s="89">
        <v>4.6840129564063252E-3</v>
      </c>
      <c r="AO239" s="183"/>
      <c r="AP239" s="184"/>
      <c r="AQ239" s="92"/>
      <c r="AR239" s="92"/>
      <c r="AS239" s="92"/>
      <c r="AT239" s="92"/>
      <c r="AU239" s="92"/>
      <c r="AV239" s="92"/>
      <c r="AW239" s="93">
        <f t="shared" si="123"/>
        <v>0</v>
      </c>
      <c r="AX239" s="183"/>
      <c r="AY239" s="184"/>
      <c r="AZ239" s="92"/>
      <c r="BA239" s="92"/>
      <c r="BB239" s="92"/>
      <c r="BC239" s="92"/>
      <c r="BD239" s="92"/>
      <c r="BE239" s="92"/>
      <c r="BF239" s="93">
        <f t="shared" si="124"/>
        <v>0</v>
      </c>
      <c r="BG239" s="181"/>
      <c r="BH239" s="182"/>
      <c r="BI239" s="92"/>
      <c r="BJ239" s="92"/>
      <c r="BK239" s="92"/>
      <c r="BL239" s="92"/>
      <c r="BM239" s="92"/>
      <c r="BN239" s="92"/>
      <c r="BO239" s="93">
        <f t="shared" si="125"/>
        <v>0</v>
      </c>
      <c r="BP239" s="95">
        <f t="shared" si="126"/>
        <v>0</v>
      </c>
      <c r="BQ239" s="96">
        <f t="shared" si="127"/>
        <v>0</v>
      </c>
      <c r="BR239" s="97">
        <f t="shared" si="128"/>
        <v>0</v>
      </c>
      <c r="BT239" s="82"/>
      <c r="BU239" s="181"/>
      <c r="BV239" s="182"/>
      <c r="BW239" s="92"/>
      <c r="BX239" s="92"/>
      <c r="BY239" s="92"/>
      <c r="BZ239" s="92"/>
      <c r="CA239" s="92"/>
      <c r="CB239" s="92"/>
      <c r="CC239" s="93">
        <f t="shared" si="129"/>
        <v>0</v>
      </c>
      <c r="CD239" s="181"/>
      <c r="CE239" s="182"/>
      <c r="CF239" s="92"/>
      <c r="CG239" s="92"/>
      <c r="CH239" s="92"/>
      <c r="CI239" s="92"/>
      <c r="CJ239" s="92"/>
      <c r="CK239" s="92"/>
      <c r="CL239" s="93">
        <f t="shared" si="130"/>
        <v>0</v>
      </c>
      <c r="CM239" s="181"/>
      <c r="CN239" s="182"/>
      <c r="CO239" s="92"/>
      <c r="CP239" s="92"/>
      <c r="CQ239" s="92"/>
      <c r="CR239" s="92"/>
      <c r="CS239" s="92"/>
      <c r="CT239" s="92"/>
      <c r="CU239" s="93">
        <f t="shared" si="131"/>
        <v>0</v>
      </c>
      <c r="CV239" s="95">
        <f t="shared" si="132"/>
        <v>0</v>
      </c>
      <c r="CW239" s="96">
        <f t="shared" si="133"/>
        <v>0</v>
      </c>
      <c r="CX239" s="97">
        <f t="shared" si="134"/>
        <v>0</v>
      </c>
      <c r="CZ239" s="82"/>
      <c r="DA239" s="136"/>
      <c r="DB239" s="137"/>
      <c r="DC239" s="92"/>
      <c r="DD239" s="92"/>
      <c r="DE239" s="92"/>
      <c r="DF239" s="92"/>
      <c r="DG239" s="92"/>
      <c r="DH239" s="92"/>
      <c r="DI239" s="93">
        <f t="shared" si="135"/>
        <v>0</v>
      </c>
      <c r="DJ239" s="183"/>
      <c r="DK239" s="184"/>
      <c r="DL239" s="92"/>
      <c r="DM239" s="92"/>
      <c r="DN239" s="92"/>
      <c r="DO239" s="92"/>
      <c r="DP239" s="92"/>
      <c r="DQ239" s="92"/>
      <c r="DR239" s="93">
        <f t="shared" si="136"/>
        <v>0</v>
      </c>
      <c r="DS239" s="183"/>
      <c r="DT239" s="184"/>
      <c r="DU239" s="92"/>
      <c r="DV239" s="92"/>
      <c r="DW239" s="92"/>
      <c r="DX239" s="92"/>
      <c r="DY239" s="92"/>
      <c r="DZ239" s="92"/>
      <c r="EA239" s="93">
        <f t="shared" si="137"/>
        <v>0</v>
      </c>
      <c r="EB239" s="95">
        <f t="shared" si="138"/>
        <v>0</v>
      </c>
      <c r="EC239" s="96">
        <f t="shared" si="139"/>
        <v>0</v>
      </c>
      <c r="ED239" s="97">
        <f t="shared" si="140"/>
        <v>0</v>
      </c>
    </row>
    <row r="240" spans="1:134" s="6" customFormat="1" ht="21.95" customHeight="1" x14ac:dyDescent="0.5">
      <c r="A240" s="83">
        <v>44</v>
      </c>
      <c r="B240" s="103" t="s">
        <v>482</v>
      </c>
      <c r="C240" s="103" t="s">
        <v>309</v>
      </c>
      <c r="D240" s="103" t="s">
        <v>365</v>
      </c>
      <c r="E240" s="148" t="s">
        <v>479</v>
      </c>
      <c r="F240" s="83" t="s">
        <v>462</v>
      </c>
      <c r="G240" s="222"/>
      <c r="H240" s="180">
        <v>3.4793905991494373E-3</v>
      </c>
      <c r="I240" s="181">
        <f t="shared" si="141"/>
        <v>342.52298361664447</v>
      </c>
      <c r="J240" s="182">
        <f t="shared" si="142"/>
        <v>258.6091856723811</v>
      </c>
      <c r="K240" s="92">
        <v>0</v>
      </c>
      <c r="L240" s="92">
        <v>0</v>
      </c>
      <c r="M240" s="92">
        <v>0</v>
      </c>
      <c r="N240" s="92">
        <v>0</v>
      </c>
      <c r="O240" s="92">
        <v>360</v>
      </c>
      <c r="P240" s="92">
        <v>360</v>
      </c>
      <c r="Q240" s="93">
        <f t="shared" si="117"/>
        <v>1.3920619217913852</v>
      </c>
      <c r="R240" s="94">
        <v>342.52298361664481</v>
      </c>
      <c r="S240" s="91">
        <v>258.6091856723811</v>
      </c>
      <c r="T240" s="92">
        <v>0</v>
      </c>
      <c r="U240" s="92">
        <v>0</v>
      </c>
      <c r="V240" s="92">
        <v>180</v>
      </c>
      <c r="W240" s="92">
        <v>180</v>
      </c>
      <c r="X240" s="92">
        <v>180</v>
      </c>
      <c r="Y240" s="92">
        <v>180</v>
      </c>
      <c r="Z240" s="93">
        <f t="shared" si="118"/>
        <v>0.69603096089569261</v>
      </c>
      <c r="AA240" s="94">
        <v>342.52298361664481</v>
      </c>
      <c r="AB240" s="91">
        <v>258.6091856723811</v>
      </c>
      <c r="AC240" s="92">
        <v>300</v>
      </c>
      <c r="AD240" s="92">
        <v>300</v>
      </c>
      <c r="AE240" s="92">
        <v>300</v>
      </c>
      <c r="AF240" s="92">
        <v>300</v>
      </c>
      <c r="AG240" s="92"/>
      <c r="AH240" s="92"/>
      <c r="AI240" s="93">
        <f t="shared" si="119"/>
        <v>0</v>
      </c>
      <c r="AJ240" s="95">
        <f t="shared" si="120"/>
        <v>775.82755701714336</v>
      </c>
      <c r="AK240" s="96">
        <f t="shared" si="121"/>
        <v>540</v>
      </c>
      <c r="AL240" s="97">
        <f t="shared" si="122"/>
        <v>0.69603096089569261</v>
      </c>
      <c r="AN240" s="89">
        <v>1.2574037920651203E-3</v>
      </c>
      <c r="AO240" s="183"/>
      <c r="AP240" s="184"/>
      <c r="AQ240" s="92"/>
      <c r="AR240" s="92"/>
      <c r="AS240" s="92"/>
      <c r="AT240" s="92"/>
      <c r="AU240" s="92"/>
      <c r="AV240" s="92"/>
      <c r="AW240" s="93">
        <f t="shared" si="123"/>
        <v>0</v>
      </c>
      <c r="AX240" s="183"/>
      <c r="AY240" s="184"/>
      <c r="AZ240" s="92"/>
      <c r="BA240" s="92"/>
      <c r="BB240" s="92"/>
      <c r="BC240" s="92"/>
      <c r="BD240" s="92"/>
      <c r="BE240" s="92"/>
      <c r="BF240" s="93">
        <f t="shared" si="124"/>
        <v>0</v>
      </c>
      <c r="BG240" s="181"/>
      <c r="BH240" s="182"/>
      <c r="BI240" s="92"/>
      <c r="BJ240" s="92"/>
      <c r="BK240" s="92"/>
      <c r="BL240" s="92"/>
      <c r="BM240" s="92"/>
      <c r="BN240" s="92"/>
      <c r="BO240" s="93">
        <f t="shared" si="125"/>
        <v>0</v>
      </c>
      <c r="BP240" s="95">
        <f t="shared" si="126"/>
        <v>0</v>
      </c>
      <c r="BQ240" s="96">
        <f t="shared" si="127"/>
        <v>0</v>
      </c>
      <c r="BR240" s="97">
        <f t="shared" si="128"/>
        <v>0</v>
      </c>
      <c r="BT240" s="82"/>
      <c r="BU240" s="181"/>
      <c r="BV240" s="182"/>
      <c r="BW240" s="92"/>
      <c r="BX240" s="92"/>
      <c r="BY240" s="92"/>
      <c r="BZ240" s="92"/>
      <c r="CA240" s="92"/>
      <c r="CB240" s="92"/>
      <c r="CC240" s="93">
        <f t="shared" si="129"/>
        <v>0</v>
      </c>
      <c r="CD240" s="181"/>
      <c r="CE240" s="182"/>
      <c r="CF240" s="92"/>
      <c r="CG240" s="92"/>
      <c r="CH240" s="92"/>
      <c r="CI240" s="92"/>
      <c r="CJ240" s="92"/>
      <c r="CK240" s="92"/>
      <c r="CL240" s="93">
        <f t="shared" si="130"/>
        <v>0</v>
      </c>
      <c r="CM240" s="181"/>
      <c r="CN240" s="182"/>
      <c r="CO240" s="92"/>
      <c r="CP240" s="92"/>
      <c r="CQ240" s="92"/>
      <c r="CR240" s="92"/>
      <c r="CS240" s="92"/>
      <c r="CT240" s="92"/>
      <c r="CU240" s="93">
        <f t="shared" si="131"/>
        <v>0</v>
      </c>
      <c r="CV240" s="95">
        <f t="shared" si="132"/>
        <v>0</v>
      </c>
      <c r="CW240" s="96">
        <f t="shared" si="133"/>
        <v>0</v>
      </c>
      <c r="CX240" s="97">
        <f t="shared" si="134"/>
        <v>0</v>
      </c>
      <c r="CZ240" s="82"/>
      <c r="DA240" s="136"/>
      <c r="DB240" s="137"/>
      <c r="DC240" s="92"/>
      <c r="DD240" s="92"/>
      <c r="DE240" s="92"/>
      <c r="DF240" s="92"/>
      <c r="DG240" s="92"/>
      <c r="DH240" s="92"/>
      <c r="DI240" s="93">
        <f t="shared" si="135"/>
        <v>0</v>
      </c>
      <c r="DJ240" s="183"/>
      <c r="DK240" s="184"/>
      <c r="DL240" s="92"/>
      <c r="DM240" s="92"/>
      <c r="DN240" s="92"/>
      <c r="DO240" s="92"/>
      <c r="DP240" s="92"/>
      <c r="DQ240" s="92"/>
      <c r="DR240" s="93">
        <f t="shared" si="136"/>
        <v>0</v>
      </c>
      <c r="DS240" s="183"/>
      <c r="DT240" s="184"/>
      <c r="DU240" s="92"/>
      <c r="DV240" s="92"/>
      <c r="DW240" s="92"/>
      <c r="DX240" s="92"/>
      <c r="DY240" s="92"/>
      <c r="DZ240" s="92"/>
      <c r="EA240" s="93">
        <f t="shared" si="137"/>
        <v>0</v>
      </c>
      <c r="EB240" s="95">
        <f t="shared" si="138"/>
        <v>0</v>
      </c>
      <c r="EC240" s="96">
        <f t="shared" si="139"/>
        <v>0</v>
      </c>
      <c r="ED240" s="97">
        <f t="shared" si="140"/>
        <v>0</v>
      </c>
    </row>
    <row r="241" spans="1:134" s="6" customFormat="1" ht="21.95" customHeight="1" x14ac:dyDescent="0.5">
      <c r="A241" s="83">
        <v>45</v>
      </c>
      <c r="B241" s="103" t="s">
        <v>483</v>
      </c>
      <c r="C241" s="103" t="s">
        <v>484</v>
      </c>
      <c r="D241" s="103" t="s">
        <v>485</v>
      </c>
      <c r="E241" s="148" t="s">
        <v>132</v>
      </c>
      <c r="F241" s="83" t="s">
        <v>462</v>
      </c>
      <c r="G241" s="222"/>
      <c r="H241" s="180">
        <v>3.1657582493427932E-3</v>
      </c>
      <c r="I241" s="181">
        <f t="shared" si="141"/>
        <v>311.64795387990495</v>
      </c>
      <c r="J241" s="182">
        <f t="shared" si="142"/>
        <v>235.29814764065245</v>
      </c>
      <c r="K241" s="92">
        <v>0</v>
      </c>
      <c r="L241" s="92">
        <v>0</v>
      </c>
      <c r="M241" s="92">
        <v>0</v>
      </c>
      <c r="N241" s="92">
        <v>0</v>
      </c>
      <c r="O241" s="92">
        <v>0</v>
      </c>
      <c r="P241" s="92">
        <v>0</v>
      </c>
      <c r="Q241" s="93">
        <f t="shared" si="117"/>
        <v>0</v>
      </c>
      <c r="R241" s="94">
        <v>311.64795387990529</v>
      </c>
      <c r="S241" s="91">
        <v>235.29814764065245</v>
      </c>
      <c r="T241" s="92">
        <v>0</v>
      </c>
      <c r="U241" s="92">
        <v>0</v>
      </c>
      <c r="V241" s="92">
        <v>0</v>
      </c>
      <c r="W241" s="92">
        <v>0</v>
      </c>
      <c r="X241" s="92">
        <v>0</v>
      </c>
      <c r="Y241" s="92">
        <v>0</v>
      </c>
      <c r="Z241" s="93">
        <f t="shared" si="118"/>
        <v>0</v>
      </c>
      <c r="AA241" s="94">
        <v>311.64795387990529</v>
      </c>
      <c r="AB241" s="91">
        <v>235.29814764065245</v>
      </c>
      <c r="AC241" s="92">
        <v>0</v>
      </c>
      <c r="AD241" s="92">
        <v>0</v>
      </c>
      <c r="AE241" s="92">
        <v>0</v>
      </c>
      <c r="AF241" s="92">
        <v>0</v>
      </c>
      <c r="AG241" s="92"/>
      <c r="AH241" s="92"/>
      <c r="AI241" s="93">
        <f t="shared" si="119"/>
        <v>0</v>
      </c>
      <c r="AJ241" s="95">
        <f t="shared" si="120"/>
        <v>705.89444292195731</v>
      </c>
      <c r="AK241" s="96">
        <f t="shared" si="121"/>
        <v>0</v>
      </c>
      <c r="AL241" s="97">
        <f t="shared" si="122"/>
        <v>0</v>
      </c>
      <c r="AN241" s="89">
        <v>2.3736254039685427E-2</v>
      </c>
      <c r="AO241" s="183"/>
      <c r="AP241" s="184"/>
      <c r="AQ241" s="92"/>
      <c r="AR241" s="92"/>
      <c r="AS241" s="92"/>
      <c r="AT241" s="92"/>
      <c r="AU241" s="92"/>
      <c r="AV241" s="92"/>
      <c r="AW241" s="93">
        <f t="shared" si="123"/>
        <v>0</v>
      </c>
      <c r="AX241" s="183"/>
      <c r="AY241" s="184"/>
      <c r="AZ241" s="92"/>
      <c r="BA241" s="92"/>
      <c r="BB241" s="92"/>
      <c r="BC241" s="92"/>
      <c r="BD241" s="92"/>
      <c r="BE241" s="92"/>
      <c r="BF241" s="93">
        <f t="shared" si="124"/>
        <v>0</v>
      </c>
      <c r="BG241" s="181"/>
      <c r="BH241" s="182"/>
      <c r="BI241" s="92"/>
      <c r="BJ241" s="92"/>
      <c r="BK241" s="92"/>
      <c r="BL241" s="92"/>
      <c r="BM241" s="92"/>
      <c r="BN241" s="92"/>
      <c r="BO241" s="93">
        <f t="shared" si="125"/>
        <v>0</v>
      </c>
      <c r="BP241" s="95">
        <f t="shared" si="126"/>
        <v>0</v>
      </c>
      <c r="BQ241" s="96">
        <f t="shared" si="127"/>
        <v>0</v>
      </c>
      <c r="BR241" s="97">
        <f t="shared" si="128"/>
        <v>0</v>
      </c>
      <c r="BT241" s="82"/>
      <c r="BU241" s="181"/>
      <c r="BV241" s="182"/>
      <c r="BW241" s="92"/>
      <c r="BX241" s="92"/>
      <c r="BY241" s="92"/>
      <c r="BZ241" s="92"/>
      <c r="CA241" s="92"/>
      <c r="CB241" s="92"/>
      <c r="CC241" s="93">
        <f t="shared" si="129"/>
        <v>0</v>
      </c>
      <c r="CD241" s="181"/>
      <c r="CE241" s="182"/>
      <c r="CF241" s="92"/>
      <c r="CG241" s="92"/>
      <c r="CH241" s="92"/>
      <c r="CI241" s="92"/>
      <c r="CJ241" s="92"/>
      <c r="CK241" s="92"/>
      <c r="CL241" s="93">
        <f t="shared" si="130"/>
        <v>0</v>
      </c>
      <c r="CM241" s="181"/>
      <c r="CN241" s="182"/>
      <c r="CO241" s="92"/>
      <c r="CP241" s="92"/>
      <c r="CQ241" s="92"/>
      <c r="CR241" s="92"/>
      <c r="CS241" s="92"/>
      <c r="CT241" s="92"/>
      <c r="CU241" s="93">
        <f t="shared" si="131"/>
        <v>0</v>
      </c>
      <c r="CV241" s="95">
        <f t="shared" si="132"/>
        <v>0</v>
      </c>
      <c r="CW241" s="96">
        <f t="shared" si="133"/>
        <v>0</v>
      </c>
      <c r="CX241" s="97">
        <f t="shared" si="134"/>
        <v>0</v>
      </c>
      <c r="CZ241" s="82"/>
      <c r="DA241" s="136"/>
      <c r="DB241" s="137"/>
      <c r="DC241" s="92"/>
      <c r="DD241" s="92"/>
      <c r="DE241" s="92"/>
      <c r="DF241" s="92"/>
      <c r="DG241" s="92"/>
      <c r="DH241" s="92"/>
      <c r="DI241" s="93">
        <f t="shared" si="135"/>
        <v>0</v>
      </c>
      <c r="DJ241" s="183"/>
      <c r="DK241" s="184"/>
      <c r="DL241" s="92"/>
      <c r="DM241" s="92"/>
      <c r="DN241" s="92"/>
      <c r="DO241" s="92"/>
      <c r="DP241" s="92"/>
      <c r="DQ241" s="92"/>
      <c r="DR241" s="93">
        <f t="shared" si="136"/>
        <v>0</v>
      </c>
      <c r="DS241" s="183"/>
      <c r="DT241" s="184"/>
      <c r="DU241" s="92"/>
      <c r="DV241" s="92"/>
      <c r="DW241" s="92"/>
      <c r="DX241" s="92"/>
      <c r="DY241" s="92"/>
      <c r="DZ241" s="92"/>
      <c r="EA241" s="93">
        <f t="shared" si="137"/>
        <v>0</v>
      </c>
      <c r="EB241" s="95">
        <f t="shared" si="138"/>
        <v>0</v>
      </c>
      <c r="EC241" s="96">
        <f t="shared" si="139"/>
        <v>0</v>
      </c>
      <c r="ED241" s="97">
        <f t="shared" si="140"/>
        <v>0</v>
      </c>
    </row>
    <row r="242" spans="1:134" s="6" customFormat="1" ht="21.95" customHeight="1" x14ac:dyDescent="0.5">
      <c r="A242" s="83">
        <v>46</v>
      </c>
      <c r="B242" s="103" t="s">
        <v>486</v>
      </c>
      <c r="C242" s="103" t="s">
        <v>487</v>
      </c>
      <c r="D242" s="103" t="s">
        <v>485</v>
      </c>
      <c r="E242" s="148" t="s">
        <v>132</v>
      </c>
      <c r="F242" s="83" t="s">
        <v>462</v>
      </c>
      <c r="G242" s="222"/>
      <c r="H242" s="180">
        <v>9.487124833795154E-3</v>
      </c>
      <c r="I242" s="181">
        <f t="shared" si="141"/>
        <v>933.94466973884937</v>
      </c>
      <c r="J242" s="182">
        <f t="shared" si="142"/>
        <v>705.14004039665861</v>
      </c>
      <c r="K242" s="92">
        <v>638</v>
      </c>
      <c r="L242" s="92">
        <v>446.72</v>
      </c>
      <c r="M242" s="92">
        <v>638</v>
      </c>
      <c r="N242" s="92">
        <v>446.72</v>
      </c>
      <c r="O242" s="92">
        <v>1794</v>
      </c>
      <c r="P242" s="92">
        <v>1140.56</v>
      </c>
      <c r="Q242" s="93">
        <f t="shared" si="117"/>
        <v>1.6174943056111335</v>
      </c>
      <c r="R242" s="94">
        <v>933.94466973885039</v>
      </c>
      <c r="S242" s="91">
        <v>705.14004039665861</v>
      </c>
      <c r="T242" s="92">
        <v>180</v>
      </c>
      <c r="U242" s="92">
        <v>180</v>
      </c>
      <c r="V242" s="92">
        <v>740</v>
      </c>
      <c r="W242" s="92">
        <v>688</v>
      </c>
      <c r="X242" s="92">
        <v>768</v>
      </c>
      <c r="Y242" s="92">
        <v>705.92</v>
      </c>
      <c r="Z242" s="93">
        <f t="shared" si="118"/>
        <v>1.0011061059628703</v>
      </c>
      <c r="AA242" s="94">
        <v>933.94466973885039</v>
      </c>
      <c r="AB242" s="91">
        <v>705.14004039665861</v>
      </c>
      <c r="AC242" s="92">
        <v>0</v>
      </c>
      <c r="AD242" s="92">
        <v>0</v>
      </c>
      <c r="AE242" s="92">
        <v>750</v>
      </c>
      <c r="AF242" s="92">
        <v>598</v>
      </c>
      <c r="AG242" s="92"/>
      <c r="AH242" s="92"/>
      <c r="AI242" s="93">
        <f t="shared" si="119"/>
        <v>0</v>
      </c>
      <c r="AJ242" s="95">
        <f t="shared" si="120"/>
        <v>2115.4201211899758</v>
      </c>
      <c r="AK242" s="96">
        <f t="shared" si="121"/>
        <v>1846.48</v>
      </c>
      <c r="AL242" s="97">
        <f t="shared" si="122"/>
        <v>0.87286680385800131</v>
      </c>
      <c r="AN242" s="89">
        <v>1.411821801616977E-3</v>
      </c>
      <c r="AO242" s="183"/>
      <c r="AP242" s="184"/>
      <c r="AQ242" s="92"/>
      <c r="AR242" s="92"/>
      <c r="AS242" s="92"/>
      <c r="AT242" s="92"/>
      <c r="AU242" s="92"/>
      <c r="AV242" s="92"/>
      <c r="AW242" s="93">
        <f t="shared" si="123"/>
        <v>0</v>
      </c>
      <c r="AX242" s="183"/>
      <c r="AY242" s="184"/>
      <c r="AZ242" s="92"/>
      <c r="BA242" s="92"/>
      <c r="BB242" s="92"/>
      <c r="BC242" s="92"/>
      <c r="BD242" s="92"/>
      <c r="BE242" s="92"/>
      <c r="BF242" s="93">
        <f t="shared" si="124"/>
        <v>0</v>
      </c>
      <c r="BG242" s="181"/>
      <c r="BH242" s="182"/>
      <c r="BI242" s="92"/>
      <c r="BJ242" s="92"/>
      <c r="BK242" s="92"/>
      <c r="BL242" s="92"/>
      <c r="BM242" s="92"/>
      <c r="BN242" s="92"/>
      <c r="BO242" s="93">
        <f t="shared" si="125"/>
        <v>0</v>
      </c>
      <c r="BP242" s="95">
        <f t="shared" si="126"/>
        <v>0</v>
      </c>
      <c r="BQ242" s="96">
        <f t="shared" si="127"/>
        <v>0</v>
      </c>
      <c r="BR242" s="97">
        <f t="shared" si="128"/>
        <v>0</v>
      </c>
      <c r="BT242" s="82"/>
      <c r="BU242" s="181"/>
      <c r="BV242" s="182"/>
      <c r="BW242" s="92"/>
      <c r="BX242" s="92"/>
      <c r="BY242" s="92"/>
      <c r="BZ242" s="92"/>
      <c r="CA242" s="92"/>
      <c r="CB242" s="92"/>
      <c r="CC242" s="93">
        <f t="shared" si="129"/>
        <v>0</v>
      </c>
      <c r="CD242" s="181"/>
      <c r="CE242" s="182"/>
      <c r="CF242" s="92"/>
      <c r="CG242" s="92"/>
      <c r="CH242" s="92"/>
      <c r="CI242" s="92"/>
      <c r="CJ242" s="92"/>
      <c r="CK242" s="92"/>
      <c r="CL242" s="93">
        <f t="shared" si="130"/>
        <v>0</v>
      </c>
      <c r="CM242" s="181"/>
      <c r="CN242" s="182"/>
      <c r="CO242" s="92"/>
      <c r="CP242" s="92"/>
      <c r="CQ242" s="92"/>
      <c r="CR242" s="92"/>
      <c r="CS242" s="92"/>
      <c r="CT242" s="92"/>
      <c r="CU242" s="93">
        <f t="shared" si="131"/>
        <v>0</v>
      </c>
      <c r="CV242" s="95">
        <f t="shared" si="132"/>
        <v>0</v>
      </c>
      <c r="CW242" s="96">
        <f t="shared" si="133"/>
        <v>0</v>
      </c>
      <c r="CX242" s="97">
        <f t="shared" si="134"/>
        <v>0</v>
      </c>
      <c r="CZ242" s="82"/>
      <c r="DA242" s="136"/>
      <c r="DB242" s="137"/>
      <c r="DC242" s="92"/>
      <c r="DD242" s="92"/>
      <c r="DE242" s="92"/>
      <c r="DF242" s="92"/>
      <c r="DG242" s="92"/>
      <c r="DH242" s="92"/>
      <c r="DI242" s="93">
        <f t="shared" si="135"/>
        <v>0</v>
      </c>
      <c r="DJ242" s="183"/>
      <c r="DK242" s="184"/>
      <c r="DL242" s="92"/>
      <c r="DM242" s="92"/>
      <c r="DN242" s="92"/>
      <c r="DO242" s="92"/>
      <c r="DP242" s="92"/>
      <c r="DQ242" s="92"/>
      <c r="DR242" s="93">
        <f t="shared" si="136"/>
        <v>0</v>
      </c>
      <c r="DS242" s="183"/>
      <c r="DT242" s="184"/>
      <c r="DU242" s="92"/>
      <c r="DV242" s="92"/>
      <c r="DW242" s="92"/>
      <c r="DX242" s="92"/>
      <c r="DY242" s="92"/>
      <c r="DZ242" s="92"/>
      <c r="EA242" s="93">
        <f t="shared" si="137"/>
        <v>0</v>
      </c>
      <c r="EB242" s="95">
        <f t="shared" si="138"/>
        <v>0</v>
      </c>
      <c r="EC242" s="96">
        <f t="shared" si="139"/>
        <v>0</v>
      </c>
      <c r="ED242" s="97">
        <f t="shared" si="140"/>
        <v>0</v>
      </c>
    </row>
    <row r="243" spans="1:134" s="6" customFormat="1" ht="21.95" customHeight="1" x14ac:dyDescent="0.5">
      <c r="A243" s="83">
        <v>47</v>
      </c>
      <c r="B243" s="103" t="s">
        <v>488</v>
      </c>
      <c r="C243" s="187" t="s">
        <v>489</v>
      </c>
      <c r="D243" s="103" t="s">
        <v>490</v>
      </c>
      <c r="E243" s="148" t="s">
        <v>491</v>
      </c>
      <c r="F243" s="83" t="s">
        <v>462</v>
      </c>
      <c r="G243" s="222"/>
      <c r="H243" s="180">
        <v>6.071678694315033E-3</v>
      </c>
      <c r="I243" s="181">
        <f t="shared" si="141"/>
        <v>597.71659509765675</v>
      </c>
      <c r="J243" s="182">
        <f t="shared" si="142"/>
        <v>451.28359063365917</v>
      </c>
      <c r="K243" s="92">
        <v>0</v>
      </c>
      <c r="L243" s="92">
        <v>0</v>
      </c>
      <c r="M243" s="92">
        <v>0</v>
      </c>
      <c r="N243" s="92">
        <v>0</v>
      </c>
      <c r="O243" s="92">
        <v>400</v>
      </c>
      <c r="P243" s="92">
        <v>374</v>
      </c>
      <c r="Q243" s="93">
        <f t="shared" si="117"/>
        <v>0.82874717309099755</v>
      </c>
      <c r="R243" s="94">
        <v>597.71659509765732</v>
      </c>
      <c r="S243" s="91">
        <v>451.28359063365917</v>
      </c>
      <c r="T243" s="92">
        <v>480</v>
      </c>
      <c r="U243" s="92">
        <v>246</v>
      </c>
      <c r="V243" s="92">
        <v>720</v>
      </c>
      <c r="W243" s="92">
        <v>486</v>
      </c>
      <c r="X243" s="92">
        <v>960</v>
      </c>
      <c r="Y243" s="92">
        <v>726</v>
      </c>
      <c r="Z243" s="93">
        <f t="shared" si="118"/>
        <v>1.6087445124707598</v>
      </c>
      <c r="AA243" s="94">
        <v>597.71659509765732</v>
      </c>
      <c r="AB243" s="91">
        <v>451.28359063365917</v>
      </c>
      <c r="AC243" s="92">
        <v>440</v>
      </c>
      <c r="AD243" s="92">
        <v>232</v>
      </c>
      <c r="AE243" s="92">
        <v>1320</v>
      </c>
      <c r="AF243" s="92">
        <v>696</v>
      </c>
      <c r="AG243" s="92"/>
      <c r="AH243" s="92"/>
      <c r="AI243" s="93">
        <f t="shared" si="119"/>
        <v>0</v>
      </c>
      <c r="AJ243" s="95">
        <f t="shared" si="120"/>
        <v>1353.8507719009776</v>
      </c>
      <c r="AK243" s="96">
        <f t="shared" si="121"/>
        <v>1100</v>
      </c>
      <c r="AL243" s="97">
        <f t="shared" si="122"/>
        <v>0.8124972285205857</v>
      </c>
      <c r="AN243" s="89">
        <v>5.8458246473202958E-3</v>
      </c>
      <c r="AO243" s="183"/>
      <c r="AP243" s="184"/>
      <c r="AQ243" s="92"/>
      <c r="AR243" s="92"/>
      <c r="AS243" s="92"/>
      <c r="AT243" s="92"/>
      <c r="AU243" s="92"/>
      <c r="AV243" s="92"/>
      <c r="AW243" s="93">
        <f t="shared" si="123"/>
        <v>0</v>
      </c>
      <c r="AX243" s="183"/>
      <c r="AY243" s="184"/>
      <c r="AZ243" s="92"/>
      <c r="BA243" s="92"/>
      <c r="BB243" s="92"/>
      <c r="BC243" s="92"/>
      <c r="BD243" s="92"/>
      <c r="BE243" s="92"/>
      <c r="BF243" s="93">
        <f t="shared" si="124"/>
        <v>0</v>
      </c>
      <c r="BG243" s="181"/>
      <c r="BH243" s="182"/>
      <c r="BI243" s="92"/>
      <c r="BJ243" s="92"/>
      <c r="BK243" s="92"/>
      <c r="BL243" s="92"/>
      <c r="BM243" s="92"/>
      <c r="BN243" s="92"/>
      <c r="BO243" s="93">
        <f t="shared" si="125"/>
        <v>0</v>
      </c>
      <c r="BP243" s="95">
        <f t="shared" si="126"/>
        <v>0</v>
      </c>
      <c r="BQ243" s="96">
        <f t="shared" si="127"/>
        <v>0</v>
      </c>
      <c r="BR243" s="97">
        <f t="shared" si="128"/>
        <v>0</v>
      </c>
      <c r="BT243" s="82"/>
      <c r="BU243" s="181"/>
      <c r="BV243" s="182"/>
      <c r="BW243" s="92"/>
      <c r="BX243" s="92"/>
      <c r="BY243" s="92"/>
      <c r="BZ243" s="92"/>
      <c r="CA243" s="92"/>
      <c r="CB243" s="92"/>
      <c r="CC243" s="93">
        <f t="shared" si="129"/>
        <v>0</v>
      </c>
      <c r="CD243" s="181"/>
      <c r="CE243" s="182"/>
      <c r="CF243" s="92"/>
      <c r="CG243" s="92"/>
      <c r="CH243" s="92"/>
      <c r="CI243" s="92"/>
      <c r="CJ243" s="92"/>
      <c r="CK243" s="92"/>
      <c r="CL243" s="93">
        <f t="shared" si="130"/>
        <v>0</v>
      </c>
      <c r="CM243" s="181"/>
      <c r="CN243" s="182"/>
      <c r="CO243" s="92"/>
      <c r="CP243" s="92"/>
      <c r="CQ243" s="92"/>
      <c r="CR243" s="92"/>
      <c r="CS243" s="92"/>
      <c r="CT243" s="92"/>
      <c r="CU243" s="93">
        <f t="shared" si="131"/>
        <v>0</v>
      </c>
      <c r="CV243" s="95">
        <f t="shared" si="132"/>
        <v>0</v>
      </c>
      <c r="CW243" s="96">
        <f t="shared" si="133"/>
        <v>0</v>
      </c>
      <c r="CX243" s="97">
        <f t="shared" si="134"/>
        <v>0</v>
      </c>
      <c r="CZ243" s="82"/>
      <c r="DA243" s="136"/>
      <c r="DB243" s="137"/>
      <c r="DC243" s="92"/>
      <c r="DD243" s="92"/>
      <c r="DE243" s="92"/>
      <c r="DF243" s="92"/>
      <c r="DG243" s="92"/>
      <c r="DH243" s="92"/>
      <c r="DI243" s="93">
        <f t="shared" si="135"/>
        <v>0</v>
      </c>
      <c r="DJ243" s="183"/>
      <c r="DK243" s="184"/>
      <c r="DL243" s="92"/>
      <c r="DM243" s="92"/>
      <c r="DN243" s="92"/>
      <c r="DO243" s="92"/>
      <c r="DP243" s="92"/>
      <c r="DQ243" s="92"/>
      <c r="DR243" s="93">
        <f t="shared" si="136"/>
        <v>0</v>
      </c>
      <c r="DS243" s="183"/>
      <c r="DT243" s="184"/>
      <c r="DU243" s="92"/>
      <c r="DV243" s="92"/>
      <c r="DW243" s="92"/>
      <c r="DX243" s="92"/>
      <c r="DY243" s="92"/>
      <c r="DZ243" s="92"/>
      <c r="EA243" s="93">
        <f t="shared" si="137"/>
        <v>0</v>
      </c>
      <c r="EB243" s="95">
        <f t="shared" si="138"/>
        <v>0</v>
      </c>
      <c r="EC243" s="96">
        <f t="shared" si="139"/>
        <v>0</v>
      </c>
      <c r="ED243" s="97">
        <f t="shared" si="140"/>
        <v>0</v>
      </c>
    </row>
    <row r="244" spans="1:134" s="6" customFormat="1" ht="21.95" customHeight="1" x14ac:dyDescent="0.5">
      <c r="A244" s="83">
        <v>48</v>
      </c>
      <c r="B244" s="186" t="s">
        <v>492</v>
      </c>
      <c r="C244" s="103" t="s">
        <v>493</v>
      </c>
      <c r="D244" s="103" t="s">
        <v>494</v>
      </c>
      <c r="E244" s="148" t="s">
        <v>495</v>
      </c>
      <c r="F244" s="83" t="s">
        <v>462</v>
      </c>
      <c r="G244" s="222"/>
      <c r="H244" s="180">
        <v>6.9709610953787443E-3</v>
      </c>
      <c r="I244" s="181">
        <f t="shared" si="141"/>
        <v>686.24499751432734</v>
      </c>
      <c r="J244" s="182">
        <f t="shared" si="142"/>
        <v>518.12365437512051</v>
      </c>
      <c r="K244" s="92">
        <v>534</v>
      </c>
      <c r="L244" s="92">
        <v>424.96000000000004</v>
      </c>
      <c r="M244" s="92">
        <v>714</v>
      </c>
      <c r="N244" s="92">
        <v>604.96</v>
      </c>
      <c r="O244" s="92">
        <v>714</v>
      </c>
      <c r="P244" s="92">
        <v>604.96</v>
      </c>
      <c r="Q244" s="93">
        <f t="shared" si="117"/>
        <v>1.1675977247740366</v>
      </c>
      <c r="R244" s="94">
        <v>686.24499751432813</v>
      </c>
      <c r="S244" s="91">
        <v>518.12365437512051</v>
      </c>
      <c r="T244" s="92">
        <v>180</v>
      </c>
      <c r="U244" s="92">
        <v>180</v>
      </c>
      <c r="V244" s="92">
        <v>880</v>
      </c>
      <c r="W244" s="92">
        <v>620</v>
      </c>
      <c r="X244" s="92">
        <v>1060</v>
      </c>
      <c r="Y244" s="92">
        <v>800</v>
      </c>
      <c r="Z244" s="93">
        <f t="shared" si="118"/>
        <v>1.5440329605581018</v>
      </c>
      <c r="AA244" s="94">
        <v>686.24499751432813</v>
      </c>
      <c r="AB244" s="91">
        <v>518.12365437512051</v>
      </c>
      <c r="AC244" s="92">
        <v>0</v>
      </c>
      <c r="AD244" s="92">
        <v>0</v>
      </c>
      <c r="AE244" s="92">
        <v>340</v>
      </c>
      <c r="AF244" s="92">
        <v>236</v>
      </c>
      <c r="AG244" s="92"/>
      <c r="AH244" s="92"/>
      <c r="AI244" s="93">
        <f t="shared" si="119"/>
        <v>0</v>
      </c>
      <c r="AJ244" s="95">
        <f t="shared" si="120"/>
        <v>1554.3709631253614</v>
      </c>
      <c r="AK244" s="96">
        <f t="shared" si="121"/>
        <v>1404.96</v>
      </c>
      <c r="AL244" s="97">
        <f t="shared" si="122"/>
        <v>0.9038768951107129</v>
      </c>
      <c r="AN244" s="89">
        <v>7.5958954222413402E-2</v>
      </c>
      <c r="AO244" s="183"/>
      <c r="AP244" s="184"/>
      <c r="AQ244" s="92"/>
      <c r="AR244" s="92"/>
      <c r="AS244" s="92"/>
      <c r="AT244" s="92"/>
      <c r="AU244" s="92"/>
      <c r="AV244" s="92"/>
      <c r="AW244" s="93">
        <f t="shared" si="123"/>
        <v>0</v>
      </c>
      <c r="AX244" s="183"/>
      <c r="AY244" s="184"/>
      <c r="AZ244" s="92"/>
      <c r="BA244" s="92"/>
      <c r="BB244" s="92"/>
      <c r="BC244" s="92"/>
      <c r="BD244" s="92"/>
      <c r="BE244" s="92"/>
      <c r="BF244" s="93">
        <f t="shared" si="124"/>
        <v>0</v>
      </c>
      <c r="BG244" s="181"/>
      <c r="BH244" s="182"/>
      <c r="BI244" s="92"/>
      <c r="BJ244" s="92"/>
      <c r="BK244" s="92"/>
      <c r="BL244" s="92"/>
      <c r="BM244" s="92"/>
      <c r="BN244" s="92"/>
      <c r="BO244" s="93">
        <f t="shared" si="125"/>
        <v>0</v>
      </c>
      <c r="BP244" s="95">
        <f t="shared" si="126"/>
        <v>0</v>
      </c>
      <c r="BQ244" s="96">
        <f t="shared" si="127"/>
        <v>0</v>
      </c>
      <c r="BR244" s="97">
        <f t="shared" si="128"/>
        <v>0</v>
      </c>
      <c r="BT244" s="82"/>
      <c r="BU244" s="181"/>
      <c r="BV244" s="182"/>
      <c r="BW244" s="92"/>
      <c r="BX244" s="92"/>
      <c r="BY244" s="92"/>
      <c r="BZ244" s="92"/>
      <c r="CA244" s="92"/>
      <c r="CB244" s="92"/>
      <c r="CC244" s="93">
        <f t="shared" si="129"/>
        <v>0</v>
      </c>
      <c r="CD244" s="181"/>
      <c r="CE244" s="182"/>
      <c r="CF244" s="92"/>
      <c r="CG244" s="92"/>
      <c r="CH244" s="92"/>
      <c r="CI244" s="92"/>
      <c r="CJ244" s="92"/>
      <c r="CK244" s="92"/>
      <c r="CL244" s="93">
        <f t="shared" si="130"/>
        <v>0</v>
      </c>
      <c r="CM244" s="181"/>
      <c r="CN244" s="182"/>
      <c r="CO244" s="92"/>
      <c r="CP244" s="92"/>
      <c r="CQ244" s="92"/>
      <c r="CR244" s="92"/>
      <c r="CS244" s="92"/>
      <c r="CT244" s="92"/>
      <c r="CU244" s="93">
        <f t="shared" si="131"/>
        <v>0</v>
      </c>
      <c r="CV244" s="95">
        <f t="shared" si="132"/>
        <v>0</v>
      </c>
      <c r="CW244" s="96">
        <f t="shared" si="133"/>
        <v>0</v>
      </c>
      <c r="CX244" s="97">
        <f t="shared" si="134"/>
        <v>0</v>
      </c>
      <c r="CZ244" s="82"/>
      <c r="DA244" s="136"/>
      <c r="DB244" s="137"/>
      <c r="DC244" s="92"/>
      <c r="DD244" s="92"/>
      <c r="DE244" s="92"/>
      <c r="DF244" s="92"/>
      <c r="DG244" s="92"/>
      <c r="DH244" s="92"/>
      <c r="DI244" s="93">
        <f t="shared" si="135"/>
        <v>0</v>
      </c>
      <c r="DJ244" s="183"/>
      <c r="DK244" s="184"/>
      <c r="DL244" s="92"/>
      <c r="DM244" s="92"/>
      <c r="DN244" s="92"/>
      <c r="DO244" s="92"/>
      <c r="DP244" s="92"/>
      <c r="DQ244" s="92"/>
      <c r="DR244" s="93">
        <f t="shared" si="136"/>
        <v>0</v>
      </c>
      <c r="DS244" s="183"/>
      <c r="DT244" s="184"/>
      <c r="DU244" s="92"/>
      <c r="DV244" s="92"/>
      <c r="DW244" s="92"/>
      <c r="DX244" s="92"/>
      <c r="DY244" s="92"/>
      <c r="DZ244" s="92"/>
      <c r="EA244" s="93">
        <f t="shared" si="137"/>
        <v>0</v>
      </c>
      <c r="EB244" s="95">
        <f t="shared" si="138"/>
        <v>0</v>
      </c>
      <c r="EC244" s="96">
        <f t="shared" si="139"/>
        <v>0</v>
      </c>
      <c r="ED244" s="97">
        <f t="shared" si="140"/>
        <v>0</v>
      </c>
    </row>
    <row r="245" spans="1:134" s="6" customFormat="1" ht="21.95" customHeight="1" x14ac:dyDescent="0.5">
      <c r="A245" s="83">
        <v>49</v>
      </c>
      <c r="B245" s="103" t="s">
        <v>496</v>
      </c>
      <c r="C245" s="103" t="s">
        <v>497</v>
      </c>
      <c r="D245" s="103" t="s">
        <v>490</v>
      </c>
      <c r="E245" s="148" t="s">
        <v>491</v>
      </c>
      <c r="F245" s="83" t="s">
        <v>462</v>
      </c>
      <c r="G245" s="222"/>
      <c r="H245" s="180">
        <v>8.6436669610141792E-3</v>
      </c>
      <c r="I245" s="181">
        <f t="shared" si="141"/>
        <v>850.91182277693815</v>
      </c>
      <c r="J245" s="182">
        <f t="shared" si="142"/>
        <v>642.4491905443399</v>
      </c>
      <c r="K245" s="92">
        <v>0</v>
      </c>
      <c r="L245" s="92">
        <v>0</v>
      </c>
      <c r="M245" s="92">
        <v>0</v>
      </c>
      <c r="N245" s="92">
        <v>0</v>
      </c>
      <c r="O245" s="92">
        <v>0</v>
      </c>
      <c r="P245" s="92">
        <v>0</v>
      </c>
      <c r="Q245" s="93">
        <f t="shared" si="117"/>
        <v>0</v>
      </c>
      <c r="R245" s="94">
        <v>850.91182277693906</v>
      </c>
      <c r="S245" s="91">
        <v>642.4491905443399</v>
      </c>
      <c r="T245" s="92">
        <v>0</v>
      </c>
      <c r="U245" s="92">
        <v>0</v>
      </c>
      <c r="V245" s="92">
        <v>0</v>
      </c>
      <c r="W245" s="92">
        <v>0</v>
      </c>
      <c r="X245" s="92">
        <v>0</v>
      </c>
      <c r="Y245" s="92">
        <v>0</v>
      </c>
      <c r="Z245" s="93">
        <f t="shared" si="118"/>
        <v>0</v>
      </c>
      <c r="AA245" s="94">
        <v>850.91182277693906</v>
      </c>
      <c r="AB245" s="91">
        <v>642.4491905443399</v>
      </c>
      <c r="AC245" s="92">
        <v>0</v>
      </c>
      <c r="AD245" s="92">
        <v>0</v>
      </c>
      <c r="AE245" s="92">
        <v>0</v>
      </c>
      <c r="AF245" s="92">
        <v>0</v>
      </c>
      <c r="AG245" s="92"/>
      <c r="AH245" s="92"/>
      <c r="AI245" s="93">
        <f t="shared" si="119"/>
        <v>0</v>
      </c>
      <c r="AJ245" s="95">
        <f t="shared" si="120"/>
        <v>1927.3475716330197</v>
      </c>
      <c r="AK245" s="96">
        <f t="shared" si="121"/>
        <v>0</v>
      </c>
      <c r="AL245" s="97">
        <f t="shared" si="122"/>
        <v>0</v>
      </c>
      <c r="AN245" s="89">
        <v>4.4928287541040265E-3</v>
      </c>
      <c r="AO245" s="183"/>
      <c r="AP245" s="184"/>
      <c r="AQ245" s="92"/>
      <c r="AR245" s="92"/>
      <c r="AS245" s="92"/>
      <c r="AT245" s="92"/>
      <c r="AU245" s="92"/>
      <c r="AV245" s="92"/>
      <c r="AW245" s="93">
        <f t="shared" si="123"/>
        <v>0</v>
      </c>
      <c r="AX245" s="183"/>
      <c r="AY245" s="184"/>
      <c r="AZ245" s="92"/>
      <c r="BA245" s="92"/>
      <c r="BB245" s="92"/>
      <c r="BC245" s="92"/>
      <c r="BD245" s="92"/>
      <c r="BE245" s="92"/>
      <c r="BF245" s="93">
        <f t="shared" si="124"/>
        <v>0</v>
      </c>
      <c r="BG245" s="181"/>
      <c r="BH245" s="182"/>
      <c r="BI245" s="92"/>
      <c r="BJ245" s="92"/>
      <c r="BK245" s="92"/>
      <c r="BL245" s="92"/>
      <c r="BM245" s="92"/>
      <c r="BN245" s="92"/>
      <c r="BO245" s="93">
        <f t="shared" si="125"/>
        <v>0</v>
      </c>
      <c r="BP245" s="95">
        <f t="shared" si="126"/>
        <v>0</v>
      </c>
      <c r="BQ245" s="96">
        <f t="shared" si="127"/>
        <v>0</v>
      </c>
      <c r="BR245" s="97">
        <f t="shared" si="128"/>
        <v>0</v>
      </c>
      <c r="BT245" s="82"/>
      <c r="BU245" s="181"/>
      <c r="BV245" s="182"/>
      <c r="BW245" s="92"/>
      <c r="BX245" s="92"/>
      <c r="BY245" s="92"/>
      <c r="BZ245" s="92"/>
      <c r="CA245" s="92"/>
      <c r="CB245" s="92"/>
      <c r="CC245" s="93">
        <f t="shared" si="129"/>
        <v>0</v>
      </c>
      <c r="CD245" s="181"/>
      <c r="CE245" s="182"/>
      <c r="CF245" s="92"/>
      <c r="CG245" s="92"/>
      <c r="CH245" s="92"/>
      <c r="CI245" s="92"/>
      <c r="CJ245" s="92"/>
      <c r="CK245" s="92"/>
      <c r="CL245" s="93">
        <f t="shared" si="130"/>
        <v>0</v>
      </c>
      <c r="CM245" s="181"/>
      <c r="CN245" s="182"/>
      <c r="CO245" s="92"/>
      <c r="CP245" s="92"/>
      <c r="CQ245" s="92"/>
      <c r="CR245" s="92"/>
      <c r="CS245" s="92"/>
      <c r="CT245" s="92"/>
      <c r="CU245" s="93">
        <f t="shared" si="131"/>
        <v>0</v>
      </c>
      <c r="CV245" s="95">
        <f t="shared" si="132"/>
        <v>0</v>
      </c>
      <c r="CW245" s="96">
        <f t="shared" si="133"/>
        <v>0</v>
      </c>
      <c r="CX245" s="97">
        <f t="shared" si="134"/>
        <v>0</v>
      </c>
      <c r="CZ245" s="82"/>
      <c r="DA245" s="136"/>
      <c r="DB245" s="137"/>
      <c r="DC245" s="92"/>
      <c r="DD245" s="92"/>
      <c r="DE245" s="92"/>
      <c r="DF245" s="92"/>
      <c r="DG245" s="92"/>
      <c r="DH245" s="92"/>
      <c r="DI245" s="93">
        <f t="shared" si="135"/>
        <v>0</v>
      </c>
      <c r="DJ245" s="183"/>
      <c r="DK245" s="184"/>
      <c r="DL245" s="92"/>
      <c r="DM245" s="92"/>
      <c r="DN245" s="92"/>
      <c r="DO245" s="92"/>
      <c r="DP245" s="92"/>
      <c r="DQ245" s="92"/>
      <c r="DR245" s="93">
        <f t="shared" si="136"/>
        <v>0</v>
      </c>
      <c r="DS245" s="183"/>
      <c r="DT245" s="184"/>
      <c r="DU245" s="92"/>
      <c r="DV245" s="92"/>
      <c r="DW245" s="92"/>
      <c r="DX245" s="92"/>
      <c r="DY245" s="92"/>
      <c r="DZ245" s="92"/>
      <c r="EA245" s="93">
        <f t="shared" si="137"/>
        <v>0</v>
      </c>
      <c r="EB245" s="95">
        <f t="shared" si="138"/>
        <v>0</v>
      </c>
      <c r="EC245" s="96">
        <f t="shared" si="139"/>
        <v>0</v>
      </c>
      <c r="ED245" s="97">
        <f t="shared" si="140"/>
        <v>0</v>
      </c>
    </row>
    <row r="246" spans="1:134" s="6" customFormat="1" ht="21.95" customHeight="1" x14ac:dyDescent="0.5">
      <c r="A246" s="83">
        <v>50</v>
      </c>
      <c r="B246" s="103" t="s">
        <v>498</v>
      </c>
      <c r="C246" s="103" t="s">
        <v>499</v>
      </c>
      <c r="D246" s="103" t="s">
        <v>500</v>
      </c>
      <c r="E246" s="148" t="s">
        <v>501</v>
      </c>
      <c r="F246" s="83" t="s">
        <v>462</v>
      </c>
      <c r="G246" s="222"/>
      <c r="H246" s="180">
        <v>0</v>
      </c>
      <c r="I246" s="181">
        <f t="shared" si="141"/>
        <v>0</v>
      </c>
      <c r="J246" s="182">
        <f t="shared" si="142"/>
        <v>0</v>
      </c>
      <c r="K246" s="92">
        <v>0</v>
      </c>
      <c r="L246" s="92">
        <v>0</v>
      </c>
      <c r="M246" s="92">
        <v>0</v>
      </c>
      <c r="N246" s="92">
        <v>0</v>
      </c>
      <c r="O246" s="92">
        <v>0</v>
      </c>
      <c r="P246" s="92">
        <v>0</v>
      </c>
      <c r="Q246" s="93">
        <f t="shared" si="117"/>
        <v>0</v>
      </c>
      <c r="R246" s="94">
        <v>0</v>
      </c>
      <c r="S246" s="91">
        <v>0</v>
      </c>
      <c r="T246" s="92">
        <v>0</v>
      </c>
      <c r="U246" s="92">
        <v>0</v>
      </c>
      <c r="V246" s="92">
        <v>0</v>
      </c>
      <c r="W246" s="92">
        <v>0</v>
      </c>
      <c r="X246" s="92">
        <v>0</v>
      </c>
      <c r="Y246" s="92">
        <v>0</v>
      </c>
      <c r="Z246" s="93">
        <f t="shared" si="118"/>
        <v>0</v>
      </c>
      <c r="AA246" s="94">
        <v>0</v>
      </c>
      <c r="AB246" s="91">
        <v>0</v>
      </c>
      <c r="AC246" s="92">
        <v>0</v>
      </c>
      <c r="AD246" s="92">
        <v>0</v>
      </c>
      <c r="AE246" s="92">
        <v>0</v>
      </c>
      <c r="AF246" s="92">
        <v>0</v>
      </c>
      <c r="AG246" s="92"/>
      <c r="AH246" s="92"/>
      <c r="AI246" s="93">
        <f t="shared" si="119"/>
        <v>0</v>
      </c>
      <c r="AJ246" s="95">
        <f t="shared" si="120"/>
        <v>0</v>
      </c>
      <c r="AK246" s="96">
        <f t="shared" si="121"/>
        <v>0</v>
      </c>
      <c r="AL246" s="97">
        <f t="shared" si="122"/>
        <v>0</v>
      </c>
      <c r="AN246" s="89">
        <v>1.0338653401424321E-2</v>
      </c>
      <c r="AO246" s="183"/>
      <c r="AP246" s="184"/>
      <c r="AQ246" s="92"/>
      <c r="AR246" s="92"/>
      <c r="AS246" s="92"/>
      <c r="AT246" s="92"/>
      <c r="AU246" s="92"/>
      <c r="AV246" s="92"/>
      <c r="AW246" s="93">
        <f t="shared" si="123"/>
        <v>0</v>
      </c>
      <c r="AX246" s="183"/>
      <c r="AY246" s="184"/>
      <c r="AZ246" s="92"/>
      <c r="BA246" s="92"/>
      <c r="BB246" s="92"/>
      <c r="BC246" s="92"/>
      <c r="BD246" s="92"/>
      <c r="BE246" s="92"/>
      <c r="BF246" s="93">
        <f t="shared" si="124"/>
        <v>0</v>
      </c>
      <c r="BG246" s="181"/>
      <c r="BH246" s="182"/>
      <c r="BI246" s="92"/>
      <c r="BJ246" s="92"/>
      <c r="BK246" s="92"/>
      <c r="BL246" s="92"/>
      <c r="BM246" s="92"/>
      <c r="BN246" s="92"/>
      <c r="BO246" s="93">
        <f t="shared" si="125"/>
        <v>0</v>
      </c>
      <c r="BP246" s="95">
        <f t="shared" si="126"/>
        <v>0</v>
      </c>
      <c r="BQ246" s="96">
        <f t="shared" si="127"/>
        <v>0</v>
      </c>
      <c r="BR246" s="97">
        <f t="shared" si="128"/>
        <v>0</v>
      </c>
      <c r="BT246" s="82"/>
      <c r="BU246" s="181"/>
      <c r="BV246" s="182"/>
      <c r="BW246" s="92"/>
      <c r="BX246" s="92"/>
      <c r="BY246" s="92"/>
      <c r="BZ246" s="92"/>
      <c r="CA246" s="92"/>
      <c r="CB246" s="92"/>
      <c r="CC246" s="93">
        <f t="shared" si="129"/>
        <v>0</v>
      </c>
      <c r="CD246" s="181"/>
      <c r="CE246" s="182"/>
      <c r="CF246" s="92"/>
      <c r="CG246" s="92"/>
      <c r="CH246" s="92"/>
      <c r="CI246" s="92"/>
      <c r="CJ246" s="92"/>
      <c r="CK246" s="92"/>
      <c r="CL246" s="93">
        <f t="shared" si="130"/>
        <v>0</v>
      </c>
      <c r="CM246" s="181"/>
      <c r="CN246" s="182"/>
      <c r="CO246" s="92"/>
      <c r="CP246" s="92"/>
      <c r="CQ246" s="92"/>
      <c r="CR246" s="92"/>
      <c r="CS246" s="92"/>
      <c r="CT246" s="92"/>
      <c r="CU246" s="93">
        <f t="shared" si="131"/>
        <v>0</v>
      </c>
      <c r="CV246" s="95">
        <f t="shared" si="132"/>
        <v>0</v>
      </c>
      <c r="CW246" s="96">
        <f t="shared" si="133"/>
        <v>0</v>
      </c>
      <c r="CX246" s="97">
        <f t="shared" si="134"/>
        <v>0</v>
      </c>
      <c r="CZ246" s="82"/>
      <c r="DA246" s="136"/>
      <c r="DB246" s="137"/>
      <c r="DC246" s="92"/>
      <c r="DD246" s="92"/>
      <c r="DE246" s="92"/>
      <c r="DF246" s="92"/>
      <c r="DG246" s="92"/>
      <c r="DH246" s="92"/>
      <c r="DI246" s="93">
        <f t="shared" si="135"/>
        <v>0</v>
      </c>
      <c r="DJ246" s="183"/>
      <c r="DK246" s="184"/>
      <c r="DL246" s="92"/>
      <c r="DM246" s="92"/>
      <c r="DN246" s="92"/>
      <c r="DO246" s="92"/>
      <c r="DP246" s="92"/>
      <c r="DQ246" s="92"/>
      <c r="DR246" s="93">
        <f t="shared" si="136"/>
        <v>0</v>
      </c>
      <c r="DS246" s="183"/>
      <c r="DT246" s="184"/>
      <c r="DU246" s="92"/>
      <c r="DV246" s="92"/>
      <c r="DW246" s="92"/>
      <c r="DX246" s="92"/>
      <c r="DY246" s="92"/>
      <c r="DZ246" s="92"/>
      <c r="EA246" s="93">
        <f t="shared" si="137"/>
        <v>0</v>
      </c>
      <c r="EB246" s="95">
        <f t="shared" si="138"/>
        <v>0</v>
      </c>
      <c r="EC246" s="96">
        <f t="shared" si="139"/>
        <v>0</v>
      </c>
      <c r="ED246" s="97">
        <f t="shared" si="140"/>
        <v>0</v>
      </c>
    </row>
    <row r="247" spans="1:134" s="6" customFormat="1" ht="21.95" customHeight="1" x14ac:dyDescent="0.5">
      <c r="A247" s="83">
        <v>51</v>
      </c>
      <c r="B247" s="103" t="s">
        <v>502</v>
      </c>
      <c r="C247" s="103" t="s">
        <v>503</v>
      </c>
      <c r="D247" s="103" t="s">
        <v>500</v>
      </c>
      <c r="E247" s="148" t="s">
        <v>501</v>
      </c>
      <c r="F247" s="83" t="s">
        <v>462</v>
      </c>
      <c r="G247" s="222"/>
      <c r="H247" s="180">
        <v>1.2179897079869675E-3</v>
      </c>
      <c r="I247" s="181">
        <f t="shared" si="141"/>
        <v>119.90302810384287</v>
      </c>
      <c r="J247" s="182">
        <f t="shared" si="142"/>
        <v>90.528303035839343</v>
      </c>
      <c r="K247" s="92">
        <v>180</v>
      </c>
      <c r="L247" s="92">
        <v>180</v>
      </c>
      <c r="M247" s="92">
        <v>180</v>
      </c>
      <c r="N247" s="92">
        <v>180</v>
      </c>
      <c r="O247" s="92">
        <v>180</v>
      </c>
      <c r="P247" s="92">
        <v>180</v>
      </c>
      <c r="Q247" s="93">
        <f t="shared" si="117"/>
        <v>1.9883284449586955</v>
      </c>
      <c r="R247" s="94">
        <v>119.90302810384298</v>
      </c>
      <c r="S247" s="91">
        <v>90.528303035839343</v>
      </c>
      <c r="T247" s="92">
        <v>0</v>
      </c>
      <c r="U247" s="92">
        <v>0</v>
      </c>
      <c r="V247" s="92">
        <v>0</v>
      </c>
      <c r="W247" s="92">
        <v>0</v>
      </c>
      <c r="X247" s="92">
        <v>0</v>
      </c>
      <c r="Y247" s="92">
        <v>0</v>
      </c>
      <c r="Z247" s="93">
        <f t="shared" si="118"/>
        <v>0</v>
      </c>
      <c r="AA247" s="94">
        <v>119.90302810384298</v>
      </c>
      <c r="AB247" s="91">
        <v>90.528303035839343</v>
      </c>
      <c r="AC247" s="92">
        <v>300</v>
      </c>
      <c r="AD247" s="92">
        <v>222</v>
      </c>
      <c r="AE247" s="92">
        <v>300</v>
      </c>
      <c r="AF247" s="92">
        <v>222</v>
      </c>
      <c r="AG247" s="92"/>
      <c r="AH247" s="92"/>
      <c r="AI247" s="93">
        <f t="shared" si="119"/>
        <v>0</v>
      </c>
      <c r="AJ247" s="95">
        <f t="shared" si="120"/>
        <v>271.584909107518</v>
      </c>
      <c r="AK247" s="96">
        <f t="shared" si="121"/>
        <v>180</v>
      </c>
      <c r="AL247" s="97">
        <f t="shared" si="122"/>
        <v>0.66277614831956522</v>
      </c>
      <c r="AN247" s="89">
        <v>8.6768214891043381E-3</v>
      </c>
      <c r="AO247" s="183"/>
      <c r="AP247" s="184"/>
      <c r="AQ247" s="92"/>
      <c r="AR247" s="92"/>
      <c r="AS247" s="92"/>
      <c r="AT247" s="92"/>
      <c r="AU247" s="92"/>
      <c r="AV247" s="92"/>
      <c r="AW247" s="93">
        <f t="shared" si="123"/>
        <v>0</v>
      </c>
      <c r="AX247" s="183"/>
      <c r="AY247" s="184"/>
      <c r="AZ247" s="92"/>
      <c r="BA247" s="92"/>
      <c r="BB247" s="92"/>
      <c r="BC247" s="92"/>
      <c r="BD247" s="92"/>
      <c r="BE247" s="92"/>
      <c r="BF247" s="93">
        <f t="shared" si="124"/>
        <v>0</v>
      </c>
      <c r="BG247" s="181"/>
      <c r="BH247" s="182"/>
      <c r="BI247" s="92"/>
      <c r="BJ247" s="92"/>
      <c r="BK247" s="92"/>
      <c r="BL247" s="92"/>
      <c r="BM247" s="92"/>
      <c r="BN247" s="92"/>
      <c r="BO247" s="93">
        <f t="shared" si="125"/>
        <v>0</v>
      </c>
      <c r="BP247" s="95">
        <f t="shared" si="126"/>
        <v>0</v>
      </c>
      <c r="BQ247" s="96">
        <f t="shared" si="127"/>
        <v>0</v>
      </c>
      <c r="BR247" s="97">
        <f t="shared" si="128"/>
        <v>0</v>
      </c>
      <c r="BT247" s="82"/>
      <c r="BU247" s="181"/>
      <c r="BV247" s="182"/>
      <c r="BW247" s="92"/>
      <c r="BX247" s="92"/>
      <c r="BY247" s="92"/>
      <c r="BZ247" s="92"/>
      <c r="CA247" s="92"/>
      <c r="CB247" s="92"/>
      <c r="CC247" s="93">
        <f t="shared" si="129"/>
        <v>0</v>
      </c>
      <c r="CD247" s="181"/>
      <c r="CE247" s="182"/>
      <c r="CF247" s="92"/>
      <c r="CG247" s="92"/>
      <c r="CH247" s="92"/>
      <c r="CI247" s="92"/>
      <c r="CJ247" s="92"/>
      <c r="CK247" s="92"/>
      <c r="CL247" s="93">
        <f t="shared" si="130"/>
        <v>0</v>
      </c>
      <c r="CM247" s="181"/>
      <c r="CN247" s="182"/>
      <c r="CO247" s="92"/>
      <c r="CP247" s="92"/>
      <c r="CQ247" s="92"/>
      <c r="CR247" s="92"/>
      <c r="CS247" s="92"/>
      <c r="CT247" s="92"/>
      <c r="CU247" s="93">
        <f t="shared" si="131"/>
        <v>0</v>
      </c>
      <c r="CV247" s="95">
        <f t="shared" si="132"/>
        <v>0</v>
      </c>
      <c r="CW247" s="96">
        <f t="shared" si="133"/>
        <v>0</v>
      </c>
      <c r="CX247" s="97">
        <f t="shared" si="134"/>
        <v>0</v>
      </c>
      <c r="CZ247" s="82"/>
      <c r="DA247" s="136"/>
      <c r="DB247" s="137"/>
      <c r="DC247" s="92"/>
      <c r="DD247" s="92"/>
      <c r="DE247" s="92"/>
      <c r="DF247" s="92"/>
      <c r="DG247" s="92"/>
      <c r="DH247" s="92"/>
      <c r="DI247" s="93">
        <f t="shared" si="135"/>
        <v>0</v>
      </c>
      <c r="DJ247" s="183"/>
      <c r="DK247" s="184"/>
      <c r="DL247" s="92"/>
      <c r="DM247" s="92"/>
      <c r="DN247" s="92"/>
      <c r="DO247" s="92"/>
      <c r="DP247" s="92"/>
      <c r="DQ247" s="92"/>
      <c r="DR247" s="93">
        <f t="shared" si="136"/>
        <v>0</v>
      </c>
      <c r="DS247" s="183"/>
      <c r="DT247" s="184"/>
      <c r="DU247" s="92"/>
      <c r="DV247" s="92"/>
      <c r="DW247" s="92"/>
      <c r="DX247" s="92"/>
      <c r="DY247" s="92"/>
      <c r="DZ247" s="92"/>
      <c r="EA247" s="93">
        <f t="shared" si="137"/>
        <v>0</v>
      </c>
      <c r="EB247" s="95">
        <f t="shared" si="138"/>
        <v>0</v>
      </c>
      <c r="EC247" s="96">
        <f t="shared" si="139"/>
        <v>0</v>
      </c>
      <c r="ED247" s="97">
        <f t="shared" si="140"/>
        <v>0</v>
      </c>
    </row>
    <row r="248" spans="1:134" s="6" customFormat="1" ht="21.95" customHeight="1" x14ac:dyDescent="0.5">
      <c r="A248" s="83">
        <v>52</v>
      </c>
      <c r="B248" s="103" t="s">
        <v>504</v>
      </c>
      <c r="C248" s="103" t="s">
        <v>505</v>
      </c>
      <c r="D248" s="103" t="s">
        <v>500</v>
      </c>
      <c r="E248" s="148" t="s">
        <v>501</v>
      </c>
      <c r="F248" s="83" t="s">
        <v>462</v>
      </c>
      <c r="G248" s="222"/>
      <c r="H248" s="180">
        <v>6.8308922789602437E-3</v>
      </c>
      <c r="I248" s="181">
        <f t="shared" si="141"/>
        <v>672.45614928238547</v>
      </c>
      <c r="J248" s="182">
        <f t="shared" si="142"/>
        <v>507.71289952599909</v>
      </c>
      <c r="K248" s="92">
        <v>0</v>
      </c>
      <c r="L248" s="92">
        <v>0</v>
      </c>
      <c r="M248" s="92">
        <v>0</v>
      </c>
      <c r="N248" s="92">
        <v>0</v>
      </c>
      <c r="O248" s="92">
        <v>700</v>
      </c>
      <c r="P248" s="92">
        <v>448</v>
      </c>
      <c r="Q248" s="93">
        <f t="shared" si="117"/>
        <v>0.88238845303763791</v>
      </c>
      <c r="R248" s="94">
        <v>672.45614928238615</v>
      </c>
      <c r="S248" s="91">
        <v>507.71289952599909</v>
      </c>
      <c r="T248" s="92">
        <v>0</v>
      </c>
      <c r="U248" s="92">
        <v>0</v>
      </c>
      <c r="V248" s="92">
        <v>0</v>
      </c>
      <c r="W248" s="92">
        <v>0</v>
      </c>
      <c r="X248" s="92">
        <v>700</v>
      </c>
      <c r="Y248" s="92">
        <v>448</v>
      </c>
      <c r="Z248" s="93">
        <f t="shared" si="118"/>
        <v>0.88238845303763791</v>
      </c>
      <c r="AA248" s="94">
        <v>672.45614928238615</v>
      </c>
      <c r="AB248" s="91">
        <v>507.71289952599909</v>
      </c>
      <c r="AC248" s="92">
        <v>0</v>
      </c>
      <c r="AD248" s="92">
        <v>0</v>
      </c>
      <c r="AE248" s="92">
        <v>0</v>
      </c>
      <c r="AF248" s="92">
        <v>0</v>
      </c>
      <c r="AG248" s="92"/>
      <c r="AH248" s="92"/>
      <c r="AI248" s="93">
        <f t="shared" si="119"/>
        <v>0</v>
      </c>
      <c r="AJ248" s="95">
        <f t="shared" si="120"/>
        <v>1523.1386985779973</v>
      </c>
      <c r="AK248" s="96">
        <f t="shared" si="121"/>
        <v>896</v>
      </c>
      <c r="AL248" s="97">
        <f t="shared" si="122"/>
        <v>0.58825896869175853</v>
      </c>
      <c r="AN248" s="89">
        <v>3.7722113761953606E-3</v>
      </c>
      <c r="AO248" s="183"/>
      <c r="AP248" s="184"/>
      <c r="AQ248" s="92"/>
      <c r="AR248" s="92"/>
      <c r="AS248" s="92"/>
      <c r="AT248" s="92"/>
      <c r="AU248" s="92"/>
      <c r="AV248" s="92"/>
      <c r="AW248" s="93">
        <f t="shared" si="123"/>
        <v>0</v>
      </c>
      <c r="AX248" s="183"/>
      <c r="AY248" s="184"/>
      <c r="AZ248" s="92"/>
      <c r="BA248" s="92"/>
      <c r="BB248" s="92"/>
      <c r="BC248" s="92"/>
      <c r="BD248" s="92"/>
      <c r="BE248" s="92"/>
      <c r="BF248" s="93">
        <f t="shared" si="124"/>
        <v>0</v>
      </c>
      <c r="BG248" s="181"/>
      <c r="BH248" s="182"/>
      <c r="BI248" s="92"/>
      <c r="BJ248" s="92"/>
      <c r="BK248" s="92"/>
      <c r="BL248" s="92"/>
      <c r="BM248" s="92"/>
      <c r="BN248" s="92"/>
      <c r="BO248" s="93">
        <f t="shared" si="125"/>
        <v>0</v>
      </c>
      <c r="BP248" s="95">
        <f t="shared" si="126"/>
        <v>0</v>
      </c>
      <c r="BQ248" s="96">
        <f t="shared" si="127"/>
        <v>0</v>
      </c>
      <c r="BR248" s="97">
        <f t="shared" si="128"/>
        <v>0</v>
      </c>
      <c r="BT248" s="82"/>
      <c r="BU248" s="181"/>
      <c r="BV248" s="182"/>
      <c r="BW248" s="92"/>
      <c r="BX248" s="92"/>
      <c r="BY248" s="92"/>
      <c r="BZ248" s="92"/>
      <c r="CA248" s="92"/>
      <c r="CB248" s="92"/>
      <c r="CC248" s="93">
        <f t="shared" si="129"/>
        <v>0</v>
      </c>
      <c r="CD248" s="181"/>
      <c r="CE248" s="182"/>
      <c r="CF248" s="92"/>
      <c r="CG248" s="92"/>
      <c r="CH248" s="92"/>
      <c r="CI248" s="92"/>
      <c r="CJ248" s="92"/>
      <c r="CK248" s="92"/>
      <c r="CL248" s="93">
        <f t="shared" si="130"/>
        <v>0</v>
      </c>
      <c r="CM248" s="181"/>
      <c r="CN248" s="182"/>
      <c r="CO248" s="92"/>
      <c r="CP248" s="92"/>
      <c r="CQ248" s="92"/>
      <c r="CR248" s="92"/>
      <c r="CS248" s="92"/>
      <c r="CT248" s="92"/>
      <c r="CU248" s="93">
        <f t="shared" si="131"/>
        <v>0</v>
      </c>
      <c r="CV248" s="95">
        <f t="shared" si="132"/>
        <v>0</v>
      </c>
      <c r="CW248" s="96">
        <f t="shared" si="133"/>
        <v>0</v>
      </c>
      <c r="CX248" s="97">
        <f t="shared" si="134"/>
        <v>0</v>
      </c>
      <c r="CZ248" s="82"/>
      <c r="DA248" s="136"/>
      <c r="DB248" s="137"/>
      <c r="DC248" s="92"/>
      <c r="DD248" s="92"/>
      <c r="DE248" s="92"/>
      <c r="DF248" s="92"/>
      <c r="DG248" s="92"/>
      <c r="DH248" s="92"/>
      <c r="DI248" s="93">
        <f t="shared" si="135"/>
        <v>0</v>
      </c>
      <c r="DJ248" s="183"/>
      <c r="DK248" s="184"/>
      <c r="DL248" s="92"/>
      <c r="DM248" s="92"/>
      <c r="DN248" s="92"/>
      <c r="DO248" s="92"/>
      <c r="DP248" s="92"/>
      <c r="DQ248" s="92"/>
      <c r="DR248" s="93">
        <f t="shared" si="136"/>
        <v>0</v>
      </c>
      <c r="DS248" s="183"/>
      <c r="DT248" s="184"/>
      <c r="DU248" s="92"/>
      <c r="DV248" s="92"/>
      <c r="DW248" s="92"/>
      <c r="DX248" s="92"/>
      <c r="DY248" s="92"/>
      <c r="DZ248" s="92"/>
      <c r="EA248" s="93">
        <f t="shared" si="137"/>
        <v>0</v>
      </c>
      <c r="EB248" s="95">
        <f t="shared" si="138"/>
        <v>0</v>
      </c>
      <c r="EC248" s="96">
        <f t="shared" si="139"/>
        <v>0</v>
      </c>
      <c r="ED248" s="97">
        <f t="shared" si="140"/>
        <v>0</v>
      </c>
    </row>
    <row r="249" spans="1:134" s="6" customFormat="1" ht="21.95" customHeight="1" x14ac:dyDescent="0.5">
      <c r="A249" s="83">
        <v>53</v>
      </c>
      <c r="B249" s="103" t="s">
        <v>506</v>
      </c>
      <c r="C249" s="103" t="s">
        <v>507</v>
      </c>
      <c r="D249" s="103" t="s">
        <v>304</v>
      </c>
      <c r="E249" s="148" t="s">
        <v>305</v>
      </c>
      <c r="F249" s="83" t="s">
        <v>462</v>
      </c>
      <c r="G249" s="222"/>
      <c r="H249" s="180">
        <v>7.818478933853009E-3</v>
      </c>
      <c r="I249" s="181">
        <f t="shared" si="141"/>
        <v>769.67752123658465</v>
      </c>
      <c r="J249" s="182">
        <f t="shared" si="142"/>
        <v>581.11626523755876</v>
      </c>
      <c r="K249" s="92">
        <v>360</v>
      </c>
      <c r="L249" s="92">
        <v>360</v>
      </c>
      <c r="M249" s="92">
        <v>360</v>
      </c>
      <c r="N249" s="92">
        <v>360</v>
      </c>
      <c r="O249" s="92">
        <v>740</v>
      </c>
      <c r="P249" s="92">
        <v>689.6</v>
      </c>
      <c r="Q249" s="93">
        <f t="shared" si="117"/>
        <v>1.1866816354178167</v>
      </c>
      <c r="R249" s="94">
        <v>769.67752123658545</v>
      </c>
      <c r="S249" s="91">
        <v>581.11626523755876</v>
      </c>
      <c r="T249" s="92">
        <v>0</v>
      </c>
      <c r="U249" s="92">
        <v>0</v>
      </c>
      <c r="V249" s="92">
        <v>310</v>
      </c>
      <c r="W249" s="92">
        <v>284.8</v>
      </c>
      <c r="X249" s="92">
        <v>310</v>
      </c>
      <c r="Y249" s="92">
        <v>284.8</v>
      </c>
      <c r="Z249" s="93">
        <f t="shared" si="118"/>
        <v>0.49009125546257865</v>
      </c>
      <c r="AA249" s="94">
        <v>769.67752123658545</v>
      </c>
      <c r="AB249" s="91">
        <v>581.11626523755876</v>
      </c>
      <c r="AC249" s="92">
        <v>0</v>
      </c>
      <c r="AD249" s="92">
        <v>0</v>
      </c>
      <c r="AE249" s="92">
        <v>140</v>
      </c>
      <c r="AF249" s="92">
        <v>89.6</v>
      </c>
      <c r="AG249" s="92"/>
      <c r="AH249" s="92"/>
      <c r="AI249" s="93">
        <f t="shared" si="119"/>
        <v>0</v>
      </c>
      <c r="AJ249" s="95">
        <f t="shared" si="120"/>
        <v>1743.3487957126763</v>
      </c>
      <c r="AK249" s="96">
        <f t="shared" si="121"/>
        <v>974.40000000000009</v>
      </c>
      <c r="AL249" s="97">
        <f t="shared" si="122"/>
        <v>0.55892429696013179</v>
      </c>
      <c r="AN249" s="89">
        <v>1.4765303008577552E-2</v>
      </c>
      <c r="AO249" s="183"/>
      <c r="AP249" s="184"/>
      <c r="AQ249" s="92"/>
      <c r="AR249" s="92"/>
      <c r="AS249" s="92"/>
      <c r="AT249" s="92"/>
      <c r="AU249" s="92"/>
      <c r="AV249" s="92"/>
      <c r="AW249" s="93">
        <f t="shared" si="123"/>
        <v>0</v>
      </c>
      <c r="AX249" s="183"/>
      <c r="AY249" s="184"/>
      <c r="AZ249" s="92"/>
      <c r="BA249" s="92"/>
      <c r="BB249" s="92"/>
      <c r="BC249" s="92"/>
      <c r="BD249" s="92"/>
      <c r="BE249" s="92"/>
      <c r="BF249" s="93">
        <f t="shared" si="124"/>
        <v>0</v>
      </c>
      <c r="BG249" s="181"/>
      <c r="BH249" s="182"/>
      <c r="BI249" s="92"/>
      <c r="BJ249" s="92"/>
      <c r="BK249" s="92"/>
      <c r="BL249" s="92"/>
      <c r="BM249" s="92"/>
      <c r="BN249" s="92"/>
      <c r="BO249" s="93">
        <f t="shared" si="125"/>
        <v>0</v>
      </c>
      <c r="BP249" s="95">
        <f t="shared" si="126"/>
        <v>0</v>
      </c>
      <c r="BQ249" s="96">
        <f t="shared" si="127"/>
        <v>0</v>
      </c>
      <c r="BR249" s="97">
        <f t="shared" si="128"/>
        <v>0</v>
      </c>
      <c r="BT249" s="82"/>
      <c r="BU249" s="181"/>
      <c r="BV249" s="182"/>
      <c r="BW249" s="92"/>
      <c r="BX249" s="92"/>
      <c r="BY249" s="92"/>
      <c r="BZ249" s="92"/>
      <c r="CA249" s="92"/>
      <c r="CB249" s="92"/>
      <c r="CC249" s="93">
        <f t="shared" si="129"/>
        <v>0</v>
      </c>
      <c r="CD249" s="181"/>
      <c r="CE249" s="182"/>
      <c r="CF249" s="92"/>
      <c r="CG249" s="92"/>
      <c r="CH249" s="92"/>
      <c r="CI249" s="92"/>
      <c r="CJ249" s="92"/>
      <c r="CK249" s="92"/>
      <c r="CL249" s="93">
        <f t="shared" si="130"/>
        <v>0</v>
      </c>
      <c r="CM249" s="181"/>
      <c r="CN249" s="182"/>
      <c r="CO249" s="92"/>
      <c r="CP249" s="92"/>
      <c r="CQ249" s="92"/>
      <c r="CR249" s="92"/>
      <c r="CS249" s="92"/>
      <c r="CT249" s="92"/>
      <c r="CU249" s="93">
        <f t="shared" si="131"/>
        <v>0</v>
      </c>
      <c r="CV249" s="95">
        <f t="shared" si="132"/>
        <v>0</v>
      </c>
      <c r="CW249" s="96">
        <f t="shared" si="133"/>
        <v>0</v>
      </c>
      <c r="CX249" s="97">
        <f t="shared" si="134"/>
        <v>0</v>
      </c>
      <c r="CZ249" s="82"/>
      <c r="DA249" s="136"/>
      <c r="DB249" s="137"/>
      <c r="DC249" s="92"/>
      <c r="DD249" s="92"/>
      <c r="DE249" s="92"/>
      <c r="DF249" s="92"/>
      <c r="DG249" s="92"/>
      <c r="DH249" s="92"/>
      <c r="DI249" s="93">
        <f t="shared" si="135"/>
        <v>0</v>
      </c>
      <c r="DJ249" s="183"/>
      <c r="DK249" s="184"/>
      <c r="DL249" s="92"/>
      <c r="DM249" s="92"/>
      <c r="DN249" s="92"/>
      <c r="DO249" s="92"/>
      <c r="DP249" s="92"/>
      <c r="DQ249" s="92"/>
      <c r="DR249" s="93">
        <f t="shared" si="136"/>
        <v>0</v>
      </c>
      <c r="DS249" s="183"/>
      <c r="DT249" s="184"/>
      <c r="DU249" s="92"/>
      <c r="DV249" s="92"/>
      <c r="DW249" s="92"/>
      <c r="DX249" s="92"/>
      <c r="DY249" s="92"/>
      <c r="DZ249" s="92"/>
      <c r="EA249" s="93">
        <f t="shared" si="137"/>
        <v>0</v>
      </c>
      <c r="EB249" s="95">
        <f t="shared" si="138"/>
        <v>0</v>
      </c>
      <c r="EC249" s="96">
        <f t="shared" si="139"/>
        <v>0</v>
      </c>
      <c r="ED249" s="97">
        <f t="shared" si="140"/>
        <v>0</v>
      </c>
    </row>
    <row r="250" spans="1:134" s="6" customFormat="1" ht="21.95" customHeight="1" x14ac:dyDescent="0.5">
      <c r="A250" s="83">
        <v>54</v>
      </c>
      <c r="B250" s="103" t="s">
        <v>508</v>
      </c>
      <c r="C250" s="103" t="s">
        <v>508</v>
      </c>
      <c r="D250" s="103" t="s">
        <v>509</v>
      </c>
      <c r="E250" s="148" t="s">
        <v>510</v>
      </c>
      <c r="F250" s="83" t="s">
        <v>511</v>
      </c>
      <c r="G250" s="222"/>
      <c r="H250" s="180">
        <v>5.1784862417912567E-3</v>
      </c>
      <c r="I250" s="181">
        <f t="shared" si="141"/>
        <v>509.78770782150525</v>
      </c>
      <c r="J250" s="182">
        <f t="shared" si="142"/>
        <v>384.89616840737693</v>
      </c>
      <c r="K250" s="92">
        <v>0</v>
      </c>
      <c r="L250" s="92">
        <v>0</v>
      </c>
      <c r="M250" s="92">
        <v>0</v>
      </c>
      <c r="N250" s="92">
        <v>0</v>
      </c>
      <c r="O250" s="92">
        <v>0</v>
      </c>
      <c r="P250" s="92">
        <v>0</v>
      </c>
      <c r="Q250" s="93">
        <f t="shared" si="117"/>
        <v>0</v>
      </c>
      <c r="R250" s="94">
        <v>509.78770782150576</v>
      </c>
      <c r="S250" s="91">
        <v>384.89616840737693</v>
      </c>
      <c r="T250" s="92">
        <v>0</v>
      </c>
      <c r="U250" s="92">
        <v>0</v>
      </c>
      <c r="V250" s="92">
        <v>0</v>
      </c>
      <c r="W250" s="92">
        <v>0</v>
      </c>
      <c r="X250" s="92">
        <v>180</v>
      </c>
      <c r="Y250" s="92">
        <v>180</v>
      </c>
      <c r="Z250" s="93">
        <f t="shared" si="118"/>
        <v>0.46765859152301736</v>
      </c>
      <c r="AA250" s="94">
        <v>509.78770782150576</v>
      </c>
      <c r="AB250" s="91">
        <v>384.89616840737693</v>
      </c>
      <c r="AC250" s="92">
        <v>0</v>
      </c>
      <c r="AD250" s="92">
        <v>0</v>
      </c>
      <c r="AE250" s="92">
        <v>0</v>
      </c>
      <c r="AF250" s="92">
        <v>0</v>
      </c>
      <c r="AG250" s="92"/>
      <c r="AH250" s="92"/>
      <c r="AI250" s="93">
        <f t="shared" si="119"/>
        <v>0</v>
      </c>
      <c r="AJ250" s="95">
        <f t="shared" si="120"/>
        <v>1154.6885052221307</v>
      </c>
      <c r="AK250" s="96">
        <f t="shared" si="121"/>
        <v>180</v>
      </c>
      <c r="AL250" s="97">
        <f t="shared" si="122"/>
        <v>0.15588619717433913</v>
      </c>
      <c r="AN250" s="89">
        <v>2.4339219600792677E-3</v>
      </c>
      <c r="AO250" s="183"/>
      <c r="AP250" s="184"/>
      <c r="AQ250" s="92"/>
      <c r="AR250" s="92"/>
      <c r="AS250" s="92"/>
      <c r="AT250" s="92"/>
      <c r="AU250" s="92"/>
      <c r="AV250" s="92"/>
      <c r="AW250" s="93">
        <f t="shared" si="123"/>
        <v>0</v>
      </c>
      <c r="AX250" s="183"/>
      <c r="AY250" s="184"/>
      <c r="AZ250" s="92"/>
      <c r="BA250" s="92"/>
      <c r="BB250" s="92"/>
      <c r="BC250" s="92"/>
      <c r="BD250" s="92"/>
      <c r="BE250" s="92"/>
      <c r="BF250" s="93">
        <f t="shared" si="124"/>
        <v>0</v>
      </c>
      <c r="BG250" s="181"/>
      <c r="BH250" s="182"/>
      <c r="BI250" s="92"/>
      <c r="BJ250" s="92"/>
      <c r="BK250" s="92"/>
      <c r="BL250" s="92"/>
      <c r="BM250" s="92"/>
      <c r="BN250" s="92"/>
      <c r="BO250" s="93">
        <f t="shared" si="125"/>
        <v>0</v>
      </c>
      <c r="BP250" s="95">
        <f t="shared" si="126"/>
        <v>0</v>
      </c>
      <c r="BQ250" s="96">
        <f t="shared" si="127"/>
        <v>0</v>
      </c>
      <c r="BR250" s="97">
        <f t="shared" si="128"/>
        <v>0</v>
      </c>
      <c r="BT250" s="82"/>
      <c r="BU250" s="181"/>
      <c r="BV250" s="182"/>
      <c r="BW250" s="92"/>
      <c r="BX250" s="92"/>
      <c r="BY250" s="92"/>
      <c r="BZ250" s="92"/>
      <c r="CA250" s="92"/>
      <c r="CB250" s="92"/>
      <c r="CC250" s="93">
        <f t="shared" si="129"/>
        <v>0</v>
      </c>
      <c r="CD250" s="181"/>
      <c r="CE250" s="182"/>
      <c r="CF250" s="92"/>
      <c r="CG250" s="92"/>
      <c r="CH250" s="92"/>
      <c r="CI250" s="92"/>
      <c r="CJ250" s="92"/>
      <c r="CK250" s="92"/>
      <c r="CL250" s="93">
        <f t="shared" si="130"/>
        <v>0</v>
      </c>
      <c r="CM250" s="181"/>
      <c r="CN250" s="182"/>
      <c r="CO250" s="92"/>
      <c r="CP250" s="92"/>
      <c r="CQ250" s="92"/>
      <c r="CR250" s="92"/>
      <c r="CS250" s="92"/>
      <c r="CT250" s="92"/>
      <c r="CU250" s="93">
        <f t="shared" si="131"/>
        <v>0</v>
      </c>
      <c r="CV250" s="95">
        <f t="shared" si="132"/>
        <v>0</v>
      </c>
      <c r="CW250" s="96">
        <f t="shared" si="133"/>
        <v>0</v>
      </c>
      <c r="CX250" s="97">
        <f t="shared" si="134"/>
        <v>0</v>
      </c>
      <c r="CZ250" s="82"/>
      <c r="DA250" s="136"/>
      <c r="DB250" s="137"/>
      <c r="DC250" s="92"/>
      <c r="DD250" s="92"/>
      <c r="DE250" s="92"/>
      <c r="DF250" s="92"/>
      <c r="DG250" s="92"/>
      <c r="DH250" s="92"/>
      <c r="DI250" s="93">
        <f t="shared" si="135"/>
        <v>0</v>
      </c>
      <c r="DJ250" s="183"/>
      <c r="DK250" s="184"/>
      <c r="DL250" s="92"/>
      <c r="DM250" s="92"/>
      <c r="DN250" s="92"/>
      <c r="DO250" s="92"/>
      <c r="DP250" s="92"/>
      <c r="DQ250" s="92"/>
      <c r="DR250" s="93">
        <f t="shared" si="136"/>
        <v>0</v>
      </c>
      <c r="DS250" s="183"/>
      <c r="DT250" s="184"/>
      <c r="DU250" s="92"/>
      <c r="DV250" s="92"/>
      <c r="DW250" s="92"/>
      <c r="DX250" s="92"/>
      <c r="DY250" s="92"/>
      <c r="DZ250" s="92"/>
      <c r="EA250" s="93">
        <f t="shared" si="137"/>
        <v>0</v>
      </c>
      <c r="EB250" s="95">
        <f t="shared" si="138"/>
        <v>0</v>
      </c>
      <c r="EC250" s="96">
        <f t="shared" si="139"/>
        <v>0</v>
      </c>
      <c r="ED250" s="97">
        <f t="shared" si="140"/>
        <v>0</v>
      </c>
    </row>
    <row r="251" spans="1:134" s="6" customFormat="1" ht="21.95" customHeight="1" x14ac:dyDescent="0.5">
      <c r="A251" s="83">
        <v>55</v>
      </c>
      <c r="B251" s="103" t="s">
        <v>512</v>
      </c>
      <c r="C251" s="103" t="s">
        <v>513</v>
      </c>
      <c r="D251" s="103" t="s">
        <v>514</v>
      </c>
      <c r="E251" s="148" t="s">
        <v>515</v>
      </c>
      <c r="F251" s="83" t="s">
        <v>516</v>
      </c>
      <c r="G251" s="222"/>
      <c r="H251" s="180">
        <v>1.0200663804390852E-3</v>
      </c>
      <c r="I251" s="181">
        <f t="shared" si="141"/>
        <v>100.4187860369684</v>
      </c>
      <c r="J251" s="182">
        <f t="shared" si="142"/>
        <v>75.817453792515451</v>
      </c>
      <c r="K251" s="92">
        <v>180</v>
      </c>
      <c r="L251" s="92">
        <v>180</v>
      </c>
      <c r="M251" s="92">
        <v>360</v>
      </c>
      <c r="N251" s="92">
        <v>360</v>
      </c>
      <c r="O251" s="92">
        <v>480</v>
      </c>
      <c r="P251" s="92">
        <v>480</v>
      </c>
      <c r="Q251" s="93">
        <f t="shared" si="117"/>
        <v>6.330996043649578</v>
      </c>
      <c r="R251" s="94">
        <v>100.4187860369685</v>
      </c>
      <c r="S251" s="91">
        <v>75.817453792515451</v>
      </c>
      <c r="T251" s="92">
        <v>260</v>
      </c>
      <c r="U251" s="92">
        <v>208</v>
      </c>
      <c r="V251" s="92">
        <v>440</v>
      </c>
      <c r="W251" s="92">
        <v>388</v>
      </c>
      <c r="X251" s="92">
        <v>740</v>
      </c>
      <c r="Y251" s="92">
        <v>688</v>
      </c>
      <c r="Z251" s="93">
        <f t="shared" si="118"/>
        <v>9.0744276625643945</v>
      </c>
      <c r="AA251" s="94">
        <v>100.4187860369685</v>
      </c>
      <c r="AB251" s="91">
        <v>75.817453792515451</v>
      </c>
      <c r="AC251" s="92">
        <v>0</v>
      </c>
      <c r="AD251" s="92">
        <v>0</v>
      </c>
      <c r="AE251" s="92">
        <v>300</v>
      </c>
      <c r="AF251" s="92">
        <v>300</v>
      </c>
      <c r="AG251" s="92"/>
      <c r="AH251" s="92"/>
      <c r="AI251" s="93">
        <f t="shared" si="119"/>
        <v>0</v>
      </c>
      <c r="AJ251" s="95">
        <f t="shared" si="120"/>
        <v>227.45236137754637</v>
      </c>
      <c r="AK251" s="96">
        <f t="shared" si="121"/>
        <v>1168</v>
      </c>
      <c r="AL251" s="97">
        <f t="shared" si="122"/>
        <v>5.1351412354046575</v>
      </c>
      <c r="AN251" s="89">
        <v>1.3757909327215437E-2</v>
      </c>
      <c r="AO251" s="183"/>
      <c r="AP251" s="184"/>
      <c r="AQ251" s="92"/>
      <c r="AR251" s="92"/>
      <c r="AS251" s="92"/>
      <c r="AT251" s="92"/>
      <c r="AU251" s="92"/>
      <c r="AV251" s="92"/>
      <c r="AW251" s="93">
        <f t="shared" si="123"/>
        <v>0</v>
      </c>
      <c r="AX251" s="183"/>
      <c r="AY251" s="184"/>
      <c r="AZ251" s="92"/>
      <c r="BA251" s="92"/>
      <c r="BB251" s="92"/>
      <c r="BC251" s="92"/>
      <c r="BD251" s="92"/>
      <c r="BE251" s="92"/>
      <c r="BF251" s="93">
        <f t="shared" si="124"/>
        <v>0</v>
      </c>
      <c r="BG251" s="181"/>
      <c r="BH251" s="182"/>
      <c r="BI251" s="92"/>
      <c r="BJ251" s="92"/>
      <c r="BK251" s="92"/>
      <c r="BL251" s="92"/>
      <c r="BM251" s="92"/>
      <c r="BN251" s="92"/>
      <c r="BO251" s="93">
        <f t="shared" si="125"/>
        <v>0</v>
      </c>
      <c r="BP251" s="95">
        <f t="shared" si="126"/>
        <v>0</v>
      </c>
      <c r="BQ251" s="96">
        <f t="shared" si="127"/>
        <v>0</v>
      </c>
      <c r="BR251" s="97">
        <f t="shared" si="128"/>
        <v>0</v>
      </c>
      <c r="BT251" s="82"/>
      <c r="BU251" s="181"/>
      <c r="BV251" s="182"/>
      <c r="BW251" s="92"/>
      <c r="BX251" s="92"/>
      <c r="BY251" s="92"/>
      <c r="BZ251" s="92"/>
      <c r="CA251" s="92"/>
      <c r="CB251" s="92"/>
      <c r="CC251" s="93">
        <f t="shared" si="129"/>
        <v>0</v>
      </c>
      <c r="CD251" s="181"/>
      <c r="CE251" s="182"/>
      <c r="CF251" s="92"/>
      <c r="CG251" s="92"/>
      <c r="CH251" s="92"/>
      <c r="CI251" s="92"/>
      <c r="CJ251" s="92"/>
      <c r="CK251" s="92"/>
      <c r="CL251" s="93">
        <f t="shared" si="130"/>
        <v>0</v>
      </c>
      <c r="CM251" s="181"/>
      <c r="CN251" s="182"/>
      <c r="CO251" s="92"/>
      <c r="CP251" s="92"/>
      <c r="CQ251" s="92"/>
      <c r="CR251" s="92"/>
      <c r="CS251" s="92"/>
      <c r="CT251" s="92"/>
      <c r="CU251" s="93">
        <f t="shared" si="131"/>
        <v>0</v>
      </c>
      <c r="CV251" s="95">
        <f t="shared" si="132"/>
        <v>0</v>
      </c>
      <c r="CW251" s="96">
        <f t="shared" si="133"/>
        <v>0</v>
      </c>
      <c r="CX251" s="97">
        <f t="shared" si="134"/>
        <v>0</v>
      </c>
      <c r="CZ251" s="82"/>
      <c r="DA251" s="136"/>
      <c r="DB251" s="137"/>
      <c r="DC251" s="92"/>
      <c r="DD251" s="92"/>
      <c r="DE251" s="92"/>
      <c r="DF251" s="92"/>
      <c r="DG251" s="92"/>
      <c r="DH251" s="92"/>
      <c r="DI251" s="93">
        <f t="shared" si="135"/>
        <v>0</v>
      </c>
      <c r="DJ251" s="183"/>
      <c r="DK251" s="184"/>
      <c r="DL251" s="92"/>
      <c r="DM251" s="92"/>
      <c r="DN251" s="92"/>
      <c r="DO251" s="92"/>
      <c r="DP251" s="92"/>
      <c r="DQ251" s="92"/>
      <c r="DR251" s="93">
        <f t="shared" si="136"/>
        <v>0</v>
      </c>
      <c r="DS251" s="183"/>
      <c r="DT251" s="184"/>
      <c r="DU251" s="92"/>
      <c r="DV251" s="92"/>
      <c r="DW251" s="92"/>
      <c r="DX251" s="92"/>
      <c r="DY251" s="92"/>
      <c r="DZ251" s="92"/>
      <c r="EA251" s="93">
        <f t="shared" si="137"/>
        <v>0</v>
      </c>
      <c r="EB251" s="95">
        <f t="shared" si="138"/>
        <v>0</v>
      </c>
      <c r="EC251" s="96">
        <f t="shared" si="139"/>
        <v>0</v>
      </c>
      <c r="ED251" s="97">
        <f t="shared" si="140"/>
        <v>0</v>
      </c>
    </row>
    <row r="252" spans="1:134" s="6" customFormat="1" ht="21.95" customHeight="1" x14ac:dyDescent="0.5">
      <c r="A252" s="83">
        <v>56</v>
      </c>
      <c r="B252" s="103" t="s">
        <v>517</v>
      </c>
      <c r="C252" s="103" t="s">
        <v>518</v>
      </c>
      <c r="D252" s="103" t="s">
        <v>168</v>
      </c>
      <c r="E252" s="148" t="s">
        <v>169</v>
      </c>
      <c r="F252" s="83" t="s">
        <v>516</v>
      </c>
      <c r="G252" s="222"/>
      <c r="H252" s="180">
        <v>1.6267267541589272E-2</v>
      </c>
      <c r="I252" s="181">
        <f t="shared" si="141"/>
        <v>1601.4048595169079</v>
      </c>
      <c r="J252" s="182">
        <f t="shared" si="142"/>
        <v>1209.0809272961642</v>
      </c>
      <c r="K252" s="92">
        <v>408</v>
      </c>
      <c r="L252" s="92">
        <v>193.8</v>
      </c>
      <c r="M252" s="92">
        <v>588</v>
      </c>
      <c r="N252" s="92">
        <v>373.8</v>
      </c>
      <c r="O252" s="92">
        <v>924</v>
      </c>
      <c r="P252" s="92">
        <v>529.79999999999995</v>
      </c>
      <c r="Q252" s="93">
        <f t="shared" si="117"/>
        <v>0.43818406860885462</v>
      </c>
      <c r="R252" s="94">
        <v>1601.4048595169095</v>
      </c>
      <c r="S252" s="91">
        <v>1209.0809272961642</v>
      </c>
      <c r="T252" s="92">
        <v>300</v>
      </c>
      <c r="U252" s="92">
        <v>120</v>
      </c>
      <c r="V252" s="92">
        <v>1228</v>
      </c>
      <c r="W252" s="92">
        <v>808.4</v>
      </c>
      <c r="X252" s="92">
        <v>1228</v>
      </c>
      <c r="Y252" s="92">
        <v>808.4</v>
      </c>
      <c r="Z252" s="93">
        <f t="shared" si="118"/>
        <v>0.66860702352472268</v>
      </c>
      <c r="AA252" s="94">
        <v>1601.4048595169095</v>
      </c>
      <c r="AB252" s="91">
        <v>1209.0809272961642</v>
      </c>
      <c r="AC252" s="92">
        <v>620</v>
      </c>
      <c r="AD252" s="92">
        <v>442</v>
      </c>
      <c r="AE252" s="92">
        <v>1004</v>
      </c>
      <c r="AF252" s="92">
        <v>748</v>
      </c>
      <c r="AG252" s="92"/>
      <c r="AH252" s="92"/>
      <c r="AI252" s="93">
        <f t="shared" si="119"/>
        <v>0</v>
      </c>
      <c r="AJ252" s="95">
        <f t="shared" si="120"/>
        <v>3627.2427818884926</v>
      </c>
      <c r="AK252" s="96">
        <f t="shared" si="121"/>
        <v>1338.1999999999998</v>
      </c>
      <c r="AL252" s="97">
        <f t="shared" si="122"/>
        <v>0.36893036404452573</v>
      </c>
      <c r="AN252" s="89">
        <v>1.5412388000985332E-2</v>
      </c>
      <c r="AO252" s="183"/>
      <c r="AP252" s="184"/>
      <c r="AQ252" s="92"/>
      <c r="AR252" s="92"/>
      <c r="AS252" s="92"/>
      <c r="AT252" s="92"/>
      <c r="AU252" s="92"/>
      <c r="AV252" s="92"/>
      <c r="AW252" s="93">
        <f t="shared" si="123"/>
        <v>0</v>
      </c>
      <c r="AX252" s="183"/>
      <c r="AY252" s="184"/>
      <c r="AZ252" s="92"/>
      <c r="BA252" s="92"/>
      <c r="BB252" s="92"/>
      <c r="BC252" s="92"/>
      <c r="BD252" s="92"/>
      <c r="BE252" s="92"/>
      <c r="BF252" s="93">
        <f t="shared" si="124"/>
        <v>0</v>
      </c>
      <c r="BG252" s="181"/>
      <c r="BH252" s="182"/>
      <c r="BI252" s="92"/>
      <c r="BJ252" s="92"/>
      <c r="BK252" s="92"/>
      <c r="BL252" s="92"/>
      <c r="BM252" s="92"/>
      <c r="BN252" s="92"/>
      <c r="BO252" s="93">
        <f t="shared" si="125"/>
        <v>0</v>
      </c>
      <c r="BP252" s="95">
        <f t="shared" si="126"/>
        <v>0</v>
      </c>
      <c r="BQ252" s="96">
        <f t="shared" si="127"/>
        <v>0</v>
      </c>
      <c r="BR252" s="97">
        <f t="shared" si="128"/>
        <v>0</v>
      </c>
      <c r="BT252" s="82"/>
      <c r="BU252" s="181"/>
      <c r="BV252" s="182"/>
      <c r="BW252" s="92"/>
      <c r="BX252" s="92"/>
      <c r="BY252" s="92"/>
      <c r="BZ252" s="92"/>
      <c r="CA252" s="92"/>
      <c r="CB252" s="92"/>
      <c r="CC252" s="93">
        <f t="shared" si="129"/>
        <v>0</v>
      </c>
      <c r="CD252" s="181"/>
      <c r="CE252" s="182"/>
      <c r="CF252" s="92"/>
      <c r="CG252" s="92"/>
      <c r="CH252" s="92"/>
      <c r="CI252" s="92"/>
      <c r="CJ252" s="92"/>
      <c r="CK252" s="92"/>
      <c r="CL252" s="93">
        <f t="shared" si="130"/>
        <v>0</v>
      </c>
      <c r="CM252" s="181"/>
      <c r="CN252" s="182"/>
      <c r="CO252" s="92"/>
      <c r="CP252" s="92"/>
      <c r="CQ252" s="92"/>
      <c r="CR252" s="92"/>
      <c r="CS252" s="92"/>
      <c r="CT252" s="92"/>
      <c r="CU252" s="93">
        <f t="shared" si="131"/>
        <v>0</v>
      </c>
      <c r="CV252" s="95">
        <f t="shared" si="132"/>
        <v>0</v>
      </c>
      <c r="CW252" s="96">
        <f t="shared" si="133"/>
        <v>0</v>
      </c>
      <c r="CX252" s="97">
        <f t="shared" si="134"/>
        <v>0</v>
      </c>
      <c r="CZ252" s="82"/>
      <c r="DA252" s="136"/>
      <c r="DB252" s="137"/>
      <c r="DC252" s="92"/>
      <c r="DD252" s="92"/>
      <c r="DE252" s="92"/>
      <c r="DF252" s="92"/>
      <c r="DG252" s="92"/>
      <c r="DH252" s="92"/>
      <c r="DI252" s="93">
        <f t="shared" si="135"/>
        <v>0</v>
      </c>
      <c r="DJ252" s="183"/>
      <c r="DK252" s="184"/>
      <c r="DL252" s="92"/>
      <c r="DM252" s="92"/>
      <c r="DN252" s="92"/>
      <c r="DO252" s="92"/>
      <c r="DP252" s="92"/>
      <c r="DQ252" s="92"/>
      <c r="DR252" s="93">
        <f t="shared" si="136"/>
        <v>0</v>
      </c>
      <c r="DS252" s="183"/>
      <c r="DT252" s="184"/>
      <c r="DU252" s="92"/>
      <c r="DV252" s="92"/>
      <c r="DW252" s="92"/>
      <c r="DX252" s="92"/>
      <c r="DY252" s="92"/>
      <c r="DZ252" s="92"/>
      <c r="EA252" s="93">
        <f t="shared" si="137"/>
        <v>0</v>
      </c>
      <c r="EB252" s="95">
        <f t="shared" si="138"/>
        <v>0</v>
      </c>
      <c r="EC252" s="96">
        <f t="shared" si="139"/>
        <v>0</v>
      </c>
      <c r="ED252" s="97">
        <f t="shared" si="140"/>
        <v>0</v>
      </c>
    </row>
    <row r="253" spans="1:134" s="6" customFormat="1" ht="21.95" customHeight="1" x14ac:dyDescent="0.5">
      <c r="A253" s="83">
        <v>57</v>
      </c>
      <c r="B253" s="103" t="s">
        <v>519</v>
      </c>
      <c r="C253" s="103" t="s">
        <v>520</v>
      </c>
      <c r="D253" s="103" t="s">
        <v>168</v>
      </c>
      <c r="E253" s="148" t="s">
        <v>169</v>
      </c>
      <c r="F253" s="83" t="s">
        <v>516</v>
      </c>
      <c r="G253" s="222"/>
      <c r="H253" s="180">
        <v>4.7410249383392708E-3</v>
      </c>
      <c r="I253" s="181">
        <f t="shared" si="141"/>
        <v>466.72253689420836</v>
      </c>
      <c r="J253" s="182">
        <f t="shared" si="142"/>
        <v>352.38141956700463</v>
      </c>
      <c r="K253" s="92">
        <v>0</v>
      </c>
      <c r="L253" s="92">
        <v>0</v>
      </c>
      <c r="M253" s="92">
        <v>0</v>
      </c>
      <c r="N253" s="92">
        <v>0</v>
      </c>
      <c r="O253" s="92">
        <v>180</v>
      </c>
      <c r="P253" s="92">
        <v>180</v>
      </c>
      <c r="Q253" s="93">
        <f t="shared" si="117"/>
        <v>0.51081013357962635</v>
      </c>
      <c r="R253" s="94">
        <v>466.72253689420882</v>
      </c>
      <c r="S253" s="91">
        <v>352.38141956700463</v>
      </c>
      <c r="T253" s="92">
        <v>36</v>
      </c>
      <c r="U253" s="92">
        <v>36</v>
      </c>
      <c r="V253" s="92">
        <v>336</v>
      </c>
      <c r="W253" s="92">
        <v>336</v>
      </c>
      <c r="X253" s="92">
        <v>336</v>
      </c>
      <c r="Y253" s="92">
        <v>336</v>
      </c>
      <c r="Z253" s="93">
        <f t="shared" si="118"/>
        <v>0.95351224934863588</v>
      </c>
      <c r="AA253" s="94">
        <v>466.72253689420882</v>
      </c>
      <c r="AB253" s="91">
        <v>352.38141956700463</v>
      </c>
      <c r="AC253" s="92">
        <v>300</v>
      </c>
      <c r="AD253" s="92">
        <v>300</v>
      </c>
      <c r="AE253" s="92">
        <v>300</v>
      </c>
      <c r="AF253" s="92">
        <v>300</v>
      </c>
      <c r="AG253" s="92"/>
      <c r="AH253" s="92"/>
      <c r="AI253" s="93">
        <f t="shared" si="119"/>
        <v>0</v>
      </c>
      <c r="AJ253" s="95">
        <f t="shared" si="120"/>
        <v>1057.1442587010138</v>
      </c>
      <c r="AK253" s="96">
        <f t="shared" si="121"/>
        <v>516</v>
      </c>
      <c r="AL253" s="97">
        <f t="shared" si="122"/>
        <v>0.48810746097608748</v>
      </c>
      <c r="AN253" s="89">
        <v>1.8206618650018932E-2</v>
      </c>
      <c r="AO253" s="183"/>
      <c r="AP253" s="184"/>
      <c r="AQ253" s="92"/>
      <c r="AR253" s="92"/>
      <c r="AS253" s="92"/>
      <c r="AT253" s="92"/>
      <c r="AU253" s="92"/>
      <c r="AV253" s="92"/>
      <c r="AW253" s="93">
        <f t="shared" si="123"/>
        <v>0</v>
      </c>
      <c r="AX253" s="183"/>
      <c r="AY253" s="184"/>
      <c r="AZ253" s="92"/>
      <c r="BA253" s="92"/>
      <c r="BB253" s="92"/>
      <c r="BC253" s="92"/>
      <c r="BD253" s="92"/>
      <c r="BE253" s="92"/>
      <c r="BF253" s="93">
        <f t="shared" si="124"/>
        <v>0</v>
      </c>
      <c r="BG253" s="181"/>
      <c r="BH253" s="182"/>
      <c r="BI253" s="92"/>
      <c r="BJ253" s="92"/>
      <c r="BK253" s="92"/>
      <c r="BL253" s="92"/>
      <c r="BM253" s="92"/>
      <c r="BN253" s="92"/>
      <c r="BO253" s="93">
        <f t="shared" si="125"/>
        <v>0</v>
      </c>
      <c r="BP253" s="95">
        <f t="shared" si="126"/>
        <v>0</v>
      </c>
      <c r="BQ253" s="96">
        <f t="shared" si="127"/>
        <v>0</v>
      </c>
      <c r="BR253" s="97">
        <f t="shared" si="128"/>
        <v>0</v>
      </c>
      <c r="BT253" s="82"/>
      <c r="BU253" s="181"/>
      <c r="BV253" s="182"/>
      <c r="BW253" s="92"/>
      <c r="BX253" s="92"/>
      <c r="BY253" s="92"/>
      <c r="BZ253" s="92"/>
      <c r="CA253" s="92"/>
      <c r="CB253" s="92"/>
      <c r="CC253" s="93">
        <f t="shared" si="129"/>
        <v>0</v>
      </c>
      <c r="CD253" s="181"/>
      <c r="CE253" s="182"/>
      <c r="CF253" s="92"/>
      <c r="CG253" s="92"/>
      <c r="CH253" s="92"/>
      <c r="CI253" s="92"/>
      <c r="CJ253" s="92"/>
      <c r="CK253" s="92"/>
      <c r="CL253" s="93">
        <f t="shared" si="130"/>
        <v>0</v>
      </c>
      <c r="CM253" s="181"/>
      <c r="CN253" s="182"/>
      <c r="CO253" s="92"/>
      <c r="CP253" s="92"/>
      <c r="CQ253" s="92"/>
      <c r="CR253" s="92"/>
      <c r="CS253" s="92"/>
      <c r="CT253" s="92"/>
      <c r="CU253" s="93">
        <f t="shared" si="131"/>
        <v>0</v>
      </c>
      <c r="CV253" s="95">
        <f t="shared" si="132"/>
        <v>0</v>
      </c>
      <c r="CW253" s="96">
        <f t="shared" si="133"/>
        <v>0</v>
      </c>
      <c r="CX253" s="97">
        <f t="shared" si="134"/>
        <v>0</v>
      </c>
      <c r="CZ253" s="82"/>
      <c r="DA253" s="136"/>
      <c r="DB253" s="137"/>
      <c r="DC253" s="92"/>
      <c r="DD253" s="92"/>
      <c r="DE253" s="92"/>
      <c r="DF253" s="92"/>
      <c r="DG253" s="92"/>
      <c r="DH253" s="92"/>
      <c r="DI253" s="93">
        <f t="shared" si="135"/>
        <v>0</v>
      </c>
      <c r="DJ253" s="183"/>
      <c r="DK253" s="184"/>
      <c r="DL253" s="92"/>
      <c r="DM253" s="92"/>
      <c r="DN253" s="92"/>
      <c r="DO253" s="92"/>
      <c r="DP253" s="92"/>
      <c r="DQ253" s="92"/>
      <c r="DR253" s="93">
        <f t="shared" si="136"/>
        <v>0</v>
      </c>
      <c r="DS253" s="183"/>
      <c r="DT253" s="184"/>
      <c r="DU253" s="92"/>
      <c r="DV253" s="92"/>
      <c r="DW253" s="92"/>
      <c r="DX253" s="92"/>
      <c r="DY253" s="92"/>
      <c r="DZ253" s="92"/>
      <c r="EA253" s="93">
        <f t="shared" si="137"/>
        <v>0</v>
      </c>
      <c r="EB253" s="95">
        <f t="shared" si="138"/>
        <v>0</v>
      </c>
      <c r="EC253" s="96">
        <f t="shared" si="139"/>
        <v>0</v>
      </c>
      <c r="ED253" s="97">
        <f t="shared" si="140"/>
        <v>0</v>
      </c>
    </row>
    <row r="254" spans="1:134" s="6" customFormat="1" ht="21.95" customHeight="1" x14ac:dyDescent="0.5">
      <c r="A254" s="83">
        <v>58</v>
      </c>
      <c r="B254" s="103" t="s">
        <v>521</v>
      </c>
      <c r="C254" s="103" t="s">
        <v>522</v>
      </c>
      <c r="D254" s="103" t="s">
        <v>168</v>
      </c>
      <c r="E254" s="148" t="s">
        <v>169</v>
      </c>
      <c r="F254" s="83" t="s">
        <v>516</v>
      </c>
      <c r="G254" s="222"/>
      <c r="H254" s="180">
        <v>3.1495183865696331E-3</v>
      </c>
      <c r="I254" s="181">
        <f t="shared" si="141"/>
        <v>310.04924683852033</v>
      </c>
      <c r="J254" s="182">
        <f t="shared" si="142"/>
        <v>234.09110360017456</v>
      </c>
      <c r="K254" s="92">
        <v>360</v>
      </c>
      <c r="L254" s="92">
        <v>204</v>
      </c>
      <c r="M254" s="92">
        <v>360</v>
      </c>
      <c r="N254" s="92">
        <v>204</v>
      </c>
      <c r="O254" s="92">
        <v>432</v>
      </c>
      <c r="P254" s="92">
        <v>276</v>
      </c>
      <c r="Q254" s="93">
        <f t="shared" si="117"/>
        <v>1.1790281465433452</v>
      </c>
      <c r="R254" s="94">
        <v>310.04924683852062</v>
      </c>
      <c r="S254" s="91">
        <v>234.09110360017456</v>
      </c>
      <c r="T254" s="92">
        <v>276</v>
      </c>
      <c r="U254" s="92">
        <v>198</v>
      </c>
      <c r="V254" s="92">
        <v>396</v>
      </c>
      <c r="W254" s="92">
        <v>318</v>
      </c>
      <c r="X254" s="92">
        <v>800</v>
      </c>
      <c r="Y254" s="92">
        <v>592</v>
      </c>
      <c r="Z254" s="93">
        <f t="shared" si="118"/>
        <v>2.5289299375132619</v>
      </c>
      <c r="AA254" s="94">
        <v>310.04924683852062</v>
      </c>
      <c r="AB254" s="91">
        <v>234.09110360017456</v>
      </c>
      <c r="AC254" s="92">
        <v>462</v>
      </c>
      <c r="AD254" s="92">
        <v>290.88</v>
      </c>
      <c r="AE254" s="92">
        <v>462</v>
      </c>
      <c r="AF254" s="92">
        <v>290.88</v>
      </c>
      <c r="AG254" s="92"/>
      <c r="AH254" s="92"/>
      <c r="AI254" s="93">
        <f t="shared" si="119"/>
        <v>0</v>
      </c>
      <c r="AJ254" s="95">
        <f t="shared" si="120"/>
        <v>702.27331080052363</v>
      </c>
      <c r="AK254" s="96">
        <f t="shared" si="121"/>
        <v>868</v>
      </c>
      <c r="AL254" s="97">
        <f t="shared" si="122"/>
        <v>1.2359860280188693</v>
      </c>
      <c r="AN254" s="89">
        <v>3.4560221185415585E-3</v>
      </c>
      <c r="AO254" s="183"/>
      <c r="AP254" s="184"/>
      <c r="AQ254" s="92"/>
      <c r="AR254" s="92"/>
      <c r="AS254" s="92"/>
      <c r="AT254" s="92"/>
      <c r="AU254" s="92"/>
      <c r="AV254" s="92"/>
      <c r="AW254" s="93">
        <f t="shared" si="123"/>
        <v>0</v>
      </c>
      <c r="AX254" s="183"/>
      <c r="AY254" s="184"/>
      <c r="AZ254" s="92"/>
      <c r="BA254" s="92"/>
      <c r="BB254" s="92"/>
      <c r="BC254" s="92"/>
      <c r="BD254" s="92"/>
      <c r="BE254" s="92"/>
      <c r="BF254" s="93">
        <f t="shared" si="124"/>
        <v>0</v>
      </c>
      <c r="BG254" s="181"/>
      <c r="BH254" s="182"/>
      <c r="BI254" s="92"/>
      <c r="BJ254" s="92"/>
      <c r="BK254" s="92"/>
      <c r="BL254" s="92"/>
      <c r="BM254" s="92"/>
      <c r="BN254" s="92"/>
      <c r="BO254" s="93">
        <f t="shared" si="125"/>
        <v>0</v>
      </c>
      <c r="BP254" s="95">
        <f t="shared" si="126"/>
        <v>0</v>
      </c>
      <c r="BQ254" s="96">
        <f t="shared" si="127"/>
        <v>0</v>
      </c>
      <c r="BR254" s="97">
        <f t="shared" si="128"/>
        <v>0</v>
      </c>
      <c r="BT254" s="82"/>
      <c r="BU254" s="181"/>
      <c r="BV254" s="182"/>
      <c r="BW254" s="92"/>
      <c r="BX254" s="92"/>
      <c r="BY254" s="92"/>
      <c r="BZ254" s="92"/>
      <c r="CA254" s="92"/>
      <c r="CB254" s="92"/>
      <c r="CC254" s="93">
        <f t="shared" si="129"/>
        <v>0</v>
      </c>
      <c r="CD254" s="181"/>
      <c r="CE254" s="182"/>
      <c r="CF254" s="92"/>
      <c r="CG254" s="92"/>
      <c r="CH254" s="92"/>
      <c r="CI254" s="92"/>
      <c r="CJ254" s="92"/>
      <c r="CK254" s="92"/>
      <c r="CL254" s="93">
        <f t="shared" si="130"/>
        <v>0</v>
      </c>
      <c r="CM254" s="181"/>
      <c r="CN254" s="182"/>
      <c r="CO254" s="92"/>
      <c r="CP254" s="92"/>
      <c r="CQ254" s="92"/>
      <c r="CR254" s="92"/>
      <c r="CS254" s="92"/>
      <c r="CT254" s="92"/>
      <c r="CU254" s="93">
        <f t="shared" si="131"/>
        <v>0</v>
      </c>
      <c r="CV254" s="95">
        <f t="shared" si="132"/>
        <v>0</v>
      </c>
      <c r="CW254" s="96">
        <f t="shared" si="133"/>
        <v>0</v>
      </c>
      <c r="CX254" s="97">
        <f t="shared" si="134"/>
        <v>0</v>
      </c>
      <c r="CZ254" s="82"/>
      <c r="DA254" s="136"/>
      <c r="DB254" s="137"/>
      <c r="DC254" s="92"/>
      <c r="DD254" s="92"/>
      <c r="DE254" s="92"/>
      <c r="DF254" s="92"/>
      <c r="DG254" s="92"/>
      <c r="DH254" s="92"/>
      <c r="DI254" s="93">
        <f t="shared" si="135"/>
        <v>0</v>
      </c>
      <c r="DJ254" s="183"/>
      <c r="DK254" s="184"/>
      <c r="DL254" s="92"/>
      <c r="DM254" s="92"/>
      <c r="DN254" s="92"/>
      <c r="DO254" s="92"/>
      <c r="DP254" s="92"/>
      <c r="DQ254" s="92"/>
      <c r="DR254" s="93">
        <f t="shared" si="136"/>
        <v>0</v>
      </c>
      <c r="DS254" s="183"/>
      <c r="DT254" s="184"/>
      <c r="DU254" s="92"/>
      <c r="DV254" s="92"/>
      <c r="DW254" s="92"/>
      <c r="DX254" s="92"/>
      <c r="DY254" s="92"/>
      <c r="DZ254" s="92"/>
      <c r="EA254" s="93">
        <f t="shared" si="137"/>
        <v>0</v>
      </c>
      <c r="EB254" s="95">
        <f t="shared" si="138"/>
        <v>0</v>
      </c>
      <c r="EC254" s="96">
        <f t="shared" si="139"/>
        <v>0</v>
      </c>
      <c r="ED254" s="97">
        <f t="shared" si="140"/>
        <v>0</v>
      </c>
    </row>
    <row r="255" spans="1:134" s="6" customFormat="1" ht="21.95" customHeight="1" x14ac:dyDescent="0.5">
      <c r="A255" s="83">
        <v>59</v>
      </c>
      <c r="B255" s="103" t="s">
        <v>523</v>
      </c>
      <c r="C255" s="103" t="s">
        <v>524</v>
      </c>
      <c r="D255" s="103" t="s">
        <v>168</v>
      </c>
      <c r="E255" s="148" t="s">
        <v>169</v>
      </c>
      <c r="F255" s="83" t="s">
        <v>516</v>
      </c>
      <c r="G255" s="222"/>
      <c r="H255" s="180">
        <v>1.7463942429686467E-2</v>
      </c>
      <c r="I255" s="181">
        <f t="shared" si="141"/>
        <v>1719.2095846289335</v>
      </c>
      <c r="J255" s="182">
        <f t="shared" si="142"/>
        <v>1298.0249850288762</v>
      </c>
      <c r="K255" s="92">
        <v>780</v>
      </c>
      <c r="L255" s="92">
        <v>318</v>
      </c>
      <c r="M255" s="92">
        <v>780</v>
      </c>
      <c r="N255" s="92">
        <v>318</v>
      </c>
      <c r="O255" s="92">
        <v>1530</v>
      </c>
      <c r="P255" s="92">
        <v>888.8</v>
      </c>
      <c r="Q255" s="93">
        <f t="shared" si="117"/>
        <v>0.68473258238571377</v>
      </c>
      <c r="R255" s="94">
        <v>1719.2095846289351</v>
      </c>
      <c r="S255" s="91">
        <v>1298.0249850288762</v>
      </c>
      <c r="T255" s="92">
        <v>1400</v>
      </c>
      <c r="U255" s="92">
        <v>784</v>
      </c>
      <c r="V255" s="92">
        <v>1400</v>
      </c>
      <c r="W255" s="92">
        <v>784</v>
      </c>
      <c r="X255" s="92">
        <v>1400</v>
      </c>
      <c r="Y255" s="92">
        <v>784</v>
      </c>
      <c r="Z255" s="93">
        <f t="shared" si="118"/>
        <v>0.6039945371179114</v>
      </c>
      <c r="AA255" s="94">
        <v>1719.2095846289351</v>
      </c>
      <c r="AB255" s="91">
        <v>1298.0249850288762</v>
      </c>
      <c r="AC255" s="92">
        <v>920</v>
      </c>
      <c r="AD255" s="92">
        <v>712</v>
      </c>
      <c r="AE255" s="92">
        <v>920</v>
      </c>
      <c r="AF255" s="92">
        <v>712</v>
      </c>
      <c r="AG255" s="92"/>
      <c r="AH255" s="92"/>
      <c r="AI255" s="93">
        <f t="shared" si="119"/>
        <v>0</v>
      </c>
      <c r="AJ255" s="95">
        <f t="shared" si="120"/>
        <v>3894.0749550866285</v>
      </c>
      <c r="AK255" s="96">
        <f t="shared" si="121"/>
        <v>1672.8</v>
      </c>
      <c r="AL255" s="97">
        <f t="shared" si="122"/>
        <v>0.42957570650120841</v>
      </c>
      <c r="AN255" s="89">
        <v>1.6000647084992405E-2</v>
      </c>
      <c r="AO255" s="183"/>
      <c r="AP255" s="184"/>
      <c r="AQ255" s="92"/>
      <c r="AR255" s="92"/>
      <c r="AS255" s="92"/>
      <c r="AT255" s="92"/>
      <c r="AU255" s="92"/>
      <c r="AV255" s="92"/>
      <c r="AW255" s="93">
        <f t="shared" si="123"/>
        <v>0</v>
      </c>
      <c r="AX255" s="183"/>
      <c r="AY255" s="184"/>
      <c r="AZ255" s="92"/>
      <c r="BA255" s="92"/>
      <c r="BB255" s="92"/>
      <c r="BC255" s="92"/>
      <c r="BD255" s="92"/>
      <c r="BE255" s="92"/>
      <c r="BF255" s="93">
        <f t="shared" si="124"/>
        <v>0</v>
      </c>
      <c r="BG255" s="181"/>
      <c r="BH255" s="182"/>
      <c r="BI255" s="92"/>
      <c r="BJ255" s="92"/>
      <c r="BK255" s="92"/>
      <c r="BL255" s="92"/>
      <c r="BM255" s="92"/>
      <c r="BN255" s="92"/>
      <c r="BO255" s="93">
        <f t="shared" si="125"/>
        <v>0</v>
      </c>
      <c r="BP255" s="95">
        <f t="shared" si="126"/>
        <v>0</v>
      </c>
      <c r="BQ255" s="96">
        <f t="shared" si="127"/>
        <v>0</v>
      </c>
      <c r="BR255" s="97">
        <f t="shared" si="128"/>
        <v>0</v>
      </c>
      <c r="BT255" s="82"/>
      <c r="BU255" s="181"/>
      <c r="BV255" s="182"/>
      <c r="BW255" s="92"/>
      <c r="BX255" s="92"/>
      <c r="BY255" s="92"/>
      <c r="BZ255" s="92"/>
      <c r="CA255" s="92"/>
      <c r="CB255" s="92"/>
      <c r="CC255" s="93">
        <f t="shared" si="129"/>
        <v>0</v>
      </c>
      <c r="CD255" s="181"/>
      <c r="CE255" s="182"/>
      <c r="CF255" s="92"/>
      <c r="CG255" s="92"/>
      <c r="CH255" s="92"/>
      <c r="CI255" s="92"/>
      <c r="CJ255" s="92"/>
      <c r="CK255" s="92"/>
      <c r="CL255" s="93">
        <f t="shared" si="130"/>
        <v>0</v>
      </c>
      <c r="CM255" s="181"/>
      <c r="CN255" s="182"/>
      <c r="CO255" s="92"/>
      <c r="CP255" s="92"/>
      <c r="CQ255" s="92"/>
      <c r="CR255" s="92"/>
      <c r="CS255" s="92"/>
      <c r="CT255" s="92"/>
      <c r="CU255" s="93">
        <f t="shared" si="131"/>
        <v>0</v>
      </c>
      <c r="CV255" s="95">
        <f t="shared" si="132"/>
        <v>0</v>
      </c>
      <c r="CW255" s="96">
        <f t="shared" si="133"/>
        <v>0</v>
      </c>
      <c r="CX255" s="97">
        <f t="shared" si="134"/>
        <v>0</v>
      </c>
      <c r="CZ255" s="82"/>
      <c r="DA255" s="136"/>
      <c r="DB255" s="137"/>
      <c r="DC255" s="92"/>
      <c r="DD255" s="92"/>
      <c r="DE255" s="92"/>
      <c r="DF255" s="92"/>
      <c r="DG255" s="92"/>
      <c r="DH255" s="92"/>
      <c r="DI255" s="93">
        <f t="shared" si="135"/>
        <v>0</v>
      </c>
      <c r="DJ255" s="183"/>
      <c r="DK255" s="184"/>
      <c r="DL255" s="92"/>
      <c r="DM255" s="92"/>
      <c r="DN255" s="92"/>
      <c r="DO255" s="92"/>
      <c r="DP255" s="92"/>
      <c r="DQ255" s="92"/>
      <c r="DR255" s="93">
        <f t="shared" si="136"/>
        <v>0</v>
      </c>
      <c r="DS255" s="183"/>
      <c r="DT255" s="184"/>
      <c r="DU255" s="92"/>
      <c r="DV255" s="92"/>
      <c r="DW255" s="92"/>
      <c r="DX255" s="92"/>
      <c r="DY255" s="92"/>
      <c r="DZ255" s="92"/>
      <c r="EA255" s="93">
        <f t="shared" si="137"/>
        <v>0</v>
      </c>
      <c r="EB255" s="95">
        <f t="shared" si="138"/>
        <v>0</v>
      </c>
      <c r="EC255" s="96">
        <f t="shared" si="139"/>
        <v>0</v>
      </c>
      <c r="ED255" s="97">
        <f t="shared" si="140"/>
        <v>0</v>
      </c>
    </row>
    <row r="256" spans="1:134" s="6" customFormat="1" ht="21.95" customHeight="1" x14ac:dyDescent="0.5">
      <c r="A256" s="83">
        <v>60</v>
      </c>
      <c r="B256" s="103" t="s">
        <v>525</v>
      </c>
      <c r="C256" s="103" t="s">
        <v>526</v>
      </c>
      <c r="D256" s="103" t="s">
        <v>168</v>
      </c>
      <c r="E256" s="148" t="s">
        <v>169</v>
      </c>
      <c r="F256" s="83" t="s">
        <v>516</v>
      </c>
      <c r="G256" s="222"/>
      <c r="H256" s="180">
        <v>0</v>
      </c>
      <c r="I256" s="181">
        <f t="shared" si="141"/>
        <v>0</v>
      </c>
      <c r="J256" s="182">
        <f t="shared" si="142"/>
        <v>0</v>
      </c>
      <c r="K256" s="92">
        <v>320</v>
      </c>
      <c r="L256" s="92">
        <v>268</v>
      </c>
      <c r="M256" s="92">
        <v>320</v>
      </c>
      <c r="N256" s="92">
        <v>268</v>
      </c>
      <c r="O256" s="92">
        <v>356</v>
      </c>
      <c r="P256" s="92">
        <v>293.2</v>
      </c>
      <c r="Q256" s="93">
        <f t="shared" si="117"/>
        <v>0</v>
      </c>
      <c r="R256" s="94">
        <v>0</v>
      </c>
      <c r="S256" s="91">
        <v>0</v>
      </c>
      <c r="T256" s="92">
        <v>0</v>
      </c>
      <c r="U256" s="92">
        <v>0</v>
      </c>
      <c r="V256" s="92">
        <v>340</v>
      </c>
      <c r="W256" s="92">
        <v>314</v>
      </c>
      <c r="X256" s="92">
        <v>340</v>
      </c>
      <c r="Y256" s="92">
        <v>314</v>
      </c>
      <c r="Z256" s="93">
        <f t="shared" si="118"/>
        <v>0</v>
      </c>
      <c r="AA256" s="94">
        <v>0</v>
      </c>
      <c r="AB256" s="91">
        <v>0</v>
      </c>
      <c r="AC256" s="92">
        <v>0</v>
      </c>
      <c r="AD256" s="92">
        <v>0</v>
      </c>
      <c r="AE256" s="92">
        <v>180</v>
      </c>
      <c r="AF256" s="92">
        <v>180</v>
      </c>
      <c r="AG256" s="92"/>
      <c r="AH256" s="92"/>
      <c r="AI256" s="93">
        <f t="shared" si="119"/>
        <v>0</v>
      </c>
      <c r="AJ256" s="95">
        <f t="shared" si="120"/>
        <v>0</v>
      </c>
      <c r="AK256" s="96">
        <f t="shared" si="121"/>
        <v>607.20000000000005</v>
      </c>
      <c r="AL256" s="97">
        <f t="shared" si="122"/>
        <v>0</v>
      </c>
      <c r="AN256" s="89">
        <v>3.8383905231461567E-3</v>
      </c>
      <c r="AO256" s="183"/>
      <c r="AP256" s="184"/>
      <c r="AQ256" s="92"/>
      <c r="AR256" s="92"/>
      <c r="AS256" s="92"/>
      <c r="AT256" s="92"/>
      <c r="AU256" s="92"/>
      <c r="AV256" s="92"/>
      <c r="AW256" s="93">
        <f t="shared" si="123"/>
        <v>0</v>
      </c>
      <c r="AX256" s="183"/>
      <c r="AY256" s="184"/>
      <c r="AZ256" s="92"/>
      <c r="BA256" s="92"/>
      <c r="BB256" s="92"/>
      <c r="BC256" s="92"/>
      <c r="BD256" s="92"/>
      <c r="BE256" s="92"/>
      <c r="BF256" s="93">
        <f t="shared" si="124"/>
        <v>0</v>
      </c>
      <c r="BG256" s="181"/>
      <c r="BH256" s="182"/>
      <c r="BI256" s="92"/>
      <c r="BJ256" s="92"/>
      <c r="BK256" s="92"/>
      <c r="BL256" s="92"/>
      <c r="BM256" s="92"/>
      <c r="BN256" s="92"/>
      <c r="BO256" s="93">
        <f t="shared" si="125"/>
        <v>0</v>
      </c>
      <c r="BP256" s="95">
        <f t="shared" si="126"/>
        <v>0</v>
      </c>
      <c r="BQ256" s="96">
        <f t="shared" si="127"/>
        <v>0</v>
      </c>
      <c r="BR256" s="97">
        <f t="shared" si="128"/>
        <v>0</v>
      </c>
      <c r="BT256" s="82"/>
      <c r="BU256" s="181"/>
      <c r="BV256" s="182"/>
      <c r="BW256" s="92"/>
      <c r="BX256" s="92"/>
      <c r="BY256" s="92"/>
      <c r="BZ256" s="92"/>
      <c r="CA256" s="92"/>
      <c r="CB256" s="92"/>
      <c r="CC256" s="93">
        <f t="shared" si="129"/>
        <v>0</v>
      </c>
      <c r="CD256" s="181"/>
      <c r="CE256" s="182"/>
      <c r="CF256" s="92"/>
      <c r="CG256" s="92"/>
      <c r="CH256" s="92"/>
      <c r="CI256" s="92"/>
      <c r="CJ256" s="92"/>
      <c r="CK256" s="92"/>
      <c r="CL256" s="93">
        <f t="shared" si="130"/>
        <v>0</v>
      </c>
      <c r="CM256" s="181"/>
      <c r="CN256" s="182"/>
      <c r="CO256" s="92"/>
      <c r="CP256" s="92"/>
      <c r="CQ256" s="92"/>
      <c r="CR256" s="92"/>
      <c r="CS256" s="92"/>
      <c r="CT256" s="92"/>
      <c r="CU256" s="93">
        <f t="shared" si="131"/>
        <v>0</v>
      </c>
      <c r="CV256" s="95">
        <f t="shared" si="132"/>
        <v>0</v>
      </c>
      <c r="CW256" s="96">
        <f t="shared" si="133"/>
        <v>0</v>
      </c>
      <c r="CX256" s="97">
        <f t="shared" si="134"/>
        <v>0</v>
      </c>
      <c r="CZ256" s="82"/>
      <c r="DA256" s="136"/>
      <c r="DB256" s="137"/>
      <c r="DC256" s="92"/>
      <c r="DD256" s="92"/>
      <c r="DE256" s="92"/>
      <c r="DF256" s="92"/>
      <c r="DG256" s="92"/>
      <c r="DH256" s="92"/>
      <c r="DI256" s="93">
        <f t="shared" si="135"/>
        <v>0</v>
      </c>
      <c r="DJ256" s="183"/>
      <c r="DK256" s="184"/>
      <c r="DL256" s="92"/>
      <c r="DM256" s="92"/>
      <c r="DN256" s="92"/>
      <c r="DO256" s="92"/>
      <c r="DP256" s="92"/>
      <c r="DQ256" s="92"/>
      <c r="DR256" s="93">
        <f t="shared" si="136"/>
        <v>0</v>
      </c>
      <c r="DS256" s="183"/>
      <c r="DT256" s="184"/>
      <c r="DU256" s="92"/>
      <c r="DV256" s="92"/>
      <c r="DW256" s="92"/>
      <c r="DX256" s="92"/>
      <c r="DY256" s="92"/>
      <c r="DZ256" s="92"/>
      <c r="EA256" s="93">
        <f t="shared" si="137"/>
        <v>0</v>
      </c>
      <c r="EB256" s="95">
        <f t="shared" si="138"/>
        <v>0</v>
      </c>
      <c r="EC256" s="96">
        <f t="shared" si="139"/>
        <v>0</v>
      </c>
      <c r="ED256" s="97">
        <f t="shared" si="140"/>
        <v>0</v>
      </c>
    </row>
    <row r="257" spans="1:134" s="6" customFormat="1" ht="21.95" customHeight="1" x14ac:dyDescent="0.5">
      <c r="A257" s="83">
        <v>61</v>
      </c>
      <c r="B257" s="103" t="s">
        <v>527</v>
      </c>
      <c r="C257" s="103" t="s">
        <v>528</v>
      </c>
      <c r="D257" s="103" t="s">
        <v>168</v>
      </c>
      <c r="E257" s="148" t="s">
        <v>169</v>
      </c>
      <c r="F257" s="83" t="s">
        <v>516</v>
      </c>
      <c r="G257" s="222"/>
      <c r="H257" s="180">
        <v>6.3589212671152934E-3</v>
      </c>
      <c r="I257" s="181">
        <f t="shared" si="141"/>
        <v>625.99372589214636</v>
      </c>
      <c r="J257" s="182">
        <f t="shared" si="142"/>
        <v>472.6331820996113</v>
      </c>
      <c r="K257" s="92">
        <v>0</v>
      </c>
      <c r="L257" s="92">
        <v>0</v>
      </c>
      <c r="M257" s="92">
        <v>0</v>
      </c>
      <c r="N257" s="92">
        <v>0</v>
      </c>
      <c r="O257" s="92">
        <v>260</v>
      </c>
      <c r="P257" s="92">
        <v>130</v>
      </c>
      <c r="Q257" s="93">
        <f t="shared" si="117"/>
        <v>0.27505474630979559</v>
      </c>
      <c r="R257" s="94">
        <v>625.99372589214704</v>
      </c>
      <c r="S257" s="91">
        <v>472.6331820996113</v>
      </c>
      <c r="T257" s="92">
        <v>80</v>
      </c>
      <c r="U257" s="92">
        <v>28</v>
      </c>
      <c r="V257" s="92">
        <v>480</v>
      </c>
      <c r="W257" s="92">
        <v>168</v>
      </c>
      <c r="X257" s="92">
        <v>480</v>
      </c>
      <c r="Y257" s="92">
        <v>168</v>
      </c>
      <c r="Z257" s="93">
        <f t="shared" si="118"/>
        <v>0.35545536446188963</v>
      </c>
      <c r="AA257" s="94">
        <v>625.99372589214704</v>
      </c>
      <c r="AB257" s="91">
        <v>472.6331820996113</v>
      </c>
      <c r="AC257" s="92">
        <v>324</v>
      </c>
      <c r="AD257" s="92">
        <v>316.8</v>
      </c>
      <c r="AE257" s="92">
        <v>384</v>
      </c>
      <c r="AF257" s="92">
        <v>376.8</v>
      </c>
      <c r="AG257" s="92"/>
      <c r="AH257" s="92"/>
      <c r="AI257" s="93">
        <f t="shared" si="119"/>
        <v>0</v>
      </c>
      <c r="AJ257" s="95">
        <f t="shared" si="120"/>
        <v>1417.8995462988339</v>
      </c>
      <c r="AK257" s="96">
        <f t="shared" si="121"/>
        <v>298</v>
      </c>
      <c r="AL257" s="97">
        <f t="shared" si="122"/>
        <v>0.21017003692389508</v>
      </c>
      <c r="AN257" s="89">
        <v>7.5444227523907212E-3</v>
      </c>
      <c r="AO257" s="183"/>
      <c r="AP257" s="184"/>
      <c r="AQ257" s="92"/>
      <c r="AR257" s="92"/>
      <c r="AS257" s="92"/>
      <c r="AT257" s="92"/>
      <c r="AU257" s="92"/>
      <c r="AV257" s="92"/>
      <c r="AW257" s="93">
        <f t="shared" si="123"/>
        <v>0</v>
      </c>
      <c r="AX257" s="183"/>
      <c r="AY257" s="184"/>
      <c r="AZ257" s="92"/>
      <c r="BA257" s="92"/>
      <c r="BB257" s="92"/>
      <c r="BC257" s="92"/>
      <c r="BD257" s="92"/>
      <c r="BE257" s="92"/>
      <c r="BF257" s="93">
        <f t="shared" si="124"/>
        <v>0</v>
      </c>
      <c r="BG257" s="181"/>
      <c r="BH257" s="182"/>
      <c r="BI257" s="92"/>
      <c r="BJ257" s="92"/>
      <c r="BK257" s="92"/>
      <c r="BL257" s="92"/>
      <c r="BM257" s="92"/>
      <c r="BN257" s="92"/>
      <c r="BO257" s="93">
        <f t="shared" si="125"/>
        <v>0</v>
      </c>
      <c r="BP257" s="95">
        <f t="shared" si="126"/>
        <v>0</v>
      </c>
      <c r="BQ257" s="96">
        <f t="shared" si="127"/>
        <v>0</v>
      </c>
      <c r="BR257" s="97">
        <f t="shared" si="128"/>
        <v>0</v>
      </c>
      <c r="BT257" s="82"/>
      <c r="BU257" s="181"/>
      <c r="BV257" s="182"/>
      <c r="BW257" s="92"/>
      <c r="BX257" s="92"/>
      <c r="BY257" s="92"/>
      <c r="BZ257" s="92"/>
      <c r="CA257" s="92"/>
      <c r="CB257" s="92"/>
      <c r="CC257" s="93">
        <f t="shared" si="129"/>
        <v>0</v>
      </c>
      <c r="CD257" s="181"/>
      <c r="CE257" s="182"/>
      <c r="CF257" s="92"/>
      <c r="CG257" s="92"/>
      <c r="CH257" s="92"/>
      <c r="CI257" s="92"/>
      <c r="CJ257" s="92"/>
      <c r="CK257" s="92"/>
      <c r="CL257" s="93">
        <f t="shared" si="130"/>
        <v>0</v>
      </c>
      <c r="CM257" s="181"/>
      <c r="CN257" s="182"/>
      <c r="CO257" s="92"/>
      <c r="CP257" s="92"/>
      <c r="CQ257" s="92"/>
      <c r="CR257" s="92"/>
      <c r="CS257" s="92"/>
      <c r="CT257" s="92"/>
      <c r="CU257" s="93">
        <f t="shared" si="131"/>
        <v>0</v>
      </c>
      <c r="CV257" s="95">
        <f t="shared" si="132"/>
        <v>0</v>
      </c>
      <c r="CW257" s="96">
        <f t="shared" si="133"/>
        <v>0</v>
      </c>
      <c r="CX257" s="97">
        <f t="shared" si="134"/>
        <v>0</v>
      </c>
      <c r="CZ257" s="82"/>
      <c r="DA257" s="136"/>
      <c r="DB257" s="137"/>
      <c r="DC257" s="92"/>
      <c r="DD257" s="92"/>
      <c r="DE257" s="92"/>
      <c r="DF257" s="92"/>
      <c r="DG257" s="92"/>
      <c r="DH257" s="92"/>
      <c r="DI257" s="93">
        <f t="shared" si="135"/>
        <v>0</v>
      </c>
      <c r="DJ257" s="183"/>
      <c r="DK257" s="184"/>
      <c r="DL257" s="92"/>
      <c r="DM257" s="92"/>
      <c r="DN257" s="92"/>
      <c r="DO257" s="92"/>
      <c r="DP257" s="92"/>
      <c r="DQ257" s="92"/>
      <c r="DR257" s="93">
        <f t="shared" si="136"/>
        <v>0</v>
      </c>
      <c r="DS257" s="183"/>
      <c r="DT257" s="184"/>
      <c r="DU257" s="92"/>
      <c r="DV257" s="92"/>
      <c r="DW257" s="92"/>
      <c r="DX257" s="92"/>
      <c r="DY257" s="92"/>
      <c r="DZ257" s="92"/>
      <c r="EA257" s="93">
        <f t="shared" si="137"/>
        <v>0</v>
      </c>
      <c r="EB257" s="95">
        <f t="shared" si="138"/>
        <v>0</v>
      </c>
      <c r="EC257" s="96">
        <f t="shared" si="139"/>
        <v>0</v>
      </c>
      <c r="ED257" s="97">
        <f t="shared" si="140"/>
        <v>0</v>
      </c>
    </row>
    <row r="258" spans="1:134" s="6" customFormat="1" ht="21.95" customHeight="1" x14ac:dyDescent="0.5">
      <c r="A258" s="83">
        <v>62</v>
      </c>
      <c r="B258" s="103" t="s">
        <v>529</v>
      </c>
      <c r="C258" s="103" t="s">
        <v>529</v>
      </c>
      <c r="D258" s="103" t="s">
        <v>168</v>
      </c>
      <c r="E258" s="148" t="s">
        <v>169</v>
      </c>
      <c r="F258" s="83" t="s">
        <v>516</v>
      </c>
      <c r="G258" s="222"/>
      <c r="H258" s="180">
        <v>6.2320473391999842E-3</v>
      </c>
      <c r="I258" s="181">
        <f t="shared" si="141"/>
        <v>613.50382713132944</v>
      </c>
      <c r="J258" s="182">
        <f t="shared" si="142"/>
        <v>463.20315053337805</v>
      </c>
      <c r="K258" s="92">
        <v>0</v>
      </c>
      <c r="L258" s="92">
        <v>0</v>
      </c>
      <c r="M258" s="92">
        <v>620</v>
      </c>
      <c r="N258" s="92">
        <v>520</v>
      </c>
      <c r="O258" s="92">
        <v>1240</v>
      </c>
      <c r="P258" s="92">
        <v>1010</v>
      </c>
      <c r="Q258" s="93">
        <f t="shared" si="117"/>
        <v>2.1804687615725107</v>
      </c>
      <c r="R258" s="94">
        <v>613.50382713133001</v>
      </c>
      <c r="S258" s="91">
        <v>463.20315053337805</v>
      </c>
      <c r="T258" s="92">
        <v>12</v>
      </c>
      <c r="U258" s="92">
        <v>12</v>
      </c>
      <c r="V258" s="92">
        <v>746</v>
      </c>
      <c r="W258" s="92">
        <v>692.96</v>
      </c>
      <c r="X258" s="92">
        <v>746</v>
      </c>
      <c r="Y258" s="92">
        <v>692.96</v>
      </c>
      <c r="Z258" s="93">
        <f t="shared" si="118"/>
        <v>1.4960174584349375</v>
      </c>
      <c r="AA258" s="94">
        <v>613.50382713133001</v>
      </c>
      <c r="AB258" s="91">
        <v>463.20315053337805</v>
      </c>
      <c r="AC258" s="92">
        <v>328</v>
      </c>
      <c r="AD258" s="92">
        <v>239.92</v>
      </c>
      <c r="AE258" s="92">
        <v>688</v>
      </c>
      <c r="AF258" s="92">
        <v>599.91999999999996</v>
      </c>
      <c r="AG258" s="92"/>
      <c r="AH258" s="92"/>
      <c r="AI258" s="93">
        <f t="shared" si="119"/>
        <v>0</v>
      </c>
      <c r="AJ258" s="95">
        <f t="shared" si="120"/>
        <v>1389.6094516001342</v>
      </c>
      <c r="AK258" s="96">
        <f t="shared" si="121"/>
        <v>1702.96</v>
      </c>
      <c r="AL258" s="97">
        <f t="shared" si="122"/>
        <v>1.2254954066691492</v>
      </c>
      <c r="AN258" s="89">
        <v>1.9118420230229897E-3</v>
      </c>
      <c r="AO258" s="183"/>
      <c r="AP258" s="184"/>
      <c r="AQ258" s="92"/>
      <c r="AR258" s="92"/>
      <c r="AS258" s="92"/>
      <c r="AT258" s="92"/>
      <c r="AU258" s="92"/>
      <c r="AV258" s="92"/>
      <c r="AW258" s="93">
        <f t="shared" si="123"/>
        <v>0</v>
      </c>
      <c r="AX258" s="183"/>
      <c r="AY258" s="184"/>
      <c r="AZ258" s="92"/>
      <c r="BA258" s="92"/>
      <c r="BB258" s="92"/>
      <c r="BC258" s="92"/>
      <c r="BD258" s="92"/>
      <c r="BE258" s="92"/>
      <c r="BF258" s="93">
        <f t="shared" si="124"/>
        <v>0</v>
      </c>
      <c r="BG258" s="181"/>
      <c r="BH258" s="182"/>
      <c r="BI258" s="92"/>
      <c r="BJ258" s="92"/>
      <c r="BK258" s="92"/>
      <c r="BL258" s="92"/>
      <c r="BM258" s="92"/>
      <c r="BN258" s="92"/>
      <c r="BO258" s="93">
        <f t="shared" si="125"/>
        <v>0</v>
      </c>
      <c r="BP258" s="95">
        <f t="shared" si="126"/>
        <v>0</v>
      </c>
      <c r="BQ258" s="96">
        <f t="shared" si="127"/>
        <v>0</v>
      </c>
      <c r="BR258" s="97">
        <f t="shared" si="128"/>
        <v>0</v>
      </c>
      <c r="BT258" s="82"/>
      <c r="BU258" s="181"/>
      <c r="BV258" s="182"/>
      <c r="BW258" s="92"/>
      <c r="BX258" s="92"/>
      <c r="BY258" s="92"/>
      <c r="BZ258" s="92"/>
      <c r="CA258" s="92"/>
      <c r="CB258" s="92"/>
      <c r="CC258" s="93">
        <f t="shared" si="129"/>
        <v>0</v>
      </c>
      <c r="CD258" s="181"/>
      <c r="CE258" s="182"/>
      <c r="CF258" s="92"/>
      <c r="CG258" s="92"/>
      <c r="CH258" s="92"/>
      <c r="CI258" s="92"/>
      <c r="CJ258" s="92"/>
      <c r="CK258" s="92"/>
      <c r="CL258" s="93">
        <f t="shared" si="130"/>
        <v>0</v>
      </c>
      <c r="CM258" s="181"/>
      <c r="CN258" s="182"/>
      <c r="CO258" s="92"/>
      <c r="CP258" s="92"/>
      <c r="CQ258" s="92"/>
      <c r="CR258" s="92"/>
      <c r="CS258" s="92"/>
      <c r="CT258" s="92"/>
      <c r="CU258" s="93">
        <f t="shared" si="131"/>
        <v>0</v>
      </c>
      <c r="CV258" s="95">
        <f t="shared" si="132"/>
        <v>0</v>
      </c>
      <c r="CW258" s="96">
        <f t="shared" si="133"/>
        <v>0</v>
      </c>
      <c r="CX258" s="97">
        <f t="shared" si="134"/>
        <v>0</v>
      </c>
      <c r="CZ258" s="82"/>
      <c r="DA258" s="136"/>
      <c r="DB258" s="137"/>
      <c r="DC258" s="92"/>
      <c r="DD258" s="92"/>
      <c r="DE258" s="92"/>
      <c r="DF258" s="92"/>
      <c r="DG258" s="92"/>
      <c r="DH258" s="92"/>
      <c r="DI258" s="93">
        <f t="shared" si="135"/>
        <v>0</v>
      </c>
      <c r="DJ258" s="183"/>
      <c r="DK258" s="184"/>
      <c r="DL258" s="92"/>
      <c r="DM258" s="92"/>
      <c r="DN258" s="92"/>
      <c r="DO258" s="92"/>
      <c r="DP258" s="92"/>
      <c r="DQ258" s="92"/>
      <c r="DR258" s="93">
        <f t="shared" si="136"/>
        <v>0</v>
      </c>
      <c r="DS258" s="183"/>
      <c r="DT258" s="184"/>
      <c r="DU258" s="92"/>
      <c r="DV258" s="92"/>
      <c r="DW258" s="92"/>
      <c r="DX258" s="92"/>
      <c r="DY258" s="92"/>
      <c r="DZ258" s="92"/>
      <c r="EA258" s="93">
        <f t="shared" si="137"/>
        <v>0</v>
      </c>
      <c r="EB258" s="95">
        <f t="shared" si="138"/>
        <v>0</v>
      </c>
      <c r="EC258" s="96">
        <f t="shared" si="139"/>
        <v>0</v>
      </c>
      <c r="ED258" s="97">
        <f t="shared" si="140"/>
        <v>0</v>
      </c>
    </row>
    <row r="259" spans="1:134" s="6" customFormat="1" ht="21.95" customHeight="1" x14ac:dyDescent="0.5">
      <c r="A259" s="83">
        <v>63</v>
      </c>
      <c r="B259" s="103" t="s">
        <v>530</v>
      </c>
      <c r="C259" s="103" t="s">
        <v>530</v>
      </c>
      <c r="D259" s="103" t="s">
        <v>141</v>
      </c>
      <c r="E259" s="148"/>
      <c r="F259" s="83" t="s">
        <v>516</v>
      </c>
      <c r="G259" s="222"/>
      <c r="H259" s="180">
        <v>1.5792251555474354E-2</v>
      </c>
      <c r="I259" s="181">
        <f t="shared" si="141"/>
        <v>1554.6426785564092</v>
      </c>
      <c r="J259" s="182">
        <f t="shared" si="142"/>
        <v>1173.7748891121869</v>
      </c>
      <c r="K259" s="92">
        <v>0</v>
      </c>
      <c r="L259" s="92">
        <v>0</v>
      </c>
      <c r="M259" s="92">
        <v>464</v>
      </c>
      <c r="N259" s="92">
        <v>402.4</v>
      </c>
      <c r="O259" s="92">
        <v>464</v>
      </c>
      <c r="P259" s="92">
        <v>402.4</v>
      </c>
      <c r="Q259" s="93">
        <f t="shared" si="117"/>
        <v>0.34282553131151494</v>
      </c>
      <c r="R259" s="94">
        <v>1554.6426785564108</v>
      </c>
      <c r="S259" s="91">
        <v>1173.7748891121869</v>
      </c>
      <c r="T259" s="92">
        <v>240</v>
      </c>
      <c r="U259" s="92">
        <v>240</v>
      </c>
      <c r="V259" s="92">
        <v>980</v>
      </c>
      <c r="W259" s="92">
        <v>929.6</v>
      </c>
      <c r="X259" s="92">
        <v>980</v>
      </c>
      <c r="Y259" s="92">
        <v>929.6</v>
      </c>
      <c r="Z259" s="93">
        <f t="shared" si="118"/>
        <v>0.79197468664807236</v>
      </c>
      <c r="AA259" s="94">
        <v>1554.6426785564108</v>
      </c>
      <c r="AB259" s="91">
        <v>1173.7748891121869</v>
      </c>
      <c r="AC259" s="92">
        <v>480</v>
      </c>
      <c r="AD259" s="92">
        <v>480</v>
      </c>
      <c r="AE259" s="92">
        <v>840</v>
      </c>
      <c r="AF259" s="92">
        <v>840</v>
      </c>
      <c r="AG259" s="92"/>
      <c r="AH259" s="92"/>
      <c r="AI259" s="93">
        <f t="shared" si="119"/>
        <v>0</v>
      </c>
      <c r="AJ259" s="95">
        <f t="shared" si="120"/>
        <v>3521.3246673365607</v>
      </c>
      <c r="AK259" s="96">
        <f t="shared" si="121"/>
        <v>1332</v>
      </c>
      <c r="AL259" s="97">
        <f t="shared" si="122"/>
        <v>0.37826673931986243</v>
      </c>
      <c r="AN259" s="89">
        <v>4.7575453419072093E-3</v>
      </c>
      <c r="AO259" s="183"/>
      <c r="AP259" s="184"/>
      <c r="AQ259" s="92"/>
      <c r="AR259" s="92"/>
      <c r="AS259" s="92"/>
      <c r="AT259" s="92"/>
      <c r="AU259" s="92"/>
      <c r="AV259" s="92"/>
      <c r="AW259" s="93">
        <f t="shared" si="123"/>
        <v>0</v>
      </c>
      <c r="AX259" s="183"/>
      <c r="AY259" s="184"/>
      <c r="AZ259" s="92"/>
      <c r="BA259" s="92"/>
      <c r="BB259" s="92"/>
      <c r="BC259" s="92"/>
      <c r="BD259" s="92"/>
      <c r="BE259" s="92"/>
      <c r="BF259" s="93">
        <f t="shared" si="124"/>
        <v>0</v>
      </c>
      <c r="BG259" s="181"/>
      <c r="BH259" s="182"/>
      <c r="BI259" s="92"/>
      <c r="BJ259" s="92"/>
      <c r="BK259" s="92"/>
      <c r="BL259" s="92"/>
      <c r="BM259" s="92"/>
      <c r="BN259" s="92"/>
      <c r="BO259" s="93">
        <f t="shared" si="125"/>
        <v>0</v>
      </c>
      <c r="BP259" s="95">
        <f t="shared" si="126"/>
        <v>0</v>
      </c>
      <c r="BQ259" s="96">
        <f t="shared" si="127"/>
        <v>0</v>
      </c>
      <c r="BR259" s="97">
        <f t="shared" si="128"/>
        <v>0</v>
      </c>
      <c r="BT259" s="82"/>
      <c r="BU259" s="181"/>
      <c r="BV259" s="182"/>
      <c r="BW259" s="92"/>
      <c r="BX259" s="92"/>
      <c r="BY259" s="92"/>
      <c r="BZ259" s="92"/>
      <c r="CA259" s="92"/>
      <c r="CB259" s="92"/>
      <c r="CC259" s="93">
        <f t="shared" si="129"/>
        <v>0</v>
      </c>
      <c r="CD259" s="181"/>
      <c r="CE259" s="182"/>
      <c r="CF259" s="92"/>
      <c r="CG259" s="92"/>
      <c r="CH259" s="92"/>
      <c r="CI259" s="92"/>
      <c r="CJ259" s="92"/>
      <c r="CK259" s="92"/>
      <c r="CL259" s="93">
        <f t="shared" si="130"/>
        <v>0</v>
      </c>
      <c r="CM259" s="181"/>
      <c r="CN259" s="182"/>
      <c r="CO259" s="92"/>
      <c r="CP259" s="92"/>
      <c r="CQ259" s="92"/>
      <c r="CR259" s="92"/>
      <c r="CS259" s="92"/>
      <c r="CT259" s="92"/>
      <c r="CU259" s="93">
        <f t="shared" si="131"/>
        <v>0</v>
      </c>
      <c r="CV259" s="95">
        <f t="shared" si="132"/>
        <v>0</v>
      </c>
      <c r="CW259" s="96">
        <f t="shared" si="133"/>
        <v>0</v>
      </c>
      <c r="CX259" s="97">
        <f t="shared" si="134"/>
        <v>0</v>
      </c>
      <c r="CZ259" s="82"/>
      <c r="DA259" s="136"/>
      <c r="DB259" s="137"/>
      <c r="DC259" s="92"/>
      <c r="DD259" s="92"/>
      <c r="DE259" s="92"/>
      <c r="DF259" s="92"/>
      <c r="DG259" s="92"/>
      <c r="DH259" s="92"/>
      <c r="DI259" s="93">
        <f t="shared" si="135"/>
        <v>0</v>
      </c>
      <c r="DJ259" s="183"/>
      <c r="DK259" s="184"/>
      <c r="DL259" s="92"/>
      <c r="DM259" s="92"/>
      <c r="DN259" s="92"/>
      <c r="DO259" s="92"/>
      <c r="DP259" s="92"/>
      <c r="DQ259" s="92"/>
      <c r="DR259" s="93">
        <f t="shared" si="136"/>
        <v>0</v>
      </c>
      <c r="DS259" s="183"/>
      <c r="DT259" s="184"/>
      <c r="DU259" s="92"/>
      <c r="DV259" s="92"/>
      <c r="DW259" s="92"/>
      <c r="DX259" s="92"/>
      <c r="DY259" s="92"/>
      <c r="DZ259" s="92"/>
      <c r="EA259" s="93">
        <f t="shared" si="137"/>
        <v>0</v>
      </c>
      <c r="EB259" s="95">
        <f t="shared" si="138"/>
        <v>0</v>
      </c>
      <c r="EC259" s="96">
        <f t="shared" si="139"/>
        <v>0</v>
      </c>
      <c r="ED259" s="97">
        <f t="shared" si="140"/>
        <v>0</v>
      </c>
    </row>
    <row r="260" spans="1:134" s="6" customFormat="1" ht="21.95" customHeight="1" x14ac:dyDescent="0.5">
      <c r="A260" s="83">
        <v>64</v>
      </c>
      <c r="B260" s="186" t="s">
        <v>465</v>
      </c>
      <c r="C260" s="103" t="s">
        <v>465</v>
      </c>
      <c r="D260" s="103" t="s">
        <v>531</v>
      </c>
      <c r="E260" s="148" t="s">
        <v>532</v>
      </c>
      <c r="F260" s="83" t="s">
        <v>516</v>
      </c>
      <c r="G260" s="222"/>
      <c r="H260" s="180">
        <v>1.5529368776833836E-3</v>
      </c>
      <c r="I260" s="181">
        <f t="shared" si="141"/>
        <v>152.87636083239966</v>
      </c>
      <c r="J260" s="182">
        <f t="shared" si="142"/>
        <v>115.42358637069518</v>
      </c>
      <c r="K260" s="92">
        <v>0</v>
      </c>
      <c r="L260" s="92">
        <v>0</v>
      </c>
      <c r="M260" s="92">
        <v>426</v>
      </c>
      <c r="N260" s="92">
        <v>338</v>
      </c>
      <c r="O260" s="92">
        <v>1182</v>
      </c>
      <c r="P260" s="92">
        <v>1083.2</v>
      </c>
      <c r="Q260" s="93">
        <f t="shared" si="117"/>
        <v>9.3845637105850059</v>
      </c>
      <c r="R260" s="94">
        <v>152.87636083239983</v>
      </c>
      <c r="S260" s="91">
        <v>115.42358637069518</v>
      </c>
      <c r="T260" s="92">
        <v>0</v>
      </c>
      <c r="U260" s="92">
        <v>0</v>
      </c>
      <c r="V260" s="92">
        <v>320</v>
      </c>
      <c r="W260" s="92">
        <v>241.6</v>
      </c>
      <c r="X260" s="92">
        <v>320</v>
      </c>
      <c r="Y260" s="92">
        <v>241.6</v>
      </c>
      <c r="Z260" s="93">
        <f t="shared" si="118"/>
        <v>2.0931597050196982</v>
      </c>
      <c r="AA260" s="94">
        <v>152.87636083239983</v>
      </c>
      <c r="AB260" s="91">
        <v>115.42358637069518</v>
      </c>
      <c r="AC260" s="92">
        <v>566</v>
      </c>
      <c r="AD260" s="92">
        <v>413.68</v>
      </c>
      <c r="AE260" s="92">
        <v>866</v>
      </c>
      <c r="AF260" s="92">
        <v>689.68000000000006</v>
      </c>
      <c r="AG260" s="92"/>
      <c r="AH260" s="92"/>
      <c r="AI260" s="93">
        <f t="shared" si="119"/>
        <v>0</v>
      </c>
      <c r="AJ260" s="95">
        <f t="shared" si="120"/>
        <v>346.27075911208556</v>
      </c>
      <c r="AK260" s="96">
        <f t="shared" si="121"/>
        <v>1324.8</v>
      </c>
      <c r="AL260" s="97">
        <f t="shared" si="122"/>
        <v>3.8259078052015676</v>
      </c>
      <c r="AN260" s="89">
        <v>3.4516101754115056E-2</v>
      </c>
      <c r="AO260" s="183"/>
      <c r="AP260" s="184"/>
      <c r="AQ260" s="92"/>
      <c r="AR260" s="92"/>
      <c r="AS260" s="92"/>
      <c r="AT260" s="92"/>
      <c r="AU260" s="92"/>
      <c r="AV260" s="92"/>
      <c r="AW260" s="93">
        <f t="shared" si="123"/>
        <v>0</v>
      </c>
      <c r="AX260" s="183"/>
      <c r="AY260" s="184"/>
      <c r="AZ260" s="92"/>
      <c r="BA260" s="92"/>
      <c r="BB260" s="92"/>
      <c r="BC260" s="92"/>
      <c r="BD260" s="92"/>
      <c r="BE260" s="92"/>
      <c r="BF260" s="93">
        <f t="shared" si="124"/>
        <v>0</v>
      </c>
      <c r="BG260" s="181"/>
      <c r="BH260" s="182"/>
      <c r="BI260" s="92"/>
      <c r="BJ260" s="92"/>
      <c r="BK260" s="92"/>
      <c r="BL260" s="92"/>
      <c r="BM260" s="92"/>
      <c r="BN260" s="92"/>
      <c r="BO260" s="93">
        <f t="shared" si="125"/>
        <v>0</v>
      </c>
      <c r="BP260" s="95">
        <f t="shared" si="126"/>
        <v>0</v>
      </c>
      <c r="BQ260" s="96">
        <f t="shared" si="127"/>
        <v>0</v>
      </c>
      <c r="BR260" s="97">
        <f t="shared" si="128"/>
        <v>0</v>
      </c>
      <c r="BT260" s="82"/>
      <c r="BU260" s="181"/>
      <c r="BV260" s="182"/>
      <c r="BW260" s="92"/>
      <c r="BX260" s="92"/>
      <c r="BY260" s="92"/>
      <c r="BZ260" s="92"/>
      <c r="CA260" s="92"/>
      <c r="CB260" s="92"/>
      <c r="CC260" s="93">
        <f t="shared" si="129"/>
        <v>0</v>
      </c>
      <c r="CD260" s="181"/>
      <c r="CE260" s="182">
        <v>0</v>
      </c>
      <c r="CF260" s="92"/>
      <c r="CG260" s="92"/>
      <c r="CH260" s="92">
        <v>0</v>
      </c>
      <c r="CI260" s="92">
        <v>0</v>
      </c>
      <c r="CJ260" s="92">
        <v>0</v>
      </c>
      <c r="CK260" s="92">
        <v>0</v>
      </c>
      <c r="CL260" s="93">
        <f t="shared" si="130"/>
        <v>0</v>
      </c>
      <c r="CM260" s="181"/>
      <c r="CN260" s="182"/>
      <c r="CO260" s="92"/>
      <c r="CP260" s="92"/>
      <c r="CQ260" s="92"/>
      <c r="CR260" s="92"/>
      <c r="CS260" s="92"/>
      <c r="CT260" s="92"/>
      <c r="CU260" s="93">
        <f t="shared" si="131"/>
        <v>0</v>
      </c>
      <c r="CV260" s="95">
        <f t="shared" si="132"/>
        <v>0</v>
      </c>
      <c r="CW260" s="96">
        <f t="shared" si="133"/>
        <v>0</v>
      </c>
      <c r="CX260" s="97">
        <f t="shared" si="134"/>
        <v>0</v>
      </c>
      <c r="CZ260" s="82"/>
      <c r="DA260" s="136"/>
      <c r="DB260" s="137"/>
      <c r="DC260" s="92"/>
      <c r="DD260" s="92"/>
      <c r="DE260" s="92"/>
      <c r="DF260" s="92"/>
      <c r="DG260" s="92"/>
      <c r="DH260" s="92"/>
      <c r="DI260" s="93">
        <f t="shared" si="135"/>
        <v>0</v>
      </c>
      <c r="DJ260" s="183"/>
      <c r="DK260" s="184"/>
      <c r="DL260" s="92"/>
      <c r="DM260" s="92"/>
      <c r="DN260" s="92"/>
      <c r="DO260" s="92"/>
      <c r="DP260" s="92"/>
      <c r="DQ260" s="92"/>
      <c r="DR260" s="93">
        <f t="shared" si="136"/>
        <v>0</v>
      </c>
      <c r="DS260" s="183"/>
      <c r="DT260" s="184"/>
      <c r="DU260" s="92"/>
      <c r="DV260" s="92"/>
      <c r="DW260" s="92"/>
      <c r="DX260" s="92"/>
      <c r="DY260" s="92"/>
      <c r="DZ260" s="92"/>
      <c r="EA260" s="93">
        <f t="shared" si="137"/>
        <v>0</v>
      </c>
      <c r="EB260" s="95">
        <f t="shared" si="138"/>
        <v>0</v>
      </c>
      <c r="EC260" s="96">
        <f t="shared" si="139"/>
        <v>0</v>
      </c>
      <c r="ED260" s="97">
        <f t="shared" si="140"/>
        <v>0</v>
      </c>
    </row>
    <row r="261" spans="1:134" s="6" customFormat="1" ht="21.95" customHeight="1" x14ac:dyDescent="0.5">
      <c r="A261" s="83">
        <v>65</v>
      </c>
      <c r="B261" s="103" t="s">
        <v>533</v>
      </c>
      <c r="C261" s="103" t="s">
        <v>533</v>
      </c>
      <c r="D261" s="103" t="s">
        <v>531</v>
      </c>
      <c r="E261" s="148" t="s">
        <v>532</v>
      </c>
      <c r="F261" s="83" t="s">
        <v>516</v>
      </c>
      <c r="G261" s="222"/>
      <c r="H261" s="180">
        <v>1.0638125107842839E-2</v>
      </c>
      <c r="I261" s="181">
        <f t="shared" si="141"/>
        <v>1047.2530312969809</v>
      </c>
      <c r="J261" s="182">
        <f t="shared" ref="J261:J292" si="143">H261*$I$195</f>
        <v>790.68928676552684</v>
      </c>
      <c r="K261" s="92">
        <v>0</v>
      </c>
      <c r="L261" s="92">
        <v>0</v>
      </c>
      <c r="M261" s="92">
        <v>0</v>
      </c>
      <c r="N261" s="92">
        <v>0</v>
      </c>
      <c r="O261" s="92">
        <v>60</v>
      </c>
      <c r="P261" s="92">
        <v>60</v>
      </c>
      <c r="Q261" s="93">
        <f t="shared" ref="Q261:Q324" si="144">IFERROR(P261/J261,0)</f>
        <v>7.5883157903203713E-2</v>
      </c>
      <c r="R261" s="94">
        <v>1047.253031296982</v>
      </c>
      <c r="S261" s="91">
        <v>790.68928676552684</v>
      </c>
      <c r="T261" s="92">
        <v>0</v>
      </c>
      <c r="U261" s="92">
        <v>0</v>
      </c>
      <c r="V261" s="92">
        <v>0</v>
      </c>
      <c r="W261" s="92">
        <v>0</v>
      </c>
      <c r="X261" s="92">
        <v>0</v>
      </c>
      <c r="Y261" s="92">
        <v>0</v>
      </c>
      <c r="Z261" s="93">
        <f t="shared" ref="Z261:Z324" si="145">IFERROR(Y261/S261,0)</f>
        <v>0</v>
      </c>
      <c r="AA261" s="94">
        <v>1047.253031296982</v>
      </c>
      <c r="AB261" s="91">
        <v>790.68928676552684</v>
      </c>
      <c r="AC261" s="92">
        <v>0</v>
      </c>
      <c r="AD261" s="92">
        <v>0</v>
      </c>
      <c r="AE261" s="92">
        <v>0</v>
      </c>
      <c r="AF261" s="92">
        <v>0</v>
      </c>
      <c r="AG261" s="92"/>
      <c r="AH261" s="92"/>
      <c r="AI261" s="93">
        <f t="shared" ref="AI261:AI324" si="146">IFERROR(AH261/AB261,0)</f>
        <v>0</v>
      </c>
      <c r="AJ261" s="95">
        <f t="shared" ref="AJ261:AJ324" si="147">+J261+S261+AB261</f>
        <v>2372.0678602965804</v>
      </c>
      <c r="AK261" s="96">
        <f t="shared" ref="AK261:AK324" si="148">+P261+Y261+AH261</f>
        <v>60</v>
      </c>
      <c r="AL261" s="97">
        <f t="shared" ref="AL261:AL324" si="149">IFERROR((AK261/AJ261),0)</f>
        <v>2.5294385967734576E-2</v>
      </c>
      <c r="AN261" s="89">
        <v>6.7502729889811711E-3</v>
      </c>
      <c r="AO261" s="183"/>
      <c r="AP261" s="184"/>
      <c r="AQ261" s="92"/>
      <c r="AR261" s="92"/>
      <c r="AS261" s="92"/>
      <c r="AT261" s="92"/>
      <c r="AU261" s="92"/>
      <c r="AV261" s="92"/>
      <c r="AW261" s="93">
        <f t="shared" ref="AW261:AW340" si="150">IFERROR(AU261/AP261,0)</f>
        <v>0</v>
      </c>
      <c r="AX261" s="183"/>
      <c r="AY261" s="184"/>
      <c r="AZ261" s="92"/>
      <c r="BA261" s="92"/>
      <c r="BB261" s="92"/>
      <c r="BC261" s="92"/>
      <c r="BD261" s="92"/>
      <c r="BE261" s="92"/>
      <c r="BF261" s="93">
        <f t="shared" ref="BF261:BF340" si="151">IFERROR(BD261/AY261,0)</f>
        <v>0</v>
      </c>
      <c r="BG261" s="181"/>
      <c r="BH261" s="182"/>
      <c r="BI261" s="92"/>
      <c r="BJ261" s="92"/>
      <c r="BK261" s="92"/>
      <c r="BL261" s="92"/>
      <c r="BM261" s="92"/>
      <c r="BN261" s="92"/>
      <c r="BO261" s="93">
        <f t="shared" ref="BO261:BO340" si="152">IFERROR(BM261/BH261,0)</f>
        <v>0</v>
      </c>
      <c r="BP261" s="95">
        <f t="shared" ref="BP261:BP340" si="153">+AP261+AY261+BH261</f>
        <v>0</v>
      </c>
      <c r="BQ261" s="96">
        <f t="shared" ref="BQ261:BQ340" si="154">+AU261+BD261+BM261</f>
        <v>0</v>
      </c>
      <c r="BR261" s="97">
        <f t="shared" ref="BR261:BR340" si="155">IFERROR((BQ261/BP261),0)</f>
        <v>0</v>
      </c>
      <c r="BT261" s="82"/>
      <c r="BU261" s="181"/>
      <c r="BV261" s="182"/>
      <c r="BW261" s="92"/>
      <c r="BX261" s="92"/>
      <c r="BY261" s="92"/>
      <c r="BZ261" s="92"/>
      <c r="CA261" s="92"/>
      <c r="CB261" s="92"/>
      <c r="CC261" s="93">
        <f t="shared" ref="CC261:CC340" si="156">IFERROR(CA261/BV261,0)</f>
        <v>0</v>
      </c>
      <c r="CD261" s="181"/>
      <c r="CE261" s="182"/>
      <c r="CF261" s="92"/>
      <c r="CG261" s="92"/>
      <c r="CH261" s="92"/>
      <c r="CI261" s="92"/>
      <c r="CJ261" s="92"/>
      <c r="CK261" s="92"/>
      <c r="CL261" s="93">
        <f t="shared" ref="CL261:CL340" si="157">IFERROR(CJ261/CE261,0)</f>
        <v>0</v>
      </c>
      <c r="CM261" s="181"/>
      <c r="CN261" s="182"/>
      <c r="CO261" s="92"/>
      <c r="CP261" s="92"/>
      <c r="CQ261" s="92"/>
      <c r="CR261" s="92"/>
      <c r="CS261" s="92"/>
      <c r="CT261" s="92"/>
      <c r="CU261" s="93">
        <f t="shared" ref="CU261:CU340" si="158">IFERROR(CS261/CN261,0)</f>
        <v>0</v>
      </c>
      <c r="CV261" s="95">
        <f t="shared" ref="CV261:CV340" si="159">+BV261+CE261+CN261</f>
        <v>0</v>
      </c>
      <c r="CW261" s="96">
        <f t="shared" ref="CW261:CW340" si="160">+CA261+CJ261+CS261</f>
        <v>0</v>
      </c>
      <c r="CX261" s="97">
        <f t="shared" ref="CX261:CX340" si="161">IFERROR((CW261/CV261),0)</f>
        <v>0</v>
      </c>
      <c r="CZ261" s="82"/>
      <c r="DA261" s="136"/>
      <c r="DB261" s="137"/>
      <c r="DC261" s="92"/>
      <c r="DD261" s="92"/>
      <c r="DE261" s="92"/>
      <c r="DF261" s="92"/>
      <c r="DG261" s="92"/>
      <c r="DH261" s="92"/>
      <c r="DI261" s="93">
        <f t="shared" ref="DI261:DI340" si="162">IFERROR(DG261/DB261,0)</f>
        <v>0</v>
      </c>
      <c r="DJ261" s="183"/>
      <c r="DK261" s="184"/>
      <c r="DL261" s="92"/>
      <c r="DM261" s="92"/>
      <c r="DN261" s="92"/>
      <c r="DO261" s="92"/>
      <c r="DP261" s="92"/>
      <c r="DQ261" s="92"/>
      <c r="DR261" s="93">
        <f t="shared" ref="DR261:DR340" si="163">IFERROR(DP261/DK261,0)</f>
        <v>0</v>
      </c>
      <c r="DS261" s="183"/>
      <c r="DT261" s="184"/>
      <c r="DU261" s="92"/>
      <c r="DV261" s="92"/>
      <c r="DW261" s="92"/>
      <c r="DX261" s="92"/>
      <c r="DY261" s="92"/>
      <c r="DZ261" s="92"/>
      <c r="EA261" s="93">
        <f t="shared" ref="EA261:EA340" si="164">IFERROR(DY261/DT261,0)</f>
        <v>0</v>
      </c>
      <c r="EB261" s="95">
        <f t="shared" ref="EB261:EB340" si="165">+DB261+DK261+DT261</f>
        <v>0</v>
      </c>
      <c r="EC261" s="96">
        <f t="shared" ref="EC261:EC340" si="166">+DG261+DP261+DY261</f>
        <v>0</v>
      </c>
      <c r="ED261" s="97">
        <f t="shared" ref="ED261:ED340" si="167">IFERROR((EC261/EB261),0)</f>
        <v>0</v>
      </c>
    </row>
    <row r="262" spans="1:134" s="6" customFormat="1" ht="21.95" customHeight="1" x14ac:dyDescent="0.5">
      <c r="A262" s="83">
        <v>66</v>
      </c>
      <c r="B262" s="103" t="s">
        <v>534</v>
      </c>
      <c r="C262" s="103" t="s">
        <v>535</v>
      </c>
      <c r="D262" s="103" t="s">
        <v>531</v>
      </c>
      <c r="E262" s="148" t="s">
        <v>532</v>
      </c>
      <c r="F262" s="83" t="s">
        <v>516</v>
      </c>
      <c r="G262" s="222"/>
      <c r="H262" s="180">
        <v>1.9629934127056627E-3</v>
      </c>
      <c r="I262" s="181">
        <f t="shared" ref="I262:I325" si="168">H262*$H$195</f>
        <v>193.24371362736011</v>
      </c>
      <c r="J262" s="182">
        <f t="shared" si="143"/>
        <v>145.9014483927611</v>
      </c>
      <c r="K262" s="92">
        <v>0</v>
      </c>
      <c r="L262" s="92">
        <v>0</v>
      </c>
      <c r="M262" s="92">
        <v>240</v>
      </c>
      <c r="N262" s="92">
        <v>240</v>
      </c>
      <c r="O262" s="92">
        <v>584</v>
      </c>
      <c r="P262" s="92">
        <v>522.4</v>
      </c>
      <c r="Q262" s="93">
        <f t="shared" si="144"/>
        <v>3.5804990680676401</v>
      </c>
      <c r="R262" s="94">
        <v>193.24371362736031</v>
      </c>
      <c r="S262" s="91">
        <v>145.9014483927611</v>
      </c>
      <c r="T262" s="92">
        <v>320</v>
      </c>
      <c r="U262" s="92">
        <v>268</v>
      </c>
      <c r="V262" s="92">
        <v>732</v>
      </c>
      <c r="W262" s="92">
        <v>649.20000000000005</v>
      </c>
      <c r="X262" s="92">
        <v>1132</v>
      </c>
      <c r="Y262" s="92">
        <v>1023.2</v>
      </c>
      <c r="Z262" s="93">
        <f t="shared" si="145"/>
        <v>7.0129529985582115</v>
      </c>
      <c r="AA262" s="94">
        <v>193.24371362736031</v>
      </c>
      <c r="AB262" s="91">
        <v>145.9014483927611</v>
      </c>
      <c r="AC262" s="92">
        <v>0</v>
      </c>
      <c r="AD262" s="92">
        <v>0</v>
      </c>
      <c r="AE262" s="92">
        <v>240</v>
      </c>
      <c r="AF262" s="92">
        <v>240</v>
      </c>
      <c r="AG262" s="92"/>
      <c r="AH262" s="92"/>
      <c r="AI262" s="93">
        <f t="shared" si="146"/>
        <v>0</v>
      </c>
      <c r="AJ262" s="95">
        <f t="shared" si="147"/>
        <v>437.70434517828329</v>
      </c>
      <c r="AK262" s="96">
        <f t="shared" si="148"/>
        <v>1545.6</v>
      </c>
      <c r="AL262" s="97">
        <f t="shared" si="149"/>
        <v>3.5311506888752833</v>
      </c>
      <c r="AN262" s="89">
        <v>1.1176922596134401E-2</v>
      </c>
      <c r="AO262" s="183"/>
      <c r="AP262" s="184"/>
      <c r="AQ262" s="92"/>
      <c r="AR262" s="92"/>
      <c r="AS262" s="92"/>
      <c r="AT262" s="92"/>
      <c r="AU262" s="92"/>
      <c r="AV262" s="92"/>
      <c r="AW262" s="93">
        <f t="shared" si="150"/>
        <v>0</v>
      </c>
      <c r="AX262" s="183"/>
      <c r="AY262" s="184"/>
      <c r="AZ262" s="92"/>
      <c r="BA262" s="92"/>
      <c r="BB262" s="92"/>
      <c r="BC262" s="92"/>
      <c r="BD262" s="92"/>
      <c r="BE262" s="92"/>
      <c r="BF262" s="93">
        <f t="shared" si="151"/>
        <v>0</v>
      </c>
      <c r="BG262" s="181"/>
      <c r="BH262" s="182"/>
      <c r="BI262" s="92"/>
      <c r="BJ262" s="92"/>
      <c r="BK262" s="92"/>
      <c r="BL262" s="92"/>
      <c r="BM262" s="92"/>
      <c r="BN262" s="92"/>
      <c r="BO262" s="93">
        <f t="shared" si="152"/>
        <v>0</v>
      </c>
      <c r="BP262" s="95">
        <f t="shared" si="153"/>
        <v>0</v>
      </c>
      <c r="BQ262" s="96">
        <f t="shared" si="154"/>
        <v>0</v>
      </c>
      <c r="BR262" s="97">
        <f t="shared" si="155"/>
        <v>0</v>
      </c>
      <c r="BT262" s="82"/>
      <c r="BU262" s="181"/>
      <c r="BV262" s="182"/>
      <c r="BW262" s="92"/>
      <c r="BX262" s="92"/>
      <c r="BY262" s="92"/>
      <c r="BZ262" s="92"/>
      <c r="CA262" s="92"/>
      <c r="CB262" s="92"/>
      <c r="CC262" s="93">
        <f t="shared" si="156"/>
        <v>0</v>
      </c>
      <c r="CD262" s="181"/>
      <c r="CE262" s="182"/>
      <c r="CF262" s="92"/>
      <c r="CG262" s="92"/>
      <c r="CH262" s="92"/>
      <c r="CI262" s="92"/>
      <c r="CJ262" s="92"/>
      <c r="CK262" s="92"/>
      <c r="CL262" s="93">
        <f t="shared" si="157"/>
        <v>0</v>
      </c>
      <c r="CM262" s="181"/>
      <c r="CN262" s="182"/>
      <c r="CO262" s="92"/>
      <c r="CP262" s="92"/>
      <c r="CQ262" s="92"/>
      <c r="CR262" s="92"/>
      <c r="CS262" s="92"/>
      <c r="CT262" s="92"/>
      <c r="CU262" s="93">
        <f t="shared" si="158"/>
        <v>0</v>
      </c>
      <c r="CV262" s="95">
        <f t="shared" si="159"/>
        <v>0</v>
      </c>
      <c r="CW262" s="96">
        <f t="shared" si="160"/>
        <v>0</v>
      </c>
      <c r="CX262" s="97">
        <f t="shared" si="161"/>
        <v>0</v>
      </c>
      <c r="CZ262" s="82"/>
      <c r="DA262" s="136"/>
      <c r="DB262" s="137"/>
      <c r="DC262" s="92"/>
      <c r="DD262" s="92"/>
      <c r="DE262" s="92"/>
      <c r="DF262" s="92"/>
      <c r="DG262" s="92"/>
      <c r="DH262" s="92"/>
      <c r="DI262" s="93">
        <f t="shared" si="162"/>
        <v>0</v>
      </c>
      <c r="DJ262" s="183"/>
      <c r="DK262" s="184"/>
      <c r="DL262" s="92"/>
      <c r="DM262" s="92"/>
      <c r="DN262" s="92"/>
      <c r="DO262" s="92"/>
      <c r="DP262" s="92"/>
      <c r="DQ262" s="92"/>
      <c r="DR262" s="93">
        <f t="shared" si="163"/>
        <v>0</v>
      </c>
      <c r="DS262" s="183"/>
      <c r="DT262" s="184"/>
      <c r="DU262" s="92"/>
      <c r="DV262" s="92"/>
      <c r="DW262" s="92"/>
      <c r="DX262" s="92"/>
      <c r="DY262" s="92"/>
      <c r="DZ262" s="92"/>
      <c r="EA262" s="93">
        <f t="shared" si="164"/>
        <v>0</v>
      </c>
      <c r="EB262" s="95">
        <f t="shared" si="165"/>
        <v>0</v>
      </c>
      <c r="EC262" s="96">
        <f t="shared" si="166"/>
        <v>0</v>
      </c>
      <c r="ED262" s="97">
        <f t="shared" si="167"/>
        <v>0</v>
      </c>
    </row>
    <row r="263" spans="1:134" s="6" customFormat="1" ht="21.95" customHeight="1" x14ac:dyDescent="0.5">
      <c r="A263" s="83">
        <v>67</v>
      </c>
      <c r="B263" s="103" t="s">
        <v>483</v>
      </c>
      <c r="C263" s="103" t="s">
        <v>484</v>
      </c>
      <c r="D263" s="103" t="s">
        <v>531</v>
      </c>
      <c r="E263" s="148" t="s">
        <v>532</v>
      </c>
      <c r="F263" s="83" t="s">
        <v>516</v>
      </c>
      <c r="G263" s="222"/>
      <c r="H263" s="180">
        <v>8.0570019183337904E-3</v>
      </c>
      <c r="I263" s="181">
        <f t="shared" si="168"/>
        <v>793.15853090692065</v>
      </c>
      <c r="J263" s="182">
        <f t="shared" si="143"/>
        <v>598.84472458207733</v>
      </c>
      <c r="K263" s="92">
        <v>0</v>
      </c>
      <c r="L263" s="92">
        <v>0</v>
      </c>
      <c r="M263" s="92">
        <v>0</v>
      </c>
      <c r="N263" s="92">
        <v>0</v>
      </c>
      <c r="O263" s="92">
        <v>0</v>
      </c>
      <c r="P263" s="92">
        <v>0</v>
      </c>
      <c r="Q263" s="93">
        <f t="shared" si="144"/>
        <v>0</v>
      </c>
      <c r="R263" s="94">
        <v>793.15853090692144</v>
      </c>
      <c r="S263" s="91">
        <v>598.84472458207733</v>
      </c>
      <c r="T263" s="92">
        <v>0</v>
      </c>
      <c r="U263" s="92">
        <v>0</v>
      </c>
      <c r="V263" s="92">
        <v>300</v>
      </c>
      <c r="W263" s="92">
        <v>300</v>
      </c>
      <c r="X263" s="92">
        <v>480</v>
      </c>
      <c r="Y263" s="92">
        <v>480</v>
      </c>
      <c r="Z263" s="93">
        <f t="shared" si="145"/>
        <v>0.80154333885964035</v>
      </c>
      <c r="AA263" s="94">
        <v>793.15853090692144</v>
      </c>
      <c r="AB263" s="91">
        <v>598.84472458207733</v>
      </c>
      <c r="AC263" s="92">
        <v>0</v>
      </c>
      <c r="AD263" s="92">
        <v>0</v>
      </c>
      <c r="AE263" s="92">
        <v>360</v>
      </c>
      <c r="AF263" s="92">
        <v>360</v>
      </c>
      <c r="AG263" s="92"/>
      <c r="AH263" s="92"/>
      <c r="AI263" s="93">
        <f t="shared" si="146"/>
        <v>0</v>
      </c>
      <c r="AJ263" s="95">
        <f t="shared" si="147"/>
        <v>1796.534173746232</v>
      </c>
      <c r="AK263" s="96">
        <f t="shared" si="148"/>
        <v>480</v>
      </c>
      <c r="AL263" s="97">
        <f t="shared" si="149"/>
        <v>0.26718111295321345</v>
      </c>
      <c r="AN263" s="89">
        <v>2.6912853093323625E-3</v>
      </c>
      <c r="AO263" s="183"/>
      <c r="AP263" s="184"/>
      <c r="AQ263" s="92"/>
      <c r="AR263" s="92"/>
      <c r="AS263" s="92"/>
      <c r="AT263" s="92"/>
      <c r="AU263" s="92"/>
      <c r="AV263" s="92"/>
      <c r="AW263" s="93">
        <f t="shared" si="150"/>
        <v>0</v>
      </c>
      <c r="AX263" s="183"/>
      <c r="AY263" s="184"/>
      <c r="AZ263" s="92"/>
      <c r="BA263" s="92"/>
      <c r="BB263" s="92"/>
      <c r="BC263" s="92"/>
      <c r="BD263" s="92"/>
      <c r="BE263" s="92"/>
      <c r="BF263" s="93">
        <f t="shared" si="151"/>
        <v>0</v>
      </c>
      <c r="BG263" s="181"/>
      <c r="BH263" s="182"/>
      <c r="BI263" s="92"/>
      <c r="BJ263" s="92"/>
      <c r="BK263" s="92"/>
      <c r="BL263" s="92"/>
      <c r="BM263" s="92"/>
      <c r="BN263" s="92"/>
      <c r="BO263" s="93">
        <f t="shared" si="152"/>
        <v>0</v>
      </c>
      <c r="BP263" s="95">
        <f t="shared" si="153"/>
        <v>0</v>
      </c>
      <c r="BQ263" s="96">
        <f t="shared" si="154"/>
        <v>0</v>
      </c>
      <c r="BR263" s="97">
        <f t="shared" si="155"/>
        <v>0</v>
      </c>
      <c r="BT263" s="82"/>
      <c r="BU263" s="181"/>
      <c r="BV263" s="182"/>
      <c r="BW263" s="92"/>
      <c r="BX263" s="92"/>
      <c r="BY263" s="92"/>
      <c r="BZ263" s="92"/>
      <c r="CA263" s="92"/>
      <c r="CB263" s="92"/>
      <c r="CC263" s="93">
        <f t="shared" si="156"/>
        <v>0</v>
      </c>
      <c r="CD263" s="181"/>
      <c r="CE263" s="182"/>
      <c r="CF263" s="92"/>
      <c r="CG263" s="92"/>
      <c r="CH263" s="92"/>
      <c r="CI263" s="92"/>
      <c r="CJ263" s="92"/>
      <c r="CK263" s="92"/>
      <c r="CL263" s="93">
        <f t="shared" si="157"/>
        <v>0</v>
      </c>
      <c r="CM263" s="181"/>
      <c r="CN263" s="182"/>
      <c r="CO263" s="92"/>
      <c r="CP263" s="92"/>
      <c r="CQ263" s="92"/>
      <c r="CR263" s="92"/>
      <c r="CS263" s="92"/>
      <c r="CT263" s="92"/>
      <c r="CU263" s="93">
        <f t="shared" si="158"/>
        <v>0</v>
      </c>
      <c r="CV263" s="95">
        <f t="shared" si="159"/>
        <v>0</v>
      </c>
      <c r="CW263" s="96">
        <f t="shared" si="160"/>
        <v>0</v>
      </c>
      <c r="CX263" s="97">
        <f t="shared" si="161"/>
        <v>0</v>
      </c>
      <c r="CZ263" s="82"/>
      <c r="DA263" s="136"/>
      <c r="DB263" s="137"/>
      <c r="DC263" s="92"/>
      <c r="DD263" s="92"/>
      <c r="DE263" s="92"/>
      <c r="DF263" s="92"/>
      <c r="DG263" s="92"/>
      <c r="DH263" s="92"/>
      <c r="DI263" s="93">
        <f t="shared" si="162"/>
        <v>0</v>
      </c>
      <c r="DJ263" s="183"/>
      <c r="DK263" s="184"/>
      <c r="DL263" s="92"/>
      <c r="DM263" s="92"/>
      <c r="DN263" s="92"/>
      <c r="DO263" s="92"/>
      <c r="DP263" s="92"/>
      <c r="DQ263" s="92"/>
      <c r="DR263" s="93">
        <f t="shared" si="163"/>
        <v>0</v>
      </c>
      <c r="DS263" s="183"/>
      <c r="DT263" s="184"/>
      <c r="DU263" s="92"/>
      <c r="DV263" s="92"/>
      <c r="DW263" s="92"/>
      <c r="DX263" s="92"/>
      <c r="DY263" s="92"/>
      <c r="DZ263" s="92"/>
      <c r="EA263" s="93">
        <f t="shared" si="164"/>
        <v>0</v>
      </c>
      <c r="EB263" s="95">
        <f t="shared" si="165"/>
        <v>0</v>
      </c>
      <c r="EC263" s="96">
        <f t="shared" si="166"/>
        <v>0</v>
      </c>
      <c r="ED263" s="97">
        <f t="shared" si="167"/>
        <v>0</v>
      </c>
    </row>
    <row r="264" spans="1:134" s="6" customFormat="1" ht="21.95" customHeight="1" x14ac:dyDescent="0.5">
      <c r="A264" s="83">
        <v>68</v>
      </c>
      <c r="B264" s="103" t="s">
        <v>536</v>
      </c>
      <c r="C264" s="103" t="s">
        <v>537</v>
      </c>
      <c r="D264" s="103" t="s">
        <v>531</v>
      </c>
      <c r="E264" s="148" t="s">
        <v>532</v>
      </c>
      <c r="F264" s="83" t="s">
        <v>516</v>
      </c>
      <c r="G264" s="222"/>
      <c r="H264" s="180">
        <v>3.4621357449529551E-3</v>
      </c>
      <c r="I264" s="181">
        <f t="shared" si="168"/>
        <v>340.82435738517336</v>
      </c>
      <c r="J264" s="182">
        <f t="shared" si="143"/>
        <v>257.32670137937333</v>
      </c>
      <c r="K264" s="92">
        <v>140</v>
      </c>
      <c r="L264" s="92">
        <v>88</v>
      </c>
      <c r="M264" s="92">
        <v>164</v>
      </c>
      <c r="N264" s="92">
        <v>96.4</v>
      </c>
      <c r="O264" s="92">
        <v>352</v>
      </c>
      <c r="P264" s="92">
        <v>201.2</v>
      </c>
      <c r="Q264" s="93">
        <f t="shared" si="144"/>
        <v>0.78188543560185586</v>
      </c>
      <c r="R264" s="94">
        <v>340.8243573851737</v>
      </c>
      <c r="S264" s="91">
        <v>257.32670137937333</v>
      </c>
      <c r="T264" s="92">
        <v>0</v>
      </c>
      <c r="U264" s="92">
        <v>0</v>
      </c>
      <c r="V264" s="92">
        <v>0</v>
      </c>
      <c r="W264" s="92">
        <v>0</v>
      </c>
      <c r="X264" s="92">
        <v>0</v>
      </c>
      <c r="Y264" s="92">
        <v>0</v>
      </c>
      <c r="Z264" s="93">
        <f t="shared" si="145"/>
        <v>0</v>
      </c>
      <c r="AA264" s="94">
        <v>340.8243573851737</v>
      </c>
      <c r="AB264" s="91">
        <v>257.32670137937333</v>
      </c>
      <c r="AC264" s="92">
        <v>0</v>
      </c>
      <c r="AD264" s="92">
        <v>0</v>
      </c>
      <c r="AE264" s="92">
        <v>208</v>
      </c>
      <c r="AF264" s="92">
        <v>130.4</v>
      </c>
      <c r="AG264" s="92"/>
      <c r="AH264" s="92"/>
      <c r="AI264" s="93">
        <f t="shared" si="146"/>
        <v>0</v>
      </c>
      <c r="AJ264" s="95">
        <f t="shared" si="147"/>
        <v>771.98010413811994</v>
      </c>
      <c r="AK264" s="96">
        <f t="shared" si="148"/>
        <v>201.2</v>
      </c>
      <c r="AL264" s="97">
        <f t="shared" si="149"/>
        <v>0.26062847853395193</v>
      </c>
      <c r="AN264" s="89">
        <v>1.1603410432039531E-2</v>
      </c>
      <c r="AO264" s="183"/>
      <c r="AP264" s="184"/>
      <c r="AQ264" s="92"/>
      <c r="AR264" s="92"/>
      <c r="AS264" s="92"/>
      <c r="AT264" s="92"/>
      <c r="AU264" s="92"/>
      <c r="AV264" s="92"/>
      <c r="AW264" s="93">
        <f t="shared" si="150"/>
        <v>0</v>
      </c>
      <c r="AX264" s="183"/>
      <c r="AY264" s="184"/>
      <c r="AZ264" s="92"/>
      <c r="BA264" s="92"/>
      <c r="BB264" s="92"/>
      <c r="BC264" s="92"/>
      <c r="BD264" s="92"/>
      <c r="BE264" s="92"/>
      <c r="BF264" s="93">
        <f t="shared" si="151"/>
        <v>0</v>
      </c>
      <c r="BG264" s="181"/>
      <c r="BH264" s="182"/>
      <c r="BI264" s="92"/>
      <c r="BJ264" s="92"/>
      <c r="BK264" s="92"/>
      <c r="BL264" s="92"/>
      <c r="BM264" s="92"/>
      <c r="BN264" s="92"/>
      <c r="BO264" s="93">
        <f t="shared" si="152"/>
        <v>0</v>
      </c>
      <c r="BP264" s="95">
        <f t="shared" si="153"/>
        <v>0</v>
      </c>
      <c r="BQ264" s="96">
        <f t="shared" si="154"/>
        <v>0</v>
      </c>
      <c r="BR264" s="97">
        <f t="shared" si="155"/>
        <v>0</v>
      </c>
      <c r="BT264" s="82"/>
      <c r="BU264" s="181"/>
      <c r="BV264" s="182"/>
      <c r="BW264" s="92"/>
      <c r="BX264" s="92"/>
      <c r="BY264" s="92"/>
      <c r="BZ264" s="92"/>
      <c r="CA264" s="92"/>
      <c r="CB264" s="92"/>
      <c r="CC264" s="93">
        <f t="shared" si="156"/>
        <v>0</v>
      </c>
      <c r="CD264" s="181"/>
      <c r="CE264" s="182"/>
      <c r="CF264" s="92"/>
      <c r="CG264" s="92"/>
      <c r="CH264" s="92"/>
      <c r="CI264" s="92"/>
      <c r="CJ264" s="92"/>
      <c r="CK264" s="92"/>
      <c r="CL264" s="93">
        <f t="shared" si="157"/>
        <v>0</v>
      </c>
      <c r="CM264" s="181"/>
      <c r="CN264" s="182"/>
      <c r="CO264" s="92"/>
      <c r="CP264" s="92"/>
      <c r="CQ264" s="92"/>
      <c r="CR264" s="92"/>
      <c r="CS264" s="92"/>
      <c r="CT264" s="92"/>
      <c r="CU264" s="93">
        <f t="shared" si="158"/>
        <v>0</v>
      </c>
      <c r="CV264" s="95">
        <f t="shared" si="159"/>
        <v>0</v>
      </c>
      <c r="CW264" s="96">
        <f t="shared" si="160"/>
        <v>0</v>
      </c>
      <c r="CX264" s="97">
        <f t="shared" si="161"/>
        <v>0</v>
      </c>
      <c r="CZ264" s="82"/>
      <c r="DA264" s="136"/>
      <c r="DB264" s="137"/>
      <c r="DC264" s="92"/>
      <c r="DD264" s="92"/>
      <c r="DE264" s="92"/>
      <c r="DF264" s="92"/>
      <c r="DG264" s="92"/>
      <c r="DH264" s="92"/>
      <c r="DI264" s="93">
        <f t="shared" si="162"/>
        <v>0</v>
      </c>
      <c r="DJ264" s="183"/>
      <c r="DK264" s="184"/>
      <c r="DL264" s="92"/>
      <c r="DM264" s="92"/>
      <c r="DN264" s="92"/>
      <c r="DO264" s="92"/>
      <c r="DP264" s="92"/>
      <c r="DQ264" s="92"/>
      <c r="DR264" s="93">
        <f t="shared" si="163"/>
        <v>0</v>
      </c>
      <c r="DS264" s="183"/>
      <c r="DT264" s="184"/>
      <c r="DU264" s="92"/>
      <c r="DV264" s="92"/>
      <c r="DW264" s="92"/>
      <c r="DX264" s="92"/>
      <c r="DY264" s="92"/>
      <c r="DZ264" s="92"/>
      <c r="EA264" s="93">
        <f t="shared" si="164"/>
        <v>0</v>
      </c>
      <c r="EB264" s="95">
        <f t="shared" si="165"/>
        <v>0</v>
      </c>
      <c r="EC264" s="96">
        <f t="shared" si="166"/>
        <v>0</v>
      </c>
      <c r="ED264" s="97">
        <f t="shared" si="167"/>
        <v>0</v>
      </c>
    </row>
    <row r="265" spans="1:134" s="6" customFormat="1" ht="21.95" customHeight="1" x14ac:dyDescent="0.5">
      <c r="A265" s="83">
        <v>69</v>
      </c>
      <c r="B265" s="103" t="s">
        <v>538</v>
      </c>
      <c r="C265" s="103" t="s">
        <v>538</v>
      </c>
      <c r="D265" s="103" t="s">
        <v>284</v>
      </c>
      <c r="E265" s="148" t="s">
        <v>285</v>
      </c>
      <c r="F265" s="83" t="s">
        <v>516</v>
      </c>
      <c r="G265" s="222"/>
      <c r="H265" s="180">
        <v>3.0297493986175816E-3</v>
      </c>
      <c r="I265" s="181">
        <f t="shared" si="168"/>
        <v>298.25878240830912</v>
      </c>
      <c r="J265" s="182">
        <f t="shared" si="143"/>
        <v>225.18915380165038</v>
      </c>
      <c r="K265" s="92">
        <v>180</v>
      </c>
      <c r="L265" s="92">
        <v>180</v>
      </c>
      <c r="M265" s="92">
        <v>360</v>
      </c>
      <c r="N265" s="92">
        <v>360</v>
      </c>
      <c r="O265" s="92">
        <v>540</v>
      </c>
      <c r="P265" s="92">
        <v>540</v>
      </c>
      <c r="Q265" s="93">
        <f t="shared" si="144"/>
        <v>2.3979840542215425</v>
      </c>
      <c r="R265" s="94">
        <v>298.25878240830946</v>
      </c>
      <c r="S265" s="91">
        <v>225.18915380165038</v>
      </c>
      <c r="T265" s="92">
        <v>400</v>
      </c>
      <c r="U265" s="92">
        <v>374</v>
      </c>
      <c r="V265" s="92">
        <v>760</v>
      </c>
      <c r="W265" s="92">
        <v>734</v>
      </c>
      <c r="X265" s="92">
        <v>940</v>
      </c>
      <c r="Y265" s="92">
        <v>914</v>
      </c>
      <c r="Z265" s="93">
        <f t="shared" si="145"/>
        <v>4.0588100473305362</v>
      </c>
      <c r="AA265" s="94">
        <v>298.25878240830946</v>
      </c>
      <c r="AB265" s="91">
        <v>225.18915380165038</v>
      </c>
      <c r="AC265" s="92">
        <v>180</v>
      </c>
      <c r="AD265" s="92">
        <v>180</v>
      </c>
      <c r="AE265" s="92">
        <v>180</v>
      </c>
      <c r="AF265" s="92">
        <v>180</v>
      </c>
      <c r="AG265" s="92"/>
      <c r="AH265" s="92"/>
      <c r="AI265" s="93">
        <f t="shared" si="146"/>
        <v>0</v>
      </c>
      <c r="AJ265" s="95">
        <f t="shared" si="147"/>
        <v>675.56746140495113</v>
      </c>
      <c r="AK265" s="96">
        <f t="shared" si="148"/>
        <v>1454</v>
      </c>
      <c r="AL265" s="97">
        <f t="shared" si="149"/>
        <v>2.1522647005173594</v>
      </c>
      <c r="AN265" s="89">
        <v>7.000283099684178E-3</v>
      </c>
      <c r="AO265" s="183"/>
      <c r="AP265" s="184"/>
      <c r="AQ265" s="92"/>
      <c r="AR265" s="92"/>
      <c r="AS265" s="92"/>
      <c r="AT265" s="92"/>
      <c r="AU265" s="92"/>
      <c r="AV265" s="92"/>
      <c r="AW265" s="93">
        <f t="shared" si="150"/>
        <v>0</v>
      </c>
      <c r="AX265" s="183"/>
      <c r="AY265" s="184"/>
      <c r="AZ265" s="92"/>
      <c r="BA265" s="92"/>
      <c r="BB265" s="92"/>
      <c r="BC265" s="92"/>
      <c r="BD265" s="92"/>
      <c r="BE265" s="92"/>
      <c r="BF265" s="93">
        <f t="shared" si="151"/>
        <v>0</v>
      </c>
      <c r="BG265" s="181"/>
      <c r="BH265" s="182"/>
      <c r="BI265" s="92"/>
      <c r="BJ265" s="92"/>
      <c r="BK265" s="92"/>
      <c r="BL265" s="92"/>
      <c r="BM265" s="92"/>
      <c r="BN265" s="92"/>
      <c r="BO265" s="93">
        <f t="shared" si="152"/>
        <v>0</v>
      </c>
      <c r="BP265" s="95">
        <f t="shared" si="153"/>
        <v>0</v>
      </c>
      <c r="BQ265" s="96">
        <f t="shared" si="154"/>
        <v>0</v>
      </c>
      <c r="BR265" s="97">
        <f t="shared" si="155"/>
        <v>0</v>
      </c>
      <c r="BT265" s="82"/>
      <c r="BU265" s="181"/>
      <c r="BV265" s="182"/>
      <c r="BW265" s="92"/>
      <c r="BX265" s="92"/>
      <c r="BY265" s="92"/>
      <c r="BZ265" s="92"/>
      <c r="CA265" s="92"/>
      <c r="CB265" s="92"/>
      <c r="CC265" s="93">
        <f t="shared" si="156"/>
        <v>0</v>
      </c>
      <c r="CD265" s="181"/>
      <c r="CE265" s="182"/>
      <c r="CF265" s="92"/>
      <c r="CG265" s="92"/>
      <c r="CH265" s="92"/>
      <c r="CI265" s="92"/>
      <c r="CJ265" s="92"/>
      <c r="CK265" s="92"/>
      <c r="CL265" s="93">
        <f t="shared" si="157"/>
        <v>0</v>
      </c>
      <c r="CM265" s="181"/>
      <c r="CN265" s="182"/>
      <c r="CO265" s="92"/>
      <c r="CP265" s="92"/>
      <c r="CQ265" s="92"/>
      <c r="CR265" s="92"/>
      <c r="CS265" s="92"/>
      <c r="CT265" s="92"/>
      <c r="CU265" s="93">
        <f t="shared" si="158"/>
        <v>0</v>
      </c>
      <c r="CV265" s="95">
        <f t="shared" si="159"/>
        <v>0</v>
      </c>
      <c r="CW265" s="96">
        <f t="shared" si="160"/>
        <v>0</v>
      </c>
      <c r="CX265" s="97">
        <f t="shared" si="161"/>
        <v>0</v>
      </c>
      <c r="CZ265" s="82"/>
      <c r="DA265" s="136"/>
      <c r="DB265" s="137"/>
      <c r="DC265" s="92"/>
      <c r="DD265" s="92"/>
      <c r="DE265" s="92"/>
      <c r="DF265" s="92"/>
      <c r="DG265" s="92"/>
      <c r="DH265" s="92"/>
      <c r="DI265" s="93">
        <f t="shared" si="162"/>
        <v>0</v>
      </c>
      <c r="DJ265" s="183"/>
      <c r="DK265" s="184"/>
      <c r="DL265" s="92"/>
      <c r="DM265" s="92"/>
      <c r="DN265" s="92"/>
      <c r="DO265" s="92"/>
      <c r="DP265" s="92"/>
      <c r="DQ265" s="92"/>
      <c r="DR265" s="93">
        <f t="shared" si="163"/>
        <v>0</v>
      </c>
      <c r="DS265" s="183"/>
      <c r="DT265" s="184"/>
      <c r="DU265" s="92"/>
      <c r="DV265" s="92"/>
      <c r="DW265" s="92"/>
      <c r="DX265" s="92"/>
      <c r="DY265" s="92"/>
      <c r="DZ265" s="92"/>
      <c r="EA265" s="93">
        <f t="shared" si="164"/>
        <v>0</v>
      </c>
      <c r="EB265" s="95">
        <f t="shared" si="165"/>
        <v>0</v>
      </c>
      <c r="EC265" s="96">
        <f t="shared" si="166"/>
        <v>0</v>
      </c>
      <c r="ED265" s="97">
        <f t="shared" si="167"/>
        <v>0</v>
      </c>
    </row>
    <row r="266" spans="1:134" s="6" customFormat="1" ht="21.95" customHeight="1" x14ac:dyDescent="0.5">
      <c r="A266" s="83">
        <v>70</v>
      </c>
      <c r="B266" s="103" t="s">
        <v>539</v>
      </c>
      <c r="C266" s="103" t="s">
        <v>540</v>
      </c>
      <c r="D266" s="103" t="s">
        <v>541</v>
      </c>
      <c r="E266" s="148" t="s">
        <v>542</v>
      </c>
      <c r="F266" s="83" t="s">
        <v>516</v>
      </c>
      <c r="G266" s="222"/>
      <c r="H266" s="180">
        <v>5.26983546989028E-3</v>
      </c>
      <c r="I266" s="181">
        <f t="shared" si="168"/>
        <v>518.78043492929351</v>
      </c>
      <c r="J266" s="182">
        <f t="shared" si="143"/>
        <v>391.68579113506496</v>
      </c>
      <c r="K266" s="92">
        <v>40</v>
      </c>
      <c r="L266" s="92">
        <v>14</v>
      </c>
      <c r="M266" s="92">
        <v>284</v>
      </c>
      <c r="N266" s="92">
        <v>154</v>
      </c>
      <c r="O266" s="92">
        <v>500</v>
      </c>
      <c r="P266" s="92">
        <v>292</v>
      </c>
      <c r="Q266" s="93">
        <f t="shared" si="144"/>
        <v>0.74549551351815491</v>
      </c>
      <c r="R266" s="94">
        <v>518.78043492929407</v>
      </c>
      <c r="S266" s="91">
        <v>391.68579113506496</v>
      </c>
      <c r="T266" s="92">
        <v>116</v>
      </c>
      <c r="U266" s="92">
        <v>64</v>
      </c>
      <c r="V266" s="92">
        <v>180</v>
      </c>
      <c r="W266" s="92">
        <v>102</v>
      </c>
      <c r="X266" s="92">
        <v>304</v>
      </c>
      <c r="Y266" s="92">
        <v>200</v>
      </c>
      <c r="Z266" s="93">
        <f t="shared" si="145"/>
        <v>0.51061336542339375</v>
      </c>
      <c r="AA266" s="94">
        <v>518.78043492929407</v>
      </c>
      <c r="AB266" s="91">
        <v>391.68579113506496</v>
      </c>
      <c r="AC266" s="92">
        <v>40</v>
      </c>
      <c r="AD266" s="92">
        <v>14</v>
      </c>
      <c r="AE266" s="92">
        <v>160</v>
      </c>
      <c r="AF266" s="92">
        <v>134</v>
      </c>
      <c r="AG266" s="92"/>
      <c r="AH266" s="92"/>
      <c r="AI266" s="93">
        <f t="shared" si="146"/>
        <v>0</v>
      </c>
      <c r="AJ266" s="95">
        <f t="shared" si="147"/>
        <v>1175.057373405195</v>
      </c>
      <c r="AK266" s="96">
        <f t="shared" si="148"/>
        <v>492</v>
      </c>
      <c r="AL266" s="97">
        <f t="shared" si="149"/>
        <v>0.41870295964718285</v>
      </c>
      <c r="AN266" s="89">
        <v>7.0958752008353273E-3</v>
      </c>
      <c r="AO266" s="183"/>
      <c r="AP266" s="184"/>
      <c r="AQ266" s="92"/>
      <c r="AR266" s="92"/>
      <c r="AS266" s="92"/>
      <c r="AT266" s="92"/>
      <c r="AU266" s="92"/>
      <c r="AV266" s="92"/>
      <c r="AW266" s="93">
        <f t="shared" si="150"/>
        <v>0</v>
      </c>
      <c r="AX266" s="183"/>
      <c r="AY266" s="184"/>
      <c r="AZ266" s="92"/>
      <c r="BA266" s="92"/>
      <c r="BB266" s="92"/>
      <c r="BC266" s="92"/>
      <c r="BD266" s="92"/>
      <c r="BE266" s="92"/>
      <c r="BF266" s="93">
        <f t="shared" si="151"/>
        <v>0</v>
      </c>
      <c r="BG266" s="181"/>
      <c r="BH266" s="182"/>
      <c r="BI266" s="92"/>
      <c r="BJ266" s="92"/>
      <c r="BK266" s="92"/>
      <c r="BL266" s="92"/>
      <c r="BM266" s="92"/>
      <c r="BN266" s="92"/>
      <c r="BO266" s="93">
        <f t="shared" si="152"/>
        <v>0</v>
      </c>
      <c r="BP266" s="95">
        <f t="shared" si="153"/>
        <v>0</v>
      </c>
      <c r="BQ266" s="96">
        <f t="shared" si="154"/>
        <v>0</v>
      </c>
      <c r="BR266" s="97">
        <f t="shared" si="155"/>
        <v>0</v>
      </c>
      <c r="BT266" s="82"/>
      <c r="BU266" s="181"/>
      <c r="BV266" s="182"/>
      <c r="BW266" s="92"/>
      <c r="BX266" s="92"/>
      <c r="BY266" s="92"/>
      <c r="BZ266" s="92"/>
      <c r="CA266" s="92"/>
      <c r="CB266" s="92"/>
      <c r="CC266" s="93">
        <f t="shared" si="156"/>
        <v>0</v>
      </c>
      <c r="CD266" s="181"/>
      <c r="CE266" s="182"/>
      <c r="CF266" s="92"/>
      <c r="CG266" s="92"/>
      <c r="CH266" s="92"/>
      <c r="CI266" s="92"/>
      <c r="CJ266" s="92"/>
      <c r="CK266" s="92"/>
      <c r="CL266" s="93">
        <f t="shared" si="157"/>
        <v>0</v>
      </c>
      <c r="CM266" s="181"/>
      <c r="CN266" s="182"/>
      <c r="CO266" s="92"/>
      <c r="CP266" s="92"/>
      <c r="CQ266" s="92"/>
      <c r="CR266" s="92"/>
      <c r="CS266" s="92"/>
      <c r="CT266" s="92"/>
      <c r="CU266" s="93">
        <f t="shared" si="158"/>
        <v>0</v>
      </c>
      <c r="CV266" s="95">
        <f t="shared" si="159"/>
        <v>0</v>
      </c>
      <c r="CW266" s="96">
        <f t="shared" si="160"/>
        <v>0</v>
      </c>
      <c r="CX266" s="97">
        <f t="shared" si="161"/>
        <v>0</v>
      </c>
      <c r="CZ266" s="82"/>
      <c r="DA266" s="136"/>
      <c r="DB266" s="137"/>
      <c r="DC266" s="92"/>
      <c r="DD266" s="92"/>
      <c r="DE266" s="92"/>
      <c r="DF266" s="92"/>
      <c r="DG266" s="92"/>
      <c r="DH266" s="92"/>
      <c r="DI266" s="93">
        <f t="shared" si="162"/>
        <v>0</v>
      </c>
      <c r="DJ266" s="183"/>
      <c r="DK266" s="184"/>
      <c r="DL266" s="92"/>
      <c r="DM266" s="92"/>
      <c r="DN266" s="92"/>
      <c r="DO266" s="92"/>
      <c r="DP266" s="92"/>
      <c r="DQ266" s="92"/>
      <c r="DR266" s="93">
        <f t="shared" si="163"/>
        <v>0</v>
      </c>
      <c r="DS266" s="183"/>
      <c r="DT266" s="184"/>
      <c r="DU266" s="92"/>
      <c r="DV266" s="92"/>
      <c r="DW266" s="92"/>
      <c r="DX266" s="92"/>
      <c r="DY266" s="92"/>
      <c r="DZ266" s="92"/>
      <c r="EA266" s="93">
        <f t="shared" si="164"/>
        <v>0</v>
      </c>
      <c r="EB266" s="95">
        <f t="shared" si="165"/>
        <v>0</v>
      </c>
      <c r="EC266" s="96">
        <f t="shared" si="166"/>
        <v>0</v>
      </c>
      <c r="ED266" s="97">
        <f t="shared" si="167"/>
        <v>0</v>
      </c>
    </row>
    <row r="267" spans="1:134" s="6" customFormat="1" ht="21.95" customHeight="1" x14ac:dyDescent="0.5">
      <c r="A267" s="83">
        <v>71</v>
      </c>
      <c r="B267" s="103" t="s">
        <v>543</v>
      </c>
      <c r="C267" s="103" t="s">
        <v>543</v>
      </c>
      <c r="D267" s="103" t="s">
        <v>541</v>
      </c>
      <c r="E267" s="148" t="s">
        <v>542</v>
      </c>
      <c r="F267" s="83" t="s">
        <v>516</v>
      </c>
      <c r="G267" s="222"/>
      <c r="H267" s="180">
        <v>6.475645280797377E-3</v>
      </c>
      <c r="I267" s="181">
        <f t="shared" si="168"/>
        <v>637.48443275209786</v>
      </c>
      <c r="J267" s="182">
        <f t="shared" si="143"/>
        <v>481.30881114054586</v>
      </c>
      <c r="K267" s="92">
        <v>0</v>
      </c>
      <c r="L267" s="92">
        <v>0</v>
      </c>
      <c r="M267" s="92">
        <v>180</v>
      </c>
      <c r="N267" s="92">
        <v>180</v>
      </c>
      <c r="O267" s="92">
        <v>240</v>
      </c>
      <c r="P267" s="92">
        <v>240</v>
      </c>
      <c r="Q267" s="93">
        <f t="shared" si="144"/>
        <v>0.49864036237208664</v>
      </c>
      <c r="R267" s="94">
        <v>637.48443275209854</v>
      </c>
      <c r="S267" s="91">
        <v>481.30881114054586</v>
      </c>
      <c r="T267" s="92">
        <v>0</v>
      </c>
      <c r="U267" s="92">
        <v>0</v>
      </c>
      <c r="V267" s="92">
        <v>180</v>
      </c>
      <c r="W267" s="92">
        <v>180</v>
      </c>
      <c r="X267" s="92">
        <v>360</v>
      </c>
      <c r="Y267" s="92">
        <v>360</v>
      </c>
      <c r="Z267" s="93">
        <f t="shared" si="145"/>
        <v>0.74796054355813002</v>
      </c>
      <c r="AA267" s="94">
        <v>637.48443275209854</v>
      </c>
      <c r="AB267" s="91">
        <v>481.30881114054586</v>
      </c>
      <c r="AC267" s="92">
        <v>0</v>
      </c>
      <c r="AD267" s="92">
        <v>0</v>
      </c>
      <c r="AE267" s="92">
        <v>0</v>
      </c>
      <c r="AF267" s="92">
        <v>0</v>
      </c>
      <c r="AG267" s="92"/>
      <c r="AH267" s="92"/>
      <c r="AI267" s="93">
        <f t="shared" si="146"/>
        <v>0</v>
      </c>
      <c r="AJ267" s="95">
        <f t="shared" si="147"/>
        <v>1443.9264334216375</v>
      </c>
      <c r="AK267" s="96">
        <f t="shared" si="148"/>
        <v>600</v>
      </c>
      <c r="AL267" s="97">
        <f t="shared" si="149"/>
        <v>0.4155336353100722</v>
      </c>
      <c r="AN267" s="89">
        <v>1.1118096687733694E-2</v>
      </c>
      <c r="AO267" s="183"/>
      <c r="AP267" s="184"/>
      <c r="AQ267" s="92"/>
      <c r="AR267" s="92"/>
      <c r="AS267" s="92"/>
      <c r="AT267" s="92"/>
      <c r="AU267" s="92"/>
      <c r="AV267" s="92"/>
      <c r="AW267" s="93">
        <f t="shared" si="150"/>
        <v>0</v>
      </c>
      <c r="AX267" s="183"/>
      <c r="AY267" s="184"/>
      <c r="AZ267" s="92"/>
      <c r="BA267" s="92"/>
      <c r="BB267" s="92"/>
      <c r="BC267" s="92"/>
      <c r="BD267" s="92"/>
      <c r="BE267" s="92"/>
      <c r="BF267" s="93">
        <f t="shared" si="151"/>
        <v>0</v>
      </c>
      <c r="BG267" s="181"/>
      <c r="BH267" s="182"/>
      <c r="BI267" s="92"/>
      <c r="BJ267" s="92"/>
      <c r="BK267" s="92"/>
      <c r="BL267" s="92"/>
      <c r="BM267" s="92"/>
      <c r="BN267" s="92"/>
      <c r="BO267" s="93">
        <f t="shared" si="152"/>
        <v>0</v>
      </c>
      <c r="BP267" s="95">
        <f t="shared" si="153"/>
        <v>0</v>
      </c>
      <c r="BQ267" s="96">
        <f t="shared" si="154"/>
        <v>0</v>
      </c>
      <c r="BR267" s="97">
        <f t="shared" si="155"/>
        <v>0</v>
      </c>
      <c r="BT267" s="82"/>
      <c r="BU267" s="181"/>
      <c r="BV267" s="182"/>
      <c r="BW267" s="92"/>
      <c r="BX267" s="92"/>
      <c r="BY267" s="92"/>
      <c r="BZ267" s="92"/>
      <c r="CA267" s="92"/>
      <c r="CB267" s="92"/>
      <c r="CC267" s="93">
        <f t="shared" si="156"/>
        <v>0</v>
      </c>
      <c r="CD267" s="181"/>
      <c r="CE267" s="182"/>
      <c r="CF267" s="92"/>
      <c r="CG267" s="92"/>
      <c r="CH267" s="92"/>
      <c r="CI267" s="92"/>
      <c r="CJ267" s="92"/>
      <c r="CK267" s="92"/>
      <c r="CL267" s="93">
        <f t="shared" si="157"/>
        <v>0</v>
      </c>
      <c r="CM267" s="181"/>
      <c r="CN267" s="182"/>
      <c r="CO267" s="92"/>
      <c r="CP267" s="92"/>
      <c r="CQ267" s="92"/>
      <c r="CR267" s="92"/>
      <c r="CS267" s="92"/>
      <c r="CT267" s="92"/>
      <c r="CU267" s="93">
        <f t="shared" si="158"/>
        <v>0</v>
      </c>
      <c r="CV267" s="95">
        <f t="shared" si="159"/>
        <v>0</v>
      </c>
      <c r="CW267" s="96">
        <f t="shared" si="160"/>
        <v>0</v>
      </c>
      <c r="CX267" s="97">
        <f t="shared" si="161"/>
        <v>0</v>
      </c>
      <c r="CZ267" s="82"/>
      <c r="DA267" s="136"/>
      <c r="DB267" s="137"/>
      <c r="DC267" s="92"/>
      <c r="DD267" s="92"/>
      <c r="DE267" s="92"/>
      <c r="DF267" s="92"/>
      <c r="DG267" s="92"/>
      <c r="DH267" s="92"/>
      <c r="DI267" s="93">
        <f t="shared" si="162"/>
        <v>0</v>
      </c>
      <c r="DJ267" s="183"/>
      <c r="DK267" s="184"/>
      <c r="DL267" s="92"/>
      <c r="DM267" s="92"/>
      <c r="DN267" s="92"/>
      <c r="DO267" s="92"/>
      <c r="DP267" s="92"/>
      <c r="DQ267" s="92"/>
      <c r="DR267" s="93">
        <f t="shared" si="163"/>
        <v>0</v>
      </c>
      <c r="DS267" s="183"/>
      <c r="DT267" s="184"/>
      <c r="DU267" s="92"/>
      <c r="DV267" s="92"/>
      <c r="DW267" s="92"/>
      <c r="DX267" s="92"/>
      <c r="DY267" s="92"/>
      <c r="DZ267" s="92"/>
      <c r="EA267" s="93">
        <f t="shared" si="164"/>
        <v>0</v>
      </c>
      <c r="EB267" s="95">
        <f t="shared" si="165"/>
        <v>0</v>
      </c>
      <c r="EC267" s="96">
        <f t="shared" si="166"/>
        <v>0</v>
      </c>
      <c r="ED267" s="97">
        <f t="shared" si="167"/>
        <v>0</v>
      </c>
    </row>
    <row r="268" spans="1:134" s="6" customFormat="1" ht="21.95" customHeight="1" x14ac:dyDescent="0.5">
      <c r="A268" s="83">
        <v>72</v>
      </c>
      <c r="B268" s="103" t="s">
        <v>544</v>
      </c>
      <c r="C268" s="103" t="s">
        <v>544</v>
      </c>
      <c r="D268" s="103" t="s">
        <v>541</v>
      </c>
      <c r="E268" s="148" t="s">
        <v>542</v>
      </c>
      <c r="F268" s="83" t="s">
        <v>516</v>
      </c>
      <c r="G268" s="222"/>
      <c r="H268" s="180">
        <v>7.1100149203739225E-3</v>
      </c>
      <c r="I268" s="181">
        <f t="shared" si="168"/>
        <v>699.93392655618277</v>
      </c>
      <c r="J268" s="182">
        <f t="shared" si="143"/>
        <v>528.45896897171212</v>
      </c>
      <c r="K268" s="92">
        <v>0</v>
      </c>
      <c r="L268" s="92">
        <v>0</v>
      </c>
      <c r="M268" s="92">
        <v>180</v>
      </c>
      <c r="N268" s="92">
        <v>180</v>
      </c>
      <c r="O268" s="92">
        <v>180</v>
      </c>
      <c r="P268" s="92">
        <v>180</v>
      </c>
      <c r="Q268" s="93">
        <f t="shared" si="144"/>
        <v>0.34061300984303139</v>
      </c>
      <c r="R268" s="94">
        <v>699.93392655618345</v>
      </c>
      <c r="S268" s="91">
        <v>528.45896897171212</v>
      </c>
      <c r="T268" s="92">
        <v>180</v>
      </c>
      <c r="U268" s="92">
        <v>180</v>
      </c>
      <c r="V268" s="92">
        <v>300</v>
      </c>
      <c r="W268" s="92">
        <v>300</v>
      </c>
      <c r="X268" s="92">
        <v>480</v>
      </c>
      <c r="Y268" s="92">
        <v>480</v>
      </c>
      <c r="Z268" s="93">
        <f t="shared" si="145"/>
        <v>0.908301359581417</v>
      </c>
      <c r="AA268" s="94">
        <v>699.93392655618345</v>
      </c>
      <c r="AB268" s="91">
        <v>528.45896897171212</v>
      </c>
      <c r="AC268" s="92">
        <v>180</v>
      </c>
      <c r="AD268" s="92">
        <v>180</v>
      </c>
      <c r="AE268" s="92">
        <v>180</v>
      </c>
      <c r="AF268" s="92">
        <v>180</v>
      </c>
      <c r="AG268" s="92"/>
      <c r="AH268" s="92"/>
      <c r="AI268" s="93">
        <f t="shared" si="146"/>
        <v>0</v>
      </c>
      <c r="AJ268" s="95">
        <f t="shared" si="147"/>
        <v>1585.3769069151363</v>
      </c>
      <c r="AK268" s="96">
        <f t="shared" si="148"/>
        <v>660</v>
      </c>
      <c r="AL268" s="97">
        <f t="shared" si="149"/>
        <v>0.4163047898081495</v>
      </c>
      <c r="AN268" s="89">
        <v>2.7354047406328934E-3</v>
      </c>
      <c r="AO268" s="183"/>
      <c r="AP268" s="184"/>
      <c r="AQ268" s="92"/>
      <c r="AR268" s="92"/>
      <c r="AS268" s="92"/>
      <c r="AT268" s="92"/>
      <c r="AU268" s="92"/>
      <c r="AV268" s="92"/>
      <c r="AW268" s="93">
        <f t="shared" si="150"/>
        <v>0</v>
      </c>
      <c r="AX268" s="183"/>
      <c r="AY268" s="184"/>
      <c r="AZ268" s="92"/>
      <c r="BA268" s="92"/>
      <c r="BB268" s="92"/>
      <c r="BC268" s="92"/>
      <c r="BD268" s="92"/>
      <c r="BE268" s="92"/>
      <c r="BF268" s="93">
        <f t="shared" si="151"/>
        <v>0</v>
      </c>
      <c r="BG268" s="181"/>
      <c r="BH268" s="182"/>
      <c r="BI268" s="92"/>
      <c r="BJ268" s="92"/>
      <c r="BK268" s="92"/>
      <c r="BL268" s="92"/>
      <c r="BM268" s="92"/>
      <c r="BN268" s="92"/>
      <c r="BO268" s="93">
        <f t="shared" si="152"/>
        <v>0</v>
      </c>
      <c r="BP268" s="95">
        <f t="shared" si="153"/>
        <v>0</v>
      </c>
      <c r="BQ268" s="96">
        <f t="shared" si="154"/>
        <v>0</v>
      </c>
      <c r="BR268" s="97">
        <f t="shared" si="155"/>
        <v>0</v>
      </c>
      <c r="BT268" s="82"/>
      <c r="BU268" s="181"/>
      <c r="BV268" s="182"/>
      <c r="BW268" s="92"/>
      <c r="BX268" s="92"/>
      <c r="BY268" s="92"/>
      <c r="BZ268" s="92"/>
      <c r="CA268" s="92"/>
      <c r="CB268" s="92"/>
      <c r="CC268" s="93">
        <f t="shared" si="156"/>
        <v>0</v>
      </c>
      <c r="CD268" s="181"/>
      <c r="CE268" s="182"/>
      <c r="CF268" s="92"/>
      <c r="CG268" s="92"/>
      <c r="CH268" s="92"/>
      <c r="CI268" s="92"/>
      <c r="CJ268" s="92"/>
      <c r="CK268" s="92"/>
      <c r="CL268" s="93">
        <f t="shared" si="157"/>
        <v>0</v>
      </c>
      <c r="CM268" s="181"/>
      <c r="CN268" s="182"/>
      <c r="CO268" s="92"/>
      <c r="CP268" s="92"/>
      <c r="CQ268" s="92"/>
      <c r="CR268" s="92"/>
      <c r="CS268" s="92"/>
      <c r="CT268" s="92"/>
      <c r="CU268" s="93">
        <f t="shared" si="158"/>
        <v>0</v>
      </c>
      <c r="CV268" s="95">
        <f t="shared" si="159"/>
        <v>0</v>
      </c>
      <c r="CW268" s="96">
        <f t="shared" si="160"/>
        <v>0</v>
      </c>
      <c r="CX268" s="97">
        <f t="shared" si="161"/>
        <v>0</v>
      </c>
      <c r="CZ268" s="82"/>
      <c r="DA268" s="136"/>
      <c r="DB268" s="137"/>
      <c r="DC268" s="92"/>
      <c r="DD268" s="92"/>
      <c r="DE268" s="92"/>
      <c r="DF268" s="92"/>
      <c r="DG268" s="92"/>
      <c r="DH268" s="92"/>
      <c r="DI268" s="93">
        <f t="shared" si="162"/>
        <v>0</v>
      </c>
      <c r="DJ268" s="183"/>
      <c r="DK268" s="184"/>
      <c r="DL268" s="92"/>
      <c r="DM268" s="92"/>
      <c r="DN268" s="92"/>
      <c r="DO268" s="92"/>
      <c r="DP268" s="92"/>
      <c r="DQ268" s="92"/>
      <c r="DR268" s="93">
        <f t="shared" si="163"/>
        <v>0</v>
      </c>
      <c r="DS268" s="183"/>
      <c r="DT268" s="184"/>
      <c r="DU268" s="92"/>
      <c r="DV268" s="92"/>
      <c r="DW268" s="92"/>
      <c r="DX268" s="92"/>
      <c r="DY268" s="92"/>
      <c r="DZ268" s="92"/>
      <c r="EA268" s="93">
        <f t="shared" si="164"/>
        <v>0</v>
      </c>
      <c r="EB268" s="95">
        <f t="shared" si="165"/>
        <v>0</v>
      </c>
      <c r="EC268" s="96">
        <f t="shared" si="166"/>
        <v>0</v>
      </c>
      <c r="ED268" s="97">
        <f t="shared" si="167"/>
        <v>0</v>
      </c>
    </row>
    <row r="269" spans="1:134" s="6" customFormat="1" ht="21.95" customHeight="1" x14ac:dyDescent="0.5">
      <c r="A269" s="83">
        <v>73</v>
      </c>
      <c r="B269" s="103" t="s">
        <v>545</v>
      </c>
      <c r="C269" s="103" t="s">
        <v>546</v>
      </c>
      <c r="D269" s="103" t="s">
        <v>230</v>
      </c>
      <c r="E269" s="148" t="s">
        <v>227</v>
      </c>
      <c r="F269" s="83" t="s">
        <v>516</v>
      </c>
      <c r="G269" s="222"/>
      <c r="H269" s="180">
        <v>3.6367142697644201E-3</v>
      </c>
      <c r="I269" s="181">
        <f t="shared" si="168"/>
        <v>358.01045808005745</v>
      </c>
      <c r="J269" s="182">
        <f t="shared" si="143"/>
        <v>270.30242481451029</v>
      </c>
      <c r="K269" s="92">
        <v>452</v>
      </c>
      <c r="L269" s="92">
        <v>322</v>
      </c>
      <c r="M269" s="92">
        <v>972</v>
      </c>
      <c r="N269" s="92">
        <v>738</v>
      </c>
      <c r="O269" s="92">
        <v>1516</v>
      </c>
      <c r="P269" s="92">
        <v>1178</v>
      </c>
      <c r="Q269" s="93">
        <f t="shared" si="144"/>
        <v>4.358081511138419</v>
      </c>
      <c r="R269" s="94">
        <v>358.01045808005784</v>
      </c>
      <c r="S269" s="91">
        <v>270.30242481451029</v>
      </c>
      <c r="T269" s="92">
        <v>360</v>
      </c>
      <c r="U269" s="92">
        <v>360</v>
      </c>
      <c r="V269" s="92">
        <v>712</v>
      </c>
      <c r="W269" s="92">
        <v>604.4</v>
      </c>
      <c r="X269" s="92">
        <v>892</v>
      </c>
      <c r="Y269" s="92">
        <v>784.4</v>
      </c>
      <c r="Z269" s="93">
        <f t="shared" si="145"/>
        <v>2.9019347515594025</v>
      </c>
      <c r="AA269" s="94">
        <v>358.01045808005784</v>
      </c>
      <c r="AB269" s="91">
        <v>270.30242481451029</v>
      </c>
      <c r="AC269" s="92">
        <v>284</v>
      </c>
      <c r="AD269" s="92">
        <v>232</v>
      </c>
      <c r="AE269" s="92">
        <v>752</v>
      </c>
      <c r="AF269" s="92">
        <v>544</v>
      </c>
      <c r="AG269" s="92"/>
      <c r="AH269" s="92"/>
      <c r="AI269" s="93">
        <f t="shared" si="146"/>
        <v>0</v>
      </c>
      <c r="AJ269" s="95">
        <f t="shared" si="147"/>
        <v>810.90727444353092</v>
      </c>
      <c r="AK269" s="96">
        <f t="shared" si="148"/>
        <v>1962.4</v>
      </c>
      <c r="AL269" s="97">
        <f t="shared" si="149"/>
        <v>2.4200054208992738</v>
      </c>
      <c r="AN269" s="89">
        <v>1.0147469199122024E-3</v>
      </c>
      <c r="AO269" s="183"/>
      <c r="AP269" s="184"/>
      <c r="AQ269" s="92"/>
      <c r="AR269" s="92"/>
      <c r="AS269" s="92"/>
      <c r="AT269" s="92"/>
      <c r="AU269" s="92"/>
      <c r="AV269" s="92"/>
      <c r="AW269" s="93">
        <f t="shared" si="150"/>
        <v>0</v>
      </c>
      <c r="AX269" s="183"/>
      <c r="AY269" s="184"/>
      <c r="AZ269" s="92"/>
      <c r="BA269" s="92"/>
      <c r="BB269" s="92"/>
      <c r="BC269" s="92"/>
      <c r="BD269" s="92"/>
      <c r="BE269" s="92"/>
      <c r="BF269" s="93">
        <f t="shared" si="151"/>
        <v>0</v>
      </c>
      <c r="BG269" s="181"/>
      <c r="BH269" s="182"/>
      <c r="BI269" s="92"/>
      <c r="BJ269" s="92"/>
      <c r="BK269" s="92"/>
      <c r="BL269" s="92"/>
      <c r="BM269" s="92"/>
      <c r="BN269" s="92"/>
      <c r="BO269" s="93">
        <f t="shared" si="152"/>
        <v>0</v>
      </c>
      <c r="BP269" s="95">
        <f t="shared" si="153"/>
        <v>0</v>
      </c>
      <c r="BQ269" s="96">
        <f t="shared" si="154"/>
        <v>0</v>
      </c>
      <c r="BR269" s="97">
        <f t="shared" si="155"/>
        <v>0</v>
      </c>
      <c r="BT269" s="82"/>
      <c r="BU269" s="181"/>
      <c r="BV269" s="182"/>
      <c r="BW269" s="92"/>
      <c r="BX269" s="92"/>
      <c r="BY269" s="92"/>
      <c r="BZ269" s="92"/>
      <c r="CA269" s="92"/>
      <c r="CB269" s="92"/>
      <c r="CC269" s="93">
        <f t="shared" si="156"/>
        <v>0</v>
      </c>
      <c r="CD269" s="181"/>
      <c r="CE269" s="182"/>
      <c r="CF269" s="92"/>
      <c r="CG269" s="92"/>
      <c r="CH269" s="92"/>
      <c r="CI269" s="92"/>
      <c r="CJ269" s="92"/>
      <c r="CK269" s="92"/>
      <c r="CL269" s="93">
        <f t="shared" si="157"/>
        <v>0</v>
      </c>
      <c r="CM269" s="181"/>
      <c r="CN269" s="182"/>
      <c r="CO269" s="92"/>
      <c r="CP269" s="92"/>
      <c r="CQ269" s="92"/>
      <c r="CR269" s="92"/>
      <c r="CS269" s="92"/>
      <c r="CT269" s="92"/>
      <c r="CU269" s="93">
        <f t="shared" si="158"/>
        <v>0</v>
      </c>
      <c r="CV269" s="95">
        <f t="shared" si="159"/>
        <v>0</v>
      </c>
      <c r="CW269" s="96">
        <f t="shared" si="160"/>
        <v>0</v>
      </c>
      <c r="CX269" s="97">
        <f t="shared" si="161"/>
        <v>0</v>
      </c>
      <c r="CZ269" s="82"/>
      <c r="DA269" s="136"/>
      <c r="DB269" s="137"/>
      <c r="DC269" s="92"/>
      <c r="DD269" s="92"/>
      <c r="DE269" s="92"/>
      <c r="DF269" s="92"/>
      <c r="DG269" s="92"/>
      <c r="DH269" s="92"/>
      <c r="DI269" s="93">
        <f t="shared" si="162"/>
        <v>0</v>
      </c>
      <c r="DJ269" s="183"/>
      <c r="DK269" s="184"/>
      <c r="DL269" s="92"/>
      <c r="DM269" s="92"/>
      <c r="DN269" s="92"/>
      <c r="DO269" s="92"/>
      <c r="DP269" s="92"/>
      <c r="DQ269" s="92"/>
      <c r="DR269" s="93">
        <f t="shared" si="163"/>
        <v>0</v>
      </c>
      <c r="DS269" s="183"/>
      <c r="DT269" s="184"/>
      <c r="DU269" s="92"/>
      <c r="DV269" s="92"/>
      <c r="DW269" s="92"/>
      <c r="DX269" s="92"/>
      <c r="DY269" s="92"/>
      <c r="DZ269" s="92"/>
      <c r="EA269" s="93">
        <f t="shared" si="164"/>
        <v>0</v>
      </c>
      <c r="EB269" s="95">
        <f t="shared" si="165"/>
        <v>0</v>
      </c>
      <c r="EC269" s="96">
        <f t="shared" si="166"/>
        <v>0</v>
      </c>
      <c r="ED269" s="97">
        <f t="shared" si="167"/>
        <v>0</v>
      </c>
    </row>
    <row r="270" spans="1:134" s="6" customFormat="1" ht="21.95" customHeight="1" x14ac:dyDescent="0.5">
      <c r="A270" s="83">
        <v>74</v>
      </c>
      <c r="B270" s="103" t="s">
        <v>547</v>
      </c>
      <c r="C270" s="185" t="s">
        <v>548</v>
      </c>
      <c r="D270" s="103" t="s">
        <v>230</v>
      </c>
      <c r="E270" s="148" t="s">
        <v>227</v>
      </c>
      <c r="F270" s="83" t="s">
        <v>516</v>
      </c>
      <c r="G270" s="222"/>
      <c r="H270" s="180">
        <v>7.0085157780416752E-3</v>
      </c>
      <c r="I270" s="181">
        <f t="shared" si="168"/>
        <v>689.9420075475291</v>
      </c>
      <c r="J270" s="182">
        <f t="shared" si="143"/>
        <v>520.91494371872557</v>
      </c>
      <c r="K270" s="92">
        <v>0</v>
      </c>
      <c r="L270" s="92">
        <v>0</v>
      </c>
      <c r="M270" s="92">
        <v>0</v>
      </c>
      <c r="N270" s="92">
        <v>0</v>
      </c>
      <c r="O270" s="92">
        <v>24</v>
      </c>
      <c r="P270" s="92">
        <v>24</v>
      </c>
      <c r="Q270" s="93">
        <f t="shared" si="144"/>
        <v>4.607278076660265E-2</v>
      </c>
      <c r="R270" s="94">
        <v>689.9420075475299</v>
      </c>
      <c r="S270" s="91">
        <v>520.91494371872557</v>
      </c>
      <c r="T270" s="92">
        <v>120</v>
      </c>
      <c r="U270" s="92">
        <v>120</v>
      </c>
      <c r="V270" s="92">
        <v>120</v>
      </c>
      <c r="W270" s="92">
        <v>120</v>
      </c>
      <c r="X270" s="92">
        <v>300</v>
      </c>
      <c r="Y270" s="92">
        <v>300</v>
      </c>
      <c r="Z270" s="93">
        <f t="shared" si="145"/>
        <v>0.5759097595825331</v>
      </c>
      <c r="AA270" s="94">
        <v>689.9420075475299</v>
      </c>
      <c r="AB270" s="91">
        <v>520.91494371872557</v>
      </c>
      <c r="AC270" s="92">
        <v>180</v>
      </c>
      <c r="AD270" s="92">
        <v>180</v>
      </c>
      <c r="AE270" s="92">
        <v>180</v>
      </c>
      <c r="AF270" s="92">
        <v>180</v>
      </c>
      <c r="AG270" s="92"/>
      <c r="AH270" s="92"/>
      <c r="AI270" s="93">
        <f t="shared" si="146"/>
        <v>0</v>
      </c>
      <c r="AJ270" s="95">
        <f t="shared" si="147"/>
        <v>1562.7448311561766</v>
      </c>
      <c r="AK270" s="96">
        <f t="shared" si="148"/>
        <v>324</v>
      </c>
      <c r="AL270" s="97">
        <f t="shared" si="149"/>
        <v>0.20732751344971193</v>
      </c>
      <c r="AN270" s="89"/>
      <c r="AO270" s="183"/>
      <c r="AP270" s="184"/>
      <c r="AQ270" s="92"/>
      <c r="AR270" s="92"/>
      <c r="AS270" s="92"/>
      <c r="AT270" s="92"/>
      <c r="AU270" s="92"/>
      <c r="AV270" s="92"/>
      <c r="AW270" s="93">
        <f t="shared" si="150"/>
        <v>0</v>
      </c>
      <c r="AX270" s="183"/>
      <c r="AY270" s="184"/>
      <c r="AZ270" s="92"/>
      <c r="BA270" s="92"/>
      <c r="BB270" s="92"/>
      <c r="BC270" s="92"/>
      <c r="BD270" s="92"/>
      <c r="BE270" s="92"/>
      <c r="BF270" s="93">
        <f t="shared" si="151"/>
        <v>0</v>
      </c>
      <c r="BG270" s="181"/>
      <c r="BH270" s="182"/>
      <c r="BI270" s="92"/>
      <c r="BJ270" s="92"/>
      <c r="BK270" s="92"/>
      <c r="BL270" s="92"/>
      <c r="BM270" s="92"/>
      <c r="BN270" s="92"/>
      <c r="BO270" s="93">
        <f t="shared" si="152"/>
        <v>0</v>
      </c>
      <c r="BP270" s="95">
        <f t="shared" si="153"/>
        <v>0</v>
      </c>
      <c r="BQ270" s="96">
        <f t="shared" si="154"/>
        <v>0</v>
      </c>
      <c r="BR270" s="97">
        <f t="shared" si="155"/>
        <v>0</v>
      </c>
      <c r="BT270" s="82"/>
      <c r="BU270" s="181"/>
      <c r="BV270" s="182"/>
      <c r="BW270" s="92"/>
      <c r="BX270" s="92"/>
      <c r="BY270" s="92"/>
      <c r="BZ270" s="92"/>
      <c r="CA270" s="92"/>
      <c r="CB270" s="92"/>
      <c r="CC270" s="93">
        <f t="shared" si="156"/>
        <v>0</v>
      </c>
      <c r="CD270" s="181"/>
      <c r="CE270" s="182"/>
      <c r="CF270" s="92"/>
      <c r="CG270" s="92"/>
      <c r="CH270" s="92"/>
      <c r="CI270" s="92"/>
      <c r="CJ270" s="92"/>
      <c r="CK270" s="92"/>
      <c r="CL270" s="93">
        <f t="shared" si="157"/>
        <v>0</v>
      </c>
      <c r="CM270" s="181"/>
      <c r="CN270" s="182"/>
      <c r="CO270" s="92"/>
      <c r="CP270" s="92"/>
      <c r="CQ270" s="92"/>
      <c r="CR270" s="92"/>
      <c r="CS270" s="92"/>
      <c r="CT270" s="92"/>
      <c r="CU270" s="93">
        <f t="shared" si="158"/>
        <v>0</v>
      </c>
      <c r="CV270" s="95">
        <f t="shared" si="159"/>
        <v>0</v>
      </c>
      <c r="CW270" s="96">
        <f t="shared" si="160"/>
        <v>0</v>
      </c>
      <c r="CX270" s="97">
        <f t="shared" si="161"/>
        <v>0</v>
      </c>
      <c r="CZ270" s="82"/>
      <c r="DA270" s="136"/>
      <c r="DB270" s="137"/>
      <c r="DC270" s="92"/>
      <c r="DD270" s="92"/>
      <c r="DE270" s="92"/>
      <c r="DF270" s="92"/>
      <c r="DG270" s="92"/>
      <c r="DH270" s="92"/>
      <c r="DI270" s="93">
        <f t="shared" si="162"/>
        <v>0</v>
      </c>
      <c r="DJ270" s="183"/>
      <c r="DK270" s="184"/>
      <c r="DL270" s="92"/>
      <c r="DM270" s="92"/>
      <c r="DN270" s="92"/>
      <c r="DO270" s="92"/>
      <c r="DP270" s="92"/>
      <c r="DQ270" s="92"/>
      <c r="DR270" s="93">
        <f t="shared" si="163"/>
        <v>0</v>
      </c>
      <c r="DS270" s="183"/>
      <c r="DT270" s="184"/>
      <c r="DU270" s="92"/>
      <c r="DV270" s="92"/>
      <c r="DW270" s="92"/>
      <c r="DX270" s="92"/>
      <c r="DY270" s="92"/>
      <c r="DZ270" s="92"/>
      <c r="EA270" s="93">
        <f t="shared" si="164"/>
        <v>0</v>
      </c>
      <c r="EB270" s="95">
        <f t="shared" si="165"/>
        <v>0</v>
      </c>
      <c r="EC270" s="96">
        <f t="shared" si="166"/>
        <v>0</v>
      </c>
      <c r="ED270" s="97">
        <f t="shared" si="167"/>
        <v>0</v>
      </c>
    </row>
    <row r="271" spans="1:134" s="6" customFormat="1" ht="21.95" customHeight="1" x14ac:dyDescent="0.5">
      <c r="A271" s="83">
        <v>75</v>
      </c>
      <c r="B271" s="103" t="s">
        <v>549</v>
      </c>
      <c r="C271" s="185" t="s">
        <v>550</v>
      </c>
      <c r="D271" s="103" t="s">
        <v>230</v>
      </c>
      <c r="E271" s="148" t="s">
        <v>227</v>
      </c>
      <c r="F271" s="83" t="s">
        <v>516</v>
      </c>
      <c r="G271" s="222"/>
      <c r="H271" s="180">
        <v>7.2277539254793294E-3</v>
      </c>
      <c r="I271" s="181">
        <f t="shared" si="168"/>
        <v>711.52455260622082</v>
      </c>
      <c r="J271" s="182">
        <f t="shared" si="143"/>
        <v>537.21003826517665</v>
      </c>
      <c r="K271" s="92">
        <v>284</v>
      </c>
      <c r="L271" s="92">
        <v>222.4</v>
      </c>
      <c r="M271" s="92">
        <v>520</v>
      </c>
      <c r="N271" s="92">
        <v>392</v>
      </c>
      <c r="O271" s="92">
        <v>764</v>
      </c>
      <c r="P271" s="92">
        <v>586</v>
      </c>
      <c r="Q271" s="93">
        <f t="shared" si="144"/>
        <v>1.0908210164731504</v>
      </c>
      <c r="R271" s="94">
        <v>711.52455260622162</v>
      </c>
      <c r="S271" s="91">
        <v>537.21003826517665</v>
      </c>
      <c r="T271" s="92">
        <v>0</v>
      </c>
      <c r="U271" s="92">
        <v>0</v>
      </c>
      <c r="V271" s="92">
        <v>441</v>
      </c>
      <c r="W271" s="92">
        <v>374.6</v>
      </c>
      <c r="X271" s="92">
        <v>561</v>
      </c>
      <c r="Y271" s="92">
        <v>494.6</v>
      </c>
      <c r="Z271" s="93">
        <f t="shared" si="145"/>
        <v>0.92068272141232121</v>
      </c>
      <c r="AA271" s="94">
        <v>711.52455260622162</v>
      </c>
      <c r="AB271" s="91">
        <v>537.21003826517665</v>
      </c>
      <c r="AC271" s="92">
        <v>468</v>
      </c>
      <c r="AD271" s="92">
        <v>370.8</v>
      </c>
      <c r="AE271" s="92">
        <v>468</v>
      </c>
      <c r="AF271" s="92">
        <v>370.8</v>
      </c>
      <c r="AG271" s="92"/>
      <c r="AH271" s="92"/>
      <c r="AI271" s="93">
        <f t="shared" si="146"/>
        <v>0</v>
      </c>
      <c r="AJ271" s="95">
        <f t="shared" si="147"/>
        <v>1611.6301147955301</v>
      </c>
      <c r="AK271" s="96">
        <f t="shared" si="148"/>
        <v>1080.5999999999999</v>
      </c>
      <c r="AL271" s="97">
        <f t="shared" si="149"/>
        <v>0.6705012459618237</v>
      </c>
      <c r="AN271" s="89"/>
      <c r="AO271" s="183"/>
      <c r="AP271" s="184"/>
      <c r="AQ271" s="92"/>
      <c r="AR271" s="92"/>
      <c r="AS271" s="92"/>
      <c r="AT271" s="92"/>
      <c r="AU271" s="92"/>
      <c r="AV271" s="92"/>
      <c r="AW271" s="93">
        <f t="shared" si="150"/>
        <v>0</v>
      </c>
      <c r="AX271" s="183"/>
      <c r="AY271" s="184"/>
      <c r="AZ271" s="92"/>
      <c r="BA271" s="92"/>
      <c r="BB271" s="92"/>
      <c r="BC271" s="92"/>
      <c r="BD271" s="92"/>
      <c r="BE271" s="92"/>
      <c r="BF271" s="93">
        <f t="shared" si="151"/>
        <v>0</v>
      </c>
      <c r="BG271" s="181"/>
      <c r="BH271" s="182"/>
      <c r="BI271" s="92"/>
      <c r="BJ271" s="92"/>
      <c r="BK271" s="92"/>
      <c r="BL271" s="92"/>
      <c r="BM271" s="92"/>
      <c r="BN271" s="92"/>
      <c r="BO271" s="93">
        <f t="shared" si="152"/>
        <v>0</v>
      </c>
      <c r="BP271" s="95">
        <f t="shared" si="153"/>
        <v>0</v>
      </c>
      <c r="BQ271" s="96">
        <f t="shared" si="154"/>
        <v>0</v>
      </c>
      <c r="BR271" s="97">
        <f t="shared" si="155"/>
        <v>0</v>
      </c>
      <c r="BT271" s="82"/>
      <c r="BU271" s="181"/>
      <c r="BV271" s="182"/>
      <c r="BW271" s="92"/>
      <c r="BX271" s="92"/>
      <c r="BY271" s="92"/>
      <c r="BZ271" s="92"/>
      <c r="CA271" s="92"/>
      <c r="CB271" s="92"/>
      <c r="CC271" s="93">
        <f t="shared" si="156"/>
        <v>0</v>
      </c>
      <c r="CD271" s="181"/>
      <c r="CE271" s="182">
        <v>0</v>
      </c>
      <c r="CF271" s="92">
        <v>0</v>
      </c>
      <c r="CG271" s="92">
        <v>0</v>
      </c>
      <c r="CH271" s="92"/>
      <c r="CI271" s="92"/>
      <c r="CJ271" s="92"/>
      <c r="CK271" s="92"/>
      <c r="CL271" s="93">
        <f t="shared" si="157"/>
        <v>0</v>
      </c>
      <c r="CM271" s="181"/>
      <c r="CN271" s="182"/>
      <c r="CO271" s="92"/>
      <c r="CP271" s="92"/>
      <c r="CQ271" s="92"/>
      <c r="CR271" s="92"/>
      <c r="CS271" s="92"/>
      <c r="CT271" s="92"/>
      <c r="CU271" s="93">
        <f t="shared" si="158"/>
        <v>0</v>
      </c>
      <c r="CV271" s="95">
        <f t="shared" si="159"/>
        <v>0</v>
      </c>
      <c r="CW271" s="96">
        <f t="shared" si="160"/>
        <v>0</v>
      </c>
      <c r="CX271" s="97">
        <f t="shared" si="161"/>
        <v>0</v>
      </c>
      <c r="CZ271" s="82"/>
      <c r="DA271" s="136"/>
      <c r="DB271" s="137"/>
      <c r="DC271" s="92"/>
      <c r="DD271" s="92"/>
      <c r="DE271" s="92"/>
      <c r="DF271" s="92"/>
      <c r="DG271" s="92"/>
      <c r="DH271" s="92"/>
      <c r="DI271" s="93">
        <f t="shared" si="162"/>
        <v>0</v>
      </c>
      <c r="DJ271" s="183"/>
      <c r="DK271" s="184"/>
      <c r="DL271" s="92"/>
      <c r="DM271" s="92"/>
      <c r="DN271" s="92"/>
      <c r="DO271" s="92"/>
      <c r="DP271" s="92"/>
      <c r="DQ271" s="92"/>
      <c r="DR271" s="93">
        <f t="shared" si="163"/>
        <v>0</v>
      </c>
      <c r="DS271" s="183"/>
      <c r="DT271" s="184"/>
      <c r="DU271" s="92"/>
      <c r="DV271" s="92"/>
      <c r="DW271" s="92"/>
      <c r="DX271" s="92"/>
      <c r="DY271" s="92"/>
      <c r="DZ271" s="92"/>
      <c r="EA271" s="93">
        <f t="shared" si="164"/>
        <v>0</v>
      </c>
      <c r="EB271" s="95">
        <f t="shared" si="165"/>
        <v>0</v>
      </c>
      <c r="EC271" s="96">
        <f t="shared" si="166"/>
        <v>0</v>
      </c>
      <c r="ED271" s="97">
        <f t="shared" si="167"/>
        <v>0</v>
      </c>
    </row>
    <row r="272" spans="1:134" s="6" customFormat="1" ht="21.95" customHeight="1" x14ac:dyDescent="0.5">
      <c r="A272" s="83">
        <v>76</v>
      </c>
      <c r="B272" s="103" t="s">
        <v>551</v>
      </c>
      <c r="C272" s="185" t="s">
        <v>552</v>
      </c>
      <c r="D272" s="103" t="s">
        <v>230</v>
      </c>
      <c r="E272" s="148" t="s">
        <v>227</v>
      </c>
      <c r="F272" s="83" t="s">
        <v>516</v>
      </c>
      <c r="G272" s="222"/>
      <c r="H272" s="180">
        <v>1.7437552652680083E-3</v>
      </c>
      <c r="I272" s="181">
        <f t="shared" si="168"/>
        <v>171.66116856866836</v>
      </c>
      <c r="J272" s="182">
        <f t="shared" si="143"/>
        <v>129.60635384630999</v>
      </c>
      <c r="K272" s="92">
        <v>64</v>
      </c>
      <c r="L272" s="92">
        <v>28.4</v>
      </c>
      <c r="M272" s="92">
        <v>244</v>
      </c>
      <c r="N272" s="92">
        <v>208.4</v>
      </c>
      <c r="O272" s="92">
        <v>424</v>
      </c>
      <c r="P272" s="92">
        <v>388.4</v>
      </c>
      <c r="Q272" s="93">
        <f t="shared" si="144"/>
        <v>2.9967666589909094</v>
      </c>
      <c r="R272" s="94">
        <v>171.66116856866853</v>
      </c>
      <c r="S272" s="91">
        <v>129.60635384630999</v>
      </c>
      <c r="T272" s="92">
        <v>0</v>
      </c>
      <c r="U272" s="92">
        <v>0</v>
      </c>
      <c r="V272" s="92">
        <v>76</v>
      </c>
      <c r="W272" s="92">
        <v>40.4</v>
      </c>
      <c r="X272" s="92">
        <v>256</v>
      </c>
      <c r="Y272" s="92">
        <v>220.4</v>
      </c>
      <c r="Z272" s="93">
        <f t="shared" si="145"/>
        <v>1.7005339125684771</v>
      </c>
      <c r="AA272" s="94">
        <v>171.66116856866853</v>
      </c>
      <c r="AB272" s="91">
        <v>129.60635384630999</v>
      </c>
      <c r="AC272" s="92">
        <v>180</v>
      </c>
      <c r="AD272" s="92">
        <v>180</v>
      </c>
      <c r="AE272" s="92">
        <v>180</v>
      </c>
      <c r="AF272" s="92">
        <v>180</v>
      </c>
      <c r="AG272" s="92"/>
      <c r="AH272" s="92"/>
      <c r="AI272" s="93">
        <f t="shared" si="146"/>
        <v>0</v>
      </c>
      <c r="AJ272" s="95">
        <f t="shared" si="147"/>
        <v>388.81906153892999</v>
      </c>
      <c r="AK272" s="96">
        <f t="shared" si="148"/>
        <v>608.79999999999995</v>
      </c>
      <c r="AL272" s="97">
        <f t="shared" si="149"/>
        <v>1.565766857186462</v>
      </c>
      <c r="AN272" s="89"/>
      <c r="AO272" s="183"/>
      <c r="AP272" s="184"/>
      <c r="AQ272" s="92"/>
      <c r="AR272" s="92"/>
      <c r="AS272" s="92"/>
      <c r="AT272" s="92"/>
      <c r="AU272" s="92"/>
      <c r="AV272" s="92"/>
      <c r="AW272" s="93">
        <f t="shared" si="150"/>
        <v>0</v>
      </c>
      <c r="AX272" s="183"/>
      <c r="AY272" s="184"/>
      <c r="AZ272" s="92"/>
      <c r="BA272" s="92"/>
      <c r="BB272" s="92"/>
      <c r="BC272" s="92"/>
      <c r="BD272" s="92"/>
      <c r="BE272" s="92"/>
      <c r="BF272" s="93">
        <f t="shared" si="151"/>
        <v>0</v>
      </c>
      <c r="BG272" s="181"/>
      <c r="BH272" s="182"/>
      <c r="BI272" s="92"/>
      <c r="BJ272" s="92"/>
      <c r="BK272" s="92"/>
      <c r="BL272" s="92"/>
      <c r="BM272" s="92"/>
      <c r="BN272" s="92"/>
      <c r="BO272" s="93">
        <f t="shared" si="152"/>
        <v>0</v>
      </c>
      <c r="BP272" s="95">
        <f t="shared" si="153"/>
        <v>0</v>
      </c>
      <c r="BQ272" s="96">
        <f t="shared" si="154"/>
        <v>0</v>
      </c>
      <c r="BR272" s="97">
        <f t="shared" si="155"/>
        <v>0</v>
      </c>
      <c r="BT272" s="82"/>
      <c r="BU272" s="181"/>
      <c r="BV272" s="182"/>
      <c r="BW272" s="92"/>
      <c r="BX272" s="92"/>
      <c r="BY272" s="92"/>
      <c r="BZ272" s="92"/>
      <c r="CA272" s="92"/>
      <c r="CB272" s="92"/>
      <c r="CC272" s="93">
        <f t="shared" si="156"/>
        <v>0</v>
      </c>
      <c r="CD272" s="181"/>
      <c r="CE272" s="182">
        <v>0</v>
      </c>
      <c r="CF272" s="92"/>
      <c r="CG272" s="92"/>
      <c r="CH272" s="92"/>
      <c r="CI272" s="92"/>
      <c r="CJ272" s="92"/>
      <c r="CK272" s="92"/>
      <c r="CL272" s="93">
        <f t="shared" si="157"/>
        <v>0</v>
      </c>
      <c r="CM272" s="181"/>
      <c r="CN272" s="182"/>
      <c r="CO272" s="92"/>
      <c r="CP272" s="92"/>
      <c r="CQ272" s="92"/>
      <c r="CR272" s="92"/>
      <c r="CS272" s="92"/>
      <c r="CT272" s="92"/>
      <c r="CU272" s="93">
        <f t="shared" si="158"/>
        <v>0</v>
      </c>
      <c r="CV272" s="95">
        <f t="shared" si="159"/>
        <v>0</v>
      </c>
      <c r="CW272" s="96">
        <f t="shared" si="160"/>
        <v>0</v>
      </c>
      <c r="CX272" s="97">
        <f t="shared" si="161"/>
        <v>0</v>
      </c>
      <c r="CZ272" s="82"/>
      <c r="DA272" s="136"/>
      <c r="DB272" s="137"/>
      <c r="DC272" s="92"/>
      <c r="DD272" s="92"/>
      <c r="DE272" s="92"/>
      <c r="DF272" s="92"/>
      <c r="DG272" s="92"/>
      <c r="DH272" s="92"/>
      <c r="DI272" s="93">
        <f t="shared" si="162"/>
        <v>0</v>
      </c>
      <c r="DJ272" s="183"/>
      <c r="DK272" s="184"/>
      <c r="DL272" s="92"/>
      <c r="DM272" s="92"/>
      <c r="DN272" s="92"/>
      <c r="DO272" s="92"/>
      <c r="DP272" s="92"/>
      <c r="DQ272" s="92"/>
      <c r="DR272" s="93">
        <f t="shared" si="163"/>
        <v>0</v>
      </c>
      <c r="DS272" s="183"/>
      <c r="DT272" s="184"/>
      <c r="DU272" s="92"/>
      <c r="DV272" s="92"/>
      <c r="DW272" s="92"/>
      <c r="DX272" s="92"/>
      <c r="DY272" s="92"/>
      <c r="DZ272" s="92"/>
      <c r="EA272" s="93">
        <f t="shared" si="164"/>
        <v>0</v>
      </c>
      <c r="EB272" s="95">
        <f t="shared" si="165"/>
        <v>0</v>
      </c>
      <c r="EC272" s="96">
        <f t="shared" si="166"/>
        <v>0</v>
      </c>
      <c r="ED272" s="97">
        <f t="shared" si="167"/>
        <v>0</v>
      </c>
    </row>
    <row r="273" spans="1:134" s="6" customFormat="1" ht="21.95" customHeight="1" x14ac:dyDescent="0.5">
      <c r="A273" s="83">
        <v>77</v>
      </c>
      <c r="B273" s="103">
        <v>185</v>
      </c>
      <c r="C273" s="185">
        <v>185</v>
      </c>
      <c r="D273" s="103" t="s">
        <v>553</v>
      </c>
      <c r="E273" s="148" t="s">
        <v>554</v>
      </c>
      <c r="F273" s="83" t="s">
        <v>516</v>
      </c>
      <c r="G273" s="222"/>
      <c r="H273" s="180">
        <v>7.1942592085096875E-3</v>
      </c>
      <c r="I273" s="181">
        <f t="shared" si="168"/>
        <v>708.22721933336516</v>
      </c>
      <c r="J273" s="182">
        <f t="shared" si="143"/>
        <v>534.72050993169103</v>
      </c>
      <c r="K273" s="92">
        <v>48</v>
      </c>
      <c r="L273" s="92">
        <v>48</v>
      </c>
      <c r="M273" s="92">
        <v>108</v>
      </c>
      <c r="N273" s="92">
        <v>108</v>
      </c>
      <c r="O273" s="92">
        <v>108</v>
      </c>
      <c r="P273" s="92">
        <v>108</v>
      </c>
      <c r="Q273" s="93">
        <f t="shared" si="144"/>
        <v>0.20197467273846795</v>
      </c>
      <c r="R273" s="94">
        <v>708.22721933336584</v>
      </c>
      <c r="S273" s="91">
        <v>534.72050993169103</v>
      </c>
      <c r="T273" s="92">
        <v>0</v>
      </c>
      <c r="U273" s="92">
        <v>0</v>
      </c>
      <c r="V273" s="92">
        <v>60</v>
      </c>
      <c r="W273" s="92">
        <v>60</v>
      </c>
      <c r="X273" s="92">
        <v>184</v>
      </c>
      <c r="Y273" s="92">
        <v>158</v>
      </c>
      <c r="Z273" s="93">
        <f t="shared" si="145"/>
        <v>0.29548146567294387</v>
      </c>
      <c r="AA273" s="94">
        <v>708.22721933336584</v>
      </c>
      <c r="AB273" s="91">
        <v>534.72050993169103</v>
      </c>
      <c r="AC273" s="92">
        <v>0</v>
      </c>
      <c r="AD273" s="92">
        <v>0</v>
      </c>
      <c r="AE273" s="92">
        <v>60</v>
      </c>
      <c r="AF273" s="92">
        <v>60</v>
      </c>
      <c r="AG273" s="92"/>
      <c r="AH273" s="92"/>
      <c r="AI273" s="93">
        <f t="shared" si="146"/>
        <v>0</v>
      </c>
      <c r="AJ273" s="95">
        <f t="shared" si="147"/>
        <v>1604.161529795073</v>
      </c>
      <c r="AK273" s="96">
        <f t="shared" si="148"/>
        <v>266</v>
      </c>
      <c r="AL273" s="97">
        <f t="shared" si="149"/>
        <v>0.16581871280380395</v>
      </c>
      <c r="AN273" s="89"/>
      <c r="AO273" s="183"/>
      <c r="AP273" s="184"/>
      <c r="AQ273" s="92"/>
      <c r="AR273" s="92"/>
      <c r="AS273" s="92"/>
      <c r="AT273" s="92"/>
      <c r="AU273" s="92"/>
      <c r="AV273" s="92"/>
      <c r="AW273" s="93">
        <f t="shared" si="150"/>
        <v>0</v>
      </c>
      <c r="AX273" s="183"/>
      <c r="AY273" s="184"/>
      <c r="AZ273" s="92"/>
      <c r="BA273" s="92"/>
      <c r="BB273" s="92"/>
      <c r="BC273" s="92"/>
      <c r="BD273" s="92"/>
      <c r="BE273" s="92"/>
      <c r="BF273" s="93">
        <f t="shared" si="151"/>
        <v>0</v>
      </c>
      <c r="BG273" s="181"/>
      <c r="BH273" s="182"/>
      <c r="BI273" s="92"/>
      <c r="BJ273" s="92"/>
      <c r="BK273" s="92"/>
      <c r="BL273" s="92"/>
      <c r="BM273" s="92"/>
      <c r="BN273" s="92"/>
      <c r="BO273" s="93">
        <f t="shared" si="152"/>
        <v>0</v>
      </c>
      <c r="BP273" s="95">
        <f t="shared" si="153"/>
        <v>0</v>
      </c>
      <c r="BQ273" s="96">
        <f t="shared" si="154"/>
        <v>0</v>
      </c>
      <c r="BR273" s="97">
        <f t="shared" si="155"/>
        <v>0</v>
      </c>
      <c r="BT273" s="82"/>
      <c r="BU273" s="181"/>
      <c r="BV273" s="182"/>
      <c r="BW273" s="92"/>
      <c r="BX273" s="92"/>
      <c r="BY273" s="92"/>
      <c r="BZ273" s="92"/>
      <c r="CA273" s="92"/>
      <c r="CB273" s="92"/>
      <c r="CC273" s="93">
        <f t="shared" si="156"/>
        <v>0</v>
      </c>
      <c r="CD273" s="181"/>
      <c r="CE273" s="182">
        <v>0</v>
      </c>
      <c r="CF273" s="92">
        <v>0</v>
      </c>
      <c r="CG273" s="92">
        <v>0</v>
      </c>
      <c r="CH273" s="92"/>
      <c r="CI273" s="92"/>
      <c r="CJ273" s="92"/>
      <c r="CK273" s="92"/>
      <c r="CL273" s="93">
        <f t="shared" si="157"/>
        <v>0</v>
      </c>
      <c r="CM273" s="181"/>
      <c r="CN273" s="182"/>
      <c r="CO273" s="92"/>
      <c r="CP273" s="92"/>
      <c r="CQ273" s="92"/>
      <c r="CR273" s="92"/>
      <c r="CS273" s="92"/>
      <c r="CT273" s="92"/>
      <c r="CU273" s="93">
        <f t="shared" si="158"/>
        <v>0</v>
      </c>
      <c r="CV273" s="95">
        <f t="shared" si="159"/>
        <v>0</v>
      </c>
      <c r="CW273" s="96">
        <f t="shared" si="160"/>
        <v>0</v>
      </c>
      <c r="CX273" s="97">
        <f t="shared" si="161"/>
        <v>0</v>
      </c>
      <c r="CZ273" s="82"/>
      <c r="DA273" s="136"/>
      <c r="DB273" s="137"/>
      <c r="DC273" s="92"/>
      <c r="DD273" s="92"/>
      <c r="DE273" s="92"/>
      <c r="DF273" s="92"/>
      <c r="DG273" s="92"/>
      <c r="DH273" s="92"/>
      <c r="DI273" s="93">
        <f t="shared" si="162"/>
        <v>0</v>
      </c>
      <c r="DJ273" s="183"/>
      <c r="DK273" s="184"/>
      <c r="DL273" s="92"/>
      <c r="DM273" s="92"/>
      <c r="DN273" s="92"/>
      <c r="DO273" s="92"/>
      <c r="DP273" s="92"/>
      <c r="DQ273" s="92"/>
      <c r="DR273" s="93">
        <f t="shared" si="163"/>
        <v>0</v>
      </c>
      <c r="DS273" s="183"/>
      <c r="DT273" s="184"/>
      <c r="DU273" s="92"/>
      <c r="DV273" s="92"/>
      <c r="DW273" s="92"/>
      <c r="DX273" s="92"/>
      <c r="DY273" s="92"/>
      <c r="DZ273" s="92"/>
      <c r="EA273" s="93">
        <f t="shared" si="164"/>
        <v>0</v>
      </c>
      <c r="EB273" s="95">
        <f t="shared" si="165"/>
        <v>0</v>
      </c>
      <c r="EC273" s="96">
        <f t="shared" si="166"/>
        <v>0</v>
      </c>
      <c r="ED273" s="97">
        <f t="shared" si="167"/>
        <v>0</v>
      </c>
    </row>
    <row r="274" spans="1:134" s="6" customFormat="1" ht="21.95" customHeight="1" x14ac:dyDescent="0.5">
      <c r="A274" s="83">
        <v>78</v>
      </c>
      <c r="B274" s="103" t="s">
        <v>555</v>
      </c>
      <c r="C274" s="185" t="s">
        <v>556</v>
      </c>
      <c r="D274" s="103" t="s">
        <v>230</v>
      </c>
      <c r="E274" s="148" t="s">
        <v>532</v>
      </c>
      <c r="F274" s="83" t="s">
        <v>516</v>
      </c>
      <c r="G274" s="222"/>
      <c r="H274" s="180">
        <v>2.63491773494514E-3</v>
      </c>
      <c r="I274" s="181">
        <f t="shared" si="168"/>
        <v>259.39021746464675</v>
      </c>
      <c r="J274" s="182">
        <f t="shared" si="143"/>
        <v>195.84289556753248</v>
      </c>
      <c r="K274" s="92">
        <v>0</v>
      </c>
      <c r="L274" s="92">
        <v>0</v>
      </c>
      <c r="M274" s="92">
        <v>0</v>
      </c>
      <c r="N274" s="92">
        <v>0</v>
      </c>
      <c r="O274" s="92">
        <v>0</v>
      </c>
      <c r="P274" s="92">
        <v>0</v>
      </c>
      <c r="Q274" s="93">
        <f t="shared" si="144"/>
        <v>0</v>
      </c>
      <c r="R274" s="94">
        <v>259.39021746464704</v>
      </c>
      <c r="S274" s="91">
        <v>195.84289556753248</v>
      </c>
      <c r="T274" s="92">
        <v>120</v>
      </c>
      <c r="U274" s="92">
        <v>120</v>
      </c>
      <c r="V274" s="92">
        <v>120</v>
      </c>
      <c r="W274" s="92">
        <v>120</v>
      </c>
      <c r="X274" s="92">
        <v>240</v>
      </c>
      <c r="Y274" s="92">
        <v>240</v>
      </c>
      <c r="Z274" s="93">
        <f t="shared" si="145"/>
        <v>1.2254720770161449</v>
      </c>
      <c r="AA274" s="94">
        <v>259.39021746464704</v>
      </c>
      <c r="AB274" s="91">
        <v>195.84289556753248</v>
      </c>
      <c r="AC274" s="92">
        <v>0</v>
      </c>
      <c r="AD274" s="92">
        <v>0</v>
      </c>
      <c r="AE274" s="92">
        <v>0</v>
      </c>
      <c r="AF274" s="92">
        <v>0</v>
      </c>
      <c r="AG274" s="92"/>
      <c r="AH274" s="92"/>
      <c r="AI274" s="93">
        <f t="shared" si="146"/>
        <v>0</v>
      </c>
      <c r="AJ274" s="95">
        <f t="shared" si="147"/>
        <v>587.5286867025975</v>
      </c>
      <c r="AK274" s="96">
        <f t="shared" si="148"/>
        <v>240</v>
      </c>
      <c r="AL274" s="97">
        <f t="shared" si="149"/>
        <v>0.40849069233871493</v>
      </c>
      <c r="AN274" s="89"/>
      <c r="AO274" s="183"/>
      <c r="AP274" s="184"/>
      <c r="AQ274" s="92"/>
      <c r="AR274" s="92"/>
      <c r="AS274" s="92"/>
      <c r="AT274" s="92"/>
      <c r="AU274" s="92"/>
      <c r="AV274" s="92"/>
      <c r="AW274" s="93">
        <f t="shared" si="150"/>
        <v>0</v>
      </c>
      <c r="AX274" s="183"/>
      <c r="AY274" s="184"/>
      <c r="AZ274" s="92"/>
      <c r="BA274" s="92"/>
      <c r="BB274" s="92"/>
      <c r="BC274" s="92"/>
      <c r="BD274" s="92"/>
      <c r="BE274" s="92"/>
      <c r="BF274" s="93">
        <f t="shared" si="151"/>
        <v>0</v>
      </c>
      <c r="BG274" s="181"/>
      <c r="BH274" s="182"/>
      <c r="BI274" s="92"/>
      <c r="BJ274" s="92"/>
      <c r="BK274" s="92"/>
      <c r="BL274" s="92"/>
      <c r="BM274" s="92"/>
      <c r="BN274" s="92"/>
      <c r="BO274" s="93">
        <f t="shared" si="152"/>
        <v>0</v>
      </c>
      <c r="BP274" s="95">
        <f t="shared" si="153"/>
        <v>0</v>
      </c>
      <c r="BQ274" s="96">
        <f t="shared" si="154"/>
        <v>0</v>
      </c>
      <c r="BR274" s="97">
        <f t="shared" si="155"/>
        <v>0</v>
      </c>
      <c r="BT274" s="82"/>
      <c r="BU274" s="181"/>
      <c r="BV274" s="182"/>
      <c r="BW274" s="92"/>
      <c r="BX274" s="92"/>
      <c r="BY274" s="92"/>
      <c r="BZ274" s="92"/>
      <c r="CA274" s="92"/>
      <c r="CB274" s="92"/>
      <c r="CC274" s="93">
        <f t="shared" si="156"/>
        <v>0</v>
      </c>
      <c r="CD274" s="181"/>
      <c r="CE274" s="182">
        <v>0</v>
      </c>
      <c r="CF274" s="92">
        <v>0</v>
      </c>
      <c r="CG274" s="92">
        <v>0</v>
      </c>
      <c r="CH274" s="92"/>
      <c r="CI274" s="92"/>
      <c r="CJ274" s="92"/>
      <c r="CK274" s="92"/>
      <c r="CL274" s="93">
        <f t="shared" si="157"/>
        <v>0</v>
      </c>
      <c r="CM274" s="181"/>
      <c r="CN274" s="182"/>
      <c r="CO274" s="92"/>
      <c r="CP274" s="92"/>
      <c r="CQ274" s="92"/>
      <c r="CR274" s="92"/>
      <c r="CS274" s="92"/>
      <c r="CT274" s="92"/>
      <c r="CU274" s="93">
        <f t="shared" si="158"/>
        <v>0</v>
      </c>
      <c r="CV274" s="95">
        <f t="shared" si="159"/>
        <v>0</v>
      </c>
      <c r="CW274" s="96">
        <f t="shared" si="160"/>
        <v>0</v>
      </c>
      <c r="CX274" s="97">
        <f t="shared" si="161"/>
        <v>0</v>
      </c>
      <c r="CZ274" s="82"/>
      <c r="DA274" s="136"/>
      <c r="DB274" s="137"/>
      <c r="DC274" s="92"/>
      <c r="DD274" s="92"/>
      <c r="DE274" s="92"/>
      <c r="DF274" s="92"/>
      <c r="DG274" s="92"/>
      <c r="DH274" s="92"/>
      <c r="DI274" s="93">
        <f t="shared" si="162"/>
        <v>0</v>
      </c>
      <c r="DJ274" s="183"/>
      <c r="DK274" s="184"/>
      <c r="DL274" s="92"/>
      <c r="DM274" s="92"/>
      <c r="DN274" s="92"/>
      <c r="DO274" s="92"/>
      <c r="DP274" s="92"/>
      <c r="DQ274" s="92"/>
      <c r="DR274" s="93">
        <f t="shared" si="163"/>
        <v>0</v>
      </c>
      <c r="DS274" s="183"/>
      <c r="DT274" s="184"/>
      <c r="DU274" s="92"/>
      <c r="DV274" s="92"/>
      <c r="DW274" s="92"/>
      <c r="DX274" s="92"/>
      <c r="DY274" s="92"/>
      <c r="DZ274" s="92"/>
      <c r="EA274" s="93">
        <f t="shared" si="164"/>
        <v>0</v>
      </c>
      <c r="EB274" s="95">
        <f t="shared" si="165"/>
        <v>0</v>
      </c>
      <c r="EC274" s="96">
        <f t="shared" si="166"/>
        <v>0</v>
      </c>
      <c r="ED274" s="97">
        <f t="shared" si="167"/>
        <v>0</v>
      </c>
    </row>
    <row r="275" spans="1:134" s="6" customFormat="1" ht="21.95" customHeight="1" x14ac:dyDescent="0.5">
      <c r="A275" s="83">
        <v>79</v>
      </c>
      <c r="B275" s="103" t="s">
        <v>557</v>
      </c>
      <c r="C275" s="185" t="s">
        <v>558</v>
      </c>
      <c r="D275" s="103" t="s">
        <v>141</v>
      </c>
      <c r="E275" s="148" t="s">
        <v>532</v>
      </c>
      <c r="F275" s="83" t="s">
        <v>516</v>
      </c>
      <c r="G275" s="222"/>
      <c r="H275" s="180">
        <v>1.4362128640012992E-3</v>
      </c>
      <c r="I275" s="181">
        <f t="shared" si="168"/>
        <v>141.38565397244804</v>
      </c>
      <c r="J275" s="182">
        <f t="shared" si="143"/>
        <v>106.74795732976057</v>
      </c>
      <c r="K275" s="92">
        <v>1100</v>
      </c>
      <c r="L275" s="92">
        <v>1049.5999999999999</v>
      </c>
      <c r="M275" s="92">
        <v>2524</v>
      </c>
      <c r="N275" s="92">
        <v>2392.96</v>
      </c>
      <c r="O275" s="92">
        <v>2692</v>
      </c>
      <c r="P275" s="92">
        <v>2500.48</v>
      </c>
      <c r="Q275" s="93">
        <f t="shared" si="144"/>
        <v>23.42414845724532</v>
      </c>
      <c r="R275" s="94">
        <v>141.38565397244818</v>
      </c>
      <c r="S275" s="91">
        <v>106.74795732976057</v>
      </c>
      <c r="T275" s="92">
        <v>1100</v>
      </c>
      <c r="U275" s="92">
        <v>1049.5999999999999</v>
      </c>
      <c r="V275" s="92">
        <v>1760</v>
      </c>
      <c r="W275" s="92">
        <v>1709.6</v>
      </c>
      <c r="X275" s="92">
        <v>2430</v>
      </c>
      <c r="Y275" s="92">
        <v>2354.3999999999996</v>
      </c>
      <c r="Z275" s="93">
        <f t="shared" si="145"/>
        <v>22.055691358354544</v>
      </c>
      <c r="AA275" s="94">
        <v>141.38565397244818</v>
      </c>
      <c r="AB275" s="91">
        <v>106.74795732976057</v>
      </c>
      <c r="AC275" s="92">
        <v>670</v>
      </c>
      <c r="AD275" s="92">
        <v>644.79999999999995</v>
      </c>
      <c r="AE275" s="92">
        <v>1550</v>
      </c>
      <c r="AF275" s="92">
        <v>1424</v>
      </c>
      <c r="AG275" s="92"/>
      <c r="AH275" s="92"/>
      <c r="AI275" s="93">
        <f t="shared" si="146"/>
        <v>0</v>
      </c>
      <c r="AJ275" s="95">
        <f t="shared" si="147"/>
        <v>320.24387198928173</v>
      </c>
      <c r="AK275" s="96">
        <f t="shared" si="148"/>
        <v>4854.8799999999992</v>
      </c>
      <c r="AL275" s="97">
        <f t="shared" si="149"/>
        <v>15.15994660519995</v>
      </c>
      <c r="AN275" s="89"/>
      <c r="AO275" s="183"/>
      <c r="AP275" s="184"/>
      <c r="AQ275" s="92"/>
      <c r="AR275" s="92"/>
      <c r="AS275" s="92"/>
      <c r="AT275" s="92"/>
      <c r="AU275" s="92"/>
      <c r="AV275" s="92"/>
      <c r="AW275" s="93">
        <f t="shared" si="150"/>
        <v>0</v>
      </c>
      <c r="AX275" s="183"/>
      <c r="AY275" s="184"/>
      <c r="AZ275" s="92"/>
      <c r="BA275" s="92"/>
      <c r="BB275" s="92"/>
      <c r="BC275" s="92"/>
      <c r="BD275" s="92"/>
      <c r="BE275" s="92"/>
      <c r="BF275" s="93">
        <f t="shared" si="151"/>
        <v>0</v>
      </c>
      <c r="BG275" s="181"/>
      <c r="BH275" s="182"/>
      <c r="BI275" s="92"/>
      <c r="BJ275" s="92"/>
      <c r="BK275" s="92"/>
      <c r="BL275" s="92"/>
      <c r="BM275" s="92"/>
      <c r="BN275" s="92"/>
      <c r="BO275" s="93">
        <f t="shared" si="152"/>
        <v>0</v>
      </c>
      <c r="BP275" s="95">
        <f t="shared" si="153"/>
        <v>0</v>
      </c>
      <c r="BQ275" s="96">
        <f t="shared" si="154"/>
        <v>0</v>
      </c>
      <c r="BR275" s="97">
        <f t="shared" si="155"/>
        <v>0</v>
      </c>
      <c r="BT275" s="82"/>
      <c r="BU275" s="181"/>
      <c r="BV275" s="182"/>
      <c r="BW275" s="92"/>
      <c r="BX275" s="92"/>
      <c r="BY275" s="92"/>
      <c r="BZ275" s="92"/>
      <c r="CA275" s="92"/>
      <c r="CB275" s="92"/>
      <c r="CC275" s="93">
        <f t="shared" si="156"/>
        <v>0</v>
      </c>
      <c r="CD275" s="181"/>
      <c r="CE275" s="182">
        <v>0</v>
      </c>
      <c r="CF275" s="92"/>
      <c r="CG275" s="92"/>
      <c r="CH275" s="92"/>
      <c r="CI275" s="92"/>
      <c r="CJ275" s="92"/>
      <c r="CK275" s="92"/>
      <c r="CL275" s="93">
        <f t="shared" si="157"/>
        <v>0</v>
      </c>
      <c r="CM275" s="181"/>
      <c r="CN275" s="182"/>
      <c r="CO275" s="92"/>
      <c r="CP275" s="92"/>
      <c r="CQ275" s="92"/>
      <c r="CR275" s="92"/>
      <c r="CS275" s="92"/>
      <c r="CT275" s="92"/>
      <c r="CU275" s="93">
        <f t="shared" si="158"/>
        <v>0</v>
      </c>
      <c r="CV275" s="95">
        <f t="shared" si="159"/>
        <v>0</v>
      </c>
      <c r="CW275" s="96">
        <f t="shared" si="160"/>
        <v>0</v>
      </c>
      <c r="CX275" s="97">
        <f t="shared" si="161"/>
        <v>0</v>
      </c>
      <c r="CZ275" s="82"/>
      <c r="DA275" s="136"/>
      <c r="DB275" s="137"/>
      <c r="DC275" s="92"/>
      <c r="DD275" s="92"/>
      <c r="DE275" s="92"/>
      <c r="DF275" s="92"/>
      <c r="DG275" s="92"/>
      <c r="DH275" s="92"/>
      <c r="DI275" s="93">
        <f t="shared" si="162"/>
        <v>0</v>
      </c>
      <c r="DJ275" s="183"/>
      <c r="DK275" s="184"/>
      <c r="DL275" s="92"/>
      <c r="DM275" s="92"/>
      <c r="DN275" s="92"/>
      <c r="DO275" s="92"/>
      <c r="DP275" s="92"/>
      <c r="DQ275" s="92"/>
      <c r="DR275" s="93">
        <f t="shared" si="163"/>
        <v>0</v>
      </c>
      <c r="DS275" s="183"/>
      <c r="DT275" s="184"/>
      <c r="DU275" s="92"/>
      <c r="DV275" s="92"/>
      <c r="DW275" s="92"/>
      <c r="DX275" s="92"/>
      <c r="DY275" s="92"/>
      <c r="DZ275" s="92"/>
      <c r="EA275" s="93">
        <f t="shared" si="164"/>
        <v>0</v>
      </c>
      <c r="EB275" s="95">
        <f t="shared" si="165"/>
        <v>0</v>
      </c>
      <c r="EC275" s="96">
        <f t="shared" si="166"/>
        <v>0</v>
      </c>
      <c r="ED275" s="97">
        <f t="shared" si="167"/>
        <v>0</v>
      </c>
    </row>
    <row r="276" spans="1:134" s="6" customFormat="1" ht="21.95" customHeight="1" x14ac:dyDescent="0.5">
      <c r="A276" s="83">
        <v>80</v>
      </c>
      <c r="B276" s="103" t="s">
        <v>559</v>
      </c>
      <c r="C276" s="185" t="s">
        <v>560</v>
      </c>
      <c r="D276" s="103" t="s">
        <v>192</v>
      </c>
      <c r="E276" s="148" t="s">
        <v>561</v>
      </c>
      <c r="F276" s="83" t="s">
        <v>516</v>
      </c>
      <c r="G276" s="222"/>
      <c r="H276" s="180">
        <v>4.0904154359895657E-3</v>
      </c>
      <c r="I276" s="181">
        <f t="shared" si="168"/>
        <v>402.67433604873895</v>
      </c>
      <c r="J276" s="182">
        <f t="shared" si="143"/>
        <v>304.02421769536045</v>
      </c>
      <c r="K276" s="92">
        <v>0</v>
      </c>
      <c r="L276" s="92">
        <v>0</v>
      </c>
      <c r="M276" s="92">
        <v>0</v>
      </c>
      <c r="N276" s="92">
        <v>0</v>
      </c>
      <c r="O276" s="92">
        <v>0</v>
      </c>
      <c r="P276" s="92">
        <v>0</v>
      </c>
      <c r="Q276" s="93">
        <f t="shared" si="144"/>
        <v>0</v>
      </c>
      <c r="R276" s="94">
        <v>402.67433604873935</v>
      </c>
      <c r="S276" s="91">
        <v>304.02421769536045</v>
      </c>
      <c r="T276" s="92">
        <v>0</v>
      </c>
      <c r="U276" s="92">
        <v>0</v>
      </c>
      <c r="V276" s="92">
        <v>0</v>
      </c>
      <c r="W276" s="92">
        <v>0</v>
      </c>
      <c r="X276" s="92">
        <v>0</v>
      </c>
      <c r="Y276" s="92">
        <v>0</v>
      </c>
      <c r="Z276" s="93">
        <f t="shared" si="145"/>
        <v>0</v>
      </c>
      <c r="AA276" s="94">
        <v>402.67433604873935</v>
      </c>
      <c r="AB276" s="91">
        <v>304.02421769536045</v>
      </c>
      <c r="AC276" s="92">
        <v>0</v>
      </c>
      <c r="AD276" s="92">
        <v>0</v>
      </c>
      <c r="AE276" s="92">
        <v>0</v>
      </c>
      <c r="AF276" s="92">
        <v>0</v>
      </c>
      <c r="AG276" s="92"/>
      <c r="AH276" s="92"/>
      <c r="AI276" s="93">
        <f t="shared" si="146"/>
        <v>0</v>
      </c>
      <c r="AJ276" s="95">
        <f t="shared" si="147"/>
        <v>912.07265308608135</v>
      </c>
      <c r="AK276" s="96">
        <f t="shared" si="148"/>
        <v>0</v>
      </c>
      <c r="AL276" s="97">
        <f t="shared" si="149"/>
        <v>0</v>
      </c>
      <c r="AN276" s="89"/>
      <c r="AO276" s="183"/>
      <c r="AP276" s="184"/>
      <c r="AQ276" s="92"/>
      <c r="AR276" s="92"/>
      <c r="AS276" s="92"/>
      <c r="AT276" s="92"/>
      <c r="AU276" s="92"/>
      <c r="AV276" s="92"/>
      <c r="AW276" s="93">
        <f t="shared" si="150"/>
        <v>0</v>
      </c>
      <c r="AX276" s="183"/>
      <c r="AY276" s="184"/>
      <c r="AZ276" s="92"/>
      <c r="BA276" s="92"/>
      <c r="BB276" s="92"/>
      <c r="BC276" s="92"/>
      <c r="BD276" s="92"/>
      <c r="BE276" s="92"/>
      <c r="BF276" s="93">
        <f t="shared" si="151"/>
        <v>0</v>
      </c>
      <c r="BG276" s="181"/>
      <c r="BH276" s="182"/>
      <c r="BI276" s="92"/>
      <c r="BJ276" s="92"/>
      <c r="BK276" s="92"/>
      <c r="BL276" s="92"/>
      <c r="BM276" s="92"/>
      <c r="BN276" s="92"/>
      <c r="BO276" s="93">
        <f t="shared" si="152"/>
        <v>0</v>
      </c>
      <c r="BP276" s="95">
        <f t="shared" si="153"/>
        <v>0</v>
      </c>
      <c r="BQ276" s="96">
        <f t="shared" si="154"/>
        <v>0</v>
      </c>
      <c r="BR276" s="97">
        <f t="shared" si="155"/>
        <v>0</v>
      </c>
      <c r="BT276" s="82"/>
      <c r="BU276" s="181"/>
      <c r="BV276" s="182"/>
      <c r="BW276" s="92"/>
      <c r="BX276" s="92"/>
      <c r="BY276" s="92"/>
      <c r="BZ276" s="92"/>
      <c r="CA276" s="92"/>
      <c r="CB276" s="92"/>
      <c r="CC276" s="93">
        <f t="shared" si="156"/>
        <v>0</v>
      </c>
      <c r="CD276" s="181"/>
      <c r="CE276" s="182">
        <v>0</v>
      </c>
      <c r="CF276" s="92">
        <v>0</v>
      </c>
      <c r="CG276" s="92">
        <v>0</v>
      </c>
      <c r="CH276" s="92"/>
      <c r="CI276" s="92"/>
      <c r="CJ276" s="92"/>
      <c r="CK276" s="92"/>
      <c r="CL276" s="93">
        <f t="shared" si="157"/>
        <v>0</v>
      </c>
      <c r="CM276" s="181"/>
      <c r="CN276" s="182"/>
      <c r="CO276" s="92"/>
      <c r="CP276" s="92"/>
      <c r="CQ276" s="92"/>
      <c r="CR276" s="92"/>
      <c r="CS276" s="92"/>
      <c r="CT276" s="92"/>
      <c r="CU276" s="93">
        <f t="shared" si="158"/>
        <v>0</v>
      </c>
      <c r="CV276" s="95">
        <f t="shared" si="159"/>
        <v>0</v>
      </c>
      <c r="CW276" s="96">
        <f t="shared" si="160"/>
        <v>0</v>
      </c>
      <c r="CX276" s="97">
        <f t="shared" si="161"/>
        <v>0</v>
      </c>
      <c r="CZ276" s="82"/>
      <c r="DA276" s="136"/>
      <c r="DB276" s="137"/>
      <c r="DC276" s="92"/>
      <c r="DD276" s="92"/>
      <c r="DE276" s="92"/>
      <c r="DF276" s="92"/>
      <c r="DG276" s="92"/>
      <c r="DH276" s="92"/>
      <c r="DI276" s="93">
        <f t="shared" si="162"/>
        <v>0</v>
      </c>
      <c r="DJ276" s="183"/>
      <c r="DK276" s="184"/>
      <c r="DL276" s="92"/>
      <c r="DM276" s="92"/>
      <c r="DN276" s="92"/>
      <c r="DO276" s="92"/>
      <c r="DP276" s="92"/>
      <c r="DQ276" s="92"/>
      <c r="DR276" s="93">
        <f t="shared" si="163"/>
        <v>0</v>
      </c>
      <c r="DS276" s="183"/>
      <c r="DT276" s="184"/>
      <c r="DU276" s="92"/>
      <c r="DV276" s="92"/>
      <c r="DW276" s="92"/>
      <c r="DX276" s="92"/>
      <c r="DY276" s="92"/>
      <c r="DZ276" s="92"/>
      <c r="EA276" s="93">
        <f t="shared" si="164"/>
        <v>0</v>
      </c>
      <c r="EB276" s="95">
        <f t="shared" si="165"/>
        <v>0</v>
      </c>
      <c r="EC276" s="96">
        <f t="shared" si="166"/>
        <v>0</v>
      </c>
      <c r="ED276" s="97">
        <f t="shared" si="167"/>
        <v>0</v>
      </c>
    </row>
    <row r="277" spans="1:134" s="6" customFormat="1" ht="21.95" customHeight="1" x14ac:dyDescent="0.5">
      <c r="A277" s="83">
        <v>81</v>
      </c>
      <c r="B277" s="103" t="s">
        <v>562</v>
      </c>
      <c r="C277" s="185" t="s">
        <v>563</v>
      </c>
      <c r="D277" s="103" t="s">
        <v>168</v>
      </c>
      <c r="E277" s="148" t="s">
        <v>169</v>
      </c>
      <c r="F277" s="83" t="s">
        <v>516</v>
      </c>
      <c r="G277" s="222"/>
      <c r="H277" s="180">
        <v>2.0471362016990957E-2</v>
      </c>
      <c r="I277" s="181">
        <f t="shared" si="168"/>
        <v>2015.2701448553391</v>
      </c>
      <c r="J277" s="182">
        <f t="shared" si="143"/>
        <v>1521.55445327487</v>
      </c>
      <c r="K277" s="92">
        <v>120</v>
      </c>
      <c r="L277" s="92">
        <v>120</v>
      </c>
      <c r="M277" s="92">
        <v>420</v>
      </c>
      <c r="N277" s="92">
        <v>420</v>
      </c>
      <c r="O277" s="92">
        <v>540</v>
      </c>
      <c r="P277" s="92">
        <v>540</v>
      </c>
      <c r="Q277" s="93">
        <f t="shared" si="144"/>
        <v>0.35490021329026245</v>
      </c>
      <c r="R277" s="94">
        <v>2015.2701448553412</v>
      </c>
      <c r="S277" s="91">
        <v>1521.55445327487</v>
      </c>
      <c r="T277" s="92">
        <v>530</v>
      </c>
      <c r="U277" s="92">
        <v>324.39999999999998</v>
      </c>
      <c r="V277" s="92">
        <v>530</v>
      </c>
      <c r="W277" s="92">
        <v>324.39999999999998</v>
      </c>
      <c r="X277" s="92">
        <v>830</v>
      </c>
      <c r="Y277" s="92">
        <v>624.4</v>
      </c>
      <c r="Z277" s="93">
        <f t="shared" si="145"/>
        <v>0.41036980218229602</v>
      </c>
      <c r="AA277" s="94">
        <v>2015.2701448553412</v>
      </c>
      <c r="AB277" s="91">
        <v>1521.55445327487</v>
      </c>
      <c r="AC277" s="92">
        <v>530</v>
      </c>
      <c r="AD277" s="92">
        <v>324.39999999999998</v>
      </c>
      <c r="AE277" s="92">
        <v>650</v>
      </c>
      <c r="AF277" s="92">
        <v>444.4</v>
      </c>
      <c r="AG277" s="92"/>
      <c r="AH277" s="92"/>
      <c r="AI277" s="93">
        <f t="shared" si="146"/>
        <v>0</v>
      </c>
      <c r="AJ277" s="95">
        <f t="shared" si="147"/>
        <v>4564.6633598246099</v>
      </c>
      <c r="AK277" s="96">
        <f t="shared" si="148"/>
        <v>1164.4000000000001</v>
      </c>
      <c r="AL277" s="97">
        <f t="shared" si="149"/>
        <v>0.25509000515751951</v>
      </c>
      <c r="AN277" s="89"/>
      <c r="AO277" s="183"/>
      <c r="AP277" s="184"/>
      <c r="AQ277" s="92"/>
      <c r="AR277" s="92"/>
      <c r="AS277" s="92"/>
      <c r="AT277" s="92"/>
      <c r="AU277" s="92"/>
      <c r="AV277" s="92"/>
      <c r="AW277" s="93">
        <f t="shared" si="150"/>
        <v>0</v>
      </c>
      <c r="AX277" s="183"/>
      <c r="AY277" s="184"/>
      <c r="AZ277" s="92"/>
      <c r="BA277" s="92"/>
      <c r="BB277" s="92"/>
      <c r="BC277" s="92"/>
      <c r="BD277" s="92"/>
      <c r="BE277" s="92"/>
      <c r="BF277" s="93">
        <f t="shared" si="151"/>
        <v>0</v>
      </c>
      <c r="BG277" s="181"/>
      <c r="BH277" s="182"/>
      <c r="BI277" s="92"/>
      <c r="BJ277" s="92"/>
      <c r="BK277" s="92"/>
      <c r="BL277" s="92"/>
      <c r="BM277" s="92"/>
      <c r="BN277" s="92"/>
      <c r="BO277" s="93">
        <f t="shared" si="152"/>
        <v>0</v>
      </c>
      <c r="BP277" s="95">
        <f t="shared" si="153"/>
        <v>0</v>
      </c>
      <c r="BQ277" s="96">
        <f t="shared" si="154"/>
        <v>0</v>
      </c>
      <c r="BR277" s="97">
        <f t="shared" si="155"/>
        <v>0</v>
      </c>
      <c r="BT277" s="82"/>
      <c r="BU277" s="181"/>
      <c r="BV277" s="182"/>
      <c r="BW277" s="92"/>
      <c r="BX277" s="92"/>
      <c r="BY277" s="92"/>
      <c r="BZ277" s="92"/>
      <c r="CA277" s="92"/>
      <c r="CB277" s="92"/>
      <c r="CC277" s="93">
        <f t="shared" si="156"/>
        <v>0</v>
      </c>
      <c r="CD277" s="181"/>
      <c r="CE277" s="182">
        <v>0</v>
      </c>
      <c r="CF277" s="92"/>
      <c r="CG277" s="92"/>
      <c r="CH277" s="92"/>
      <c r="CI277" s="92"/>
      <c r="CJ277" s="92"/>
      <c r="CK277" s="92"/>
      <c r="CL277" s="93">
        <f t="shared" si="157"/>
        <v>0</v>
      </c>
      <c r="CM277" s="181"/>
      <c r="CN277" s="182"/>
      <c r="CO277" s="92"/>
      <c r="CP277" s="92"/>
      <c r="CQ277" s="92"/>
      <c r="CR277" s="92"/>
      <c r="CS277" s="92"/>
      <c r="CT277" s="92"/>
      <c r="CU277" s="93">
        <f t="shared" si="158"/>
        <v>0</v>
      </c>
      <c r="CV277" s="95">
        <f t="shared" si="159"/>
        <v>0</v>
      </c>
      <c r="CW277" s="96">
        <f t="shared" si="160"/>
        <v>0</v>
      </c>
      <c r="CX277" s="97">
        <f t="shared" si="161"/>
        <v>0</v>
      </c>
      <c r="CZ277" s="82"/>
      <c r="DA277" s="136"/>
      <c r="DB277" s="137"/>
      <c r="DC277" s="92"/>
      <c r="DD277" s="92"/>
      <c r="DE277" s="92"/>
      <c r="DF277" s="92"/>
      <c r="DG277" s="92"/>
      <c r="DH277" s="92"/>
      <c r="DI277" s="93">
        <f t="shared" si="162"/>
        <v>0</v>
      </c>
      <c r="DJ277" s="183"/>
      <c r="DK277" s="184"/>
      <c r="DL277" s="92"/>
      <c r="DM277" s="92"/>
      <c r="DN277" s="92"/>
      <c r="DO277" s="92"/>
      <c r="DP277" s="92"/>
      <c r="DQ277" s="92"/>
      <c r="DR277" s="93">
        <f t="shared" si="163"/>
        <v>0</v>
      </c>
      <c r="DS277" s="183"/>
      <c r="DT277" s="184"/>
      <c r="DU277" s="92"/>
      <c r="DV277" s="92"/>
      <c r="DW277" s="92"/>
      <c r="DX277" s="92"/>
      <c r="DY277" s="92"/>
      <c r="DZ277" s="92"/>
      <c r="EA277" s="93">
        <f t="shared" si="164"/>
        <v>0</v>
      </c>
      <c r="EB277" s="95">
        <f t="shared" si="165"/>
        <v>0</v>
      </c>
      <c r="EC277" s="96">
        <f t="shared" si="166"/>
        <v>0</v>
      </c>
      <c r="ED277" s="97">
        <f t="shared" si="167"/>
        <v>0</v>
      </c>
    </row>
    <row r="278" spans="1:134" s="6" customFormat="1" ht="21.95" customHeight="1" x14ac:dyDescent="0.5">
      <c r="A278" s="83">
        <v>82</v>
      </c>
      <c r="B278" s="103" t="s">
        <v>564</v>
      </c>
      <c r="C278" s="103" t="s">
        <v>565</v>
      </c>
      <c r="D278" s="103" t="s">
        <v>141</v>
      </c>
      <c r="E278" s="148" t="s">
        <v>566</v>
      </c>
      <c r="F278" s="83" t="s">
        <v>516</v>
      </c>
      <c r="G278" s="222"/>
      <c r="H278" s="180">
        <v>1.461587649584361E-3</v>
      </c>
      <c r="I278" s="181">
        <f t="shared" si="168"/>
        <v>143.88363372461143</v>
      </c>
      <c r="J278" s="182">
        <f t="shared" si="143"/>
        <v>108.63396364300722</v>
      </c>
      <c r="K278" s="92">
        <v>286</v>
      </c>
      <c r="L278" s="92">
        <v>260.8</v>
      </c>
      <c r="M278" s="92">
        <v>416</v>
      </c>
      <c r="N278" s="92">
        <v>365.6</v>
      </c>
      <c r="O278" s="92">
        <v>828</v>
      </c>
      <c r="P278" s="92">
        <v>671.36</v>
      </c>
      <c r="Q278" s="93">
        <f t="shared" si="144"/>
        <v>6.1800193741086566</v>
      </c>
      <c r="R278" s="94">
        <v>143.8836337246116</v>
      </c>
      <c r="S278" s="91">
        <v>108.63396364300722</v>
      </c>
      <c r="T278" s="92">
        <v>72</v>
      </c>
      <c r="U278" s="92">
        <v>72</v>
      </c>
      <c r="V278" s="92">
        <v>250</v>
      </c>
      <c r="W278" s="92">
        <v>224.8</v>
      </c>
      <c r="X278" s="92">
        <v>356</v>
      </c>
      <c r="Y278" s="92">
        <v>305.60000000000002</v>
      </c>
      <c r="Z278" s="93">
        <f t="shared" si="145"/>
        <v>2.8131165406452654</v>
      </c>
      <c r="AA278" s="94">
        <v>143.8836337246116</v>
      </c>
      <c r="AB278" s="91">
        <v>108.63396364300722</v>
      </c>
      <c r="AC278" s="92">
        <v>260</v>
      </c>
      <c r="AD278" s="92">
        <v>209.6</v>
      </c>
      <c r="AE278" s="92">
        <v>530</v>
      </c>
      <c r="AF278" s="92">
        <v>402.40000000000003</v>
      </c>
      <c r="AG278" s="92"/>
      <c r="AH278" s="92"/>
      <c r="AI278" s="93">
        <f t="shared" si="146"/>
        <v>0</v>
      </c>
      <c r="AJ278" s="95">
        <f t="shared" si="147"/>
        <v>325.90189092902165</v>
      </c>
      <c r="AK278" s="96">
        <f t="shared" si="148"/>
        <v>976.96</v>
      </c>
      <c r="AL278" s="97">
        <f t="shared" si="149"/>
        <v>2.997711971584641</v>
      </c>
      <c r="AN278" s="89">
        <v>1.1456345661037762E-2</v>
      </c>
      <c r="AO278" s="181"/>
      <c r="AP278" s="182"/>
      <c r="AQ278" s="92"/>
      <c r="AR278" s="92"/>
      <c r="AS278" s="92"/>
      <c r="AT278" s="92"/>
      <c r="AU278" s="92"/>
      <c r="AV278" s="92"/>
      <c r="AW278" s="93">
        <f t="shared" si="150"/>
        <v>0</v>
      </c>
      <c r="AX278" s="183"/>
      <c r="AY278" s="184"/>
      <c r="AZ278" s="92"/>
      <c r="BA278" s="92"/>
      <c r="BB278" s="92"/>
      <c r="BC278" s="92"/>
      <c r="BD278" s="92"/>
      <c r="BE278" s="92"/>
      <c r="BF278" s="93">
        <f t="shared" si="151"/>
        <v>0</v>
      </c>
      <c r="BG278" s="181"/>
      <c r="BH278" s="182"/>
      <c r="BI278" s="92"/>
      <c r="BJ278" s="92"/>
      <c r="BK278" s="92"/>
      <c r="BL278" s="92"/>
      <c r="BM278" s="92"/>
      <c r="BN278" s="92"/>
      <c r="BO278" s="93">
        <f t="shared" si="152"/>
        <v>0</v>
      </c>
      <c r="BP278" s="95">
        <f t="shared" si="153"/>
        <v>0</v>
      </c>
      <c r="BQ278" s="96">
        <f t="shared" si="154"/>
        <v>0</v>
      </c>
      <c r="BR278" s="97">
        <f t="shared" si="155"/>
        <v>0</v>
      </c>
      <c r="BT278" s="82"/>
      <c r="BU278" s="181"/>
      <c r="BV278" s="182"/>
      <c r="BW278" s="92"/>
      <c r="BX278" s="92"/>
      <c r="BY278" s="92"/>
      <c r="BZ278" s="92"/>
      <c r="CA278" s="92"/>
      <c r="CB278" s="92"/>
      <c r="CC278" s="93">
        <f t="shared" si="156"/>
        <v>0</v>
      </c>
      <c r="CD278" s="181"/>
      <c r="CE278" s="182"/>
      <c r="CF278" s="92"/>
      <c r="CG278" s="92"/>
      <c r="CH278" s="92"/>
      <c r="CI278" s="92"/>
      <c r="CJ278" s="92"/>
      <c r="CK278" s="92"/>
      <c r="CL278" s="93">
        <f t="shared" si="157"/>
        <v>0</v>
      </c>
      <c r="CM278" s="181"/>
      <c r="CN278" s="182"/>
      <c r="CO278" s="92"/>
      <c r="CP278" s="92"/>
      <c r="CQ278" s="92"/>
      <c r="CR278" s="92"/>
      <c r="CS278" s="92"/>
      <c r="CT278" s="92"/>
      <c r="CU278" s="93">
        <f t="shared" si="158"/>
        <v>0</v>
      </c>
      <c r="CV278" s="95">
        <f t="shared" si="159"/>
        <v>0</v>
      </c>
      <c r="CW278" s="96">
        <f t="shared" si="160"/>
        <v>0</v>
      </c>
      <c r="CX278" s="97">
        <f t="shared" si="161"/>
        <v>0</v>
      </c>
      <c r="CZ278" s="82"/>
      <c r="DA278" s="136"/>
      <c r="DB278" s="137"/>
      <c r="DC278" s="92"/>
      <c r="DD278" s="92"/>
      <c r="DE278" s="92"/>
      <c r="DF278" s="92"/>
      <c r="DG278" s="92"/>
      <c r="DH278" s="92"/>
      <c r="DI278" s="93">
        <f t="shared" si="162"/>
        <v>0</v>
      </c>
      <c r="DJ278" s="183"/>
      <c r="DK278" s="184"/>
      <c r="DL278" s="92"/>
      <c r="DM278" s="92"/>
      <c r="DN278" s="92"/>
      <c r="DO278" s="92"/>
      <c r="DP278" s="92"/>
      <c r="DQ278" s="92"/>
      <c r="DR278" s="93">
        <f t="shared" si="163"/>
        <v>0</v>
      </c>
      <c r="DS278" s="183"/>
      <c r="DT278" s="184"/>
      <c r="DU278" s="92"/>
      <c r="DV278" s="92"/>
      <c r="DW278" s="92"/>
      <c r="DX278" s="92"/>
      <c r="DY278" s="92"/>
      <c r="DZ278" s="92"/>
      <c r="EA278" s="93">
        <f t="shared" si="164"/>
        <v>0</v>
      </c>
      <c r="EB278" s="95">
        <f t="shared" si="165"/>
        <v>0</v>
      </c>
      <c r="EC278" s="96">
        <f t="shared" si="166"/>
        <v>0</v>
      </c>
      <c r="ED278" s="97">
        <f t="shared" si="167"/>
        <v>0</v>
      </c>
    </row>
    <row r="279" spans="1:134" s="6" customFormat="1" ht="21.95" customHeight="1" x14ac:dyDescent="0.5">
      <c r="A279" s="83">
        <v>83</v>
      </c>
      <c r="B279" s="103" t="s">
        <v>567</v>
      </c>
      <c r="C279" s="103" t="s">
        <v>568</v>
      </c>
      <c r="D279" s="103" t="s">
        <v>168</v>
      </c>
      <c r="E279" s="148" t="s">
        <v>169</v>
      </c>
      <c r="F279" s="83" t="s">
        <v>516</v>
      </c>
      <c r="G279" s="222"/>
      <c r="H279" s="180">
        <v>2.6734874090313938E-3</v>
      </c>
      <c r="I279" s="181">
        <f t="shared" si="168"/>
        <v>263.18714668793513</v>
      </c>
      <c r="J279" s="182">
        <f t="shared" si="143"/>
        <v>198.70962516366737</v>
      </c>
      <c r="K279" s="92">
        <v>0</v>
      </c>
      <c r="L279" s="92">
        <v>0</v>
      </c>
      <c r="M279" s="92">
        <v>0</v>
      </c>
      <c r="N279" s="92">
        <v>0</v>
      </c>
      <c r="O279" s="92">
        <v>0</v>
      </c>
      <c r="P279" s="92">
        <v>0</v>
      </c>
      <c r="Q279" s="93">
        <f t="shared" si="144"/>
        <v>0</v>
      </c>
      <c r="R279" s="94">
        <v>263.18714668793541</v>
      </c>
      <c r="S279" s="91">
        <v>198.70962516366737</v>
      </c>
      <c r="T279" s="92">
        <v>0</v>
      </c>
      <c r="U279" s="92">
        <v>0</v>
      </c>
      <c r="V279" s="92">
        <v>0</v>
      </c>
      <c r="W279" s="92">
        <v>0</v>
      </c>
      <c r="X279" s="92">
        <v>0</v>
      </c>
      <c r="Y279" s="92">
        <v>0</v>
      </c>
      <c r="Z279" s="93">
        <f t="shared" si="145"/>
        <v>0</v>
      </c>
      <c r="AA279" s="94">
        <v>263.18714668793541</v>
      </c>
      <c r="AB279" s="91">
        <v>198.70962516366737</v>
      </c>
      <c r="AC279" s="92">
        <v>0</v>
      </c>
      <c r="AD279" s="92">
        <v>0</v>
      </c>
      <c r="AE279" s="92">
        <v>0</v>
      </c>
      <c r="AF279" s="92">
        <v>0</v>
      </c>
      <c r="AG279" s="92"/>
      <c r="AH279" s="92"/>
      <c r="AI279" s="93">
        <f t="shared" si="146"/>
        <v>0</v>
      </c>
      <c r="AJ279" s="95">
        <f t="shared" si="147"/>
        <v>596.12887549100208</v>
      </c>
      <c r="AK279" s="96">
        <f t="shared" si="148"/>
        <v>0</v>
      </c>
      <c r="AL279" s="97">
        <f t="shared" si="149"/>
        <v>0</v>
      </c>
      <c r="AN279" s="89">
        <v>4.7207791491567673E-3</v>
      </c>
      <c r="AO279" s="181"/>
      <c r="AP279" s="182"/>
      <c r="AQ279" s="92"/>
      <c r="AR279" s="92"/>
      <c r="AS279" s="92"/>
      <c r="AT279" s="92"/>
      <c r="AU279" s="92"/>
      <c r="AV279" s="92"/>
      <c r="AW279" s="93">
        <f t="shared" si="150"/>
        <v>0</v>
      </c>
      <c r="AX279" s="183"/>
      <c r="AY279" s="184"/>
      <c r="AZ279" s="92"/>
      <c r="BA279" s="92"/>
      <c r="BB279" s="92"/>
      <c r="BC279" s="92"/>
      <c r="BD279" s="92"/>
      <c r="BE279" s="92"/>
      <c r="BF279" s="93">
        <f t="shared" si="151"/>
        <v>0</v>
      </c>
      <c r="BG279" s="181"/>
      <c r="BH279" s="182"/>
      <c r="BI279" s="92"/>
      <c r="BJ279" s="92"/>
      <c r="BK279" s="92"/>
      <c r="BL279" s="92"/>
      <c r="BM279" s="92"/>
      <c r="BN279" s="92"/>
      <c r="BO279" s="93">
        <f t="shared" si="152"/>
        <v>0</v>
      </c>
      <c r="BP279" s="95">
        <f t="shared" si="153"/>
        <v>0</v>
      </c>
      <c r="BQ279" s="96">
        <f t="shared" si="154"/>
        <v>0</v>
      </c>
      <c r="BR279" s="97">
        <f t="shared" si="155"/>
        <v>0</v>
      </c>
      <c r="BT279" s="82"/>
      <c r="BU279" s="181"/>
      <c r="BV279" s="182"/>
      <c r="BW279" s="92"/>
      <c r="BX279" s="92"/>
      <c r="BY279" s="92"/>
      <c r="BZ279" s="92"/>
      <c r="CA279" s="92"/>
      <c r="CB279" s="92"/>
      <c r="CC279" s="93">
        <f t="shared" si="156"/>
        <v>0</v>
      </c>
      <c r="CD279" s="181"/>
      <c r="CE279" s="182"/>
      <c r="CF279" s="92"/>
      <c r="CG279" s="92"/>
      <c r="CH279" s="92"/>
      <c r="CI279" s="92"/>
      <c r="CJ279" s="92"/>
      <c r="CK279" s="92"/>
      <c r="CL279" s="93">
        <f t="shared" si="157"/>
        <v>0</v>
      </c>
      <c r="CM279" s="181"/>
      <c r="CN279" s="182"/>
      <c r="CO279" s="92"/>
      <c r="CP279" s="92"/>
      <c r="CQ279" s="92"/>
      <c r="CR279" s="92"/>
      <c r="CS279" s="92"/>
      <c r="CT279" s="92"/>
      <c r="CU279" s="93">
        <f t="shared" si="158"/>
        <v>0</v>
      </c>
      <c r="CV279" s="95">
        <f t="shared" si="159"/>
        <v>0</v>
      </c>
      <c r="CW279" s="96">
        <f t="shared" si="160"/>
        <v>0</v>
      </c>
      <c r="CX279" s="97">
        <f t="shared" si="161"/>
        <v>0</v>
      </c>
      <c r="CZ279" s="82"/>
      <c r="DA279" s="136"/>
      <c r="DB279" s="137"/>
      <c r="DC279" s="92"/>
      <c r="DD279" s="92"/>
      <c r="DE279" s="92"/>
      <c r="DF279" s="92"/>
      <c r="DG279" s="92"/>
      <c r="DH279" s="92"/>
      <c r="DI279" s="93">
        <f t="shared" si="162"/>
        <v>0</v>
      </c>
      <c r="DJ279" s="183"/>
      <c r="DK279" s="184"/>
      <c r="DL279" s="92"/>
      <c r="DM279" s="92"/>
      <c r="DN279" s="92"/>
      <c r="DO279" s="92"/>
      <c r="DP279" s="92"/>
      <c r="DQ279" s="92"/>
      <c r="DR279" s="93">
        <f t="shared" si="163"/>
        <v>0</v>
      </c>
      <c r="DS279" s="183"/>
      <c r="DT279" s="184"/>
      <c r="DU279" s="92"/>
      <c r="DV279" s="92"/>
      <c r="DW279" s="92"/>
      <c r="DX279" s="92"/>
      <c r="DY279" s="92"/>
      <c r="DZ279" s="92"/>
      <c r="EA279" s="93">
        <f t="shared" si="164"/>
        <v>0</v>
      </c>
      <c r="EB279" s="95">
        <f t="shared" si="165"/>
        <v>0</v>
      </c>
      <c r="EC279" s="96">
        <f t="shared" si="166"/>
        <v>0</v>
      </c>
      <c r="ED279" s="97">
        <f t="shared" si="167"/>
        <v>0</v>
      </c>
    </row>
    <row r="280" spans="1:134" s="6" customFormat="1" ht="21.95" customHeight="1" x14ac:dyDescent="0.5">
      <c r="A280" s="83">
        <v>84</v>
      </c>
      <c r="B280" s="103" t="s">
        <v>569</v>
      </c>
      <c r="C280" s="103" t="s">
        <v>570</v>
      </c>
      <c r="D280" s="103" t="s">
        <v>571</v>
      </c>
      <c r="E280" s="148" t="s">
        <v>532</v>
      </c>
      <c r="F280" s="83" t="s">
        <v>572</v>
      </c>
      <c r="G280" s="222"/>
      <c r="H280" s="180">
        <v>9.6556134100666841E-3</v>
      </c>
      <c r="I280" s="181">
        <f t="shared" si="168"/>
        <v>950.53125529321426</v>
      </c>
      <c r="J280" s="182">
        <f t="shared" si="143"/>
        <v>717.66312231661641</v>
      </c>
      <c r="K280" s="92">
        <v>240</v>
      </c>
      <c r="L280" s="92">
        <v>240</v>
      </c>
      <c r="M280" s="92">
        <v>840</v>
      </c>
      <c r="N280" s="92">
        <v>840</v>
      </c>
      <c r="O280" s="92">
        <v>1141</v>
      </c>
      <c r="P280" s="92">
        <v>1123.3600000000001</v>
      </c>
      <c r="Q280" s="93">
        <f t="shared" si="144"/>
        <v>1.565302667878202</v>
      </c>
      <c r="R280" s="94">
        <v>950.53125529321528</v>
      </c>
      <c r="S280" s="91">
        <v>717.66312231661641</v>
      </c>
      <c r="T280" s="92">
        <v>500</v>
      </c>
      <c r="U280" s="92">
        <v>449.6</v>
      </c>
      <c r="V280" s="92">
        <v>980</v>
      </c>
      <c r="W280" s="92">
        <v>929.6</v>
      </c>
      <c r="X280" s="92">
        <v>1340</v>
      </c>
      <c r="Y280" s="92">
        <v>1289.5999999999999</v>
      </c>
      <c r="Z280" s="93">
        <f t="shared" si="145"/>
        <v>1.7969433845746057</v>
      </c>
      <c r="AA280" s="94">
        <v>950.53125529321528</v>
      </c>
      <c r="AB280" s="91">
        <v>717.66312231661641</v>
      </c>
      <c r="AC280" s="92">
        <v>120</v>
      </c>
      <c r="AD280" s="92">
        <v>120</v>
      </c>
      <c r="AE280" s="92">
        <v>830</v>
      </c>
      <c r="AF280" s="92">
        <v>778.8</v>
      </c>
      <c r="AG280" s="92"/>
      <c r="AH280" s="92"/>
      <c r="AI280" s="93">
        <f t="shared" si="146"/>
        <v>0</v>
      </c>
      <c r="AJ280" s="95">
        <f t="shared" si="147"/>
        <v>2152.9893669498492</v>
      </c>
      <c r="AK280" s="96">
        <f t="shared" si="148"/>
        <v>2412.96</v>
      </c>
      <c r="AL280" s="97">
        <f t="shared" si="149"/>
        <v>1.120748684150936</v>
      </c>
      <c r="AN280" s="89">
        <v>4.7354856262569441E-3</v>
      </c>
      <c r="AO280" s="181"/>
      <c r="AP280" s="182"/>
      <c r="AQ280" s="92"/>
      <c r="AR280" s="92"/>
      <c r="AS280" s="92"/>
      <c r="AT280" s="92"/>
      <c r="AU280" s="92"/>
      <c r="AV280" s="92"/>
      <c r="AW280" s="93">
        <f t="shared" si="150"/>
        <v>0</v>
      </c>
      <c r="AX280" s="183"/>
      <c r="AY280" s="184"/>
      <c r="AZ280" s="92"/>
      <c r="BA280" s="92"/>
      <c r="BB280" s="92"/>
      <c r="BC280" s="92"/>
      <c r="BD280" s="92"/>
      <c r="BE280" s="92"/>
      <c r="BF280" s="93">
        <f t="shared" si="151"/>
        <v>0</v>
      </c>
      <c r="BG280" s="181"/>
      <c r="BH280" s="182"/>
      <c r="BI280" s="92"/>
      <c r="BJ280" s="92"/>
      <c r="BK280" s="92"/>
      <c r="BL280" s="92"/>
      <c r="BM280" s="92"/>
      <c r="BN280" s="92"/>
      <c r="BO280" s="93">
        <f t="shared" si="152"/>
        <v>0</v>
      </c>
      <c r="BP280" s="95">
        <f t="shared" si="153"/>
        <v>0</v>
      </c>
      <c r="BQ280" s="96">
        <f t="shared" si="154"/>
        <v>0</v>
      </c>
      <c r="BR280" s="97">
        <f t="shared" si="155"/>
        <v>0</v>
      </c>
      <c r="BT280" s="82"/>
      <c r="BU280" s="181"/>
      <c r="BV280" s="182"/>
      <c r="BW280" s="92"/>
      <c r="BX280" s="92"/>
      <c r="BY280" s="92"/>
      <c r="BZ280" s="92"/>
      <c r="CA280" s="92"/>
      <c r="CB280" s="92"/>
      <c r="CC280" s="93">
        <f t="shared" si="156"/>
        <v>0</v>
      </c>
      <c r="CD280" s="181"/>
      <c r="CE280" s="182"/>
      <c r="CF280" s="92"/>
      <c r="CG280" s="92"/>
      <c r="CH280" s="92"/>
      <c r="CI280" s="92"/>
      <c r="CJ280" s="92"/>
      <c r="CK280" s="92"/>
      <c r="CL280" s="93">
        <f t="shared" si="157"/>
        <v>0</v>
      </c>
      <c r="CM280" s="181"/>
      <c r="CN280" s="182"/>
      <c r="CO280" s="92"/>
      <c r="CP280" s="92"/>
      <c r="CQ280" s="92"/>
      <c r="CR280" s="92"/>
      <c r="CS280" s="92"/>
      <c r="CT280" s="92"/>
      <c r="CU280" s="93">
        <f t="shared" si="158"/>
        <v>0</v>
      </c>
      <c r="CV280" s="95">
        <f t="shared" si="159"/>
        <v>0</v>
      </c>
      <c r="CW280" s="96">
        <f t="shared" si="160"/>
        <v>0</v>
      </c>
      <c r="CX280" s="97">
        <f t="shared" si="161"/>
        <v>0</v>
      </c>
      <c r="CZ280" s="82"/>
      <c r="DA280" s="136"/>
      <c r="DB280" s="137"/>
      <c r="DC280" s="92"/>
      <c r="DD280" s="92"/>
      <c r="DE280" s="92"/>
      <c r="DF280" s="92"/>
      <c r="DG280" s="92"/>
      <c r="DH280" s="92"/>
      <c r="DI280" s="93">
        <f t="shared" si="162"/>
        <v>0</v>
      </c>
      <c r="DJ280" s="183"/>
      <c r="DK280" s="184"/>
      <c r="DL280" s="92"/>
      <c r="DM280" s="92"/>
      <c r="DN280" s="92"/>
      <c r="DO280" s="92"/>
      <c r="DP280" s="92"/>
      <c r="DQ280" s="92"/>
      <c r="DR280" s="93">
        <f t="shared" si="163"/>
        <v>0</v>
      </c>
      <c r="DS280" s="183"/>
      <c r="DT280" s="184"/>
      <c r="DU280" s="92"/>
      <c r="DV280" s="92"/>
      <c r="DW280" s="92"/>
      <c r="DX280" s="92"/>
      <c r="DY280" s="92"/>
      <c r="DZ280" s="92"/>
      <c r="EA280" s="93">
        <f t="shared" si="164"/>
        <v>0</v>
      </c>
      <c r="EB280" s="95">
        <f t="shared" si="165"/>
        <v>0</v>
      </c>
      <c r="EC280" s="96">
        <f t="shared" si="166"/>
        <v>0</v>
      </c>
      <c r="ED280" s="97">
        <f t="shared" si="167"/>
        <v>0</v>
      </c>
    </row>
    <row r="281" spans="1:134" s="6" customFormat="1" ht="21.95" customHeight="1" x14ac:dyDescent="0.5">
      <c r="A281" s="83">
        <v>85</v>
      </c>
      <c r="B281" s="103" t="s">
        <v>573</v>
      </c>
      <c r="C281" s="103" t="s">
        <v>574</v>
      </c>
      <c r="D281" s="103" t="s">
        <v>571</v>
      </c>
      <c r="E281" s="148" t="s">
        <v>532</v>
      </c>
      <c r="F281" s="83" t="s">
        <v>572</v>
      </c>
      <c r="G281" s="222"/>
      <c r="H281" s="180">
        <v>9.1734924839885091E-3</v>
      </c>
      <c r="I281" s="181">
        <f t="shared" si="168"/>
        <v>903.06964000210974</v>
      </c>
      <c r="J281" s="182">
        <f t="shared" si="143"/>
        <v>681.82900236492992</v>
      </c>
      <c r="K281" s="92">
        <v>240</v>
      </c>
      <c r="L281" s="92">
        <v>240</v>
      </c>
      <c r="M281" s="92">
        <v>952</v>
      </c>
      <c r="N281" s="92">
        <v>692</v>
      </c>
      <c r="O281" s="92">
        <v>1276</v>
      </c>
      <c r="P281" s="92">
        <v>988.7600000000001</v>
      </c>
      <c r="Q281" s="93">
        <f t="shared" si="144"/>
        <v>1.4501583191247032</v>
      </c>
      <c r="R281" s="94">
        <v>903.06964000211065</v>
      </c>
      <c r="S281" s="91">
        <v>681.82900236492992</v>
      </c>
      <c r="T281" s="92">
        <v>380</v>
      </c>
      <c r="U281" s="92">
        <v>329.6</v>
      </c>
      <c r="V281" s="92">
        <v>800</v>
      </c>
      <c r="W281" s="92">
        <v>749.6</v>
      </c>
      <c r="X281" s="92">
        <v>1400</v>
      </c>
      <c r="Y281" s="92">
        <v>1349.6</v>
      </c>
      <c r="Z281" s="93">
        <f t="shared" si="145"/>
        <v>1.9793819202745855</v>
      </c>
      <c r="AA281" s="94">
        <v>903.06964000211065</v>
      </c>
      <c r="AB281" s="91">
        <v>681.82900236492992</v>
      </c>
      <c r="AC281" s="92">
        <v>322</v>
      </c>
      <c r="AD281" s="92">
        <v>280.88</v>
      </c>
      <c r="AE281" s="92">
        <v>782</v>
      </c>
      <c r="AF281" s="92">
        <v>640.07999999999993</v>
      </c>
      <c r="AG281" s="92"/>
      <c r="AH281" s="92"/>
      <c r="AI281" s="93">
        <f t="shared" si="146"/>
        <v>0</v>
      </c>
      <c r="AJ281" s="95">
        <f t="shared" si="147"/>
        <v>2045.4870070947898</v>
      </c>
      <c r="AK281" s="96">
        <f t="shared" si="148"/>
        <v>2338.36</v>
      </c>
      <c r="AL281" s="97">
        <f t="shared" si="149"/>
        <v>1.1431800797997629</v>
      </c>
      <c r="AN281" s="89">
        <v>2.6434892587567878E-2</v>
      </c>
      <c r="AO281" s="181"/>
      <c r="AP281" s="182"/>
      <c r="AQ281" s="92"/>
      <c r="AR281" s="92"/>
      <c r="AS281" s="92"/>
      <c r="AT281" s="92"/>
      <c r="AU281" s="92"/>
      <c r="AV281" s="92"/>
      <c r="AW281" s="93">
        <f t="shared" si="150"/>
        <v>0</v>
      </c>
      <c r="AX281" s="183"/>
      <c r="AY281" s="184"/>
      <c r="AZ281" s="92"/>
      <c r="BA281" s="92"/>
      <c r="BB281" s="92"/>
      <c r="BC281" s="92"/>
      <c r="BD281" s="92"/>
      <c r="BE281" s="92"/>
      <c r="BF281" s="93">
        <f t="shared" si="151"/>
        <v>0</v>
      </c>
      <c r="BG281" s="181"/>
      <c r="BH281" s="182"/>
      <c r="BI281" s="92"/>
      <c r="BJ281" s="92"/>
      <c r="BK281" s="92"/>
      <c r="BL281" s="92"/>
      <c r="BM281" s="92"/>
      <c r="BN281" s="92"/>
      <c r="BO281" s="93">
        <f t="shared" si="152"/>
        <v>0</v>
      </c>
      <c r="BP281" s="95">
        <f t="shared" si="153"/>
        <v>0</v>
      </c>
      <c r="BQ281" s="96">
        <f t="shared" si="154"/>
        <v>0</v>
      </c>
      <c r="BR281" s="97">
        <f t="shared" si="155"/>
        <v>0</v>
      </c>
      <c r="BT281" s="82"/>
      <c r="BU281" s="181"/>
      <c r="BV281" s="182"/>
      <c r="BW281" s="92"/>
      <c r="BX281" s="92"/>
      <c r="BY281" s="92"/>
      <c r="BZ281" s="92"/>
      <c r="CA281" s="92"/>
      <c r="CB281" s="92"/>
      <c r="CC281" s="93">
        <f t="shared" si="156"/>
        <v>0</v>
      </c>
      <c r="CD281" s="181"/>
      <c r="CE281" s="182"/>
      <c r="CF281" s="92"/>
      <c r="CG281" s="92"/>
      <c r="CH281" s="92"/>
      <c r="CI281" s="92"/>
      <c r="CJ281" s="92"/>
      <c r="CK281" s="92"/>
      <c r="CL281" s="93">
        <f t="shared" si="157"/>
        <v>0</v>
      </c>
      <c r="CM281" s="181"/>
      <c r="CN281" s="182"/>
      <c r="CO281" s="92"/>
      <c r="CP281" s="92"/>
      <c r="CQ281" s="92"/>
      <c r="CR281" s="92"/>
      <c r="CS281" s="92"/>
      <c r="CT281" s="92"/>
      <c r="CU281" s="93">
        <f t="shared" si="158"/>
        <v>0</v>
      </c>
      <c r="CV281" s="95">
        <f t="shared" si="159"/>
        <v>0</v>
      </c>
      <c r="CW281" s="96">
        <f t="shared" si="160"/>
        <v>0</v>
      </c>
      <c r="CX281" s="97">
        <f t="shared" si="161"/>
        <v>0</v>
      </c>
      <c r="CZ281" s="82"/>
      <c r="DA281" s="136"/>
      <c r="DB281" s="137"/>
      <c r="DC281" s="92"/>
      <c r="DD281" s="92"/>
      <c r="DE281" s="92"/>
      <c r="DF281" s="92"/>
      <c r="DG281" s="92"/>
      <c r="DH281" s="92"/>
      <c r="DI281" s="93">
        <f t="shared" si="162"/>
        <v>0</v>
      </c>
      <c r="DJ281" s="183"/>
      <c r="DK281" s="184"/>
      <c r="DL281" s="92"/>
      <c r="DM281" s="92"/>
      <c r="DN281" s="92"/>
      <c r="DO281" s="92"/>
      <c r="DP281" s="92"/>
      <c r="DQ281" s="92"/>
      <c r="DR281" s="93">
        <f t="shared" si="163"/>
        <v>0</v>
      </c>
      <c r="DS281" s="183"/>
      <c r="DT281" s="184"/>
      <c r="DU281" s="92"/>
      <c r="DV281" s="92"/>
      <c r="DW281" s="92"/>
      <c r="DX281" s="92"/>
      <c r="DY281" s="92"/>
      <c r="DZ281" s="92"/>
      <c r="EA281" s="93">
        <f t="shared" si="164"/>
        <v>0</v>
      </c>
      <c r="EB281" s="95">
        <f t="shared" si="165"/>
        <v>0</v>
      </c>
      <c r="EC281" s="96">
        <f t="shared" si="166"/>
        <v>0</v>
      </c>
      <c r="ED281" s="97">
        <f t="shared" si="167"/>
        <v>0</v>
      </c>
    </row>
    <row r="282" spans="1:134" s="6" customFormat="1" ht="21.95" customHeight="1" x14ac:dyDescent="0.5">
      <c r="A282" s="83">
        <v>86</v>
      </c>
      <c r="B282" s="103" t="s">
        <v>575</v>
      </c>
      <c r="C282" s="103" t="s">
        <v>576</v>
      </c>
      <c r="D282" s="103" t="s">
        <v>571</v>
      </c>
      <c r="E282" s="148" t="s">
        <v>532</v>
      </c>
      <c r="F282" s="83" t="s">
        <v>572</v>
      </c>
      <c r="G282" s="222"/>
      <c r="H282" s="180">
        <v>1.4768125209341982E-3</v>
      </c>
      <c r="I282" s="181">
        <f t="shared" si="168"/>
        <v>145.38242157590949</v>
      </c>
      <c r="J282" s="182">
        <f t="shared" si="143"/>
        <v>109.76556743095522</v>
      </c>
      <c r="K282" s="92">
        <v>264</v>
      </c>
      <c r="L282" s="92">
        <v>264</v>
      </c>
      <c r="M282" s="92">
        <v>1124</v>
      </c>
      <c r="N282" s="92">
        <v>994</v>
      </c>
      <c r="O282" s="92">
        <v>1668</v>
      </c>
      <c r="P282" s="92">
        <v>1450.3000000000002</v>
      </c>
      <c r="Q282" s="93">
        <f t="shared" si="144"/>
        <v>13.212704438596088</v>
      </c>
      <c r="R282" s="94">
        <v>145.38242157590963</v>
      </c>
      <c r="S282" s="91">
        <v>109.76556743095522</v>
      </c>
      <c r="T282" s="92">
        <v>380</v>
      </c>
      <c r="U282" s="92">
        <v>329.6</v>
      </c>
      <c r="V282" s="92">
        <v>740</v>
      </c>
      <c r="W282" s="92">
        <v>689.6</v>
      </c>
      <c r="X282" s="92">
        <v>860</v>
      </c>
      <c r="Y282" s="92">
        <v>731.6</v>
      </c>
      <c r="Z282" s="93">
        <f t="shared" si="145"/>
        <v>6.6651138159531804</v>
      </c>
      <c r="AA282" s="94">
        <v>145.38242157590963</v>
      </c>
      <c r="AB282" s="91">
        <v>109.76556743095522</v>
      </c>
      <c r="AC282" s="92">
        <v>160</v>
      </c>
      <c r="AD282" s="92">
        <v>56</v>
      </c>
      <c r="AE282" s="92">
        <v>580</v>
      </c>
      <c r="AF282" s="92">
        <v>476</v>
      </c>
      <c r="AG282" s="92"/>
      <c r="AH282" s="92"/>
      <c r="AI282" s="93">
        <f t="shared" si="146"/>
        <v>0</v>
      </c>
      <c r="AJ282" s="95">
        <f t="shared" si="147"/>
        <v>329.29670229286563</v>
      </c>
      <c r="AK282" s="96">
        <f t="shared" si="148"/>
        <v>2181.9</v>
      </c>
      <c r="AL282" s="97">
        <f t="shared" si="149"/>
        <v>6.6259394181830897</v>
      </c>
      <c r="AN282" s="89">
        <v>1.4507939659324459E-2</v>
      </c>
      <c r="AO282" s="181"/>
      <c r="AP282" s="182"/>
      <c r="AQ282" s="92"/>
      <c r="AR282" s="92"/>
      <c r="AS282" s="92"/>
      <c r="AT282" s="92"/>
      <c r="AU282" s="92"/>
      <c r="AV282" s="92"/>
      <c r="AW282" s="93">
        <f t="shared" si="150"/>
        <v>0</v>
      </c>
      <c r="AX282" s="183"/>
      <c r="AY282" s="184"/>
      <c r="AZ282" s="92"/>
      <c r="BA282" s="92"/>
      <c r="BB282" s="92"/>
      <c r="BC282" s="92"/>
      <c r="BD282" s="92"/>
      <c r="BE282" s="92"/>
      <c r="BF282" s="93">
        <f t="shared" si="151"/>
        <v>0</v>
      </c>
      <c r="BG282" s="181"/>
      <c r="BH282" s="182"/>
      <c r="BI282" s="92"/>
      <c r="BJ282" s="92"/>
      <c r="BK282" s="92"/>
      <c r="BL282" s="92"/>
      <c r="BM282" s="92"/>
      <c r="BN282" s="92"/>
      <c r="BO282" s="93">
        <f t="shared" si="152"/>
        <v>0</v>
      </c>
      <c r="BP282" s="95">
        <f t="shared" si="153"/>
        <v>0</v>
      </c>
      <c r="BQ282" s="96">
        <f t="shared" si="154"/>
        <v>0</v>
      </c>
      <c r="BR282" s="97">
        <f t="shared" si="155"/>
        <v>0</v>
      </c>
      <c r="BT282" s="82"/>
      <c r="BU282" s="181"/>
      <c r="BV282" s="182"/>
      <c r="BW282" s="92"/>
      <c r="BX282" s="92"/>
      <c r="BY282" s="92"/>
      <c r="BZ282" s="92"/>
      <c r="CA282" s="92"/>
      <c r="CB282" s="92"/>
      <c r="CC282" s="93">
        <f t="shared" si="156"/>
        <v>0</v>
      </c>
      <c r="CD282" s="181"/>
      <c r="CE282" s="182"/>
      <c r="CF282" s="92"/>
      <c r="CG282" s="92"/>
      <c r="CH282" s="92"/>
      <c r="CI282" s="92"/>
      <c r="CJ282" s="92"/>
      <c r="CK282" s="92"/>
      <c r="CL282" s="93">
        <f t="shared" si="157"/>
        <v>0</v>
      </c>
      <c r="CM282" s="181"/>
      <c r="CN282" s="182"/>
      <c r="CO282" s="92"/>
      <c r="CP282" s="92"/>
      <c r="CQ282" s="92"/>
      <c r="CR282" s="92"/>
      <c r="CS282" s="92"/>
      <c r="CT282" s="92"/>
      <c r="CU282" s="93">
        <f t="shared" si="158"/>
        <v>0</v>
      </c>
      <c r="CV282" s="95">
        <f t="shared" si="159"/>
        <v>0</v>
      </c>
      <c r="CW282" s="96">
        <f t="shared" si="160"/>
        <v>0</v>
      </c>
      <c r="CX282" s="97">
        <f t="shared" si="161"/>
        <v>0</v>
      </c>
      <c r="CZ282" s="82"/>
      <c r="DA282" s="136"/>
      <c r="DB282" s="137"/>
      <c r="DC282" s="92"/>
      <c r="DD282" s="92"/>
      <c r="DE282" s="92"/>
      <c r="DF282" s="92"/>
      <c r="DG282" s="92"/>
      <c r="DH282" s="92"/>
      <c r="DI282" s="93">
        <f t="shared" si="162"/>
        <v>0</v>
      </c>
      <c r="DJ282" s="183"/>
      <c r="DK282" s="184"/>
      <c r="DL282" s="92"/>
      <c r="DM282" s="92"/>
      <c r="DN282" s="92"/>
      <c r="DO282" s="92"/>
      <c r="DP282" s="92"/>
      <c r="DQ282" s="92"/>
      <c r="DR282" s="93">
        <f t="shared" si="163"/>
        <v>0</v>
      </c>
      <c r="DS282" s="183"/>
      <c r="DT282" s="184"/>
      <c r="DU282" s="92"/>
      <c r="DV282" s="92"/>
      <c r="DW282" s="92"/>
      <c r="DX282" s="92"/>
      <c r="DY282" s="92"/>
      <c r="DZ282" s="92"/>
      <c r="EA282" s="93">
        <f t="shared" si="164"/>
        <v>0</v>
      </c>
      <c r="EB282" s="95">
        <f t="shared" si="165"/>
        <v>0</v>
      </c>
      <c r="EC282" s="96">
        <f t="shared" si="166"/>
        <v>0</v>
      </c>
      <c r="ED282" s="97">
        <f t="shared" si="167"/>
        <v>0</v>
      </c>
    </row>
    <row r="283" spans="1:134" s="6" customFormat="1" ht="21.95" customHeight="1" x14ac:dyDescent="0.5">
      <c r="A283" s="83">
        <v>87</v>
      </c>
      <c r="B283" s="103" t="s">
        <v>577</v>
      </c>
      <c r="C283" s="103" t="s">
        <v>577</v>
      </c>
      <c r="D283" s="103" t="s">
        <v>571</v>
      </c>
      <c r="E283" s="148" t="s">
        <v>532</v>
      </c>
      <c r="F283" s="83" t="s">
        <v>572</v>
      </c>
      <c r="G283" s="222"/>
      <c r="H283" s="180">
        <v>7.5809709407955502E-3</v>
      </c>
      <c r="I283" s="181">
        <f t="shared" si="168"/>
        <v>746.29643075633533</v>
      </c>
      <c r="J283" s="182">
        <f t="shared" si="143"/>
        <v>563.46324614557011</v>
      </c>
      <c r="K283" s="92">
        <v>520</v>
      </c>
      <c r="L283" s="92">
        <v>417.6</v>
      </c>
      <c r="M283" s="92">
        <v>760</v>
      </c>
      <c r="N283" s="92">
        <v>657.6</v>
      </c>
      <c r="O283" s="92">
        <v>1000</v>
      </c>
      <c r="P283" s="92">
        <v>897.6</v>
      </c>
      <c r="Q283" s="93">
        <f t="shared" si="144"/>
        <v>1.593005410983108</v>
      </c>
      <c r="R283" s="94">
        <v>746.29643075633612</v>
      </c>
      <c r="S283" s="91">
        <v>563.46324614557011</v>
      </c>
      <c r="T283" s="92">
        <v>380</v>
      </c>
      <c r="U283" s="92">
        <v>329.6</v>
      </c>
      <c r="V283" s="92">
        <v>980</v>
      </c>
      <c r="W283" s="92">
        <v>776.8</v>
      </c>
      <c r="X283" s="92">
        <v>1220</v>
      </c>
      <c r="Y283" s="92">
        <v>1016.8</v>
      </c>
      <c r="Z283" s="93">
        <f t="shared" si="145"/>
        <v>1.8045542578961944</v>
      </c>
      <c r="AA283" s="94">
        <v>746.29643075633612</v>
      </c>
      <c r="AB283" s="91">
        <v>563.46324614557011</v>
      </c>
      <c r="AC283" s="92">
        <v>0</v>
      </c>
      <c r="AD283" s="92">
        <v>0</v>
      </c>
      <c r="AE283" s="92">
        <v>1860</v>
      </c>
      <c r="AF283" s="92">
        <v>1708.8</v>
      </c>
      <c r="AG283" s="92"/>
      <c r="AH283" s="92"/>
      <c r="AI283" s="93">
        <f t="shared" si="146"/>
        <v>0</v>
      </c>
      <c r="AJ283" s="95">
        <f t="shared" si="147"/>
        <v>1690.3897384367103</v>
      </c>
      <c r="AK283" s="96">
        <f t="shared" si="148"/>
        <v>1914.4</v>
      </c>
      <c r="AL283" s="97">
        <f t="shared" si="149"/>
        <v>1.1325198896264341</v>
      </c>
      <c r="AN283" s="89">
        <v>6.5811485023291377E-3</v>
      </c>
      <c r="AO283" s="181"/>
      <c r="AP283" s="182"/>
      <c r="AQ283" s="92"/>
      <c r="AR283" s="92"/>
      <c r="AS283" s="92"/>
      <c r="AT283" s="92"/>
      <c r="AU283" s="92"/>
      <c r="AV283" s="92"/>
      <c r="AW283" s="93">
        <f t="shared" si="150"/>
        <v>0</v>
      </c>
      <c r="AX283" s="183"/>
      <c r="AY283" s="184"/>
      <c r="AZ283" s="92"/>
      <c r="BA283" s="92"/>
      <c r="BB283" s="92"/>
      <c r="BC283" s="92"/>
      <c r="BD283" s="92"/>
      <c r="BE283" s="92"/>
      <c r="BF283" s="93">
        <f t="shared" si="151"/>
        <v>0</v>
      </c>
      <c r="BG283" s="181"/>
      <c r="BH283" s="182"/>
      <c r="BI283" s="92"/>
      <c r="BJ283" s="92"/>
      <c r="BK283" s="92"/>
      <c r="BL283" s="92"/>
      <c r="BM283" s="92"/>
      <c r="BN283" s="92"/>
      <c r="BO283" s="93">
        <f t="shared" si="152"/>
        <v>0</v>
      </c>
      <c r="BP283" s="95">
        <f t="shared" si="153"/>
        <v>0</v>
      </c>
      <c r="BQ283" s="96">
        <f t="shared" si="154"/>
        <v>0</v>
      </c>
      <c r="BR283" s="97">
        <f t="shared" si="155"/>
        <v>0</v>
      </c>
      <c r="BT283" s="82"/>
      <c r="BU283" s="181"/>
      <c r="BV283" s="182"/>
      <c r="BW283" s="92"/>
      <c r="BX283" s="92"/>
      <c r="BY283" s="92"/>
      <c r="BZ283" s="92"/>
      <c r="CA283" s="92"/>
      <c r="CB283" s="92"/>
      <c r="CC283" s="93">
        <f t="shared" si="156"/>
        <v>0</v>
      </c>
      <c r="CD283" s="181"/>
      <c r="CE283" s="182"/>
      <c r="CF283" s="92"/>
      <c r="CG283" s="92"/>
      <c r="CH283" s="92"/>
      <c r="CI283" s="92"/>
      <c r="CJ283" s="92"/>
      <c r="CK283" s="92"/>
      <c r="CL283" s="93">
        <f t="shared" si="157"/>
        <v>0</v>
      </c>
      <c r="CM283" s="181"/>
      <c r="CN283" s="182"/>
      <c r="CO283" s="92"/>
      <c r="CP283" s="92"/>
      <c r="CQ283" s="92"/>
      <c r="CR283" s="92"/>
      <c r="CS283" s="92"/>
      <c r="CT283" s="92"/>
      <c r="CU283" s="93">
        <f t="shared" si="158"/>
        <v>0</v>
      </c>
      <c r="CV283" s="95">
        <f t="shared" si="159"/>
        <v>0</v>
      </c>
      <c r="CW283" s="96">
        <f t="shared" si="160"/>
        <v>0</v>
      </c>
      <c r="CX283" s="97">
        <f t="shared" si="161"/>
        <v>0</v>
      </c>
      <c r="CZ283" s="82"/>
      <c r="DA283" s="136"/>
      <c r="DB283" s="137"/>
      <c r="DC283" s="92"/>
      <c r="DD283" s="92"/>
      <c r="DE283" s="92"/>
      <c r="DF283" s="92"/>
      <c r="DG283" s="92"/>
      <c r="DH283" s="92"/>
      <c r="DI283" s="93">
        <f t="shared" si="162"/>
        <v>0</v>
      </c>
      <c r="DJ283" s="183"/>
      <c r="DK283" s="184"/>
      <c r="DL283" s="92"/>
      <c r="DM283" s="92"/>
      <c r="DN283" s="92"/>
      <c r="DO283" s="92"/>
      <c r="DP283" s="92"/>
      <c r="DQ283" s="92"/>
      <c r="DR283" s="93">
        <f t="shared" si="163"/>
        <v>0</v>
      </c>
      <c r="DS283" s="183"/>
      <c r="DT283" s="184"/>
      <c r="DU283" s="92"/>
      <c r="DV283" s="92"/>
      <c r="DW283" s="92"/>
      <c r="DX283" s="92"/>
      <c r="DY283" s="92"/>
      <c r="DZ283" s="92"/>
      <c r="EA283" s="93">
        <f t="shared" si="164"/>
        <v>0</v>
      </c>
      <c r="EB283" s="95">
        <f t="shared" si="165"/>
        <v>0</v>
      </c>
      <c r="EC283" s="96">
        <f t="shared" si="166"/>
        <v>0</v>
      </c>
      <c r="ED283" s="97">
        <f t="shared" si="167"/>
        <v>0</v>
      </c>
    </row>
    <row r="284" spans="1:134" s="6" customFormat="1" ht="21.95" customHeight="1" x14ac:dyDescent="0.5">
      <c r="A284" s="83">
        <v>88</v>
      </c>
      <c r="B284" s="103" t="s">
        <v>578</v>
      </c>
      <c r="C284" s="103" t="s">
        <v>579</v>
      </c>
      <c r="D284" s="103" t="s">
        <v>580</v>
      </c>
      <c r="E284" s="148" t="s">
        <v>532</v>
      </c>
      <c r="F284" s="83" t="s">
        <v>572</v>
      </c>
      <c r="G284" s="222"/>
      <c r="H284" s="180">
        <v>9.6383585558702037E-3</v>
      </c>
      <c r="I284" s="181">
        <f t="shared" si="168"/>
        <v>948.83262906174332</v>
      </c>
      <c r="J284" s="182">
        <f t="shared" si="143"/>
        <v>716.38063802360875</v>
      </c>
      <c r="K284" s="92">
        <v>264</v>
      </c>
      <c r="L284" s="92">
        <v>233.76</v>
      </c>
      <c r="M284" s="92">
        <v>1104</v>
      </c>
      <c r="N284" s="92">
        <v>683.76</v>
      </c>
      <c r="O284" s="92">
        <v>1704</v>
      </c>
      <c r="P284" s="92">
        <v>893.76</v>
      </c>
      <c r="Q284" s="93">
        <f t="shared" si="144"/>
        <v>1.2476049080077811</v>
      </c>
      <c r="R284" s="94">
        <v>948.83262906174434</v>
      </c>
      <c r="S284" s="91">
        <v>716.38063802360875</v>
      </c>
      <c r="T284" s="92">
        <v>480</v>
      </c>
      <c r="U284" s="92">
        <v>480</v>
      </c>
      <c r="V284" s="92">
        <v>740</v>
      </c>
      <c r="W284" s="92">
        <v>689.6</v>
      </c>
      <c r="X284" s="92">
        <v>896</v>
      </c>
      <c r="Y284" s="92">
        <v>845.6</v>
      </c>
      <c r="Z284" s="93">
        <f t="shared" si="145"/>
        <v>1.1803780771251564</v>
      </c>
      <c r="AA284" s="94">
        <v>948.83262906174434</v>
      </c>
      <c r="AB284" s="91">
        <v>716.38063802360875</v>
      </c>
      <c r="AC284" s="92">
        <v>48</v>
      </c>
      <c r="AD284" s="92">
        <v>48</v>
      </c>
      <c r="AE284" s="92">
        <v>896</v>
      </c>
      <c r="AF284" s="92">
        <v>616.40000000000009</v>
      </c>
      <c r="AG284" s="92"/>
      <c r="AH284" s="92"/>
      <c r="AI284" s="93">
        <f t="shared" si="146"/>
        <v>0</v>
      </c>
      <c r="AJ284" s="95">
        <f t="shared" si="147"/>
        <v>2149.1419140708263</v>
      </c>
      <c r="AK284" s="96">
        <f t="shared" si="148"/>
        <v>1739.3600000000001</v>
      </c>
      <c r="AL284" s="97">
        <f t="shared" si="149"/>
        <v>0.80932766171097925</v>
      </c>
      <c r="AN284" s="89">
        <v>2.2942104276275875E-3</v>
      </c>
      <c r="AO284" s="181"/>
      <c r="AP284" s="182"/>
      <c r="AQ284" s="92"/>
      <c r="AR284" s="92"/>
      <c r="AS284" s="92"/>
      <c r="AT284" s="92"/>
      <c r="AU284" s="92"/>
      <c r="AV284" s="92"/>
      <c r="AW284" s="93">
        <f t="shared" si="150"/>
        <v>0</v>
      </c>
      <c r="AX284" s="183"/>
      <c r="AY284" s="184"/>
      <c r="AZ284" s="92"/>
      <c r="BA284" s="92"/>
      <c r="BB284" s="92"/>
      <c r="BC284" s="92"/>
      <c r="BD284" s="92"/>
      <c r="BE284" s="92"/>
      <c r="BF284" s="93">
        <f t="shared" si="151"/>
        <v>0</v>
      </c>
      <c r="BG284" s="181"/>
      <c r="BH284" s="182"/>
      <c r="BI284" s="92"/>
      <c r="BJ284" s="92"/>
      <c r="BK284" s="92"/>
      <c r="BL284" s="92"/>
      <c r="BM284" s="92"/>
      <c r="BN284" s="92"/>
      <c r="BO284" s="93">
        <f t="shared" si="152"/>
        <v>0</v>
      </c>
      <c r="BP284" s="95">
        <f t="shared" si="153"/>
        <v>0</v>
      </c>
      <c r="BQ284" s="96">
        <f t="shared" si="154"/>
        <v>0</v>
      </c>
      <c r="BR284" s="97">
        <f t="shared" si="155"/>
        <v>0</v>
      </c>
      <c r="BT284" s="82"/>
      <c r="BU284" s="181"/>
      <c r="BV284" s="182"/>
      <c r="BW284" s="92"/>
      <c r="BX284" s="92"/>
      <c r="BY284" s="92"/>
      <c r="BZ284" s="92"/>
      <c r="CA284" s="92"/>
      <c r="CB284" s="92"/>
      <c r="CC284" s="93">
        <f t="shared" si="156"/>
        <v>0</v>
      </c>
      <c r="CD284" s="181"/>
      <c r="CE284" s="182"/>
      <c r="CF284" s="92"/>
      <c r="CG284" s="92"/>
      <c r="CH284" s="92"/>
      <c r="CI284" s="92"/>
      <c r="CJ284" s="92"/>
      <c r="CK284" s="92"/>
      <c r="CL284" s="93">
        <f t="shared" si="157"/>
        <v>0</v>
      </c>
      <c r="CM284" s="181"/>
      <c r="CN284" s="182"/>
      <c r="CO284" s="92"/>
      <c r="CP284" s="92"/>
      <c r="CQ284" s="92"/>
      <c r="CR284" s="92"/>
      <c r="CS284" s="92"/>
      <c r="CT284" s="92"/>
      <c r="CU284" s="93">
        <f t="shared" si="158"/>
        <v>0</v>
      </c>
      <c r="CV284" s="95">
        <f t="shared" si="159"/>
        <v>0</v>
      </c>
      <c r="CW284" s="96">
        <f t="shared" si="160"/>
        <v>0</v>
      </c>
      <c r="CX284" s="97">
        <f t="shared" si="161"/>
        <v>0</v>
      </c>
      <c r="CZ284" s="82"/>
      <c r="DA284" s="136"/>
      <c r="DB284" s="137"/>
      <c r="DC284" s="92"/>
      <c r="DD284" s="92"/>
      <c r="DE284" s="92"/>
      <c r="DF284" s="92"/>
      <c r="DG284" s="92"/>
      <c r="DH284" s="92"/>
      <c r="DI284" s="93">
        <f t="shared" si="162"/>
        <v>0</v>
      </c>
      <c r="DJ284" s="183"/>
      <c r="DK284" s="184"/>
      <c r="DL284" s="92"/>
      <c r="DM284" s="92"/>
      <c r="DN284" s="92"/>
      <c r="DO284" s="92"/>
      <c r="DP284" s="92"/>
      <c r="DQ284" s="92"/>
      <c r="DR284" s="93">
        <f t="shared" si="163"/>
        <v>0</v>
      </c>
      <c r="DS284" s="183"/>
      <c r="DT284" s="184"/>
      <c r="DU284" s="92"/>
      <c r="DV284" s="92"/>
      <c r="DW284" s="92"/>
      <c r="DX284" s="92"/>
      <c r="DY284" s="92"/>
      <c r="DZ284" s="92"/>
      <c r="EA284" s="93">
        <f t="shared" si="164"/>
        <v>0</v>
      </c>
      <c r="EB284" s="95">
        <f t="shared" si="165"/>
        <v>0</v>
      </c>
      <c r="EC284" s="96">
        <f t="shared" si="166"/>
        <v>0</v>
      </c>
      <c r="ED284" s="97">
        <f t="shared" si="167"/>
        <v>0</v>
      </c>
    </row>
    <row r="285" spans="1:134" s="6" customFormat="1" ht="21.95" customHeight="1" x14ac:dyDescent="0.5">
      <c r="A285" s="83">
        <v>89</v>
      </c>
      <c r="B285" s="103" t="s">
        <v>153</v>
      </c>
      <c r="C285" s="103" t="s">
        <v>154</v>
      </c>
      <c r="D285" s="103" t="s">
        <v>581</v>
      </c>
      <c r="E285" s="148" t="s">
        <v>532</v>
      </c>
      <c r="F285" s="83" t="s">
        <v>572</v>
      </c>
      <c r="G285" s="222"/>
      <c r="H285" s="180">
        <v>1.0535610974087268E-2</v>
      </c>
      <c r="I285" s="181">
        <f t="shared" si="168"/>
        <v>1037.1611930982408</v>
      </c>
      <c r="J285" s="182">
        <f t="shared" si="143"/>
        <v>783.06982126001026</v>
      </c>
      <c r="K285" s="92">
        <v>180</v>
      </c>
      <c r="L285" s="92">
        <v>180</v>
      </c>
      <c r="M285" s="92">
        <v>776</v>
      </c>
      <c r="N285" s="92">
        <v>709.6</v>
      </c>
      <c r="O285" s="92">
        <v>776</v>
      </c>
      <c r="P285" s="92">
        <v>709.6</v>
      </c>
      <c r="Q285" s="93">
        <f t="shared" si="144"/>
        <v>0.90617717697025724</v>
      </c>
      <c r="R285" s="94">
        <v>1037.1611930982417</v>
      </c>
      <c r="S285" s="91">
        <v>783.06982126001026</v>
      </c>
      <c r="T285" s="92">
        <v>924</v>
      </c>
      <c r="U285" s="92">
        <v>612</v>
      </c>
      <c r="V285" s="92">
        <v>1228</v>
      </c>
      <c r="W285" s="92">
        <v>882.21999999999991</v>
      </c>
      <c r="X285" s="92">
        <v>1368</v>
      </c>
      <c r="Y285" s="92">
        <v>971.81999999999994</v>
      </c>
      <c r="Z285" s="93">
        <f t="shared" si="145"/>
        <v>1.2410387600383812</v>
      </c>
      <c r="AA285" s="94">
        <v>1037.1611930982417</v>
      </c>
      <c r="AB285" s="91">
        <v>783.06982126001026</v>
      </c>
      <c r="AC285" s="92">
        <v>1112</v>
      </c>
      <c r="AD285" s="92">
        <v>983.6</v>
      </c>
      <c r="AE285" s="92">
        <v>1472</v>
      </c>
      <c r="AF285" s="92">
        <v>1343.6</v>
      </c>
      <c r="AG285" s="92"/>
      <c r="AH285" s="92"/>
      <c r="AI285" s="93">
        <f t="shared" si="146"/>
        <v>0</v>
      </c>
      <c r="AJ285" s="95">
        <f t="shared" si="147"/>
        <v>2349.209463780031</v>
      </c>
      <c r="AK285" s="96">
        <f t="shared" si="148"/>
        <v>1681.42</v>
      </c>
      <c r="AL285" s="97">
        <f t="shared" si="149"/>
        <v>0.71573864566954615</v>
      </c>
      <c r="AN285" s="89">
        <v>5.867884362970561E-3</v>
      </c>
      <c r="AO285" s="181"/>
      <c r="AP285" s="182"/>
      <c r="AQ285" s="92"/>
      <c r="AR285" s="92"/>
      <c r="AS285" s="92"/>
      <c r="AT285" s="92"/>
      <c r="AU285" s="92"/>
      <c r="AV285" s="92"/>
      <c r="AW285" s="93">
        <f t="shared" si="150"/>
        <v>0</v>
      </c>
      <c r="AX285" s="183"/>
      <c r="AY285" s="184"/>
      <c r="AZ285" s="92"/>
      <c r="BA285" s="92"/>
      <c r="BB285" s="92"/>
      <c r="BC285" s="92"/>
      <c r="BD285" s="92"/>
      <c r="BE285" s="92"/>
      <c r="BF285" s="93">
        <f t="shared" si="151"/>
        <v>0</v>
      </c>
      <c r="BG285" s="181"/>
      <c r="BH285" s="182"/>
      <c r="BI285" s="92"/>
      <c r="BJ285" s="92"/>
      <c r="BK285" s="92"/>
      <c r="BL285" s="92"/>
      <c r="BM285" s="92"/>
      <c r="BN285" s="92"/>
      <c r="BO285" s="93">
        <f t="shared" si="152"/>
        <v>0</v>
      </c>
      <c r="BP285" s="95">
        <f t="shared" si="153"/>
        <v>0</v>
      </c>
      <c r="BQ285" s="96">
        <f t="shared" si="154"/>
        <v>0</v>
      </c>
      <c r="BR285" s="97">
        <f t="shared" si="155"/>
        <v>0</v>
      </c>
      <c r="BT285" s="82"/>
      <c r="BU285" s="181"/>
      <c r="BV285" s="182"/>
      <c r="BW285" s="92"/>
      <c r="BX285" s="92"/>
      <c r="BY285" s="92"/>
      <c r="BZ285" s="92"/>
      <c r="CA285" s="92"/>
      <c r="CB285" s="92"/>
      <c r="CC285" s="93">
        <f t="shared" si="156"/>
        <v>0</v>
      </c>
      <c r="CD285" s="181"/>
      <c r="CE285" s="182"/>
      <c r="CF285" s="92"/>
      <c r="CG285" s="92"/>
      <c r="CH285" s="92"/>
      <c r="CI285" s="92"/>
      <c r="CJ285" s="92"/>
      <c r="CK285" s="92"/>
      <c r="CL285" s="93">
        <f t="shared" si="157"/>
        <v>0</v>
      </c>
      <c r="CM285" s="181"/>
      <c r="CN285" s="182"/>
      <c r="CO285" s="92"/>
      <c r="CP285" s="92"/>
      <c r="CQ285" s="92"/>
      <c r="CR285" s="92"/>
      <c r="CS285" s="92"/>
      <c r="CT285" s="92"/>
      <c r="CU285" s="93">
        <f t="shared" si="158"/>
        <v>0</v>
      </c>
      <c r="CV285" s="95">
        <f t="shared" si="159"/>
        <v>0</v>
      </c>
      <c r="CW285" s="96">
        <f t="shared" si="160"/>
        <v>0</v>
      </c>
      <c r="CX285" s="97">
        <f t="shared" si="161"/>
        <v>0</v>
      </c>
      <c r="CZ285" s="82"/>
      <c r="DA285" s="136"/>
      <c r="DB285" s="137"/>
      <c r="DC285" s="92"/>
      <c r="DD285" s="92"/>
      <c r="DE285" s="92"/>
      <c r="DF285" s="92"/>
      <c r="DG285" s="92"/>
      <c r="DH285" s="92"/>
      <c r="DI285" s="93">
        <f t="shared" si="162"/>
        <v>0</v>
      </c>
      <c r="DJ285" s="183"/>
      <c r="DK285" s="184"/>
      <c r="DL285" s="92"/>
      <c r="DM285" s="92"/>
      <c r="DN285" s="92"/>
      <c r="DO285" s="92"/>
      <c r="DP285" s="92"/>
      <c r="DQ285" s="92"/>
      <c r="DR285" s="93">
        <f t="shared" si="163"/>
        <v>0</v>
      </c>
      <c r="DS285" s="183"/>
      <c r="DT285" s="184"/>
      <c r="DU285" s="92"/>
      <c r="DV285" s="92"/>
      <c r="DW285" s="92"/>
      <c r="DX285" s="92"/>
      <c r="DY285" s="92"/>
      <c r="DZ285" s="92"/>
      <c r="EA285" s="93">
        <f t="shared" si="164"/>
        <v>0</v>
      </c>
      <c r="EB285" s="95">
        <f t="shared" si="165"/>
        <v>0</v>
      </c>
      <c r="EC285" s="96">
        <f t="shared" si="166"/>
        <v>0</v>
      </c>
      <c r="ED285" s="97">
        <f t="shared" si="167"/>
        <v>0</v>
      </c>
    </row>
    <row r="286" spans="1:134" s="6" customFormat="1" ht="21.95" customHeight="1" x14ac:dyDescent="0.5">
      <c r="A286" s="83">
        <v>90</v>
      </c>
      <c r="B286" s="103" t="s">
        <v>582</v>
      </c>
      <c r="C286" s="103" t="s">
        <v>583</v>
      </c>
      <c r="D286" s="103" t="s">
        <v>161</v>
      </c>
      <c r="E286" s="148" t="s">
        <v>61</v>
      </c>
      <c r="F286" s="83" t="s">
        <v>572</v>
      </c>
      <c r="G286" s="222"/>
      <c r="H286" s="180">
        <v>2.081341412665063E-2</v>
      </c>
      <c r="I286" s="181">
        <f t="shared" si="168"/>
        <v>2048.9429119145016</v>
      </c>
      <c r="J286" s="182">
        <f t="shared" si="143"/>
        <v>1546.9778183774347</v>
      </c>
      <c r="K286" s="92">
        <v>0</v>
      </c>
      <c r="L286" s="92">
        <v>0</v>
      </c>
      <c r="M286" s="92">
        <v>2060</v>
      </c>
      <c r="N286" s="92">
        <v>1404.8</v>
      </c>
      <c r="O286" s="92">
        <v>2060</v>
      </c>
      <c r="P286" s="92">
        <v>1404.8</v>
      </c>
      <c r="Q286" s="93">
        <f t="shared" si="144"/>
        <v>0.90809317581129922</v>
      </c>
      <c r="R286" s="94">
        <v>2048.9429119145038</v>
      </c>
      <c r="S286" s="91">
        <v>1546.9778183774347</v>
      </c>
      <c r="T286" s="92">
        <v>900</v>
      </c>
      <c r="U286" s="92">
        <v>748.8</v>
      </c>
      <c r="V286" s="92">
        <v>1512</v>
      </c>
      <c r="W286" s="92">
        <v>1360.8</v>
      </c>
      <c r="X286" s="92">
        <v>1512</v>
      </c>
      <c r="Y286" s="92">
        <v>1360.8</v>
      </c>
      <c r="Z286" s="93">
        <f t="shared" si="145"/>
        <v>0.87965062189921417</v>
      </c>
      <c r="AA286" s="94">
        <v>2048.9429119145038</v>
      </c>
      <c r="AB286" s="91">
        <v>1546.9778183774347</v>
      </c>
      <c r="AC286" s="92">
        <v>1280</v>
      </c>
      <c r="AD286" s="92">
        <v>919.2</v>
      </c>
      <c r="AE286" s="92">
        <v>3780</v>
      </c>
      <c r="AF286" s="92">
        <v>2649.2</v>
      </c>
      <c r="AG286" s="92"/>
      <c r="AH286" s="92"/>
      <c r="AI286" s="93">
        <f t="shared" si="146"/>
        <v>0</v>
      </c>
      <c r="AJ286" s="95">
        <f t="shared" si="147"/>
        <v>4640.9334551323045</v>
      </c>
      <c r="AK286" s="96">
        <f t="shared" si="148"/>
        <v>2765.6</v>
      </c>
      <c r="AL286" s="97">
        <f t="shared" si="149"/>
        <v>0.59591459923683776</v>
      </c>
      <c r="AN286" s="89">
        <v>3.3824897330406744E-3</v>
      </c>
      <c r="AO286" s="181"/>
      <c r="AP286" s="182"/>
      <c r="AQ286" s="92"/>
      <c r="AR286" s="92"/>
      <c r="AS286" s="92"/>
      <c r="AT286" s="92"/>
      <c r="AU286" s="92"/>
      <c r="AV286" s="92"/>
      <c r="AW286" s="93">
        <f t="shared" si="150"/>
        <v>0</v>
      </c>
      <c r="AX286" s="183"/>
      <c r="AY286" s="184"/>
      <c r="AZ286" s="92"/>
      <c r="BA286" s="92"/>
      <c r="BB286" s="92"/>
      <c r="BC286" s="92"/>
      <c r="BD286" s="92"/>
      <c r="BE286" s="92"/>
      <c r="BF286" s="93">
        <f t="shared" si="151"/>
        <v>0</v>
      </c>
      <c r="BG286" s="181"/>
      <c r="BH286" s="182"/>
      <c r="BI286" s="92"/>
      <c r="BJ286" s="92"/>
      <c r="BK286" s="92"/>
      <c r="BL286" s="92"/>
      <c r="BM286" s="92"/>
      <c r="BN286" s="92"/>
      <c r="BO286" s="93">
        <f t="shared" si="152"/>
        <v>0</v>
      </c>
      <c r="BP286" s="95">
        <f t="shared" si="153"/>
        <v>0</v>
      </c>
      <c r="BQ286" s="96">
        <f t="shared" si="154"/>
        <v>0</v>
      </c>
      <c r="BR286" s="97">
        <f t="shared" si="155"/>
        <v>0</v>
      </c>
      <c r="BT286" s="82"/>
      <c r="BU286" s="181"/>
      <c r="BV286" s="182"/>
      <c r="BW286" s="92"/>
      <c r="BX286" s="92"/>
      <c r="BY286" s="92"/>
      <c r="BZ286" s="92"/>
      <c r="CA286" s="92"/>
      <c r="CB286" s="92"/>
      <c r="CC286" s="93">
        <f t="shared" si="156"/>
        <v>0</v>
      </c>
      <c r="CD286" s="181"/>
      <c r="CE286" s="182"/>
      <c r="CF286" s="92"/>
      <c r="CG286" s="92"/>
      <c r="CH286" s="92"/>
      <c r="CI286" s="92"/>
      <c r="CJ286" s="92"/>
      <c r="CK286" s="92"/>
      <c r="CL286" s="93">
        <f t="shared" si="157"/>
        <v>0</v>
      </c>
      <c r="CM286" s="181"/>
      <c r="CN286" s="182"/>
      <c r="CO286" s="92"/>
      <c r="CP286" s="92"/>
      <c r="CQ286" s="92"/>
      <c r="CR286" s="92"/>
      <c r="CS286" s="92"/>
      <c r="CT286" s="92"/>
      <c r="CU286" s="93">
        <f t="shared" si="158"/>
        <v>0</v>
      </c>
      <c r="CV286" s="95">
        <f t="shared" si="159"/>
        <v>0</v>
      </c>
      <c r="CW286" s="96">
        <f t="shared" si="160"/>
        <v>0</v>
      </c>
      <c r="CX286" s="97">
        <f t="shared" si="161"/>
        <v>0</v>
      </c>
      <c r="CZ286" s="82"/>
      <c r="DA286" s="136"/>
      <c r="DB286" s="137"/>
      <c r="DC286" s="92"/>
      <c r="DD286" s="92"/>
      <c r="DE286" s="92"/>
      <c r="DF286" s="92"/>
      <c r="DG286" s="92"/>
      <c r="DH286" s="92"/>
      <c r="DI286" s="93">
        <f t="shared" si="162"/>
        <v>0</v>
      </c>
      <c r="DJ286" s="183"/>
      <c r="DK286" s="184"/>
      <c r="DL286" s="92"/>
      <c r="DM286" s="92"/>
      <c r="DN286" s="92"/>
      <c r="DO286" s="92"/>
      <c r="DP286" s="92"/>
      <c r="DQ286" s="92"/>
      <c r="DR286" s="93">
        <f t="shared" si="163"/>
        <v>0</v>
      </c>
      <c r="DS286" s="183"/>
      <c r="DT286" s="184"/>
      <c r="DU286" s="92"/>
      <c r="DV286" s="92"/>
      <c r="DW286" s="92"/>
      <c r="DX286" s="92"/>
      <c r="DY286" s="92"/>
      <c r="DZ286" s="92"/>
      <c r="EA286" s="93">
        <f t="shared" si="164"/>
        <v>0</v>
      </c>
      <c r="EB286" s="95">
        <f t="shared" si="165"/>
        <v>0</v>
      </c>
      <c r="EC286" s="96">
        <f t="shared" si="166"/>
        <v>0</v>
      </c>
      <c r="ED286" s="97">
        <f t="shared" si="167"/>
        <v>0</v>
      </c>
    </row>
    <row r="287" spans="1:134" s="6" customFormat="1" ht="21.95" customHeight="1" x14ac:dyDescent="0.5">
      <c r="A287" s="83">
        <v>91</v>
      </c>
      <c r="B287" s="103" t="s">
        <v>584</v>
      </c>
      <c r="C287" s="103" t="s">
        <v>585</v>
      </c>
      <c r="D287" s="103" t="s">
        <v>571</v>
      </c>
      <c r="E287" s="148" t="s">
        <v>586</v>
      </c>
      <c r="F287" s="83" t="s">
        <v>572</v>
      </c>
      <c r="G287" s="222"/>
      <c r="H287" s="180">
        <v>1.3364392070887E-2</v>
      </c>
      <c r="I287" s="181">
        <f t="shared" si="168"/>
        <v>1315.6359758694159</v>
      </c>
      <c r="J287" s="182">
        <f t="shared" si="143"/>
        <v>993.32180506074724</v>
      </c>
      <c r="K287" s="92">
        <v>580</v>
      </c>
      <c r="L287" s="92">
        <v>554</v>
      </c>
      <c r="M287" s="92">
        <v>1060</v>
      </c>
      <c r="N287" s="92">
        <v>1034</v>
      </c>
      <c r="O287" s="92">
        <v>1328</v>
      </c>
      <c r="P287" s="92">
        <v>1285.1999999999998</v>
      </c>
      <c r="Q287" s="93">
        <f t="shared" si="144"/>
        <v>1.2938405192075719</v>
      </c>
      <c r="R287" s="94">
        <v>1315.6359758694173</v>
      </c>
      <c r="S287" s="91">
        <v>993.32180506074724</v>
      </c>
      <c r="T287" s="92">
        <v>1000</v>
      </c>
      <c r="U287" s="92">
        <v>974</v>
      </c>
      <c r="V287" s="92">
        <v>1720</v>
      </c>
      <c r="W287" s="92">
        <v>1694</v>
      </c>
      <c r="X287" s="92">
        <v>2200</v>
      </c>
      <c r="Y287" s="92">
        <v>2174</v>
      </c>
      <c r="Z287" s="93">
        <f t="shared" si="145"/>
        <v>2.1886160043240444</v>
      </c>
      <c r="AA287" s="94">
        <v>1315.6359758694173</v>
      </c>
      <c r="AB287" s="91">
        <v>993.32180506074724</v>
      </c>
      <c r="AC287" s="92">
        <v>0</v>
      </c>
      <c r="AD287" s="92">
        <v>0</v>
      </c>
      <c r="AE287" s="92">
        <v>420</v>
      </c>
      <c r="AF287" s="92">
        <v>420</v>
      </c>
      <c r="AG287" s="92"/>
      <c r="AH287" s="92"/>
      <c r="AI287" s="93">
        <f t="shared" si="146"/>
        <v>0</v>
      </c>
      <c r="AJ287" s="95">
        <f t="shared" si="147"/>
        <v>2979.9654151822415</v>
      </c>
      <c r="AK287" s="96">
        <f t="shared" si="148"/>
        <v>3459.2</v>
      </c>
      <c r="AL287" s="97">
        <f t="shared" si="149"/>
        <v>1.1608188411772056</v>
      </c>
      <c r="AN287" s="89">
        <v>4.2060524506505777E-3</v>
      </c>
      <c r="AO287" s="181"/>
      <c r="AP287" s="182"/>
      <c r="AQ287" s="92"/>
      <c r="AR287" s="92"/>
      <c r="AS287" s="92"/>
      <c r="AT287" s="92"/>
      <c r="AU287" s="92"/>
      <c r="AV287" s="92"/>
      <c r="AW287" s="93">
        <f t="shared" si="150"/>
        <v>0</v>
      </c>
      <c r="AX287" s="183"/>
      <c r="AY287" s="184"/>
      <c r="AZ287" s="92"/>
      <c r="BA287" s="92"/>
      <c r="BB287" s="92"/>
      <c r="BC287" s="92"/>
      <c r="BD287" s="92"/>
      <c r="BE287" s="92"/>
      <c r="BF287" s="93">
        <f t="shared" si="151"/>
        <v>0</v>
      </c>
      <c r="BG287" s="181"/>
      <c r="BH287" s="182"/>
      <c r="BI287" s="92"/>
      <c r="BJ287" s="92"/>
      <c r="BK287" s="92"/>
      <c r="BL287" s="92"/>
      <c r="BM287" s="92"/>
      <c r="BN287" s="92"/>
      <c r="BO287" s="93">
        <f t="shared" si="152"/>
        <v>0</v>
      </c>
      <c r="BP287" s="95">
        <f t="shared" si="153"/>
        <v>0</v>
      </c>
      <c r="BQ287" s="96">
        <f t="shared" si="154"/>
        <v>0</v>
      </c>
      <c r="BR287" s="97">
        <f t="shared" si="155"/>
        <v>0</v>
      </c>
      <c r="BT287" s="82"/>
      <c r="BU287" s="181"/>
      <c r="BV287" s="182"/>
      <c r="BW287" s="92"/>
      <c r="BX287" s="92"/>
      <c r="BY287" s="92"/>
      <c r="BZ287" s="92"/>
      <c r="CA287" s="92"/>
      <c r="CB287" s="92"/>
      <c r="CC287" s="93">
        <f t="shared" si="156"/>
        <v>0</v>
      </c>
      <c r="CD287" s="181"/>
      <c r="CE287" s="182"/>
      <c r="CF287" s="92"/>
      <c r="CG287" s="92"/>
      <c r="CH287" s="92"/>
      <c r="CI287" s="92"/>
      <c r="CJ287" s="92"/>
      <c r="CK287" s="92"/>
      <c r="CL287" s="93">
        <f t="shared" si="157"/>
        <v>0</v>
      </c>
      <c r="CM287" s="181"/>
      <c r="CN287" s="182"/>
      <c r="CO287" s="92"/>
      <c r="CP287" s="92"/>
      <c r="CQ287" s="92"/>
      <c r="CR287" s="92"/>
      <c r="CS287" s="92"/>
      <c r="CT287" s="92"/>
      <c r="CU287" s="93">
        <f t="shared" si="158"/>
        <v>0</v>
      </c>
      <c r="CV287" s="95">
        <f t="shared" si="159"/>
        <v>0</v>
      </c>
      <c r="CW287" s="96">
        <f t="shared" si="160"/>
        <v>0</v>
      </c>
      <c r="CX287" s="97">
        <f t="shared" si="161"/>
        <v>0</v>
      </c>
      <c r="CZ287" s="82"/>
      <c r="DA287" s="136"/>
      <c r="DB287" s="137"/>
      <c r="DC287" s="92"/>
      <c r="DD287" s="92"/>
      <c r="DE287" s="92"/>
      <c r="DF287" s="92"/>
      <c r="DG287" s="92"/>
      <c r="DH287" s="92"/>
      <c r="DI287" s="93">
        <f t="shared" si="162"/>
        <v>0</v>
      </c>
      <c r="DJ287" s="183"/>
      <c r="DK287" s="184"/>
      <c r="DL287" s="92"/>
      <c r="DM287" s="92"/>
      <c r="DN287" s="92"/>
      <c r="DO287" s="92"/>
      <c r="DP287" s="92"/>
      <c r="DQ287" s="92"/>
      <c r="DR287" s="93">
        <f t="shared" si="163"/>
        <v>0</v>
      </c>
      <c r="DS287" s="183"/>
      <c r="DT287" s="184"/>
      <c r="DU287" s="92"/>
      <c r="DV287" s="92"/>
      <c r="DW287" s="92"/>
      <c r="DX287" s="92"/>
      <c r="DY287" s="92"/>
      <c r="DZ287" s="92"/>
      <c r="EA287" s="93">
        <f t="shared" si="164"/>
        <v>0</v>
      </c>
      <c r="EB287" s="95">
        <f t="shared" si="165"/>
        <v>0</v>
      </c>
      <c r="EC287" s="96">
        <f t="shared" si="166"/>
        <v>0</v>
      </c>
      <c r="ED287" s="97">
        <f t="shared" si="167"/>
        <v>0</v>
      </c>
    </row>
    <row r="288" spans="1:134" s="6" customFormat="1" ht="21.95" customHeight="1" x14ac:dyDescent="0.5">
      <c r="A288" s="83">
        <v>92</v>
      </c>
      <c r="B288" s="103" t="s">
        <v>587</v>
      </c>
      <c r="C288" s="103" t="s">
        <v>588</v>
      </c>
      <c r="D288" s="103" t="s">
        <v>589</v>
      </c>
      <c r="E288" s="148" t="s">
        <v>590</v>
      </c>
      <c r="F288" s="83" t="s">
        <v>591</v>
      </c>
      <c r="G288" s="222"/>
      <c r="H288" s="180">
        <v>1.2372745450300945E-2</v>
      </c>
      <c r="I288" s="181">
        <f t="shared" si="168"/>
        <v>1218.0149271548705</v>
      </c>
      <c r="J288" s="182">
        <f t="shared" si="143"/>
        <v>919.61667833906802</v>
      </c>
      <c r="K288" s="92">
        <v>100</v>
      </c>
      <c r="L288" s="92">
        <v>74</v>
      </c>
      <c r="M288" s="92">
        <v>456</v>
      </c>
      <c r="N288" s="92">
        <v>349.2</v>
      </c>
      <c r="O288" s="92">
        <v>1136</v>
      </c>
      <c r="P288" s="92">
        <v>728.80000000000007</v>
      </c>
      <c r="Q288" s="93">
        <f t="shared" si="144"/>
        <v>0.79250411303576562</v>
      </c>
      <c r="R288" s="94">
        <v>1218.0149271548717</v>
      </c>
      <c r="S288" s="91">
        <v>919.61667833906802</v>
      </c>
      <c r="T288" s="92">
        <v>140</v>
      </c>
      <c r="U288" s="92">
        <v>88</v>
      </c>
      <c r="V288" s="92">
        <v>264</v>
      </c>
      <c r="W288" s="92">
        <v>176.4</v>
      </c>
      <c r="X288" s="92">
        <v>384</v>
      </c>
      <c r="Y288" s="92">
        <v>296.39999999999998</v>
      </c>
      <c r="Z288" s="93">
        <f t="shared" si="145"/>
        <v>0.32230820403924382</v>
      </c>
      <c r="AA288" s="94">
        <v>1218.0149271548717</v>
      </c>
      <c r="AB288" s="91">
        <v>919.61667833906802</v>
      </c>
      <c r="AC288" s="92">
        <v>120</v>
      </c>
      <c r="AD288" s="92">
        <v>120</v>
      </c>
      <c r="AE288" s="92">
        <v>416</v>
      </c>
      <c r="AF288" s="92">
        <v>349.6</v>
      </c>
      <c r="AG288" s="92"/>
      <c r="AH288" s="92"/>
      <c r="AI288" s="93">
        <f t="shared" si="146"/>
        <v>0</v>
      </c>
      <c r="AJ288" s="95">
        <f t="shared" si="147"/>
        <v>2758.8500350172039</v>
      </c>
      <c r="AK288" s="96">
        <f t="shared" si="148"/>
        <v>1025.2</v>
      </c>
      <c r="AL288" s="97">
        <f t="shared" si="149"/>
        <v>0.37160410569166985</v>
      </c>
      <c r="AN288" s="89">
        <v>5.5516951053167585E-3</v>
      </c>
      <c r="AO288" s="181"/>
      <c r="AP288" s="182"/>
      <c r="AQ288" s="92"/>
      <c r="AR288" s="92"/>
      <c r="AS288" s="92"/>
      <c r="AT288" s="92"/>
      <c r="AU288" s="92"/>
      <c r="AV288" s="92"/>
      <c r="AW288" s="93">
        <f t="shared" si="150"/>
        <v>0</v>
      </c>
      <c r="AX288" s="183"/>
      <c r="AY288" s="184"/>
      <c r="AZ288" s="92"/>
      <c r="BA288" s="92"/>
      <c r="BB288" s="92"/>
      <c r="BC288" s="92"/>
      <c r="BD288" s="92"/>
      <c r="BE288" s="92"/>
      <c r="BF288" s="93">
        <f t="shared" si="151"/>
        <v>0</v>
      </c>
      <c r="BG288" s="181"/>
      <c r="BH288" s="182"/>
      <c r="BI288" s="92"/>
      <c r="BJ288" s="92"/>
      <c r="BK288" s="92"/>
      <c r="BL288" s="92"/>
      <c r="BM288" s="92"/>
      <c r="BN288" s="92"/>
      <c r="BO288" s="93">
        <f t="shared" si="152"/>
        <v>0</v>
      </c>
      <c r="BP288" s="95">
        <f t="shared" si="153"/>
        <v>0</v>
      </c>
      <c r="BQ288" s="96">
        <f t="shared" si="154"/>
        <v>0</v>
      </c>
      <c r="BR288" s="97">
        <f t="shared" si="155"/>
        <v>0</v>
      </c>
      <c r="BT288" s="82"/>
      <c r="BU288" s="181"/>
      <c r="BV288" s="182"/>
      <c r="BW288" s="92"/>
      <c r="BX288" s="92"/>
      <c r="BY288" s="92"/>
      <c r="BZ288" s="92"/>
      <c r="CA288" s="92"/>
      <c r="CB288" s="92"/>
      <c r="CC288" s="93">
        <f t="shared" si="156"/>
        <v>0</v>
      </c>
      <c r="CD288" s="181"/>
      <c r="CE288" s="182"/>
      <c r="CF288" s="92"/>
      <c r="CG288" s="92"/>
      <c r="CH288" s="92"/>
      <c r="CI288" s="92"/>
      <c r="CJ288" s="92"/>
      <c r="CK288" s="92"/>
      <c r="CL288" s="93">
        <f t="shared" si="157"/>
        <v>0</v>
      </c>
      <c r="CM288" s="181"/>
      <c r="CN288" s="182"/>
      <c r="CO288" s="92"/>
      <c r="CP288" s="92"/>
      <c r="CQ288" s="92"/>
      <c r="CR288" s="92"/>
      <c r="CS288" s="92"/>
      <c r="CT288" s="92"/>
      <c r="CU288" s="93">
        <f t="shared" si="158"/>
        <v>0</v>
      </c>
      <c r="CV288" s="95">
        <f t="shared" si="159"/>
        <v>0</v>
      </c>
      <c r="CW288" s="96">
        <f t="shared" si="160"/>
        <v>0</v>
      </c>
      <c r="CX288" s="97">
        <f t="shared" si="161"/>
        <v>0</v>
      </c>
      <c r="CZ288" s="82"/>
      <c r="DA288" s="136"/>
      <c r="DB288" s="137"/>
      <c r="DC288" s="92"/>
      <c r="DD288" s="92"/>
      <c r="DE288" s="92"/>
      <c r="DF288" s="92"/>
      <c r="DG288" s="92"/>
      <c r="DH288" s="92"/>
      <c r="DI288" s="93">
        <f t="shared" si="162"/>
        <v>0</v>
      </c>
      <c r="DJ288" s="183"/>
      <c r="DK288" s="184"/>
      <c r="DL288" s="92"/>
      <c r="DM288" s="92"/>
      <c r="DN288" s="92"/>
      <c r="DO288" s="92"/>
      <c r="DP288" s="92"/>
      <c r="DQ288" s="92"/>
      <c r="DR288" s="93">
        <f t="shared" si="163"/>
        <v>0</v>
      </c>
      <c r="DS288" s="183"/>
      <c r="DT288" s="184"/>
      <c r="DU288" s="92"/>
      <c r="DV288" s="92"/>
      <c r="DW288" s="92"/>
      <c r="DX288" s="92"/>
      <c r="DY288" s="92"/>
      <c r="DZ288" s="92"/>
      <c r="EA288" s="93">
        <f t="shared" si="164"/>
        <v>0</v>
      </c>
      <c r="EB288" s="95">
        <f t="shared" si="165"/>
        <v>0</v>
      </c>
      <c r="EC288" s="96">
        <f t="shared" si="166"/>
        <v>0</v>
      </c>
      <c r="ED288" s="97">
        <f t="shared" si="167"/>
        <v>0</v>
      </c>
    </row>
    <row r="289" spans="1:134" s="6" customFormat="1" ht="21.95" customHeight="1" x14ac:dyDescent="0.5">
      <c r="A289" s="83">
        <v>93</v>
      </c>
      <c r="B289" s="103" t="s">
        <v>592</v>
      </c>
      <c r="C289" s="103" t="s">
        <v>593</v>
      </c>
      <c r="D289" s="103" t="s">
        <v>589</v>
      </c>
      <c r="E289" s="148" t="s">
        <v>590</v>
      </c>
      <c r="F289" s="83" t="s">
        <v>591</v>
      </c>
      <c r="G289" s="222"/>
      <c r="H289" s="180">
        <v>8.683251626523756E-3</v>
      </c>
      <c r="I289" s="181">
        <f t="shared" si="168"/>
        <v>854.80867119031313</v>
      </c>
      <c r="J289" s="182">
        <f t="shared" si="143"/>
        <v>645.39136039300467</v>
      </c>
      <c r="K289" s="92">
        <v>60</v>
      </c>
      <c r="L289" s="92">
        <v>60</v>
      </c>
      <c r="M289" s="92">
        <v>276</v>
      </c>
      <c r="N289" s="92">
        <v>183.6</v>
      </c>
      <c r="O289" s="92">
        <v>876</v>
      </c>
      <c r="P289" s="92">
        <v>783.6</v>
      </c>
      <c r="Q289" s="93">
        <f t="shared" si="144"/>
        <v>1.2141470247182029</v>
      </c>
      <c r="R289" s="94">
        <v>854.80867119031404</v>
      </c>
      <c r="S289" s="91">
        <v>645.39136039300467</v>
      </c>
      <c r="T289" s="92">
        <v>140</v>
      </c>
      <c r="U289" s="92">
        <v>88</v>
      </c>
      <c r="V289" s="92">
        <v>340</v>
      </c>
      <c r="W289" s="92">
        <v>236</v>
      </c>
      <c r="X289" s="92">
        <v>500</v>
      </c>
      <c r="Y289" s="92">
        <v>370</v>
      </c>
      <c r="Z289" s="93">
        <f t="shared" si="145"/>
        <v>0.57329555786847253</v>
      </c>
      <c r="AA289" s="94">
        <v>854.80867119031404</v>
      </c>
      <c r="AB289" s="91">
        <v>645.39136039300467</v>
      </c>
      <c r="AC289" s="92">
        <v>148</v>
      </c>
      <c r="AD289" s="92">
        <v>112.4</v>
      </c>
      <c r="AE289" s="92">
        <v>388</v>
      </c>
      <c r="AF289" s="92">
        <v>352.4</v>
      </c>
      <c r="AG289" s="92"/>
      <c r="AH289" s="92"/>
      <c r="AI289" s="93">
        <f t="shared" si="146"/>
        <v>0</v>
      </c>
      <c r="AJ289" s="95">
        <f t="shared" si="147"/>
        <v>1936.1740811790141</v>
      </c>
      <c r="AK289" s="96">
        <f t="shared" si="148"/>
        <v>1153.5999999999999</v>
      </c>
      <c r="AL289" s="97">
        <f t="shared" si="149"/>
        <v>0.59581419419555837</v>
      </c>
      <c r="AN289" s="89">
        <v>8.5665229108530128E-3</v>
      </c>
      <c r="AO289" s="181"/>
      <c r="AP289" s="182"/>
      <c r="AQ289" s="92"/>
      <c r="AR289" s="92"/>
      <c r="AS289" s="92"/>
      <c r="AT289" s="92"/>
      <c r="AU289" s="92"/>
      <c r="AV289" s="92"/>
      <c r="AW289" s="93">
        <f t="shared" si="150"/>
        <v>0</v>
      </c>
      <c r="AX289" s="183"/>
      <c r="AY289" s="184"/>
      <c r="AZ289" s="92"/>
      <c r="BA289" s="92"/>
      <c r="BB289" s="92"/>
      <c r="BC289" s="92"/>
      <c r="BD289" s="92"/>
      <c r="BE289" s="92"/>
      <c r="BF289" s="93">
        <f t="shared" si="151"/>
        <v>0</v>
      </c>
      <c r="BG289" s="181"/>
      <c r="BH289" s="182"/>
      <c r="BI289" s="92"/>
      <c r="BJ289" s="92"/>
      <c r="BK289" s="92"/>
      <c r="BL289" s="92"/>
      <c r="BM289" s="92"/>
      <c r="BN289" s="92"/>
      <c r="BO289" s="93">
        <f t="shared" si="152"/>
        <v>0</v>
      </c>
      <c r="BP289" s="95">
        <f t="shared" si="153"/>
        <v>0</v>
      </c>
      <c r="BQ289" s="96">
        <f t="shared" si="154"/>
        <v>0</v>
      </c>
      <c r="BR289" s="97">
        <f t="shared" si="155"/>
        <v>0</v>
      </c>
      <c r="BT289" s="82"/>
      <c r="BU289" s="181"/>
      <c r="BV289" s="182"/>
      <c r="BW289" s="92"/>
      <c r="BX289" s="92"/>
      <c r="BY289" s="92"/>
      <c r="BZ289" s="92"/>
      <c r="CA289" s="92"/>
      <c r="CB289" s="92"/>
      <c r="CC289" s="93">
        <f t="shared" si="156"/>
        <v>0</v>
      </c>
      <c r="CD289" s="181"/>
      <c r="CE289" s="182"/>
      <c r="CF289" s="92"/>
      <c r="CG289" s="92"/>
      <c r="CH289" s="92"/>
      <c r="CI289" s="92"/>
      <c r="CJ289" s="92"/>
      <c r="CK289" s="92"/>
      <c r="CL289" s="93">
        <f t="shared" si="157"/>
        <v>0</v>
      </c>
      <c r="CM289" s="181"/>
      <c r="CN289" s="182"/>
      <c r="CO289" s="92"/>
      <c r="CP289" s="92"/>
      <c r="CQ289" s="92"/>
      <c r="CR289" s="92"/>
      <c r="CS289" s="92"/>
      <c r="CT289" s="92"/>
      <c r="CU289" s="93">
        <f t="shared" si="158"/>
        <v>0</v>
      </c>
      <c r="CV289" s="95">
        <f t="shared" si="159"/>
        <v>0</v>
      </c>
      <c r="CW289" s="96">
        <f t="shared" si="160"/>
        <v>0</v>
      </c>
      <c r="CX289" s="97">
        <f t="shared" si="161"/>
        <v>0</v>
      </c>
      <c r="CZ289" s="82"/>
      <c r="DA289" s="136"/>
      <c r="DB289" s="137"/>
      <c r="DC289" s="92"/>
      <c r="DD289" s="92"/>
      <c r="DE289" s="92"/>
      <c r="DF289" s="92"/>
      <c r="DG289" s="92"/>
      <c r="DH289" s="92"/>
      <c r="DI289" s="93">
        <f t="shared" si="162"/>
        <v>0</v>
      </c>
      <c r="DJ289" s="183"/>
      <c r="DK289" s="184"/>
      <c r="DL289" s="92"/>
      <c r="DM289" s="92"/>
      <c r="DN289" s="92"/>
      <c r="DO289" s="92"/>
      <c r="DP289" s="92"/>
      <c r="DQ289" s="92"/>
      <c r="DR289" s="93">
        <f t="shared" si="163"/>
        <v>0</v>
      </c>
      <c r="DS289" s="183"/>
      <c r="DT289" s="184"/>
      <c r="DU289" s="92"/>
      <c r="DV289" s="92"/>
      <c r="DW289" s="92"/>
      <c r="DX289" s="92"/>
      <c r="DY289" s="92"/>
      <c r="DZ289" s="92"/>
      <c r="EA289" s="93">
        <f t="shared" si="164"/>
        <v>0</v>
      </c>
      <c r="EB289" s="95">
        <f t="shared" si="165"/>
        <v>0</v>
      </c>
      <c r="EC289" s="96">
        <f t="shared" si="166"/>
        <v>0</v>
      </c>
      <c r="ED289" s="97">
        <f t="shared" si="167"/>
        <v>0</v>
      </c>
    </row>
    <row r="290" spans="1:134" s="6" customFormat="1" ht="21.95" customHeight="1" x14ac:dyDescent="0.5">
      <c r="A290" s="83">
        <v>94</v>
      </c>
      <c r="B290" s="103" t="s">
        <v>594</v>
      </c>
      <c r="C290" s="103" t="s">
        <v>595</v>
      </c>
      <c r="D290" s="103" t="s">
        <v>589</v>
      </c>
      <c r="E290" s="148" t="s">
        <v>590</v>
      </c>
      <c r="F290" s="83" t="s">
        <v>591</v>
      </c>
      <c r="G290" s="222"/>
      <c r="H290" s="180">
        <v>6.6451488484922305E-3</v>
      </c>
      <c r="I290" s="181">
        <f t="shared" si="168"/>
        <v>654.17093749654941</v>
      </c>
      <c r="J290" s="182">
        <f t="shared" si="143"/>
        <v>493.90733331303352</v>
      </c>
      <c r="K290" s="92">
        <v>70</v>
      </c>
      <c r="L290" s="92">
        <v>44.8</v>
      </c>
      <c r="M290" s="92">
        <v>292</v>
      </c>
      <c r="N290" s="92">
        <v>191.2</v>
      </c>
      <c r="O290" s="92">
        <v>432</v>
      </c>
      <c r="P290" s="92">
        <v>280.8</v>
      </c>
      <c r="Q290" s="93">
        <f t="shared" si="144"/>
        <v>0.56852769955134841</v>
      </c>
      <c r="R290" s="94">
        <v>654.1709374965501</v>
      </c>
      <c r="S290" s="91">
        <v>493.90733331303352</v>
      </c>
      <c r="T290" s="92">
        <v>84</v>
      </c>
      <c r="U290" s="92">
        <v>53.76</v>
      </c>
      <c r="V290" s="92">
        <v>182</v>
      </c>
      <c r="W290" s="92">
        <v>116.47999999999999</v>
      </c>
      <c r="X290" s="92">
        <v>266</v>
      </c>
      <c r="Y290" s="92">
        <v>170.23999999999998</v>
      </c>
      <c r="Z290" s="93">
        <f t="shared" si="145"/>
        <v>0.34468004120947843</v>
      </c>
      <c r="AA290" s="94">
        <v>654.1709374965501</v>
      </c>
      <c r="AB290" s="91">
        <v>493.90733331303352</v>
      </c>
      <c r="AC290" s="92">
        <v>238</v>
      </c>
      <c r="AD290" s="92">
        <v>152.32</v>
      </c>
      <c r="AE290" s="92">
        <v>438</v>
      </c>
      <c r="AF290" s="92">
        <v>301.91999999999996</v>
      </c>
      <c r="AG290" s="92"/>
      <c r="AH290" s="92"/>
      <c r="AI290" s="93">
        <f t="shared" si="146"/>
        <v>0</v>
      </c>
      <c r="AJ290" s="95">
        <f t="shared" si="147"/>
        <v>1481.7219999391004</v>
      </c>
      <c r="AK290" s="96">
        <f t="shared" si="148"/>
        <v>451.03999999999996</v>
      </c>
      <c r="AL290" s="97">
        <f t="shared" si="149"/>
        <v>0.30440258025360895</v>
      </c>
      <c r="AN290" s="89">
        <v>3.9192761471971288E-3</v>
      </c>
      <c r="AO290" s="181"/>
      <c r="AP290" s="182"/>
      <c r="AQ290" s="92"/>
      <c r="AR290" s="92"/>
      <c r="AS290" s="92"/>
      <c r="AT290" s="92"/>
      <c r="AU290" s="92"/>
      <c r="AV290" s="92"/>
      <c r="AW290" s="93">
        <f t="shared" si="150"/>
        <v>0</v>
      </c>
      <c r="AX290" s="183"/>
      <c r="AY290" s="184"/>
      <c r="AZ290" s="92"/>
      <c r="BA290" s="92"/>
      <c r="BB290" s="92"/>
      <c r="BC290" s="92"/>
      <c r="BD290" s="92"/>
      <c r="BE290" s="92"/>
      <c r="BF290" s="93">
        <f t="shared" si="151"/>
        <v>0</v>
      </c>
      <c r="BG290" s="181"/>
      <c r="BH290" s="182"/>
      <c r="BI290" s="92"/>
      <c r="BJ290" s="92"/>
      <c r="BK290" s="92"/>
      <c r="BL290" s="92"/>
      <c r="BM290" s="92"/>
      <c r="BN290" s="92"/>
      <c r="BO290" s="93">
        <f t="shared" si="152"/>
        <v>0</v>
      </c>
      <c r="BP290" s="95">
        <f t="shared" si="153"/>
        <v>0</v>
      </c>
      <c r="BQ290" s="96">
        <f t="shared" si="154"/>
        <v>0</v>
      </c>
      <c r="BR290" s="97">
        <f t="shared" si="155"/>
        <v>0</v>
      </c>
      <c r="BT290" s="82"/>
      <c r="BU290" s="181"/>
      <c r="BV290" s="182"/>
      <c r="BW290" s="92"/>
      <c r="BX290" s="92"/>
      <c r="BY290" s="92"/>
      <c r="BZ290" s="92"/>
      <c r="CA290" s="92"/>
      <c r="CB290" s="92"/>
      <c r="CC290" s="93">
        <f t="shared" si="156"/>
        <v>0</v>
      </c>
      <c r="CD290" s="181"/>
      <c r="CE290" s="182"/>
      <c r="CF290" s="92"/>
      <c r="CG290" s="92"/>
      <c r="CH290" s="92"/>
      <c r="CI290" s="92"/>
      <c r="CJ290" s="92"/>
      <c r="CK290" s="92"/>
      <c r="CL290" s="93">
        <f t="shared" si="157"/>
        <v>0</v>
      </c>
      <c r="CM290" s="181"/>
      <c r="CN290" s="182"/>
      <c r="CO290" s="92"/>
      <c r="CP290" s="92"/>
      <c r="CQ290" s="92"/>
      <c r="CR290" s="92"/>
      <c r="CS290" s="92"/>
      <c r="CT290" s="92"/>
      <c r="CU290" s="93">
        <f t="shared" si="158"/>
        <v>0</v>
      </c>
      <c r="CV290" s="95">
        <f t="shared" si="159"/>
        <v>0</v>
      </c>
      <c r="CW290" s="96">
        <f t="shared" si="160"/>
        <v>0</v>
      </c>
      <c r="CX290" s="97">
        <f t="shared" si="161"/>
        <v>0</v>
      </c>
      <c r="CZ290" s="82"/>
      <c r="DA290" s="136"/>
      <c r="DB290" s="137"/>
      <c r="DC290" s="92"/>
      <c r="DD290" s="92"/>
      <c r="DE290" s="92"/>
      <c r="DF290" s="92"/>
      <c r="DG290" s="92"/>
      <c r="DH290" s="92"/>
      <c r="DI290" s="93">
        <f t="shared" si="162"/>
        <v>0</v>
      </c>
      <c r="DJ290" s="183"/>
      <c r="DK290" s="184"/>
      <c r="DL290" s="92"/>
      <c r="DM290" s="92"/>
      <c r="DN290" s="92"/>
      <c r="DO290" s="92"/>
      <c r="DP290" s="92"/>
      <c r="DQ290" s="92"/>
      <c r="DR290" s="93">
        <f t="shared" si="163"/>
        <v>0</v>
      </c>
      <c r="DS290" s="183"/>
      <c r="DT290" s="184"/>
      <c r="DU290" s="92"/>
      <c r="DV290" s="92"/>
      <c r="DW290" s="92"/>
      <c r="DX290" s="92"/>
      <c r="DY290" s="92"/>
      <c r="DZ290" s="92"/>
      <c r="EA290" s="93">
        <f t="shared" si="164"/>
        <v>0</v>
      </c>
      <c r="EB290" s="95">
        <f t="shared" si="165"/>
        <v>0</v>
      </c>
      <c r="EC290" s="96">
        <f t="shared" si="166"/>
        <v>0</v>
      </c>
      <c r="ED290" s="97">
        <f t="shared" si="167"/>
        <v>0</v>
      </c>
    </row>
    <row r="291" spans="1:134" s="6" customFormat="1" ht="21.95" customHeight="1" x14ac:dyDescent="0.5">
      <c r="A291" s="83">
        <v>95</v>
      </c>
      <c r="B291" s="103" t="s">
        <v>596</v>
      </c>
      <c r="C291" s="103" t="s">
        <v>597</v>
      </c>
      <c r="D291" s="103" t="s">
        <v>589</v>
      </c>
      <c r="E291" s="148" t="s">
        <v>590</v>
      </c>
      <c r="F291" s="83" t="s">
        <v>591</v>
      </c>
      <c r="G291" s="222"/>
      <c r="H291" s="180">
        <v>4.9998477512865017E-3</v>
      </c>
      <c r="I291" s="181">
        <f t="shared" si="168"/>
        <v>492.20193036627501</v>
      </c>
      <c r="J291" s="182">
        <f t="shared" si="143"/>
        <v>371.61868396212054</v>
      </c>
      <c r="K291" s="92">
        <v>832</v>
      </c>
      <c r="L291" s="92">
        <v>765.12</v>
      </c>
      <c r="M291" s="92">
        <v>1436</v>
      </c>
      <c r="N291" s="92">
        <v>1255.52</v>
      </c>
      <c r="O291" s="92">
        <v>2436</v>
      </c>
      <c r="P291" s="92">
        <v>2229.52</v>
      </c>
      <c r="Q291" s="93">
        <f t="shared" si="144"/>
        <v>5.9994830621251998</v>
      </c>
      <c r="R291" s="94">
        <v>492.20193036627552</v>
      </c>
      <c r="S291" s="91">
        <v>371.61868396212054</v>
      </c>
      <c r="T291" s="92">
        <v>590</v>
      </c>
      <c r="U291" s="92">
        <v>488.8</v>
      </c>
      <c r="V291" s="92">
        <v>1174</v>
      </c>
      <c r="W291" s="92">
        <v>1011.1999999999999</v>
      </c>
      <c r="X291" s="92">
        <v>1758</v>
      </c>
      <c r="Y291" s="92">
        <v>1507.6</v>
      </c>
      <c r="Z291" s="93">
        <f t="shared" si="145"/>
        <v>4.0568466147242237</v>
      </c>
      <c r="AA291" s="94">
        <v>492.20193036627552</v>
      </c>
      <c r="AB291" s="91">
        <v>371.61868396212054</v>
      </c>
      <c r="AC291" s="92">
        <v>1026</v>
      </c>
      <c r="AD291" s="92">
        <v>871.28</v>
      </c>
      <c r="AE291" s="92">
        <v>2080</v>
      </c>
      <c r="AF291" s="92">
        <v>1822.08</v>
      </c>
      <c r="AG291" s="92"/>
      <c r="AH291" s="92"/>
      <c r="AI291" s="93">
        <f t="shared" si="146"/>
        <v>0</v>
      </c>
      <c r="AJ291" s="95">
        <f t="shared" si="147"/>
        <v>1114.8560518863617</v>
      </c>
      <c r="AK291" s="96">
        <f t="shared" si="148"/>
        <v>3737.12</v>
      </c>
      <c r="AL291" s="97">
        <f t="shared" si="149"/>
        <v>3.3521098922831412</v>
      </c>
      <c r="AN291" s="89">
        <v>1.3015232233656506E-3</v>
      </c>
      <c r="AO291" s="181"/>
      <c r="AP291" s="182"/>
      <c r="AQ291" s="92"/>
      <c r="AR291" s="92"/>
      <c r="AS291" s="92"/>
      <c r="AT291" s="92"/>
      <c r="AU291" s="92"/>
      <c r="AV291" s="92"/>
      <c r="AW291" s="93">
        <f t="shared" si="150"/>
        <v>0</v>
      </c>
      <c r="AX291" s="183"/>
      <c r="AY291" s="184"/>
      <c r="AZ291" s="92"/>
      <c r="BA291" s="92"/>
      <c r="BB291" s="92"/>
      <c r="BC291" s="92"/>
      <c r="BD291" s="92"/>
      <c r="BE291" s="92"/>
      <c r="BF291" s="93">
        <f t="shared" si="151"/>
        <v>0</v>
      </c>
      <c r="BG291" s="181"/>
      <c r="BH291" s="182"/>
      <c r="BI291" s="92"/>
      <c r="BJ291" s="92"/>
      <c r="BK291" s="92"/>
      <c r="BL291" s="92"/>
      <c r="BM291" s="92"/>
      <c r="BN291" s="92"/>
      <c r="BO291" s="93">
        <f t="shared" si="152"/>
        <v>0</v>
      </c>
      <c r="BP291" s="95">
        <f t="shared" si="153"/>
        <v>0</v>
      </c>
      <c r="BQ291" s="96">
        <f t="shared" si="154"/>
        <v>0</v>
      </c>
      <c r="BR291" s="97">
        <f t="shared" si="155"/>
        <v>0</v>
      </c>
      <c r="BT291" s="82"/>
      <c r="BU291" s="181"/>
      <c r="BV291" s="182"/>
      <c r="BW291" s="92"/>
      <c r="BX291" s="92"/>
      <c r="BY291" s="92"/>
      <c r="BZ291" s="92"/>
      <c r="CA291" s="92"/>
      <c r="CB291" s="92"/>
      <c r="CC291" s="93">
        <f t="shared" si="156"/>
        <v>0</v>
      </c>
      <c r="CD291" s="181"/>
      <c r="CE291" s="182"/>
      <c r="CF291" s="92"/>
      <c r="CG291" s="92"/>
      <c r="CH291" s="92"/>
      <c r="CI291" s="92"/>
      <c r="CJ291" s="92"/>
      <c r="CK291" s="92"/>
      <c r="CL291" s="93">
        <f t="shared" si="157"/>
        <v>0</v>
      </c>
      <c r="CM291" s="181"/>
      <c r="CN291" s="182"/>
      <c r="CO291" s="92"/>
      <c r="CP291" s="92"/>
      <c r="CQ291" s="92"/>
      <c r="CR291" s="92"/>
      <c r="CS291" s="92"/>
      <c r="CT291" s="92"/>
      <c r="CU291" s="93">
        <f t="shared" si="158"/>
        <v>0</v>
      </c>
      <c r="CV291" s="95">
        <f t="shared" si="159"/>
        <v>0</v>
      </c>
      <c r="CW291" s="96">
        <f t="shared" si="160"/>
        <v>0</v>
      </c>
      <c r="CX291" s="97">
        <f t="shared" si="161"/>
        <v>0</v>
      </c>
      <c r="CZ291" s="82"/>
      <c r="DA291" s="136"/>
      <c r="DB291" s="137"/>
      <c r="DC291" s="92"/>
      <c r="DD291" s="92"/>
      <c r="DE291" s="92"/>
      <c r="DF291" s="92"/>
      <c r="DG291" s="92"/>
      <c r="DH291" s="92"/>
      <c r="DI291" s="93">
        <f t="shared" si="162"/>
        <v>0</v>
      </c>
      <c r="DJ291" s="183"/>
      <c r="DK291" s="184"/>
      <c r="DL291" s="92"/>
      <c r="DM291" s="92"/>
      <c r="DN291" s="92"/>
      <c r="DO291" s="92"/>
      <c r="DP291" s="92"/>
      <c r="DQ291" s="92"/>
      <c r="DR291" s="93">
        <f t="shared" si="163"/>
        <v>0</v>
      </c>
      <c r="DS291" s="183"/>
      <c r="DT291" s="184"/>
      <c r="DU291" s="92"/>
      <c r="DV291" s="92"/>
      <c r="DW291" s="92"/>
      <c r="DX291" s="92"/>
      <c r="DY291" s="92"/>
      <c r="DZ291" s="92"/>
      <c r="EA291" s="93">
        <f t="shared" si="164"/>
        <v>0</v>
      </c>
      <c r="EB291" s="95">
        <f t="shared" si="165"/>
        <v>0</v>
      </c>
      <c r="EC291" s="96">
        <f t="shared" si="166"/>
        <v>0</v>
      </c>
      <c r="ED291" s="97">
        <f t="shared" si="167"/>
        <v>0</v>
      </c>
    </row>
    <row r="292" spans="1:134" s="6" customFormat="1" ht="21.95" customHeight="1" x14ac:dyDescent="0.5">
      <c r="A292" s="83">
        <v>96</v>
      </c>
      <c r="B292" s="103" t="s">
        <v>486</v>
      </c>
      <c r="C292" s="103" t="s">
        <v>487</v>
      </c>
      <c r="D292" s="103" t="s">
        <v>589</v>
      </c>
      <c r="E292" s="148" t="s">
        <v>590</v>
      </c>
      <c r="F292" s="83" t="s">
        <v>591</v>
      </c>
      <c r="G292" s="222"/>
      <c r="H292" s="180">
        <v>2.5343320848938828E-2</v>
      </c>
      <c r="I292" s="181">
        <f t="shared" si="168"/>
        <v>2494.8822572707109</v>
      </c>
      <c r="J292" s="182">
        <f t="shared" si="143"/>
        <v>1883.6676654182274</v>
      </c>
      <c r="K292" s="92">
        <v>730</v>
      </c>
      <c r="L292" s="92">
        <v>584.79999999999995</v>
      </c>
      <c r="M292" s="92">
        <v>1588</v>
      </c>
      <c r="N292" s="92">
        <v>1289.5999999999999</v>
      </c>
      <c r="O292" s="92">
        <v>2706</v>
      </c>
      <c r="P292" s="92">
        <v>2290</v>
      </c>
      <c r="Q292" s="93">
        <f t="shared" si="144"/>
        <v>1.2157133883229636</v>
      </c>
      <c r="R292" s="94">
        <v>2494.8822572707131</v>
      </c>
      <c r="S292" s="91">
        <v>1883.6676654182274</v>
      </c>
      <c r="T292" s="92">
        <v>656</v>
      </c>
      <c r="U292" s="92">
        <v>446.79999999999995</v>
      </c>
      <c r="V292" s="92">
        <v>1088</v>
      </c>
      <c r="W292" s="92">
        <v>817.19999999999993</v>
      </c>
      <c r="X292" s="92">
        <v>1618</v>
      </c>
      <c r="Y292" s="92">
        <v>1244</v>
      </c>
      <c r="Z292" s="93">
        <f t="shared" si="145"/>
        <v>0.6604137358400729</v>
      </c>
      <c r="AA292" s="94">
        <v>2494.8822572707131</v>
      </c>
      <c r="AB292" s="91">
        <v>1883.6676654182274</v>
      </c>
      <c r="AC292" s="92">
        <v>788</v>
      </c>
      <c r="AD292" s="92">
        <v>610.08000000000004</v>
      </c>
      <c r="AE292" s="92">
        <v>1658</v>
      </c>
      <c r="AF292" s="92">
        <v>1350.16</v>
      </c>
      <c r="AG292" s="92"/>
      <c r="AH292" s="92"/>
      <c r="AI292" s="93">
        <f t="shared" si="146"/>
        <v>0</v>
      </c>
      <c r="AJ292" s="95">
        <f t="shared" si="147"/>
        <v>5651.0029962546823</v>
      </c>
      <c r="AK292" s="96">
        <f t="shared" si="148"/>
        <v>3534</v>
      </c>
      <c r="AL292" s="97">
        <f t="shared" si="149"/>
        <v>0.6253757080543455</v>
      </c>
      <c r="AN292" s="89">
        <v>6.500262878278166E-3</v>
      </c>
      <c r="AO292" s="181"/>
      <c r="AP292" s="182"/>
      <c r="AQ292" s="92"/>
      <c r="AR292" s="92"/>
      <c r="AS292" s="92"/>
      <c r="AT292" s="92"/>
      <c r="AU292" s="92"/>
      <c r="AV292" s="92"/>
      <c r="AW292" s="93">
        <f t="shared" si="150"/>
        <v>0</v>
      </c>
      <c r="AX292" s="183"/>
      <c r="AY292" s="184"/>
      <c r="AZ292" s="92"/>
      <c r="BA292" s="92"/>
      <c r="BB292" s="92"/>
      <c r="BC292" s="92"/>
      <c r="BD292" s="92"/>
      <c r="BE292" s="92"/>
      <c r="BF292" s="93">
        <f t="shared" si="151"/>
        <v>0</v>
      </c>
      <c r="BG292" s="181"/>
      <c r="BH292" s="182"/>
      <c r="BI292" s="92"/>
      <c r="BJ292" s="92"/>
      <c r="BK292" s="92"/>
      <c r="BL292" s="92"/>
      <c r="BM292" s="92"/>
      <c r="BN292" s="92"/>
      <c r="BO292" s="93">
        <f t="shared" si="152"/>
        <v>0</v>
      </c>
      <c r="BP292" s="95">
        <f t="shared" si="153"/>
        <v>0</v>
      </c>
      <c r="BQ292" s="96">
        <f t="shared" si="154"/>
        <v>0</v>
      </c>
      <c r="BR292" s="97">
        <f t="shared" si="155"/>
        <v>0</v>
      </c>
      <c r="BT292" s="82"/>
      <c r="BU292" s="181"/>
      <c r="BV292" s="182"/>
      <c r="BW292" s="92"/>
      <c r="BX292" s="92"/>
      <c r="BY292" s="92"/>
      <c r="BZ292" s="92"/>
      <c r="CA292" s="92"/>
      <c r="CB292" s="92"/>
      <c r="CC292" s="93">
        <f t="shared" si="156"/>
        <v>0</v>
      </c>
      <c r="CD292" s="181"/>
      <c r="CE292" s="182"/>
      <c r="CF292" s="92"/>
      <c r="CG292" s="92"/>
      <c r="CH292" s="92"/>
      <c r="CI292" s="92"/>
      <c r="CJ292" s="92"/>
      <c r="CK292" s="92"/>
      <c r="CL292" s="93">
        <f t="shared" si="157"/>
        <v>0</v>
      </c>
      <c r="CM292" s="181"/>
      <c r="CN292" s="182"/>
      <c r="CO292" s="92"/>
      <c r="CP292" s="92"/>
      <c r="CQ292" s="92"/>
      <c r="CR292" s="92"/>
      <c r="CS292" s="92"/>
      <c r="CT292" s="92"/>
      <c r="CU292" s="93">
        <f t="shared" si="158"/>
        <v>0</v>
      </c>
      <c r="CV292" s="95">
        <f t="shared" si="159"/>
        <v>0</v>
      </c>
      <c r="CW292" s="96">
        <f t="shared" si="160"/>
        <v>0</v>
      </c>
      <c r="CX292" s="97">
        <f t="shared" si="161"/>
        <v>0</v>
      </c>
      <c r="CZ292" s="82"/>
      <c r="DA292" s="136"/>
      <c r="DB292" s="137"/>
      <c r="DC292" s="92"/>
      <c r="DD292" s="92"/>
      <c r="DE292" s="92"/>
      <c r="DF292" s="92"/>
      <c r="DG292" s="92"/>
      <c r="DH292" s="92"/>
      <c r="DI292" s="93">
        <f t="shared" si="162"/>
        <v>0</v>
      </c>
      <c r="DJ292" s="183"/>
      <c r="DK292" s="184"/>
      <c r="DL292" s="92"/>
      <c r="DM292" s="92"/>
      <c r="DN292" s="92"/>
      <c r="DO292" s="92"/>
      <c r="DP292" s="92"/>
      <c r="DQ292" s="92"/>
      <c r="DR292" s="93">
        <f t="shared" si="163"/>
        <v>0</v>
      </c>
      <c r="DS292" s="183"/>
      <c r="DT292" s="184"/>
      <c r="DU292" s="92"/>
      <c r="DV292" s="92"/>
      <c r="DW292" s="92"/>
      <c r="DX292" s="92"/>
      <c r="DY292" s="92"/>
      <c r="DZ292" s="92"/>
      <c r="EA292" s="93">
        <f t="shared" si="164"/>
        <v>0</v>
      </c>
      <c r="EB292" s="95">
        <f t="shared" si="165"/>
        <v>0</v>
      </c>
      <c r="EC292" s="96">
        <f t="shared" si="166"/>
        <v>0</v>
      </c>
      <c r="ED292" s="97">
        <f t="shared" si="167"/>
        <v>0</v>
      </c>
    </row>
    <row r="293" spans="1:134" s="6" customFormat="1" ht="21.95" customHeight="1" x14ac:dyDescent="0.5">
      <c r="A293" s="83">
        <v>97</v>
      </c>
      <c r="B293" s="103" t="s">
        <v>598</v>
      </c>
      <c r="C293" s="103" t="s">
        <v>599</v>
      </c>
      <c r="D293" s="103" t="s">
        <v>589</v>
      </c>
      <c r="E293" s="148" t="s">
        <v>590</v>
      </c>
      <c r="F293" s="83" t="s">
        <v>591</v>
      </c>
      <c r="G293" s="222"/>
      <c r="H293" s="180">
        <v>2.0763679546907828E-2</v>
      </c>
      <c r="I293" s="181">
        <f t="shared" si="168"/>
        <v>2044.0468716002613</v>
      </c>
      <c r="J293" s="182">
        <f t="shared" ref="J293:J324" si="169">H293*$I$195</f>
        <v>1543.2812460034713</v>
      </c>
      <c r="K293" s="92">
        <v>280</v>
      </c>
      <c r="L293" s="92">
        <v>179.2</v>
      </c>
      <c r="M293" s="92">
        <v>1050</v>
      </c>
      <c r="N293" s="92">
        <v>672</v>
      </c>
      <c r="O293" s="92">
        <v>1260</v>
      </c>
      <c r="P293" s="92">
        <v>806.4</v>
      </c>
      <c r="Q293" s="93">
        <f t="shared" si="144"/>
        <v>0.52252303466285122</v>
      </c>
      <c r="R293" s="94">
        <v>2044.0468716002633</v>
      </c>
      <c r="S293" s="91">
        <v>1543.2812460034713</v>
      </c>
      <c r="T293" s="92">
        <v>420</v>
      </c>
      <c r="U293" s="92">
        <v>268.79999999999995</v>
      </c>
      <c r="V293" s="92">
        <v>910</v>
      </c>
      <c r="W293" s="92">
        <v>582.39999999999986</v>
      </c>
      <c r="X293" s="92">
        <v>1190</v>
      </c>
      <c r="Y293" s="92">
        <v>761.59999999999991</v>
      </c>
      <c r="Z293" s="93">
        <f t="shared" si="145"/>
        <v>0.49349397718158161</v>
      </c>
      <c r="AA293" s="94">
        <v>2044.0468716002633</v>
      </c>
      <c r="AB293" s="91">
        <v>1543.2812460034713</v>
      </c>
      <c r="AC293" s="92">
        <v>490</v>
      </c>
      <c r="AD293" s="92">
        <v>313.60000000000002</v>
      </c>
      <c r="AE293" s="92">
        <v>1010</v>
      </c>
      <c r="AF293" s="92">
        <v>682.40000000000009</v>
      </c>
      <c r="AG293" s="92"/>
      <c r="AH293" s="92"/>
      <c r="AI293" s="93">
        <f t="shared" si="146"/>
        <v>0</v>
      </c>
      <c r="AJ293" s="95">
        <f t="shared" si="147"/>
        <v>4629.8437380104142</v>
      </c>
      <c r="AK293" s="96">
        <f t="shared" si="148"/>
        <v>1568</v>
      </c>
      <c r="AL293" s="97">
        <f t="shared" si="149"/>
        <v>0.33867233728147761</v>
      </c>
      <c r="AN293" s="89">
        <v>9.9783447124699876E-3</v>
      </c>
      <c r="AO293" s="181"/>
      <c r="AP293" s="182"/>
      <c r="AQ293" s="92"/>
      <c r="AR293" s="92"/>
      <c r="AS293" s="92"/>
      <c r="AT293" s="92"/>
      <c r="AU293" s="92"/>
      <c r="AV293" s="92"/>
      <c r="AW293" s="93">
        <f t="shared" si="150"/>
        <v>0</v>
      </c>
      <c r="AX293" s="183"/>
      <c r="AY293" s="184"/>
      <c r="AZ293" s="92"/>
      <c r="BA293" s="92"/>
      <c r="BB293" s="92"/>
      <c r="BC293" s="92"/>
      <c r="BD293" s="92"/>
      <c r="BE293" s="92"/>
      <c r="BF293" s="93">
        <f t="shared" si="151"/>
        <v>0</v>
      </c>
      <c r="BG293" s="181"/>
      <c r="BH293" s="182"/>
      <c r="BI293" s="92"/>
      <c r="BJ293" s="92"/>
      <c r="BK293" s="92"/>
      <c r="BL293" s="92"/>
      <c r="BM293" s="92"/>
      <c r="BN293" s="92"/>
      <c r="BO293" s="93">
        <f t="shared" si="152"/>
        <v>0</v>
      </c>
      <c r="BP293" s="95">
        <f t="shared" si="153"/>
        <v>0</v>
      </c>
      <c r="BQ293" s="96">
        <f t="shared" si="154"/>
        <v>0</v>
      </c>
      <c r="BR293" s="97">
        <f t="shared" si="155"/>
        <v>0</v>
      </c>
      <c r="BT293" s="82"/>
      <c r="BU293" s="181"/>
      <c r="BV293" s="182"/>
      <c r="BW293" s="92"/>
      <c r="BX293" s="92"/>
      <c r="BY293" s="92"/>
      <c r="BZ293" s="92"/>
      <c r="CA293" s="92"/>
      <c r="CB293" s="92"/>
      <c r="CC293" s="93">
        <f t="shared" si="156"/>
        <v>0</v>
      </c>
      <c r="CD293" s="181"/>
      <c r="CE293" s="182"/>
      <c r="CF293" s="92"/>
      <c r="CG293" s="92"/>
      <c r="CH293" s="92"/>
      <c r="CI293" s="92"/>
      <c r="CJ293" s="92"/>
      <c r="CK293" s="92"/>
      <c r="CL293" s="93">
        <f t="shared" si="157"/>
        <v>0</v>
      </c>
      <c r="CM293" s="181"/>
      <c r="CN293" s="182"/>
      <c r="CO293" s="92"/>
      <c r="CP293" s="92"/>
      <c r="CQ293" s="92"/>
      <c r="CR293" s="92"/>
      <c r="CS293" s="92"/>
      <c r="CT293" s="92"/>
      <c r="CU293" s="93">
        <f t="shared" si="158"/>
        <v>0</v>
      </c>
      <c r="CV293" s="95">
        <f t="shared" si="159"/>
        <v>0</v>
      </c>
      <c r="CW293" s="96">
        <f t="shared" si="160"/>
        <v>0</v>
      </c>
      <c r="CX293" s="97">
        <f t="shared" si="161"/>
        <v>0</v>
      </c>
      <c r="CZ293" s="82"/>
      <c r="DA293" s="136"/>
      <c r="DB293" s="137"/>
      <c r="DC293" s="92"/>
      <c r="DD293" s="92"/>
      <c r="DE293" s="92"/>
      <c r="DF293" s="92"/>
      <c r="DG293" s="92"/>
      <c r="DH293" s="92"/>
      <c r="DI293" s="93">
        <f t="shared" si="162"/>
        <v>0</v>
      </c>
      <c r="DJ293" s="183"/>
      <c r="DK293" s="184"/>
      <c r="DL293" s="92"/>
      <c r="DM293" s="92"/>
      <c r="DN293" s="92"/>
      <c r="DO293" s="92"/>
      <c r="DP293" s="92"/>
      <c r="DQ293" s="92"/>
      <c r="DR293" s="93">
        <f t="shared" si="163"/>
        <v>0</v>
      </c>
      <c r="DS293" s="183"/>
      <c r="DT293" s="184"/>
      <c r="DU293" s="92"/>
      <c r="DV293" s="92"/>
      <c r="DW293" s="92"/>
      <c r="DX293" s="92"/>
      <c r="DY293" s="92"/>
      <c r="DZ293" s="92"/>
      <c r="EA293" s="93">
        <f t="shared" si="164"/>
        <v>0</v>
      </c>
      <c r="EB293" s="95">
        <f t="shared" si="165"/>
        <v>0</v>
      </c>
      <c r="EC293" s="96">
        <f t="shared" si="166"/>
        <v>0</v>
      </c>
      <c r="ED293" s="97">
        <f t="shared" si="167"/>
        <v>0</v>
      </c>
    </row>
    <row r="294" spans="1:134" s="6" customFormat="1" ht="21.95" customHeight="1" x14ac:dyDescent="0.5">
      <c r="A294" s="83">
        <v>98</v>
      </c>
      <c r="B294" s="186" t="s">
        <v>600</v>
      </c>
      <c r="C294" s="103" t="s">
        <v>601</v>
      </c>
      <c r="D294" s="103" t="s">
        <v>589</v>
      </c>
      <c r="E294" s="148" t="s">
        <v>590</v>
      </c>
      <c r="F294" s="83" t="s">
        <v>591</v>
      </c>
      <c r="G294" s="222"/>
      <c r="H294" s="180">
        <v>1.4539752139094425E-2</v>
      </c>
      <c r="I294" s="181">
        <f t="shared" si="168"/>
        <v>1431.3423979896243</v>
      </c>
      <c r="J294" s="182">
        <f t="shared" si="169"/>
        <v>1080.6816174903322</v>
      </c>
      <c r="K294" s="92">
        <v>302</v>
      </c>
      <c r="L294" s="92">
        <v>240</v>
      </c>
      <c r="M294" s="92">
        <v>870</v>
      </c>
      <c r="N294" s="92">
        <v>760</v>
      </c>
      <c r="O294" s="92">
        <v>1730</v>
      </c>
      <c r="P294" s="92">
        <v>1519.2</v>
      </c>
      <c r="Q294" s="93">
        <f t="shared" si="144"/>
        <v>1.4057794408755091</v>
      </c>
      <c r="R294" s="94">
        <v>1431.3423979896259</v>
      </c>
      <c r="S294" s="91">
        <v>1080.6816174903322</v>
      </c>
      <c r="T294" s="92">
        <v>672</v>
      </c>
      <c r="U294" s="92">
        <v>621.6</v>
      </c>
      <c r="V294" s="92">
        <v>1312</v>
      </c>
      <c r="W294" s="92">
        <v>1001.6</v>
      </c>
      <c r="X294" s="92">
        <v>1972</v>
      </c>
      <c r="Y294" s="92">
        <v>1510.4</v>
      </c>
      <c r="Z294" s="93">
        <f t="shared" si="145"/>
        <v>1.3976364320026127</v>
      </c>
      <c r="AA294" s="94">
        <v>1431.3423979896259</v>
      </c>
      <c r="AB294" s="91">
        <v>1080.6816174903322</v>
      </c>
      <c r="AC294" s="92">
        <v>1160</v>
      </c>
      <c r="AD294" s="92">
        <v>958.40000000000009</v>
      </c>
      <c r="AE294" s="92">
        <v>1856</v>
      </c>
      <c r="AF294" s="92">
        <v>1636.4</v>
      </c>
      <c r="AG294" s="92"/>
      <c r="AH294" s="92"/>
      <c r="AI294" s="93">
        <f t="shared" si="146"/>
        <v>0</v>
      </c>
      <c r="AJ294" s="95">
        <f t="shared" si="147"/>
        <v>3242.0448524709964</v>
      </c>
      <c r="AK294" s="96">
        <f t="shared" si="148"/>
        <v>3029.6000000000004</v>
      </c>
      <c r="AL294" s="97">
        <f t="shared" si="149"/>
        <v>0.93447195762604074</v>
      </c>
      <c r="AN294" s="89">
        <v>1.3529958932162698E-2</v>
      </c>
      <c r="AO294" s="181"/>
      <c r="AP294" s="182"/>
      <c r="AQ294" s="92"/>
      <c r="AR294" s="92"/>
      <c r="AS294" s="92"/>
      <c r="AT294" s="92"/>
      <c r="AU294" s="92"/>
      <c r="AV294" s="92"/>
      <c r="AW294" s="93">
        <f t="shared" si="150"/>
        <v>0</v>
      </c>
      <c r="AX294" s="183"/>
      <c r="AY294" s="184"/>
      <c r="AZ294" s="92"/>
      <c r="BA294" s="92"/>
      <c r="BB294" s="92"/>
      <c r="BC294" s="92"/>
      <c r="BD294" s="92"/>
      <c r="BE294" s="92"/>
      <c r="BF294" s="93">
        <f t="shared" si="151"/>
        <v>0</v>
      </c>
      <c r="BG294" s="181"/>
      <c r="BH294" s="182"/>
      <c r="BI294" s="92"/>
      <c r="BJ294" s="92"/>
      <c r="BK294" s="92"/>
      <c r="BL294" s="92"/>
      <c r="BM294" s="92"/>
      <c r="BN294" s="92"/>
      <c r="BO294" s="93">
        <f t="shared" si="152"/>
        <v>0</v>
      </c>
      <c r="BP294" s="95">
        <f t="shared" si="153"/>
        <v>0</v>
      </c>
      <c r="BQ294" s="96">
        <f t="shared" si="154"/>
        <v>0</v>
      </c>
      <c r="BR294" s="97">
        <f t="shared" si="155"/>
        <v>0</v>
      </c>
      <c r="BT294" s="82"/>
      <c r="BU294" s="181"/>
      <c r="BV294" s="182"/>
      <c r="BW294" s="92"/>
      <c r="BX294" s="92"/>
      <c r="BY294" s="92"/>
      <c r="BZ294" s="92"/>
      <c r="CA294" s="92"/>
      <c r="CB294" s="92"/>
      <c r="CC294" s="93">
        <f t="shared" si="156"/>
        <v>0</v>
      </c>
      <c r="CD294" s="181"/>
      <c r="CE294" s="182"/>
      <c r="CF294" s="92"/>
      <c r="CG294" s="92"/>
      <c r="CH294" s="92"/>
      <c r="CI294" s="92"/>
      <c r="CJ294" s="92"/>
      <c r="CK294" s="92"/>
      <c r="CL294" s="93">
        <f t="shared" si="157"/>
        <v>0</v>
      </c>
      <c r="CM294" s="181"/>
      <c r="CN294" s="182"/>
      <c r="CO294" s="92"/>
      <c r="CP294" s="92"/>
      <c r="CQ294" s="92"/>
      <c r="CR294" s="92"/>
      <c r="CS294" s="92"/>
      <c r="CT294" s="92"/>
      <c r="CU294" s="93">
        <f t="shared" si="158"/>
        <v>0</v>
      </c>
      <c r="CV294" s="95">
        <f t="shared" si="159"/>
        <v>0</v>
      </c>
      <c r="CW294" s="96">
        <f t="shared" si="160"/>
        <v>0</v>
      </c>
      <c r="CX294" s="97">
        <f t="shared" si="161"/>
        <v>0</v>
      </c>
      <c r="CZ294" s="82"/>
      <c r="DA294" s="136"/>
      <c r="DB294" s="137"/>
      <c r="DC294" s="92"/>
      <c r="DD294" s="92"/>
      <c r="DE294" s="92"/>
      <c r="DF294" s="92"/>
      <c r="DG294" s="92"/>
      <c r="DH294" s="92"/>
      <c r="DI294" s="93">
        <f t="shared" si="162"/>
        <v>0</v>
      </c>
      <c r="DJ294" s="183"/>
      <c r="DK294" s="184"/>
      <c r="DL294" s="92"/>
      <c r="DM294" s="92"/>
      <c r="DN294" s="92"/>
      <c r="DO294" s="92"/>
      <c r="DP294" s="92"/>
      <c r="DQ294" s="92"/>
      <c r="DR294" s="93">
        <f t="shared" si="163"/>
        <v>0</v>
      </c>
      <c r="DS294" s="183"/>
      <c r="DT294" s="184"/>
      <c r="DU294" s="92"/>
      <c r="DV294" s="92"/>
      <c r="DW294" s="92"/>
      <c r="DX294" s="92"/>
      <c r="DY294" s="92"/>
      <c r="DZ294" s="92"/>
      <c r="EA294" s="93">
        <f t="shared" si="164"/>
        <v>0</v>
      </c>
      <c r="EB294" s="95">
        <f t="shared" si="165"/>
        <v>0</v>
      </c>
      <c r="EC294" s="96">
        <f t="shared" si="166"/>
        <v>0</v>
      </c>
      <c r="ED294" s="97">
        <f t="shared" si="167"/>
        <v>0</v>
      </c>
    </row>
    <row r="295" spans="1:134" s="6" customFormat="1" ht="21.95" customHeight="1" x14ac:dyDescent="0.5">
      <c r="A295" s="83">
        <v>99</v>
      </c>
      <c r="B295" s="103" t="s">
        <v>602</v>
      </c>
      <c r="C295" s="103" t="s">
        <v>603</v>
      </c>
      <c r="D295" s="103" t="s">
        <v>337</v>
      </c>
      <c r="E295" s="148" t="s">
        <v>338</v>
      </c>
      <c r="F295" s="83" t="s">
        <v>591</v>
      </c>
      <c r="G295" s="222"/>
      <c r="H295" s="180">
        <v>2.176141611603382E-3</v>
      </c>
      <c r="I295" s="181">
        <f t="shared" si="168"/>
        <v>214.2267435455326</v>
      </c>
      <c r="J295" s="182">
        <f t="shared" si="169"/>
        <v>161.74390142403297</v>
      </c>
      <c r="K295" s="92">
        <v>148</v>
      </c>
      <c r="L295" s="92">
        <v>122</v>
      </c>
      <c r="M295" s="92">
        <v>326</v>
      </c>
      <c r="N295" s="92">
        <v>258.88</v>
      </c>
      <c r="O295" s="92">
        <v>502</v>
      </c>
      <c r="P295" s="92">
        <v>382.88</v>
      </c>
      <c r="Q295" s="93">
        <f t="shared" si="144"/>
        <v>2.3671989894458498</v>
      </c>
      <c r="R295" s="94">
        <v>214.22674354553283</v>
      </c>
      <c r="S295" s="91">
        <v>161.74390142403297</v>
      </c>
      <c r="T295" s="92">
        <v>188</v>
      </c>
      <c r="U295" s="92">
        <v>151.92000000000002</v>
      </c>
      <c r="V295" s="92">
        <v>404</v>
      </c>
      <c r="W295" s="92">
        <v>321.76</v>
      </c>
      <c r="X295" s="92">
        <v>694</v>
      </c>
      <c r="Y295" s="92">
        <v>555.76</v>
      </c>
      <c r="Z295" s="93">
        <f t="shared" si="145"/>
        <v>3.4360491808776263</v>
      </c>
      <c r="AA295" s="94">
        <v>214.22674354553283</v>
      </c>
      <c r="AB295" s="91">
        <v>161.74390142403297</v>
      </c>
      <c r="AC295" s="92">
        <v>552</v>
      </c>
      <c r="AD295" s="92">
        <v>443.76</v>
      </c>
      <c r="AE295" s="92">
        <v>732</v>
      </c>
      <c r="AF295" s="92">
        <v>623.76</v>
      </c>
      <c r="AG295" s="92"/>
      <c r="AH295" s="92"/>
      <c r="AI295" s="93">
        <f t="shared" si="146"/>
        <v>0</v>
      </c>
      <c r="AJ295" s="95">
        <f t="shared" si="147"/>
        <v>485.23170427209891</v>
      </c>
      <c r="AK295" s="96">
        <f t="shared" si="148"/>
        <v>938.64</v>
      </c>
      <c r="AL295" s="97">
        <f t="shared" si="149"/>
        <v>1.9344160567744919</v>
      </c>
      <c r="AN295" s="89">
        <v>1.9339017386732552E-3</v>
      </c>
      <c r="AO295" s="181"/>
      <c r="AP295" s="182"/>
      <c r="AQ295" s="92"/>
      <c r="AR295" s="92"/>
      <c r="AS295" s="92"/>
      <c r="AT295" s="92"/>
      <c r="AU295" s="92"/>
      <c r="AV295" s="92"/>
      <c r="AW295" s="93">
        <f t="shared" si="150"/>
        <v>0</v>
      </c>
      <c r="AX295" s="183"/>
      <c r="AY295" s="184"/>
      <c r="AZ295" s="92"/>
      <c r="BA295" s="92"/>
      <c r="BB295" s="92"/>
      <c r="BC295" s="92"/>
      <c r="BD295" s="92"/>
      <c r="BE295" s="92"/>
      <c r="BF295" s="93">
        <f t="shared" si="151"/>
        <v>0</v>
      </c>
      <c r="BG295" s="181"/>
      <c r="BH295" s="182"/>
      <c r="BI295" s="92"/>
      <c r="BJ295" s="92"/>
      <c r="BK295" s="92"/>
      <c r="BL295" s="92"/>
      <c r="BM295" s="92"/>
      <c r="BN295" s="92"/>
      <c r="BO295" s="93">
        <f t="shared" si="152"/>
        <v>0</v>
      </c>
      <c r="BP295" s="95">
        <f t="shared" si="153"/>
        <v>0</v>
      </c>
      <c r="BQ295" s="96">
        <f t="shared" si="154"/>
        <v>0</v>
      </c>
      <c r="BR295" s="97">
        <f t="shared" si="155"/>
        <v>0</v>
      </c>
      <c r="BT295" s="82"/>
      <c r="BU295" s="181"/>
      <c r="BV295" s="182"/>
      <c r="BW295" s="92"/>
      <c r="BX295" s="92"/>
      <c r="BY295" s="92"/>
      <c r="BZ295" s="92"/>
      <c r="CA295" s="92"/>
      <c r="CB295" s="92"/>
      <c r="CC295" s="93">
        <f t="shared" si="156"/>
        <v>0</v>
      </c>
      <c r="CD295" s="181"/>
      <c r="CE295" s="182"/>
      <c r="CF295" s="92"/>
      <c r="CG295" s="92"/>
      <c r="CH295" s="92"/>
      <c r="CI295" s="92"/>
      <c r="CJ295" s="92"/>
      <c r="CK295" s="92"/>
      <c r="CL295" s="93">
        <f t="shared" si="157"/>
        <v>0</v>
      </c>
      <c r="CM295" s="181"/>
      <c r="CN295" s="182"/>
      <c r="CO295" s="92"/>
      <c r="CP295" s="92"/>
      <c r="CQ295" s="92"/>
      <c r="CR295" s="92"/>
      <c r="CS295" s="92"/>
      <c r="CT295" s="92"/>
      <c r="CU295" s="93">
        <f t="shared" si="158"/>
        <v>0</v>
      </c>
      <c r="CV295" s="95">
        <f t="shared" si="159"/>
        <v>0</v>
      </c>
      <c r="CW295" s="96">
        <f t="shared" si="160"/>
        <v>0</v>
      </c>
      <c r="CX295" s="97">
        <f t="shared" si="161"/>
        <v>0</v>
      </c>
      <c r="CZ295" s="82"/>
      <c r="DA295" s="136"/>
      <c r="DB295" s="137"/>
      <c r="DC295" s="92"/>
      <c r="DD295" s="92"/>
      <c r="DE295" s="92"/>
      <c r="DF295" s="92"/>
      <c r="DG295" s="92"/>
      <c r="DH295" s="92"/>
      <c r="DI295" s="93">
        <f t="shared" si="162"/>
        <v>0</v>
      </c>
      <c r="DJ295" s="183"/>
      <c r="DK295" s="184"/>
      <c r="DL295" s="92"/>
      <c r="DM295" s="92"/>
      <c r="DN295" s="92"/>
      <c r="DO295" s="92"/>
      <c r="DP295" s="92"/>
      <c r="DQ295" s="92"/>
      <c r="DR295" s="93">
        <f t="shared" si="163"/>
        <v>0</v>
      </c>
      <c r="DS295" s="183"/>
      <c r="DT295" s="184"/>
      <c r="DU295" s="92"/>
      <c r="DV295" s="92"/>
      <c r="DW295" s="92"/>
      <c r="DX295" s="92"/>
      <c r="DY295" s="92"/>
      <c r="DZ295" s="92"/>
      <c r="EA295" s="93">
        <f t="shared" si="164"/>
        <v>0</v>
      </c>
      <c r="EB295" s="95">
        <f t="shared" si="165"/>
        <v>0</v>
      </c>
      <c r="EC295" s="96">
        <f t="shared" si="166"/>
        <v>0</v>
      </c>
      <c r="ED295" s="97">
        <f t="shared" si="167"/>
        <v>0</v>
      </c>
    </row>
    <row r="296" spans="1:134" s="6" customFormat="1" ht="21.95" customHeight="1" x14ac:dyDescent="0.5">
      <c r="A296" s="83">
        <v>100</v>
      </c>
      <c r="B296" s="103" t="s">
        <v>604</v>
      </c>
      <c r="C296" s="103" t="s">
        <v>605</v>
      </c>
      <c r="D296" s="103" t="s">
        <v>337</v>
      </c>
      <c r="E296" s="148" t="s">
        <v>338</v>
      </c>
      <c r="F296" s="83" t="s">
        <v>591</v>
      </c>
      <c r="G296" s="222"/>
      <c r="H296" s="180">
        <v>5.924504937933275E-3</v>
      </c>
      <c r="I296" s="181">
        <f t="shared" si="168"/>
        <v>583.22831253510913</v>
      </c>
      <c r="J296" s="182">
        <f t="shared" si="169"/>
        <v>440.34475401682857</v>
      </c>
      <c r="K296" s="92">
        <v>0</v>
      </c>
      <c r="L296" s="92">
        <v>0</v>
      </c>
      <c r="M296" s="92">
        <v>116</v>
      </c>
      <c r="N296" s="92">
        <v>64</v>
      </c>
      <c r="O296" s="92">
        <v>116</v>
      </c>
      <c r="P296" s="92">
        <v>64</v>
      </c>
      <c r="Q296" s="93">
        <f t="shared" si="144"/>
        <v>0.14534066641237681</v>
      </c>
      <c r="R296" s="94">
        <v>583.22831253510969</v>
      </c>
      <c r="S296" s="91">
        <v>440.34475401682857</v>
      </c>
      <c r="T296" s="92">
        <v>54</v>
      </c>
      <c r="U296" s="92">
        <v>38.879999999999995</v>
      </c>
      <c r="V296" s="92">
        <v>94</v>
      </c>
      <c r="W296" s="92">
        <v>52.879999999999995</v>
      </c>
      <c r="X296" s="92">
        <v>154</v>
      </c>
      <c r="Y296" s="92">
        <v>112.88</v>
      </c>
      <c r="Z296" s="93">
        <f t="shared" si="145"/>
        <v>0.25634460038482959</v>
      </c>
      <c r="AA296" s="94">
        <v>583.22831253510969</v>
      </c>
      <c r="AB296" s="91">
        <v>440.34475401682857</v>
      </c>
      <c r="AC296" s="92">
        <v>188</v>
      </c>
      <c r="AD296" s="92">
        <v>151.92000000000002</v>
      </c>
      <c r="AE296" s="92">
        <v>284</v>
      </c>
      <c r="AF296" s="92">
        <v>201.76000000000002</v>
      </c>
      <c r="AG296" s="92"/>
      <c r="AH296" s="92"/>
      <c r="AI296" s="93">
        <f t="shared" si="146"/>
        <v>0</v>
      </c>
      <c r="AJ296" s="95">
        <f t="shared" si="147"/>
        <v>1321.0342620504857</v>
      </c>
      <c r="AK296" s="96">
        <f t="shared" si="148"/>
        <v>176.88</v>
      </c>
      <c r="AL296" s="97">
        <f t="shared" si="149"/>
        <v>0.13389508893240212</v>
      </c>
      <c r="AN296" s="89">
        <v>7.6326616149917821E-3</v>
      </c>
      <c r="AO296" s="181"/>
      <c r="AP296" s="182"/>
      <c r="AQ296" s="92"/>
      <c r="AR296" s="92"/>
      <c r="AS296" s="92"/>
      <c r="AT296" s="92"/>
      <c r="AU296" s="92"/>
      <c r="AV296" s="92"/>
      <c r="AW296" s="93">
        <f t="shared" si="150"/>
        <v>0</v>
      </c>
      <c r="AX296" s="183"/>
      <c r="AY296" s="184"/>
      <c r="AZ296" s="92"/>
      <c r="BA296" s="92"/>
      <c r="BB296" s="92"/>
      <c r="BC296" s="92"/>
      <c r="BD296" s="92"/>
      <c r="BE296" s="92"/>
      <c r="BF296" s="93">
        <f t="shared" si="151"/>
        <v>0</v>
      </c>
      <c r="BG296" s="181"/>
      <c r="BH296" s="182"/>
      <c r="BI296" s="92"/>
      <c r="BJ296" s="92"/>
      <c r="BK296" s="92"/>
      <c r="BL296" s="92"/>
      <c r="BM296" s="92"/>
      <c r="BN296" s="92"/>
      <c r="BO296" s="93">
        <f t="shared" si="152"/>
        <v>0</v>
      </c>
      <c r="BP296" s="95">
        <f t="shared" si="153"/>
        <v>0</v>
      </c>
      <c r="BQ296" s="96">
        <f t="shared" si="154"/>
        <v>0</v>
      </c>
      <c r="BR296" s="97">
        <f t="shared" si="155"/>
        <v>0</v>
      </c>
      <c r="BT296" s="82"/>
      <c r="BU296" s="181"/>
      <c r="BV296" s="182"/>
      <c r="BW296" s="92"/>
      <c r="BX296" s="92"/>
      <c r="BY296" s="92"/>
      <c r="BZ296" s="92"/>
      <c r="CA296" s="92"/>
      <c r="CB296" s="92"/>
      <c r="CC296" s="93">
        <f t="shared" si="156"/>
        <v>0</v>
      </c>
      <c r="CD296" s="181"/>
      <c r="CE296" s="182"/>
      <c r="CF296" s="92"/>
      <c r="CG296" s="92"/>
      <c r="CH296" s="92"/>
      <c r="CI296" s="92"/>
      <c r="CJ296" s="92"/>
      <c r="CK296" s="92"/>
      <c r="CL296" s="93">
        <f t="shared" si="157"/>
        <v>0</v>
      </c>
      <c r="CM296" s="181"/>
      <c r="CN296" s="182"/>
      <c r="CO296" s="92"/>
      <c r="CP296" s="92"/>
      <c r="CQ296" s="92"/>
      <c r="CR296" s="92"/>
      <c r="CS296" s="92"/>
      <c r="CT296" s="92"/>
      <c r="CU296" s="93">
        <f t="shared" si="158"/>
        <v>0</v>
      </c>
      <c r="CV296" s="95">
        <f t="shared" si="159"/>
        <v>0</v>
      </c>
      <c r="CW296" s="96">
        <f t="shared" si="160"/>
        <v>0</v>
      </c>
      <c r="CX296" s="97">
        <f t="shared" si="161"/>
        <v>0</v>
      </c>
      <c r="CZ296" s="82"/>
      <c r="DA296" s="136"/>
      <c r="DB296" s="137"/>
      <c r="DC296" s="92"/>
      <c r="DD296" s="92"/>
      <c r="DE296" s="92"/>
      <c r="DF296" s="92"/>
      <c r="DG296" s="92"/>
      <c r="DH296" s="92"/>
      <c r="DI296" s="93">
        <f t="shared" si="162"/>
        <v>0</v>
      </c>
      <c r="DJ296" s="183"/>
      <c r="DK296" s="184"/>
      <c r="DL296" s="92"/>
      <c r="DM296" s="92"/>
      <c r="DN296" s="92"/>
      <c r="DO296" s="92"/>
      <c r="DP296" s="92"/>
      <c r="DQ296" s="92"/>
      <c r="DR296" s="93">
        <f t="shared" si="163"/>
        <v>0</v>
      </c>
      <c r="DS296" s="183"/>
      <c r="DT296" s="184"/>
      <c r="DU296" s="92"/>
      <c r="DV296" s="92"/>
      <c r="DW296" s="92"/>
      <c r="DX296" s="92"/>
      <c r="DY296" s="92"/>
      <c r="DZ296" s="92"/>
      <c r="EA296" s="93">
        <f t="shared" si="164"/>
        <v>0</v>
      </c>
      <c r="EB296" s="95">
        <f t="shared" si="165"/>
        <v>0</v>
      </c>
      <c r="EC296" s="96">
        <f t="shared" si="166"/>
        <v>0</v>
      </c>
      <c r="ED296" s="97">
        <f t="shared" si="167"/>
        <v>0</v>
      </c>
    </row>
    <row r="297" spans="1:134" s="6" customFormat="1" ht="21.95" customHeight="1" x14ac:dyDescent="0.5">
      <c r="A297" s="83">
        <v>101</v>
      </c>
      <c r="B297" s="103" t="s">
        <v>606</v>
      </c>
      <c r="C297" s="103" t="s">
        <v>607</v>
      </c>
      <c r="D297" s="103" t="s">
        <v>337</v>
      </c>
      <c r="E297" s="148" t="s">
        <v>338</v>
      </c>
      <c r="F297" s="83" t="s">
        <v>591</v>
      </c>
      <c r="G297" s="222"/>
      <c r="H297" s="180">
        <v>1.6777808227520477E-3</v>
      </c>
      <c r="I297" s="181">
        <f t="shared" si="168"/>
        <v>165.16642121304355</v>
      </c>
      <c r="J297" s="182">
        <f t="shared" si="169"/>
        <v>124.7027374318687</v>
      </c>
      <c r="K297" s="92">
        <v>152</v>
      </c>
      <c r="L297" s="92">
        <v>90.4</v>
      </c>
      <c r="M297" s="92">
        <v>372</v>
      </c>
      <c r="N297" s="92">
        <v>274.8</v>
      </c>
      <c r="O297" s="92">
        <v>512</v>
      </c>
      <c r="P297" s="92">
        <v>353.20000000000005</v>
      </c>
      <c r="Q297" s="93">
        <f t="shared" si="144"/>
        <v>2.8323355787836717</v>
      </c>
      <c r="R297" s="94">
        <v>165.16642121304372</v>
      </c>
      <c r="S297" s="91">
        <v>124.7027374318687</v>
      </c>
      <c r="T297" s="92">
        <v>136</v>
      </c>
      <c r="U297" s="92">
        <v>100.4</v>
      </c>
      <c r="V297" s="92">
        <v>212</v>
      </c>
      <c r="W297" s="92">
        <v>150.4</v>
      </c>
      <c r="X297" s="92">
        <v>332</v>
      </c>
      <c r="Y297" s="92">
        <v>270.39999999999998</v>
      </c>
      <c r="Z297" s="93">
        <f t="shared" si="145"/>
        <v>2.1683565699408396</v>
      </c>
      <c r="AA297" s="94">
        <v>165.16642121304372</v>
      </c>
      <c r="AB297" s="91">
        <v>124.7027374318687</v>
      </c>
      <c r="AC297" s="92">
        <v>200</v>
      </c>
      <c r="AD297" s="92">
        <v>143.19999999999999</v>
      </c>
      <c r="AE297" s="92">
        <v>544</v>
      </c>
      <c r="AF297" s="92">
        <v>269.60000000000002</v>
      </c>
      <c r="AG297" s="92"/>
      <c r="AH297" s="92"/>
      <c r="AI297" s="93">
        <f t="shared" si="146"/>
        <v>0</v>
      </c>
      <c r="AJ297" s="95">
        <f t="shared" si="147"/>
        <v>374.10821229560611</v>
      </c>
      <c r="AK297" s="96">
        <f t="shared" si="148"/>
        <v>623.6</v>
      </c>
      <c r="AL297" s="97">
        <f t="shared" si="149"/>
        <v>1.6668973829081704</v>
      </c>
      <c r="AN297" s="89">
        <v>4.2575251205011965E-3</v>
      </c>
      <c r="AO297" s="181"/>
      <c r="AP297" s="182"/>
      <c r="AQ297" s="92"/>
      <c r="AR297" s="92"/>
      <c r="AS297" s="92"/>
      <c r="AT297" s="92"/>
      <c r="AU297" s="92"/>
      <c r="AV297" s="92"/>
      <c r="AW297" s="93">
        <f t="shared" si="150"/>
        <v>0</v>
      </c>
      <c r="AX297" s="183"/>
      <c r="AY297" s="184"/>
      <c r="AZ297" s="92"/>
      <c r="BA297" s="92"/>
      <c r="BB297" s="92"/>
      <c r="BC297" s="92"/>
      <c r="BD297" s="92"/>
      <c r="BE297" s="92"/>
      <c r="BF297" s="93">
        <f t="shared" si="151"/>
        <v>0</v>
      </c>
      <c r="BG297" s="181"/>
      <c r="BH297" s="182"/>
      <c r="BI297" s="92"/>
      <c r="BJ297" s="92"/>
      <c r="BK297" s="92"/>
      <c r="BL297" s="92"/>
      <c r="BM297" s="92"/>
      <c r="BN297" s="92"/>
      <c r="BO297" s="93">
        <f t="shared" si="152"/>
        <v>0</v>
      </c>
      <c r="BP297" s="95">
        <f t="shared" si="153"/>
        <v>0</v>
      </c>
      <c r="BQ297" s="96">
        <f t="shared" si="154"/>
        <v>0</v>
      </c>
      <c r="BR297" s="97">
        <f t="shared" si="155"/>
        <v>0</v>
      </c>
      <c r="BT297" s="82"/>
      <c r="BU297" s="181"/>
      <c r="BV297" s="182"/>
      <c r="BW297" s="92"/>
      <c r="BX297" s="92"/>
      <c r="BY297" s="92"/>
      <c r="BZ297" s="92"/>
      <c r="CA297" s="92"/>
      <c r="CB297" s="92"/>
      <c r="CC297" s="93">
        <f t="shared" si="156"/>
        <v>0</v>
      </c>
      <c r="CD297" s="181"/>
      <c r="CE297" s="182"/>
      <c r="CF297" s="92"/>
      <c r="CG297" s="92"/>
      <c r="CH297" s="92"/>
      <c r="CI297" s="92"/>
      <c r="CJ297" s="92"/>
      <c r="CK297" s="92"/>
      <c r="CL297" s="93">
        <f t="shared" si="157"/>
        <v>0</v>
      </c>
      <c r="CM297" s="181"/>
      <c r="CN297" s="182"/>
      <c r="CO297" s="92"/>
      <c r="CP297" s="92"/>
      <c r="CQ297" s="92"/>
      <c r="CR297" s="92"/>
      <c r="CS297" s="92"/>
      <c r="CT297" s="92"/>
      <c r="CU297" s="93">
        <f t="shared" si="158"/>
        <v>0</v>
      </c>
      <c r="CV297" s="95">
        <f t="shared" si="159"/>
        <v>0</v>
      </c>
      <c r="CW297" s="96">
        <f t="shared" si="160"/>
        <v>0</v>
      </c>
      <c r="CX297" s="97">
        <f t="shared" si="161"/>
        <v>0</v>
      </c>
      <c r="CZ297" s="82"/>
      <c r="DA297" s="136"/>
      <c r="DB297" s="137"/>
      <c r="DC297" s="92"/>
      <c r="DD297" s="92"/>
      <c r="DE297" s="92"/>
      <c r="DF297" s="92"/>
      <c r="DG297" s="92"/>
      <c r="DH297" s="92"/>
      <c r="DI297" s="93">
        <f t="shared" si="162"/>
        <v>0</v>
      </c>
      <c r="DJ297" s="183"/>
      <c r="DK297" s="184"/>
      <c r="DL297" s="92"/>
      <c r="DM297" s="92"/>
      <c r="DN297" s="92"/>
      <c r="DO297" s="92"/>
      <c r="DP297" s="92"/>
      <c r="DQ297" s="92"/>
      <c r="DR297" s="93">
        <f t="shared" si="163"/>
        <v>0</v>
      </c>
      <c r="DS297" s="183"/>
      <c r="DT297" s="184"/>
      <c r="DU297" s="92"/>
      <c r="DV297" s="92"/>
      <c r="DW297" s="92"/>
      <c r="DX297" s="92"/>
      <c r="DY297" s="92"/>
      <c r="DZ297" s="92"/>
      <c r="EA297" s="93">
        <f t="shared" si="164"/>
        <v>0</v>
      </c>
      <c r="EB297" s="95">
        <f t="shared" si="165"/>
        <v>0</v>
      </c>
      <c r="EC297" s="96">
        <f t="shared" si="166"/>
        <v>0</v>
      </c>
      <c r="ED297" s="97">
        <f t="shared" si="167"/>
        <v>0</v>
      </c>
    </row>
    <row r="298" spans="1:134" s="6" customFormat="1" ht="21.95" customHeight="1" x14ac:dyDescent="0.5">
      <c r="A298" s="83">
        <v>102</v>
      </c>
      <c r="B298" s="103" t="s">
        <v>608</v>
      </c>
      <c r="C298" s="103" t="s">
        <v>609</v>
      </c>
      <c r="D298" s="103" t="s">
        <v>337</v>
      </c>
      <c r="E298" s="148" t="s">
        <v>338</v>
      </c>
      <c r="F298" s="83" t="s">
        <v>591</v>
      </c>
      <c r="G298" s="222"/>
      <c r="H298" s="180">
        <v>5.4433990032784225E-3</v>
      </c>
      <c r="I298" s="181">
        <f t="shared" si="168"/>
        <v>535.86661643409116</v>
      </c>
      <c r="J298" s="182">
        <f t="shared" si="169"/>
        <v>404.58607431767206</v>
      </c>
      <c r="K298" s="92">
        <v>92</v>
      </c>
      <c r="L298" s="92">
        <v>40</v>
      </c>
      <c r="M298" s="92">
        <v>260</v>
      </c>
      <c r="N298" s="92">
        <v>145.92000000000002</v>
      </c>
      <c r="O298" s="92">
        <v>310</v>
      </c>
      <c r="P298" s="92">
        <v>190.88000000000002</v>
      </c>
      <c r="Q298" s="93">
        <f t="shared" si="144"/>
        <v>0.4717908304726407</v>
      </c>
      <c r="R298" s="94">
        <v>535.86661643409161</v>
      </c>
      <c r="S298" s="91">
        <v>404.58607431767206</v>
      </c>
      <c r="T298" s="92">
        <v>168</v>
      </c>
      <c r="U298" s="92">
        <v>90</v>
      </c>
      <c r="V298" s="92">
        <v>192</v>
      </c>
      <c r="W298" s="92">
        <v>114</v>
      </c>
      <c r="X298" s="92">
        <v>206</v>
      </c>
      <c r="Y298" s="92">
        <v>122.96000000000001</v>
      </c>
      <c r="Z298" s="93">
        <f t="shared" si="145"/>
        <v>0.30391555173363316</v>
      </c>
      <c r="AA298" s="94">
        <v>535.86661643409161</v>
      </c>
      <c r="AB298" s="91">
        <v>404.58607431767206</v>
      </c>
      <c r="AC298" s="92">
        <v>26</v>
      </c>
      <c r="AD298" s="92">
        <v>20.96</v>
      </c>
      <c r="AE298" s="92">
        <v>86</v>
      </c>
      <c r="AF298" s="92">
        <v>62.96</v>
      </c>
      <c r="AG298" s="92"/>
      <c r="AH298" s="92"/>
      <c r="AI298" s="93">
        <f t="shared" si="146"/>
        <v>0</v>
      </c>
      <c r="AJ298" s="95">
        <f t="shared" si="147"/>
        <v>1213.7582229530162</v>
      </c>
      <c r="AK298" s="96">
        <f t="shared" si="148"/>
        <v>313.84000000000003</v>
      </c>
      <c r="AL298" s="97">
        <f t="shared" si="149"/>
        <v>0.25856879406875793</v>
      </c>
      <c r="AN298" s="89">
        <v>2.1912650879263498E-3</v>
      </c>
      <c r="AO298" s="181"/>
      <c r="AP298" s="182"/>
      <c r="AQ298" s="92"/>
      <c r="AR298" s="92"/>
      <c r="AS298" s="92"/>
      <c r="AT298" s="92"/>
      <c r="AU298" s="92"/>
      <c r="AV298" s="92"/>
      <c r="AW298" s="93">
        <f t="shared" si="150"/>
        <v>0</v>
      </c>
      <c r="AX298" s="183"/>
      <c r="AY298" s="184"/>
      <c r="AZ298" s="92"/>
      <c r="BA298" s="92"/>
      <c r="BB298" s="92"/>
      <c r="BC298" s="92"/>
      <c r="BD298" s="92"/>
      <c r="BE298" s="92"/>
      <c r="BF298" s="93">
        <f t="shared" si="151"/>
        <v>0</v>
      </c>
      <c r="BG298" s="181"/>
      <c r="BH298" s="182"/>
      <c r="BI298" s="92"/>
      <c r="BJ298" s="92"/>
      <c r="BK298" s="92"/>
      <c r="BL298" s="92"/>
      <c r="BM298" s="92"/>
      <c r="BN298" s="92"/>
      <c r="BO298" s="93">
        <f t="shared" si="152"/>
        <v>0</v>
      </c>
      <c r="BP298" s="95">
        <f t="shared" si="153"/>
        <v>0</v>
      </c>
      <c r="BQ298" s="96">
        <f t="shared" si="154"/>
        <v>0</v>
      </c>
      <c r="BR298" s="97">
        <f t="shared" si="155"/>
        <v>0</v>
      </c>
      <c r="BT298" s="82"/>
      <c r="BU298" s="181"/>
      <c r="BV298" s="182"/>
      <c r="BW298" s="92"/>
      <c r="BX298" s="92"/>
      <c r="BY298" s="92"/>
      <c r="BZ298" s="92"/>
      <c r="CA298" s="92"/>
      <c r="CB298" s="92"/>
      <c r="CC298" s="93">
        <f t="shared" si="156"/>
        <v>0</v>
      </c>
      <c r="CD298" s="181"/>
      <c r="CE298" s="182"/>
      <c r="CF298" s="92"/>
      <c r="CG298" s="92"/>
      <c r="CH298" s="92"/>
      <c r="CI298" s="92"/>
      <c r="CJ298" s="92"/>
      <c r="CK298" s="92"/>
      <c r="CL298" s="93">
        <f t="shared" si="157"/>
        <v>0</v>
      </c>
      <c r="CM298" s="181"/>
      <c r="CN298" s="182"/>
      <c r="CO298" s="92"/>
      <c r="CP298" s="92"/>
      <c r="CQ298" s="92"/>
      <c r="CR298" s="92"/>
      <c r="CS298" s="92"/>
      <c r="CT298" s="92"/>
      <c r="CU298" s="93">
        <f t="shared" si="158"/>
        <v>0</v>
      </c>
      <c r="CV298" s="95">
        <f t="shared" si="159"/>
        <v>0</v>
      </c>
      <c r="CW298" s="96">
        <f t="shared" si="160"/>
        <v>0</v>
      </c>
      <c r="CX298" s="97">
        <f t="shared" si="161"/>
        <v>0</v>
      </c>
      <c r="CZ298" s="82"/>
      <c r="DA298" s="136"/>
      <c r="DB298" s="137"/>
      <c r="DC298" s="92"/>
      <c r="DD298" s="92"/>
      <c r="DE298" s="92"/>
      <c r="DF298" s="92"/>
      <c r="DG298" s="92"/>
      <c r="DH298" s="92"/>
      <c r="DI298" s="93">
        <f t="shared" si="162"/>
        <v>0</v>
      </c>
      <c r="DJ298" s="183"/>
      <c r="DK298" s="184"/>
      <c r="DL298" s="92"/>
      <c r="DM298" s="92"/>
      <c r="DN298" s="92"/>
      <c r="DO298" s="92"/>
      <c r="DP298" s="92"/>
      <c r="DQ298" s="92"/>
      <c r="DR298" s="93">
        <f t="shared" si="163"/>
        <v>0</v>
      </c>
      <c r="DS298" s="183"/>
      <c r="DT298" s="184"/>
      <c r="DU298" s="92"/>
      <c r="DV298" s="92"/>
      <c r="DW298" s="92"/>
      <c r="DX298" s="92"/>
      <c r="DY298" s="92"/>
      <c r="DZ298" s="92"/>
      <c r="EA298" s="93">
        <f t="shared" si="164"/>
        <v>0</v>
      </c>
      <c r="EB298" s="95">
        <f t="shared" si="165"/>
        <v>0</v>
      </c>
      <c r="EC298" s="96">
        <f t="shared" si="166"/>
        <v>0</v>
      </c>
      <c r="ED298" s="97">
        <f t="shared" si="167"/>
        <v>0</v>
      </c>
    </row>
    <row r="299" spans="1:134" s="6" customFormat="1" ht="21.95" customHeight="1" x14ac:dyDescent="0.5">
      <c r="A299" s="83">
        <v>103</v>
      </c>
      <c r="B299" s="103" t="s">
        <v>610</v>
      </c>
      <c r="C299" s="103" t="s">
        <v>611</v>
      </c>
      <c r="D299" s="103" t="s">
        <v>337</v>
      </c>
      <c r="E299" s="148" t="s">
        <v>338</v>
      </c>
      <c r="F299" s="83" t="s">
        <v>591</v>
      </c>
      <c r="G299" s="222"/>
      <c r="H299" s="180">
        <v>2.6024380093988206E-3</v>
      </c>
      <c r="I299" s="181">
        <f t="shared" si="168"/>
        <v>256.19280338187758</v>
      </c>
      <c r="J299" s="182">
        <f t="shared" si="169"/>
        <v>193.42880748657674</v>
      </c>
      <c r="K299" s="92">
        <v>94</v>
      </c>
      <c r="L299" s="92">
        <v>52.88</v>
      </c>
      <c r="M299" s="92">
        <v>364</v>
      </c>
      <c r="N299" s="92">
        <v>215.44</v>
      </c>
      <c r="O299" s="92">
        <v>528</v>
      </c>
      <c r="P299" s="92">
        <v>313.12</v>
      </c>
      <c r="Q299" s="93">
        <f t="shared" si="144"/>
        <v>1.6187867984541517</v>
      </c>
      <c r="R299" s="94">
        <v>256.19280338187787</v>
      </c>
      <c r="S299" s="91">
        <v>193.42880748657674</v>
      </c>
      <c r="T299" s="92">
        <v>188</v>
      </c>
      <c r="U299" s="92">
        <v>105.76</v>
      </c>
      <c r="V299" s="92">
        <v>352</v>
      </c>
      <c r="W299" s="92">
        <v>203.44</v>
      </c>
      <c r="X299" s="92">
        <v>536</v>
      </c>
      <c r="Y299" s="92">
        <v>331.2</v>
      </c>
      <c r="Z299" s="93">
        <f t="shared" si="145"/>
        <v>1.7122578808380653</v>
      </c>
      <c r="AA299" s="94">
        <v>256.19280338187787</v>
      </c>
      <c r="AB299" s="91">
        <v>193.42880748657674</v>
      </c>
      <c r="AC299" s="92">
        <v>204</v>
      </c>
      <c r="AD299" s="92">
        <v>127.6</v>
      </c>
      <c r="AE299" s="92">
        <v>364</v>
      </c>
      <c r="AF299" s="92">
        <v>231.36</v>
      </c>
      <c r="AG299" s="92"/>
      <c r="AH299" s="92"/>
      <c r="AI299" s="93">
        <f t="shared" si="146"/>
        <v>0</v>
      </c>
      <c r="AJ299" s="95">
        <f t="shared" si="147"/>
        <v>580.28642245973026</v>
      </c>
      <c r="AK299" s="96">
        <f t="shared" si="148"/>
        <v>644.31999999999994</v>
      </c>
      <c r="AL299" s="97">
        <f t="shared" si="149"/>
        <v>1.1103482264307387</v>
      </c>
      <c r="AN299" s="89">
        <v>1.1971072359543953E-2</v>
      </c>
      <c r="AO299" s="181"/>
      <c r="AP299" s="182"/>
      <c r="AQ299" s="92"/>
      <c r="AR299" s="92"/>
      <c r="AS299" s="92"/>
      <c r="AT299" s="92"/>
      <c r="AU299" s="92"/>
      <c r="AV299" s="92"/>
      <c r="AW299" s="93">
        <f t="shared" si="150"/>
        <v>0</v>
      </c>
      <c r="AX299" s="183"/>
      <c r="AY299" s="184"/>
      <c r="AZ299" s="92"/>
      <c r="BA299" s="92"/>
      <c r="BB299" s="92"/>
      <c r="BC299" s="92"/>
      <c r="BD299" s="92"/>
      <c r="BE299" s="92"/>
      <c r="BF299" s="93">
        <f t="shared" si="151"/>
        <v>0</v>
      </c>
      <c r="BG299" s="181"/>
      <c r="BH299" s="182"/>
      <c r="BI299" s="92"/>
      <c r="BJ299" s="92"/>
      <c r="BK299" s="92"/>
      <c r="BL299" s="92"/>
      <c r="BM299" s="92"/>
      <c r="BN299" s="92"/>
      <c r="BO299" s="93">
        <f t="shared" si="152"/>
        <v>0</v>
      </c>
      <c r="BP299" s="95">
        <f t="shared" si="153"/>
        <v>0</v>
      </c>
      <c r="BQ299" s="96">
        <f t="shared" si="154"/>
        <v>0</v>
      </c>
      <c r="BR299" s="97">
        <f t="shared" si="155"/>
        <v>0</v>
      </c>
      <c r="BT299" s="82"/>
      <c r="BU299" s="181"/>
      <c r="BV299" s="182"/>
      <c r="BW299" s="92"/>
      <c r="BX299" s="92"/>
      <c r="BY299" s="92"/>
      <c r="BZ299" s="92"/>
      <c r="CA299" s="92"/>
      <c r="CB299" s="92"/>
      <c r="CC299" s="93">
        <f t="shared" si="156"/>
        <v>0</v>
      </c>
      <c r="CD299" s="181"/>
      <c r="CE299" s="182"/>
      <c r="CF299" s="92"/>
      <c r="CG299" s="92"/>
      <c r="CH299" s="92"/>
      <c r="CI299" s="92"/>
      <c r="CJ299" s="92"/>
      <c r="CK299" s="92"/>
      <c r="CL299" s="93">
        <f t="shared" si="157"/>
        <v>0</v>
      </c>
      <c r="CM299" s="181"/>
      <c r="CN299" s="182"/>
      <c r="CO299" s="92"/>
      <c r="CP299" s="92"/>
      <c r="CQ299" s="92"/>
      <c r="CR299" s="92"/>
      <c r="CS299" s="92"/>
      <c r="CT299" s="92"/>
      <c r="CU299" s="93">
        <f t="shared" si="158"/>
        <v>0</v>
      </c>
      <c r="CV299" s="95">
        <f t="shared" si="159"/>
        <v>0</v>
      </c>
      <c r="CW299" s="96">
        <f t="shared" si="160"/>
        <v>0</v>
      </c>
      <c r="CX299" s="97">
        <f t="shared" si="161"/>
        <v>0</v>
      </c>
      <c r="CZ299" s="82"/>
      <c r="DA299" s="136"/>
      <c r="DB299" s="137"/>
      <c r="DC299" s="92"/>
      <c r="DD299" s="92"/>
      <c r="DE299" s="92"/>
      <c r="DF299" s="92"/>
      <c r="DG299" s="92"/>
      <c r="DH299" s="92"/>
      <c r="DI299" s="93">
        <f t="shared" si="162"/>
        <v>0</v>
      </c>
      <c r="DJ299" s="183"/>
      <c r="DK299" s="184"/>
      <c r="DL299" s="92"/>
      <c r="DM299" s="92"/>
      <c r="DN299" s="92"/>
      <c r="DO299" s="92"/>
      <c r="DP299" s="92"/>
      <c r="DQ299" s="92"/>
      <c r="DR299" s="93">
        <f t="shared" si="163"/>
        <v>0</v>
      </c>
      <c r="DS299" s="183"/>
      <c r="DT299" s="184"/>
      <c r="DU299" s="92"/>
      <c r="DV299" s="92"/>
      <c r="DW299" s="92"/>
      <c r="DX299" s="92"/>
      <c r="DY299" s="92"/>
      <c r="DZ299" s="92"/>
      <c r="EA299" s="93">
        <f t="shared" si="164"/>
        <v>0</v>
      </c>
      <c r="EB299" s="95">
        <f t="shared" si="165"/>
        <v>0</v>
      </c>
      <c r="EC299" s="96">
        <f t="shared" si="166"/>
        <v>0</v>
      </c>
      <c r="ED299" s="97">
        <f t="shared" si="167"/>
        <v>0</v>
      </c>
    </row>
    <row r="300" spans="1:134" s="6" customFormat="1" ht="21.95" customHeight="1" x14ac:dyDescent="0.5">
      <c r="A300" s="83">
        <v>104</v>
      </c>
      <c r="B300" s="103" t="s">
        <v>612</v>
      </c>
      <c r="C300" s="103" t="s">
        <v>613</v>
      </c>
      <c r="D300" s="103" t="s">
        <v>337</v>
      </c>
      <c r="E300" s="148" t="s">
        <v>338</v>
      </c>
      <c r="F300" s="83" t="s">
        <v>591</v>
      </c>
      <c r="G300" s="222"/>
      <c r="H300" s="180">
        <v>4.3228484719304121E-3</v>
      </c>
      <c r="I300" s="181">
        <f t="shared" si="168"/>
        <v>425.55583057855563</v>
      </c>
      <c r="J300" s="182">
        <f t="shared" si="169"/>
        <v>321.30003552469981</v>
      </c>
      <c r="K300" s="92">
        <v>50</v>
      </c>
      <c r="L300" s="92">
        <v>44.96</v>
      </c>
      <c r="M300" s="92">
        <v>110</v>
      </c>
      <c r="N300" s="92">
        <v>104.96000000000001</v>
      </c>
      <c r="O300" s="92">
        <v>146</v>
      </c>
      <c r="P300" s="92">
        <v>140.96</v>
      </c>
      <c r="Q300" s="93">
        <f t="shared" si="144"/>
        <v>0.43871766079890073</v>
      </c>
      <c r="R300" s="94">
        <v>425.55583057855608</v>
      </c>
      <c r="S300" s="91">
        <v>321.30003552469981</v>
      </c>
      <c r="T300" s="92">
        <v>144</v>
      </c>
      <c r="U300" s="92">
        <v>120</v>
      </c>
      <c r="V300" s="92">
        <v>180</v>
      </c>
      <c r="W300" s="92">
        <v>156</v>
      </c>
      <c r="X300" s="92">
        <v>348</v>
      </c>
      <c r="Y300" s="92">
        <v>324</v>
      </c>
      <c r="Z300" s="93">
        <f t="shared" si="145"/>
        <v>1.0084032498499136</v>
      </c>
      <c r="AA300" s="94">
        <v>425.55583057855608</v>
      </c>
      <c r="AB300" s="91">
        <v>321.30003552469981</v>
      </c>
      <c r="AC300" s="92">
        <v>86</v>
      </c>
      <c r="AD300" s="92">
        <v>80.960000000000008</v>
      </c>
      <c r="AE300" s="92">
        <v>86</v>
      </c>
      <c r="AF300" s="92">
        <v>80.960000000000008</v>
      </c>
      <c r="AG300" s="92"/>
      <c r="AH300" s="92"/>
      <c r="AI300" s="93">
        <f t="shared" si="146"/>
        <v>0</v>
      </c>
      <c r="AJ300" s="95">
        <f t="shared" si="147"/>
        <v>963.90010657409948</v>
      </c>
      <c r="AK300" s="96">
        <f t="shared" si="148"/>
        <v>464.96000000000004</v>
      </c>
      <c r="AL300" s="97">
        <f t="shared" si="149"/>
        <v>0.48237363688293816</v>
      </c>
      <c r="AN300" s="89">
        <v>3.1177731452374908E-3</v>
      </c>
      <c r="AO300" s="181"/>
      <c r="AP300" s="182"/>
      <c r="AQ300" s="92"/>
      <c r="AR300" s="92"/>
      <c r="AS300" s="92"/>
      <c r="AT300" s="92"/>
      <c r="AU300" s="92"/>
      <c r="AV300" s="92"/>
      <c r="AW300" s="93">
        <f t="shared" si="150"/>
        <v>0</v>
      </c>
      <c r="AX300" s="183"/>
      <c r="AY300" s="184"/>
      <c r="AZ300" s="92"/>
      <c r="BA300" s="92"/>
      <c r="BB300" s="92"/>
      <c r="BC300" s="92"/>
      <c r="BD300" s="92"/>
      <c r="BE300" s="92"/>
      <c r="BF300" s="93">
        <f t="shared" si="151"/>
        <v>0</v>
      </c>
      <c r="BG300" s="181"/>
      <c r="BH300" s="182"/>
      <c r="BI300" s="92"/>
      <c r="BJ300" s="92"/>
      <c r="BK300" s="92"/>
      <c r="BL300" s="92"/>
      <c r="BM300" s="92"/>
      <c r="BN300" s="92"/>
      <c r="BO300" s="93">
        <f t="shared" si="152"/>
        <v>0</v>
      </c>
      <c r="BP300" s="95">
        <f t="shared" si="153"/>
        <v>0</v>
      </c>
      <c r="BQ300" s="96">
        <f t="shared" si="154"/>
        <v>0</v>
      </c>
      <c r="BR300" s="97">
        <f t="shared" si="155"/>
        <v>0</v>
      </c>
      <c r="BT300" s="82"/>
      <c r="BU300" s="181"/>
      <c r="BV300" s="182"/>
      <c r="BW300" s="92"/>
      <c r="BX300" s="92"/>
      <c r="BY300" s="92"/>
      <c r="BZ300" s="92"/>
      <c r="CA300" s="92"/>
      <c r="CB300" s="92"/>
      <c r="CC300" s="93">
        <f t="shared" si="156"/>
        <v>0</v>
      </c>
      <c r="CD300" s="181"/>
      <c r="CE300" s="182"/>
      <c r="CF300" s="92"/>
      <c r="CG300" s="92"/>
      <c r="CH300" s="92"/>
      <c r="CI300" s="92"/>
      <c r="CJ300" s="92"/>
      <c r="CK300" s="92"/>
      <c r="CL300" s="93">
        <f t="shared" si="157"/>
        <v>0</v>
      </c>
      <c r="CM300" s="181"/>
      <c r="CN300" s="182"/>
      <c r="CO300" s="92"/>
      <c r="CP300" s="92"/>
      <c r="CQ300" s="92"/>
      <c r="CR300" s="92"/>
      <c r="CS300" s="92"/>
      <c r="CT300" s="92"/>
      <c r="CU300" s="93">
        <f t="shared" si="158"/>
        <v>0</v>
      </c>
      <c r="CV300" s="95">
        <f t="shared" si="159"/>
        <v>0</v>
      </c>
      <c r="CW300" s="96">
        <f t="shared" si="160"/>
        <v>0</v>
      </c>
      <c r="CX300" s="97">
        <f t="shared" si="161"/>
        <v>0</v>
      </c>
      <c r="CZ300" s="82"/>
      <c r="DA300" s="136"/>
      <c r="DB300" s="137"/>
      <c r="DC300" s="92"/>
      <c r="DD300" s="92"/>
      <c r="DE300" s="92"/>
      <c r="DF300" s="92"/>
      <c r="DG300" s="92"/>
      <c r="DH300" s="92"/>
      <c r="DI300" s="93">
        <f t="shared" si="162"/>
        <v>0</v>
      </c>
      <c r="DJ300" s="183"/>
      <c r="DK300" s="184"/>
      <c r="DL300" s="92"/>
      <c r="DM300" s="92"/>
      <c r="DN300" s="92"/>
      <c r="DO300" s="92"/>
      <c r="DP300" s="92"/>
      <c r="DQ300" s="92"/>
      <c r="DR300" s="93">
        <f t="shared" si="163"/>
        <v>0</v>
      </c>
      <c r="DS300" s="183"/>
      <c r="DT300" s="184"/>
      <c r="DU300" s="92"/>
      <c r="DV300" s="92"/>
      <c r="DW300" s="92"/>
      <c r="DX300" s="92"/>
      <c r="DY300" s="92"/>
      <c r="DZ300" s="92"/>
      <c r="EA300" s="93">
        <f t="shared" si="164"/>
        <v>0</v>
      </c>
      <c r="EB300" s="95">
        <f t="shared" si="165"/>
        <v>0</v>
      </c>
      <c r="EC300" s="96">
        <f t="shared" si="166"/>
        <v>0</v>
      </c>
      <c r="ED300" s="97">
        <f t="shared" si="167"/>
        <v>0</v>
      </c>
    </row>
    <row r="301" spans="1:134" s="6" customFormat="1" ht="21.95" customHeight="1" x14ac:dyDescent="0.5">
      <c r="A301" s="83">
        <v>105</v>
      </c>
      <c r="B301" s="103" t="s">
        <v>614</v>
      </c>
      <c r="C301" s="103" t="s">
        <v>614</v>
      </c>
      <c r="D301" s="103" t="s">
        <v>337</v>
      </c>
      <c r="E301" s="148" t="s">
        <v>338</v>
      </c>
      <c r="F301" s="83" t="s">
        <v>591</v>
      </c>
      <c r="G301" s="222"/>
      <c r="H301" s="180">
        <v>2.5039838413365408E-3</v>
      </c>
      <c r="I301" s="181">
        <f t="shared" si="168"/>
        <v>246.50064194348363</v>
      </c>
      <c r="J301" s="182">
        <f t="shared" si="169"/>
        <v>186.11110299117973</v>
      </c>
      <c r="K301" s="92">
        <v>62</v>
      </c>
      <c r="L301" s="92">
        <v>56.96</v>
      </c>
      <c r="M301" s="92">
        <v>282</v>
      </c>
      <c r="N301" s="92">
        <v>250.96</v>
      </c>
      <c r="O301" s="92">
        <v>342</v>
      </c>
      <c r="P301" s="92">
        <v>310.96000000000004</v>
      </c>
      <c r="Q301" s="93">
        <f t="shared" si="144"/>
        <v>1.670829923643713</v>
      </c>
      <c r="R301" s="94">
        <v>246.50064194348388</v>
      </c>
      <c r="S301" s="91">
        <v>186.11110299117973</v>
      </c>
      <c r="T301" s="92">
        <v>116</v>
      </c>
      <c r="U301" s="92">
        <v>95.84</v>
      </c>
      <c r="V301" s="92">
        <v>188</v>
      </c>
      <c r="W301" s="92">
        <v>167.84</v>
      </c>
      <c r="X301" s="92">
        <v>308</v>
      </c>
      <c r="Y301" s="92">
        <v>287.84000000000003</v>
      </c>
      <c r="Z301" s="93">
        <f t="shared" si="145"/>
        <v>1.5466030525521171</v>
      </c>
      <c r="AA301" s="94">
        <v>246.50064194348388</v>
      </c>
      <c r="AB301" s="91">
        <v>186.11110299117973</v>
      </c>
      <c r="AC301" s="92">
        <v>180</v>
      </c>
      <c r="AD301" s="92">
        <v>117.92</v>
      </c>
      <c r="AE301" s="92">
        <v>180</v>
      </c>
      <c r="AF301" s="92">
        <v>117.92</v>
      </c>
      <c r="AG301" s="92"/>
      <c r="AH301" s="92"/>
      <c r="AI301" s="93">
        <f t="shared" si="146"/>
        <v>0</v>
      </c>
      <c r="AJ301" s="95">
        <f t="shared" si="147"/>
        <v>558.33330897353926</v>
      </c>
      <c r="AK301" s="96">
        <f t="shared" si="148"/>
        <v>598.80000000000007</v>
      </c>
      <c r="AL301" s="97">
        <f t="shared" si="149"/>
        <v>1.0724776587319433</v>
      </c>
      <c r="AN301" s="89">
        <v>1.7206578207206906E-3</v>
      </c>
      <c r="AO301" s="181"/>
      <c r="AP301" s="182"/>
      <c r="AQ301" s="92"/>
      <c r="AR301" s="92"/>
      <c r="AS301" s="92"/>
      <c r="AT301" s="92"/>
      <c r="AU301" s="92"/>
      <c r="AV301" s="92"/>
      <c r="AW301" s="93">
        <f t="shared" si="150"/>
        <v>0</v>
      </c>
      <c r="AX301" s="183"/>
      <c r="AY301" s="184"/>
      <c r="AZ301" s="92"/>
      <c r="BA301" s="92"/>
      <c r="BB301" s="92"/>
      <c r="BC301" s="92"/>
      <c r="BD301" s="92"/>
      <c r="BE301" s="92"/>
      <c r="BF301" s="93">
        <f t="shared" si="151"/>
        <v>0</v>
      </c>
      <c r="BG301" s="181"/>
      <c r="BH301" s="182"/>
      <c r="BI301" s="92"/>
      <c r="BJ301" s="92"/>
      <c r="BK301" s="92"/>
      <c r="BL301" s="92"/>
      <c r="BM301" s="92"/>
      <c r="BN301" s="92"/>
      <c r="BO301" s="93">
        <f t="shared" si="152"/>
        <v>0</v>
      </c>
      <c r="BP301" s="95">
        <f t="shared" si="153"/>
        <v>0</v>
      </c>
      <c r="BQ301" s="96">
        <f t="shared" si="154"/>
        <v>0</v>
      </c>
      <c r="BR301" s="97">
        <f t="shared" si="155"/>
        <v>0</v>
      </c>
      <c r="BT301" s="82"/>
      <c r="BU301" s="181"/>
      <c r="BV301" s="182"/>
      <c r="BW301" s="92"/>
      <c r="BX301" s="92"/>
      <c r="BY301" s="92"/>
      <c r="BZ301" s="92"/>
      <c r="CA301" s="92"/>
      <c r="CB301" s="92"/>
      <c r="CC301" s="93">
        <f t="shared" si="156"/>
        <v>0</v>
      </c>
      <c r="CD301" s="181"/>
      <c r="CE301" s="182"/>
      <c r="CF301" s="92"/>
      <c r="CG301" s="92"/>
      <c r="CH301" s="92"/>
      <c r="CI301" s="92"/>
      <c r="CJ301" s="92"/>
      <c r="CK301" s="92"/>
      <c r="CL301" s="93">
        <f t="shared" si="157"/>
        <v>0</v>
      </c>
      <c r="CM301" s="181"/>
      <c r="CN301" s="182"/>
      <c r="CO301" s="92"/>
      <c r="CP301" s="92"/>
      <c r="CQ301" s="92"/>
      <c r="CR301" s="92"/>
      <c r="CS301" s="92"/>
      <c r="CT301" s="92"/>
      <c r="CU301" s="93">
        <f t="shared" si="158"/>
        <v>0</v>
      </c>
      <c r="CV301" s="95">
        <f t="shared" si="159"/>
        <v>0</v>
      </c>
      <c r="CW301" s="96">
        <f t="shared" si="160"/>
        <v>0</v>
      </c>
      <c r="CX301" s="97">
        <f t="shared" si="161"/>
        <v>0</v>
      </c>
      <c r="CZ301" s="82"/>
      <c r="DA301" s="136"/>
      <c r="DB301" s="137"/>
      <c r="DC301" s="92"/>
      <c r="DD301" s="92"/>
      <c r="DE301" s="92"/>
      <c r="DF301" s="92"/>
      <c r="DG301" s="92"/>
      <c r="DH301" s="92"/>
      <c r="DI301" s="93">
        <f t="shared" si="162"/>
        <v>0</v>
      </c>
      <c r="DJ301" s="183"/>
      <c r="DK301" s="184"/>
      <c r="DL301" s="92"/>
      <c r="DM301" s="92"/>
      <c r="DN301" s="92"/>
      <c r="DO301" s="92"/>
      <c r="DP301" s="92"/>
      <c r="DQ301" s="92"/>
      <c r="DR301" s="93">
        <f t="shared" si="163"/>
        <v>0</v>
      </c>
      <c r="DS301" s="183"/>
      <c r="DT301" s="184"/>
      <c r="DU301" s="92"/>
      <c r="DV301" s="92"/>
      <c r="DW301" s="92"/>
      <c r="DX301" s="92"/>
      <c r="DY301" s="92"/>
      <c r="DZ301" s="92"/>
      <c r="EA301" s="93">
        <f t="shared" si="164"/>
        <v>0</v>
      </c>
      <c r="EB301" s="95">
        <f t="shared" si="165"/>
        <v>0</v>
      </c>
      <c r="EC301" s="96">
        <f t="shared" si="166"/>
        <v>0</v>
      </c>
      <c r="ED301" s="97">
        <f t="shared" si="167"/>
        <v>0</v>
      </c>
    </row>
    <row r="302" spans="1:134" s="6" customFormat="1" ht="21.95" customHeight="1" x14ac:dyDescent="0.5">
      <c r="A302" s="83">
        <v>106</v>
      </c>
      <c r="B302" s="103" t="s">
        <v>615</v>
      </c>
      <c r="C302" s="103" t="s">
        <v>616</v>
      </c>
      <c r="D302" s="103" t="s">
        <v>297</v>
      </c>
      <c r="E302" s="148" t="s">
        <v>298</v>
      </c>
      <c r="F302" s="83" t="s">
        <v>591</v>
      </c>
      <c r="G302" s="222"/>
      <c r="H302" s="180">
        <v>2.0959572891609069E-3</v>
      </c>
      <c r="I302" s="181">
        <f t="shared" si="168"/>
        <v>206.33312752869631</v>
      </c>
      <c r="J302" s="182">
        <f t="shared" si="169"/>
        <v>155.78412147417356</v>
      </c>
      <c r="K302" s="92">
        <v>490</v>
      </c>
      <c r="L302" s="92">
        <v>464.8</v>
      </c>
      <c r="M302" s="92">
        <v>702</v>
      </c>
      <c r="N302" s="92">
        <v>602.4</v>
      </c>
      <c r="O302" s="92">
        <v>1242</v>
      </c>
      <c r="P302" s="92">
        <v>1118.4000000000001</v>
      </c>
      <c r="Q302" s="93">
        <f t="shared" si="144"/>
        <v>7.1791655620397252</v>
      </c>
      <c r="R302" s="94">
        <v>206.33312752869651</v>
      </c>
      <c r="S302" s="91">
        <v>155.78412147417356</v>
      </c>
      <c r="T302" s="92">
        <v>120</v>
      </c>
      <c r="U302" s="92">
        <v>120</v>
      </c>
      <c r="V302" s="92">
        <v>282</v>
      </c>
      <c r="W302" s="92">
        <v>266.88</v>
      </c>
      <c r="X302" s="92">
        <v>768</v>
      </c>
      <c r="Y302" s="92">
        <v>661.28</v>
      </c>
      <c r="Z302" s="93">
        <f t="shared" si="145"/>
        <v>4.2448485361817143</v>
      </c>
      <c r="AA302" s="94">
        <v>206.33312752869651</v>
      </c>
      <c r="AB302" s="91">
        <v>155.78412147417356</v>
      </c>
      <c r="AC302" s="92">
        <v>324</v>
      </c>
      <c r="AD302" s="92">
        <v>324</v>
      </c>
      <c r="AE302" s="92">
        <v>784</v>
      </c>
      <c r="AF302" s="92">
        <v>758</v>
      </c>
      <c r="AG302" s="92"/>
      <c r="AH302" s="92"/>
      <c r="AI302" s="93">
        <f t="shared" si="146"/>
        <v>0</v>
      </c>
      <c r="AJ302" s="95">
        <f t="shared" si="147"/>
        <v>467.35236442252068</v>
      </c>
      <c r="AK302" s="96">
        <f t="shared" si="148"/>
        <v>1779.68</v>
      </c>
      <c r="AL302" s="97">
        <f t="shared" si="149"/>
        <v>3.8080046994071464</v>
      </c>
      <c r="AN302" s="89">
        <v>3.2648379162392594E-3</v>
      </c>
      <c r="AO302" s="181"/>
      <c r="AP302" s="182"/>
      <c r="AQ302" s="92"/>
      <c r="AR302" s="92"/>
      <c r="AS302" s="92"/>
      <c r="AT302" s="92"/>
      <c r="AU302" s="92"/>
      <c r="AV302" s="92"/>
      <c r="AW302" s="93">
        <f t="shared" si="150"/>
        <v>0</v>
      </c>
      <c r="AX302" s="183"/>
      <c r="AY302" s="184"/>
      <c r="AZ302" s="92"/>
      <c r="BA302" s="92"/>
      <c r="BB302" s="92"/>
      <c r="BC302" s="92"/>
      <c r="BD302" s="92"/>
      <c r="BE302" s="92"/>
      <c r="BF302" s="93">
        <f t="shared" si="151"/>
        <v>0</v>
      </c>
      <c r="BG302" s="181"/>
      <c r="BH302" s="182"/>
      <c r="BI302" s="92"/>
      <c r="BJ302" s="92"/>
      <c r="BK302" s="92"/>
      <c r="BL302" s="92"/>
      <c r="BM302" s="92"/>
      <c r="BN302" s="92"/>
      <c r="BO302" s="93">
        <f t="shared" si="152"/>
        <v>0</v>
      </c>
      <c r="BP302" s="95">
        <f t="shared" si="153"/>
        <v>0</v>
      </c>
      <c r="BQ302" s="96">
        <f t="shared" si="154"/>
        <v>0</v>
      </c>
      <c r="BR302" s="97">
        <f t="shared" si="155"/>
        <v>0</v>
      </c>
      <c r="BT302" s="82"/>
      <c r="BU302" s="181"/>
      <c r="BV302" s="182"/>
      <c r="BW302" s="92"/>
      <c r="BX302" s="92"/>
      <c r="BY302" s="92"/>
      <c r="BZ302" s="92"/>
      <c r="CA302" s="92"/>
      <c r="CB302" s="92"/>
      <c r="CC302" s="93">
        <f t="shared" si="156"/>
        <v>0</v>
      </c>
      <c r="CD302" s="181"/>
      <c r="CE302" s="182"/>
      <c r="CF302" s="92"/>
      <c r="CG302" s="92"/>
      <c r="CH302" s="92"/>
      <c r="CI302" s="92"/>
      <c r="CJ302" s="92"/>
      <c r="CK302" s="92"/>
      <c r="CL302" s="93">
        <f t="shared" si="157"/>
        <v>0</v>
      </c>
      <c r="CM302" s="181"/>
      <c r="CN302" s="182"/>
      <c r="CO302" s="92"/>
      <c r="CP302" s="92"/>
      <c r="CQ302" s="92"/>
      <c r="CR302" s="92"/>
      <c r="CS302" s="92"/>
      <c r="CT302" s="92"/>
      <c r="CU302" s="93">
        <f t="shared" si="158"/>
        <v>0</v>
      </c>
      <c r="CV302" s="95">
        <f t="shared" si="159"/>
        <v>0</v>
      </c>
      <c r="CW302" s="96">
        <f t="shared" si="160"/>
        <v>0</v>
      </c>
      <c r="CX302" s="97">
        <f t="shared" si="161"/>
        <v>0</v>
      </c>
      <c r="CZ302" s="82"/>
      <c r="DA302" s="136"/>
      <c r="DB302" s="137"/>
      <c r="DC302" s="92"/>
      <c r="DD302" s="92"/>
      <c r="DE302" s="92"/>
      <c r="DF302" s="92"/>
      <c r="DG302" s="92"/>
      <c r="DH302" s="92"/>
      <c r="DI302" s="93">
        <f t="shared" si="162"/>
        <v>0</v>
      </c>
      <c r="DJ302" s="183"/>
      <c r="DK302" s="184"/>
      <c r="DL302" s="92"/>
      <c r="DM302" s="92"/>
      <c r="DN302" s="92"/>
      <c r="DO302" s="92"/>
      <c r="DP302" s="92"/>
      <c r="DQ302" s="92"/>
      <c r="DR302" s="93">
        <f t="shared" si="163"/>
        <v>0</v>
      </c>
      <c r="DS302" s="183"/>
      <c r="DT302" s="184"/>
      <c r="DU302" s="92"/>
      <c r="DV302" s="92"/>
      <c r="DW302" s="92"/>
      <c r="DX302" s="92"/>
      <c r="DY302" s="92"/>
      <c r="DZ302" s="92"/>
      <c r="EA302" s="93">
        <f t="shared" si="164"/>
        <v>0</v>
      </c>
      <c r="EB302" s="95">
        <f t="shared" si="165"/>
        <v>0</v>
      </c>
      <c r="EC302" s="96">
        <f t="shared" si="166"/>
        <v>0</v>
      </c>
      <c r="ED302" s="97">
        <f t="shared" si="167"/>
        <v>0</v>
      </c>
    </row>
    <row r="303" spans="1:134" s="6" customFormat="1" ht="21.95" customHeight="1" x14ac:dyDescent="0.5">
      <c r="A303" s="83">
        <v>107</v>
      </c>
      <c r="B303" s="103" t="s">
        <v>617</v>
      </c>
      <c r="C303" s="103" t="s">
        <v>618</v>
      </c>
      <c r="D303" s="103" t="s">
        <v>297</v>
      </c>
      <c r="E303" s="148" t="s">
        <v>298</v>
      </c>
      <c r="F303" s="83" t="s">
        <v>591</v>
      </c>
      <c r="G303" s="222"/>
      <c r="H303" s="180">
        <v>1.0317387818072938E-2</v>
      </c>
      <c r="I303" s="181">
        <f t="shared" si="168"/>
        <v>1015.6785672296357</v>
      </c>
      <c r="J303" s="182">
        <f t="shared" si="169"/>
        <v>766.8501669660892</v>
      </c>
      <c r="K303" s="92">
        <v>206</v>
      </c>
      <c r="L303" s="92">
        <v>154.80000000000001</v>
      </c>
      <c r="M303" s="92">
        <v>318</v>
      </c>
      <c r="N303" s="92">
        <v>240.8</v>
      </c>
      <c r="O303" s="92">
        <v>710</v>
      </c>
      <c r="P303" s="92">
        <v>580.79999999999995</v>
      </c>
      <c r="Q303" s="93">
        <f t="shared" si="144"/>
        <v>0.75738393889621913</v>
      </c>
      <c r="R303" s="94">
        <v>1015.6785672296368</v>
      </c>
      <c r="S303" s="91">
        <v>766.8501669660892</v>
      </c>
      <c r="T303" s="92">
        <v>0</v>
      </c>
      <c r="U303" s="92">
        <v>0</v>
      </c>
      <c r="V303" s="92">
        <v>390</v>
      </c>
      <c r="W303" s="92">
        <v>270.48</v>
      </c>
      <c r="X303" s="92">
        <v>630</v>
      </c>
      <c r="Y303" s="92">
        <v>510.48</v>
      </c>
      <c r="Z303" s="93">
        <f t="shared" si="145"/>
        <v>0.6656841479472142</v>
      </c>
      <c r="AA303" s="94">
        <v>1015.6785672296368</v>
      </c>
      <c r="AB303" s="91">
        <v>766.8501669660892</v>
      </c>
      <c r="AC303" s="92">
        <v>330</v>
      </c>
      <c r="AD303" s="92">
        <v>252.8</v>
      </c>
      <c r="AE303" s="92">
        <v>662</v>
      </c>
      <c r="AF303" s="92">
        <v>557.44000000000005</v>
      </c>
      <c r="AG303" s="92"/>
      <c r="AH303" s="92"/>
      <c r="AI303" s="93">
        <f t="shared" si="146"/>
        <v>0</v>
      </c>
      <c r="AJ303" s="95">
        <f t="shared" si="147"/>
        <v>2300.5505008982677</v>
      </c>
      <c r="AK303" s="96">
        <f t="shared" si="148"/>
        <v>1091.28</v>
      </c>
      <c r="AL303" s="97">
        <f t="shared" si="149"/>
        <v>0.47435602894781109</v>
      </c>
      <c r="AN303" s="89">
        <v>7.3679450271885993E-3</v>
      </c>
      <c r="AO303" s="181"/>
      <c r="AP303" s="182"/>
      <c r="AQ303" s="92"/>
      <c r="AR303" s="92"/>
      <c r="AS303" s="92"/>
      <c r="AT303" s="92"/>
      <c r="AU303" s="92"/>
      <c r="AV303" s="92"/>
      <c r="AW303" s="93">
        <f t="shared" si="150"/>
        <v>0</v>
      </c>
      <c r="AX303" s="183"/>
      <c r="AY303" s="184"/>
      <c r="AZ303" s="92"/>
      <c r="BA303" s="92"/>
      <c r="BB303" s="92"/>
      <c r="BC303" s="92"/>
      <c r="BD303" s="92"/>
      <c r="BE303" s="92"/>
      <c r="BF303" s="93">
        <f t="shared" si="151"/>
        <v>0</v>
      </c>
      <c r="BG303" s="181"/>
      <c r="BH303" s="182"/>
      <c r="BI303" s="92"/>
      <c r="BJ303" s="92"/>
      <c r="BK303" s="92"/>
      <c r="BL303" s="92"/>
      <c r="BM303" s="92"/>
      <c r="BN303" s="92"/>
      <c r="BO303" s="93">
        <f t="shared" si="152"/>
        <v>0</v>
      </c>
      <c r="BP303" s="95">
        <f t="shared" si="153"/>
        <v>0</v>
      </c>
      <c r="BQ303" s="96">
        <f t="shared" si="154"/>
        <v>0</v>
      </c>
      <c r="BR303" s="97">
        <f t="shared" si="155"/>
        <v>0</v>
      </c>
      <c r="BT303" s="82"/>
      <c r="BU303" s="181"/>
      <c r="BV303" s="182"/>
      <c r="BW303" s="92"/>
      <c r="BX303" s="92"/>
      <c r="BY303" s="92"/>
      <c r="BZ303" s="92"/>
      <c r="CA303" s="92"/>
      <c r="CB303" s="92"/>
      <c r="CC303" s="93">
        <f t="shared" si="156"/>
        <v>0</v>
      </c>
      <c r="CD303" s="181"/>
      <c r="CE303" s="182"/>
      <c r="CF303" s="92"/>
      <c r="CG303" s="92"/>
      <c r="CH303" s="92"/>
      <c r="CI303" s="92"/>
      <c r="CJ303" s="92"/>
      <c r="CK303" s="92"/>
      <c r="CL303" s="93">
        <f t="shared" si="157"/>
        <v>0</v>
      </c>
      <c r="CM303" s="181"/>
      <c r="CN303" s="182"/>
      <c r="CO303" s="92"/>
      <c r="CP303" s="92"/>
      <c r="CQ303" s="92"/>
      <c r="CR303" s="92"/>
      <c r="CS303" s="92"/>
      <c r="CT303" s="92"/>
      <c r="CU303" s="93">
        <f t="shared" si="158"/>
        <v>0</v>
      </c>
      <c r="CV303" s="95">
        <f t="shared" si="159"/>
        <v>0</v>
      </c>
      <c r="CW303" s="96">
        <f t="shared" si="160"/>
        <v>0</v>
      </c>
      <c r="CX303" s="97">
        <f t="shared" si="161"/>
        <v>0</v>
      </c>
      <c r="CZ303" s="82"/>
      <c r="DA303" s="136"/>
      <c r="DB303" s="137"/>
      <c r="DC303" s="92"/>
      <c r="DD303" s="92"/>
      <c r="DE303" s="92"/>
      <c r="DF303" s="92"/>
      <c r="DG303" s="92"/>
      <c r="DH303" s="92"/>
      <c r="DI303" s="93">
        <f t="shared" si="162"/>
        <v>0</v>
      </c>
      <c r="DJ303" s="183"/>
      <c r="DK303" s="184"/>
      <c r="DL303" s="92"/>
      <c r="DM303" s="92"/>
      <c r="DN303" s="92"/>
      <c r="DO303" s="92"/>
      <c r="DP303" s="92"/>
      <c r="DQ303" s="92"/>
      <c r="DR303" s="93">
        <f t="shared" si="163"/>
        <v>0</v>
      </c>
      <c r="DS303" s="183"/>
      <c r="DT303" s="184"/>
      <c r="DU303" s="92"/>
      <c r="DV303" s="92"/>
      <c r="DW303" s="92"/>
      <c r="DX303" s="92"/>
      <c r="DY303" s="92"/>
      <c r="DZ303" s="92"/>
      <c r="EA303" s="93">
        <f t="shared" si="164"/>
        <v>0</v>
      </c>
      <c r="EB303" s="95">
        <f t="shared" si="165"/>
        <v>0</v>
      </c>
      <c r="EC303" s="96">
        <f t="shared" si="166"/>
        <v>0</v>
      </c>
      <c r="ED303" s="97">
        <f t="shared" si="167"/>
        <v>0</v>
      </c>
    </row>
    <row r="304" spans="1:134" s="6" customFormat="1" ht="21.95" customHeight="1" x14ac:dyDescent="0.5">
      <c r="A304" s="83">
        <v>108</v>
      </c>
      <c r="B304" s="103" t="s">
        <v>619</v>
      </c>
      <c r="C304" s="103" t="s">
        <v>620</v>
      </c>
      <c r="D304" s="103" t="s">
        <v>297</v>
      </c>
      <c r="E304" s="148" t="s">
        <v>298</v>
      </c>
      <c r="F304" s="83" t="s">
        <v>591</v>
      </c>
      <c r="G304" s="222"/>
      <c r="H304" s="180">
        <v>1.3049744729657035E-2</v>
      </c>
      <c r="I304" s="181">
        <f t="shared" si="168"/>
        <v>1284.6610269425898</v>
      </c>
      <c r="J304" s="182">
        <f t="shared" si="169"/>
        <v>969.93532677648875</v>
      </c>
      <c r="K304" s="92">
        <v>48</v>
      </c>
      <c r="L304" s="92">
        <v>48</v>
      </c>
      <c r="M304" s="92">
        <v>148</v>
      </c>
      <c r="N304" s="92">
        <v>117.2</v>
      </c>
      <c r="O304" s="92">
        <v>208</v>
      </c>
      <c r="P304" s="92">
        <v>177.2</v>
      </c>
      <c r="Q304" s="93">
        <f t="shared" si="144"/>
        <v>0.18269259311227648</v>
      </c>
      <c r="R304" s="94">
        <v>1284.6610269425912</v>
      </c>
      <c r="S304" s="91">
        <v>969.93532677648875</v>
      </c>
      <c r="T304" s="92">
        <v>40</v>
      </c>
      <c r="U304" s="92">
        <v>14</v>
      </c>
      <c r="V304" s="92">
        <v>172</v>
      </c>
      <c r="W304" s="92">
        <v>131.60000000000002</v>
      </c>
      <c r="X304" s="92">
        <v>172</v>
      </c>
      <c r="Y304" s="92">
        <v>131.60000000000002</v>
      </c>
      <c r="Z304" s="93">
        <f t="shared" si="145"/>
        <v>0.13567914928654395</v>
      </c>
      <c r="AA304" s="94">
        <v>1284.6610269425912</v>
      </c>
      <c r="AB304" s="91">
        <v>969.93532677648875</v>
      </c>
      <c r="AC304" s="92">
        <v>96</v>
      </c>
      <c r="AD304" s="92">
        <v>96</v>
      </c>
      <c r="AE304" s="92">
        <v>276</v>
      </c>
      <c r="AF304" s="92">
        <v>276</v>
      </c>
      <c r="AG304" s="92"/>
      <c r="AH304" s="92"/>
      <c r="AI304" s="93">
        <f t="shared" si="146"/>
        <v>0</v>
      </c>
      <c r="AJ304" s="95">
        <f t="shared" si="147"/>
        <v>2909.8059803294664</v>
      </c>
      <c r="AK304" s="96">
        <f t="shared" si="148"/>
        <v>308.8</v>
      </c>
      <c r="AL304" s="97">
        <f t="shared" si="149"/>
        <v>0.10612391413294014</v>
      </c>
      <c r="AN304" s="89">
        <v>4.713425910606678E-3</v>
      </c>
      <c r="AO304" s="181"/>
      <c r="AP304" s="182"/>
      <c r="AQ304" s="92"/>
      <c r="AR304" s="92"/>
      <c r="AS304" s="92"/>
      <c r="AT304" s="92"/>
      <c r="AU304" s="92"/>
      <c r="AV304" s="92"/>
      <c r="AW304" s="93">
        <f t="shared" si="150"/>
        <v>0</v>
      </c>
      <c r="AX304" s="183"/>
      <c r="AY304" s="184"/>
      <c r="AZ304" s="92"/>
      <c r="BA304" s="92"/>
      <c r="BB304" s="92"/>
      <c r="BC304" s="92"/>
      <c r="BD304" s="92"/>
      <c r="BE304" s="92"/>
      <c r="BF304" s="93">
        <f t="shared" si="151"/>
        <v>0</v>
      </c>
      <c r="BG304" s="181"/>
      <c r="BH304" s="182"/>
      <c r="BI304" s="92"/>
      <c r="BJ304" s="92"/>
      <c r="BK304" s="92"/>
      <c r="BL304" s="92"/>
      <c r="BM304" s="92"/>
      <c r="BN304" s="92"/>
      <c r="BO304" s="93">
        <f t="shared" si="152"/>
        <v>0</v>
      </c>
      <c r="BP304" s="95">
        <f t="shared" si="153"/>
        <v>0</v>
      </c>
      <c r="BQ304" s="96">
        <f t="shared" si="154"/>
        <v>0</v>
      </c>
      <c r="BR304" s="97">
        <f t="shared" si="155"/>
        <v>0</v>
      </c>
      <c r="BT304" s="82"/>
      <c r="BU304" s="181"/>
      <c r="BV304" s="182"/>
      <c r="BW304" s="92"/>
      <c r="BX304" s="92"/>
      <c r="BY304" s="92"/>
      <c r="BZ304" s="92"/>
      <c r="CA304" s="92"/>
      <c r="CB304" s="92"/>
      <c r="CC304" s="93">
        <f t="shared" si="156"/>
        <v>0</v>
      </c>
      <c r="CD304" s="181"/>
      <c r="CE304" s="182"/>
      <c r="CF304" s="92"/>
      <c r="CG304" s="92"/>
      <c r="CH304" s="92"/>
      <c r="CI304" s="92"/>
      <c r="CJ304" s="92"/>
      <c r="CK304" s="92"/>
      <c r="CL304" s="93">
        <f t="shared" si="157"/>
        <v>0</v>
      </c>
      <c r="CM304" s="181"/>
      <c r="CN304" s="182"/>
      <c r="CO304" s="92"/>
      <c r="CP304" s="92"/>
      <c r="CQ304" s="92"/>
      <c r="CR304" s="92"/>
      <c r="CS304" s="92"/>
      <c r="CT304" s="92"/>
      <c r="CU304" s="93">
        <f t="shared" si="158"/>
        <v>0</v>
      </c>
      <c r="CV304" s="95">
        <f t="shared" si="159"/>
        <v>0</v>
      </c>
      <c r="CW304" s="96">
        <f t="shared" si="160"/>
        <v>0</v>
      </c>
      <c r="CX304" s="97">
        <f t="shared" si="161"/>
        <v>0</v>
      </c>
      <c r="CZ304" s="82"/>
      <c r="DA304" s="136"/>
      <c r="DB304" s="137"/>
      <c r="DC304" s="92"/>
      <c r="DD304" s="92"/>
      <c r="DE304" s="92"/>
      <c r="DF304" s="92"/>
      <c r="DG304" s="92"/>
      <c r="DH304" s="92"/>
      <c r="DI304" s="93">
        <f t="shared" si="162"/>
        <v>0</v>
      </c>
      <c r="DJ304" s="183"/>
      <c r="DK304" s="184"/>
      <c r="DL304" s="92"/>
      <c r="DM304" s="92"/>
      <c r="DN304" s="92"/>
      <c r="DO304" s="92"/>
      <c r="DP304" s="92"/>
      <c r="DQ304" s="92"/>
      <c r="DR304" s="93">
        <f t="shared" si="163"/>
        <v>0</v>
      </c>
      <c r="DS304" s="183"/>
      <c r="DT304" s="184"/>
      <c r="DU304" s="92"/>
      <c r="DV304" s="92"/>
      <c r="DW304" s="92"/>
      <c r="DX304" s="92"/>
      <c r="DY304" s="92"/>
      <c r="DZ304" s="92"/>
      <c r="EA304" s="93">
        <f t="shared" si="164"/>
        <v>0</v>
      </c>
      <c r="EB304" s="95">
        <f t="shared" si="165"/>
        <v>0</v>
      </c>
      <c r="EC304" s="96">
        <f t="shared" si="166"/>
        <v>0</v>
      </c>
      <c r="ED304" s="97">
        <f t="shared" si="167"/>
        <v>0</v>
      </c>
    </row>
    <row r="305" spans="1:134" s="6" customFormat="1" ht="21.95" customHeight="1" x14ac:dyDescent="0.5">
      <c r="A305" s="83">
        <v>109</v>
      </c>
      <c r="B305" s="103" t="s">
        <v>621</v>
      </c>
      <c r="C305" s="103" t="s">
        <v>622</v>
      </c>
      <c r="D305" s="103" t="s">
        <v>297</v>
      </c>
      <c r="E305" s="148" t="s">
        <v>298</v>
      </c>
      <c r="F305" s="83" t="s">
        <v>591</v>
      </c>
      <c r="G305" s="222"/>
      <c r="H305" s="180">
        <v>9.8819564974675974E-3</v>
      </c>
      <c r="I305" s="181">
        <f t="shared" si="168"/>
        <v>972.81323468251196</v>
      </c>
      <c r="J305" s="182">
        <f t="shared" si="169"/>
        <v>734.48629863077667</v>
      </c>
      <c r="K305" s="92">
        <v>0</v>
      </c>
      <c r="L305" s="92">
        <v>0</v>
      </c>
      <c r="M305" s="92">
        <v>0</v>
      </c>
      <c r="N305" s="92">
        <v>0</v>
      </c>
      <c r="O305" s="92">
        <v>0</v>
      </c>
      <c r="P305" s="92">
        <v>0</v>
      </c>
      <c r="Q305" s="93">
        <f t="shared" si="144"/>
        <v>0</v>
      </c>
      <c r="R305" s="94">
        <v>972.81323468251287</v>
      </c>
      <c r="S305" s="91">
        <v>734.48629863077667</v>
      </c>
      <c r="T305" s="92">
        <v>360</v>
      </c>
      <c r="U305" s="92">
        <v>360</v>
      </c>
      <c r="V305" s="92">
        <v>360</v>
      </c>
      <c r="W305" s="92">
        <v>360</v>
      </c>
      <c r="X305" s="92">
        <v>1560</v>
      </c>
      <c r="Y305" s="92">
        <v>1560</v>
      </c>
      <c r="Z305" s="93">
        <f t="shared" si="145"/>
        <v>2.1239334251818436</v>
      </c>
      <c r="AA305" s="94">
        <v>972.81323468251287</v>
      </c>
      <c r="AB305" s="91">
        <v>734.48629863077667</v>
      </c>
      <c r="AC305" s="92">
        <v>0</v>
      </c>
      <c r="AD305" s="92">
        <v>0</v>
      </c>
      <c r="AE305" s="92">
        <v>0</v>
      </c>
      <c r="AF305" s="92">
        <v>0</v>
      </c>
      <c r="AG305" s="92"/>
      <c r="AH305" s="92"/>
      <c r="AI305" s="93">
        <f t="shared" si="146"/>
        <v>0</v>
      </c>
      <c r="AJ305" s="95">
        <f t="shared" si="147"/>
        <v>2203.45889589233</v>
      </c>
      <c r="AK305" s="96">
        <f t="shared" si="148"/>
        <v>1560</v>
      </c>
      <c r="AL305" s="97">
        <f t="shared" si="149"/>
        <v>0.70797780839394786</v>
      </c>
      <c r="AN305" s="89">
        <v>1.7647772520212213E-3</v>
      </c>
      <c r="AO305" s="181"/>
      <c r="AP305" s="182"/>
      <c r="AQ305" s="92"/>
      <c r="AR305" s="92"/>
      <c r="AS305" s="92"/>
      <c r="AT305" s="92"/>
      <c r="AU305" s="92"/>
      <c r="AV305" s="92"/>
      <c r="AW305" s="93">
        <f t="shared" si="150"/>
        <v>0</v>
      </c>
      <c r="AX305" s="183"/>
      <c r="AY305" s="184"/>
      <c r="AZ305" s="92"/>
      <c r="BA305" s="92"/>
      <c r="BB305" s="92"/>
      <c r="BC305" s="92"/>
      <c r="BD305" s="92"/>
      <c r="BE305" s="92"/>
      <c r="BF305" s="93">
        <f t="shared" si="151"/>
        <v>0</v>
      </c>
      <c r="BG305" s="181"/>
      <c r="BH305" s="182"/>
      <c r="BI305" s="92"/>
      <c r="BJ305" s="92"/>
      <c r="BK305" s="92"/>
      <c r="BL305" s="92"/>
      <c r="BM305" s="92"/>
      <c r="BN305" s="92"/>
      <c r="BO305" s="93">
        <f t="shared" si="152"/>
        <v>0</v>
      </c>
      <c r="BP305" s="95">
        <f t="shared" si="153"/>
        <v>0</v>
      </c>
      <c r="BQ305" s="96">
        <f t="shared" si="154"/>
        <v>0</v>
      </c>
      <c r="BR305" s="97">
        <f t="shared" si="155"/>
        <v>0</v>
      </c>
      <c r="BT305" s="82"/>
      <c r="BU305" s="181"/>
      <c r="BV305" s="182"/>
      <c r="BW305" s="92"/>
      <c r="BX305" s="92"/>
      <c r="BY305" s="92"/>
      <c r="BZ305" s="92"/>
      <c r="CA305" s="92"/>
      <c r="CB305" s="92"/>
      <c r="CC305" s="93">
        <f t="shared" si="156"/>
        <v>0</v>
      </c>
      <c r="CD305" s="181"/>
      <c r="CE305" s="182"/>
      <c r="CF305" s="92"/>
      <c r="CG305" s="92"/>
      <c r="CH305" s="92"/>
      <c r="CI305" s="92"/>
      <c r="CJ305" s="92"/>
      <c r="CK305" s="92"/>
      <c r="CL305" s="93">
        <f t="shared" si="157"/>
        <v>0</v>
      </c>
      <c r="CM305" s="181"/>
      <c r="CN305" s="182"/>
      <c r="CO305" s="92"/>
      <c r="CP305" s="92"/>
      <c r="CQ305" s="92"/>
      <c r="CR305" s="92"/>
      <c r="CS305" s="92"/>
      <c r="CT305" s="92"/>
      <c r="CU305" s="93">
        <f t="shared" si="158"/>
        <v>0</v>
      </c>
      <c r="CV305" s="95">
        <f t="shared" si="159"/>
        <v>0</v>
      </c>
      <c r="CW305" s="96">
        <f t="shared" si="160"/>
        <v>0</v>
      </c>
      <c r="CX305" s="97">
        <f t="shared" si="161"/>
        <v>0</v>
      </c>
      <c r="CZ305" s="82"/>
      <c r="DA305" s="136"/>
      <c r="DB305" s="137"/>
      <c r="DC305" s="92"/>
      <c r="DD305" s="92"/>
      <c r="DE305" s="92"/>
      <c r="DF305" s="92"/>
      <c r="DG305" s="92"/>
      <c r="DH305" s="92"/>
      <c r="DI305" s="93">
        <f t="shared" si="162"/>
        <v>0</v>
      </c>
      <c r="DJ305" s="183"/>
      <c r="DK305" s="184"/>
      <c r="DL305" s="92"/>
      <c r="DM305" s="92"/>
      <c r="DN305" s="92"/>
      <c r="DO305" s="92"/>
      <c r="DP305" s="92"/>
      <c r="DQ305" s="92"/>
      <c r="DR305" s="93">
        <f t="shared" si="163"/>
        <v>0</v>
      </c>
      <c r="DS305" s="183"/>
      <c r="DT305" s="184"/>
      <c r="DU305" s="92"/>
      <c r="DV305" s="92"/>
      <c r="DW305" s="92"/>
      <c r="DX305" s="92"/>
      <c r="DY305" s="92"/>
      <c r="DZ305" s="92"/>
      <c r="EA305" s="93">
        <f t="shared" si="164"/>
        <v>0</v>
      </c>
      <c r="EB305" s="95">
        <f t="shared" si="165"/>
        <v>0</v>
      </c>
      <c r="EC305" s="96">
        <f t="shared" si="166"/>
        <v>0</v>
      </c>
      <c r="ED305" s="97">
        <f t="shared" si="167"/>
        <v>0</v>
      </c>
    </row>
    <row r="306" spans="1:134" s="6" customFormat="1" ht="21.95" customHeight="1" x14ac:dyDescent="0.5">
      <c r="A306" s="83">
        <v>110</v>
      </c>
      <c r="B306" s="103">
        <v>99</v>
      </c>
      <c r="C306" s="103">
        <v>99</v>
      </c>
      <c r="D306" s="103" t="s">
        <v>297</v>
      </c>
      <c r="E306" s="148" t="s">
        <v>298</v>
      </c>
      <c r="F306" s="179" t="s">
        <v>591</v>
      </c>
      <c r="G306" s="138"/>
      <c r="H306" s="180">
        <v>1.4260629497680744E-3</v>
      </c>
      <c r="I306" s="181">
        <f t="shared" si="168"/>
        <v>140.38646207158268</v>
      </c>
      <c r="J306" s="182">
        <f t="shared" si="169"/>
        <v>105.99355480446189</v>
      </c>
      <c r="K306" s="92">
        <v>264</v>
      </c>
      <c r="L306" s="92">
        <v>198.32</v>
      </c>
      <c r="M306" s="92">
        <v>388</v>
      </c>
      <c r="N306" s="92">
        <v>312.24</v>
      </c>
      <c r="O306" s="92">
        <v>970</v>
      </c>
      <c r="P306" s="92">
        <v>845.2</v>
      </c>
      <c r="Q306" s="93">
        <f t="shared" si="144"/>
        <v>7.9740697588568903</v>
      </c>
      <c r="R306" s="94">
        <v>140.38646207158283</v>
      </c>
      <c r="S306" s="91">
        <v>105.99355480446189</v>
      </c>
      <c r="T306" s="92">
        <v>134</v>
      </c>
      <c r="U306" s="92">
        <v>125.36</v>
      </c>
      <c r="V306" s="92">
        <v>542</v>
      </c>
      <c r="W306" s="92">
        <v>427.84000000000003</v>
      </c>
      <c r="X306" s="92">
        <v>682</v>
      </c>
      <c r="Y306" s="92">
        <v>539.28</v>
      </c>
      <c r="Z306" s="93">
        <f t="shared" si="145"/>
        <v>5.0878565304736671</v>
      </c>
      <c r="AA306" s="94">
        <v>140.38646207158283</v>
      </c>
      <c r="AB306" s="91">
        <v>105.99355480446189</v>
      </c>
      <c r="AC306" s="92">
        <v>188</v>
      </c>
      <c r="AD306" s="92">
        <v>151.91999999999999</v>
      </c>
      <c r="AE306" s="92">
        <v>506</v>
      </c>
      <c r="AF306" s="92">
        <v>441.6</v>
      </c>
      <c r="AG306" s="92"/>
      <c r="AH306" s="92"/>
      <c r="AI306" s="93">
        <f t="shared" si="146"/>
        <v>0</v>
      </c>
      <c r="AJ306" s="95">
        <f t="shared" si="147"/>
        <v>317.98066441338568</v>
      </c>
      <c r="AK306" s="96">
        <f t="shared" si="148"/>
        <v>1384.48</v>
      </c>
      <c r="AL306" s="97">
        <f t="shared" si="149"/>
        <v>4.3539754297768525</v>
      </c>
      <c r="AN306" s="89">
        <v>3.1986587692884637E-3</v>
      </c>
      <c r="AO306" s="181"/>
      <c r="AP306" s="182"/>
      <c r="AQ306" s="92"/>
      <c r="AR306" s="92"/>
      <c r="AS306" s="92"/>
      <c r="AT306" s="92"/>
      <c r="AU306" s="92"/>
      <c r="AV306" s="92"/>
      <c r="AW306" s="93">
        <f t="shared" si="150"/>
        <v>0</v>
      </c>
      <c r="AX306" s="183"/>
      <c r="AY306" s="184"/>
      <c r="AZ306" s="92"/>
      <c r="BA306" s="92"/>
      <c r="BB306" s="92"/>
      <c r="BC306" s="92"/>
      <c r="BD306" s="92"/>
      <c r="BE306" s="92"/>
      <c r="BF306" s="93">
        <f t="shared" si="151"/>
        <v>0</v>
      </c>
      <c r="BG306" s="181"/>
      <c r="BH306" s="182"/>
      <c r="BI306" s="92"/>
      <c r="BJ306" s="92"/>
      <c r="BK306" s="92"/>
      <c r="BL306" s="92"/>
      <c r="BM306" s="92"/>
      <c r="BN306" s="92"/>
      <c r="BO306" s="93">
        <f t="shared" si="152"/>
        <v>0</v>
      </c>
      <c r="BP306" s="95">
        <f t="shared" si="153"/>
        <v>0</v>
      </c>
      <c r="BQ306" s="96">
        <f t="shared" si="154"/>
        <v>0</v>
      </c>
      <c r="BR306" s="97">
        <f t="shared" si="155"/>
        <v>0</v>
      </c>
      <c r="BT306" s="82"/>
      <c r="BU306" s="181"/>
      <c r="BV306" s="182"/>
      <c r="BW306" s="92"/>
      <c r="BX306" s="92"/>
      <c r="BY306" s="92"/>
      <c r="BZ306" s="92"/>
      <c r="CA306" s="92"/>
      <c r="CB306" s="92"/>
      <c r="CC306" s="93">
        <f t="shared" si="156"/>
        <v>0</v>
      </c>
      <c r="CD306" s="181"/>
      <c r="CE306" s="182"/>
      <c r="CF306" s="92"/>
      <c r="CG306" s="92"/>
      <c r="CH306" s="92"/>
      <c r="CI306" s="92"/>
      <c r="CJ306" s="92"/>
      <c r="CK306" s="92"/>
      <c r="CL306" s="93">
        <f t="shared" si="157"/>
        <v>0</v>
      </c>
      <c r="CM306" s="181"/>
      <c r="CN306" s="182"/>
      <c r="CO306" s="92"/>
      <c r="CP306" s="92"/>
      <c r="CQ306" s="92"/>
      <c r="CR306" s="92"/>
      <c r="CS306" s="92"/>
      <c r="CT306" s="92"/>
      <c r="CU306" s="93">
        <f t="shared" si="158"/>
        <v>0</v>
      </c>
      <c r="CV306" s="95">
        <f t="shared" si="159"/>
        <v>0</v>
      </c>
      <c r="CW306" s="96">
        <f t="shared" si="160"/>
        <v>0</v>
      </c>
      <c r="CX306" s="97">
        <f t="shared" si="161"/>
        <v>0</v>
      </c>
      <c r="CZ306" s="82"/>
      <c r="DA306" s="136"/>
      <c r="DB306" s="137"/>
      <c r="DC306" s="92"/>
      <c r="DD306" s="92"/>
      <c r="DE306" s="92"/>
      <c r="DF306" s="92"/>
      <c r="DG306" s="92"/>
      <c r="DH306" s="92"/>
      <c r="DI306" s="93">
        <f t="shared" si="162"/>
        <v>0</v>
      </c>
      <c r="DJ306" s="183"/>
      <c r="DK306" s="184"/>
      <c r="DL306" s="92"/>
      <c r="DM306" s="92"/>
      <c r="DN306" s="92"/>
      <c r="DO306" s="92"/>
      <c r="DP306" s="92"/>
      <c r="DQ306" s="92"/>
      <c r="DR306" s="93">
        <f t="shared" si="163"/>
        <v>0</v>
      </c>
      <c r="DS306" s="183"/>
      <c r="DT306" s="184"/>
      <c r="DU306" s="92"/>
      <c r="DV306" s="92"/>
      <c r="DW306" s="92"/>
      <c r="DX306" s="92"/>
      <c r="DY306" s="92"/>
      <c r="DZ306" s="92"/>
      <c r="EA306" s="93">
        <f t="shared" si="164"/>
        <v>0</v>
      </c>
      <c r="EB306" s="95">
        <f t="shared" si="165"/>
        <v>0</v>
      </c>
      <c r="EC306" s="96">
        <f t="shared" si="166"/>
        <v>0</v>
      </c>
      <c r="ED306" s="97">
        <f t="shared" si="167"/>
        <v>0</v>
      </c>
    </row>
    <row r="307" spans="1:134" s="6" customFormat="1" ht="21.95" customHeight="1" x14ac:dyDescent="0.5">
      <c r="A307" s="83">
        <v>111</v>
      </c>
      <c r="B307" s="103" t="s">
        <v>623</v>
      </c>
      <c r="C307" s="103" t="s">
        <v>624</v>
      </c>
      <c r="D307" s="103" t="s">
        <v>625</v>
      </c>
      <c r="E307" s="148" t="s">
        <v>313</v>
      </c>
      <c r="F307" s="179" t="s">
        <v>591</v>
      </c>
      <c r="G307" s="138"/>
      <c r="H307" s="180">
        <v>9.5815190361641447E-3</v>
      </c>
      <c r="I307" s="181">
        <f t="shared" si="168"/>
        <v>943.23715441689728</v>
      </c>
      <c r="J307" s="182">
        <f t="shared" si="169"/>
        <v>712.15598388193621</v>
      </c>
      <c r="K307" s="92">
        <v>120</v>
      </c>
      <c r="L307" s="92">
        <v>120</v>
      </c>
      <c r="M307" s="92">
        <v>360</v>
      </c>
      <c r="N307" s="92">
        <v>360</v>
      </c>
      <c r="O307" s="92">
        <v>384</v>
      </c>
      <c r="P307" s="92">
        <v>376.8</v>
      </c>
      <c r="Q307" s="93">
        <f t="shared" si="144"/>
        <v>0.52909756925172069</v>
      </c>
      <c r="R307" s="94">
        <v>943.23715441689819</v>
      </c>
      <c r="S307" s="91">
        <v>712.15598388193621</v>
      </c>
      <c r="T307" s="92">
        <v>260</v>
      </c>
      <c r="U307" s="92">
        <v>130</v>
      </c>
      <c r="V307" s="92">
        <v>272</v>
      </c>
      <c r="W307" s="92">
        <v>138.4</v>
      </c>
      <c r="X307" s="92">
        <v>518</v>
      </c>
      <c r="Y307" s="92">
        <v>369.28</v>
      </c>
      <c r="Z307" s="93">
        <f t="shared" si="145"/>
        <v>0.51853808485476482</v>
      </c>
      <c r="AA307" s="94">
        <v>943.23715441689819</v>
      </c>
      <c r="AB307" s="91">
        <v>712.15598388193621</v>
      </c>
      <c r="AC307" s="92">
        <v>260</v>
      </c>
      <c r="AD307" s="92">
        <v>209.6</v>
      </c>
      <c r="AE307" s="92">
        <v>440</v>
      </c>
      <c r="AF307" s="92">
        <v>389.6</v>
      </c>
      <c r="AG307" s="92"/>
      <c r="AH307" s="92"/>
      <c r="AI307" s="93">
        <f t="shared" si="146"/>
        <v>0</v>
      </c>
      <c r="AJ307" s="95">
        <f t="shared" si="147"/>
        <v>2136.4679516458086</v>
      </c>
      <c r="AK307" s="96">
        <f t="shared" si="148"/>
        <v>746.07999999999993</v>
      </c>
      <c r="AL307" s="97">
        <f t="shared" si="149"/>
        <v>0.3492118847021618</v>
      </c>
      <c r="AN307" s="89">
        <v>7.6326616149917821E-3</v>
      </c>
      <c r="AO307" s="181"/>
      <c r="AP307" s="182"/>
      <c r="AQ307" s="92"/>
      <c r="AR307" s="92"/>
      <c r="AS307" s="92"/>
      <c r="AT307" s="92"/>
      <c r="AU307" s="92"/>
      <c r="AV307" s="92"/>
      <c r="AW307" s="93">
        <f t="shared" si="150"/>
        <v>0</v>
      </c>
      <c r="AX307" s="183"/>
      <c r="AY307" s="184"/>
      <c r="AZ307" s="92"/>
      <c r="BA307" s="92"/>
      <c r="BB307" s="92"/>
      <c r="BC307" s="92"/>
      <c r="BD307" s="92"/>
      <c r="BE307" s="92"/>
      <c r="BF307" s="93">
        <f t="shared" si="151"/>
        <v>0</v>
      </c>
      <c r="BG307" s="181"/>
      <c r="BH307" s="182"/>
      <c r="BI307" s="92"/>
      <c r="BJ307" s="92"/>
      <c r="BK307" s="92"/>
      <c r="BL307" s="92"/>
      <c r="BM307" s="92"/>
      <c r="BN307" s="92"/>
      <c r="BO307" s="93">
        <f t="shared" si="152"/>
        <v>0</v>
      </c>
      <c r="BP307" s="95">
        <f t="shared" si="153"/>
        <v>0</v>
      </c>
      <c r="BQ307" s="96">
        <f t="shared" si="154"/>
        <v>0</v>
      </c>
      <c r="BR307" s="97">
        <f t="shared" si="155"/>
        <v>0</v>
      </c>
      <c r="BT307" s="82"/>
      <c r="BU307" s="181"/>
      <c r="BV307" s="182"/>
      <c r="BW307" s="92"/>
      <c r="BX307" s="92"/>
      <c r="BY307" s="92"/>
      <c r="BZ307" s="92"/>
      <c r="CA307" s="92"/>
      <c r="CB307" s="92"/>
      <c r="CC307" s="93">
        <f t="shared" si="156"/>
        <v>0</v>
      </c>
      <c r="CD307" s="181"/>
      <c r="CE307" s="182"/>
      <c r="CF307" s="92"/>
      <c r="CG307" s="92"/>
      <c r="CH307" s="92"/>
      <c r="CI307" s="92"/>
      <c r="CJ307" s="92"/>
      <c r="CK307" s="92"/>
      <c r="CL307" s="93">
        <f t="shared" si="157"/>
        <v>0</v>
      </c>
      <c r="CM307" s="181"/>
      <c r="CN307" s="182"/>
      <c r="CO307" s="92"/>
      <c r="CP307" s="92"/>
      <c r="CQ307" s="92"/>
      <c r="CR307" s="92"/>
      <c r="CS307" s="92"/>
      <c r="CT307" s="92"/>
      <c r="CU307" s="93">
        <f t="shared" si="158"/>
        <v>0</v>
      </c>
      <c r="CV307" s="95">
        <f t="shared" si="159"/>
        <v>0</v>
      </c>
      <c r="CW307" s="96">
        <f t="shared" si="160"/>
        <v>0</v>
      </c>
      <c r="CX307" s="97">
        <f t="shared" si="161"/>
        <v>0</v>
      </c>
      <c r="CZ307" s="82"/>
      <c r="DA307" s="136"/>
      <c r="DB307" s="137"/>
      <c r="DC307" s="92"/>
      <c r="DD307" s="92"/>
      <c r="DE307" s="92"/>
      <c r="DF307" s="92"/>
      <c r="DG307" s="92"/>
      <c r="DH307" s="92"/>
      <c r="DI307" s="93">
        <f t="shared" si="162"/>
        <v>0</v>
      </c>
      <c r="DJ307" s="183"/>
      <c r="DK307" s="184"/>
      <c r="DL307" s="92"/>
      <c r="DM307" s="92"/>
      <c r="DN307" s="92"/>
      <c r="DO307" s="92"/>
      <c r="DP307" s="92"/>
      <c r="DQ307" s="92"/>
      <c r="DR307" s="93">
        <f t="shared" si="163"/>
        <v>0</v>
      </c>
      <c r="DS307" s="183"/>
      <c r="DT307" s="184"/>
      <c r="DU307" s="92"/>
      <c r="DV307" s="92"/>
      <c r="DW307" s="92"/>
      <c r="DX307" s="92"/>
      <c r="DY307" s="92"/>
      <c r="DZ307" s="92"/>
      <c r="EA307" s="93">
        <f t="shared" si="164"/>
        <v>0</v>
      </c>
      <c r="EB307" s="95">
        <f t="shared" si="165"/>
        <v>0</v>
      </c>
      <c r="EC307" s="96">
        <f t="shared" si="166"/>
        <v>0</v>
      </c>
      <c r="ED307" s="97">
        <f t="shared" si="167"/>
        <v>0</v>
      </c>
    </row>
    <row r="308" spans="1:134" s="6" customFormat="1" ht="21.95" customHeight="1" x14ac:dyDescent="0.5">
      <c r="A308" s="83">
        <v>112</v>
      </c>
      <c r="B308" s="103" t="s">
        <v>626</v>
      </c>
      <c r="C308" s="103" t="s">
        <v>627</v>
      </c>
      <c r="D308" s="103" t="s">
        <v>625</v>
      </c>
      <c r="E308" s="148" t="s">
        <v>313</v>
      </c>
      <c r="F308" s="179" t="s">
        <v>591</v>
      </c>
      <c r="G308" s="138"/>
      <c r="H308" s="180">
        <v>2.7628066542837713E-3</v>
      </c>
      <c r="I308" s="181">
        <f t="shared" si="168"/>
        <v>271.98003541555022</v>
      </c>
      <c r="J308" s="182">
        <f t="shared" si="169"/>
        <v>205.34836738629559</v>
      </c>
      <c r="K308" s="92">
        <v>120</v>
      </c>
      <c r="L308" s="92">
        <v>120</v>
      </c>
      <c r="M308" s="92">
        <v>480</v>
      </c>
      <c r="N308" s="92">
        <v>480</v>
      </c>
      <c r="O308" s="92">
        <v>876</v>
      </c>
      <c r="P308" s="92">
        <v>876</v>
      </c>
      <c r="Q308" s="93">
        <f t="shared" si="144"/>
        <v>4.2659214248930128</v>
      </c>
      <c r="R308" s="94">
        <v>271.9800354155505</v>
      </c>
      <c r="S308" s="91">
        <v>205.34836738629559</v>
      </c>
      <c r="T308" s="92">
        <v>120</v>
      </c>
      <c r="U308" s="92">
        <v>96</v>
      </c>
      <c r="V308" s="92">
        <v>232</v>
      </c>
      <c r="W308" s="92">
        <v>172.4</v>
      </c>
      <c r="X308" s="92">
        <v>448</v>
      </c>
      <c r="Y308" s="92">
        <v>310.39999999999998</v>
      </c>
      <c r="Z308" s="93">
        <f t="shared" si="145"/>
        <v>1.5115776373136884</v>
      </c>
      <c r="AA308" s="94">
        <v>271.9800354155505</v>
      </c>
      <c r="AB308" s="91">
        <v>205.34836738629559</v>
      </c>
      <c r="AC308" s="92">
        <v>500</v>
      </c>
      <c r="AD308" s="92">
        <v>449.6</v>
      </c>
      <c r="AE308" s="92">
        <v>1448</v>
      </c>
      <c r="AF308" s="92">
        <v>947.12</v>
      </c>
      <c r="AG308" s="92"/>
      <c r="AH308" s="92"/>
      <c r="AI308" s="93">
        <f t="shared" si="146"/>
        <v>0</v>
      </c>
      <c r="AJ308" s="95">
        <f t="shared" si="147"/>
        <v>616.04510215888672</v>
      </c>
      <c r="AK308" s="96">
        <f t="shared" si="148"/>
        <v>1186.4000000000001</v>
      </c>
      <c r="AL308" s="97">
        <f t="shared" si="149"/>
        <v>1.9258330207355676</v>
      </c>
      <c r="AN308" s="89">
        <v>1.6302129865546033E-2</v>
      </c>
      <c r="AO308" s="181"/>
      <c r="AP308" s="182"/>
      <c r="AQ308" s="92"/>
      <c r="AR308" s="92"/>
      <c r="AS308" s="92"/>
      <c r="AT308" s="92"/>
      <c r="AU308" s="92"/>
      <c r="AV308" s="92"/>
      <c r="AW308" s="93">
        <f t="shared" si="150"/>
        <v>0</v>
      </c>
      <c r="AX308" s="183"/>
      <c r="AY308" s="184"/>
      <c r="AZ308" s="92"/>
      <c r="BA308" s="92"/>
      <c r="BB308" s="92"/>
      <c r="BC308" s="92"/>
      <c r="BD308" s="92"/>
      <c r="BE308" s="92"/>
      <c r="BF308" s="93">
        <f t="shared" si="151"/>
        <v>0</v>
      </c>
      <c r="BG308" s="181"/>
      <c r="BH308" s="182"/>
      <c r="BI308" s="92"/>
      <c r="BJ308" s="92"/>
      <c r="BK308" s="92"/>
      <c r="BL308" s="92"/>
      <c r="BM308" s="92"/>
      <c r="BN308" s="92"/>
      <c r="BO308" s="93">
        <f t="shared" si="152"/>
        <v>0</v>
      </c>
      <c r="BP308" s="95">
        <f t="shared" si="153"/>
        <v>0</v>
      </c>
      <c r="BQ308" s="96">
        <f t="shared" si="154"/>
        <v>0</v>
      </c>
      <c r="BR308" s="97">
        <f t="shared" si="155"/>
        <v>0</v>
      </c>
      <c r="BT308" s="82"/>
      <c r="BU308" s="181"/>
      <c r="BV308" s="182"/>
      <c r="BW308" s="92"/>
      <c r="BX308" s="92"/>
      <c r="BY308" s="92"/>
      <c r="BZ308" s="92"/>
      <c r="CA308" s="92"/>
      <c r="CB308" s="92"/>
      <c r="CC308" s="93">
        <f t="shared" si="156"/>
        <v>0</v>
      </c>
      <c r="CD308" s="181"/>
      <c r="CE308" s="182"/>
      <c r="CF308" s="92"/>
      <c r="CG308" s="92"/>
      <c r="CH308" s="92"/>
      <c r="CI308" s="92"/>
      <c r="CJ308" s="92"/>
      <c r="CK308" s="92"/>
      <c r="CL308" s="93">
        <f t="shared" si="157"/>
        <v>0</v>
      </c>
      <c r="CM308" s="181"/>
      <c r="CN308" s="182"/>
      <c r="CO308" s="92"/>
      <c r="CP308" s="92"/>
      <c r="CQ308" s="92"/>
      <c r="CR308" s="92"/>
      <c r="CS308" s="92"/>
      <c r="CT308" s="92"/>
      <c r="CU308" s="93">
        <f t="shared" si="158"/>
        <v>0</v>
      </c>
      <c r="CV308" s="95">
        <f t="shared" si="159"/>
        <v>0</v>
      </c>
      <c r="CW308" s="96">
        <f t="shared" si="160"/>
        <v>0</v>
      </c>
      <c r="CX308" s="97">
        <f t="shared" si="161"/>
        <v>0</v>
      </c>
      <c r="CZ308" s="82"/>
      <c r="DA308" s="136"/>
      <c r="DB308" s="137"/>
      <c r="DC308" s="92"/>
      <c r="DD308" s="92"/>
      <c r="DE308" s="92"/>
      <c r="DF308" s="92"/>
      <c r="DG308" s="92"/>
      <c r="DH308" s="92"/>
      <c r="DI308" s="93">
        <f t="shared" si="162"/>
        <v>0</v>
      </c>
      <c r="DJ308" s="183"/>
      <c r="DK308" s="184"/>
      <c r="DL308" s="92"/>
      <c r="DM308" s="92"/>
      <c r="DN308" s="92"/>
      <c r="DO308" s="92"/>
      <c r="DP308" s="92"/>
      <c r="DQ308" s="92"/>
      <c r="DR308" s="93">
        <f t="shared" si="163"/>
        <v>0</v>
      </c>
      <c r="DS308" s="183"/>
      <c r="DT308" s="184"/>
      <c r="DU308" s="92"/>
      <c r="DV308" s="92"/>
      <c r="DW308" s="92"/>
      <c r="DX308" s="92"/>
      <c r="DY308" s="92"/>
      <c r="DZ308" s="92"/>
      <c r="EA308" s="93">
        <f t="shared" si="164"/>
        <v>0</v>
      </c>
      <c r="EB308" s="95">
        <f t="shared" si="165"/>
        <v>0</v>
      </c>
      <c r="EC308" s="96">
        <f t="shared" si="166"/>
        <v>0</v>
      </c>
      <c r="ED308" s="97">
        <f t="shared" si="167"/>
        <v>0</v>
      </c>
    </row>
    <row r="309" spans="1:134" s="6" customFormat="1" ht="21.95" customHeight="1" x14ac:dyDescent="0.5">
      <c r="A309" s="83">
        <v>113</v>
      </c>
      <c r="B309" s="103" t="s">
        <v>628</v>
      </c>
      <c r="C309" s="103" t="s">
        <v>629</v>
      </c>
      <c r="D309" s="103" t="s">
        <v>625</v>
      </c>
      <c r="E309" s="148" t="s">
        <v>313</v>
      </c>
      <c r="F309" s="179" t="s">
        <v>591</v>
      </c>
      <c r="G309" s="138"/>
      <c r="H309" s="180">
        <v>2.7384468601240322E-3</v>
      </c>
      <c r="I309" s="181">
        <f t="shared" si="168"/>
        <v>269.58197485347341</v>
      </c>
      <c r="J309" s="182">
        <f t="shared" si="169"/>
        <v>203.53780132557881</v>
      </c>
      <c r="K309" s="92">
        <v>158</v>
      </c>
      <c r="L309" s="92">
        <v>90.88</v>
      </c>
      <c r="M309" s="92">
        <v>352</v>
      </c>
      <c r="N309" s="92">
        <v>217.76</v>
      </c>
      <c r="O309" s="92">
        <v>510</v>
      </c>
      <c r="P309" s="92">
        <v>308.64</v>
      </c>
      <c r="Q309" s="93">
        <f t="shared" si="144"/>
        <v>1.5163768007216498</v>
      </c>
      <c r="R309" s="94">
        <v>269.5819748534737</v>
      </c>
      <c r="S309" s="91">
        <v>203.53780132557881</v>
      </c>
      <c r="T309" s="92">
        <v>520</v>
      </c>
      <c r="U309" s="92">
        <v>321.84000000000003</v>
      </c>
      <c r="V309" s="92">
        <v>680</v>
      </c>
      <c r="W309" s="92">
        <v>409.68000000000006</v>
      </c>
      <c r="X309" s="92">
        <v>716</v>
      </c>
      <c r="Y309" s="92">
        <v>445.68000000000006</v>
      </c>
      <c r="Z309" s="93">
        <f t="shared" si="145"/>
        <v>2.1896669665164108</v>
      </c>
      <c r="AA309" s="94">
        <v>269.5819748534737</v>
      </c>
      <c r="AB309" s="91">
        <v>203.53780132557881</v>
      </c>
      <c r="AC309" s="92">
        <v>378</v>
      </c>
      <c r="AD309" s="92">
        <v>182.88</v>
      </c>
      <c r="AE309" s="92">
        <v>562</v>
      </c>
      <c r="AF309" s="92">
        <v>294.72000000000003</v>
      </c>
      <c r="AG309" s="92"/>
      <c r="AH309" s="92"/>
      <c r="AI309" s="93">
        <f t="shared" si="146"/>
        <v>0</v>
      </c>
      <c r="AJ309" s="95">
        <f t="shared" si="147"/>
        <v>610.61340397673644</v>
      </c>
      <c r="AK309" s="96">
        <f t="shared" si="148"/>
        <v>754.32</v>
      </c>
      <c r="AL309" s="97">
        <f t="shared" si="149"/>
        <v>1.2353479224126869</v>
      </c>
      <c r="AN309" s="89">
        <v>4.4781222770038489E-3</v>
      </c>
      <c r="AO309" s="181"/>
      <c r="AP309" s="182"/>
      <c r="AQ309" s="92"/>
      <c r="AR309" s="92"/>
      <c r="AS309" s="92"/>
      <c r="AT309" s="92"/>
      <c r="AU309" s="92"/>
      <c r="AV309" s="92"/>
      <c r="AW309" s="93">
        <f t="shared" si="150"/>
        <v>0</v>
      </c>
      <c r="AX309" s="183"/>
      <c r="AY309" s="184"/>
      <c r="AZ309" s="92"/>
      <c r="BA309" s="92"/>
      <c r="BB309" s="92"/>
      <c r="BC309" s="92"/>
      <c r="BD309" s="92"/>
      <c r="BE309" s="92"/>
      <c r="BF309" s="93">
        <f t="shared" si="151"/>
        <v>0</v>
      </c>
      <c r="BG309" s="181"/>
      <c r="BH309" s="182"/>
      <c r="BI309" s="92"/>
      <c r="BJ309" s="92"/>
      <c r="BK309" s="92"/>
      <c r="BL309" s="92"/>
      <c r="BM309" s="92"/>
      <c r="BN309" s="92"/>
      <c r="BO309" s="93">
        <f t="shared" si="152"/>
        <v>0</v>
      </c>
      <c r="BP309" s="95">
        <f t="shared" si="153"/>
        <v>0</v>
      </c>
      <c r="BQ309" s="96">
        <f t="shared" si="154"/>
        <v>0</v>
      </c>
      <c r="BR309" s="97">
        <f t="shared" si="155"/>
        <v>0</v>
      </c>
      <c r="BT309" s="82"/>
      <c r="BU309" s="181"/>
      <c r="BV309" s="182"/>
      <c r="BW309" s="92"/>
      <c r="BX309" s="92"/>
      <c r="BY309" s="92"/>
      <c r="BZ309" s="92"/>
      <c r="CA309" s="92"/>
      <c r="CB309" s="92"/>
      <c r="CC309" s="93">
        <f t="shared" si="156"/>
        <v>0</v>
      </c>
      <c r="CD309" s="181"/>
      <c r="CE309" s="182"/>
      <c r="CF309" s="92"/>
      <c r="CG309" s="92"/>
      <c r="CH309" s="92"/>
      <c r="CI309" s="92"/>
      <c r="CJ309" s="92"/>
      <c r="CK309" s="92"/>
      <c r="CL309" s="93">
        <f t="shared" si="157"/>
        <v>0</v>
      </c>
      <c r="CM309" s="181"/>
      <c r="CN309" s="182"/>
      <c r="CO309" s="92"/>
      <c r="CP309" s="92"/>
      <c r="CQ309" s="92"/>
      <c r="CR309" s="92"/>
      <c r="CS309" s="92"/>
      <c r="CT309" s="92"/>
      <c r="CU309" s="93">
        <f t="shared" si="158"/>
        <v>0</v>
      </c>
      <c r="CV309" s="95">
        <f t="shared" si="159"/>
        <v>0</v>
      </c>
      <c r="CW309" s="96">
        <f t="shared" si="160"/>
        <v>0</v>
      </c>
      <c r="CX309" s="97">
        <f t="shared" si="161"/>
        <v>0</v>
      </c>
      <c r="CZ309" s="82"/>
      <c r="DA309" s="136"/>
      <c r="DB309" s="137"/>
      <c r="DC309" s="92"/>
      <c r="DD309" s="92"/>
      <c r="DE309" s="92"/>
      <c r="DF309" s="92"/>
      <c r="DG309" s="92"/>
      <c r="DH309" s="92"/>
      <c r="DI309" s="93">
        <f t="shared" si="162"/>
        <v>0</v>
      </c>
      <c r="DJ309" s="183"/>
      <c r="DK309" s="184"/>
      <c r="DL309" s="92"/>
      <c r="DM309" s="92"/>
      <c r="DN309" s="92"/>
      <c r="DO309" s="92"/>
      <c r="DP309" s="92"/>
      <c r="DQ309" s="92"/>
      <c r="DR309" s="93">
        <f t="shared" si="163"/>
        <v>0</v>
      </c>
      <c r="DS309" s="183"/>
      <c r="DT309" s="184"/>
      <c r="DU309" s="92"/>
      <c r="DV309" s="92"/>
      <c r="DW309" s="92"/>
      <c r="DX309" s="92"/>
      <c r="DY309" s="92"/>
      <c r="DZ309" s="92"/>
      <c r="EA309" s="93">
        <f t="shared" si="164"/>
        <v>0</v>
      </c>
      <c r="EB309" s="95">
        <f t="shared" si="165"/>
        <v>0</v>
      </c>
      <c r="EC309" s="96">
        <f t="shared" si="166"/>
        <v>0</v>
      </c>
      <c r="ED309" s="97">
        <f t="shared" si="167"/>
        <v>0</v>
      </c>
    </row>
    <row r="310" spans="1:134" s="6" customFormat="1" ht="21.95" customHeight="1" x14ac:dyDescent="0.5">
      <c r="A310" s="83">
        <v>114</v>
      </c>
      <c r="B310" s="103" t="s">
        <v>630</v>
      </c>
      <c r="C310" s="103" t="s">
        <v>631</v>
      </c>
      <c r="D310" s="103" t="s">
        <v>625</v>
      </c>
      <c r="E310" s="148" t="s">
        <v>313</v>
      </c>
      <c r="F310" s="179" t="s">
        <v>591</v>
      </c>
      <c r="G310" s="138"/>
      <c r="H310" s="180">
        <v>8.1737259320158757E-3</v>
      </c>
      <c r="I310" s="181">
        <f t="shared" si="168"/>
        <v>804.64923776687226</v>
      </c>
      <c r="J310" s="182">
        <f t="shared" si="169"/>
        <v>607.52035362301194</v>
      </c>
      <c r="K310" s="92">
        <v>54</v>
      </c>
      <c r="L310" s="92">
        <v>22.96</v>
      </c>
      <c r="M310" s="92">
        <v>54</v>
      </c>
      <c r="N310" s="92">
        <v>22.96</v>
      </c>
      <c r="O310" s="92">
        <v>132</v>
      </c>
      <c r="P310" s="92">
        <v>69.92</v>
      </c>
      <c r="Q310" s="93">
        <f t="shared" si="144"/>
        <v>0.11509079421458833</v>
      </c>
      <c r="R310" s="94">
        <v>804.64923776687317</v>
      </c>
      <c r="S310" s="91">
        <v>607.52035362301194</v>
      </c>
      <c r="T310" s="92">
        <v>14</v>
      </c>
      <c r="U310" s="92">
        <v>8.9600000000000009</v>
      </c>
      <c r="V310" s="92">
        <v>14</v>
      </c>
      <c r="W310" s="92">
        <v>8.9600000000000009</v>
      </c>
      <c r="X310" s="92">
        <v>134</v>
      </c>
      <c r="Y310" s="92">
        <v>128.96</v>
      </c>
      <c r="Z310" s="93">
        <f t="shared" si="145"/>
        <v>0.21227272342553363</v>
      </c>
      <c r="AA310" s="94">
        <v>804.64923776687317</v>
      </c>
      <c r="AB310" s="91">
        <v>607.52035362301194</v>
      </c>
      <c r="AC310" s="92">
        <v>14</v>
      </c>
      <c r="AD310" s="92">
        <v>8.9600000000000009</v>
      </c>
      <c r="AE310" s="92">
        <v>14</v>
      </c>
      <c r="AF310" s="92">
        <v>8.9600000000000009</v>
      </c>
      <c r="AG310" s="92"/>
      <c r="AH310" s="92"/>
      <c r="AI310" s="93">
        <f t="shared" si="146"/>
        <v>0</v>
      </c>
      <c r="AJ310" s="95">
        <f t="shared" si="147"/>
        <v>1822.5610608690358</v>
      </c>
      <c r="AK310" s="96">
        <f t="shared" si="148"/>
        <v>198.88</v>
      </c>
      <c r="AL310" s="97">
        <f t="shared" si="149"/>
        <v>0.10912117254670732</v>
      </c>
      <c r="AN310" s="89">
        <v>3.9928085326980129E-3</v>
      </c>
      <c r="AO310" s="181"/>
      <c r="AP310" s="182"/>
      <c r="AQ310" s="92"/>
      <c r="AR310" s="92"/>
      <c r="AS310" s="92"/>
      <c r="AT310" s="92"/>
      <c r="AU310" s="92"/>
      <c r="AV310" s="92"/>
      <c r="AW310" s="93">
        <f t="shared" si="150"/>
        <v>0</v>
      </c>
      <c r="AX310" s="183"/>
      <c r="AY310" s="184"/>
      <c r="AZ310" s="92"/>
      <c r="BA310" s="92"/>
      <c r="BB310" s="92"/>
      <c r="BC310" s="92"/>
      <c r="BD310" s="92"/>
      <c r="BE310" s="92"/>
      <c r="BF310" s="93">
        <f t="shared" si="151"/>
        <v>0</v>
      </c>
      <c r="BG310" s="181"/>
      <c r="BH310" s="182"/>
      <c r="BI310" s="92"/>
      <c r="BJ310" s="92"/>
      <c r="BK310" s="92"/>
      <c r="BL310" s="92"/>
      <c r="BM310" s="92"/>
      <c r="BN310" s="92"/>
      <c r="BO310" s="93">
        <f t="shared" si="152"/>
        <v>0</v>
      </c>
      <c r="BP310" s="95">
        <f t="shared" si="153"/>
        <v>0</v>
      </c>
      <c r="BQ310" s="96">
        <f t="shared" si="154"/>
        <v>0</v>
      </c>
      <c r="BR310" s="97">
        <f t="shared" si="155"/>
        <v>0</v>
      </c>
      <c r="BT310" s="82"/>
      <c r="BU310" s="181"/>
      <c r="BV310" s="182"/>
      <c r="BW310" s="92"/>
      <c r="BX310" s="92"/>
      <c r="BY310" s="92"/>
      <c r="BZ310" s="92"/>
      <c r="CA310" s="92"/>
      <c r="CB310" s="92"/>
      <c r="CC310" s="93">
        <f t="shared" si="156"/>
        <v>0</v>
      </c>
      <c r="CD310" s="181"/>
      <c r="CE310" s="182"/>
      <c r="CF310" s="92"/>
      <c r="CG310" s="92"/>
      <c r="CH310" s="92"/>
      <c r="CI310" s="92"/>
      <c r="CJ310" s="92"/>
      <c r="CK310" s="92"/>
      <c r="CL310" s="93">
        <f t="shared" si="157"/>
        <v>0</v>
      </c>
      <c r="CM310" s="181"/>
      <c r="CN310" s="182"/>
      <c r="CO310" s="92"/>
      <c r="CP310" s="92"/>
      <c r="CQ310" s="92"/>
      <c r="CR310" s="92"/>
      <c r="CS310" s="92"/>
      <c r="CT310" s="92"/>
      <c r="CU310" s="93">
        <f t="shared" si="158"/>
        <v>0</v>
      </c>
      <c r="CV310" s="95">
        <f t="shared" si="159"/>
        <v>0</v>
      </c>
      <c r="CW310" s="96">
        <f t="shared" si="160"/>
        <v>0</v>
      </c>
      <c r="CX310" s="97">
        <f t="shared" si="161"/>
        <v>0</v>
      </c>
      <c r="CZ310" s="82"/>
      <c r="DA310" s="136"/>
      <c r="DB310" s="137"/>
      <c r="DC310" s="92"/>
      <c r="DD310" s="92"/>
      <c r="DE310" s="92"/>
      <c r="DF310" s="92"/>
      <c r="DG310" s="92"/>
      <c r="DH310" s="92"/>
      <c r="DI310" s="93">
        <f t="shared" si="162"/>
        <v>0</v>
      </c>
      <c r="DJ310" s="183"/>
      <c r="DK310" s="184"/>
      <c r="DL310" s="92"/>
      <c r="DM310" s="92"/>
      <c r="DN310" s="92"/>
      <c r="DO310" s="92"/>
      <c r="DP310" s="92"/>
      <c r="DQ310" s="92"/>
      <c r="DR310" s="93">
        <f t="shared" si="163"/>
        <v>0</v>
      </c>
      <c r="DS310" s="183"/>
      <c r="DT310" s="184"/>
      <c r="DU310" s="92"/>
      <c r="DV310" s="92"/>
      <c r="DW310" s="92"/>
      <c r="DX310" s="92"/>
      <c r="DY310" s="92"/>
      <c r="DZ310" s="92"/>
      <c r="EA310" s="93">
        <f t="shared" si="164"/>
        <v>0</v>
      </c>
      <c r="EB310" s="95">
        <f t="shared" si="165"/>
        <v>0</v>
      </c>
      <c r="EC310" s="96">
        <f t="shared" si="166"/>
        <v>0</v>
      </c>
      <c r="ED310" s="97">
        <f t="shared" si="167"/>
        <v>0</v>
      </c>
    </row>
    <row r="311" spans="1:134" s="6" customFormat="1" ht="21.95" customHeight="1" x14ac:dyDescent="0.5">
      <c r="A311" s="83">
        <v>115</v>
      </c>
      <c r="B311" s="103" t="s">
        <v>632</v>
      </c>
      <c r="C311" s="103" t="s">
        <v>633</v>
      </c>
      <c r="D311" s="103" t="s">
        <v>625</v>
      </c>
      <c r="E311" s="148" t="s">
        <v>313</v>
      </c>
      <c r="F311" s="179" t="s">
        <v>591</v>
      </c>
      <c r="G311" s="138"/>
      <c r="H311" s="180">
        <v>5.2221308729941233E-3</v>
      </c>
      <c r="I311" s="181">
        <f t="shared" si="168"/>
        <v>514.08423299522633</v>
      </c>
      <c r="J311" s="182">
        <f t="shared" si="169"/>
        <v>388.1400992661612</v>
      </c>
      <c r="K311" s="92">
        <v>48</v>
      </c>
      <c r="L311" s="92">
        <v>40.319999999999993</v>
      </c>
      <c r="M311" s="92">
        <v>84</v>
      </c>
      <c r="N311" s="92">
        <v>76.319999999999993</v>
      </c>
      <c r="O311" s="92">
        <v>120</v>
      </c>
      <c r="P311" s="92">
        <v>108.47999999999999</v>
      </c>
      <c r="Q311" s="93">
        <f t="shared" si="144"/>
        <v>0.27948671164123001</v>
      </c>
      <c r="R311" s="94">
        <v>514.0842329952269</v>
      </c>
      <c r="S311" s="91">
        <v>388.1400992661612</v>
      </c>
      <c r="T311" s="92">
        <v>36</v>
      </c>
      <c r="U311" s="92">
        <v>36</v>
      </c>
      <c r="V311" s="92">
        <v>176</v>
      </c>
      <c r="W311" s="92">
        <v>124</v>
      </c>
      <c r="X311" s="92">
        <v>200</v>
      </c>
      <c r="Y311" s="92">
        <v>148</v>
      </c>
      <c r="Z311" s="93">
        <f t="shared" si="145"/>
        <v>0.38130561691465753</v>
      </c>
      <c r="AA311" s="94">
        <v>514.0842329952269</v>
      </c>
      <c r="AB311" s="91">
        <v>388.1400992661612</v>
      </c>
      <c r="AC311" s="92">
        <v>24</v>
      </c>
      <c r="AD311" s="92">
        <v>24</v>
      </c>
      <c r="AE311" s="92">
        <v>324</v>
      </c>
      <c r="AF311" s="92">
        <v>324</v>
      </c>
      <c r="AG311" s="92"/>
      <c r="AH311" s="92"/>
      <c r="AI311" s="93">
        <f t="shared" si="146"/>
        <v>0</v>
      </c>
      <c r="AJ311" s="95">
        <f t="shared" si="147"/>
        <v>1164.4202977984837</v>
      </c>
      <c r="AK311" s="96">
        <f t="shared" si="148"/>
        <v>256.48</v>
      </c>
      <c r="AL311" s="97">
        <f t="shared" si="149"/>
        <v>0.22026410951862918</v>
      </c>
      <c r="AN311" s="89">
        <v>7.2135270176367419E-3</v>
      </c>
      <c r="AO311" s="181"/>
      <c r="AP311" s="182"/>
      <c r="AQ311" s="92"/>
      <c r="AR311" s="92"/>
      <c r="AS311" s="92"/>
      <c r="AT311" s="92"/>
      <c r="AU311" s="92"/>
      <c r="AV311" s="92"/>
      <c r="AW311" s="93">
        <f t="shared" si="150"/>
        <v>0</v>
      </c>
      <c r="AX311" s="183"/>
      <c r="AY311" s="184"/>
      <c r="AZ311" s="92"/>
      <c r="BA311" s="92"/>
      <c r="BB311" s="92"/>
      <c r="BC311" s="92"/>
      <c r="BD311" s="92"/>
      <c r="BE311" s="92"/>
      <c r="BF311" s="93">
        <f t="shared" si="151"/>
        <v>0</v>
      </c>
      <c r="BG311" s="181"/>
      <c r="BH311" s="182"/>
      <c r="BI311" s="92"/>
      <c r="BJ311" s="92"/>
      <c r="BK311" s="92"/>
      <c r="BL311" s="92"/>
      <c r="BM311" s="92"/>
      <c r="BN311" s="92"/>
      <c r="BO311" s="93">
        <f t="shared" si="152"/>
        <v>0</v>
      </c>
      <c r="BP311" s="95">
        <f t="shared" si="153"/>
        <v>0</v>
      </c>
      <c r="BQ311" s="96">
        <f t="shared" si="154"/>
        <v>0</v>
      </c>
      <c r="BR311" s="97">
        <f t="shared" si="155"/>
        <v>0</v>
      </c>
      <c r="BT311" s="82"/>
      <c r="BU311" s="181"/>
      <c r="BV311" s="182"/>
      <c r="BW311" s="92"/>
      <c r="BX311" s="92"/>
      <c r="BY311" s="92"/>
      <c r="BZ311" s="92"/>
      <c r="CA311" s="92"/>
      <c r="CB311" s="92"/>
      <c r="CC311" s="93">
        <f t="shared" si="156"/>
        <v>0</v>
      </c>
      <c r="CD311" s="181"/>
      <c r="CE311" s="182"/>
      <c r="CF311" s="92"/>
      <c r="CG311" s="92"/>
      <c r="CH311" s="92"/>
      <c r="CI311" s="92"/>
      <c r="CJ311" s="92"/>
      <c r="CK311" s="92"/>
      <c r="CL311" s="93">
        <f t="shared" si="157"/>
        <v>0</v>
      </c>
      <c r="CM311" s="181"/>
      <c r="CN311" s="182"/>
      <c r="CO311" s="92"/>
      <c r="CP311" s="92"/>
      <c r="CQ311" s="92"/>
      <c r="CR311" s="92"/>
      <c r="CS311" s="92"/>
      <c r="CT311" s="92"/>
      <c r="CU311" s="93">
        <f t="shared" si="158"/>
        <v>0</v>
      </c>
      <c r="CV311" s="95">
        <f t="shared" si="159"/>
        <v>0</v>
      </c>
      <c r="CW311" s="96">
        <f t="shared" si="160"/>
        <v>0</v>
      </c>
      <c r="CX311" s="97">
        <f t="shared" si="161"/>
        <v>0</v>
      </c>
      <c r="CZ311" s="82"/>
      <c r="DA311" s="136"/>
      <c r="DB311" s="137"/>
      <c r="DC311" s="92"/>
      <c r="DD311" s="92"/>
      <c r="DE311" s="92"/>
      <c r="DF311" s="92"/>
      <c r="DG311" s="92"/>
      <c r="DH311" s="92"/>
      <c r="DI311" s="93">
        <f t="shared" si="162"/>
        <v>0</v>
      </c>
      <c r="DJ311" s="183"/>
      <c r="DK311" s="184"/>
      <c r="DL311" s="92"/>
      <c r="DM311" s="92"/>
      <c r="DN311" s="92"/>
      <c r="DO311" s="92"/>
      <c r="DP311" s="92"/>
      <c r="DQ311" s="92"/>
      <c r="DR311" s="93">
        <f t="shared" si="163"/>
        <v>0</v>
      </c>
      <c r="DS311" s="183"/>
      <c r="DT311" s="184"/>
      <c r="DU311" s="92"/>
      <c r="DV311" s="92"/>
      <c r="DW311" s="92"/>
      <c r="DX311" s="92"/>
      <c r="DY311" s="92"/>
      <c r="DZ311" s="92"/>
      <c r="EA311" s="93">
        <f t="shared" si="164"/>
        <v>0</v>
      </c>
      <c r="EB311" s="95">
        <f t="shared" si="165"/>
        <v>0</v>
      </c>
      <c r="EC311" s="96">
        <f t="shared" si="166"/>
        <v>0</v>
      </c>
      <c r="ED311" s="97">
        <f t="shared" si="167"/>
        <v>0</v>
      </c>
    </row>
    <row r="312" spans="1:134" s="6" customFormat="1" ht="21.95" customHeight="1" x14ac:dyDescent="0.5">
      <c r="A312" s="83">
        <v>116</v>
      </c>
      <c r="B312" s="103" t="s">
        <v>634</v>
      </c>
      <c r="C312" s="103" t="s">
        <v>635</v>
      </c>
      <c r="D312" s="103" t="s">
        <v>625</v>
      </c>
      <c r="E312" s="148" t="s">
        <v>313</v>
      </c>
      <c r="F312" s="179" t="s">
        <v>591</v>
      </c>
      <c r="G312" s="138"/>
      <c r="H312" s="180">
        <v>1.3621184900987585E-3</v>
      </c>
      <c r="I312" s="181">
        <f t="shared" si="168"/>
        <v>134.09155309613092</v>
      </c>
      <c r="J312" s="182">
        <f t="shared" si="169"/>
        <v>101.24081889508032</v>
      </c>
      <c r="K312" s="92">
        <v>120</v>
      </c>
      <c r="L312" s="92">
        <v>120</v>
      </c>
      <c r="M312" s="92">
        <v>120</v>
      </c>
      <c r="N312" s="92">
        <v>120</v>
      </c>
      <c r="O312" s="92">
        <v>120</v>
      </c>
      <c r="P312" s="92">
        <v>120</v>
      </c>
      <c r="Q312" s="93">
        <f t="shared" si="144"/>
        <v>1.1852926646549602</v>
      </c>
      <c r="R312" s="94">
        <v>134.09155309613107</v>
      </c>
      <c r="S312" s="91">
        <v>101.24081889508032</v>
      </c>
      <c r="T312" s="92">
        <v>0</v>
      </c>
      <c r="U312" s="92">
        <v>0</v>
      </c>
      <c r="V312" s="92">
        <v>120</v>
      </c>
      <c r="W312" s="92">
        <v>120</v>
      </c>
      <c r="X312" s="92">
        <v>300</v>
      </c>
      <c r="Y312" s="92">
        <v>300</v>
      </c>
      <c r="Z312" s="93">
        <f t="shared" si="145"/>
        <v>2.9632316616374004</v>
      </c>
      <c r="AA312" s="94">
        <v>134.09155309613107</v>
      </c>
      <c r="AB312" s="91">
        <v>101.24081889508032</v>
      </c>
      <c r="AC312" s="92">
        <v>180</v>
      </c>
      <c r="AD312" s="92">
        <v>180</v>
      </c>
      <c r="AE312" s="92">
        <v>480</v>
      </c>
      <c r="AF312" s="92">
        <v>480</v>
      </c>
      <c r="AG312" s="92"/>
      <c r="AH312" s="92"/>
      <c r="AI312" s="93">
        <f t="shared" si="146"/>
        <v>0</v>
      </c>
      <c r="AJ312" s="95">
        <f t="shared" si="147"/>
        <v>303.72245668524096</v>
      </c>
      <c r="AK312" s="96">
        <f t="shared" si="148"/>
        <v>420</v>
      </c>
      <c r="AL312" s="97">
        <f t="shared" si="149"/>
        <v>1.3828414420974535</v>
      </c>
      <c r="AN312" s="89">
        <v>3.2721911547893478E-3</v>
      </c>
      <c r="AO312" s="181"/>
      <c r="AP312" s="182"/>
      <c r="AQ312" s="92"/>
      <c r="AR312" s="92"/>
      <c r="AS312" s="92"/>
      <c r="AT312" s="92"/>
      <c r="AU312" s="92"/>
      <c r="AV312" s="92"/>
      <c r="AW312" s="93">
        <f t="shared" si="150"/>
        <v>0</v>
      </c>
      <c r="AX312" s="183"/>
      <c r="AY312" s="184"/>
      <c r="AZ312" s="92"/>
      <c r="BA312" s="92"/>
      <c r="BB312" s="92"/>
      <c r="BC312" s="92"/>
      <c r="BD312" s="92"/>
      <c r="BE312" s="92"/>
      <c r="BF312" s="93">
        <f t="shared" si="151"/>
        <v>0</v>
      </c>
      <c r="BG312" s="181"/>
      <c r="BH312" s="182"/>
      <c r="BI312" s="92"/>
      <c r="BJ312" s="92"/>
      <c r="BK312" s="92"/>
      <c r="BL312" s="92"/>
      <c r="BM312" s="92"/>
      <c r="BN312" s="92"/>
      <c r="BO312" s="93">
        <f t="shared" si="152"/>
        <v>0</v>
      </c>
      <c r="BP312" s="95">
        <f t="shared" si="153"/>
        <v>0</v>
      </c>
      <c r="BQ312" s="96">
        <f t="shared" si="154"/>
        <v>0</v>
      </c>
      <c r="BR312" s="97">
        <f t="shared" si="155"/>
        <v>0</v>
      </c>
      <c r="BT312" s="82"/>
      <c r="BU312" s="181"/>
      <c r="BV312" s="182"/>
      <c r="BW312" s="92"/>
      <c r="BX312" s="92"/>
      <c r="BY312" s="92"/>
      <c r="BZ312" s="92"/>
      <c r="CA312" s="92"/>
      <c r="CB312" s="92"/>
      <c r="CC312" s="93">
        <f t="shared" si="156"/>
        <v>0</v>
      </c>
      <c r="CD312" s="181"/>
      <c r="CE312" s="182"/>
      <c r="CF312" s="92"/>
      <c r="CG312" s="92"/>
      <c r="CH312" s="92"/>
      <c r="CI312" s="92"/>
      <c r="CJ312" s="92"/>
      <c r="CK312" s="92"/>
      <c r="CL312" s="93">
        <f t="shared" si="157"/>
        <v>0</v>
      </c>
      <c r="CM312" s="181"/>
      <c r="CN312" s="182"/>
      <c r="CO312" s="92"/>
      <c r="CP312" s="92"/>
      <c r="CQ312" s="92"/>
      <c r="CR312" s="92"/>
      <c r="CS312" s="92"/>
      <c r="CT312" s="92"/>
      <c r="CU312" s="93">
        <f t="shared" si="158"/>
        <v>0</v>
      </c>
      <c r="CV312" s="95">
        <f t="shared" si="159"/>
        <v>0</v>
      </c>
      <c r="CW312" s="96">
        <f t="shared" si="160"/>
        <v>0</v>
      </c>
      <c r="CX312" s="97">
        <f t="shared" si="161"/>
        <v>0</v>
      </c>
      <c r="CZ312" s="82"/>
      <c r="DA312" s="136"/>
      <c r="DB312" s="137"/>
      <c r="DC312" s="92"/>
      <c r="DD312" s="92"/>
      <c r="DE312" s="92"/>
      <c r="DF312" s="92"/>
      <c r="DG312" s="92"/>
      <c r="DH312" s="92"/>
      <c r="DI312" s="93">
        <f t="shared" si="162"/>
        <v>0</v>
      </c>
      <c r="DJ312" s="183"/>
      <c r="DK312" s="184"/>
      <c r="DL312" s="92"/>
      <c r="DM312" s="92"/>
      <c r="DN312" s="92"/>
      <c r="DO312" s="92"/>
      <c r="DP312" s="92"/>
      <c r="DQ312" s="92"/>
      <c r="DR312" s="93">
        <f t="shared" si="163"/>
        <v>0</v>
      </c>
      <c r="DS312" s="183"/>
      <c r="DT312" s="184"/>
      <c r="DU312" s="92"/>
      <c r="DV312" s="92"/>
      <c r="DW312" s="92"/>
      <c r="DX312" s="92"/>
      <c r="DY312" s="92"/>
      <c r="DZ312" s="92"/>
      <c r="EA312" s="93">
        <f t="shared" si="164"/>
        <v>0</v>
      </c>
      <c r="EB312" s="95">
        <f t="shared" si="165"/>
        <v>0</v>
      </c>
      <c r="EC312" s="96">
        <f t="shared" si="166"/>
        <v>0</v>
      </c>
      <c r="ED312" s="97">
        <f t="shared" si="167"/>
        <v>0</v>
      </c>
    </row>
    <row r="313" spans="1:134" s="6" customFormat="1" ht="21.95" customHeight="1" x14ac:dyDescent="0.5">
      <c r="A313" s="83">
        <v>117</v>
      </c>
      <c r="B313" s="103" t="s">
        <v>636</v>
      </c>
      <c r="C313" s="103" t="s">
        <v>636</v>
      </c>
      <c r="D313" s="103" t="s">
        <v>625</v>
      </c>
      <c r="E313" s="148" t="s">
        <v>313</v>
      </c>
      <c r="F313" s="179" t="s">
        <v>591</v>
      </c>
      <c r="G313" s="138"/>
      <c r="H313" s="180">
        <v>2.1396019203637727E-3</v>
      </c>
      <c r="I313" s="181">
        <f t="shared" si="168"/>
        <v>210.62965270241727</v>
      </c>
      <c r="J313" s="182">
        <f t="shared" si="169"/>
        <v>159.02805233295777</v>
      </c>
      <c r="K313" s="92">
        <v>332</v>
      </c>
      <c r="L313" s="92">
        <v>198.4</v>
      </c>
      <c r="M313" s="92">
        <v>404</v>
      </c>
      <c r="N313" s="92">
        <v>266.8</v>
      </c>
      <c r="O313" s="92">
        <v>470</v>
      </c>
      <c r="P313" s="92">
        <v>310.48</v>
      </c>
      <c r="Q313" s="93">
        <f t="shared" si="144"/>
        <v>1.9523599481049205</v>
      </c>
      <c r="R313" s="94">
        <v>210.6296527024175</v>
      </c>
      <c r="S313" s="91">
        <v>159.02805233295777</v>
      </c>
      <c r="T313" s="92">
        <v>60</v>
      </c>
      <c r="U313" s="92">
        <v>60</v>
      </c>
      <c r="V313" s="92">
        <v>60</v>
      </c>
      <c r="W313" s="92">
        <v>60</v>
      </c>
      <c r="X313" s="92">
        <v>240</v>
      </c>
      <c r="Y313" s="92">
        <v>240</v>
      </c>
      <c r="Z313" s="93">
        <f t="shared" si="145"/>
        <v>1.5091677001584027</v>
      </c>
      <c r="AA313" s="94">
        <v>210.6296527024175</v>
      </c>
      <c r="AB313" s="91">
        <v>159.02805233295777</v>
      </c>
      <c r="AC313" s="92">
        <v>72</v>
      </c>
      <c r="AD313" s="92">
        <v>67.2</v>
      </c>
      <c r="AE313" s="92">
        <v>312</v>
      </c>
      <c r="AF313" s="92">
        <v>307.2</v>
      </c>
      <c r="AG313" s="92"/>
      <c r="AH313" s="92"/>
      <c r="AI313" s="93">
        <f t="shared" si="146"/>
        <v>0</v>
      </c>
      <c r="AJ313" s="95">
        <f t="shared" si="147"/>
        <v>477.08415699887331</v>
      </c>
      <c r="AK313" s="96">
        <f t="shared" si="148"/>
        <v>550.48</v>
      </c>
      <c r="AL313" s="97">
        <f t="shared" si="149"/>
        <v>1.1538425494211078</v>
      </c>
      <c r="AN313" s="89">
        <v>1.9339017386732552E-3</v>
      </c>
      <c r="AO313" s="181"/>
      <c r="AP313" s="182"/>
      <c r="AQ313" s="92"/>
      <c r="AR313" s="92"/>
      <c r="AS313" s="92"/>
      <c r="AT313" s="92"/>
      <c r="AU313" s="92"/>
      <c r="AV313" s="92"/>
      <c r="AW313" s="93">
        <f t="shared" si="150"/>
        <v>0</v>
      </c>
      <c r="AX313" s="183"/>
      <c r="AY313" s="184"/>
      <c r="AZ313" s="92"/>
      <c r="BA313" s="92"/>
      <c r="BB313" s="92"/>
      <c r="BC313" s="92"/>
      <c r="BD313" s="92"/>
      <c r="BE313" s="92"/>
      <c r="BF313" s="93">
        <f t="shared" si="151"/>
        <v>0</v>
      </c>
      <c r="BG313" s="181"/>
      <c r="BH313" s="182"/>
      <c r="BI313" s="92"/>
      <c r="BJ313" s="92"/>
      <c r="BK313" s="92"/>
      <c r="BL313" s="92"/>
      <c r="BM313" s="92"/>
      <c r="BN313" s="92"/>
      <c r="BO313" s="93">
        <f t="shared" si="152"/>
        <v>0</v>
      </c>
      <c r="BP313" s="95">
        <f t="shared" si="153"/>
        <v>0</v>
      </c>
      <c r="BQ313" s="96">
        <f t="shared" si="154"/>
        <v>0</v>
      </c>
      <c r="BR313" s="97">
        <f t="shared" si="155"/>
        <v>0</v>
      </c>
      <c r="BT313" s="82"/>
      <c r="BU313" s="181"/>
      <c r="BV313" s="182"/>
      <c r="BW313" s="92"/>
      <c r="BX313" s="92"/>
      <c r="BY313" s="92"/>
      <c r="BZ313" s="92"/>
      <c r="CA313" s="92"/>
      <c r="CB313" s="92"/>
      <c r="CC313" s="93">
        <f t="shared" si="156"/>
        <v>0</v>
      </c>
      <c r="CD313" s="181"/>
      <c r="CE313" s="182"/>
      <c r="CF313" s="92"/>
      <c r="CG313" s="92"/>
      <c r="CH313" s="92"/>
      <c r="CI313" s="92"/>
      <c r="CJ313" s="92"/>
      <c r="CK313" s="92"/>
      <c r="CL313" s="93">
        <f t="shared" si="157"/>
        <v>0</v>
      </c>
      <c r="CM313" s="181"/>
      <c r="CN313" s="182"/>
      <c r="CO313" s="92"/>
      <c r="CP313" s="92"/>
      <c r="CQ313" s="92"/>
      <c r="CR313" s="92"/>
      <c r="CS313" s="92"/>
      <c r="CT313" s="92"/>
      <c r="CU313" s="93">
        <f t="shared" si="158"/>
        <v>0</v>
      </c>
      <c r="CV313" s="95">
        <f t="shared" si="159"/>
        <v>0</v>
      </c>
      <c r="CW313" s="96">
        <f t="shared" si="160"/>
        <v>0</v>
      </c>
      <c r="CX313" s="97">
        <f t="shared" si="161"/>
        <v>0</v>
      </c>
      <c r="CZ313" s="82"/>
      <c r="DA313" s="136"/>
      <c r="DB313" s="137"/>
      <c r="DC313" s="92"/>
      <c r="DD313" s="92"/>
      <c r="DE313" s="92"/>
      <c r="DF313" s="92"/>
      <c r="DG313" s="92"/>
      <c r="DH313" s="92"/>
      <c r="DI313" s="93">
        <f t="shared" si="162"/>
        <v>0</v>
      </c>
      <c r="DJ313" s="183"/>
      <c r="DK313" s="184"/>
      <c r="DL313" s="92"/>
      <c r="DM313" s="92"/>
      <c r="DN313" s="92"/>
      <c r="DO313" s="92"/>
      <c r="DP313" s="92"/>
      <c r="DQ313" s="92"/>
      <c r="DR313" s="93">
        <f t="shared" si="163"/>
        <v>0</v>
      </c>
      <c r="DS313" s="183"/>
      <c r="DT313" s="184"/>
      <c r="DU313" s="92"/>
      <c r="DV313" s="92"/>
      <c r="DW313" s="92"/>
      <c r="DX313" s="92"/>
      <c r="DY313" s="92"/>
      <c r="DZ313" s="92"/>
      <c r="EA313" s="93">
        <f t="shared" si="164"/>
        <v>0</v>
      </c>
      <c r="EB313" s="95">
        <f t="shared" si="165"/>
        <v>0</v>
      </c>
      <c r="EC313" s="96">
        <f t="shared" si="166"/>
        <v>0</v>
      </c>
      <c r="ED313" s="97">
        <f t="shared" si="167"/>
        <v>0</v>
      </c>
    </row>
    <row r="314" spans="1:134" s="6" customFormat="1" ht="21.95" customHeight="1" x14ac:dyDescent="0.5">
      <c r="A314" s="83">
        <v>118</v>
      </c>
      <c r="B314" s="186" t="s">
        <v>637</v>
      </c>
      <c r="C314" s="103" t="s">
        <v>638</v>
      </c>
      <c r="D314" s="103" t="s">
        <v>337</v>
      </c>
      <c r="E314" s="148" t="s">
        <v>338</v>
      </c>
      <c r="F314" s="179" t="s">
        <v>591</v>
      </c>
      <c r="G314" s="138"/>
      <c r="H314" s="180">
        <v>1.0779208915684662E-3</v>
      </c>
      <c r="I314" s="181">
        <f t="shared" si="168"/>
        <v>106.11417987190093</v>
      </c>
      <c r="J314" s="182">
        <f t="shared" si="169"/>
        <v>80.117548186717812</v>
      </c>
      <c r="K314" s="92">
        <v>0</v>
      </c>
      <c r="L314" s="92">
        <v>0</v>
      </c>
      <c r="M314" s="92">
        <v>0</v>
      </c>
      <c r="N314" s="92">
        <v>0</v>
      </c>
      <c r="O314" s="92">
        <v>0</v>
      </c>
      <c r="P314" s="92">
        <v>0</v>
      </c>
      <c r="Q314" s="93">
        <f t="shared" si="144"/>
        <v>0</v>
      </c>
      <c r="R314" s="94">
        <v>106.11417987190104</v>
      </c>
      <c r="S314" s="91">
        <v>80.117548186717812</v>
      </c>
      <c r="T314" s="92">
        <v>0</v>
      </c>
      <c r="U314" s="92">
        <v>0</v>
      </c>
      <c r="V314" s="92">
        <v>0</v>
      </c>
      <c r="W314" s="92">
        <v>0</v>
      </c>
      <c r="X314" s="92">
        <v>0</v>
      </c>
      <c r="Y314" s="92">
        <v>0</v>
      </c>
      <c r="Z314" s="93">
        <f t="shared" si="145"/>
        <v>0</v>
      </c>
      <c r="AA314" s="94">
        <v>106.11417987190104</v>
      </c>
      <c r="AB314" s="91">
        <v>80.117548186717812</v>
      </c>
      <c r="AC314" s="92">
        <v>0</v>
      </c>
      <c r="AD314" s="92">
        <v>0</v>
      </c>
      <c r="AE314" s="92">
        <v>0</v>
      </c>
      <c r="AF314" s="92">
        <v>0</v>
      </c>
      <c r="AG314" s="92"/>
      <c r="AH314" s="92"/>
      <c r="AI314" s="93">
        <f t="shared" si="146"/>
        <v>0</v>
      </c>
      <c r="AJ314" s="95">
        <f t="shared" si="147"/>
        <v>240.35264456015344</v>
      </c>
      <c r="AK314" s="96">
        <f t="shared" si="148"/>
        <v>0</v>
      </c>
      <c r="AL314" s="97">
        <f t="shared" si="149"/>
        <v>0</v>
      </c>
      <c r="AN314" s="89">
        <v>4.0350896543610217E-2</v>
      </c>
      <c r="AO314" s="181"/>
      <c r="AP314" s="182"/>
      <c r="AQ314" s="92"/>
      <c r="AR314" s="92"/>
      <c r="AS314" s="92"/>
      <c r="AT314" s="92"/>
      <c r="AU314" s="92"/>
      <c r="AV314" s="92"/>
      <c r="AW314" s="93">
        <f t="shared" si="150"/>
        <v>0</v>
      </c>
      <c r="AX314" s="183"/>
      <c r="AY314" s="184"/>
      <c r="AZ314" s="92"/>
      <c r="BA314" s="92"/>
      <c r="BB314" s="92"/>
      <c r="BC314" s="92"/>
      <c r="BD314" s="92"/>
      <c r="BE314" s="92"/>
      <c r="BF314" s="93">
        <f t="shared" si="151"/>
        <v>0</v>
      </c>
      <c r="BG314" s="181"/>
      <c r="BH314" s="182"/>
      <c r="BI314" s="92"/>
      <c r="BJ314" s="92"/>
      <c r="BK314" s="92"/>
      <c r="BL314" s="92"/>
      <c r="BM314" s="92"/>
      <c r="BN314" s="92"/>
      <c r="BO314" s="93">
        <f t="shared" si="152"/>
        <v>0</v>
      </c>
      <c r="BP314" s="95">
        <f t="shared" si="153"/>
        <v>0</v>
      </c>
      <c r="BQ314" s="96">
        <f t="shared" si="154"/>
        <v>0</v>
      </c>
      <c r="BR314" s="97">
        <f t="shared" si="155"/>
        <v>0</v>
      </c>
      <c r="BT314" s="82"/>
      <c r="BU314" s="181"/>
      <c r="BV314" s="182"/>
      <c r="BW314" s="92"/>
      <c r="BX314" s="92"/>
      <c r="BY314" s="92"/>
      <c r="BZ314" s="92"/>
      <c r="CA314" s="92"/>
      <c r="CB314" s="92"/>
      <c r="CC314" s="93">
        <f t="shared" si="156"/>
        <v>0</v>
      </c>
      <c r="CD314" s="181"/>
      <c r="CE314" s="182"/>
      <c r="CF314" s="92"/>
      <c r="CG314" s="92"/>
      <c r="CH314" s="92"/>
      <c r="CI314" s="92"/>
      <c r="CJ314" s="92"/>
      <c r="CK314" s="92"/>
      <c r="CL314" s="93">
        <f t="shared" si="157"/>
        <v>0</v>
      </c>
      <c r="CM314" s="181"/>
      <c r="CN314" s="182"/>
      <c r="CO314" s="92"/>
      <c r="CP314" s="92"/>
      <c r="CQ314" s="92"/>
      <c r="CR314" s="92"/>
      <c r="CS314" s="92"/>
      <c r="CT314" s="92"/>
      <c r="CU314" s="93">
        <f t="shared" si="158"/>
        <v>0</v>
      </c>
      <c r="CV314" s="95">
        <f t="shared" si="159"/>
        <v>0</v>
      </c>
      <c r="CW314" s="96">
        <f t="shared" si="160"/>
        <v>0</v>
      </c>
      <c r="CX314" s="97">
        <f t="shared" si="161"/>
        <v>0</v>
      </c>
      <c r="CZ314" s="82"/>
      <c r="DA314" s="136"/>
      <c r="DB314" s="137"/>
      <c r="DC314" s="92"/>
      <c r="DD314" s="92"/>
      <c r="DE314" s="92"/>
      <c r="DF314" s="92"/>
      <c r="DG314" s="92"/>
      <c r="DH314" s="92"/>
      <c r="DI314" s="93">
        <f t="shared" si="162"/>
        <v>0</v>
      </c>
      <c r="DJ314" s="183"/>
      <c r="DK314" s="184"/>
      <c r="DL314" s="92"/>
      <c r="DM314" s="92"/>
      <c r="DN314" s="92"/>
      <c r="DO314" s="92"/>
      <c r="DP314" s="92"/>
      <c r="DQ314" s="92"/>
      <c r="DR314" s="93">
        <f t="shared" si="163"/>
        <v>0</v>
      </c>
      <c r="DS314" s="183"/>
      <c r="DT314" s="184"/>
      <c r="DU314" s="92"/>
      <c r="DV314" s="92"/>
      <c r="DW314" s="92"/>
      <c r="DX314" s="92"/>
      <c r="DY314" s="92"/>
      <c r="DZ314" s="92"/>
      <c r="EA314" s="93">
        <f t="shared" si="164"/>
        <v>0</v>
      </c>
      <c r="EB314" s="95">
        <f t="shared" si="165"/>
        <v>0</v>
      </c>
      <c r="EC314" s="96">
        <f t="shared" si="166"/>
        <v>0</v>
      </c>
      <c r="ED314" s="97">
        <f t="shared" si="167"/>
        <v>0</v>
      </c>
    </row>
    <row r="315" spans="1:134" s="6" customFormat="1" ht="21.95" customHeight="1" x14ac:dyDescent="0.5">
      <c r="A315" s="83">
        <v>119</v>
      </c>
      <c r="B315" s="103" t="s">
        <v>639</v>
      </c>
      <c r="C315" s="103" t="s">
        <v>640</v>
      </c>
      <c r="D315" s="103" t="s">
        <v>337</v>
      </c>
      <c r="E315" s="148" t="s">
        <v>338</v>
      </c>
      <c r="F315" s="179" t="s">
        <v>591</v>
      </c>
      <c r="G315" s="138"/>
      <c r="H315" s="180">
        <v>3.408341199516864E-3</v>
      </c>
      <c r="I315" s="181">
        <f t="shared" si="168"/>
        <v>335.52864031058698</v>
      </c>
      <c r="J315" s="182">
        <f t="shared" si="169"/>
        <v>253.32836799529045</v>
      </c>
      <c r="K315" s="92">
        <v>0</v>
      </c>
      <c r="L315" s="92">
        <v>0</v>
      </c>
      <c r="M315" s="92">
        <v>0</v>
      </c>
      <c r="N315" s="92">
        <v>0</v>
      </c>
      <c r="O315" s="92">
        <v>0</v>
      </c>
      <c r="P315" s="92">
        <v>0</v>
      </c>
      <c r="Q315" s="93">
        <f t="shared" si="144"/>
        <v>0</v>
      </c>
      <c r="R315" s="94">
        <v>335.52864031058732</v>
      </c>
      <c r="S315" s="91">
        <v>253.32836799529045</v>
      </c>
      <c r="T315" s="92">
        <v>0</v>
      </c>
      <c r="U315" s="92">
        <v>0</v>
      </c>
      <c r="V315" s="92">
        <v>0</v>
      </c>
      <c r="W315" s="92">
        <v>0</v>
      </c>
      <c r="X315" s="92">
        <v>0</v>
      </c>
      <c r="Y315" s="92">
        <v>0</v>
      </c>
      <c r="Z315" s="93">
        <f t="shared" si="145"/>
        <v>0</v>
      </c>
      <c r="AA315" s="94">
        <v>335.52864031058732</v>
      </c>
      <c r="AB315" s="91">
        <v>253.32836799529045</v>
      </c>
      <c r="AC315" s="92">
        <v>0</v>
      </c>
      <c r="AD315" s="92">
        <v>0</v>
      </c>
      <c r="AE315" s="92">
        <v>0</v>
      </c>
      <c r="AF315" s="92">
        <v>0</v>
      </c>
      <c r="AG315" s="92"/>
      <c r="AH315" s="92"/>
      <c r="AI315" s="93">
        <f t="shared" si="146"/>
        <v>0</v>
      </c>
      <c r="AJ315" s="95">
        <f t="shared" si="147"/>
        <v>759.98510398587132</v>
      </c>
      <c r="AK315" s="96">
        <f t="shared" si="148"/>
        <v>0</v>
      </c>
      <c r="AL315" s="97">
        <f t="shared" si="149"/>
        <v>0</v>
      </c>
      <c r="AN315" s="89">
        <v>4.1325200651496936E-3</v>
      </c>
      <c r="AO315" s="181"/>
      <c r="AP315" s="182"/>
      <c r="AQ315" s="92"/>
      <c r="AR315" s="92"/>
      <c r="AS315" s="92"/>
      <c r="AT315" s="92"/>
      <c r="AU315" s="92"/>
      <c r="AV315" s="92"/>
      <c r="AW315" s="93">
        <f t="shared" si="150"/>
        <v>0</v>
      </c>
      <c r="AX315" s="183"/>
      <c r="AY315" s="184"/>
      <c r="AZ315" s="92"/>
      <c r="BA315" s="92"/>
      <c r="BB315" s="92"/>
      <c r="BC315" s="92"/>
      <c r="BD315" s="92"/>
      <c r="BE315" s="92"/>
      <c r="BF315" s="93">
        <f t="shared" si="151"/>
        <v>0</v>
      </c>
      <c r="BG315" s="181"/>
      <c r="BH315" s="182"/>
      <c r="BI315" s="92"/>
      <c r="BJ315" s="92"/>
      <c r="BK315" s="92"/>
      <c r="BL315" s="92"/>
      <c r="BM315" s="92"/>
      <c r="BN315" s="92"/>
      <c r="BO315" s="93">
        <f t="shared" si="152"/>
        <v>0</v>
      </c>
      <c r="BP315" s="95">
        <f t="shared" si="153"/>
        <v>0</v>
      </c>
      <c r="BQ315" s="96">
        <f t="shared" si="154"/>
        <v>0</v>
      </c>
      <c r="BR315" s="97">
        <f t="shared" si="155"/>
        <v>0</v>
      </c>
      <c r="BT315" s="82"/>
      <c r="BU315" s="181"/>
      <c r="BV315" s="182"/>
      <c r="BW315" s="92"/>
      <c r="BX315" s="92"/>
      <c r="BY315" s="92"/>
      <c r="BZ315" s="92"/>
      <c r="CA315" s="92"/>
      <c r="CB315" s="92"/>
      <c r="CC315" s="93">
        <f t="shared" si="156"/>
        <v>0</v>
      </c>
      <c r="CD315" s="181"/>
      <c r="CE315" s="182"/>
      <c r="CF315" s="92"/>
      <c r="CG315" s="92"/>
      <c r="CH315" s="92"/>
      <c r="CI315" s="92"/>
      <c r="CJ315" s="92"/>
      <c r="CK315" s="92"/>
      <c r="CL315" s="93">
        <f t="shared" si="157"/>
        <v>0</v>
      </c>
      <c r="CM315" s="181"/>
      <c r="CN315" s="182"/>
      <c r="CO315" s="92"/>
      <c r="CP315" s="92"/>
      <c r="CQ315" s="92"/>
      <c r="CR315" s="92"/>
      <c r="CS315" s="92"/>
      <c r="CT315" s="92"/>
      <c r="CU315" s="93">
        <f t="shared" si="158"/>
        <v>0</v>
      </c>
      <c r="CV315" s="95">
        <f t="shared" si="159"/>
        <v>0</v>
      </c>
      <c r="CW315" s="96">
        <f t="shared" si="160"/>
        <v>0</v>
      </c>
      <c r="CX315" s="97">
        <f t="shared" si="161"/>
        <v>0</v>
      </c>
      <c r="CZ315" s="82"/>
      <c r="DA315" s="136"/>
      <c r="DB315" s="137"/>
      <c r="DC315" s="92"/>
      <c r="DD315" s="92"/>
      <c r="DE315" s="92"/>
      <c r="DF315" s="92"/>
      <c r="DG315" s="92"/>
      <c r="DH315" s="92"/>
      <c r="DI315" s="93">
        <f t="shared" si="162"/>
        <v>0</v>
      </c>
      <c r="DJ315" s="183"/>
      <c r="DK315" s="184"/>
      <c r="DL315" s="92"/>
      <c r="DM315" s="92"/>
      <c r="DN315" s="92"/>
      <c r="DO315" s="92"/>
      <c r="DP315" s="92"/>
      <c r="DQ315" s="92"/>
      <c r="DR315" s="93">
        <f t="shared" si="163"/>
        <v>0</v>
      </c>
      <c r="DS315" s="183"/>
      <c r="DT315" s="184"/>
      <c r="DU315" s="92"/>
      <c r="DV315" s="92"/>
      <c r="DW315" s="92"/>
      <c r="DX315" s="92"/>
      <c r="DY315" s="92"/>
      <c r="DZ315" s="92"/>
      <c r="EA315" s="93">
        <f t="shared" si="164"/>
        <v>0</v>
      </c>
      <c r="EB315" s="95">
        <f t="shared" si="165"/>
        <v>0</v>
      </c>
      <c r="EC315" s="96">
        <f t="shared" si="166"/>
        <v>0</v>
      </c>
      <c r="ED315" s="97">
        <f t="shared" si="167"/>
        <v>0</v>
      </c>
    </row>
    <row r="316" spans="1:134" s="6" customFormat="1" ht="21.95" customHeight="1" x14ac:dyDescent="0.5">
      <c r="A316" s="83">
        <v>120</v>
      </c>
      <c r="B316" s="186" t="s">
        <v>641</v>
      </c>
      <c r="C316" s="103" t="s">
        <v>641</v>
      </c>
      <c r="D316" s="103" t="s">
        <v>301</v>
      </c>
      <c r="E316" s="148" t="s">
        <v>87</v>
      </c>
      <c r="F316" s="179" t="s">
        <v>642</v>
      </c>
      <c r="G316" s="138"/>
      <c r="H316" s="180">
        <v>8.0651218497203702E-3</v>
      </c>
      <c r="I316" s="181">
        <f t="shared" si="168"/>
        <v>793.95788442761295</v>
      </c>
      <c r="J316" s="182">
        <f t="shared" si="169"/>
        <v>599.4482466023162</v>
      </c>
      <c r="K316" s="92">
        <v>0</v>
      </c>
      <c r="L316" s="92">
        <v>0</v>
      </c>
      <c r="M316" s="92">
        <v>0</v>
      </c>
      <c r="N316" s="92">
        <v>0</v>
      </c>
      <c r="O316" s="92">
        <v>0</v>
      </c>
      <c r="P316" s="92">
        <v>0</v>
      </c>
      <c r="Q316" s="93">
        <f t="shared" si="144"/>
        <v>0</v>
      </c>
      <c r="R316" s="94">
        <v>793.95788442761375</v>
      </c>
      <c r="S316" s="91">
        <v>599.4482466023162</v>
      </c>
      <c r="T316" s="92">
        <v>0</v>
      </c>
      <c r="U316" s="92">
        <v>0</v>
      </c>
      <c r="V316" s="92">
        <v>0</v>
      </c>
      <c r="W316" s="92">
        <v>0</v>
      </c>
      <c r="X316" s="92">
        <v>74</v>
      </c>
      <c r="Y316" s="92">
        <v>53.96</v>
      </c>
      <c r="Z316" s="93">
        <f t="shared" si="145"/>
        <v>9.0016111158630091E-2</v>
      </c>
      <c r="AA316" s="94">
        <v>793.95788442761375</v>
      </c>
      <c r="AB316" s="91">
        <v>599.4482466023162</v>
      </c>
      <c r="AC316" s="92">
        <v>70</v>
      </c>
      <c r="AD316" s="92">
        <v>64.86</v>
      </c>
      <c r="AE316" s="92">
        <v>70</v>
      </c>
      <c r="AF316" s="92">
        <v>64.86</v>
      </c>
      <c r="AG316" s="92"/>
      <c r="AH316" s="92"/>
      <c r="AI316" s="93">
        <f t="shared" si="146"/>
        <v>0</v>
      </c>
      <c r="AJ316" s="95">
        <f t="shared" si="147"/>
        <v>1798.3447398069486</v>
      </c>
      <c r="AK316" s="96">
        <f t="shared" si="148"/>
        <v>53.96</v>
      </c>
      <c r="AL316" s="97">
        <f t="shared" si="149"/>
        <v>3.0005370386210033E-2</v>
      </c>
      <c r="AN316" s="89">
        <v>1.6456547875097888E-2</v>
      </c>
      <c r="AO316" s="181"/>
      <c r="AP316" s="182"/>
      <c r="AQ316" s="92"/>
      <c r="AR316" s="92"/>
      <c r="AS316" s="92"/>
      <c r="AT316" s="92"/>
      <c r="AU316" s="92"/>
      <c r="AV316" s="92"/>
      <c r="AW316" s="93">
        <f t="shared" si="150"/>
        <v>0</v>
      </c>
      <c r="AX316" s="183"/>
      <c r="AY316" s="184"/>
      <c r="AZ316" s="92"/>
      <c r="BA316" s="92"/>
      <c r="BB316" s="92"/>
      <c r="BC316" s="92"/>
      <c r="BD316" s="92"/>
      <c r="BE316" s="92"/>
      <c r="BF316" s="93">
        <f t="shared" si="151"/>
        <v>0</v>
      </c>
      <c r="BG316" s="181"/>
      <c r="BH316" s="182"/>
      <c r="BI316" s="92"/>
      <c r="BJ316" s="92"/>
      <c r="BK316" s="92"/>
      <c r="BL316" s="92"/>
      <c r="BM316" s="92"/>
      <c r="BN316" s="92"/>
      <c r="BO316" s="93">
        <f t="shared" si="152"/>
        <v>0</v>
      </c>
      <c r="BP316" s="95">
        <f t="shared" si="153"/>
        <v>0</v>
      </c>
      <c r="BQ316" s="96">
        <f t="shared" si="154"/>
        <v>0</v>
      </c>
      <c r="BR316" s="97">
        <f t="shared" si="155"/>
        <v>0</v>
      </c>
      <c r="BT316" s="82"/>
      <c r="BU316" s="181"/>
      <c r="BV316" s="182"/>
      <c r="BW316" s="92"/>
      <c r="BX316" s="92"/>
      <c r="BY316" s="92"/>
      <c r="BZ316" s="92"/>
      <c r="CA316" s="92"/>
      <c r="CB316" s="92"/>
      <c r="CC316" s="93">
        <f t="shared" si="156"/>
        <v>0</v>
      </c>
      <c r="CD316" s="181"/>
      <c r="CE316" s="182"/>
      <c r="CF316" s="92"/>
      <c r="CG316" s="92"/>
      <c r="CH316" s="92"/>
      <c r="CI316" s="92"/>
      <c r="CJ316" s="92"/>
      <c r="CK316" s="92"/>
      <c r="CL316" s="93">
        <f t="shared" si="157"/>
        <v>0</v>
      </c>
      <c r="CM316" s="181"/>
      <c r="CN316" s="182"/>
      <c r="CO316" s="92"/>
      <c r="CP316" s="92"/>
      <c r="CQ316" s="92"/>
      <c r="CR316" s="92"/>
      <c r="CS316" s="92"/>
      <c r="CT316" s="92"/>
      <c r="CU316" s="93">
        <f t="shared" si="158"/>
        <v>0</v>
      </c>
      <c r="CV316" s="95">
        <f t="shared" si="159"/>
        <v>0</v>
      </c>
      <c r="CW316" s="96">
        <f t="shared" si="160"/>
        <v>0</v>
      </c>
      <c r="CX316" s="97">
        <f t="shared" si="161"/>
        <v>0</v>
      </c>
      <c r="CZ316" s="82"/>
      <c r="DA316" s="136"/>
      <c r="DB316" s="137"/>
      <c r="DC316" s="92"/>
      <c r="DD316" s="92"/>
      <c r="DE316" s="92"/>
      <c r="DF316" s="92"/>
      <c r="DG316" s="92"/>
      <c r="DH316" s="92"/>
      <c r="DI316" s="93">
        <f t="shared" si="162"/>
        <v>0</v>
      </c>
      <c r="DJ316" s="183"/>
      <c r="DK316" s="184"/>
      <c r="DL316" s="92"/>
      <c r="DM316" s="92"/>
      <c r="DN316" s="92"/>
      <c r="DO316" s="92"/>
      <c r="DP316" s="92"/>
      <c r="DQ316" s="92"/>
      <c r="DR316" s="93">
        <f t="shared" si="163"/>
        <v>0</v>
      </c>
      <c r="DS316" s="183"/>
      <c r="DT316" s="184"/>
      <c r="DU316" s="92"/>
      <c r="DV316" s="92"/>
      <c r="DW316" s="92"/>
      <c r="DX316" s="92"/>
      <c r="DY316" s="92"/>
      <c r="DZ316" s="92"/>
      <c r="EA316" s="93">
        <f t="shared" si="164"/>
        <v>0</v>
      </c>
      <c r="EB316" s="95">
        <f t="shared" si="165"/>
        <v>0</v>
      </c>
      <c r="EC316" s="96">
        <f t="shared" si="166"/>
        <v>0</v>
      </c>
      <c r="ED316" s="97">
        <f t="shared" si="167"/>
        <v>0</v>
      </c>
    </row>
    <row r="317" spans="1:134" s="6" customFormat="1" ht="21.95" customHeight="1" x14ac:dyDescent="0.5">
      <c r="A317" s="83">
        <v>121</v>
      </c>
      <c r="B317" s="103" t="s">
        <v>533</v>
      </c>
      <c r="C317" s="103" t="s">
        <v>533</v>
      </c>
      <c r="D317" s="103" t="s">
        <v>301</v>
      </c>
      <c r="E317" s="148" t="s">
        <v>87</v>
      </c>
      <c r="F317" s="179" t="s">
        <v>642</v>
      </c>
      <c r="G317" s="138"/>
      <c r="H317" s="180">
        <v>4.4781421596987508E-3</v>
      </c>
      <c r="I317" s="181">
        <f t="shared" si="168"/>
        <v>440.84346666179562</v>
      </c>
      <c r="J317" s="182">
        <f t="shared" si="169"/>
        <v>332.84239416176933</v>
      </c>
      <c r="K317" s="92">
        <v>0</v>
      </c>
      <c r="L317" s="92">
        <v>0</v>
      </c>
      <c r="M317" s="92">
        <v>0</v>
      </c>
      <c r="N317" s="92">
        <v>0</v>
      </c>
      <c r="O317" s="92">
        <v>0</v>
      </c>
      <c r="P317" s="92">
        <v>0</v>
      </c>
      <c r="Q317" s="93">
        <f t="shared" si="144"/>
        <v>0</v>
      </c>
      <c r="R317" s="94">
        <v>440.84346666179607</v>
      </c>
      <c r="S317" s="91">
        <v>332.84239416176933</v>
      </c>
      <c r="T317" s="92">
        <v>0</v>
      </c>
      <c r="U317" s="92">
        <v>0</v>
      </c>
      <c r="V317" s="92">
        <v>0</v>
      </c>
      <c r="W317" s="92">
        <v>0</v>
      </c>
      <c r="X317" s="92">
        <v>41</v>
      </c>
      <c r="Y317" s="92">
        <v>23.9</v>
      </c>
      <c r="Z317" s="93">
        <f t="shared" si="145"/>
        <v>7.1805756776235755E-2</v>
      </c>
      <c r="AA317" s="94">
        <v>440.84346666179607</v>
      </c>
      <c r="AB317" s="91">
        <v>332.84239416176933</v>
      </c>
      <c r="AC317" s="92">
        <v>36</v>
      </c>
      <c r="AD317" s="92">
        <v>28.2</v>
      </c>
      <c r="AE317" s="92">
        <v>36</v>
      </c>
      <c r="AF317" s="92">
        <v>28.2</v>
      </c>
      <c r="AG317" s="92"/>
      <c r="AH317" s="92"/>
      <c r="AI317" s="93">
        <f t="shared" si="146"/>
        <v>0</v>
      </c>
      <c r="AJ317" s="95">
        <f t="shared" si="147"/>
        <v>998.527182485308</v>
      </c>
      <c r="AK317" s="96">
        <f t="shared" si="148"/>
        <v>23.9</v>
      </c>
      <c r="AL317" s="97">
        <f t="shared" si="149"/>
        <v>2.3935252258745248E-2</v>
      </c>
      <c r="AN317" s="89">
        <v>1.5221203798683033E-3</v>
      </c>
      <c r="AO317" s="181"/>
      <c r="AP317" s="182"/>
      <c r="AQ317" s="92"/>
      <c r="AR317" s="92"/>
      <c r="AS317" s="92"/>
      <c r="AT317" s="92"/>
      <c r="AU317" s="92"/>
      <c r="AV317" s="92"/>
      <c r="AW317" s="93">
        <f t="shared" si="150"/>
        <v>0</v>
      </c>
      <c r="AX317" s="183"/>
      <c r="AY317" s="184"/>
      <c r="AZ317" s="92"/>
      <c r="BA317" s="92"/>
      <c r="BB317" s="92"/>
      <c r="BC317" s="92"/>
      <c r="BD317" s="92"/>
      <c r="BE317" s="92"/>
      <c r="BF317" s="93">
        <f t="shared" si="151"/>
        <v>0</v>
      </c>
      <c r="BG317" s="181"/>
      <c r="BH317" s="182"/>
      <c r="BI317" s="92"/>
      <c r="BJ317" s="92"/>
      <c r="BK317" s="92"/>
      <c r="BL317" s="92"/>
      <c r="BM317" s="92"/>
      <c r="BN317" s="92"/>
      <c r="BO317" s="93">
        <f t="shared" si="152"/>
        <v>0</v>
      </c>
      <c r="BP317" s="95">
        <f t="shared" si="153"/>
        <v>0</v>
      </c>
      <c r="BQ317" s="96">
        <f t="shared" si="154"/>
        <v>0</v>
      </c>
      <c r="BR317" s="97">
        <f t="shared" si="155"/>
        <v>0</v>
      </c>
      <c r="BT317" s="82"/>
      <c r="BU317" s="181"/>
      <c r="BV317" s="182"/>
      <c r="BW317" s="92"/>
      <c r="BX317" s="92"/>
      <c r="BY317" s="92"/>
      <c r="BZ317" s="92"/>
      <c r="CA317" s="92"/>
      <c r="CB317" s="92"/>
      <c r="CC317" s="93">
        <f t="shared" si="156"/>
        <v>0</v>
      </c>
      <c r="CD317" s="181"/>
      <c r="CE317" s="182"/>
      <c r="CF317" s="92"/>
      <c r="CG317" s="92"/>
      <c r="CH317" s="92"/>
      <c r="CI317" s="92"/>
      <c r="CJ317" s="92"/>
      <c r="CK317" s="92"/>
      <c r="CL317" s="93">
        <f t="shared" si="157"/>
        <v>0</v>
      </c>
      <c r="CM317" s="181"/>
      <c r="CN317" s="182"/>
      <c r="CO317" s="92"/>
      <c r="CP317" s="92"/>
      <c r="CQ317" s="92"/>
      <c r="CR317" s="92"/>
      <c r="CS317" s="92"/>
      <c r="CT317" s="92"/>
      <c r="CU317" s="93">
        <f t="shared" si="158"/>
        <v>0</v>
      </c>
      <c r="CV317" s="95">
        <f t="shared" si="159"/>
        <v>0</v>
      </c>
      <c r="CW317" s="96">
        <f t="shared" si="160"/>
        <v>0</v>
      </c>
      <c r="CX317" s="97">
        <f t="shared" si="161"/>
        <v>0</v>
      </c>
      <c r="CZ317" s="82"/>
      <c r="DA317" s="136"/>
      <c r="DB317" s="137"/>
      <c r="DC317" s="92"/>
      <c r="DD317" s="92"/>
      <c r="DE317" s="92"/>
      <c r="DF317" s="92"/>
      <c r="DG317" s="92"/>
      <c r="DH317" s="92"/>
      <c r="DI317" s="93">
        <f t="shared" si="162"/>
        <v>0</v>
      </c>
      <c r="DJ317" s="183"/>
      <c r="DK317" s="184"/>
      <c r="DL317" s="92"/>
      <c r="DM317" s="92"/>
      <c r="DN317" s="92"/>
      <c r="DO317" s="92"/>
      <c r="DP317" s="92"/>
      <c r="DQ317" s="92"/>
      <c r="DR317" s="93">
        <f t="shared" si="163"/>
        <v>0</v>
      </c>
      <c r="DS317" s="183"/>
      <c r="DT317" s="184"/>
      <c r="DU317" s="92"/>
      <c r="DV317" s="92"/>
      <c r="DW317" s="92"/>
      <c r="DX317" s="92"/>
      <c r="DY317" s="92"/>
      <c r="DZ317" s="92"/>
      <c r="EA317" s="93">
        <f t="shared" si="164"/>
        <v>0</v>
      </c>
      <c r="EB317" s="95">
        <f t="shared" si="165"/>
        <v>0</v>
      </c>
      <c r="EC317" s="96">
        <f t="shared" si="166"/>
        <v>0</v>
      </c>
      <c r="ED317" s="97">
        <f t="shared" si="167"/>
        <v>0</v>
      </c>
    </row>
    <row r="318" spans="1:134" s="6" customFormat="1" ht="21.95" customHeight="1" x14ac:dyDescent="0.5">
      <c r="A318" s="83">
        <v>122</v>
      </c>
      <c r="B318" s="103" t="s">
        <v>643</v>
      </c>
      <c r="C318" s="103" t="s">
        <v>644</v>
      </c>
      <c r="D318" s="103" t="s">
        <v>301</v>
      </c>
      <c r="E318" s="148" t="s">
        <v>87</v>
      </c>
      <c r="F318" s="179" t="s">
        <v>642</v>
      </c>
      <c r="G318" s="138"/>
      <c r="H318" s="180">
        <v>2.2076063457263785E-3</v>
      </c>
      <c r="I318" s="181">
        <f t="shared" si="168"/>
        <v>217.32423843821519</v>
      </c>
      <c r="J318" s="182">
        <f t="shared" si="169"/>
        <v>164.08254925245882</v>
      </c>
      <c r="K318" s="92">
        <v>360</v>
      </c>
      <c r="L318" s="92">
        <v>360</v>
      </c>
      <c r="M318" s="92">
        <v>540</v>
      </c>
      <c r="N318" s="92">
        <v>540</v>
      </c>
      <c r="O318" s="92">
        <v>900</v>
      </c>
      <c r="P318" s="92">
        <v>900</v>
      </c>
      <c r="Q318" s="93">
        <f t="shared" si="144"/>
        <v>5.4850439860929532</v>
      </c>
      <c r="R318" s="94">
        <v>217.32423843821542</v>
      </c>
      <c r="S318" s="91">
        <v>164.08254925245882</v>
      </c>
      <c r="T318" s="92">
        <v>0</v>
      </c>
      <c r="U318" s="92">
        <v>0</v>
      </c>
      <c r="V318" s="92">
        <v>180</v>
      </c>
      <c r="W318" s="92">
        <v>180</v>
      </c>
      <c r="X318" s="92">
        <v>360</v>
      </c>
      <c r="Y318" s="92">
        <v>360</v>
      </c>
      <c r="Z318" s="93">
        <f t="shared" si="145"/>
        <v>2.1940175944371814</v>
      </c>
      <c r="AA318" s="94">
        <v>217.32423843821542</v>
      </c>
      <c r="AB318" s="91">
        <v>164.08254925245882</v>
      </c>
      <c r="AC318" s="92">
        <v>180</v>
      </c>
      <c r="AD318" s="92">
        <v>180</v>
      </c>
      <c r="AE318" s="92">
        <v>360</v>
      </c>
      <c r="AF318" s="92">
        <v>360</v>
      </c>
      <c r="AG318" s="92"/>
      <c r="AH318" s="92"/>
      <c r="AI318" s="93">
        <f t="shared" si="146"/>
        <v>0</v>
      </c>
      <c r="AJ318" s="95">
        <f t="shared" si="147"/>
        <v>492.24764775737646</v>
      </c>
      <c r="AK318" s="96">
        <f t="shared" si="148"/>
        <v>1260</v>
      </c>
      <c r="AL318" s="97">
        <f t="shared" si="149"/>
        <v>2.5596871935100447</v>
      </c>
      <c r="AN318" s="89"/>
      <c r="AO318" s="181"/>
      <c r="AP318" s="182"/>
      <c r="AQ318" s="92"/>
      <c r="AR318" s="92"/>
      <c r="AS318" s="92"/>
      <c r="AT318" s="92"/>
      <c r="AU318" s="92"/>
      <c r="AV318" s="92"/>
      <c r="AW318" s="93"/>
      <c r="AX318" s="183"/>
      <c r="AY318" s="184"/>
      <c r="AZ318" s="92"/>
      <c r="BA318" s="92"/>
      <c r="BB318" s="92"/>
      <c r="BC318" s="92"/>
      <c r="BD318" s="92"/>
      <c r="BE318" s="92"/>
      <c r="BF318" s="93"/>
      <c r="BG318" s="181"/>
      <c r="BH318" s="182"/>
      <c r="BI318" s="92"/>
      <c r="BJ318" s="92"/>
      <c r="BK318" s="92"/>
      <c r="BL318" s="92"/>
      <c r="BM318" s="92"/>
      <c r="BN318" s="92"/>
      <c r="BO318" s="93"/>
      <c r="BP318" s="95"/>
      <c r="BQ318" s="96"/>
      <c r="BR318" s="97"/>
      <c r="BT318" s="82"/>
      <c r="BU318" s="181"/>
      <c r="BV318" s="182"/>
      <c r="BW318" s="92"/>
      <c r="BX318" s="92"/>
      <c r="BY318" s="92"/>
      <c r="BZ318" s="92"/>
      <c r="CA318" s="92"/>
      <c r="CB318" s="92"/>
      <c r="CC318" s="93"/>
      <c r="CD318" s="181"/>
      <c r="CE318" s="182"/>
      <c r="CF318" s="92"/>
      <c r="CG318" s="92"/>
      <c r="CH318" s="92"/>
      <c r="CI318" s="92"/>
      <c r="CJ318" s="92"/>
      <c r="CK318" s="92"/>
      <c r="CL318" s="93"/>
      <c r="CM318" s="181"/>
      <c r="CN318" s="182"/>
      <c r="CO318" s="92"/>
      <c r="CP318" s="92"/>
      <c r="CQ318" s="92"/>
      <c r="CR318" s="92"/>
      <c r="CS318" s="92"/>
      <c r="CT318" s="92"/>
      <c r="CU318" s="93"/>
      <c r="CV318" s="95"/>
      <c r="CW318" s="96"/>
      <c r="CX318" s="97"/>
      <c r="CZ318" s="82"/>
      <c r="DA318" s="136"/>
      <c r="DB318" s="137"/>
      <c r="DC318" s="92"/>
      <c r="DD318" s="92"/>
      <c r="DE318" s="92"/>
      <c r="DF318" s="92"/>
      <c r="DG318" s="92"/>
      <c r="DH318" s="92"/>
      <c r="DI318" s="93"/>
      <c r="DJ318" s="183"/>
      <c r="DK318" s="184"/>
      <c r="DL318" s="92"/>
      <c r="DM318" s="92"/>
      <c r="DN318" s="92"/>
      <c r="DO318" s="92"/>
      <c r="DP318" s="92"/>
      <c r="DQ318" s="92"/>
      <c r="DR318" s="93"/>
      <c r="DS318" s="183"/>
      <c r="DT318" s="184"/>
      <c r="DU318" s="92"/>
      <c r="DV318" s="92"/>
      <c r="DW318" s="92"/>
      <c r="DX318" s="92"/>
      <c r="DY318" s="92"/>
      <c r="DZ318" s="92"/>
      <c r="EA318" s="93"/>
      <c r="EB318" s="95"/>
      <c r="EC318" s="96"/>
      <c r="ED318" s="97"/>
    </row>
    <row r="319" spans="1:134" s="6" customFormat="1" ht="21.95" customHeight="1" x14ac:dyDescent="0.5">
      <c r="A319" s="83">
        <v>123</v>
      </c>
      <c r="B319" s="103" t="s">
        <v>645</v>
      </c>
      <c r="C319" s="103" t="s">
        <v>646</v>
      </c>
      <c r="D319" s="103" t="s">
        <v>301</v>
      </c>
      <c r="E319" s="148" t="s">
        <v>87</v>
      </c>
      <c r="F319" s="179" t="s">
        <v>642</v>
      </c>
      <c r="G319" s="138"/>
      <c r="H319" s="180">
        <v>3.4164611309034439E-3</v>
      </c>
      <c r="I319" s="181">
        <f t="shared" si="168"/>
        <v>336.32799383127923</v>
      </c>
      <c r="J319" s="182">
        <f t="shared" si="169"/>
        <v>253.93189001552938</v>
      </c>
      <c r="K319" s="92">
        <v>0</v>
      </c>
      <c r="L319" s="92">
        <v>0</v>
      </c>
      <c r="M319" s="92">
        <v>0</v>
      </c>
      <c r="N319" s="92">
        <v>0</v>
      </c>
      <c r="O319" s="92">
        <v>296</v>
      </c>
      <c r="P319" s="92">
        <v>214.24</v>
      </c>
      <c r="Q319" s="93">
        <f t="shared" si="144"/>
        <v>0.84369080223400861</v>
      </c>
      <c r="R319" s="94">
        <v>336.32799383127957</v>
      </c>
      <c r="S319" s="91">
        <v>253.93189001552938</v>
      </c>
      <c r="T319" s="92">
        <v>0</v>
      </c>
      <c r="U319" s="92">
        <v>0</v>
      </c>
      <c r="V319" s="92">
        <v>0</v>
      </c>
      <c r="W319" s="92">
        <v>0</v>
      </c>
      <c r="X319" s="92">
        <v>12</v>
      </c>
      <c r="Y319" s="92">
        <v>12</v>
      </c>
      <c r="Z319" s="93">
        <f t="shared" si="145"/>
        <v>4.7256766368596444E-2</v>
      </c>
      <c r="AA319" s="94">
        <v>336.32799383127957</v>
      </c>
      <c r="AB319" s="91">
        <v>253.93189001552938</v>
      </c>
      <c r="AC319" s="92">
        <v>0</v>
      </c>
      <c r="AD319" s="92">
        <v>0</v>
      </c>
      <c r="AE319" s="92">
        <v>282</v>
      </c>
      <c r="AF319" s="92">
        <v>205.28</v>
      </c>
      <c r="AG319" s="92"/>
      <c r="AH319" s="92"/>
      <c r="AI319" s="93">
        <f t="shared" si="146"/>
        <v>0</v>
      </c>
      <c r="AJ319" s="95">
        <f t="shared" si="147"/>
        <v>761.79567004658816</v>
      </c>
      <c r="AK319" s="96">
        <f t="shared" si="148"/>
        <v>226.24</v>
      </c>
      <c r="AL319" s="97">
        <f t="shared" si="149"/>
        <v>0.29698252286753501</v>
      </c>
      <c r="AN319" s="89"/>
      <c r="AO319" s="181"/>
      <c r="AP319" s="182"/>
      <c r="AQ319" s="92"/>
      <c r="AR319" s="92"/>
      <c r="AS319" s="92"/>
      <c r="AT319" s="92"/>
      <c r="AU319" s="92"/>
      <c r="AV319" s="92"/>
      <c r="AW319" s="93"/>
      <c r="AX319" s="183"/>
      <c r="AY319" s="184"/>
      <c r="AZ319" s="92"/>
      <c r="BA319" s="92"/>
      <c r="BB319" s="92"/>
      <c r="BC319" s="92"/>
      <c r="BD319" s="92"/>
      <c r="BE319" s="92"/>
      <c r="BF319" s="93"/>
      <c r="BG319" s="181"/>
      <c r="BH319" s="182"/>
      <c r="BI319" s="92"/>
      <c r="BJ319" s="92"/>
      <c r="BK319" s="92"/>
      <c r="BL319" s="92"/>
      <c r="BM319" s="92"/>
      <c r="BN319" s="92"/>
      <c r="BO319" s="93"/>
      <c r="BP319" s="95"/>
      <c r="BQ319" s="96"/>
      <c r="BR319" s="97"/>
      <c r="BT319" s="82"/>
      <c r="BU319" s="181"/>
      <c r="BV319" s="182"/>
      <c r="BW319" s="92"/>
      <c r="BX319" s="92"/>
      <c r="BY319" s="92"/>
      <c r="BZ319" s="92"/>
      <c r="CA319" s="92"/>
      <c r="CB319" s="92"/>
      <c r="CC319" s="93"/>
      <c r="CD319" s="181"/>
      <c r="CE319" s="182"/>
      <c r="CF319" s="92"/>
      <c r="CG319" s="92"/>
      <c r="CH319" s="92"/>
      <c r="CI319" s="92"/>
      <c r="CJ319" s="92"/>
      <c r="CK319" s="92"/>
      <c r="CL319" s="93"/>
      <c r="CM319" s="181"/>
      <c r="CN319" s="182"/>
      <c r="CO319" s="92"/>
      <c r="CP319" s="92"/>
      <c r="CQ319" s="92"/>
      <c r="CR319" s="92"/>
      <c r="CS319" s="92"/>
      <c r="CT319" s="92"/>
      <c r="CU319" s="93"/>
      <c r="CV319" s="95"/>
      <c r="CW319" s="96"/>
      <c r="CX319" s="97"/>
      <c r="CZ319" s="82"/>
      <c r="DA319" s="136"/>
      <c r="DB319" s="137"/>
      <c r="DC319" s="92"/>
      <c r="DD319" s="92"/>
      <c r="DE319" s="92"/>
      <c r="DF319" s="92"/>
      <c r="DG319" s="92"/>
      <c r="DH319" s="92"/>
      <c r="DI319" s="93"/>
      <c r="DJ319" s="183"/>
      <c r="DK319" s="184"/>
      <c r="DL319" s="92"/>
      <c r="DM319" s="92"/>
      <c r="DN319" s="92"/>
      <c r="DO319" s="92"/>
      <c r="DP319" s="92"/>
      <c r="DQ319" s="92"/>
      <c r="DR319" s="93"/>
      <c r="DS319" s="183"/>
      <c r="DT319" s="184"/>
      <c r="DU319" s="92"/>
      <c r="DV319" s="92"/>
      <c r="DW319" s="92"/>
      <c r="DX319" s="92"/>
      <c r="DY319" s="92"/>
      <c r="DZ319" s="92"/>
      <c r="EA319" s="93"/>
      <c r="EB319" s="95"/>
      <c r="EC319" s="96"/>
      <c r="ED319" s="97"/>
    </row>
    <row r="320" spans="1:134" s="6" customFormat="1" ht="21.95" customHeight="1" x14ac:dyDescent="0.5">
      <c r="A320" s="83">
        <v>124</v>
      </c>
      <c r="B320" s="103" t="s">
        <v>647</v>
      </c>
      <c r="C320" s="103" t="s">
        <v>648</v>
      </c>
      <c r="D320" s="103" t="s">
        <v>301</v>
      </c>
      <c r="E320" s="148" t="s">
        <v>87</v>
      </c>
      <c r="F320" s="179" t="s">
        <v>642</v>
      </c>
      <c r="G320" s="138"/>
      <c r="H320" s="180">
        <v>6.4451955380977026E-4</v>
      </c>
      <c r="I320" s="181">
        <f t="shared" si="168"/>
        <v>63.448685704950179</v>
      </c>
      <c r="J320" s="182">
        <f t="shared" si="169"/>
        <v>47.904560356464984</v>
      </c>
      <c r="K320" s="92">
        <v>324</v>
      </c>
      <c r="L320" s="92">
        <v>195.04000000000002</v>
      </c>
      <c r="M320" s="92">
        <v>600</v>
      </c>
      <c r="N320" s="92">
        <v>346.88</v>
      </c>
      <c r="O320" s="92">
        <v>840</v>
      </c>
      <c r="P320" s="92">
        <v>430.88</v>
      </c>
      <c r="Q320" s="93">
        <f t="shared" si="144"/>
        <v>8.9945507649743082</v>
      </c>
      <c r="R320" s="94">
        <v>63.448685704950243</v>
      </c>
      <c r="S320" s="91">
        <v>47.904560356464984</v>
      </c>
      <c r="T320" s="92">
        <v>30</v>
      </c>
      <c r="U320" s="92">
        <v>12.6</v>
      </c>
      <c r="V320" s="92">
        <v>186</v>
      </c>
      <c r="W320" s="92">
        <v>90.6</v>
      </c>
      <c r="X320" s="92">
        <v>524</v>
      </c>
      <c r="Y320" s="92">
        <v>272.08</v>
      </c>
      <c r="Z320" s="93">
        <f t="shared" si="145"/>
        <v>5.6796262814106235</v>
      </c>
      <c r="AA320" s="94">
        <v>63.448685704950243</v>
      </c>
      <c r="AB320" s="91">
        <v>47.904560356464984</v>
      </c>
      <c r="AC320" s="92">
        <v>92</v>
      </c>
      <c r="AD320" s="92">
        <v>40</v>
      </c>
      <c r="AE320" s="92">
        <v>212</v>
      </c>
      <c r="AF320" s="92">
        <v>82</v>
      </c>
      <c r="AG320" s="92"/>
      <c r="AH320" s="92"/>
      <c r="AI320" s="93">
        <f t="shared" si="146"/>
        <v>0</v>
      </c>
      <c r="AJ320" s="95">
        <f t="shared" si="147"/>
        <v>143.71368106939497</v>
      </c>
      <c r="AK320" s="96">
        <f t="shared" si="148"/>
        <v>702.96</v>
      </c>
      <c r="AL320" s="97">
        <f t="shared" si="149"/>
        <v>4.8913923487949766</v>
      </c>
      <c r="AN320" s="89"/>
      <c r="AO320" s="181"/>
      <c r="AP320" s="182"/>
      <c r="AQ320" s="92"/>
      <c r="AR320" s="92"/>
      <c r="AS320" s="92"/>
      <c r="AT320" s="92"/>
      <c r="AU320" s="92"/>
      <c r="AV320" s="92"/>
      <c r="AW320" s="93"/>
      <c r="AX320" s="183"/>
      <c r="AY320" s="184"/>
      <c r="AZ320" s="92"/>
      <c r="BA320" s="92"/>
      <c r="BB320" s="92"/>
      <c r="BC320" s="92"/>
      <c r="BD320" s="92"/>
      <c r="BE320" s="92"/>
      <c r="BF320" s="93"/>
      <c r="BG320" s="181"/>
      <c r="BH320" s="182"/>
      <c r="BI320" s="92"/>
      <c r="BJ320" s="92"/>
      <c r="BK320" s="92"/>
      <c r="BL320" s="92"/>
      <c r="BM320" s="92"/>
      <c r="BN320" s="92"/>
      <c r="BO320" s="93"/>
      <c r="BP320" s="95"/>
      <c r="BQ320" s="96"/>
      <c r="BR320" s="97"/>
      <c r="BT320" s="82"/>
      <c r="BU320" s="181"/>
      <c r="BV320" s="182"/>
      <c r="BW320" s="92"/>
      <c r="BX320" s="92"/>
      <c r="BY320" s="92"/>
      <c r="BZ320" s="92"/>
      <c r="CA320" s="92"/>
      <c r="CB320" s="92"/>
      <c r="CC320" s="93"/>
      <c r="CD320" s="181"/>
      <c r="CE320" s="182"/>
      <c r="CF320" s="92"/>
      <c r="CG320" s="92"/>
      <c r="CH320" s="92"/>
      <c r="CI320" s="92"/>
      <c r="CJ320" s="92"/>
      <c r="CK320" s="92"/>
      <c r="CL320" s="93"/>
      <c r="CM320" s="181"/>
      <c r="CN320" s="182"/>
      <c r="CO320" s="92"/>
      <c r="CP320" s="92"/>
      <c r="CQ320" s="92"/>
      <c r="CR320" s="92"/>
      <c r="CS320" s="92"/>
      <c r="CT320" s="92"/>
      <c r="CU320" s="93"/>
      <c r="CV320" s="95"/>
      <c r="CW320" s="96"/>
      <c r="CX320" s="97"/>
      <c r="CZ320" s="82"/>
      <c r="DA320" s="136"/>
      <c r="DB320" s="137"/>
      <c r="DC320" s="92"/>
      <c r="DD320" s="92"/>
      <c r="DE320" s="92"/>
      <c r="DF320" s="92"/>
      <c r="DG320" s="92"/>
      <c r="DH320" s="92"/>
      <c r="DI320" s="93"/>
      <c r="DJ320" s="183"/>
      <c r="DK320" s="184"/>
      <c r="DL320" s="92"/>
      <c r="DM320" s="92"/>
      <c r="DN320" s="92"/>
      <c r="DO320" s="92"/>
      <c r="DP320" s="92"/>
      <c r="DQ320" s="92"/>
      <c r="DR320" s="93"/>
      <c r="DS320" s="183"/>
      <c r="DT320" s="184"/>
      <c r="DU320" s="92"/>
      <c r="DV320" s="92"/>
      <c r="DW320" s="92"/>
      <c r="DX320" s="92"/>
      <c r="DY320" s="92"/>
      <c r="DZ320" s="92"/>
      <c r="EA320" s="93"/>
      <c r="EB320" s="95"/>
      <c r="EC320" s="96"/>
      <c r="ED320" s="97"/>
    </row>
    <row r="321" spans="1:134" s="6" customFormat="1" ht="21.95" customHeight="1" x14ac:dyDescent="0.5">
      <c r="A321" s="83">
        <v>125</v>
      </c>
      <c r="B321" s="103" t="s">
        <v>649</v>
      </c>
      <c r="C321" s="103" t="s">
        <v>649</v>
      </c>
      <c r="D321" s="103" t="s">
        <v>116</v>
      </c>
      <c r="E321" s="148" t="s">
        <v>117</v>
      </c>
      <c r="F321" s="179" t="s">
        <v>642</v>
      </c>
      <c r="G321" s="138"/>
      <c r="H321" s="180">
        <v>8.320899688397632E-3</v>
      </c>
      <c r="I321" s="181">
        <f t="shared" si="168"/>
        <v>819.13752032941977</v>
      </c>
      <c r="J321" s="182">
        <f t="shared" si="169"/>
        <v>618.45919023984243</v>
      </c>
      <c r="K321" s="92">
        <v>76</v>
      </c>
      <c r="L321" s="92">
        <v>58.66</v>
      </c>
      <c r="M321" s="92">
        <v>216</v>
      </c>
      <c r="N321" s="92">
        <v>162.57999999999998</v>
      </c>
      <c r="O321" s="92">
        <v>422</v>
      </c>
      <c r="P321" s="92">
        <v>353.46</v>
      </c>
      <c r="Q321" s="93">
        <f t="shared" si="144"/>
        <v>0.57151709535260675</v>
      </c>
      <c r="R321" s="94">
        <v>819.13752032942057</v>
      </c>
      <c r="S321" s="91">
        <v>618.45919023984243</v>
      </c>
      <c r="T321" s="92">
        <v>136</v>
      </c>
      <c r="U321" s="92">
        <v>84</v>
      </c>
      <c r="V321" s="92">
        <v>276</v>
      </c>
      <c r="W321" s="92">
        <v>224</v>
      </c>
      <c r="X321" s="92">
        <v>276</v>
      </c>
      <c r="Y321" s="92">
        <v>224</v>
      </c>
      <c r="Z321" s="93">
        <f t="shared" si="145"/>
        <v>0.36219042991847428</v>
      </c>
      <c r="AA321" s="94">
        <v>819.13752032942057</v>
      </c>
      <c r="AB321" s="91">
        <v>618.45919023984243</v>
      </c>
      <c r="AC321" s="92">
        <v>92</v>
      </c>
      <c r="AD321" s="92">
        <v>66</v>
      </c>
      <c r="AE321" s="92">
        <v>276</v>
      </c>
      <c r="AF321" s="92">
        <v>250</v>
      </c>
      <c r="AG321" s="92"/>
      <c r="AH321" s="92"/>
      <c r="AI321" s="93">
        <f t="shared" si="146"/>
        <v>0</v>
      </c>
      <c r="AJ321" s="95">
        <f t="shared" si="147"/>
        <v>1855.3775707195273</v>
      </c>
      <c r="AK321" s="96">
        <f t="shared" si="148"/>
        <v>577.46</v>
      </c>
      <c r="AL321" s="97">
        <f t="shared" si="149"/>
        <v>0.31123584175702707</v>
      </c>
      <c r="AN321" s="89"/>
      <c r="AO321" s="181"/>
      <c r="AP321" s="182"/>
      <c r="AQ321" s="92"/>
      <c r="AR321" s="92"/>
      <c r="AS321" s="92"/>
      <c r="AT321" s="92"/>
      <c r="AU321" s="92"/>
      <c r="AV321" s="92"/>
      <c r="AW321" s="93"/>
      <c r="AX321" s="183"/>
      <c r="AY321" s="184"/>
      <c r="AZ321" s="92"/>
      <c r="BA321" s="92"/>
      <c r="BB321" s="92"/>
      <c r="BC321" s="92"/>
      <c r="BD321" s="92"/>
      <c r="BE321" s="92"/>
      <c r="BF321" s="93"/>
      <c r="BG321" s="181"/>
      <c r="BH321" s="182"/>
      <c r="BI321" s="92"/>
      <c r="BJ321" s="92"/>
      <c r="BK321" s="92"/>
      <c r="BL321" s="92"/>
      <c r="BM321" s="92"/>
      <c r="BN321" s="92"/>
      <c r="BO321" s="93"/>
      <c r="BP321" s="95"/>
      <c r="BQ321" s="96"/>
      <c r="BR321" s="97"/>
      <c r="BT321" s="82"/>
      <c r="BU321" s="181"/>
      <c r="BV321" s="182"/>
      <c r="BW321" s="92"/>
      <c r="BX321" s="92"/>
      <c r="BY321" s="92"/>
      <c r="BZ321" s="92"/>
      <c r="CA321" s="92"/>
      <c r="CB321" s="92"/>
      <c r="CC321" s="93"/>
      <c r="CD321" s="181"/>
      <c r="CE321" s="182"/>
      <c r="CF321" s="92"/>
      <c r="CG321" s="92"/>
      <c r="CH321" s="92"/>
      <c r="CI321" s="92"/>
      <c r="CJ321" s="92"/>
      <c r="CK321" s="92"/>
      <c r="CL321" s="93"/>
      <c r="CM321" s="181"/>
      <c r="CN321" s="182"/>
      <c r="CO321" s="92"/>
      <c r="CP321" s="92"/>
      <c r="CQ321" s="92"/>
      <c r="CR321" s="92"/>
      <c r="CS321" s="92"/>
      <c r="CT321" s="92"/>
      <c r="CU321" s="93"/>
      <c r="CV321" s="95"/>
      <c r="CW321" s="96"/>
      <c r="CX321" s="97"/>
      <c r="CZ321" s="82"/>
      <c r="DA321" s="136"/>
      <c r="DB321" s="137"/>
      <c r="DC321" s="92"/>
      <c r="DD321" s="92"/>
      <c r="DE321" s="92"/>
      <c r="DF321" s="92"/>
      <c r="DG321" s="92"/>
      <c r="DH321" s="92"/>
      <c r="DI321" s="93"/>
      <c r="DJ321" s="183"/>
      <c r="DK321" s="184"/>
      <c r="DL321" s="92"/>
      <c r="DM321" s="92"/>
      <c r="DN321" s="92"/>
      <c r="DO321" s="92"/>
      <c r="DP321" s="92"/>
      <c r="DQ321" s="92"/>
      <c r="DR321" s="93"/>
      <c r="DS321" s="183"/>
      <c r="DT321" s="184"/>
      <c r="DU321" s="92"/>
      <c r="DV321" s="92"/>
      <c r="DW321" s="92"/>
      <c r="DX321" s="92"/>
      <c r="DY321" s="92"/>
      <c r="DZ321" s="92"/>
      <c r="EA321" s="93"/>
      <c r="EB321" s="95"/>
      <c r="EC321" s="96"/>
      <c r="ED321" s="97"/>
    </row>
    <row r="322" spans="1:134" s="6" customFormat="1" ht="21.95" customHeight="1" x14ac:dyDescent="0.5">
      <c r="A322" s="83">
        <v>126</v>
      </c>
      <c r="B322" s="103" t="s">
        <v>650</v>
      </c>
      <c r="C322" s="103" t="s">
        <v>650</v>
      </c>
      <c r="D322" s="103" t="s">
        <v>116</v>
      </c>
      <c r="E322" s="148" t="s">
        <v>117</v>
      </c>
      <c r="F322" s="179" t="s">
        <v>642</v>
      </c>
      <c r="G322" s="138"/>
      <c r="H322" s="180">
        <v>1.143895334084427E-3</v>
      </c>
      <c r="I322" s="181">
        <f t="shared" si="168"/>
        <v>112.60892722752577</v>
      </c>
      <c r="J322" s="182">
        <f t="shared" si="169"/>
        <v>85.021164601159128</v>
      </c>
      <c r="K322" s="92">
        <v>190</v>
      </c>
      <c r="L322" s="92">
        <v>164.8</v>
      </c>
      <c r="M322" s="92">
        <v>202</v>
      </c>
      <c r="N322" s="92">
        <v>176.8</v>
      </c>
      <c r="O322" s="92">
        <v>692</v>
      </c>
      <c r="P322" s="92">
        <v>563.6</v>
      </c>
      <c r="Q322" s="93">
        <f t="shared" si="144"/>
        <v>6.6289376609211521</v>
      </c>
      <c r="R322" s="94">
        <v>112.60892722752588</v>
      </c>
      <c r="S322" s="91">
        <v>85.021164601159128</v>
      </c>
      <c r="T322" s="92">
        <v>130</v>
      </c>
      <c r="U322" s="92">
        <v>104.8</v>
      </c>
      <c r="V322" s="92">
        <v>390</v>
      </c>
      <c r="W322" s="92">
        <v>288.39999999999998</v>
      </c>
      <c r="X322" s="92">
        <v>580</v>
      </c>
      <c r="Y322" s="92">
        <v>453.2</v>
      </c>
      <c r="Z322" s="93">
        <f t="shared" si="145"/>
        <v>5.3304374519685345</v>
      </c>
      <c r="AA322" s="94">
        <v>112.60892722752588</v>
      </c>
      <c r="AB322" s="91">
        <v>85.021164601159128</v>
      </c>
      <c r="AC322" s="92">
        <v>150</v>
      </c>
      <c r="AD322" s="92">
        <v>124.8</v>
      </c>
      <c r="AE322" s="92">
        <v>460</v>
      </c>
      <c r="AF322" s="92">
        <v>383.6</v>
      </c>
      <c r="AG322" s="92"/>
      <c r="AH322" s="92"/>
      <c r="AI322" s="93">
        <f t="shared" si="146"/>
        <v>0</v>
      </c>
      <c r="AJ322" s="95">
        <f t="shared" si="147"/>
        <v>255.0634938034774</v>
      </c>
      <c r="AK322" s="96">
        <f t="shared" si="148"/>
        <v>1016.8</v>
      </c>
      <c r="AL322" s="97">
        <f t="shared" si="149"/>
        <v>3.986458370963228</v>
      </c>
      <c r="AN322" s="89"/>
      <c r="AO322" s="181"/>
      <c r="AP322" s="182"/>
      <c r="AQ322" s="92"/>
      <c r="AR322" s="92"/>
      <c r="AS322" s="92"/>
      <c r="AT322" s="92"/>
      <c r="AU322" s="92"/>
      <c r="AV322" s="92"/>
      <c r="AW322" s="93"/>
      <c r="AX322" s="183"/>
      <c r="AY322" s="184"/>
      <c r="AZ322" s="92"/>
      <c r="BA322" s="92"/>
      <c r="BB322" s="92"/>
      <c r="BC322" s="92"/>
      <c r="BD322" s="92"/>
      <c r="BE322" s="92"/>
      <c r="BF322" s="93"/>
      <c r="BG322" s="181"/>
      <c r="BH322" s="182"/>
      <c r="BI322" s="92"/>
      <c r="BJ322" s="92"/>
      <c r="BK322" s="92"/>
      <c r="BL322" s="92"/>
      <c r="BM322" s="92"/>
      <c r="BN322" s="92"/>
      <c r="BO322" s="93"/>
      <c r="BP322" s="95"/>
      <c r="BQ322" s="96"/>
      <c r="BR322" s="97"/>
      <c r="BT322" s="82"/>
      <c r="BU322" s="181"/>
      <c r="BV322" s="182"/>
      <c r="BW322" s="92"/>
      <c r="BX322" s="92"/>
      <c r="BY322" s="92"/>
      <c r="BZ322" s="92"/>
      <c r="CA322" s="92"/>
      <c r="CB322" s="92"/>
      <c r="CC322" s="93"/>
      <c r="CD322" s="181"/>
      <c r="CE322" s="182"/>
      <c r="CF322" s="92"/>
      <c r="CG322" s="92"/>
      <c r="CH322" s="92"/>
      <c r="CI322" s="92"/>
      <c r="CJ322" s="92"/>
      <c r="CK322" s="92"/>
      <c r="CL322" s="93"/>
      <c r="CM322" s="181"/>
      <c r="CN322" s="182"/>
      <c r="CO322" s="92"/>
      <c r="CP322" s="92"/>
      <c r="CQ322" s="92"/>
      <c r="CR322" s="92"/>
      <c r="CS322" s="92"/>
      <c r="CT322" s="92"/>
      <c r="CU322" s="93"/>
      <c r="CV322" s="95"/>
      <c r="CW322" s="96"/>
      <c r="CX322" s="97"/>
      <c r="CZ322" s="82"/>
      <c r="DA322" s="136"/>
      <c r="DB322" s="137"/>
      <c r="DC322" s="92"/>
      <c r="DD322" s="92"/>
      <c r="DE322" s="92"/>
      <c r="DF322" s="92"/>
      <c r="DG322" s="92"/>
      <c r="DH322" s="92"/>
      <c r="DI322" s="93"/>
      <c r="DJ322" s="183"/>
      <c r="DK322" s="184"/>
      <c r="DL322" s="92"/>
      <c r="DM322" s="92"/>
      <c r="DN322" s="92"/>
      <c r="DO322" s="92"/>
      <c r="DP322" s="92"/>
      <c r="DQ322" s="92"/>
      <c r="DR322" s="93"/>
      <c r="DS322" s="183"/>
      <c r="DT322" s="184"/>
      <c r="DU322" s="92"/>
      <c r="DV322" s="92"/>
      <c r="DW322" s="92"/>
      <c r="DX322" s="92"/>
      <c r="DY322" s="92"/>
      <c r="DZ322" s="92"/>
      <c r="EA322" s="93"/>
      <c r="EB322" s="95"/>
      <c r="EC322" s="96"/>
      <c r="ED322" s="97"/>
    </row>
    <row r="323" spans="1:134" s="6" customFormat="1" ht="21.95" customHeight="1" x14ac:dyDescent="0.5">
      <c r="A323" s="83">
        <v>127</v>
      </c>
      <c r="B323" s="103" t="s">
        <v>651</v>
      </c>
      <c r="C323" s="103" t="s">
        <v>652</v>
      </c>
      <c r="D323" s="103" t="s">
        <v>116</v>
      </c>
      <c r="E323" s="148" t="s">
        <v>117</v>
      </c>
      <c r="F323" s="179" t="s">
        <v>642</v>
      </c>
      <c r="G323" s="138"/>
      <c r="H323" s="180">
        <v>8.7522710433096847E-3</v>
      </c>
      <c r="I323" s="181">
        <f t="shared" si="168"/>
        <v>861.60317611619757</v>
      </c>
      <c r="J323" s="182">
        <f t="shared" si="169"/>
        <v>650.52129756503564</v>
      </c>
      <c r="K323" s="92">
        <v>314</v>
      </c>
      <c r="L323" s="92">
        <v>253.6</v>
      </c>
      <c r="M323" s="92">
        <v>356</v>
      </c>
      <c r="N323" s="92">
        <v>280.48</v>
      </c>
      <c r="O323" s="92">
        <v>640</v>
      </c>
      <c r="P323" s="92">
        <v>564.48</v>
      </c>
      <c r="Q323" s="93">
        <f t="shared" si="144"/>
        <v>0.86773484913238574</v>
      </c>
      <c r="R323" s="94">
        <v>861.60317611619848</v>
      </c>
      <c r="S323" s="91">
        <v>650.52129756503564</v>
      </c>
      <c r="T323" s="92">
        <v>80</v>
      </c>
      <c r="U323" s="92">
        <v>54</v>
      </c>
      <c r="V323" s="92">
        <v>770</v>
      </c>
      <c r="W323" s="92">
        <v>728.88</v>
      </c>
      <c r="X323" s="92">
        <v>960</v>
      </c>
      <c r="Y323" s="92">
        <v>841.68</v>
      </c>
      <c r="Z323" s="93">
        <f t="shared" si="145"/>
        <v>1.2938546411170393</v>
      </c>
      <c r="AA323" s="94">
        <v>861.60317611619848</v>
      </c>
      <c r="AB323" s="91">
        <v>650.52129756503564</v>
      </c>
      <c r="AC323" s="92">
        <v>216</v>
      </c>
      <c r="AD323" s="92">
        <v>164</v>
      </c>
      <c r="AE323" s="92">
        <v>598</v>
      </c>
      <c r="AF323" s="92">
        <v>426.88</v>
      </c>
      <c r="AG323" s="92"/>
      <c r="AH323" s="92"/>
      <c r="AI323" s="93">
        <f t="shared" si="146"/>
        <v>0</v>
      </c>
      <c r="AJ323" s="95">
        <f t="shared" si="147"/>
        <v>1951.5638926951069</v>
      </c>
      <c r="AK323" s="96">
        <f t="shared" si="148"/>
        <v>1406.1599999999999</v>
      </c>
      <c r="AL323" s="97">
        <f t="shared" si="149"/>
        <v>0.72052983008314164</v>
      </c>
      <c r="AN323" s="89"/>
      <c r="AO323" s="181"/>
      <c r="AP323" s="182"/>
      <c r="AQ323" s="92"/>
      <c r="AR323" s="92"/>
      <c r="AS323" s="92"/>
      <c r="AT323" s="92"/>
      <c r="AU323" s="92"/>
      <c r="AV323" s="92"/>
      <c r="AW323" s="93"/>
      <c r="AX323" s="183"/>
      <c r="AY323" s="184"/>
      <c r="AZ323" s="92"/>
      <c r="BA323" s="92"/>
      <c r="BB323" s="92"/>
      <c r="BC323" s="92"/>
      <c r="BD323" s="92"/>
      <c r="BE323" s="92"/>
      <c r="BF323" s="93"/>
      <c r="BG323" s="181"/>
      <c r="BH323" s="182"/>
      <c r="BI323" s="92"/>
      <c r="BJ323" s="92"/>
      <c r="BK323" s="92"/>
      <c r="BL323" s="92"/>
      <c r="BM323" s="92"/>
      <c r="BN323" s="92"/>
      <c r="BO323" s="93"/>
      <c r="BP323" s="95"/>
      <c r="BQ323" s="96"/>
      <c r="BR323" s="97"/>
      <c r="BT323" s="82"/>
      <c r="BU323" s="181"/>
      <c r="BV323" s="182"/>
      <c r="BW323" s="92"/>
      <c r="BX323" s="92"/>
      <c r="BY323" s="92"/>
      <c r="BZ323" s="92"/>
      <c r="CA323" s="92"/>
      <c r="CB323" s="92"/>
      <c r="CC323" s="93"/>
      <c r="CD323" s="181"/>
      <c r="CE323" s="182"/>
      <c r="CF323" s="92"/>
      <c r="CG323" s="92"/>
      <c r="CH323" s="92"/>
      <c r="CI323" s="92"/>
      <c r="CJ323" s="92"/>
      <c r="CK323" s="92"/>
      <c r="CL323" s="93"/>
      <c r="CM323" s="181"/>
      <c r="CN323" s="182"/>
      <c r="CO323" s="92"/>
      <c r="CP323" s="92"/>
      <c r="CQ323" s="92"/>
      <c r="CR323" s="92"/>
      <c r="CS323" s="92"/>
      <c r="CT323" s="92"/>
      <c r="CU323" s="93"/>
      <c r="CV323" s="95"/>
      <c r="CW323" s="96"/>
      <c r="CX323" s="97"/>
      <c r="CZ323" s="82"/>
      <c r="DA323" s="136"/>
      <c r="DB323" s="137"/>
      <c r="DC323" s="92"/>
      <c r="DD323" s="92"/>
      <c r="DE323" s="92"/>
      <c r="DF323" s="92"/>
      <c r="DG323" s="92"/>
      <c r="DH323" s="92"/>
      <c r="DI323" s="93"/>
      <c r="DJ323" s="183"/>
      <c r="DK323" s="184"/>
      <c r="DL323" s="92"/>
      <c r="DM323" s="92"/>
      <c r="DN323" s="92"/>
      <c r="DO323" s="92"/>
      <c r="DP323" s="92"/>
      <c r="DQ323" s="92"/>
      <c r="DR323" s="93"/>
      <c r="DS323" s="183"/>
      <c r="DT323" s="184"/>
      <c r="DU323" s="92"/>
      <c r="DV323" s="92"/>
      <c r="DW323" s="92"/>
      <c r="DX323" s="92"/>
      <c r="DY323" s="92"/>
      <c r="DZ323" s="92"/>
      <c r="EA323" s="93"/>
      <c r="EB323" s="95"/>
      <c r="EC323" s="96"/>
      <c r="ED323" s="97"/>
    </row>
    <row r="324" spans="1:134" s="6" customFormat="1" ht="21.95" customHeight="1" x14ac:dyDescent="0.5">
      <c r="A324" s="83">
        <v>128</v>
      </c>
      <c r="B324" s="103" t="s">
        <v>653</v>
      </c>
      <c r="C324" s="103" t="s">
        <v>654</v>
      </c>
      <c r="D324" s="103" t="s">
        <v>116</v>
      </c>
      <c r="E324" s="148" t="s">
        <v>117</v>
      </c>
      <c r="F324" s="179" t="s">
        <v>642</v>
      </c>
      <c r="G324" s="138"/>
      <c r="H324" s="180">
        <v>4.501486962435167E-3</v>
      </c>
      <c r="I324" s="181">
        <f t="shared" si="168"/>
        <v>443.14160803378587</v>
      </c>
      <c r="J324" s="182">
        <f t="shared" si="169"/>
        <v>334.5775199699562</v>
      </c>
      <c r="K324" s="92">
        <v>450</v>
      </c>
      <c r="L324" s="92">
        <v>294.8</v>
      </c>
      <c r="M324" s="92">
        <v>580</v>
      </c>
      <c r="N324" s="92">
        <v>399.6</v>
      </c>
      <c r="O324" s="92">
        <v>1090</v>
      </c>
      <c r="P324" s="92">
        <v>754.40000000000009</v>
      </c>
      <c r="Q324" s="93">
        <f t="shared" si="144"/>
        <v>2.2547838840689067</v>
      </c>
      <c r="R324" s="94">
        <v>443.14160803378633</v>
      </c>
      <c r="S324" s="91">
        <v>334.5775199699562</v>
      </c>
      <c r="T324" s="92">
        <v>212</v>
      </c>
      <c r="U324" s="92">
        <v>160</v>
      </c>
      <c r="V324" s="92">
        <v>494</v>
      </c>
      <c r="W324" s="92">
        <v>366.4</v>
      </c>
      <c r="X324" s="92">
        <v>618</v>
      </c>
      <c r="Y324" s="92">
        <v>464.4</v>
      </c>
      <c r="Z324" s="93">
        <f t="shared" si="145"/>
        <v>1.388019135420997</v>
      </c>
      <c r="AA324" s="94">
        <v>443.14160803378633</v>
      </c>
      <c r="AB324" s="91">
        <v>334.5775199699562</v>
      </c>
      <c r="AC324" s="92">
        <v>172</v>
      </c>
      <c r="AD324" s="92">
        <v>146</v>
      </c>
      <c r="AE324" s="92">
        <v>778</v>
      </c>
      <c r="AF324" s="92">
        <v>550.64</v>
      </c>
      <c r="AG324" s="92"/>
      <c r="AH324" s="92"/>
      <c r="AI324" s="93">
        <f t="shared" si="146"/>
        <v>0</v>
      </c>
      <c r="AJ324" s="95">
        <f t="shared" si="147"/>
        <v>1003.7325599098685</v>
      </c>
      <c r="AK324" s="96">
        <f t="shared" si="148"/>
        <v>1218.8000000000002</v>
      </c>
      <c r="AL324" s="97">
        <f t="shared" si="149"/>
        <v>1.2142676731633015</v>
      </c>
      <c r="AN324" s="89"/>
      <c r="AO324" s="181"/>
      <c r="AP324" s="182"/>
      <c r="AQ324" s="92"/>
      <c r="AR324" s="92"/>
      <c r="AS324" s="92"/>
      <c r="AT324" s="92"/>
      <c r="AU324" s="92"/>
      <c r="AV324" s="92"/>
      <c r="AW324" s="93"/>
      <c r="AX324" s="183"/>
      <c r="AY324" s="184"/>
      <c r="AZ324" s="92"/>
      <c r="BA324" s="92"/>
      <c r="BB324" s="92"/>
      <c r="BC324" s="92"/>
      <c r="BD324" s="92"/>
      <c r="BE324" s="92"/>
      <c r="BF324" s="93"/>
      <c r="BG324" s="181"/>
      <c r="BH324" s="182"/>
      <c r="BI324" s="92"/>
      <c r="BJ324" s="92"/>
      <c r="BK324" s="92"/>
      <c r="BL324" s="92"/>
      <c r="BM324" s="92"/>
      <c r="BN324" s="92"/>
      <c r="BO324" s="93"/>
      <c r="BP324" s="95"/>
      <c r="BQ324" s="96"/>
      <c r="BR324" s="97"/>
      <c r="BT324" s="82"/>
      <c r="BU324" s="181"/>
      <c r="BV324" s="182"/>
      <c r="BW324" s="92"/>
      <c r="BX324" s="92"/>
      <c r="BY324" s="92"/>
      <c r="BZ324" s="92"/>
      <c r="CA324" s="92"/>
      <c r="CB324" s="92"/>
      <c r="CC324" s="93"/>
      <c r="CD324" s="181"/>
      <c r="CE324" s="182"/>
      <c r="CF324" s="92"/>
      <c r="CG324" s="92"/>
      <c r="CH324" s="92"/>
      <c r="CI324" s="92"/>
      <c r="CJ324" s="92"/>
      <c r="CK324" s="92"/>
      <c r="CL324" s="93"/>
      <c r="CM324" s="181"/>
      <c r="CN324" s="182"/>
      <c r="CO324" s="92"/>
      <c r="CP324" s="92"/>
      <c r="CQ324" s="92"/>
      <c r="CR324" s="92"/>
      <c r="CS324" s="92"/>
      <c r="CT324" s="92"/>
      <c r="CU324" s="93"/>
      <c r="CV324" s="95"/>
      <c r="CW324" s="96"/>
      <c r="CX324" s="97"/>
      <c r="CZ324" s="82"/>
      <c r="DA324" s="136"/>
      <c r="DB324" s="137"/>
      <c r="DC324" s="92"/>
      <c r="DD324" s="92"/>
      <c r="DE324" s="92"/>
      <c r="DF324" s="92"/>
      <c r="DG324" s="92"/>
      <c r="DH324" s="92"/>
      <c r="DI324" s="93"/>
      <c r="DJ324" s="183"/>
      <c r="DK324" s="184"/>
      <c r="DL324" s="92"/>
      <c r="DM324" s="92"/>
      <c r="DN324" s="92"/>
      <c r="DO324" s="92"/>
      <c r="DP324" s="92"/>
      <c r="DQ324" s="92"/>
      <c r="DR324" s="93"/>
      <c r="DS324" s="183"/>
      <c r="DT324" s="184"/>
      <c r="DU324" s="92"/>
      <c r="DV324" s="92"/>
      <c r="DW324" s="92"/>
      <c r="DX324" s="92"/>
      <c r="DY324" s="92"/>
      <c r="DZ324" s="92"/>
      <c r="EA324" s="93"/>
      <c r="EB324" s="95"/>
      <c r="EC324" s="96"/>
      <c r="ED324" s="97"/>
    </row>
    <row r="325" spans="1:134" s="6" customFormat="1" ht="21.95" customHeight="1" x14ac:dyDescent="0.5">
      <c r="A325" s="83">
        <v>129</v>
      </c>
      <c r="B325" s="103" t="s">
        <v>655</v>
      </c>
      <c r="C325" s="103" t="s">
        <v>656</v>
      </c>
      <c r="D325" s="103" t="s">
        <v>657</v>
      </c>
      <c r="E325" s="148" t="s">
        <v>658</v>
      </c>
      <c r="F325" s="179" t="s">
        <v>642</v>
      </c>
      <c r="G325" s="138"/>
      <c r="H325" s="180">
        <v>1.424235965206094E-2</v>
      </c>
      <c r="I325" s="181">
        <f t="shared" si="168"/>
        <v>1402.0660752942692</v>
      </c>
      <c r="J325" s="182">
        <f t="shared" ref="J325:J339" si="170">H325*$I$195</f>
        <v>1058.5776234990815</v>
      </c>
      <c r="K325" s="92">
        <v>0</v>
      </c>
      <c r="L325" s="92">
        <v>0</v>
      </c>
      <c r="M325" s="92">
        <v>84</v>
      </c>
      <c r="N325" s="92">
        <v>84</v>
      </c>
      <c r="O325" s="92">
        <v>144</v>
      </c>
      <c r="P325" s="92">
        <v>144</v>
      </c>
      <c r="Q325" s="93">
        <f t="shared" ref="Q325:Q344" si="171">IFERROR(P325/J325,0)</f>
        <v>0.13603159258554359</v>
      </c>
      <c r="R325" s="94">
        <v>1402.0660752942706</v>
      </c>
      <c r="S325" s="91">
        <v>1058.5776234990815</v>
      </c>
      <c r="T325" s="92">
        <v>0</v>
      </c>
      <c r="U325" s="92">
        <v>0</v>
      </c>
      <c r="V325" s="92">
        <v>48</v>
      </c>
      <c r="W325" s="92">
        <v>48</v>
      </c>
      <c r="X325" s="92">
        <v>108</v>
      </c>
      <c r="Y325" s="92">
        <v>108</v>
      </c>
      <c r="Z325" s="93">
        <f t="shared" ref="Z325:Z339" si="172">IFERROR(Y325/S325,0)</f>
        <v>0.10202369443915769</v>
      </c>
      <c r="AA325" s="94">
        <v>1402.0660752942706</v>
      </c>
      <c r="AB325" s="91">
        <v>1058.5776234990815</v>
      </c>
      <c r="AC325" s="92">
        <v>60</v>
      </c>
      <c r="AD325" s="92">
        <v>60</v>
      </c>
      <c r="AE325" s="92">
        <v>120</v>
      </c>
      <c r="AF325" s="92">
        <v>120</v>
      </c>
      <c r="AG325" s="92"/>
      <c r="AH325" s="92"/>
      <c r="AI325" s="93">
        <f t="shared" ref="AI325:AI339" si="173">IFERROR(AH325/AB325,0)</f>
        <v>0</v>
      </c>
      <c r="AJ325" s="95">
        <f t="shared" ref="AJ325:AJ344" si="174">+J325+S325+AB325</f>
        <v>3175.7328704972442</v>
      </c>
      <c r="AK325" s="96">
        <f t="shared" ref="AK325:AK339" si="175">+P325+Y325+AH325</f>
        <v>252</v>
      </c>
      <c r="AL325" s="97">
        <f t="shared" ref="AL325:AL344" si="176">IFERROR((AK325/AJ325),0)</f>
        <v>7.93517623415671E-2</v>
      </c>
      <c r="AN325" s="89"/>
      <c r="AO325" s="181"/>
      <c r="AP325" s="182"/>
      <c r="AQ325" s="92"/>
      <c r="AR325" s="92"/>
      <c r="AS325" s="92"/>
      <c r="AT325" s="92"/>
      <c r="AU325" s="92"/>
      <c r="AV325" s="92"/>
      <c r="AW325" s="93"/>
      <c r="AX325" s="183"/>
      <c r="AY325" s="184"/>
      <c r="AZ325" s="92"/>
      <c r="BA325" s="92"/>
      <c r="BB325" s="92"/>
      <c r="BC325" s="92"/>
      <c r="BD325" s="92"/>
      <c r="BE325" s="92"/>
      <c r="BF325" s="93"/>
      <c r="BG325" s="181"/>
      <c r="BH325" s="182"/>
      <c r="BI325" s="92"/>
      <c r="BJ325" s="92"/>
      <c r="BK325" s="92"/>
      <c r="BL325" s="92"/>
      <c r="BM325" s="92"/>
      <c r="BN325" s="92"/>
      <c r="BO325" s="93"/>
      <c r="BP325" s="95"/>
      <c r="BQ325" s="96"/>
      <c r="BR325" s="97"/>
      <c r="BT325" s="82"/>
      <c r="BU325" s="181"/>
      <c r="BV325" s="182"/>
      <c r="BW325" s="92"/>
      <c r="BX325" s="92"/>
      <c r="BY325" s="92"/>
      <c r="BZ325" s="92"/>
      <c r="CA325" s="92"/>
      <c r="CB325" s="92"/>
      <c r="CC325" s="93"/>
      <c r="CD325" s="181"/>
      <c r="CE325" s="182"/>
      <c r="CF325" s="92"/>
      <c r="CG325" s="92"/>
      <c r="CH325" s="92"/>
      <c r="CI325" s="92"/>
      <c r="CJ325" s="92"/>
      <c r="CK325" s="92"/>
      <c r="CL325" s="93"/>
      <c r="CM325" s="181"/>
      <c r="CN325" s="182"/>
      <c r="CO325" s="92"/>
      <c r="CP325" s="92"/>
      <c r="CQ325" s="92"/>
      <c r="CR325" s="92"/>
      <c r="CS325" s="92"/>
      <c r="CT325" s="92"/>
      <c r="CU325" s="93"/>
      <c r="CV325" s="95"/>
      <c r="CW325" s="96"/>
      <c r="CX325" s="97"/>
      <c r="CZ325" s="82"/>
      <c r="DA325" s="136"/>
      <c r="DB325" s="137"/>
      <c r="DC325" s="92"/>
      <c r="DD325" s="92"/>
      <c r="DE325" s="92"/>
      <c r="DF325" s="92"/>
      <c r="DG325" s="92"/>
      <c r="DH325" s="92"/>
      <c r="DI325" s="93"/>
      <c r="DJ325" s="183"/>
      <c r="DK325" s="184"/>
      <c r="DL325" s="92"/>
      <c r="DM325" s="92"/>
      <c r="DN325" s="92"/>
      <c r="DO325" s="92"/>
      <c r="DP325" s="92"/>
      <c r="DQ325" s="92"/>
      <c r="DR325" s="93"/>
      <c r="DS325" s="183"/>
      <c r="DT325" s="184"/>
      <c r="DU325" s="92"/>
      <c r="DV325" s="92"/>
      <c r="DW325" s="92"/>
      <c r="DX325" s="92"/>
      <c r="DY325" s="92"/>
      <c r="DZ325" s="92"/>
      <c r="EA325" s="93"/>
      <c r="EB325" s="95"/>
      <c r="EC325" s="96"/>
      <c r="ED325" s="97"/>
    </row>
    <row r="326" spans="1:134" s="6" customFormat="1" ht="21.95" customHeight="1" x14ac:dyDescent="0.5">
      <c r="A326" s="83">
        <v>130</v>
      </c>
      <c r="B326" s="103" t="s">
        <v>659</v>
      </c>
      <c r="C326" s="103" t="s">
        <v>660</v>
      </c>
      <c r="D326" s="103" t="s">
        <v>657</v>
      </c>
      <c r="E326" s="148" t="s">
        <v>658</v>
      </c>
      <c r="F326" s="179" t="s">
        <v>642</v>
      </c>
      <c r="G326" s="138"/>
      <c r="H326" s="180">
        <v>5.7681962587416138E-3</v>
      </c>
      <c r="I326" s="181">
        <f t="shared" ref="I326:I344" si="177">H326*$H$195</f>
        <v>567.84075726178253</v>
      </c>
      <c r="J326" s="182">
        <f t="shared" si="170"/>
        <v>428.72695512722919</v>
      </c>
      <c r="K326" s="92">
        <v>736</v>
      </c>
      <c r="L326" s="92">
        <v>484</v>
      </c>
      <c r="M326" s="92">
        <v>736</v>
      </c>
      <c r="N326" s="92">
        <v>484</v>
      </c>
      <c r="O326" s="92">
        <v>1658</v>
      </c>
      <c r="P326" s="92">
        <v>1076.8</v>
      </c>
      <c r="Q326" s="93">
        <f t="shared" si="171"/>
        <v>2.5116218775664532</v>
      </c>
      <c r="R326" s="94">
        <v>567.8407572617831</v>
      </c>
      <c r="S326" s="91">
        <v>428.72695512722919</v>
      </c>
      <c r="T326" s="92">
        <v>444</v>
      </c>
      <c r="U326" s="92">
        <v>292.8</v>
      </c>
      <c r="V326" s="92">
        <v>1356</v>
      </c>
      <c r="W326" s="92">
        <v>902.40000000000009</v>
      </c>
      <c r="X326" s="92">
        <v>1766</v>
      </c>
      <c r="Y326" s="92">
        <v>1186.4000000000001</v>
      </c>
      <c r="Z326" s="93">
        <f t="shared" si="172"/>
        <v>2.7672624401419395</v>
      </c>
      <c r="AA326" s="94">
        <v>567.8407572617831</v>
      </c>
      <c r="AB326" s="91">
        <v>428.72695512722919</v>
      </c>
      <c r="AC326" s="92">
        <v>420</v>
      </c>
      <c r="AD326" s="92">
        <v>267.2</v>
      </c>
      <c r="AE326" s="92">
        <v>1264</v>
      </c>
      <c r="AF326" s="92">
        <v>859.2</v>
      </c>
      <c r="AG326" s="92"/>
      <c r="AH326" s="92"/>
      <c r="AI326" s="93">
        <f t="shared" si="173"/>
        <v>0</v>
      </c>
      <c r="AJ326" s="95">
        <f t="shared" si="174"/>
        <v>1286.1808653816875</v>
      </c>
      <c r="AK326" s="96">
        <f t="shared" si="175"/>
        <v>2263.1999999999998</v>
      </c>
      <c r="AL326" s="97">
        <f t="shared" si="176"/>
        <v>1.7596281059027976</v>
      </c>
      <c r="AN326" s="89"/>
      <c r="AO326" s="181"/>
      <c r="AP326" s="182"/>
      <c r="AQ326" s="92"/>
      <c r="AR326" s="92"/>
      <c r="AS326" s="92"/>
      <c r="AT326" s="92"/>
      <c r="AU326" s="92"/>
      <c r="AV326" s="92"/>
      <c r="AW326" s="93"/>
      <c r="AX326" s="183"/>
      <c r="AY326" s="184"/>
      <c r="AZ326" s="92"/>
      <c r="BA326" s="92"/>
      <c r="BB326" s="92"/>
      <c r="BC326" s="92"/>
      <c r="BD326" s="92"/>
      <c r="BE326" s="92"/>
      <c r="BF326" s="93"/>
      <c r="BG326" s="181"/>
      <c r="BH326" s="182"/>
      <c r="BI326" s="92"/>
      <c r="BJ326" s="92"/>
      <c r="BK326" s="92"/>
      <c r="BL326" s="92"/>
      <c r="BM326" s="92"/>
      <c r="BN326" s="92"/>
      <c r="BO326" s="93"/>
      <c r="BP326" s="95"/>
      <c r="BQ326" s="96"/>
      <c r="BR326" s="97"/>
      <c r="BT326" s="82"/>
      <c r="BU326" s="181"/>
      <c r="BV326" s="182"/>
      <c r="BW326" s="92"/>
      <c r="BX326" s="92"/>
      <c r="BY326" s="92"/>
      <c r="BZ326" s="92"/>
      <c r="CA326" s="92"/>
      <c r="CB326" s="92"/>
      <c r="CC326" s="93"/>
      <c r="CD326" s="181"/>
      <c r="CE326" s="182"/>
      <c r="CF326" s="92"/>
      <c r="CG326" s="92"/>
      <c r="CH326" s="92"/>
      <c r="CI326" s="92"/>
      <c r="CJ326" s="92"/>
      <c r="CK326" s="92"/>
      <c r="CL326" s="93"/>
      <c r="CM326" s="181"/>
      <c r="CN326" s="182"/>
      <c r="CO326" s="92"/>
      <c r="CP326" s="92"/>
      <c r="CQ326" s="92"/>
      <c r="CR326" s="92"/>
      <c r="CS326" s="92"/>
      <c r="CT326" s="92"/>
      <c r="CU326" s="93"/>
      <c r="CV326" s="95"/>
      <c r="CW326" s="96"/>
      <c r="CX326" s="97"/>
      <c r="CZ326" s="82"/>
      <c r="DA326" s="136"/>
      <c r="DB326" s="137"/>
      <c r="DC326" s="92"/>
      <c r="DD326" s="92"/>
      <c r="DE326" s="92"/>
      <c r="DF326" s="92"/>
      <c r="DG326" s="92"/>
      <c r="DH326" s="92"/>
      <c r="DI326" s="93"/>
      <c r="DJ326" s="183"/>
      <c r="DK326" s="184"/>
      <c r="DL326" s="92"/>
      <c r="DM326" s="92"/>
      <c r="DN326" s="92"/>
      <c r="DO326" s="92"/>
      <c r="DP326" s="92"/>
      <c r="DQ326" s="92"/>
      <c r="DR326" s="93"/>
      <c r="DS326" s="183"/>
      <c r="DT326" s="184"/>
      <c r="DU326" s="92"/>
      <c r="DV326" s="92"/>
      <c r="DW326" s="92"/>
      <c r="DX326" s="92"/>
      <c r="DY326" s="92"/>
      <c r="DZ326" s="92"/>
      <c r="EA326" s="93"/>
      <c r="EB326" s="95"/>
      <c r="EC326" s="96"/>
      <c r="ED326" s="97"/>
    </row>
    <row r="327" spans="1:134" s="6" customFormat="1" ht="21.95" customHeight="1" x14ac:dyDescent="0.5">
      <c r="A327" s="83">
        <v>131</v>
      </c>
      <c r="B327" s="103" t="s">
        <v>661</v>
      </c>
      <c r="C327" s="103" t="s">
        <v>662</v>
      </c>
      <c r="D327" s="103" t="s">
        <v>330</v>
      </c>
      <c r="E327" s="148" t="s">
        <v>331</v>
      </c>
      <c r="F327" s="179" t="s">
        <v>642</v>
      </c>
      <c r="G327" s="138"/>
      <c r="H327" s="180">
        <v>6.8176973904570505E-3</v>
      </c>
      <c r="I327" s="181">
        <f t="shared" si="177"/>
        <v>671.1571998112604</v>
      </c>
      <c r="J327" s="182">
        <f t="shared" si="170"/>
        <v>506.73217624311076</v>
      </c>
      <c r="K327" s="92">
        <v>0</v>
      </c>
      <c r="L327" s="92">
        <v>0</v>
      </c>
      <c r="M327" s="92">
        <v>0</v>
      </c>
      <c r="N327" s="92">
        <v>0</v>
      </c>
      <c r="O327" s="92">
        <v>0</v>
      </c>
      <c r="P327" s="92">
        <v>0</v>
      </c>
      <c r="Q327" s="93">
        <f t="shared" si="171"/>
        <v>0</v>
      </c>
      <c r="R327" s="94">
        <v>671.15719981126119</v>
      </c>
      <c r="S327" s="91">
        <v>506.73217624311076</v>
      </c>
      <c r="T327" s="92">
        <v>0</v>
      </c>
      <c r="U327" s="92">
        <v>0</v>
      </c>
      <c r="V327" s="92">
        <v>0</v>
      </c>
      <c r="W327" s="92">
        <v>0</v>
      </c>
      <c r="X327" s="92">
        <v>120</v>
      </c>
      <c r="Y327" s="92">
        <v>120</v>
      </c>
      <c r="Z327" s="93">
        <f t="shared" si="172"/>
        <v>0.23681148667067983</v>
      </c>
      <c r="AA327" s="94">
        <v>671.15719981126119</v>
      </c>
      <c r="AB327" s="91">
        <v>506.73217624311076</v>
      </c>
      <c r="AC327" s="92">
        <v>0</v>
      </c>
      <c r="AD327" s="92">
        <v>0</v>
      </c>
      <c r="AE327" s="92">
        <v>0</v>
      </c>
      <c r="AF327" s="92">
        <v>0</v>
      </c>
      <c r="AG327" s="92"/>
      <c r="AH327" s="92"/>
      <c r="AI327" s="93">
        <f t="shared" si="173"/>
        <v>0</v>
      </c>
      <c r="AJ327" s="95">
        <f t="shared" si="174"/>
        <v>1520.1965287293324</v>
      </c>
      <c r="AK327" s="96">
        <f t="shared" si="175"/>
        <v>120</v>
      </c>
      <c r="AL327" s="97">
        <f t="shared" si="176"/>
        <v>7.893716222355994E-2</v>
      </c>
      <c r="AN327" s="89"/>
      <c r="AO327" s="181"/>
      <c r="AP327" s="182"/>
      <c r="AQ327" s="92"/>
      <c r="AR327" s="92"/>
      <c r="AS327" s="92"/>
      <c r="AT327" s="92"/>
      <c r="AU327" s="92"/>
      <c r="AV327" s="92"/>
      <c r="AW327" s="93"/>
      <c r="AX327" s="183"/>
      <c r="AY327" s="184"/>
      <c r="AZ327" s="92"/>
      <c r="BA327" s="92"/>
      <c r="BB327" s="92"/>
      <c r="BC327" s="92"/>
      <c r="BD327" s="92"/>
      <c r="BE327" s="92"/>
      <c r="BF327" s="93"/>
      <c r="BG327" s="181"/>
      <c r="BH327" s="182"/>
      <c r="BI327" s="92"/>
      <c r="BJ327" s="92"/>
      <c r="BK327" s="92"/>
      <c r="BL327" s="92"/>
      <c r="BM327" s="92"/>
      <c r="BN327" s="92"/>
      <c r="BO327" s="93"/>
      <c r="BP327" s="95"/>
      <c r="BQ327" s="96"/>
      <c r="BR327" s="97"/>
      <c r="BT327" s="82"/>
      <c r="BU327" s="181"/>
      <c r="BV327" s="182"/>
      <c r="BW327" s="92"/>
      <c r="BX327" s="92"/>
      <c r="BY327" s="92"/>
      <c r="BZ327" s="92"/>
      <c r="CA327" s="92"/>
      <c r="CB327" s="92"/>
      <c r="CC327" s="93"/>
      <c r="CD327" s="181"/>
      <c r="CE327" s="182"/>
      <c r="CF327" s="92"/>
      <c r="CG327" s="92"/>
      <c r="CH327" s="92"/>
      <c r="CI327" s="92"/>
      <c r="CJ327" s="92"/>
      <c r="CK327" s="92"/>
      <c r="CL327" s="93"/>
      <c r="CM327" s="181"/>
      <c r="CN327" s="182"/>
      <c r="CO327" s="92"/>
      <c r="CP327" s="92"/>
      <c r="CQ327" s="92"/>
      <c r="CR327" s="92"/>
      <c r="CS327" s="92"/>
      <c r="CT327" s="92"/>
      <c r="CU327" s="93"/>
      <c r="CV327" s="95"/>
      <c r="CW327" s="96"/>
      <c r="CX327" s="97"/>
      <c r="CZ327" s="82"/>
      <c r="DA327" s="136"/>
      <c r="DB327" s="137"/>
      <c r="DC327" s="92"/>
      <c r="DD327" s="92"/>
      <c r="DE327" s="92"/>
      <c r="DF327" s="92"/>
      <c r="DG327" s="92"/>
      <c r="DH327" s="92"/>
      <c r="DI327" s="93"/>
      <c r="DJ327" s="183"/>
      <c r="DK327" s="184"/>
      <c r="DL327" s="92"/>
      <c r="DM327" s="92"/>
      <c r="DN327" s="92"/>
      <c r="DO327" s="92"/>
      <c r="DP327" s="92"/>
      <c r="DQ327" s="92"/>
      <c r="DR327" s="93"/>
      <c r="DS327" s="183"/>
      <c r="DT327" s="184"/>
      <c r="DU327" s="92"/>
      <c r="DV327" s="92"/>
      <c r="DW327" s="92"/>
      <c r="DX327" s="92"/>
      <c r="DY327" s="92"/>
      <c r="DZ327" s="92"/>
      <c r="EA327" s="93"/>
      <c r="EB327" s="95"/>
      <c r="EC327" s="96"/>
      <c r="ED327" s="97"/>
    </row>
    <row r="328" spans="1:134" s="6" customFormat="1" ht="21.95" customHeight="1" x14ac:dyDescent="0.5">
      <c r="A328" s="83">
        <v>132</v>
      </c>
      <c r="B328" s="103" t="s">
        <v>663</v>
      </c>
      <c r="C328" s="103" t="s">
        <v>663</v>
      </c>
      <c r="D328" s="103" t="s">
        <v>664</v>
      </c>
      <c r="E328" s="148" t="s">
        <v>665</v>
      </c>
      <c r="F328" s="179" t="s">
        <v>642</v>
      </c>
      <c r="G328" s="138"/>
      <c r="H328" s="180">
        <v>8.3817991737969808E-3</v>
      </c>
      <c r="I328" s="181">
        <f t="shared" si="177"/>
        <v>825.1326717346119</v>
      </c>
      <c r="J328" s="182">
        <f t="shared" si="170"/>
        <v>622.98560539163441</v>
      </c>
      <c r="K328" s="92">
        <v>290</v>
      </c>
      <c r="L328" s="92">
        <v>200.5</v>
      </c>
      <c r="M328" s="92">
        <v>710</v>
      </c>
      <c r="N328" s="92">
        <v>620.5</v>
      </c>
      <c r="O328" s="92">
        <v>2294</v>
      </c>
      <c r="P328" s="92">
        <v>1894.1</v>
      </c>
      <c r="Q328" s="93">
        <f t="shared" si="171"/>
        <v>3.0403591730009407</v>
      </c>
      <c r="R328" s="94">
        <v>825.13267173461281</v>
      </c>
      <c r="S328" s="91">
        <v>622.98560539163441</v>
      </c>
      <c r="T328" s="92">
        <v>606</v>
      </c>
      <c r="U328" s="92">
        <v>452.40000000000003</v>
      </c>
      <c r="V328" s="92">
        <v>1096</v>
      </c>
      <c r="W328" s="92">
        <v>917.2</v>
      </c>
      <c r="X328" s="92">
        <v>1808</v>
      </c>
      <c r="Y328" s="92">
        <v>1588.88</v>
      </c>
      <c r="Z328" s="93">
        <f t="shared" si="172"/>
        <v>2.5504281098134918</v>
      </c>
      <c r="AA328" s="94">
        <v>825.13267173461281</v>
      </c>
      <c r="AB328" s="91">
        <v>622.98560539163441</v>
      </c>
      <c r="AC328" s="92">
        <v>640</v>
      </c>
      <c r="AD328" s="92">
        <v>537.6</v>
      </c>
      <c r="AE328" s="92">
        <v>1320</v>
      </c>
      <c r="AF328" s="92">
        <v>1087.5999999999999</v>
      </c>
      <c r="AG328" s="92"/>
      <c r="AH328" s="92"/>
      <c r="AI328" s="93">
        <f t="shared" si="173"/>
        <v>0</v>
      </c>
      <c r="AJ328" s="95">
        <f t="shared" si="174"/>
        <v>1868.9568161749032</v>
      </c>
      <c r="AK328" s="96">
        <f t="shared" si="175"/>
        <v>3482.98</v>
      </c>
      <c r="AL328" s="97">
        <f t="shared" si="176"/>
        <v>1.8635957609381442</v>
      </c>
      <c r="AN328" s="89"/>
      <c r="AO328" s="181"/>
      <c r="AP328" s="182"/>
      <c r="AQ328" s="92"/>
      <c r="AR328" s="92"/>
      <c r="AS328" s="92"/>
      <c r="AT328" s="92"/>
      <c r="AU328" s="92"/>
      <c r="AV328" s="92"/>
      <c r="AW328" s="93"/>
      <c r="AX328" s="183"/>
      <c r="AY328" s="184"/>
      <c r="AZ328" s="92"/>
      <c r="BA328" s="92"/>
      <c r="BB328" s="92"/>
      <c r="BC328" s="92"/>
      <c r="BD328" s="92"/>
      <c r="BE328" s="92"/>
      <c r="BF328" s="93"/>
      <c r="BG328" s="181"/>
      <c r="BH328" s="182"/>
      <c r="BI328" s="92"/>
      <c r="BJ328" s="92"/>
      <c r="BK328" s="92"/>
      <c r="BL328" s="92"/>
      <c r="BM328" s="92"/>
      <c r="BN328" s="92"/>
      <c r="BO328" s="93"/>
      <c r="BP328" s="95"/>
      <c r="BQ328" s="96"/>
      <c r="BR328" s="97"/>
      <c r="BT328" s="82"/>
      <c r="BU328" s="181"/>
      <c r="BV328" s="182"/>
      <c r="BW328" s="92"/>
      <c r="BX328" s="92"/>
      <c r="BY328" s="92"/>
      <c r="BZ328" s="92"/>
      <c r="CA328" s="92"/>
      <c r="CB328" s="92"/>
      <c r="CC328" s="93"/>
      <c r="CD328" s="181"/>
      <c r="CE328" s="182"/>
      <c r="CF328" s="92"/>
      <c r="CG328" s="92"/>
      <c r="CH328" s="92"/>
      <c r="CI328" s="92"/>
      <c r="CJ328" s="92"/>
      <c r="CK328" s="92"/>
      <c r="CL328" s="93"/>
      <c r="CM328" s="181"/>
      <c r="CN328" s="182"/>
      <c r="CO328" s="92"/>
      <c r="CP328" s="92"/>
      <c r="CQ328" s="92"/>
      <c r="CR328" s="92"/>
      <c r="CS328" s="92"/>
      <c r="CT328" s="92"/>
      <c r="CU328" s="93"/>
      <c r="CV328" s="95"/>
      <c r="CW328" s="96"/>
      <c r="CX328" s="97"/>
      <c r="CZ328" s="82"/>
      <c r="DA328" s="136"/>
      <c r="DB328" s="137"/>
      <c r="DC328" s="92"/>
      <c r="DD328" s="92"/>
      <c r="DE328" s="92"/>
      <c r="DF328" s="92"/>
      <c r="DG328" s="92"/>
      <c r="DH328" s="92"/>
      <c r="DI328" s="93"/>
      <c r="DJ328" s="183"/>
      <c r="DK328" s="184"/>
      <c r="DL328" s="92"/>
      <c r="DM328" s="92"/>
      <c r="DN328" s="92"/>
      <c r="DO328" s="92"/>
      <c r="DP328" s="92"/>
      <c r="DQ328" s="92"/>
      <c r="DR328" s="93"/>
      <c r="DS328" s="183"/>
      <c r="DT328" s="184"/>
      <c r="DU328" s="92"/>
      <c r="DV328" s="92"/>
      <c r="DW328" s="92"/>
      <c r="DX328" s="92"/>
      <c r="DY328" s="92"/>
      <c r="DZ328" s="92"/>
      <c r="EA328" s="93"/>
      <c r="EB328" s="95"/>
      <c r="EC328" s="96"/>
      <c r="ED328" s="97"/>
    </row>
    <row r="329" spans="1:134" s="6" customFormat="1" ht="21.95" customHeight="1" x14ac:dyDescent="0.5">
      <c r="A329" s="83">
        <v>133</v>
      </c>
      <c r="B329" s="103" t="s">
        <v>666</v>
      </c>
      <c r="C329" s="103" t="s">
        <v>667</v>
      </c>
      <c r="D329" s="103" t="s">
        <v>664</v>
      </c>
      <c r="E329" s="148" t="s">
        <v>665</v>
      </c>
      <c r="F329" s="179" t="s">
        <v>642</v>
      </c>
      <c r="G329" s="138"/>
      <c r="H329" s="180">
        <v>2.6450676491783644E-3</v>
      </c>
      <c r="I329" s="181">
        <f t="shared" si="177"/>
        <v>260.38940936551211</v>
      </c>
      <c r="J329" s="182">
        <f t="shared" si="170"/>
        <v>196.5972980928311</v>
      </c>
      <c r="K329" s="92">
        <v>160</v>
      </c>
      <c r="L329" s="92">
        <v>134</v>
      </c>
      <c r="M329" s="92">
        <v>300</v>
      </c>
      <c r="N329" s="92">
        <v>222</v>
      </c>
      <c r="O329" s="92">
        <v>420</v>
      </c>
      <c r="P329" s="92">
        <v>342</v>
      </c>
      <c r="Q329" s="93">
        <f t="shared" si="171"/>
        <v>1.7395966440927959</v>
      </c>
      <c r="R329" s="94">
        <v>260.38940936551234</v>
      </c>
      <c r="S329" s="91">
        <v>196.5972980928311</v>
      </c>
      <c r="T329" s="92">
        <v>180</v>
      </c>
      <c r="U329" s="92">
        <v>180</v>
      </c>
      <c r="V329" s="92">
        <v>440</v>
      </c>
      <c r="W329" s="92">
        <v>388</v>
      </c>
      <c r="X329" s="92">
        <v>560</v>
      </c>
      <c r="Y329" s="92">
        <v>508</v>
      </c>
      <c r="Z329" s="93">
        <f t="shared" si="172"/>
        <v>2.5839622666641531</v>
      </c>
      <c r="AA329" s="94">
        <v>260.38940936551234</v>
      </c>
      <c r="AB329" s="91">
        <v>196.5972980928311</v>
      </c>
      <c r="AC329" s="92">
        <v>540</v>
      </c>
      <c r="AD329" s="92">
        <v>462</v>
      </c>
      <c r="AE329" s="92">
        <v>720</v>
      </c>
      <c r="AF329" s="92">
        <v>642</v>
      </c>
      <c r="AG329" s="92"/>
      <c r="AH329" s="92"/>
      <c r="AI329" s="93">
        <f t="shared" si="173"/>
        <v>0</v>
      </c>
      <c r="AJ329" s="95">
        <f t="shared" si="174"/>
        <v>589.79189427849326</v>
      </c>
      <c r="AK329" s="96">
        <f t="shared" si="175"/>
        <v>850</v>
      </c>
      <c r="AL329" s="97">
        <f t="shared" si="176"/>
        <v>1.4411863035856498</v>
      </c>
      <c r="AN329" s="89"/>
      <c r="AO329" s="181"/>
      <c r="AP329" s="182"/>
      <c r="AQ329" s="92"/>
      <c r="AR329" s="92"/>
      <c r="AS329" s="92"/>
      <c r="AT329" s="92"/>
      <c r="AU329" s="92"/>
      <c r="AV329" s="92"/>
      <c r="AW329" s="93"/>
      <c r="AX329" s="183"/>
      <c r="AY329" s="184"/>
      <c r="AZ329" s="92"/>
      <c r="BA329" s="92"/>
      <c r="BB329" s="92"/>
      <c r="BC329" s="92"/>
      <c r="BD329" s="92"/>
      <c r="BE329" s="92"/>
      <c r="BF329" s="93"/>
      <c r="BG329" s="181"/>
      <c r="BH329" s="182"/>
      <c r="BI329" s="92"/>
      <c r="BJ329" s="92"/>
      <c r="BK329" s="92"/>
      <c r="BL329" s="92"/>
      <c r="BM329" s="92"/>
      <c r="BN329" s="92"/>
      <c r="BO329" s="93"/>
      <c r="BP329" s="95"/>
      <c r="BQ329" s="96"/>
      <c r="BR329" s="97"/>
      <c r="BT329" s="82"/>
      <c r="BU329" s="181"/>
      <c r="BV329" s="182"/>
      <c r="BW329" s="92"/>
      <c r="BX329" s="92"/>
      <c r="BY329" s="92"/>
      <c r="BZ329" s="92"/>
      <c r="CA329" s="92"/>
      <c r="CB329" s="92"/>
      <c r="CC329" s="93"/>
      <c r="CD329" s="181"/>
      <c r="CE329" s="182"/>
      <c r="CF329" s="92"/>
      <c r="CG329" s="92"/>
      <c r="CH329" s="92"/>
      <c r="CI329" s="92"/>
      <c r="CJ329" s="92"/>
      <c r="CK329" s="92"/>
      <c r="CL329" s="93"/>
      <c r="CM329" s="181"/>
      <c r="CN329" s="182"/>
      <c r="CO329" s="92"/>
      <c r="CP329" s="92"/>
      <c r="CQ329" s="92"/>
      <c r="CR329" s="92"/>
      <c r="CS329" s="92"/>
      <c r="CT329" s="92"/>
      <c r="CU329" s="93"/>
      <c r="CV329" s="95"/>
      <c r="CW329" s="96"/>
      <c r="CX329" s="97"/>
      <c r="CZ329" s="82"/>
      <c r="DA329" s="136"/>
      <c r="DB329" s="137"/>
      <c r="DC329" s="92"/>
      <c r="DD329" s="92"/>
      <c r="DE329" s="92"/>
      <c r="DF329" s="92"/>
      <c r="DG329" s="92"/>
      <c r="DH329" s="92"/>
      <c r="DI329" s="93"/>
      <c r="DJ329" s="183"/>
      <c r="DK329" s="184"/>
      <c r="DL329" s="92"/>
      <c r="DM329" s="92"/>
      <c r="DN329" s="92"/>
      <c r="DO329" s="92"/>
      <c r="DP329" s="92"/>
      <c r="DQ329" s="92"/>
      <c r="DR329" s="93"/>
      <c r="DS329" s="183"/>
      <c r="DT329" s="184"/>
      <c r="DU329" s="92"/>
      <c r="DV329" s="92"/>
      <c r="DW329" s="92"/>
      <c r="DX329" s="92"/>
      <c r="DY329" s="92"/>
      <c r="DZ329" s="92"/>
      <c r="EA329" s="93"/>
      <c r="EB329" s="95"/>
      <c r="EC329" s="96"/>
      <c r="ED329" s="97"/>
    </row>
    <row r="330" spans="1:134" s="6" customFormat="1" ht="21.95" customHeight="1" x14ac:dyDescent="0.5">
      <c r="A330" s="83">
        <v>134</v>
      </c>
      <c r="B330" s="103" t="s">
        <v>668</v>
      </c>
      <c r="C330" s="103" t="s">
        <v>669</v>
      </c>
      <c r="D330" s="103" t="s">
        <v>664</v>
      </c>
      <c r="E330" s="148" t="s">
        <v>665</v>
      </c>
      <c r="F330" s="179" t="s">
        <v>642</v>
      </c>
      <c r="G330" s="138"/>
      <c r="H330" s="180">
        <v>1.7867909016168814E-2</v>
      </c>
      <c r="I330" s="181">
        <f t="shared" si="177"/>
        <v>1758.9774222833751</v>
      </c>
      <c r="J330" s="182">
        <f t="shared" si="170"/>
        <v>1328.0502055357633</v>
      </c>
      <c r="K330" s="92">
        <v>216</v>
      </c>
      <c r="L330" s="92">
        <v>216</v>
      </c>
      <c r="M330" s="92">
        <v>376</v>
      </c>
      <c r="N330" s="92">
        <v>350</v>
      </c>
      <c r="O330" s="92">
        <v>436</v>
      </c>
      <c r="P330" s="92">
        <v>410</v>
      </c>
      <c r="Q330" s="93">
        <f t="shared" si="171"/>
        <v>0.30872326836062453</v>
      </c>
      <c r="R330" s="94">
        <v>1758.9774222833769</v>
      </c>
      <c r="S330" s="91">
        <v>1328.0502055357633</v>
      </c>
      <c r="T330" s="92">
        <v>1120</v>
      </c>
      <c r="U330" s="92">
        <v>790</v>
      </c>
      <c r="V330" s="92">
        <v>2000</v>
      </c>
      <c r="W330" s="92">
        <v>1418</v>
      </c>
      <c r="X330" s="92">
        <v>2192</v>
      </c>
      <c r="Y330" s="92">
        <v>1610</v>
      </c>
      <c r="Z330" s="93">
        <f t="shared" si="172"/>
        <v>1.2123035660014767</v>
      </c>
      <c r="AA330" s="94">
        <v>1758.9774222833769</v>
      </c>
      <c r="AB330" s="91">
        <v>1328.0502055357633</v>
      </c>
      <c r="AC330" s="92">
        <v>392</v>
      </c>
      <c r="AD330" s="92">
        <v>340</v>
      </c>
      <c r="AE330" s="92">
        <v>732</v>
      </c>
      <c r="AF330" s="92">
        <v>579.20000000000005</v>
      </c>
      <c r="AG330" s="92"/>
      <c r="AH330" s="92"/>
      <c r="AI330" s="93">
        <f t="shared" si="173"/>
        <v>0</v>
      </c>
      <c r="AJ330" s="95">
        <f t="shared" si="174"/>
        <v>3984.15061660729</v>
      </c>
      <c r="AK330" s="96">
        <f t="shared" si="175"/>
        <v>2020</v>
      </c>
      <c r="AL330" s="97">
        <f t="shared" si="176"/>
        <v>0.50700894478736713</v>
      </c>
      <c r="AN330" s="89"/>
      <c r="AO330" s="181"/>
      <c r="AP330" s="182"/>
      <c r="AQ330" s="92"/>
      <c r="AR330" s="92"/>
      <c r="AS330" s="92"/>
      <c r="AT330" s="92"/>
      <c r="AU330" s="92"/>
      <c r="AV330" s="92"/>
      <c r="AW330" s="93"/>
      <c r="AX330" s="183"/>
      <c r="AY330" s="184"/>
      <c r="AZ330" s="92"/>
      <c r="BA330" s="92"/>
      <c r="BB330" s="92"/>
      <c r="BC330" s="92"/>
      <c r="BD330" s="92"/>
      <c r="BE330" s="92"/>
      <c r="BF330" s="93"/>
      <c r="BG330" s="181"/>
      <c r="BH330" s="182"/>
      <c r="BI330" s="92"/>
      <c r="BJ330" s="92"/>
      <c r="BK330" s="92"/>
      <c r="BL330" s="92"/>
      <c r="BM330" s="92"/>
      <c r="BN330" s="92"/>
      <c r="BO330" s="93"/>
      <c r="BP330" s="95"/>
      <c r="BQ330" s="96"/>
      <c r="BR330" s="97"/>
      <c r="BT330" s="82"/>
      <c r="BU330" s="181"/>
      <c r="BV330" s="182"/>
      <c r="BW330" s="92"/>
      <c r="BX330" s="92"/>
      <c r="BY330" s="92"/>
      <c r="BZ330" s="92"/>
      <c r="CA330" s="92"/>
      <c r="CB330" s="92"/>
      <c r="CC330" s="93"/>
      <c r="CD330" s="181"/>
      <c r="CE330" s="182"/>
      <c r="CF330" s="92"/>
      <c r="CG330" s="92"/>
      <c r="CH330" s="92"/>
      <c r="CI330" s="92"/>
      <c r="CJ330" s="92"/>
      <c r="CK330" s="92"/>
      <c r="CL330" s="93"/>
      <c r="CM330" s="181"/>
      <c r="CN330" s="182"/>
      <c r="CO330" s="92"/>
      <c r="CP330" s="92"/>
      <c r="CQ330" s="92"/>
      <c r="CR330" s="92"/>
      <c r="CS330" s="92"/>
      <c r="CT330" s="92"/>
      <c r="CU330" s="93"/>
      <c r="CV330" s="95"/>
      <c r="CW330" s="96"/>
      <c r="CX330" s="97"/>
      <c r="CZ330" s="82"/>
      <c r="DA330" s="136"/>
      <c r="DB330" s="137"/>
      <c r="DC330" s="92"/>
      <c r="DD330" s="92"/>
      <c r="DE330" s="92"/>
      <c r="DF330" s="92"/>
      <c r="DG330" s="92"/>
      <c r="DH330" s="92"/>
      <c r="DI330" s="93"/>
      <c r="DJ330" s="183"/>
      <c r="DK330" s="184"/>
      <c r="DL330" s="92"/>
      <c r="DM330" s="92"/>
      <c r="DN330" s="92"/>
      <c r="DO330" s="92"/>
      <c r="DP330" s="92"/>
      <c r="DQ330" s="92"/>
      <c r="DR330" s="93"/>
      <c r="DS330" s="183"/>
      <c r="DT330" s="184"/>
      <c r="DU330" s="92"/>
      <c r="DV330" s="92"/>
      <c r="DW330" s="92"/>
      <c r="DX330" s="92"/>
      <c r="DY330" s="92"/>
      <c r="DZ330" s="92"/>
      <c r="EA330" s="93"/>
      <c r="EB330" s="95"/>
      <c r="EC330" s="96"/>
      <c r="ED330" s="97"/>
    </row>
    <row r="331" spans="1:134" s="6" customFormat="1" ht="21.95" customHeight="1" x14ac:dyDescent="0.5">
      <c r="A331" s="83">
        <v>135</v>
      </c>
      <c r="B331" s="103" t="s">
        <v>670</v>
      </c>
      <c r="C331" s="103" t="s">
        <v>671</v>
      </c>
      <c r="D331" s="103" t="s">
        <v>664</v>
      </c>
      <c r="E331" s="148" t="s">
        <v>665</v>
      </c>
      <c r="F331" s="179" t="s">
        <v>642</v>
      </c>
      <c r="G331" s="138"/>
      <c r="H331" s="180">
        <v>2.0705825035778448E-4</v>
      </c>
      <c r="I331" s="181">
        <f t="shared" si="177"/>
        <v>20.383514777653289</v>
      </c>
      <c r="J331" s="182">
        <f t="shared" si="170"/>
        <v>15.389811516092688</v>
      </c>
      <c r="K331" s="92">
        <v>62</v>
      </c>
      <c r="L331" s="92">
        <v>61.4</v>
      </c>
      <c r="M331" s="92">
        <v>382</v>
      </c>
      <c r="N331" s="92">
        <v>254.6</v>
      </c>
      <c r="O331" s="92">
        <v>1042</v>
      </c>
      <c r="P331" s="92">
        <v>763.4</v>
      </c>
      <c r="Q331" s="93">
        <f t="shared" si="171"/>
        <v>49.604246237956474</v>
      </c>
      <c r="R331" s="94">
        <v>20.383514777653311</v>
      </c>
      <c r="S331" s="91">
        <v>15.389811516092688</v>
      </c>
      <c r="T331" s="92">
        <v>344</v>
      </c>
      <c r="U331" s="92">
        <v>215.6</v>
      </c>
      <c r="V331" s="92">
        <v>604</v>
      </c>
      <c r="W331" s="92">
        <v>425.2</v>
      </c>
      <c r="X331" s="92">
        <v>724</v>
      </c>
      <c r="Y331" s="92">
        <v>545.20000000000005</v>
      </c>
      <c r="Z331" s="93">
        <f t="shared" si="172"/>
        <v>35.426034908218327</v>
      </c>
      <c r="AA331" s="94">
        <v>20.383514777653311</v>
      </c>
      <c r="AB331" s="91">
        <v>15.389811516092688</v>
      </c>
      <c r="AC331" s="92">
        <v>1350</v>
      </c>
      <c r="AD331" s="92">
        <v>970.4</v>
      </c>
      <c r="AE331" s="92">
        <v>1630</v>
      </c>
      <c r="AF331" s="92">
        <v>1149.5999999999999</v>
      </c>
      <c r="AG331" s="92"/>
      <c r="AH331" s="92"/>
      <c r="AI331" s="93">
        <f t="shared" si="173"/>
        <v>0</v>
      </c>
      <c r="AJ331" s="95">
        <f t="shared" si="174"/>
        <v>46.169434548278062</v>
      </c>
      <c r="AK331" s="96">
        <f t="shared" si="175"/>
        <v>1308.5999999999999</v>
      </c>
      <c r="AL331" s="97">
        <f t="shared" si="176"/>
        <v>28.343427048724934</v>
      </c>
      <c r="AN331" s="89"/>
      <c r="AO331" s="181"/>
      <c r="AP331" s="182"/>
      <c r="AQ331" s="92"/>
      <c r="AR331" s="92"/>
      <c r="AS331" s="92"/>
      <c r="AT331" s="92"/>
      <c r="AU331" s="92"/>
      <c r="AV331" s="92"/>
      <c r="AW331" s="93"/>
      <c r="AX331" s="183"/>
      <c r="AY331" s="184"/>
      <c r="AZ331" s="92"/>
      <c r="BA331" s="92"/>
      <c r="BB331" s="92"/>
      <c r="BC331" s="92"/>
      <c r="BD331" s="92"/>
      <c r="BE331" s="92"/>
      <c r="BF331" s="93"/>
      <c r="BG331" s="181"/>
      <c r="BH331" s="182"/>
      <c r="BI331" s="92"/>
      <c r="BJ331" s="92"/>
      <c r="BK331" s="92"/>
      <c r="BL331" s="92"/>
      <c r="BM331" s="92"/>
      <c r="BN331" s="92"/>
      <c r="BO331" s="93"/>
      <c r="BP331" s="95"/>
      <c r="BQ331" s="96"/>
      <c r="BR331" s="97"/>
      <c r="BT331" s="82"/>
      <c r="BU331" s="181"/>
      <c r="BV331" s="182"/>
      <c r="BW331" s="92"/>
      <c r="BX331" s="92"/>
      <c r="BY331" s="92"/>
      <c r="BZ331" s="92"/>
      <c r="CA331" s="92"/>
      <c r="CB331" s="92"/>
      <c r="CC331" s="93"/>
      <c r="CD331" s="181"/>
      <c r="CE331" s="182"/>
      <c r="CF331" s="92"/>
      <c r="CG331" s="92"/>
      <c r="CH331" s="92"/>
      <c r="CI331" s="92"/>
      <c r="CJ331" s="92"/>
      <c r="CK331" s="92"/>
      <c r="CL331" s="93"/>
      <c r="CM331" s="181"/>
      <c r="CN331" s="182"/>
      <c r="CO331" s="92"/>
      <c r="CP331" s="92"/>
      <c r="CQ331" s="92"/>
      <c r="CR331" s="92"/>
      <c r="CS331" s="92"/>
      <c r="CT331" s="92"/>
      <c r="CU331" s="93"/>
      <c r="CV331" s="95"/>
      <c r="CW331" s="96"/>
      <c r="CX331" s="97"/>
      <c r="CZ331" s="82"/>
      <c r="DA331" s="136"/>
      <c r="DB331" s="137"/>
      <c r="DC331" s="92"/>
      <c r="DD331" s="92"/>
      <c r="DE331" s="92"/>
      <c r="DF331" s="92"/>
      <c r="DG331" s="92"/>
      <c r="DH331" s="92"/>
      <c r="DI331" s="93"/>
      <c r="DJ331" s="183"/>
      <c r="DK331" s="184"/>
      <c r="DL331" s="92"/>
      <c r="DM331" s="92"/>
      <c r="DN331" s="92"/>
      <c r="DO331" s="92"/>
      <c r="DP331" s="92"/>
      <c r="DQ331" s="92"/>
      <c r="DR331" s="93"/>
      <c r="DS331" s="183"/>
      <c r="DT331" s="184"/>
      <c r="DU331" s="92"/>
      <c r="DV331" s="92"/>
      <c r="DW331" s="92"/>
      <c r="DX331" s="92"/>
      <c r="DY331" s="92"/>
      <c r="DZ331" s="92"/>
      <c r="EA331" s="93"/>
      <c r="EB331" s="95"/>
      <c r="EC331" s="96"/>
      <c r="ED331" s="97"/>
    </row>
    <row r="332" spans="1:134" s="6" customFormat="1" ht="21.95" customHeight="1" x14ac:dyDescent="0.5">
      <c r="A332" s="83">
        <v>136</v>
      </c>
      <c r="B332" s="103" t="s">
        <v>672</v>
      </c>
      <c r="C332" s="103" t="s">
        <v>673</v>
      </c>
      <c r="D332" s="103" t="s">
        <v>330</v>
      </c>
      <c r="E332" s="148" t="s">
        <v>331</v>
      </c>
      <c r="F332" s="179" t="s">
        <v>642</v>
      </c>
      <c r="G332" s="138"/>
      <c r="H332" s="180">
        <v>1.3522730732925307E-2</v>
      </c>
      <c r="I332" s="181">
        <f t="shared" si="177"/>
        <v>1331.2233695229156</v>
      </c>
      <c r="J332" s="182">
        <f t="shared" si="170"/>
        <v>1005.0904844554065</v>
      </c>
      <c r="K332" s="92">
        <v>126</v>
      </c>
      <c r="L332" s="92">
        <v>110.88</v>
      </c>
      <c r="M332" s="92">
        <v>186</v>
      </c>
      <c r="N332" s="92">
        <v>170.88</v>
      </c>
      <c r="O332" s="92">
        <v>476</v>
      </c>
      <c r="P332" s="92">
        <v>393.76</v>
      </c>
      <c r="Q332" s="93">
        <f t="shared" si="171"/>
        <v>0.39176572267854382</v>
      </c>
      <c r="R332" s="94">
        <v>1331.223369522917</v>
      </c>
      <c r="S332" s="91">
        <v>1005.0904844554065</v>
      </c>
      <c r="T332" s="92">
        <v>166</v>
      </c>
      <c r="U332" s="92">
        <v>124.88</v>
      </c>
      <c r="V332" s="92">
        <v>470</v>
      </c>
      <c r="W332" s="92">
        <v>369.03999999999996</v>
      </c>
      <c r="X332" s="92">
        <v>636</v>
      </c>
      <c r="Y332" s="92">
        <v>493.91999999999996</v>
      </c>
      <c r="Z332" s="93">
        <f t="shared" si="172"/>
        <v>0.49141844205959551</v>
      </c>
      <c r="AA332" s="94">
        <v>1331.223369522917</v>
      </c>
      <c r="AB332" s="91">
        <v>1005.0904844554065</v>
      </c>
      <c r="AC332" s="92">
        <v>344</v>
      </c>
      <c r="AD332" s="92">
        <v>258.15999999999997</v>
      </c>
      <c r="AE332" s="92">
        <v>558</v>
      </c>
      <c r="AF332" s="92">
        <v>427.43999999999994</v>
      </c>
      <c r="AG332" s="92"/>
      <c r="AH332" s="92"/>
      <c r="AI332" s="93">
        <f t="shared" si="173"/>
        <v>0</v>
      </c>
      <c r="AJ332" s="95">
        <f t="shared" si="174"/>
        <v>3015.2714533662192</v>
      </c>
      <c r="AK332" s="96">
        <f t="shared" si="175"/>
        <v>887.68</v>
      </c>
      <c r="AL332" s="97">
        <f t="shared" si="176"/>
        <v>0.29439472157937979</v>
      </c>
      <c r="AN332" s="89"/>
      <c r="AO332" s="181"/>
      <c r="AP332" s="182"/>
      <c r="AQ332" s="92"/>
      <c r="AR332" s="92"/>
      <c r="AS332" s="92"/>
      <c r="AT332" s="92"/>
      <c r="AU332" s="92"/>
      <c r="AV332" s="92"/>
      <c r="AW332" s="93"/>
      <c r="AX332" s="183"/>
      <c r="AY332" s="184"/>
      <c r="AZ332" s="92"/>
      <c r="BA332" s="92"/>
      <c r="BB332" s="92"/>
      <c r="BC332" s="92"/>
      <c r="BD332" s="92"/>
      <c r="BE332" s="92"/>
      <c r="BF332" s="93"/>
      <c r="BG332" s="181"/>
      <c r="BH332" s="182"/>
      <c r="BI332" s="92"/>
      <c r="BJ332" s="92"/>
      <c r="BK332" s="92"/>
      <c r="BL332" s="92"/>
      <c r="BM332" s="92"/>
      <c r="BN332" s="92"/>
      <c r="BO332" s="93"/>
      <c r="BP332" s="95"/>
      <c r="BQ332" s="96"/>
      <c r="BR332" s="97"/>
      <c r="BT332" s="82"/>
      <c r="BU332" s="181"/>
      <c r="BV332" s="182"/>
      <c r="BW332" s="92"/>
      <c r="BX332" s="92"/>
      <c r="BY332" s="92"/>
      <c r="BZ332" s="92"/>
      <c r="CA332" s="92"/>
      <c r="CB332" s="92"/>
      <c r="CC332" s="93"/>
      <c r="CD332" s="181"/>
      <c r="CE332" s="182"/>
      <c r="CF332" s="92"/>
      <c r="CG332" s="92"/>
      <c r="CH332" s="92"/>
      <c r="CI332" s="92"/>
      <c r="CJ332" s="92"/>
      <c r="CK332" s="92"/>
      <c r="CL332" s="93"/>
      <c r="CM332" s="181"/>
      <c r="CN332" s="182"/>
      <c r="CO332" s="92"/>
      <c r="CP332" s="92"/>
      <c r="CQ332" s="92"/>
      <c r="CR332" s="92"/>
      <c r="CS332" s="92"/>
      <c r="CT332" s="92"/>
      <c r="CU332" s="93"/>
      <c r="CV332" s="95"/>
      <c r="CW332" s="96"/>
      <c r="CX332" s="97"/>
      <c r="CZ332" s="82"/>
      <c r="DA332" s="136"/>
      <c r="DB332" s="137"/>
      <c r="DC332" s="92"/>
      <c r="DD332" s="92"/>
      <c r="DE332" s="92"/>
      <c r="DF332" s="92"/>
      <c r="DG332" s="92"/>
      <c r="DH332" s="92"/>
      <c r="DI332" s="93"/>
      <c r="DJ332" s="183"/>
      <c r="DK332" s="184"/>
      <c r="DL332" s="92"/>
      <c r="DM332" s="92"/>
      <c r="DN332" s="92"/>
      <c r="DO332" s="92"/>
      <c r="DP332" s="92"/>
      <c r="DQ332" s="92"/>
      <c r="DR332" s="93"/>
      <c r="DS332" s="183"/>
      <c r="DT332" s="184"/>
      <c r="DU332" s="92"/>
      <c r="DV332" s="92"/>
      <c r="DW332" s="92"/>
      <c r="DX332" s="92"/>
      <c r="DY332" s="92"/>
      <c r="DZ332" s="92"/>
      <c r="EA332" s="93"/>
      <c r="EB332" s="95"/>
      <c r="EC332" s="96"/>
      <c r="ED332" s="97"/>
    </row>
    <row r="333" spans="1:134" s="6" customFormat="1" ht="21.95" customHeight="1" x14ac:dyDescent="0.5">
      <c r="A333" s="83">
        <v>137</v>
      </c>
      <c r="B333" s="103" t="s">
        <v>674</v>
      </c>
      <c r="C333" s="103" t="s">
        <v>675</v>
      </c>
      <c r="D333" s="103" t="s">
        <v>330</v>
      </c>
      <c r="E333" s="148" t="s">
        <v>331</v>
      </c>
      <c r="F333" s="179" t="s">
        <v>642</v>
      </c>
      <c r="G333" s="138"/>
      <c r="H333" s="180">
        <v>2.8105112511799275E-3</v>
      </c>
      <c r="I333" s="181">
        <f t="shared" si="177"/>
        <v>276.6762373496174</v>
      </c>
      <c r="J333" s="182">
        <f t="shared" si="170"/>
        <v>208.89405925519929</v>
      </c>
      <c r="K333" s="92">
        <v>172</v>
      </c>
      <c r="L333" s="92">
        <v>142.4</v>
      </c>
      <c r="M333" s="92">
        <v>372</v>
      </c>
      <c r="N333" s="92">
        <v>290.39999999999998</v>
      </c>
      <c r="O333" s="92">
        <v>980</v>
      </c>
      <c r="P333" s="92">
        <v>749.19999999999993</v>
      </c>
      <c r="Q333" s="93">
        <f t="shared" si="171"/>
        <v>3.5865069723439378</v>
      </c>
      <c r="R333" s="94">
        <v>276.67623734961768</v>
      </c>
      <c r="S333" s="91">
        <v>208.89405925519929</v>
      </c>
      <c r="T333" s="92">
        <v>248</v>
      </c>
      <c r="U333" s="92">
        <v>196</v>
      </c>
      <c r="V333" s="92">
        <v>736</v>
      </c>
      <c r="W333" s="92">
        <v>554</v>
      </c>
      <c r="X333" s="92">
        <v>976</v>
      </c>
      <c r="Y333" s="92">
        <v>716</v>
      </c>
      <c r="Z333" s="93">
        <f t="shared" si="172"/>
        <v>3.4275747359827275</v>
      </c>
      <c r="AA333" s="94">
        <v>276.67623734961768</v>
      </c>
      <c r="AB333" s="91">
        <v>208.89405925519929</v>
      </c>
      <c r="AC333" s="92">
        <v>464</v>
      </c>
      <c r="AD333" s="92">
        <v>333.12</v>
      </c>
      <c r="AE333" s="92">
        <v>844</v>
      </c>
      <c r="AF333" s="92">
        <v>661.12</v>
      </c>
      <c r="AG333" s="92"/>
      <c r="AH333" s="92"/>
      <c r="AI333" s="93">
        <f t="shared" si="173"/>
        <v>0</v>
      </c>
      <c r="AJ333" s="95">
        <f t="shared" si="174"/>
        <v>626.68217776559788</v>
      </c>
      <c r="AK333" s="96">
        <f t="shared" si="175"/>
        <v>1465.1999999999998</v>
      </c>
      <c r="AL333" s="97">
        <f t="shared" si="176"/>
        <v>2.3380272361088883</v>
      </c>
      <c r="AN333" s="89"/>
      <c r="AO333" s="181"/>
      <c r="AP333" s="182"/>
      <c r="AQ333" s="92"/>
      <c r="AR333" s="92"/>
      <c r="AS333" s="92"/>
      <c r="AT333" s="92"/>
      <c r="AU333" s="92"/>
      <c r="AV333" s="92"/>
      <c r="AW333" s="93"/>
      <c r="AX333" s="183"/>
      <c r="AY333" s="184"/>
      <c r="AZ333" s="92"/>
      <c r="BA333" s="92"/>
      <c r="BB333" s="92"/>
      <c r="BC333" s="92"/>
      <c r="BD333" s="92"/>
      <c r="BE333" s="92"/>
      <c r="BF333" s="93"/>
      <c r="BG333" s="181"/>
      <c r="BH333" s="182"/>
      <c r="BI333" s="92"/>
      <c r="BJ333" s="92"/>
      <c r="BK333" s="92"/>
      <c r="BL333" s="92"/>
      <c r="BM333" s="92"/>
      <c r="BN333" s="92"/>
      <c r="BO333" s="93"/>
      <c r="BP333" s="95"/>
      <c r="BQ333" s="96"/>
      <c r="BR333" s="97"/>
      <c r="BT333" s="82"/>
      <c r="BU333" s="181"/>
      <c r="BV333" s="182"/>
      <c r="BW333" s="92"/>
      <c r="BX333" s="92"/>
      <c r="BY333" s="92"/>
      <c r="BZ333" s="92"/>
      <c r="CA333" s="92"/>
      <c r="CB333" s="92"/>
      <c r="CC333" s="93"/>
      <c r="CD333" s="181"/>
      <c r="CE333" s="182"/>
      <c r="CF333" s="92"/>
      <c r="CG333" s="92"/>
      <c r="CH333" s="92"/>
      <c r="CI333" s="92"/>
      <c r="CJ333" s="92"/>
      <c r="CK333" s="92"/>
      <c r="CL333" s="93"/>
      <c r="CM333" s="181"/>
      <c r="CN333" s="182"/>
      <c r="CO333" s="92"/>
      <c r="CP333" s="92"/>
      <c r="CQ333" s="92"/>
      <c r="CR333" s="92"/>
      <c r="CS333" s="92"/>
      <c r="CT333" s="92"/>
      <c r="CU333" s="93"/>
      <c r="CV333" s="95"/>
      <c r="CW333" s="96"/>
      <c r="CX333" s="97"/>
      <c r="CZ333" s="82"/>
      <c r="DA333" s="136"/>
      <c r="DB333" s="137"/>
      <c r="DC333" s="92"/>
      <c r="DD333" s="92"/>
      <c r="DE333" s="92"/>
      <c r="DF333" s="92"/>
      <c r="DG333" s="92"/>
      <c r="DH333" s="92"/>
      <c r="DI333" s="93"/>
      <c r="DJ333" s="183"/>
      <c r="DK333" s="184"/>
      <c r="DL333" s="92"/>
      <c r="DM333" s="92"/>
      <c r="DN333" s="92"/>
      <c r="DO333" s="92"/>
      <c r="DP333" s="92"/>
      <c r="DQ333" s="92"/>
      <c r="DR333" s="93"/>
      <c r="DS333" s="183"/>
      <c r="DT333" s="184"/>
      <c r="DU333" s="92"/>
      <c r="DV333" s="92"/>
      <c r="DW333" s="92"/>
      <c r="DX333" s="92"/>
      <c r="DY333" s="92"/>
      <c r="DZ333" s="92"/>
      <c r="EA333" s="93"/>
      <c r="EB333" s="95"/>
      <c r="EC333" s="96"/>
      <c r="ED333" s="97"/>
    </row>
    <row r="334" spans="1:134" s="6" customFormat="1" ht="21.95" customHeight="1" x14ac:dyDescent="0.5">
      <c r="A334" s="83">
        <v>138</v>
      </c>
      <c r="B334" s="103" t="s">
        <v>676</v>
      </c>
      <c r="C334" s="103" t="s">
        <v>677</v>
      </c>
      <c r="D334" s="103" t="s">
        <v>664</v>
      </c>
      <c r="E334" s="148" t="s">
        <v>665</v>
      </c>
      <c r="F334" s="179" t="s">
        <v>642</v>
      </c>
      <c r="G334" s="138"/>
      <c r="H334" s="180">
        <v>6.1254732397511245E-3</v>
      </c>
      <c r="I334" s="181">
        <f t="shared" si="177"/>
        <v>603.01231217224313</v>
      </c>
      <c r="J334" s="182">
        <f t="shared" si="170"/>
        <v>455.28192401774209</v>
      </c>
      <c r="K334" s="92">
        <v>474</v>
      </c>
      <c r="L334" s="92">
        <v>307.15999999999997</v>
      </c>
      <c r="M334" s="92">
        <v>534</v>
      </c>
      <c r="N334" s="92">
        <v>367.15999999999997</v>
      </c>
      <c r="O334" s="92">
        <v>2054</v>
      </c>
      <c r="P334" s="92">
        <v>1446.76</v>
      </c>
      <c r="Q334" s="93">
        <f t="shared" si="171"/>
        <v>3.1777233482777598</v>
      </c>
      <c r="R334" s="94">
        <v>603.01231217224381</v>
      </c>
      <c r="S334" s="91">
        <v>455.28192401774209</v>
      </c>
      <c r="T334" s="92">
        <v>250</v>
      </c>
      <c r="U334" s="92">
        <v>224.8</v>
      </c>
      <c r="V334" s="92">
        <v>1412</v>
      </c>
      <c r="W334" s="92">
        <v>1253.3599999999999</v>
      </c>
      <c r="X334" s="92">
        <v>1642</v>
      </c>
      <c r="Y334" s="92">
        <v>1432.1599999999999</v>
      </c>
      <c r="Z334" s="93">
        <f t="shared" si="172"/>
        <v>3.1456553059729853</v>
      </c>
      <c r="AA334" s="94">
        <v>603.01231217224381</v>
      </c>
      <c r="AB334" s="91">
        <v>455.28192401774209</v>
      </c>
      <c r="AC334" s="92">
        <v>320</v>
      </c>
      <c r="AD334" s="92">
        <v>268</v>
      </c>
      <c r="AE334" s="92">
        <v>880</v>
      </c>
      <c r="AF334" s="92">
        <v>699.6</v>
      </c>
      <c r="AG334" s="92"/>
      <c r="AH334" s="92"/>
      <c r="AI334" s="93">
        <f t="shared" si="173"/>
        <v>0</v>
      </c>
      <c r="AJ334" s="95">
        <f t="shared" si="174"/>
        <v>1365.8457720532263</v>
      </c>
      <c r="AK334" s="96">
        <f t="shared" si="175"/>
        <v>2878.92</v>
      </c>
      <c r="AL334" s="97">
        <f t="shared" si="176"/>
        <v>2.1077928847502485</v>
      </c>
      <c r="AN334" s="89">
        <v>1.422116335587101E-2</v>
      </c>
      <c r="AO334" s="181"/>
      <c r="AP334" s="182"/>
      <c r="AQ334" s="92"/>
      <c r="AR334" s="92"/>
      <c r="AS334" s="92"/>
      <c r="AT334" s="92"/>
      <c r="AU334" s="92"/>
      <c r="AV334" s="92"/>
      <c r="AW334" s="93">
        <f t="shared" si="150"/>
        <v>0</v>
      </c>
      <c r="AX334" s="183"/>
      <c r="AY334" s="184"/>
      <c r="AZ334" s="92"/>
      <c r="BA334" s="92"/>
      <c r="BB334" s="92"/>
      <c r="BC334" s="92"/>
      <c r="BD334" s="92"/>
      <c r="BE334" s="92"/>
      <c r="BF334" s="93">
        <f t="shared" si="151"/>
        <v>0</v>
      </c>
      <c r="BG334" s="181"/>
      <c r="BH334" s="182"/>
      <c r="BI334" s="92"/>
      <c r="BJ334" s="92"/>
      <c r="BK334" s="92"/>
      <c r="BL334" s="92"/>
      <c r="BM334" s="92"/>
      <c r="BN334" s="92"/>
      <c r="BO334" s="93">
        <f t="shared" si="152"/>
        <v>0</v>
      </c>
      <c r="BP334" s="95">
        <f t="shared" si="153"/>
        <v>0</v>
      </c>
      <c r="BQ334" s="96">
        <f t="shared" si="154"/>
        <v>0</v>
      </c>
      <c r="BR334" s="97">
        <f t="shared" si="155"/>
        <v>0</v>
      </c>
      <c r="BT334" s="82"/>
      <c r="BU334" s="181"/>
      <c r="BV334" s="182"/>
      <c r="BW334" s="92"/>
      <c r="BX334" s="92"/>
      <c r="BY334" s="92"/>
      <c r="BZ334" s="92"/>
      <c r="CA334" s="92"/>
      <c r="CB334" s="92"/>
      <c r="CC334" s="93">
        <f t="shared" si="156"/>
        <v>0</v>
      </c>
      <c r="CD334" s="181"/>
      <c r="CE334" s="182"/>
      <c r="CF334" s="92"/>
      <c r="CG334" s="92"/>
      <c r="CH334" s="92"/>
      <c r="CI334" s="92"/>
      <c r="CJ334" s="92"/>
      <c r="CK334" s="92"/>
      <c r="CL334" s="93">
        <f t="shared" si="157"/>
        <v>0</v>
      </c>
      <c r="CM334" s="181"/>
      <c r="CN334" s="182"/>
      <c r="CO334" s="92"/>
      <c r="CP334" s="92"/>
      <c r="CQ334" s="92"/>
      <c r="CR334" s="92"/>
      <c r="CS334" s="92"/>
      <c r="CT334" s="92"/>
      <c r="CU334" s="93">
        <f t="shared" si="158"/>
        <v>0</v>
      </c>
      <c r="CV334" s="95">
        <f t="shared" si="159"/>
        <v>0</v>
      </c>
      <c r="CW334" s="96">
        <f t="shared" si="160"/>
        <v>0</v>
      </c>
      <c r="CX334" s="97">
        <f t="shared" si="161"/>
        <v>0</v>
      </c>
      <c r="CZ334" s="82"/>
      <c r="DA334" s="136"/>
      <c r="DB334" s="137"/>
      <c r="DC334" s="92"/>
      <c r="DD334" s="92"/>
      <c r="DE334" s="92"/>
      <c r="DF334" s="92"/>
      <c r="DG334" s="92"/>
      <c r="DH334" s="92"/>
      <c r="DI334" s="93">
        <f t="shared" si="162"/>
        <v>0</v>
      </c>
      <c r="DJ334" s="183"/>
      <c r="DK334" s="184"/>
      <c r="DL334" s="92"/>
      <c r="DM334" s="92"/>
      <c r="DN334" s="92"/>
      <c r="DO334" s="92"/>
      <c r="DP334" s="92"/>
      <c r="DQ334" s="92"/>
      <c r="DR334" s="93">
        <f t="shared" si="163"/>
        <v>0</v>
      </c>
      <c r="DS334" s="183"/>
      <c r="DT334" s="184"/>
      <c r="DU334" s="92"/>
      <c r="DV334" s="92"/>
      <c r="DW334" s="92"/>
      <c r="DX334" s="92"/>
      <c r="DY334" s="92"/>
      <c r="DZ334" s="92"/>
      <c r="EA334" s="93">
        <f t="shared" si="164"/>
        <v>0</v>
      </c>
      <c r="EB334" s="95">
        <f t="shared" si="165"/>
        <v>0</v>
      </c>
      <c r="EC334" s="96">
        <f t="shared" si="166"/>
        <v>0</v>
      </c>
      <c r="ED334" s="97">
        <f t="shared" si="167"/>
        <v>0</v>
      </c>
    </row>
    <row r="335" spans="1:134" s="6" customFormat="1" ht="21.95" customHeight="1" x14ac:dyDescent="0.5">
      <c r="A335" s="83">
        <v>139</v>
      </c>
      <c r="B335" s="103" t="s">
        <v>678</v>
      </c>
      <c r="C335" s="103" t="s">
        <v>678</v>
      </c>
      <c r="D335" s="103" t="s">
        <v>664</v>
      </c>
      <c r="E335" s="148" t="s">
        <v>665</v>
      </c>
      <c r="F335" s="179" t="s">
        <v>642</v>
      </c>
      <c r="G335" s="138"/>
      <c r="H335" s="180">
        <v>6.848147133156725E-3</v>
      </c>
      <c r="I335" s="181">
        <f t="shared" si="177"/>
        <v>674.15477551385652</v>
      </c>
      <c r="J335" s="182">
        <f t="shared" si="170"/>
        <v>508.99538381900675</v>
      </c>
      <c r="K335" s="92">
        <v>506</v>
      </c>
      <c r="L335" s="92">
        <v>422.96000000000004</v>
      </c>
      <c r="M335" s="92">
        <v>757</v>
      </c>
      <c r="N335" s="92">
        <v>632.54999999999995</v>
      </c>
      <c r="O335" s="92">
        <v>2657</v>
      </c>
      <c r="P335" s="92">
        <v>1884.15</v>
      </c>
      <c r="Q335" s="93">
        <f t="shared" si="171"/>
        <v>3.7017035122463575</v>
      </c>
      <c r="R335" s="94">
        <v>674.1547755138572</v>
      </c>
      <c r="S335" s="91">
        <v>508.99538381900675</v>
      </c>
      <c r="T335" s="92">
        <v>374</v>
      </c>
      <c r="U335" s="92">
        <v>320.08000000000004</v>
      </c>
      <c r="V335" s="92">
        <v>656</v>
      </c>
      <c r="W335" s="92">
        <v>586.96</v>
      </c>
      <c r="X335" s="92">
        <v>820</v>
      </c>
      <c r="Y335" s="92">
        <v>698.96</v>
      </c>
      <c r="Z335" s="93">
        <f t="shared" si="172"/>
        <v>1.3732148114108294</v>
      </c>
      <c r="AA335" s="94">
        <v>674.1547755138572</v>
      </c>
      <c r="AB335" s="91">
        <v>508.99538381900675</v>
      </c>
      <c r="AC335" s="92">
        <v>422</v>
      </c>
      <c r="AD335" s="92">
        <v>344.8</v>
      </c>
      <c r="AE335" s="92">
        <v>1034</v>
      </c>
      <c r="AF335" s="92">
        <v>786.48</v>
      </c>
      <c r="AG335" s="92"/>
      <c r="AH335" s="92"/>
      <c r="AI335" s="93">
        <f t="shared" si="173"/>
        <v>0</v>
      </c>
      <c r="AJ335" s="95">
        <f t="shared" si="174"/>
        <v>1526.9861514570202</v>
      </c>
      <c r="AK335" s="96">
        <f t="shared" si="175"/>
        <v>2583.11</v>
      </c>
      <c r="AL335" s="97">
        <f t="shared" si="176"/>
        <v>1.6916394412190623</v>
      </c>
      <c r="AN335" s="89">
        <v>6.3679045843765729E-3</v>
      </c>
      <c r="AO335" s="181"/>
      <c r="AP335" s="182"/>
      <c r="AQ335" s="92"/>
      <c r="AR335" s="92"/>
      <c r="AS335" s="92"/>
      <c r="AT335" s="92"/>
      <c r="AU335" s="92"/>
      <c r="AV335" s="92"/>
      <c r="AW335" s="93">
        <f t="shared" si="150"/>
        <v>0</v>
      </c>
      <c r="AX335" s="183"/>
      <c r="AY335" s="184"/>
      <c r="AZ335" s="92"/>
      <c r="BA335" s="92"/>
      <c r="BB335" s="92"/>
      <c r="BC335" s="92"/>
      <c r="BD335" s="92"/>
      <c r="BE335" s="92"/>
      <c r="BF335" s="93">
        <f t="shared" si="151"/>
        <v>0</v>
      </c>
      <c r="BG335" s="181"/>
      <c r="BH335" s="182"/>
      <c r="BI335" s="92"/>
      <c r="BJ335" s="92"/>
      <c r="BK335" s="92"/>
      <c r="BL335" s="92"/>
      <c r="BM335" s="92"/>
      <c r="BN335" s="92"/>
      <c r="BO335" s="93">
        <f t="shared" si="152"/>
        <v>0</v>
      </c>
      <c r="BP335" s="95">
        <f t="shared" si="153"/>
        <v>0</v>
      </c>
      <c r="BQ335" s="96">
        <f t="shared" si="154"/>
        <v>0</v>
      </c>
      <c r="BR335" s="97">
        <f t="shared" si="155"/>
        <v>0</v>
      </c>
      <c r="BT335" s="82"/>
      <c r="BU335" s="181"/>
      <c r="BV335" s="182"/>
      <c r="BW335" s="92"/>
      <c r="BX335" s="92"/>
      <c r="BY335" s="92"/>
      <c r="BZ335" s="92"/>
      <c r="CA335" s="92"/>
      <c r="CB335" s="92"/>
      <c r="CC335" s="93">
        <f t="shared" si="156"/>
        <v>0</v>
      </c>
      <c r="CD335" s="181"/>
      <c r="CE335" s="182"/>
      <c r="CF335" s="92"/>
      <c r="CG335" s="92"/>
      <c r="CH335" s="92"/>
      <c r="CI335" s="92"/>
      <c r="CJ335" s="92"/>
      <c r="CK335" s="92"/>
      <c r="CL335" s="93">
        <f t="shared" si="157"/>
        <v>0</v>
      </c>
      <c r="CM335" s="181"/>
      <c r="CN335" s="182"/>
      <c r="CO335" s="92"/>
      <c r="CP335" s="92"/>
      <c r="CQ335" s="92"/>
      <c r="CR335" s="92"/>
      <c r="CS335" s="92"/>
      <c r="CT335" s="92"/>
      <c r="CU335" s="93">
        <f t="shared" si="158"/>
        <v>0</v>
      </c>
      <c r="CV335" s="95">
        <f t="shared" si="159"/>
        <v>0</v>
      </c>
      <c r="CW335" s="96">
        <f t="shared" si="160"/>
        <v>0</v>
      </c>
      <c r="CX335" s="97">
        <f t="shared" si="161"/>
        <v>0</v>
      </c>
      <c r="CZ335" s="82"/>
      <c r="DA335" s="136"/>
      <c r="DB335" s="137"/>
      <c r="DC335" s="92"/>
      <c r="DD335" s="92"/>
      <c r="DE335" s="92"/>
      <c r="DF335" s="92"/>
      <c r="DG335" s="92"/>
      <c r="DH335" s="92"/>
      <c r="DI335" s="93">
        <f t="shared" si="162"/>
        <v>0</v>
      </c>
      <c r="DJ335" s="183"/>
      <c r="DK335" s="184"/>
      <c r="DL335" s="92"/>
      <c r="DM335" s="92"/>
      <c r="DN335" s="92"/>
      <c r="DO335" s="92"/>
      <c r="DP335" s="92"/>
      <c r="DQ335" s="92"/>
      <c r="DR335" s="93">
        <f t="shared" si="163"/>
        <v>0</v>
      </c>
      <c r="DS335" s="183"/>
      <c r="DT335" s="184"/>
      <c r="DU335" s="92"/>
      <c r="DV335" s="92"/>
      <c r="DW335" s="92"/>
      <c r="DX335" s="92"/>
      <c r="DY335" s="92"/>
      <c r="DZ335" s="92"/>
      <c r="EA335" s="93">
        <f t="shared" si="164"/>
        <v>0</v>
      </c>
      <c r="EB335" s="95">
        <f t="shared" si="165"/>
        <v>0</v>
      </c>
      <c r="EC335" s="96">
        <f t="shared" si="166"/>
        <v>0</v>
      </c>
      <c r="ED335" s="97">
        <f t="shared" si="167"/>
        <v>0</v>
      </c>
    </row>
    <row r="336" spans="1:134" s="6" customFormat="1" ht="21.95" customHeight="1" x14ac:dyDescent="0.5">
      <c r="A336" s="83">
        <v>140</v>
      </c>
      <c r="B336" s="103" t="s">
        <v>679</v>
      </c>
      <c r="C336" s="103" t="s">
        <v>680</v>
      </c>
      <c r="D336" s="103" t="s">
        <v>301</v>
      </c>
      <c r="E336" s="148" t="s">
        <v>87</v>
      </c>
      <c r="F336" s="179" t="s">
        <v>642</v>
      </c>
      <c r="G336" s="138"/>
      <c r="H336" s="180">
        <v>4.0965053845295005E-3</v>
      </c>
      <c r="I336" s="181">
        <f t="shared" si="177"/>
        <v>403.27385118925815</v>
      </c>
      <c r="J336" s="182">
        <f t="shared" si="170"/>
        <v>304.47685921053966</v>
      </c>
      <c r="K336" s="92">
        <v>0</v>
      </c>
      <c r="L336" s="92">
        <v>0</v>
      </c>
      <c r="M336" s="92">
        <v>0</v>
      </c>
      <c r="N336" s="92">
        <v>0</v>
      </c>
      <c r="O336" s="92">
        <v>0</v>
      </c>
      <c r="P336" s="92">
        <v>0</v>
      </c>
      <c r="Q336" s="93">
        <f t="shared" si="171"/>
        <v>0</v>
      </c>
      <c r="R336" s="94">
        <v>403.27385118925861</v>
      </c>
      <c r="S336" s="91">
        <v>304.47685921053966</v>
      </c>
      <c r="T336" s="92">
        <v>0</v>
      </c>
      <c r="U336" s="92">
        <v>0</v>
      </c>
      <c r="V336" s="92"/>
      <c r="W336" s="92"/>
      <c r="X336" s="92">
        <v>0</v>
      </c>
      <c r="Y336" s="92">
        <v>0</v>
      </c>
      <c r="Z336" s="93">
        <f t="shared" si="172"/>
        <v>0</v>
      </c>
      <c r="AA336" s="94">
        <v>403.27385118925861</v>
      </c>
      <c r="AB336" s="91">
        <v>304.47685921053966</v>
      </c>
      <c r="AC336" s="92">
        <v>0</v>
      </c>
      <c r="AD336" s="92">
        <v>0</v>
      </c>
      <c r="AE336" s="92">
        <v>0</v>
      </c>
      <c r="AF336" s="92">
        <v>0</v>
      </c>
      <c r="AG336" s="92"/>
      <c r="AH336" s="92"/>
      <c r="AI336" s="93">
        <f t="shared" si="173"/>
        <v>0</v>
      </c>
      <c r="AJ336" s="95">
        <f t="shared" si="174"/>
        <v>913.43057763161892</v>
      </c>
      <c r="AK336" s="96">
        <f t="shared" si="175"/>
        <v>0</v>
      </c>
      <c r="AL336" s="97">
        <f t="shared" si="176"/>
        <v>0</v>
      </c>
      <c r="AN336" s="89">
        <v>4.4192963686031416E-3</v>
      </c>
      <c r="AO336" s="181"/>
      <c r="AP336" s="182"/>
      <c r="AQ336" s="92"/>
      <c r="AR336" s="92"/>
      <c r="AS336" s="92"/>
      <c r="AT336" s="92"/>
      <c r="AU336" s="92"/>
      <c r="AV336" s="92"/>
      <c r="AW336" s="93">
        <f t="shared" si="150"/>
        <v>0</v>
      </c>
      <c r="AX336" s="183"/>
      <c r="AY336" s="184"/>
      <c r="AZ336" s="92"/>
      <c r="BA336" s="92"/>
      <c r="BB336" s="92"/>
      <c r="BC336" s="92"/>
      <c r="BD336" s="92"/>
      <c r="BE336" s="92"/>
      <c r="BF336" s="93">
        <f t="shared" si="151"/>
        <v>0</v>
      </c>
      <c r="BG336" s="181"/>
      <c r="BH336" s="182"/>
      <c r="BI336" s="92"/>
      <c r="BJ336" s="92"/>
      <c r="BK336" s="92"/>
      <c r="BL336" s="92"/>
      <c r="BM336" s="92"/>
      <c r="BN336" s="92"/>
      <c r="BO336" s="93">
        <f t="shared" si="152"/>
        <v>0</v>
      </c>
      <c r="BP336" s="95">
        <f t="shared" si="153"/>
        <v>0</v>
      </c>
      <c r="BQ336" s="96">
        <f t="shared" si="154"/>
        <v>0</v>
      </c>
      <c r="BR336" s="97">
        <f t="shared" si="155"/>
        <v>0</v>
      </c>
      <c r="BT336" s="82"/>
      <c r="BU336" s="181"/>
      <c r="BV336" s="182"/>
      <c r="BW336" s="92"/>
      <c r="BX336" s="92"/>
      <c r="BY336" s="92"/>
      <c r="BZ336" s="92"/>
      <c r="CA336" s="92"/>
      <c r="CB336" s="92"/>
      <c r="CC336" s="93">
        <f t="shared" si="156"/>
        <v>0</v>
      </c>
      <c r="CD336" s="181"/>
      <c r="CE336" s="182"/>
      <c r="CF336" s="92"/>
      <c r="CG336" s="92"/>
      <c r="CH336" s="92"/>
      <c r="CI336" s="92"/>
      <c r="CJ336" s="92"/>
      <c r="CK336" s="92"/>
      <c r="CL336" s="93">
        <f t="shared" si="157"/>
        <v>0</v>
      </c>
      <c r="CM336" s="181"/>
      <c r="CN336" s="182"/>
      <c r="CO336" s="92"/>
      <c r="CP336" s="92"/>
      <c r="CQ336" s="92"/>
      <c r="CR336" s="92"/>
      <c r="CS336" s="92"/>
      <c r="CT336" s="92"/>
      <c r="CU336" s="93">
        <f t="shared" si="158"/>
        <v>0</v>
      </c>
      <c r="CV336" s="95">
        <f t="shared" si="159"/>
        <v>0</v>
      </c>
      <c r="CW336" s="96">
        <f t="shared" si="160"/>
        <v>0</v>
      </c>
      <c r="CX336" s="97">
        <f t="shared" si="161"/>
        <v>0</v>
      </c>
      <c r="CZ336" s="82"/>
      <c r="DA336" s="136"/>
      <c r="DB336" s="137"/>
      <c r="DC336" s="92"/>
      <c r="DD336" s="92"/>
      <c r="DE336" s="92"/>
      <c r="DF336" s="92"/>
      <c r="DG336" s="92"/>
      <c r="DH336" s="92"/>
      <c r="DI336" s="93">
        <f t="shared" si="162"/>
        <v>0</v>
      </c>
      <c r="DJ336" s="183"/>
      <c r="DK336" s="184"/>
      <c r="DL336" s="92"/>
      <c r="DM336" s="92"/>
      <c r="DN336" s="92"/>
      <c r="DO336" s="92"/>
      <c r="DP336" s="92"/>
      <c r="DQ336" s="92"/>
      <c r="DR336" s="93">
        <f t="shared" si="163"/>
        <v>0</v>
      </c>
      <c r="DS336" s="183"/>
      <c r="DT336" s="184"/>
      <c r="DU336" s="92"/>
      <c r="DV336" s="92"/>
      <c r="DW336" s="92"/>
      <c r="DX336" s="92"/>
      <c r="DY336" s="92"/>
      <c r="DZ336" s="92"/>
      <c r="EA336" s="93">
        <f t="shared" si="164"/>
        <v>0</v>
      </c>
      <c r="EB336" s="95">
        <f t="shared" si="165"/>
        <v>0</v>
      </c>
      <c r="EC336" s="96">
        <f t="shared" si="166"/>
        <v>0</v>
      </c>
      <c r="ED336" s="97">
        <f t="shared" si="167"/>
        <v>0</v>
      </c>
    </row>
    <row r="337" spans="1:134" s="6" customFormat="1" ht="21.95" customHeight="1" x14ac:dyDescent="0.5">
      <c r="A337" s="83">
        <v>141</v>
      </c>
      <c r="B337" s="103" t="s">
        <v>681</v>
      </c>
      <c r="C337" s="103" t="s">
        <v>682</v>
      </c>
      <c r="D337" s="103" t="s">
        <v>301</v>
      </c>
      <c r="E337" s="148" t="s">
        <v>87</v>
      </c>
      <c r="F337" s="179" t="s">
        <v>642</v>
      </c>
      <c r="G337" s="138"/>
      <c r="H337" s="180">
        <v>1.010525461059854E-2</v>
      </c>
      <c r="I337" s="181">
        <f t="shared" si="177"/>
        <v>994.79545650154955</v>
      </c>
      <c r="J337" s="182">
        <f t="shared" si="170"/>
        <v>751.08315418734708</v>
      </c>
      <c r="K337" s="92">
        <v>0</v>
      </c>
      <c r="L337" s="92">
        <v>0</v>
      </c>
      <c r="M337" s="92">
        <v>0</v>
      </c>
      <c r="N337" s="92">
        <v>0</v>
      </c>
      <c r="O337" s="92">
        <v>420</v>
      </c>
      <c r="P337" s="92">
        <v>268.8</v>
      </c>
      <c r="Q337" s="93">
        <f t="shared" si="171"/>
        <v>0.35788314316653103</v>
      </c>
      <c r="R337" s="94">
        <v>994.79545650155058</v>
      </c>
      <c r="S337" s="91">
        <v>751.08315418734708</v>
      </c>
      <c r="T337" s="92">
        <v>0</v>
      </c>
      <c r="U337" s="92">
        <v>0</v>
      </c>
      <c r="V337" s="92"/>
      <c r="W337" s="92"/>
      <c r="X337" s="92">
        <v>0</v>
      </c>
      <c r="Y337" s="92">
        <v>0</v>
      </c>
      <c r="Z337" s="93">
        <f t="shared" si="172"/>
        <v>0</v>
      </c>
      <c r="AA337" s="94">
        <v>994.79545650155058</v>
      </c>
      <c r="AB337" s="91">
        <v>751.08315418734708</v>
      </c>
      <c r="AC337" s="92">
        <v>700</v>
      </c>
      <c r="AD337" s="92">
        <v>448</v>
      </c>
      <c r="AE337" s="92">
        <v>700</v>
      </c>
      <c r="AF337" s="92">
        <v>448</v>
      </c>
      <c r="AG337" s="92"/>
      <c r="AH337" s="92"/>
      <c r="AI337" s="93">
        <f t="shared" si="173"/>
        <v>0</v>
      </c>
      <c r="AJ337" s="95">
        <f t="shared" si="174"/>
        <v>2253.2494625620411</v>
      </c>
      <c r="AK337" s="96">
        <f t="shared" si="175"/>
        <v>268.8</v>
      </c>
      <c r="AL337" s="97">
        <f t="shared" si="176"/>
        <v>0.11929438105551034</v>
      </c>
      <c r="AN337" s="89">
        <v>9.2944935273117663E-3</v>
      </c>
      <c r="AO337" s="181"/>
      <c r="AP337" s="182"/>
      <c r="AQ337" s="92"/>
      <c r="AR337" s="92"/>
      <c r="AS337" s="92"/>
      <c r="AT337" s="92"/>
      <c r="AU337" s="92"/>
      <c r="AV337" s="92"/>
      <c r="AW337" s="93">
        <f t="shared" si="150"/>
        <v>0</v>
      </c>
      <c r="AX337" s="183"/>
      <c r="AY337" s="184"/>
      <c r="AZ337" s="92"/>
      <c r="BA337" s="92"/>
      <c r="BB337" s="92"/>
      <c r="BC337" s="92"/>
      <c r="BD337" s="92"/>
      <c r="BE337" s="92"/>
      <c r="BF337" s="93">
        <f t="shared" si="151"/>
        <v>0</v>
      </c>
      <c r="BG337" s="181"/>
      <c r="BH337" s="182"/>
      <c r="BI337" s="92"/>
      <c r="BJ337" s="92"/>
      <c r="BK337" s="92"/>
      <c r="BL337" s="92"/>
      <c r="BM337" s="92"/>
      <c r="BN337" s="92"/>
      <c r="BO337" s="93">
        <f t="shared" si="152"/>
        <v>0</v>
      </c>
      <c r="BP337" s="95">
        <f t="shared" si="153"/>
        <v>0</v>
      </c>
      <c r="BQ337" s="96">
        <f t="shared" si="154"/>
        <v>0</v>
      </c>
      <c r="BR337" s="97">
        <f t="shared" si="155"/>
        <v>0</v>
      </c>
      <c r="BT337" s="82"/>
      <c r="BU337" s="181"/>
      <c r="BV337" s="182"/>
      <c r="BW337" s="92"/>
      <c r="BX337" s="92"/>
      <c r="BY337" s="92"/>
      <c r="BZ337" s="92"/>
      <c r="CA337" s="92"/>
      <c r="CB337" s="92"/>
      <c r="CC337" s="93">
        <f t="shared" si="156"/>
        <v>0</v>
      </c>
      <c r="CD337" s="181"/>
      <c r="CE337" s="182"/>
      <c r="CF337" s="92"/>
      <c r="CG337" s="92"/>
      <c r="CH337" s="92"/>
      <c r="CI337" s="92"/>
      <c r="CJ337" s="92"/>
      <c r="CK337" s="92"/>
      <c r="CL337" s="93">
        <f t="shared" si="157"/>
        <v>0</v>
      </c>
      <c r="CM337" s="181"/>
      <c r="CN337" s="182"/>
      <c r="CO337" s="92"/>
      <c r="CP337" s="92"/>
      <c r="CQ337" s="92"/>
      <c r="CR337" s="92"/>
      <c r="CS337" s="92"/>
      <c r="CT337" s="92"/>
      <c r="CU337" s="93">
        <f t="shared" si="158"/>
        <v>0</v>
      </c>
      <c r="CV337" s="95">
        <f t="shared" si="159"/>
        <v>0</v>
      </c>
      <c r="CW337" s="96">
        <f t="shared" si="160"/>
        <v>0</v>
      </c>
      <c r="CX337" s="97">
        <f t="shared" si="161"/>
        <v>0</v>
      </c>
      <c r="CZ337" s="82"/>
      <c r="DA337" s="136"/>
      <c r="DB337" s="137"/>
      <c r="DC337" s="92"/>
      <c r="DD337" s="92"/>
      <c r="DE337" s="92"/>
      <c r="DF337" s="92"/>
      <c r="DG337" s="92"/>
      <c r="DH337" s="92"/>
      <c r="DI337" s="93">
        <f t="shared" si="162"/>
        <v>0</v>
      </c>
      <c r="DJ337" s="183"/>
      <c r="DK337" s="184"/>
      <c r="DL337" s="92"/>
      <c r="DM337" s="92"/>
      <c r="DN337" s="92"/>
      <c r="DO337" s="92"/>
      <c r="DP337" s="92"/>
      <c r="DQ337" s="92"/>
      <c r="DR337" s="93">
        <f t="shared" si="163"/>
        <v>0</v>
      </c>
      <c r="DS337" s="183"/>
      <c r="DT337" s="184"/>
      <c r="DU337" s="92"/>
      <c r="DV337" s="92"/>
      <c r="DW337" s="92"/>
      <c r="DX337" s="92"/>
      <c r="DY337" s="92"/>
      <c r="DZ337" s="92"/>
      <c r="EA337" s="93">
        <f t="shared" si="164"/>
        <v>0</v>
      </c>
      <c r="EB337" s="95">
        <f t="shared" si="165"/>
        <v>0</v>
      </c>
      <c r="EC337" s="96">
        <f t="shared" si="166"/>
        <v>0</v>
      </c>
      <c r="ED337" s="97">
        <f t="shared" si="167"/>
        <v>0</v>
      </c>
    </row>
    <row r="338" spans="1:134" s="6" customFormat="1" ht="21.95" customHeight="1" x14ac:dyDescent="0.5">
      <c r="A338" s="83">
        <v>142</v>
      </c>
      <c r="B338" s="103" t="s">
        <v>683</v>
      </c>
      <c r="C338" s="103" t="s">
        <v>684</v>
      </c>
      <c r="D338" s="103" t="s">
        <v>94</v>
      </c>
      <c r="E338" s="148" t="s">
        <v>95</v>
      </c>
      <c r="F338" s="179" t="s">
        <v>685</v>
      </c>
      <c r="G338" s="138"/>
      <c r="H338" s="180">
        <v>0</v>
      </c>
      <c r="I338" s="181">
        <f t="shared" si="177"/>
        <v>0</v>
      </c>
      <c r="J338" s="182">
        <f t="shared" si="170"/>
        <v>0</v>
      </c>
      <c r="K338" s="92">
        <v>0</v>
      </c>
      <c r="L338" s="92">
        <v>0</v>
      </c>
      <c r="M338" s="92">
        <v>0</v>
      </c>
      <c r="N338" s="92">
        <v>0</v>
      </c>
      <c r="O338" s="92">
        <v>0</v>
      </c>
      <c r="P338" s="92">
        <v>0</v>
      </c>
      <c r="Q338" s="93">
        <f t="shared" si="171"/>
        <v>0</v>
      </c>
      <c r="R338" s="94">
        <v>0</v>
      </c>
      <c r="S338" s="91">
        <v>0</v>
      </c>
      <c r="T338" s="92">
        <v>0</v>
      </c>
      <c r="U338" s="92">
        <v>0</v>
      </c>
      <c r="V338" s="92"/>
      <c r="W338" s="92"/>
      <c r="X338" s="92">
        <v>0</v>
      </c>
      <c r="Y338" s="92">
        <v>0</v>
      </c>
      <c r="Z338" s="93">
        <f t="shared" si="172"/>
        <v>0</v>
      </c>
      <c r="AA338" s="94">
        <v>0</v>
      </c>
      <c r="AB338" s="91">
        <v>0</v>
      </c>
      <c r="AC338" s="92"/>
      <c r="AD338" s="92"/>
      <c r="AE338" s="92"/>
      <c r="AF338" s="92"/>
      <c r="AG338" s="92"/>
      <c r="AH338" s="92"/>
      <c r="AI338" s="93">
        <f t="shared" si="173"/>
        <v>0</v>
      </c>
      <c r="AJ338" s="95">
        <f t="shared" si="174"/>
        <v>0</v>
      </c>
      <c r="AK338" s="96">
        <f t="shared" si="175"/>
        <v>0</v>
      </c>
      <c r="AL338" s="97">
        <f t="shared" si="176"/>
        <v>0</v>
      </c>
      <c r="AN338" s="89">
        <v>1.286816746265474E-3</v>
      </c>
      <c r="AO338" s="181"/>
      <c r="AP338" s="182"/>
      <c r="AQ338" s="92"/>
      <c r="AR338" s="92"/>
      <c r="AS338" s="92"/>
      <c r="AT338" s="92"/>
      <c r="AU338" s="92"/>
      <c r="AV338" s="92"/>
      <c r="AW338" s="93">
        <f t="shared" si="150"/>
        <v>0</v>
      </c>
      <c r="AX338" s="183"/>
      <c r="AY338" s="184"/>
      <c r="AZ338" s="92"/>
      <c r="BA338" s="92"/>
      <c r="BB338" s="92"/>
      <c r="BC338" s="92"/>
      <c r="BD338" s="92"/>
      <c r="BE338" s="92"/>
      <c r="BF338" s="93">
        <f t="shared" si="151"/>
        <v>0</v>
      </c>
      <c r="BG338" s="181"/>
      <c r="BH338" s="182"/>
      <c r="BI338" s="92"/>
      <c r="BJ338" s="92"/>
      <c r="BK338" s="92"/>
      <c r="BL338" s="92"/>
      <c r="BM338" s="92"/>
      <c r="BN338" s="92"/>
      <c r="BO338" s="93">
        <f t="shared" si="152"/>
        <v>0</v>
      </c>
      <c r="BP338" s="95">
        <f t="shared" si="153"/>
        <v>0</v>
      </c>
      <c r="BQ338" s="96">
        <f t="shared" si="154"/>
        <v>0</v>
      </c>
      <c r="BR338" s="97">
        <f t="shared" si="155"/>
        <v>0</v>
      </c>
      <c r="BT338" s="82"/>
      <c r="BU338" s="181"/>
      <c r="BV338" s="182"/>
      <c r="BW338" s="92"/>
      <c r="BX338" s="92"/>
      <c r="BY338" s="92"/>
      <c r="BZ338" s="92"/>
      <c r="CA338" s="92"/>
      <c r="CB338" s="92"/>
      <c r="CC338" s="93">
        <f t="shared" si="156"/>
        <v>0</v>
      </c>
      <c r="CD338" s="181"/>
      <c r="CE338" s="182"/>
      <c r="CF338" s="92"/>
      <c r="CG338" s="92"/>
      <c r="CH338" s="92"/>
      <c r="CI338" s="92"/>
      <c r="CJ338" s="92"/>
      <c r="CK338" s="92"/>
      <c r="CL338" s="93">
        <f t="shared" si="157"/>
        <v>0</v>
      </c>
      <c r="CM338" s="181"/>
      <c r="CN338" s="182"/>
      <c r="CO338" s="92"/>
      <c r="CP338" s="92"/>
      <c r="CQ338" s="92"/>
      <c r="CR338" s="92"/>
      <c r="CS338" s="92"/>
      <c r="CT338" s="92"/>
      <c r="CU338" s="93">
        <f t="shared" si="158"/>
        <v>0</v>
      </c>
      <c r="CV338" s="95">
        <f t="shared" si="159"/>
        <v>0</v>
      </c>
      <c r="CW338" s="96">
        <f t="shared" si="160"/>
        <v>0</v>
      </c>
      <c r="CX338" s="97">
        <f t="shared" si="161"/>
        <v>0</v>
      </c>
      <c r="CZ338" s="82"/>
      <c r="DA338" s="136"/>
      <c r="DB338" s="137"/>
      <c r="DC338" s="92"/>
      <c r="DD338" s="92"/>
      <c r="DE338" s="92"/>
      <c r="DF338" s="92"/>
      <c r="DG338" s="92"/>
      <c r="DH338" s="92"/>
      <c r="DI338" s="93">
        <f t="shared" si="162"/>
        <v>0</v>
      </c>
      <c r="DJ338" s="183"/>
      <c r="DK338" s="184"/>
      <c r="DL338" s="92"/>
      <c r="DM338" s="92"/>
      <c r="DN338" s="92"/>
      <c r="DO338" s="92"/>
      <c r="DP338" s="92"/>
      <c r="DQ338" s="92"/>
      <c r="DR338" s="93">
        <f t="shared" si="163"/>
        <v>0</v>
      </c>
      <c r="DS338" s="183"/>
      <c r="DT338" s="184"/>
      <c r="DU338" s="92"/>
      <c r="DV338" s="92"/>
      <c r="DW338" s="92"/>
      <c r="DX338" s="92"/>
      <c r="DY338" s="92"/>
      <c r="DZ338" s="92"/>
      <c r="EA338" s="93">
        <f t="shared" si="164"/>
        <v>0</v>
      </c>
      <c r="EB338" s="95">
        <f t="shared" si="165"/>
        <v>0</v>
      </c>
      <c r="EC338" s="96">
        <f t="shared" si="166"/>
        <v>0</v>
      </c>
      <c r="ED338" s="97">
        <f t="shared" si="167"/>
        <v>0</v>
      </c>
    </row>
    <row r="339" spans="1:134" s="6" customFormat="1" ht="21.95" customHeight="1" x14ac:dyDescent="0.5">
      <c r="A339" s="83">
        <v>143</v>
      </c>
      <c r="B339" s="103" t="s">
        <v>686</v>
      </c>
      <c r="C339" s="103" t="s">
        <v>687</v>
      </c>
      <c r="D339" s="103" t="s">
        <v>74</v>
      </c>
      <c r="E339" s="148" t="s">
        <v>75</v>
      </c>
      <c r="F339" s="179" t="s">
        <v>685</v>
      </c>
      <c r="G339" s="138"/>
      <c r="H339" s="180">
        <v>5.6869969448758162E-3</v>
      </c>
      <c r="I339" s="181">
        <f t="shared" si="177"/>
        <v>559.84722205485969</v>
      </c>
      <c r="J339" s="182">
        <f t="shared" si="170"/>
        <v>422.69173492483992</v>
      </c>
      <c r="K339" s="92">
        <v>1400</v>
      </c>
      <c r="L339" s="92">
        <v>896</v>
      </c>
      <c r="M339" s="92">
        <v>1400</v>
      </c>
      <c r="N339" s="92">
        <v>896</v>
      </c>
      <c r="O339" s="92">
        <v>1400</v>
      </c>
      <c r="P339" s="92">
        <v>896</v>
      </c>
      <c r="Q339" s="93">
        <f t="shared" si="171"/>
        <v>2.1197480952858481</v>
      </c>
      <c r="R339" s="94">
        <v>559.84722205486025</v>
      </c>
      <c r="S339" s="91">
        <v>422.69173492483992</v>
      </c>
      <c r="T339" s="92">
        <v>0</v>
      </c>
      <c r="U339" s="92">
        <v>0</v>
      </c>
      <c r="V339" s="92"/>
      <c r="W339" s="92"/>
      <c r="X339" s="92">
        <v>0</v>
      </c>
      <c r="Y339" s="92">
        <v>0</v>
      </c>
      <c r="Z339" s="93">
        <f t="shared" si="172"/>
        <v>0</v>
      </c>
      <c r="AA339" s="94">
        <v>559.84722205486025</v>
      </c>
      <c r="AB339" s="91">
        <v>422.69173492483992</v>
      </c>
      <c r="AC339" s="92"/>
      <c r="AD339" s="92"/>
      <c r="AE339" s="92"/>
      <c r="AF339" s="92"/>
      <c r="AG339" s="92"/>
      <c r="AH339" s="92"/>
      <c r="AI339" s="93">
        <f t="shared" si="173"/>
        <v>0</v>
      </c>
      <c r="AJ339" s="95">
        <f t="shared" si="174"/>
        <v>1268.0752047745198</v>
      </c>
      <c r="AK339" s="96">
        <f t="shared" si="175"/>
        <v>896</v>
      </c>
      <c r="AL339" s="97">
        <f t="shared" si="176"/>
        <v>0.70658269842861599</v>
      </c>
      <c r="AN339" s="89">
        <v>4.6693064793061484E-3</v>
      </c>
      <c r="AO339" s="181"/>
      <c r="AP339" s="182"/>
      <c r="AQ339" s="92"/>
      <c r="AR339" s="92"/>
      <c r="AS339" s="92"/>
      <c r="AT339" s="92"/>
      <c r="AU339" s="92"/>
      <c r="AV339" s="92"/>
      <c r="AW339" s="93">
        <f t="shared" si="150"/>
        <v>0</v>
      </c>
      <c r="AX339" s="183"/>
      <c r="AY339" s="184"/>
      <c r="AZ339" s="92"/>
      <c r="BA339" s="92"/>
      <c r="BB339" s="92"/>
      <c r="BC339" s="92"/>
      <c r="BD339" s="92"/>
      <c r="BE339" s="92"/>
      <c r="BF339" s="93">
        <f t="shared" si="151"/>
        <v>0</v>
      </c>
      <c r="BG339" s="181"/>
      <c r="BH339" s="182"/>
      <c r="BI339" s="92"/>
      <c r="BJ339" s="92"/>
      <c r="BK339" s="92"/>
      <c r="BL339" s="92"/>
      <c r="BM339" s="92"/>
      <c r="BN339" s="92"/>
      <c r="BO339" s="93">
        <f t="shared" si="152"/>
        <v>0</v>
      </c>
      <c r="BP339" s="95">
        <f t="shared" si="153"/>
        <v>0</v>
      </c>
      <c r="BQ339" s="96">
        <f t="shared" si="154"/>
        <v>0</v>
      </c>
      <c r="BR339" s="97">
        <f t="shared" si="155"/>
        <v>0</v>
      </c>
      <c r="BT339" s="82"/>
      <c r="BU339" s="181"/>
      <c r="BV339" s="182"/>
      <c r="BW339" s="92"/>
      <c r="BX339" s="92"/>
      <c r="BY339" s="92"/>
      <c r="BZ339" s="92"/>
      <c r="CA339" s="92"/>
      <c r="CB339" s="92"/>
      <c r="CC339" s="93">
        <f t="shared" si="156"/>
        <v>0</v>
      </c>
      <c r="CD339" s="181"/>
      <c r="CE339" s="182"/>
      <c r="CF339" s="92"/>
      <c r="CG339" s="92"/>
      <c r="CH339" s="92"/>
      <c r="CI339" s="92"/>
      <c r="CJ339" s="92"/>
      <c r="CK339" s="92"/>
      <c r="CL339" s="93">
        <f t="shared" si="157"/>
        <v>0</v>
      </c>
      <c r="CM339" s="181"/>
      <c r="CN339" s="182"/>
      <c r="CO339" s="92"/>
      <c r="CP339" s="92"/>
      <c r="CQ339" s="92"/>
      <c r="CR339" s="92"/>
      <c r="CS339" s="92"/>
      <c r="CT339" s="92"/>
      <c r="CU339" s="93">
        <f t="shared" si="158"/>
        <v>0</v>
      </c>
      <c r="CV339" s="95">
        <f t="shared" si="159"/>
        <v>0</v>
      </c>
      <c r="CW339" s="96">
        <f t="shared" si="160"/>
        <v>0</v>
      </c>
      <c r="CX339" s="97">
        <f t="shared" si="161"/>
        <v>0</v>
      </c>
      <c r="CZ339" s="82"/>
      <c r="DA339" s="136"/>
      <c r="DB339" s="137"/>
      <c r="DC339" s="92"/>
      <c r="DD339" s="92"/>
      <c r="DE339" s="92"/>
      <c r="DF339" s="92"/>
      <c r="DG339" s="92"/>
      <c r="DH339" s="92"/>
      <c r="DI339" s="93">
        <f t="shared" si="162"/>
        <v>0</v>
      </c>
      <c r="DJ339" s="183"/>
      <c r="DK339" s="184"/>
      <c r="DL339" s="92"/>
      <c r="DM339" s="92"/>
      <c r="DN339" s="92"/>
      <c r="DO339" s="92"/>
      <c r="DP339" s="92"/>
      <c r="DQ339" s="92"/>
      <c r="DR339" s="93">
        <f t="shared" si="163"/>
        <v>0</v>
      </c>
      <c r="DS339" s="183"/>
      <c r="DT339" s="184"/>
      <c r="DU339" s="92"/>
      <c r="DV339" s="92"/>
      <c r="DW339" s="92"/>
      <c r="DX339" s="92"/>
      <c r="DY339" s="92"/>
      <c r="DZ339" s="92"/>
      <c r="EA339" s="93">
        <f t="shared" si="164"/>
        <v>0</v>
      </c>
      <c r="EB339" s="95">
        <f t="shared" si="165"/>
        <v>0</v>
      </c>
      <c r="EC339" s="96">
        <f t="shared" si="166"/>
        <v>0</v>
      </c>
      <c r="ED339" s="97">
        <f t="shared" si="167"/>
        <v>0</v>
      </c>
    </row>
    <row r="340" spans="1:134" s="6" customFormat="1" ht="21.95" hidden="1" customHeight="1" x14ac:dyDescent="0.5">
      <c r="A340" s="83"/>
      <c r="B340" s="103"/>
      <c r="C340" s="103"/>
      <c r="D340" s="103"/>
      <c r="E340" s="148"/>
      <c r="F340" s="179"/>
      <c r="G340" s="138"/>
      <c r="H340" s="82"/>
      <c r="I340" s="181">
        <f t="shared" si="177"/>
        <v>0</v>
      </c>
      <c r="J340" s="182"/>
      <c r="K340" s="92"/>
      <c r="L340" s="92"/>
      <c r="M340" s="92"/>
      <c r="N340" s="92"/>
      <c r="O340" s="92"/>
      <c r="P340" s="92"/>
      <c r="Q340" s="93">
        <f t="shared" si="171"/>
        <v>0</v>
      </c>
      <c r="R340" s="181"/>
      <c r="S340" s="182"/>
      <c r="T340" s="92"/>
      <c r="U340" s="92"/>
      <c r="V340" s="92"/>
      <c r="W340" s="92"/>
      <c r="X340" s="92"/>
      <c r="Y340" s="92"/>
      <c r="Z340" s="93">
        <f t="shared" ref="Z340" si="178">IFERROR(X340/S340,0)</f>
        <v>0</v>
      </c>
      <c r="AA340" s="181"/>
      <c r="AB340" s="182"/>
      <c r="AC340" s="92"/>
      <c r="AD340" s="92"/>
      <c r="AE340" s="92"/>
      <c r="AF340" s="92"/>
      <c r="AG340" s="92"/>
      <c r="AH340" s="92"/>
      <c r="AI340" s="93">
        <f t="shared" ref="AI340" si="179">IFERROR(AG340/AB340,0)</f>
        <v>0</v>
      </c>
      <c r="AJ340" s="95">
        <f t="shared" si="174"/>
        <v>0</v>
      </c>
      <c r="AK340" s="96">
        <f t="shared" ref="AK340:AK344" si="180">+O340+X340+AG340</f>
        <v>0</v>
      </c>
      <c r="AL340" s="97">
        <f t="shared" si="176"/>
        <v>0</v>
      </c>
      <c r="AN340" s="89">
        <v>4.1913459735504009E-3</v>
      </c>
      <c r="AO340" s="181"/>
      <c r="AP340" s="182"/>
      <c r="AQ340" s="92"/>
      <c r="AR340" s="92"/>
      <c r="AS340" s="92"/>
      <c r="AT340" s="92"/>
      <c r="AU340" s="92"/>
      <c r="AV340" s="92"/>
      <c r="AW340" s="93">
        <f t="shared" si="150"/>
        <v>0</v>
      </c>
      <c r="AX340" s="183"/>
      <c r="AY340" s="184"/>
      <c r="AZ340" s="92"/>
      <c r="BA340" s="92"/>
      <c r="BB340" s="92"/>
      <c r="BC340" s="92"/>
      <c r="BD340" s="92"/>
      <c r="BE340" s="92"/>
      <c r="BF340" s="93">
        <f t="shared" si="151"/>
        <v>0</v>
      </c>
      <c r="BG340" s="181"/>
      <c r="BH340" s="182"/>
      <c r="BI340" s="92"/>
      <c r="BJ340" s="92"/>
      <c r="BK340" s="92"/>
      <c r="BL340" s="92"/>
      <c r="BM340" s="92"/>
      <c r="BN340" s="92"/>
      <c r="BO340" s="93">
        <f t="shared" si="152"/>
        <v>0</v>
      </c>
      <c r="BP340" s="95">
        <f t="shared" si="153"/>
        <v>0</v>
      </c>
      <c r="BQ340" s="96">
        <f t="shared" si="154"/>
        <v>0</v>
      </c>
      <c r="BR340" s="97">
        <f t="shared" si="155"/>
        <v>0</v>
      </c>
      <c r="BT340" s="82"/>
      <c r="BU340" s="181"/>
      <c r="BV340" s="182"/>
      <c r="BW340" s="92"/>
      <c r="BX340" s="92"/>
      <c r="BY340" s="92"/>
      <c r="BZ340" s="92"/>
      <c r="CA340" s="92"/>
      <c r="CB340" s="92"/>
      <c r="CC340" s="93">
        <f t="shared" si="156"/>
        <v>0</v>
      </c>
      <c r="CD340" s="181"/>
      <c r="CE340" s="182"/>
      <c r="CF340" s="92"/>
      <c r="CG340" s="92"/>
      <c r="CH340" s="92"/>
      <c r="CI340" s="92"/>
      <c r="CJ340" s="92"/>
      <c r="CK340" s="92"/>
      <c r="CL340" s="93">
        <f t="shared" si="157"/>
        <v>0</v>
      </c>
      <c r="CM340" s="181"/>
      <c r="CN340" s="182"/>
      <c r="CO340" s="92"/>
      <c r="CP340" s="92"/>
      <c r="CQ340" s="92"/>
      <c r="CR340" s="92"/>
      <c r="CS340" s="92"/>
      <c r="CT340" s="92"/>
      <c r="CU340" s="93">
        <f t="shared" si="158"/>
        <v>0</v>
      </c>
      <c r="CV340" s="95">
        <f t="shared" si="159"/>
        <v>0</v>
      </c>
      <c r="CW340" s="96">
        <f t="shared" si="160"/>
        <v>0</v>
      </c>
      <c r="CX340" s="97">
        <f t="shared" si="161"/>
        <v>0</v>
      </c>
      <c r="CZ340" s="82"/>
      <c r="DA340" s="136"/>
      <c r="DB340" s="137"/>
      <c r="DC340" s="92"/>
      <c r="DD340" s="92"/>
      <c r="DE340" s="92"/>
      <c r="DF340" s="92"/>
      <c r="DG340" s="92"/>
      <c r="DH340" s="92"/>
      <c r="DI340" s="93">
        <f t="shared" si="162"/>
        <v>0</v>
      </c>
      <c r="DJ340" s="183"/>
      <c r="DK340" s="184"/>
      <c r="DL340" s="92"/>
      <c r="DM340" s="92"/>
      <c r="DN340" s="92"/>
      <c r="DO340" s="92"/>
      <c r="DP340" s="92"/>
      <c r="DQ340" s="92"/>
      <c r="DR340" s="93">
        <f t="shared" si="163"/>
        <v>0</v>
      </c>
      <c r="DS340" s="183"/>
      <c r="DT340" s="184"/>
      <c r="DU340" s="92"/>
      <c r="DV340" s="92"/>
      <c r="DW340" s="92"/>
      <c r="DX340" s="92"/>
      <c r="DY340" s="92"/>
      <c r="DZ340" s="92"/>
      <c r="EA340" s="93">
        <f t="shared" si="164"/>
        <v>0</v>
      </c>
      <c r="EB340" s="95">
        <f t="shared" si="165"/>
        <v>0</v>
      </c>
      <c r="EC340" s="96">
        <f t="shared" si="166"/>
        <v>0</v>
      </c>
      <c r="ED340" s="97">
        <f t="shared" si="167"/>
        <v>0</v>
      </c>
    </row>
    <row r="341" spans="1:134" s="6" customFormat="1" ht="21.95" hidden="1" customHeight="1" x14ac:dyDescent="0.5">
      <c r="A341" s="83"/>
      <c r="B341" s="103"/>
      <c r="C341" s="185"/>
      <c r="D341" s="103"/>
      <c r="E341" s="148"/>
      <c r="F341" s="179"/>
      <c r="G341" s="138"/>
      <c r="H341" s="82"/>
      <c r="I341" s="181">
        <f t="shared" si="177"/>
        <v>0</v>
      </c>
      <c r="J341" s="182"/>
      <c r="K341" s="92"/>
      <c r="L341" s="92"/>
      <c r="M341" s="92"/>
      <c r="N341" s="92"/>
      <c r="O341" s="92"/>
      <c r="P341" s="92"/>
      <c r="Q341" s="93">
        <f t="shared" si="171"/>
        <v>0</v>
      </c>
      <c r="R341" s="181"/>
      <c r="S341" s="182"/>
      <c r="T341" s="92"/>
      <c r="U341" s="92"/>
      <c r="V341" s="92"/>
      <c r="W341" s="92"/>
      <c r="X341" s="92"/>
      <c r="Y341" s="92"/>
      <c r="Z341" s="93">
        <v>0</v>
      </c>
      <c r="AA341" s="181"/>
      <c r="AB341" s="182"/>
      <c r="AC341" s="92"/>
      <c r="AD341" s="92"/>
      <c r="AE341" s="92"/>
      <c r="AF341" s="92"/>
      <c r="AG341" s="92"/>
      <c r="AH341" s="92"/>
      <c r="AI341" s="93">
        <v>0</v>
      </c>
      <c r="AJ341" s="95">
        <v>0</v>
      </c>
      <c r="AK341" s="96">
        <f t="shared" si="180"/>
        <v>0</v>
      </c>
      <c r="AL341" s="97">
        <v>0</v>
      </c>
      <c r="AN341" s="89"/>
      <c r="AO341" s="181"/>
      <c r="AP341" s="182"/>
      <c r="AQ341" s="92"/>
      <c r="AR341" s="92"/>
      <c r="AS341" s="92"/>
      <c r="AT341" s="92"/>
      <c r="AU341" s="92"/>
      <c r="AV341" s="92"/>
      <c r="AW341" s="93">
        <v>0</v>
      </c>
      <c r="AX341" s="183"/>
      <c r="AY341" s="184"/>
      <c r="AZ341" s="92"/>
      <c r="BA341" s="92"/>
      <c r="BB341" s="92"/>
      <c r="BC341" s="92"/>
      <c r="BD341" s="92"/>
      <c r="BE341" s="92"/>
      <c r="BF341" s="93">
        <v>0</v>
      </c>
      <c r="BG341" s="181"/>
      <c r="BH341" s="182"/>
      <c r="BI341" s="92"/>
      <c r="BJ341" s="92"/>
      <c r="BK341" s="92"/>
      <c r="BL341" s="92"/>
      <c r="BM341" s="92"/>
      <c r="BN341" s="92"/>
      <c r="BO341" s="93">
        <v>0</v>
      </c>
      <c r="BP341" s="95">
        <v>0</v>
      </c>
      <c r="BQ341" s="96">
        <f t="shared" ref="BQ341:BQ344" si="181">+AU341+BD341+BM341</f>
        <v>0</v>
      </c>
      <c r="BR341" s="97">
        <v>0</v>
      </c>
      <c r="BT341" s="82"/>
      <c r="BU341" s="181"/>
      <c r="BV341" s="182"/>
      <c r="BW341" s="92"/>
      <c r="BX341" s="92"/>
      <c r="BY341" s="92"/>
      <c r="BZ341" s="92"/>
      <c r="CA341" s="92"/>
      <c r="CB341" s="92"/>
      <c r="CC341" s="93">
        <v>0</v>
      </c>
      <c r="CD341" s="181"/>
      <c r="CE341" s="182">
        <v>0</v>
      </c>
      <c r="CF341" s="92"/>
      <c r="CG341" s="92"/>
      <c r="CH341" s="92">
        <v>0</v>
      </c>
      <c r="CI341" s="92">
        <v>0</v>
      </c>
      <c r="CJ341" s="92">
        <v>0</v>
      </c>
      <c r="CK341" s="92">
        <v>0</v>
      </c>
      <c r="CL341" s="93">
        <f t="shared" ref="CL341:CL344" si="182">IFERROR(CJ341/CE341,0)</f>
        <v>0</v>
      </c>
      <c r="CM341" s="181"/>
      <c r="CN341" s="92"/>
      <c r="CO341" s="92"/>
      <c r="CP341" s="92"/>
      <c r="CQ341" s="92"/>
      <c r="CR341" s="92"/>
      <c r="CS341" s="92"/>
      <c r="CT341" s="92"/>
      <c r="CU341" s="93">
        <v>0</v>
      </c>
      <c r="CV341" s="95">
        <v>0</v>
      </c>
      <c r="CW341" s="96">
        <v>0</v>
      </c>
      <c r="CX341" s="97">
        <v>0</v>
      </c>
      <c r="CZ341" s="82"/>
      <c r="DA341" s="136"/>
      <c r="DB341" s="137"/>
      <c r="DC341" s="92"/>
      <c r="DD341" s="92"/>
      <c r="DE341" s="92"/>
      <c r="DF341" s="92"/>
      <c r="DG341" s="92"/>
      <c r="DH341" s="92"/>
      <c r="DI341" s="93">
        <v>0</v>
      </c>
      <c r="DJ341" s="183"/>
      <c r="DK341" s="184"/>
      <c r="DL341" s="92"/>
      <c r="DM341" s="92"/>
      <c r="DN341" s="92"/>
      <c r="DO341" s="92"/>
      <c r="DP341" s="92"/>
      <c r="DQ341" s="92"/>
      <c r="DR341" s="93">
        <v>0</v>
      </c>
      <c r="DS341" s="183"/>
      <c r="DT341" s="184"/>
      <c r="DU341" s="92"/>
      <c r="DV341" s="92"/>
      <c r="DW341" s="92"/>
      <c r="DX341" s="92"/>
      <c r="DY341" s="92"/>
      <c r="DZ341" s="92"/>
      <c r="EA341" s="93">
        <v>0</v>
      </c>
      <c r="EB341" s="95">
        <v>0</v>
      </c>
      <c r="EC341" s="96">
        <v>0</v>
      </c>
      <c r="ED341" s="97">
        <v>0</v>
      </c>
    </row>
    <row r="342" spans="1:134" s="6" customFormat="1" ht="21.95" hidden="1" customHeight="1" x14ac:dyDescent="0.5">
      <c r="A342" s="83"/>
      <c r="B342" s="142"/>
      <c r="C342" s="188"/>
      <c r="D342" s="103"/>
      <c r="E342" s="148"/>
      <c r="F342" s="179"/>
      <c r="G342" s="138"/>
      <c r="H342" s="82"/>
      <c r="I342" s="181">
        <f t="shared" si="177"/>
        <v>0</v>
      </c>
      <c r="J342" s="182"/>
      <c r="K342" s="92"/>
      <c r="L342" s="92"/>
      <c r="M342" s="92"/>
      <c r="N342" s="92"/>
      <c r="O342" s="92"/>
      <c r="P342" s="92"/>
      <c r="Q342" s="93">
        <f t="shared" si="171"/>
        <v>0</v>
      </c>
      <c r="R342" s="181"/>
      <c r="S342" s="182"/>
      <c r="T342" s="92"/>
      <c r="U342" s="92"/>
      <c r="V342" s="92"/>
      <c r="W342" s="92"/>
      <c r="X342" s="92"/>
      <c r="Y342" s="92"/>
      <c r="Z342" s="93">
        <f t="shared" ref="Z342:Z344" si="183">IFERROR(X342/S342,0)</f>
        <v>0</v>
      </c>
      <c r="AA342" s="181"/>
      <c r="AB342" s="182"/>
      <c r="AC342" s="92"/>
      <c r="AD342" s="92"/>
      <c r="AE342" s="92"/>
      <c r="AF342" s="92"/>
      <c r="AG342" s="92"/>
      <c r="AH342" s="92"/>
      <c r="AI342" s="93">
        <f t="shared" ref="AI342:AI344" si="184">IFERROR(AG342/AB342,0)</f>
        <v>0</v>
      </c>
      <c r="AJ342" s="95">
        <f t="shared" si="174"/>
        <v>0</v>
      </c>
      <c r="AK342" s="96">
        <f t="shared" si="180"/>
        <v>0</v>
      </c>
      <c r="AL342" s="97">
        <f t="shared" si="176"/>
        <v>0</v>
      </c>
      <c r="AN342" s="89"/>
      <c r="AO342" s="181"/>
      <c r="AP342" s="182"/>
      <c r="AQ342" s="92"/>
      <c r="AR342" s="92"/>
      <c r="AS342" s="92"/>
      <c r="AT342" s="92"/>
      <c r="AU342" s="92"/>
      <c r="AV342" s="92"/>
      <c r="AW342" s="93">
        <f t="shared" ref="AW342:AW344" si="185">IFERROR(AU342/AP342,0)</f>
        <v>0</v>
      </c>
      <c r="AX342" s="183"/>
      <c r="AY342" s="184"/>
      <c r="AZ342" s="92"/>
      <c r="BA342" s="92"/>
      <c r="BB342" s="92"/>
      <c r="BC342" s="92"/>
      <c r="BD342" s="92"/>
      <c r="BE342" s="92"/>
      <c r="BF342" s="93">
        <f t="shared" ref="BF342:BF344" si="186">IFERROR(BD342/AY342,0)</f>
        <v>0</v>
      </c>
      <c r="BG342" s="181"/>
      <c r="BH342" s="182"/>
      <c r="BI342" s="92"/>
      <c r="BJ342" s="92"/>
      <c r="BK342" s="92"/>
      <c r="BL342" s="92"/>
      <c r="BM342" s="92"/>
      <c r="BN342" s="92"/>
      <c r="BO342" s="93">
        <f t="shared" ref="BO342:BO344" si="187">IFERROR(BM342/BH342,0)</f>
        <v>0</v>
      </c>
      <c r="BP342" s="95">
        <f t="shared" ref="BP342:BP344" si="188">+AP342+AY342+BH342</f>
        <v>0</v>
      </c>
      <c r="BQ342" s="96">
        <f t="shared" si="181"/>
        <v>0</v>
      </c>
      <c r="BR342" s="97">
        <f t="shared" ref="BR342:BR344" si="189">IFERROR((BQ342/BP342),0)</f>
        <v>0</v>
      </c>
      <c r="BT342" s="82"/>
      <c r="BU342" s="181"/>
      <c r="BV342" s="182"/>
      <c r="BW342" s="92"/>
      <c r="BX342" s="92"/>
      <c r="BY342" s="92"/>
      <c r="BZ342" s="92"/>
      <c r="CA342" s="92"/>
      <c r="CB342" s="92"/>
      <c r="CC342" s="93">
        <f t="shared" ref="CC342:CC344" si="190">IFERROR(CA342/BV342,0)</f>
        <v>0</v>
      </c>
      <c r="CD342" s="181"/>
      <c r="CE342" s="182">
        <v>0</v>
      </c>
      <c r="CF342" s="92"/>
      <c r="CG342" s="92"/>
      <c r="CH342" s="92"/>
      <c r="CI342" s="92"/>
      <c r="CJ342" s="92"/>
      <c r="CK342" s="92"/>
      <c r="CL342" s="93">
        <f t="shared" si="182"/>
        <v>0</v>
      </c>
      <c r="CM342" s="181"/>
      <c r="CN342" s="92"/>
      <c r="CO342" s="92"/>
      <c r="CP342" s="92"/>
      <c r="CQ342" s="92"/>
      <c r="CR342" s="92"/>
      <c r="CS342" s="92"/>
      <c r="CT342" s="92"/>
      <c r="CU342" s="93">
        <f t="shared" ref="CU342:CU344" si="191">IFERROR(CS342/CN342,0)</f>
        <v>0</v>
      </c>
      <c r="CV342" s="95">
        <f t="shared" ref="CV342:CV344" si="192">+BV342+CE342+CN342</f>
        <v>0</v>
      </c>
      <c r="CW342" s="96">
        <f t="shared" ref="CW342:CW344" si="193">+CA342+CJ342+CS342</f>
        <v>0</v>
      </c>
      <c r="CX342" s="97">
        <f t="shared" ref="CX342:CX344" si="194">IFERROR((CW342/CV342),0)</f>
        <v>0</v>
      </c>
      <c r="CZ342" s="82"/>
      <c r="DA342" s="136"/>
      <c r="DB342" s="137"/>
      <c r="DC342" s="92"/>
      <c r="DD342" s="92"/>
      <c r="DE342" s="92"/>
      <c r="DF342" s="92"/>
      <c r="DG342" s="92"/>
      <c r="DH342" s="92"/>
      <c r="DI342" s="93">
        <f t="shared" ref="DI342:DI344" si="195">IFERROR(DG342/DB342,0)</f>
        <v>0</v>
      </c>
      <c r="DJ342" s="183"/>
      <c r="DK342" s="184"/>
      <c r="DL342" s="92"/>
      <c r="DM342" s="92"/>
      <c r="DN342" s="92"/>
      <c r="DO342" s="92"/>
      <c r="DP342" s="92"/>
      <c r="DQ342" s="92"/>
      <c r="DR342" s="93">
        <f t="shared" ref="DR342:DR344" si="196">IFERROR(DP342/DK342,0)</f>
        <v>0</v>
      </c>
      <c r="DS342" s="183"/>
      <c r="DT342" s="184"/>
      <c r="DU342" s="92"/>
      <c r="DV342" s="92"/>
      <c r="DW342" s="92"/>
      <c r="DX342" s="92"/>
      <c r="DY342" s="92"/>
      <c r="DZ342" s="92"/>
      <c r="EA342" s="93">
        <f t="shared" ref="EA342:EA344" si="197">IFERROR(DY342/DT342,0)</f>
        <v>0</v>
      </c>
      <c r="EB342" s="95">
        <f t="shared" ref="EB342:EB344" si="198">+DB342+DK342+DT342</f>
        <v>0</v>
      </c>
      <c r="EC342" s="96">
        <f t="shared" ref="EC342:EC344" si="199">+DG342+DP342+DY342</f>
        <v>0</v>
      </c>
      <c r="ED342" s="97">
        <f t="shared" ref="ED342:ED344" si="200">IFERROR((EC342/EB342),0)</f>
        <v>0</v>
      </c>
    </row>
    <row r="343" spans="1:134" s="6" customFormat="1" ht="21.95" hidden="1" customHeight="1" x14ac:dyDescent="0.5">
      <c r="A343" s="83"/>
      <c r="B343" s="142"/>
      <c r="C343" s="103"/>
      <c r="D343" s="103"/>
      <c r="E343" s="148"/>
      <c r="F343" s="179"/>
      <c r="G343" s="81"/>
      <c r="H343" s="82"/>
      <c r="I343" s="181">
        <f t="shared" si="177"/>
        <v>0</v>
      </c>
      <c r="J343" s="178"/>
      <c r="K343" s="178"/>
      <c r="L343" s="178"/>
      <c r="M343" s="178"/>
      <c r="N343" s="189"/>
      <c r="O343" s="189"/>
      <c r="P343" s="189"/>
      <c r="Q343" s="93">
        <f t="shared" si="171"/>
        <v>0</v>
      </c>
      <c r="R343" s="181"/>
      <c r="S343" s="178"/>
      <c r="T343" s="178"/>
      <c r="U343" s="178"/>
      <c r="V343" s="178"/>
      <c r="W343" s="189"/>
      <c r="X343" s="189"/>
      <c r="Y343" s="189"/>
      <c r="Z343" s="93">
        <f t="shared" si="183"/>
        <v>0</v>
      </c>
      <c r="AA343" s="181"/>
      <c r="AB343" s="178"/>
      <c r="AC343" s="178"/>
      <c r="AD343" s="178"/>
      <c r="AE343" s="178"/>
      <c r="AF343" s="189"/>
      <c r="AG343" s="189"/>
      <c r="AH343" s="189"/>
      <c r="AI343" s="93">
        <f t="shared" si="184"/>
        <v>0</v>
      </c>
      <c r="AJ343" s="95">
        <f t="shared" si="174"/>
        <v>0</v>
      </c>
      <c r="AK343" s="96">
        <f t="shared" si="180"/>
        <v>0</v>
      </c>
      <c r="AL343" s="97">
        <f t="shared" si="176"/>
        <v>0</v>
      </c>
      <c r="AN343" s="89"/>
      <c r="AO343" s="181"/>
      <c r="AP343" s="178"/>
      <c r="AQ343" s="178"/>
      <c r="AR343" s="178"/>
      <c r="AS343" s="178"/>
      <c r="AT343" s="189"/>
      <c r="AU343" s="189"/>
      <c r="AV343" s="189"/>
      <c r="AW343" s="93">
        <f t="shared" si="185"/>
        <v>0</v>
      </c>
      <c r="AX343" s="181"/>
      <c r="AY343" s="178"/>
      <c r="AZ343" s="178"/>
      <c r="BA343" s="178"/>
      <c r="BB343" s="178"/>
      <c r="BC343" s="189"/>
      <c r="BD343" s="189"/>
      <c r="BE343" s="189"/>
      <c r="BF343" s="93">
        <f t="shared" si="186"/>
        <v>0</v>
      </c>
      <c r="BG343" s="181"/>
      <c r="BH343" s="178"/>
      <c r="BI343" s="178"/>
      <c r="BJ343" s="178"/>
      <c r="BK343" s="178"/>
      <c r="BL343" s="189"/>
      <c r="BM343" s="189"/>
      <c r="BN343" s="189"/>
      <c r="BO343" s="93">
        <f t="shared" si="187"/>
        <v>0</v>
      </c>
      <c r="BP343" s="95">
        <f t="shared" si="188"/>
        <v>0</v>
      </c>
      <c r="BQ343" s="96">
        <f t="shared" si="181"/>
        <v>0</v>
      </c>
      <c r="BR343" s="97">
        <f t="shared" si="189"/>
        <v>0</v>
      </c>
      <c r="BT343" s="82"/>
      <c r="BU343" s="181"/>
      <c r="BV343" s="178"/>
      <c r="BW343" s="178"/>
      <c r="BX343" s="178"/>
      <c r="BY343" s="178"/>
      <c r="BZ343" s="189"/>
      <c r="CA343" s="189"/>
      <c r="CB343" s="189"/>
      <c r="CC343" s="93">
        <f t="shared" si="190"/>
        <v>0</v>
      </c>
      <c r="CD343" s="181"/>
      <c r="CE343" s="182">
        <v>0</v>
      </c>
      <c r="CF343" s="92"/>
      <c r="CG343" s="92"/>
      <c r="CH343" s="92"/>
      <c r="CI343" s="92"/>
      <c r="CJ343" s="92"/>
      <c r="CK343" s="92"/>
      <c r="CL343" s="93">
        <f t="shared" si="182"/>
        <v>0</v>
      </c>
      <c r="CM343" s="181"/>
      <c r="CN343" s="92"/>
      <c r="CO343" s="92"/>
      <c r="CP343" s="92"/>
      <c r="CQ343" s="92"/>
      <c r="CR343" s="92"/>
      <c r="CS343" s="92"/>
      <c r="CT343" s="92"/>
      <c r="CU343" s="93">
        <f t="shared" si="191"/>
        <v>0</v>
      </c>
      <c r="CV343" s="95">
        <f t="shared" si="192"/>
        <v>0</v>
      </c>
      <c r="CW343" s="96">
        <f t="shared" si="193"/>
        <v>0</v>
      </c>
      <c r="CX343" s="97">
        <f t="shared" si="194"/>
        <v>0</v>
      </c>
      <c r="CZ343" s="82"/>
      <c r="DA343" s="136"/>
      <c r="DB343" s="137"/>
      <c r="DC343" s="92"/>
      <c r="DD343" s="92"/>
      <c r="DE343" s="92"/>
      <c r="DF343" s="92"/>
      <c r="DG343" s="92"/>
      <c r="DH343" s="92"/>
      <c r="DI343" s="93">
        <f t="shared" si="195"/>
        <v>0</v>
      </c>
      <c r="DJ343" s="183"/>
      <c r="DK343" s="184"/>
      <c r="DL343" s="92"/>
      <c r="DM343" s="92"/>
      <c r="DN343" s="92"/>
      <c r="DO343" s="92"/>
      <c r="DP343" s="92"/>
      <c r="DQ343" s="92"/>
      <c r="DR343" s="93">
        <f t="shared" si="196"/>
        <v>0</v>
      </c>
      <c r="DS343" s="183"/>
      <c r="DT343" s="178"/>
      <c r="DU343" s="178"/>
      <c r="DV343" s="178"/>
      <c r="DW343" s="178"/>
      <c r="DX343" s="189"/>
      <c r="DY343" s="189"/>
      <c r="DZ343" s="189"/>
      <c r="EA343" s="93">
        <f t="shared" si="197"/>
        <v>0</v>
      </c>
      <c r="EB343" s="95">
        <f t="shared" si="198"/>
        <v>0</v>
      </c>
      <c r="EC343" s="96">
        <f t="shared" si="199"/>
        <v>0</v>
      </c>
      <c r="ED343" s="97">
        <f t="shared" si="200"/>
        <v>0</v>
      </c>
    </row>
    <row r="344" spans="1:134" s="6" customFormat="1" ht="21.95" hidden="1" customHeight="1" x14ac:dyDescent="0.5">
      <c r="A344" s="83"/>
      <c r="B344" s="142"/>
      <c r="C344" s="103"/>
      <c r="D344" s="103"/>
      <c r="E344" s="148"/>
      <c r="F344" s="179"/>
      <c r="G344" s="81"/>
      <c r="H344" s="82"/>
      <c r="I344" s="181">
        <f t="shared" si="177"/>
        <v>0</v>
      </c>
      <c r="J344" s="178"/>
      <c r="K344" s="178"/>
      <c r="L344" s="178"/>
      <c r="M344" s="178"/>
      <c r="N344" s="189"/>
      <c r="O344" s="189"/>
      <c r="P344" s="189"/>
      <c r="Q344" s="93">
        <f t="shared" si="171"/>
        <v>0</v>
      </c>
      <c r="R344" s="181"/>
      <c r="S344" s="178"/>
      <c r="T344" s="178"/>
      <c r="U344" s="178"/>
      <c r="V344" s="178"/>
      <c r="W344" s="189"/>
      <c r="X344" s="189"/>
      <c r="Y344" s="189"/>
      <c r="Z344" s="93">
        <f t="shared" si="183"/>
        <v>0</v>
      </c>
      <c r="AA344" s="181"/>
      <c r="AB344" s="178"/>
      <c r="AC344" s="178"/>
      <c r="AD344" s="178"/>
      <c r="AE344" s="178"/>
      <c r="AF344" s="189"/>
      <c r="AG344" s="189"/>
      <c r="AH344" s="189"/>
      <c r="AI344" s="93">
        <f t="shared" si="184"/>
        <v>0</v>
      </c>
      <c r="AJ344" s="95">
        <f t="shared" si="174"/>
        <v>0</v>
      </c>
      <c r="AK344" s="96">
        <f t="shared" si="180"/>
        <v>0</v>
      </c>
      <c r="AL344" s="97">
        <f t="shared" si="176"/>
        <v>0</v>
      </c>
      <c r="AN344" s="89"/>
      <c r="AO344" s="181"/>
      <c r="AP344" s="178"/>
      <c r="AQ344" s="178"/>
      <c r="AR344" s="178"/>
      <c r="AS344" s="178"/>
      <c r="AT344" s="189"/>
      <c r="AU344" s="189"/>
      <c r="AV344" s="189"/>
      <c r="AW344" s="93">
        <f t="shared" si="185"/>
        <v>0</v>
      </c>
      <c r="AX344" s="181"/>
      <c r="AY344" s="178"/>
      <c r="AZ344" s="178"/>
      <c r="BA344" s="178"/>
      <c r="BB344" s="178"/>
      <c r="BC344" s="189"/>
      <c r="BD344" s="189"/>
      <c r="BE344" s="189"/>
      <c r="BF344" s="93">
        <f t="shared" si="186"/>
        <v>0</v>
      </c>
      <c r="BG344" s="181"/>
      <c r="BH344" s="178"/>
      <c r="BI344" s="178"/>
      <c r="BJ344" s="178"/>
      <c r="BK344" s="178"/>
      <c r="BL344" s="189"/>
      <c r="BM344" s="189"/>
      <c r="BN344" s="189"/>
      <c r="BO344" s="93">
        <f t="shared" si="187"/>
        <v>0</v>
      </c>
      <c r="BP344" s="95">
        <f t="shared" si="188"/>
        <v>0</v>
      </c>
      <c r="BQ344" s="96">
        <f t="shared" si="181"/>
        <v>0</v>
      </c>
      <c r="BR344" s="97">
        <f t="shared" si="189"/>
        <v>0</v>
      </c>
      <c r="BT344" s="82"/>
      <c r="BU344" s="181"/>
      <c r="BV344" s="178"/>
      <c r="BW344" s="178"/>
      <c r="BX344" s="178"/>
      <c r="BY344" s="178"/>
      <c r="BZ344" s="189"/>
      <c r="CA344" s="189"/>
      <c r="CB344" s="189"/>
      <c r="CC344" s="93">
        <f t="shared" si="190"/>
        <v>0</v>
      </c>
      <c r="CD344" s="181"/>
      <c r="CE344" s="182">
        <v>0</v>
      </c>
      <c r="CF344" s="92"/>
      <c r="CG344" s="92"/>
      <c r="CH344" s="92"/>
      <c r="CI344" s="92"/>
      <c r="CJ344" s="92"/>
      <c r="CK344" s="92"/>
      <c r="CL344" s="93">
        <f t="shared" si="182"/>
        <v>0</v>
      </c>
      <c r="CM344" s="181"/>
      <c r="CN344" s="92"/>
      <c r="CO344" s="92"/>
      <c r="CP344" s="92"/>
      <c r="CQ344" s="92"/>
      <c r="CR344" s="92"/>
      <c r="CS344" s="92"/>
      <c r="CT344" s="92"/>
      <c r="CU344" s="93">
        <f t="shared" si="191"/>
        <v>0</v>
      </c>
      <c r="CV344" s="95">
        <f t="shared" si="192"/>
        <v>0</v>
      </c>
      <c r="CW344" s="96">
        <f t="shared" si="193"/>
        <v>0</v>
      </c>
      <c r="CX344" s="97">
        <f t="shared" si="194"/>
        <v>0</v>
      </c>
      <c r="CZ344" s="82"/>
      <c r="DA344" s="136"/>
      <c r="DB344" s="137"/>
      <c r="DC344" s="92"/>
      <c r="DD344" s="92"/>
      <c r="DE344" s="92"/>
      <c r="DF344" s="92"/>
      <c r="DG344" s="92"/>
      <c r="DH344" s="92"/>
      <c r="DI344" s="93">
        <f t="shared" si="195"/>
        <v>0</v>
      </c>
      <c r="DJ344" s="183"/>
      <c r="DK344" s="184"/>
      <c r="DL344" s="92"/>
      <c r="DM344" s="92"/>
      <c r="DN344" s="92"/>
      <c r="DO344" s="92"/>
      <c r="DP344" s="92"/>
      <c r="DQ344" s="92"/>
      <c r="DR344" s="93">
        <f t="shared" si="196"/>
        <v>0</v>
      </c>
      <c r="DS344" s="183"/>
      <c r="DT344" s="178"/>
      <c r="DU344" s="178"/>
      <c r="DV344" s="178"/>
      <c r="DW344" s="178"/>
      <c r="DX344" s="189"/>
      <c r="DY344" s="189"/>
      <c r="DZ344" s="189"/>
      <c r="EA344" s="93">
        <f t="shared" si="197"/>
        <v>0</v>
      </c>
      <c r="EB344" s="95">
        <f t="shared" si="198"/>
        <v>0</v>
      </c>
      <c r="EC344" s="96">
        <f t="shared" si="199"/>
        <v>0</v>
      </c>
      <c r="ED344" s="97">
        <f t="shared" si="200"/>
        <v>0</v>
      </c>
    </row>
    <row r="345" spans="1:134" s="6" customFormat="1" ht="21.95" customHeight="1" x14ac:dyDescent="0.5">
      <c r="A345" s="80"/>
      <c r="B345" s="80"/>
      <c r="C345" s="190"/>
      <c r="D345" s="80"/>
      <c r="E345" s="80"/>
      <c r="F345" s="80"/>
      <c r="G345" s="81"/>
      <c r="H345" s="82"/>
      <c r="I345" s="177"/>
      <c r="J345" s="178"/>
      <c r="K345" s="178"/>
      <c r="L345" s="178"/>
      <c r="M345" s="178"/>
      <c r="N345" s="189"/>
      <c r="O345" s="189"/>
      <c r="P345" s="189"/>
      <c r="Q345" s="176"/>
      <c r="R345" s="177"/>
      <c r="S345" s="178"/>
      <c r="T345" s="178"/>
      <c r="U345" s="178"/>
      <c r="V345" s="178"/>
      <c r="W345" s="189"/>
      <c r="X345" s="189"/>
      <c r="Y345" s="189"/>
      <c r="Z345" s="176"/>
      <c r="AA345" s="177"/>
      <c r="AB345" s="178"/>
      <c r="AC345" s="178"/>
      <c r="AD345" s="178"/>
      <c r="AE345" s="178"/>
      <c r="AF345" s="189"/>
      <c r="AG345" s="189"/>
      <c r="AH345" s="189"/>
      <c r="AI345" s="176"/>
      <c r="AJ345" s="191"/>
      <c r="AK345" s="80"/>
      <c r="AL345" s="192"/>
      <c r="AN345" s="89"/>
      <c r="AO345" s="177"/>
      <c r="AP345" s="178"/>
      <c r="AQ345" s="178"/>
      <c r="AR345" s="178"/>
      <c r="AS345" s="178"/>
      <c r="AT345" s="189"/>
      <c r="AU345" s="189"/>
      <c r="AV345" s="189"/>
      <c r="AW345" s="176"/>
      <c r="AX345" s="177"/>
      <c r="AY345" s="178"/>
      <c r="AZ345" s="178"/>
      <c r="BA345" s="178"/>
      <c r="BB345" s="178"/>
      <c r="BC345" s="189"/>
      <c r="BD345" s="189"/>
      <c r="BE345" s="189"/>
      <c r="BF345" s="176"/>
      <c r="BG345" s="177"/>
      <c r="BH345" s="178"/>
      <c r="BI345" s="178"/>
      <c r="BJ345" s="178"/>
      <c r="BK345" s="178"/>
      <c r="BL345" s="189"/>
      <c r="BM345" s="189"/>
      <c r="BN345" s="189"/>
      <c r="BO345" s="176"/>
      <c r="BP345" s="191"/>
      <c r="BQ345" s="80"/>
      <c r="BR345" s="192"/>
      <c r="BT345" s="82"/>
      <c r="BU345" s="177"/>
      <c r="BV345" s="178"/>
      <c r="BW345" s="178"/>
      <c r="BX345" s="178"/>
      <c r="BY345" s="178"/>
      <c r="BZ345" s="189"/>
      <c r="CA345" s="189"/>
      <c r="CB345" s="189"/>
      <c r="CC345" s="176"/>
      <c r="CD345" s="177"/>
      <c r="CE345" s="178"/>
      <c r="CF345" s="178"/>
      <c r="CG345" s="178"/>
      <c r="CH345" s="92"/>
      <c r="CI345" s="92"/>
      <c r="CJ345" s="92"/>
      <c r="CK345" s="92"/>
      <c r="CL345" s="176"/>
      <c r="CM345" s="177"/>
      <c r="CN345" s="178"/>
      <c r="CO345" s="178"/>
      <c r="CP345" s="178"/>
      <c r="CQ345" s="178"/>
      <c r="CR345" s="189"/>
      <c r="CS345" s="189"/>
      <c r="CT345" s="189"/>
      <c r="CU345" s="176"/>
      <c r="CV345" s="191"/>
      <c r="CW345" s="80"/>
      <c r="CX345" s="192"/>
      <c r="CZ345" s="82"/>
      <c r="DA345" s="177"/>
      <c r="DB345" s="178"/>
      <c r="DC345" s="178"/>
      <c r="DD345" s="178"/>
      <c r="DE345" s="92"/>
      <c r="DF345" s="92"/>
      <c r="DG345" s="92"/>
      <c r="DH345" s="92"/>
      <c r="DI345" s="176"/>
      <c r="DJ345" s="177"/>
      <c r="DK345" s="178"/>
      <c r="DL345" s="92"/>
      <c r="DM345" s="92"/>
      <c r="DN345" s="92"/>
      <c r="DO345" s="92"/>
      <c r="DP345" s="92"/>
      <c r="DQ345" s="92"/>
      <c r="DR345" s="176"/>
      <c r="DS345" s="177"/>
      <c r="DT345" s="178"/>
      <c r="DU345" s="178"/>
      <c r="DV345" s="178"/>
      <c r="DW345" s="178"/>
      <c r="DX345" s="189"/>
      <c r="DY345" s="189"/>
      <c r="DZ345" s="189"/>
      <c r="EA345" s="176"/>
      <c r="EB345" s="191"/>
      <c r="EC345" s="80"/>
      <c r="ED345" s="192"/>
    </row>
    <row r="346" spans="1:134" s="126" customFormat="1" ht="21.95" customHeight="1" thickBot="1" x14ac:dyDescent="0.55000000000000004">
      <c r="A346" s="117"/>
      <c r="B346" s="366" t="s">
        <v>688</v>
      </c>
      <c r="C346" s="367"/>
      <c r="D346" s="367"/>
      <c r="E346" s="367"/>
      <c r="F346" s="368"/>
      <c r="G346" s="193">
        <f>SUM(G197:G345)</f>
        <v>0</v>
      </c>
      <c r="H346" s="119">
        <f>SUM(H197:H339)</f>
        <v>1</v>
      </c>
      <c r="I346" s="120">
        <f t="shared" ref="I346:P346" si="201">SUM(I197:I345)</f>
        <v>98443.383648957592</v>
      </c>
      <c r="J346" s="121">
        <f t="shared" si="201"/>
        <v>74326</v>
      </c>
      <c r="K346" s="121">
        <f t="shared" si="201"/>
        <v>30978</v>
      </c>
      <c r="L346" s="121">
        <f t="shared" si="201"/>
        <v>24378.739999999998</v>
      </c>
      <c r="M346" s="121">
        <f t="shared" si="201"/>
        <v>56844</v>
      </c>
      <c r="N346" s="121">
        <f t="shared" si="201"/>
        <v>46065.82</v>
      </c>
      <c r="O346" s="121">
        <f t="shared" si="201"/>
        <v>97955</v>
      </c>
      <c r="P346" s="121">
        <f t="shared" si="201"/>
        <v>78178.959999999992</v>
      </c>
      <c r="Q346" s="354">
        <f>+P346/J346</f>
        <v>1.0518386567284663</v>
      </c>
      <c r="R346" s="120">
        <f t="shared" ref="R346:Y346" si="202">SUM(R197:R345)</f>
        <v>98443.383648957664</v>
      </c>
      <c r="S346" s="121">
        <f t="shared" si="202"/>
        <v>74326</v>
      </c>
      <c r="T346" s="121">
        <f t="shared" si="202"/>
        <v>30562</v>
      </c>
      <c r="U346" s="121">
        <f t="shared" si="202"/>
        <v>23865.159999999993</v>
      </c>
      <c r="V346" s="121">
        <f t="shared" si="202"/>
        <v>68517</v>
      </c>
      <c r="W346" s="121">
        <f t="shared" si="202"/>
        <v>55245.259999999995</v>
      </c>
      <c r="X346" s="121">
        <f t="shared" si="202"/>
        <v>98616</v>
      </c>
      <c r="Y346" s="121">
        <f t="shared" si="202"/>
        <v>80833.15999999996</v>
      </c>
      <c r="Z346" s="194">
        <f>+Y346/S346</f>
        <v>1.0875489061701149</v>
      </c>
      <c r="AA346" s="120">
        <f t="shared" ref="AA346:AH346" si="203">SUM(AA197:AA345)</f>
        <v>98443.383648957664</v>
      </c>
      <c r="AB346" s="121">
        <f t="shared" si="203"/>
        <v>74326</v>
      </c>
      <c r="AC346" s="121">
        <f t="shared" si="203"/>
        <v>42042</v>
      </c>
      <c r="AD346" s="121">
        <f t="shared" si="203"/>
        <v>33357.819999999985</v>
      </c>
      <c r="AE346" s="121">
        <f t="shared" si="203"/>
        <v>91036</v>
      </c>
      <c r="AF346" s="121">
        <f t="shared" si="203"/>
        <v>71499.340000000011</v>
      </c>
      <c r="AG346" s="121">
        <f t="shared" si="203"/>
        <v>0</v>
      </c>
      <c r="AH346" s="121">
        <f t="shared" si="203"/>
        <v>0</v>
      </c>
      <c r="AI346" s="194">
        <f>+AH346/AB346</f>
        <v>0</v>
      </c>
      <c r="AJ346" s="120">
        <f>SUM(AJ197:AJ345)</f>
        <v>222978</v>
      </c>
      <c r="AK346" s="121">
        <f>SUM(AK197:AK345)</f>
        <v>159012.12</v>
      </c>
      <c r="AL346" s="125">
        <f t="shared" ref="AL346" si="204">IFERROR((AK346/AJ346),0)</f>
        <v>0.71312918763286059</v>
      </c>
      <c r="AN346" s="158"/>
      <c r="AO346" s="120">
        <f t="shared" ref="AO346:AV346" si="205">SUM(AO197:AO345)</f>
        <v>0</v>
      </c>
      <c r="AP346" s="121">
        <f t="shared" si="205"/>
        <v>0</v>
      </c>
      <c r="AQ346" s="121">
        <f t="shared" si="205"/>
        <v>0</v>
      </c>
      <c r="AR346" s="121">
        <f t="shared" si="205"/>
        <v>0</v>
      </c>
      <c r="AS346" s="121">
        <f t="shared" si="205"/>
        <v>0</v>
      </c>
      <c r="AT346" s="121">
        <f t="shared" si="205"/>
        <v>0</v>
      </c>
      <c r="AU346" s="121">
        <f t="shared" si="205"/>
        <v>0</v>
      </c>
      <c r="AV346" s="121">
        <f t="shared" si="205"/>
        <v>0</v>
      </c>
      <c r="AW346" s="195" t="e">
        <f>+AU346/AP346</f>
        <v>#DIV/0!</v>
      </c>
      <c r="AX346" s="120">
        <f t="shared" ref="AX346:BE346" si="206">SUM(AX197:AX345)</f>
        <v>0</v>
      </c>
      <c r="AY346" s="121">
        <f t="shared" si="206"/>
        <v>0</v>
      </c>
      <c r="AZ346" s="121">
        <f t="shared" si="206"/>
        <v>0</v>
      </c>
      <c r="BA346" s="121">
        <f t="shared" si="206"/>
        <v>0</v>
      </c>
      <c r="BB346" s="121">
        <f t="shared" si="206"/>
        <v>0</v>
      </c>
      <c r="BC346" s="121">
        <f t="shared" si="206"/>
        <v>0</v>
      </c>
      <c r="BD346" s="121">
        <f t="shared" si="206"/>
        <v>0</v>
      </c>
      <c r="BE346" s="121">
        <f t="shared" si="206"/>
        <v>0</v>
      </c>
      <c r="BF346" s="195" t="e">
        <f>+BD346/AY346</f>
        <v>#DIV/0!</v>
      </c>
      <c r="BG346" s="120">
        <f t="shared" ref="BG346:BN346" si="207">SUM(BG197:BG345)</f>
        <v>0</v>
      </c>
      <c r="BH346" s="121">
        <f t="shared" si="207"/>
        <v>0</v>
      </c>
      <c r="BI346" s="121">
        <f t="shared" si="207"/>
        <v>0</v>
      </c>
      <c r="BJ346" s="121">
        <f t="shared" si="207"/>
        <v>0</v>
      </c>
      <c r="BK346" s="121">
        <f t="shared" si="207"/>
        <v>0</v>
      </c>
      <c r="BL346" s="121">
        <f t="shared" si="207"/>
        <v>0</v>
      </c>
      <c r="BM346" s="121">
        <f t="shared" si="207"/>
        <v>0</v>
      </c>
      <c r="BN346" s="121">
        <f t="shared" si="207"/>
        <v>0</v>
      </c>
      <c r="BO346" s="195" t="e">
        <f>+BM346/BH346</f>
        <v>#DIV/0!</v>
      </c>
      <c r="BP346" s="120">
        <f>SUM(BP197:BP345)</f>
        <v>0</v>
      </c>
      <c r="BQ346" s="121">
        <f>SUM(BQ197:BQ345)</f>
        <v>0</v>
      </c>
      <c r="BR346" s="125">
        <f t="shared" ref="BR346" si="208">IFERROR((BQ346/BP346),0)</f>
        <v>0</v>
      </c>
      <c r="BT346" s="158"/>
      <c r="BU346" s="120">
        <f t="shared" ref="BU346:CB346" si="209">SUM(BU197:BU345)</f>
        <v>0</v>
      </c>
      <c r="BV346" s="121">
        <f t="shared" si="209"/>
        <v>0</v>
      </c>
      <c r="BW346" s="121">
        <f t="shared" si="209"/>
        <v>0</v>
      </c>
      <c r="BX346" s="121">
        <f t="shared" si="209"/>
        <v>0</v>
      </c>
      <c r="BY346" s="121">
        <f t="shared" si="209"/>
        <v>0</v>
      </c>
      <c r="BZ346" s="121">
        <f t="shared" si="209"/>
        <v>0</v>
      </c>
      <c r="CA346" s="121">
        <f t="shared" si="209"/>
        <v>0</v>
      </c>
      <c r="CB346" s="121">
        <f t="shared" si="209"/>
        <v>0</v>
      </c>
      <c r="CC346" s="195" t="e">
        <f>+CA346/BV346</f>
        <v>#DIV/0!</v>
      </c>
      <c r="CD346" s="120">
        <f t="shared" ref="CD346:CK346" si="210">SUM(CD197:CD345)</f>
        <v>0</v>
      </c>
      <c r="CE346" s="121">
        <f t="shared" si="210"/>
        <v>0</v>
      </c>
      <c r="CF346" s="121">
        <f t="shared" si="210"/>
        <v>0</v>
      </c>
      <c r="CG346" s="121">
        <f t="shared" si="210"/>
        <v>0</v>
      </c>
      <c r="CH346" s="121">
        <f t="shared" si="210"/>
        <v>0</v>
      </c>
      <c r="CI346" s="121">
        <f t="shared" si="210"/>
        <v>0</v>
      </c>
      <c r="CJ346" s="121">
        <f t="shared" si="210"/>
        <v>0</v>
      </c>
      <c r="CK346" s="121">
        <f t="shared" si="210"/>
        <v>0</v>
      </c>
      <c r="CL346" s="195" t="e">
        <f>+CJ346/CE346</f>
        <v>#DIV/0!</v>
      </c>
      <c r="CM346" s="120">
        <f t="shared" ref="CM346:CT346" si="211">SUM(CM197:CM345)</f>
        <v>0</v>
      </c>
      <c r="CN346" s="121">
        <f t="shared" si="211"/>
        <v>0</v>
      </c>
      <c r="CO346" s="121">
        <f t="shared" si="211"/>
        <v>0</v>
      </c>
      <c r="CP346" s="121">
        <f t="shared" si="211"/>
        <v>0</v>
      </c>
      <c r="CQ346" s="121">
        <f t="shared" si="211"/>
        <v>0</v>
      </c>
      <c r="CR346" s="121">
        <f t="shared" si="211"/>
        <v>0</v>
      </c>
      <c r="CS346" s="121">
        <f t="shared" si="211"/>
        <v>0</v>
      </c>
      <c r="CT346" s="121">
        <f t="shared" si="211"/>
        <v>0</v>
      </c>
      <c r="CU346" s="195" t="e">
        <f>+CS346/CN346</f>
        <v>#DIV/0!</v>
      </c>
      <c r="CV346" s="120">
        <f>SUM(CV197:CV345)</f>
        <v>0</v>
      </c>
      <c r="CW346" s="121">
        <f>SUM(CW197:CW345)</f>
        <v>0</v>
      </c>
      <c r="CX346" s="125">
        <f t="shared" ref="CX346" si="212">IFERROR((CW346/CV346),0)</f>
        <v>0</v>
      </c>
      <c r="CZ346" s="158"/>
      <c r="DA346" s="120">
        <f t="shared" ref="DA346:DH346" si="213">SUM(DA197:DA345)</f>
        <v>0</v>
      </c>
      <c r="DB346" s="121">
        <f t="shared" si="213"/>
        <v>0</v>
      </c>
      <c r="DC346" s="121">
        <f t="shared" si="213"/>
        <v>0</v>
      </c>
      <c r="DD346" s="121">
        <f t="shared" si="213"/>
        <v>0</v>
      </c>
      <c r="DE346" s="121">
        <f t="shared" si="213"/>
        <v>0</v>
      </c>
      <c r="DF346" s="121">
        <f t="shared" si="213"/>
        <v>0</v>
      </c>
      <c r="DG346" s="121">
        <f t="shared" si="213"/>
        <v>0</v>
      </c>
      <c r="DH346" s="121">
        <f t="shared" si="213"/>
        <v>0</v>
      </c>
      <c r="DI346" s="195" t="e">
        <f>+DG346/DB346</f>
        <v>#DIV/0!</v>
      </c>
      <c r="DJ346" s="120">
        <f t="shared" ref="DJ346:DQ346" si="214">SUM(DJ197:DJ345)</f>
        <v>0</v>
      </c>
      <c r="DK346" s="121">
        <f t="shared" si="214"/>
        <v>0</v>
      </c>
      <c r="DL346" s="121">
        <f t="shared" si="214"/>
        <v>0</v>
      </c>
      <c r="DM346" s="121">
        <f t="shared" si="214"/>
        <v>0</v>
      </c>
      <c r="DN346" s="121">
        <f t="shared" si="214"/>
        <v>0</v>
      </c>
      <c r="DO346" s="121">
        <f t="shared" si="214"/>
        <v>0</v>
      </c>
      <c r="DP346" s="121">
        <f t="shared" si="214"/>
        <v>0</v>
      </c>
      <c r="DQ346" s="121">
        <f t="shared" si="214"/>
        <v>0</v>
      </c>
      <c r="DR346" s="195" t="e">
        <f>+DP346/DK346</f>
        <v>#DIV/0!</v>
      </c>
      <c r="DS346" s="120">
        <f t="shared" ref="DS346:DZ346" si="215">SUM(DS197:DS345)</f>
        <v>0</v>
      </c>
      <c r="DT346" s="121">
        <f t="shared" si="215"/>
        <v>0</v>
      </c>
      <c r="DU346" s="121">
        <f t="shared" si="215"/>
        <v>0</v>
      </c>
      <c r="DV346" s="121">
        <f t="shared" si="215"/>
        <v>0</v>
      </c>
      <c r="DW346" s="121">
        <f t="shared" si="215"/>
        <v>0</v>
      </c>
      <c r="DX346" s="121">
        <f t="shared" si="215"/>
        <v>0</v>
      </c>
      <c r="DY346" s="121">
        <f t="shared" si="215"/>
        <v>0</v>
      </c>
      <c r="DZ346" s="121">
        <f t="shared" si="215"/>
        <v>0</v>
      </c>
      <c r="EA346" s="195" t="e">
        <f>+DY346/DT346</f>
        <v>#DIV/0!</v>
      </c>
      <c r="EB346" s="120">
        <f>SUM(EB197:EB345)</f>
        <v>0</v>
      </c>
      <c r="EC346" s="121">
        <f>SUM(EC197:EC345)</f>
        <v>0</v>
      </c>
      <c r="ED346" s="125">
        <f t="shared" ref="ED346" si="216">IFERROR((EC346/EB346),0)</f>
        <v>0</v>
      </c>
    </row>
    <row r="347" spans="1:134" s="126" customFormat="1" ht="21.95" customHeight="1" thickBot="1" x14ac:dyDescent="0.55000000000000004">
      <c r="A347" s="127"/>
      <c r="B347" s="127"/>
      <c r="C347" s="127"/>
      <c r="D347" s="127"/>
      <c r="E347" s="127"/>
      <c r="F347" s="127"/>
      <c r="G347" s="196"/>
      <c r="H347" s="129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171"/>
      <c r="AI347" s="171"/>
      <c r="AJ347" s="171"/>
      <c r="AK347" s="171"/>
      <c r="AL347" s="171"/>
      <c r="AN347" s="129"/>
      <c r="AO347" s="171"/>
      <c r="AP347" s="171"/>
      <c r="AQ347" s="171"/>
      <c r="AR347" s="171"/>
      <c r="AS347" s="171"/>
      <c r="AT347" s="171"/>
      <c r="AU347" s="171"/>
      <c r="AV347" s="171"/>
      <c r="AW347" s="171"/>
      <c r="AX347" s="171"/>
      <c r="AY347" s="171"/>
      <c r="AZ347" s="171"/>
      <c r="BA347" s="171"/>
      <c r="BB347" s="171"/>
      <c r="BC347" s="171"/>
      <c r="BD347" s="171"/>
      <c r="BE347" s="171"/>
      <c r="BF347" s="171"/>
      <c r="BG347" s="171"/>
      <c r="BH347" s="171"/>
      <c r="BI347" s="171"/>
      <c r="BJ347" s="171"/>
      <c r="BK347" s="171"/>
      <c r="BL347" s="171"/>
      <c r="BM347" s="171"/>
      <c r="BN347" s="171"/>
      <c r="BO347" s="171"/>
      <c r="BP347" s="171"/>
      <c r="BQ347" s="171"/>
      <c r="BR347" s="171"/>
      <c r="BT347" s="129"/>
      <c r="BU347" s="171"/>
      <c r="BV347" s="171"/>
      <c r="BW347" s="171"/>
      <c r="BX347" s="171"/>
      <c r="BY347" s="171"/>
      <c r="BZ347" s="171"/>
      <c r="CA347" s="171"/>
      <c r="CB347" s="171"/>
      <c r="CC347" s="171"/>
      <c r="CD347" s="171"/>
      <c r="CE347" s="171"/>
      <c r="CF347" s="171"/>
      <c r="CG347" s="171"/>
      <c r="CH347" s="171"/>
      <c r="CI347" s="171"/>
      <c r="CJ347" s="171"/>
      <c r="CK347" s="171"/>
      <c r="CL347" s="171"/>
      <c r="CM347" s="171"/>
      <c r="CN347" s="171"/>
      <c r="CO347" s="171"/>
      <c r="CP347" s="171"/>
      <c r="CQ347" s="171"/>
      <c r="CR347" s="171"/>
      <c r="CS347" s="171"/>
      <c r="CT347" s="171"/>
      <c r="CU347" s="171"/>
      <c r="CV347" s="171"/>
      <c r="CW347" s="171"/>
      <c r="CX347" s="171"/>
      <c r="CZ347" s="129"/>
      <c r="DA347" s="171"/>
      <c r="DB347" s="171"/>
      <c r="DC347" s="171"/>
      <c r="DD347" s="171"/>
      <c r="DE347" s="171"/>
      <c r="DF347" s="171"/>
      <c r="DG347" s="171"/>
      <c r="DH347" s="171"/>
      <c r="DI347" s="171"/>
      <c r="DJ347" s="171"/>
      <c r="DK347" s="171"/>
      <c r="DL347" s="171"/>
      <c r="DM347" s="171"/>
      <c r="DN347" s="171"/>
      <c r="DO347" s="171"/>
      <c r="DP347" s="171"/>
      <c r="DQ347" s="171"/>
      <c r="DR347" s="171"/>
      <c r="DS347" s="171"/>
      <c r="DT347" s="171"/>
      <c r="DU347" s="171"/>
      <c r="DV347" s="171"/>
      <c r="DW347" s="171"/>
      <c r="DX347" s="171"/>
      <c r="DY347" s="171"/>
      <c r="DZ347" s="171"/>
      <c r="EA347" s="171"/>
      <c r="EB347" s="171"/>
      <c r="EC347" s="171"/>
      <c r="ED347" s="171"/>
    </row>
    <row r="348" spans="1:134" s="126" customFormat="1" ht="21.95" customHeight="1" thickBot="1" x14ac:dyDescent="0.55000000000000004">
      <c r="A348" s="127"/>
      <c r="B348" s="127"/>
      <c r="C348" s="127"/>
      <c r="D348" s="127"/>
      <c r="E348" s="127"/>
      <c r="F348" s="127"/>
      <c r="G348" s="196"/>
      <c r="H348" s="129"/>
      <c r="I348" s="383" t="s">
        <v>396</v>
      </c>
      <c r="J348" s="384"/>
      <c r="K348" s="384"/>
      <c r="L348" s="384"/>
      <c r="M348" s="384"/>
      <c r="N348" s="384"/>
      <c r="O348" s="384"/>
      <c r="P348" s="384"/>
      <c r="Q348" s="384"/>
      <c r="R348" s="384"/>
      <c r="S348" s="384"/>
      <c r="T348" s="384"/>
      <c r="U348" s="384"/>
      <c r="V348" s="384"/>
      <c r="W348" s="384"/>
      <c r="X348" s="384"/>
      <c r="Y348" s="384"/>
      <c r="Z348" s="384"/>
      <c r="AA348" s="384"/>
      <c r="AB348" s="384"/>
      <c r="AC348" s="384"/>
      <c r="AD348" s="384"/>
      <c r="AE348" s="384"/>
      <c r="AF348" s="384"/>
      <c r="AG348" s="384"/>
      <c r="AH348" s="384"/>
      <c r="AI348" s="384"/>
      <c r="AJ348" s="384"/>
      <c r="AK348" s="384"/>
      <c r="AL348" s="385"/>
      <c r="AN348" s="129"/>
      <c r="AO348" s="386" t="s">
        <v>32</v>
      </c>
      <c r="AP348" s="387"/>
      <c r="AQ348" s="387"/>
      <c r="AR348" s="387"/>
      <c r="AS348" s="387"/>
      <c r="AT348" s="387"/>
      <c r="AU348" s="387"/>
      <c r="AV348" s="387"/>
      <c r="AW348" s="387"/>
      <c r="AX348" s="387"/>
      <c r="AY348" s="387"/>
      <c r="AZ348" s="387"/>
      <c r="BA348" s="387"/>
      <c r="BB348" s="387"/>
      <c r="BC348" s="387"/>
      <c r="BD348" s="387"/>
      <c r="BE348" s="387"/>
      <c r="BF348" s="387"/>
      <c r="BG348" s="387"/>
      <c r="BH348" s="387"/>
      <c r="BI348" s="387"/>
      <c r="BJ348" s="387"/>
      <c r="BK348" s="387"/>
      <c r="BL348" s="387"/>
      <c r="BM348" s="387"/>
      <c r="BN348" s="387"/>
      <c r="BO348" s="387"/>
      <c r="BP348" s="387"/>
      <c r="BQ348" s="387"/>
      <c r="BR348" s="388"/>
      <c r="BT348" s="129"/>
      <c r="BU348" s="386" t="s">
        <v>33</v>
      </c>
      <c r="BV348" s="387"/>
      <c r="BW348" s="387"/>
      <c r="BX348" s="387"/>
      <c r="BY348" s="387"/>
      <c r="BZ348" s="387"/>
      <c r="CA348" s="387"/>
      <c r="CB348" s="387"/>
      <c r="CC348" s="387"/>
      <c r="CD348" s="387"/>
      <c r="CE348" s="387"/>
      <c r="CF348" s="387"/>
      <c r="CG348" s="387"/>
      <c r="CH348" s="387"/>
      <c r="CI348" s="387"/>
      <c r="CJ348" s="387"/>
      <c r="CK348" s="387"/>
      <c r="CL348" s="387"/>
      <c r="CM348" s="387"/>
      <c r="CN348" s="387"/>
      <c r="CO348" s="387"/>
      <c r="CP348" s="387"/>
      <c r="CQ348" s="387"/>
      <c r="CR348" s="387"/>
      <c r="CS348" s="387"/>
      <c r="CT348" s="387"/>
      <c r="CU348" s="387"/>
      <c r="CV348" s="387"/>
      <c r="CW348" s="387"/>
      <c r="CX348" s="388"/>
      <c r="CY348" s="1"/>
      <c r="CZ348" s="2"/>
      <c r="DA348" s="386" t="s">
        <v>34</v>
      </c>
      <c r="DB348" s="387"/>
      <c r="DC348" s="387"/>
      <c r="DD348" s="387"/>
      <c r="DE348" s="387"/>
      <c r="DF348" s="387"/>
      <c r="DG348" s="387"/>
      <c r="DH348" s="387"/>
      <c r="DI348" s="387"/>
      <c r="DJ348" s="387"/>
      <c r="DK348" s="387"/>
      <c r="DL348" s="387"/>
      <c r="DM348" s="387"/>
      <c r="DN348" s="387"/>
      <c r="DO348" s="387"/>
      <c r="DP348" s="387"/>
      <c r="DQ348" s="387"/>
      <c r="DR348" s="387"/>
      <c r="DS348" s="387"/>
      <c r="DT348" s="387"/>
      <c r="DU348" s="387"/>
      <c r="DV348" s="387"/>
      <c r="DW348" s="387"/>
      <c r="DX348" s="387"/>
      <c r="DY348" s="387"/>
      <c r="DZ348" s="387"/>
      <c r="EA348" s="387"/>
      <c r="EB348" s="387"/>
      <c r="EC348" s="387"/>
      <c r="ED348" s="388"/>
    </row>
    <row r="349" spans="1:134" s="71" customFormat="1" ht="21.95" customHeight="1" x14ac:dyDescent="0.6">
      <c r="A349" s="6"/>
      <c r="B349" s="197" t="s">
        <v>397</v>
      </c>
      <c r="C349" s="6"/>
      <c r="D349" s="6"/>
      <c r="E349" s="6"/>
      <c r="F349" s="6"/>
      <c r="H349" s="72"/>
      <c r="I349" s="374">
        <v>46023</v>
      </c>
      <c r="J349" s="375"/>
      <c r="K349" s="375"/>
      <c r="L349" s="375"/>
      <c r="M349" s="375"/>
      <c r="N349" s="375"/>
      <c r="O349" s="375"/>
      <c r="P349" s="375"/>
      <c r="Q349" s="380"/>
      <c r="R349" s="374">
        <v>46054</v>
      </c>
      <c r="S349" s="375"/>
      <c r="T349" s="375"/>
      <c r="U349" s="375"/>
      <c r="V349" s="375"/>
      <c r="W349" s="375"/>
      <c r="X349" s="375"/>
      <c r="Y349" s="375"/>
      <c r="Z349" s="380"/>
      <c r="AA349" s="374">
        <v>46082</v>
      </c>
      <c r="AB349" s="375"/>
      <c r="AC349" s="375"/>
      <c r="AD349" s="375"/>
      <c r="AE349" s="375"/>
      <c r="AF349" s="375"/>
      <c r="AG349" s="375"/>
      <c r="AH349" s="375"/>
      <c r="AI349" s="380"/>
      <c r="AJ349" s="377" t="s">
        <v>36</v>
      </c>
      <c r="AK349" s="378"/>
      <c r="AL349" s="379"/>
      <c r="AN349" s="72"/>
      <c r="AO349" s="374">
        <v>46113</v>
      </c>
      <c r="AP349" s="375"/>
      <c r="AQ349" s="375"/>
      <c r="AR349" s="375"/>
      <c r="AS349" s="375"/>
      <c r="AT349" s="375"/>
      <c r="AU349" s="375"/>
      <c r="AV349" s="375"/>
      <c r="AW349" s="376"/>
      <c r="AX349" s="374">
        <v>46143</v>
      </c>
      <c r="AY349" s="375"/>
      <c r="AZ349" s="375"/>
      <c r="BA349" s="375"/>
      <c r="BB349" s="375"/>
      <c r="BC349" s="375"/>
      <c r="BD349" s="375"/>
      <c r="BE349" s="375"/>
      <c r="BF349" s="376"/>
      <c r="BG349" s="374">
        <v>46174</v>
      </c>
      <c r="BH349" s="375"/>
      <c r="BI349" s="375"/>
      <c r="BJ349" s="375"/>
      <c r="BK349" s="375"/>
      <c r="BL349" s="375"/>
      <c r="BM349" s="375"/>
      <c r="BN349" s="375"/>
      <c r="BO349" s="376"/>
      <c r="BP349" s="377" t="s">
        <v>37</v>
      </c>
      <c r="BQ349" s="378"/>
      <c r="BR349" s="379"/>
      <c r="BT349" s="72"/>
      <c r="BU349" s="374">
        <v>46204</v>
      </c>
      <c r="BV349" s="375"/>
      <c r="BW349" s="375"/>
      <c r="BX349" s="375"/>
      <c r="BY349" s="375"/>
      <c r="BZ349" s="375"/>
      <c r="CA349" s="375"/>
      <c r="CB349" s="375"/>
      <c r="CC349" s="376"/>
      <c r="CD349" s="374">
        <v>46235</v>
      </c>
      <c r="CE349" s="375"/>
      <c r="CF349" s="375"/>
      <c r="CG349" s="375"/>
      <c r="CH349" s="375"/>
      <c r="CI349" s="375"/>
      <c r="CJ349" s="375"/>
      <c r="CK349" s="375"/>
      <c r="CL349" s="376"/>
      <c r="CM349" s="374">
        <v>46266</v>
      </c>
      <c r="CN349" s="375"/>
      <c r="CO349" s="375"/>
      <c r="CP349" s="375"/>
      <c r="CQ349" s="375"/>
      <c r="CR349" s="375"/>
      <c r="CS349" s="375"/>
      <c r="CT349" s="375"/>
      <c r="CU349" s="376"/>
      <c r="CV349" s="377" t="s">
        <v>38</v>
      </c>
      <c r="CW349" s="378"/>
      <c r="CX349" s="379"/>
      <c r="CZ349" s="72"/>
      <c r="DA349" s="374">
        <v>46296</v>
      </c>
      <c r="DB349" s="375"/>
      <c r="DC349" s="375"/>
      <c r="DD349" s="375"/>
      <c r="DE349" s="375"/>
      <c r="DF349" s="375"/>
      <c r="DG349" s="375"/>
      <c r="DH349" s="375"/>
      <c r="DI349" s="376"/>
      <c r="DJ349" s="374">
        <v>46327</v>
      </c>
      <c r="DK349" s="375"/>
      <c r="DL349" s="375"/>
      <c r="DM349" s="375"/>
      <c r="DN349" s="375"/>
      <c r="DO349" s="375"/>
      <c r="DP349" s="375"/>
      <c r="DQ349" s="375"/>
      <c r="DR349" s="376"/>
      <c r="DS349" s="374">
        <v>46357</v>
      </c>
      <c r="DT349" s="375"/>
      <c r="DU349" s="375"/>
      <c r="DV349" s="375"/>
      <c r="DW349" s="375"/>
      <c r="DX349" s="375"/>
      <c r="DY349" s="375"/>
      <c r="DZ349" s="375"/>
      <c r="EA349" s="376"/>
      <c r="EB349" s="377" t="s">
        <v>39</v>
      </c>
      <c r="EC349" s="378"/>
      <c r="ED349" s="379"/>
    </row>
    <row r="350" spans="1:134" s="71" customFormat="1" ht="21.95" customHeight="1" thickBot="1" x14ac:dyDescent="0.65">
      <c r="A350" s="6"/>
      <c r="B350" s="6"/>
      <c r="C350" s="6"/>
      <c r="D350" s="6"/>
      <c r="E350" s="6"/>
      <c r="F350" s="6"/>
      <c r="H350" s="224">
        <f>H8*J3</f>
        <v>196886.76729791518</v>
      </c>
      <c r="I350" s="373">
        <v>148652</v>
      </c>
      <c r="J350" s="373"/>
      <c r="K350" s="372">
        <v>10</v>
      </c>
      <c r="L350" s="372"/>
      <c r="M350" s="372">
        <v>20</v>
      </c>
      <c r="N350" s="372"/>
      <c r="O350" s="372">
        <v>30</v>
      </c>
      <c r="P350" s="372"/>
      <c r="Q350" s="132" t="s">
        <v>40</v>
      </c>
      <c r="R350" s="373">
        <v>148652</v>
      </c>
      <c r="S350" s="373"/>
      <c r="T350" s="372">
        <v>10</v>
      </c>
      <c r="U350" s="372"/>
      <c r="V350" s="372">
        <v>20</v>
      </c>
      <c r="W350" s="372"/>
      <c r="X350" s="372">
        <v>30</v>
      </c>
      <c r="Y350" s="372"/>
      <c r="Z350" s="132" t="s">
        <v>40</v>
      </c>
      <c r="AA350" s="373">
        <v>148652</v>
      </c>
      <c r="AB350" s="373"/>
      <c r="AC350" s="372">
        <v>10</v>
      </c>
      <c r="AD350" s="372"/>
      <c r="AE350" s="372">
        <v>20</v>
      </c>
      <c r="AF350" s="372"/>
      <c r="AG350" s="372">
        <v>30</v>
      </c>
      <c r="AH350" s="372"/>
      <c r="AI350" s="132" t="s">
        <v>40</v>
      </c>
      <c r="AJ350" s="80" t="s">
        <v>41</v>
      </c>
      <c r="AK350" s="80" t="s">
        <v>42</v>
      </c>
      <c r="AL350" s="80" t="s">
        <v>40</v>
      </c>
      <c r="AN350" s="72"/>
      <c r="AO350" s="373"/>
      <c r="AP350" s="373"/>
      <c r="AQ350" s="372">
        <v>10</v>
      </c>
      <c r="AR350" s="372"/>
      <c r="AS350" s="372">
        <v>20</v>
      </c>
      <c r="AT350" s="372"/>
      <c r="AU350" s="372">
        <v>30</v>
      </c>
      <c r="AV350" s="372"/>
      <c r="AW350" s="132" t="s">
        <v>40</v>
      </c>
      <c r="AX350" s="373"/>
      <c r="AY350" s="373"/>
      <c r="AZ350" s="372">
        <v>10</v>
      </c>
      <c r="BA350" s="372"/>
      <c r="BB350" s="372">
        <v>20</v>
      </c>
      <c r="BC350" s="372"/>
      <c r="BD350" s="372">
        <v>31</v>
      </c>
      <c r="BE350" s="372"/>
      <c r="BF350" s="132" t="s">
        <v>40</v>
      </c>
      <c r="BG350" s="373"/>
      <c r="BH350" s="373"/>
      <c r="BI350" s="372">
        <v>10</v>
      </c>
      <c r="BJ350" s="372"/>
      <c r="BK350" s="372">
        <v>20</v>
      </c>
      <c r="BL350" s="372"/>
      <c r="BM350" s="372">
        <v>30</v>
      </c>
      <c r="BN350" s="372"/>
      <c r="BO350" s="132" t="s">
        <v>40</v>
      </c>
      <c r="BP350" s="80" t="s">
        <v>41</v>
      </c>
      <c r="BQ350" s="80" t="s">
        <v>42</v>
      </c>
      <c r="BR350" s="80" t="s">
        <v>40</v>
      </c>
      <c r="BT350" s="72"/>
      <c r="BU350" s="370"/>
      <c r="BV350" s="371"/>
      <c r="BW350" s="369">
        <v>10</v>
      </c>
      <c r="BX350" s="369"/>
      <c r="BY350" s="369">
        <v>20</v>
      </c>
      <c r="BZ350" s="369"/>
      <c r="CA350" s="369">
        <v>30</v>
      </c>
      <c r="CB350" s="369"/>
      <c r="CC350" s="76" t="s">
        <v>40</v>
      </c>
      <c r="CD350" s="370"/>
      <c r="CE350" s="371"/>
      <c r="CF350" s="369">
        <v>10</v>
      </c>
      <c r="CG350" s="369"/>
      <c r="CH350" s="369">
        <v>20</v>
      </c>
      <c r="CI350" s="369"/>
      <c r="CJ350" s="369">
        <v>30</v>
      </c>
      <c r="CK350" s="369"/>
      <c r="CL350" s="76" t="s">
        <v>40</v>
      </c>
      <c r="CM350" s="370"/>
      <c r="CN350" s="371"/>
      <c r="CO350" s="369">
        <v>10</v>
      </c>
      <c r="CP350" s="369"/>
      <c r="CQ350" s="369">
        <v>20</v>
      </c>
      <c r="CR350" s="369"/>
      <c r="CS350" s="369">
        <v>30</v>
      </c>
      <c r="CT350" s="369"/>
      <c r="CU350" s="76" t="s">
        <v>40</v>
      </c>
      <c r="CV350" s="77" t="s">
        <v>41</v>
      </c>
      <c r="CW350" s="78" t="s">
        <v>42</v>
      </c>
      <c r="CX350" s="79" t="s">
        <v>40</v>
      </c>
      <c r="CZ350" s="72"/>
      <c r="DA350" s="370"/>
      <c r="DB350" s="371"/>
      <c r="DC350" s="369">
        <v>10</v>
      </c>
      <c r="DD350" s="369"/>
      <c r="DE350" s="369">
        <v>20</v>
      </c>
      <c r="DF350" s="369"/>
      <c r="DG350" s="369">
        <v>30</v>
      </c>
      <c r="DH350" s="369"/>
      <c r="DI350" s="76" t="s">
        <v>40</v>
      </c>
      <c r="DJ350" s="370"/>
      <c r="DK350" s="371"/>
      <c r="DL350" s="369">
        <v>10</v>
      </c>
      <c r="DM350" s="369"/>
      <c r="DN350" s="369">
        <v>20</v>
      </c>
      <c r="DO350" s="369"/>
      <c r="DP350" s="369">
        <v>30</v>
      </c>
      <c r="DQ350" s="369"/>
      <c r="DR350" s="76" t="s">
        <v>40</v>
      </c>
      <c r="DS350" s="370"/>
      <c r="DT350" s="371"/>
      <c r="DU350" s="369">
        <v>10</v>
      </c>
      <c r="DV350" s="369"/>
      <c r="DW350" s="369">
        <v>20</v>
      </c>
      <c r="DX350" s="369"/>
      <c r="DY350" s="369">
        <v>30</v>
      </c>
      <c r="DZ350" s="369"/>
      <c r="EA350" s="76" t="s">
        <v>40</v>
      </c>
      <c r="EB350" s="77" t="s">
        <v>41</v>
      </c>
      <c r="EC350" s="78" t="s">
        <v>42</v>
      </c>
      <c r="ED350" s="79" t="s">
        <v>40</v>
      </c>
    </row>
    <row r="351" spans="1:134" s="6" customFormat="1" ht="21.95" customHeight="1" x14ac:dyDescent="0.6">
      <c r="A351" s="80" t="s">
        <v>43</v>
      </c>
      <c r="B351" s="80" t="s">
        <v>689</v>
      </c>
      <c r="C351" s="80" t="s">
        <v>690</v>
      </c>
      <c r="D351" s="80" t="s">
        <v>691</v>
      </c>
      <c r="E351" s="80" t="s">
        <v>692</v>
      </c>
      <c r="F351" s="80" t="s">
        <v>693</v>
      </c>
      <c r="G351" s="81"/>
      <c r="H351" s="82" t="s">
        <v>189</v>
      </c>
      <c r="I351" s="73" t="s">
        <v>716</v>
      </c>
      <c r="J351" s="74" t="s">
        <v>50</v>
      </c>
      <c r="K351" s="74" t="s">
        <v>51</v>
      </c>
      <c r="L351" s="74" t="s">
        <v>50</v>
      </c>
      <c r="M351" s="74" t="s">
        <v>51</v>
      </c>
      <c r="N351" s="74" t="s">
        <v>50</v>
      </c>
      <c r="O351" s="74" t="s">
        <v>51</v>
      </c>
      <c r="P351" s="74" t="s">
        <v>50</v>
      </c>
      <c r="Q351" s="75" t="s">
        <v>50</v>
      </c>
      <c r="R351" s="73" t="s">
        <v>716</v>
      </c>
      <c r="S351" s="74" t="s">
        <v>50</v>
      </c>
      <c r="T351" s="74" t="s">
        <v>51</v>
      </c>
      <c r="U351" s="74" t="s">
        <v>50</v>
      </c>
      <c r="V351" s="74" t="s">
        <v>51</v>
      </c>
      <c r="W351" s="74" t="s">
        <v>50</v>
      </c>
      <c r="X351" s="74" t="s">
        <v>51</v>
      </c>
      <c r="Y351" s="74" t="s">
        <v>50</v>
      </c>
      <c r="Z351" s="75" t="s">
        <v>50</v>
      </c>
      <c r="AA351" s="73" t="s">
        <v>716</v>
      </c>
      <c r="AB351" s="74" t="s">
        <v>50</v>
      </c>
      <c r="AC351" s="74" t="s">
        <v>51</v>
      </c>
      <c r="AD351" s="74" t="s">
        <v>50</v>
      </c>
      <c r="AE351" s="74" t="s">
        <v>51</v>
      </c>
      <c r="AF351" s="74" t="s">
        <v>50</v>
      </c>
      <c r="AG351" s="74" t="s">
        <v>51</v>
      </c>
      <c r="AH351" s="74" t="s">
        <v>50</v>
      </c>
      <c r="AI351" s="75" t="s">
        <v>50</v>
      </c>
      <c r="AJ351" s="73" t="s">
        <v>50</v>
      </c>
      <c r="AK351" s="74" t="s">
        <v>50</v>
      </c>
      <c r="AL351" s="80"/>
      <c r="AN351" s="82"/>
      <c r="AO351" s="73" t="s">
        <v>49</v>
      </c>
      <c r="AP351" s="74" t="s">
        <v>51</v>
      </c>
      <c r="AQ351" s="74" t="s">
        <v>51</v>
      </c>
      <c r="AR351" s="74" t="s">
        <v>50</v>
      </c>
      <c r="AS351" s="74" t="s">
        <v>51</v>
      </c>
      <c r="AT351" s="74" t="s">
        <v>50</v>
      </c>
      <c r="AU351" s="74" t="s">
        <v>51</v>
      </c>
      <c r="AV351" s="74" t="s">
        <v>50</v>
      </c>
      <c r="AW351" s="75" t="s">
        <v>51</v>
      </c>
      <c r="AX351" s="73" t="s">
        <v>49</v>
      </c>
      <c r="AY351" s="74" t="s">
        <v>51</v>
      </c>
      <c r="AZ351" s="74" t="s">
        <v>51</v>
      </c>
      <c r="BA351" s="74" t="s">
        <v>50</v>
      </c>
      <c r="BB351" s="74" t="s">
        <v>51</v>
      </c>
      <c r="BC351" s="74" t="s">
        <v>50</v>
      </c>
      <c r="BD351" s="74" t="s">
        <v>51</v>
      </c>
      <c r="BE351" s="74" t="s">
        <v>50</v>
      </c>
      <c r="BF351" s="75" t="s">
        <v>51</v>
      </c>
      <c r="BG351" s="73" t="s">
        <v>49</v>
      </c>
      <c r="BH351" s="74" t="s">
        <v>51</v>
      </c>
      <c r="BI351" s="74" t="s">
        <v>51</v>
      </c>
      <c r="BJ351" s="74" t="s">
        <v>50</v>
      </c>
      <c r="BK351" s="74" t="s">
        <v>51</v>
      </c>
      <c r="BL351" s="74" t="s">
        <v>50</v>
      </c>
      <c r="BM351" s="74" t="s">
        <v>51</v>
      </c>
      <c r="BN351" s="74" t="s">
        <v>50</v>
      </c>
      <c r="BO351" s="75" t="s">
        <v>51</v>
      </c>
      <c r="BP351" s="80" t="s">
        <v>51</v>
      </c>
      <c r="BQ351" s="80" t="s">
        <v>51</v>
      </c>
      <c r="BR351" s="80"/>
      <c r="BT351" s="82"/>
      <c r="BU351" s="73" t="s">
        <v>49</v>
      </c>
      <c r="BV351" s="74" t="s">
        <v>51</v>
      </c>
      <c r="BW351" s="74" t="s">
        <v>51</v>
      </c>
      <c r="BX351" s="74" t="s">
        <v>50</v>
      </c>
      <c r="BY351" s="74" t="s">
        <v>51</v>
      </c>
      <c r="BZ351" s="74" t="s">
        <v>50</v>
      </c>
      <c r="CA351" s="74" t="s">
        <v>51</v>
      </c>
      <c r="CB351" s="74" t="s">
        <v>50</v>
      </c>
      <c r="CC351" s="75" t="s">
        <v>51</v>
      </c>
      <c r="CD351" s="73" t="s">
        <v>49</v>
      </c>
      <c r="CE351" s="74" t="s">
        <v>51</v>
      </c>
      <c r="CF351" s="74" t="s">
        <v>51</v>
      </c>
      <c r="CG351" s="74" t="s">
        <v>50</v>
      </c>
      <c r="CH351" s="74" t="s">
        <v>51</v>
      </c>
      <c r="CI351" s="74" t="s">
        <v>50</v>
      </c>
      <c r="CJ351" s="74" t="s">
        <v>51</v>
      </c>
      <c r="CK351" s="74" t="s">
        <v>50</v>
      </c>
      <c r="CL351" s="75" t="s">
        <v>51</v>
      </c>
      <c r="CM351" s="73" t="s">
        <v>49</v>
      </c>
      <c r="CN351" s="74" t="s">
        <v>51</v>
      </c>
      <c r="CO351" s="74" t="s">
        <v>51</v>
      </c>
      <c r="CP351" s="74" t="s">
        <v>50</v>
      </c>
      <c r="CQ351" s="74" t="s">
        <v>51</v>
      </c>
      <c r="CR351" s="74" t="s">
        <v>50</v>
      </c>
      <c r="CS351" s="74" t="s">
        <v>51</v>
      </c>
      <c r="CT351" s="74" t="s">
        <v>50</v>
      </c>
      <c r="CU351" s="75" t="s">
        <v>51</v>
      </c>
      <c r="CV351" s="73" t="s">
        <v>51</v>
      </c>
      <c r="CW351" s="74" t="s">
        <v>51</v>
      </c>
      <c r="CX351" s="75"/>
      <c r="CZ351" s="82"/>
      <c r="DA351" s="73" t="s">
        <v>49</v>
      </c>
      <c r="DB351" s="74" t="s">
        <v>51</v>
      </c>
      <c r="DC351" s="74" t="s">
        <v>51</v>
      </c>
      <c r="DD351" s="74" t="s">
        <v>50</v>
      </c>
      <c r="DE351" s="74" t="s">
        <v>51</v>
      </c>
      <c r="DF351" s="74" t="s">
        <v>50</v>
      </c>
      <c r="DG351" s="74" t="s">
        <v>51</v>
      </c>
      <c r="DH351" s="74" t="s">
        <v>50</v>
      </c>
      <c r="DI351" s="75" t="s">
        <v>51</v>
      </c>
      <c r="DJ351" s="73" t="s">
        <v>49</v>
      </c>
      <c r="DK351" s="74" t="s">
        <v>51</v>
      </c>
      <c r="DL351" s="74" t="s">
        <v>51</v>
      </c>
      <c r="DM351" s="74" t="s">
        <v>50</v>
      </c>
      <c r="DN351" s="74" t="s">
        <v>51</v>
      </c>
      <c r="DO351" s="74" t="s">
        <v>50</v>
      </c>
      <c r="DP351" s="74" t="s">
        <v>51</v>
      </c>
      <c r="DQ351" s="74" t="s">
        <v>50</v>
      </c>
      <c r="DR351" s="75" t="s">
        <v>51</v>
      </c>
      <c r="DS351" s="73" t="s">
        <v>49</v>
      </c>
      <c r="DT351" s="74" t="s">
        <v>51</v>
      </c>
      <c r="DU351" s="74" t="s">
        <v>51</v>
      </c>
      <c r="DV351" s="74" t="s">
        <v>50</v>
      </c>
      <c r="DW351" s="74" t="s">
        <v>51</v>
      </c>
      <c r="DX351" s="74" t="s">
        <v>50</v>
      </c>
      <c r="DY351" s="74" t="s">
        <v>51</v>
      </c>
      <c r="DZ351" s="74" t="s">
        <v>50</v>
      </c>
      <c r="EA351" s="75" t="s">
        <v>51</v>
      </c>
      <c r="EB351" s="73" t="s">
        <v>51</v>
      </c>
      <c r="EC351" s="74" t="s">
        <v>51</v>
      </c>
      <c r="ED351" s="74" t="s">
        <v>51</v>
      </c>
    </row>
    <row r="352" spans="1:134" ht="21.95" customHeight="1" x14ac:dyDescent="0.5">
      <c r="A352" s="198">
        <v>1</v>
      </c>
      <c r="B352" s="199" t="s">
        <v>694</v>
      </c>
      <c r="C352" s="363" t="s">
        <v>695</v>
      </c>
      <c r="D352" s="200" t="s">
        <v>696</v>
      </c>
      <c r="E352" s="80">
        <v>480</v>
      </c>
      <c r="F352" s="198">
        <v>2</v>
      </c>
      <c r="G352" s="201"/>
      <c r="H352" s="219">
        <v>6.5727273355165469E-2</v>
      </c>
      <c r="I352" s="202">
        <f>H352*$H$350</f>
        <v>12940.830374204925</v>
      </c>
      <c r="J352" s="112">
        <f t="shared" ref="J352:J360" si="217">H352*$I$350</f>
        <v>9770.4906387920582</v>
      </c>
      <c r="K352" s="92">
        <v>3905</v>
      </c>
      <c r="L352" s="92">
        <v>2259.2900000000004</v>
      </c>
      <c r="M352" s="92">
        <v>8060</v>
      </c>
      <c r="N352" s="92">
        <v>4936.46</v>
      </c>
      <c r="O352" s="92">
        <v>14468</v>
      </c>
      <c r="P352" s="92">
        <v>9154.6999999999989</v>
      </c>
      <c r="Q352" s="93">
        <f>IFERROR(P352/J352,0)</f>
        <v>0.93697444053145418</v>
      </c>
      <c r="R352" s="94">
        <v>12940.830374204937</v>
      </c>
      <c r="S352" s="91">
        <v>9770.4906387920582</v>
      </c>
      <c r="T352" s="92">
        <v>2555</v>
      </c>
      <c r="U352" s="92">
        <v>1586.02</v>
      </c>
      <c r="V352" s="92">
        <v>5878</v>
      </c>
      <c r="W352" s="92">
        <v>3753.56</v>
      </c>
      <c r="X352" s="92">
        <v>10105</v>
      </c>
      <c r="Y352" s="92">
        <v>6424.9400000000005</v>
      </c>
      <c r="Z352" s="93">
        <f t="shared" ref="Z352:Z360" si="218">IFERROR(Y352/S352,0)</f>
        <v>0.65758621931337591</v>
      </c>
      <c r="AA352" s="94">
        <v>12940.830374204937</v>
      </c>
      <c r="AB352" s="91">
        <v>9770.4906387920582</v>
      </c>
      <c r="AC352" s="92">
        <v>1538</v>
      </c>
      <c r="AD352" s="92">
        <v>1080.8800000000001</v>
      </c>
      <c r="AE352" s="92">
        <v>6834</v>
      </c>
      <c r="AF352" s="92">
        <v>4758.5600000000004</v>
      </c>
      <c r="AG352" s="92"/>
      <c r="AH352" s="92"/>
      <c r="AI352" s="93">
        <f t="shared" ref="AI352:AI360" si="219">IFERROR(AH352/AB352,0)</f>
        <v>0</v>
      </c>
      <c r="AJ352" s="95">
        <f t="shared" ref="AJ352:AJ360" si="220">+J352+S352+AB352</f>
        <v>29311.471916376177</v>
      </c>
      <c r="AK352" s="96">
        <f t="shared" ref="AK352:AK360" si="221">+P352+Y352+AH352</f>
        <v>15579.64</v>
      </c>
      <c r="AL352" s="97">
        <f t="shared" ref="AL352:AL360" si="222">IFERROR((AK352/AJ352),0)</f>
        <v>0.5315202199482767</v>
      </c>
      <c r="AN352" s="89"/>
      <c r="AO352" s="203"/>
      <c r="AP352" s="204"/>
      <c r="AQ352" s="92"/>
      <c r="AR352" s="92"/>
      <c r="AS352" s="92"/>
      <c r="AT352" s="92"/>
      <c r="AU352" s="92"/>
      <c r="AV352" s="92"/>
      <c r="AW352" s="93">
        <f t="shared" ref="AW352:AW360" si="223">IFERROR(AU352/AP352,0)</f>
        <v>0</v>
      </c>
      <c r="AX352" s="203"/>
      <c r="AY352" s="204"/>
      <c r="AZ352" s="92"/>
      <c r="BA352" s="92"/>
      <c r="BB352" s="92"/>
      <c r="BC352" s="92"/>
      <c r="BD352" s="92"/>
      <c r="BE352" s="92"/>
      <c r="BF352" s="93">
        <v>0.94153670875295048</v>
      </c>
      <c r="BG352" s="203"/>
      <c r="BH352" s="204"/>
      <c r="BI352" s="92"/>
      <c r="BJ352" s="92"/>
      <c r="BK352" s="92"/>
      <c r="BL352" s="92"/>
      <c r="BM352" s="92"/>
      <c r="BN352" s="92"/>
      <c r="BO352" s="93">
        <f t="shared" ref="BO352:BO360" si="224">IFERROR(BM352/BH352,0)</f>
        <v>0</v>
      </c>
      <c r="BP352" s="95">
        <f t="shared" ref="BP352:BP360" si="225">+AP352+AY352+BH352</f>
        <v>0</v>
      </c>
      <c r="BQ352" s="96">
        <f t="shared" ref="BQ352:BQ360" si="226">+AU352+BD352+BM352</f>
        <v>0</v>
      </c>
      <c r="BR352" s="97">
        <f t="shared" ref="BR352:BR360" si="227">IFERROR((BQ352/BP352),0)</f>
        <v>0</v>
      </c>
      <c r="BT352" s="110"/>
      <c r="BU352" s="202"/>
      <c r="BV352" s="112"/>
      <c r="BW352" s="92"/>
      <c r="BX352" s="92"/>
      <c r="BY352" s="92"/>
      <c r="BZ352" s="92"/>
      <c r="CA352" s="92"/>
      <c r="CB352" s="92"/>
      <c r="CC352" s="93">
        <f t="shared" ref="CC352:CC360" si="228">IFERROR(CA352/BV352,0)</f>
        <v>0</v>
      </c>
      <c r="CD352" s="202"/>
      <c r="CE352" s="112"/>
      <c r="CF352" s="92"/>
      <c r="CG352" s="92"/>
      <c r="CH352" s="92"/>
      <c r="CI352" s="92"/>
      <c r="CJ352" s="92"/>
      <c r="CK352" s="92"/>
      <c r="CL352" s="93">
        <f t="shared" ref="CL352:CL360" si="229">IFERROR(CJ352/CE352,0)</f>
        <v>0</v>
      </c>
      <c r="CM352" s="202"/>
      <c r="CN352" s="112"/>
      <c r="CO352" s="92"/>
      <c r="CP352" s="92"/>
      <c r="CQ352" s="92"/>
      <c r="CR352" s="92"/>
      <c r="CS352" s="92"/>
      <c r="CT352" s="92"/>
      <c r="CU352" s="93">
        <f t="shared" ref="CU352:CU360" si="230">IFERROR(CS352/CN352,0)</f>
        <v>0</v>
      </c>
      <c r="CV352" s="95">
        <f t="shared" ref="CV352:CV360" si="231">+BV352+CE352+CN352</f>
        <v>0</v>
      </c>
      <c r="CW352" s="96">
        <f t="shared" ref="CW352:CW360" si="232">+CA352+CJ352+CS352</f>
        <v>0</v>
      </c>
      <c r="CX352" s="97">
        <f t="shared" ref="CX352:CX360" si="233">IFERROR((CW352/CV352),0)</f>
        <v>0</v>
      </c>
      <c r="CZ352" s="110"/>
      <c r="DA352" s="202"/>
      <c r="DB352" s="112"/>
      <c r="DC352" s="92"/>
      <c r="DD352" s="92"/>
      <c r="DE352" s="92"/>
      <c r="DF352" s="92"/>
      <c r="DG352" s="92"/>
      <c r="DH352" s="92"/>
      <c r="DI352" s="93">
        <f t="shared" ref="DI352:DI360" si="234">IFERROR(DG352/DB352,0)</f>
        <v>0</v>
      </c>
      <c r="DJ352" s="202"/>
      <c r="DK352" s="112"/>
      <c r="DL352" s="92"/>
      <c r="DM352" s="92"/>
      <c r="DN352" s="92"/>
      <c r="DO352" s="92"/>
      <c r="DP352" s="92"/>
      <c r="DQ352" s="92"/>
      <c r="DR352" s="93">
        <f t="shared" ref="DR352:DR360" si="235">IFERROR(DP352/DK352,0)</f>
        <v>0</v>
      </c>
      <c r="DS352" s="202"/>
      <c r="DT352" s="112"/>
      <c r="DU352" s="92"/>
      <c r="DV352" s="92"/>
      <c r="DW352" s="92"/>
      <c r="DX352" s="92"/>
      <c r="DY352" s="92"/>
      <c r="DZ352" s="92"/>
      <c r="EA352" s="93">
        <f t="shared" ref="EA352:EA360" si="236">IFERROR(DY352/DT352,0)</f>
        <v>0</v>
      </c>
      <c r="EB352" s="95">
        <f t="shared" ref="EB352:EB360" si="237">+DB352+DK352+DT352</f>
        <v>0</v>
      </c>
      <c r="EC352" s="96">
        <f t="shared" ref="EC352:EC360" si="238">+DG352+DP352+DY352</f>
        <v>0</v>
      </c>
      <c r="ED352" s="97">
        <f t="shared" ref="ED352:ED360" si="239">IFERROR((EC352/EB352),0)</f>
        <v>0</v>
      </c>
    </row>
    <row r="353" spans="1:134" ht="21.95" customHeight="1" x14ac:dyDescent="0.5">
      <c r="A353" s="198">
        <v>2</v>
      </c>
      <c r="B353" s="199" t="s">
        <v>697</v>
      </c>
      <c r="C353" s="364"/>
      <c r="D353" s="205" t="s">
        <v>698</v>
      </c>
      <c r="E353" s="80">
        <v>435</v>
      </c>
      <c r="F353" s="198">
        <v>2</v>
      </c>
      <c r="G353" s="201"/>
      <c r="H353" s="220">
        <v>5.9424800022891189E-2</v>
      </c>
      <c r="I353" s="202">
        <f t="shared" ref="I353:I360" si="240">H353*$H$350</f>
        <v>11699.956773832122</v>
      </c>
      <c r="J353" s="112">
        <f t="shared" si="217"/>
        <v>8833.6153730028218</v>
      </c>
      <c r="K353" s="92">
        <v>8062</v>
      </c>
      <c r="L353" s="92">
        <v>5469.92</v>
      </c>
      <c r="M353" s="92">
        <v>15160</v>
      </c>
      <c r="N353" s="92">
        <v>10133.68</v>
      </c>
      <c r="O353" s="92">
        <v>20852</v>
      </c>
      <c r="P353" s="92">
        <v>13785.999999999998</v>
      </c>
      <c r="Q353" s="93">
        <f t="shared" ref="Q353:Q360" si="241">IFERROR(P353/J353,0)</f>
        <v>1.5606294159164535</v>
      </c>
      <c r="R353" s="94">
        <v>11699.956773832135</v>
      </c>
      <c r="S353" s="91">
        <v>8833.6153730028218</v>
      </c>
      <c r="T353" s="92">
        <v>5256</v>
      </c>
      <c r="U353" s="92">
        <v>3307.04</v>
      </c>
      <c r="V353" s="92">
        <v>10622</v>
      </c>
      <c r="W353" s="92">
        <v>6576.9600000000019</v>
      </c>
      <c r="X353" s="92">
        <v>13412</v>
      </c>
      <c r="Y353" s="92">
        <v>8464.2400000000016</v>
      </c>
      <c r="Z353" s="93">
        <f t="shared" si="218"/>
        <v>0.95818525514120745</v>
      </c>
      <c r="AA353" s="94">
        <v>11699.956773832135</v>
      </c>
      <c r="AB353" s="91">
        <v>8833.6153730028218</v>
      </c>
      <c r="AC353" s="92">
        <v>3108</v>
      </c>
      <c r="AD353" s="92">
        <v>2263.6</v>
      </c>
      <c r="AE353" s="92">
        <v>8350</v>
      </c>
      <c r="AF353" s="92">
        <v>5540.8000000000011</v>
      </c>
      <c r="AG353" s="92"/>
      <c r="AH353" s="92"/>
      <c r="AI353" s="93">
        <f t="shared" si="219"/>
        <v>0</v>
      </c>
      <c r="AJ353" s="95">
        <f t="shared" si="220"/>
        <v>26500.846119008464</v>
      </c>
      <c r="AK353" s="96">
        <f t="shared" si="221"/>
        <v>22250.239999999998</v>
      </c>
      <c r="AL353" s="97">
        <f t="shared" si="222"/>
        <v>0.8396048903525537</v>
      </c>
      <c r="AN353" s="89"/>
      <c r="AO353" s="203"/>
      <c r="AP353" s="204"/>
      <c r="AQ353" s="92"/>
      <c r="AR353" s="92"/>
      <c r="AS353" s="92"/>
      <c r="AT353" s="92"/>
      <c r="AU353" s="92"/>
      <c r="AV353" s="92"/>
      <c r="AW353" s="93">
        <f t="shared" si="223"/>
        <v>0</v>
      </c>
      <c r="AX353" s="203"/>
      <c r="AY353" s="204"/>
      <c r="AZ353" s="92"/>
      <c r="BA353" s="92"/>
      <c r="BB353" s="92"/>
      <c r="BC353" s="92"/>
      <c r="BD353" s="92"/>
      <c r="BE353" s="92"/>
      <c r="BF353" s="93">
        <v>0.79096942439212425</v>
      </c>
      <c r="BG353" s="203"/>
      <c r="BH353" s="204"/>
      <c r="BI353" s="92"/>
      <c r="BJ353" s="92"/>
      <c r="BK353" s="92"/>
      <c r="BL353" s="92"/>
      <c r="BM353" s="92"/>
      <c r="BN353" s="92"/>
      <c r="BO353" s="93">
        <f t="shared" si="224"/>
        <v>0</v>
      </c>
      <c r="BP353" s="95">
        <f t="shared" si="225"/>
        <v>0</v>
      </c>
      <c r="BQ353" s="96">
        <f t="shared" si="226"/>
        <v>0</v>
      </c>
      <c r="BR353" s="97">
        <f t="shared" si="227"/>
        <v>0</v>
      </c>
      <c r="BT353" s="206"/>
      <c r="BU353" s="202"/>
      <c r="BV353" s="112"/>
      <c r="BW353" s="92"/>
      <c r="BX353" s="92"/>
      <c r="BY353" s="92"/>
      <c r="BZ353" s="92"/>
      <c r="CA353" s="92"/>
      <c r="CB353" s="92"/>
      <c r="CC353" s="93">
        <f t="shared" si="228"/>
        <v>0</v>
      </c>
      <c r="CD353" s="202"/>
      <c r="CE353" s="112"/>
      <c r="CF353" s="92"/>
      <c r="CG353" s="92"/>
      <c r="CH353" s="92"/>
      <c r="CI353" s="92"/>
      <c r="CJ353" s="92"/>
      <c r="CK353" s="92"/>
      <c r="CL353" s="93">
        <f t="shared" si="229"/>
        <v>0</v>
      </c>
      <c r="CM353" s="202"/>
      <c r="CN353" s="112"/>
      <c r="CO353" s="92"/>
      <c r="CP353" s="92"/>
      <c r="CQ353" s="92"/>
      <c r="CR353" s="92"/>
      <c r="CS353" s="92"/>
      <c r="CT353" s="92"/>
      <c r="CU353" s="93">
        <f t="shared" si="230"/>
        <v>0</v>
      </c>
      <c r="CV353" s="95">
        <f t="shared" si="231"/>
        <v>0</v>
      </c>
      <c r="CW353" s="96">
        <f t="shared" si="232"/>
        <v>0</v>
      </c>
      <c r="CX353" s="97">
        <f t="shared" si="233"/>
        <v>0</v>
      </c>
      <c r="CZ353" s="206"/>
      <c r="DA353" s="202"/>
      <c r="DB353" s="112"/>
      <c r="DC353" s="92"/>
      <c r="DD353" s="92"/>
      <c r="DE353" s="92"/>
      <c r="DF353" s="92"/>
      <c r="DG353" s="92"/>
      <c r="DH353" s="92"/>
      <c r="DI353" s="93">
        <f t="shared" si="234"/>
        <v>0</v>
      </c>
      <c r="DJ353" s="202"/>
      <c r="DK353" s="112"/>
      <c r="DL353" s="92"/>
      <c r="DM353" s="92"/>
      <c r="DN353" s="92"/>
      <c r="DO353" s="92"/>
      <c r="DP353" s="92"/>
      <c r="DQ353" s="92"/>
      <c r="DR353" s="93">
        <f t="shared" si="235"/>
        <v>0</v>
      </c>
      <c r="DS353" s="202"/>
      <c r="DT353" s="112"/>
      <c r="DU353" s="92"/>
      <c r="DV353" s="92"/>
      <c r="DW353" s="92"/>
      <c r="DX353" s="92"/>
      <c r="DY353" s="92"/>
      <c r="DZ353" s="92"/>
      <c r="EA353" s="93">
        <f t="shared" si="236"/>
        <v>0</v>
      </c>
      <c r="EB353" s="95">
        <f t="shared" si="237"/>
        <v>0</v>
      </c>
      <c r="EC353" s="96">
        <f t="shared" si="238"/>
        <v>0</v>
      </c>
      <c r="ED353" s="97">
        <f t="shared" si="239"/>
        <v>0</v>
      </c>
    </row>
    <row r="354" spans="1:134" ht="21.95" customHeight="1" x14ac:dyDescent="0.5">
      <c r="A354" s="198">
        <v>3</v>
      </c>
      <c r="B354" s="199" t="s">
        <v>699</v>
      </c>
      <c r="C354" s="363" t="s">
        <v>700</v>
      </c>
      <c r="D354" s="205" t="s">
        <v>701</v>
      </c>
      <c r="E354" s="80">
        <f>351+192</f>
        <v>543</v>
      </c>
      <c r="F354" s="198">
        <v>2</v>
      </c>
      <c r="G354" s="201"/>
      <c r="H354" s="220">
        <v>0.10272365516812682</v>
      </c>
      <c r="I354" s="202">
        <f t="shared" si="240"/>
        <v>20224.928391078265</v>
      </c>
      <c r="J354" s="112">
        <f t="shared" si="217"/>
        <v>15270.076788052387</v>
      </c>
      <c r="K354" s="92">
        <v>6724</v>
      </c>
      <c r="L354" s="92">
        <v>4509.92</v>
      </c>
      <c r="M354" s="92">
        <v>12726</v>
      </c>
      <c r="N354" s="92">
        <v>8936.0000000000018</v>
      </c>
      <c r="O354" s="92">
        <v>20438</v>
      </c>
      <c r="P354" s="92">
        <v>14426.560000000001</v>
      </c>
      <c r="Q354" s="93">
        <f t="shared" si="241"/>
        <v>0.94476014759058902</v>
      </c>
      <c r="R354" s="94">
        <v>20224.928391078287</v>
      </c>
      <c r="S354" s="91">
        <v>15270.076788052387</v>
      </c>
      <c r="T354" s="92">
        <v>5600</v>
      </c>
      <c r="U354" s="92">
        <v>4106.88</v>
      </c>
      <c r="V354" s="92">
        <v>10872</v>
      </c>
      <c r="W354" s="92">
        <v>7870.48</v>
      </c>
      <c r="X354" s="92">
        <v>14470</v>
      </c>
      <c r="Y354" s="92">
        <v>10565.359999999999</v>
      </c>
      <c r="Z354" s="93">
        <f t="shared" si="218"/>
        <v>0.69189959858398009</v>
      </c>
      <c r="AA354" s="94">
        <v>20224.928391078287</v>
      </c>
      <c r="AB354" s="91">
        <v>15270.076788052387</v>
      </c>
      <c r="AC354" s="92">
        <v>5554</v>
      </c>
      <c r="AD354" s="92">
        <v>4075.2</v>
      </c>
      <c r="AE354" s="92">
        <v>14174</v>
      </c>
      <c r="AF354" s="92">
        <v>10458.799999999999</v>
      </c>
      <c r="AG354" s="92"/>
      <c r="AH354" s="92"/>
      <c r="AI354" s="93">
        <f t="shared" si="219"/>
        <v>0</v>
      </c>
      <c r="AJ354" s="95">
        <f t="shared" si="220"/>
        <v>45810.230364157163</v>
      </c>
      <c r="AK354" s="96">
        <f t="shared" si="221"/>
        <v>24991.919999999998</v>
      </c>
      <c r="AL354" s="97">
        <f t="shared" si="222"/>
        <v>0.54555324872485633</v>
      </c>
      <c r="AN354" s="89"/>
      <c r="AO354" s="203"/>
      <c r="AP354" s="204"/>
      <c r="AQ354" s="92"/>
      <c r="AR354" s="92"/>
      <c r="AS354" s="92"/>
      <c r="AT354" s="92"/>
      <c r="AU354" s="92"/>
      <c r="AV354" s="92"/>
      <c r="AW354" s="93">
        <f t="shared" si="223"/>
        <v>0</v>
      </c>
      <c r="AX354" s="203"/>
      <c r="AY354" s="204"/>
      <c r="AZ354" s="92"/>
      <c r="BA354" s="92"/>
      <c r="BB354" s="92"/>
      <c r="BC354" s="92"/>
      <c r="BD354" s="92"/>
      <c r="BE354" s="92"/>
      <c r="BF354" s="93">
        <v>0.81170393013359499</v>
      </c>
      <c r="BG354" s="203"/>
      <c r="BH354" s="204"/>
      <c r="BI354" s="92"/>
      <c r="BJ354" s="92"/>
      <c r="BK354" s="92"/>
      <c r="BL354" s="92"/>
      <c r="BM354" s="92"/>
      <c r="BN354" s="92"/>
      <c r="BO354" s="93">
        <f t="shared" si="224"/>
        <v>0</v>
      </c>
      <c r="BP354" s="95">
        <f t="shared" si="225"/>
        <v>0</v>
      </c>
      <c r="BQ354" s="96">
        <f t="shared" si="226"/>
        <v>0</v>
      </c>
      <c r="BR354" s="97">
        <f t="shared" si="227"/>
        <v>0</v>
      </c>
      <c r="BT354" s="206"/>
      <c r="BU354" s="202"/>
      <c r="BV354" s="112"/>
      <c r="BW354" s="92"/>
      <c r="BX354" s="92"/>
      <c r="BY354" s="92"/>
      <c r="BZ354" s="92"/>
      <c r="CA354" s="92"/>
      <c r="CB354" s="92"/>
      <c r="CC354" s="93">
        <f t="shared" si="228"/>
        <v>0</v>
      </c>
      <c r="CD354" s="202"/>
      <c r="CE354" s="112"/>
      <c r="CF354" s="92"/>
      <c r="CG354" s="92"/>
      <c r="CH354" s="92"/>
      <c r="CI354" s="92"/>
      <c r="CJ354" s="92"/>
      <c r="CK354" s="92"/>
      <c r="CL354" s="93">
        <f t="shared" si="229"/>
        <v>0</v>
      </c>
      <c r="CM354" s="202"/>
      <c r="CN354" s="112"/>
      <c r="CO354" s="92"/>
      <c r="CP354" s="92"/>
      <c r="CQ354" s="92"/>
      <c r="CR354" s="92"/>
      <c r="CS354" s="92"/>
      <c r="CT354" s="92"/>
      <c r="CU354" s="93">
        <f t="shared" si="230"/>
        <v>0</v>
      </c>
      <c r="CV354" s="95">
        <f t="shared" si="231"/>
        <v>0</v>
      </c>
      <c r="CW354" s="96">
        <f t="shared" si="232"/>
        <v>0</v>
      </c>
      <c r="CX354" s="97">
        <f t="shared" si="233"/>
        <v>0</v>
      </c>
      <c r="CZ354" s="206"/>
      <c r="DA354" s="202"/>
      <c r="DB354" s="112"/>
      <c r="DC354" s="92"/>
      <c r="DD354" s="92"/>
      <c r="DE354" s="92"/>
      <c r="DF354" s="92"/>
      <c r="DG354" s="92"/>
      <c r="DH354" s="92"/>
      <c r="DI354" s="93">
        <f t="shared" si="234"/>
        <v>0</v>
      </c>
      <c r="DJ354" s="202"/>
      <c r="DK354" s="112"/>
      <c r="DL354" s="92"/>
      <c r="DM354" s="92"/>
      <c r="DN354" s="92"/>
      <c r="DO354" s="92"/>
      <c r="DP354" s="92"/>
      <c r="DQ354" s="92"/>
      <c r="DR354" s="93">
        <f t="shared" si="235"/>
        <v>0</v>
      </c>
      <c r="DS354" s="202"/>
      <c r="DT354" s="112"/>
      <c r="DU354" s="92"/>
      <c r="DV354" s="92"/>
      <c r="DW354" s="92"/>
      <c r="DX354" s="92"/>
      <c r="DY354" s="92"/>
      <c r="DZ354" s="92"/>
      <c r="EA354" s="93">
        <f t="shared" si="236"/>
        <v>0</v>
      </c>
      <c r="EB354" s="95">
        <f t="shared" si="237"/>
        <v>0</v>
      </c>
      <c r="EC354" s="96">
        <f t="shared" si="238"/>
        <v>0</v>
      </c>
      <c r="ED354" s="97">
        <f t="shared" si="239"/>
        <v>0</v>
      </c>
    </row>
    <row r="355" spans="1:134" ht="21.95" customHeight="1" x14ac:dyDescent="0.5">
      <c r="A355" s="198">
        <v>4</v>
      </c>
      <c r="B355" s="199" t="s">
        <v>702</v>
      </c>
      <c r="C355" s="364"/>
      <c r="D355" s="207" t="s">
        <v>703</v>
      </c>
      <c r="E355" s="80">
        <v>362</v>
      </c>
      <c r="F355" s="198">
        <v>2</v>
      </c>
      <c r="G355" s="201"/>
      <c r="H355" s="220">
        <v>0.13158972304638131</v>
      </c>
      <c r="I355" s="202">
        <f t="shared" si="240"/>
        <v>25908.275180229983</v>
      </c>
      <c r="J355" s="112">
        <f t="shared" si="217"/>
        <v>19561.075510290673</v>
      </c>
      <c r="K355" s="92">
        <v>5229</v>
      </c>
      <c r="L355" s="92">
        <v>4201.16</v>
      </c>
      <c r="M355" s="92">
        <v>9831</v>
      </c>
      <c r="N355" s="92">
        <v>7672.5999999999995</v>
      </c>
      <c r="O355" s="92">
        <v>18841</v>
      </c>
      <c r="P355" s="92">
        <v>14646.280000000002</v>
      </c>
      <c r="Q355" s="93">
        <f t="shared" si="241"/>
        <v>0.74874615111499876</v>
      </c>
      <c r="R355" s="94">
        <v>25908.275180230008</v>
      </c>
      <c r="S355" s="91">
        <v>19561.075510290673</v>
      </c>
      <c r="T355" s="92">
        <v>4642</v>
      </c>
      <c r="U355" s="92">
        <v>3742.32</v>
      </c>
      <c r="V355" s="92">
        <v>8839</v>
      </c>
      <c r="W355" s="92">
        <v>6724.12</v>
      </c>
      <c r="X355" s="92">
        <v>12521</v>
      </c>
      <c r="Y355" s="92">
        <v>9617.239999999998</v>
      </c>
      <c r="Z355" s="93">
        <f t="shared" si="218"/>
        <v>0.49165190303266143</v>
      </c>
      <c r="AA355" s="94">
        <v>25908.275180230008</v>
      </c>
      <c r="AB355" s="91">
        <v>19561.075510290673</v>
      </c>
      <c r="AC355" s="92">
        <v>2762</v>
      </c>
      <c r="AD355" s="92">
        <v>2070.3200000000002</v>
      </c>
      <c r="AE355" s="92">
        <v>10906</v>
      </c>
      <c r="AF355" s="92">
        <v>8759.68</v>
      </c>
      <c r="AG355" s="92"/>
      <c r="AH355" s="92"/>
      <c r="AI355" s="93">
        <f t="shared" si="219"/>
        <v>0</v>
      </c>
      <c r="AJ355" s="95">
        <f t="shared" si="220"/>
        <v>58683.226530872023</v>
      </c>
      <c r="AK355" s="96">
        <f t="shared" si="221"/>
        <v>24263.52</v>
      </c>
      <c r="AL355" s="97">
        <f t="shared" si="222"/>
        <v>0.41346601804922006</v>
      </c>
      <c r="AN355" s="89"/>
      <c r="AO355" s="203"/>
      <c r="AP355" s="204"/>
      <c r="AQ355" s="92"/>
      <c r="AR355" s="92"/>
      <c r="AS355" s="92"/>
      <c r="AT355" s="92"/>
      <c r="AU355" s="92"/>
      <c r="AV355" s="92"/>
      <c r="AW355" s="93">
        <f t="shared" si="223"/>
        <v>0</v>
      </c>
      <c r="AX355" s="203"/>
      <c r="AY355" s="204"/>
      <c r="AZ355" s="92"/>
      <c r="BA355" s="92"/>
      <c r="BB355" s="92"/>
      <c r="BC355" s="92"/>
      <c r="BD355" s="92"/>
      <c r="BE355" s="92"/>
      <c r="BF355" s="93">
        <v>0.47406480290855835</v>
      </c>
      <c r="BG355" s="203"/>
      <c r="BH355" s="204"/>
      <c r="BI355" s="92"/>
      <c r="BJ355" s="92"/>
      <c r="BK355" s="92"/>
      <c r="BL355" s="92"/>
      <c r="BM355" s="92"/>
      <c r="BN355" s="92"/>
      <c r="BO355" s="93">
        <f t="shared" si="224"/>
        <v>0</v>
      </c>
      <c r="BP355" s="95">
        <f t="shared" si="225"/>
        <v>0</v>
      </c>
      <c r="BQ355" s="96">
        <f t="shared" si="226"/>
        <v>0</v>
      </c>
      <c r="BR355" s="97">
        <f t="shared" si="227"/>
        <v>0</v>
      </c>
      <c r="BT355" s="206"/>
      <c r="BU355" s="202"/>
      <c r="BV355" s="112"/>
      <c r="BW355" s="92"/>
      <c r="BX355" s="92"/>
      <c r="BY355" s="92"/>
      <c r="BZ355" s="92"/>
      <c r="CA355" s="92"/>
      <c r="CB355" s="92"/>
      <c r="CC355" s="93">
        <f t="shared" si="228"/>
        <v>0</v>
      </c>
      <c r="CD355" s="202"/>
      <c r="CE355" s="112"/>
      <c r="CF355" s="92"/>
      <c r="CG355" s="92"/>
      <c r="CH355" s="92"/>
      <c r="CI355" s="92"/>
      <c r="CJ355" s="92"/>
      <c r="CK355" s="92"/>
      <c r="CL355" s="93">
        <f t="shared" si="229"/>
        <v>0</v>
      </c>
      <c r="CM355" s="202"/>
      <c r="CN355" s="112"/>
      <c r="CO355" s="92"/>
      <c r="CP355" s="92"/>
      <c r="CQ355" s="92"/>
      <c r="CR355" s="92"/>
      <c r="CS355" s="92"/>
      <c r="CT355" s="92"/>
      <c r="CU355" s="93">
        <f t="shared" si="230"/>
        <v>0</v>
      </c>
      <c r="CV355" s="95">
        <f t="shared" si="231"/>
        <v>0</v>
      </c>
      <c r="CW355" s="96">
        <f t="shared" si="232"/>
        <v>0</v>
      </c>
      <c r="CX355" s="97">
        <f t="shared" si="233"/>
        <v>0</v>
      </c>
      <c r="CZ355" s="206"/>
      <c r="DA355" s="202"/>
      <c r="DB355" s="112"/>
      <c r="DC355" s="92"/>
      <c r="DD355" s="92"/>
      <c r="DE355" s="92"/>
      <c r="DF355" s="92"/>
      <c r="DG355" s="92"/>
      <c r="DH355" s="92"/>
      <c r="DI355" s="93">
        <f t="shared" si="234"/>
        <v>0</v>
      </c>
      <c r="DJ355" s="202"/>
      <c r="DK355" s="112"/>
      <c r="DL355" s="92"/>
      <c r="DM355" s="92"/>
      <c r="DN355" s="92"/>
      <c r="DO355" s="92"/>
      <c r="DP355" s="92"/>
      <c r="DQ355" s="92"/>
      <c r="DR355" s="93">
        <f t="shared" si="235"/>
        <v>0</v>
      </c>
      <c r="DS355" s="202"/>
      <c r="DT355" s="112"/>
      <c r="DU355" s="92"/>
      <c r="DV355" s="92"/>
      <c r="DW355" s="92"/>
      <c r="DX355" s="92"/>
      <c r="DY355" s="92"/>
      <c r="DZ355" s="92"/>
      <c r="EA355" s="93">
        <f t="shared" si="236"/>
        <v>0</v>
      </c>
      <c r="EB355" s="95">
        <f t="shared" si="237"/>
        <v>0</v>
      </c>
      <c r="EC355" s="96">
        <f t="shared" si="238"/>
        <v>0</v>
      </c>
      <c r="ED355" s="97">
        <f t="shared" si="239"/>
        <v>0</v>
      </c>
    </row>
    <row r="356" spans="1:134" ht="21.95" customHeight="1" x14ac:dyDescent="0.5">
      <c r="A356" s="198">
        <v>5</v>
      </c>
      <c r="B356" s="199" t="s">
        <v>704</v>
      </c>
      <c r="C356" s="178" t="s">
        <v>705</v>
      </c>
      <c r="D356" s="207" t="s">
        <v>706</v>
      </c>
      <c r="E356" s="80">
        <v>116</v>
      </c>
      <c r="F356" s="198">
        <v>4</v>
      </c>
      <c r="G356" s="201"/>
      <c r="H356" s="220">
        <v>0.28522058903335107</v>
      </c>
      <c r="I356" s="202">
        <f t="shared" si="240"/>
        <v>56156.159741583688</v>
      </c>
      <c r="J356" s="112">
        <f t="shared" si="217"/>
        <v>42398.6110009857</v>
      </c>
      <c r="K356" s="92">
        <v>9456</v>
      </c>
      <c r="L356" s="92">
        <v>8434.16</v>
      </c>
      <c r="M356" s="92">
        <v>12370</v>
      </c>
      <c r="N356" s="92">
        <v>11086.24</v>
      </c>
      <c r="O356" s="92">
        <v>16942</v>
      </c>
      <c r="P356" s="92">
        <v>14801.84</v>
      </c>
      <c r="Q356" s="93">
        <f t="shared" si="241"/>
        <v>0.34911143668493955</v>
      </c>
      <c r="R356" s="94">
        <v>56156.159741583746</v>
      </c>
      <c r="S356" s="91">
        <v>42398.6110009857</v>
      </c>
      <c r="T356" s="92">
        <v>7114</v>
      </c>
      <c r="U356" s="92">
        <v>5930.64</v>
      </c>
      <c r="V356" s="92">
        <v>12834</v>
      </c>
      <c r="W356" s="92">
        <v>11211.84</v>
      </c>
      <c r="X356" s="92">
        <v>15130</v>
      </c>
      <c r="Y356" s="92">
        <v>13067.359999999999</v>
      </c>
      <c r="Z356" s="93">
        <f t="shared" si="218"/>
        <v>0.30820254936408659</v>
      </c>
      <c r="AA356" s="94">
        <v>56156.159741583746</v>
      </c>
      <c r="AB356" s="91">
        <v>42398.6110009857</v>
      </c>
      <c r="AC356" s="92">
        <v>8266</v>
      </c>
      <c r="AD356" s="92">
        <v>7387.6</v>
      </c>
      <c r="AE356" s="92">
        <v>16558</v>
      </c>
      <c r="AF356" s="92">
        <v>13351.600000000002</v>
      </c>
      <c r="AG356" s="92"/>
      <c r="AH356" s="92"/>
      <c r="AI356" s="93">
        <f t="shared" si="219"/>
        <v>0</v>
      </c>
      <c r="AJ356" s="95">
        <f t="shared" si="220"/>
        <v>127195.83300295711</v>
      </c>
      <c r="AK356" s="96">
        <f t="shared" si="221"/>
        <v>27869.199999999997</v>
      </c>
      <c r="AL356" s="97">
        <f t="shared" si="222"/>
        <v>0.21910466201634202</v>
      </c>
      <c r="AN356" s="89"/>
      <c r="AO356" s="203"/>
      <c r="AP356" s="204"/>
      <c r="AQ356" s="92"/>
      <c r="AR356" s="92"/>
      <c r="AS356" s="92"/>
      <c r="AT356" s="92"/>
      <c r="AU356" s="92"/>
      <c r="AV356" s="92"/>
      <c r="AW356" s="93">
        <f t="shared" si="223"/>
        <v>0</v>
      </c>
      <c r="AX356" s="203"/>
      <c r="AY356" s="204"/>
      <c r="AZ356" s="92"/>
      <c r="BA356" s="92"/>
      <c r="BB356" s="92"/>
      <c r="BC356" s="92"/>
      <c r="BD356" s="92"/>
      <c r="BE356" s="92"/>
      <c r="BF356" s="93">
        <v>0.70123682119337294</v>
      </c>
      <c r="BG356" s="203"/>
      <c r="BH356" s="204"/>
      <c r="BI356" s="92"/>
      <c r="BJ356" s="92"/>
      <c r="BK356" s="92"/>
      <c r="BL356" s="92"/>
      <c r="BM356" s="92"/>
      <c r="BN356" s="92"/>
      <c r="BO356" s="93">
        <f t="shared" si="224"/>
        <v>0</v>
      </c>
      <c r="BP356" s="95">
        <f t="shared" si="225"/>
        <v>0</v>
      </c>
      <c r="BQ356" s="96">
        <f t="shared" si="226"/>
        <v>0</v>
      </c>
      <c r="BR356" s="97">
        <f t="shared" si="227"/>
        <v>0</v>
      </c>
      <c r="BT356" s="206"/>
      <c r="BU356" s="202"/>
      <c r="BV356" s="112"/>
      <c r="BW356" s="92"/>
      <c r="BX356" s="92"/>
      <c r="BY356" s="92"/>
      <c r="BZ356" s="92"/>
      <c r="CA356" s="92"/>
      <c r="CB356" s="92"/>
      <c r="CC356" s="93">
        <f t="shared" si="228"/>
        <v>0</v>
      </c>
      <c r="CD356" s="202"/>
      <c r="CE356" s="112"/>
      <c r="CF356" s="92"/>
      <c r="CG356" s="92"/>
      <c r="CH356" s="92"/>
      <c r="CI356" s="92"/>
      <c r="CJ356" s="92"/>
      <c r="CK356" s="92"/>
      <c r="CL356" s="93">
        <f t="shared" si="229"/>
        <v>0</v>
      </c>
      <c r="CM356" s="202"/>
      <c r="CN356" s="112"/>
      <c r="CO356" s="92"/>
      <c r="CP356" s="92"/>
      <c r="CQ356" s="92"/>
      <c r="CR356" s="92"/>
      <c r="CS356" s="92"/>
      <c r="CT356" s="92"/>
      <c r="CU356" s="93">
        <f t="shared" si="230"/>
        <v>0</v>
      </c>
      <c r="CV356" s="95">
        <f t="shared" si="231"/>
        <v>0</v>
      </c>
      <c r="CW356" s="96">
        <f t="shared" si="232"/>
        <v>0</v>
      </c>
      <c r="CX356" s="97">
        <f t="shared" si="233"/>
        <v>0</v>
      </c>
      <c r="CZ356" s="206"/>
      <c r="DA356" s="202"/>
      <c r="DB356" s="112"/>
      <c r="DC356" s="92"/>
      <c r="DD356" s="92"/>
      <c r="DE356" s="92"/>
      <c r="DF356" s="92"/>
      <c r="DG356" s="92"/>
      <c r="DH356" s="92"/>
      <c r="DI356" s="93">
        <f t="shared" si="234"/>
        <v>0</v>
      </c>
      <c r="DJ356" s="202"/>
      <c r="DK356" s="112"/>
      <c r="DL356" s="92"/>
      <c r="DM356" s="92"/>
      <c r="DN356" s="92"/>
      <c r="DO356" s="92"/>
      <c r="DP356" s="92"/>
      <c r="DQ356" s="92"/>
      <c r="DR356" s="93">
        <f t="shared" si="235"/>
        <v>0</v>
      </c>
      <c r="DS356" s="202"/>
      <c r="DT356" s="112"/>
      <c r="DU356" s="92"/>
      <c r="DV356" s="92"/>
      <c r="DW356" s="92"/>
      <c r="DX356" s="92"/>
      <c r="DY356" s="92"/>
      <c r="DZ356" s="92"/>
      <c r="EA356" s="93">
        <f t="shared" si="236"/>
        <v>0</v>
      </c>
      <c r="EB356" s="95">
        <f t="shared" si="237"/>
        <v>0</v>
      </c>
      <c r="EC356" s="96">
        <f t="shared" si="238"/>
        <v>0</v>
      </c>
      <c r="ED356" s="97">
        <f t="shared" si="239"/>
        <v>0</v>
      </c>
    </row>
    <row r="357" spans="1:134" ht="21.95" customHeight="1" x14ac:dyDescent="0.5">
      <c r="A357" s="198">
        <v>6</v>
      </c>
      <c r="B357" s="199" t="s">
        <v>707</v>
      </c>
      <c r="C357" s="363" t="s">
        <v>708</v>
      </c>
      <c r="D357" s="208" t="s">
        <v>61</v>
      </c>
      <c r="E357" s="80">
        <v>500</v>
      </c>
      <c r="F357" s="198">
        <v>2</v>
      </c>
      <c r="G357" s="201"/>
      <c r="H357" s="220">
        <v>4.680061293094858E-2</v>
      </c>
      <c r="I357" s="202">
        <f t="shared" si="240"/>
        <v>9214.4213875354726</v>
      </c>
      <c r="J357" s="112">
        <f t="shared" si="217"/>
        <v>6957.0047134113684</v>
      </c>
      <c r="K357" s="92">
        <v>2548</v>
      </c>
      <c r="L357" s="92">
        <v>1639.12</v>
      </c>
      <c r="M357" s="92">
        <v>6066</v>
      </c>
      <c r="N357" s="92">
        <v>4014.88</v>
      </c>
      <c r="O357" s="92">
        <v>10908</v>
      </c>
      <c r="P357" s="92">
        <v>7044.0500000000011</v>
      </c>
      <c r="Q357" s="93">
        <f t="shared" si="241"/>
        <v>1.0125118912771227</v>
      </c>
      <c r="R357" s="94">
        <v>9214.4213875354835</v>
      </c>
      <c r="S357" s="91">
        <v>6957.0047134113684</v>
      </c>
      <c r="T357" s="92">
        <v>3952</v>
      </c>
      <c r="U357" s="92">
        <v>2558.3100000000004</v>
      </c>
      <c r="V357" s="92">
        <v>7374</v>
      </c>
      <c r="W357" s="92">
        <v>4723.5700000000006</v>
      </c>
      <c r="X357" s="92">
        <v>10161</v>
      </c>
      <c r="Y357" s="92">
        <v>6404.02</v>
      </c>
      <c r="Z357" s="93">
        <f t="shared" si="218"/>
        <v>0.92051396596794721</v>
      </c>
      <c r="AA357" s="94">
        <v>9214.4213875354835</v>
      </c>
      <c r="AB357" s="91">
        <v>6957.0047134113684</v>
      </c>
      <c r="AC357" s="92">
        <v>2303</v>
      </c>
      <c r="AD357" s="92">
        <v>1504.94</v>
      </c>
      <c r="AE357" s="92">
        <v>6393</v>
      </c>
      <c r="AF357" s="92">
        <v>4200.3</v>
      </c>
      <c r="AG357" s="92"/>
      <c r="AH357" s="92"/>
      <c r="AI357" s="93">
        <f t="shared" si="219"/>
        <v>0</v>
      </c>
      <c r="AJ357" s="95">
        <f t="shared" si="220"/>
        <v>20871.014140234103</v>
      </c>
      <c r="AK357" s="96">
        <f t="shared" si="221"/>
        <v>13448.070000000002</v>
      </c>
      <c r="AL357" s="97">
        <f t="shared" si="222"/>
        <v>0.64434195241502334</v>
      </c>
      <c r="AN357" s="89"/>
      <c r="AO357" s="203"/>
      <c r="AP357" s="204"/>
      <c r="AQ357" s="92"/>
      <c r="AR357" s="92"/>
      <c r="AS357" s="92"/>
      <c r="AT357" s="92"/>
      <c r="AU357" s="92"/>
      <c r="AV357" s="92"/>
      <c r="AW357" s="93">
        <f t="shared" si="223"/>
        <v>0</v>
      </c>
      <c r="AX357" s="203"/>
      <c r="AY357" s="204"/>
      <c r="AZ357" s="92"/>
      <c r="BA357" s="92"/>
      <c r="BB357" s="92"/>
      <c r="BC357" s="92"/>
      <c r="BD357" s="92"/>
      <c r="BE357" s="92"/>
      <c r="BF357" s="93">
        <v>0.88927906657439015</v>
      </c>
      <c r="BG357" s="203"/>
      <c r="BH357" s="204"/>
      <c r="BI357" s="92"/>
      <c r="BJ357" s="92"/>
      <c r="BK357" s="92"/>
      <c r="BL357" s="92"/>
      <c r="BM357" s="92"/>
      <c r="BN357" s="92"/>
      <c r="BO357" s="93">
        <f t="shared" si="224"/>
        <v>0</v>
      </c>
      <c r="BP357" s="95">
        <f t="shared" si="225"/>
        <v>0</v>
      </c>
      <c r="BQ357" s="96">
        <f t="shared" si="226"/>
        <v>0</v>
      </c>
      <c r="BR357" s="97">
        <f t="shared" si="227"/>
        <v>0</v>
      </c>
      <c r="BT357" s="206"/>
      <c r="BU357" s="202"/>
      <c r="BV357" s="112"/>
      <c r="BW357" s="92"/>
      <c r="BX357" s="92"/>
      <c r="BY357" s="92"/>
      <c r="BZ357" s="92"/>
      <c r="CA357" s="92"/>
      <c r="CB357" s="92"/>
      <c r="CC357" s="93">
        <f t="shared" si="228"/>
        <v>0</v>
      </c>
      <c r="CD357" s="202"/>
      <c r="CE357" s="112"/>
      <c r="CF357" s="92"/>
      <c r="CG357" s="92"/>
      <c r="CH357" s="92"/>
      <c r="CI357" s="92"/>
      <c r="CJ357" s="92"/>
      <c r="CK357" s="92"/>
      <c r="CL357" s="93">
        <f t="shared" si="229"/>
        <v>0</v>
      </c>
      <c r="CM357" s="202"/>
      <c r="CN357" s="112"/>
      <c r="CO357" s="92"/>
      <c r="CP357" s="92"/>
      <c r="CQ357" s="92"/>
      <c r="CR357" s="92"/>
      <c r="CS357" s="92"/>
      <c r="CT357" s="92"/>
      <c r="CU357" s="93">
        <f t="shared" si="230"/>
        <v>0</v>
      </c>
      <c r="CV357" s="95">
        <f t="shared" si="231"/>
        <v>0</v>
      </c>
      <c r="CW357" s="96">
        <f t="shared" si="232"/>
        <v>0</v>
      </c>
      <c r="CX357" s="97">
        <f t="shared" si="233"/>
        <v>0</v>
      </c>
      <c r="CZ357" s="206"/>
      <c r="DA357" s="202"/>
      <c r="DB357" s="112"/>
      <c r="DC357" s="92"/>
      <c r="DD357" s="92"/>
      <c r="DE357" s="92"/>
      <c r="DF357" s="92"/>
      <c r="DG357" s="92"/>
      <c r="DH357" s="92"/>
      <c r="DI357" s="93">
        <f t="shared" si="234"/>
        <v>0</v>
      </c>
      <c r="DJ357" s="202"/>
      <c r="DK357" s="112"/>
      <c r="DL357" s="92"/>
      <c r="DM357" s="92"/>
      <c r="DN357" s="92"/>
      <c r="DO357" s="92"/>
      <c r="DP357" s="92"/>
      <c r="DQ357" s="92"/>
      <c r="DR357" s="93">
        <f t="shared" si="235"/>
        <v>0</v>
      </c>
      <c r="DS357" s="202"/>
      <c r="DT357" s="112"/>
      <c r="DU357" s="92"/>
      <c r="DV357" s="92"/>
      <c r="DW357" s="92"/>
      <c r="DX357" s="92"/>
      <c r="DY357" s="92"/>
      <c r="DZ357" s="92"/>
      <c r="EA357" s="93">
        <f t="shared" si="236"/>
        <v>0</v>
      </c>
      <c r="EB357" s="95">
        <f t="shared" si="237"/>
        <v>0</v>
      </c>
      <c r="EC357" s="96">
        <f t="shared" si="238"/>
        <v>0</v>
      </c>
      <c r="ED357" s="97">
        <f t="shared" si="239"/>
        <v>0</v>
      </c>
    </row>
    <row r="358" spans="1:134" ht="21.95" customHeight="1" x14ac:dyDescent="0.5">
      <c r="A358" s="198">
        <v>7</v>
      </c>
      <c r="B358" s="199" t="s">
        <v>709</v>
      </c>
      <c r="C358" s="365"/>
      <c r="D358" s="209" t="s">
        <v>313</v>
      </c>
      <c r="E358" s="80">
        <v>256</v>
      </c>
      <c r="F358" s="198">
        <v>4</v>
      </c>
      <c r="G358" s="201"/>
      <c r="H358" s="220">
        <v>0.10716720720756277</v>
      </c>
      <c r="I358" s="202">
        <f t="shared" si="240"/>
        <v>21099.804987442869</v>
      </c>
      <c r="J358" s="112">
        <f t="shared" si="217"/>
        <v>15930.619685818621</v>
      </c>
      <c r="K358" s="92">
        <v>4396</v>
      </c>
      <c r="L358" s="92">
        <v>3279.92</v>
      </c>
      <c r="M358" s="92">
        <v>8232</v>
      </c>
      <c r="N358" s="92">
        <v>6078.8</v>
      </c>
      <c r="O358" s="92">
        <v>14008</v>
      </c>
      <c r="P358" s="92">
        <v>10467.359999999999</v>
      </c>
      <c r="Q358" s="93">
        <f t="shared" si="241"/>
        <v>0.65705918579664568</v>
      </c>
      <c r="R358" s="94">
        <v>21099.804987442891</v>
      </c>
      <c r="S358" s="91">
        <v>15930.619685818621</v>
      </c>
      <c r="T358" s="92">
        <v>3540</v>
      </c>
      <c r="U358" s="92">
        <v>2586.88</v>
      </c>
      <c r="V358" s="92">
        <v>7704</v>
      </c>
      <c r="W358" s="92">
        <v>5581.84</v>
      </c>
      <c r="X358" s="92">
        <v>12460</v>
      </c>
      <c r="Y358" s="92">
        <v>9028.4</v>
      </c>
      <c r="Z358" s="93">
        <f t="shared" si="218"/>
        <v>0.56673250495315308</v>
      </c>
      <c r="AA358" s="94">
        <v>21099.804987442891</v>
      </c>
      <c r="AB358" s="91">
        <v>15930.619685818621</v>
      </c>
      <c r="AC358" s="92">
        <v>3300</v>
      </c>
      <c r="AD358" s="92">
        <v>2548.2400000000002</v>
      </c>
      <c r="AE358" s="92">
        <v>8132</v>
      </c>
      <c r="AF358" s="92">
        <v>5745.2000000000007</v>
      </c>
      <c r="AG358" s="92"/>
      <c r="AH358" s="92"/>
      <c r="AI358" s="93">
        <f t="shared" si="219"/>
        <v>0</v>
      </c>
      <c r="AJ358" s="95">
        <f t="shared" si="220"/>
        <v>47791.859057455862</v>
      </c>
      <c r="AK358" s="96">
        <f t="shared" si="221"/>
        <v>19495.759999999998</v>
      </c>
      <c r="AL358" s="97">
        <f t="shared" si="222"/>
        <v>0.40793056358326629</v>
      </c>
      <c r="AN358" s="89"/>
      <c r="AO358" s="203"/>
      <c r="AP358" s="204"/>
      <c r="AQ358" s="92"/>
      <c r="AR358" s="92"/>
      <c r="AS358" s="92"/>
      <c r="AT358" s="92"/>
      <c r="AU358" s="92"/>
      <c r="AV358" s="92"/>
      <c r="AW358" s="93">
        <f t="shared" si="223"/>
        <v>0</v>
      </c>
      <c r="AX358" s="203"/>
      <c r="AY358" s="204"/>
      <c r="AZ358" s="92"/>
      <c r="BA358" s="92"/>
      <c r="BB358" s="92"/>
      <c r="BC358" s="92"/>
      <c r="BD358" s="92"/>
      <c r="BE358" s="92"/>
      <c r="BF358" s="93">
        <v>0.75857254166742827</v>
      </c>
      <c r="BG358" s="203"/>
      <c r="BH358" s="204"/>
      <c r="BI358" s="92"/>
      <c r="BJ358" s="92"/>
      <c r="BK358" s="92"/>
      <c r="BL358" s="92"/>
      <c r="BM358" s="92"/>
      <c r="BN358" s="92"/>
      <c r="BO358" s="93">
        <f t="shared" si="224"/>
        <v>0</v>
      </c>
      <c r="BP358" s="95">
        <f t="shared" si="225"/>
        <v>0</v>
      </c>
      <c r="BQ358" s="96">
        <f t="shared" si="226"/>
        <v>0</v>
      </c>
      <c r="BR358" s="97">
        <f t="shared" si="227"/>
        <v>0</v>
      </c>
      <c r="BT358" s="206"/>
      <c r="BU358" s="202"/>
      <c r="BV358" s="112"/>
      <c r="BW358" s="92"/>
      <c r="BX358" s="92"/>
      <c r="BY358" s="92"/>
      <c r="BZ358" s="92"/>
      <c r="CA358" s="92"/>
      <c r="CB358" s="92"/>
      <c r="CC358" s="93">
        <f t="shared" si="228"/>
        <v>0</v>
      </c>
      <c r="CD358" s="202"/>
      <c r="CE358" s="112"/>
      <c r="CF358" s="92"/>
      <c r="CG358" s="92"/>
      <c r="CH358" s="92"/>
      <c r="CI358" s="92"/>
      <c r="CJ358" s="92"/>
      <c r="CK358" s="92"/>
      <c r="CL358" s="93">
        <f t="shared" si="229"/>
        <v>0</v>
      </c>
      <c r="CM358" s="202"/>
      <c r="CN358" s="112"/>
      <c r="CO358" s="92"/>
      <c r="CP358" s="92"/>
      <c r="CQ358" s="92"/>
      <c r="CR358" s="92"/>
      <c r="CS358" s="92"/>
      <c r="CT358" s="92"/>
      <c r="CU358" s="93">
        <f t="shared" si="230"/>
        <v>0</v>
      </c>
      <c r="CV358" s="95">
        <f t="shared" si="231"/>
        <v>0</v>
      </c>
      <c r="CW358" s="96">
        <f t="shared" si="232"/>
        <v>0</v>
      </c>
      <c r="CX358" s="97">
        <f t="shared" si="233"/>
        <v>0</v>
      </c>
      <c r="CZ358" s="206"/>
      <c r="DA358" s="202"/>
      <c r="DB358" s="112"/>
      <c r="DC358" s="92"/>
      <c r="DD358" s="92"/>
      <c r="DE358" s="92"/>
      <c r="DF358" s="92"/>
      <c r="DG358" s="92"/>
      <c r="DH358" s="92"/>
      <c r="DI358" s="93">
        <f t="shared" si="234"/>
        <v>0</v>
      </c>
      <c r="DJ358" s="202"/>
      <c r="DK358" s="112"/>
      <c r="DL358" s="92"/>
      <c r="DM358" s="92"/>
      <c r="DN358" s="92"/>
      <c r="DO358" s="92"/>
      <c r="DP358" s="92"/>
      <c r="DQ358" s="92"/>
      <c r="DR358" s="93">
        <f t="shared" si="235"/>
        <v>0</v>
      </c>
      <c r="DS358" s="202"/>
      <c r="DT358" s="112"/>
      <c r="DU358" s="92"/>
      <c r="DV358" s="92"/>
      <c r="DW358" s="92"/>
      <c r="DX358" s="92"/>
      <c r="DY358" s="92"/>
      <c r="DZ358" s="92"/>
      <c r="EA358" s="93">
        <f t="shared" si="236"/>
        <v>0</v>
      </c>
      <c r="EB358" s="95">
        <f t="shared" si="237"/>
        <v>0</v>
      </c>
      <c r="EC358" s="96">
        <f t="shared" si="238"/>
        <v>0</v>
      </c>
      <c r="ED358" s="97">
        <f t="shared" si="239"/>
        <v>0</v>
      </c>
    </row>
    <row r="359" spans="1:134" ht="21.95" customHeight="1" x14ac:dyDescent="0.5">
      <c r="A359" s="198">
        <v>8</v>
      </c>
      <c r="B359" s="199" t="s">
        <v>710</v>
      </c>
      <c r="C359" s="364"/>
      <c r="D359" s="209" t="s">
        <v>711</v>
      </c>
      <c r="E359" s="80">
        <v>192</v>
      </c>
      <c r="F359" s="198">
        <v>4</v>
      </c>
      <c r="G359" s="201"/>
      <c r="H359" s="220">
        <v>0.11543565754407292</v>
      </c>
      <c r="I359" s="202">
        <f t="shared" si="240"/>
        <v>22727.753444761714</v>
      </c>
      <c r="J359" s="112">
        <f t="shared" si="217"/>
        <v>17159.741365241527</v>
      </c>
      <c r="K359" s="92">
        <v>5137</v>
      </c>
      <c r="L359" s="92">
        <v>3958.4900000000002</v>
      </c>
      <c r="M359" s="92">
        <v>9661</v>
      </c>
      <c r="N359" s="92">
        <v>7468.97</v>
      </c>
      <c r="O359" s="92">
        <v>14418</v>
      </c>
      <c r="P359" s="92">
        <v>11220.29</v>
      </c>
      <c r="Q359" s="93">
        <f t="shared" si="241"/>
        <v>0.65387290875651682</v>
      </c>
      <c r="R359" s="94">
        <v>22727.753444761736</v>
      </c>
      <c r="S359" s="91">
        <v>17159.741365241527</v>
      </c>
      <c r="T359" s="92">
        <v>5379</v>
      </c>
      <c r="U359" s="92">
        <v>4459.96</v>
      </c>
      <c r="V359" s="92">
        <v>10403</v>
      </c>
      <c r="W359" s="92">
        <v>8497.9199999999983</v>
      </c>
      <c r="X359" s="92">
        <v>13785</v>
      </c>
      <c r="Y359" s="92">
        <v>11014.249999999998</v>
      </c>
      <c r="Z359" s="93">
        <f t="shared" si="218"/>
        <v>0.6418657347779303</v>
      </c>
      <c r="AA359" s="94">
        <v>22727.753444761736</v>
      </c>
      <c r="AB359" s="91">
        <v>17159.741365241527</v>
      </c>
      <c r="AC359" s="92">
        <v>7453</v>
      </c>
      <c r="AD359" s="92">
        <v>5934.41</v>
      </c>
      <c r="AE359" s="92">
        <v>13303</v>
      </c>
      <c r="AF359" s="92">
        <v>10703.29</v>
      </c>
      <c r="AG359" s="92"/>
      <c r="AH359" s="92"/>
      <c r="AI359" s="93">
        <f t="shared" si="219"/>
        <v>0</v>
      </c>
      <c r="AJ359" s="95">
        <f t="shared" si="220"/>
        <v>51479.224095724581</v>
      </c>
      <c r="AK359" s="96">
        <f t="shared" si="221"/>
        <v>22234.54</v>
      </c>
      <c r="AL359" s="97">
        <f t="shared" si="222"/>
        <v>0.43191288117814908</v>
      </c>
      <c r="AN359" s="89"/>
      <c r="AO359" s="203"/>
      <c r="AP359" s="204"/>
      <c r="AQ359" s="92"/>
      <c r="AR359" s="92"/>
      <c r="AS359" s="92"/>
      <c r="AT359" s="92"/>
      <c r="AU359" s="92"/>
      <c r="AV359" s="92"/>
      <c r="AW359" s="93">
        <f t="shared" si="223"/>
        <v>0</v>
      </c>
      <c r="AX359" s="203"/>
      <c r="AY359" s="204"/>
      <c r="AZ359" s="92"/>
      <c r="BA359" s="92"/>
      <c r="BB359" s="92"/>
      <c r="BC359" s="92"/>
      <c r="BD359" s="92"/>
      <c r="BE359" s="92"/>
      <c r="BF359" s="93">
        <v>0.5684363237788882</v>
      </c>
      <c r="BG359" s="203"/>
      <c r="BH359" s="204"/>
      <c r="BI359" s="92"/>
      <c r="BJ359" s="92"/>
      <c r="BK359" s="92"/>
      <c r="BL359" s="92"/>
      <c r="BM359" s="92"/>
      <c r="BN359" s="92"/>
      <c r="BO359" s="93">
        <f t="shared" si="224"/>
        <v>0</v>
      </c>
      <c r="BP359" s="95">
        <f t="shared" si="225"/>
        <v>0</v>
      </c>
      <c r="BQ359" s="96">
        <f t="shared" si="226"/>
        <v>0</v>
      </c>
      <c r="BR359" s="97">
        <f t="shared" si="227"/>
        <v>0</v>
      </c>
      <c r="BT359" s="206"/>
      <c r="BU359" s="202"/>
      <c r="BV359" s="112"/>
      <c r="BW359" s="92"/>
      <c r="BX359" s="92"/>
      <c r="BY359" s="92"/>
      <c r="BZ359" s="92"/>
      <c r="CA359" s="92"/>
      <c r="CB359" s="92"/>
      <c r="CC359" s="93">
        <f t="shared" si="228"/>
        <v>0</v>
      </c>
      <c r="CD359" s="202"/>
      <c r="CE359" s="112"/>
      <c r="CF359" s="92"/>
      <c r="CG359" s="92"/>
      <c r="CH359" s="92"/>
      <c r="CI359" s="92"/>
      <c r="CJ359" s="92"/>
      <c r="CK359" s="92"/>
      <c r="CL359" s="93">
        <f t="shared" si="229"/>
        <v>0</v>
      </c>
      <c r="CM359" s="202"/>
      <c r="CN359" s="112"/>
      <c r="CO359" s="92"/>
      <c r="CP359" s="92"/>
      <c r="CQ359" s="92"/>
      <c r="CR359" s="92"/>
      <c r="CS359" s="92"/>
      <c r="CT359" s="92"/>
      <c r="CU359" s="93">
        <f t="shared" si="230"/>
        <v>0</v>
      </c>
      <c r="CV359" s="95">
        <f t="shared" si="231"/>
        <v>0</v>
      </c>
      <c r="CW359" s="96">
        <f t="shared" si="232"/>
        <v>0</v>
      </c>
      <c r="CX359" s="97">
        <f t="shared" si="233"/>
        <v>0</v>
      </c>
      <c r="CZ359" s="206"/>
      <c r="DA359" s="202"/>
      <c r="DB359" s="112"/>
      <c r="DC359" s="92"/>
      <c r="DD359" s="92"/>
      <c r="DE359" s="92"/>
      <c r="DF359" s="92"/>
      <c r="DG359" s="92"/>
      <c r="DH359" s="92"/>
      <c r="DI359" s="93">
        <f t="shared" si="234"/>
        <v>0</v>
      </c>
      <c r="DJ359" s="202"/>
      <c r="DK359" s="112"/>
      <c r="DL359" s="92"/>
      <c r="DM359" s="92"/>
      <c r="DN359" s="92"/>
      <c r="DO359" s="92"/>
      <c r="DP359" s="92"/>
      <c r="DQ359" s="92"/>
      <c r="DR359" s="93">
        <f t="shared" si="235"/>
        <v>0</v>
      </c>
      <c r="DS359" s="202"/>
      <c r="DT359" s="112"/>
      <c r="DU359" s="92"/>
      <c r="DV359" s="92"/>
      <c r="DW359" s="92"/>
      <c r="DX359" s="92"/>
      <c r="DY359" s="92"/>
      <c r="DZ359" s="92"/>
      <c r="EA359" s="93">
        <f t="shared" si="236"/>
        <v>0</v>
      </c>
      <c r="EB359" s="95">
        <f t="shared" si="237"/>
        <v>0</v>
      </c>
      <c r="EC359" s="96">
        <f t="shared" si="238"/>
        <v>0</v>
      </c>
      <c r="ED359" s="97">
        <f t="shared" si="239"/>
        <v>0</v>
      </c>
    </row>
    <row r="360" spans="1:134" ht="21.95" customHeight="1" x14ac:dyDescent="0.5">
      <c r="A360" s="198">
        <v>9</v>
      </c>
      <c r="B360" s="199" t="s">
        <v>712</v>
      </c>
      <c r="C360" s="178" t="s">
        <v>713</v>
      </c>
      <c r="D360" s="208" t="s">
        <v>714</v>
      </c>
      <c r="E360" s="80">
        <v>161</v>
      </c>
      <c r="F360" s="198">
        <v>4</v>
      </c>
      <c r="G360" s="201"/>
      <c r="H360" s="220">
        <v>8.5910481691499993E-2</v>
      </c>
      <c r="I360" s="202">
        <f t="shared" si="240"/>
        <v>16914.637017246161</v>
      </c>
      <c r="J360" s="112">
        <f t="shared" si="217"/>
        <v>12770.764924404857</v>
      </c>
      <c r="K360" s="92">
        <v>5320</v>
      </c>
      <c r="L360" s="92">
        <v>3894.48</v>
      </c>
      <c r="M360" s="92">
        <v>12648</v>
      </c>
      <c r="N360" s="92">
        <v>9654.8000000000011</v>
      </c>
      <c r="O360" s="92">
        <v>20742</v>
      </c>
      <c r="P360" s="92">
        <v>16162.480000000001</v>
      </c>
      <c r="Q360" s="93">
        <f t="shared" si="241"/>
        <v>1.2655843323146287</v>
      </c>
      <c r="R360" s="94">
        <v>16914.637017246179</v>
      </c>
      <c r="S360" s="91">
        <v>12770.764924404857</v>
      </c>
      <c r="T360" s="92">
        <v>3344</v>
      </c>
      <c r="U360" s="92">
        <v>2730.3999999999996</v>
      </c>
      <c r="V360" s="92">
        <v>8299</v>
      </c>
      <c r="W360" s="92">
        <v>6995.579999999999</v>
      </c>
      <c r="X360" s="92">
        <v>13697</v>
      </c>
      <c r="Y360" s="92">
        <v>11235.18</v>
      </c>
      <c r="Z360" s="93">
        <f t="shared" si="218"/>
        <v>0.87975779575502455</v>
      </c>
      <c r="AA360" s="94">
        <v>16914.637017246179</v>
      </c>
      <c r="AB360" s="91">
        <v>12770.764924404857</v>
      </c>
      <c r="AC360" s="92">
        <v>5948</v>
      </c>
      <c r="AD360" s="92">
        <v>4524</v>
      </c>
      <c r="AE360" s="92">
        <v>24190</v>
      </c>
      <c r="AF360" s="92">
        <v>18441.84</v>
      </c>
      <c r="AG360" s="92"/>
      <c r="AH360" s="92"/>
      <c r="AI360" s="93">
        <f t="shared" si="219"/>
        <v>0</v>
      </c>
      <c r="AJ360" s="95">
        <f t="shared" si="220"/>
        <v>38312.294773214569</v>
      </c>
      <c r="AK360" s="96">
        <f t="shared" si="221"/>
        <v>27397.660000000003</v>
      </c>
      <c r="AL360" s="97">
        <f t="shared" si="222"/>
        <v>0.71511404268988454</v>
      </c>
      <c r="AN360" s="89"/>
      <c r="AO360" s="203"/>
      <c r="AP360" s="204"/>
      <c r="AQ360" s="92"/>
      <c r="AR360" s="92"/>
      <c r="AS360" s="92"/>
      <c r="AT360" s="92"/>
      <c r="AU360" s="92"/>
      <c r="AV360" s="92"/>
      <c r="AW360" s="93">
        <f t="shared" si="223"/>
        <v>0</v>
      </c>
      <c r="AX360" s="203"/>
      <c r="AY360" s="204"/>
      <c r="AZ360" s="92"/>
      <c r="BA360" s="92"/>
      <c r="BB360" s="92"/>
      <c r="BC360" s="92"/>
      <c r="BD360" s="92"/>
      <c r="BE360" s="92"/>
      <c r="BF360" s="93">
        <v>1.6384898918818234</v>
      </c>
      <c r="BG360" s="203"/>
      <c r="BH360" s="204"/>
      <c r="BI360" s="92"/>
      <c r="BJ360" s="92"/>
      <c r="BK360" s="92"/>
      <c r="BL360" s="92"/>
      <c r="BM360" s="92"/>
      <c r="BN360" s="92"/>
      <c r="BO360" s="93">
        <f t="shared" si="224"/>
        <v>0</v>
      </c>
      <c r="BP360" s="95">
        <f t="shared" si="225"/>
        <v>0</v>
      </c>
      <c r="BQ360" s="96">
        <f t="shared" si="226"/>
        <v>0</v>
      </c>
      <c r="BR360" s="97">
        <f t="shared" si="227"/>
        <v>0</v>
      </c>
      <c r="BT360" s="206"/>
      <c r="BU360" s="202"/>
      <c r="BV360" s="112"/>
      <c r="BW360" s="92"/>
      <c r="BX360" s="92"/>
      <c r="BY360" s="92"/>
      <c r="BZ360" s="92"/>
      <c r="CA360" s="92"/>
      <c r="CB360" s="92"/>
      <c r="CC360" s="93">
        <f t="shared" si="228"/>
        <v>0</v>
      </c>
      <c r="CD360" s="202"/>
      <c r="CE360" s="112"/>
      <c r="CF360" s="92"/>
      <c r="CG360" s="92"/>
      <c r="CH360" s="92"/>
      <c r="CI360" s="92"/>
      <c r="CJ360" s="92"/>
      <c r="CK360" s="92"/>
      <c r="CL360" s="93">
        <f t="shared" si="229"/>
        <v>0</v>
      </c>
      <c r="CM360" s="202"/>
      <c r="CN360" s="112"/>
      <c r="CO360" s="92"/>
      <c r="CP360" s="92"/>
      <c r="CQ360" s="92"/>
      <c r="CR360" s="92"/>
      <c r="CS360" s="92"/>
      <c r="CT360" s="92"/>
      <c r="CU360" s="93">
        <f t="shared" si="230"/>
        <v>0</v>
      </c>
      <c r="CV360" s="95">
        <f t="shared" si="231"/>
        <v>0</v>
      </c>
      <c r="CW360" s="96">
        <f t="shared" si="232"/>
        <v>0</v>
      </c>
      <c r="CX360" s="97">
        <f t="shared" si="233"/>
        <v>0</v>
      </c>
      <c r="CZ360" s="206"/>
      <c r="DA360" s="202"/>
      <c r="DB360" s="112"/>
      <c r="DC360" s="92"/>
      <c r="DD360" s="92"/>
      <c r="DE360" s="92"/>
      <c r="DF360" s="92"/>
      <c r="DG360" s="92"/>
      <c r="DH360" s="92"/>
      <c r="DI360" s="93">
        <f t="shared" si="234"/>
        <v>0</v>
      </c>
      <c r="DJ360" s="202"/>
      <c r="DK360" s="112"/>
      <c r="DL360" s="92"/>
      <c r="DM360" s="92"/>
      <c r="DN360" s="92"/>
      <c r="DO360" s="92"/>
      <c r="DP360" s="92"/>
      <c r="DQ360" s="92"/>
      <c r="DR360" s="93">
        <f t="shared" si="235"/>
        <v>0</v>
      </c>
      <c r="DS360" s="202"/>
      <c r="DT360" s="112"/>
      <c r="DU360" s="92"/>
      <c r="DV360" s="92"/>
      <c r="DW360" s="92"/>
      <c r="DX360" s="92"/>
      <c r="DY360" s="92"/>
      <c r="DZ360" s="92"/>
      <c r="EA360" s="93">
        <f t="shared" si="236"/>
        <v>0</v>
      </c>
      <c r="EB360" s="95">
        <f t="shared" si="237"/>
        <v>0</v>
      </c>
      <c r="EC360" s="96">
        <f t="shared" si="238"/>
        <v>0</v>
      </c>
      <c r="ED360" s="97">
        <f t="shared" si="239"/>
        <v>0</v>
      </c>
    </row>
    <row r="361" spans="1:134" ht="21.95" customHeight="1" x14ac:dyDescent="0.5">
      <c r="A361" s="198"/>
      <c r="B361" s="199"/>
      <c r="C361" s="210"/>
      <c r="D361" s="108"/>
      <c r="E361" s="211">
        <f>SUM(E352:E360)</f>
        <v>3045</v>
      </c>
      <c r="F361" s="107"/>
      <c r="G361" s="109"/>
      <c r="H361" s="206"/>
      <c r="I361" s="111"/>
      <c r="J361" s="112"/>
      <c r="K361" s="112"/>
      <c r="L361" s="112"/>
      <c r="M361" s="112"/>
      <c r="N361" s="212"/>
      <c r="O361" s="212"/>
      <c r="P361" s="212"/>
      <c r="Q361" s="213"/>
      <c r="R361" s="111"/>
      <c r="S361" s="112"/>
      <c r="T361" s="112"/>
      <c r="U361" s="112"/>
      <c r="V361" s="112"/>
      <c r="W361" s="212"/>
      <c r="X361" s="212"/>
      <c r="Y361" s="212"/>
      <c r="Z361" s="213"/>
      <c r="AA361" s="111"/>
      <c r="AB361" s="112"/>
      <c r="AC361" s="112"/>
      <c r="AD361" s="112"/>
      <c r="AE361" s="112"/>
      <c r="AF361" s="212"/>
      <c r="AG361" s="212"/>
      <c r="AH361" s="212"/>
      <c r="AI361" s="213"/>
      <c r="AJ361" s="94"/>
      <c r="AK361" s="214"/>
      <c r="AL361" s="116"/>
      <c r="AN361" s="89"/>
      <c r="AO361" s="111"/>
      <c r="AP361" s="112"/>
      <c r="AQ361" s="112"/>
      <c r="AR361" s="112"/>
      <c r="AS361" s="112"/>
      <c r="AT361" s="212"/>
      <c r="AU361" s="212"/>
      <c r="AV361" s="212"/>
      <c r="AW361" s="213"/>
      <c r="AX361" s="111"/>
      <c r="AY361" s="112"/>
      <c r="AZ361" s="112"/>
      <c r="BA361" s="112"/>
      <c r="BB361" s="112"/>
      <c r="BC361" s="212"/>
      <c r="BD361" s="212"/>
      <c r="BE361" s="212"/>
      <c r="BF361" s="213"/>
      <c r="BG361" s="111"/>
      <c r="BH361" s="112"/>
      <c r="BI361" s="112"/>
      <c r="BJ361" s="112"/>
      <c r="BK361" s="112"/>
      <c r="BL361" s="212"/>
      <c r="BM361" s="212"/>
      <c r="BN361" s="212"/>
      <c r="BO361" s="213"/>
      <c r="BP361" s="94"/>
      <c r="BQ361" s="214"/>
      <c r="BR361" s="116"/>
      <c r="BT361" s="206"/>
      <c r="BU361" s="111"/>
      <c r="BV361" s="112"/>
      <c r="BW361" s="112"/>
      <c r="BX361" s="112"/>
      <c r="BY361" s="112"/>
      <c r="BZ361" s="212"/>
      <c r="CA361" s="212"/>
      <c r="CB361" s="212"/>
      <c r="CC361" s="213"/>
      <c r="CD361" s="111"/>
      <c r="CE361" s="112"/>
      <c r="CF361" s="112"/>
      <c r="CG361" s="112"/>
      <c r="CH361" s="112"/>
      <c r="CI361" s="212"/>
      <c r="CJ361" s="212"/>
      <c r="CK361" s="212"/>
      <c r="CL361" s="213"/>
      <c r="CM361" s="111"/>
      <c r="CN361" s="112"/>
      <c r="CO361" s="112"/>
      <c r="CP361" s="112"/>
      <c r="CQ361" s="112"/>
      <c r="CR361" s="212"/>
      <c r="CS361" s="212"/>
      <c r="CT361" s="212"/>
      <c r="CU361" s="213"/>
      <c r="CV361" s="94"/>
      <c r="CW361" s="214"/>
      <c r="CX361" s="116"/>
      <c r="CZ361" s="206"/>
      <c r="DA361" s="111"/>
      <c r="DB361" s="112"/>
      <c r="DC361" s="112"/>
      <c r="DD361" s="112"/>
      <c r="DE361" s="112"/>
      <c r="DF361" s="212"/>
      <c r="DG361" s="212"/>
      <c r="DH361" s="212"/>
      <c r="DI361" s="213"/>
      <c r="DJ361" s="111"/>
      <c r="DK361" s="112"/>
      <c r="DL361" s="112"/>
      <c r="DM361" s="112"/>
      <c r="DN361" s="112"/>
      <c r="DO361" s="212"/>
      <c r="DP361" s="212"/>
      <c r="DQ361" s="212"/>
      <c r="DR361" s="213"/>
      <c r="DS361" s="111"/>
      <c r="DT361" s="112"/>
      <c r="DU361" s="112"/>
      <c r="DV361" s="112"/>
      <c r="DW361" s="112"/>
      <c r="DX361" s="212"/>
      <c r="DY361" s="212"/>
      <c r="DZ361" s="212"/>
      <c r="EA361" s="213"/>
      <c r="EB361" s="94"/>
      <c r="EC361" s="214"/>
      <c r="ED361" s="116"/>
    </row>
    <row r="362" spans="1:134" ht="21.95" customHeight="1" x14ac:dyDescent="0.5">
      <c r="A362" s="107"/>
      <c r="B362" s="108"/>
      <c r="C362" s="108"/>
      <c r="D362" s="108"/>
      <c r="E362" s="108"/>
      <c r="F362" s="107"/>
      <c r="G362" s="109"/>
      <c r="H362" s="110"/>
      <c r="I362" s="111"/>
      <c r="J362" s="112"/>
      <c r="K362" s="112"/>
      <c r="L362" s="112"/>
      <c r="M362" s="112"/>
      <c r="N362" s="212"/>
      <c r="O362" s="212"/>
      <c r="P362" s="212"/>
      <c r="Q362" s="213"/>
      <c r="R362" s="111"/>
      <c r="S362" s="112"/>
      <c r="T362" s="112"/>
      <c r="U362" s="112"/>
      <c r="V362" s="112"/>
      <c r="W362" s="212"/>
      <c r="X362" s="212"/>
      <c r="Y362" s="212"/>
      <c r="Z362" s="213"/>
      <c r="AA362" s="111"/>
      <c r="AB362" s="112"/>
      <c r="AC362" s="112"/>
      <c r="AD362" s="112"/>
      <c r="AE362" s="112"/>
      <c r="AF362" s="212"/>
      <c r="AG362" s="212"/>
      <c r="AH362" s="212"/>
      <c r="AI362" s="213"/>
      <c r="AJ362" s="94"/>
      <c r="AK362" s="214"/>
      <c r="AL362" s="116"/>
      <c r="AN362" s="89"/>
      <c r="AO362" s="111"/>
      <c r="AP362" s="112"/>
      <c r="AQ362" s="112"/>
      <c r="AR362" s="112"/>
      <c r="AS362" s="112"/>
      <c r="AT362" s="212"/>
      <c r="AU362" s="212"/>
      <c r="AV362" s="212"/>
      <c r="AW362" s="213"/>
      <c r="AX362" s="111"/>
      <c r="AY362" s="112"/>
      <c r="AZ362" s="112"/>
      <c r="BA362" s="112"/>
      <c r="BB362" s="112"/>
      <c r="BC362" s="212"/>
      <c r="BD362" s="212"/>
      <c r="BE362" s="212"/>
      <c r="BF362" s="213"/>
      <c r="BG362" s="111"/>
      <c r="BH362" s="112"/>
      <c r="BI362" s="112"/>
      <c r="BJ362" s="112"/>
      <c r="BK362" s="112"/>
      <c r="BL362" s="212"/>
      <c r="BM362" s="212"/>
      <c r="BN362" s="212"/>
      <c r="BO362" s="213"/>
      <c r="BP362" s="94"/>
      <c r="BQ362" s="214"/>
      <c r="BR362" s="116"/>
      <c r="BT362" s="110"/>
      <c r="BU362" s="111"/>
      <c r="BV362" s="112"/>
      <c r="BW362" s="112"/>
      <c r="BX362" s="112"/>
      <c r="BY362" s="112"/>
      <c r="BZ362" s="212"/>
      <c r="CA362" s="212"/>
      <c r="CB362" s="212"/>
      <c r="CC362" s="213"/>
      <c r="CD362" s="111"/>
      <c r="CE362" s="112"/>
      <c r="CF362" s="112"/>
      <c r="CG362" s="112"/>
      <c r="CH362" s="112"/>
      <c r="CI362" s="212"/>
      <c r="CJ362" s="212"/>
      <c r="CK362" s="212"/>
      <c r="CL362" s="213"/>
      <c r="CM362" s="111"/>
      <c r="CN362" s="112"/>
      <c r="CO362" s="112"/>
      <c r="CP362" s="112"/>
      <c r="CQ362" s="112"/>
      <c r="CR362" s="212"/>
      <c r="CS362" s="212"/>
      <c r="CT362" s="212"/>
      <c r="CU362" s="213"/>
      <c r="CV362" s="94"/>
      <c r="CW362" s="214"/>
      <c r="CX362" s="116"/>
      <c r="CZ362" s="110"/>
      <c r="DA362" s="111"/>
      <c r="DB362" s="112"/>
      <c r="DC362" s="112"/>
      <c r="DD362" s="112"/>
      <c r="DE362" s="112"/>
      <c r="DF362" s="212"/>
      <c r="DG362" s="212"/>
      <c r="DH362" s="212"/>
      <c r="DI362" s="213"/>
      <c r="DJ362" s="111"/>
      <c r="DK362" s="112"/>
      <c r="DL362" s="112"/>
      <c r="DM362" s="112"/>
      <c r="DN362" s="112"/>
      <c r="DO362" s="212"/>
      <c r="DP362" s="212"/>
      <c r="DQ362" s="212"/>
      <c r="DR362" s="213"/>
      <c r="DS362" s="111"/>
      <c r="DT362" s="112"/>
      <c r="DU362" s="112"/>
      <c r="DV362" s="112"/>
      <c r="DW362" s="112"/>
      <c r="DX362" s="212"/>
      <c r="DY362" s="212"/>
      <c r="DZ362" s="212"/>
      <c r="EA362" s="213"/>
      <c r="EB362" s="94"/>
      <c r="EC362" s="214"/>
      <c r="ED362" s="116"/>
    </row>
    <row r="363" spans="1:134" s="126" customFormat="1" ht="21.95" customHeight="1" thickBot="1" x14ac:dyDescent="0.55000000000000004">
      <c r="A363" s="117"/>
      <c r="B363" s="366" t="s">
        <v>715</v>
      </c>
      <c r="C363" s="367"/>
      <c r="D363" s="367"/>
      <c r="E363" s="367"/>
      <c r="F363" s="368"/>
      <c r="G363" s="193"/>
      <c r="H363" s="221">
        <f>SUM(H352:H362)</f>
        <v>1.0000000000000002</v>
      </c>
      <c r="I363" s="120">
        <f>SUM(I352:I362)</f>
        <v>196886.76729791515</v>
      </c>
      <c r="J363" s="121">
        <f>SUM(J352:J362)</f>
        <v>148652</v>
      </c>
      <c r="K363" s="121">
        <f t="shared" ref="K363:P363" si="242">SUM(K352:K362)</f>
        <v>50777</v>
      </c>
      <c r="L363" s="121">
        <f t="shared" si="242"/>
        <v>37646.46</v>
      </c>
      <c r="M363" s="121">
        <f t="shared" si="242"/>
        <v>94754</v>
      </c>
      <c r="N363" s="121">
        <f t="shared" si="242"/>
        <v>69982.429999999993</v>
      </c>
      <c r="O363" s="121">
        <f t="shared" si="242"/>
        <v>151617</v>
      </c>
      <c r="P363" s="121">
        <f t="shared" si="242"/>
        <v>111709.55999999998</v>
      </c>
      <c r="Q363" s="354">
        <f>+P363/J363</f>
        <v>0.75148373382127376</v>
      </c>
      <c r="R363" s="120">
        <f>SUM(R352:R362)</f>
        <v>196886.76729791542</v>
      </c>
      <c r="S363" s="121">
        <f>SUM(S352:S362)</f>
        <v>148652</v>
      </c>
      <c r="T363" s="121">
        <f t="shared" ref="T363:Y363" si="243">SUM(T352:T362)</f>
        <v>41382</v>
      </c>
      <c r="U363" s="121">
        <f t="shared" si="243"/>
        <v>31008.449999999997</v>
      </c>
      <c r="V363" s="121">
        <f t="shared" si="243"/>
        <v>82825</v>
      </c>
      <c r="W363" s="121">
        <f t="shared" si="243"/>
        <v>61935.869999999995</v>
      </c>
      <c r="X363" s="121">
        <f t="shared" si="243"/>
        <v>115741</v>
      </c>
      <c r="Y363" s="121">
        <f t="shared" si="243"/>
        <v>85820.989999999991</v>
      </c>
      <c r="Z363" s="194">
        <f>+Y363/S363</f>
        <v>0.57732818932809504</v>
      </c>
      <c r="AA363" s="120">
        <f>SUM(AA352:AA362)</f>
        <v>196886.76729791542</v>
      </c>
      <c r="AB363" s="121">
        <f>SUM(AB352:AB362)</f>
        <v>148652</v>
      </c>
      <c r="AC363" s="121">
        <f t="shared" ref="AC363:AH363" si="244">SUM(AC352:AC362)</f>
        <v>40232</v>
      </c>
      <c r="AD363" s="121">
        <f t="shared" si="244"/>
        <v>31389.19</v>
      </c>
      <c r="AE363" s="121">
        <f t="shared" si="244"/>
        <v>108840</v>
      </c>
      <c r="AF363" s="121">
        <f t="shared" si="244"/>
        <v>81960.070000000007</v>
      </c>
      <c r="AG363" s="121">
        <f t="shared" si="244"/>
        <v>0</v>
      </c>
      <c r="AH363" s="121">
        <f t="shared" si="244"/>
        <v>0</v>
      </c>
      <c r="AI363" s="194">
        <f>+AH363/AB363</f>
        <v>0</v>
      </c>
      <c r="AJ363" s="120">
        <f>SUM(AJ352:AJ362)</f>
        <v>445956</v>
      </c>
      <c r="AK363" s="215">
        <f>SUM(AK352:AK362)</f>
        <v>197530.55000000002</v>
      </c>
      <c r="AL363" s="125">
        <f t="shared" ref="AL363" si="245">IFERROR((AK363/AJ363),0)</f>
        <v>0.4429373077164564</v>
      </c>
      <c r="AN363" s="158"/>
      <c r="AO363" s="120">
        <f>SUM(AO352:AO362)</f>
        <v>0</v>
      </c>
      <c r="AP363" s="121">
        <f>SUM(AP352:AP362)</f>
        <v>0</v>
      </c>
      <c r="AQ363" s="121">
        <f t="shared" ref="AQ363:AV363" si="246">SUM(AQ352:AQ362)</f>
        <v>0</v>
      </c>
      <c r="AR363" s="121">
        <f t="shared" si="246"/>
        <v>0</v>
      </c>
      <c r="AS363" s="121">
        <f t="shared" si="246"/>
        <v>0</v>
      </c>
      <c r="AT363" s="121">
        <f t="shared" si="246"/>
        <v>0</v>
      </c>
      <c r="AU363" s="121">
        <f t="shared" si="246"/>
        <v>0</v>
      </c>
      <c r="AV363" s="121">
        <f t="shared" si="246"/>
        <v>0</v>
      </c>
      <c r="AW363" s="195" t="e">
        <f>+AU363/AP363</f>
        <v>#DIV/0!</v>
      </c>
      <c r="AX363" s="120">
        <f>SUM(AX352:AX362)</f>
        <v>0</v>
      </c>
      <c r="AY363" s="121">
        <f>SUM(AY352:AY362)</f>
        <v>0</v>
      </c>
      <c r="AZ363" s="121">
        <f t="shared" ref="AZ363:BE363" si="247">SUM(AZ352:AZ362)</f>
        <v>0</v>
      </c>
      <c r="BA363" s="121">
        <f t="shared" si="247"/>
        <v>0</v>
      </c>
      <c r="BB363" s="121">
        <f t="shared" si="247"/>
        <v>0</v>
      </c>
      <c r="BC363" s="121">
        <f t="shared" si="247"/>
        <v>0</v>
      </c>
      <c r="BD363" s="121">
        <f t="shared" si="247"/>
        <v>0</v>
      </c>
      <c r="BE363" s="121">
        <f t="shared" si="247"/>
        <v>0</v>
      </c>
      <c r="BF363" s="195" t="e">
        <f>+BD363/AY363</f>
        <v>#DIV/0!</v>
      </c>
      <c r="BG363" s="120">
        <f>SUM(BG352:BG362)</f>
        <v>0</v>
      </c>
      <c r="BH363" s="121">
        <f>SUM(BH352:BH362)</f>
        <v>0</v>
      </c>
      <c r="BI363" s="121">
        <f t="shared" ref="BI363:BN363" si="248">SUM(BI352:BI362)</f>
        <v>0</v>
      </c>
      <c r="BJ363" s="121">
        <f t="shared" si="248"/>
        <v>0</v>
      </c>
      <c r="BK363" s="121">
        <f t="shared" si="248"/>
        <v>0</v>
      </c>
      <c r="BL363" s="121">
        <f t="shared" si="248"/>
        <v>0</v>
      </c>
      <c r="BM363" s="121">
        <f t="shared" si="248"/>
        <v>0</v>
      </c>
      <c r="BN363" s="121">
        <f t="shared" si="248"/>
        <v>0</v>
      </c>
      <c r="BO363" s="195" t="e">
        <f>+BM363/BH363</f>
        <v>#DIV/0!</v>
      </c>
      <c r="BP363" s="120">
        <f>SUM(BP352:BP362)</f>
        <v>0</v>
      </c>
      <c r="BQ363" s="215">
        <f>SUM(BQ352:BQ362)</f>
        <v>0</v>
      </c>
      <c r="BR363" s="125">
        <f t="shared" ref="BR363" si="249">IFERROR((BQ363/BP363),0)</f>
        <v>0</v>
      </c>
      <c r="BT363" s="158"/>
      <c r="BU363" s="120">
        <f>SUM(BU352:BU362)</f>
        <v>0</v>
      </c>
      <c r="BV363" s="121">
        <f>SUM(BV352:BV362)</f>
        <v>0</v>
      </c>
      <c r="BW363" s="121">
        <f t="shared" ref="BW363:CB363" si="250">SUM(BW352:BW362)</f>
        <v>0</v>
      </c>
      <c r="BX363" s="121">
        <f t="shared" si="250"/>
        <v>0</v>
      </c>
      <c r="BY363" s="121">
        <f t="shared" si="250"/>
        <v>0</v>
      </c>
      <c r="BZ363" s="121">
        <f t="shared" si="250"/>
        <v>0</v>
      </c>
      <c r="CA363" s="121">
        <f t="shared" si="250"/>
        <v>0</v>
      </c>
      <c r="CB363" s="121">
        <f t="shared" si="250"/>
        <v>0</v>
      </c>
      <c r="CC363" s="195" t="e">
        <f>+CA363/BV363</f>
        <v>#DIV/0!</v>
      </c>
      <c r="CD363" s="120">
        <f>SUM(CD352:CD362)</f>
        <v>0</v>
      </c>
      <c r="CE363" s="121">
        <f>SUM(CE352:CE362)</f>
        <v>0</v>
      </c>
      <c r="CF363" s="121">
        <f t="shared" ref="CF363:CK363" si="251">SUM(CF352:CF362)</f>
        <v>0</v>
      </c>
      <c r="CG363" s="121">
        <f t="shared" si="251"/>
        <v>0</v>
      </c>
      <c r="CH363" s="121">
        <f t="shared" si="251"/>
        <v>0</v>
      </c>
      <c r="CI363" s="121">
        <f t="shared" si="251"/>
        <v>0</v>
      </c>
      <c r="CJ363" s="121">
        <f t="shared" si="251"/>
        <v>0</v>
      </c>
      <c r="CK363" s="121">
        <f t="shared" si="251"/>
        <v>0</v>
      </c>
      <c r="CL363" s="195" t="e">
        <f>+CJ363/CE363</f>
        <v>#DIV/0!</v>
      </c>
      <c r="CM363" s="120">
        <f>SUM(CM352:CM362)</f>
        <v>0</v>
      </c>
      <c r="CN363" s="121">
        <f>SUM(CN352:CN362)</f>
        <v>0</v>
      </c>
      <c r="CO363" s="121">
        <f t="shared" ref="CO363:CT363" si="252">SUM(CO352:CO362)</f>
        <v>0</v>
      </c>
      <c r="CP363" s="121">
        <f t="shared" si="252"/>
        <v>0</v>
      </c>
      <c r="CQ363" s="121">
        <f t="shared" si="252"/>
        <v>0</v>
      </c>
      <c r="CR363" s="121">
        <f t="shared" si="252"/>
        <v>0</v>
      </c>
      <c r="CS363" s="121">
        <f t="shared" si="252"/>
        <v>0</v>
      </c>
      <c r="CT363" s="121">
        <f t="shared" si="252"/>
        <v>0</v>
      </c>
      <c r="CU363" s="195" t="e">
        <f>+CS363/CN363</f>
        <v>#DIV/0!</v>
      </c>
      <c r="CV363" s="120">
        <f>SUM(CV352:CV362)</f>
        <v>0</v>
      </c>
      <c r="CW363" s="215">
        <f>SUM(CW352:CW362)</f>
        <v>0</v>
      </c>
      <c r="CX363" s="125">
        <f t="shared" ref="CX363" si="253">IFERROR((CW363/CV363),0)</f>
        <v>0</v>
      </c>
      <c r="CZ363" s="158"/>
      <c r="DA363" s="120">
        <f>SUM(DA352:DA362)</f>
        <v>0</v>
      </c>
      <c r="DB363" s="121">
        <f>SUM(DB352:DB362)</f>
        <v>0</v>
      </c>
      <c r="DC363" s="121">
        <f t="shared" ref="DC363:DH363" si="254">SUM(DC352:DC362)</f>
        <v>0</v>
      </c>
      <c r="DD363" s="121">
        <f t="shared" si="254"/>
        <v>0</v>
      </c>
      <c r="DE363" s="121">
        <f t="shared" si="254"/>
        <v>0</v>
      </c>
      <c r="DF363" s="121">
        <f t="shared" si="254"/>
        <v>0</v>
      </c>
      <c r="DG363" s="121">
        <f t="shared" si="254"/>
        <v>0</v>
      </c>
      <c r="DH363" s="121">
        <f t="shared" si="254"/>
        <v>0</v>
      </c>
      <c r="DI363" s="195" t="e">
        <f>+DG363/DB363</f>
        <v>#DIV/0!</v>
      </c>
      <c r="DJ363" s="120">
        <f>SUM(DJ352:DJ362)</f>
        <v>0</v>
      </c>
      <c r="DK363" s="121">
        <f>SUM(DK352:DK362)</f>
        <v>0</v>
      </c>
      <c r="DL363" s="121">
        <f t="shared" ref="DL363:DQ363" si="255">SUM(DL352:DL362)</f>
        <v>0</v>
      </c>
      <c r="DM363" s="121">
        <f t="shared" si="255"/>
        <v>0</v>
      </c>
      <c r="DN363" s="121">
        <f t="shared" si="255"/>
        <v>0</v>
      </c>
      <c r="DO363" s="121">
        <f t="shared" si="255"/>
        <v>0</v>
      </c>
      <c r="DP363" s="121">
        <f t="shared" si="255"/>
        <v>0</v>
      </c>
      <c r="DQ363" s="121">
        <f t="shared" si="255"/>
        <v>0</v>
      </c>
      <c r="DR363" s="195" t="e">
        <f>+DP363/DK363</f>
        <v>#DIV/0!</v>
      </c>
      <c r="DS363" s="120">
        <f>SUM(DS352:DS362)</f>
        <v>0</v>
      </c>
      <c r="DT363" s="121">
        <f>SUM(DT352:DT362)</f>
        <v>0</v>
      </c>
      <c r="DU363" s="121">
        <f t="shared" ref="DU363:DZ363" si="256">SUM(DU352:DU362)</f>
        <v>0</v>
      </c>
      <c r="DV363" s="121">
        <f t="shared" si="256"/>
        <v>0</v>
      </c>
      <c r="DW363" s="121">
        <f t="shared" si="256"/>
        <v>0</v>
      </c>
      <c r="DX363" s="121">
        <f t="shared" si="256"/>
        <v>0</v>
      </c>
      <c r="DY363" s="121">
        <f t="shared" si="256"/>
        <v>0</v>
      </c>
      <c r="DZ363" s="121">
        <f t="shared" si="256"/>
        <v>0</v>
      </c>
      <c r="EA363" s="195" t="e">
        <f>+DY363/DT363</f>
        <v>#DIV/0!</v>
      </c>
      <c r="EB363" s="120">
        <f>SUM(EB352:EB362)</f>
        <v>0</v>
      </c>
      <c r="EC363" s="215">
        <f>SUM(EC352:EC362)</f>
        <v>0</v>
      </c>
      <c r="ED363" s="125">
        <f t="shared" ref="ED363" si="257">IFERROR((EC363/EB363),0)</f>
        <v>0</v>
      </c>
    </row>
    <row r="364" spans="1:134" ht="21.95" customHeight="1" x14ac:dyDescent="0.5">
      <c r="AN364" s="216"/>
      <c r="AO364" s="126"/>
      <c r="AP364" s="126"/>
      <c r="AQ364" s="126"/>
      <c r="AR364" s="126"/>
      <c r="AS364" s="126"/>
      <c r="AT364" s="126"/>
      <c r="AU364" s="126"/>
      <c r="AV364" s="126"/>
      <c r="AW364" s="126"/>
      <c r="AZ364" s="126"/>
      <c r="BA364" s="126"/>
      <c r="BB364" s="126"/>
      <c r="BC364" s="126"/>
      <c r="BD364" s="126"/>
      <c r="BE364" s="126"/>
      <c r="BF364" s="126"/>
      <c r="BI364" s="126"/>
      <c r="BJ364" s="126"/>
      <c r="BK364" s="126"/>
      <c r="BL364" s="126"/>
      <c r="BM364" s="126"/>
      <c r="BN364" s="126"/>
      <c r="BO364" s="126"/>
      <c r="BT364" s="216"/>
      <c r="BU364" s="126"/>
      <c r="BV364" s="126"/>
      <c r="BW364" s="126"/>
      <c r="BX364" s="126"/>
      <c r="BY364" s="126"/>
      <c r="BZ364" s="126"/>
      <c r="CA364" s="126"/>
      <c r="CB364" s="126"/>
      <c r="CC364" s="126"/>
      <c r="CF364" s="126"/>
      <c r="CG364" s="126"/>
      <c r="CH364" s="126"/>
      <c r="CI364" s="126"/>
      <c r="CJ364" s="126"/>
      <c r="CK364" s="126"/>
      <c r="CL364" s="126"/>
      <c r="CO364" s="126"/>
      <c r="CP364" s="126"/>
      <c r="CQ364" s="126"/>
      <c r="CR364" s="126"/>
      <c r="CS364" s="126"/>
      <c r="CT364" s="126"/>
      <c r="CU364" s="126"/>
      <c r="CZ364" s="216"/>
      <c r="DA364" s="126"/>
      <c r="DB364" s="126"/>
      <c r="DC364" s="126"/>
      <c r="DD364" s="126"/>
      <c r="DE364" s="126"/>
      <c r="DF364" s="126"/>
      <c r="DG364" s="126"/>
      <c r="DH364" s="126"/>
      <c r="DI364" s="126"/>
      <c r="DL364" s="126"/>
      <c r="DM364" s="126"/>
      <c r="DN364" s="126"/>
      <c r="DO364" s="126"/>
      <c r="DP364" s="126"/>
      <c r="DQ364" s="126"/>
      <c r="DR364" s="126"/>
      <c r="DU364" s="126"/>
      <c r="DV364" s="126"/>
      <c r="DW364" s="126"/>
      <c r="DX364" s="126"/>
      <c r="DY364" s="126"/>
      <c r="DZ364" s="126"/>
      <c r="EA364" s="126"/>
    </row>
    <row r="365" spans="1:134" ht="21.95" customHeight="1" x14ac:dyDescent="0.5">
      <c r="J365" s="131">
        <f>+J363+J346+J190+J73</f>
        <v>1858146.6822179998</v>
      </c>
      <c r="K365" s="131">
        <f>+K363+K346+K190+K73</f>
        <v>704557</v>
      </c>
      <c r="L365" s="131">
        <f t="shared" ref="L365:P365" si="258">+L363+L346+L190+L73</f>
        <v>532980</v>
      </c>
      <c r="M365" s="131">
        <f t="shared" si="258"/>
        <v>1390186</v>
      </c>
      <c r="N365" s="131">
        <f t="shared" si="258"/>
        <v>1048553.77</v>
      </c>
      <c r="O365" s="131">
        <f t="shared" si="258"/>
        <v>2170348</v>
      </c>
      <c r="P365" s="131">
        <f t="shared" si="258"/>
        <v>1642001.32</v>
      </c>
      <c r="S365" s="131">
        <f t="shared" ref="S365:Y365" si="259">+S363+S346+S190+S73</f>
        <v>1858146.9999999998</v>
      </c>
      <c r="T365" s="131">
        <f t="shared" si="259"/>
        <v>686052</v>
      </c>
      <c r="U365" s="131">
        <f t="shared" si="259"/>
        <v>518530.01</v>
      </c>
      <c r="V365" s="131">
        <f t="shared" si="259"/>
        <v>1342852</v>
      </c>
      <c r="W365" s="131">
        <f t="shared" si="259"/>
        <v>1022148.4899999998</v>
      </c>
      <c r="X365" s="131">
        <f t="shared" si="259"/>
        <v>1964569</v>
      </c>
      <c r="Y365" s="131">
        <f t="shared" si="259"/>
        <v>1494502.3900000001</v>
      </c>
      <c r="AB365" s="131">
        <f t="shared" ref="AB365:AH365" si="260">+AB363+AB346+AB190+AB73</f>
        <v>1858146.9999999998</v>
      </c>
      <c r="AC365" s="131">
        <f t="shared" si="260"/>
        <v>735664</v>
      </c>
      <c r="AD365" s="131">
        <f t="shared" si="260"/>
        <v>567696.93000000005</v>
      </c>
      <c r="AE365" s="131">
        <f t="shared" si="260"/>
        <v>1591166</v>
      </c>
      <c r="AF365" s="131">
        <f t="shared" si="260"/>
        <v>1216838.9300000004</v>
      </c>
      <c r="AG365" s="131">
        <f t="shared" si="260"/>
        <v>0</v>
      </c>
      <c r="AH365" s="131">
        <f t="shared" si="260"/>
        <v>0</v>
      </c>
    </row>
  </sheetData>
  <mergeCells count="294">
    <mergeCell ref="I1:I2"/>
    <mergeCell ref="J1:L1"/>
    <mergeCell ref="M1:O1"/>
    <mergeCell ref="P1:R1"/>
    <mergeCell ref="S1:U1"/>
    <mergeCell ref="V1:V2"/>
    <mergeCell ref="I27:AL27"/>
    <mergeCell ref="AO27:BR27"/>
    <mergeCell ref="BU27:CX27"/>
    <mergeCell ref="DA27:ED27"/>
    <mergeCell ref="B28:D28"/>
    <mergeCell ref="I28:Q28"/>
    <mergeCell ref="R28:Z28"/>
    <mergeCell ref="AA28:AI28"/>
    <mergeCell ref="AJ28:AL28"/>
    <mergeCell ref="AO28:AW28"/>
    <mergeCell ref="DS28:EA28"/>
    <mergeCell ref="EB28:ED28"/>
    <mergeCell ref="CD28:CL28"/>
    <mergeCell ref="CM28:CU28"/>
    <mergeCell ref="CV28:CX28"/>
    <mergeCell ref="DA28:DI28"/>
    <mergeCell ref="DJ28:DR28"/>
    <mergeCell ref="I29:J29"/>
    <mergeCell ref="K29:L29"/>
    <mergeCell ref="M29:N29"/>
    <mergeCell ref="O29:P29"/>
    <mergeCell ref="R29:S29"/>
    <mergeCell ref="AX28:BF28"/>
    <mergeCell ref="BG28:BO28"/>
    <mergeCell ref="BP28:BR28"/>
    <mergeCell ref="BU28:CC28"/>
    <mergeCell ref="T29:U29"/>
    <mergeCell ref="V29:W29"/>
    <mergeCell ref="X29:Y29"/>
    <mergeCell ref="AA29:AB29"/>
    <mergeCell ref="AC29:AD29"/>
    <mergeCell ref="AE29:AF29"/>
    <mergeCell ref="AZ29:BA29"/>
    <mergeCell ref="BB29:BC29"/>
    <mergeCell ref="BD29:BE29"/>
    <mergeCell ref="BG29:BH29"/>
    <mergeCell ref="BI29:BJ29"/>
    <mergeCell ref="BK29:BL29"/>
    <mergeCell ref="AG29:AH29"/>
    <mergeCell ref="AO29:AP29"/>
    <mergeCell ref="AQ29:AR29"/>
    <mergeCell ref="AS29:AT29"/>
    <mergeCell ref="AU29:AV29"/>
    <mergeCell ref="AX29:AY29"/>
    <mergeCell ref="DG29:DH29"/>
    <mergeCell ref="DJ29:DK29"/>
    <mergeCell ref="CF29:CG29"/>
    <mergeCell ref="CH29:CI29"/>
    <mergeCell ref="CJ29:CK29"/>
    <mergeCell ref="CM29:CN29"/>
    <mergeCell ref="CO29:CP29"/>
    <mergeCell ref="CQ29:CR29"/>
    <mergeCell ref="BM29:BN29"/>
    <mergeCell ref="BU29:BV29"/>
    <mergeCell ref="BW29:BX29"/>
    <mergeCell ref="BY29:BZ29"/>
    <mergeCell ref="CA29:CB29"/>
    <mergeCell ref="CD29:CE29"/>
    <mergeCell ref="B76:D76"/>
    <mergeCell ref="I76:Q76"/>
    <mergeCell ref="R76:Z76"/>
    <mergeCell ref="AA76:AI76"/>
    <mergeCell ref="AJ76:AL76"/>
    <mergeCell ref="AO76:AW76"/>
    <mergeCell ref="DY29:DZ29"/>
    <mergeCell ref="B30:C30"/>
    <mergeCell ref="D30:E30"/>
    <mergeCell ref="B73:F73"/>
    <mergeCell ref="I75:AL75"/>
    <mergeCell ref="AO75:BR75"/>
    <mergeCell ref="BU75:CX75"/>
    <mergeCell ref="DA75:ED75"/>
    <mergeCell ref="DL29:DM29"/>
    <mergeCell ref="DN29:DO29"/>
    <mergeCell ref="DP29:DQ29"/>
    <mergeCell ref="DS29:DT29"/>
    <mergeCell ref="DU29:DV29"/>
    <mergeCell ref="DW29:DX29"/>
    <mergeCell ref="CS29:CT29"/>
    <mergeCell ref="DA29:DB29"/>
    <mergeCell ref="DC29:DD29"/>
    <mergeCell ref="DE29:DF29"/>
    <mergeCell ref="DS76:EA76"/>
    <mergeCell ref="EB76:ED76"/>
    <mergeCell ref="I77:J77"/>
    <mergeCell ref="K77:L77"/>
    <mergeCell ref="M77:N77"/>
    <mergeCell ref="O77:P77"/>
    <mergeCell ref="R77:S77"/>
    <mergeCell ref="AX76:BF76"/>
    <mergeCell ref="BG76:BO76"/>
    <mergeCell ref="BP76:BR76"/>
    <mergeCell ref="BU76:CC76"/>
    <mergeCell ref="CD76:CL76"/>
    <mergeCell ref="CM76:CU76"/>
    <mergeCell ref="T77:U77"/>
    <mergeCell ref="V77:W77"/>
    <mergeCell ref="X77:Y77"/>
    <mergeCell ref="AA77:AB77"/>
    <mergeCell ref="AC77:AD77"/>
    <mergeCell ref="AE77:AF77"/>
    <mergeCell ref="CV76:CX76"/>
    <mergeCell ref="DA76:DI76"/>
    <mergeCell ref="DJ76:DR76"/>
    <mergeCell ref="AZ77:BA77"/>
    <mergeCell ref="BB77:BC77"/>
    <mergeCell ref="BD77:BE77"/>
    <mergeCell ref="BG77:BH77"/>
    <mergeCell ref="BI77:BJ77"/>
    <mergeCell ref="BK77:BL77"/>
    <mergeCell ref="AG77:AH77"/>
    <mergeCell ref="AO77:AP77"/>
    <mergeCell ref="AQ77:AR77"/>
    <mergeCell ref="AS77:AT77"/>
    <mergeCell ref="AU77:AV77"/>
    <mergeCell ref="AX77:AY77"/>
    <mergeCell ref="DG77:DH77"/>
    <mergeCell ref="DJ77:DK77"/>
    <mergeCell ref="CF77:CG77"/>
    <mergeCell ref="CH77:CI77"/>
    <mergeCell ref="CJ77:CK77"/>
    <mergeCell ref="CM77:CN77"/>
    <mergeCell ref="CO77:CP77"/>
    <mergeCell ref="CQ77:CR77"/>
    <mergeCell ref="BM77:BN77"/>
    <mergeCell ref="BU77:BV77"/>
    <mergeCell ref="BW77:BX77"/>
    <mergeCell ref="BY77:BZ77"/>
    <mergeCell ref="CA77:CB77"/>
    <mergeCell ref="CD77:CE77"/>
    <mergeCell ref="B194:D194"/>
    <mergeCell ref="I194:Q194"/>
    <mergeCell ref="R194:Z194"/>
    <mergeCell ref="AA194:AI194"/>
    <mergeCell ref="AJ194:AL194"/>
    <mergeCell ref="AO194:AW194"/>
    <mergeCell ref="DY77:DZ77"/>
    <mergeCell ref="B78:C78"/>
    <mergeCell ref="D78:E78"/>
    <mergeCell ref="B190:F190"/>
    <mergeCell ref="I193:AL193"/>
    <mergeCell ref="AO193:BR193"/>
    <mergeCell ref="BU193:CX193"/>
    <mergeCell ref="DA193:ED193"/>
    <mergeCell ref="DL77:DM77"/>
    <mergeCell ref="DN77:DO77"/>
    <mergeCell ref="DP77:DQ77"/>
    <mergeCell ref="DS77:DT77"/>
    <mergeCell ref="DU77:DV77"/>
    <mergeCell ref="DW77:DX77"/>
    <mergeCell ref="CS77:CT77"/>
    <mergeCell ref="DA77:DB77"/>
    <mergeCell ref="DC77:DD77"/>
    <mergeCell ref="DE77:DF77"/>
    <mergeCell ref="CV194:CX194"/>
    <mergeCell ref="DA194:DI194"/>
    <mergeCell ref="DJ194:DR194"/>
    <mergeCell ref="DS194:EA194"/>
    <mergeCell ref="EB194:ED194"/>
    <mergeCell ref="I195:J195"/>
    <mergeCell ref="K195:L195"/>
    <mergeCell ref="M195:N195"/>
    <mergeCell ref="O195:P195"/>
    <mergeCell ref="R195:S195"/>
    <mergeCell ref="AX194:BF194"/>
    <mergeCell ref="BG194:BO194"/>
    <mergeCell ref="BP194:BR194"/>
    <mergeCell ref="BU194:CC194"/>
    <mergeCell ref="CD194:CL194"/>
    <mergeCell ref="CM194:CU194"/>
    <mergeCell ref="AG195:AH195"/>
    <mergeCell ref="AO195:AP195"/>
    <mergeCell ref="AQ195:AR195"/>
    <mergeCell ref="AS195:AT195"/>
    <mergeCell ref="AU195:AV195"/>
    <mergeCell ref="AX195:AY195"/>
    <mergeCell ref="T195:U195"/>
    <mergeCell ref="V195:W195"/>
    <mergeCell ref="X195:Y195"/>
    <mergeCell ref="AA195:AB195"/>
    <mergeCell ref="AC195:AD195"/>
    <mergeCell ref="AE195:AF195"/>
    <mergeCell ref="CO195:CP195"/>
    <mergeCell ref="CQ195:CR195"/>
    <mergeCell ref="BM195:BN195"/>
    <mergeCell ref="BU195:BV195"/>
    <mergeCell ref="BW195:BX195"/>
    <mergeCell ref="BY195:BZ195"/>
    <mergeCell ref="CA195:CB195"/>
    <mergeCell ref="CD195:CE195"/>
    <mergeCell ref="AZ195:BA195"/>
    <mergeCell ref="BB195:BC195"/>
    <mergeCell ref="BD195:BE195"/>
    <mergeCell ref="BG195:BH195"/>
    <mergeCell ref="BI195:BJ195"/>
    <mergeCell ref="BK195:BL195"/>
    <mergeCell ref="DY195:DZ195"/>
    <mergeCell ref="B196:C196"/>
    <mergeCell ref="D196:E196"/>
    <mergeCell ref="B346:F346"/>
    <mergeCell ref="I348:AL348"/>
    <mergeCell ref="AO348:BR348"/>
    <mergeCell ref="BU348:CX348"/>
    <mergeCell ref="DA348:ED348"/>
    <mergeCell ref="DL195:DM195"/>
    <mergeCell ref="DN195:DO195"/>
    <mergeCell ref="DP195:DQ195"/>
    <mergeCell ref="DS195:DT195"/>
    <mergeCell ref="DU195:DV195"/>
    <mergeCell ref="DW195:DX195"/>
    <mergeCell ref="CS195:CT195"/>
    <mergeCell ref="DA195:DB195"/>
    <mergeCell ref="DC195:DD195"/>
    <mergeCell ref="DE195:DF195"/>
    <mergeCell ref="DG195:DH195"/>
    <mergeCell ref="DJ195:DK195"/>
    <mergeCell ref="CF195:CG195"/>
    <mergeCell ref="CH195:CI195"/>
    <mergeCell ref="CJ195:CK195"/>
    <mergeCell ref="CM195:CN195"/>
    <mergeCell ref="DA349:DI349"/>
    <mergeCell ref="DJ349:DR349"/>
    <mergeCell ref="DS349:EA349"/>
    <mergeCell ref="EB349:ED349"/>
    <mergeCell ref="I350:J350"/>
    <mergeCell ref="K350:L350"/>
    <mergeCell ref="M350:N350"/>
    <mergeCell ref="O350:P350"/>
    <mergeCell ref="R350:S350"/>
    <mergeCell ref="T350:U350"/>
    <mergeCell ref="BG349:BO349"/>
    <mergeCell ref="BP349:BR349"/>
    <mergeCell ref="BU349:CC349"/>
    <mergeCell ref="CD349:CL349"/>
    <mergeCell ref="CM349:CU349"/>
    <mergeCell ref="CV349:CX349"/>
    <mergeCell ref="I349:Q349"/>
    <mergeCell ref="R349:Z349"/>
    <mergeCell ref="AA349:AI349"/>
    <mergeCell ref="AJ349:AL349"/>
    <mergeCell ref="AO349:AW349"/>
    <mergeCell ref="AX349:BF349"/>
    <mergeCell ref="AU350:AV350"/>
    <mergeCell ref="AX350:AY350"/>
    <mergeCell ref="AZ350:BA350"/>
    <mergeCell ref="V350:W350"/>
    <mergeCell ref="X350:Y350"/>
    <mergeCell ref="AA350:AB350"/>
    <mergeCell ref="AC350:AD350"/>
    <mergeCell ref="AE350:AF350"/>
    <mergeCell ref="AG350:AH350"/>
    <mergeCell ref="DY350:DZ350"/>
    <mergeCell ref="DA350:DB350"/>
    <mergeCell ref="DC350:DD350"/>
    <mergeCell ref="DE350:DF350"/>
    <mergeCell ref="DG350:DH350"/>
    <mergeCell ref="DJ350:DK350"/>
    <mergeCell ref="DL350:DM350"/>
    <mergeCell ref="CH350:CI350"/>
    <mergeCell ref="CJ350:CK350"/>
    <mergeCell ref="CM350:CN350"/>
    <mergeCell ref="CO350:CP350"/>
    <mergeCell ref="CQ350:CR350"/>
    <mergeCell ref="CS350:CT350"/>
    <mergeCell ref="C352:C353"/>
    <mergeCell ref="C354:C355"/>
    <mergeCell ref="C357:C359"/>
    <mergeCell ref="B363:F363"/>
    <mergeCell ref="DN350:DO350"/>
    <mergeCell ref="DP350:DQ350"/>
    <mergeCell ref="DS350:DT350"/>
    <mergeCell ref="DU350:DV350"/>
    <mergeCell ref="DW350:DX350"/>
    <mergeCell ref="BU350:BV350"/>
    <mergeCell ref="BW350:BX350"/>
    <mergeCell ref="BY350:BZ350"/>
    <mergeCell ref="CA350:CB350"/>
    <mergeCell ref="CD350:CE350"/>
    <mergeCell ref="CF350:CG350"/>
    <mergeCell ref="BB350:BC350"/>
    <mergeCell ref="BD350:BE350"/>
    <mergeCell ref="BG350:BH350"/>
    <mergeCell ref="BI350:BJ350"/>
    <mergeCell ref="BK350:BL350"/>
    <mergeCell ref="BM350:BN350"/>
    <mergeCell ref="AO350:AP350"/>
    <mergeCell ref="AQ350:AR350"/>
    <mergeCell ref="AS350:AT350"/>
  </mergeCells>
  <conditionalFormatting sqref="B346:C348">
    <cfRule type="duplicateValues" dxfId="47" priority="5"/>
    <cfRule type="duplicateValues" dxfId="46" priority="6"/>
  </conditionalFormatting>
  <conditionalFormatting sqref="B352:C352 B353:B360">
    <cfRule type="duplicateValues" dxfId="45" priority="3"/>
    <cfRule type="duplicateValues" dxfId="44" priority="4"/>
  </conditionalFormatting>
  <conditionalFormatting sqref="B362:C362 B111:C111 B361 C97:C110 B115:C115 C112:C114 C116:C123 B124:C193 B57:C75">
    <cfRule type="duplicateValues" dxfId="43" priority="8"/>
  </conditionalFormatting>
  <conditionalFormatting sqref="B362:C363 B111:C111 B361 C97:C110 B115:C115 C112:C114 C116:C123 B124:C193 B57:C75">
    <cfRule type="duplicateValues" dxfId="42" priority="9"/>
  </conditionalFormatting>
  <conditionalFormatting sqref="B363:C363">
    <cfRule type="duplicateValues" dxfId="41" priority="7"/>
  </conditionalFormatting>
  <conditionalFormatting sqref="D352">
    <cfRule type="duplicateValues" dxfId="40" priority="1"/>
    <cfRule type="duplicateValues" dxfId="39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F800-B5AB-4FFA-A74B-9BE5397E6EF5}">
  <dimension ref="A1:DM48"/>
  <sheetViews>
    <sheetView workbookViewId="0">
      <selection activeCell="DH6" sqref="DH6"/>
    </sheetView>
  </sheetViews>
  <sheetFormatPr defaultColWidth="10.28515625" defaultRowHeight="21" x14ac:dyDescent="0.6"/>
  <cols>
    <col min="1" max="1" width="5.5703125" style="227" customWidth="1"/>
    <col min="2" max="2" width="15" style="227" customWidth="1"/>
    <col min="3" max="3" width="15.5703125" style="227" customWidth="1"/>
    <col min="4" max="4" width="13.85546875" style="227" customWidth="1"/>
    <col min="5" max="5" width="15" style="227" customWidth="1"/>
    <col min="6" max="6" width="7.85546875" style="227" customWidth="1"/>
    <col min="7" max="7" width="6.28515625" style="227" hidden="1" customWidth="1"/>
    <col min="8" max="9" width="7.140625" style="227" hidden="1" customWidth="1"/>
    <col min="10" max="10" width="6.28515625" style="227" hidden="1" customWidth="1"/>
    <col min="11" max="12" width="7.140625" style="227" hidden="1" customWidth="1"/>
    <col min="13" max="13" width="6.28515625" style="227" hidden="1" customWidth="1"/>
    <col min="14" max="15" width="7.140625" style="227" hidden="1" customWidth="1"/>
    <col min="16" max="16" width="7.28515625" style="227" hidden="1" customWidth="1"/>
    <col min="17" max="17" width="8.85546875" style="227" hidden="1" customWidth="1"/>
    <col min="18" max="18" width="7.5703125" style="227" hidden="1" customWidth="1"/>
    <col min="19" max="19" width="6.28515625" style="227" hidden="1" customWidth="1"/>
    <col min="20" max="21" width="7.140625" style="227" hidden="1" customWidth="1"/>
    <col min="22" max="22" width="6.28515625" style="227" hidden="1" customWidth="1"/>
    <col min="23" max="24" width="7.140625" style="227" hidden="1" customWidth="1"/>
    <col min="25" max="25" width="6.28515625" style="227" hidden="1" customWidth="1"/>
    <col min="26" max="27" width="7.140625" style="227" hidden="1" customWidth="1"/>
    <col min="28" max="28" width="6.28515625" style="227" hidden="1" customWidth="1"/>
    <col min="29" max="30" width="7.140625" style="227" hidden="1" customWidth="1"/>
    <col min="31" max="31" width="6.28515625" style="227" hidden="1" customWidth="1"/>
    <col min="32" max="33" width="7.140625" style="227" hidden="1" customWidth="1"/>
    <col min="34" max="34" width="6.28515625" style="227" hidden="1" customWidth="1"/>
    <col min="35" max="37" width="7.140625" style="227" hidden="1" customWidth="1"/>
    <col min="38" max="39" width="8" style="227" hidden="1" customWidth="1"/>
    <col min="40" max="40" width="6.28515625" style="227" customWidth="1"/>
    <col min="41" max="42" width="7.140625" style="227" customWidth="1"/>
    <col min="43" max="43" width="7.28515625" style="227" customWidth="1"/>
    <col min="44" max="44" width="6.85546875" style="227" customWidth="1"/>
    <col min="45" max="45" width="7" style="227" customWidth="1"/>
    <col min="46" max="46" width="6.28515625" style="227" customWidth="1"/>
    <col min="47" max="48" width="7.140625" style="227" customWidth="1"/>
    <col min="49" max="49" width="6.28515625" style="227" customWidth="1"/>
    <col min="50" max="51" width="7.140625" style="227" customWidth="1"/>
    <col min="52" max="52" width="6.28515625" style="227" customWidth="1"/>
    <col min="53" max="54" width="7.140625" style="227" customWidth="1"/>
    <col min="55" max="55" width="6.28515625" style="227" customWidth="1"/>
    <col min="56" max="57" width="7.140625" style="227" customWidth="1"/>
    <col min="58" max="58" width="6.28515625" style="227" customWidth="1"/>
    <col min="59" max="60" width="7.140625" style="227" customWidth="1"/>
    <col min="61" max="61" width="6.28515625" style="227" customWidth="1"/>
    <col min="62" max="63" width="6.85546875" style="227" customWidth="1"/>
    <col min="64" max="64" width="6.28515625" style="227" customWidth="1"/>
    <col min="65" max="66" width="7.140625" style="227" customWidth="1"/>
    <col min="67" max="67" width="6.28515625" style="227" customWidth="1"/>
    <col min="68" max="70" width="7.140625" style="227" customWidth="1"/>
    <col min="71" max="71" width="9.28515625" style="227" customWidth="1"/>
    <col min="72" max="72" width="8" style="227" customWidth="1"/>
    <col min="73" max="73" width="6.28515625" style="227" customWidth="1"/>
    <col min="74" max="105" width="8.140625" style="227" customWidth="1"/>
    <col min="106" max="106" width="9" style="227" customWidth="1"/>
    <col min="107" max="107" width="9.140625" style="227" customWidth="1"/>
    <col min="108" max="108" width="10.140625" style="227" customWidth="1"/>
    <col min="109" max="110" width="10.28515625" style="227" customWidth="1"/>
    <col min="111" max="111" width="10.28515625" style="227"/>
    <col min="112" max="116" width="10.28515625" style="229"/>
    <col min="117" max="16384" width="10.28515625" style="227"/>
  </cols>
  <sheetData>
    <row r="1" spans="1:117" ht="30" customHeight="1" x14ac:dyDescent="0.6">
      <c r="A1" s="225"/>
      <c r="B1" s="414" t="s">
        <v>35</v>
      </c>
      <c r="C1" s="414"/>
      <c r="D1" s="414"/>
      <c r="E1" s="225"/>
      <c r="F1" s="226"/>
      <c r="AO1" s="228"/>
      <c r="AP1" s="228"/>
      <c r="BU1" s="228"/>
      <c r="BV1" s="228"/>
      <c r="BW1" s="228"/>
    </row>
    <row r="2" spans="1:117" ht="30" customHeight="1" x14ac:dyDescent="0.6">
      <c r="A2" s="225"/>
      <c r="B2" s="225"/>
      <c r="C2" s="225"/>
      <c r="D2" s="225"/>
      <c r="E2" s="225"/>
      <c r="F2" s="225"/>
      <c r="G2" s="409">
        <v>8767</v>
      </c>
      <c r="H2" s="409"/>
      <c r="I2" s="410"/>
      <c r="J2" s="409">
        <v>45659</v>
      </c>
      <c r="K2" s="409"/>
      <c r="L2" s="410"/>
      <c r="M2" s="409">
        <v>45660</v>
      </c>
      <c r="N2" s="409"/>
      <c r="O2" s="410"/>
      <c r="P2" s="409">
        <v>45661</v>
      </c>
      <c r="Q2" s="409"/>
      <c r="R2" s="410"/>
      <c r="S2" s="409">
        <v>45662</v>
      </c>
      <c r="T2" s="409"/>
      <c r="U2" s="410"/>
      <c r="V2" s="409">
        <v>45663</v>
      </c>
      <c r="W2" s="409"/>
      <c r="X2" s="410"/>
      <c r="Y2" s="409">
        <v>45664</v>
      </c>
      <c r="Z2" s="409"/>
      <c r="AA2" s="410"/>
      <c r="AB2" s="409">
        <v>45665</v>
      </c>
      <c r="AC2" s="409"/>
      <c r="AD2" s="410"/>
      <c r="AE2" s="409">
        <v>45666</v>
      </c>
      <c r="AF2" s="409"/>
      <c r="AG2" s="410"/>
      <c r="AH2" s="409">
        <v>45667</v>
      </c>
      <c r="AI2" s="409"/>
      <c r="AJ2" s="410"/>
      <c r="AK2" s="411" t="s">
        <v>717</v>
      </c>
      <c r="AL2" s="411"/>
      <c r="AM2" s="411"/>
      <c r="AN2" s="409">
        <v>46033</v>
      </c>
      <c r="AO2" s="409"/>
      <c r="AP2" s="410"/>
      <c r="AQ2" s="409">
        <v>46034</v>
      </c>
      <c r="AR2" s="409"/>
      <c r="AS2" s="410"/>
      <c r="AT2" s="409">
        <v>46035</v>
      </c>
      <c r="AU2" s="409"/>
      <c r="AV2" s="410"/>
      <c r="AW2" s="409">
        <v>46036</v>
      </c>
      <c r="AX2" s="409"/>
      <c r="AY2" s="410"/>
      <c r="AZ2" s="409">
        <v>46037</v>
      </c>
      <c r="BA2" s="409"/>
      <c r="BB2" s="410"/>
      <c r="BC2" s="409">
        <v>46038</v>
      </c>
      <c r="BD2" s="409"/>
      <c r="BE2" s="410"/>
      <c r="BF2" s="409">
        <v>46039</v>
      </c>
      <c r="BG2" s="409"/>
      <c r="BH2" s="410"/>
      <c r="BI2" s="409">
        <v>46040</v>
      </c>
      <c r="BJ2" s="409"/>
      <c r="BK2" s="410"/>
      <c r="BL2" s="409">
        <v>46041</v>
      </c>
      <c r="BM2" s="409"/>
      <c r="BN2" s="410"/>
      <c r="BO2" s="409">
        <v>46042</v>
      </c>
      <c r="BP2" s="409"/>
      <c r="BQ2" s="410"/>
      <c r="BR2" s="411" t="s">
        <v>718</v>
      </c>
      <c r="BS2" s="411"/>
      <c r="BT2" s="411"/>
      <c r="BU2" s="409">
        <v>46043</v>
      </c>
      <c r="BV2" s="409"/>
      <c r="BW2" s="410"/>
      <c r="BX2" s="409">
        <v>46044</v>
      </c>
      <c r="BY2" s="409"/>
      <c r="BZ2" s="410"/>
      <c r="CA2" s="409">
        <v>46045</v>
      </c>
      <c r="CB2" s="409"/>
      <c r="CC2" s="410"/>
      <c r="CD2" s="409">
        <v>46046</v>
      </c>
      <c r="CE2" s="409"/>
      <c r="CF2" s="410"/>
      <c r="CG2" s="409">
        <v>46047</v>
      </c>
      <c r="CH2" s="409"/>
      <c r="CI2" s="410"/>
      <c r="CJ2" s="409">
        <v>46048</v>
      </c>
      <c r="CK2" s="409"/>
      <c r="CL2" s="410"/>
      <c r="CM2" s="409">
        <v>46049</v>
      </c>
      <c r="CN2" s="409"/>
      <c r="CO2" s="410"/>
      <c r="CP2" s="409">
        <v>46050</v>
      </c>
      <c r="CQ2" s="409"/>
      <c r="CR2" s="410"/>
      <c r="CS2" s="409">
        <v>46051</v>
      </c>
      <c r="CT2" s="409"/>
      <c r="CU2" s="410"/>
      <c r="CV2" s="409">
        <v>46052</v>
      </c>
      <c r="CW2" s="409"/>
      <c r="CX2" s="410"/>
      <c r="CY2" s="409">
        <v>46053</v>
      </c>
      <c r="CZ2" s="409"/>
      <c r="DA2" s="410"/>
      <c r="DB2" s="410" t="s">
        <v>719</v>
      </c>
      <c r="DC2" s="410"/>
      <c r="DD2" s="410"/>
    </row>
    <row r="3" spans="1:117" ht="38.25" customHeight="1" x14ac:dyDescent="0.6">
      <c r="A3" s="231" t="s">
        <v>43</v>
      </c>
      <c r="B3" s="412" t="s">
        <v>44</v>
      </c>
      <c r="C3" s="413"/>
      <c r="D3" s="412" t="s">
        <v>45</v>
      </c>
      <c r="E3" s="413"/>
      <c r="F3" s="232" t="s">
        <v>46</v>
      </c>
      <c r="G3" s="233" t="s">
        <v>720</v>
      </c>
      <c r="H3" s="230" t="s">
        <v>721</v>
      </c>
      <c r="I3" s="230" t="s">
        <v>722</v>
      </c>
      <c r="J3" s="233" t="s">
        <v>720</v>
      </c>
      <c r="K3" s="230" t="s">
        <v>721</v>
      </c>
      <c r="L3" s="230" t="s">
        <v>722</v>
      </c>
      <c r="M3" s="233" t="s">
        <v>720</v>
      </c>
      <c r="N3" s="230" t="s">
        <v>721</v>
      </c>
      <c r="O3" s="230" t="s">
        <v>722</v>
      </c>
      <c r="P3" s="233" t="s">
        <v>720</v>
      </c>
      <c r="Q3" s="230" t="s">
        <v>721</v>
      </c>
      <c r="R3" s="230" t="s">
        <v>722</v>
      </c>
      <c r="S3" s="233" t="s">
        <v>720</v>
      </c>
      <c r="T3" s="230" t="s">
        <v>721</v>
      </c>
      <c r="U3" s="230" t="s">
        <v>722</v>
      </c>
      <c r="V3" s="233" t="s">
        <v>720</v>
      </c>
      <c r="W3" s="230" t="s">
        <v>721</v>
      </c>
      <c r="X3" s="230" t="s">
        <v>722</v>
      </c>
      <c r="Y3" s="233" t="s">
        <v>720</v>
      </c>
      <c r="Z3" s="230" t="s">
        <v>721</v>
      </c>
      <c r="AA3" s="230" t="s">
        <v>722</v>
      </c>
      <c r="AB3" s="233" t="s">
        <v>720</v>
      </c>
      <c r="AC3" s="230" t="s">
        <v>721</v>
      </c>
      <c r="AD3" s="230" t="s">
        <v>722</v>
      </c>
      <c r="AE3" s="233" t="s">
        <v>720</v>
      </c>
      <c r="AF3" s="230" t="s">
        <v>721</v>
      </c>
      <c r="AG3" s="230" t="s">
        <v>722</v>
      </c>
      <c r="AH3" s="233" t="s">
        <v>720</v>
      </c>
      <c r="AI3" s="230" t="s">
        <v>721</v>
      </c>
      <c r="AJ3" s="230" t="s">
        <v>722</v>
      </c>
      <c r="AK3" s="233" t="s">
        <v>720</v>
      </c>
      <c r="AL3" s="230" t="s">
        <v>721</v>
      </c>
      <c r="AM3" s="230" t="s">
        <v>723</v>
      </c>
      <c r="AN3" s="233" t="s">
        <v>720</v>
      </c>
      <c r="AO3" s="230" t="s">
        <v>721</v>
      </c>
      <c r="AP3" s="230" t="s">
        <v>722</v>
      </c>
      <c r="AQ3" s="233" t="s">
        <v>720</v>
      </c>
      <c r="AR3" s="230" t="s">
        <v>721</v>
      </c>
      <c r="AS3" s="230" t="s">
        <v>722</v>
      </c>
      <c r="AT3" s="233" t="s">
        <v>720</v>
      </c>
      <c r="AU3" s="230" t="s">
        <v>721</v>
      </c>
      <c r="AV3" s="230" t="s">
        <v>722</v>
      </c>
      <c r="AW3" s="233" t="s">
        <v>720</v>
      </c>
      <c r="AX3" s="230" t="s">
        <v>721</v>
      </c>
      <c r="AY3" s="230" t="s">
        <v>722</v>
      </c>
      <c r="AZ3" s="233" t="s">
        <v>720</v>
      </c>
      <c r="BA3" s="230" t="s">
        <v>721</v>
      </c>
      <c r="BB3" s="230" t="s">
        <v>722</v>
      </c>
      <c r="BC3" s="233" t="s">
        <v>720</v>
      </c>
      <c r="BD3" s="230" t="s">
        <v>721</v>
      </c>
      <c r="BE3" s="230" t="s">
        <v>722</v>
      </c>
      <c r="BF3" s="233" t="s">
        <v>720</v>
      </c>
      <c r="BG3" s="230" t="s">
        <v>721</v>
      </c>
      <c r="BH3" s="230" t="s">
        <v>722</v>
      </c>
      <c r="BI3" s="233" t="s">
        <v>720</v>
      </c>
      <c r="BJ3" s="230" t="s">
        <v>721</v>
      </c>
      <c r="BK3" s="230" t="s">
        <v>722</v>
      </c>
      <c r="BL3" s="233" t="s">
        <v>720</v>
      </c>
      <c r="BM3" s="230" t="s">
        <v>721</v>
      </c>
      <c r="BN3" s="230" t="s">
        <v>722</v>
      </c>
      <c r="BO3" s="233" t="s">
        <v>720</v>
      </c>
      <c r="BP3" s="230" t="s">
        <v>721</v>
      </c>
      <c r="BQ3" s="230" t="s">
        <v>722</v>
      </c>
      <c r="BR3" s="233" t="s">
        <v>720</v>
      </c>
      <c r="BS3" s="230" t="s">
        <v>721</v>
      </c>
      <c r="BT3" s="230" t="s">
        <v>723</v>
      </c>
      <c r="BU3" s="233" t="s">
        <v>720</v>
      </c>
      <c r="BV3" s="230" t="s">
        <v>721</v>
      </c>
      <c r="BW3" s="230" t="s">
        <v>723</v>
      </c>
      <c r="BX3" s="233" t="s">
        <v>720</v>
      </c>
      <c r="BY3" s="230" t="s">
        <v>721</v>
      </c>
      <c r="BZ3" s="230" t="s">
        <v>723</v>
      </c>
      <c r="CA3" s="233" t="s">
        <v>720</v>
      </c>
      <c r="CB3" s="230" t="s">
        <v>721</v>
      </c>
      <c r="CC3" s="230" t="s">
        <v>723</v>
      </c>
      <c r="CD3" s="233" t="s">
        <v>720</v>
      </c>
      <c r="CE3" s="230" t="s">
        <v>721</v>
      </c>
      <c r="CF3" s="230" t="s">
        <v>723</v>
      </c>
      <c r="CG3" s="233" t="s">
        <v>720</v>
      </c>
      <c r="CH3" s="230" t="s">
        <v>721</v>
      </c>
      <c r="CI3" s="230" t="s">
        <v>723</v>
      </c>
      <c r="CJ3" s="233" t="s">
        <v>720</v>
      </c>
      <c r="CK3" s="230" t="s">
        <v>721</v>
      </c>
      <c r="CL3" s="230" t="s">
        <v>723</v>
      </c>
      <c r="CM3" s="233" t="s">
        <v>720</v>
      </c>
      <c r="CN3" s="230" t="s">
        <v>721</v>
      </c>
      <c r="CO3" s="230" t="s">
        <v>723</v>
      </c>
      <c r="CP3" s="233" t="s">
        <v>720</v>
      </c>
      <c r="CQ3" s="230" t="s">
        <v>721</v>
      </c>
      <c r="CR3" s="230" t="s">
        <v>723</v>
      </c>
      <c r="CS3" s="233" t="s">
        <v>720</v>
      </c>
      <c r="CT3" s="230" t="s">
        <v>721</v>
      </c>
      <c r="CU3" s="230" t="s">
        <v>723</v>
      </c>
      <c r="CV3" s="233" t="s">
        <v>720</v>
      </c>
      <c r="CW3" s="230" t="s">
        <v>721</v>
      </c>
      <c r="CX3" s="230" t="s">
        <v>723</v>
      </c>
      <c r="CY3" s="233" t="s">
        <v>720</v>
      </c>
      <c r="CZ3" s="230" t="s">
        <v>721</v>
      </c>
      <c r="DA3" s="230" t="s">
        <v>723</v>
      </c>
      <c r="DB3" s="233" t="s">
        <v>720</v>
      </c>
      <c r="DC3" s="230" t="s">
        <v>721</v>
      </c>
      <c r="DD3" s="230" t="s">
        <v>723</v>
      </c>
    </row>
    <row r="4" spans="1:117" ht="20.100000000000001" customHeight="1" x14ac:dyDescent="0.6">
      <c r="A4" s="234">
        <v>1</v>
      </c>
      <c r="B4" s="235" t="s">
        <v>52</v>
      </c>
      <c r="C4" s="236" t="s">
        <v>53</v>
      </c>
      <c r="D4" s="237" t="s">
        <v>54</v>
      </c>
      <c r="E4" s="237" t="s">
        <v>55</v>
      </c>
      <c r="F4" s="238" t="s">
        <v>56</v>
      </c>
      <c r="G4" s="239"/>
      <c r="H4" s="240"/>
      <c r="I4" s="240"/>
      <c r="J4" s="240"/>
      <c r="K4" s="240"/>
      <c r="L4" s="240"/>
      <c r="M4" s="240">
        <v>650</v>
      </c>
      <c r="N4" s="240">
        <v>9820</v>
      </c>
      <c r="O4" s="240">
        <v>6477.6</v>
      </c>
      <c r="P4" s="240"/>
      <c r="Q4" s="240"/>
      <c r="R4" s="240"/>
      <c r="S4" s="240">
        <v>630</v>
      </c>
      <c r="T4" s="240">
        <v>9320</v>
      </c>
      <c r="U4" s="240">
        <v>6872.8</v>
      </c>
      <c r="V4" s="240">
        <v>575</v>
      </c>
      <c r="W4" s="240">
        <v>9560</v>
      </c>
      <c r="X4" s="240">
        <v>6850</v>
      </c>
      <c r="Y4" s="240"/>
      <c r="Z4" s="240"/>
      <c r="AA4" s="240"/>
      <c r="AB4" s="240">
        <v>655</v>
      </c>
      <c r="AC4" s="240">
        <v>10720</v>
      </c>
      <c r="AD4" s="240">
        <v>7266</v>
      </c>
      <c r="AE4" s="240">
        <v>660</v>
      </c>
      <c r="AF4" s="104">
        <v>9720</v>
      </c>
      <c r="AG4" s="104">
        <v>6932</v>
      </c>
      <c r="AH4" s="241">
        <v>30</v>
      </c>
      <c r="AI4" s="241">
        <v>360</v>
      </c>
      <c r="AJ4" s="241">
        <v>360</v>
      </c>
      <c r="AK4" s="242">
        <f>+G4+J4+M4+P4+S4+V4+Y4+AB4+AE4+AH4</f>
        <v>3200</v>
      </c>
      <c r="AL4" s="242">
        <f t="shared" ref="AL4:AM19" si="0">+H4+K4+N4+Q4+T4+W4+Z4+AC4+AF4+AI4</f>
        <v>49500</v>
      </c>
      <c r="AM4" s="242">
        <f t="shared" si="0"/>
        <v>34758.400000000001</v>
      </c>
      <c r="AN4" s="241"/>
      <c r="AO4" s="241"/>
      <c r="AP4" s="241"/>
      <c r="AQ4" s="241">
        <v>665</v>
      </c>
      <c r="AR4" s="241">
        <v>11240</v>
      </c>
      <c r="AS4" s="241">
        <v>7108.8</v>
      </c>
      <c r="AT4" s="241"/>
      <c r="AU4" s="241"/>
      <c r="AV4" s="241"/>
      <c r="AW4" s="241"/>
      <c r="AX4" s="241"/>
      <c r="AY4" s="241"/>
      <c r="AZ4" s="241">
        <v>695</v>
      </c>
      <c r="BA4" s="241">
        <v>11520</v>
      </c>
      <c r="BB4" s="241">
        <v>7705.2</v>
      </c>
      <c r="BC4" s="241"/>
      <c r="BD4" s="241"/>
      <c r="BE4" s="241"/>
      <c r="BF4" s="241">
        <v>650</v>
      </c>
      <c r="BG4" s="241">
        <v>12160</v>
      </c>
      <c r="BH4" s="241">
        <v>7394</v>
      </c>
      <c r="BI4" s="241"/>
      <c r="BJ4" s="241"/>
      <c r="BK4" s="241"/>
      <c r="BL4" s="241"/>
      <c r="BM4" s="241"/>
      <c r="BN4" s="241"/>
      <c r="BO4" s="241">
        <v>1180</v>
      </c>
      <c r="BP4" s="241">
        <v>17220</v>
      </c>
      <c r="BQ4" s="241">
        <v>13262</v>
      </c>
      <c r="BR4" s="242">
        <f>+AK4+AN4+AQ4+AT4+AW4+AZ4+BC4+BF4+BI4+BL4+BO4</f>
        <v>6390</v>
      </c>
      <c r="BS4" s="242">
        <f>+AL4+AO4+AR4+AU4+AX4+BA4+BD4+BG4+BJ4+BM4+BP4</f>
        <v>101640</v>
      </c>
      <c r="BT4" s="242">
        <f t="shared" ref="BS4:BT19" si="1">+AM4+AP4+AS4+AV4+AY4+BB4+BE4+BH4+BK4+BN4+BQ4</f>
        <v>70228.399999999994</v>
      </c>
      <c r="BU4" s="104"/>
      <c r="BV4" s="104"/>
      <c r="BW4" s="104"/>
      <c r="BX4" s="104"/>
      <c r="BY4" s="104"/>
      <c r="BZ4" s="104"/>
      <c r="CA4" s="104">
        <v>640</v>
      </c>
      <c r="CB4" s="104">
        <v>8080</v>
      </c>
      <c r="CC4" s="104">
        <v>6832</v>
      </c>
      <c r="CD4" s="104">
        <v>630</v>
      </c>
      <c r="CE4" s="104">
        <v>10060</v>
      </c>
      <c r="CF4" s="104">
        <v>6982</v>
      </c>
      <c r="CG4" s="104"/>
      <c r="CH4" s="104"/>
      <c r="CI4" s="104"/>
      <c r="CJ4" s="104">
        <v>650</v>
      </c>
      <c r="CK4" s="104">
        <v>9400</v>
      </c>
      <c r="CL4" s="104">
        <v>7116</v>
      </c>
      <c r="CM4" s="104"/>
      <c r="CN4" s="104"/>
      <c r="CO4" s="104"/>
      <c r="CP4" s="104">
        <v>630</v>
      </c>
      <c r="CQ4" s="104">
        <v>9360</v>
      </c>
      <c r="CR4" s="104">
        <v>6812</v>
      </c>
      <c r="CS4" s="104"/>
      <c r="CT4" s="104"/>
      <c r="CU4" s="104"/>
      <c r="CV4" s="241">
        <v>640</v>
      </c>
      <c r="CW4" s="241">
        <v>9380</v>
      </c>
      <c r="CX4" s="241">
        <v>7084</v>
      </c>
      <c r="CY4" s="241"/>
      <c r="CZ4" s="241"/>
      <c r="DA4" s="241"/>
      <c r="DB4" s="242">
        <f>+BR4+BU4+BX4+CA4+CD4+CG4+CJ4+CM4+CP4+CS4+CV4+CY4</f>
        <v>9580</v>
      </c>
      <c r="DC4" s="242">
        <f>+BS4+BV4+BY4+CB4+CE4+CH4+CK4+CN4+CQ4+CT4+CW4+CZ4</f>
        <v>147920</v>
      </c>
      <c r="DD4" s="242">
        <f>+BT4+BW4+BZ4+CC4+CF4+CI4+CL4+CO4+CR4+CU4+CX4+DA4</f>
        <v>105054.39999999999</v>
      </c>
      <c r="DE4" s="243"/>
      <c r="DG4" s="243"/>
      <c r="DH4" s="244"/>
      <c r="DI4" s="244"/>
      <c r="DJ4" s="244"/>
    </row>
    <row r="5" spans="1:117" ht="20.100000000000001" customHeight="1" x14ac:dyDescent="0.6">
      <c r="A5" s="234">
        <v>2</v>
      </c>
      <c r="B5" s="245" t="s">
        <v>58</v>
      </c>
      <c r="C5" s="234" t="s">
        <v>59</v>
      </c>
      <c r="D5" s="246" t="s">
        <v>60</v>
      </c>
      <c r="E5" s="246" t="s">
        <v>61</v>
      </c>
      <c r="F5" s="238" t="s">
        <v>56</v>
      </c>
      <c r="G5" s="239"/>
      <c r="H5" s="240"/>
      <c r="I5" s="240"/>
      <c r="J5" s="240">
        <v>610</v>
      </c>
      <c r="K5" s="240">
        <v>8660</v>
      </c>
      <c r="L5" s="240">
        <v>6476</v>
      </c>
      <c r="M5" s="240">
        <v>600</v>
      </c>
      <c r="N5" s="240">
        <v>8800</v>
      </c>
      <c r="O5" s="240">
        <v>6752.8</v>
      </c>
      <c r="P5" s="240"/>
      <c r="Q5" s="240"/>
      <c r="R5" s="240"/>
      <c r="S5" s="240">
        <v>600</v>
      </c>
      <c r="T5" s="240">
        <v>9000</v>
      </c>
      <c r="U5" s="240">
        <v>6692</v>
      </c>
      <c r="V5" s="240">
        <v>600</v>
      </c>
      <c r="W5" s="240">
        <v>7960</v>
      </c>
      <c r="X5" s="240">
        <v>6596.8</v>
      </c>
      <c r="Y5" s="240"/>
      <c r="Z5" s="240"/>
      <c r="AA5" s="240"/>
      <c r="AB5" s="240">
        <v>600</v>
      </c>
      <c r="AC5" s="240">
        <v>8360</v>
      </c>
      <c r="AD5" s="240">
        <v>6328</v>
      </c>
      <c r="AE5" s="240">
        <v>600</v>
      </c>
      <c r="AF5" s="104">
        <v>8320</v>
      </c>
      <c r="AG5" s="104">
        <v>6388.8</v>
      </c>
      <c r="AH5" s="241">
        <v>1200</v>
      </c>
      <c r="AI5" s="241">
        <v>15640</v>
      </c>
      <c r="AJ5" s="241">
        <v>12947.2</v>
      </c>
      <c r="AK5" s="242">
        <f t="shared" ref="AK5:AM20" si="2">+G5+J5+M5+P5+S5+V5+Y5+AB5+AE5+AH5</f>
        <v>4810</v>
      </c>
      <c r="AL5" s="242">
        <f t="shared" si="0"/>
        <v>66740</v>
      </c>
      <c r="AM5" s="242">
        <f t="shared" si="0"/>
        <v>52181.600000000006</v>
      </c>
      <c r="AN5" s="241"/>
      <c r="AO5" s="241"/>
      <c r="AP5" s="241"/>
      <c r="AQ5" s="241">
        <v>600</v>
      </c>
      <c r="AR5" s="241">
        <v>8340</v>
      </c>
      <c r="AS5" s="241">
        <v>6660</v>
      </c>
      <c r="AT5" s="241">
        <v>600</v>
      </c>
      <c r="AU5" s="241">
        <v>8060</v>
      </c>
      <c r="AV5" s="241">
        <v>6688</v>
      </c>
      <c r="AW5" s="241"/>
      <c r="AX5" s="241"/>
      <c r="AY5" s="241"/>
      <c r="AZ5" s="241">
        <v>600</v>
      </c>
      <c r="BA5" s="241">
        <v>8160</v>
      </c>
      <c r="BB5" s="241">
        <v>6536</v>
      </c>
      <c r="BC5" s="241">
        <v>600</v>
      </c>
      <c r="BD5" s="241">
        <v>8160</v>
      </c>
      <c r="BE5" s="241">
        <v>6536</v>
      </c>
      <c r="BF5" s="241"/>
      <c r="BG5" s="241"/>
      <c r="BH5" s="241"/>
      <c r="BI5" s="241"/>
      <c r="BJ5" s="241"/>
      <c r="BK5" s="241"/>
      <c r="BL5" s="241">
        <v>600</v>
      </c>
      <c r="BM5" s="241">
        <v>8120</v>
      </c>
      <c r="BN5" s="241">
        <v>6692.8</v>
      </c>
      <c r="BO5" s="241">
        <v>600</v>
      </c>
      <c r="BP5" s="241">
        <v>8060</v>
      </c>
      <c r="BQ5" s="241">
        <v>6688</v>
      </c>
      <c r="BR5" s="242">
        <f t="shared" ref="BR5:BT20" si="3">+AK5+AN5+AQ5+AT5+AW5+AZ5+BC5+BF5+BI5+BL5+BO5</f>
        <v>8410</v>
      </c>
      <c r="BS5" s="242">
        <f t="shared" si="1"/>
        <v>115640</v>
      </c>
      <c r="BT5" s="242">
        <f t="shared" si="1"/>
        <v>91982.400000000009</v>
      </c>
      <c r="BU5" s="104"/>
      <c r="BV5" s="104"/>
      <c r="BW5" s="104"/>
      <c r="BX5" s="104">
        <v>600</v>
      </c>
      <c r="BY5" s="104">
        <v>8160</v>
      </c>
      <c r="BZ5" s="104">
        <v>6536</v>
      </c>
      <c r="CA5" s="104">
        <v>600</v>
      </c>
      <c r="CB5" s="104">
        <v>8180</v>
      </c>
      <c r="CC5" s="104">
        <v>6505.6</v>
      </c>
      <c r="CD5" s="104">
        <v>600</v>
      </c>
      <c r="CE5" s="104">
        <v>7600</v>
      </c>
      <c r="CF5" s="104">
        <v>6592</v>
      </c>
      <c r="CG5" s="104"/>
      <c r="CH5" s="104"/>
      <c r="CI5" s="104"/>
      <c r="CJ5" s="104">
        <v>600</v>
      </c>
      <c r="CK5" s="104">
        <v>8060</v>
      </c>
      <c r="CL5" s="104">
        <v>6688</v>
      </c>
      <c r="CM5" s="104">
        <v>600</v>
      </c>
      <c r="CN5" s="104">
        <v>8300</v>
      </c>
      <c r="CO5" s="104">
        <v>6851.2</v>
      </c>
      <c r="CP5" s="104"/>
      <c r="CQ5" s="104"/>
      <c r="CR5" s="104"/>
      <c r="CS5" s="104">
        <v>600</v>
      </c>
      <c r="CT5" s="104">
        <v>7600</v>
      </c>
      <c r="CU5" s="104">
        <v>6496</v>
      </c>
      <c r="CV5" s="241">
        <v>600</v>
      </c>
      <c r="CW5" s="241">
        <v>8440</v>
      </c>
      <c r="CX5" s="241">
        <v>6556</v>
      </c>
      <c r="CY5" s="241">
        <v>600</v>
      </c>
      <c r="CZ5" s="241">
        <v>7860</v>
      </c>
      <c r="DA5" s="241">
        <v>6844.8</v>
      </c>
      <c r="DB5" s="242">
        <f t="shared" ref="DB5:DD45" si="4">+BR5+BU5+BX5+CA5+CD5+CG5+CJ5+CM5+CP5+CS5+CV5+CY5</f>
        <v>13210</v>
      </c>
      <c r="DC5" s="242">
        <f t="shared" si="4"/>
        <v>179840</v>
      </c>
      <c r="DD5" s="242">
        <f>+BT5+BW5+BZ5+CC5+CF5+CI5+CL5+CO5+CR5+CU5+CX5+DA5</f>
        <v>145052</v>
      </c>
      <c r="DG5" s="243"/>
      <c r="DH5" s="244"/>
      <c r="DI5" s="244"/>
      <c r="DJ5" s="244"/>
    </row>
    <row r="6" spans="1:117" ht="20.100000000000001" customHeight="1" x14ac:dyDescent="0.6">
      <c r="A6" s="234">
        <v>3</v>
      </c>
      <c r="B6" s="245" t="s">
        <v>62</v>
      </c>
      <c r="C6" s="234" t="s">
        <v>63</v>
      </c>
      <c r="D6" s="246" t="s">
        <v>64</v>
      </c>
      <c r="E6" s="246" t="s">
        <v>65</v>
      </c>
      <c r="F6" s="238" t="s">
        <v>56</v>
      </c>
      <c r="G6" s="239"/>
      <c r="H6" s="240"/>
      <c r="I6" s="240"/>
      <c r="J6" s="240"/>
      <c r="K6" s="240"/>
      <c r="L6" s="240"/>
      <c r="M6" s="240">
        <v>205</v>
      </c>
      <c r="N6" s="240">
        <v>3160</v>
      </c>
      <c r="O6" s="240">
        <v>2477.6</v>
      </c>
      <c r="P6" s="240"/>
      <c r="Q6" s="240"/>
      <c r="R6" s="240"/>
      <c r="S6" s="240">
        <v>500</v>
      </c>
      <c r="T6" s="240">
        <v>7960</v>
      </c>
      <c r="U6" s="240">
        <v>6140</v>
      </c>
      <c r="V6" s="240"/>
      <c r="W6" s="240"/>
      <c r="X6" s="240"/>
      <c r="Y6" s="240"/>
      <c r="Z6" s="240"/>
      <c r="AA6" s="240"/>
      <c r="AB6" s="240">
        <v>205</v>
      </c>
      <c r="AC6" s="240">
        <v>2880</v>
      </c>
      <c r="AD6" s="240">
        <v>2219.1999999999998</v>
      </c>
      <c r="AE6" s="240"/>
      <c r="AF6" s="104"/>
      <c r="AG6" s="104"/>
      <c r="AH6" s="241"/>
      <c r="AI6" s="241"/>
      <c r="AJ6" s="241"/>
      <c r="AK6" s="242">
        <f t="shared" si="2"/>
        <v>910</v>
      </c>
      <c r="AL6" s="242">
        <f t="shared" si="0"/>
        <v>14000</v>
      </c>
      <c r="AM6" s="242">
        <f t="shared" si="0"/>
        <v>10836.8</v>
      </c>
      <c r="AN6" s="241"/>
      <c r="AO6" s="241"/>
      <c r="AP6" s="241"/>
      <c r="AQ6" s="241">
        <v>520</v>
      </c>
      <c r="AR6" s="241">
        <v>7940</v>
      </c>
      <c r="AS6" s="241">
        <v>5464</v>
      </c>
      <c r="AT6" s="241">
        <v>185</v>
      </c>
      <c r="AU6" s="241">
        <v>3200</v>
      </c>
      <c r="AV6" s="241">
        <v>1995.2</v>
      </c>
      <c r="AW6" s="241">
        <v>250</v>
      </c>
      <c r="AX6" s="241">
        <v>4200</v>
      </c>
      <c r="AY6" s="241">
        <v>3336</v>
      </c>
      <c r="AZ6" s="241">
        <v>15</v>
      </c>
      <c r="BA6" s="241">
        <v>210</v>
      </c>
      <c r="BB6" s="241">
        <v>134.4</v>
      </c>
      <c r="BC6" s="241">
        <v>188</v>
      </c>
      <c r="BD6" s="241">
        <v>4116</v>
      </c>
      <c r="BE6" s="241">
        <v>2493.6</v>
      </c>
      <c r="BF6" s="241">
        <v>500</v>
      </c>
      <c r="BG6" s="241">
        <v>6000</v>
      </c>
      <c r="BH6" s="241">
        <v>6000</v>
      </c>
      <c r="BI6" s="241"/>
      <c r="BJ6" s="241"/>
      <c r="BK6" s="241"/>
      <c r="BL6" s="241">
        <v>500</v>
      </c>
      <c r="BM6" s="241">
        <v>6560</v>
      </c>
      <c r="BN6" s="241">
        <v>5148.8</v>
      </c>
      <c r="BO6" s="241">
        <v>170</v>
      </c>
      <c r="BP6" s="241">
        <v>2680</v>
      </c>
      <c r="BQ6" s="241">
        <v>2147.1999999999998</v>
      </c>
      <c r="BR6" s="242">
        <f t="shared" si="3"/>
        <v>3238</v>
      </c>
      <c r="BS6" s="242">
        <f t="shared" si="1"/>
        <v>48906</v>
      </c>
      <c r="BT6" s="242">
        <f t="shared" si="1"/>
        <v>37556</v>
      </c>
      <c r="BU6" s="104">
        <v>210</v>
      </c>
      <c r="BV6" s="104">
        <v>3180</v>
      </c>
      <c r="BW6" s="104">
        <v>2360</v>
      </c>
      <c r="BX6" s="104"/>
      <c r="BY6" s="104"/>
      <c r="BZ6" s="104"/>
      <c r="CA6" s="104">
        <v>185</v>
      </c>
      <c r="CB6" s="104">
        <v>2920</v>
      </c>
      <c r="CC6" s="104">
        <v>2129.6</v>
      </c>
      <c r="CD6" s="104"/>
      <c r="CE6" s="104"/>
      <c r="CF6" s="104"/>
      <c r="CG6" s="104"/>
      <c r="CH6" s="104"/>
      <c r="CI6" s="104"/>
      <c r="CJ6" s="104"/>
      <c r="CK6" s="104"/>
      <c r="CL6" s="104"/>
      <c r="CM6" s="104">
        <v>200</v>
      </c>
      <c r="CN6" s="104">
        <v>2780</v>
      </c>
      <c r="CO6" s="104">
        <v>2220</v>
      </c>
      <c r="CP6" s="104">
        <v>500</v>
      </c>
      <c r="CQ6" s="104">
        <v>7600</v>
      </c>
      <c r="CR6" s="104">
        <v>5556</v>
      </c>
      <c r="CS6" s="104"/>
      <c r="CT6" s="104"/>
      <c r="CU6" s="104"/>
      <c r="CV6" s="241">
        <v>205</v>
      </c>
      <c r="CW6" s="241">
        <v>3120</v>
      </c>
      <c r="CX6" s="241">
        <v>2286.4</v>
      </c>
      <c r="CY6" s="241"/>
      <c r="CZ6" s="241"/>
      <c r="DA6" s="241"/>
      <c r="DB6" s="242">
        <f t="shared" si="4"/>
        <v>4538</v>
      </c>
      <c r="DC6" s="242">
        <f t="shared" si="4"/>
        <v>68506</v>
      </c>
      <c r="DD6" s="242">
        <f t="shared" si="4"/>
        <v>52108</v>
      </c>
      <c r="DG6" s="243"/>
      <c r="DH6" s="244"/>
      <c r="DI6" s="244"/>
      <c r="DJ6" s="244"/>
    </row>
    <row r="7" spans="1:117" ht="20.100000000000001" customHeight="1" x14ac:dyDescent="0.6">
      <c r="A7" s="234">
        <v>4</v>
      </c>
      <c r="B7" s="245" t="s">
        <v>66</v>
      </c>
      <c r="C7" s="234" t="s">
        <v>67</v>
      </c>
      <c r="D7" s="246" t="s">
        <v>60</v>
      </c>
      <c r="E7" s="246" t="s">
        <v>61</v>
      </c>
      <c r="F7" s="238" t="s">
        <v>56</v>
      </c>
      <c r="G7" s="239"/>
      <c r="H7" s="240"/>
      <c r="I7" s="240"/>
      <c r="J7" s="240">
        <v>700</v>
      </c>
      <c r="K7" s="240">
        <v>10000</v>
      </c>
      <c r="L7" s="240">
        <v>8128</v>
      </c>
      <c r="M7" s="240"/>
      <c r="N7" s="240"/>
      <c r="O7" s="240"/>
      <c r="P7" s="240"/>
      <c r="Q7" s="240"/>
      <c r="R7" s="240"/>
      <c r="S7" s="240">
        <v>800</v>
      </c>
      <c r="T7" s="240">
        <v>10200</v>
      </c>
      <c r="U7" s="240">
        <v>8688</v>
      </c>
      <c r="V7" s="240"/>
      <c r="W7" s="240"/>
      <c r="X7" s="240"/>
      <c r="Y7" s="240"/>
      <c r="Z7" s="240"/>
      <c r="AA7" s="240"/>
      <c r="AB7" s="240"/>
      <c r="AC7" s="240"/>
      <c r="AD7" s="240"/>
      <c r="AE7" s="240">
        <v>500</v>
      </c>
      <c r="AF7" s="104">
        <v>6200</v>
      </c>
      <c r="AG7" s="104">
        <v>5696</v>
      </c>
      <c r="AH7" s="241"/>
      <c r="AI7" s="241"/>
      <c r="AJ7" s="241"/>
      <c r="AK7" s="242">
        <f t="shared" si="2"/>
        <v>2000</v>
      </c>
      <c r="AL7" s="242">
        <f t="shared" si="0"/>
        <v>26400</v>
      </c>
      <c r="AM7" s="242">
        <f t="shared" si="0"/>
        <v>22512</v>
      </c>
      <c r="AN7" s="241"/>
      <c r="AO7" s="241"/>
      <c r="AP7" s="241"/>
      <c r="AQ7" s="241">
        <v>550</v>
      </c>
      <c r="AR7" s="241">
        <v>8700</v>
      </c>
      <c r="AS7" s="241">
        <v>6288</v>
      </c>
      <c r="AT7" s="241"/>
      <c r="AU7" s="241"/>
      <c r="AV7" s="241"/>
      <c r="AW7" s="241">
        <v>650</v>
      </c>
      <c r="AX7" s="241">
        <v>8400</v>
      </c>
      <c r="AY7" s="241">
        <v>6888</v>
      </c>
      <c r="AZ7" s="241"/>
      <c r="BA7" s="241"/>
      <c r="BB7" s="241"/>
      <c r="BC7" s="241">
        <v>349</v>
      </c>
      <c r="BD7" s="241">
        <v>5988</v>
      </c>
      <c r="BE7" s="241">
        <v>4692</v>
      </c>
      <c r="BF7" s="241"/>
      <c r="BG7" s="241"/>
      <c r="BH7" s="241"/>
      <c r="BI7" s="241"/>
      <c r="BJ7" s="241"/>
      <c r="BK7" s="241"/>
      <c r="BL7" s="241">
        <v>750</v>
      </c>
      <c r="BM7" s="241">
        <v>9700</v>
      </c>
      <c r="BN7" s="241">
        <v>7936</v>
      </c>
      <c r="BO7" s="241"/>
      <c r="BP7" s="241"/>
      <c r="BQ7" s="241"/>
      <c r="BR7" s="242">
        <f t="shared" si="3"/>
        <v>4299</v>
      </c>
      <c r="BS7" s="242">
        <f t="shared" si="1"/>
        <v>59188</v>
      </c>
      <c r="BT7" s="242">
        <f t="shared" si="1"/>
        <v>48316</v>
      </c>
      <c r="BU7" s="104">
        <v>680</v>
      </c>
      <c r="BV7" s="104">
        <v>9020</v>
      </c>
      <c r="BW7" s="104">
        <v>7500.8</v>
      </c>
      <c r="BX7" s="104"/>
      <c r="BY7" s="104"/>
      <c r="BZ7" s="104"/>
      <c r="CA7" s="104">
        <v>400</v>
      </c>
      <c r="CB7" s="104">
        <v>5600</v>
      </c>
      <c r="CC7" s="104">
        <v>4484</v>
      </c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43">
        <v>720</v>
      </c>
      <c r="CQ7" s="143">
        <v>9740</v>
      </c>
      <c r="CR7" s="143">
        <v>7952</v>
      </c>
      <c r="CS7" s="104"/>
      <c r="CT7" s="104"/>
      <c r="CU7" s="104"/>
      <c r="CV7" s="241">
        <v>500</v>
      </c>
      <c r="CW7" s="241">
        <v>6400</v>
      </c>
      <c r="CX7" s="241">
        <v>5392</v>
      </c>
      <c r="CY7" s="241">
        <v>80</v>
      </c>
      <c r="CZ7" s="241">
        <v>960</v>
      </c>
      <c r="DA7" s="241">
        <v>960</v>
      </c>
      <c r="DB7" s="242">
        <f t="shared" si="4"/>
        <v>6679</v>
      </c>
      <c r="DC7" s="242">
        <f t="shared" si="4"/>
        <v>90908</v>
      </c>
      <c r="DD7" s="242">
        <f t="shared" si="4"/>
        <v>74604.800000000003</v>
      </c>
      <c r="DG7" s="243"/>
      <c r="DH7" s="244"/>
      <c r="DI7" s="244"/>
      <c r="DJ7" s="244"/>
    </row>
    <row r="8" spans="1:117" ht="20.100000000000001" customHeight="1" x14ac:dyDescent="0.6">
      <c r="A8" s="234">
        <v>5</v>
      </c>
      <c r="B8" s="245" t="s">
        <v>68</v>
      </c>
      <c r="C8" s="234" t="s">
        <v>69</v>
      </c>
      <c r="D8" s="246" t="s">
        <v>70</v>
      </c>
      <c r="E8" s="246" t="s">
        <v>71</v>
      </c>
      <c r="F8" s="238" t="s">
        <v>56</v>
      </c>
      <c r="G8" s="239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>
        <v>520</v>
      </c>
      <c r="T8" s="240">
        <v>8740</v>
      </c>
      <c r="U8" s="240">
        <v>5764.8</v>
      </c>
      <c r="V8" s="240"/>
      <c r="W8" s="240"/>
      <c r="X8" s="240"/>
      <c r="Y8" s="240"/>
      <c r="Z8" s="240"/>
      <c r="AA8" s="240"/>
      <c r="AB8" s="240">
        <v>500</v>
      </c>
      <c r="AC8" s="240">
        <v>6760</v>
      </c>
      <c r="AD8" s="240">
        <v>5592</v>
      </c>
      <c r="AE8" s="240"/>
      <c r="AF8" s="104"/>
      <c r="AG8" s="104"/>
      <c r="AH8" s="241"/>
      <c r="AI8" s="241"/>
      <c r="AJ8" s="241"/>
      <c r="AK8" s="242">
        <f t="shared" si="2"/>
        <v>1020</v>
      </c>
      <c r="AL8" s="242">
        <f t="shared" si="0"/>
        <v>15500</v>
      </c>
      <c r="AM8" s="242">
        <f t="shared" si="0"/>
        <v>11356.8</v>
      </c>
      <c r="AN8" s="241"/>
      <c r="AO8" s="241"/>
      <c r="AP8" s="241"/>
      <c r="AQ8" s="241">
        <v>510</v>
      </c>
      <c r="AR8" s="241">
        <v>8520</v>
      </c>
      <c r="AS8" s="241">
        <v>5784.8</v>
      </c>
      <c r="AT8" s="241"/>
      <c r="AU8" s="241"/>
      <c r="AV8" s="241"/>
      <c r="AW8" s="241"/>
      <c r="AX8" s="241"/>
      <c r="AY8" s="241"/>
      <c r="AZ8" s="241">
        <v>500</v>
      </c>
      <c r="BA8" s="241">
        <v>6300</v>
      </c>
      <c r="BB8" s="241">
        <v>5292</v>
      </c>
      <c r="BC8" s="241"/>
      <c r="BD8" s="241"/>
      <c r="BE8" s="241"/>
      <c r="BF8" s="241"/>
      <c r="BG8" s="241"/>
      <c r="BH8" s="241"/>
      <c r="BI8" s="241"/>
      <c r="BJ8" s="241"/>
      <c r="BK8" s="241"/>
      <c r="BL8" s="241">
        <v>500</v>
      </c>
      <c r="BM8" s="241">
        <v>7920</v>
      </c>
      <c r="BN8" s="241">
        <v>5755.2</v>
      </c>
      <c r="BO8" s="241"/>
      <c r="BP8" s="241"/>
      <c r="BQ8" s="241"/>
      <c r="BR8" s="242">
        <f t="shared" si="3"/>
        <v>2530</v>
      </c>
      <c r="BS8" s="242">
        <f t="shared" si="1"/>
        <v>38240</v>
      </c>
      <c r="BT8" s="242">
        <f t="shared" si="1"/>
        <v>28188.799999999999</v>
      </c>
      <c r="BU8" s="104">
        <v>500</v>
      </c>
      <c r="BV8" s="104">
        <v>7040</v>
      </c>
      <c r="BW8" s="104">
        <v>5516</v>
      </c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>
        <v>500</v>
      </c>
      <c r="CK8" s="104">
        <v>7600</v>
      </c>
      <c r="CL8" s="104">
        <v>5796</v>
      </c>
      <c r="CM8" s="104"/>
      <c r="CN8" s="104"/>
      <c r="CO8" s="104"/>
      <c r="CP8" s="143"/>
      <c r="CQ8" s="143"/>
      <c r="CR8" s="143"/>
      <c r="CS8" s="104"/>
      <c r="CT8" s="104"/>
      <c r="CU8" s="104"/>
      <c r="CV8" s="241"/>
      <c r="CW8" s="241"/>
      <c r="CX8" s="241"/>
      <c r="CY8" s="241">
        <v>500</v>
      </c>
      <c r="CZ8" s="241">
        <v>7940</v>
      </c>
      <c r="DA8" s="241">
        <v>5316.8</v>
      </c>
      <c r="DB8" s="242">
        <f t="shared" si="4"/>
        <v>4030</v>
      </c>
      <c r="DC8" s="242">
        <f t="shared" si="4"/>
        <v>60820</v>
      </c>
      <c r="DD8" s="242">
        <f t="shared" si="4"/>
        <v>44817.600000000006</v>
      </c>
      <c r="DG8" s="243"/>
      <c r="DH8" s="244"/>
      <c r="DI8" s="244"/>
      <c r="DJ8" s="244"/>
    </row>
    <row r="9" spans="1:117" ht="20.100000000000001" customHeight="1" x14ac:dyDescent="0.6">
      <c r="A9" s="234">
        <v>6</v>
      </c>
      <c r="B9" s="245" t="s">
        <v>72</v>
      </c>
      <c r="C9" s="234" t="s">
        <v>73</v>
      </c>
      <c r="D9" s="246" t="s">
        <v>74</v>
      </c>
      <c r="E9" s="246" t="s">
        <v>75</v>
      </c>
      <c r="F9" s="238" t="s">
        <v>56</v>
      </c>
      <c r="G9" s="239"/>
      <c r="H9" s="240"/>
      <c r="I9" s="240"/>
      <c r="J9" s="240">
        <v>710</v>
      </c>
      <c r="K9" s="240">
        <v>9320</v>
      </c>
      <c r="L9" s="240">
        <v>7256</v>
      </c>
      <c r="M9" s="240"/>
      <c r="N9" s="240"/>
      <c r="O9" s="240"/>
      <c r="P9" s="240"/>
      <c r="Q9" s="240"/>
      <c r="R9" s="240"/>
      <c r="S9" s="240">
        <v>180</v>
      </c>
      <c r="T9" s="240">
        <v>2360</v>
      </c>
      <c r="U9" s="240">
        <v>1856</v>
      </c>
      <c r="V9" s="240">
        <v>1170</v>
      </c>
      <c r="W9" s="240">
        <v>16960</v>
      </c>
      <c r="X9" s="240">
        <v>12052.4</v>
      </c>
      <c r="Y9" s="240"/>
      <c r="Z9" s="240"/>
      <c r="AA9" s="240"/>
      <c r="AB9" s="240"/>
      <c r="AC9" s="240"/>
      <c r="AD9" s="240"/>
      <c r="AE9" s="240"/>
      <c r="AF9" s="104"/>
      <c r="AG9" s="104"/>
      <c r="AH9" s="241">
        <v>600</v>
      </c>
      <c r="AI9" s="241">
        <v>7800</v>
      </c>
      <c r="AJ9" s="241">
        <v>6288</v>
      </c>
      <c r="AK9" s="242">
        <f t="shared" si="2"/>
        <v>2660</v>
      </c>
      <c r="AL9" s="242">
        <f t="shared" si="0"/>
        <v>36440</v>
      </c>
      <c r="AM9" s="242">
        <f t="shared" si="0"/>
        <v>27452.400000000001</v>
      </c>
      <c r="AN9" s="241"/>
      <c r="AO9" s="241"/>
      <c r="AP9" s="241"/>
      <c r="AQ9" s="241">
        <v>580</v>
      </c>
      <c r="AR9" s="241">
        <v>8120</v>
      </c>
      <c r="AS9" s="241">
        <v>6040</v>
      </c>
      <c r="AT9" s="241"/>
      <c r="AU9" s="241"/>
      <c r="AV9" s="241"/>
      <c r="AW9" s="241">
        <v>80</v>
      </c>
      <c r="AX9" s="241">
        <v>1640</v>
      </c>
      <c r="AY9" s="241">
        <v>817.6</v>
      </c>
      <c r="AZ9" s="241"/>
      <c r="BA9" s="241"/>
      <c r="BB9" s="241"/>
      <c r="BC9" s="241">
        <v>600</v>
      </c>
      <c r="BD9" s="241">
        <v>7900</v>
      </c>
      <c r="BE9" s="241">
        <v>6136</v>
      </c>
      <c r="BF9" s="241">
        <v>780</v>
      </c>
      <c r="BG9" s="241">
        <v>10600</v>
      </c>
      <c r="BH9" s="241">
        <v>7975.6</v>
      </c>
      <c r="BI9" s="241"/>
      <c r="BJ9" s="241"/>
      <c r="BK9" s="241"/>
      <c r="BL9" s="241">
        <v>550</v>
      </c>
      <c r="BM9" s="241">
        <v>7400</v>
      </c>
      <c r="BN9" s="241">
        <v>5384</v>
      </c>
      <c r="BO9" s="241"/>
      <c r="BP9" s="241"/>
      <c r="BQ9" s="241"/>
      <c r="BR9" s="242">
        <f t="shared" si="3"/>
        <v>5250</v>
      </c>
      <c r="BS9" s="242">
        <f t="shared" si="1"/>
        <v>72100</v>
      </c>
      <c r="BT9" s="242">
        <f t="shared" si="1"/>
        <v>53805.599999999999</v>
      </c>
      <c r="BU9" s="104"/>
      <c r="BV9" s="104"/>
      <c r="BW9" s="104"/>
      <c r="BX9" s="104"/>
      <c r="BY9" s="104"/>
      <c r="BZ9" s="104"/>
      <c r="CA9" s="104"/>
      <c r="CB9" s="104"/>
      <c r="CC9" s="104"/>
      <c r="CD9" s="104">
        <v>580</v>
      </c>
      <c r="CE9" s="104">
        <v>7720</v>
      </c>
      <c r="CF9" s="104">
        <v>5804.8</v>
      </c>
      <c r="CG9" s="104"/>
      <c r="CH9" s="104"/>
      <c r="CI9" s="104"/>
      <c r="CJ9" s="104">
        <v>600</v>
      </c>
      <c r="CK9" s="104">
        <v>8890</v>
      </c>
      <c r="CL9" s="104">
        <v>6377.6</v>
      </c>
      <c r="CM9" s="104"/>
      <c r="CN9" s="104"/>
      <c r="CO9" s="104"/>
      <c r="CP9" s="143"/>
      <c r="CQ9" s="143"/>
      <c r="CR9" s="143"/>
      <c r="CS9" s="104">
        <v>820</v>
      </c>
      <c r="CT9" s="104">
        <v>10780</v>
      </c>
      <c r="CU9" s="104">
        <v>8411.2000000000007</v>
      </c>
      <c r="CV9" s="241"/>
      <c r="CW9" s="241"/>
      <c r="CX9" s="241"/>
      <c r="CY9" s="241"/>
      <c r="CZ9" s="241"/>
      <c r="DA9" s="241"/>
      <c r="DB9" s="242">
        <f t="shared" si="4"/>
        <v>7250</v>
      </c>
      <c r="DC9" s="242">
        <f t="shared" si="4"/>
        <v>99490</v>
      </c>
      <c r="DD9" s="242">
        <f t="shared" si="4"/>
        <v>74399.199999999997</v>
      </c>
      <c r="DG9" s="243"/>
      <c r="DH9" s="244"/>
      <c r="DI9" s="244"/>
      <c r="DJ9" s="244"/>
    </row>
    <row r="10" spans="1:117" ht="20.100000000000001" customHeight="1" x14ac:dyDescent="0.6">
      <c r="A10" s="234">
        <v>7</v>
      </c>
      <c r="B10" s="245" t="s">
        <v>76</v>
      </c>
      <c r="C10" s="234" t="s">
        <v>77</v>
      </c>
      <c r="D10" s="246" t="s">
        <v>78</v>
      </c>
      <c r="E10" s="246" t="s">
        <v>79</v>
      </c>
      <c r="F10" s="238" t="s">
        <v>56</v>
      </c>
      <c r="G10" s="239"/>
      <c r="H10" s="240"/>
      <c r="I10" s="240"/>
      <c r="J10" s="240"/>
      <c r="K10" s="240"/>
      <c r="L10" s="240"/>
      <c r="M10" s="240">
        <v>560</v>
      </c>
      <c r="N10" s="240">
        <v>9340</v>
      </c>
      <c r="O10" s="240">
        <v>6748</v>
      </c>
      <c r="P10" s="240"/>
      <c r="Q10" s="240"/>
      <c r="R10" s="240"/>
      <c r="S10" s="240"/>
      <c r="T10" s="240"/>
      <c r="U10" s="240"/>
      <c r="V10" s="240">
        <v>550</v>
      </c>
      <c r="W10" s="240">
        <v>7540</v>
      </c>
      <c r="X10" s="240">
        <v>6436</v>
      </c>
      <c r="Y10" s="240"/>
      <c r="Z10" s="240"/>
      <c r="AA10" s="240"/>
      <c r="AB10" s="240"/>
      <c r="AC10" s="240"/>
      <c r="AD10" s="240"/>
      <c r="AE10" s="240"/>
      <c r="AF10" s="104"/>
      <c r="AG10" s="104"/>
      <c r="AH10" s="241">
        <v>560</v>
      </c>
      <c r="AI10" s="241">
        <v>8460</v>
      </c>
      <c r="AJ10" s="241">
        <v>6836</v>
      </c>
      <c r="AK10" s="242">
        <f t="shared" si="2"/>
        <v>1670</v>
      </c>
      <c r="AL10" s="242">
        <f t="shared" si="0"/>
        <v>25340</v>
      </c>
      <c r="AM10" s="242">
        <f t="shared" si="0"/>
        <v>20020</v>
      </c>
      <c r="AN10" s="241"/>
      <c r="AO10" s="241"/>
      <c r="AP10" s="241"/>
      <c r="AQ10" s="241"/>
      <c r="AR10" s="241"/>
      <c r="AS10" s="241"/>
      <c r="AT10" s="241">
        <v>560</v>
      </c>
      <c r="AU10" s="241">
        <v>10840</v>
      </c>
      <c r="AV10" s="241">
        <v>6696</v>
      </c>
      <c r="AW10" s="241"/>
      <c r="AX10" s="241"/>
      <c r="AY10" s="241"/>
      <c r="AZ10" s="241"/>
      <c r="BA10" s="241"/>
      <c r="BB10" s="241"/>
      <c r="BC10" s="241"/>
      <c r="BD10" s="241"/>
      <c r="BE10" s="241"/>
      <c r="BF10" s="241">
        <v>560</v>
      </c>
      <c r="BG10" s="241">
        <v>7760</v>
      </c>
      <c r="BH10" s="241">
        <v>6332</v>
      </c>
      <c r="BI10" s="241"/>
      <c r="BJ10" s="241"/>
      <c r="BK10" s="241"/>
      <c r="BL10" s="241"/>
      <c r="BM10" s="241"/>
      <c r="BN10" s="241"/>
      <c r="BO10" s="241">
        <v>560</v>
      </c>
      <c r="BP10" s="241">
        <v>9300</v>
      </c>
      <c r="BQ10" s="241">
        <v>6968</v>
      </c>
      <c r="BR10" s="242">
        <f t="shared" si="3"/>
        <v>3350</v>
      </c>
      <c r="BS10" s="242">
        <f t="shared" si="1"/>
        <v>53240</v>
      </c>
      <c r="BT10" s="242">
        <f t="shared" si="1"/>
        <v>40016</v>
      </c>
      <c r="BU10" s="104"/>
      <c r="BV10" s="104"/>
      <c r="BW10" s="104"/>
      <c r="BX10" s="104">
        <v>560</v>
      </c>
      <c r="BY10" s="104">
        <v>7660</v>
      </c>
      <c r="BZ10" s="104">
        <v>6592</v>
      </c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>
        <v>560</v>
      </c>
      <c r="CN10" s="104">
        <v>9900</v>
      </c>
      <c r="CO10" s="104">
        <v>6788</v>
      </c>
      <c r="CP10" s="143"/>
      <c r="CQ10" s="143"/>
      <c r="CR10" s="143"/>
      <c r="CS10" s="104"/>
      <c r="CT10" s="104"/>
      <c r="CU10" s="104"/>
      <c r="CV10" s="241">
        <v>560</v>
      </c>
      <c r="CW10" s="241">
        <v>8660</v>
      </c>
      <c r="CX10" s="241">
        <v>6264.8</v>
      </c>
      <c r="CY10" s="241"/>
      <c r="CZ10" s="241"/>
      <c r="DA10" s="241"/>
      <c r="DB10" s="242">
        <f t="shared" si="4"/>
        <v>5030</v>
      </c>
      <c r="DC10" s="242">
        <f t="shared" si="4"/>
        <v>79460</v>
      </c>
      <c r="DD10" s="242">
        <f t="shared" si="4"/>
        <v>59660.800000000003</v>
      </c>
      <c r="DG10" s="243"/>
      <c r="DH10" s="244"/>
      <c r="DI10" s="244"/>
      <c r="DJ10" s="244"/>
    </row>
    <row r="11" spans="1:117" ht="20.100000000000001" customHeight="1" x14ac:dyDescent="0.6">
      <c r="A11" s="234">
        <v>8</v>
      </c>
      <c r="B11" s="245" t="s">
        <v>80</v>
      </c>
      <c r="C11" s="234" t="s">
        <v>81</v>
      </c>
      <c r="D11" s="246" t="s">
        <v>82</v>
      </c>
      <c r="E11" s="246" t="s">
        <v>83</v>
      </c>
      <c r="F11" s="238" t="s">
        <v>56</v>
      </c>
      <c r="G11" s="239"/>
      <c r="H11" s="240"/>
      <c r="I11" s="240"/>
      <c r="J11" s="240"/>
      <c r="K11" s="240"/>
      <c r="L11" s="240"/>
      <c r="M11" s="240">
        <v>280</v>
      </c>
      <c r="N11" s="240">
        <v>3760</v>
      </c>
      <c r="O11" s="240">
        <v>2752</v>
      </c>
      <c r="P11" s="240"/>
      <c r="Q11" s="240"/>
      <c r="R11" s="240"/>
      <c r="S11" s="240"/>
      <c r="T11" s="240"/>
      <c r="U11" s="240"/>
      <c r="V11" s="240"/>
      <c r="W11" s="240"/>
      <c r="X11" s="240"/>
      <c r="Y11" s="240">
        <v>300</v>
      </c>
      <c r="Z11" s="240">
        <v>4000</v>
      </c>
      <c r="AA11" s="240">
        <v>2992</v>
      </c>
      <c r="AB11" s="240">
        <v>250</v>
      </c>
      <c r="AC11" s="240">
        <v>3860</v>
      </c>
      <c r="AD11" s="240">
        <v>2584</v>
      </c>
      <c r="AE11" s="240">
        <v>280</v>
      </c>
      <c r="AF11" s="104">
        <v>3720</v>
      </c>
      <c r="AG11" s="104">
        <v>2812.8</v>
      </c>
      <c r="AH11" s="241">
        <v>250</v>
      </c>
      <c r="AI11" s="241">
        <v>3860</v>
      </c>
      <c r="AJ11" s="241">
        <v>2584</v>
      </c>
      <c r="AK11" s="242">
        <f t="shared" si="2"/>
        <v>1360</v>
      </c>
      <c r="AL11" s="242">
        <f t="shared" si="0"/>
        <v>19200</v>
      </c>
      <c r="AM11" s="242">
        <f t="shared" si="0"/>
        <v>13724.8</v>
      </c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  <c r="AX11" s="241"/>
      <c r="AY11" s="241"/>
      <c r="AZ11" s="241">
        <v>450</v>
      </c>
      <c r="BA11" s="241">
        <v>6480</v>
      </c>
      <c r="BB11" s="241">
        <v>4204</v>
      </c>
      <c r="BC11" s="241"/>
      <c r="BD11" s="241"/>
      <c r="BE11" s="241"/>
      <c r="BF11" s="241"/>
      <c r="BG11" s="241"/>
      <c r="BH11" s="241"/>
      <c r="BI11" s="241"/>
      <c r="BJ11" s="241"/>
      <c r="BK11" s="241"/>
      <c r="BL11" s="241">
        <v>250</v>
      </c>
      <c r="BM11" s="241">
        <v>3100</v>
      </c>
      <c r="BN11" s="241">
        <v>2848</v>
      </c>
      <c r="BO11" s="241"/>
      <c r="BP11" s="241"/>
      <c r="BQ11" s="241"/>
      <c r="BR11" s="242">
        <f t="shared" si="3"/>
        <v>2060</v>
      </c>
      <c r="BS11" s="242">
        <f t="shared" si="1"/>
        <v>28780</v>
      </c>
      <c r="BT11" s="242">
        <f t="shared" si="1"/>
        <v>20776.8</v>
      </c>
      <c r="BU11" s="104">
        <v>230</v>
      </c>
      <c r="BV11" s="104">
        <v>3050</v>
      </c>
      <c r="BW11" s="104">
        <v>2319.1999999999998</v>
      </c>
      <c r="BX11" s="104"/>
      <c r="BY11" s="104"/>
      <c r="BZ11" s="104"/>
      <c r="CA11" s="104">
        <v>250</v>
      </c>
      <c r="CB11" s="104">
        <v>3820</v>
      </c>
      <c r="CC11" s="104">
        <v>2644.8</v>
      </c>
      <c r="CD11" s="104">
        <v>250</v>
      </c>
      <c r="CE11" s="104">
        <v>3760</v>
      </c>
      <c r="CF11" s="104">
        <v>2736</v>
      </c>
      <c r="CG11" s="104"/>
      <c r="CH11" s="104"/>
      <c r="CI11" s="104"/>
      <c r="CJ11" s="104">
        <v>290</v>
      </c>
      <c r="CK11" s="104">
        <v>4380</v>
      </c>
      <c r="CL11" s="104">
        <v>3003.2</v>
      </c>
      <c r="CM11" s="104"/>
      <c r="CN11" s="104"/>
      <c r="CO11" s="104"/>
      <c r="CP11" s="143">
        <v>270</v>
      </c>
      <c r="CQ11" s="143">
        <v>3920</v>
      </c>
      <c r="CR11" s="143">
        <v>2604</v>
      </c>
      <c r="CS11" s="104">
        <v>100</v>
      </c>
      <c r="CT11" s="104">
        <v>1200</v>
      </c>
      <c r="CU11" s="104">
        <v>1200</v>
      </c>
      <c r="CV11" s="241"/>
      <c r="CW11" s="241"/>
      <c r="CX11" s="241"/>
      <c r="CY11" s="241">
        <v>275</v>
      </c>
      <c r="CZ11" s="241">
        <v>4280</v>
      </c>
      <c r="DA11" s="241">
        <v>2701.6</v>
      </c>
      <c r="DB11" s="242">
        <f t="shared" si="4"/>
        <v>3725</v>
      </c>
      <c r="DC11" s="242">
        <f t="shared" si="4"/>
        <v>53190</v>
      </c>
      <c r="DD11" s="242">
        <f t="shared" si="4"/>
        <v>37985.599999999999</v>
      </c>
      <c r="DG11" s="243"/>
      <c r="DH11" s="244"/>
      <c r="DI11" s="244"/>
      <c r="DJ11" s="244"/>
    </row>
    <row r="12" spans="1:117" ht="20.100000000000001" customHeight="1" x14ac:dyDescent="0.6">
      <c r="A12" s="234">
        <v>9</v>
      </c>
      <c r="B12" s="245" t="s">
        <v>84</v>
      </c>
      <c r="C12" s="234" t="s">
        <v>85</v>
      </c>
      <c r="D12" s="246" t="s">
        <v>86</v>
      </c>
      <c r="E12" s="246" t="s">
        <v>87</v>
      </c>
      <c r="F12" s="238" t="s">
        <v>56</v>
      </c>
      <c r="G12" s="239"/>
      <c r="H12" s="240"/>
      <c r="I12" s="240"/>
      <c r="J12" s="240">
        <v>290</v>
      </c>
      <c r="K12" s="240">
        <v>4580</v>
      </c>
      <c r="L12" s="240">
        <v>3000.8</v>
      </c>
      <c r="M12" s="240"/>
      <c r="N12" s="240"/>
      <c r="O12" s="240"/>
      <c r="P12" s="240"/>
      <c r="Q12" s="240"/>
      <c r="R12" s="240"/>
      <c r="S12" s="240"/>
      <c r="T12" s="240"/>
      <c r="U12" s="240"/>
      <c r="V12" s="240">
        <v>275</v>
      </c>
      <c r="W12" s="240">
        <v>4370</v>
      </c>
      <c r="X12" s="240">
        <v>2866.4</v>
      </c>
      <c r="Y12" s="240">
        <v>300</v>
      </c>
      <c r="Z12" s="240">
        <v>3600</v>
      </c>
      <c r="AA12" s="240">
        <v>3600</v>
      </c>
      <c r="AB12" s="240"/>
      <c r="AC12" s="240"/>
      <c r="AD12" s="240"/>
      <c r="AE12" s="240">
        <v>310</v>
      </c>
      <c r="AF12" s="104">
        <v>4760</v>
      </c>
      <c r="AG12" s="240">
        <v>3332</v>
      </c>
      <c r="AH12" s="241"/>
      <c r="AI12" s="241"/>
      <c r="AJ12" s="241"/>
      <c r="AK12" s="242">
        <f t="shared" si="2"/>
        <v>1175</v>
      </c>
      <c r="AL12" s="242">
        <f t="shared" si="0"/>
        <v>17310</v>
      </c>
      <c r="AM12" s="242">
        <f t="shared" si="0"/>
        <v>12799.2</v>
      </c>
      <c r="AN12" s="241"/>
      <c r="AO12" s="241"/>
      <c r="AP12" s="241"/>
      <c r="AQ12" s="241">
        <v>360</v>
      </c>
      <c r="AR12" s="241">
        <v>5920</v>
      </c>
      <c r="AS12" s="241">
        <v>3972</v>
      </c>
      <c r="AT12" s="241"/>
      <c r="AU12" s="241"/>
      <c r="AV12" s="241"/>
      <c r="AW12" s="241"/>
      <c r="AX12" s="241"/>
      <c r="AY12" s="241"/>
      <c r="AZ12" s="241"/>
      <c r="BA12" s="241"/>
      <c r="BB12" s="241"/>
      <c r="BC12" s="241">
        <v>458</v>
      </c>
      <c r="BD12" s="241">
        <v>7196</v>
      </c>
      <c r="BE12" s="241">
        <v>4996</v>
      </c>
      <c r="BF12" s="241"/>
      <c r="BG12" s="241"/>
      <c r="BH12" s="241"/>
      <c r="BI12" s="241"/>
      <c r="BJ12" s="241"/>
      <c r="BK12" s="241"/>
      <c r="BL12" s="241">
        <v>390</v>
      </c>
      <c r="BM12" s="241">
        <v>5780</v>
      </c>
      <c r="BN12" s="241">
        <v>4200.8</v>
      </c>
      <c r="BO12" s="241"/>
      <c r="BP12" s="241"/>
      <c r="BQ12" s="241"/>
      <c r="BR12" s="242">
        <f t="shared" si="3"/>
        <v>2383</v>
      </c>
      <c r="BS12" s="242">
        <f t="shared" si="1"/>
        <v>36206</v>
      </c>
      <c r="BT12" s="242">
        <f t="shared" si="1"/>
        <v>25968</v>
      </c>
      <c r="BU12" s="104"/>
      <c r="BV12" s="104"/>
      <c r="BW12" s="104"/>
      <c r="BX12" s="104"/>
      <c r="BY12" s="104"/>
      <c r="BZ12" s="104"/>
      <c r="CA12" s="104">
        <v>400</v>
      </c>
      <c r="CB12" s="104">
        <v>6400</v>
      </c>
      <c r="CC12" s="104">
        <v>4356</v>
      </c>
      <c r="CD12" s="104"/>
      <c r="CE12" s="104"/>
      <c r="CF12" s="104"/>
      <c r="CG12" s="104"/>
      <c r="CH12" s="104"/>
      <c r="CI12" s="104"/>
      <c r="CJ12" s="104">
        <v>100</v>
      </c>
      <c r="CK12" s="104">
        <v>1200</v>
      </c>
      <c r="CL12" s="104">
        <v>1200</v>
      </c>
      <c r="CM12" s="104">
        <v>450</v>
      </c>
      <c r="CN12" s="104">
        <v>7100</v>
      </c>
      <c r="CO12" s="104">
        <v>4804</v>
      </c>
      <c r="CP12" s="143"/>
      <c r="CQ12" s="143"/>
      <c r="CR12" s="143"/>
      <c r="CS12" s="104"/>
      <c r="CT12" s="104"/>
      <c r="CU12" s="104"/>
      <c r="CV12" s="241">
        <v>410</v>
      </c>
      <c r="CW12" s="241">
        <v>6060</v>
      </c>
      <c r="CX12" s="241">
        <v>4380</v>
      </c>
      <c r="CY12" s="241"/>
      <c r="CZ12" s="241"/>
      <c r="DA12" s="241"/>
      <c r="DB12" s="242">
        <f t="shared" si="4"/>
        <v>3743</v>
      </c>
      <c r="DC12" s="242">
        <f t="shared" si="4"/>
        <v>56966</v>
      </c>
      <c r="DD12" s="242">
        <f t="shared" si="4"/>
        <v>40708</v>
      </c>
      <c r="DG12" s="243"/>
      <c r="DH12" s="244"/>
      <c r="DI12" s="244"/>
      <c r="DJ12" s="244"/>
    </row>
    <row r="13" spans="1:117" ht="20.100000000000001" customHeight="1" x14ac:dyDescent="0.6">
      <c r="A13" s="234">
        <v>10</v>
      </c>
      <c r="B13" s="245" t="s">
        <v>88</v>
      </c>
      <c r="C13" s="234" t="s">
        <v>89</v>
      </c>
      <c r="D13" s="246" t="s">
        <v>90</v>
      </c>
      <c r="E13" s="246" t="s">
        <v>91</v>
      </c>
      <c r="F13" s="238" t="s">
        <v>56</v>
      </c>
      <c r="G13" s="239"/>
      <c r="H13" s="240"/>
      <c r="I13" s="240"/>
      <c r="J13" s="240">
        <v>15</v>
      </c>
      <c r="K13" s="240">
        <v>180</v>
      </c>
      <c r="L13" s="240">
        <v>125.99999999999999</v>
      </c>
      <c r="M13" s="240">
        <v>571</v>
      </c>
      <c r="N13" s="240">
        <v>8018</v>
      </c>
      <c r="O13" s="240">
        <v>6501.12</v>
      </c>
      <c r="P13" s="240"/>
      <c r="Q13" s="240"/>
      <c r="R13" s="240"/>
      <c r="S13" s="240">
        <v>30</v>
      </c>
      <c r="T13" s="240">
        <v>420</v>
      </c>
      <c r="U13" s="240">
        <v>268.8</v>
      </c>
      <c r="V13" s="240">
        <v>20</v>
      </c>
      <c r="W13" s="240">
        <v>280</v>
      </c>
      <c r="X13" s="240">
        <v>179.20000000000002</v>
      </c>
      <c r="Y13" s="240"/>
      <c r="Z13" s="240"/>
      <c r="AA13" s="240"/>
      <c r="AB13" s="240">
        <v>115</v>
      </c>
      <c r="AC13" s="240">
        <v>1950</v>
      </c>
      <c r="AD13" s="240">
        <v>1332.8</v>
      </c>
      <c r="AE13" s="240">
        <v>392</v>
      </c>
      <c r="AF13" s="104">
        <v>5864</v>
      </c>
      <c r="AG13" s="104">
        <v>4421.2000000000007</v>
      </c>
      <c r="AH13" s="241">
        <v>20</v>
      </c>
      <c r="AI13" s="241">
        <v>280</v>
      </c>
      <c r="AJ13" s="241">
        <v>179.20000000000002</v>
      </c>
      <c r="AK13" s="242">
        <f t="shared" si="2"/>
        <v>1163</v>
      </c>
      <c r="AL13" s="242">
        <f t="shared" si="0"/>
        <v>16992</v>
      </c>
      <c r="AM13" s="242">
        <f t="shared" si="0"/>
        <v>13008.320000000002</v>
      </c>
      <c r="AN13" s="241"/>
      <c r="AO13" s="241"/>
      <c r="AP13" s="241"/>
      <c r="AQ13" s="241">
        <v>60</v>
      </c>
      <c r="AR13" s="241">
        <v>1000</v>
      </c>
      <c r="AS13" s="241">
        <v>740</v>
      </c>
      <c r="AT13" s="241">
        <v>400</v>
      </c>
      <c r="AU13" s="241">
        <v>6260</v>
      </c>
      <c r="AV13" s="241">
        <v>4514</v>
      </c>
      <c r="AW13" s="241">
        <v>20</v>
      </c>
      <c r="AX13" s="241">
        <v>240</v>
      </c>
      <c r="AY13" s="241">
        <v>240</v>
      </c>
      <c r="AZ13" s="241">
        <v>51</v>
      </c>
      <c r="BA13" s="241">
        <v>820</v>
      </c>
      <c r="BB13" s="241">
        <v>569.36</v>
      </c>
      <c r="BC13" s="241">
        <v>20</v>
      </c>
      <c r="BD13" s="241">
        <v>280</v>
      </c>
      <c r="BE13" s="241">
        <v>179.20000000000002</v>
      </c>
      <c r="BF13" s="241">
        <v>50</v>
      </c>
      <c r="BG13" s="241">
        <v>800</v>
      </c>
      <c r="BH13" s="241">
        <v>518.79999999999995</v>
      </c>
      <c r="BI13" s="241"/>
      <c r="BJ13" s="241"/>
      <c r="BK13" s="241"/>
      <c r="BL13" s="241">
        <v>280</v>
      </c>
      <c r="BM13" s="241">
        <v>4240</v>
      </c>
      <c r="BN13" s="241">
        <v>3323.2</v>
      </c>
      <c r="BO13" s="241">
        <v>200</v>
      </c>
      <c r="BP13" s="241">
        <v>2890</v>
      </c>
      <c r="BQ13" s="241">
        <v>2275.6</v>
      </c>
      <c r="BR13" s="242">
        <f t="shared" si="3"/>
        <v>2244</v>
      </c>
      <c r="BS13" s="242">
        <f t="shared" si="1"/>
        <v>33522</v>
      </c>
      <c r="BT13" s="242">
        <f t="shared" si="1"/>
        <v>25368.48</v>
      </c>
      <c r="BU13" s="247">
        <v>20</v>
      </c>
      <c r="BV13" s="247">
        <v>240</v>
      </c>
      <c r="BW13" s="247">
        <v>240</v>
      </c>
      <c r="BX13" s="104">
        <v>20</v>
      </c>
      <c r="BY13" s="104">
        <v>280</v>
      </c>
      <c r="BZ13" s="104">
        <v>179.20000000000002</v>
      </c>
      <c r="CA13" s="104">
        <v>307</v>
      </c>
      <c r="CB13" s="104">
        <v>4824</v>
      </c>
      <c r="CC13" s="104">
        <v>3479.6000000000004</v>
      </c>
      <c r="CD13" s="104">
        <v>50</v>
      </c>
      <c r="CE13" s="104">
        <v>900</v>
      </c>
      <c r="CF13" s="104">
        <v>589.59999999999991</v>
      </c>
      <c r="CG13" s="104"/>
      <c r="CH13" s="104"/>
      <c r="CI13" s="240"/>
      <c r="CJ13" s="104">
        <v>155</v>
      </c>
      <c r="CK13" s="104">
        <v>1920</v>
      </c>
      <c r="CL13" s="104">
        <v>1672.8</v>
      </c>
      <c r="CM13" s="104">
        <v>277</v>
      </c>
      <c r="CN13" s="104">
        <v>4404</v>
      </c>
      <c r="CO13" s="104">
        <v>3210.8</v>
      </c>
      <c r="CP13" s="143">
        <v>50</v>
      </c>
      <c r="CQ13" s="143">
        <v>890</v>
      </c>
      <c r="CR13" s="143">
        <v>556.79999999999995</v>
      </c>
      <c r="CS13" s="104"/>
      <c r="CT13" s="104"/>
      <c r="CU13" s="104"/>
      <c r="CV13" s="241">
        <v>530</v>
      </c>
      <c r="CW13" s="241">
        <v>7580</v>
      </c>
      <c r="CX13" s="241">
        <v>5993.2</v>
      </c>
      <c r="CY13" s="241">
        <v>30</v>
      </c>
      <c r="CZ13" s="241">
        <v>420</v>
      </c>
      <c r="DA13" s="241">
        <v>268.8</v>
      </c>
      <c r="DB13" s="242">
        <f t="shared" si="4"/>
        <v>3683</v>
      </c>
      <c r="DC13" s="242">
        <f t="shared" si="4"/>
        <v>54980</v>
      </c>
      <c r="DD13" s="242">
        <f t="shared" si="4"/>
        <v>41559.279999999999</v>
      </c>
      <c r="DG13" s="243"/>
      <c r="DH13" s="244"/>
      <c r="DI13" s="244"/>
      <c r="DJ13" s="244"/>
    </row>
    <row r="14" spans="1:117" ht="20.100000000000001" customHeight="1" x14ac:dyDescent="0.6">
      <c r="A14" s="234">
        <v>11</v>
      </c>
      <c r="B14" s="245" t="s">
        <v>92</v>
      </c>
      <c r="C14" s="234" t="s">
        <v>93</v>
      </c>
      <c r="D14" s="246" t="s">
        <v>94</v>
      </c>
      <c r="E14" s="246" t="s">
        <v>95</v>
      </c>
      <c r="F14" s="238" t="s">
        <v>56</v>
      </c>
      <c r="G14" s="239"/>
      <c r="H14" s="240"/>
      <c r="I14" s="240"/>
      <c r="J14" s="240"/>
      <c r="K14" s="240"/>
      <c r="L14" s="240"/>
      <c r="M14" s="240">
        <v>380</v>
      </c>
      <c r="N14" s="240">
        <v>5080</v>
      </c>
      <c r="O14" s="240">
        <v>3769.6000000000004</v>
      </c>
      <c r="P14" s="240"/>
      <c r="Q14" s="240"/>
      <c r="R14" s="240"/>
      <c r="S14" s="240">
        <v>290</v>
      </c>
      <c r="T14" s="240">
        <v>3940</v>
      </c>
      <c r="U14" s="240">
        <v>2744.8</v>
      </c>
      <c r="V14" s="240">
        <v>30</v>
      </c>
      <c r="W14" s="240">
        <v>420</v>
      </c>
      <c r="X14" s="240">
        <v>268.8</v>
      </c>
      <c r="Y14" s="240">
        <v>470</v>
      </c>
      <c r="Z14" s="240">
        <v>6900</v>
      </c>
      <c r="AA14" s="240">
        <v>4616</v>
      </c>
      <c r="AB14" s="240"/>
      <c r="AC14" s="240"/>
      <c r="AD14" s="240"/>
      <c r="AE14" s="240">
        <v>130</v>
      </c>
      <c r="AF14" s="104">
        <v>1660</v>
      </c>
      <c r="AG14" s="104">
        <v>1408</v>
      </c>
      <c r="AH14" s="241">
        <v>235</v>
      </c>
      <c r="AI14" s="241">
        <v>3180</v>
      </c>
      <c r="AJ14" s="241">
        <v>2254.8000000000002</v>
      </c>
      <c r="AK14" s="242">
        <f t="shared" si="2"/>
        <v>1535</v>
      </c>
      <c r="AL14" s="242">
        <f t="shared" si="0"/>
        <v>21180</v>
      </c>
      <c r="AM14" s="242">
        <f t="shared" si="0"/>
        <v>15062</v>
      </c>
      <c r="AN14" s="241"/>
      <c r="AO14" s="241"/>
      <c r="AP14" s="241"/>
      <c r="AQ14" s="241"/>
      <c r="AR14" s="241"/>
      <c r="AS14" s="241"/>
      <c r="AT14" s="241">
        <v>400</v>
      </c>
      <c r="AU14" s="241">
        <v>5400</v>
      </c>
      <c r="AV14" s="241">
        <v>3888</v>
      </c>
      <c r="AW14" s="241">
        <v>210</v>
      </c>
      <c r="AX14" s="241">
        <v>2720</v>
      </c>
      <c r="AY14" s="241">
        <v>2108</v>
      </c>
      <c r="AZ14" s="241">
        <v>200</v>
      </c>
      <c r="BA14" s="241">
        <v>2700</v>
      </c>
      <c r="BB14" s="241">
        <v>1944</v>
      </c>
      <c r="BC14" s="241">
        <v>120</v>
      </c>
      <c r="BD14" s="241">
        <v>1940</v>
      </c>
      <c r="BE14" s="241">
        <v>1294.4000000000001</v>
      </c>
      <c r="BF14" s="241">
        <v>220</v>
      </c>
      <c r="BG14" s="241">
        <v>3040</v>
      </c>
      <c r="BH14" s="241">
        <v>2032</v>
      </c>
      <c r="BI14" s="241"/>
      <c r="BJ14" s="241"/>
      <c r="BK14" s="241"/>
      <c r="BL14" s="241">
        <v>200</v>
      </c>
      <c r="BM14" s="241">
        <v>2700</v>
      </c>
      <c r="BN14" s="241">
        <v>1944</v>
      </c>
      <c r="BO14" s="241">
        <v>200</v>
      </c>
      <c r="BP14" s="241">
        <v>2640</v>
      </c>
      <c r="BQ14" s="241">
        <v>2035.2</v>
      </c>
      <c r="BR14" s="242">
        <f t="shared" si="3"/>
        <v>3085</v>
      </c>
      <c r="BS14" s="242">
        <f t="shared" si="1"/>
        <v>42320</v>
      </c>
      <c r="BT14" s="242">
        <f t="shared" si="1"/>
        <v>30307.600000000002</v>
      </c>
      <c r="BU14" s="104">
        <v>150</v>
      </c>
      <c r="BV14" s="104">
        <v>2100</v>
      </c>
      <c r="BW14" s="104">
        <v>1344</v>
      </c>
      <c r="BX14" s="104">
        <v>70</v>
      </c>
      <c r="BY14" s="104">
        <v>940</v>
      </c>
      <c r="BZ14" s="104">
        <v>688</v>
      </c>
      <c r="CA14" s="104"/>
      <c r="CB14" s="104"/>
      <c r="CC14" s="104"/>
      <c r="CD14" s="104">
        <v>266</v>
      </c>
      <c r="CE14" s="104">
        <v>3624</v>
      </c>
      <c r="CF14" s="104">
        <v>2535.36</v>
      </c>
      <c r="CG14" s="104"/>
      <c r="CH14" s="104"/>
      <c r="CI14" s="104"/>
      <c r="CJ14" s="104">
        <v>365</v>
      </c>
      <c r="CK14" s="104">
        <v>5260</v>
      </c>
      <c r="CL14" s="104">
        <v>3710.8</v>
      </c>
      <c r="CM14" s="104">
        <v>50</v>
      </c>
      <c r="CN14" s="104">
        <v>600</v>
      </c>
      <c r="CO14" s="104">
        <v>600</v>
      </c>
      <c r="CP14" s="143"/>
      <c r="CQ14" s="143"/>
      <c r="CR14" s="143"/>
      <c r="CS14" s="104">
        <v>280</v>
      </c>
      <c r="CT14" s="104">
        <v>3760</v>
      </c>
      <c r="CU14" s="104">
        <v>2752</v>
      </c>
      <c r="CV14" s="241"/>
      <c r="CW14" s="241"/>
      <c r="CX14" s="241"/>
      <c r="CY14" s="241">
        <v>260</v>
      </c>
      <c r="CZ14" s="241">
        <v>3520</v>
      </c>
      <c r="DA14" s="241">
        <v>2476</v>
      </c>
      <c r="DB14" s="242">
        <f t="shared" si="4"/>
        <v>4526</v>
      </c>
      <c r="DC14" s="242">
        <f t="shared" si="4"/>
        <v>62124</v>
      </c>
      <c r="DD14" s="242">
        <f t="shared" si="4"/>
        <v>44413.760000000002</v>
      </c>
      <c r="DG14" s="243"/>
      <c r="DH14" s="244"/>
      <c r="DI14" s="244"/>
      <c r="DJ14" s="244"/>
      <c r="DL14" s="244"/>
      <c r="DM14" s="228"/>
    </row>
    <row r="15" spans="1:117" ht="20.100000000000001" customHeight="1" x14ac:dyDescent="0.6">
      <c r="A15" s="234">
        <v>12</v>
      </c>
      <c r="B15" s="245" t="s">
        <v>96</v>
      </c>
      <c r="C15" s="234" t="s">
        <v>97</v>
      </c>
      <c r="D15" s="246" t="s">
        <v>98</v>
      </c>
      <c r="E15" s="246" t="s">
        <v>99</v>
      </c>
      <c r="F15" s="238" t="s">
        <v>56</v>
      </c>
      <c r="G15" s="239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>
        <v>510</v>
      </c>
      <c r="AC15" s="240">
        <v>7720</v>
      </c>
      <c r="AD15" s="240">
        <v>5916</v>
      </c>
      <c r="AE15" s="240"/>
      <c r="AF15" s="104"/>
      <c r="AG15" s="104"/>
      <c r="AH15" s="241"/>
      <c r="AI15" s="241"/>
      <c r="AJ15" s="241"/>
      <c r="AK15" s="242">
        <f t="shared" si="2"/>
        <v>510</v>
      </c>
      <c r="AL15" s="242">
        <f t="shared" si="0"/>
        <v>7720</v>
      </c>
      <c r="AM15" s="242">
        <f t="shared" si="0"/>
        <v>5916</v>
      </c>
      <c r="AN15" s="241"/>
      <c r="AO15" s="241"/>
      <c r="AP15" s="241"/>
      <c r="AQ15" s="241"/>
      <c r="AR15" s="241"/>
      <c r="AS15" s="241"/>
      <c r="AT15" s="241">
        <v>450</v>
      </c>
      <c r="AU15" s="241">
        <v>7780</v>
      </c>
      <c r="AV15" s="241">
        <v>5347.2</v>
      </c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>
        <v>460</v>
      </c>
      <c r="BM15" s="241">
        <v>7020</v>
      </c>
      <c r="BN15" s="241">
        <v>5360</v>
      </c>
      <c r="BO15" s="241"/>
      <c r="BP15" s="241"/>
      <c r="BQ15" s="241"/>
      <c r="BR15" s="242">
        <f t="shared" si="3"/>
        <v>1420</v>
      </c>
      <c r="BS15" s="242">
        <f t="shared" si="1"/>
        <v>22520</v>
      </c>
      <c r="BT15" s="242">
        <f t="shared" si="1"/>
        <v>16623.2</v>
      </c>
      <c r="BU15" s="104"/>
      <c r="BV15" s="104"/>
      <c r="BW15" s="104"/>
      <c r="BX15" s="104">
        <v>460</v>
      </c>
      <c r="BY15" s="104">
        <v>5720</v>
      </c>
      <c r="BZ15" s="104">
        <v>5216</v>
      </c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43">
        <v>450</v>
      </c>
      <c r="CQ15" s="143">
        <v>7000</v>
      </c>
      <c r="CR15" s="143">
        <v>5196</v>
      </c>
      <c r="CS15" s="104"/>
      <c r="CT15" s="104"/>
      <c r="CU15" s="104"/>
      <c r="CV15" s="241"/>
      <c r="CW15" s="241"/>
      <c r="CX15" s="241"/>
      <c r="CY15" s="241">
        <v>430</v>
      </c>
      <c r="CZ15" s="241">
        <v>6860</v>
      </c>
      <c r="DA15" s="241">
        <v>4696</v>
      </c>
      <c r="DB15" s="242">
        <f t="shared" si="4"/>
        <v>2760</v>
      </c>
      <c r="DC15" s="242">
        <f t="shared" si="4"/>
        <v>42100</v>
      </c>
      <c r="DD15" s="242">
        <f t="shared" si="4"/>
        <v>31731.200000000001</v>
      </c>
      <c r="DG15" s="243"/>
      <c r="DH15" s="244"/>
      <c r="DI15" s="244"/>
      <c r="DJ15" s="244"/>
    </row>
    <row r="16" spans="1:117" ht="20.100000000000001" customHeight="1" x14ac:dyDescent="0.6">
      <c r="A16" s="234">
        <v>13</v>
      </c>
      <c r="B16" s="245" t="s">
        <v>100</v>
      </c>
      <c r="C16" s="234" t="s">
        <v>101</v>
      </c>
      <c r="D16" s="246" t="s">
        <v>78</v>
      </c>
      <c r="E16" s="246" t="s">
        <v>79</v>
      </c>
      <c r="F16" s="238" t="s">
        <v>56</v>
      </c>
      <c r="G16" s="239"/>
      <c r="H16" s="240"/>
      <c r="I16" s="240"/>
      <c r="J16" s="240"/>
      <c r="K16" s="240"/>
      <c r="L16" s="240"/>
      <c r="M16" s="240">
        <v>345</v>
      </c>
      <c r="N16" s="240">
        <v>5540</v>
      </c>
      <c r="O16" s="240">
        <v>4017.2</v>
      </c>
      <c r="P16" s="240"/>
      <c r="Q16" s="240"/>
      <c r="R16" s="240"/>
      <c r="S16" s="240"/>
      <c r="T16" s="240"/>
      <c r="U16" s="240"/>
      <c r="V16" s="240">
        <v>200</v>
      </c>
      <c r="W16" s="240">
        <v>2880</v>
      </c>
      <c r="X16" s="240">
        <v>2116</v>
      </c>
      <c r="Y16" s="240"/>
      <c r="Z16" s="240"/>
      <c r="AA16" s="240"/>
      <c r="AB16" s="240"/>
      <c r="AC16" s="240"/>
      <c r="AD16" s="240"/>
      <c r="AE16" s="240"/>
      <c r="AF16" s="104"/>
      <c r="AG16" s="104"/>
      <c r="AH16" s="241">
        <v>300</v>
      </c>
      <c r="AI16" s="241">
        <v>4620</v>
      </c>
      <c r="AJ16" s="241">
        <v>3609.2</v>
      </c>
      <c r="AK16" s="242">
        <f t="shared" si="2"/>
        <v>845</v>
      </c>
      <c r="AL16" s="242">
        <f t="shared" si="0"/>
        <v>13040</v>
      </c>
      <c r="AM16" s="242">
        <f t="shared" si="0"/>
        <v>9742.4</v>
      </c>
      <c r="AN16" s="241"/>
      <c r="AO16" s="241"/>
      <c r="AP16" s="241"/>
      <c r="AQ16" s="241"/>
      <c r="AR16" s="241"/>
      <c r="AS16" s="241"/>
      <c r="AT16" s="241">
        <v>150</v>
      </c>
      <c r="AU16" s="241">
        <v>2140</v>
      </c>
      <c r="AV16" s="241">
        <v>1728.8</v>
      </c>
      <c r="AW16" s="241"/>
      <c r="AX16" s="241"/>
      <c r="AY16" s="241"/>
      <c r="AZ16" s="241"/>
      <c r="BA16" s="241"/>
      <c r="BB16" s="241"/>
      <c r="BC16" s="241"/>
      <c r="BD16" s="241"/>
      <c r="BE16" s="241"/>
      <c r="BF16" s="241">
        <v>365</v>
      </c>
      <c r="BG16" s="241">
        <v>5500</v>
      </c>
      <c r="BH16" s="241">
        <v>4237.2</v>
      </c>
      <c r="BI16" s="241"/>
      <c r="BJ16" s="241"/>
      <c r="BK16" s="241"/>
      <c r="BL16" s="241"/>
      <c r="BM16" s="241"/>
      <c r="BN16" s="241"/>
      <c r="BO16" s="241">
        <v>150</v>
      </c>
      <c r="BP16" s="241">
        <v>2140</v>
      </c>
      <c r="BQ16" s="241">
        <v>1620.8</v>
      </c>
      <c r="BR16" s="242">
        <f t="shared" si="3"/>
        <v>1510</v>
      </c>
      <c r="BS16" s="242">
        <f t="shared" si="1"/>
        <v>22820</v>
      </c>
      <c r="BT16" s="242">
        <f t="shared" si="1"/>
        <v>17329.199999999997</v>
      </c>
      <c r="BU16" s="104"/>
      <c r="BV16" s="104"/>
      <c r="BW16" s="104"/>
      <c r="BX16" s="104"/>
      <c r="BY16" s="104"/>
      <c r="BZ16" s="104"/>
      <c r="CA16" s="104"/>
      <c r="CB16" s="104"/>
      <c r="CC16" s="104"/>
      <c r="CD16" s="104">
        <v>385</v>
      </c>
      <c r="CE16" s="104">
        <v>6580</v>
      </c>
      <c r="CF16" s="104">
        <v>4537.2</v>
      </c>
      <c r="CG16" s="104"/>
      <c r="CH16" s="104"/>
      <c r="CI16" s="104"/>
      <c r="CJ16" s="104"/>
      <c r="CK16" s="104"/>
      <c r="CL16" s="104"/>
      <c r="CM16" s="104">
        <v>150</v>
      </c>
      <c r="CN16" s="104">
        <v>2140</v>
      </c>
      <c r="CO16" s="104">
        <v>1728.8</v>
      </c>
      <c r="CP16" s="143"/>
      <c r="CQ16" s="143"/>
      <c r="CR16" s="143"/>
      <c r="CS16" s="104"/>
      <c r="CT16" s="104"/>
      <c r="CU16" s="104"/>
      <c r="CV16" s="241"/>
      <c r="CW16" s="241"/>
      <c r="CX16" s="241"/>
      <c r="CY16" s="241">
        <v>310</v>
      </c>
      <c r="CZ16" s="241">
        <v>5160</v>
      </c>
      <c r="DA16" s="241">
        <v>3759.2</v>
      </c>
      <c r="DB16" s="242">
        <f t="shared" si="4"/>
        <v>2355</v>
      </c>
      <c r="DC16" s="242">
        <f t="shared" si="4"/>
        <v>36700</v>
      </c>
      <c r="DD16" s="242">
        <f t="shared" si="4"/>
        <v>27354.399999999998</v>
      </c>
      <c r="DG16" s="243"/>
      <c r="DH16" s="244"/>
      <c r="DI16" s="244"/>
      <c r="DJ16" s="244"/>
    </row>
    <row r="17" spans="1:116" ht="20.100000000000001" customHeight="1" x14ac:dyDescent="0.6">
      <c r="A17" s="234">
        <v>14</v>
      </c>
      <c r="B17" s="245" t="s">
        <v>102</v>
      </c>
      <c r="C17" s="234" t="s">
        <v>103</v>
      </c>
      <c r="D17" s="246" t="s">
        <v>82</v>
      </c>
      <c r="E17" s="246" t="s">
        <v>83</v>
      </c>
      <c r="F17" s="238" t="s">
        <v>56</v>
      </c>
      <c r="G17" s="239"/>
      <c r="H17" s="240"/>
      <c r="I17" s="240"/>
      <c r="J17" s="240">
        <v>225</v>
      </c>
      <c r="K17" s="240">
        <v>3180</v>
      </c>
      <c r="L17" s="240">
        <v>2392</v>
      </c>
      <c r="M17" s="240"/>
      <c r="N17" s="240"/>
      <c r="O17" s="240"/>
      <c r="P17" s="240"/>
      <c r="Q17" s="240"/>
      <c r="R17" s="240"/>
      <c r="S17" s="240">
        <v>200</v>
      </c>
      <c r="T17" s="240">
        <v>2700</v>
      </c>
      <c r="U17" s="240">
        <v>1944</v>
      </c>
      <c r="V17" s="240">
        <v>230</v>
      </c>
      <c r="W17" s="240">
        <v>3600</v>
      </c>
      <c r="X17" s="240">
        <v>2820</v>
      </c>
      <c r="Y17" s="240">
        <v>220</v>
      </c>
      <c r="Z17" s="240">
        <v>3300</v>
      </c>
      <c r="AA17" s="240">
        <v>2528</v>
      </c>
      <c r="AB17" s="240">
        <v>210</v>
      </c>
      <c r="AC17" s="240">
        <v>3000</v>
      </c>
      <c r="AD17" s="240">
        <v>2236</v>
      </c>
      <c r="AE17" s="240"/>
      <c r="AF17" s="104"/>
      <c r="AG17" s="104"/>
      <c r="AH17" s="241">
        <v>270</v>
      </c>
      <c r="AI17" s="241">
        <v>4200</v>
      </c>
      <c r="AJ17" s="241">
        <v>2672</v>
      </c>
      <c r="AK17" s="242">
        <f t="shared" si="2"/>
        <v>1355</v>
      </c>
      <c r="AL17" s="242">
        <f t="shared" si="0"/>
        <v>19980</v>
      </c>
      <c r="AM17" s="242">
        <f t="shared" si="0"/>
        <v>14592</v>
      </c>
      <c r="AN17" s="241"/>
      <c r="AO17" s="241"/>
      <c r="AP17" s="241"/>
      <c r="AQ17" s="241"/>
      <c r="AR17" s="241"/>
      <c r="AS17" s="241"/>
      <c r="AT17" s="241">
        <v>255</v>
      </c>
      <c r="AU17" s="241">
        <v>3920</v>
      </c>
      <c r="AV17" s="241">
        <v>2644</v>
      </c>
      <c r="AW17" s="241"/>
      <c r="AX17" s="241"/>
      <c r="AY17" s="241"/>
      <c r="AZ17" s="241"/>
      <c r="BA17" s="241"/>
      <c r="BB17" s="241"/>
      <c r="BC17" s="241"/>
      <c r="BD17" s="241"/>
      <c r="BE17" s="241"/>
      <c r="BF17" s="241">
        <v>200</v>
      </c>
      <c r="BG17" s="241">
        <v>2700</v>
      </c>
      <c r="BH17" s="241">
        <v>1944</v>
      </c>
      <c r="BI17" s="241"/>
      <c r="BJ17" s="241"/>
      <c r="BK17" s="241"/>
      <c r="BL17" s="241"/>
      <c r="BM17" s="241"/>
      <c r="BN17" s="241"/>
      <c r="BO17" s="241">
        <v>230</v>
      </c>
      <c r="BP17" s="241">
        <v>2960</v>
      </c>
      <c r="BQ17" s="241">
        <v>2456</v>
      </c>
      <c r="BR17" s="242">
        <f t="shared" si="3"/>
        <v>2040</v>
      </c>
      <c r="BS17" s="242">
        <f t="shared" si="1"/>
        <v>29560</v>
      </c>
      <c r="BT17" s="242">
        <f t="shared" si="1"/>
        <v>21636</v>
      </c>
      <c r="BU17" s="104"/>
      <c r="BV17" s="104"/>
      <c r="BW17" s="104"/>
      <c r="BX17" s="104"/>
      <c r="BY17" s="104"/>
      <c r="BZ17" s="104"/>
      <c r="CA17" s="104">
        <v>200</v>
      </c>
      <c r="CB17" s="104">
        <v>3340</v>
      </c>
      <c r="CC17" s="104">
        <v>2308</v>
      </c>
      <c r="CD17" s="104"/>
      <c r="CE17" s="104"/>
      <c r="CF17" s="104"/>
      <c r="CG17" s="104"/>
      <c r="CH17" s="104"/>
      <c r="CI17" s="104"/>
      <c r="CJ17" s="104">
        <v>220</v>
      </c>
      <c r="CK17" s="104">
        <v>3040</v>
      </c>
      <c r="CL17" s="104">
        <v>1936</v>
      </c>
      <c r="CM17" s="104">
        <v>195</v>
      </c>
      <c r="CN17" s="104">
        <v>2760</v>
      </c>
      <c r="CO17" s="104">
        <v>2370</v>
      </c>
      <c r="CP17" s="143"/>
      <c r="CQ17" s="143"/>
      <c r="CR17" s="143"/>
      <c r="CS17" s="104"/>
      <c r="CT17" s="104"/>
      <c r="CU17" s="104"/>
      <c r="CV17" s="241">
        <v>255</v>
      </c>
      <c r="CW17" s="241">
        <v>3600</v>
      </c>
      <c r="CX17" s="241">
        <v>2462</v>
      </c>
      <c r="CY17" s="241">
        <v>250</v>
      </c>
      <c r="CZ17" s="241">
        <v>3340</v>
      </c>
      <c r="DA17" s="241">
        <v>2483.1999999999998</v>
      </c>
      <c r="DB17" s="242">
        <f t="shared" si="4"/>
        <v>3160</v>
      </c>
      <c r="DC17" s="242">
        <f t="shared" si="4"/>
        <v>45640</v>
      </c>
      <c r="DD17" s="242">
        <f t="shared" si="4"/>
        <v>33195.199999999997</v>
      </c>
      <c r="DG17" s="243"/>
      <c r="DH17" s="244"/>
      <c r="DI17" s="244"/>
      <c r="DJ17" s="244"/>
    </row>
    <row r="18" spans="1:116" ht="20.100000000000001" customHeight="1" x14ac:dyDescent="0.6">
      <c r="A18" s="234">
        <v>15</v>
      </c>
      <c r="B18" s="245" t="s">
        <v>104</v>
      </c>
      <c r="C18" s="234" t="s">
        <v>105</v>
      </c>
      <c r="D18" s="246" t="s">
        <v>90</v>
      </c>
      <c r="E18" s="246" t="s">
        <v>91</v>
      </c>
      <c r="F18" s="238" t="s">
        <v>56</v>
      </c>
      <c r="G18" s="239"/>
      <c r="H18" s="240"/>
      <c r="I18" s="240"/>
      <c r="J18" s="240">
        <v>105</v>
      </c>
      <c r="K18" s="240">
        <v>1260</v>
      </c>
      <c r="L18" s="240">
        <v>1260</v>
      </c>
      <c r="M18" s="240">
        <v>105</v>
      </c>
      <c r="N18" s="240">
        <v>1960</v>
      </c>
      <c r="O18" s="240">
        <v>1310</v>
      </c>
      <c r="P18" s="240"/>
      <c r="Q18" s="240"/>
      <c r="R18" s="240"/>
      <c r="S18" s="240">
        <v>80</v>
      </c>
      <c r="T18" s="240">
        <v>1050</v>
      </c>
      <c r="U18" s="240">
        <v>769.2</v>
      </c>
      <c r="V18" s="240">
        <v>130</v>
      </c>
      <c r="W18" s="240">
        <v>2120</v>
      </c>
      <c r="X18" s="240">
        <v>1600</v>
      </c>
      <c r="Y18" s="240">
        <v>65</v>
      </c>
      <c r="Z18" s="240">
        <v>780</v>
      </c>
      <c r="AA18" s="240">
        <v>780</v>
      </c>
      <c r="AB18" s="240">
        <v>75</v>
      </c>
      <c r="AC18" s="240">
        <v>930</v>
      </c>
      <c r="AD18" s="240">
        <v>854.4</v>
      </c>
      <c r="AE18" s="240">
        <v>90</v>
      </c>
      <c r="AF18" s="104">
        <v>2230</v>
      </c>
      <c r="AG18" s="104">
        <v>1018.4</v>
      </c>
      <c r="AH18" s="241">
        <v>195</v>
      </c>
      <c r="AI18" s="241">
        <v>2410</v>
      </c>
      <c r="AJ18" s="241">
        <v>2233.6</v>
      </c>
      <c r="AK18" s="242">
        <f t="shared" si="2"/>
        <v>845</v>
      </c>
      <c r="AL18" s="242">
        <f t="shared" si="0"/>
        <v>12740</v>
      </c>
      <c r="AM18" s="242">
        <f t="shared" si="0"/>
        <v>9825.5999999999985</v>
      </c>
      <c r="AN18" s="241"/>
      <c r="AO18" s="241"/>
      <c r="AP18" s="241"/>
      <c r="AQ18" s="241">
        <v>40</v>
      </c>
      <c r="AR18" s="241">
        <v>500</v>
      </c>
      <c r="AS18" s="241">
        <v>449.6</v>
      </c>
      <c r="AT18" s="241">
        <v>120</v>
      </c>
      <c r="AU18" s="241">
        <v>1860</v>
      </c>
      <c r="AV18" s="241">
        <v>1452</v>
      </c>
      <c r="AW18" s="241">
        <v>120</v>
      </c>
      <c r="AX18" s="241">
        <v>1460</v>
      </c>
      <c r="AY18" s="241">
        <v>1409.6</v>
      </c>
      <c r="AZ18" s="241">
        <v>115</v>
      </c>
      <c r="BA18" s="241">
        <v>2260</v>
      </c>
      <c r="BB18" s="241">
        <v>1379.2</v>
      </c>
      <c r="BC18" s="241"/>
      <c r="BD18" s="241"/>
      <c r="BE18" s="241"/>
      <c r="BF18" s="241">
        <v>140</v>
      </c>
      <c r="BG18" s="241">
        <v>2160</v>
      </c>
      <c r="BH18" s="241">
        <v>1600.8</v>
      </c>
      <c r="BI18" s="241"/>
      <c r="BJ18" s="241"/>
      <c r="BK18" s="241"/>
      <c r="BL18" s="241">
        <v>100</v>
      </c>
      <c r="BM18" s="241">
        <v>1200</v>
      </c>
      <c r="BN18" s="241">
        <v>1200</v>
      </c>
      <c r="BO18" s="241">
        <v>55</v>
      </c>
      <c r="BP18" s="241">
        <v>710</v>
      </c>
      <c r="BQ18" s="241">
        <v>584</v>
      </c>
      <c r="BR18" s="242">
        <f t="shared" si="3"/>
        <v>1535</v>
      </c>
      <c r="BS18" s="242">
        <f t="shared" si="1"/>
        <v>22890</v>
      </c>
      <c r="BT18" s="242">
        <f t="shared" si="1"/>
        <v>17900.8</v>
      </c>
      <c r="BU18" s="104">
        <v>135</v>
      </c>
      <c r="BV18" s="104">
        <v>2740</v>
      </c>
      <c r="BW18" s="104">
        <v>1700</v>
      </c>
      <c r="BX18" s="104">
        <v>165</v>
      </c>
      <c r="BY18" s="104">
        <v>2570</v>
      </c>
      <c r="BZ18" s="104">
        <v>1878.4</v>
      </c>
      <c r="CA18" s="104">
        <v>30</v>
      </c>
      <c r="CB18" s="104">
        <v>360</v>
      </c>
      <c r="CC18" s="104">
        <v>360</v>
      </c>
      <c r="CD18" s="104">
        <v>95</v>
      </c>
      <c r="CE18" s="104">
        <v>1600</v>
      </c>
      <c r="CF18" s="104">
        <v>1073.2</v>
      </c>
      <c r="CG18" s="104"/>
      <c r="CH18" s="104"/>
      <c r="CI18" s="104"/>
      <c r="CJ18" s="104">
        <v>120</v>
      </c>
      <c r="CK18" s="104">
        <v>1720</v>
      </c>
      <c r="CL18" s="104">
        <v>1460</v>
      </c>
      <c r="CM18" s="104">
        <v>105</v>
      </c>
      <c r="CN18" s="104">
        <v>1570</v>
      </c>
      <c r="CO18" s="104">
        <v>1234.4000000000001</v>
      </c>
      <c r="CP18" s="143">
        <v>105</v>
      </c>
      <c r="CQ18" s="143">
        <v>1300</v>
      </c>
      <c r="CR18" s="143">
        <v>1181.2</v>
      </c>
      <c r="CS18" s="104">
        <v>105</v>
      </c>
      <c r="CT18" s="104">
        <v>1580</v>
      </c>
      <c r="CU18" s="104">
        <v>1219.2</v>
      </c>
      <c r="CV18" s="241">
        <v>65</v>
      </c>
      <c r="CW18" s="241">
        <v>780</v>
      </c>
      <c r="CX18" s="241">
        <v>780</v>
      </c>
      <c r="CY18" s="241">
        <v>220</v>
      </c>
      <c r="CZ18" s="241">
        <v>3500</v>
      </c>
      <c r="DA18" s="241">
        <v>2669.6</v>
      </c>
      <c r="DB18" s="242">
        <f t="shared" si="4"/>
        <v>2680</v>
      </c>
      <c r="DC18" s="242">
        <f t="shared" si="4"/>
        <v>40610</v>
      </c>
      <c r="DD18" s="242">
        <f t="shared" si="4"/>
        <v>31456.800000000003</v>
      </c>
      <c r="DG18" s="243"/>
      <c r="DH18" s="244"/>
      <c r="DI18" s="244"/>
      <c r="DJ18" s="244"/>
    </row>
    <row r="19" spans="1:116" ht="20.100000000000001" customHeight="1" x14ac:dyDescent="0.6">
      <c r="A19" s="234">
        <v>16</v>
      </c>
      <c r="B19" s="245" t="s">
        <v>106</v>
      </c>
      <c r="C19" s="234" t="s">
        <v>107</v>
      </c>
      <c r="D19" s="246" t="s">
        <v>108</v>
      </c>
      <c r="E19" s="246" t="s">
        <v>109</v>
      </c>
      <c r="F19" s="238" t="s">
        <v>56</v>
      </c>
      <c r="G19" s="239"/>
      <c r="H19" s="240"/>
      <c r="I19" s="240"/>
      <c r="J19" s="240">
        <v>200</v>
      </c>
      <c r="K19" s="240">
        <v>2810</v>
      </c>
      <c r="L19" s="240">
        <v>2323.1999999999998</v>
      </c>
      <c r="M19" s="240"/>
      <c r="N19" s="240"/>
      <c r="O19" s="240"/>
      <c r="P19" s="240"/>
      <c r="Q19" s="240"/>
      <c r="R19" s="240"/>
      <c r="S19" s="240"/>
      <c r="T19" s="240"/>
      <c r="U19" s="240"/>
      <c r="V19" s="240">
        <v>195</v>
      </c>
      <c r="W19" s="240">
        <v>3160</v>
      </c>
      <c r="X19" s="240">
        <v>2308.4</v>
      </c>
      <c r="Y19" s="240"/>
      <c r="Z19" s="240"/>
      <c r="AA19" s="240"/>
      <c r="AB19" s="240"/>
      <c r="AC19" s="240"/>
      <c r="AD19" s="240"/>
      <c r="AE19" s="240">
        <v>185</v>
      </c>
      <c r="AF19" s="104">
        <v>2610</v>
      </c>
      <c r="AG19" s="104">
        <v>2048.8000000000002</v>
      </c>
      <c r="AH19" s="241"/>
      <c r="AI19" s="241"/>
      <c r="AJ19" s="241"/>
      <c r="AK19" s="242">
        <f t="shared" si="2"/>
        <v>580</v>
      </c>
      <c r="AL19" s="242">
        <f t="shared" si="0"/>
        <v>8580</v>
      </c>
      <c r="AM19" s="242">
        <f t="shared" si="0"/>
        <v>6680.4000000000005</v>
      </c>
      <c r="AN19" s="241"/>
      <c r="AO19" s="241"/>
      <c r="AP19" s="241"/>
      <c r="AQ19" s="241"/>
      <c r="AR19" s="241"/>
      <c r="AS19" s="241"/>
      <c r="AT19" s="241">
        <v>185</v>
      </c>
      <c r="AU19" s="241">
        <v>2650</v>
      </c>
      <c r="AV19" s="241">
        <v>2112.8000000000002</v>
      </c>
      <c r="AW19" s="241"/>
      <c r="AX19" s="241"/>
      <c r="AY19" s="241"/>
      <c r="AZ19" s="241"/>
      <c r="BA19" s="241"/>
      <c r="BB19" s="241"/>
      <c r="BC19" s="241">
        <v>195</v>
      </c>
      <c r="BD19" s="241">
        <v>2900</v>
      </c>
      <c r="BE19" s="241">
        <v>2258</v>
      </c>
      <c r="BF19" s="241"/>
      <c r="BG19" s="241"/>
      <c r="BH19" s="241"/>
      <c r="BI19" s="241"/>
      <c r="BJ19" s="241"/>
      <c r="BK19" s="241"/>
      <c r="BL19" s="241"/>
      <c r="BM19" s="241"/>
      <c r="BN19" s="241"/>
      <c r="BO19" s="241">
        <v>195</v>
      </c>
      <c r="BP19" s="241">
        <v>2730</v>
      </c>
      <c r="BQ19" s="241">
        <v>2126.8000000000002</v>
      </c>
      <c r="BR19" s="242">
        <f t="shared" si="3"/>
        <v>1155</v>
      </c>
      <c r="BS19" s="242">
        <f t="shared" si="1"/>
        <v>16860</v>
      </c>
      <c r="BT19" s="242">
        <f t="shared" si="1"/>
        <v>13178</v>
      </c>
      <c r="BU19" s="104"/>
      <c r="BV19" s="104"/>
      <c r="BW19" s="104"/>
      <c r="BX19" s="104"/>
      <c r="BY19" s="104"/>
      <c r="BZ19" s="104"/>
      <c r="CA19" s="104">
        <v>155</v>
      </c>
      <c r="CB19" s="104">
        <v>1940</v>
      </c>
      <c r="CC19" s="104">
        <v>1738.4</v>
      </c>
      <c r="CD19" s="104"/>
      <c r="CE19" s="104"/>
      <c r="CF19" s="104"/>
      <c r="CG19" s="104"/>
      <c r="CH19" s="104"/>
      <c r="CI19" s="104"/>
      <c r="CJ19" s="104">
        <v>185</v>
      </c>
      <c r="CK19" s="104">
        <v>3040</v>
      </c>
      <c r="CL19" s="104">
        <v>2289.1999999999998</v>
      </c>
      <c r="CM19" s="104"/>
      <c r="CN19" s="104"/>
      <c r="CO19" s="104"/>
      <c r="CP19" s="143"/>
      <c r="CQ19" s="143"/>
      <c r="CR19" s="143"/>
      <c r="CS19" s="104">
        <v>170</v>
      </c>
      <c r="CT19" s="104">
        <v>2420</v>
      </c>
      <c r="CU19" s="104">
        <v>1884</v>
      </c>
      <c r="CV19" s="241"/>
      <c r="CW19" s="241"/>
      <c r="CX19" s="241"/>
      <c r="CY19" s="241"/>
      <c r="CZ19" s="241"/>
      <c r="DA19" s="241"/>
      <c r="DB19" s="242">
        <f t="shared" si="4"/>
        <v>1665</v>
      </c>
      <c r="DC19" s="242">
        <f t="shared" si="4"/>
        <v>24260</v>
      </c>
      <c r="DD19" s="242">
        <f t="shared" si="4"/>
        <v>19089.599999999999</v>
      </c>
      <c r="DG19" s="243"/>
      <c r="DH19" s="244"/>
      <c r="DI19" s="244"/>
      <c r="DJ19" s="244"/>
    </row>
    <row r="20" spans="1:116" ht="20.100000000000001" customHeight="1" x14ac:dyDescent="0.6">
      <c r="A20" s="234">
        <v>17</v>
      </c>
      <c r="B20" s="245" t="s">
        <v>110</v>
      </c>
      <c r="C20" s="234" t="s">
        <v>111</v>
      </c>
      <c r="D20" s="246" t="s">
        <v>70</v>
      </c>
      <c r="E20" s="246" t="s">
        <v>71</v>
      </c>
      <c r="F20" s="238" t="s">
        <v>56</v>
      </c>
      <c r="G20" s="239"/>
      <c r="H20" s="240"/>
      <c r="I20" s="240"/>
      <c r="J20" s="240"/>
      <c r="K20" s="240"/>
      <c r="L20" s="240"/>
      <c r="M20" s="240">
        <v>70</v>
      </c>
      <c r="N20" s="240">
        <v>1120</v>
      </c>
      <c r="O20" s="240">
        <v>812</v>
      </c>
      <c r="P20" s="240"/>
      <c r="Q20" s="240"/>
      <c r="R20" s="240"/>
      <c r="S20" s="240">
        <v>120</v>
      </c>
      <c r="T20" s="240">
        <v>1940</v>
      </c>
      <c r="U20" s="240">
        <v>1300.4000000000001</v>
      </c>
      <c r="V20" s="240">
        <v>70</v>
      </c>
      <c r="W20" s="240">
        <v>1020</v>
      </c>
      <c r="X20" s="240">
        <v>741.2</v>
      </c>
      <c r="Y20" s="240">
        <v>65</v>
      </c>
      <c r="Z20" s="240">
        <v>820</v>
      </c>
      <c r="AA20" s="240">
        <v>719.2</v>
      </c>
      <c r="AB20" s="240">
        <v>70</v>
      </c>
      <c r="AC20" s="240">
        <v>880</v>
      </c>
      <c r="AD20" s="240">
        <v>779.2</v>
      </c>
      <c r="AE20" s="240">
        <v>60</v>
      </c>
      <c r="AF20" s="104">
        <v>1140</v>
      </c>
      <c r="AG20" s="104">
        <v>750</v>
      </c>
      <c r="AH20" s="241">
        <v>155</v>
      </c>
      <c r="AI20" s="241">
        <v>2120</v>
      </c>
      <c r="AJ20" s="241">
        <v>1591.6</v>
      </c>
      <c r="AK20" s="242">
        <f t="shared" si="2"/>
        <v>610</v>
      </c>
      <c r="AL20" s="242">
        <f t="shared" si="2"/>
        <v>9040</v>
      </c>
      <c r="AM20" s="242">
        <f t="shared" si="2"/>
        <v>6693.6</v>
      </c>
      <c r="AN20" s="241"/>
      <c r="AO20" s="241"/>
      <c r="AP20" s="241"/>
      <c r="AQ20" s="241">
        <v>150</v>
      </c>
      <c r="AR20" s="241">
        <v>2520</v>
      </c>
      <c r="AS20" s="241">
        <v>1596.8</v>
      </c>
      <c r="AT20" s="241"/>
      <c r="AU20" s="241"/>
      <c r="AV20" s="241"/>
      <c r="AW20" s="241">
        <v>85</v>
      </c>
      <c r="AX20" s="241">
        <v>1360</v>
      </c>
      <c r="AY20" s="241">
        <v>900.8</v>
      </c>
      <c r="AZ20" s="241">
        <v>80</v>
      </c>
      <c r="BA20" s="241">
        <v>1420</v>
      </c>
      <c r="BB20" s="241">
        <v>881.2</v>
      </c>
      <c r="BC20" s="241">
        <v>75</v>
      </c>
      <c r="BD20" s="241">
        <v>940</v>
      </c>
      <c r="BE20" s="241">
        <v>839.2</v>
      </c>
      <c r="BF20" s="241">
        <v>75</v>
      </c>
      <c r="BG20" s="241">
        <v>940</v>
      </c>
      <c r="BH20" s="241">
        <v>743.2</v>
      </c>
      <c r="BI20" s="241"/>
      <c r="BJ20" s="241"/>
      <c r="BK20" s="241"/>
      <c r="BL20" s="241">
        <v>150</v>
      </c>
      <c r="BM20" s="241">
        <v>1920</v>
      </c>
      <c r="BN20" s="241">
        <v>1617.6</v>
      </c>
      <c r="BO20" s="241">
        <v>85</v>
      </c>
      <c r="BP20" s="241">
        <v>1080</v>
      </c>
      <c r="BQ20" s="241">
        <v>928.80000000000007</v>
      </c>
      <c r="BR20" s="242">
        <f t="shared" si="3"/>
        <v>1310</v>
      </c>
      <c r="BS20" s="242">
        <f t="shared" si="3"/>
        <v>19220</v>
      </c>
      <c r="BT20" s="242">
        <f t="shared" si="3"/>
        <v>14201.2</v>
      </c>
      <c r="BU20" s="104">
        <v>60</v>
      </c>
      <c r="BV20" s="104">
        <v>1140</v>
      </c>
      <c r="BW20" s="104">
        <v>750</v>
      </c>
      <c r="BX20" s="104">
        <v>130</v>
      </c>
      <c r="BY20" s="104">
        <v>2180</v>
      </c>
      <c r="BZ20" s="104">
        <v>1412.8</v>
      </c>
      <c r="CA20" s="104"/>
      <c r="CB20" s="104"/>
      <c r="CC20" s="104"/>
      <c r="CD20" s="104">
        <v>85</v>
      </c>
      <c r="CE20" s="104">
        <v>1080</v>
      </c>
      <c r="CF20" s="104">
        <v>928.8</v>
      </c>
      <c r="CG20" s="104"/>
      <c r="CH20" s="104"/>
      <c r="CI20" s="104"/>
      <c r="CJ20" s="104">
        <v>115</v>
      </c>
      <c r="CK20" s="104">
        <v>2020</v>
      </c>
      <c r="CL20" s="104">
        <v>1298.4000000000001</v>
      </c>
      <c r="CM20" s="104">
        <v>130</v>
      </c>
      <c r="CN20" s="104">
        <v>1630</v>
      </c>
      <c r="CO20" s="104">
        <v>1381.6000000000001</v>
      </c>
      <c r="CP20" s="143">
        <v>95</v>
      </c>
      <c r="CQ20" s="143">
        <v>1480</v>
      </c>
      <c r="CR20" s="143">
        <v>972.8</v>
      </c>
      <c r="CS20" s="104">
        <v>120</v>
      </c>
      <c r="CT20" s="104">
        <v>1950</v>
      </c>
      <c r="CU20" s="104">
        <v>1189.2</v>
      </c>
      <c r="CV20" s="241">
        <v>70</v>
      </c>
      <c r="CW20" s="241">
        <v>880</v>
      </c>
      <c r="CX20" s="241">
        <v>779.2</v>
      </c>
      <c r="CY20" s="241">
        <v>75</v>
      </c>
      <c r="CZ20" s="241">
        <v>1220</v>
      </c>
      <c r="DA20" s="241">
        <v>859.2</v>
      </c>
      <c r="DB20" s="242">
        <f t="shared" si="4"/>
        <v>2190</v>
      </c>
      <c r="DC20" s="242">
        <f t="shared" si="4"/>
        <v>32800</v>
      </c>
      <c r="DD20" s="242">
        <f t="shared" si="4"/>
        <v>23773.200000000001</v>
      </c>
      <c r="DG20" s="243"/>
      <c r="DH20" s="244"/>
      <c r="DI20" s="244"/>
      <c r="DJ20" s="244"/>
      <c r="DK20" s="244"/>
      <c r="DL20" s="244"/>
    </row>
    <row r="21" spans="1:116" ht="20.100000000000001" customHeight="1" x14ac:dyDescent="0.6">
      <c r="A21" s="234">
        <v>18</v>
      </c>
      <c r="B21" s="246" t="s">
        <v>112</v>
      </c>
      <c r="C21" s="248" t="s">
        <v>113</v>
      </c>
      <c r="D21" s="246" t="s">
        <v>86</v>
      </c>
      <c r="E21" s="246" t="s">
        <v>87</v>
      </c>
      <c r="F21" s="238" t="s">
        <v>56</v>
      </c>
      <c r="G21" s="239"/>
      <c r="H21" s="240"/>
      <c r="I21" s="240"/>
      <c r="J21" s="240">
        <v>250</v>
      </c>
      <c r="K21" s="240">
        <v>4500</v>
      </c>
      <c r="L21" s="240">
        <v>2948</v>
      </c>
      <c r="M21" s="240"/>
      <c r="N21" s="240"/>
      <c r="O21" s="240"/>
      <c r="P21" s="240"/>
      <c r="Q21" s="240"/>
      <c r="R21" s="240"/>
      <c r="S21" s="240">
        <v>270</v>
      </c>
      <c r="T21" s="240">
        <v>4040</v>
      </c>
      <c r="U21" s="240">
        <v>2771.2</v>
      </c>
      <c r="V21" s="240"/>
      <c r="W21" s="240"/>
      <c r="X21" s="240"/>
      <c r="Y21" s="240"/>
      <c r="Z21" s="240"/>
      <c r="AA21" s="240"/>
      <c r="AB21" s="240">
        <v>240</v>
      </c>
      <c r="AC21" s="240">
        <v>3540</v>
      </c>
      <c r="AD21" s="240">
        <v>2672</v>
      </c>
      <c r="AE21" s="240"/>
      <c r="AF21" s="104"/>
      <c r="AG21" s="104"/>
      <c r="AH21" s="241"/>
      <c r="AI21" s="241"/>
      <c r="AJ21" s="241"/>
      <c r="AK21" s="242">
        <f t="shared" ref="AK21:AM40" si="5">+G21+J21+M21+P21+S21+V21+Y21+AB21+AE21+AH21</f>
        <v>760</v>
      </c>
      <c r="AL21" s="242">
        <f t="shared" si="5"/>
        <v>12080</v>
      </c>
      <c r="AM21" s="242">
        <f t="shared" si="5"/>
        <v>8391.2000000000007</v>
      </c>
      <c r="AN21" s="241"/>
      <c r="AO21" s="241"/>
      <c r="AP21" s="241"/>
      <c r="AQ21" s="241"/>
      <c r="AR21" s="241"/>
      <c r="AS21" s="241"/>
      <c r="AT21" s="241">
        <v>310</v>
      </c>
      <c r="AU21" s="241">
        <v>4520</v>
      </c>
      <c r="AV21" s="241">
        <v>3299.2</v>
      </c>
      <c r="AW21" s="241"/>
      <c r="AX21" s="241"/>
      <c r="AY21" s="241"/>
      <c r="AZ21" s="241"/>
      <c r="BA21" s="241"/>
      <c r="BB21" s="241"/>
      <c r="BC21" s="241"/>
      <c r="BD21" s="241"/>
      <c r="BE21" s="241"/>
      <c r="BF21" s="241">
        <v>460</v>
      </c>
      <c r="BG21" s="241">
        <v>5940</v>
      </c>
      <c r="BH21" s="241">
        <v>4881.6000000000004</v>
      </c>
      <c r="BI21" s="241"/>
      <c r="BJ21" s="241"/>
      <c r="BK21" s="241"/>
      <c r="BL21" s="241"/>
      <c r="BM21" s="241"/>
      <c r="BN21" s="241"/>
      <c r="BO21" s="241">
        <v>180</v>
      </c>
      <c r="BP21" s="241">
        <v>3000</v>
      </c>
      <c r="BQ21" s="241">
        <v>2220</v>
      </c>
      <c r="BR21" s="242">
        <f t="shared" ref="BR21:BT40" si="6">+AK21+AN21+AQ21+AT21+AW21+AZ21+BC21+BF21+BI21+BL21+BO21</f>
        <v>1710</v>
      </c>
      <c r="BS21" s="242">
        <f t="shared" si="6"/>
        <v>25540</v>
      </c>
      <c r="BT21" s="242">
        <f t="shared" si="6"/>
        <v>18792</v>
      </c>
      <c r="BU21" s="104"/>
      <c r="BV21" s="104"/>
      <c r="BW21" s="104"/>
      <c r="BX21" s="104"/>
      <c r="BY21" s="104"/>
      <c r="BZ21" s="104"/>
      <c r="CA21" s="104"/>
      <c r="CB21" s="104"/>
      <c r="CC21" s="104"/>
      <c r="CD21" s="104">
        <v>200</v>
      </c>
      <c r="CE21" s="104">
        <v>3480</v>
      </c>
      <c r="CF21" s="104">
        <v>2095.1999999999998</v>
      </c>
      <c r="CG21" s="104"/>
      <c r="CH21" s="104"/>
      <c r="CI21" s="104"/>
      <c r="CJ21" s="104">
        <v>250</v>
      </c>
      <c r="CK21" s="104">
        <v>3980</v>
      </c>
      <c r="CL21" s="104">
        <v>2607.1999999999998</v>
      </c>
      <c r="CM21" s="104"/>
      <c r="CN21" s="104"/>
      <c r="CO21" s="104"/>
      <c r="CP21" s="143">
        <v>50</v>
      </c>
      <c r="CQ21" s="143">
        <v>700</v>
      </c>
      <c r="CR21" s="143">
        <v>448</v>
      </c>
      <c r="CS21" s="104"/>
      <c r="CT21" s="104"/>
      <c r="CU21" s="104"/>
      <c r="CV21" s="241">
        <v>220</v>
      </c>
      <c r="CW21" s="241">
        <v>2780</v>
      </c>
      <c r="CX21" s="241">
        <v>2427.1999999999998</v>
      </c>
      <c r="CY21" s="241"/>
      <c r="CZ21" s="241"/>
      <c r="DA21" s="241"/>
      <c r="DB21" s="242">
        <f t="shared" si="4"/>
        <v>2430</v>
      </c>
      <c r="DC21" s="242">
        <f t="shared" si="4"/>
        <v>36480</v>
      </c>
      <c r="DD21" s="242">
        <f t="shared" si="4"/>
        <v>26369.600000000002</v>
      </c>
      <c r="DG21" s="243"/>
      <c r="DH21" s="244"/>
      <c r="DI21" s="244"/>
      <c r="DJ21" s="244"/>
    </row>
    <row r="22" spans="1:116" ht="20.100000000000001" customHeight="1" x14ac:dyDescent="0.6">
      <c r="A22" s="234">
        <v>19</v>
      </c>
      <c r="B22" s="245" t="s">
        <v>114</v>
      </c>
      <c r="C22" s="234" t="s">
        <v>115</v>
      </c>
      <c r="D22" s="246" t="s">
        <v>116</v>
      </c>
      <c r="E22" s="246" t="s">
        <v>117</v>
      </c>
      <c r="F22" s="238" t="s">
        <v>56</v>
      </c>
      <c r="G22" s="239"/>
      <c r="H22" s="240"/>
      <c r="I22" s="240"/>
      <c r="J22" s="240">
        <v>100</v>
      </c>
      <c r="K22" s="240">
        <v>1300</v>
      </c>
      <c r="L22" s="240">
        <v>1048</v>
      </c>
      <c r="M22" s="240">
        <v>305</v>
      </c>
      <c r="N22" s="240">
        <v>4720</v>
      </c>
      <c r="O22" s="240">
        <v>3385.6</v>
      </c>
      <c r="P22" s="240"/>
      <c r="Q22" s="240"/>
      <c r="R22" s="240"/>
      <c r="S22" s="240"/>
      <c r="T22" s="240"/>
      <c r="U22" s="240"/>
      <c r="V22" s="240">
        <v>340</v>
      </c>
      <c r="W22" s="240">
        <v>4200</v>
      </c>
      <c r="X22" s="240">
        <v>3753.6</v>
      </c>
      <c r="Y22" s="240">
        <v>200</v>
      </c>
      <c r="Z22" s="240">
        <v>3900</v>
      </c>
      <c r="AA22" s="240">
        <v>2348</v>
      </c>
      <c r="AB22" s="240"/>
      <c r="AC22" s="240"/>
      <c r="AD22" s="240"/>
      <c r="AE22" s="240"/>
      <c r="AF22" s="104"/>
      <c r="AG22" s="240"/>
      <c r="AH22" s="241">
        <v>50</v>
      </c>
      <c r="AI22" s="241">
        <v>700</v>
      </c>
      <c r="AJ22" s="241">
        <v>448</v>
      </c>
      <c r="AK22" s="242">
        <f t="shared" si="5"/>
        <v>995</v>
      </c>
      <c r="AL22" s="242">
        <f t="shared" si="5"/>
        <v>14820</v>
      </c>
      <c r="AM22" s="242">
        <f t="shared" si="5"/>
        <v>10983.2</v>
      </c>
      <c r="AN22" s="241"/>
      <c r="AO22" s="241"/>
      <c r="AP22" s="241"/>
      <c r="AQ22" s="241">
        <v>370</v>
      </c>
      <c r="AR22" s="241">
        <v>5560</v>
      </c>
      <c r="AS22" s="241">
        <v>3834.4</v>
      </c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>
        <v>280</v>
      </c>
      <c r="BG22" s="241">
        <v>4400</v>
      </c>
      <c r="BH22" s="241">
        <v>2876</v>
      </c>
      <c r="BI22" s="241"/>
      <c r="BJ22" s="241"/>
      <c r="BK22" s="241"/>
      <c r="BL22" s="241">
        <v>100</v>
      </c>
      <c r="BM22" s="241">
        <v>1300</v>
      </c>
      <c r="BN22" s="241">
        <v>1048</v>
      </c>
      <c r="BO22" s="241"/>
      <c r="BP22" s="241"/>
      <c r="BQ22" s="241"/>
      <c r="BR22" s="242">
        <f t="shared" si="6"/>
        <v>1745</v>
      </c>
      <c r="BS22" s="242">
        <f t="shared" si="6"/>
        <v>26080</v>
      </c>
      <c r="BT22" s="242">
        <f t="shared" si="6"/>
        <v>18741.599999999999</v>
      </c>
      <c r="BU22" s="104">
        <v>200</v>
      </c>
      <c r="BV22" s="104">
        <v>2400</v>
      </c>
      <c r="BW22" s="104">
        <v>2400</v>
      </c>
      <c r="BX22" s="104"/>
      <c r="BY22" s="104"/>
      <c r="BZ22" s="104"/>
      <c r="CA22" s="104"/>
      <c r="CB22" s="104"/>
      <c r="CC22" s="104"/>
      <c r="CD22" s="104">
        <v>100</v>
      </c>
      <c r="CE22" s="104">
        <v>1300</v>
      </c>
      <c r="CF22" s="104">
        <v>1048</v>
      </c>
      <c r="CG22" s="104"/>
      <c r="CH22" s="104"/>
      <c r="CI22" s="104"/>
      <c r="CJ22" s="104">
        <v>320</v>
      </c>
      <c r="CK22" s="104">
        <v>5000</v>
      </c>
      <c r="CL22" s="104">
        <v>3269.6</v>
      </c>
      <c r="CM22" s="104">
        <v>100</v>
      </c>
      <c r="CN22" s="104">
        <v>1200</v>
      </c>
      <c r="CO22" s="104">
        <v>1200</v>
      </c>
      <c r="CP22" s="143">
        <v>260</v>
      </c>
      <c r="CQ22" s="143">
        <v>4060</v>
      </c>
      <c r="CR22" s="143">
        <v>2884</v>
      </c>
      <c r="CS22" s="104"/>
      <c r="CT22" s="104"/>
      <c r="CU22" s="104"/>
      <c r="CV22" s="241">
        <v>70</v>
      </c>
      <c r="CW22" s="241">
        <v>980</v>
      </c>
      <c r="CX22" s="241">
        <v>627.20000000000005</v>
      </c>
      <c r="CY22" s="241"/>
      <c r="CZ22" s="241"/>
      <c r="DA22" s="241"/>
      <c r="DB22" s="242">
        <f t="shared" si="4"/>
        <v>2795</v>
      </c>
      <c r="DC22" s="242">
        <f t="shared" si="4"/>
        <v>41020</v>
      </c>
      <c r="DD22" s="242">
        <f t="shared" si="4"/>
        <v>30170.399999999998</v>
      </c>
      <c r="DG22" s="243"/>
      <c r="DH22" s="244"/>
      <c r="DI22" s="244"/>
      <c r="DJ22" s="244"/>
    </row>
    <row r="23" spans="1:116" ht="20.100000000000001" customHeight="1" x14ac:dyDescent="0.6">
      <c r="A23" s="234">
        <v>20</v>
      </c>
      <c r="B23" s="245" t="s">
        <v>118</v>
      </c>
      <c r="C23" s="234" t="s">
        <v>119</v>
      </c>
      <c r="D23" s="246" t="s">
        <v>54</v>
      </c>
      <c r="E23" s="246" t="s">
        <v>120</v>
      </c>
      <c r="F23" s="238" t="s">
        <v>56</v>
      </c>
      <c r="G23" s="239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>
        <v>680</v>
      </c>
      <c r="AC23" s="240">
        <v>10180</v>
      </c>
      <c r="AD23" s="240">
        <v>7125.5999999999995</v>
      </c>
      <c r="AE23" s="240"/>
      <c r="AF23" s="104"/>
      <c r="AG23" s="104"/>
      <c r="AH23" s="241">
        <v>585</v>
      </c>
      <c r="AI23" s="241">
        <v>9320</v>
      </c>
      <c r="AJ23" s="241">
        <v>6180.4</v>
      </c>
      <c r="AK23" s="242">
        <f t="shared" si="5"/>
        <v>1265</v>
      </c>
      <c r="AL23" s="242">
        <f t="shared" si="5"/>
        <v>19500</v>
      </c>
      <c r="AM23" s="242">
        <f t="shared" si="5"/>
        <v>13306</v>
      </c>
      <c r="AN23" s="241"/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41"/>
      <c r="BL23" s="241"/>
      <c r="BM23" s="241"/>
      <c r="BN23" s="241"/>
      <c r="BO23" s="241">
        <v>559</v>
      </c>
      <c r="BP23" s="241">
        <v>8466</v>
      </c>
      <c r="BQ23" s="241">
        <v>6023.84</v>
      </c>
      <c r="BR23" s="242">
        <f t="shared" si="6"/>
        <v>1824</v>
      </c>
      <c r="BS23" s="242">
        <f t="shared" si="6"/>
        <v>27966</v>
      </c>
      <c r="BT23" s="242">
        <f t="shared" si="6"/>
        <v>19329.84</v>
      </c>
      <c r="BU23" s="104">
        <v>30</v>
      </c>
      <c r="BV23" s="104">
        <v>640</v>
      </c>
      <c r="BW23" s="104">
        <v>380</v>
      </c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>
        <v>560</v>
      </c>
      <c r="CK23" s="104">
        <v>8520</v>
      </c>
      <c r="CL23" s="104">
        <v>5972</v>
      </c>
      <c r="CM23" s="104"/>
      <c r="CN23" s="104"/>
      <c r="CO23" s="104"/>
      <c r="CP23" s="143"/>
      <c r="CQ23" s="143"/>
      <c r="CR23" s="143"/>
      <c r="CS23" s="104"/>
      <c r="CT23" s="104"/>
      <c r="CU23" s="104"/>
      <c r="CV23" s="241"/>
      <c r="CW23" s="241"/>
      <c r="CX23" s="241"/>
      <c r="CY23" s="241"/>
      <c r="CZ23" s="241"/>
      <c r="DA23" s="241"/>
      <c r="DB23" s="242">
        <f t="shared" si="4"/>
        <v>2414</v>
      </c>
      <c r="DC23" s="242">
        <f t="shared" si="4"/>
        <v>37126</v>
      </c>
      <c r="DD23" s="242">
        <f t="shared" si="4"/>
        <v>25681.84</v>
      </c>
      <c r="DG23" s="243"/>
      <c r="DH23" s="244"/>
      <c r="DI23" s="244"/>
      <c r="DJ23" s="244"/>
    </row>
    <row r="24" spans="1:116" ht="20.100000000000001" customHeight="1" x14ac:dyDescent="0.6">
      <c r="A24" s="234">
        <v>21</v>
      </c>
      <c r="B24" s="245" t="s">
        <v>121</v>
      </c>
      <c r="C24" s="234" t="s">
        <v>122</v>
      </c>
      <c r="D24" s="246" t="s">
        <v>123</v>
      </c>
      <c r="E24" s="246" t="s">
        <v>124</v>
      </c>
      <c r="F24" s="238" t="s">
        <v>56</v>
      </c>
      <c r="G24" s="239"/>
      <c r="H24" s="240"/>
      <c r="I24" s="240"/>
      <c r="J24" s="240"/>
      <c r="K24" s="240"/>
      <c r="L24" s="240"/>
      <c r="M24" s="240">
        <v>105</v>
      </c>
      <c r="N24" s="240">
        <v>1720</v>
      </c>
      <c r="O24" s="240">
        <v>1181.2</v>
      </c>
      <c r="P24" s="240"/>
      <c r="Q24" s="240"/>
      <c r="R24" s="240"/>
      <c r="S24" s="240"/>
      <c r="T24" s="240"/>
      <c r="U24" s="240"/>
      <c r="V24" s="240"/>
      <c r="W24" s="240"/>
      <c r="X24" s="240"/>
      <c r="Y24" s="240">
        <v>85</v>
      </c>
      <c r="Z24" s="240">
        <v>1520</v>
      </c>
      <c r="AA24" s="240">
        <v>928.4</v>
      </c>
      <c r="AB24" s="240"/>
      <c r="AC24" s="240"/>
      <c r="AD24" s="240"/>
      <c r="AE24" s="240"/>
      <c r="AF24" s="104"/>
      <c r="AG24" s="104"/>
      <c r="AH24" s="241">
        <v>125</v>
      </c>
      <c r="AI24" s="241">
        <v>2560</v>
      </c>
      <c r="AJ24" s="241">
        <v>1400.4</v>
      </c>
      <c r="AK24" s="242">
        <f t="shared" si="5"/>
        <v>315</v>
      </c>
      <c r="AL24" s="242">
        <f t="shared" si="5"/>
        <v>5800</v>
      </c>
      <c r="AM24" s="242">
        <f t="shared" si="5"/>
        <v>3510</v>
      </c>
      <c r="AN24" s="241"/>
      <c r="AO24" s="241"/>
      <c r="AP24" s="241"/>
      <c r="AQ24" s="241">
        <v>90</v>
      </c>
      <c r="AR24" s="241">
        <v>1420</v>
      </c>
      <c r="AS24" s="241">
        <v>1008.8000000000001</v>
      </c>
      <c r="AT24" s="241"/>
      <c r="AU24" s="241"/>
      <c r="AV24" s="241"/>
      <c r="AW24" s="241"/>
      <c r="AX24" s="241"/>
      <c r="AY24" s="241"/>
      <c r="AZ24" s="241">
        <v>100</v>
      </c>
      <c r="BA24" s="241">
        <v>1760</v>
      </c>
      <c r="BB24" s="241">
        <v>1240</v>
      </c>
      <c r="BC24" s="241">
        <v>60</v>
      </c>
      <c r="BD24" s="241">
        <v>780</v>
      </c>
      <c r="BE24" s="241">
        <v>628.79999999999995</v>
      </c>
      <c r="BF24" s="241">
        <v>125</v>
      </c>
      <c r="BG24" s="241">
        <v>1740</v>
      </c>
      <c r="BH24" s="241">
        <v>1334</v>
      </c>
      <c r="BI24" s="241"/>
      <c r="BJ24" s="241"/>
      <c r="BK24" s="241"/>
      <c r="BL24" s="241">
        <v>75</v>
      </c>
      <c r="BM24" s="241">
        <v>1220</v>
      </c>
      <c r="BN24" s="241">
        <v>859.2</v>
      </c>
      <c r="BO24" s="241"/>
      <c r="BP24" s="241"/>
      <c r="BQ24" s="241"/>
      <c r="BR24" s="242">
        <f t="shared" si="6"/>
        <v>765</v>
      </c>
      <c r="BS24" s="242">
        <f t="shared" si="6"/>
        <v>12720</v>
      </c>
      <c r="BT24" s="242">
        <f t="shared" si="6"/>
        <v>8580.8000000000011</v>
      </c>
      <c r="BU24" s="104">
        <v>75</v>
      </c>
      <c r="BV24" s="104">
        <v>1350</v>
      </c>
      <c r="BW24" s="104">
        <v>884.4</v>
      </c>
      <c r="BX24" s="104"/>
      <c r="BY24" s="104"/>
      <c r="BZ24" s="104"/>
      <c r="CA24" s="104">
        <v>105</v>
      </c>
      <c r="CB24" s="104">
        <v>1740</v>
      </c>
      <c r="CC24" s="104">
        <v>1150.8</v>
      </c>
      <c r="CD24" s="104">
        <v>140</v>
      </c>
      <c r="CE24" s="104">
        <v>2030</v>
      </c>
      <c r="CF24" s="104">
        <v>1593.6</v>
      </c>
      <c r="CG24" s="104"/>
      <c r="CH24" s="104"/>
      <c r="CI24" s="104"/>
      <c r="CJ24" s="104"/>
      <c r="CK24" s="104"/>
      <c r="CL24" s="104"/>
      <c r="CM24" s="104">
        <v>90</v>
      </c>
      <c r="CN24" s="104">
        <v>1980</v>
      </c>
      <c r="CO24" s="104">
        <v>1048.8</v>
      </c>
      <c r="CP24" s="143"/>
      <c r="CQ24" s="143"/>
      <c r="CR24" s="143"/>
      <c r="CS24" s="104">
        <v>160</v>
      </c>
      <c r="CT24" s="104">
        <v>2840</v>
      </c>
      <c r="CU24" s="104">
        <v>1810.3999999999999</v>
      </c>
      <c r="CV24" s="241"/>
      <c r="CW24" s="241"/>
      <c r="CX24" s="241"/>
      <c r="CY24" s="241">
        <v>85</v>
      </c>
      <c r="CZ24" s="241">
        <v>1020</v>
      </c>
      <c r="DA24" s="241">
        <v>1020</v>
      </c>
      <c r="DB24" s="242">
        <f t="shared" si="4"/>
        <v>1420</v>
      </c>
      <c r="DC24" s="242">
        <f t="shared" si="4"/>
        <v>23680</v>
      </c>
      <c r="DD24" s="242">
        <f t="shared" si="4"/>
        <v>16088.8</v>
      </c>
      <c r="DG24" s="243"/>
      <c r="DH24" s="244"/>
      <c r="DI24" s="244"/>
      <c r="DJ24" s="244"/>
    </row>
    <row r="25" spans="1:116" ht="20.100000000000001" customHeight="1" x14ac:dyDescent="0.6">
      <c r="A25" s="234">
        <v>22</v>
      </c>
      <c r="B25" s="245" t="s">
        <v>125</v>
      </c>
      <c r="C25" s="234" t="s">
        <v>126</v>
      </c>
      <c r="D25" s="246" t="s">
        <v>60</v>
      </c>
      <c r="E25" s="246" t="s">
        <v>61</v>
      </c>
      <c r="F25" s="238" t="s">
        <v>56</v>
      </c>
      <c r="G25" s="239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>
        <v>550</v>
      </c>
      <c r="W25" s="240">
        <v>7100</v>
      </c>
      <c r="X25" s="240">
        <v>5840</v>
      </c>
      <c r="Y25" s="240"/>
      <c r="Z25" s="240"/>
      <c r="AA25" s="240"/>
      <c r="AB25" s="240"/>
      <c r="AC25" s="240"/>
      <c r="AD25" s="240"/>
      <c r="AE25" s="240"/>
      <c r="AF25" s="104"/>
      <c r="AG25" s="104"/>
      <c r="AH25" s="241"/>
      <c r="AI25" s="241"/>
      <c r="AJ25" s="241"/>
      <c r="AK25" s="242">
        <f t="shared" si="5"/>
        <v>550</v>
      </c>
      <c r="AL25" s="242">
        <f t="shared" si="5"/>
        <v>7100</v>
      </c>
      <c r="AM25" s="242">
        <f t="shared" si="5"/>
        <v>5840</v>
      </c>
      <c r="AN25" s="241"/>
      <c r="AO25" s="241"/>
      <c r="AP25" s="241"/>
      <c r="AQ25" s="241">
        <v>550</v>
      </c>
      <c r="AR25" s="241">
        <v>8020</v>
      </c>
      <c r="AS25" s="241">
        <v>5936</v>
      </c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>
        <v>550</v>
      </c>
      <c r="BG25" s="241">
        <v>8400</v>
      </c>
      <c r="BH25" s="241">
        <v>6092</v>
      </c>
      <c r="BI25" s="241"/>
      <c r="BJ25" s="241"/>
      <c r="BK25" s="241"/>
      <c r="BL25" s="241"/>
      <c r="BM25" s="241"/>
      <c r="BN25" s="241"/>
      <c r="BO25" s="241"/>
      <c r="BP25" s="241"/>
      <c r="BQ25" s="241"/>
      <c r="BR25" s="242">
        <f t="shared" si="6"/>
        <v>1650</v>
      </c>
      <c r="BS25" s="242">
        <f t="shared" si="6"/>
        <v>23520</v>
      </c>
      <c r="BT25" s="242">
        <f t="shared" si="6"/>
        <v>17868</v>
      </c>
      <c r="BU25" s="104"/>
      <c r="BV25" s="104"/>
      <c r="BW25" s="104"/>
      <c r="BX25" s="104"/>
      <c r="BY25" s="104"/>
      <c r="BZ25" s="104"/>
      <c r="CA25" s="104">
        <v>550</v>
      </c>
      <c r="CB25" s="104">
        <v>8500</v>
      </c>
      <c r="CC25" s="104">
        <v>5940</v>
      </c>
      <c r="CD25" s="104"/>
      <c r="CE25" s="104"/>
      <c r="CF25" s="104"/>
      <c r="CG25" s="104"/>
      <c r="CH25" s="104"/>
      <c r="CI25" s="104"/>
      <c r="CJ25" s="104"/>
      <c r="CK25" s="104"/>
      <c r="CL25" s="104"/>
      <c r="CM25" s="104">
        <v>550</v>
      </c>
      <c r="CN25" s="104">
        <v>7840</v>
      </c>
      <c r="CO25" s="104">
        <v>5956</v>
      </c>
      <c r="CP25" s="143"/>
      <c r="CQ25" s="143"/>
      <c r="CR25" s="143"/>
      <c r="CS25" s="104"/>
      <c r="CT25" s="104"/>
      <c r="CU25" s="104"/>
      <c r="CV25" s="241"/>
      <c r="CW25" s="241"/>
      <c r="CX25" s="241"/>
      <c r="CY25" s="241"/>
      <c r="CZ25" s="241"/>
      <c r="DA25" s="241"/>
      <c r="DB25" s="242">
        <f t="shared" si="4"/>
        <v>2750</v>
      </c>
      <c r="DC25" s="242">
        <f t="shared" si="4"/>
        <v>39860</v>
      </c>
      <c r="DD25" s="242">
        <f t="shared" si="4"/>
        <v>29764</v>
      </c>
      <c r="DG25" s="243"/>
      <c r="DH25" s="244"/>
      <c r="DI25" s="244"/>
      <c r="DJ25" s="244"/>
    </row>
    <row r="26" spans="1:116" ht="20.100000000000001" customHeight="1" x14ac:dyDescent="0.6">
      <c r="A26" s="234">
        <v>23</v>
      </c>
      <c r="B26" s="245" t="s">
        <v>127</v>
      </c>
      <c r="C26" s="234" t="s">
        <v>128</v>
      </c>
      <c r="D26" s="246" t="s">
        <v>94</v>
      </c>
      <c r="E26" s="246" t="s">
        <v>95</v>
      </c>
      <c r="F26" s="238" t="s">
        <v>56</v>
      </c>
      <c r="G26" s="239"/>
      <c r="H26" s="240"/>
      <c r="I26" s="240"/>
      <c r="J26" s="240">
        <v>335</v>
      </c>
      <c r="K26" s="240">
        <v>4420</v>
      </c>
      <c r="L26" s="240">
        <v>3412</v>
      </c>
      <c r="M26" s="240"/>
      <c r="N26" s="240"/>
      <c r="O26" s="240"/>
      <c r="P26" s="240"/>
      <c r="Q26" s="240"/>
      <c r="R26" s="240"/>
      <c r="S26" s="240">
        <v>300</v>
      </c>
      <c r="T26" s="240">
        <v>4000</v>
      </c>
      <c r="U26" s="240">
        <v>2992</v>
      </c>
      <c r="V26" s="240">
        <v>5</v>
      </c>
      <c r="W26" s="240">
        <v>200</v>
      </c>
      <c r="X26" s="240">
        <v>70</v>
      </c>
      <c r="Y26" s="240"/>
      <c r="Z26" s="240"/>
      <c r="AA26" s="240"/>
      <c r="AB26" s="240"/>
      <c r="AC26" s="240"/>
      <c r="AD26" s="240"/>
      <c r="AE26" s="240">
        <v>500</v>
      </c>
      <c r="AF26" s="104">
        <v>6300</v>
      </c>
      <c r="AG26" s="104">
        <v>5544</v>
      </c>
      <c r="AH26" s="241"/>
      <c r="AI26" s="241"/>
      <c r="AJ26" s="241"/>
      <c r="AK26" s="242">
        <f t="shared" si="5"/>
        <v>1140</v>
      </c>
      <c r="AL26" s="242">
        <f t="shared" si="5"/>
        <v>14920</v>
      </c>
      <c r="AM26" s="242">
        <f t="shared" si="5"/>
        <v>12018</v>
      </c>
      <c r="AN26" s="241"/>
      <c r="AO26" s="241"/>
      <c r="AP26" s="241"/>
      <c r="AQ26" s="241">
        <v>300</v>
      </c>
      <c r="AR26" s="241">
        <v>4000</v>
      </c>
      <c r="AS26" s="241">
        <v>2992</v>
      </c>
      <c r="AT26" s="241">
        <v>270</v>
      </c>
      <c r="AU26" s="241">
        <v>3680</v>
      </c>
      <c r="AV26" s="241">
        <v>2794</v>
      </c>
      <c r="AW26" s="241"/>
      <c r="AX26" s="241"/>
      <c r="AY26" s="241"/>
      <c r="AZ26" s="241"/>
      <c r="BA26" s="241"/>
      <c r="BB26" s="241"/>
      <c r="BC26" s="241"/>
      <c r="BD26" s="241"/>
      <c r="BE26" s="241"/>
      <c r="BF26" s="241"/>
      <c r="BG26" s="241"/>
      <c r="BH26" s="241"/>
      <c r="BI26" s="241"/>
      <c r="BJ26" s="241"/>
      <c r="BK26" s="241"/>
      <c r="BL26" s="241"/>
      <c r="BM26" s="241"/>
      <c r="BN26" s="241"/>
      <c r="BO26" s="241">
        <v>300</v>
      </c>
      <c r="BP26" s="241">
        <v>4260</v>
      </c>
      <c r="BQ26" s="241">
        <v>3042.4</v>
      </c>
      <c r="BR26" s="242">
        <f t="shared" si="6"/>
        <v>2010</v>
      </c>
      <c r="BS26" s="242">
        <f t="shared" si="6"/>
        <v>26860</v>
      </c>
      <c r="BT26" s="242">
        <f t="shared" si="6"/>
        <v>20846.400000000001</v>
      </c>
      <c r="BU26" s="104"/>
      <c r="BV26" s="104"/>
      <c r="BW26" s="104"/>
      <c r="BX26" s="104"/>
      <c r="BY26" s="104"/>
      <c r="BZ26" s="104"/>
      <c r="CA26" s="104"/>
      <c r="CB26" s="104"/>
      <c r="CC26" s="104"/>
      <c r="CD26" s="104">
        <v>150</v>
      </c>
      <c r="CE26" s="104">
        <v>2000</v>
      </c>
      <c r="CF26" s="104">
        <v>1496</v>
      </c>
      <c r="CG26" s="104"/>
      <c r="CH26" s="104"/>
      <c r="CI26" s="104"/>
      <c r="CJ26" s="104"/>
      <c r="CK26" s="104"/>
      <c r="CL26" s="104"/>
      <c r="CM26" s="104">
        <v>215</v>
      </c>
      <c r="CN26" s="104">
        <v>2780</v>
      </c>
      <c r="CO26" s="104">
        <v>2276</v>
      </c>
      <c r="CP26" s="143"/>
      <c r="CQ26" s="143"/>
      <c r="CR26" s="143"/>
      <c r="CS26" s="104"/>
      <c r="CT26" s="104"/>
      <c r="CU26" s="104"/>
      <c r="CV26" s="241">
        <v>200</v>
      </c>
      <c r="CW26" s="241">
        <v>2600</v>
      </c>
      <c r="CX26" s="241">
        <v>2096</v>
      </c>
      <c r="CY26" s="241"/>
      <c r="CZ26" s="241"/>
      <c r="DA26" s="241"/>
      <c r="DB26" s="242">
        <f t="shared" si="4"/>
        <v>2575</v>
      </c>
      <c r="DC26" s="242">
        <f t="shared" si="4"/>
        <v>34240</v>
      </c>
      <c r="DD26" s="242">
        <f t="shared" si="4"/>
        <v>26714.400000000001</v>
      </c>
      <c r="DG26" s="243"/>
      <c r="DH26" s="244"/>
      <c r="DI26" s="244"/>
      <c r="DJ26" s="244"/>
    </row>
    <row r="27" spans="1:116" ht="20.100000000000001" customHeight="1" x14ac:dyDescent="0.6">
      <c r="A27" s="234">
        <v>24</v>
      </c>
      <c r="B27" s="245" t="s">
        <v>129</v>
      </c>
      <c r="C27" s="234" t="s">
        <v>130</v>
      </c>
      <c r="D27" s="246" t="s">
        <v>131</v>
      </c>
      <c r="E27" s="246" t="s">
        <v>132</v>
      </c>
      <c r="F27" s="238" t="s">
        <v>56</v>
      </c>
      <c r="G27" s="239"/>
      <c r="H27" s="240"/>
      <c r="I27" s="240"/>
      <c r="J27" s="240"/>
      <c r="K27" s="240"/>
      <c r="L27" s="240"/>
      <c r="M27" s="240">
        <v>15</v>
      </c>
      <c r="N27" s="240">
        <v>600</v>
      </c>
      <c r="O27" s="240">
        <v>210</v>
      </c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>
        <v>100</v>
      </c>
      <c r="AF27" s="104">
        <v>1200</v>
      </c>
      <c r="AG27" s="104">
        <v>1152</v>
      </c>
      <c r="AH27" s="241"/>
      <c r="AI27" s="241"/>
      <c r="AJ27" s="241"/>
      <c r="AK27" s="242">
        <f t="shared" si="5"/>
        <v>115</v>
      </c>
      <c r="AL27" s="242">
        <f t="shared" si="5"/>
        <v>1800</v>
      </c>
      <c r="AM27" s="242">
        <f t="shared" si="5"/>
        <v>1362</v>
      </c>
      <c r="AN27" s="241"/>
      <c r="AO27" s="241"/>
      <c r="AP27" s="241"/>
      <c r="AQ27" s="241"/>
      <c r="AR27" s="241"/>
      <c r="AS27" s="241"/>
      <c r="AT27" s="241">
        <v>135</v>
      </c>
      <c r="AU27" s="241">
        <v>1960</v>
      </c>
      <c r="AV27" s="241">
        <v>1548.8</v>
      </c>
      <c r="AW27" s="241"/>
      <c r="AX27" s="241"/>
      <c r="AY27" s="241"/>
      <c r="AZ27" s="241"/>
      <c r="BA27" s="241"/>
      <c r="BB27" s="241"/>
      <c r="BC27" s="241"/>
      <c r="BD27" s="241"/>
      <c r="BE27" s="241"/>
      <c r="BF27" s="241">
        <v>125</v>
      </c>
      <c r="BG27" s="241">
        <v>2200</v>
      </c>
      <c r="BH27" s="241">
        <v>1526</v>
      </c>
      <c r="BI27" s="241"/>
      <c r="BJ27" s="241"/>
      <c r="BK27" s="241"/>
      <c r="BL27" s="241"/>
      <c r="BM27" s="241"/>
      <c r="BN27" s="241"/>
      <c r="BO27" s="241"/>
      <c r="BP27" s="241"/>
      <c r="BQ27" s="241"/>
      <c r="BR27" s="242">
        <f t="shared" si="6"/>
        <v>375</v>
      </c>
      <c r="BS27" s="242">
        <f t="shared" si="6"/>
        <v>5960</v>
      </c>
      <c r="BT27" s="242">
        <f t="shared" si="6"/>
        <v>4436.8</v>
      </c>
      <c r="BU27" s="104">
        <v>110</v>
      </c>
      <c r="BV27" s="104">
        <v>1360</v>
      </c>
      <c r="BW27" s="104">
        <v>1259.2</v>
      </c>
      <c r="BX27" s="104"/>
      <c r="BY27" s="104"/>
      <c r="BZ27" s="104"/>
      <c r="CA27" s="104"/>
      <c r="CB27" s="104"/>
      <c r="CC27" s="104"/>
      <c r="CD27" s="104">
        <v>130</v>
      </c>
      <c r="CE27" s="104">
        <v>1900</v>
      </c>
      <c r="CF27" s="104">
        <v>1488.8</v>
      </c>
      <c r="CG27" s="104"/>
      <c r="CH27" s="104"/>
      <c r="CI27" s="104"/>
      <c r="CJ27" s="104"/>
      <c r="CK27" s="104"/>
      <c r="CL27" s="104"/>
      <c r="CM27" s="104">
        <v>130</v>
      </c>
      <c r="CN27" s="104">
        <v>2300</v>
      </c>
      <c r="CO27" s="104">
        <v>1549.2</v>
      </c>
      <c r="CP27" s="143"/>
      <c r="CQ27" s="143"/>
      <c r="CR27" s="143"/>
      <c r="CS27" s="104">
        <v>60</v>
      </c>
      <c r="CT27" s="104">
        <v>1140</v>
      </c>
      <c r="CU27" s="104">
        <v>678</v>
      </c>
      <c r="CV27" s="241"/>
      <c r="CW27" s="241"/>
      <c r="CX27" s="241"/>
      <c r="CY27" s="241"/>
      <c r="CZ27" s="241"/>
      <c r="DA27" s="241"/>
      <c r="DB27" s="242">
        <f t="shared" si="4"/>
        <v>805</v>
      </c>
      <c r="DC27" s="242">
        <f t="shared" si="4"/>
        <v>12660</v>
      </c>
      <c r="DD27" s="242">
        <f t="shared" si="4"/>
        <v>9412</v>
      </c>
      <c r="DG27" s="243"/>
      <c r="DH27" s="244"/>
      <c r="DI27" s="244"/>
      <c r="DJ27" s="244"/>
    </row>
    <row r="28" spans="1:116" ht="20.100000000000001" customHeight="1" x14ac:dyDescent="0.6">
      <c r="A28" s="234">
        <v>25</v>
      </c>
      <c r="B28" s="245" t="s">
        <v>133</v>
      </c>
      <c r="C28" s="234" t="s">
        <v>134</v>
      </c>
      <c r="D28" s="246" t="s">
        <v>94</v>
      </c>
      <c r="E28" s="246" t="s">
        <v>95</v>
      </c>
      <c r="F28" s="238" t="s">
        <v>56</v>
      </c>
      <c r="G28" s="239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>
        <v>230</v>
      </c>
      <c r="T28" s="240">
        <v>2860</v>
      </c>
      <c r="U28" s="240">
        <v>2608</v>
      </c>
      <c r="V28" s="240"/>
      <c r="W28" s="240"/>
      <c r="X28" s="240"/>
      <c r="Y28" s="240"/>
      <c r="Z28" s="240"/>
      <c r="AA28" s="240"/>
      <c r="AB28" s="240"/>
      <c r="AC28" s="240"/>
      <c r="AD28" s="240"/>
      <c r="AE28" s="240">
        <v>225</v>
      </c>
      <c r="AF28" s="104">
        <v>3500</v>
      </c>
      <c r="AG28" s="104">
        <v>2598</v>
      </c>
      <c r="AH28" s="241"/>
      <c r="AI28" s="241"/>
      <c r="AJ28" s="241"/>
      <c r="AK28" s="242">
        <f t="shared" si="5"/>
        <v>455</v>
      </c>
      <c r="AL28" s="242">
        <f t="shared" si="5"/>
        <v>6360</v>
      </c>
      <c r="AM28" s="242">
        <f t="shared" si="5"/>
        <v>5206</v>
      </c>
      <c r="AN28" s="241"/>
      <c r="AO28" s="241"/>
      <c r="AP28" s="241"/>
      <c r="AQ28" s="241"/>
      <c r="AR28" s="241"/>
      <c r="AS28" s="241"/>
      <c r="AT28" s="241">
        <v>150</v>
      </c>
      <c r="AU28" s="241">
        <v>2000</v>
      </c>
      <c r="AV28" s="241">
        <v>1496</v>
      </c>
      <c r="AW28" s="241"/>
      <c r="AX28" s="241"/>
      <c r="AY28" s="241"/>
      <c r="AZ28" s="241">
        <v>130</v>
      </c>
      <c r="BA28" s="241">
        <v>1560</v>
      </c>
      <c r="BB28" s="241">
        <v>1560</v>
      </c>
      <c r="BC28" s="241"/>
      <c r="BD28" s="241"/>
      <c r="BE28" s="241"/>
      <c r="BF28" s="241"/>
      <c r="BG28" s="241"/>
      <c r="BH28" s="241"/>
      <c r="BI28" s="241"/>
      <c r="BJ28" s="241"/>
      <c r="BK28" s="241"/>
      <c r="BL28" s="241">
        <v>150</v>
      </c>
      <c r="BM28" s="241">
        <v>1900</v>
      </c>
      <c r="BN28" s="241">
        <v>1648</v>
      </c>
      <c r="BO28" s="241"/>
      <c r="BP28" s="241"/>
      <c r="BQ28" s="241"/>
      <c r="BR28" s="242">
        <f t="shared" si="6"/>
        <v>885</v>
      </c>
      <c r="BS28" s="242">
        <f t="shared" si="6"/>
        <v>11820</v>
      </c>
      <c r="BT28" s="242">
        <f t="shared" si="6"/>
        <v>9910</v>
      </c>
      <c r="BU28" s="104"/>
      <c r="BV28" s="104"/>
      <c r="BW28" s="104"/>
      <c r="BX28" s="104">
        <v>180</v>
      </c>
      <c r="BY28" s="104">
        <v>2260</v>
      </c>
      <c r="BZ28" s="104">
        <v>2008</v>
      </c>
      <c r="CA28" s="104"/>
      <c r="CB28" s="104"/>
      <c r="CC28" s="104"/>
      <c r="CD28" s="104">
        <v>205</v>
      </c>
      <c r="CE28" s="104">
        <v>3260</v>
      </c>
      <c r="CF28" s="104">
        <v>2358</v>
      </c>
      <c r="CG28" s="104"/>
      <c r="CH28" s="104"/>
      <c r="CI28" s="104"/>
      <c r="CJ28" s="104"/>
      <c r="CK28" s="104"/>
      <c r="CL28" s="104"/>
      <c r="CM28" s="104"/>
      <c r="CN28" s="104"/>
      <c r="CO28" s="104"/>
      <c r="CP28" s="143"/>
      <c r="CQ28" s="143"/>
      <c r="CR28" s="143"/>
      <c r="CS28" s="104">
        <v>180</v>
      </c>
      <c r="CT28" s="104">
        <v>2360</v>
      </c>
      <c r="CU28" s="104">
        <v>1856</v>
      </c>
      <c r="CV28" s="241"/>
      <c r="CW28" s="241"/>
      <c r="CX28" s="241"/>
      <c r="CY28" s="241"/>
      <c r="CZ28" s="241"/>
      <c r="DA28" s="241"/>
      <c r="DB28" s="242">
        <f t="shared" si="4"/>
        <v>1450</v>
      </c>
      <c r="DC28" s="242">
        <f t="shared" si="4"/>
        <v>19700</v>
      </c>
      <c r="DD28" s="242">
        <f t="shared" si="4"/>
        <v>16132</v>
      </c>
      <c r="DG28" s="243"/>
      <c r="DH28" s="244"/>
      <c r="DI28" s="244"/>
      <c r="DJ28" s="244"/>
    </row>
    <row r="29" spans="1:116" ht="20.100000000000001" customHeight="1" x14ac:dyDescent="0.6">
      <c r="A29" s="234">
        <v>26</v>
      </c>
      <c r="B29" s="245" t="s">
        <v>135</v>
      </c>
      <c r="C29" s="234" t="s">
        <v>136</v>
      </c>
      <c r="D29" s="246" t="s">
        <v>137</v>
      </c>
      <c r="E29" s="246" t="s">
        <v>138</v>
      </c>
      <c r="F29" s="238" t="s">
        <v>56</v>
      </c>
      <c r="G29" s="239"/>
      <c r="H29" s="240"/>
      <c r="I29" s="240"/>
      <c r="J29" s="240"/>
      <c r="K29" s="240"/>
      <c r="L29" s="240"/>
      <c r="M29" s="240">
        <v>500</v>
      </c>
      <c r="N29" s="240">
        <v>7560</v>
      </c>
      <c r="O29" s="240">
        <v>5315.2</v>
      </c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104"/>
      <c r="AG29" s="104"/>
      <c r="AH29" s="241"/>
      <c r="AI29" s="241"/>
      <c r="AJ29" s="241"/>
      <c r="AK29" s="242">
        <f t="shared" si="5"/>
        <v>500</v>
      </c>
      <c r="AL29" s="242">
        <f t="shared" si="5"/>
        <v>7560</v>
      </c>
      <c r="AM29" s="242">
        <f t="shared" si="5"/>
        <v>5315.2</v>
      </c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>
        <v>560</v>
      </c>
      <c r="BM29" s="241">
        <v>7680</v>
      </c>
      <c r="BN29" s="241">
        <v>6104</v>
      </c>
      <c r="BO29" s="241"/>
      <c r="BP29" s="241"/>
      <c r="BQ29" s="241"/>
      <c r="BR29" s="242">
        <f t="shared" si="6"/>
        <v>1060</v>
      </c>
      <c r="BS29" s="242">
        <f t="shared" si="6"/>
        <v>15240</v>
      </c>
      <c r="BT29" s="242">
        <f t="shared" si="6"/>
        <v>11419.2</v>
      </c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43"/>
      <c r="CQ29" s="143"/>
      <c r="CR29" s="143"/>
      <c r="CS29" s="104"/>
      <c r="CT29" s="104"/>
      <c r="CU29" s="104"/>
      <c r="CV29" s="241"/>
      <c r="CW29" s="241"/>
      <c r="CX29" s="241"/>
      <c r="CY29" s="241"/>
      <c r="CZ29" s="241"/>
      <c r="DA29" s="241"/>
      <c r="DB29" s="242">
        <f t="shared" si="4"/>
        <v>1060</v>
      </c>
      <c r="DC29" s="242">
        <f t="shared" si="4"/>
        <v>15240</v>
      </c>
      <c r="DD29" s="242">
        <f t="shared" si="4"/>
        <v>11419.2</v>
      </c>
      <c r="DG29" s="243"/>
      <c r="DH29" s="244"/>
      <c r="DI29" s="244"/>
      <c r="DJ29" s="244"/>
    </row>
    <row r="30" spans="1:116" ht="20.100000000000001" customHeight="1" x14ac:dyDescent="0.6">
      <c r="A30" s="234">
        <v>27</v>
      </c>
      <c r="B30" s="245" t="s">
        <v>139</v>
      </c>
      <c r="C30" s="234" t="s">
        <v>140</v>
      </c>
      <c r="D30" s="246" t="s">
        <v>141</v>
      </c>
      <c r="E30" s="246" t="s">
        <v>142</v>
      </c>
      <c r="F30" s="238" t="s">
        <v>56</v>
      </c>
      <c r="G30" s="239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>
        <v>350</v>
      </c>
      <c r="AC30" s="240">
        <v>4400</v>
      </c>
      <c r="AD30" s="240">
        <v>3896</v>
      </c>
      <c r="AE30" s="240"/>
      <c r="AF30" s="104"/>
      <c r="AG30" s="104"/>
      <c r="AH30" s="241"/>
      <c r="AI30" s="241"/>
      <c r="AJ30" s="241"/>
      <c r="AK30" s="242">
        <f t="shared" si="5"/>
        <v>350</v>
      </c>
      <c r="AL30" s="242">
        <f t="shared" si="5"/>
        <v>4400</v>
      </c>
      <c r="AM30" s="242">
        <f t="shared" si="5"/>
        <v>3896</v>
      </c>
      <c r="AN30" s="241"/>
      <c r="AO30" s="241"/>
      <c r="AP30" s="241"/>
      <c r="AQ30" s="241"/>
      <c r="AR30" s="241"/>
      <c r="AS30" s="241"/>
      <c r="AT30" s="241"/>
      <c r="AU30" s="241"/>
      <c r="AV30" s="241"/>
      <c r="AW30" s="241">
        <v>380</v>
      </c>
      <c r="AX30" s="241">
        <v>5500</v>
      </c>
      <c r="AY30" s="241">
        <v>4348</v>
      </c>
      <c r="AZ30" s="241">
        <v>50</v>
      </c>
      <c r="BA30" s="241">
        <v>600</v>
      </c>
      <c r="BB30" s="241">
        <v>600</v>
      </c>
      <c r="BC30" s="241"/>
      <c r="BD30" s="241"/>
      <c r="BE30" s="241"/>
      <c r="BF30" s="241"/>
      <c r="BG30" s="241"/>
      <c r="BH30" s="241"/>
      <c r="BI30" s="241"/>
      <c r="BJ30" s="241"/>
      <c r="BK30" s="241"/>
      <c r="BL30" s="241">
        <v>60</v>
      </c>
      <c r="BM30" s="241">
        <v>780</v>
      </c>
      <c r="BN30" s="241">
        <v>628.79999999999995</v>
      </c>
      <c r="BO30" s="241"/>
      <c r="BP30" s="241"/>
      <c r="BQ30" s="241"/>
      <c r="BR30" s="242">
        <f t="shared" si="6"/>
        <v>840</v>
      </c>
      <c r="BS30" s="242">
        <f t="shared" si="6"/>
        <v>11280</v>
      </c>
      <c r="BT30" s="242">
        <f t="shared" si="6"/>
        <v>9472.7999999999993</v>
      </c>
      <c r="BU30" s="104"/>
      <c r="BV30" s="104"/>
      <c r="BW30" s="104"/>
      <c r="BX30" s="104">
        <v>340</v>
      </c>
      <c r="BY30" s="104">
        <v>5000</v>
      </c>
      <c r="BZ30" s="104">
        <v>4018.4</v>
      </c>
      <c r="CA30" s="104"/>
      <c r="CB30" s="104"/>
      <c r="CC30" s="104"/>
      <c r="CD30" s="104"/>
      <c r="CE30" s="104"/>
      <c r="CF30" s="104"/>
      <c r="CG30" s="104"/>
      <c r="CH30" s="104"/>
      <c r="CI30" s="104"/>
      <c r="CJ30" s="104">
        <v>50</v>
      </c>
      <c r="CK30" s="104">
        <v>600</v>
      </c>
      <c r="CL30" s="104">
        <v>600</v>
      </c>
      <c r="CM30" s="104"/>
      <c r="CN30" s="104"/>
      <c r="CO30" s="104"/>
      <c r="CP30" s="143"/>
      <c r="CQ30" s="143"/>
      <c r="CR30" s="143"/>
      <c r="CS30" s="104"/>
      <c r="CT30" s="104"/>
      <c r="CU30" s="104"/>
      <c r="CV30" s="241"/>
      <c r="CW30" s="241"/>
      <c r="CX30" s="241"/>
      <c r="CY30" s="241">
        <v>500</v>
      </c>
      <c r="CZ30" s="241">
        <v>6940</v>
      </c>
      <c r="DA30" s="241">
        <v>5800</v>
      </c>
      <c r="DB30" s="242">
        <f t="shared" si="4"/>
        <v>1730</v>
      </c>
      <c r="DC30" s="242">
        <f t="shared" si="4"/>
        <v>23820</v>
      </c>
      <c r="DD30" s="242">
        <f t="shared" si="4"/>
        <v>19891.199999999997</v>
      </c>
      <c r="DG30" s="243"/>
      <c r="DH30" s="244"/>
      <c r="DI30" s="244"/>
      <c r="DJ30" s="244"/>
    </row>
    <row r="31" spans="1:116" ht="20.100000000000001" customHeight="1" x14ac:dyDescent="0.6">
      <c r="A31" s="234">
        <v>28</v>
      </c>
      <c r="B31" s="245" t="s">
        <v>143</v>
      </c>
      <c r="C31" s="234" t="s">
        <v>144</v>
      </c>
      <c r="D31" s="246" t="s">
        <v>145</v>
      </c>
      <c r="E31" s="246" t="s">
        <v>146</v>
      </c>
      <c r="F31" s="238" t="s">
        <v>56</v>
      </c>
      <c r="G31" s="239"/>
      <c r="H31" s="240"/>
      <c r="I31" s="240"/>
      <c r="J31" s="240"/>
      <c r="K31" s="240"/>
      <c r="L31" s="240"/>
      <c r="M31" s="240">
        <v>190</v>
      </c>
      <c r="N31" s="240">
        <v>2920</v>
      </c>
      <c r="O31" s="240">
        <v>2099.1999999999998</v>
      </c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>
        <v>30</v>
      </c>
      <c r="AC31" s="240">
        <v>420</v>
      </c>
      <c r="AD31" s="240">
        <v>268.8</v>
      </c>
      <c r="AE31" s="240"/>
      <c r="AF31" s="104"/>
      <c r="AG31" s="104"/>
      <c r="AH31" s="241"/>
      <c r="AI31" s="241"/>
      <c r="AJ31" s="241"/>
      <c r="AK31" s="242">
        <f t="shared" si="5"/>
        <v>220</v>
      </c>
      <c r="AL31" s="242">
        <f t="shared" si="5"/>
        <v>3340</v>
      </c>
      <c r="AM31" s="242">
        <f t="shared" si="5"/>
        <v>2368</v>
      </c>
      <c r="AN31" s="241"/>
      <c r="AO31" s="241"/>
      <c r="AP31" s="241"/>
      <c r="AQ31" s="241">
        <v>350</v>
      </c>
      <c r="AR31" s="241">
        <v>4860</v>
      </c>
      <c r="AS31" s="241">
        <v>3376.7999999999997</v>
      </c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  <c r="BD31" s="241"/>
      <c r="BE31" s="241"/>
      <c r="BF31" s="241">
        <v>100</v>
      </c>
      <c r="BG31" s="241">
        <v>1200</v>
      </c>
      <c r="BH31" s="241">
        <v>1200</v>
      </c>
      <c r="BI31" s="241"/>
      <c r="BJ31" s="241"/>
      <c r="BK31" s="241"/>
      <c r="BL31" s="241">
        <v>30</v>
      </c>
      <c r="BM31" s="241">
        <v>420</v>
      </c>
      <c r="BN31" s="241">
        <v>268.8</v>
      </c>
      <c r="BO31" s="241">
        <v>30</v>
      </c>
      <c r="BP31" s="241">
        <v>380</v>
      </c>
      <c r="BQ31" s="241">
        <v>329.6</v>
      </c>
      <c r="BR31" s="242">
        <f t="shared" si="6"/>
        <v>730</v>
      </c>
      <c r="BS31" s="242">
        <f t="shared" si="6"/>
        <v>10200</v>
      </c>
      <c r="BT31" s="242">
        <f t="shared" si="6"/>
        <v>7543.2</v>
      </c>
      <c r="BU31" s="104"/>
      <c r="BV31" s="104"/>
      <c r="BW31" s="104"/>
      <c r="BX31" s="104">
        <v>50</v>
      </c>
      <c r="BY31" s="104">
        <v>700</v>
      </c>
      <c r="BZ31" s="104">
        <v>448</v>
      </c>
      <c r="CA31" s="104">
        <v>210</v>
      </c>
      <c r="CB31" s="104">
        <v>3080</v>
      </c>
      <c r="CC31" s="104">
        <v>2131.6</v>
      </c>
      <c r="CD31" s="104"/>
      <c r="CE31" s="104"/>
      <c r="CF31" s="104"/>
      <c r="CG31" s="104"/>
      <c r="CH31" s="104"/>
      <c r="CI31" s="104"/>
      <c r="CJ31" s="104"/>
      <c r="CK31" s="104"/>
      <c r="CL31" s="104"/>
      <c r="CM31" s="104">
        <v>130</v>
      </c>
      <c r="CN31" s="104">
        <v>1720</v>
      </c>
      <c r="CO31" s="104">
        <v>1316.8000000000002</v>
      </c>
      <c r="CP31" s="143">
        <v>30</v>
      </c>
      <c r="CQ31" s="143">
        <v>380</v>
      </c>
      <c r="CR31" s="143">
        <v>329.6</v>
      </c>
      <c r="CS31" s="104"/>
      <c r="CT31" s="104"/>
      <c r="CU31" s="104"/>
      <c r="CV31" s="241"/>
      <c r="CW31" s="241"/>
      <c r="CX31" s="241"/>
      <c r="CY31" s="241"/>
      <c r="CZ31" s="241"/>
      <c r="DA31" s="241"/>
      <c r="DB31" s="242">
        <f t="shared" si="4"/>
        <v>1150</v>
      </c>
      <c r="DC31" s="242">
        <f t="shared" si="4"/>
        <v>16080</v>
      </c>
      <c r="DD31" s="242">
        <f t="shared" si="4"/>
        <v>11769.199999999999</v>
      </c>
      <c r="DG31" s="243"/>
      <c r="DH31" s="244"/>
      <c r="DI31" s="244"/>
      <c r="DJ31" s="244"/>
    </row>
    <row r="32" spans="1:116" ht="20.100000000000001" customHeight="1" x14ac:dyDescent="0.6">
      <c r="A32" s="234">
        <v>29</v>
      </c>
      <c r="B32" s="245" t="s">
        <v>147</v>
      </c>
      <c r="C32" s="234" t="s">
        <v>148</v>
      </c>
      <c r="D32" s="246" t="s">
        <v>123</v>
      </c>
      <c r="E32" s="246" t="s">
        <v>124</v>
      </c>
      <c r="F32" s="238" t="s">
        <v>56</v>
      </c>
      <c r="G32" s="239"/>
      <c r="H32" s="240"/>
      <c r="I32" s="240"/>
      <c r="J32" s="240"/>
      <c r="K32" s="240"/>
      <c r="L32" s="240"/>
      <c r="M32" s="240">
        <v>105</v>
      </c>
      <c r="N32" s="240">
        <v>1580</v>
      </c>
      <c r="O32" s="240">
        <v>1219.1999999999998</v>
      </c>
      <c r="P32" s="240"/>
      <c r="Q32" s="240"/>
      <c r="R32" s="240"/>
      <c r="S32" s="240"/>
      <c r="T32" s="240"/>
      <c r="U32" s="240"/>
      <c r="V32" s="240">
        <v>50</v>
      </c>
      <c r="W32" s="240">
        <v>900</v>
      </c>
      <c r="X32" s="240">
        <v>589.6</v>
      </c>
      <c r="Y32" s="240"/>
      <c r="Z32" s="240"/>
      <c r="AA32" s="240"/>
      <c r="AB32" s="240">
        <v>60</v>
      </c>
      <c r="AC32" s="240">
        <v>720</v>
      </c>
      <c r="AD32" s="240">
        <v>720</v>
      </c>
      <c r="AE32" s="240">
        <v>85</v>
      </c>
      <c r="AF32" s="104">
        <v>1330</v>
      </c>
      <c r="AG32" s="104">
        <v>994.4</v>
      </c>
      <c r="AH32" s="241"/>
      <c r="AI32" s="241"/>
      <c r="AJ32" s="241"/>
      <c r="AK32" s="242">
        <f t="shared" si="5"/>
        <v>300</v>
      </c>
      <c r="AL32" s="242">
        <f t="shared" si="5"/>
        <v>4530</v>
      </c>
      <c r="AM32" s="242">
        <f t="shared" si="5"/>
        <v>3523.2</v>
      </c>
      <c r="AN32" s="241"/>
      <c r="AO32" s="241"/>
      <c r="AP32" s="241"/>
      <c r="AQ32" s="241"/>
      <c r="AR32" s="241"/>
      <c r="AS32" s="241"/>
      <c r="AT32" s="241">
        <v>15</v>
      </c>
      <c r="AU32" s="241">
        <v>600</v>
      </c>
      <c r="AV32" s="241">
        <v>210</v>
      </c>
      <c r="AW32" s="241"/>
      <c r="AX32" s="241"/>
      <c r="AY32" s="241"/>
      <c r="AZ32" s="241">
        <v>60</v>
      </c>
      <c r="BA32" s="241">
        <v>720</v>
      </c>
      <c r="BB32" s="241">
        <v>720</v>
      </c>
      <c r="BC32" s="241">
        <v>80</v>
      </c>
      <c r="BD32" s="241">
        <v>1000</v>
      </c>
      <c r="BE32" s="241">
        <v>899.2</v>
      </c>
      <c r="BF32" s="241"/>
      <c r="BG32" s="241"/>
      <c r="BH32" s="241"/>
      <c r="BI32" s="241"/>
      <c r="BJ32" s="241"/>
      <c r="BK32" s="241"/>
      <c r="BL32" s="241">
        <v>50</v>
      </c>
      <c r="BM32" s="241">
        <v>620</v>
      </c>
      <c r="BN32" s="241">
        <v>569.6</v>
      </c>
      <c r="BO32" s="241"/>
      <c r="BP32" s="241"/>
      <c r="BQ32" s="241"/>
      <c r="BR32" s="242">
        <f t="shared" si="6"/>
        <v>505</v>
      </c>
      <c r="BS32" s="242">
        <f t="shared" si="6"/>
        <v>7470</v>
      </c>
      <c r="BT32" s="242">
        <f t="shared" si="6"/>
        <v>5922</v>
      </c>
      <c r="BU32" s="104">
        <v>65</v>
      </c>
      <c r="BV32" s="104">
        <v>1200</v>
      </c>
      <c r="BW32" s="104">
        <v>810</v>
      </c>
      <c r="BX32" s="104"/>
      <c r="BY32" s="104"/>
      <c r="BZ32" s="240"/>
      <c r="CA32" s="104"/>
      <c r="CB32" s="104"/>
      <c r="CC32" s="104"/>
      <c r="CD32" s="104">
        <v>40</v>
      </c>
      <c r="CE32" s="104">
        <v>500</v>
      </c>
      <c r="CF32" s="104">
        <v>449.6</v>
      </c>
      <c r="CG32" s="104"/>
      <c r="CH32" s="104"/>
      <c r="CI32" s="104"/>
      <c r="CJ32" s="104">
        <v>40</v>
      </c>
      <c r="CK32" s="104">
        <v>500</v>
      </c>
      <c r="CL32" s="104">
        <v>449.6</v>
      </c>
      <c r="CM32" s="104">
        <v>30</v>
      </c>
      <c r="CN32" s="104">
        <v>360</v>
      </c>
      <c r="CO32" s="104">
        <v>312</v>
      </c>
      <c r="CP32" s="143"/>
      <c r="CQ32" s="143"/>
      <c r="CR32" s="143"/>
      <c r="CS32" s="104">
        <v>80</v>
      </c>
      <c r="CT32" s="104">
        <v>1400</v>
      </c>
      <c r="CU32" s="104">
        <v>959.6</v>
      </c>
      <c r="CV32" s="241"/>
      <c r="CW32" s="241"/>
      <c r="CX32" s="241"/>
      <c r="CY32" s="241">
        <v>65</v>
      </c>
      <c r="CZ32" s="241">
        <v>780</v>
      </c>
      <c r="DA32" s="241">
        <v>780</v>
      </c>
      <c r="DB32" s="242">
        <f t="shared" si="4"/>
        <v>825</v>
      </c>
      <c r="DC32" s="242">
        <f t="shared" si="4"/>
        <v>12210</v>
      </c>
      <c r="DD32" s="242">
        <f t="shared" si="4"/>
        <v>9682.8000000000011</v>
      </c>
      <c r="DG32" s="243"/>
      <c r="DH32" s="244"/>
      <c r="DI32" s="244"/>
      <c r="DJ32" s="244"/>
    </row>
    <row r="33" spans="1:114" ht="20.100000000000001" customHeight="1" x14ac:dyDescent="0.6">
      <c r="A33" s="234">
        <v>30</v>
      </c>
      <c r="B33" s="245" t="s">
        <v>149</v>
      </c>
      <c r="C33" s="234" t="s">
        <v>150</v>
      </c>
      <c r="D33" s="246" t="s">
        <v>151</v>
      </c>
      <c r="E33" s="246" t="s">
        <v>152</v>
      </c>
      <c r="F33" s="238" t="s">
        <v>56</v>
      </c>
      <c r="G33" s="239"/>
      <c r="H33" s="240"/>
      <c r="I33" s="240"/>
      <c r="J33" s="240"/>
      <c r="K33" s="240"/>
      <c r="L33" s="240"/>
      <c r="M33" s="240">
        <v>120</v>
      </c>
      <c r="N33" s="240">
        <v>1820</v>
      </c>
      <c r="O33" s="240">
        <v>1260</v>
      </c>
      <c r="P33" s="240"/>
      <c r="Q33" s="240"/>
      <c r="R33" s="240"/>
      <c r="S33" s="240"/>
      <c r="T33" s="240"/>
      <c r="U33" s="240"/>
      <c r="V33" s="240">
        <v>140</v>
      </c>
      <c r="W33" s="240">
        <v>2340</v>
      </c>
      <c r="X33" s="240">
        <v>1472</v>
      </c>
      <c r="Y33" s="240"/>
      <c r="Z33" s="240"/>
      <c r="AA33" s="240"/>
      <c r="AB33" s="240"/>
      <c r="AC33" s="240"/>
      <c r="AD33" s="240"/>
      <c r="AE33" s="240"/>
      <c r="AF33" s="104"/>
      <c r="AG33" s="104"/>
      <c r="AH33" s="241"/>
      <c r="AI33" s="241"/>
      <c r="AJ33" s="241"/>
      <c r="AK33" s="242">
        <f t="shared" si="5"/>
        <v>260</v>
      </c>
      <c r="AL33" s="242">
        <f t="shared" si="5"/>
        <v>4160</v>
      </c>
      <c r="AM33" s="242">
        <f t="shared" si="5"/>
        <v>2732</v>
      </c>
      <c r="AN33" s="241"/>
      <c r="AO33" s="241"/>
      <c r="AP33" s="241"/>
      <c r="AQ33" s="241"/>
      <c r="AR33" s="241"/>
      <c r="AS33" s="241"/>
      <c r="AT33" s="241">
        <v>135</v>
      </c>
      <c r="AU33" s="241">
        <v>2000</v>
      </c>
      <c r="AV33" s="241">
        <v>1440</v>
      </c>
      <c r="AW33" s="241"/>
      <c r="AX33" s="241"/>
      <c r="AY33" s="241"/>
      <c r="AZ33" s="241"/>
      <c r="BA33" s="241"/>
      <c r="BB33" s="241"/>
      <c r="BC33" s="241"/>
      <c r="BD33" s="241"/>
      <c r="BE33" s="241"/>
      <c r="BF33" s="241">
        <v>105</v>
      </c>
      <c r="BG33" s="241">
        <v>1620</v>
      </c>
      <c r="BH33" s="241">
        <v>1140.4000000000001</v>
      </c>
      <c r="BI33" s="241"/>
      <c r="BJ33" s="241"/>
      <c r="BK33" s="241"/>
      <c r="BL33" s="241"/>
      <c r="BM33" s="241"/>
      <c r="BN33" s="241"/>
      <c r="BO33" s="241">
        <v>184</v>
      </c>
      <c r="BP33" s="241">
        <v>2588</v>
      </c>
      <c r="BQ33" s="241">
        <v>2076</v>
      </c>
      <c r="BR33" s="242">
        <f t="shared" si="6"/>
        <v>684</v>
      </c>
      <c r="BS33" s="242">
        <f t="shared" si="6"/>
        <v>10368</v>
      </c>
      <c r="BT33" s="242">
        <f t="shared" si="6"/>
        <v>7388.4</v>
      </c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>
        <v>240</v>
      </c>
      <c r="CK33" s="104">
        <v>3640</v>
      </c>
      <c r="CL33" s="104">
        <v>2520</v>
      </c>
      <c r="CM33" s="104"/>
      <c r="CN33" s="104"/>
      <c r="CO33" s="104"/>
      <c r="CP33" s="143"/>
      <c r="CQ33" s="143"/>
      <c r="CR33" s="143"/>
      <c r="CS33" s="104"/>
      <c r="CT33" s="104"/>
      <c r="CU33" s="104"/>
      <c r="CV33" s="241"/>
      <c r="CW33" s="241"/>
      <c r="CX33" s="241"/>
      <c r="CY33" s="241"/>
      <c r="CZ33" s="241"/>
      <c r="DA33" s="241"/>
      <c r="DB33" s="242">
        <f t="shared" si="4"/>
        <v>924</v>
      </c>
      <c r="DC33" s="242">
        <f t="shared" si="4"/>
        <v>14008</v>
      </c>
      <c r="DD33" s="242">
        <f t="shared" si="4"/>
        <v>9908.4</v>
      </c>
      <c r="DG33" s="243"/>
      <c r="DH33" s="244"/>
      <c r="DI33" s="244"/>
      <c r="DJ33" s="244"/>
    </row>
    <row r="34" spans="1:114" ht="20.100000000000001" customHeight="1" x14ac:dyDescent="0.6">
      <c r="A34" s="234">
        <v>31</v>
      </c>
      <c r="B34" s="245" t="s">
        <v>153</v>
      </c>
      <c r="C34" s="234" t="s">
        <v>154</v>
      </c>
      <c r="D34" s="246" t="s">
        <v>116</v>
      </c>
      <c r="E34" s="246" t="s">
        <v>117</v>
      </c>
      <c r="F34" s="238" t="s">
        <v>56</v>
      </c>
      <c r="G34" s="239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>
        <v>370</v>
      </c>
      <c r="Z34" s="240">
        <v>5210</v>
      </c>
      <c r="AA34" s="240">
        <v>3492.4</v>
      </c>
      <c r="AB34" s="240"/>
      <c r="AC34" s="240"/>
      <c r="AD34" s="240"/>
      <c r="AE34" s="240"/>
      <c r="AF34" s="104"/>
      <c r="AG34" s="104"/>
      <c r="AH34" s="241"/>
      <c r="AI34" s="241"/>
      <c r="AJ34" s="241"/>
      <c r="AK34" s="242">
        <f t="shared" si="5"/>
        <v>370</v>
      </c>
      <c r="AL34" s="242">
        <f t="shared" si="5"/>
        <v>5210</v>
      </c>
      <c r="AM34" s="242">
        <f t="shared" si="5"/>
        <v>3492.4</v>
      </c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>
        <v>260</v>
      </c>
      <c r="BG34" s="241">
        <v>3750</v>
      </c>
      <c r="BH34" s="241">
        <v>2385.2000000000003</v>
      </c>
      <c r="BI34" s="241"/>
      <c r="BJ34" s="241"/>
      <c r="BK34" s="241"/>
      <c r="BL34" s="241"/>
      <c r="BM34" s="241"/>
      <c r="BN34" s="241"/>
      <c r="BO34" s="241"/>
      <c r="BP34" s="241"/>
      <c r="BQ34" s="241"/>
      <c r="BR34" s="242">
        <f t="shared" si="6"/>
        <v>630</v>
      </c>
      <c r="BS34" s="242">
        <f t="shared" si="6"/>
        <v>8960</v>
      </c>
      <c r="BT34" s="242">
        <f t="shared" si="6"/>
        <v>5877.6</v>
      </c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43"/>
      <c r="CQ34" s="143"/>
      <c r="CR34" s="143"/>
      <c r="CS34" s="104"/>
      <c r="CT34" s="104"/>
      <c r="CU34" s="104"/>
      <c r="CV34" s="241"/>
      <c r="CW34" s="241"/>
      <c r="CX34" s="241"/>
      <c r="CY34" s="241">
        <v>5</v>
      </c>
      <c r="CZ34" s="241">
        <v>60</v>
      </c>
      <c r="DA34" s="241">
        <v>60</v>
      </c>
      <c r="DB34" s="242">
        <f t="shared" si="4"/>
        <v>635</v>
      </c>
      <c r="DC34" s="242">
        <f t="shared" si="4"/>
        <v>9020</v>
      </c>
      <c r="DD34" s="242">
        <f t="shared" si="4"/>
        <v>5937.6</v>
      </c>
      <c r="DG34" s="243"/>
      <c r="DH34" s="244"/>
      <c r="DI34" s="244"/>
      <c r="DJ34" s="244"/>
    </row>
    <row r="35" spans="1:114" ht="20.100000000000001" customHeight="1" x14ac:dyDescent="0.6">
      <c r="A35" s="234">
        <v>32</v>
      </c>
      <c r="B35" s="245" t="s">
        <v>155</v>
      </c>
      <c r="C35" s="234" t="s">
        <v>156</v>
      </c>
      <c r="D35" s="246" t="s">
        <v>157</v>
      </c>
      <c r="E35" s="246" t="s">
        <v>158</v>
      </c>
      <c r="F35" s="238" t="s">
        <v>56</v>
      </c>
      <c r="G35" s="239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>
        <v>200</v>
      </c>
      <c r="W35" s="240">
        <v>2700</v>
      </c>
      <c r="X35" s="240">
        <v>1764</v>
      </c>
      <c r="Y35" s="240"/>
      <c r="Z35" s="240"/>
      <c r="AA35" s="240"/>
      <c r="AB35" s="240"/>
      <c r="AC35" s="240"/>
      <c r="AD35" s="240"/>
      <c r="AE35" s="240"/>
      <c r="AF35" s="104"/>
      <c r="AG35" s="104"/>
      <c r="AH35" s="241"/>
      <c r="AI35" s="241"/>
      <c r="AJ35" s="241"/>
      <c r="AK35" s="242">
        <f t="shared" si="5"/>
        <v>200</v>
      </c>
      <c r="AL35" s="242">
        <f t="shared" si="5"/>
        <v>2700</v>
      </c>
      <c r="AM35" s="242">
        <f t="shared" si="5"/>
        <v>1764</v>
      </c>
      <c r="AN35" s="241"/>
      <c r="AO35" s="241"/>
      <c r="AP35" s="241"/>
      <c r="AQ35" s="241">
        <v>200</v>
      </c>
      <c r="AR35" s="241">
        <v>2750</v>
      </c>
      <c r="AS35" s="241">
        <v>1868</v>
      </c>
      <c r="AT35" s="241"/>
      <c r="AU35" s="241"/>
      <c r="AV35" s="241"/>
      <c r="AW35" s="241"/>
      <c r="AX35" s="241"/>
      <c r="AY35" s="241"/>
      <c r="AZ35" s="241"/>
      <c r="BA35" s="241"/>
      <c r="BB35" s="241"/>
      <c r="BC35" s="241">
        <v>200</v>
      </c>
      <c r="BD35" s="241">
        <v>2800</v>
      </c>
      <c r="BE35" s="241">
        <v>1792</v>
      </c>
      <c r="BF35" s="241"/>
      <c r="BG35" s="241"/>
      <c r="BH35" s="241"/>
      <c r="BI35" s="241"/>
      <c r="BJ35" s="241"/>
      <c r="BK35" s="241"/>
      <c r="BL35" s="241">
        <v>200</v>
      </c>
      <c r="BM35" s="241">
        <v>2780</v>
      </c>
      <c r="BN35" s="241">
        <v>1822.4</v>
      </c>
      <c r="BO35" s="241"/>
      <c r="BP35" s="241"/>
      <c r="BQ35" s="241"/>
      <c r="BR35" s="242">
        <f t="shared" si="6"/>
        <v>800</v>
      </c>
      <c r="BS35" s="242">
        <f t="shared" si="6"/>
        <v>11030</v>
      </c>
      <c r="BT35" s="242">
        <f t="shared" si="6"/>
        <v>7246.4</v>
      </c>
      <c r="BU35" s="104"/>
      <c r="BV35" s="104"/>
      <c r="BW35" s="104"/>
      <c r="BX35" s="104"/>
      <c r="BY35" s="104"/>
      <c r="BZ35" s="104"/>
      <c r="CA35" s="105"/>
      <c r="CB35" s="105"/>
      <c r="CC35" s="105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43"/>
      <c r="CQ35" s="143"/>
      <c r="CR35" s="143"/>
      <c r="CS35" s="104">
        <v>200</v>
      </c>
      <c r="CT35" s="104">
        <v>2750</v>
      </c>
      <c r="CU35" s="104">
        <v>1868</v>
      </c>
      <c r="CV35" s="241"/>
      <c r="CW35" s="241"/>
      <c r="CX35" s="241"/>
      <c r="CY35" s="241"/>
      <c r="CZ35" s="241"/>
      <c r="DA35" s="241"/>
      <c r="DB35" s="242">
        <f t="shared" si="4"/>
        <v>1000</v>
      </c>
      <c r="DC35" s="242">
        <f t="shared" si="4"/>
        <v>13780</v>
      </c>
      <c r="DD35" s="242">
        <f t="shared" si="4"/>
        <v>9114.4</v>
      </c>
      <c r="DG35" s="243"/>
      <c r="DH35" s="244"/>
      <c r="DI35" s="244"/>
      <c r="DJ35" s="244"/>
    </row>
    <row r="36" spans="1:114" ht="20.100000000000001" customHeight="1" x14ac:dyDescent="0.6">
      <c r="A36" s="234">
        <v>33</v>
      </c>
      <c r="B36" s="245" t="s">
        <v>159</v>
      </c>
      <c r="C36" s="234" t="s">
        <v>160</v>
      </c>
      <c r="D36" s="245" t="s">
        <v>161</v>
      </c>
      <c r="E36" s="245" t="s">
        <v>61</v>
      </c>
      <c r="F36" s="238" t="s">
        <v>56</v>
      </c>
      <c r="G36" s="249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>
        <v>30</v>
      </c>
      <c r="W36" s="250">
        <v>420</v>
      </c>
      <c r="X36" s="250">
        <v>268.8</v>
      </c>
      <c r="Y36" s="250"/>
      <c r="Z36" s="250"/>
      <c r="AA36" s="250"/>
      <c r="AB36" s="250">
        <v>80</v>
      </c>
      <c r="AC36" s="250">
        <v>1020</v>
      </c>
      <c r="AD36" s="250">
        <v>868.8</v>
      </c>
      <c r="AE36" s="250"/>
      <c r="AF36" s="143"/>
      <c r="AG36" s="143"/>
      <c r="AH36" s="241"/>
      <c r="AI36" s="241"/>
      <c r="AJ36" s="241"/>
      <c r="AK36" s="242">
        <f t="shared" si="5"/>
        <v>110</v>
      </c>
      <c r="AL36" s="242">
        <f t="shared" si="5"/>
        <v>1440</v>
      </c>
      <c r="AM36" s="242">
        <f t="shared" si="5"/>
        <v>1137.5999999999999</v>
      </c>
      <c r="AN36" s="241"/>
      <c r="AO36" s="241"/>
      <c r="AP36" s="241"/>
      <c r="AQ36" s="241">
        <v>30</v>
      </c>
      <c r="AR36" s="241">
        <v>420</v>
      </c>
      <c r="AS36" s="241">
        <v>268.8</v>
      </c>
      <c r="AT36" s="241"/>
      <c r="AU36" s="241"/>
      <c r="AV36" s="241"/>
      <c r="AW36" s="241"/>
      <c r="AX36" s="241"/>
      <c r="AY36" s="241"/>
      <c r="AZ36" s="241"/>
      <c r="BA36" s="241"/>
      <c r="BB36" s="241"/>
      <c r="BC36" s="241">
        <v>80</v>
      </c>
      <c r="BD36" s="241">
        <v>1020</v>
      </c>
      <c r="BE36" s="241">
        <v>868.8</v>
      </c>
      <c r="BF36" s="241"/>
      <c r="BG36" s="241"/>
      <c r="BH36" s="241"/>
      <c r="BI36" s="241"/>
      <c r="BJ36" s="241"/>
      <c r="BK36" s="241"/>
      <c r="BL36" s="241"/>
      <c r="BM36" s="241"/>
      <c r="BN36" s="241"/>
      <c r="BO36" s="241">
        <v>60</v>
      </c>
      <c r="BP36" s="241">
        <v>780</v>
      </c>
      <c r="BQ36" s="241">
        <v>628.79999999999995</v>
      </c>
      <c r="BR36" s="242">
        <f t="shared" si="6"/>
        <v>280</v>
      </c>
      <c r="BS36" s="242">
        <f t="shared" si="6"/>
        <v>3660</v>
      </c>
      <c r="BT36" s="242">
        <f t="shared" si="6"/>
        <v>2904</v>
      </c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>
        <v>80</v>
      </c>
      <c r="CN36" s="143">
        <v>1020</v>
      </c>
      <c r="CO36" s="143">
        <v>868.8</v>
      </c>
      <c r="CP36" s="143"/>
      <c r="CQ36" s="143"/>
      <c r="CR36" s="143"/>
      <c r="CS36" s="143"/>
      <c r="CT36" s="143"/>
      <c r="CU36" s="143"/>
      <c r="CV36" s="241"/>
      <c r="CW36" s="241"/>
      <c r="CX36" s="241"/>
      <c r="CY36" s="241"/>
      <c r="CZ36" s="241"/>
      <c r="DA36" s="241"/>
      <c r="DB36" s="242">
        <f t="shared" si="4"/>
        <v>360</v>
      </c>
      <c r="DC36" s="242">
        <f t="shared" si="4"/>
        <v>4680</v>
      </c>
      <c r="DD36" s="242">
        <f t="shared" si="4"/>
        <v>3772.8</v>
      </c>
      <c r="DG36" s="243"/>
      <c r="DH36" s="244"/>
      <c r="DI36" s="244"/>
      <c r="DJ36" s="244"/>
    </row>
    <row r="37" spans="1:114" ht="20.100000000000001" customHeight="1" x14ac:dyDescent="0.6">
      <c r="A37" s="234">
        <v>34</v>
      </c>
      <c r="B37" s="245" t="s">
        <v>162</v>
      </c>
      <c r="C37" s="234" t="s">
        <v>163</v>
      </c>
      <c r="D37" s="246" t="s">
        <v>82</v>
      </c>
      <c r="E37" s="246" t="s">
        <v>83</v>
      </c>
      <c r="F37" s="238" t="s">
        <v>56</v>
      </c>
      <c r="G37" s="249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143"/>
      <c r="AG37" s="143"/>
      <c r="AH37" s="241"/>
      <c r="AI37" s="241"/>
      <c r="AJ37" s="241"/>
      <c r="AK37" s="242">
        <f t="shared" si="5"/>
        <v>0</v>
      </c>
      <c r="AL37" s="242">
        <f t="shared" si="5"/>
        <v>0</v>
      </c>
      <c r="AM37" s="242">
        <f t="shared" si="5"/>
        <v>0</v>
      </c>
      <c r="AN37" s="241"/>
      <c r="AO37" s="241"/>
      <c r="AP37" s="241"/>
      <c r="AQ37" s="241">
        <v>250</v>
      </c>
      <c r="AR37" s="241">
        <v>3000</v>
      </c>
      <c r="AS37" s="241">
        <v>3000</v>
      </c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>
        <v>255</v>
      </c>
      <c r="BG37" s="241">
        <v>3500</v>
      </c>
      <c r="BH37" s="241">
        <v>2614</v>
      </c>
      <c r="BI37" s="241"/>
      <c r="BJ37" s="241"/>
      <c r="BK37" s="241"/>
      <c r="BL37" s="241"/>
      <c r="BM37" s="241"/>
      <c r="BN37" s="241"/>
      <c r="BO37" s="241"/>
      <c r="BP37" s="241"/>
      <c r="BQ37" s="241"/>
      <c r="BR37" s="242">
        <f t="shared" si="6"/>
        <v>505</v>
      </c>
      <c r="BS37" s="242">
        <f t="shared" si="6"/>
        <v>6500</v>
      </c>
      <c r="BT37" s="242">
        <f t="shared" si="6"/>
        <v>5614</v>
      </c>
      <c r="BU37" s="143"/>
      <c r="BV37" s="143"/>
      <c r="BW37" s="143"/>
      <c r="BX37" s="143">
        <v>300</v>
      </c>
      <c r="BY37" s="143">
        <v>3600</v>
      </c>
      <c r="BZ37" s="143">
        <v>3600</v>
      </c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241"/>
      <c r="CW37" s="241"/>
      <c r="CX37" s="241"/>
      <c r="CY37" s="241"/>
      <c r="CZ37" s="241"/>
      <c r="DA37" s="241"/>
      <c r="DB37" s="242">
        <f t="shared" si="4"/>
        <v>805</v>
      </c>
      <c r="DC37" s="242">
        <f t="shared" si="4"/>
        <v>10100</v>
      </c>
      <c r="DD37" s="242">
        <f t="shared" si="4"/>
        <v>9214</v>
      </c>
      <c r="DG37" s="243"/>
      <c r="DH37" s="244"/>
      <c r="DI37" s="244"/>
      <c r="DJ37" s="244"/>
    </row>
    <row r="38" spans="1:114" ht="20.100000000000001" customHeight="1" x14ac:dyDescent="0.6">
      <c r="A38" s="234">
        <v>35</v>
      </c>
      <c r="B38" s="245" t="s">
        <v>164</v>
      </c>
      <c r="C38" s="234" t="s">
        <v>165</v>
      </c>
      <c r="D38" s="246" t="s">
        <v>116</v>
      </c>
      <c r="E38" s="246" t="s">
        <v>117</v>
      </c>
      <c r="F38" s="238" t="s">
        <v>56</v>
      </c>
      <c r="G38" s="239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104"/>
      <c r="AG38" s="104"/>
      <c r="AH38" s="241">
        <v>185</v>
      </c>
      <c r="AI38" s="241">
        <v>2540</v>
      </c>
      <c r="AJ38" s="241">
        <v>1715.6000000000001</v>
      </c>
      <c r="AK38" s="242">
        <f t="shared" si="5"/>
        <v>185</v>
      </c>
      <c r="AL38" s="242">
        <f t="shared" si="5"/>
        <v>2540</v>
      </c>
      <c r="AM38" s="242">
        <f t="shared" si="5"/>
        <v>1715.6000000000001</v>
      </c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/>
      <c r="BG38" s="241"/>
      <c r="BH38" s="241"/>
      <c r="BI38" s="241"/>
      <c r="BJ38" s="241"/>
      <c r="BK38" s="241"/>
      <c r="BL38" s="241"/>
      <c r="BM38" s="241"/>
      <c r="BN38" s="241"/>
      <c r="BO38" s="241">
        <v>270</v>
      </c>
      <c r="BP38" s="241">
        <v>3540</v>
      </c>
      <c r="BQ38" s="241">
        <v>2712</v>
      </c>
      <c r="BR38" s="242">
        <f t="shared" si="6"/>
        <v>455</v>
      </c>
      <c r="BS38" s="242">
        <f t="shared" si="6"/>
        <v>6080</v>
      </c>
      <c r="BT38" s="242">
        <f t="shared" si="6"/>
        <v>4427.6000000000004</v>
      </c>
      <c r="BU38" s="104"/>
      <c r="BV38" s="104"/>
      <c r="BW38" s="104"/>
      <c r="BX38" s="104"/>
      <c r="BY38" s="104"/>
      <c r="BZ38" s="104"/>
      <c r="CA38" s="104">
        <v>200</v>
      </c>
      <c r="CB38" s="104">
        <v>2700</v>
      </c>
      <c r="CC38" s="104">
        <v>1944</v>
      </c>
      <c r="CD38" s="104"/>
      <c r="CE38" s="104"/>
      <c r="CF38" s="104"/>
      <c r="CG38" s="104"/>
      <c r="CH38" s="104"/>
      <c r="CI38" s="104"/>
      <c r="CJ38" s="104"/>
      <c r="CK38" s="104"/>
      <c r="CL38" s="104"/>
      <c r="CM38" s="104">
        <v>270</v>
      </c>
      <c r="CN38" s="104">
        <v>3540</v>
      </c>
      <c r="CO38" s="104">
        <v>2712</v>
      </c>
      <c r="CP38" s="143"/>
      <c r="CQ38" s="143"/>
      <c r="CR38" s="143"/>
      <c r="CS38" s="104"/>
      <c r="CT38" s="104"/>
      <c r="CU38" s="104"/>
      <c r="CV38" s="241"/>
      <c r="CW38" s="241"/>
      <c r="CX38" s="241"/>
      <c r="CY38" s="241"/>
      <c r="CZ38" s="241"/>
      <c r="DA38" s="241"/>
      <c r="DB38" s="242">
        <f t="shared" si="4"/>
        <v>925</v>
      </c>
      <c r="DC38" s="242">
        <f t="shared" si="4"/>
        <v>12320</v>
      </c>
      <c r="DD38" s="242">
        <f t="shared" si="4"/>
        <v>9083.6</v>
      </c>
      <c r="DG38" s="243"/>
      <c r="DH38" s="244"/>
      <c r="DI38" s="244"/>
      <c r="DJ38" s="244"/>
    </row>
    <row r="39" spans="1:114" ht="20.100000000000001" customHeight="1" x14ac:dyDescent="0.6">
      <c r="A39" s="234">
        <v>36</v>
      </c>
      <c r="B39" s="245" t="s">
        <v>166</v>
      </c>
      <c r="C39" s="251" t="s">
        <v>167</v>
      </c>
      <c r="D39" s="246" t="s">
        <v>168</v>
      </c>
      <c r="E39" s="245" t="s">
        <v>169</v>
      </c>
      <c r="F39" s="238" t="s">
        <v>56</v>
      </c>
      <c r="G39" s="239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>
        <v>250</v>
      </c>
      <c r="AC39" s="240">
        <v>3630</v>
      </c>
      <c r="AD39" s="240">
        <v>2837.6</v>
      </c>
      <c r="AE39" s="240"/>
      <c r="AF39" s="104"/>
      <c r="AG39" s="104"/>
      <c r="AH39" s="241"/>
      <c r="AI39" s="241"/>
      <c r="AJ39" s="241"/>
      <c r="AK39" s="242">
        <f t="shared" si="5"/>
        <v>250</v>
      </c>
      <c r="AL39" s="242">
        <f t="shared" si="5"/>
        <v>3630</v>
      </c>
      <c r="AM39" s="242">
        <f t="shared" si="5"/>
        <v>2837.6</v>
      </c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>
        <v>70</v>
      </c>
      <c r="BA39" s="241">
        <v>840</v>
      </c>
      <c r="BB39" s="241">
        <v>840</v>
      </c>
      <c r="BC39" s="241"/>
      <c r="BD39" s="241"/>
      <c r="BE39" s="241"/>
      <c r="BF39" s="241">
        <v>250</v>
      </c>
      <c r="BG39" s="241">
        <v>3780</v>
      </c>
      <c r="BH39" s="241">
        <v>2808.4</v>
      </c>
      <c r="BI39" s="241"/>
      <c r="BJ39" s="241"/>
      <c r="BK39" s="241"/>
      <c r="BL39" s="241"/>
      <c r="BM39" s="241"/>
      <c r="BN39" s="241"/>
      <c r="BO39" s="241"/>
      <c r="BP39" s="241"/>
      <c r="BQ39" s="241"/>
      <c r="BR39" s="242">
        <f t="shared" si="6"/>
        <v>570</v>
      </c>
      <c r="BS39" s="242">
        <f t="shared" si="6"/>
        <v>8250</v>
      </c>
      <c r="BT39" s="242">
        <f t="shared" si="6"/>
        <v>6486</v>
      </c>
      <c r="BU39" s="104"/>
      <c r="BV39" s="104"/>
      <c r="BW39" s="104"/>
      <c r="BX39" s="104"/>
      <c r="BY39" s="104"/>
      <c r="BZ39" s="104"/>
      <c r="CA39" s="104">
        <v>250</v>
      </c>
      <c r="CB39" s="104">
        <v>4100</v>
      </c>
      <c r="CC39" s="104">
        <v>2839.6</v>
      </c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43"/>
      <c r="CQ39" s="143"/>
      <c r="CR39" s="143"/>
      <c r="CS39" s="104"/>
      <c r="CT39" s="104"/>
      <c r="CU39" s="104"/>
      <c r="CV39" s="241">
        <v>250</v>
      </c>
      <c r="CW39" s="241">
        <v>3560</v>
      </c>
      <c r="CX39" s="241">
        <v>2944</v>
      </c>
      <c r="CY39" s="241">
        <v>250</v>
      </c>
      <c r="CZ39" s="241">
        <v>3520</v>
      </c>
      <c r="DA39" s="241">
        <v>2830</v>
      </c>
      <c r="DB39" s="242">
        <f t="shared" si="4"/>
        <v>1320</v>
      </c>
      <c r="DC39" s="242">
        <f t="shared" si="4"/>
        <v>19430</v>
      </c>
      <c r="DD39" s="242">
        <f t="shared" si="4"/>
        <v>15099.6</v>
      </c>
      <c r="DG39" s="243"/>
      <c r="DH39" s="244"/>
      <c r="DI39" s="244"/>
      <c r="DJ39" s="244"/>
    </row>
    <row r="40" spans="1:114" ht="20.100000000000001" customHeight="1" x14ac:dyDescent="0.6">
      <c r="A40" s="234">
        <v>37</v>
      </c>
      <c r="B40" s="245" t="s">
        <v>170</v>
      </c>
      <c r="C40" s="234" t="s">
        <v>171</v>
      </c>
      <c r="D40" s="246" t="s">
        <v>172</v>
      </c>
      <c r="E40" s="246" t="s">
        <v>173</v>
      </c>
      <c r="F40" s="238" t="s">
        <v>56</v>
      </c>
      <c r="G40" s="239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104"/>
      <c r="AG40" s="104"/>
      <c r="AH40" s="241"/>
      <c r="AI40" s="241"/>
      <c r="AJ40" s="241"/>
      <c r="AK40" s="242">
        <f t="shared" si="5"/>
        <v>0</v>
      </c>
      <c r="AL40" s="242">
        <f t="shared" si="5"/>
        <v>0</v>
      </c>
      <c r="AM40" s="242">
        <f t="shared" si="5"/>
        <v>0</v>
      </c>
      <c r="AN40" s="241"/>
      <c r="AO40" s="241"/>
      <c r="AP40" s="241"/>
      <c r="AQ40" s="241">
        <v>103</v>
      </c>
      <c r="AR40" s="241">
        <v>1276</v>
      </c>
      <c r="AS40" s="241">
        <v>1164.4000000000001</v>
      </c>
      <c r="AT40" s="241"/>
      <c r="AU40" s="241"/>
      <c r="AV40" s="241"/>
      <c r="AW40" s="241"/>
      <c r="AX40" s="241"/>
      <c r="AY40" s="241"/>
      <c r="AZ40" s="241"/>
      <c r="BA40" s="241"/>
      <c r="BB40" s="241"/>
      <c r="BC40" s="241">
        <v>85</v>
      </c>
      <c r="BD40" s="241">
        <v>1060</v>
      </c>
      <c r="BE40" s="241">
        <v>959.2</v>
      </c>
      <c r="BF40" s="241">
        <v>88</v>
      </c>
      <c r="BG40" s="241">
        <v>1096</v>
      </c>
      <c r="BH40" s="241">
        <v>984.40000000000009</v>
      </c>
      <c r="BI40" s="241"/>
      <c r="BJ40" s="241"/>
      <c r="BK40" s="241"/>
      <c r="BL40" s="241"/>
      <c r="BM40" s="241"/>
      <c r="BN40" s="241"/>
      <c r="BO40" s="241"/>
      <c r="BP40" s="241"/>
      <c r="BQ40" s="241"/>
      <c r="BR40" s="242">
        <f t="shared" si="6"/>
        <v>276</v>
      </c>
      <c r="BS40" s="242">
        <f t="shared" si="6"/>
        <v>3432</v>
      </c>
      <c r="BT40" s="242">
        <f t="shared" si="6"/>
        <v>3108.0000000000005</v>
      </c>
      <c r="BU40" s="104">
        <v>120</v>
      </c>
      <c r="BV40" s="104">
        <v>1760</v>
      </c>
      <c r="BW40" s="104">
        <v>1351.2</v>
      </c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>
        <v>137</v>
      </c>
      <c r="CK40" s="104">
        <v>1984</v>
      </c>
      <c r="CL40" s="104">
        <v>1493.6</v>
      </c>
      <c r="CM40" s="104"/>
      <c r="CN40" s="104"/>
      <c r="CO40" s="104"/>
      <c r="CP40" s="143"/>
      <c r="CQ40" s="143"/>
      <c r="CR40" s="143"/>
      <c r="CS40" s="104"/>
      <c r="CT40" s="104"/>
      <c r="CU40" s="104"/>
      <c r="CV40" s="241"/>
      <c r="CW40" s="241"/>
      <c r="CX40" s="241"/>
      <c r="CY40" s="241">
        <v>135</v>
      </c>
      <c r="CZ40" s="241">
        <v>1940</v>
      </c>
      <c r="DA40" s="241">
        <v>1531.2</v>
      </c>
      <c r="DB40" s="242">
        <f t="shared" si="4"/>
        <v>668</v>
      </c>
      <c r="DC40" s="242">
        <f t="shared" si="4"/>
        <v>9116</v>
      </c>
      <c r="DD40" s="242">
        <f t="shared" si="4"/>
        <v>7484.0000000000009</v>
      </c>
      <c r="DG40" s="243"/>
      <c r="DH40" s="244"/>
      <c r="DI40" s="244"/>
      <c r="DJ40" s="244"/>
    </row>
    <row r="41" spans="1:114" ht="20.100000000000001" customHeight="1" x14ac:dyDescent="0.6">
      <c r="A41" s="234">
        <v>38</v>
      </c>
      <c r="B41" s="245" t="s">
        <v>174</v>
      </c>
      <c r="C41" s="234" t="s">
        <v>175</v>
      </c>
      <c r="D41" s="245" t="s">
        <v>176</v>
      </c>
      <c r="E41" s="245" t="s">
        <v>177</v>
      </c>
      <c r="F41" s="238" t="s">
        <v>56</v>
      </c>
      <c r="G41" s="249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>
        <v>300</v>
      </c>
      <c r="AF41" s="143">
        <v>3950</v>
      </c>
      <c r="AG41" s="143">
        <v>2978</v>
      </c>
      <c r="AH41" s="241"/>
      <c r="AI41" s="241"/>
      <c r="AJ41" s="241"/>
      <c r="AK41" s="242">
        <f t="shared" ref="AK41:AM45" si="7">+G41+J41+M41+P41+S41+V41+Y41+AB41+AE41+AH41</f>
        <v>300</v>
      </c>
      <c r="AL41" s="242">
        <f t="shared" si="7"/>
        <v>3950</v>
      </c>
      <c r="AM41" s="242">
        <f t="shared" si="7"/>
        <v>2978</v>
      </c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  <c r="BJ41" s="241"/>
      <c r="BK41" s="241"/>
      <c r="BL41" s="241"/>
      <c r="BM41" s="241"/>
      <c r="BN41" s="241"/>
      <c r="BO41" s="241">
        <v>200</v>
      </c>
      <c r="BP41" s="241">
        <v>2800</v>
      </c>
      <c r="BQ41" s="241">
        <v>1792</v>
      </c>
      <c r="BR41" s="242">
        <f t="shared" ref="BR41:BT45" si="8">+AK41+AN41+AQ41+AT41+AW41+AZ41+BC41+BF41+BI41+BL41+BO41</f>
        <v>500</v>
      </c>
      <c r="BS41" s="242">
        <f t="shared" si="8"/>
        <v>6750</v>
      </c>
      <c r="BT41" s="242">
        <f t="shared" si="8"/>
        <v>4770</v>
      </c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>
        <v>200</v>
      </c>
      <c r="CQ41" s="143">
        <v>2570</v>
      </c>
      <c r="CR41" s="143">
        <v>2051.6</v>
      </c>
      <c r="CS41" s="143"/>
      <c r="CT41" s="143"/>
      <c r="CU41" s="143"/>
      <c r="CV41" s="241"/>
      <c r="CW41" s="241"/>
      <c r="CX41" s="241"/>
      <c r="CY41" s="241"/>
      <c r="CZ41" s="241"/>
      <c r="DA41" s="241"/>
      <c r="DB41" s="242">
        <f t="shared" si="4"/>
        <v>700</v>
      </c>
      <c r="DC41" s="242">
        <f t="shared" si="4"/>
        <v>9320</v>
      </c>
      <c r="DD41" s="242">
        <f t="shared" si="4"/>
        <v>6821.6</v>
      </c>
      <c r="DG41" s="243"/>
      <c r="DH41" s="244"/>
      <c r="DI41" s="244"/>
      <c r="DJ41" s="244"/>
    </row>
    <row r="42" spans="1:114" ht="20.100000000000001" customHeight="1" x14ac:dyDescent="0.6">
      <c r="A42" s="234">
        <v>39</v>
      </c>
      <c r="B42" s="252" t="s">
        <v>178</v>
      </c>
      <c r="C42" s="253" t="s">
        <v>179</v>
      </c>
      <c r="D42" s="254" t="s">
        <v>180</v>
      </c>
      <c r="E42" s="252" t="s">
        <v>71</v>
      </c>
      <c r="F42" s="238" t="s">
        <v>56</v>
      </c>
      <c r="G42" s="249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>
        <v>200</v>
      </c>
      <c r="T42" s="250">
        <v>2600</v>
      </c>
      <c r="U42" s="250">
        <v>2096</v>
      </c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143"/>
      <c r="AG42" s="143"/>
      <c r="AH42" s="241"/>
      <c r="AI42" s="241"/>
      <c r="AJ42" s="241"/>
      <c r="AK42" s="242">
        <f t="shared" si="7"/>
        <v>200</v>
      </c>
      <c r="AL42" s="242">
        <f t="shared" si="7"/>
        <v>2600</v>
      </c>
      <c r="AM42" s="242">
        <f t="shared" si="7"/>
        <v>2096</v>
      </c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/>
      <c r="BP42" s="241"/>
      <c r="BQ42" s="241"/>
      <c r="BR42" s="242">
        <f t="shared" si="8"/>
        <v>200</v>
      </c>
      <c r="BS42" s="242">
        <f t="shared" si="8"/>
        <v>2600</v>
      </c>
      <c r="BT42" s="242">
        <f t="shared" si="8"/>
        <v>2096</v>
      </c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241"/>
      <c r="CW42" s="241"/>
      <c r="CX42" s="241"/>
      <c r="CY42" s="241"/>
      <c r="CZ42" s="241"/>
      <c r="DA42" s="241"/>
      <c r="DB42" s="242">
        <f t="shared" si="4"/>
        <v>200</v>
      </c>
      <c r="DC42" s="242">
        <f t="shared" si="4"/>
        <v>2600</v>
      </c>
      <c r="DD42" s="242">
        <f t="shared" si="4"/>
        <v>2096</v>
      </c>
      <c r="DG42" s="243"/>
      <c r="DH42" s="244"/>
      <c r="DI42" s="244"/>
      <c r="DJ42" s="244"/>
    </row>
    <row r="43" spans="1:114" ht="20.100000000000001" customHeight="1" x14ac:dyDescent="0.6">
      <c r="A43" s="234">
        <v>40</v>
      </c>
      <c r="B43" s="245" t="s">
        <v>181</v>
      </c>
      <c r="C43" s="234" t="s">
        <v>182</v>
      </c>
      <c r="D43" s="246" t="s">
        <v>157</v>
      </c>
      <c r="E43" s="246" t="s">
        <v>158</v>
      </c>
      <c r="F43" s="238" t="s">
        <v>56</v>
      </c>
      <c r="G43" s="239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>
        <v>200</v>
      </c>
      <c r="AC43" s="240">
        <v>2700</v>
      </c>
      <c r="AD43" s="240">
        <v>1764</v>
      </c>
      <c r="AE43" s="240"/>
      <c r="AF43" s="104"/>
      <c r="AG43" s="104"/>
      <c r="AH43" s="241"/>
      <c r="AI43" s="241"/>
      <c r="AJ43" s="241"/>
      <c r="AK43" s="242">
        <f t="shared" si="7"/>
        <v>200</v>
      </c>
      <c r="AL43" s="242">
        <f t="shared" si="7"/>
        <v>2700</v>
      </c>
      <c r="AM43" s="242">
        <f t="shared" si="7"/>
        <v>1764</v>
      </c>
      <c r="AN43" s="241"/>
      <c r="AO43" s="241"/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>
        <v>200</v>
      </c>
      <c r="BM43" s="241">
        <v>2800</v>
      </c>
      <c r="BN43" s="241">
        <v>1792</v>
      </c>
      <c r="BO43" s="241"/>
      <c r="BP43" s="241"/>
      <c r="BQ43" s="241"/>
      <c r="BR43" s="242">
        <f t="shared" si="8"/>
        <v>400</v>
      </c>
      <c r="BS43" s="242">
        <f t="shared" si="8"/>
        <v>5500</v>
      </c>
      <c r="BT43" s="242">
        <f t="shared" si="8"/>
        <v>3556</v>
      </c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43">
        <v>200</v>
      </c>
      <c r="CQ43" s="143">
        <v>2700</v>
      </c>
      <c r="CR43" s="143">
        <v>1764</v>
      </c>
      <c r="CS43" s="104"/>
      <c r="CT43" s="104"/>
      <c r="CU43" s="104"/>
      <c r="CV43" s="241"/>
      <c r="CW43" s="241"/>
      <c r="CX43" s="241"/>
      <c r="CY43" s="241"/>
      <c r="CZ43" s="241"/>
      <c r="DA43" s="241"/>
      <c r="DB43" s="242">
        <f t="shared" si="4"/>
        <v>600</v>
      </c>
      <c r="DC43" s="242">
        <f t="shared" si="4"/>
        <v>8200</v>
      </c>
      <c r="DD43" s="242">
        <f t="shared" si="4"/>
        <v>5320</v>
      </c>
      <c r="DG43" s="243"/>
      <c r="DH43" s="244"/>
      <c r="DI43" s="244"/>
      <c r="DJ43" s="244"/>
    </row>
    <row r="44" spans="1:114" ht="20.100000000000001" customHeight="1" x14ac:dyDescent="0.6">
      <c r="A44" s="234">
        <v>41</v>
      </c>
      <c r="B44" s="245" t="s">
        <v>183</v>
      </c>
      <c r="C44" s="234" t="s">
        <v>184</v>
      </c>
      <c r="D44" s="245" t="s">
        <v>185</v>
      </c>
      <c r="E44" s="245" t="s">
        <v>186</v>
      </c>
      <c r="F44" s="238" t="s">
        <v>56</v>
      </c>
      <c r="G44" s="249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>
        <v>299</v>
      </c>
      <c r="AF44" s="143">
        <v>3788</v>
      </c>
      <c r="AG44" s="143">
        <v>3284</v>
      </c>
      <c r="AH44" s="241"/>
      <c r="AI44" s="241"/>
      <c r="AJ44" s="241"/>
      <c r="AK44" s="242">
        <f t="shared" si="7"/>
        <v>299</v>
      </c>
      <c r="AL44" s="242">
        <f t="shared" si="7"/>
        <v>3788</v>
      </c>
      <c r="AM44" s="242">
        <f t="shared" si="7"/>
        <v>3284</v>
      </c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  <c r="BM44" s="241"/>
      <c r="BN44" s="241"/>
      <c r="BO44" s="241"/>
      <c r="BP44" s="241"/>
      <c r="BQ44" s="241"/>
      <c r="BR44" s="242">
        <f t="shared" si="8"/>
        <v>299</v>
      </c>
      <c r="BS44" s="242">
        <f t="shared" si="8"/>
        <v>3788</v>
      </c>
      <c r="BT44" s="242">
        <f t="shared" si="8"/>
        <v>3284</v>
      </c>
      <c r="BU44" s="143"/>
      <c r="BV44" s="143"/>
      <c r="BW44" s="143"/>
      <c r="BX44" s="143"/>
      <c r="BY44" s="143"/>
      <c r="BZ44" s="143"/>
      <c r="CA44" s="143">
        <v>250</v>
      </c>
      <c r="CB44" s="143">
        <v>3000</v>
      </c>
      <c r="CC44" s="143">
        <v>3000</v>
      </c>
      <c r="CD44" s="143"/>
      <c r="CE44" s="143"/>
      <c r="CF44" s="143"/>
      <c r="CG44" s="143"/>
      <c r="CH44" s="143"/>
      <c r="CI44" s="143"/>
      <c r="CJ44" s="143"/>
      <c r="CK44" s="143"/>
      <c r="CL44" s="143"/>
      <c r="CM44" s="143"/>
      <c r="CN44" s="143"/>
      <c r="CO44" s="143"/>
      <c r="CP44" s="143"/>
      <c r="CQ44" s="143"/>
      <c r="CR44" s="143"/>
      <c r="CS44" s="143"/>
      <c r="CT44" s="143"/>
      <c r="CU44" s="143"/>
      <c r="CV44" s="241"/>
      <c r="CW44" s="241"/>
      <c r="CX44" s="241"/>
      <c r="CY44" s="241"/>
      <c r="CZ44" s="241"/>
      <c r="DA44" s="241"/>
      <c r="DB44" s="242">
        <f t="shared" si="4"/>
        <v>549</v>
      </c>
      <c r="DC44" s="242">
        <f t="shared" si="4"/>
        <v>6788</v>
      </c>
      <c r="DD44" s="242">
        <f t="shared" si="4"/>
        <v>6284</v>
      </c>
      <c r="DG44" s="243"/>
      <c r="DH44" s="244"/>
      <c r="DI44" s="244"/>
      <c r="DJ44" s="244"/>
    </row>
    <row r="45" spans="1:114" ht="20.100000000000001" customHeight="1" x14ac:dyDescent="0.6">
      <c r="A45" s="255"/>
      <c r="B45" s="256"/>
      <c r="C45" s="255"/>
      <c r="D45" s="255"/>
      <c r="E45" s="255"/>
      <c r="F45" s="257"/>
      <c r="G45" s="258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42">
        <f t="shared" si="7"/>
        <v>0</v>
      </c>
      <c r="AL45" s="242">
        <f t="shared" si="7"/>
        <v>0</v>
      </c>
      <c r="AM45" s="242">
        <f t="shared" si="7"/>
        <v>0</v>
      </c>
      <c r="AN45" s="241"/>
      <c r="AO45" s="241"/>
      <c r="AP45" s="241"/>
      <c r="AQ45" s="241"/>
      <c r="AR45" s="241"/>
      <c r="AS45" s="241"/>
      <c r="AT45" s="241"/>
      <c r="AU45" s="241"/>
      <c r="AV45" s="241"/>
      <c r="AW45" s="241"/>
      <c r="AX45" s="241"/>
      <c r="AY45" s="241"/>
      <c r="AZ45" s="241"/>
      <c r="BA45" s="241"/>
      <c r="BB45" s="241"/>
      <c r="BC45" s="241"/>
      <c r="BD45" s="241"/>
      <c r="BE45" s="241"/>
      <c r="BF45" s="241"/>
      <c r="BG45" s="241"/>
      <c r="BH45" s="241"/>
      <c r="BI45" s="241"/>
      <c r="BJ45" s="241"/>
      <c r="BK45" s="241"/>
      <c r="BL45" s="241"/>
      <c r="BM45" s="241"/>
      <c r="BN45" s="241"/>
      <c r="BO45" s="241"/>
      <c r="BP45" s="241"/>
      <c r="BQ45" s="241"/>
      <c r="BR45" s="242">
        <f t="shared" si="8"/>
        <v>0</v>
      </c>
      <c r="BS45" s="242">
        <f t="shared" si="8"/>
        <v>0</v>
      </c>
      <c r="BT45" s="242">
        <f t="shared" si="8"/>
        <v>0</v>
      </c>
      <c r="BU45" s="241"/>
      <c r="BV45" s="241"/>
      <c r="BW45" s="241"/>
      <c r="BX45" s="241"/>
      <c r="BY45" s="241"/>
      <c r="BZ45" s="241"/>
      <c r="CA45" s="241"/>
      <c r="CB45" s="241"/>
      <c r="CC45" s="241"/>
      <c r="CD45" s="241"/>
      <c r="CE45" s="241"/>
      <c r="CF45" s="241"/>
      <c r="CG45" s="241"/>
      <c r="CH45" s="241"/>
      <c r="CI45" s="241"/>
      <c r="CJ45" s="241"/>
      <c r="CK45" s="241"/>
      <c r="CL45" s="241"/>
      <c r="CM45" s="241"/>
      <c r="CN45" s="241"/>
      <c r="CO45" s="241"/>
      <c r="CP45" s="241"/>
      <c r="CQ45" s="241"/>
      <c r="CR45" s="241"/>
      <c r="CS45" s="241"/>
      <c r="CT45" s="241"/>
      <c r="CU45" s="241"/>
      <c r="CV45" s="241"/>
      <c r="CW45" s="241"/>
      <c r="CX45" s="241"/>
      <c r="CY45" s="241"/>
      <c r="CZ45" s="241"/>
      <c r="DA45" s="241"/>
      <c r="DB45" s="242">
        <f t="shared" si="4"/>
        <v>0</v>
      </c>
      <c r="DC45" s="242">
        <f t="shared" ref="DC45" si="9">K45+N45+Q45+T45+W45+Z45+AC45+AF45+AI45+AO45+AR45+AU45+AX45+BA45+BD45+BG45+BJ45+BM45+BP45+BV45+BY45+CB45+CE45+CH45+CK45+CN45+CQ45+CT45+CW45+H45+CZ45</f>
        <v>0</v>
      </c>
      <c r="DD45" s="242">
        <f t="shared" si="4"/>
        <v>0</v>
      </c>
      <c r="DG45" s="243"/>
      <c r="DH45" s="244"/>
      <c r="DI45" s="244"/>
      <c r="DJ45" s="244"/>
    </row>
    <row r="46" spans="1:114" ht="20.100000000000001" customHeight="1" x14ac:dyDescent="0.6">
      <c r="A46" s="260"/>
      <c r="B46" s="407" t="s">
        <v>187</v>
      </c>
      <c r="C46" s="408"/>
      <c r="D46" s="408"/>
      <c r="E46" s="408"/>
      <c r="F46" s="408"/>
      <c r="G46" s="261">
        <f>SUM(G4:G45)</f>
        <v>0</v>
      </c>
      <c r="H46" s="261">
        <f t="shared" ref="H46:BS46" si="10">SUM(H4:H45)</f>
        <v>0</v>
      </c>
      <c r="I46" s="261">
        <f t="shared" si="10"/>
        <v>0</v>
      </c>
      <c r="J46" s="261">
        <f t="shared" si="10"/>
        <v>3540</v>
      </c>
      <c r="K46" s="261">
        <f t="shared" si="10"/>
        <v>50210</v>
      </c>
      <c r="L46" s="261">
        <f t="shared" si="10"/>
        <v>38370</v>
      </c>
      <c r="M46" s="261">
        <f t="shared" si="10"/>
        <v>5106</v>
      </c>
      <c r="N46" s="261">
        <f t="shared" si="10"/>
        <v>77518</v>
      </c>
      <c r="O46" s="261">
        <f t="shared" si="10"/>
        <v>56288.319999999985</v>
      </c>
      <c r="P46" s="261">
        <f t="shared" si="10"/>
        <v>0</v>
      </c>
      <c r="Q46" s="261">
        <f t="shared" si="10"/>
        <v>0</v>
      </c>
      <c r="R46" s="261">
        <f t="shared" si="10"/>
        <v>0</v>
      </c>
      <c r="S46" s="261">
        <f t="shared" si="10"/>
        <v>4950</v>
      </c>
      <c r="T46" s="261">
        <f t="shared" si="10"/>
        <v>71130</v>
      </c>
      <c r="U46" s="261">
        <f t="shared" si="10"/>
        <v>53508</v>
      </c>
      <c r="V46" s="261">
        <f t="shared" si="10"/>
        <v>5360</v>
      </c>
      <c r="W46" s="261">
        <f t="shared" si="10"/>
        <v>77730</v>
      </c>
      <c r="X46" s="261">
        <f t="shared" si="10"/>
        <v>58593.2</v>
      </c>
      <c r="Y46" s="261">
        <f t="shared" si="10"/>
        <v>2075</v>
      </c>
      <c r="Z46" s="261">
        <f t="shared" si="10"/>
        <v>30030</v>
      </c>
      <c r="AA46" s="261">
        <f t="shared" si="10"/>
        <v>22004.000000000004</v>
      </c>
      <c r="AB46" s="261">
        <f t="shared" si="10"/>
        <v>5080</v>
      </c>
      <c r="AC46" s="261">
        <f t="shared" si="10"/>
        <v>73670</v>
      </c>
      <c r="AD46" s="261">
        <f t="shared" si="10"/>
        <v>55260.4</v>
      </c>
      <c r="AE46" s="261">
        <f t="shared" si="10"/>
        <v>4716</v>
      </c>
      <c r="AF46" s="261">
        <f t="shared" si="10"/>
        <v>66292</v>
      </c>
      <c r="AG46" s="261">
        <f t="shared" si="10"/>
        <v>51358.400000000001</v>
      </c>
      <c r="AH46" s="261">
        <f t="shared" si="10"/>
        <v>4760</v>
      </c>
      <c r="AI46" s="261">
        <f t="shared" si="10"/>
        <v>68050</v>
      </c>
      <c r="AJ46" s="261">
        <f t="shared" si="10"/>
        <v>51300</v>
      </c>
      <c r="AK46" s="261">
        <f t="shared" si="10"/>
        <v>35587</v>
      </c>
      <c r="AL46" s="261">
        <f t="shared" si="10"/>
        <v>514630</v>
      </c>
      <c r="AM46" s="261">
        <f t="shared" si="10"/>
        <v>386682.31999999995</v>
      </c>
      <c r="AN46" s="261">
        <f t="shared" si="10"/>
        <v>0</v>
      </c>
      <c r="AO46" s="261">
        <f t="shared" si="10"/>
        <v>0</v>
      </c>
      <c r="AP46" s="261">
        <f t="shared" si="10"/>
        <v>0</v>
      </c>
      <c r="AQ46" s="261">
        <f t="shared" si="10"/>
        <v>6278</v>
      </c>
      <c r="AR46" s="261">
        <f t="shared" si="10"/>
        <v>94106</v>
      </c>
      <c r="AS46" s="261">
        <f t="shared" si="10"/>
        <v>67553.200000000012</v>
      </c>
      <c r="AT46" s="261">
        <f t="shared" si="10"/>
        <v>4320</v>
      </c>
      <c r="AU46" s="261">
        <f t="shared" si="10"/>
        <v>66870</v>
      </c>
      <c r="AV46" s="261">
        <f t="shared" si="10"/>
        <v>47854</v>
      </c>
      <c r="AW46" s="261">
        <f t="shared" si="10"/>
        <v>1795</v>
      </c>
      <c r="AX46" s="261">
        <f t="shared" si="10"/>
        <v>25520</v>
      </c>
      <c r="AY46" s="261">
        <f t="shared" si="10"/>
        <v>20048</v>
      </c>
      <c r="AZ46" s="261">
        <f t="shared" si="10"/>
        <v>3116</v>
      </c>
      <c r="BA46" s="261">
        <f t="shared" si="10"/>
        <v>45350</v>
      </c>
      <c r="BB46" s="261">
        <f t="shared" si="10"/>
        <v>33605.360000000001</v>
      </c>
      <c r="BC46" s="261">
        <f t="shared" si="10"/>
        <v>3110</v>
      </c>
      <c r="BD46" s="261">
        <f t="shared" si="10"/>
        <v>46080</v>
      </c>
      <c r="BE46" s="261">
        <f t="shared" si="10"/>
        <v>34572.400000000001</v>
      </c>
      <c r="BF46" s="261">
        <f t="shared" si="10"/>
        <v>6138</v>
      </c>
      <c r="BG46" s="261">
        <f t="shared" si="10"/>
        <v>89286</v>
      </c>
      <c r="BH46" s="261">
        <f t="shared" si="10"/>
        <v>66619.599999999991</v>
      </c>
      <c r="BI46" s="261">
        <f t="shared" si="10"/>
        <v>0</v>
      </c>
      <c r="BJ46" s="261">
        <f t="shared" si="10"/>
        <v>0</v>
      </c>
      <c r="BK46" s="261">
        <f t="shared" si="10"/>
        <v>0</v>
      </c>
      <c r="BL46" s="261">
        <f t="shared" si="10"/>
        <v>6155</v>
      </c>
      <c r="BM46" s="261">
        <f t="shared" si="10"/>
        <v>85160</v>
      </c>
      <c r="BN46" s="261">
        <f t="shared" si="10"/>
        <v>66151.200000000012</v>
      </c>
      <c r="BO46" s="261">
        <f t="shared" si="10"/>
        <v>5408</v>
      </c>
      <c r="BP46" s="261">
        <f t="shared" si="10"/>
        <v>78224</v>
      </c>
      <c r="BQ46" s="261">
        <f t="shared" si="10"/>
        <v>59917.040000000008</v>
      </c>
      <c r="BR46" s="261">
        <f t="shared" si="10"/>
        <v>71907</v>
      </c>
      <c r="BS46" s="261">
        <f t="shared" si="10"/>
        <v>1045226</v>
      </c>
      <c r="BT46" s="261">
        <f t="shared" ref="BT46:DC46" si="11">SUM(BT4:BT45)</f>
        <v>783003.12</v>
      </c>
      <c r="BU46" s="261">
        <f t="shared" si="11"/>
        <v>2585</v>
      </c>
      <c r="BV46" s="261">
        <f t="shared" si="11"/>
        <v>37220</v>
      </c>
      <c r="BW46" s="261">
        <f t="shared" si="11"/>
        <v>28814.800000000003</v>
      </c>
      <c r="BX46" s="261">
        <f t="shared" si="11"/>
        <v>2875</v>
      </c>
      <c r="BY46" s="261">
        <f t="shared" si="11"/>
        <v>39070</v>
      </c>
      <c r="BZ46" s="261">
        <f t="shared" si="11"/>
        <v>32576.800000000003</v>
      </c>
      <c r="CA46" s="261">
        <f t="shared" si="11"/>
        <v>4732</v>
      </c>
      <c r="CB46" s="261">
        <f t="shared" si="11"/>
        <v>68584</v>
      </c>
      <c r="CC46" s="261">
        <f t="shared" si="11"/>
        <v>51844</v>
      </c>
      <c r="CD46" s="261">
        <f t="shared" si="11"/>
        <v>3906</v>
      </c>
      <c r="CE46" s="261">
        <f t="shared" si="11"/>
        <v>57394</v>
      </c>
      <c r="CF46" s="261">
        <f t="shared" si="11"/>
        <v>42308.159999999996</v>
      </c>
      <c r="CG46" s="261">
        <f t="shared" si="11"/>
        <v>0</v>
      </c>
      <c r="CH46" s="261">
        <f t="shared" si="11"/>
        <v>0</v>
      </c>
      <c r="CI46" s="261">
        <f t="shared" si="11"/>
        <v>0</v>
      </c>
      <c r="CJ46" s="261">
        <f t="shared" si="11"/>
        <v>5497</v>
      </c>
      <c r="CK46" s="261">
        <f t="shared" si="11"/>
        <v>80754</v>
      </c>
      <c r="CL46" s="261">
        <f t="shared" si="11"/>
        <v>59459.999999999993</v>
      </c>
      <c r="CM46" s="261">
        <f t="shared" si="11"/>
        <v>4312</v>
      </c>
      <c r="CN46" s="261">
        <f t="shared" si="11"/>
        <v>63924</v>
      </c>
      <c r="CO46" s="261">
        <f t="shared" si="11"/>
        <v>48428.4</v>
      </c>
      <c r="CP46" s="261">
        <f t="shared" si="11"/>
        <v>3560</v>
      </c>
      <c r="CQ46" s="261">
        <f t="shared" si="11"/>
        <v>51700</v>
      </c>
      <c r="CR46" s="261">
        <f t="shared" si="11"/>
        <v>38308</v>
      </c>
      <c r="CS46" s="261">
        <f t="shared" si="11"/>
        <v>2875</v>
      </c>
      <c r="CT46" s="261">
        <f t="shared" si="11"/>
        <v>39780</v>
      </c>
      <c r="CU46" s="261">
        <f t="shared" si="11"/>
        <v>30323.600000000002</v>
      </c>
      <c r="CV46" s="261">
        <f t="shared" si="11"/>
        <v>4575</v>
      </c>
      <c r="CW46" s="261">
        <f t="shared" si="11"/>
        <v>64820</v>
      </c>
      <c r="CX46" s="261">
        <f t="shared" si="11"/>
        <v>50071.999999999993</v>
      </c>
      <c r="CY46" s="261">
        <f t="shared" si="11"/>
        <v>4070</v>
      </c>
      <c r="CZ46" s="261">
        <f t="shared" si="11"/>
        <v>59320</v>
      </c>
      <c r="DA46" s="261">
        <f t="shared" si="11"/>
        <v>45056.399999999994</v>
      </c>
      <c r="DB46" s="261">
        <f t="shared" si="11"/>
        <v>110894</v>
      </c>
      <c r="DC46" s="261">
        <f t="shared" si="11"/>
        <v>1607792</v>
      </c>
      <c r="DD46" s="261">
        <f>SUM(DD4:DD45)</f>
        <v>1210195.28</v>
      </c>
    </row>
    <row r="48" spans="1:114" x14ac:dyDescent="0.6">
      <c r="BU48" s="228"/>
    </row>
  </sheetData>
  <mergeCells count="38">
    <mergeCell ref="S2:U2"/>
    <mergeCell ref="B1:D1"/>
    <mergeCell ref="G2:I2"/>
    <mergeCell ref="J2:L2"/>
    <mergeCell ref="M2:O2"/>
    <mergeCell ref="P2:R2"/>
    <mergeCell ref="DB2:DD2"/>
    <mergeCell ref="B3:C3"/>
    <mergeCell ref="D3:E3"/>
    <mergeCell ref="BX2:BZ2"/>
    <mergeCell ref="CA2:CC2"/>
    <mergeCell ref="CD2:CF2"/>
    <mergeCell ref="CG2:CI2"/>
    <mergeCell ref="CJ2:CL2"/>
    <mergeCell ref="CM2:CO2"/>
    <mergeCell ref="BF2:BH2"/>
    <mergeCell ref="BI2:BK2"/>
    <mergeCell ref="BL2:BN2"/>
    <mergeCell ref="BO2:BQ2"/>
    <mergeCell ref="BR2:BT2"/>
    <mergeCell ref="BU2:BW2"/>
    <mergeCell ref="AN2:AP2"/>
    <mergeCell ref="B46:F46"/>
    <mergeCell ref="CP2:CR2"/>
    <mergeCell ref="CS2:CU2"/>
    <mergeCell ref="CV2:CX2"/>
    <mergeCell ref="CY2:DA2"/>
    <mergeCell ref="AQ2:AS2"/>
    <mergeCell ref="AT2:AV2"/>
    <mergeCell ref="AW2:AY2"/>
    <mergeCell ref="AZ2:BB2"/>
    <mergeCell ref="BC2:BE2"/>
    <mergeCell ref="V2:X2"/>
    <mergeCell ref="Y2:AA2"/>
    <mergeCell ref="AB2:AD2"/>
    <mergeCell ref="AE2:AG2"/>
    <mergeCell ref="AH2:AJ2"/>
    <mergeCell ref="AK2:AM2"/>
  </mergeCells>
  <conditionalFormatting sqref="B30:C46">
    <cfRule type="duplicateValues" dxfId="38" priority="1"/>
    <cfRule type="duplicateValues" dxfId="37" priority="2"/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A2DB-022D-48DC-90A3-ECF02574935B}">
  <dimension ref="A1:DM48"/>
  <sheetViews>
    <sheetView topLeftCell="CA1" workbookViewId="0">
      <selection activeCell="CI21" sqref="CI21"/>
    </sheetView>
  </sheetViews>
  <sheetFormatPr defaultColWidth="10.28515625" defaultRowHeight="21" x14ac:dyDescent="0.6"/>
  <cols>
    <col min="1" max="1" width="5.5703125" style="227" customWidth="1"/>
    <col min="2" max="2" width="15" style="227" customWidth="1"/>
    <col min="3" max="3" width="15.5703125" style="227" customWidth="1"/>
    <col min="4" max="4" width="13.85546875" style="227" customWidth="1"/>
    <col min="5" max="5" width="15" style="227" customWidth="1"/>
    <col min="6" max="6" width="7.85546875" style="227" customWidth="1"/>
    <col min="7" max="7" width="6.28515625" style="227" customWidth="1"/>
    <col min="8" max="9" width="7.140625" style="227" customWidth="1"/>
    <col min="10" max="10" width="6.28515625" style="227" customWidth="1"/>
    <col min="11" max="12" width="7.140625" style="227" customWidth="1"/>
    <col min="13" max="13" width="6.28515625" style="227" customWidth="1"/>
    <col min="14" max="15" width="7.140625" style="227" customWidth="1"/>
    <col min="16" max="16" width="7.28515625" style="227" customWidth="1"/>
    <col min="17" max="17" width="8.85546875" style="227" customWidth="1"/>
    <col min="18" max="18" width="7.5703125" style="227" customWidth="1"/>
    <col min="19" max="19" width="6.28515625" style="227" customWidth="1"/>
    <col min="20" max="21" width="7.140625" style="227" customWidth="1"/>
    <col min="22" max="22" width="6.28515625" style="227" customWidth="1"/>
    <col min="23" max="24" width="7.140625" style="227" customWidth="1"/>
    <col min="25" max="25" width="6.28515625" style="227" customWidth="1"/>
    <col min="26" max="27" width="7.140625" style="227" customWidth="1"/>
    <col min="28" max="28" width="6.28515625" style="227" customWidth="1"/>
    <col min="29" max="30" width="7.140625" style="227" customWidth="1"/>
    <col min="31" max="31" width="6.28515625" style="227" customWidth="1"/>
    <col min="32" max="33" width="7.140625" style="227" customWidth="1"/>
    <col min="34" max="34" width="6.28515625" style="227" customWidth="1"/>
    <col min="35" max="37" width="7.140625" style="227" customWidth="1"/>
    <col min="38" max="39" width="8" style="227" customWidth="1"/>
    <col min="40" max="40" width="6.28515625" style="227" customWidth="1"/>
    <col min="41" max="42" width="7.140625" style="227" customWidth="1"/>
    <col min="43" max="43" width="7.28515625" style="227" customWidth="1"/>
    <col min="44" max="44" width="6.85546875" style="227" customWidth="1"/>
    <col min="45" max="45" width="7" style="227" customWidth="1"/>
    <col min="46" max="46" width="6.28515625" style="227" customWidth="1"/>
    <col min="47" max="48" width="7.140625" style="227" customWidth="1"/>
    <col min="49" max="49" width="6.28515625" style="227" customWidth="1"/>
    <col min="50" max="51" width="7.140625" style="227" customWidth="1"/>
    <col min="52" max="52" width="6.28515625" style="227" customWidth="1"/>
    <col min="53" max="54" width="7.140625" style="227" customWidth="1"/>
    <col min="55" max="55" width="6.28515625" style="227" customWidth="1"/>
    <col min="56" max="57" width="7.140625" style="227" customWidth="1"/>
    <col min="58" max="58" width="6.28515625" style="227" customWidth="1"/>
    <col min="59" max="60" width="7.140625" style="227" customWidth="1"/>
    <col min="61" max="61" width="6.28515625" style="227" customWidth="1"/>
    <col min="62" max="63" width="6.85546875" style="227" customWidth="1"/>
    <col min="64" max="64" width="6.28515625" style="227" customWidth="1"/>
    <col min="65" max="66" width="7.140625" style="227" customWidth="1"/>
    <col min="67" max="67" width="6.28515625" style="227" customWidth="1"/>
    <col min="68" max="70" width="7.140625" style="227" customWidth="1"/>
    <col min="71" max="71" width="9.28515625" style="227" customWidth="1"/>
    <col min="72" max="72" width="8" style="227" customWidth="1"/>
    <col min="73" max="73" width="6.28515625" style="227" customWidth="1"/>
    <col min="74" max="96" width="8.140625" style="227" customWidth="1"/>
    <col min="97" max="105" width="8.140625" style="227" hidden="1" customWidth="1"/>
    <col min="106" max="106" width="9" style="227" customWidth="1"/>
    <col min="107" max="107" width="9.140625" style="227" customWidth="1"/>
    <col min="108" max="108" width="10.140625" style="227" customWidth="1"/>
    <col min="109" max="110" width="10.28515625" style="227" customWidth="1"/>
    <col min="111" max="111" width="10.28515625" style="227"/>
    <col min="112" max="116" width="10.28515625" style="229"/>
    <col min="117" max="16384" width="10.28515625" style="227"/>
  </cols>
  <sheetData>
    <row r="1" spans="1:117" ht="30" customHeight="1" x14ac:dyDescent="0.6">
      <c r="A1" s="225"/>
      <c r="B1" s="414" t="s">
        <v>35</v>
      </c>
      <c r="C1" s="414"/>
      <c r="D1" s="414"/>
      <c r="E1" s="225"/>
      <c r="F1" s="226"/>
      <c r="AO1" s="228"/>
      <c r="AP1" s="228"/>
      <c r="BU1" s="228"/>
      <c r="BV1" s="228"/>
      <c r="BW1" s="228"/>
    </row>
    <row r="2" spans="1:117" ht="30" customHeight="1" x14ac:dyDescent="0.6">
      <c r="A2" s="225"/>
      <c r="B2" s="225"/>
      <c r="C2" s="225"/>
      <c r="D2" s="225"/>
      <c r="E2" s="225"/>
      <c r="F2" s="225"/>
      <c r="G2" s="409">
        <v>8798</v>
      </c>
      <c r="H2" s="409"/>
      <c r="I2" s="410"/>
      <c r="J2" s="409">
        <v>45690</v>
      </c>
      <c r="K2" s="409"/>
      <c r="L2" s="410"/>
      <c r="M2" s="409">
        <v>45691</v>
      </c>
      <c r="N2" s="409"/>
      <c r="O2" s="410"/>
      <c r="P2" s="409">
        <v>45692</v>
      </c>
      <c r="Q2" s="409"/>
      <c r="R2" s="410"/>
      <c r="S2" s="409">
        <v>45693</v>
      </c>
      <c r="T2" s="409"/>
      <c r="U2" s="410"/>
      <c r="V2" s="409">
        <v>45694</v>
      </c>
      <c r="W2" s="409"/>
      <c r="X2" s="410"/>
      <c r="Y2" s="409">
        <v>45695</v>
      </c>
      <c r="Z2" s="409"/>
      <c r="AA2" s="410"/>
      <c r="AB2" s="409">
        <v>45696</v>
      </c>
      <c r="AC2" s="409"/>
      <c r="AD2" s="410"/>
      <c r="AE2" s="409">
        <v>45697</v>
      </c>
      <c r="AF2" s="409"/>
      <c r="AG2" s="410"/>
      <c r="AH2" s="409">
        <v>45698</v>
      </c>
      <c r="AI2" s="409"/>
      <c r="AJ2" s="410"/>
      <c r="AK2" s="411" t="s">
        <v>717</v>
      </c>
      <c r="AL2" s="411"/>
      <c r="AM2" s="411"/>
      <c r="AN2" s="409">
        <v>46064</v>
      </c>
      <c r="AO2" s="409"/>
      <c r="AP2" s="410"/>
      <c r="AQ2" s="409">
        <v>46065</v>
      </c>
      <c r="AR2" s="409"/>
      <c r="AS2" s="410"/>
      <c r="AT2" s="409">
        <v>46066</v>
      </c>
      <c r="AU2" s="409"/>
      <c r="AV2" s="410"/>
      <c r="AW2" s="409">
        <v>46067</v>
      </c>
      <c r="AX2" s="409"/>
      <c r="AY2" s="410"/>
      <c r="AZ2" s="409">
        <v>46068</v>
      </c>
      <c r="BA2" s="409"/>
      <c r="BB2" s="410"/>
      <c r="BC2" s="409">
        <v>46069</v>
      </c>
      <c r="BD2" s="409"/>
      <c r="BE2" s="410"/>
      <c r="BF2" s="409">
        <v>46070</v>
      </c>
      <c r="BG2" s="409"/>
      <c r="BH2" s="410"/>
      <c r="BI2" s="409">
        <v>46071</v>
      </c>
      <c r="BJ2" s="409"/>
      <c r="BK2" s="410"/>
      <c r="BL2" s="409">
        <v>46072</v>
      </c>
      <c r="BM2" s="409"/>
      <c r="BN2" s="410"/>
      <c r="BO2" s="409">
        <v>46073</v>
      </c>
      <c r="BP2" s="409"/>
      <c r="BQ2" s="410"/>
      <c r="BR2" s="411" t="s">
        <v>718</v>
      </c>
      <c r="BS2" s="411"/>
      <c r="BT2" s="411"/>
      <c r="BU2" s="409">
        <v>46074</v>
      </c>
      <c r="BV2" s="409"/>
      <c r="BW2" s="410"/>
      <c r="BX2" s="409">
        <v>46075</v>
      </c>
      <c r="BY2" s="409"/>
      <c r="BZ2" s="410"/>
      <c r="CA2" s="409">
        <v>46076</v>
      </c>
      <c r="CB2" s="409"/>
      <c r="CC2" s="410"/>
      <c r="CD2" s="409">
        <v>46077</v>
      </c>
      <c r="CE2" s="409"/>
      <c r="CF2" s="410"/>
      <c r="CG2" s="409">
        <v>46078</v>
      </c>
      <c r="CH2" s="409"/>
      <c r="CI2" s="410"/>
      <c r="CJ2" s="409">
        <v>46079</v>
      </c>
      <c r="CK2" s="409"/>
      <c r="CL2" s="410"/>
      <c r="CM2" s="409">
        <v>46080</v>
      </c>
      <c r="CN2" s="409"/>
      <c r="CO2" s="410"/>
      <c r="CP2" s="409">
        <v>46081</v>
      </c>
      <c r="CQ2" s="409"/>
      <c r="CR2" s="410"/>
      <c r="CS2" s="409" t="s">
        <v>1084</v>
      </c>
      <c r="CT2" s="409"/>
      <c r="CU2" s="410"/>
      <c r="CV2" s="409">
        <v>46052</v>
      </c>
      <c r="CW2" s="409"/>
      <c r="CX2" s="410"/>
      <c r="CY2" s="409">
        <v>46053</v>
      </c>
      <c r="CZ2" s="409"/>
      <c r="DA2" s="410"/>
      <c r="DB2" s="410" t="s">
        <v>719</v>
      </c>
      <c r="DC2" s="410"/>
      <c r="DD2" s="410"/>
    </row>
    <row r="3" spans="1:117" ht="38.25" customHeight="1" x14ac:dyDescent="0.6">
      <c r="A3" s="231" t="s">
        <v>43</v>
      </c>
      <c r="B3" s="412" t="s">
        <v>44</v>
      </c>
      <c r="C3" s="413"/>
      <c r="D3" s="412" t="s">
        <v>45</v>
      </c>
      <c r="E3" s="413"/>
      <c r="F3" s="232" t="s">
        <v>46</v>
      </c>
      <c r="G3" s="233" t="s">
        <v>720</v>
      </c>
      <c r="H3" s="230" t="s">
        <v>721</v>
      </c>
      <c r="I3" s="230" t="s">
        <v>722</v>
      </c>
      <c r="J3" s="233" t="s">
        <v>720</v>
      </c>
      <c r="K3" s="230" t="s">
        <v>721</v>
      </c>
      <c r="L3" s="230" t="s">
        <v>722</v>
      </c>
      <c r="M3" s="233" t="s">
        <v>720</v>
      </c>
      <c r="N3" s="230" t="s">
        <v>721</v>
      </c>
      <c r="O3" s="230" t="s">
        <v>722</v>
      </c>
      <c r="P3" s="233" t="s">
        <v>720</v>
      </c>
      <c r="Q3" s="230" t="s">
        <v>721</v>
      </c>
      <c r="R3" s="230" t="s">
        <v>722</v>
      </c>
      <c r="S3" s="233" t="s">
        <v>720</v>
      </c>
      <c r="T3" s="230" t="s">
        <v>721</v>
      </c>
      <c r="U3" s="230" t="s">
        <v>722</v>
      </c>
      <c r="V3" s="233" t="s">
        <v>720</v>
      </c>
      <c r="W3" s="230" t="s">
        <v>721</v>
      </c>
      <c r="X3" s="230" t="s">
        <v>722</v>
      </c>
      <c r="Y3" s="233" t="s">
        <v>720</v>
      </c>
      <c r="Z3" s="230" t="s">
        <v>721</v>
      </c>
      <c r="AA3" s="230" t="s">
        <v>722</v>
      </c>
      <c r="AB3" s="233" t="s">
        <v>720</v>
      </c>
      <c r="AC3" s="230" t="s">
        <v>721</v>
      </c>
      <c r="AD3" s="230" t="s">
        <v>722</v>
      </c>
      <c r="AE3" s="233" t="s">
        <v>720</v>
      </c>
      <c r="AF3" s="230" t="s">
        <v>721</v>
      </c>
      <c r="AG3" s="230" t="s">
        <v>722</v>
      </c>
      <c r="AH3" s="233" t="s">
        <v>720</v>
      </c>
      <c r="AI3" s="230" t="s">
        <v>721</v>
      </c>
      <c r="AJ3" s="230" t="s">
        <v>722</v>
      </c>
      <c r="AK3" s="233" t="s">
        <v>720</v>
      </c>
      <c r="AL3" s="230" t="s">
        <v>721</v>
      </c>
      <c r="AM3" s="230" t="s">
        <v>723</v>
      </c>
      <c r="AN3" s="233" t="s">
        <v>720</v>
      </c>
      <c r="AO3" s="230" t="s">
        <v>721</v>
      </c>
      <c r="AP3" s="230" t="s">
        <v>722</v>
      </c>
      <c r="AQ3" s="233" t="s">
        <v>720</v>
      </c>
      <c r="AR3" s="230" t="s">
        <v>721</v>
      </c>
      <c r="AS3" s="230" t="s">
        <v>722</v>
      </c>
      <c r="AT3" s="233" t="s">
        <v>720</v>
      </c>
      <c r="AU3" s="230" t="s">
        <v>721</v>
      </c>
      <c r="AV3" s="230" t="s">
        <v>722</v>
      </c>
      <c r="AW3" s="233" t="s">
        <v>720</v>
      </c>
      <c r="AX3" s="230" t="s">
        <v>721</v>
      </c>
      <c r="AY3" s="230" t="s">
        <v>722</v>
      </c>
      <c r="AZ3" s="233" t="s">
        <v>720</v>
      </c>
      <c r="BA3" s="230" t="s">
        <v>721</v>
      </c>
      <c r="BB3" s="230" t="s">
        <v>722</v>
      </c>
      <c r="BC3" s="233" t="s">
        <v>720</v>
      </c>
      <c r="BD3" s="230" t="s">
        <v>721</v>
      </c>
      <c r="BE3" s="230" t="s">
        <v>722</v>
      </c>
      <c r="BF3" s="233" t="s">
        <v>720</v>
      </c>
      <c r="BG3" s="230" t="s">
        <v>721</v>
      </c>
      <c r="BH3" s="230" t="s">
        <v>722</v>
      </c>
      <c r="BI3" s="233" t="s">
        <v>720</v>
      </c>
      <c r="BJ3" s="230" t="s">
        <v>721</v>
      </c>
      <c r="BK3" s="230" t="s">
        <v>722</v>
      </c>
      <c r="BL3" s="233" t="s">
        <v>720</v>
      </c>
      <c r="BM3" s="230" t="s">
        <v>721</v>
      </c>
      <c r="BN3" s="230" t="s">
        <v>722</v>
      </c>
      <c r="BO3" s="233" t="s">
        <v>720</v>
      </c>
      <c r="BP3" s="230" t="s">
        <v>721</v>
      </c>
      <c r="BQ3" s="230" t="s">
        <v>722</v>
      </c>
      <c r="BR3" s="233" t="s">
        <v>720</v>
      </c>
      <c r="BS3" s="230" t="s">
        <v>721</v>
      </c>
      <c r="BT3" s="230" t="s">
        <v>723</v>
      </c>
      <c r="BU3" s="233" t="s">
        <v>720</v>
      </c>
      <c r="BV3" s="230" t="s">
        <v>721</v>
      </c>
      <c r="BW3" s="230" t="s">
        <v>723</v>
      </c>
      <c r="BX3" s="233" t="s">
        <v>720</v>
      </c>
      <c r="BY3" s="230" t="s">
        <v>721</v>
      </c>
      <c r="BZ3" s="230" t="s">
        <v>723</v>
      </c>
      <c r="CA3" s="233" t="s">
        <v>720</v>
      </c>
      <c r="CB3" s="230" t="s">
        <v>721</v>
      </c>
      <c r="CC3" s="230" t="s">
        <v>723</v>
      </c>
      <c r="CD3" s="233" t="s">
        <v>720</v>
      </c>
      <c r="CE3" s="230" t="s">
        <v>721</v>
      </c>
      <c r="CF3" s="230" t="s">
        <v>723</v>
      </c>
      <c r="CG3" s="233" t="s">
        <v>720</v>
      </c>
      <c r="CH3" s="230" t="s">
        <v>721</v>
      </c>
      <c r="CI3" s="230" t="s">
        <v>723</v>
      </c>
      <c r="CJ3" s="233" t="s">
        <v>720</v>
      </c>
      <c r="CK3" s="230" t="s">
        <v>721</v>
      </c>
      <c r="CL3" s="230" t="s">
        <v>723</v>
      </c>
      <c r="CM3" s="233" t="s">
        <v>720</v>
      </c>
      <c r="CN3" s="230" t="s">
        <v>721</v>
      </c>
      <c r="CO3" s="230" t="s">
        <v>723</v>
      </c>
      <c r="CP3" s="233" t="s">
        <v>720</v>
      </c>
      <c r="CQ3" s="230" t="s">
        <v>721</v>
      </c>
      <c r="CR3" s="230" t="s">
        <v>723</v>
      </c>
      <c r="CS3" s="233" t="s">
        <v>720</v>
      </c>
      <c r="CT3" s="230" t="s">
        <v>721</v>
      </c>
      <c r="CU3" s="230" t="s">
        <v>723</v>
      </c>
      <c r="CV3" s="233" t="s">
        <v>720</v>
      </c>
      <c r="CW3" s="230" t="s">
        <v>721</v>
      </c>
      <c r="CX3" s="230" t="s">
        <v>723</v>
      </c>
      <c r="CY3" s="233" t="s">
        <v>720</v>
      </c>
      <c r="CZ3" s="230" t="s">
        <v>721</v>
      </c>
      <c r="DA3" s="230" t="s">
        <v>723</v>
      </c>
      <c r="DB3" s="233" t="s">
        <v>720</v>
      </c>
      <c r="DC3" s="230" t="s">
        <v>721</v>
      </c>
      <c r="DD3" s="230" t="s">
        <v>723</v>
      </c>
    </row>
    <row r="4" spans="1:117" ht="20.100000000000001" customHeight="1" x14ac:dyDescent="0.6">
      <c r="A4" s="234">
        <v>1</v>
      </c>
      <c r="B4" s="235" t="s">
        <v>52</v>
      </c>
      <c r="C4" s="236" t="s">
        <v>53</v>
      </c>
      <c r="D4" s="237" t="s">
        <v>54</v>
      </c>
      <c r="E4" s="237" t="s">
        <v>55</v>
      </c>
      <c r="F4" s="238" t="s">
        <v>56</v>
      </c>
      <c r="G4" s="239"/>
      <c r="H4" s="240"/>
      <c r="I4" s="240"/>
      <c r="J4" s="240">
        <v>640</v>
      </c>
      <c r="K4" s="240">
        <v>9380</v>
      </c>
      <c r="L4" s="240">
        <v>7084</v>
      </c>
      <c r="M4" s="240">
        <v>660</v>
      </c>
      <c r="N4" s="240">
        <v>11020</v>
      </c>
      <c r="O4" s="240">
        <v>7184</v>
      </c>
      <c r="P4" s="240"/>
      <c r="Q4" s="240"/>
      <c r="R4" s="240"/>
      <c r="S4" s="240">
        <v>625</v>
      </c>
      <c r="T4" s="240">
        <v>10460</v>
      </c>
      <c r="U4" s="240">
        <v>6994</v>
      </c>
      <c r="V4" s="240"/>
      <c r="W4" s="240"/>
      <c r="X4" s="240"/>
      <c r="Y4" s="240">
        <v>530</v>
      </c>
      <c r="Z4" s="240">
        <v>8060</v>
      </c>
      <c r="AA4" s="240">
        <v>5764</v>
      </c>
      <c r="AB4" s="240"/>
      <c r="AC4" s="240"/>
      <c r="AD4" s="240"/>
      <c r="AE4" s="240">
        <v>630</v>
      </c>
      <c r="AF4" s="104">
        <v>10200</v>
      </c>
      <c r="AG4" s="104">
        <v>6824</v>
      </c>
      <c r="AH4" s="241">
        <v>530</v>
      </c>
      <c r="AI4" s="241">
        <v>6560</v>
      </c>
      <c r="AJ4" s="241">
        <v>5816</v>
      </c>
      <c r="AK4" s="242">
        <f>+G4+J4+M4+P4+S4+V4+Y4+AB4+AE4+AH4</f>
        <v>3615</v>
      </c>
      <c r="AL4" s="242">
        <f t="shared" ref="AL4:AM19" si="0">+H4+K4+N4+Q4+T4+W4+Z4+AC4+AF4+AI4</f>
        <v>55680</v>
      </c>
      <c r="AM4" s="242">
        <f t="shared" si="0"/>
        <v>39666</v>
      </c>
      <c r="AN4" s="241"/>
      <c r="AO4" s="241"/>
      <c r="AP4" s="241"/>
      <c r="AQ4" s="241">
        <v>660</v>
      </c>
      <c r="AR4" s="241">
        <v>9520</v>
      </c>
      <c r="AS4" s="241">
        <v>7236</v>
      </c>
      <c r="AT4" s="241"/>
      <c r="AU4" s="241"/>
      <c r="AV4" s="241"/>
      <c r="AW4" s="241">
        <v>680</v>
      </c>
      <c r="AX4" s="241">
        <v>9800</v>
      </c>
      <c r="AY4" s="241">
        <v>7415.2</v>
      </c>
      <c r="AZ4" s="241"/>
      <c r="BA4" s="241"/>
      <c r="BB4" s="241"/>
      <c r="BC4" s="241">
        <v>660</v>
      </c>
      <c r="BD4" s="241">
        <v>9660</v>
      </c>
      <c r="BE4" s="241">
        <v>7263.2</v>
      </c>
      <c r="BF4" s="241">
        <v>600</v>
      </c>
      <c r="BG4" s="241">
        <v>9200</v>
      </c>
      <c r="BH4" s="241">
        <v>6280</v>
      </c>
      <c r="BI4" s="241"/>
      <c r="BJ4" s="241"/>
      <c r="BK4" s="241"/>
      <c r="BL4" s="241"/>
      <c r="BM4" s="241"/>
      <c r="BN4" s="241"/>
      <c r="BO4" s="241">
        <v>555</v>
      </c>
      <c r="BP4" s="241">
        <v>9420</v>
      </c>
      <c r="BQ4" s="241">
        <v>6458</v>
      </c>
      <c r="BR4" s="242">
        <f>+AK4+AN4+AQ4+AT4+AW4+AZ4+BC4+BF4+BI4+BL4+BO4</f>
        <v>6770</v>
      </c>
      <c r="BS4" s="242">
        <f>+AL4+AO4+AR4+AU4+AX4+BA4+BD4+BG4+BJ4+BM4+BP4</f>
        <v>103280</v>
      </c>
      <c r="BT4" s="242">
        <f t="shared" ref="BS4:BT19" si="1">+AM4+AP4+AS4+AV4+AY4+BB4+BE4+BH4+BK4+BN4+BQ4</f>
        <v>74318.399999999994</v>
      </c>
      <c r="BU4" s="104"/>
      <c r="BV4" s="104"/>
      <c r="BW4" s="104"/>
      <c r="BX4" s="104"/>
      <c r="BY4" s="104"/>
      <c r="BZ4" s="104"/>
      <c r="CA4" s="104">
        <v>550</v>
      </c>
      <c r="CB4" s="104">
        <v>9600</v>
      </c>
      <c r="CC4" s="104">
        <v>6016</v>
      </c>
      <c r="CD4" s="104">
        <v>1175</v>
      </c>
      <c r="CE4" s="104">
        <v>17460</v>
      </c>
      <c r="CF4" s="104">
        <v>12506</v>
      </c>
      <c r="CG4" s="104"/>
      <c r="CH4" s="104"/>
      <c r="CI4" s="104"/>
      <c r="CJ4" s="104">
        <v>72</v>
      </c>
      <c r="CK4" s="104">
        <v>1064</v>
      </c>
      <c r="CL4" s="104">
        <v>751.59999999999991</v>
      </c>
      <c r="CM4" s="104">
        <v>550</v>
      </c>
      <c r="CN4" s="104">
        <v>8000</v>
      </c>
      <c r="CO4" s="104">
        <v>6460</v>
      </c>
      <c r="CP4" s="104">
        <v>530</v>
      </c>
      <c r="CQ4" s="104">
        <v>6560</v>
      </c>
      <c r="CR4" s="104">
        <v>5816</v>
      </c>
      <c r="CS4" s="104"/>
      <c r="CT4" s="104"/>
      <c r="CU4" s="104"/>
      <c r="CV4" s="241"/>
      <c r="CW4" s="241"/>
      <c r="CX4" s="241"/>
      <c r="CY4" s="241"/>
      <c r="CZ4" s="241"/>
      <c r="DA4" s="241"/>
      <c r="DB4" s="242">
        <f>+BR4+BU4+BX4+CA4+CD4+CG4+CJ4+CM4+CP4+CS4+CV4+CY4</f>
        <v>9647</v>
      </c>
      <c r="DC4" s="242">
        <f>+BS4+BV4+BY4+CB4+CE4+CH4+CK4+CN4+CQ4+CT4+CW4+CZ4</f>
        <v>145964</v>
      </c>
      <c r="DD4" s="242">
        <f>+BT4+BW4+BZ4+CC4+CF4+CI4+CL4+CO4+CR4+CU4+CX4+DA4</f>
        <v>105868</v>
      </c>
      <c r="DE4" s="243"/>
      <c r="DG4" s="243"/>
      <c r="DH4" s="244"/>
      <c r="DI4" s="244"/>
      <c r="DJ4" s="244"/>
    </row>
    <row r="5" spans="1:117" ht="20.100000000000001" customHeight="1" x14ac:dyDescent="0.6">
      <c r="A5" s="234">
        <v>2</v>
      </c>
      <c r="B5" s="245" t="s">
        <v>58</v>
      </c>
      <c r="C5" s="234" t="s">
        <v>59</v>
      </c>
      <c r="D5" s="246" t="s">
        <v>60</v>
      </c>
      <c r="E5" s="246" t="s">
        <v>61</v>
      </c>
      <c r="F5" s="238" t="s">
        <v>56</v>
      </c>
      <c r="G5" s="239"/>
      <c r="H5" s="240"/>
      <c r="I5" s="240"/>
      <c r="J5" s="240">
        <v>600</v>
      </c>
      <c r="K5" s="240">
        <v>8340</v>
      </c>
      <c r="L5" s="240">
        <v>6708</v>
      </c>
      <c r="M5" s="240">
        <v>520</v>
      </c>
      <c r="N5" s="240">
        <v>7300</v>
      </c>
      <c r="O5" s="240">
        <v>5520</v>
      </c>
      <c r="P5" s="240"/>
      <c r="Q5" s="240"/>
      <c r="R5" s="240"/>
      <c r="S5" s="240">
        <v>630</v>
      </c>
      <c r="T5" s="240">
        <v>8160</v>
      </c>
      <c r="U5" s="240">
        <v>6648</v>
      </c>
      <c r="V5" s="240">
        <v>620</v>
      </c>
      <c r="W5" s="240">
        <v>8300</v>
      </c>
      <c r="X5" s="240">
        <v>6784</v>
      </c>
      <c r="Y5" s="240">
        <v>600</v>
      </c>
      <c r="Z5" s="240">
        <v>8160</v>
      </c>
      <c r="AA5" s="240">
        <v>6488</v>
      </c>
      <c r="AB5" s="240"/>
      <c r="AC5" s="240"/>
      <c r="AD5" s="240"/>
      <c r="AE5" s="240">
        <v>600</v>
      </c>
      <c r="AF5" s="104">
        <v>8160</v>
      </c>
      <c r="AG5" s="104">
        <v>6536</v>
      </c>
      <c r="AH5" s="241">
        <v>600</v>
      </c>
      <c r="AI5" s="241">
        <v>7960</v>
      </c>
      <c r="AJ5" s="241">
        <v>6692.8</v>
      </c>
      <c r="AK5" s="242">
        <f t="shared" ref="AK5:AM20" si="2">+G5+J5+M5+P5+S5+V5+Y5+AB5+AE5+AH5</f>
        <v>4170</v>
      </c>
      <c r="AL5" s="242">
        <f t="shared" si="0"/>
        <v>56380</v>
      </c>
      <c r="AM5" s="242">
        <f t="shared" si="0"/>
        <v>45376.800000000003</v>
      </c>
      <c r="AN5" s="241"/>
      <c r="AO5" s="241"/>
      <c r="AP5" s="241"/>
      <c r="AQ5" s="241">
        <v>600</v>
      </c>
      <c r="AR5" s="241">
        <v>8160</v>
      </c>
      <c r="AS5" s="241">
        <v>6536</v>
      </c>
      <c r="AT5" s="241"/>
      <c r="AU5" s="241"/>
      <c r="AV5" s="241"/>
      <c r="AW5" s="241">
        <v>600</v>
      </c>
      <c r="AX5" s="241">
        <v>9240</v>
      </c>
      <c r="AY5" s="241">
        <v>6663.2</v>
      </c>
      <c r="AZ5" s="241"/>
      <c r="BA5" s="241"/>
      <c r="BB5" s="241"/>
      <c r="BC5" s="241">
        <v>600</v>
      </c>
      <c r="BD5" s="241">
        <v>8440</v>
      </c>
      <c r="BE5" s="241">
        <v>6556</v>
      </c>
      <c r="BF5" s="241"/>
      <c r="BG5" s="241"/>
      <c r="BH5" s="241"/>
      <c r="BI5" s="241">
        <v>610</v>
      </c>
      <c r="BJ5" s="241">
        <v>8220</v>
      </c>
      <c r="BK5" s="241">
        <v>6747.2</v>
      </c>
      <c r="BL5" s="241">
        <v>540</v>
      </c>
      <c r="BM5" s="241">
        <v>7240</v>
      </c>
      <c r="BN5" s="241">
        <v>6216</v>
      </c>
      <c r="BO5" s="241">
        <v>600</v>
      </c>
      <c r="BP5" s="241">
        <v>8440</v>
      </c>
      <c r="BQ5" s="241">
        <v>6652</v>
      </c>
      <c r="BR5" s="242">
        <f t="shared" ref="BR5:BT20" si="3">+AK5+AN5+AQ5+AT5+AW5+AZ5+BC5+BF5+BI5+BL5+BO5</f>
        <v>7720</v>
      </c>
      <c r="BS5" s="242">
        <f t="shared" si="1"/>
        <v>106120</v>
      </c>
      <c r="BT5" s="242">
        <f t="shared" si="1"/>
        <v>84747.199999999997</v>
      </c>
      <c r="BU5" s="104">
        <v>600</v>
      </c>
      <c r="BV5" s="104">
        <v>8680</v>
      </c>
      <c r="BW5" s="104">
        <v>6719.2</v>
      </c>
      <c r="BX5" s="104"/>
      <c r="BY5" s="104"/>
      <c r="BZ5" s="104"/>
      <c r="CA5" s="104">
        <v>610</v>
      </c>
      <c r="CB5" s="104">
        <v>8920</v>
      </c>
      <c r="CC5" s="104">
        <v>6872.8</v>
      </c>
      <c r="CD5" s="104"/>
      <c r="CE5" s="104"/>
      <c r="CF5" s="104"/>
      <c r="CG5" s="104"/>
      <c r="CH5" s="104"/>
      <c r="CI5" s="104"/>
      <c r="CJ5" s="104">
        <v>600</v>
      </c>
      <c r="CK5" s="104">
        <v>8440</v>
      </c>
      <c r="CL5" s="104">
        <v>6556</v>
      </c>
      <c r="CM5" s="104">
        <v>600</v>
      </c>
      <c r="CN5" s="104">
        <v>8440</v>
      </c>
      <c r="CO5" s="104">
        <v>6556</v>
      </c>
      <c r="CP5" s="104">
        <v>600</v>
      </c>
      <c r="CQ5" s="104">
        <v>7400</v>
      </c>
      <c r="CR5" s="104">
        <v>6896</v>
      </c>
      <c r="CS5" s="104"/>
      <c r="CT5" s="104"/>
      <c r="CU5" s="104"/>
      <c r="CV5" s="241"/>
      <c r="CW5" s="241"/>
      <c r="CX5" s="241"/>
      <c r="CY5" s="241"/>
      <c r="CZ5" s="241"/>
      <c r="DA5" s="241"/>
      <c r="DB5" s="242">
        <f t="shared" ref="DB5:DD45" si="4">+BR5+BU5+BX5+CA5+CD5+CG5+CJ5+CM5+CP5+CS5+CV5+CY5</f>
        <v>10730</v>
      </c>
      <c r="DC5" s="242">
        <f t="shared" si="4"/>
        <v>148000</v>
      </c>
      <c r="DD5" s="242">
        <f>+BT5+BW5+BZ5+CC5+CF5+CI5+CL5+CO5+CR5+CU5+CX5+DA5</f>
        <v>118347.2</v>
      </c>
      <c r="DG5" s="243"/>
      <c r="DH5" s="244"/>
      <c r="DI5" s="244"/>
      <c r="DJ5" s="244"/>
    </row>
    <row r="6" spans="1:117" ht="20.100000000000001" customHeight="1" x14ac:dyDescent="0.6">
      <c r="A6" s="234">
        <v>3</v>
      </c>
      <c r="B6" s="245" t="s">
        <v>62</v>
      </c>
      <c r="C6" s="234" t="s">
        <v>63</v>
      </c>
      <c r="D6" s="246" t="s">
        <v>64</v>
      </c>
      <c r="E6" s="246" t="s">
        <v>65</v>
      </c>
      <c r="F6" s="238" t="s">
        <v>56</v>
      </c>
      <c r="G6" s="239"/>
      <c r="H6" s="240"/>
      <c r="I6" s="240"/>
      <c r="J6" s="240"/>
      <c r="K6" s="240"/>
      <c r="L6" s="240"/>
      <c r="M6" s="240">
        <v>755</v>
      </c>
      <c r="N6" s="240">
        <v>11360</v>
      </c>
      <c r="O6" s="240">
        <v>9079.2000000000007</v>
      </c>
      <c r="P6" s="240"/>
      <c r="Q6" s="240"/>
      <c r="R6" s="240"/>
      <c r="S6" s="240"/>
      <c r="T6" s="240"/>
      <c r="U6" s="240"/>
      <c r="V6" s="240">
        <v>190</v>
      </c>
      <c r="W6" s="240">
        <v>2620</v>
      </c>
      <c r="X6" s="240">
        <v>2124.8000000000002</v>
      </c>
      <c r="Y6" s="240"/>
      <c r="Z6" s="240"/>
      <c r="AA6" s="240"/>
      <c r="AB6" s="240"/>
      <c r="AC6" s="240"/>
      <c r="AD6" s="240"/>
      <c r="AE6" s="240"/>
      <c r="AF6" s="104"/>
      <c r="AG6" s="104"/>
      <c r="AH6" s="241">
        <v>200</v>
      </c>
      <c r="AI6" s="241">
        <v>3020</v>
      </c>
      <c r="AJ6" s="241">
        <v>2264.8000000000002</v>
      </c>
      <c r="AK6" s="242">
        <f t="shared" si="2"/>
        <v>1145</v>
      </c>
      <c r="AL6" s="242">
        <f t="shared" si="0"/>
        <v>17000</v>
      </c>
      <c r="AM6" s="242">
        <f t="shared" si="0"/>
        <v>13468.8</v>
      </c>
      <c r="AN6" s="241">
        <v>170</v>
      </c>
      <c r="AO6" s="241">
        <v>2880</v>
      </c>
      <c r="AP6" s="241">
        <v>2275.1999999999998</v>
      </c>
      <c r="AQ6" s="241"/>
      <c r="AR6" s="241"/>
      <c r="AS6" s="241"/>
      <c r="AT6" s="241"/>
      <c r="AU6" s="241"/>
      <c r="AV6" s="241"/>
      <c r="AW6" s="241">
        <v>180</v>
      </c>
      <c r="AX6" s="241">
        <v>3360</v>
      </c>
      <c r="AY6" s="241">
        <v>2496</v>
      </c>
      <c r="AZ6" s="241"/>
      <c r="BA6" s="241"/>
      <c r="BB6" s="241"/>
      <c r="BC6" s="241">
        <v>740</v>
      </c>
      <c r="BD6" s="241">
        <v>9640</v>
      </c>
      <c r="BE6" s="241">
        <v>8026.4</v>
      </c>
      <c r="BF6" s="241"/>
      <c r="BG6" s="241"/>
      <c r="BH6" s="241"/>
      <c r="BI6" s="241"/>
      <c r="BJ6" s="241"/>
      <c r="BK6" s="241"/>
      <c r="BL6" s="241">
        <v>230</v>
      </c>
      <c r="BM6" s="241">
        <v>3380</v>
      </c>
      <c r="BN6" s="241">
        <v>2636.8</v>
      </c>
      <c r="BO6" s="241"/>
      <c r="BP6" s="241"/>
      <c r="BQ6" s="241"/>
      <c r="BR6" s="242">
        <f t="shared" si="3"/>
        <v>2465</v>
      </c>
      <c r="BS6" s="242">
        <f t="shared" si="1"/>
        <v>36260</v>
      </c>
      <c r="BT6" s="242">
        <f t="shared" si="1"/>
        <v>28903.200000000001</v>
      </c>
      <c r="BU6" s="104"/>
      <c r="BV6" s="104"/>
      <c r="BW6" s="104"/>
      <c r="BX6" s="104"/>
      <c r="BY6" s="104"/>
      <c r="BZ6" s="104"/>
      <c r="CA6" s="104">
        <v>730</v>
      </c>
      <c r="CB6" s="104">
        <v>11440</v>
      </c>
      <c r="CC6" s="104">
        <v>8443.2000000000007</v>
      </c>
      <c r="CD6" s="104"/>
      <c r="CE6" s="104"/>
      <c r="CF6" s="104"/>
      <c r="CG6" s="104"/>
      <c r="CH6" s="104"/>
      <c r="CI6" s="104"/>
      <c r="CJ6" s="104">
        <v>442</v>
      </c>
      <c r="CK6" s="104">
        <v>6334</v>
      </c>
      <c r="CL6" s="104">
        <v>5156</v>
      </c>
      <c r="CM6" s="104"/>
      <c r="CN6" s="104"/>
      <c r="CO6" s="104"/>
      <c r="CP6" s="104">
        <v>500</v>
      </c>
      <c r="CQ6" s="104">
        <v>7400</v>
      </c>
      <c r="CR6" s="104">
        <v>5920</v>
      </c>
      <c r="CS6" s="104"/>
      <c r="CT6" s="104"/>
      <c r="CU6" s="104"/>
      <c r="CV6" s="241"/>
      <c r="CW6" s="241"/>
      <c r="CX6" s="241"/>
      <c r="CY6" s="241"/>
      <c r="CZ6" s="241"/>
      <c r="DA6" s="241"/>
      <c r="DB6" s="242">
        <f t="shared" si="4"/>
        <v>4137</v>
      </c>
      <c r="DC6" s="242">
        <f t="shared" si="4"/>
        <v>61434</v>
      </c>
      <c r="DD6" s="242">
        <f t="shared" si="4"/>
        <v>48422.400000000001</v>
      </c>
      <c r="DG6" s="243"/>
      <c r="DH6" s="244"/>
      <c r="DI6" s="244"/>
      <c r="DJ6" s="244"/>
    </row>
    <row r="7" spans="1:117" ht="20.100000000000001" customHeight="1" x14ac:dyDescent="0.6">
      <c r="A7" s="234">
        <v>4</v>
      </c>
      <c r="B7" s="245" t="s">
        <v>66</v>
      </c>
      <c r="C7" s="234" t="s">
        <v>67</v>
      </c>
      <c r="D7" s="246" t="s">
        <v>60</v>
      </c>
      <c r="E7" s="246" t="s">
        <v>61</v>
      </c>
      <c r="F7" s="238" t="s">
        <v>56</v>
      </c>
      <c r="G7" s="239"/>
      <c r="H7" s="240"/>
      <c r="I7" s="240"/>
      <c r="J7" s="240"/>
      <c r="K7" s="240"/>
      <c r="L7" s="240"/>
      <c r="M7" s="240"/>
      <c r="N7" s="240"/>
      <c r="O7" s="240"/>
      <c r="P7" s="240">
        <v>500</v>
      </c>
      <c r="Q7" s="240">
        <v>6300</v>
      </c>
      <c r="R7" s="240">
        <v>5544</v>
      </c>
      <c r="S7" s="240"/>
      <c r="T7" s="240"/>
      <c r="U7" s="240"/>
      <c r="V7" s="240">
        <v>700</v>
      </c>
      <c r="W7" s="240">
        <v>8900</v>
      </c>
      <c r="X7" s="240">
        <v>7640</v>
      </c>
      <c r="Y7" s="240"/>
      <c r="Z7" s="240"/>
      <c r="AA7" s="240"/>
      <c r="AB7" s="240"/>
      <c r="AC7" s="240"/>
      <c r="AD7" s="240"/>
      <c r="AE7" s="240">
        <v>400</v>
      </c>
      <c r="AF7" s="104">
        <v>5000</v>
      </c>
      <c r="AG7" s="104">
        <v>4496</v>
      </c>
      <c r="AH7" s="241"/>
      <c r="AI7" s="241"/>
      <c r="AJ7" s="241"/>
      <c r="AK7" s="242">
        <f t="shared" si="2"/>
        <v>1600</v>
      </c>
      <c r="AL7" s="242">
        <f t="shared" si="0"/>
        <v>20200</v>
      </c>
      <c r="AM7" s="242">
        <f t="shared" si="0"/>
        <v>17680</v>
      </c>
      <c r="AN7" s="241">
        <v>700</v>
      </c>
      <c r="AO7" s="241">
        <v>8800</v>
      </c>
      <c r="AP7" s="241">
        <v>7792</v>
      </c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  <c r="BD7" s="241"/>
      <c r="BE7" s="241"/>
      <c r="BF7" s="241"/>
      <c r="BG7" s="241"/>
      <c r="BH7" s="241"/>
      <c r="BI7" s="241">
        <v>600</v>
      </c>
      <c r="BJ7" s="241">
        <v>8300</v>
      </c>
      <c r="BK7" s="241">
        <v>6608</v>
      </c>
      <c r="BL7" s="241"/>
      <c r="BM7" s="241"/>
      <c r="BN7" s="241"/>
      <c r="BO7" s="241"/>
      <c r="BP7" s="241"/>
      <c r="BQ7" s="241"/>
      <c r="BR7" s="242">
        <f t="shared" si="3"/>
        <v>2900</v>
      </c>
      <c r="BS7" s="242">
        <f t="shared" si="1"/>
        <v>37300</v>
      </c>
      <c r="BT7" s="242">
        <f t="shared" si="1"/>
        <v>32080</v>
      </c>
      <c r="BU7" s="104"/>
      <c r="BV7" s="104"/>
      <c r="BW7" s="104"/>
      <c r="BX7" s="104"/>
      <c r="BY7" s="104"/>
      <c r="BZ7" s="104"/>
      <c r="CA7" s="104">
        <v>630</v>
      </c>
      <c r="CB7" s="104">
        <v>8420</v>
      </c>
      <c r="CC7" s="104">
        <v>6900.8</v>
      </c>
      <c r="CD7" s="104"/>
      <c r="CE7" s="104"/>
      <c r="CF7" s="104"/>
      <c r="CG7" s="104">
        <v>675</v>
      </c>
      <c r="CH7" s="104">
        <v>8900</v>
      </c>
      <c r="CI7" s="104">
        <v>7424</v>
      </c>
      <c r="CJ7" s="104"/>
      <c r="CK7" s="104"/>
      <c r="CL7" s="104"/>
      <c r="CM7" s="104"/>
      <c r="CN7" s="104"/>
      <c r="CO7" s="104"/>
      <c r="CP7" s="143"/>
      <c r="CQ7" s="143"/>
      <c r="CR7" s="143"/>
      <c r="CS7" s="104"/>
      <c r="CT7" s="104"/>
      <c r="CU7" s="104"/>
      <c r="CV7" s="241"/>
      <c r="CW7" s="241"/>
      <c r="CX7" s="241"/>
      <c r="CY7" s="241"/>
      <c r="CZ7" s="241"/>
      <c r="DA7" s="241"/>
      <c r="DB7" s="242">
        <f t="shared" si="4"/>
        <v>4205</v>
      </c>
      <c r="DC7" s="242">
        <f t="shared" si="4"/>
        <v>54620</v>
      </c>
      <c r="DD7" s="242">
        <f t="shared" si="4"/>
        <v>46404.800000000003</v>
      </c>
      <c r="DG7" s="243"/>
      <c r="DH7" s="244"/>
      <c r="DI7" s="244"/>
      <c r="DJ7" s="244"/>
    </row>
    <row r="8" spans="1:117" ht="20.100000000000001" customHeight="1" x14ac:dyDescent="0.6">
      <c r="A8" s="234">
        <v>5</v>
      </c>
      <c r="B8" s="245" t="s">
        <v>68</v>
      </c>
      <c r="C8" s="234" t="s">
        <v>69</v>
      </c>
      <c r="D8" s="246" t="s">
        <v>70</v>
      </c>
      <c r="E8" s="246" t="s">
        <v>71</v>
      </c>
      <c r="F8" s="238" t="s">
        <v>56</v>
      </c>
      <c r="G8" s="239"/>
      <c r="H8" s="240"/>
      <c r="I8" s="240"/>
      <c r="J8" s="240"/>
      <c r="K8" s="240"/>
      <c r="L8" s="240"/>
      <c r="M8" s="240">
        <v>500</v>
      </c>
      <c r="N8" s="240">
        <v>7600</v>
      </c>
      <c r="O8" s="240">
        <v>5652</v>
      </c>
      <c r="P8" s="240"/>
      <c r="Q8" s="240"/>
      <c r="R8" s="240"/>
      <c r="S8" s="240"/>
      <c r="T8" s="240"/>
      <c r="U8" s="240"/>
      <c r="V8" s="240"/>
      <c r="W8" s="240"/>
      <c r="X8" s="240"/>
      <c r="Y8" s="240">
        <v>500</v>
      </c>
      <c r="Z8" s="240">
        <v>7100</v>
      </c>
      <c r="AA8" s="240">
        <v>5592.8</v>
      </c>
      <c r="AB8" s="240"/>
      <c r="AC8" s="240"/>
      <c r="AD8" s="240"/>
      <c r="AE8" s="240"/>
      <c r="AF8" s="104"/>
      <c r="AG8" s="104"/>
      <c r="AH8" s="241">
        <v>500</v>
      </c>
      <c r="AI8" s="241">
        <v>7600</v>
      </c>
      <c r="AJ8" s="241">
        <v>5604</v>
      </c>
      <c r="AK8" s="242">
        <f t="shared" si="2"/>
        <v>1500</v>
      </c>
      <c r="AL8" s="242">
        <f t="shared" si="0"/>
        <v>22300</v>
      </c>
      <c r="AM8" s="242">
        <f t="shared" si="0"/>
        <v>16848.8</v>
      </c>
      <c r="AN8" s="241"/>
      <c r="AO8" s="241"/>
      <c r="AP8" s="241"/>
      <c r="AQ8" s="241"/>
      <c r="AR8" s="241"/>
      <c r="AS8" s="241"/>
      <c r="AT8" s="241"/>
      <c r="AU8" s="241"/>
      <c r="AV8" s="241"/>
      <c r="AW8" s="241">
        <v>510</v>
      </c>
      <c r="AX8" s="241">
        <v>7160</v>
      </c>
      <c r="AY8" s="241">
        <v>5660</v>
      </c>
      <c r="AZ8" s="241"/>
      <c r="BA8" s="241"/>
      <c r="BB8" s="241"/>
      <c r="BC8" s="241"/>
      <c r="BD8" s="241"/>
      <c r="BE8" s="241"/>
      <c r="BF8" s="241">
        <v>500</v>
      </c>
      <c r="BG8" s="241">
        <v>7780</v>
      </c>
      <c r="BH8" s="241">
        <v>5668</v>
      </c>
      <c r="BI8" s="241"/>
      <c r="BJ8" s="241"/>
      <c r="BK8" s="241"/>
      <c r="BL8" s="241"/>
      <c r="BM8" s="241"/>
      <c r="BN8" s="241"/>
      <c r="BO8" s="241"/>
      <c r="BP8" s="241"/>
      <c r="BQ8" s="241"/>
      <c r="BR8" s="242">
        <f t="shared" si="3"/>
        <v>2510</v>
      </c>
      <c r="BS8" s="242">
        <f t="shared" si="1"/>
        <v>37240</v>
      </c>
      <c r="BT8" s="242">
        <f t="shared" si="1"/>
        <v>28176.799999999999</v>
      </c>
      <c r="BU8" s="104">
        <v>500</v>
      </c>
      <c r="BV8" s="104">
        <v>7380</v>
      </c>
      <c r="BW8" s="104">
        <v>5540.8</v>
      </c>
      <c r="BX8" s="104"/>
      <c r="BY8" s="104"/>
      <c r="BZ8" s="104"/>
      <c r="CA8" s="104"/>
      <c r="CB8" s="104"/>
      <c r="CC8" s="104"/>
      <c r="CD8" s="104">
        <v>500</v>
      </c>
      <c r="CE8" s="104">
        <v>7600</v>
      </c>
      <c r="CF8" s="104">
        <v>5556</v>
      </c>
      <c r="CG8" s="104"/>
      <c r="CH8" s="104"/>
      <c r="CI8" s="104"/>
      <c r="CJ8" s="104"/>
      <c r="CK8" s="104"/>
      <c r="CL8" s="104"/>
      <c r="CM8" s="104"/>
      <c r="CN8" s="104"/>
      <c r="CO8" s="104"/>
      <c r="CP8" s="143">
        <v>510</v>
      </c>
      <c r="CQ8" s="143">
        <v>7220</v>
      </c>
      <c r="CR8" s="143">
        <v>5676.8</v>
      </c>
      <c r="CS8" s="104"/>
      <c r="CT8" s="104"/>
      <c r="CU8" s="104"/>
      <c r="CV8" s="241"/>
      <c r="CW8" s="241"/>
      <c r="CX8" s="241"/>
      <c r="CY8" s="241"/>
      <c r="CZ8" s="241"/>
      <c r="DA8" s="241"/>
      <c r="DB8" s="242">
        <f t="shared" si="4"/>
        <v>4020</v>
      </c>
      <c r="DC8" s="242">
        <f t="shared" si="4"/>
        <v>59440</v>
      </c>
      <c r="DD8" s="242">
        <f t="shared" si="4"/>
        <v>44950.400000000001</v>
      </c>
      <c r="DG8" s="243"/>
      <c r="DH8" s="244"/>
      <c r="DI8" s="244"/>
      <c r="DJ8" s="244"/>
    </row>
    <row r="9" spans="1:117" ht="20.100000000000001" customHeight="1" x14ac:dyDescent="0.6">
      <c r="A9" s="234">
        <v>6</v>
      </c>
      <c r="B9" s="245" t="s">
        <v>72</v>
      </c>
      <c r="C9" s="234" t="s">
        <v>73</v>
      </c>
      <c r="D9" s="246" t="s">
        <v>74</v>
      </c>
      <c r="E9" s="246" t="s">
        <v>75</v>
      </c>
      <c r="F9" s="238" t="s">
        <v>56</v>
      </c>
      <c r="G9" s="239"/>
      <c r="H9" s="240"/>
      <c r="I9" s="240"/>
      <c r="J9" s="240">
        <v>800</v>
      </c>
      <c r="K9" s="240">
        <v>11550</v>
      </c>
      <c r="L9" s="240">
        <v>8195.6</v>
      </c>
      <c r="M9" s="240"/>
      <c r="N9" s="240"/>
      <c r="O9" s="240"/>
      <c r="P9" s="240"/>
      <c r="Q9" s="240"/>
      <c r="R9" s="240"/>
      <c r="S9" s="240"/>
      <c r="T9" s="240"/>
      <c r="U9" s="240"/>
      <c r="V9" s="240">
        <v>600</v>
      </c>
      <c r="W9" s="240">
        <v>8740</v>
      </c>
      <c r="X9" s="240">
        <v>6196</v>
      </c>
      <c r="Y9" s="240">
        <v>245</v>
      </c>
      <c r="Z9" s="240">
        <v>3620</v>
      </c>
      <c r="AA9" s="240">
        <v>2574.8000000000002</v>
      </c>
      <c r="AB9" s="240"/>
      <c r="AC9" s="240"/>
      <c r="AD9" s="240"/>
      <c r="AE9" s="240">
        <v>1360</v>
      </c>
      <c r="AF9" s="104">
        <v>18480</v>
      </c>
      <c r="AG9" s="104">
        <v>13657.2</v>
      </c>
      <c r="AH9" s="241"/>
      <c r="AI9" s="241"/>
      <c r="AJ9" s="241"/>
      <c r="AK9" s="242">
        <f t="shared" si="2"/>
        <v>3005</v>
      </c>
      <c r="AL9" s="242">
        <f t="shared" si="0"/>
        <v>42390</v>
      </c>
      <c r="AM9" s="242">
        <f t="shared" si="0"/>
        <v>30623.600000000002</v>
      </c>
      <c r="AN9" s="241"/>
      <c r="AO9" s="241"/>
      <c r="AP9" s="241"/>
      <c r="AQ9" s="241"/>
      <c r="AR9" s="241"/>
      <c r="AS9" s="241"/>
      <c r="AT9" s="241"/>
      <c r="AU9" s="241"/>
      <c r="AV9" s="241"/>
      <c r="AW9" s="241">
        <v>240</v>
      </c>
      <c r="AX9" s="241">
        <v>3420</v>
      </c>
      <c r="AY9" s="241">
        <v>2504.8000000000002</v>
      </c>
      <c r="AZ9" s="241"/>
      <c r="BA9" s="241"/>
      <c r="BB9" s="241"/>
      <c r="BC9" s="241">
        <v>570</v>
      </c>
      <c r="BD9" s="241">
        <v>7540</v>
      </c>
      <c r="BE9" s="241">
        <v>5776</v>
      </c>
      <c r="BF9" s="241">
        <v>600</v>
      </c>
      <c r="BG9" s="241">
        <v>8320</v>
      </c>
      <c r="BH9" s="241">
        <v>6388.7999999999993</v>
      </c>
      <c r="BI9" s="241">
        <v>750</v>
      </c>
      <c r="BJ9" s="241">
        <v>10040</v>
      </c>
      <c r="BK9" s="241">
        <v>7419.2000000000007</v>
      </c>
      <c r="BL9" s="241"/>
      <c r="BM9" s="241"/>
      <c r="BN9" s="241"/>
      <c r="BO9" s="241"/>
      <c r="BP9" s="241"/>
      <c r="BQ9" s="241"/>
      <c r="BR9" s="242">
        <f t="shared" si="3"/>
        <v>5165</v>
      </c>
      <c r="BS9" s="242">
        <f t="shared" si="1"/>
        <v>71710</v>
      </c>
      <c r="BT9" s="242">
        <f t="shared" si="1"/>
        <v>52712.399999999994</v>
      </c>
      <c r="BU9" s="104"/>
      <c r="BV9" s="104"/>
      <c r="BW9" s="104"/>
      <c r="BX9" s="104"/>
      <c r="BY9" s="104"/>
      <c r="BZ9" s="104"/>
      <c r="CA9" s="104"/>
      <c r="CB9" s="104"/>
      <c r="CC9" s="104"/>
      <c r="CD9" s="104">
        <v>925</v>
      </c>
      <c r="CE9" s="104">
        <v>12680</v>
      </c>
      <c r="CF9" s="104">
        <v>9589.6</v>
      </c>
      <c r="CG9" s="104"/>
      <c r="CH9" s="104"/>
      <c r="CI9" s="104"/>
      <c r="CJ9" s="104">
        <v>550</v>
      </c>
      <c r="CK9" s="104">
        <v>8220</v>
      </c>
      <c r="CL9" s="104">
        <v>5330.4000000000005</v>
      </c>
      <c r="CM9" s="104">
        <v>570</v>
      </c>
      <c r="CN9" s="104">
        <v>8100</v>
      </c>
      <c r="CO9" s="104">
        <v>5816</v>
      </c>
      <c r="CP9" s="143"/>
      <c r="CQ9" s="143"/>
      <c r="CR9" s="143"/>
      <c r="CS9" s="104"/>
      <c r="CT9" s="104"/>
      <c r="CU9" s="104"/>
      <c r="CV9" s="241"/>
      <c r="CW9" s="241"/>
      <c r="CX9" s="241"/>
      <c r="CY9" s="241"/>
      <c r="CZ9" s="241"/>
      <c r="DA9" s="241"/>
      <c r="DB9" s="242">
        <f t="shared" si="4"/>
        <v>7210</v>
      </c>
      <c r="DC9" s="242">
        <f t="shared" si="4"/>
        <v>100710</v>
      </c>
      <c r="DD9" s="242">
        <f t="shared" si="4"/>
        <v>73448.399999999994</v>
      </c>
      <c r="DG9" s="243"/>
      <c r="DH9" s="244"/>
      <c r="DI9" s="244"/>
      <c r="DJ9" s="244"/>
    </row>
    <row r="10" spans="1:117" ht="20.100000000000001" customHeight="1" x14ac:dyDescent="0.6">
      <c r="A10" s="234">
        <v>7</v>
      </c>
      <c r="B10" s="245" t="s">
        <v>76</v>
      </c>
      <c r="C10" s="234" t="s">
        <v>77</v>
      </c>
      <c r="D10" s="246" t="s">
        <v>78</v>
      </c>
      <c r="E10" s="246" t="s">
        <v>79</v>
      </c>
      <c r="F10" s="238" t="s">
        <v>56</v>
      </c>
      <c r="G10" s="239"/>
      <c r="H10" s="240"/>
      <c r="I10" s="240"/>
      <c r="J10" s="240">
        <v>560</v>
      </c>
      <c r="K10" s="240">
        <v>8500</v>
      </c>
      <c r="L10" s="240">
        <v>6688</v>
      </c>
      <c r="M10" s="240"/>
      <c r="N10" s="240"/>
      <c r="O10" s="240"/>
      <c r="P10" s="240">
        <v>560</v>
      </c>
      <c r="Q10" s="240">
        <v>8600</v>
      </c>
      <c r="R10" s="240">
        <v>6500</v>
      </c>
      <c r="S10" s="240"/>
      <c r="T10" s="240"/>
      <c r="U10" s="240"/>
      <c r="V10" s="240"/>
      <c r="W10" s="240"/>
      <c r="X10" s="240"/>
      <c r="Y10" s="240">
        <v>560</v>
      </c>
      <c r="Z10" s="240">
        <v>8560</v>
      </c>
      <c r="AA10" s="240">
        <v>6452.8</v>
      </c>
      <c r="AB10" s="240"/>
      <c r="AC10" s="240"/>
      <c r="AD10" s="240"/>
      <c r="AE10" s="240"/>
      <c r="AF10" s="104"/>
      <c r="AG10" s="104"/>
      <c r="AH10" s="241">
        <v>560</v>
      </c>
      <c r="AI10" s="241">
        <v>6980</v>
      </c>
      <c r="AJ10" s="241">
        <v>6180.8</v>
      </c>
      <c r="AK10" s="242">
        <f t="shared" si="2"/>
        <v>2240</v>
      </c>
      <c r="AL10" s="242">
        <f t="shared" si="0"/>
        <v>32640</v>
      </c>
      <c r="AM10" s="242">
        <f t="shared" si="0"/>
        <v>25821.599999999999</v>
      </c>
      <c r="AN10" s="241"/>
      <c r="AO10" s="241"/>
      <c r="AP10" s="241"/>
      <c r="AQ10" s="241"/>
      <c r="AR10" s="241"/>
      <c r="AS10" s="241"/>
      <c r="AT10" s="241">
        <v>560</v>
      </c>
      <c r="AU10" s="241">
        <v>9900</v>
      </c>
      <c r="AV10" s="241">
        <v>6716</v>
      </c>
      <c r="AW10" s="241"/>
      <c r="AX10" s="241"/>
      <c r="AY10" s="241"/>
      <c r="AZ10" s="241"/>
      <c r="BA10" s="241"/>
      <c r="BB10" s="241"/>
      <c r="BC10" s="241">
        <v>560</v>
      </c>
      <c r="BD10" s="241">
        <v>9620</v>
      </c>
      <c r="BE10" s="241">
        <v>6768</v>
      </c>
      <c r="BF10" s="241"/>
      <c r="BG10" s="241"/>
      <c r="BH10" s="241"/>
      <c r="BI10" s="241"/>
      <c r="BJ10" s="241"/>
      <c r="BK10" s="241"/>
      <c r="BL10" s="241"/>
      <c r="BM10" s="241"/>
      <c r="BN10" s="241"/>
      <c r="BO10" s="241">
        <v>560</v>
      </c>
      <c r="BP10" s="241">
        <v>7940</v>
      </c>
      <c r="BQ10" s="241">
        <v>6576</v>
      </c>
      <c r="BR10" s="242">
        <f t="shared" si="3"/>
        <v>3920</v>
      </c>
      <c r="BS10" s="242">
        <f t="shared" si="1"/>
        <v>60100</v>
      </c>
      <c r="BT10" s="242">
        <f t="shared" si="1"/>
        <v>45881.599999999999</v>
      </c>
      <c r="BU10" s="104"/>
      <c r="BV10" s="104"/>
      <c r="BW10" s="104"/>
      <c r="BX10" s="104"/>
      <c r="BY10" s="104"/>
      <c r="BZ10" s="104"/>
      <c r="CA10" s="104">
        <v>560</v>
      </c>
      <c r="CB10" s="104">
        <v>9900</v>
      </c>
      <c r="CC10" s="104">
        <v>6788</v>
      </c>
      <c r="CD10" s="104"/>
      <c r="CE10" s="104"/>
      <c r="CF10" s="104"/>
      <c r="CG10" s="104"/>
      <c r="CH10" s="104"/>
      <c r="CI10" s="104"/>
      <c r="CJ10" s="104"/>
      <c r="CK10" s="104"/>
      <c r="CL10" s="104"/>
      <c r="CM10" s="104">
        <v>560</v>
      </c>
      <c r="CN10" s="104">
        <v>9900</v>
      </c>
      <c r="CO10" s="104">
        <v>6788</v>
      </c>
      <c r="CP10" s="143">
        <v>560</v>
      </c>
      <c r="CQ10" s="143">
        <v>8400</v>
      </c>
      <c r="CR10" s="143">
        <v>6696</v>
      </c>
      <c r="CS10" s="104"/>
      <c r="CT10" s="104"/>
      <c r="CU10" s="104"/>
      <c r="CV10" s="241"/>
      <c r="CW10" s="241"/>
      <c r="CX10" s="241"/>
      <c r="CY10" s="241"/>
      <c r="CZ10" s="241"/>
      <c r="DA10" s="241"/>
      <c r="DB10" s="242">
        <f t="shared" si="4"/>
        <v>5600</v>
      </c>
      <c r="DC10" s="242">
        <f t="shared" si="4"/>
        <v>88300</v>
      </c>
      <c r="DD10" s="242">
        <f t="shared" si="4"/>
        <v>66153.600000000006</v>
      </c>
      <c r="DG10" s="243"/>
      <c r="DH10" s="244"/>
      <c r="DI10" s="244"/>
      <c r="DJ10" s="244"/>
    </row>
    <row r="11" spans="1:117" ht="20.100000000000001" customHeight="1" x14ac:dyDescent="0.6">
      <c r="A11" s="234">
        <v>8</v>
      </c>
      <c r="B11" s="245" t="s">
        <v>80</v>
      </c>
      <c r="C11" s="234" t="s">
        <v>81</v>
      </c>
      <c r="D11" s="246" t="s">
        <v>82</v>
      </c>
      <c r="E11" s="246" t="s">
        <v>83</v>
      </c>
      <c r="F11" s="238" t="s">
        <v>56</v>
      </c>
      <c r="G11" s="239"/>
      <c r="H11" s="240"/>
      <c r="I11" s="240"/>
      <c r="J11" s="240"/>
      <c r="K11" s="240"/>
      <c r="L11" s="240"/>
      <c r="M11" s="240"/>
      <c r="N11" s="240"/>
      <c r="O11" s="240"/>
      <c r="P11" s="240">
        <v>230</v>
      </c>
      <c r="Q11" s="240">
        <v>3120</v>
      </c>
      <c r="R11" s="240">
        <v>2212.8000000000002</v>
      </c>
      <c r="S11" s="240">
        <v>230</v>
      </c>
      <c r="T11" s="240">
        <v>3080</v>
      </c>
      <c r="U11" s="240">
        <v>2237.6000000000004</v>
      </c>
      <c r="V11" s="240"/>
      <c r="W11" s="240"/>
      <c r="X11" s="240"/>
      <c r="Y11" s="240">
        <v>560</v>
      </c>
      <c r="Z11" s="240">
        <v>8020</v>
      </c>
      <c r="AA11" s="240">
        <v>5635.2000000000007</v>
      </c>
      <c r="AB11" s="240"/>
      <c r="AC11" s="240"/>
      <c r="AD11" s="240"/>
      <c r="AE11" s="240"/>
      <c r="AF11" s="104"/>
      <c r="AG11" s="104"/>
      <c r="AH11" s="241"/>
      <c r="AI11" s="241"/>
      <c r="AJ11" s="241"/>
      <c r="AK11" s="242">
        <f t="shared" si="2"/>
        <v>1020</v>
      </c>
      <c r="AL11" s="242">
        <f t="shared" si="0"/>
        <v>14220</v>
      </c>
      <c r="AM11" s="242">
        <f t="shared" si="0"/>
        <v>10085.600000000002</v>
      </c>
      <c r="AN11" s="241">
        <v>535</v>
      </c>
      <c r="AO11" s="241">
        <v>7560</v>
      </c>
      <c r="AP11" s="241">
        <v>5578.4000000000005</v>
      </c>
      <c r="AQ11" s="241"/>
      <c r="AR11" s="241"/>
      <c r="AS11" s="241"/>
      <c r="AT11" s="241"/>
      <c r="AU11" s="241"/>
      <c r="AV11" s="241"/>
      <c r="AW11" s="241"/>
      <c r="AX11" s="241"/>
      <c r="AY11" s="241"/>
      <c r="AZ11" s="241"/>
      <c r="BA11" s="241"/>
      <c r="BB11" s="241"/>
      <c r="BC11" s="241">
        <v>814</v>
      </c>
      <c r="BD11" s="241">
        <v>11968</v>
      </c>
      <c r="BE11" s="241">
        <v>8652</v>
      </c>
      <c r="BF11" s="241">
        <v>245</v>
      </c>
      <c r="BG11" s="241">
        <v>3520</v>
      </c>
      <c r="BH11" s="241">
        <v>2432</v>
      </c>
      <c r="BI11" s="241"/>
      <c r="BJ11" s="241"/>
      <c r="BK11" s="241"/>
      <c r="BL11" s="241"/>
      <c r="BM11" s="241"/>
      <c r="BN11" s="241"/>
      <c r="BO11" s="241">
        <v>300</v>
      </c>
      <c r="BP11" s="241">
        <v>4780</v>
      </c>
      <c r="BQ11" s="241">
        <v>3143.2</v>
      </c>
      <c r="BR11" s="242">
        <f t="shared" si="3"/>
        <v>2914</v>
      </c>
      <c r="BS11" s="242">
        <f t="shared" si="1"/>
        <v>42048</v>
      </c>
      <c r="BT11" s="242">
        <f t="shared" si="1"/>
        <v>29891.200000000004</v>
      </c>
      <c r="BU11" s="104">
        <v>250</v>
      </c>
      <c r="BV11" s="104">
        <v>4040</v>
      </c>
      <c r="BW11" s="104">
        <v>2756</v>
      </c>
      <c r="BX11" s="104"/>
      <c r="BY11" s="104"/>
      <c r="BZ11" s="104"/>
      <c r="CA11" s="104">
        <v>340</v>
      </c>
      <c r="CB11" s="104">
        <v>4360</v>
      </c>
      <c r="CC11" s="104">
        <v>3654.4</v>
      </c>
      <c r="CD11" s="104"/>
      <c r="CE11" s="104"/>
      <c r="CF11" s="104"/>
      <c r="CG11" s="104"/>
      <c r="CH11" s="104"/>
      <c r="CI11" s="104"/>
      <c r="CJ11" s="104">
        <v>350</v>
      </c>
      <c r="CK11" s="104">
        <v>4760</v>
      </c>
      <c r="CL11" s="104">
        <v>3348.8</v>
      </c>
      <c r="CM11" s="104"/>
      <c r="CN11" s="104"/>
      <c r="CO11" s="104"/>
      <c r="CP11" s="143">
        <v>280</v>
      </c>
      <c r="CQ11" s="143">
        <v>3660</v>
      </c>
      <c r="CR11" s="143">
        <v>2904</v>
      </c>
      <c r="CS11" s="104"/>
      <c r="CT11" s="104"/>
      <c r="CU11" s="104"/>
      <c r="CV11" s="241"/>
      <c r="CW11" s="241"/>
      <c r="CX11" s="241"/>
      <c r="CY11" s="241"/>
      <c r="CZ11" s="241"/>
      <c r="DA11" s="241"/>
      <c r="DB11" s="242">
        <f t="shared" si="4"/>
        <v>4134</v>
      </c>
      <c r="DC11" s="242">
        <f t="shared" si="4"/>
        <v>58868</v>
      </c>
      <c r="DD11" s="242">
        <f t="shared" si="4"/>
        <v>42554.400000000009</v>
      </c>
      <c r="DG11" s="243"/>
      <c r="DH11" s="244"/>
      <c r="DI11" s="244"/>
      <c r="DJ11" s="244"/>
    </row>
    <row r="12" spans="1:117" ht="20.100000000000001" customHeight="1" x14ac:dyDescent="0.6">
      <c r="A12" s="234">
        <v>9</v>
      </c>
      <c r="B12" s="245" t="s">
        <v>84</v>
      </c>
      <c r="C12" s="234" t="s">
        <v>85</v>
      </c>
      <c r="D12" s="246" t="s">
        <v>86</v>
      </c>
      <c r="E12" s="246" t="s">
        <v>87</v>
      </c>
      <c r="F12" s="238" t="s">
        <v>56</v>
      </c>
      <c r="G12" s="239"/>
      <c r="H12" s="240"/>
      <c r="I12" s="240"/>
      <c r="J12" s="240">
        <v>390</v>
      </c>
      <c r="K12" s="240">
        <v>5780</v>
      </c>
      <c r="L12" s="240">
        <v>4200.8</v>
      </c>
      <c r="M12" s="240"/>
      <c r="N12" s="240"/>
      <c r="O12" s="240"/>
      <c r="P12" s="240"/>
      <c r="Q12" s="240"/>
      <c r="R12" s="240"/>
      <c r="S12" s="240">
        <v>490</v>
      </c>
      <c r="T12" s="240">
        <v>7360</v>
      </c>
      <c r="U12" s="240">
        <v>5220.8</v>
      </c>
      <c r="V12" s="240"/>
      <c r="W12" s="240"/>
      <c r="X12" s="240"/>
      <c r="Y12" s="240">
        <v>330</v>
      </c>
      <c r="Z12" s="240">
        <v>5000</v>
      </c>
      <c r="AA12" s="240">
        <v>3476</v>
      </c>
      <c r="AB12" s="240"/>
      <c r="AC12" s="240"/>
      <c r="AD12" s="240"/>
      <c r="AE12" s="240"/>
      <c r="AF12" s="104"/>
      <c r="AG12" s="240"/>
      <c r="AH12" s="241"/>
      <c r="AI12" s="241"/>
      <c r="AJ12" s="241"/>
      <c r="AK12" s="242">
        <f t="shared" si="2"/>
        <v>1210</v>
      </c>
      <c r="AL12" s="242">
        <f t="shared" si="0"/>
        <v>18140</v>
      </c>
      <c r="AM12" s="242">
        <f t="shared" si="0"/>
        <v>12897.6</v>
      </c>
      <c r="AN12" s="241"/>
      <c r="AO12" s="241"/>
      <c r="AP12" s="241"/>
      <c r="AQ12" s="241">
        <v>350</v>
      </c>
      <c r="AR12" s="241">
        <v>5800</v>
      </c>
      <c r="AS12" s="241">
        <v>3756</v>
      </c>
      <c r="AT12" s="241"/>
      <c r="AU12" s="241"/>
      <c r="AV12" s="241"/>
      <c r="AW12" s="241"/>
      <c r="AX12" s="241"/>
      <c r="AY12" s="241"/>
      <c r="AZ12" s="241"/>
      <c r="BA12" s="241"/>
      <c r="BB12" s="241"/>
      <c r="BC12" s="241">
        <v>460</v>
      </c>
      <c r="BD12" s="241">
        <v>6760</v>
      </c>
      <c r="BE12" s="241">
        <v>4828</v>
      </c>
      <c r="BF12" s="241"/>
      <c r="BG12" s="241"/>
      <c r="BH12" s="241"/>
      <c r="BI12" s="241">
        <v>310</v>
      </c>
      <c r="BJ12" s="241">
        <v>5340</v>
      </c>
      <c r="BK12" s="241">
        <v>3245.6000000000004</v>
      </c>
      <c r="BL12" s="241"/>
      <c r="BM12" s="241"/>
      <c r="BN12" s="241"/>
      <c r="BO12" s="241">
        <v>150</v>
      </c>
      <c r="BP12" s="241">
        <v>1800</v>
      </c>
      <c r="BQ12" s="241">
        <v>1800</v>
      </c>
      <c r="BR12" s="242">
        <f t="shared" si="3"/>
        <v>2480</v>
      </c>
      <c r="BS12" s="242">
        <f t="shared" si="1"/>
        <v>37840</v>
      </c>
      <c r="BT12" s="242">
        <f t="shared" si="1"/>
        <v>26527.199999999997</v>
      </c>
      <c r="BU12" s="104">
        <v>288</v>
      </c>
      <c r="BV12" s="104">
        <v>4496</v>
      </c>
      <c r="BW12" s="104">
        <v>3068</v>
      </c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>
        <v>410</v>
      </c>
      <c r="CK12" s="104">
        <v>6060</v>
      </c>
      <c r="CL12" s="104">
        <v>4380</v>
      </c>
      <c r="CM12" s="104"/>
      <c r="CN12" s="104"/>
      <c r="CO12" s="104"/>
      <c r="CP12" s="143">
        <v>410</v>
      </c>
      <c r="CQ12" s="143">
        <v>6160</v>
      </c>
      <c r="CR12" s="143">
        <v>4228</v>
      </c>
      <c r="CS12" s="104"/>
      <c r="CT12" s="104"/>
      <c r="CU12" s="104"/>
      <c r="CV12" s="241"/>
      <c r="CW12" s="241"/>
      <c r="CX12" s="241"/>
      <c r="CY12" s="241"/>
      <c r="CZ12" s="241"/>
      <c r="DA12" s="241"/>
      <c r="DB12" s="242">
        <f t="shared" si="4"/>
        <v>3588</v>
      </c>
      <c r="DC12" s="242">
        <f t="shared" si="4"/>
        <v>54556</v>
      </c>
      <c r="DD12" s="242">
        <f t="shared" si="4"/>
        <v>38203.199999999997</v>
      </c>
      <c r="DG12" s="243"/>
      <c r="DH12" s="244"/>
      <c r="DI12" s="244"/>
      <c r="DJ12" s="244"/>
    </row>
    <row r="13" spans="1:117" ht="20.100000000000001" customHeight="1" x14ac:dyDescent="0.6">
      <c r="A13" s="234">
        <v>10</v>
      </c>
      <c r="B13" s="245" t="s">
        <v>88</v>
      </c>
      <c r="C13" s="234" t="s">
        <v>89</v>
      </c>
      <c r="D13" s="246" t="s">
        <v>90</v>
      </c>
      <c r="E13" s="246" t="s">
        <v>91</v>
      </c>
      <c r="F13" s="238" t="s">
        <v>56</v>
      </c>
      <c r="G13" s="239"/>
      <c r="H13" s="240"/>
      <c r="I13" s="240"/>
      <c r="J13" s="240">
        <v>30</v>
      </c>
      <c r="K13" s="240">
        <v>420</v>
      </c>
      <c r="L13" s="240">
        <v>268.8</v>
      </c>
      <c r="M13" s="240">
        <v>175</v>
      </c>
      <c r="N13" s="240">
        <v>2820</v>
      </c>
      <c r="O13" s="240">
        <v>2041.6</v>
      </c>
      <c r="P13" s="240">
        <v>20</v>
      </c>
      <c r="Q13" s="240">
        <v>280</v>
      </c>
      <c r="R13" s="240">
        <v>179.20000000000002</v>
      </c>
      <c r="S13" s="240">
        <v>51</v>
      </c>
      <c r="T13" s="240">
        <v>702</v>
      </c>
      <c r="U13" s="240">
        <v>584.88</v>
      </c>
      <c r="V13" s="240">
        <v>335</v>
      </c>
      <c r="W13" s="240">
        <v>5040</v>
      </c>
      <c r="X13" s="240">
        <v>3981.2</v>
      </c>
      <c r="Y13" s="240">
        <v>75</v>
      </c>
      <c r="Z13" s="240">
        <v>950</v>
      </c>
      <c r="AA13" s="240">
        <v>800</v>
      </c>
      <c r="AB13" s="240"/>
      <c r="AC13" s="240"/>
      <c r="AD13" s="240"/>
      <c r="AE13" s="240">
        <v>105</v>
      </c>
      <c r="AF13" s="104">
        <v>1600</v>
      </c>
      <c r="AG13" s="104">
        <v>1188.8</v>
      </c>
      <c r="AH13" s="241">
        <v>270</v>
      </c>
      <c r="AI13" s="241">
        <v>4400</v>
      </c>
      <c r="AJ13" s="241">
        <v>2988.4</v>
      </c>
      <c r="AK13" s="242">
        <f t="shared" si="2"/>
        <v>1061</v>
      </c>
      <c r="AL13" s="242">
        <f t="shared" si="0"/>
        <v>16212</v>
      </c>
      <c r="AM13" s="242">
        <f t="shared" si="0"/>
        <v>12032.88</v>
      </c>
      <c r="AN13" s="241">
        <v>50</v>
      </c>
      <c r="AO13" s="241">
        <v>700</v>
      </c>
      <c r="AP13" s="241">
        <v>448</v>
      </c>
      <c r="AQ13" s="241">
        <v>50</v>
      </c>
      <c r="AR13" s="241">
        <v>700</v>
      </c>
      <c r="AS13" s="241">
        <v>448</v>
      </c>
      <c r="AT13" s="241">
        <v>382</v>
      </c>
      <c r="AU13" s="241">
        <v>5444</v>
      </c>
      <c r="AV13" s="241">
        <v>4281.6000000000004</v>
      </c>
      <c r="AW13" s="241">
        <v>50</v>
      </c>
      <c r="AX13" s="241">
        <v>660</v>
      </c>
      <c r="AY13" s="241">
        <v>508.8</v>
      </c>
      <c r="AZ13" s="241"/>
      <c r="BA13" s="241"/>
      <c r="BB13" s="241"/>
      <c r="BC13" s="241">
        <v>162</v>
      </c>
      <c r="BD13" s="241">
        <v>2554</v>
      </c>
      <c r="BE13" s="241">
        <v>1784.56</v>
      </c>
      <c r="BF13" s="241">
        <v>475</v>
      </c>
      <c r="BG13" s="241">
        <v>7200</v>
      </c>
      <c r="BH13" s="241">
        <v>5377.2</v>
      </c>
      <c r="BI13" s="241"/>
      <c r="BJ13" s="241"/>
      <c r="BK13" s="241"/>
      <c r="BL13" s="241"/>
      <c r="BM13" s="241"/>
      <c r="BN13" s="241"/>
      <c r="BO13" s="241">
        <v>300</v>
      </c>
      <c r="BP13" s="241">
        <v>4140</v>
      </c>
      <c r="BQ13" s="241">
        <v>3399.6000000000004</v>
      </c>
      <c r="BR13" s="242">
        <f t="shared" si="3"/>
        <v>2530</v>
      </c>
      <c r="BS13" s="242">
        <f t="shared" si="1"/>
        <v>37610</v>
      </c>
      <c r="BT13" s="242">
        <f t="shared" si="1"/>
        <v>28280.639999999999</v>
      </c>
      <c r="BU13" s="247">
        <v>30</v>
      </c>
      <c r="BV13" s="247">
        <v>360</v>
      </c>
      <c r="BW13" s="247">
        <v>360</v>
      </c>
      <c r="BX13" s="104"/>
      <c r="BY13" s="104"/>
      <c r="BZ13" s="104"/>
      <c r="CA13" s="104"/>
      <c r="CB13" s="104"/>
      <c r="CC13" s="104"/>
      <c r="CD13" s="104">
        <v>357</v>
      </c>
      <c r="CE13" s="104">
        <v>5614</v>
      </c>
      <c r="CF13" s="104">
        <v>4149.6799999999994</v>
      </c>
      <c r="CG13" s="104"/>
      <c r="CH13" s="104"/>
      <c r="CI13" s="240"/>
      <c r="CJ13" s="104">
        <v>20</v>
      </c>
      <c r="CK13" s="104">
        <v>240</v>
      </c>
      <c r="CL13" s="104">
        <v>240</v>
      </c>
      <c r="CM13" s="104">
        <v>365</v>
      </c>
      <c r="CN13" s="104">
        <v>5840</v>
      </c>
      <c r="CO13" s="104">
        <v>4166</v>
      </c>
      <c r="CP13" s="143">
        <v>30</v>
      </c>
      <c r="CQ13" s="143">
        <v>400</v>
      </c>
      <c r="CR13" s="143">
        <v>263.20000000000005</v>
      </c>
      <c r="CS13" s="104"/>
      <c r="CT13" s="104"/>
      <c r="CU13" s="104"/>
      <c r="CV13" s="241"/>
      <c r="CW13" s="241"/>
      <c r="CX13" s="241"/>
      <c r="CY13" s="241"/>
      <c r="CZ13" s="241"/>
      <c r="DA13" s="241"/>
      <c r="DB13" s="242">
        <f t="shared" si="4"/>
        <v>3332</v>
      </c>
      <c r="DC13" s="242">
        <f t="shared" si="4"/>
        <v>50064</v>
      </c>
      <c r="DD13" s="242">
        <f t="shared" si="4"/>
        <v>37459.519999999997</v>
      </c>
      <c r="DG13" s="243"/>
      <c r="DH13" s="244"/>
      <c r="DI13" s="244"/>
      <c r="DJ13" s="244"/>
    </row>
    <row r="14" spans="1:117" ht="20.100000000000001" customHeight="1" x14ac:dyDescent="0.6">
      <c r="A14" s="234">
        <v>11</v>
      </c>
      <c r="B14" s="245" t="s">
        <v>92</v>
      </c>
      <c r="C14" s="234" t="s">
        <v>93</v>
      </c>
      <c r="D14" s="246" t="s">
        <v>94</v>
      </c>
      <c r="E14" s="246" t="s">
        <v>95</v>
      </c>
      <c r="F14" s="238" t="s">
        <v>56</v>
      </c>
      <c r="G14" s="239"/>
      <c r="H14" s="240"/>
      <c r="I14" s="240"/>
      <c r="J14" s="240">
        <v>150</v>
      </c>
      <c r="K14" s="240">
        <v>2100</v>
      </c>
      <c r="L14" s="240">
        <v>1344</v>
      </c>
      <c r="M14" s="240"/>
      <c r="N14" s="240"/>
      <c r="O14" s="240"/>
      <c r="P14" s="240">
        <v>420</v>
      </c>
      <c r="Q14" s="240">
        <v>5680</v>
      </c>
      <c r="R14" s="240">
        <v>4067.2000000000003</v>
      </c>
      <c r="S14" s="240">
        <v>50</v>
      </c>
      <c r="T14" s="240">
        <v>700</v>
      </c>
      <c r="U14" s="240">
        <v>448</v>
      </c>
      <c r="V14" s="240"/>
      <c r="W14" s="240"/>
      <c r="X14" s="240"/>
      <c r="Y14" s="240">
        <v>460</v>
      </c>
      <c r="Z14" s="240">
        <v>6200</v>
      </c>
      <c r="AA14" s="240">
        <v>4486.3999999999996</v>
      </c>
      <c r="AB14" s="240"/>
      <c r="AC14" s="240"/>
      <c r="AD14" s="240"/>
      <c r="AE14" s="240">
        <v>215</v>
      </c>
      <c r="AF14" s="104">
        <v>3200</v>
      </c>
      <c r="AG14" s="104">
        <v>2306</v>
      </c>
      <c r="AH14" s="241"/>
      <c r="AI14" s="241"/>
      <c r="AJ14" s="241"/>
      <c r="AK14" s="242">
        <f t="shared" si="2"/>
        <v>1295</v>
      </c>
      <c r="AL14" s="242">
        <f t="shared" si="0"/>
        <v>17880</v>
      </c>
      <c r="AM14" s="242">
        <f t="shared" si="0"/>
        <v>12651.6</v>
      </c>
      <c r="AN14" s="241">
        <v>160</v>
      </c>
      <c r="AO14" s="241">
        <v>2070</v>
      </c>
      <c r="AP14" s="241">
        <v>1656</v>
      </c>
      <c r="AQ14" s="241">
        <v>170</v>
      </c>
      <c r="AR14" s="241">
        <v>2340</v>
      </c>
      <c r="AS14" s="241">
        <v>1584</v>
      </c>
      <c r="AT14" s="241">
        <v>50</v>
      </c>
      <c r="AU14" s="241">
        <v>700</v>
      </c>
      <c r="AV14" s="241">
        <v>448</v>
      </c>
      <c r="AW14" s="241">
        <v>130</v>
      </c>
      <c r="AX14" s="241">
        <v>1660</v>
      </c>
      <c r="AY14" s="241">
        <v>1408</v>
      </c>
      <c r="AZ14" s="241"/>
      <c r="BA14" s="241"/>
      <c r="BB14" s="241"/>
      <c r="BC14" s="241">
        <v>200</v>
      </c>
      <c r="BD14" s="241">
        <v>2700</v>
      </c>
      <c r="BE14" s="241">
        <v>1944</v>
      </c>
      <c r="BF14" s="241">
        <v>100</v>
      </c>
      <c r="BG14" s="241">
        <v>1400</v>
      </c>
      <c r="BH14" s="241">
        <v>896</v>
      </c>
      <c r="BI14" s="241"/>
      <c r="BJ14" s="241"/>
      <c r="BK14" s="241"/>
      <c r="BL14" s="241">
        <v>325</v>
      </c>
      <c r="BM14" s="241">
        <v>4820</v>
      </c>
      <c r="BN14" s="241">
        <v>3134</v>
      </c>
      <c r="BO14" s="241">
        <v>250</v>
      </c>
      <c r="BP14" s="241">
        <v>3400</v>
      </c>
      <c r="BQ14" s="241">
        <v>2392</v>
      </c>
      <c r="BR14" s="242">
        <f t="shared" si="3"/>
        <v>2680</v>
      </c>
      <c r="BS14" s="242">
        <f t="shared" si="1"/>
        <v>36970</v>
      </c>
      <c r="BT14" s="242">
        <f t="shared" si="1"/>
        <v>26113.599999999999</v>
      </c>
      <c r="BU14" s="104">
        <v>200</v>
      </c>
      <c r="BV14" s="104">
        <v>2700</v>
      </c>
      <c r="BW14" s="104">
        <v>1944</v>
      </c>
      <c r="BX14" s="104"/>
      <c r="BY14" s="104"/>
      <c r="BZ14" s="104"/>
      <c r="CA14" s="104">
        <v>100</v>
      </c>
      <c r="CB14" s="104">
        <v>1400</v>
      </c>
      <c r="CC14" s="104">
        <v>896</v>
      </c>
      <c r="CD14" s="104">
        <v>200</v>
      </c>
      <c r="CE14" s="104">
        <v>2650</v>
      </c>
      <c r="CF14" s="104">
        <v>2020</v>
      </c>
      <c r="CG14" s="104">
        <v>150</v>
      </c>
      <c r="CH14" s="104">
        <v>2040</v>
      </c>
      <c r="CI14" s="104">
        <v>1435.2</v>
      </c>
      <c r="CJ14" s="104">
        <v>170</v>
      </c>
      <c r="CK14" s="104">
        <v>2800</v>
      </c>
      <c r="CL14" s="104">
        <v>1776</v>
      </c>
      <c r="CM14" s="104">
        <v>150</v>
      </c>
      <c r="CN14" s="104">
        <v>2100</v>
      </c>
      <c r="CO14" s="104">
        <v>1344</v>
      </c>
      <c r="CP14" s="143">
        <v>200</v>
      </c>
      <c r="CQ14" s="143">
        <v>2660</v>
      </c>
      <c r="CR14" s="143">
        <v>2004.8</v>
      </c>
      <c r="CS14" s="104"/>
      <c r="CT14" s="104"/>
      <c r="CU14" s="104"/>
      <c r="CV14" s="241"/>
      <c r="CW14" s="241"/>
      <c r="CX14" s="241"/>
      <c r="CY14" s="241"/>
      <c r="CZ14" s="241"/>
      <c r="DA14" s="241"/>
      <c r="DB14" s="242">
        <f t="shared" si="4"/>
        <v>3850</v>
      </c>
      <c r="DC14" s="242">
        <f t="shared" si="4"/>
        <v>53320</v>
      </c>
      <c r="DD14" s="242">
        <f t="shared" si="4"/>
        <v>37533.600000000006</v>
      </c>
      <c r="DG14" s="243"/>
      <c r="DH14" s="244"/>
      <c r="DI14" s="244"/>
      <c r="DJ14" s="244"/>
      <c r="DL14" s="244"/>
      <c r="DM14" s="228"/>
    </row>
    <row r="15" spans="1:117" ht="20.100000000000001" customHeight="1" x14ac:dyDescent="0.6">
      <c r="A15" s="234">
        <v>12</v>
      </c>
      <c r="B15" s="245" t="s">
        <v>96</v>
      </c>
      <c r="C15" s="234" t="s">
        <v>97</v>
      </c>
      <c r="D15" s="246" t="s">
        <v>98</v>
      </c>
      <c r="E15" s="246" t="s">
        <v>99</v>
      </c>
      <c r="F15" s="238" t="s">
        <v>56</v>
      </c>
      <c r="G15" s="239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>
        <v>460</v>
      </c>
      <c r="T15" s="240">
        <v>7120</v>
      </c>
      <c r="U15" s="240">
        <v>5316</v>
      </c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104"/>
      <c r="AG15" s="104"/>
      <c r="AH15" s="241">
        <v>460</v>
      </c>
      <c r="AI15" s="241">
        <v>6920</v>
      </c>
      <c r="AJ15" s="241">
        <v>5620</v>
      </c>
      <c r="AK15" s="242">
        <f t="shared" si="2"/>
        <v>920</v>
      </c>
      <c r="AL15" s="242">
        <f t="shared" si="0"/>
        <v>14040</v>
      </c>
      <c r="AM15" s="242">
        <f t="shared" si="0"/>
        <v>10936</v>
      </c>
      <c r="AN15" s="241"/>
      <c r="AO15" s="241"/>
      <c r="AP15" s="241"/>
      <c r="AQ15" s="241"/>
      <c r="AR15" s="241"/>
      <c r="AS15" s="241"/>
      <c r="AT15" s="241">
        <v>460</v>
      </c>
      <c r="AU15" s="241">
        <v>5720</v>
      </c>
      <c r="AV15" s="241">
        <v>5216</v>
      </c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>
        <v>480</v>
      </c>
      <c r="BJ15" s="241">
        <v>7320</v>
      </c>
      <c r="BK15" s="241">
        <v>5436.8</v>
      </c>
      <c r="BL15" s="241"/>
      <c r="BM15" s="241"/>
      <c r="BN15" s="241"/>
      <c r="BO15" s="241"/>
      <c r="BP15" s="241"/>
      <c r="BQ15" s="241"/>
      <c r="BR15" s="242">
        <f t="shared" si="3"/>
        <v>1860</v>
      </c>
      <c r="BS15" s="242">
        <f t="shared" si="1"/>
        <v>27080</v>
      </c>
      <c r="BT15" s="242">
        <f t="shared" si="1"/>
        <v>21588.799999999999</v>
      </c>
      <c r="BU15" s="104"/>
      <c r="BV15" s="104"/>
      <c r="BW15" s="104"/>
      <c r="BX15" s="104"/>
      <c r="BY15" s="104"/>
      <c r="BZ15" s="104"/>
      <c r="CA15" s="104">
        <v>410</v>
      </c>
      <c r="CB15" s="104">
        <v>6520</v>
      </c>
      <c r="CC15" s="104">
        <v>4716</v>
      </c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43">
        <v>450</v>
      </c>
      <c r="CQ15" s="143">
        <v>5700</v>
      </c>
      <c r="CR15" s="143">
        <v>4944</v>
      </c>
      <c r="CS15" s="104"/>
      <c r="CT15" s="104"/>
      <c r="CU15" s="104"/>
      <c r="CV15" s="241"/>
      <c r="CW15" s="241"/>
      <c r="CX15" s="241"/>
      <c r="CY15" s="241"/>
      <c r="CZ15" s="241"/>
      <c r="DA15" s="241"/>
      <c r="DB15" s="242">
        <f t="shared" si="4"/>
        <v>2720</v>
      </c>
      <c r="DC15" s="242">
        <f t="shared" si="4"/>
        <v>39300</v>
      </c>
      <c r="DD15" s="242">
        <f t="shared" si="4"/>
        <v>31248.799999999999</v>
      </c>
      <c r="DG15" s="243"/>
      <c r="DH15" s="244"/>
      <c r="DI15" s="244"/>
      <c r="DJ15" s="244"/>
    </row>
    <row r="16" spans="1:117" ht="20.100000000000001" customHeight="1" x14ac:dyDescent="0.6">
      <c r="A16" s="234">
        <v>13</v>
      </c>
      <c r="B16" s="245" t="s">
        <v>100</v>
      </c>
      <c r="C16" s="234" t="s">
        <v>101</v>
      </c>
      <c r="D16" s="246" t="s">
        <v>78</v>
      </c>
      <c r="E16" s="246" t="s">
        <v>79</v>
      </c>
      <c r="F16" s="238" t="s">
        <v>56</v>
      </c>
      <c r="G16" s="239"/>
      <c r="H16" s="240"/>
      <c r="I16" s="240"/>
      <c r="J16" s="240"/>
      <c r="K16" s="240"/>
      <c r="L16" s="240"/>
      <c r="M16" s="240">
        <v>150</v>
      </c>
      <c r="N16" s="240">
        <v>1860</v>
      </c>
      <c r="O16" s="240">
        <v>1708.8</v>
      </c>
      <c r="P16" s="240"/>
      <c r="Q16" s="240"/>
      <c r="R16" s="240"/>
      <c r="S16" s="240"/>
      <c r="T16" s="240"/>
      <c r="U16" s="240"/>
      <c r="V16" s="240"/>
      <c r="W16" s="240"/>
      <c r="X16" s="240"/>
      <c r="Y16" s="240">
        <v>370</v>
      </c>
      <c r="Z16" s="240">
        <v>6540</v>
      </c>
      <c r="AA16" s="240">
        <v>4367.2</v>
      </c>
      <c r="AB16" s="240"/>
      <c r="AC16" s="240"/>
      <c r="AD16" s="240"/>
      <c r="AE16" s="240"/>
      <c r="AF16" s="104"/>
      <c r="AG16" s="104"/>
      <c r="AH16" s="241">
        <v>140</v>
      </c>
      <c r="AI16" s="241">
        <v>2020</v>
      </c>
      <c r="AJ16" s="241">
        <v>1608.8</v>
      </c>
      <c r="AK16" s="242">
        <f t="shared" si="2"/>
        <v>660</v>
      </c>
      <c r="AL16" s="242">
        <f t="shared" si="0"/>
        <v>10420</v>
      </c>
      <c r="AM16" s="242">
        <f t="shared" si="0"/>
        <v>7684.8</v>
      </c>
      <c r="AN16" s="241"/>
      <c r="AO16" s="241"/>
      <c r="AP16" s="241"/>
      <c r="AQ16" s="241"/>
      <c r="AR16" s="241"/>
      <c r="AS16" s="241"/>
      <c r="AT16" s="241"/>
      <c r="AU16" s="241"/>
      <c r="AV16" s="241"/>
      <c r="AW16" s="241">
        <v>300</v>
      </c>
      <c r="AX16" s="241">
        <v>4480</v>
      </c>
      <c r="AY16" s="241">
        <v>3599.2</v>
      </c>
      <c r="AZ16" s="241"/>
      <c r="BA16" s="241"/>
      <c r="BB16" s="241"/>
      <c r="BC16" s="241"/>
      <c r="BD16" s="241"/>
      <c r="BE16" s="241"/>
      <c r="BF16" s="241">
        <v>200</v>
      </c>
      <c r="BG16" s="241">
        <v>2460</v>
      </c>
      <c r="BH16" s="241">
        <v>2236.8000000000002</v>
      </c>
      <c r="BI16" s="241"/>
      <c r="BJ16" s="241"/>
      <c r="BK16" s="241"/>
      <c r="BL16" s="241"/>
      <c r="BM16" s="241"/>
      <c r="BN16" s="241"/>
      <c r="BO16" s="241"/>
      <c r="BP16" s="241"/>
      <c r="BQ16" s="241"/>
      <c r="BR16" s="242">
        <f t="shared" si="3"/>
        <v>1160</v>
      </c>
      <c r="BS16" s="242">
        <f t="shared" si="1"/>
        <v>17360</v>
      </c>
      <c r="BT16" s="242">
        <f t="shared" si="1"/>
        <v>13520.8</v>
      </c>
      <c r="BU16" s="104">
        <v>350</v>
      </c>
      <c r="BV16" s="104">
        <v>5740</v>
      </c>
      <c r="BW16" s="104">
        <v>4087.2</v>
      </c>
      <c r="BX16" s="104"/>
      <c r="BY16" s="104"/>
      <c r="BZ16" s="104"/>
      <c r="CA16" s="104">
        <v>150</v>
      </c>
      <c r="CB16" s="104">
        <v>2680</v>
      </c>
      <c r="CC16" s="104">
        <v>1799.2</v>
      </c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43">
        <v>340</v>
      </c>
      <c r="CQ16" s="143">
        <v>5160</v>
      </c>
      <c r="CR16" s="143">
        <v>3998</v>
      </c>
      <c r="CS16" s="104"/>
      <c r="CT16" s="104"/>
      <c r="CU16" s="104"/>
      <c r="CV16" s="241"/>
      <c r="CW16" s="241"/>
      <c r="CX16" s="241"/>
      <c r="CY16" s="241"/>
      <c r="CZ16" s="241"/>
      <c r="DA16" s="241"/>
      <c r="DB16" s="242">
        <f t="shared" si="4"/>
        <v>2000</v>
      </c>
      <c r="DC16" s="242">
        <f t="shared" si="4"/>
        <v>30940</v>
      </c>
      <c r="DD16" s="242">
        <f t="shared" si="4"/>
        <v>23405.200000000001</v>
      </c>
      <c r="DG16" s="243"/>
      <c r="DH16" s="244"/>
      <c r="DI16" s="244"/>
      <c r="DJ16" s="244"/>
    </row>
    <row r="17" spans="1:116" ht="20.100000000000001" customHeight="1" x14ac:dyDescent="0.6">
      <c r="A17" s="234">
        <v>14</v>
      </c>
      <c r="B17" s="245" t="s">
        <v>102</v>
      </c>
      <c r="C17" s="234" t="s">
        <v>103</v>
      </c>
      <c r="D17" s="246" t="s">
        <v>82</v>
      </c>
      <c r="E17" s="246" t="s">
        <v>83</v>
      </c>
      <c r="F17" s="238" t="s">
        <v>56</v>
      </c>
      <c r="G17" s="239"/>
      <c r="H17" s="240"/>
      <c r="I17" s="240"/>
      <c r="J17" s="240"/>
      <c r="K17" s="240"/>
      <c r="L17" s="240"/>
      <c r="M17" s="240"/>
      <c r="N17" s="240"/>
      <c r="O17" s="240"/>
      <c r="P17" s="240">
        <v>215</v>
      </c>
      <c r="Q17" s="240">
        <v>2740</v>
      </c>
      <c r="R17" s="240">
        <v>2559.6</v>
      </c>
      <c r="S17" s="240"/>
      <c r="T17" s="240"/>
      <c r="U17" s="240"/>
      <c r="V17" s="240"/>
      <c r="W17" s="240"/>
      <c r="X17" s="240"/>
      <c r="Y17" s="240">
        <v>220</v>
      </c>
      <c r="Z17" s="240">
        <v>3400</v>
      </c>
      <c r="AA17" s="240">
        <v>2376</v>
      </c>
      <c r="AB17" s="240"/>
      <c r="AC17" s="240"/>
      <c r="AD17" s="240"/>
      <c r="AE17" s="240"/>
      <c r="AF17" s="104"/>
      <c r="AG17" s="104"/>
      <c r="AH17" s="241"/>
      <c r="AI17" s="241"/>
      <c r="AJ17" s="241"/>
      <c r="AK17" s="242">
        <f t="shared" si="2"/>
        <v>435</v>
      </c>
      <c r="AL17" s="242">
        <f t="shared" si="0"/>
        <v>6140</v>
      </c>
      <c r="AM17" s="242">
        <f t="shared" si="0"/>
        <v>4935.6000000000004</v>
      </c>
      <c r="AN17" s="241">
        <v>255</v>
      </c>
      <c r="AO17" s="241">
        <v>3640</v>
      </c>
      <c r="AP17" s="241">
        <v>2624</v>
      </c>
      <c r="AQ17" s="241"/>
      <c r="AR17" s="241"/>
      <c r="AS17" s="241"/>
      <c r="AT17" s="241"/>
      <c r="AU17" s="241"/>
      <c r="AV17" s="241"/>
      <c r="AW17" s="241">
        <v>250</v>
      </c>
      <c r="AX17" s="241">
        <v>3860</v>
      </c>
      <c r="AY17" s="241">
        <v>2584</v>
      </c>
      <c r="AZ17" s="241"/>
      <c r="BA17" s="241"/>
      <c r="BB17" s="241"/>
      <c r="BC17" s="241"/>
      <c r="BD17" s="241"/>
      <c r="BE17" s="241"/>
      <c r="BF17" s="241"/>
      <c r="BG17" s="241"/>
      <c r="BH17" s="241"/>
      <c r="BI17" s="241">
        <v>285</v>
      </c>
      <c r="BJ17" s="241">
        <v>4180</v>
      </c>
      <c r="BK17" s="241">
        <v>3156</v>
      </c>
      <c r="BL17" s="241"/>
      <c r="BM17" s="241"/>
      <c r="BN17" s="241"/>
      <c r="BO17" s="241">
        <v>255</v>
      </c>
      <c r="BP17" s="241">
        <v>3600</v>
      </c>
      <c r="BQ17" s="241">
        <v>2462</v>
      </c>
      <c r="BR17" s="242">
        <f t="shared" si="3"/>
        <v>1480</v>
      </c>
      <c r="BS17" s="242">
        <f t="shared" si="1"/>
        <v>21420</v>
      </c>
      <c r="BT17" s="242">
        <f t="shared" si="1"/>
        <v>15761.6</v>
      </c>
      <c r="BU17" s="104">
        <v>195</v>
      </c>
      <c r="BV17" s="104">
        <v>2570</v>
      </c>
      <c r="BW17" s="104">
        <v>1990.4</v>
      </c>
      <c r="BX17" s="104"/>
      <c r="BY17" s="104"/>
      <c r="BZ17" s="104"/>
      <c r="CA17" s="104">
        <v>160</v>
      </c>
      <c r="CB17" s="104">
        <v>2080</v>
      </c>
      <c r="CC17" s="104">
        <v>1676.8000000000002</v>
      </c>
      <c r="CD17" s="104"/>
      <c r="CE17" s="104"/>
      <c r="CF17" s="104"/>
      <c r="CG17" s="104">
        <v>230</v>
      </c>
      <c r="CH17" s="104">
        <v>3480</v>
      </c>
      <c r="CI17" s="104">
        <v>2111.1999999999998</v>
      </c>
      <c r="CJ17" s="104">
        <v>80</v>
      </c>
      <c r="CK17" s="104">
        <v>960</v>
      </c>
      <c r="CL17" s="104">
        <v>960</v>
      </c>
      <c r="CM17" s="104"/>
      <c r="CN17" s="104"/>
      <c r="CO17" s="104"/>
      <c r="CP17" s="143"/>
      <c r="CQ17" s="143"/>
      <c r="CR17" s="143"/>
      <c r="CS17" s="104"/>
      <c r="CT17" s="104"/>
      <c r="CU17" s="104"/>
      <c r="CV17" s="241"/>
      <c r="CW17" s="241"/>
      <c r="CX17" s="241"/>
      <c r="CY17" s="241"/>
      <c r="CZ17" s="241"/>
      <c r="DA17" s="241"/>
      <c r="DB17" s="242">
        <f t="shared" si="4"/>
        <v>2145</v>
      </c>
      <c r="DC17" s="242">
        <f t="shared" si="4"/>
        <v>30510</v>
      </c>
      <c r="DD17" s="242">
        <f t="shared" si="4"/>
        <v>22500</v>
      </c>
      <c r="DG17" s="243"/>
      <c r="DH17" s="244"/>
      <c r="DI17" s="244"/>
      <c r="DJ17" s="244"/>
    </row>
    <row r="18" spans="1:116" ht="20.100000000000001" customHeight="1" x14ac:dyDescent="0.6">
      <c r="A18" s="234">
        <v>15</v>
      </c>
      <c r="B18" s="245" t="s">
        <v>104</v>
      </c>
      <c r="C18" s="234" t="s">
        <v>105</v>
      </c>
      <c r="D18" s="246" t="s">
        <v>90</v>
      </c>
      <c r="E18" s="246" t="s">
        <v>91</v>
      </c>
      <c r="F18" s="238" t="s">
        <v>56</v>
      </c>
      <c r="G18" s="239"/>
      <c r="H18" s="240"/>
      <c r="I18" s="240"/>
      <c r="J18" s="240"/>
      <c r="K18" s="240"/>
      <c r="L18" s="240"/>
      <c r="M18" s="240">
        <v>50</v>
      </c>
      <c r="N18" s="240">
        <v>1160</v>
      </c>
      <c r="O18" s="240">
        <v>640</v>
      </c>
      <c r="P18" s="240">
        <v>90</v>
      </c>
      <c r="Q18" s="240">
        <v>1120</v>
      </c>
      <c r="R18" s="240">
        <v>1019.2</v>
      </c>
      <c r="S18" s="240">
        <v>110</v>
      </c>
      <c r="T18" s="240">
        <v>1320</v>
      </c>
      <c r="U18" s="240">
        <v>1320</v>
      </c>
      <c r="V18" s="240">
        <v>135</v>
      </c>
      <c r="W18" s="240">
        <v>1940</v>
      </c>
      <c r="X18" s="240">
        <v>1579.2</v>
      </c>
      <c r="Y18" s="240">
        <v>185</v>
      </c>
      <c r="Z18" s="240">
        <v>3520</v>
      </c>
      <c r="AA18" s="240">
        <v>2249.1999999999998</v>
      </c>
      <c r="AB18" s="240"/>
      <c r="AC18" s="240"/>
      <c r="AD18" s="240"/>
      <c r="AE18" s="240">
        <v>30</v>
      </c>
      <c r="AF18" s="104">
        <v>360</v>
      </c>
      <c r="AG18" s="104">
        <v>360</v>
      </c>
      <c r="AH18" s="241"/>
      <c r="AI18" s="241"/>
      <c r="AJ18" s="241"/>
      <c r="AK18" s="242">
        <f t="shared" si="2"/>
        <v>600</v>
      </c>
      <c r="AL18" s="242">
        <f t="shared" si="0"/>
        <v>9420</v>
      </c>
      <c r="AM18" s="242">
        <f t="shared" si="0"/>
        <v>7167.5999999999995</v>
      </c>
      <c r="AN18" s="241">
        <v>220</v>
      </c>
      <c r="AO18" s="241">
        <v>3280</v>
      </c>
      <c r="AP18" s="241">
        <v>2558.4</v>
      </c>
      <c r="AQ18" s="241"/>
      <c r="AR18" s="241"/>
      <c r="AS18" s="241"/>
      <c r="AT18" s="241">
        <v>85</v>
      </c>
      <c r="AU18" s="241">
        <v>1300</v>
      </c>
      <c r="AV18" s="241">
        <v>1040</v>
      </c>
      <c r="AW18" s="241">
        <v>70</v>
      </c>
      <c r="AX18" s="241">
        <v>840</v>
      </c>
      <c r="AY18" s="241">
        <v>840</v>
      </c>
      <c r="AZ18" s="241"/>
      <c r="BA18" s="241"/>
      <c r="BB18" s="241"/>
      <c r="BC18" s="241">
        <v>185</v>
      </c>
      <c r="BD18" s="241">
        <v>3060</v>
      </c>
      <c r="BE18" s="241">
        <v>2280</v>
      </c>
      <c r="BF18" s="241">
        <v>55</v>
      </c>
      <c r="BG18" s="241">
        <v>730</v>
      </c>
      <c r="BH18" s="241">
        <v>553.6</v>
      </c>
      <c r="BI18" s="241">
        <v>50</v>
      </c>
      <c r="BJ18" s="241">
        <v>600</v>
      </c>
      <c r="BK18" s="241">
        <v>600</v>
      </c>
      <c r="BL18" s="241">
        <v>80</v>
      </c>
      <c r="BM18" s="241">
        <v>960</v>
      </c>
      <c r="BN18" s="241">
        <v>960</v>
      </c>
      <c r="BO18" s="241">
        <v>65</v>
      </c>
      <c r="BP18" s="241">
        <v>1080</v>
      </c>
      <c r="BQ18" s="241">
        <v>769.6</v>
      </c>
      <c r="BR18" s="242">
        <f t="shared" si="3"/>
        <v>1410</v>
      </c>
      <c r="BS18" s="242">
        <f t="shared" si="1"/>
        <v>21270</v>
      </c>
      <c r="BT18" s="242">
        <f t="shared" si="1"/>
        <v>16769.2</v>
      </c>
      <c r="BU18" s="104">
        <v>135</v>
      </c>
      <c r="BV18" s="104">
        <v>1900</v>
      </c>
      <c r="BW18" s="104">
        <v>1640</v>
      </c>
      <c r="BX18" s="104"/>
      <c r="BY18" s="104"/>
      <c r="BZ18" s="104"/>
      <c r="CA18" s="104">
        <v>110</v>
      </c>
      <c r="CB18" s="104">
        <v>2020</v>
      </c>
      <c r="CC18" s="104">
        <v>1370</v>
      </c>
      <c r="CD18" s="104">
        <v>155</v>
      </c>
      <c r="CE18" s="104">
        <v>2590</v>
      </c>
      <c r="CF18" s="104">
        <v>1828.4</v>
      </c>
      <c r="CG18" s="104">
        <v>60</v>
      </c>
      <c r="CH18" s="104">
        <v>720</v>
      </c>
      <c r="CI18" s="104">
        <v>720</v>
      </c>
      <c r="CJ18" s="104">
        <v>50</v>
      </c>
      <c r="CK18" s="104">
        <v>600</v>
      </c>
      <c r="CL18" s="104">
        <v>504</v>
      </c>
      <c r="CM18" s="104">
        <v>135</v>
      </c>
      <c r="CN18" s="104">
        <v>1660</v>
      </c>
      <c r="CO18" s="104">
        <v>1559.2</v>
      </c>
      <c r="CP18" s="143">
        <v>235</v>
      </c>
      <c r="CQ18" s="143">
        <v>3990</v>
      </c>
      <c r="CR18" s="143">
        <v>2824</v>
      </c>
      <c r="CS18" s="104"/>
      <c r="CT18" s="104"/>
      <c r="CU18" s="104"/>
      <c r="CV18" s="241"/>
      <c r="CW18" s="241"/>
      <c r="CX18" s="241"/>
      <c r="CY18" s="241"/>
      <c r="CZ18" s="241"/>
      <c r="DA18" s="241"/>
      <c r="DB18" s="242">
        <f t="shared" si="4"/>
        <v>2290</v>
      </c>
      <c r="DC18" s="242">
        <f t="shared" si="4"/>
        <v>34750</v>
      </c>
      <c r="DD18" s="242">
        <f t="shared" si="4"/>
        <v>27214.800000000003</v>
      </c>
      <c r="DG18" s="243"/>
      <c r="DH18" s="244"/>
      <c r="DI18" s="244"/>
      <c r="DJ18" s="244"/>
    </row>
    <row r="19" spans="1:116" ht="20.100000000000001" customHeight="1" x14ac:dyDescent="0.6">
      <c r="A19" s="234">
        <v>16</v>
      </c>
      <c r="B19" s="245" t="s">
        <v>106</v>
      </c>
      <c r="C19" s="234" t="s">
        <v>107</v>
      </c>
      <c r="D19" s="246" t="s">
        <v>108</v>
      </c>
      <c r="E19" s="246" t="s">
        <v>109</v>
      </c>
      <c r="F19" s="238" t="s">
        <v>56</v>
      </c>
      <c r="G19" s="239"/>
      <c r="H19" s="240"/>
      <c r="I19" s="240"/>
      <c r="J19" s="240"/>
      <c r="K19" s="240"/>
      <c r="L19" s="240"/>
      <c r="M19" s="240">
        <v>200</v>
      </c>
      <c r="N19" s="240">
        <v>2810</v>
      </c>
      <c r="O19" s="240">
        <v>2323.2000000000003</v>
      </c>
      <c r="P19" s="240"/>
      <c r="Q19" s="240"/>
      <c r="R19" s="240"/>
      <c r="S19" s="240"/>
      <c r="T19" s="240"/>
      <c r="U19" s="240"/>
      <c r="V19" s="240">
        <v>180</v>
      </c>
      <c r="W19" s="240">
        <v>2940</v>
      </c>
      <c r="X19" s="240">
        <v>2046.4</v>
      </c>
      <c r="Y19" s="240"/>
      <c r="Z19" s="240"/>
      <c r="AA19" s="240"/>
      <c r="AB19" s="240"/>
      <c r="AC19" s="240"/>
      <c r="AD19" s="240"/>
      <c r="AE19" s="240">
        <v>175</v>
      </c>
      <c r="AF19" s="104">
        <v>2480</v>
      </c>
      <c r="AG19" s="104">
        <v>1968</v>
      </c>
      <c r="AH19" s="241"/>
      <c r="AI19" s="241"/>
      <c r="AJ19" s="241"/>
      <c r="AK19" s="242">
        <f t="shared" si="2"/>
        <v>555</v>
      </c>
      <c r="AL19" s="242">
        <f t="shared" si="0"/>
        <v>8230</v>
      </c>
      <c r="AM19" s="242">
        <f t="shared" si="0"/>
        <v>6337.6</v>
      </c>
      <c r="AN19" s="241"/>
      <c r="AO19" s="241"/>
      <c r="AP19" s="241"/>
      <c r="AQ19" s="241"/>
      <c r="AR19" s="241"/>
      <c r="AS19" s="241"/>
      <c r="AT19" s="241">
        <v>180</v>
      </c>
      <c r="AU19" s="241">
        <v>2640</v>
      </c>
      <c r="AV19" s="241">
        <v>2077.6</v>
      </c>
      <c r="AW19" s="241"/>
      <c r="AX19" s="241"/>
      <c r="AY19" s="241"/>
      <c r="AZ19" s="241"/>
      <c r="BA19" s="241"/>
      <c r="BB19" s="241"/>
      <c r="BC19" s="241"/>
      <c r="BD19" s="241"/>
      <c r="BE19" s="241"/>
      <c r="BF19" s="241">
        <v>170</v>
      </c>
      <c r="BG19" s="241">
        <v>2400</v>
      </c>
      <c r="BH19" s="241">
        <v>1914.4</v>
      </c>
      <c r="BI19" s="241"/>
      <c r="BJ19" s="241"/>
      <c r="BK19" s="241"/>
      <c r="BL19" s="241"/>
      <c r="BM19" s="241"/>
      <c r="BN19" s="241"/>
      <c r="BO19" s="241"/>
      <c r="BP19" s="241"/>
      <c r="BQ19" s="241"/>
      <c r="BR19" s="242">
        <f t="shared" si="3"/>
        <v>905</v>
      </c>
      <c r="BS19" s="242">
        <f t="shared" si="1"/>
        <v>13270</v>
      </c>
      <c r="BT19" s="242">
        <f t="shared" si="1"/>
        <v>10329.6</v>
      </c>
      <c r="BU19" s="104"/>
      <c r="BV19" s="104"/>
      <c r="BW19" s="104"/>
      <c r="BX19" s="104"/>
      <c r="BY19" s="104"/>
      <c r="BZ19" s="104"/>
      <c r="CA19" s="104">
        <v>190</v>
      </c>
      <c r="CB19" s="104">
        <v>3110</v>
      </c>
      <c r="CC19" s="104">
        <v>2191.2000000000003</v>
      </c>
      <c r="CD19" s="104"/>
      <c r="CE19" s="104"/>
      <c r="CF19" s="104"/>
      <c r="CG19" s="104"/>
      <c r="CH19" s="104"/>
      <c r="CI19" s="104"/>
      <c r="CJ19" s="104">
        <v>165</v>
      </c>
      <c r="CK19" s="104">
        <v>2360</v>
      </c>
      <c r="CL19" s="104">
        <v>1948.8</v>
      </c>
      <c r="CM19" s="104"/>
      <c r="CN19" s="104"/>
      <c r="CO19" s="104"/>
      <c r="CP19" s="143"/>
      <c r="CQ19" s="143"/>
      <c r="CR19" s="143"/>
      <c r="CS19" s="104"/>
      <c r="CT19" s="104"/>
      <c r="CU19" s="104"/>
      <c r="CV19" s="241"/>
      <c r="CW19" s="241"/>
      <c r="CX19" s="241"/>
      <c r="CY19" s="241"/>
      <c r="CZ19" s="241"/>
      <c r="DA19" s="241"/>
      <c r="DB19" s="242">
        <f t="shared" si="4"/>
        <v>1260</v>
      </c>
      <c r="DC19" s="242">
        <f t="shared" si="4"/>
        <v>18740</v>
      </c>
      <c r="DD19" s="242">
        <f t="shared" si="4"/>
        <v>14469.6</v>
      </c>
      <c r="DG19" s="243"/>
      <c r="DH19" s="244"/>
      <c r="DI19" s="244"/>
      <c r="DJ19" s="244"/>
    </row>
    <row r="20" spans="1:116" ht="20.100000000000001" customHeight="1" x14ac:dyDescent="0.6">
      <c r="A20" s="234">
        <v>17</v>
      </c>
      <c r="B20" s="245" t="s">
        <v>110</v>
      </c>
      <c r="C20" s="234" t="s">
        <v>111</v>
      </c>
      <c r="D20" s="246" t="s">
        <v>70</v>
      </c>
      <c r="E20" s="246" t="s">
        <v>71</v>
      </c>
      <c r="F20" s="238" t="s">
        <v>56</v>
      </c>
      <c r="G20" s="239"/>
      <c r="H20" s="240"/>
      <c r="I20" s="240"/>
      <c r="J20" s="240">
        <v>90</v>
      </c>
      <c r="K20" s="240">
        <v>1140</v>
      </c>
      <c r="L20" s="240">
        <v>988.8</v>
      </c>
      <c r="M20" s="240">
        <v>115</v>
      </c>
      <c r="N20" s="240">
        <v>1470</v>
      </c>
      <c r="O20" s="240">
        <v>1243.2</v>
      </c>
      <c r="P20" s="240">
        <v>115</v>
      </c>
      <c r="Q20" s="240">
        <v>1720</v>
      </c>
      <c r="R20" s="240">
        <v>1272.8</v>
      </c>
      <c r="S20" s="240"/>
      <c r="T20" s="240"/>
      <c r="U20" s="240"/>
      <c r="V20" s="240">
        <v>80</v>
      </c>
      <c r="W20" s="240">
        <v>1000</v>
      </c>
      <c r="X20" s="240">
        <v>851.2</v>
      </c>
      <c r="Y20" s="240">
        <v>170</v>
      </c>
      <c r="Z20" s="240">
        <v>3240</v>
      </c>
      <c r="AA20" s="240">
        <v>1950.4</v>
      </c>
      <c r="AB20" s="240"/>
      <c r="AC20" s="240"/>
      <c r="AD20" s="240"/>
      <c r="AE20" s="240">
        <v>80</v>
      </c>
      <c r="AF20" s="104">
        <v>1280</v>
      </c>
      <c r="AG20" s="104">
        <v>919.2</v>
      </c>
      <c r="AH20" s="241">
        <v>100</v>
      </c>
      <c r="AI20" s="241">
        <v>1280</v>
      </c>
      <c r="AJ20" s="241">
        <v>1006.4000000000001</v>
      </c>
      <c r="AK20" s="242">
        <f t="shared" si="2"/>
        <v>750</v>
      </c>
      <c r="AL20" s="242">
        <f t="shared" si="2"/>
        <v>11130</v>
      </c>
      <c r="AM20" s="242">
        <f t="shared" si="2"/>
        <v>8232</v>
      </c>
      <c r="AN20" s="241">
        <v>75</v>
      </c>
      <c r="AO20" s="241">
        <v>1250</v>
      </c>
      <c r="AP20" s="241">
        <v>813.59999999999991</v>
      </c>
      <c r="AQ20" s="241"/>
      <c r="AR20" s="241"/>
      <c r="AS20" s="241"/>
      <c r="AT20" s="241">
        <v>130</v>
      </c>
      <c r="AU20" s="241">
        <v>2320</v>
      </c>
      <c r="AV20" s="241">
        <v>1470.8</v>
      </c>
      <c r="AW20" s="241">
        <v>185</v>
      </c>
      <c r="AX20" s="241">
        <v>2750</v>
      </c>
      <c r="AY20" s="241">
        <v>1986.8</v>
      </c>
      <c r="AZ20" s="241"/>
      <c r="BA20" s="241"/>
      <c r="BB20" s="241"/>
      <c r="BC20" s="241"/>
      <c r="BD20" s="241"/>
      <c r="BE20" s="241"/>
      <c r="BF20" s="241">
        <v>115</v>
      </c>
      <c r="BG20" s="241">
        <v>1620</v>
      </c>
      <c r="BH20" s="241">
        <v>1238</v>
      </c>
      <c r="BI20" s="241">
        <v>120</v>
      </c>
      <c r="BJ20" s="241">
        <v>1800</v>
      </c>
      <c r="BK20" s="241">
        <v>1338.3999999999999</v>
      </c>
      <c r="BL20" s="241">
        <v>80</v>
      </c>
      <c r="BM20" s="241">
        <v>1000</v>
      </c>
      <c r="BN20" s="241">
        <v>803.2</v>
      </c>
      <c r="BO20" s="241">
        <v>95</v>
      </c>
      <c r="BP20" s="241">
        <v>1220</v>
      </c>
      <c r="BQ20" s="241">
        <v>970.40000000000009</v>
      </c>
      <c r="BR20" s="242">
        <f t="shared" si="3"/>
        <v>1550</v>
      </c>
      <c r="BS20" s="242">
        <f t="shared" si="3"/>
        <v>23090</v>
      </c>
      <c r="BT20" s="242">
        <f t="shared" si="3"/>
        <v>16853.2</v>
      </c>
      <c r="BU20" s="104">
        <v>105</v>
      </c>
      <c r="BV20" s="104">
        <v>1780</v>
      </c>
      <c r="BW20" s="104">
        <v>1138</v>
      </c>
      <c r="BX20" s="104"/>
      <c r="BY20" s="104"/>
      <c r="BZ20" s="104"/>
      <c r="CA20" s="104">
        <v>55</v>
      </c>
      <c r="CB20" s="104">
        <v>700</v>
      </c>
      <c r="CC20" s="104">
        <v>599.20000000000005</v>
      </c>
      <c r="CD20" s="104">
        <v>35</v>
      </c>
      <c r="CE20" s="104">
        <v>420</v>
      </c>
      <c r="CF20" s="104">
        <v>420</v>
      </c>
      <c r="CG20" s="104">
        <v>65</v>
      </c>
      <c r="CH20" s="104">
        <v>840</v>
      </c>
      <c r="CI20" s="104">
        <v>688.80000000000007</v>
      </c>
      <c r="CJ20" s="104">
        <v>105</v>
      </c>
      <c r="CK20" s="104">
        <v>2000</v>
      </c>
      <c r="CL20" s="104">
        <v>1249.2</v>
      </c>
      <c r="CM20" s="104"/>
      <c r="CN20" s="104"/>
      <c r="CO20" s="104"/>
      <c r="CP20" s="143">
        <v>195</v>
      </c>
      <c r="CQ20" s="143">
        <v>2760</v>
      </c>
      <c r="CR20" s="143">
        <v>2099.1999999999998</v>
      </c>
      <c r="CS20" s="104"/>
      <c r="CT20" s="104"/>
      <c r="CU20" s="104"/>
      <c r="CV20" s="241"/>
      <c r="CW20" s="241"/>
      <c r="CX20" s="241"/>
      <c r="CY20" s="241"/>
      <c r="CZ20" s="241"/>
      <c r="DA20" s="241"/>
      <c r="DB20" s="242">
        <f t="shared" si="4"/>
        <v>2110</v>
      </c>
      <c r="DC20" s="242">
        <f t="shared" si="4"/>
        <v>31590</v>
      </c>
      <c r="DD20" s="242">
        <f t="shared" si="4"/>
        <v>23047.600000000002</v>
      </c>
      <c r="DG20" s="243"/>
      <c r="DH20" s="244"/>
      <c r="DI20" s="244"/>
      <c r="DJ20" s="244"/>
      <c r="DK20" s="244"/>
      <c r="DL20" s="244"/>
    </row>
    <row r="21" spans="1:116" ht="20.100000000000001" customHeight="1" x14ac:dyDescent="0.6">
      <c r="A21" s="234">
        <v>18</v>
      </c>
      <c r="B21" s="246" t="s">
        <v>112</v>
      </c>
      <c r="C21" s="248" t="s">
        <v>113</v>
      </c>
      <c r="D21" s="246" t="s">
        <v>86</v>
      </c>
      <c r="E21" s="246" t="s">
        <v>87</v>
      </c>
      <c r="F21" s="238" t="s">
        <v>56</v>
      </c>
      <c r="G21" s="239"/>
      <c r="H21" s="240"/>
      <c r="I21" s="240"/>
      <c r="J21" s="240"/>
      <c r="K21" s="240"/>
      <c r="L21" s="240"/>
      <c r="M21" s="240"/>
      <c r="N21" s="240"/>
      <c r="O21" s="240"/>
      <c r="P21" s="240">
        <v>320</v>
      </c>
      <c r="Q21" s="240">
        <v>5440</v>
      </c>
      <c r="R21" s="240">
        <v>3540</v>
      </c>
      <c r="S21" s="240">
        <v>200</v>
      </c>
      <c r="T21" s="240">
        <v>2500</v>
      </c>
      <c r="U21" s="240">
        <v>2248</v>
      </c>
      <c r="V21" s="240"/>
      <c r="W21" s="240"/>
      <c r="X21" s="240"/>
      <c r="Y21" s="240"/>
      <c r="Z21" s="240"/>
      <c r="AA21" s="240"/>
      <c r="AB21" s="240"/>
      <c r="AC21" s="240"/>
      <c r="AD21" s="240"/>
      <c r="AE21" s="240">
        <v>220</v>
      </c>
      <c r="AF21" s="104">
        <v>2740</v>
      </c>
      <c r="AG21" s="104">
        <v>2392</v>
      </c>
      <c r="AH21" s="241"/>
      <c r="AI21" s="241"/>
      <c r="AJ21" s="241"/>
      <c r="AK21" s="242">
        <f t="shared" ref="AK21:AM40" si="5">+G21+J21+M21+P21+S21+V21+Y21+AB21+AE21+AH21</f>
        <v>740</v>
      </c>
      <c r="AL21" s="242">
        <f t="shared" si="5"/>
        <v>10680</v>
      </c>
      <c r="AM21" s="242">
        <f t="shared" si="5"/>
        <v>8180</v>
      </c>
      <c r="AN21" s="241"/>
      <c r="AO21" s="241"/>
      <c r="AP21" s="241"/>
      <c r="AQ21" s="241"/>
      <c r="AR21" s="241"/>
      <c r="AS21" s="241"/>
      <c r="AT21" s="241"/>
      <c r="AU21" s="241"/>
      <c r="AV21" s="241"/>
      <c r="AW21" s="241">
        <v>280</v>
      </c>
      <c r="AX21" s="241">
        <v>4200</v>
      </c>
      <c r="AY21" s="241">
        <v>2878.3999999999996</v>
      </c>
      <c r="AZ21" s="241"/>
      <c r="BA21" s="241"/>
      <c r="BB21" s="241"/>
      <c r="BC21" s="241">
        <v>280</v>
      </c>
      <c r="BD21" s="241">
        <v>4400</v>
      </c>
      <c r="BE21" s="241">
        <v>3116</v>
      </c>
      <c r="BF21" s="241">
        <v>220</v>
      </c>
      <c r="BG21" s="241">
        <v>3400</v>
      </c>
      <c r="BH21" s="241">
        <v>2376</v>
      </c>
      <c r="BI21" s="241"/>
      <c r="BJ21" s="241"/>
      <c r="BK21" s="241"/>
      <c r="BL21" s="241"/>
      <c r="BM21" s="241"/>
      <c r="BN21" s="241"/>
      <c r="BO21" s="241">
        <v>290</v>
      </c>
      <c r="BP21" s="241">
        <v>4240</v>
      </c>
      <c r="BQ21" s="241">
        <v>3120</v>
      </c>
      <c r="BR21" s="242">
        <f t="shared" ref="BR21:BT40" si="6">+AK21+AN21+AQ21+AT21+AW21+AZ21+BC21+BF21+BI21+BL21+BO21</f>
        <v>1810</v>
      </c>
      <c r="BS21" s="242">
        <f t="shared" si="6"/>
        <v>26920</v>
      </c>
      <c r="BT21" s="242">
        <f t="shared" si="6"/>
        <v>19670.400000000001</v>
      </c>
      <c r="BU21" s="104"/>
      <c r="BV21" s="104"/>
      <c r="BW21" s="104"/>
      <c r="BX21" s="104"/>
      <c r="BY21" s="104"/>
      <c r="BZ21" s="104"/>
      <c r="CA21" s="104"/>
      <c r="CB21" s="104"/>
      <c r="CC21" s="104"/>
      <c r="CD21" s="104">
        <v>270</v>
      </c>
      <c r="CE21" s="104">
        <v>3900</v>
      </c>
      <c r="CF21" s="104">
        <v>3128</v>
      </c>
      <c r="CG21" s="104"/>
      <c r="CH21" s="104"/>
      <c r="CI21" s="104"/>
      <c r="CJ21" s="104">
        <v>190</v>
      </c>
      <c r="CK21" s="104">
        <v>3040</v>
      </c>
      <c r="CL21" s="104">
        <v>1944</v>
      </c>
      <c r="CM21" s="104"/>
      <c r="CN21" s="104"/>
      <c r="CO21" s="104"/>
      <c r="CP21" s="143">
        <v>210</v>
      </c>
      <c r="CQ21" s="143">
        <v>3460</v>
      </c>
      <c r="CR21" s="143">
        <v>2284</v>
      </c>
      <c r="CS21" s="104"/>
      <c r="CT21" s="104"/>
      <c r="CU21" s="104"/>
      <c r="CV21" s="241"/>
      <c r="CW21" s="241"/>
      <c r="CX21" s="241"/>
      <c r="CY21" s="241"/>
      <c r="CZ21" s="241"/>
      <c r="DA21" s="241"/>
      <c r="DB21" s="242">
        <f t="shared" si="4"/>
        <v>2480</v>
      </c>
      <c r="DC21" s="242">
        <f t="shared" si="4"/>
        <v>37320</v>
      </c>
      <c r="DD21" s="242">
        <f t="shared" si="4"/>
        <v>27026.400000000001</v>
      </c>
      <c r="DG21" s="243"/>
      <c r="DH21" s="244"/>
      <c r="DI21" s="244"/>
      <c r="DJ21" s="244"/>
    </row>
    <row r="22" spans="1:116" ht="20.100000000000001" customHeight="1" x14ac:dyDescent="0.6">
      <c r="A22" s="234">
        <v>19</v>
      </c>
      <c r="B22" s="245" t="s">
        <v>114</v>
      </c>
      <c r="C22" s="234" t="s">
        <v>115</v>
      </c>
      <c r="D22" s="246" t="s">
        <v>116</v>
      </c>
      <c r="E22" s="246" t="s">
        <v>117</v>
      </c>
      <c r="F22" s="238" t="s">
        <v>56</v>
      </c>
      <c r="G22" s="239"/>
      <c r="H22" s="240"/>
      <c r="I22" s="240"/>
      <c r="J22" s="240">
        <v>50</v>
      </c>
      <c r="K22" s="240">
        <v>600</v>
      </c>
      <c r="L22" s="240">
        <v>600</v>
      </c>
      <c r="M22" s="240">
        <v>350</v>
      </c>
      <c r="N22" s="240">
        <v>5800</v>
      </c>
      <c r="O22" s="240">
        <v>3756</v>
      </c>
      <c r="P22" s="240"/>
      <c r="Q22" s="240"/>
      <c r="R22" s="240"/>
      <c r="S22" s="240"/>
      <c r="T22" s="240"/>
      <c r="U22" s="240"/>
      <c r="V22" s="240">
        <v>120</v>
      </c>
      <c r="W22" s="240">
        <v>1580</v>
      </c>
      <c r="X22" s="240">
        <v>1227.2</v>
      </c>
      <c r="Y22" s="240">
        <v>370</v>
      </c>
      <c r="Z22" s="240">
        <v>5240</v>
      </c>
      <c r="AA22" s="240">
        <v>3971.2</v>
      </c>
      <c r="AB22" s="240"/>
      <c r="AC22" s="240"/>
      <c r="AD22" s="240"/>
      <c r="AE22" s="240">
        <v>50</v>
      </c>
      <c r="AF22" s="104">
        <v>600</v>
      </c>
      <c r="AG22" s="240">
        <v>600</v>
      </c>
      <c r="AH22" s="241"/>
      <c r="AI22" s="241"/>
      <c r="AJ22" s="241"/>
      <c r="AK22" s="242">
        <f t="shared" si="5"/>
        <v>940</v>
      </c>
      <c r="AL22" s="242">
        <f t="shared" si="5"/>
        <v>13820</v>
      </c>
      <c r="AM22" s="242">
        <f t="shared" si="5"/>
        <v>10154.4</v>
      </c>
      <c r="AN22" s="241"/>
      <c r="AO22" s="241"/>
      <c r="AP22" s="241"/>
      <c r="AQ22" s="241"/>
      <c r="AR22" s="241"/>
      <c r="AS22" s="241"/>
      <c r="AT22" s="241">
        <v>330</v>
      </c>
      <c r="AU22" s="241">
        <v>5040</v>
      </c>
      <c r="AV22" s="241">
        <v>3511.2</v>
      </c>
      <c r="AW22" s="241"/>
      <c r="AX22" s="241"/>
      <c r="AY22" s="241"/>
      <c r="AZ22" s="241"/>
      <c r="BA22" s="241"/>
      <c r="BB22" s="241"/>
      <c r="BC22" s="241"/>
      <c r="BD22" s="241"/>
      <c r="BE22" s="241"/>
      <c r="BF22" s="241">
        <v>50</v>
      </c>
      <c r="BG22" s="241">
        <v>600</v>
      </c>
      <c r="BH22" s="241">
        <v>600</v>
      </c>
      <c r="BI22" s="241">
        <v>230</v>
      </c>
      <c r="BJ22" s="241">
        <v>3700</v>
      </c>
      <c r="BK22" s="241">
        <v>2428</v>
      </c>
      <c r="BL22" s="241">
        <v>100</v>
      </c>
      <c r="BM22" s="241">
        <v>1400</v>
      </c>
      <c r="BN22" s="241">
        <v>896</v>
      </c>
      <c r="BO22" s="241"/>
      <c r="BP22" s="241"/>
      <c r="BQ22" s="241"/>
      <c r="BR22" s="242">
        <f t="shared" si="6"/>
        <v>1650</v>
      </c>
      <c r="BS22" s="242">
        <f t="shared" si="6"/>
        <v>24560</v>
      </c>
      <c r="BT22" s="242">
        <f t="shared" si="6"/>
        <v>17589.599999999999</v>
      </c>
      <c r="BU22" s="104">
        <v>260</v>
      </c>
      <c r="BV22" s="104">
        <v>3240</v>
      </c>
      <c r="BW22" s="104">
        <v>2937.6</v>
      </c>
      <c r="BX22" s="104"/>
      <c r="BY22" s="104"/>
      <c r="BZ22" s="104"/>
      <c r="CA22" s="104"/>
      <c r="CB22" s="104"/>
      <c r="CC22" s="104"/>
      <c r="CD22" s="104">
        <v>330</v>
      </c>
      <c r="CE22" s="104">
        <v>5000</v>
      </c>
      <c r="CF22" s="104">
        <v>3476</v>
      </c>
      <c r="CG22" s="104">
        <v>110</v>
      </c>
      <c r="CH22" s="104">
        <v>1700</v>
      </c>
      <c r="CI22" s="104">
        <v>1188</v>
      </c>
      <c r="CJ22" s="104"/>
      <c r="CK22" s="104"/>
      <c r="CL22" s="104"/>
      <c r="CM22" s="104"/>
      <c r="CN22" s="104"/>
      <c r="CO22" s="104"/>
      <c r="CP22" s="143"/>
      <c r="CQ22" s="143"/>
      <c r="CR22" s="143"/>
      <c r="CS22" s="104"/>
      <c r="CT22" s="104"/>
      <c r="CU22" s="104"/>
      <c r="CV22" s="241"/>
      <c r="CW22" s="241"/>
      <c r="CX22" s="241"/>
      <c r="CY22" s="241"/>
      <c r="CZ22" s="241"/>
      <c r="DA22" s="241"/>
      <c r="DB22" s="242">
        <f t="shared" si="4"/>
        <v>2350</v>
      </c>
      <c r="DC22" s="242">
        <f t="shared" si="4"/>
        <v>34500</v>
      </c>
      <c r="DD22" s="242">
        <f t="shared" si="4"/>
        <v>25191.199999999997</v>
      </c>
      <c r="DG22" s="243"/>
      <c r="DH22" s="244"/>
      <c r="DI22" s="244"/>
      <c r="DJ22" s="244"/>
    </row>
    <row r="23" spans="1:116" ht="20.100000000000001" customHeight="1" x14ac:dyDescent="0.6">
      <c r="A23" s="234">
        <v>20</v>
      </c>
      <c r="B23" s="245" t="s">
        <v>118</v>
      </c>
      <c r="C23" s="234" t="s">
        <v>119</v>
      </c>
      <c r="D23" s="246" t="s">
        <v>54</v>
      </c>
      <c r="E23" s="246" t="s">
        <v>120</v>
      </c>
      <c r="F23" s="238" t="s">
        <v>56</v>
      </c>
      <c r="G23" s="239"/>
      <c r="H23" s="240"/>
      <c r="I23" s="240"/>
      <c r="J23" s="240"/>
      <c r="K23" s="240"/>
      <c r="L23" s="240"/>
      <c r="M23" s="240">
        <v>560</v>
      </c>
      <c r="N23" s="240">
        <v>8560</v>
      </c>
      <c r="O23" s="240">
        <v>6007.2</v>
      </c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>
        <v>560</v>
      </c>
      <c r="AF23" s="104">
        <v>8440</v>
      </c>
      <c r="AG23" s="104">
        <v>6141.6</v>
      </c>
      <c r="AH23" s="241"/>
      <c r="AI23" s="241"/>
      <c r="AJ23" s="241"/>
      <c r="AK23" s="242">
        <f t="shared" si="5"/>
        <v>1120</v>
      </c>
      <c r="AL23" s="242">
        <f t="shared" si="5"/>
        <v>17000</v>
      </c>
      <c r="AM23" s="242">
        <f t="shared" si="5"/>
        <v>12148.8</v>
      </c>
      <c r="AN23" s="241"/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41"/>
      <c r="BL23" s="241"/>
      <c r="BM23" s="241"/>
      <c r="BN23" s="241"/>
      <c r="BO23" s="241">
        <v>540</v>
      </c>
      <c r="BP23" s="241">
        <v>7480</v>
      </c>
      <c r="BQ23" s="241">
        <v>5611.2</v>
      </c>
      <c r="BR23" s="242">
        <f t="shared" si="6"/>
        <v>1660</v>
      </c>
      <c r="BS23" s="242">
        <f t="shared" si="6"/>
        <v>24480</v>
      </c>
      <c r="BT23" s="242">
        <f t="shared" si="6"/>
        <v>17760</v>
      </c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43">
        <v>550</v>
      </c>
      <c r="CQ23" s="143">
        <v>8260</v>
      </c>
      <c r="CR23" s="143">
        <v>6304.8</v>
      </c>
      <c r="CS23" s="104"/>
      <c r="CT23" s="104"/>
      <c r="CU23" s="104"/>
      <c r="CV23" s="241"/>
      <c r="CW23" s="241"/>
      <c r="CX23" s="241"/>
      <c r="CY23" s="241"/>
      <c r="CZ23" s="241"/>
      <c r="DA23" s="241"/>
      <c r="DB23" s="242">
        <f t="shared" si="4"/>
        <v>2210</v>
      </c>
      <c r="DC23" s="242">
        <f t="shared" si="4"/>
        <v>32740</v>
      </c>
      <c r="DD23" s="242">
        <f t="shared" si="4"/>
        <v>24064.799999999999</v>
      </c>
      <c r="DG23" s="243"/>
      <c r="DH23" s="244"/>
      <c r="DI23" s="244"/>
      <c r="DJ23" s="244"/>
    </row>
    <row r="24" spans="1:116" ht="20.100000000000001" customHeight="1" x14ac:dyDescent="0.6">
      <c r="A24" s="234">
        <v>21</v>
      </c>
      <c r="B24" s="245" t="s">
        <v>121</v>
      </c>
      <c r="C24" s="234" t="s">
        <v>122</v>
      </c>
      <c r="D24" s="246" t="s">
        <v>123</v>
      </c>
      <c r="E24" s="246" t="s">
        <v>124</v>
      </c>
      <c r="F24" s="238" t="s">
        <v>56</v>
      </c>
      <c r="G24" s="239"/>
      <c r="H24" s="240"/>
      <c r="I24" s="240"/>
      <c r="J24" s="240">
        <v>60</v>
      </c>
      <c r="K24" s="240">
        <v>760</v>
      </c>
      <c r="L24" s="240">
        <v>611.20000000000005</v>
      </c>
      <c r="M24" s="240">
        <v>140</v>
      </c>
      <c r="N24" s="240">
        <v>2060</v>
      </c>
      <c r="O24" s="240">
        <v>1548</v>
      </c>
      <c r="P24" s="240"/>
      <c r="Q24" s="240"/>
      <c r="R24" s="240"/>
      <c r="S24" s="240">
        <v>100</v>
      </c>
      <c r="T24" s="240">
        <v>1540</v>
      </c>
      <c r="U24" s="240">
        <v>1128.8</v>
      </c>
      <c r="V24" s="240"/>
      <c r="W24" s="240"/>
      <c r="X24" s="240"/>
      <c r="Y24" s="240">
        <v>150</v>
      </c>
      <c r="Z24" s="240">
        <v>2140</v>
      </c>
      <c r="AA24" s="240">
        <v>1728.8</v>
      </c>
      <c r="AB24" s="240"/>
      <c r="AC24" s="240"/>
      <c r="AD24" s="240"/>
      <c r="AE24" s="240">
        <v>105</v>
      </c>
      <c r="AF24" s="104">
        <v>1740</v>
      </c>
      <c r="AG24" s="104">
        <v>1198.8</v>
      </c>
      <c r="AH24" s="241">
        <v>50</v>
      </c>
      <c r="AI24" s="241">
        <v>640</v>
      </c>
      <c r="AJ24" s="241">
        <v>539.20000000000005</v>
      </c>
      <c r="AK24" s="242">
        <f t="shared" si="5"/>
        <v>605</v>
      </c>
      <c r="AL24" s="242">
        <f t="shared" si="5"/>
        <v>8880</v>
      </c>
      <c r="AM24" s="242">
        <f t="shared" si="5"/>
        <v>6754.8</v>
      </c>
      <c r="AN24" s="241"/>
      <c r="AO24" s="241"/>
      <c r="AP24" s="241"/>
      <c r="AQ24" s="241">
        <v>275</v>
      </c>
      <c r="AR24" s="241">
        <v>4540</v>
      </c>
      <c r="AS24" s="241">
        <v>3125.6</v>
      </c>
      <c r="AT24" s="241"/>
      <c r="AU24" s="241"/>
      <c r="AV24" s="241"/>
      <c r="AW24" s="241"/>
      <c r="AX24" s="241"/>
      <c r="AY24" s="241"/>
      <c r="AZ24" s="241"/>
      <c r="BA24" s="241"/>
      <c r="BB24" s="241"/>
      <c r="BC24" s="241">
        <v>30</v>
      </c>
      <c r="BD24" s="241">
        <v>360</v>
      </c>
      <c r="BE24" s="241">
        <v>360</v>
      </c>
      <c r="BF24" s="241">
        <v>150</v>
      </c>
      <c r="BG24" s="241">
        <v>2160</v>
      </c>
      <c r="BH24" s="241">
        <v>1674.3999999999999</v>
      </c>
      <c r="BI24" s="241"/>
      <c r="BJ24" s="241"/>
      <c r="BK24" s="241"/>
      <c r="BL24" s="241"/>
      <c r="BM24" s="241"/>
      <c r="BN24" s="241"/>
      <c r="BO24" s="241">
        <v>150</v>
      </c>
      <c r="BP24" s="241">
        <v>2320</v>
      </c>
      <c r="BQ24" s="241">
        <v>1654</v>
      </c>
      <c r="BR24" s="242">
        <f t="shared" si="6"/>
        <v>1210</v>
      </c>
      <c r="BS24" s="242">
        <f t="shared" si="6"/>
        <v>18260</v>
      </c>
      <c r="BT24" s="242">
        <f t="shared" si="6"/>
        <v>13568.8</v>
      </c>
      <c r="BU24" s="104"/>
      <c r="BV24" s="104"/>
      <c r="BW24" s="104"/>
      <c r="BX24" s="104"/>
      <c r="BY24" s="104"/>
      <c r="BZ24" s="104"/>
      <c r="CA24" s="104">
        <v>105</v>
      </c>
      <c r="CB24" s="104">
        <v>1740</v>
      </c>
      <c r="CC24" s="104">
        <v>1198.8</v>
      </c>
      <c r="CD24" s="104"/>
      <c r="CE24" s="104"/>
      <c r="CF24" s="104"/>
      <c r="CG24" s="104">
        <v>70</v>
      </c>
      <c r="CH24" s="104">
        <v>1150</v>
      </c>
      <c r="CI24" s="104">
        <v>814.4</v>
      </c>
      <c r="CJ24" s="104"/>
      <c r="CK24" s="104"/>
      <c r="CL24" s="104"/>
      <c r="CM24" s="104">
        <v>130</v>
      </c>
      <c r="CN24" s="104">
        <v>1630</v>
      </c>
      <c r="CO24" s="104">
        <v>1453.6</v>
      </c>
      <c r="CP24" s="143">
        <v>105</v>
      </c>
      <c r="CQ24" s="143">
        <v>1570</v>
      </c>
      <c r="CR24" s="143">
        <v>1234.3999999999999</v>
      </c>
      <c r="CS24" s="104"/>
      <c r="CT24" s="104"/>
      <c r="CU24" s="104"/>
      <c r="CV24" s="241"/>
      <c r="CW24" s="241"/>
      <c r="CX24" s="241"/>
      <c r="CY24" s="241"/>
      <c r="CZ24" s="241"/>
      <c r="DA24" s="241"/>
      <c r="DB24" s="242">
        <f t="shared" si="4"/>
        <v>1620</v>
      </c>
      <c r="DC24" s="242">
        <f t="shared" si="4"/>
        <v>24350</v>
      </c>
      <c r="DD24" s="242">
        <f t="shared" si="4"/>
        <v>18270</v>
      </c>
      <c r="DG24" s="243"/>
      <c r="DH24" s="244"/>
      <c r="DI24" s="244"/>
      <c r="DJ24" s="244"/>
    </row>
    <row r="25" spans="1:116" ht="20.100000000000001" customHeight="1" x14ac:dyDescent="0.6">
      <c r="A25" s="234">
        <v>22</v>
      </c>
      <c r="B25" s="245" t="s">
        <v>125</v>
      </c>
      <c r="C25" s="234" t="s">
        <v>126</v>
      </c>
      <c r="D25" s="246" t="s">
        <v>60</v>
      </c>
      <c r="E25" s="246" t="s">
        <v>61</v>
      </c>
      <c r="F25" s="238" t="s">
        <v>56</v>
      </c>
      <c r="G25" s="239"/>
      <c r="H25" s="240"/>
      <c r="I25" s="240"/>
      <c r="J25" s="240">
        <v>550</v>
      </c>
      <c r="K25" s="240">
        <v>7560</v>
      </c>
      <c r="L25" s="240">
        <v>5888</v>
      </c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>
        <v>560</v>
      </c>
      <c r="Z25" s="240">
        <v>7960</v>
      </c>
      <c r="AA25" s="240">
        <v>6028</v>
      </c>
      <c r="AB25" s="240"/>
      <c r="AC25" s="240"/>
      <c r="AD25" s="240"/>
      <c r="AE25" s="240"/>
      <c r="AF25" s="104"/>
      <c r="AG25" s="104"/>
      <c r="AH25" s="241"/>
      <c r="AI25" s="241"/>
      <c r="AJ25" s="241"/>
      <c r="AK25" s="242">
        <f t="shared" si="5"/>
        <v>1110</v>
      </c>
      <c r="AL25" s="242">
        <f t="shared" si="5"/>
        <v>15520</v>
      </c>
      <c r="AM25" s="242">
        <f t="shared" si="5"/>
        <v>11916</v>
      </c>
      <c r="AN25" s="241">
        <v>600</v>
      </c>
      <c r="AO25" s="241">
        <v>9000</v>
      </c>
      <c r="AP25" s="241">
        <v>6452</v>
      </c>
      <c r="AQ25" s="241"/>
      <c r="AR25" s="241"/>
      <c r="AS25" s="241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>
        <v>600</v>
      </c>
      <c r="BD25" s="241">
        <v>8300</v>
      </c>
      <c r="BE25" s="241">
        <v>6522</v>
      </c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242">
        <f t="shared" si="6"/>
        <v>2310</v>
      </c>
      <c r="BS25" s="242">
        <f t="shared" si="6"/>
        <v>32820</v>
      </c>
      <c r="BT25" s="242">
        <f t="shared" si="6"/>
        <v>24890</v>
      </c>
      <c r="BU25" s="104">
        <v>550</v>
      </c>
      <c r="BV25" s="104">
        <v>8400</v>
      </c>
      <c r="BW25" s="104">
        <v>5852</v>
      </c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>
        <v>500</v>
      </c>
      <c r="CK25" s="104">
        <v>6400</v>
      </c>
      <c r="CL25" s="104">
        <v>5392</v>
      </c>
      <c r="CM25" s="104"/>
      <c r="CN25" s="104"/>
      <c r="CO25" s="104"/>
      <c r="CP25" s="143"/>
      <c r="CQ25" s="143"/>
      <c r="CR25" s="143"/>
      <c r="CS25" s="104"/>
      <c r="CT25" s="104"/>
      <c r="CU25" s="104"/>
      <c r="CV25" s="241"/>
      <c r="CW25" s="241"/>
      <c r="CX25" s="241"/>
      <c r="CY25" s="241"/>
      <c r="CZ25" s="241"/>
      <c r="DA25" s="241"/>
      <c r="DB25" s="242">
        <f t="shared" si="4"/>
        <v>3360</v>
      </c>
      <c r="DC25" s="242">
        <f t="shared" si="4"/>
        <v>47620</v>
      </c>
      <c r="DD25" s="242">
        <f t="shared" si="4"/>
        <v>36134</v>
      </c>
      <c r="DG25" s="243"/>
      <c r="DH25" s="244"/>
      <c r="DI25" s="244"/>
      <c r="DJ25" s="244"/>
    </row>
    <row r="26" spans="1:116" ht="20.100000000000001" customHeight="1" x14ac:dyDescent="0.6">
      <c r="A26" s="234">
        <v>23</v>
      </c>
      <c r="B26" s="245" t="s">
        <v>127</v>
      </c>
      <c r="C26" s="234" t="s">
        <v>128</v>
      </c>
      <c r="D26" s="246" t="s">
        <v>94</v>
      </c>
      <c r="E26" s="246" t="s">
        <v>95</v>
      </c>
      <c r="F26" s="238" t="s">
        <v>56</v>
      </c>
      <c r="G26" s="239"/>
      <c r="H26" s="240"/>
      <c r="I26" s="240"/>
      <c r="J26" s="240"/>
      <c r="K26" s="240"/>
      <c r="L26" s="240"/>
      <c r="M26" s="240">
        <v>179</v>
      </c>
      <c r="N26" s="240">
        <v>2406</v>
      </c>
      <c r="O26" s="240">
        <v>1755.8400000000001</v>
      </c>
      <c r="P26" s="240"/>
      <c r="Q26" s="240"/>
      <c r="R26" s="240"/>
      <c r="S26" s="240">
        <v>165</v>
      </c>
      <c r="T26" s="240">
        <v>2080</v>
      </c>
      <c r="U26" s="240">
        <v>1828</v>
      </c>
      <c r="V26" s="240"/>
      <c r="W26" s="240"/>
      <c r="X26" s="240"/>
      <c r="Y26" s="240"/>
      <c r="Z26" s="240"/>
      <c r="AA26" s="240"/>
      <c r="AB26" s="240"/>
      <c r="AC26" s="240"/>
      <c r="AD26" s="240"/>
      <c r="AE26" s="240">
        <v>175</v>
      </c>
      <c r="AF26" s="104">
        <v>2480</v>
      </c>
      <c r="AG26" s="104">
        <v>1745.2</v>
      </c>
      <c r="AH26" s="241"/>
      <c r="AI26" s="241"/>
      <c r="AJ26" s="241"/>
      <c r="AK26" s="242">
        <f t="shared" si="5"/>
        <v>519</v>
      </c>
      <c r="AL26" s="242">
        <f t="shared" si="5"/>
        <v>6966</v>
      </c>
      <c r="AM26" s="242">
        <f t="shared" si="5"/>
        <v>5329.04</v>
      </c>
      <c r="AN26" s="241"/>
      <c r="AO26" s="241"/>
      <c r="AP26" s="241"/>
      <c r="AQ26" s="241"/>
      <c r="AR26" s="241"/>
      <c r="AS26" s="241"/>
      <c r="AT26" s="241">
        <v>250</v>
      </c>
      <c r="AU26" s="241">
        <v>3300</v>
      </c>
      <c r="AV26" s="241">
        <v>2544</v>
      </c>
      <c r="AW26" s="241"/>
      <c r="AX26" s="241"/>
      <c r="AY26" s="241"/>
      <c r="AZ26" s="241"/>
      <c r="BA26" s="241"/>
      <c r="BB26" s="241"/>
      <c r="BC26" s="241"/>
      <c r="BD26" s="241"/>
      <c r="BE26" s="241"/>
      <c r="BF26" s="241"/>
      <c r="BG26" s="241"/>
      <c r="BH26" s="241"/>
      <c r="BI26" s="241">
        <v>225</v>
      </c>
      <c r="BJ26" s="241">
        <v>3080</v>
      </c>
      <c r="BK26" s="241">
        <v>2345.1999999999998</v>
      </c>
      <c r="BL26" s="241"/>
      <c r="BM26" s="241"/>
      <c r="BN26" s="241"/>
      <c r="BO26" s="241"/>
      <c r="BP26" s="241"/>
      <c r="BQ26" s="241"/>
      <c r="BR26" s="242">
        <f t="shared" si="6"/>
        <v>994</v>
      </c>
      <c r="BS26" s="242">
        <f t="shared" si="6"/>
        <v>13346</v>
      </c>
      <c r="BT26" s="242">
        <f t="shared" si="6"/>
        <v>10218.24</v>
      </c>
      <c r="BU26" s="104"/>
      <c r="BV26" s="104"/>
      <c r="BW26" s="104"/>
      <c r="BX26" s="104"/>
      <c r="BY26" s="104"/>
      <c r="BZ26" s="104"/>
      <c r="CA26" s="104">
        <v>150</v>
      </c>
      <c r="CB26" s="104">
        <v>2000</v>
      </c>
      <c r="CC26" s="104">
        <v>1496.0000000000002</v>
      </c>
      <c r="CD26" s="104">
        <v>120</v>
      </c>
      <c r="CE26" s="104">
        <v>1580</v>
      </c>
      <c r="CF26" s="104">
        <v>1227.2</v>
      </c>
      <c r="CG26" s="104"/>
      <c r="CH26" s="104"/>
      <c r="CI26" s="104"/>
      <c r="CJ26" s="104"/>
      <c r="CK26" s="104"/>
      <c r="CL26" s="104"/>
      <c r="CM26" s="104">
        <v>206</v>
      </c>
      <c r="CN26" s="104">
        <v>2812</v>
      </c>
      <c r="CO26" s="104">
        <v>2178</v>
      </c>
      <c r="CP26" s="143">
        <v>120</v>
      </c>
      <c r="CQ26" s="143">
        <v>1580</v>
      </c>
      <c r="CR26" s="143">
        <v>1227.2</v>
      </c>
      <c r="CS26" s="104"/>
      <c r="CT26" s="104"/>
      <c r="CU26" s="104"/>
      <c r="CV26" s="241"/>
      <c r="CW26" s="241"/>
      <c r="CX26" s="241"/>
      <c r="CY26" s="241"/>
      <c r="CZ26" s="241"/>
      <c r="DA26" s="241"/>
      <c r="DB26" s="242">
        <f t="shared" si="4"/>
        <v>1590</v>
      </c>
      <c r="DC26" s="242">
        <f t="shared" si="4"/>
        <v>21318</v>
      </c>
      <c r="DD26" s="242">
        <f t="shared" si="4"/>
        <v>16346.640000000001</v>
      </c>
      <c r="DG26" s="243"/>
      <c r="DH26" s="244"/>
      <c r="DI26" s="244"/>
      <c r="DJ26" s="244"/>
    </row>
    <row r="27" spans="1:116" ht="20.100000000000001" customHeight="1" x14ac:dyDescent="0.6">
      <c r="A27" s="234">
        <v>24</v>
      </c>
      <c r="B27" s="245" t="s">
        <v>129</v>
      </c>
      <c r="C27" s="234" t="s">
        <v>130</v>
      </c>
      <c r="D27" s="246" t="s">
        <v>131</v>
      </c>
      <c r="E27" s="246" t="s">
        <v>132</v>
      </c>
      <c r="F27" s="238" t="s">
        <v>56</v>
      </c>
      <c r="G27" s="239"/>
      <c r="H27" s="240"/>
      <c r="I27" s="240"/>
      <c r="J27" s="240">
        <v>115</v>
      </c>
      <c r="K27" s="240">
        <v>1420</v>
      </c>
      <c r="L27" s="240">
        <v>1319.2</v>
      </c>
      <c r="M27" s="240"/>
      <c r="N27" s="240"/>
      <c r="O27" s="240"/>
      <c r="P27" s="240"/>
      <c r="Q27" s="240"/>
      <c r="R27" s="240"/>
      <c r="S27" s="240">
        <v>90</v>
      </c>
      <c r="T27" s="240">
        <v>1360</v>
      </c>
      <c r="U27" s="240">
        <v>1100</v>
      </c>
      <c r="V27" s="240"/>
      <c r="W27" s="240"/>
      <c r="X27" s="240"/>
      <c r="Y27" s="240"/>
      <c r="Z27" s="240"/>
      <c r="AA27" s="240"/>
      <c r="AB27" s="240"/>
      <c r="AC27" s="240"/>
      <c r="AD27" s="240"/>
      <c r="AE27" s="240">
        <v>130</v>
      </c>
      <c r="AF27" s="104">
        <v>1840</v>
      </c>
      <c r="AG27" s="104">
        <v>1532</v>
      </c>
      <c r="AH27" s="241"/>
      <c r="AI27" s="241"/>
      <c r="AJ27" s="241"/>
      <c r="AK27" s="242">
        <f t="shared" si="5"/>
        <v>335</v>
      </c>
      <c r="AL27" s="242">
        <f t="shared" si="5"/>
        <v>4620</v>
      </c>
      <c r="AM27" s="242">
        <f t="shared" si="5"/>
        <v>3951.2</v>
      </c>
      <c r="AN27" s="241"/>
      <c r="AO27" s="241"/>
      <c r="AP27" s="241"/>
      <c r="AQ27" s="241">
        <v>105</v>
      </c>
      <c r="AR27" s="241">
        <v>1300</v>
      </c>
      <c r="AS27" s="241">
        <v>1199.2</v>
      </c>
      <c r="AT27" s="241"/>
      <c r="AU27" s="241"/>
      <c r="AV27" s="241"/>
      <c r="AW27" s="241">
        <v>120</v>
      </c>
      <c r="AX27" s="241">
        <v>2000</v>
      </c>
      <c r="AY27" s="241">
        <v>1432</v>
      </c>
      <c r="AZ27" s="241"/>
      <c r="BA27" s="241"/>
      <c r="BB27" s="241"/>
      <c r="BC27" s="241"/>
      <c r="BD27" s="241"/>
      <c r="BE27" s="241"/>
      <c r="BF27" s="241"/>
      <c r="BG27" s="241"/>
      <c r="BH27" s="241"/>
      <c r="BI27" s="241">
        <v>90</v>
      </c>
      <c r="BJ27" s="241">
        <v>1140</v>
      </c>
      <c r="BK27" s="241">
        <v>988.8</v>
      </c>
      <c r="BL27" s="241"/>
      <c r="BM27" s="241"/>
      <c r="BN27" s="241"/>
      <c r="BO27" s="241">
        <v>75</v>
      </c>
      <c r="BP27" s="241">
        <v>1320</v>
      </c>
      <c r="BQ27" s="241">
        <v>930</v>
      </c>
      <c r="BR27" s="242">
        <f t="shared" si="6"/>
        <v>725</v>
      </c>
      <c r="BS27" s="242">
        <f t="shared" si="6"/>
        <v>10380</v>
      </c>
      <c r="BT27" s="242">
        <f t="shared" si="6"/>
        <v>8501.2000000000007</v>
      </c>
      <c r="BU27" s="104"/>
      <c r="BV27" s="104"/>
      <c r="BW27" s="104"/>
      <c r="BX27" s="104"/>
      <c r="BY27" s="104"/>
      <c r="BZ27" s="104"/>
      <c r="CA27" s="104">
        <v>130</v>
      </c>
      <c r="CB27" s="104">
        <v>1880</v>
      </c>
      <c r="CC27" s="104">
        <v>1519.2</v>
      </c>
      <c r="CD27" s="104"/>
      <c r="CE27" s="104"/>
      <c r="CF27" s="104"/>
      <c r="CG27" s="104"/>
      <c r="CH27" s="104"/>
      <c r="CI27" s="104"/>
      <c r="CJ27" s="104"/>
      <c r="CK27" s="104"/>
      <c r="CL27" s="104"/>
      <c r="CM27" s="104">
        <v>145</v>
      </c>
      <c r="CN27" s="104">
        <v>2060</v>
      </c>
      <c r="CO27" s="104">
        <v>1699.2</v>
      </c>
      <c r="CP27" s="143"/>
      <c r="CQ27" s="143"/>
      <c r="CR27" s="143"/>
      <c r="CS27" s="104"/>
      <c r="CT27" s="104"/>
      <c r="CU27" s="104"/>
      <c r="CV27" s="241"/>
      <c r="CW27" s="241"/>
      <c r="CX27" s="241"/>
      <c r="CY27" s="241"/>
      <c r="CZ27" s="241"/>
      <c r="DA27" s="241"/>
      <c r="DB27" s="242">
        <f t="shared" si="4"/>
        <v>1000</v>
      </c>
      <c r="DC27" s="242">
        <f t="shared" si="4"/>
        <v>14320</v>
      </c>
      <c r="DD27" s="242">
        <f t="shared" si="4"/>
        <v>11719.600000000002</v>
      </c>
      <c r="DG27" s="243"/>
      <c r="DH27" s="244"/>
      <c r="DI27" s="244"/>
      <c r="DJ27" s="244"/>
    </row>
    <row r="28" spans="1:116" ht="20.100000000000001" customHeight="1" x14ac:dyDescent="0.6">
      <c r="A28" s="234">
        <v>25</v>
      </c>
      <c r="B28" s="245" t="s">
        <v>133</v>
      </c>
      <c r="C28" s="234" t="s">
        <v>134</v>
      </c>
      <c r="D28" s="246" t="s">
        <v>94</v>
      </c>
      <c r="E28" s="246" t="s">
        <v>95</v>
      </c>
      <c r="F28" s="238" t="s">
        <v>56</v>
      </c>
      <c r="G28" s="239"/>
      <c r="H28" s="240"/>
      <c r="I28" s="240"/>
      <c r="J28" s="240">
        <v>230</v>
      </c>
      <c r="K28" s="240">
        <v>2860</v>
      </c>
      <c r="L28" s="240">
        <v>2608</v>
      </c>
      <c r="M28" s="240"/>
      <c r="N28" s="240"/>
      <c r="O28" s="240"/>
      <c r="P28" s="240"/>
      <c r="Q28" s="240"/>
      <c r="R28" s="240"/>
      <c r="S28" s="240">
        <v>210</v>
      </c>
      <c r="T28" s="240">
        <v>2700</v>
      </c>
      <c r="U28" s="240">
        <v>2246.4</v>
      </c>
      <c r="V28" s="240"/>
      <c r="W28" s="240"/>
      <c r="X28" s="240"/>
      <c r="Y28" s="240"/>
      <c r="Z28" s="240"/>
      <c r="AA28" s="240"/>
      <c r="AB28" s="240"/>
      <c r="AC28" s="240"/>
      <c r="AD28" s="240"/>
      <c r="AE28" s="240">
        <v>200</v>
      </c>
      <c r="AF28" s="104">
        <v>2500</v>
      </c>
      <c r="AG28" s="104">
        <v>2248</v>
      </c>
      <c r="AH28" s="241"/>
      <c r="AI28" s="241"/>
      <c r="AJ28" s="241"/>
      <c r="AK28" s="242">
        <f t="shared" si="5"/>
        <v>640</v>
      </c>
      <c r="AL28" s="242">
        <f t="shared" si="5"/>
        <v>8060</v>
      </c>
      <c r="AM28" s="242">
        <f t="shared" si="5"/>
        <v>7102.4</v>
      </c>
      <c r="AN28" s="241">
        <v>125</v>
      </c>
      <c r="AO28" s="241">
        <v>2340</v>
      </c>
      <c r="AP28" s="241">
        <v>1560</v>
      </c>
      <c r="AQ28" s="241"/>
      <c r="AR28" s="241"/>
      <c r="AS28" s="241"/>
      <c r="AT28" s="241"/>
      <c r="AU28" s="241"/>
      <c r="AV28" s="241"/>
      <c r="AW28" s="241">
        <v>100</v>
      </c>
      <c r="AX28" s="241">
        <v>1300</v>
      </c>
      <c r="AY28" s="241">
        <v>1048</v>
      </c>
      <c r="AZ28" s="241"/>
      <c r="BA28" s="241"/>
      <c r="BB28" s="241"/>
      <c r="BC28" s="241">
        <v>100</v>
      </c>
      <c r="BD28" s="241">
        <v>1300</v>
      </c>
      <c r="BE28" s="241">
        <v>1048</v>
      </c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2">
        <f t="shared" si="6"/>
        <v>965</v>
      </c>
      <c r="BS28" s="242">
        <f t="shared" si="6"/>
        <v>13000</v>
      </c>
      <c r="BT28" s="242">
        <f t="shared" si="6"/>
        <v>10758.4</v>
      </c>
      <c r="BU28" s="104">
        <v>180</v>
      </c>
      <c r="BV28" s="104">
        <v>2260</v>
      </c>
      <c r="BW28" s="104">
        <v>2008</v>
      </c>
      <c r="BX28" s="104"/>
      <c r="BY28" s="104"/>
      <c r="BZ28" s="104"/>
      <c r="CA28" s="104">
        <v>163</v>
      </c>
      <c r="CB28" s="104">
        <v>2336</v>
      </c>
      <c r="CC28" s="104">
        <v>1813.2</v>
      </c>
      <c r="CD28" s="104"/>
      <c r="CE28" s="104"/>
      <c r="CF28" s="104"/>
      <c r="CG28" s="104">
        <v>70</v>
      </c>
      <c r="CH28" s="104">
        <v>900</v>
      </c>
      <c r="CI28" s="104">
        <v>748.8</v>
      </c>
      <c r="CJ28" s="104"/>
      <c r="CK28" s="104"/>
      <c r="CL28" s="104"/>
      <c r="CM28" s="104"/>
      <c r="CN28" s="104"/>
      <c r="CO28" s="104"/>
      <c r="CP28" s="143">
        <v>180</v>
      </c>
      <c r="CQ28" s="143">
        <v>2260</v>
      </c>
      <c r="CR28" s="143">
        <v>2008</v>
      </c>
      <c r="CS28" s="104"/>
      <c r="CT28" s="104"/>
      <c r="CU28" s="104"/>
      <c r="CV28" s="241"/>
      <c r="CW28" s="241"/>
      <c r="CX28" s="241"/>
      <c r="CY28" s="241"/>
      <c r="CZ28" s="241"/>
      <c r="DA28" s="241"/>
      <c r="DB28" s="242">
        <f t="shared" si="4"/>
        <v>1558</v>
      </c>
      <c r="DC28" s="242">
        <f t="shared" si="4"/>
        <v>20756</v>
      </c>
      <c r="DD28" s="242">
        <f t="shared" si="4"/>
        <v>17336.400000000001</v>
      </c>
      <c r="DG28" s="243"/>
      <c r="DH28" s="244"/>
      <c r="DI28" s="244"/>
      <c r="DJ28" s="244"/>
    </row>
    <row r="29" spans="1:116" ht="20.100000000000001" customHeight="1" x14ac:dyDescent="0.6">
      <c r="A29" s="234">
        <v>26</v>
      </c>
      <c r="B29" s="245" t="s">
        <v>135</v>
      </c>
      <c r="C29" s="234" t="s">
        <v>136</v>
      </c>
      <c r="D29" s="246" t="s">
        <v>137</v>
      </c>
      <c r="E29" s="246" t="s">
        <v>138</v>
      </c>
      <c r="F29" s="238" t="s">
        <v>56</v>
      </c>
      <c r="G29" s="239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>
        <v>500</v>
      </c>
      <c r="AF29" s="104">
        <v>7840</v>
      </c>
      <c r="AG29" s="104">
        <v>5317.2</v>
      </c>
      <c r="AH29" s="241"/>
      <c r="AI29" s="241"/>
      <c r="AJ29" s="241"/>
      <c r="AK29" s="242">
        <f t="shared" si="5"/>
        <v>500</v>
      </c>
      <c r="AL29" s="242">
        <f t="shared" si="5"/>
        <v>7840</v>
      </c>
      <c r="AM29" s="242">
        <f t="shared" si="5"/>
        <v>5317.2</v>
      </c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  <c r="BN29" s="241"/>
      <c r="BO29" s="241"/>
      <c r="BP29" s="241"/>
      <c r="BQ29" s="241"/>
      <c r="BR29" s="242">
        <f t="shared" si="6"/>
        <v>500</v>
      </c>
      <c r="BS29" s="242">
        <f t="shared" si="6"/>
        <v>7840</v>
      </c>
      <c r="BT29" s="242">
        <f t="shared" si="6"/>
        <v>5317.2</v>
      </c>
      <c r="BU29" s="104"/>
      <c r="BV29" s="104"/>
      <c r="BW29" s="104"/>
      <c r="BX29" s="104"/>
      <c r="BY29" s="104"/>
      <c r="BZ29" s="104"/>
      <c r="CA29" s="104">
        <v>500</v>
      </c>
      <c r="CB29" s="104">
        <v>7180</v>
      </c>
      <c r="CC29" s="104">
        <v>5543.2</v>
      </c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43"/>
      <c r="CQ29" s="143"/>
      <c r="CR29" s="143"/>
      <c r="CS29" s="104"/>
      <c r="CT29" s="104"/>
      <c r="CU29" s="104"/>
      <c r="CV29" s="241"/>
      <c r="CW29" s="241"/>
      <c r="CX29" s="241"/>
      <c r="CY29" s="241"/>
      <c r="CZ29" s="241"/>
      <c r="DA29" s="241"/>
      <c r="DB29" s="242">
        <f t="shared" si="4"/>
        <v>1000</v>
      </c>
      <c r="DC29" s="242">
        <f t="shared" si="4"/>
        <v>15020</v>
      </c>
      <c r="DD29" s="242">
        <f t="shared" si="4"/>
        <v>10860.4</v>
      </c>
      <c r="DG29" s="243"/>
      <c r="DH29" s="244"/>
      <c r="DI29" s="244"/>
      <c r="DJ29" s="244"/>
    </row>
    <row r="30" spans="1:116" ht="20.100000000000001" customHeight="1" x14ac:dyDescent="0.6">
      <c r="A30" s="234">
        <v>27</v>
      </c>
      <c r="B30" s="245" t="s">
        <v>139</v>
      </c>
      <c r="C30" s="234" t="s">
        <v>140</v>
      </c>
      <c r="D30" s="246" t="s">
        <v>141</v>
      </c>
      <c r="E30" s="246" t="s">
        <v>142</v>
      </c>
      <c r="F30" s="238" t="s">
        <v>56</v>
      </c>
      <c r="G30" s="239"/>
      <c r="H30" s="240"/>
      <c r="I30" s="240"/>
      <c r="J30" s="240"/>
      <c r="K30" s="240"/>
      <c r="L30" s="240"/>
      <c r="M30" s="240">
        <v>50</v>
      </c>
      <c r="N30" s="240">
        <v>600</v>
      </c>
      <c r="O30" s="240">
        <v>600</v>
      </c>
      <c r="P30" s="240"/>
      <c r="Q30" s="240"/>
      <c r="R30" s="240"/>
      <c r="S30" s="240">
        <v>50</v>
      </c>
      <c r="T30" s="240">
        <v>600</v>
      </c>
      <c r="U30" s="240">
        <v>600</v>
      </c>
      <c r="V30" s="240">
        <v>100</v>
      </c>
      <c r="W30" s="240">
        <v>1240</v>
      </c>
      <c r="X30" s="240">
        <v>1139.2</v>
      </c>
      <c r="Y30" s="240"/>
      <c r="Z30" s="240"/>
      <c r="AA30" s="240"/>
      <c r="AB30" s="240"/>
      <c r="AC30" s="240"/>
      <c r="AD30" s="240"/>
      <c r="AE30" s="240">
        <v>70</v>
      </c>
      <c r="AF30" s="104">
        <v>1400</v>
      </c>
      <c r="AG30" s="104">
        <v>880</v>
      </c>
      <c r="AH30" s="241"/>
      <c r="AI30" s="241"/>
      <c r="AJ30" s="241"/>
      <c r="AK30" s="242">
        <f t="shared" si="5"/>
        <v>270</v>
      </c>
      <c r="AL30" s="242">
        <f t="shared" si="5"/>
        <v>3840</v>
      </c>
      <c r="AM30" s="242">
        <f t="shared" si="5"/>
        <v>3219.2</v>
      </c>
      <c r="AN30" s="241">
        <v>80</v>
      </c>
      <c r="AO30" s="241">
        <v>1020</v>
      </c>
      <c r="AP30" s="241">
        <v>868.8</v>
      </c>
      <c r="AQ30" s="241">
        <v>300</v>
      </c>
      <c r="AR30" s="241">
        <v>3600</v>
      </c>
      <c r="AS30" s="241">
        <v>3600</v>
      </c>
      <c r="AT30" s="241"/>
      <c r="AU30" s="241"/>
      <c r="AV30" s="241"/>
      <c r="AW30" s="241">
        <v>100</v>
      </c>
      <c r="AX30" s="241">
        <v>1400</v>
      </c>
      <c r="AY30" s="241">
        <v>896</v>
      </c>
      <c r="AZ30" s="241"/>
      <c r="BA30" s="241"/>
      <c r="BB30" s="241"/>
      <c r="BC30" s="241">
        <v>115</v>
      </c>
      <c r="BD30" s="241">
        <v>1410</v>
      </c>
      <c r="BE30" s="241">
        <v>1334.4</v>
      </c>
      <c r="BF30" s="241"/>
      <c r="BG30" s="241"/>
      <c r="BH30" s="241"/>
      <c r="BI30" s="241"/>
      <c r="BJ30" s="241"/>
      <c r="BK30" s="241"/>
      <c r="BL30" s="241"/>
      <c r="BM30" s="241"/>
      <c r="BN30" s="241"/>
      <c r="BO30" s="241"/>
      <c r="BP30" s="241"/>
      <c r="BQ30" s="241"/>
      <c r="BR30" s="242">
        <f t="shared" si="6"/>
        <v>865</v>
      </c>
      <c r="BS30" s="242">
        <f t="shared" si="6"/>
        <v>11270</v>
      </c>
      <c r="BT30" s="242">
        <f t="shared" si="6"/>
        <v>9918.4</v>
      </c>
      <c r="BU30" s="104">
        <v>80</v>
      </c>
      <c r="BV30" s="104">
        <v>1020</v>
      </c>
      <c r="BW30" s="104">
        <v>868.8</v>
      </c>
      <c r="BX30" s="104"/>
      <c r="BY30" s="104"/>
      <c r="BZ30" s="104"/>
      <c r="CA30" s="104"/>
      <c r="CB30" s="104"/>
      <c r="CC30" s="104"/>
      <c r="CD30" s="104">
        <v>410</v>
      </c>
      <c r="CE30" s="104">
        <v>5160</v>
      </c>
      <c r="CF30" s="104">
        <v>4555.2</v>
      </c>
      <c r="CG30" s="104"/>
      <c r="CH30" s="104"/>
      <c r="CI30" s="104"/>
      <c r="CJ30" s="104"/>
      <c r="CK30" s="104"/>
      <c r="CL30" s="104"/>
      <c r="CM30" s="104">
        <v>360</v>
      </c>
      <c r="CN30" s="104">
        <v>5160</v>
      </c>
      <c r="CO30" s="104">
        <v>4380</v>
      </c>
      <c r="CP30" s="143"/>
      <c r="CQ30" s="143"/>
      <c r="CR30" s="143"/>
      <c r="CS30" s="104"/>
      <c r="CT30" s="104"/>
      <c r="CU30" s="104"/>
      <c r="CV30" s="241"/>
      <c r="CW30" s="241"/>
      <c r="CX30" s="241"/>
      <c r="CY30" s="241"/>
      <c r="CZ30" s="241"/>
      <c r="DA30" s="241"/>
      <c r="DB30" s="242">
        <f t="shared" si="4"/>
        <v>1715</v>
      </c>
      <c r="DC30" s="242">
        <f t="shared" si="4"/>
        <v>22610</v>
      </c>
      <c r="DD30" s="242">
        <f t="shared" si="4"/>
        <v>19722.399999999998</v>
      </c>
      <c r="DG30" s="243"/>
      <c r="DH30" s="244"/>
      <c r="DI30" s="244"/>
      <c r="DJ30" s="244"/>
    </row>
    <row r="31" spans="1:116" ht="20.100000000000001" customHeight="1" x14ac:dyDescent="0.6">
      <c r="A31" s="234">
        <v>28</v>
      </c>
      <c r="B31" s="245" t="s">
        <v>143</v>
      </c>
      <c r="C31" s="234" t="s">
        <v>144</v>
      </c>
      <c r="D31" s="246" t="s">
        <v>145</v>
      </c>
      <c r="E31" s="246" t="s">
        <v>146</v>
      </c>
      <c r="F31" s="238" t="s">
        <v>56</v>
      </c>
      <c r="G31" s="239"/>
      <c r="H31" s="240"/>
      <c r="I31" s="240"/>
      <c r="J31" s="240">
        <v>210</v>
      </c>
      <c r="K31" s="240">
        <v>2940</v>
      </c>
      <c r="L31" s="240">
        <v>2169.6</v>
      </c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>
        <v>80</v>
      </c>
      <c r="Z31" s="240">
        <v>1080</v>
      </c>
      <c r="AA31" s="240">
        <v>777.6</v>
      </c>
      <c r="AB31" s="240"/>
      <c r="AC31" s="240"/>
      <c r="AD31" s="240"/>
      <c r="AE31" s="240"/>
      <c r="AF31" s="104"/>
      <c r="AG31" s="104"/>
      <c r="AH31" s="241">
        <v>205</v>
      </c>
      <c r="AI31" s="241">
        <v>2900</v>
      </c>
      <c r="AJ31" s="241">
        <v>2079.2000000000003</v>
      </c>
      <c r="AK31" s="242">
        <f t="shared" si="5"/>
        <v>495</v>
      </c>
      <c r="AL31" s="242">
        <f t="shared" si="5"/>
        <v>6920</v>
      </c>
      <c r="AM31" s="242">
        <f t="shared" si="5"/>
        <v>5026.3999999999996</v>
      </c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>
        <v>300</v>
      </c>
      <c r="BD31" s="241">
        <v>4140</v>
      </c>
      <c r="BE31" s="241">
        <v>2959.2</v>
      </c>
      <c r="BF31" s="241"/>
      <c r="BG31" s="241"/>
      <c r="BH31" s="241"/>
      <c r="BI31" s="241"/>
      <c r="BJ31" s="241"/>
      <c r="BK31" s="241"/>
      <c r="BL31" s="241">
        <v>30</v>
      </c>
      <c r="BM31" s="241">
        <v>420</v>
      </c>
      <c r="BN31" s="241">
        <v>268.8</v>
      </c>
      <c r="BO31" s="241"/>
      <c r="BP31" s="241"/>
      <c r="BQ31" s="241"/>
      <c r="BR31" s="242">
        <f t="shared" si="6"/>
        <v>825</v>
      </c>
      <c r="BS31" s="242">
        <f t="shared" si="6"/>
        <v>11480</v>
      </c>
      <c r="BT31" s="242">
        <f t="shared" si="6"/>
        <v>8254.4</v>
      </c>
      <c r="BU31" s="104"/>
      <c r="BV31" s="104"/>
      <c r="BW31" s="104"/>
      <c r="BX31" s="104"/>
      <c r="BY31" s="104"/>
      <c r="BZ31" s="104"/>
      <c r="CA31" s="104">
        <v>200</v>
      </c>
      <c r="CB31" s="104">
        <v>2820</v>
      </c>
      <c r="CC31" s="104">
        <v>1977.6</v>
      </c>
      <c r="CD31" s="104"/>
      <c r="CE31" s="104"/>
      <c r="CF31" s="104"/>
      <c r="CG31" s="104">
        <v>80</v>
      </c>
      <c r="CH31" s="104">
        <v>1060</v>
      </c>
      <c r="CI31" s="104">
        <v>808</v>
      </c>
      <c r="CJ31" s="104"/>
      <c r="CK31" s="104"/>
      <c r="CL31" s="104"/>
      <c r="CM31" s="104">
        <v>200</v>
      </c>
      <c r="CN31" s="104">
        <v>2720</v>
      </c>
      <c r="CO31" s="104">
        <v>2112.4</v>
      </c>
      <c r="CP31" s="143"/>
      <c r="CQ31" s="143"/>
      <c r="CR31" s="143"/>
      <c r="CS31" s="104"/>
      <c r="CT31" s="104"/>
      <c r="CU31" s="104"/>
      <c r="CV31" s="241"/>
      <c r="CW31" s="241"/>
      <c r="CX31" s="241"/>
      <c r="CY31" s="241"/>
      <c r="CZ31" s="241"/>
      <c r="DA31" s="241"/>
      <c r="DB31" s="242">
        <f t="shared" si="4"/>
        <v>1305</v>
      </c>
      <c r="DC31" s="242">
        <f t="shared" si="4"/>
        <v>18080</v>
      </c>
      <c r="DD31" s="242">
        <f t="shared" si="4"/>
        <v>13152.4</v>
      </c>
      <c r="DG31" s="243"/>
      <c r="DH31" s="244"/>
      <c r="DI31" s="244"/>
      <c r="DJ31" s="244"/>
    </row>
    <row r="32" spans="1:116" ht="20.100000000000001" customHeight="1" x14ac:dyDescent="0.6">
      <c r="A32" s="234">
        <v>29</v>
      </c>
      <c r="B32" s="245" t="s">
        <v>147</v>
      </c>
      <c r="C32" s="234" t="s">
        <v>148</v>
      </c>
      <c r="D32" s="246" t="s">
        <v>123</v>
      </c>
      <c r="E32" s="246" t="s">
        <v>124</v>
      </c>
      <c r="F32" s="238" t="s">
        <v>56</v>
      </c>
      <c r="G32" s="239"/>
      <c r="H32" s="240"/>
      <c r="I32" s="240"/>
      <c r="J32" s="240"/>
      <c r="K32" s="240"/>
      <c r="L32" s="240"/>
      <c r="M32" s="240">
        <v>50</v>
      </c>
      <c r="N32" s="240">
        <v>620</v>
      </c>
      <c r="O32" s="240">
        <v>569.6</v>
      </c>
      <c r="P32" s="240"/>
      <c r="Q32" s="240"/>
      <c r="R32" s="240"/>
      <c r="S32" s="240"/>
      <c r="T32" s="240"/>
      <c r="U32" s="240"/>
      <c r="V32" s="240"/>
      <c r="W32" s="240"/>
      <c r="X32" s="240"/>
      <c r="Y32" s="240">
        <v>50</v>
      </c>
      <c r="Z32" s="240">
        <v>620</v>
      </c>
      <c r="AA32" s="240">
        <v>569.6</v>
      </c>
      <c r="AB32" s="240"/>
      <c r="AC32" s="240"/>
      <c r="AD32" s="240"/>
      <c r="AE32" s="240"/>
      <c r="AF32" s="104"/>
      <c r="AG32" s="104"/>
      <c r="AH32" s="241">
        <v>85</v>
      </c>
      <c r="AI32" s="241">
        <v>1440</v>
      </c>
      <c r="AJ32" s="241">
        <v>1050</v>
      </c>
      <c r="AK32" s="242">
        <f t="shared" si="5"/>
        <v>185</v>
      </c>
      <c r="AL32" s="242">
        <f t="shared" si="5"/>
        <v>2680</v>
      </c>
      <c r="AM32" s="242">
        <f t="shared" si="5"/>
        <v>2189.1999999999998</v>
      </c>
      <c r="AN32" s="241"/>
      <c r="AO32" s="241"/>
      <c r="AP32" s="241"/>
      <c r="AQ32" s="241"/>
      <c r="AR32" s="241"/>
      <c r="AS32" s="241"/>
      <c r="AT32" s="241">
        <v>55</v>
      </c>
      <c r="AU32" s="241">
        <v>660</v>
      </c>
      <c r="AV32" s="241">
        <v>660</v>
      </c>
      <c r="AW32" s="241"/>
      <c r="AX32" s="241"/>
      <c r="AY32" s="241"/>
      <c r="AZ32" s="241"/>
      <c r="BA32" s="241"/>
      <c r="BB32" s="241"/>
      <c r="BC32" s="241">
        <v>55</v>
      </c>
      <c r="BD32" s="241">
        <v>670</v>
      </c>
      <c r="BE32" s="241">
        <v>644.79999999999995</v>
      </c>
      <c r="BF32" s="241"/>
      <c r="BG32" s="241"/>
      <c r="BH32" s="241"/>
      <c r="BI32" s="241"/>
      <c r="BJ32" s="241"/>
      <c r="BK32" s="241"/>
      <c r="BL32" s="241">
        <v>50</v>
      </c>
      <c r="BM32" s="241">
        <v>620</v>
      </c>
      <c r="BN32" s="241">
        <v>569.6</v>
      </c>
      <c r="BO32" s="241"/>
      <c r="BP32" s="241"/>
      <c r="BQ32" s="241"/>
      <c r="BR32" s="242">
        <f t="shared" si="6"/>
        <v>345</v>
      </c>
      <c r="BS32" s="242">
        <f t="shared" si="6"/>
        <v>4630</v>
      </c>
      <c r="BT32" s="242">
        <f t="shared" si="6"/>
        <v>4063.6</v>
      </c>
      <c r="BU32" s="104">
        <v>65</v>
      </c>
      <c r="BV32" s="104">
        <v>810</v>
      </c>
      <c r="BW32" s="104">
        <v>734.4</v>
      </c>
      <c r="BX32" s="104"/>
      <c r="BY32" s="104"/>
      <c r="BZ32" s="240"/>
      <c r="CA32" s="104"/>
      <c r="CB32" s="104"/>
      <c r="CC32" s="104"/>
      <c r="CD32" s="104">
        <v>40</v>
      </c>
      <c r="CE32" s="104">
        <v>480</v>
      </c>
      <c r="CF32" s="104">
        <v>480</v>
      </c>
      <c r="CG32" s="104"/>
      <c r="CH32" s="104"/>
      <c r="CI32" s="104"/>
      <c r="CJ32" s="104">
        <v>50</v>
      </c>
      <c r="CK32" s="104">
        <v>600</v>
      </c>
      <c r="CL32" s="104">
        <v>600</v>
      </c>
      <c r="CM32" s="104"/>
      <c r="CN32" s="104"/>
      <c r="CO32" s="104"/>
      <c r="CP32" s="143"/>
      <c r="CQ32" s="143"/>
      <c r="CR32" s="143"/>
      <c r="CS32" s="104"/>
      <c r="CT32" s="104"/>
      <c r="CU32" s="104"/>
      <c r="CV32" s="241"/>
      <c r="CW32" s="241"/>
      <c r="CX32" s="241"/>
      <c r="CY32" s="241"/>
      <c r="CZ32" s="241"/>
      <c r="DA32" s="241"/>
      <c r="DB32" s="242">
        <f t="shared" si="4"/>
        <v>500</v>
      </c>
      <c r="DC32" s="242">
        <f t="shared" si="4"/>
        <v>6520</v>
      </c>
      <c r="DD32" s="242">
        <f t="shared" si="4"/>
        <v>5878</v>
      </c>
      <c r="DG32" s="243"/>
      <c r="DH32" s="244"/>
      <c r="DI32" s="244"/>
      <c r="DJ32" s="244"/>
    </row>
    <row r="33" spans="1:114" ht="20.100000000000001" customHeight="1" x14ac:dyDescent="0.6">
      <c r="A33" s="234">
        <v>30</v>
      </c>
      <c r="B33" s="245" t="s">
        <v>149</v>
      </c>
      <c r="C33" s="234" t="s">
        <v>150</v>
      </c>
      <c r="D33" s="246" t="s">
        <v>151</v>
      </c>
      <c r="E33" s="246" t="s">
        <v>152</v>
      </c>
      <c r="F33" s="238" t="s">
        <v>56</v>
      </c>
      <c r="G33" s="239"/>
      <c r="H33" s="240"/>
      <c r="I33" s="240"/>
      <c r="J33" s="240"/>
      <c r="K33" s="240"/>
      <c r="L33" s="240"/>
      <c r="M33" s="240"/>
      <c r="N33" s="240"/>
      <c r="O33" s="240"/>
      <c r="P33" s="240">
        <v>240</v>
      </c>
      <c r="Q33" s="240">
        <v>3640</v>
      </c>
      <c r="R33" s="240">
        <v>2520</v>
      </c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104"/>
      <c r="AG33" s="104"/>
      <c r="AH33" s="241"/>
      <c r="AI33" s="241"/>
      <c r="AJ33" s="241"/>
      <c r="AK33" s="242">
        <f t="shared" si="5"/>
        <v>240</v>
      </c>
      <c r="AL33" s="242">
        <f t="shared" si="5"/>
        <v>3640</v>
      </c>
      <c r="AM33" s="242">
        <f t="shared" si="5"/>
        <v>2520</v>
      </c>
      <c r="AN33" s="241">
        <v>240</v>
      </c>
      <c r="AO33" s="241">
        <v>3640</v>
      </c>
      <c r="AP33" s="241">
        <v>2520</v>
      </c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>
        <v>300</v>
      </c>
      <c r="BG33" s="241">
        <v>3600</v>
      </c>
      <c r="BH33" s="241">
        <v>3528</v>
      </c>
      <c r="BI33" s="241"/>
      <c r="BJ33" s="241"/>
      <c r="BK33" s="241"/>
      <c r="BL33" s="241"/>
      <c r="BM33" s="241"/>
      <c r="BN33" s="241"/>
      <c r="BO33" s="241"/>
      <c r="BP33" s="241"/>
      <c r="BQ33" s="241"/>
      <c r="BR33" s="242">
        <f t="shared" si="6"/>
        <v>780</v>
      </c>
      <c r="BS33" s="242">
        <f t="shared" si="6"/>
        <v>10880</v>
      </c>
      <c r="BT33" s="242">
        <f t="shared" si="6"/>
        <v>8568</v>
      </c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43"/>
      <c r="CQ33" s="143"/>
      <c r="CR33" s="143"/>
      <c r="CS33" s="104"/>
      <c r="CT33" s="104"/>
      <c r="CU33" s="104"/>
      <c r="CV33" s="241"/>
      <c r="CW33" s="241"/>
      <c r="CX33" s="241"/>
      <c r="CY33" s="241"/>
      <c r="CZ33" s="241"/>
      <c r="DA33" s="241"/>
      <c r="DB33" s="242">
        <f t="shared" si="4"/>
        <v>780</v>
      </c>
      <c r="DC33" s="242">
        <f t="shared" si="4"/>
        <v>10880</v>
      </c>
      <c r="DD33" s="242">
        <f t="shared" si="4"/>
        <v>8568</v>
      </c>
      <c r="DG33" s="243"/>
      <c r="DH33" s="244"/>
      <c r="DI33" s="244"/>
      <c r="DJ33" s="244"/>
    </row>
    <row r="34" spans="1:114" ht="20.100000000000001" customHeight="1" x14ac:dyDescent="0.6">
      <c r="A34" s="234">
        <v>31</v>
      </c>
      <c r="B34" s="245" t="s">
        <v>153</v>
      </c>
      <c r="C34" s="234" t="s">
        <v>154</v>
      </c>
      <c r="D34" s="246" t="s">
        <v>116</v>
      </c>
      <c r="E34" s="246" t="s">
        <v>117</v>
      </c>
      <c r="F34" s="238" t="s">
        <v>56</v>
      </c>
      <c r="G34" s="239"/>
      <c r="H34" s="240"/>
      <c r="I34" s="240"/>
      <c r="J34" s="240"/>
      <c r="K34" s="240"/>
      <c r="L34" s="240"/>
      <c r="M34" s="240"/>
      <c r="N34" s="240"/>
      <c r="O34" s="240"/>
      <c r="P34" s="240">
        <v>260</v>
      </c>
      <c r="Q34" s="240">
        <v>3710</v>
      </c>
      <c r="R34" s="240">
        <v>2446</v>
      </c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104"/>
      <c r="AG34" s="104"/>
      <c r="AH34" s="241">
        <v>255</v>
      </c>
      <c r="AI34" s="241">
        <v>3600</v>
      </c>
      <c r="AJ34" s="241">
        <v>2462</v>
      </c>
      <c r="AK34" s="242">
        <f t="shared" si="5"/>
        <v>515</v>
      </c>
      <c r="AL34" s="242">
        <f t="shared" si="5"/>
        <v>7310</v>
      </c>
      <c r="AM34" s="242">
        <f t="shared" si="5"/>
        <v>4908</v>
      </c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  <c r="BO34" s="241"/>
      <c r="BP34" s="241"/>
      <c r="BQ34" s="241"/>
      <c r="BR34" s="242">
        <f t="shared" si="6"/>
        <v>515</v>
      </c>
      <c r="BS34" s="242">
        <f t="shared" si="6"/>
        <v>7310</v>
      </c>
      <c r="BT34" s="242">
        <f t="shared" si="6"/>
        <v>4908</v>
      </c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>
        <v>280</v>
      </c>
      <c r="CH34" s="104">
        <v>4050</v>
      </c>
      <c r="CI34" s="104">
        <v>2534</v>
      </c>
      <c r="CJ34" s="104"/>
      <c r="CK34" s="104"/>
      <c r="CL34" s="104"/>
      <c r="CM34" s="104"/>
      <c r="CN34" s="104"/>
      <c r="CO34" s="104"/>
      <c r="CP34" s="143"/>
      <c r="CQ34" s="143"/>
      <c r="CR34" s="143"/>
      <c r="CS34" s="104"/>
      <c r="CT34" s="104"/>
      <c r="CU34" s="104"/>
      <c r="CV34" s="241"/>
      <c r="CW34" s="241"/>
      <c r="CX34" s="241"/>
      <c r="CY34" s="241"/>
      <c r="CZ34" s="241"/>
      <c r="DA34" s="241"/>
      <c r="DB34" s="242">
        <f t="shared" si="4"/>
        <v>795</v>
      </c>
      <c r="DC34" s="242">
        <f t="shared" si="4"/>
        <v>11360</v>
      </c>
      <c r="DD34" s="242">
        <f t="shared" si="4"/>
        <v>7442</v>
      </c>
      <c r="DG34" s="243"/>
      <c r="DH34" s="244"/>
      <c r="DI34" s="244"/>
      <c r="DJ34" s="244"/>
    </row>
    <row r="35" spans="1:114" ht="20.100000000000001" customHeight="1" x14ac:dyDescent="0.6">
      <c r="A35" s="234">
        <v>32</v>
      </c>
      <c r="B35" s="245" t="s">
        <v>155</v>
      </c>
      <c r="C35" s="234" t="s">
        <v>156</v>
      </c>
      <c r="D35" s="246" t="s">
        <v>157</v>
      </c>
      <c r="E35" s="246" t="s">
        <v>158</v>
      </c>
      <c r="F35" s="238" t="s">
        <v>56</v>
      </c>
      <c r="G35" s="239"/>
      <c r="H35" s="240"/>
      <c r="I35" s="240"/>
      <c r="J35" s="240">
        <v>200</v>
      </c>
      <c r="K35" s="240">
        <v>2800</v>
      </c>
      <c r="L35" s="240">
        <v>1792</v>
      </c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104"/>
      <c r="AG35" s="104"/>
      <c r="AH35" s="241">
        <v>230</v>
      </c>
      <c r="AI35" s="241">
        <v>3100</v>
      </c>
      <c r="AJ35" s="241">
        <v>2027.2</v>
      </c>
      <c r="AK35" s="242">
        <f t="shared" si="5"/>
        <v>430</v>
      </c>
      <c r="AL35" s="242">
        <f t="shared" si="5"/>
        <v>5900</v>
      </c>
      <c r="AM35" s="242">
        <f t="shared" si="5"/>
        <v>3819.2</v>
      </c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241">
        <v>200</v>
      </c>
      <c r="BD35" s="241">
        <v>2740</v>
      </c>
      <c r="BE35" s="241">
        <v>1775.2</v>
      </c>
      <c r="BF35" s="241"/>
      <c r="BG35" s="241"/>
      <c r="BH35" s="241"/>
      <c r="BI35" s="241"/>
      <c r="BJ35" s="241"/>
      <c r="BK35" s="241"/>
      <c r="BL35" s="241"/>
      <c r="BM35" s="241"/>
      <c r="BN35" s="241"/>
      <c r="BO35" s="241"/>
      <c r="BP35" s="241"/>
      <c r="BQ35" s="241"/>
      <c r="BR35" s="242">
        <f t="shared" si="6"/>
        <v>630</v>
      </c>
      <c r="BS35" s="242">
        <f t="shared" si="6"/>
        <v>8640</v>
      </c>
      <c r="BT35" s="242">
        <f t="shared" si="6"/>
        <v>5594.4</v>
      </c>
      <c r="BU35" s="104"/>
      <c r="BV35" s="104"/>
      <c r="BW35" s="104"/>
      <c r="BX35" s="104"/>
      <c r="BY35" s="104"/>
      <c r="BZ35" s="104"/>
      <c r="CA35" s="105">
        <v>400</v>
      </c>
      <c r="CB35" s="105">
        <v>5480</v>
      </c>
      <c r="CC35" s="105">
        <v>3640.4</v>
      </c>
      <c r="CD35" s="104"/>
      <c r="CE35" s="104"/>
      <c r="CF35" s="104"/>
      <c r="CG35" s="104"/>
      <c r="CH35" s="104"/>
      <c r="CI35" s="104"/>
      <c r="CJ35" s="104">
        <v>75</v>
      </c>
      <c r="CK35" s="104">
        <v>900</v>
      </c>
      <c r="CL35" s="104">
        <v>630</v>
      </c>
      <c r="CM35" s="104"/>
      <c r="CN35" s="104"/>
      <c r="CO35" s="104"/>
      <c r="CP35" s="143"/>
      <c r="CQ35" s="143"/>
      <c r="CR35" s="143"/>
      <c r="CS35" s="104"/>
      <c r="CT35" s="104"/>
      <c r="CU35" s="104"/>
      <c r="CV35" s="241"/>
      <c r="CW35" s="241"/>
      <c r="CX35" s="241"/>
      <c r="CY35" s="241"/>
      <c r="CZ35" s="241"/>
      <c r="DA35" s="241"/>
      <c r="DB35" s="242">
        <f t="shared" si="4"/>
        <v>1105</v>
      </c>
      <c r="DC35" s="242">
        <f t="shared" si="4"/>
        <v>15020</v>
      </c>
      <c r="DD35" s="242">
        <f t="shared" si="4"/>
        <v>9864.7999999999993</v>
      </c>
      <c r="DG35" s="243"/>
      <c r="DH35" s="244"/>
      <c r="DI35" s="244"/>
      <c r="DJ35" s="244"/>
    </row>
    <row r="36" spans="1:114" ht="20.100000000000001" customHeight="1" x14ac:dyDescent="0.6">
      <c r="A36" s="234">
        <v>33</v>
      </c>
      <c r="B36" s="245" t="s">
        <v>159</v>
      </c>
      <c r="C36" s="234" t="s">
        <v>160</v>
      </c>
      <c r="D36" s="245" t="s">
        <v>161</v>
      </c>
      <c r="E36" s="245" t="s">
        <v>61</v>
      </c>
      <c r="F36" s="238" t="s">
        <v>56</v>
      </c>
      <c r="G36" s="249"/>
      <c r="H36" s="250"/>
      <c r="I36" s="250"/>
      <c r="J36" s="250">
        <v>150</v>
      </c>
      <c r="K36" s="250">
        <v>1860</v>
      </c>
      <c r="L36" s="250">
        <v>1708.8</v>
      </c>
      <c r="M36" s="250"/>
      <c r="N36" s="250"/>
      <c r="O36" s="250"/>
      <c r="P36" s="250"/>
      <c r="Q36" s="250"/>
      <c r="R36" s="250"/>
      <c r="S36" s="250">
        <v>80</v>
      </c>
      <c r="T36" s="250">
        <v>1280</v>
      </c>
      <c r="U36" s="250">
        <v>871.2</v>
      </c>
      <c r="V36" s="250"/>
      <c r="W36" s="250"/>
      <c r="X36" s="250"/>
      <c r="Y36" s="250">
        <v>50</v>
      </c>
      <c r="Z36" s="250">
        <v>660</v>
      </c>
      <c r="AA36" s="250">
        <v>508.8</v>
      </c>
      <c r="AB36" s="250"/>
      <c r="AC36" s="250"/>
      <c r="AD36" s="250"/>
      <c r="AE36" s="250"/>
      <c r="AF36" s="143"/>
      <c r="AG36" s="143"/>
      <c r="AH36" s="241"/>
      <c r="AI36" s="241"/>
      <c r="AJ36" s="241"/>
      <c r="AK36" s="242">
        <f t="shared" si="5"/>
        <v>280</v>
      </c>
      <c r="AL36" s="242">
        <f t="shared" si="5"/>
        <v>3800</v>
      </c>
      <c r="AM36" s="242">
        <f t="shared" si="5"/>
        <v>3088.8</v>
      </c>
      <c r="AN36" s="241">
        <v>90</v>
      </c>
      <c r="AO36" s="241">
        <v>1280</v>
      </c>
      <c r="AP36" s="241">
        <v>974.8</v>
      </c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  <c r="BA36" s="241"/>
      <c r="BB36" s="241"/>
      <c r="BC36" s="241"/>
      <c r="BD36" s="241"/>
      <c r="BE36" s="241"/>
      <c r="BF36" s="241">
        <v>80</v>
      </c>
      <c r="BG36" s="241">
        <v>1020</v>
      </c>
      <c r="BH36" s="241">
        <v>868.8</v>
      </c>
      <c r="BI36" s="241"/>
      <c r="BJ36" s="241"/>
      <c r="BK36" s="241"/>
      <c r="BL36" s="241"/>
      <c r="BM36" s="241"/>
      <c r="BN36" s="241"/>
      <c r="BO36" s="241"/>
      <c r="BP36" s="241"/>
      <c r="BQ36" s="241"/>
      <c r="BR36" s="242">
        <f t="shared" si="6"/>
        <v>450</v>
      </c>
      <c r="BS36" s="242">
        <f t="shared" si="6"/>
        <v>6100</v>
      </c>
      <c r="BT36" s="242">
        <f t="shared" si="6"/>
        <v>4932.4000000000005</v>
      </c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>
        <v>55</v>
      </c>
      <c r="CH36" s="143">
        <v>840</v>
      </c>
      <c r="CI36" s="143">
        <v>609.20000000000005</v>
      </c>
      <c r="CJ36" s="143"/>
      <c r="CK36" s="143"/>
      <c r="CL36" s="143"/>
      <c r="CM36" s="143"/>
      <c r="CN36" s="143"/>
      <c r="CO36" s="143"/>
      <c r="CP36" s="143">
        <v>50</v>
      </c>
      <c r="CQ36" s="143">
        <v>640</v>
      </c>
      <c r="CR36" s="143">
        <v>539.20000000000005</v>
      </c>
      <c r="CS36" s="143"/>
      <c r="CT36" s="143"/>
      <c r="CU36" s="143"/>
      <c r="CV36" s="241"/>
      <c r="CW36" s="241"/>
      <c r="CX36" s="241"/>
      <c r="CY36" s="241"/>
      <c r="CZ36" s="241"/>
      <c r="DA36" s="241"/>
      <c r="DB36" s="242">
        <f t="shared" si="4"/>
        <v>555</v>
      </c>
      <c r="DC36" s="242">
        <f t="shared" si="4"/>
        <v>7580</v>
      </c>
      <c r="DD36" s="242">
        <f t="shared" si="4"/>
        <v>6080.8</v>
      </c>
      <c r="DG36" s="243"/>
      <c r="DH36" s="244"/>
      <c r="DI36" s="244"/>
      <c r="DJ36" s="244"/>
    </row>
    <row r="37" spans="1:114" ht="20.100000000000001" customHeight="1" x14ac:dyDescent="0.6">
      <c r="A37" s="234">
        <v>34</v>
      </c>
      <c r="B37" s="245" t="s">
        <v>162</v>
      </c>
      <c r="C37" s="234" t="s">
        <v>163</v>
      </c>
      <c r="D37" s="246" t="s">
        <v>82</v>
      </c>
      <c r="E37" s="246" t="s">
        <v>83</v>
      </c>
      <c r="F37" s="238" t="s">
        <v>56</v>
      </c>
      <c r="G37" s="249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>
        <v>50</v>
      </c>
      <c r="Z37" s="250">
        <v>600</v>
      </c>
      <c r="AA37" s="250">
        <v>600</v>
      </c>
      <c r="AB37" s="250"/>
      <c r="AC37" s="250"/>
      <c r="AD37" s="250"/>
      <c r="AE37" s="250"/>
      <c r="AF37" s="143"/>
      <c r="AG37" s="143"/>
      <c r="AH37" s="241"/>
      <c r="AI37" s="241"/>
      <c r="AJ37" s="241"/>
      <c r="AK37" s="242">
        <f t="shared" si="5"/>
        <v>50</v>
      </c>
      <c r="AL37" s="242">
        <f t="shared" si="5"/>
        <v>600</v>
      </c>
      <c r="AM37" s="242">
        <f t="shared" si="5"/>
        <v>600</v>
      </c>
      <c r="AN37" s="241">
        <v>310</v>
      </c>
      <c r="AO37" s="241">
        <v>4200</v>
      </c>
      <c r="AP37" s="241">
        <v>3436</v>
      </c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1"/>
      <c r="BK37" s="241"/>
      <c r="BL37" s="241"/>
      <c r="BM37" s="241"/>
      <c r="BN37" s="241"/>
      <c r="BO37" s="241"/>
      <c r="BP37" s="241"/>
      <c r="BQ37" s="241"/>
      <c r="BR37" s="242">
        <f t="shared" si="6"/>
        <v>360</v>
      </c>
      <c r="BS37" s="242">
        <f t="shared" si="6"/>
        <v>4800</v>
      </c>
      <c r="BT37" s="242">
        <f t="shared" si="6"/>
        <v>4036</v>
      </c>
      <c r="BU37" s="143"/>
      <c r="BV37" s="143"/>
      <c r="BW37" s="143"/>
      <c r="BX37" s="143"/>
      <c r="BY37" s="143"/>
      <c r="BZ37" s="143"/>
      <c r="CA37" s="143"/>
      <c r="CB37" s="143"/>
      <c r="CC37" s="143"/>
      <c r="CD37" s="143">
        <v>140</v>
      </c>
      <c r="CE37" s="143">
        <v>1680</v>
      </c>
      <c r="CF37" s="143">
        <v>1680</v>
      </c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241"/>
      <c r="CW37" s="241"/>
      <c r="CX37" s="241"/>
      <c r="CY37" s="241"/>
      <c r="CZ37" s="241"/>
      <c r="DA37" s="241"/>
      <c r="DB37" s="242">
        <f t="shared" si="4"/>
        <v>500</v>
      </c>
      <c r="DC37" s="242">
        <f t="shared" si="4"/>
        <v>6480</v>
      </c>
      <c r="DD37" s="242">
        <f t="shared" si="4"/>
        <v>5716</v>
      </c>
      <c r="DG37" s="243"/>
      <c r="DH37" s="244"/>
      <c r="DI37" s="244"/>
      <c r="DJ37" s="244"/>
    </row>
    <row r="38" spans="1:114" ht="20.100000000000001" customHeight="1" x14ac:dyDescent="0.6">
      <c r="A38" s="234">
        <v>35</v>
      </c>
      <c r="B38" s="245" t="s">
        <v>164</v>
      </c>
      <c r="C38" s="234" t="s">
        <v>165</v>
      </c>
      <c r="D38" s="246" t="s">
        <v>116</v>
      </c>
      <c r="E38" s="246" t="s">
        <v>117</v>
      </c>
      <c r="F38" s="238" t="s">
        <v>56</v>
      </c>
      <c r="G38" s="239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>
        <v>195</v>
      </c>
      <c r="W38" s="240">
        <v>2800</v>
      </c>
      <c r="X38" s="240">
        <v>1863.6000000000001</v>
      </c>
      <c r="Y38" s="240"/>
      <c r="Z38" s="240"/>
      <c r="AA38" s="240"/>
      <c r="AB38" s="240"/>
      <c r="AC38" s="240"/>
      <c r="AD38" s="240"/>
      <c r="AE38" s="240"/>
      <c r="AF38" s="104"/>
      <c r="AG38" s="104"/>
      <c r="AH38" s="241"/>
      <c r="AI38" s="241"/>
      <c r="AJ38" s="241"/>
      <c r="AK38" s="242">
        <f t="shared" si="5"/>
        <v>195</v>
      </c>
      <c r="AL38" s="242">
        <f t="shared" si="5"/>
        <v>2800</v>
      </c>
      <c r="AM38" s="242">
        <f t="shared" si="5"/>
        <v>1863.6000000000001</v>
      </c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1"/>
      <c r="BB38" s="241"/>
      <c r="BC38" s="241"/>
      <c r="BD38" s="241"/>
      <c r="BE38" s="241"/>
      <c r="BF38" s="241">
        <v>210</v>
      </c>
      <c r="BG38" s="241">
        <v>2900</v>
      </c>
      <c r="BH38" s="241">
        <v>2388</v>
      </c>
      <c r="BI38" s="241"/>
      <c r="BJ38" s="241"/>
      <c r="BK38" s="241"/>
      <c r="BL38" s="241"/>
      <c r="BM38" s="241"/>
      <c r="BN38" s="241"/>
      <c r="BO38" s="241"/>
      <c r="BP38" s="241"/>
      <c r="BQ38" s="241"/>
      <c r="BR38" s="242">
        <f t="shared" si="6"/>
        <v>405</v>
      </c>
      <c r="BS38" s="242">
        <f t="shared" si="6"/>
        <v>5700</v>
      </c>
      <c r="BT38" s="242">
        <f t="shared" si="6"/>
        <v>4251.6000000000004</v>
      </c>
      <c r="BU38" s="104">
        <v>215</v>
      </c>
      <c r="BV38" s="104">
        <v>3080</v>
      </c>
      <c r="BW38" s="104">
        <v>2042.8</v>
      </c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43"/>
      <c r="CQ38" s="143"/>
      <c r="CR38" s="143"/>
      <c r="CS38" s="104"/>
      <c r="CT38" s="104"/>
      <c r="CU38" s="104"/>
      <c r="CV38" s="241"/>
      <c r="CW38" s="241"/>
      <c r="CX38" s="241"/>
      <c r="CY38" s="241"/>
      <c r="CZ38" s="241"/>
      <c r="DA38" s="241"/>
      <c r="DB38" s="242">
        <f t="shared" si="4"/>
        <v>620</v>
      </c>
      <c r="DC38" s="242">
        <f t="shared" si="4"/>
        <v>8780</v>
      </c>
      <c r="DD38" s="242">
        <f t="shared" si="4"/>
        <v>6294.4000000000005</v>
      </c>
      <c r="DG38" s="243"/>
      <c r="DH38" s="244"/>
      <c r="DI38" s="244"/>
      <c r="DJ38" s="244"/>
    </row>
    <row r="39" spans="1:114" ht="20.100000000000001" customHeight="1" x14ac:dyDescent="0.6">
      <c r="A39" s="234">
        <v>36</v>
      </c>
      <c r="B39" s="245" t="s">
        <v>166</v>
      </c>
      <c r="C39" s="251" t="s">
        <v>167</v>
      </c>
      <c r="D39" s="246" t="s">
        <v>168</v>
      </c>
      <c r="E39" s="245" t="s">
        <v>169</v>
      </c>
      <c r="F39" s="238" t="s">
        <v>56</v>
      </c>
      <c r="G39" s="239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104"/>
      <c r="AG39" s="104"/>
      <c r="AH39" s="241">
        <v>240</v>
      </c>
      <c r="AI39" s="241">
        <v>3680</v>
      </c>
      <c r="AJ39" s="241">
        <v>2682</v>
      </c>
      <c r="AK39" s="242">
        <f t="shared" si="5"/>
        <v>240</v>
      </c>
      <c r="AL39" s="242">
        <f t="shared" si="5"/>
        <v>3680</v>
      </c>
      <c r="AM39" s="242">
        <f t="shared" si="5"/>
        <v>2682</v>
      </c>
      <c r="AN39" s="241"/>
      <c r="AO39" s="241"/>
      <c r="AP39" s="241"/>
      <c r="AQ39" s="241"/>
      <c r="AR39" s="241"/>
      <c r="AS39" s="241"/>
      <c r="AT39" s="241"/>
      <c r="AU39" s="241"/>
      <c r="AV39" s="241"/>
      <c r="AW39" s="241">
        <v>100</v>
      </c>
      <c r="AX39" s="241">
        <v>1240</v>
      </c>
      <c r="AY39" s="241">
        <v>1091.2</v>
      </c>
      <c r="AZ39" s="241"/>
      <c r="BA39" s="241"/>
      <c r="BB39" s="241"/>
      <c r="BC39" s="241"/>
      <c r="BD39" s="241"/>
      <c r="BE39" s="241"/>
      <c r="BF39" s="241"/>
      <c r="BG39" s="241"/>
      <c r="BH39" s="241"/>
      <c r="BI39" s="241">
        <v>250</v>
      </c>
      <c r="BJ39" s="241">
        <v>4120</v>
      </c>
      <c r="BK39" s="241">
        <v>3032</v>
      </c>
      <c r="BL39" s="241"/>
      <c r="BM39" s="241"/>
      <c r="BN39" s="241"/>
      <c r="BO39" s="241"/>
      <c r="BP39" s="241"/>
      <c r="BQ39" s="241"/>
      <c r="BR39" s="242">
        <f t="shared" si="6"/>
        <v>590</v>
      </c>
      <c r="BS39" s="242">
        <f t="shared" si="6"/>
        <v>9040</v>
      </c>
      <c r="BT39" s="242">
        <f t="shared" si="6"/>
        <v>6805.2</v>
      </c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>
        <v>250</v>
      </c>
      <c r="CH39" s="104">
        <v>3890</v>
      </c>
      <c r="CI39" s="104">
        <v>2888</v>
      </c>
      <c r="CJ39" s="104"/>
      <c r="CK39" s="104"/>
      <c r="CL39" s="104"/>
      <c r="CM39" s="104"/>
      <c r="CN39" s="104"/>
      <c r="CO39" s="104"/>
      <c r="CP39" s="143">
        <v>250</v>
      </c>
      <c r="CQ39" s="143">
        <v>3870</v>
      </c>
      <c r="CR39" s="143">
        <v>2870.4</v>
      </c>
      <c r="CS39" s="104"/>
      <c r="CT39" s="104"/>
      <c r="CU39" s="104"/>
      <c r="CV39" s="241"/>
      <c r="CW39" s="241"/>
      <c r="CX39" s="241"/>
      <c r="CY39" s="241"/>
      <c r="CZ39" s="241"/>
      <c r="DA39" s="241"/>
      <c r="DB39" s="242">
        <f t="shared" si="4"/>
        <v>1090</v>
      </c>
      <c r="DC39" s="242">
        <f t="shared" si="4"/>
        <v>16800</v>
      </c>
      <c r="DD39" s="242">
        <f t="shared" si="4"/>
        <v>12563.6</v>
      </c>
      <c r="DG39" s="243"/>
      <c r="DH39" s="244"/>
      <c r="DI39" s="244"/>
      <c r="DJ39" s="244"/>
    </row>
    <row r="40" spans="1:114" ht="20.100000000000001" customHeight="1" x14ac:dyDescent="0.6">
      <c r="A40" s="234">
        <v>37</v>
      </c>
      <c r="B40" s="245" t="s">
        <v>170</v>
      </c>
      <c r="C40" s="234" t="s">
        <v>171</v>
      </c>
      <c r="D40" s="246" t="s">
        <v>172</v>
      </c>
      <c r="E40" s="246" t="s">
        <v>173</v>
      </c>
      <c r="F40" s="238" t="s">
        <v>56</v>
      </c>
      <c r="G40" s="239"/>
      <c r="H40" s="240"/>
      <c r="I40" s="240"/>
      <c r="J40" s="240"/>
      <c r="K40" s="240"/>
      <c r="L40" s="240"/>
      <c r="M40" s="240"/>
      <c r="N40" s="240"/>
      <c r="O40" s="240"/>
      <c r="P40" s="240">
        <v>90</v>
      </c>
      <c r="Q40" s="240">
        <v>1360</v>
      </c>
      <c r="R40" s="240">
        <v>1028</v>
      </c>
      <c r="S40" s="240"/>
      <c r="T40" s="240"/>
      <c r="U40" s="240"/>
      <c r="V40" s="240">
        <v>135</v>
      </c>
      <c r="W40" s="240">
        <v>1960</v>
      </c>
      <c r="X40" s="240">
        <v>1548.8</v>
      </c>
      <c r="Y40" s="240"/>
      <c r="Z40" s="240"/>
      <c r="AA40" s="240"/>
      <c r="AB40" s="240"/>
      <c r="AC40" s="240"/>
      <c r="AD40" s="240"/>
      <c r="AE40" s="240"/>
      <c r="AF40" s="104"/>
      <c r="AG40" s="104"/>
      <c r="AH40" s="241">
        <v>107</v>
      </c>
      <c r="AI40" s="241">
        <v>1844</v>
      </c>
      <c r="AJ40" s="241">
        <v>1220.8</v>
      </c>
      <c r="AK40" s="242">
        <f t="shared" si="5"/>
        <v>332</v>
      </c>
      <c r="AL40" s="242">
        <f t="shared" si="5"/>
        <v>5164</v>
      </c>
      <c r="AM40" s="242">
        <f t="shared" si="5"/>
        <v>3797.6000000000004</v>
      </c>
      <c r="AN40" s="241"/>
      <c r="AO40" s="241"/>
      <c r="AP40" s="241"/>
      <c r="AQ40" s="241"/>
      <c r="AR40" s="241"/>
      <c r="AS40" s="241"/>
      <c r="AT40" s="241">
        <v>125</v>
      </c>
      <c r="AU40" s="241">
        <v>1560</v>
      </c>
      <c r="AV40" s="241">
        <v>1408.8</v>
      </c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>
        <v>85</v>
      </c>
      <c r="BM40" s="241">
        <v>1300</v>
      </c>
      <c r="BN40" s="241">
        <v>992</v>
      </c>
      <c r="BO40" s="241">
        <v>80</v>
      </c>
      <c r="BP40" s="241">
        <v>1040</v>
      </c>
      <c r="BQ40" s="241">
        <v>790.40000000000009</v>
      </c>
      <c r="BR40" s="242">
        <f t="shared" si="6"/>
        <v>622</v>
      </c>
      <c r="BS40" s="242">
        <f t="shared" si="6"/>
        <v>9064</v>
      </c>
      <c r="BT40" s="242">
        <f t="shared" si="6"/>
        <v>6988.8000000000011</v>
      </c>
      <c r="BU40" s="104"/>
      <c r="BV40" s="104"/>
      <c r="BW40" s="104"/>
      <c r="BX40" s="104"/>
      <c r="BY40" s="104"/>
      <c r="BZ40" s="104"/>
      <c r="CA40" s="104">
        <v>145</v>
      </c>
      <c r="CB40" s="104">
        <v>2080</v>
      </c>
      <c r="CC40" s="104">
        <v>1620.8</v>
      </c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43">
        <v>65</v>
      </c>
      <c r="CQ40" s="143">
        <v>780</v>
      </c>
      <c r="CR40" s="143">
        <v>780</v>
      </c>
      <c r="CS40" s="104"/>
      <c r="CT40" s="104"/>
      <c r="CU40" s="104"/>
      <c r="CV40" s="241"/>
      <c r="CW40" s="241"/>
      <c r="CX40" s="241"/>
      <c r="CY40" s="241"/>
      <c r="CZ40" s="241"/>
      <c r="DA40" s="241"/>
      <c r="DB40" s="242">
        <f t="shared" si="4"/>
        <v>832</v>
      </c>
      <c r="DC40" s="242">
        <f t="shared" si="4"/>
        <v>11924</v>
      </c>
      <c r="DD40" s="242">
        <f t="shared" si="4"/>
        <v>9389.6</v>
      </c>
      <c r="DG40" s="243"/>
      <c r="DH40" s="244"/>
      <c r="DI40" s="244"/>
      <c r="DJ40" s="244"/>
    </row>
    <row r="41" spans="1:114" ht="20.100000000000001" customHeight="1" x14ac:dyDescent="0.6">
      <c r="A41" s="234">
        <v>38</v>
      </c>
      <c r="B41" s="245" t="s">
        <v>174</v>
      </c>
      <c r="C41" s="234" t="s">
        <v>175</v>
      </c>
      <c r="D41" s="245" t="s">
        <v>176</v>
      </c>
      <c r="E41" s="245" t="s">
        <v>177</v>
      </c>
      <c r="F41" s="238" t="s">
        <v>56</v>
      </c>
      <c r="G41" s="249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>
        <v>300</v>
      </c>
      <c r="AF41" s="143">
        <v>4100</v>
      </c>
      <c r="AG41" s="143">
        <v>2840</v>
      </c>
      <c r="AH41" s="241"/>
      <c r="AI41" s="241"/>
      <c r="AJ41" s="241"/>
      <c r="AK41" s="242">
        <f t="shared" ref="AK41:AM45" si="7">+G41+J41+M41+P41+S41+V41+Y41+AB41+AE41+AH41</f>
        <v>300</v>
      </c>
      <c r="AL41" s="242">
        <f t="shared" si="7"/>
        <v>4100</v>
      </c>
      <c r="AM41" s="242">
        <f t="shared" si="7"/>
        <v>2840</v>
      </c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  <c r="BJ41" s="241"/>
      <c r="BK41" s="241"/>
      <c r="BL41" s="241"/>
      <c r="BM41" s="241"/>
      <c r="BN41" s="241"/>
      <c r="BO41" s="241"/>
      <c r="BP41" s="241"/>
      <c r="BQ41" s="241"/>
      <c r="BR41" s="242">
        <f t="shared" ref="BR41:BT45" si="8">+AK41+AN41+AQ41+AT41+AW41+AZ41+BC41+BF41+BI41+BL41+BO41</f>
        <v>300</v>
      </c>
      <c r="BS41" s="242">
        <f t="shared" si="8"/>
        <v>4100</v>
      </c>
      <c r="BT41" s="242">
        <f t="shared" si="8"/>
        <v>2840</v>
      </c>
      <c r="BU41" s="143"/>
      <c r="BV41" s="143"/>
      <c r="BW41" s="143"/>
      <c r="BX41" s="143"/>
      <c r="BY41" s="143"/>
      <c r="BZ41" s="143"/>
      <c r="CA41" s="143"/>
      <c r="CB41" s="143"/>
      <c r="CC41" s="143"/>
      <c r="CD41" s="143">
        <v>303</v>
      </c>
      <c r="CE41" s="143">
        <v>3976</v>
      </c>
      <c r="CF41" s="143">
        <v>3029.2</v>
      </c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  <c r="CQ41" s="143"/>
      <c r="CR41" s="143"/>
      <c r="CS41" s="143"/>
      <c r="CT41" s="143"/>
      <c r="CU41" s="143"/>
      <c r="CV41" s="241"/>
      <c r="CW41" s="241"/>
      <c r="CX41" s="241"/>
      <c r="CY41" s="241"/>
      <c r="CZ41" s="241"/>
      <c r="DA41" s="241"/>
      <c r="DB41" s="242">
        <f t="shared" si="4"/>
        <v>603</v>
      </c>
      <c r="DC41" s="242">
        <f t="shared" si="4"/>
        <v>8076</v>
      </c>
      <c r="DD41" s="242">
        <f t="shared" si="4"/>
        <v>5869.2</v>
      </c>
      <c r="DG41" s="243"/>
      <c r="DH41" s="244"/>
      <c r="DI41" s="244"/>
      <c r="DJ41" s="244"/>
    </row>
    <row r="42" spans="1:114" ht="20.100000000000001" customHeight="1" x14ac:dyDescent="0.6">
      <c r="A42" s="234">
        <v>39</v>
      </c>
      <c r="B42" s="252" t="s">
        <v>178</v>
      </c>
      <c r="C42" s="253" t="s">
        <v>179</v>
      </c>
      <c r="D42" s="254" t="s">
        <v>180</v>
      </c>
      <c r="E42" s="252" t="s">
        <v>71</v>
      </c>
      <c r="F42" s="238" t="s">
        <v>56</v>
      </c>
      <c r="G42" s="249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>
        <v>165</v>
      </c>
      <c r="AF42" s="143">
        <v>2920</v>
      </c>
      <c r="AG42" s="143">
        <v>1792</v>
      </c>
      <c r="AH42" s="241"/>
      <c r="AI42" s="241"/>
      <c r="AJ42" s="241"/>
      <c r="AK42" s="242">
        <f t="shared" si="7"/>
        <v>165</v>
      </c>
      <c r="AL42" s="242">
        <f t="shared" si="7"/>
        <v>2920</v>
      </c>
      <c r="AM42" s="242">
        <f t="shared" si="7"/>
        <v>1792</v>
      </c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>
        <v>125</v>
      </c>
      <c r="BP42" s="241">
        <v>1500</v>
      </c>
      <c r="BQ42" s="241">
        <v>1410</v>
      </c>
      <c r="BR42" s="242">
        <f t="shared" si="8"/>
        <v>290</v>
      </c>
      <c r="BS42" s="242">
        <f t="shared" si="8"/>
        <v>4420</v>
      </c>
      <c r="BT42" s="242">
        <f t="shared" si="8"/>
        <v>3202</v>
      </c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241"/>
      <c r="CW42" s="241"/>
      <c r="CX42" s="241"/>
      <c r="CY42" s="241"/>
      <c r="CZ42" s="241"/>
      <c r="DA42" s="241"/>
      <c r="DB42" s="242">
        <f t="shared" si="4"/>
        <v>290</v>
      </c>
      <c r="DC42" s="242">
        <f t="shared" si="4"/>
        <v>4420</v>
      </c>
      <c r="DD42" s="242">
        <f t="shared" si="4"/>
        <v>3202</v>
      </c>
      <c r="DG42" s="243"/>
      <c r="DH42" s="244"/>
      <c r="DI42" s="244"/>
      <c r="DJ42" s="244"/>
    </row>
    <row r="43" spans="1:114" ht="20.100000000000001" customHeight="1" x14ac:dyDescent="0.6">
      <c r="A43" s="234">
        <v>40</v>
      </c>
      <c r="B43" s="245" t="s">
        <v>181</v>
      </c>
      <c r="C43" s="234" t="s">
        <v>182</v>
      </c>
      <c r="D43" s="246" t="s">
        <v>157</v>
      </c>
      <c r="E43" s="246" t="s">
        <v>158</v>
      </c>
      <c r="F43" s="238" t="s">
        <v>56</v>
      </c>
      <c r="G43" s="239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104"/>
      <c r="AG43" s="104"/>
      <c r="AH43" s="241"/>
      <c r="AI43" s="241"/>
      <c r="AJ43" s="241"/>
      <c r="AK43" s="242">
        <f t="shared" si="7"/>
        <v>0</v>
      </c>
      <c r="AL43" s="242">
        <f t="shared" si="7"/>
        <v>0</v>
      </c>
      <c r="AM43" s="242">
        <f t="shared" si="7"/>
        <v>0</v>
      </c>
      <c r="AN43" s="241"/>
      <c r="AO43" s="241"/>
      <c r="AP43" s="241"/>
      <c r="AQ43" s="241">
        <v>220</v>
      </c>
      <c r="AR43" s="241">
        <v>3080</v>
      </c>
      <c r="AS43" s="241">
        <v>1971.1999999999998</v>
      </c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/>
      <c r="BM43" s="241"/>
      <c r="BN43" s="241"/>
      <c r="BO43" s="241"/>
      <c r="BP43" s="241"/>
      <c r="BQ43" s="241"/>
      <c r="BR43" s="242">
        <f t="shared" si="8"/>
        <v>220</v>
      </c>
      <c r="BS43" s="242">
        <f t="shared" si="8"/>
        <v>3080</v>
      </c>
      <c r="BT43" s="242">
        <f t="shared" si="8"/>
        <v>1971.1999999999998</v>
      </c>
      <c r="BU43" s="104">
        <v>200</v>
      </c>
      <c r="BV43" s="104">
        <v>2800</v>
      </c>
      <c r="BW43" s="104">
        <v>1792</v>
      </c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>
        <v>200</v>
      </c>
      <c r="CK43" s="104">
        <v>2800</v>
      </c>
      <c r="CL43" s="104">
        <v>1792</v>
      </c>
      <c r="CM43" s="104"/>
      <c r="CN43" s="104"/>
      <c r="CO43" s="104"/>
      <c r="CP43" s="143"/>
      <c r="CQ43" s="143"/>
      <c r="CR43" s="143"/>
      <c r="CS43" s="104"/>
      <c r="CT43" s="104"/>
      <c r="CU43" s="104"/>
      <c r="CV43" s="241"/>
      <c r="CW43" s="241"/>
      <c r="CX43" s="241"/>
      <c r="CY43" s="241"/>
      <c r="CZ43" s="241"/>
      <c r="DA43" s="241"/>
      <c r="DB43" s="242">
        <f t="shared" si="4"/>
        <v>620</v>
      </c>
      <c r="DC43" s="242">
        <f t="shared" si="4"/>
        <v>8680</v>
      </c>
      <c r="DD43" s="242">
        <f t="shared" si="4"/>
        <v>5555.2</v>
      </c>
      <c r="DG43" s="243"/>
      <c r="DH43" s="244"/>
      <c r="DI43" s="244"/>
      <c r="DJ43" s="244"/>
    </row>
    <row r="44" spans="1:114" ht="20.100000000000001" customHeight="1" x14ac:dyDescent="0.6">
      <c r="A44" s="234">
        <v>41</v>
      </c>
      <c r="B44" s="245" t="s">
        <v>183</v>
      </c>
      <c r="C44" s="234" t="s">
        <v>184</v>
      </c>
      <c r="D44" s="245" t="s">
        <v>185</v>
      </c>
      <c r="E44" s="245" t="s">
        <v>186</v>
      </c>
      <c r="F44" s="238" t="s">
        <v>56</v>
      </c>
      <c r="G44" s="249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>
        <v>320</v>
      </c>
      <c r="W44" s="250">
        <v>3980</v>
      </c>
      <c r="X44" s="250">
        <v>3627.2</v>
      </c>
      <c r="Y44" s="250"/>
      <c r="Z44" s="250"/>
      <c r="AA44" s="250"/>
      <c r="AB44" s="250"/>
      <c r="AC44" s="250"/>
      <c r="AD44" s="250"/>
      <c r="AE44" s="250"/>
      <c r="AF44" s="143"/>
      <c r="AG44" s="143"/>
      <c r="AH44" s="241"/>
      <c r="AI44" s="241"/>
      <c r="AJ44" s="241"/>
      <c r="AK44" s="242">
        <f t="shared" si="7"/>
        <v>320</v>
      </c>
      <c r="AL44" s="242">
        <f t="shared" si="7"/>
        <v>3980</v>
      </c>
      <c r="AM44" s="242">
        <f t="shared" si="7"/>
        <v>3627.2</v>
      </c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  <c r="BM44" s="241"/>
      <c r="BN44" s="241"/>
      <c r="BO44" s="241"/>
      <c r="BP44" s="241"/>
      <c r="BQ44" s="241"/>
      <c r="BR44" s="242">
        <f t="shared" si="8"/>
        <v>320</v>
      </c>
      <c r="BS44" s="242">
        <f t="shared" si="8"/>
        <v>3980</v>
      </c>
      <c r="BT44" s="242">
        <f t="shared" si="8"/>
        <v>3627.2</v>
      </c>
      <c r="BU44" s="143"/>
      <c r="BV44" s="143"/>
      <c r="BW44" s="143"/>
      <c r="BX44" s="143"/>
      <c r="BY44" s="143"/>
      <c r="BZ44" s="143"/>
      <c r="CA44" s="143">
        <v>310</v>
      </c>
      <c r="CB44" s="143">
        <v>3820</v>
      </c>
      <c r="CC44" s="143">
        <v>3460</v>
      </c>
      <c r="CD44" s="143"/>
      <c r="CE44" s="143"/>
      <c r="CF44" s="143"/>
      <c r="CG44" s="143"/>
      <c r="CH44" s="143"/>
      <c r="CI44" s="143"/>
      <c r="CJ44" s="143"/>
      <c r="CK44" s="143"/>
      <c r="CL44" s="143"/>
      <c r="CM44" s="143"/>
      <c r="CN44" s="143"/>
      <c r="CO44" s="143"/>
      <c r="CP44" s="143"/>
      <c r="CQ44" s="143"/>
      <c r="CR44" s="143"/>
      <c r="CS44" s="143"/>
      <c r="CT44" s="143"/>
      <c r="CU44" s="143"/>
      <c r="CV44" s="241"/>
      <c r="CW44" s="241"/>
      <c r="CX44" s="241"/>
      <c r="CY44" s="241"/>
      <c r="CZ44" s="241"/>
      <c r="DA44" s="241"/>
      <c r="DB44" s="242">
        <f t="shared" si="4"/>
        <v>630</v>
      </c>
      <c r="DC44" s="242">
        <f t="shared" si="4"/>
        <v>7800</v>
      </c>
      <c r="DD44" s="242">
        <f t="shared" si="4"/>
        <v>7087.2</v>
      </c>
      <c r="DG44" s="243"/>
      <c r="DH44" s="244"/>
      <c r="DI44" s="244"/>
      <c r="DJ44" s="244"/>
    </row>
    <row r="45" spans="1:114" ht="20.100000000000001" customHeight="1" x14ac:dyDescent="0.6">
      <c r="A45" s="255"/>
      <c r="B45" s="256"/>
      <c r="C45" s="255"/>
      <c r="D45" s="255"/>
      <c r="E45" s="255"/>
      <c r="F45" s="257"/>
      <c r="G45" s="258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42">
        <f t="shared" si="7"/>
        <v>0</v>
      </c>
      <c r="AL45" s="242">
        <f t="shared" si="7"/>
        <v>0</v>
      </c>
      <c r="AM45" s="242">
        <f t="shared" si="7"/>
        <v>0</v>
      </c>
      <c r="AN45" s="241"/>
      <c r="AO45" s="241"/>
      <c r="AP45" s="241"/>
      <c r="AQ45" s="241"/>
      <c r="AR45" s="241"/>
      <c r="AS45" s="241"/>
      <c r="AT45" s="241"/>
      <c r="AU45" s="241"/>
      <c r="AV45" s="241"/>
      <c r="AW45" s="241"/>
      <c r="AX45" s="241"/>
      <c r="AY45" s="241"/>
      <c r="AZ45" s="241"/>
      <c r="BA45" s="241"/>
      <c r="BB45" s="241"/>
      <c r="BC45" s="241"/>
      <c r="BD45" s="241"/>
      <c r="BE45" s="241"/>
      <c r="BF45" s="241"/>
      <c r="BG45" s="241"/>
      <c r="BH45" s="241"/>
      <c r="BI45" s="241"/>
      <c r="BJ45" s="241"/>
      <c r="BK45" s="241"/>
      <c r="BL45" s="241"/>
      <c r="BM45" s="241"/>
      <c r="BN45" s="241"/>
      <c r="BO45" s="241"/>
      <c r="BP45" s="241"/>
      <c r="BQ45" s="241"/>
      <c r="BR45" s="242">
        <f t="shared" si="8"/>
        <v>0</v>
      </c>
      <c r="BS45" s="242">
        <f t="shared" si="8"/>
        <v>0</v>
      </c>
      <c r="BT45" s="242">
        <f t="shared" si="8"/>
        <v>0</v>
      </c>
      <c r="BU45" s="241"/>
      <c r="BV45" s="241"/>
      <c r="BW45" s="241"/>
      <c r="BX45" s="241"/>
      <c r="BY45" s="241"/>
      <c r="BZ45" s="241"/>
      <c r="CA45" s="241"/>
      <c r="CB45" s="241"/>
      <c r="CC45" s="241"/>
      <c r="CD45" s="241"/>
      <c r="CE45" s="241"/>
      <c r="CF45" s="241"/>
      <c r="CG45" s="241"/>
      <c r="CH45" s="241"/>
      <c r="CI45" s="241"/>
      <c r="CJ45" s="241"/>
      <c r="CK45" s="241"/>
      <c r="CL45" s="241"/>
      <c r="CM45" s="241"/>
      <c r="CN45" s="241"/>
      <c r="CO45" s="241"/>
      <c r="CP45" s="241"/>
      <c r="CQ45" s="241"/>
      <c r="CR45" s="241"/>
      <c r="CS45" s="241"/>
      <c r="CT45" s="241"/>
      <c r="CU45" s="241"/>
      <c r="CV45" s="241"/>
      <c r="CW45" s="241"/>
      <c r="CX45" s="241"/>
      <c r="CY45" s="241"/>
      <c r="CZ45" s="241"/>
      <c r="DA45" s="241"/>
      <c r="DB45" s="242">
        <f t="shared" si="4"/>
        <v>0</v>
      </c>
      <c r="DC45" s="242">
        <f t="shared" ref="DC45" si="9">K45+N45+Q45+T45+W45+Z45+AC45+AF45+AI45+AO45+AR45+AU45+AX45+BA45+BD45+BG45+BJ45+BM45+BP45+BV45+BY45+CB45+CE45+CH45+CK45+CN45+CQ45+CT45+CW45+H45+CZ45</f>
        <v>0</v>
      </c>
      <c r="DD45" s="242">
        <f t="shared" si="4"/>
        <v>0</v>
      </c>
      <c r="DG45" s="243"/>
      <c r="DH45" s="244"/>
      <c r="DI45" s="244"/>
      <c r="DJ45" s="244"/>
    </row>
    <row r="46" spans="1:114" ht="20.100000000000001" customHeight="1" x14ac:dyDescent="0.6">
      <c r="A46" s="260"/>
      <c r="B46" s="407" t="s">
        <v>187</v>
      </c>
      <c r="C46" s="408"/>
      <c r="D46" s="408"/>
      <c r="E46" s="408"/>
      <c r="F46" s="408"/>
      <c r="G46" s="261">
        <f>SUM(G4:G45)</f>
        <v>0</v>
      </c>
      <c r="H46" s="261">
        <f t="shared" ref="H46:BS46" si="10">SUM(H4:H45)</f>
        <v>0</v>
      </c>
      <c r="I46" s="261">
        <f t="shared" si="10"/>
        <v>0</v>
      </c>
      <c r="J46" s="261">
        <f t="shared" si="10"/>
        <v>4825</v>
      </c>
      <c r="K46" s="261">
        <f t="shared" si="10"/>
        <v>68010</v>
      </c>
      <c r="L46" s="261">
        <f t="shared" si="10"/>
        <v>52174.8</v>
      </c>
      <c r="M46" s="261">
        <f t="shared" si="10"/>
        <v>4454</v>
      </c>
      <c r="N46" s="261">
        <f t="shared" si="10"/>
        <v>67446</v>
      </c>
      <c r="O46" s="261">
        <f t="shared" si="10"/>
        <v>49628.639999999992</v>
      </c>
      <c r="P46" s="261">
        <f t="shared" si="10"/>
        <v>3060</v>
      </c>
      <c r="Q46" s="261">
        <f t="shared" si="10"/>
        <v>43710</v>
      </c>
      <c r="R46" s="261">
        <f t="shared" si="10"/>
        <v>32888.800000000003</v>
      </c>
      <c r="S46" s="261">
        <f t="shared" si="10"/>
        <v>3541</v>
      </c>
      <c r="T46" s="261">
        <f t="shared" si="10"/>
        <v>50962</v>
      </c>
      <c r="U46" s="261">
        <f t="shared" si="10"/>
        <v>38791.68</v>
      </c>
      <c r="V46" s="261">
        <f t="shared" si="10"/>
        <v>3710</v>
      </c>
      <c r="W46" s="261">
        <f t="shared" si="10"/>
        <v>51040</v>
      </c>
      <c r="X46" s="261">
        <f t="shared" si="10"/>
        <v>40608.800000000003</v>
      </c>
      <c r="Y46" s="261">
        <f t="shared" si="10"/>
        <v>6115</v>
      </c>
      <c r="Z46" s="261">
        <f t="shared" si="10"/>
        <v>90670</v>
      </c>
      <c r="AA46" s="261">
        <f t="shared" si="10"/>
        <v>66396.799999999988</v>
      </c>
      <c r="AB46" s="261">
        <f t="shared" si="10"/>
        <v>0</v>
      </c>
      <c r="AC46" s="261">
        <f t="shared" si="10"/>
        <v>0</v>
      </c>
      <c r="AD46" s="261">
        <f t="shared" si="10"/>
        <v>0</v>
      </c>
      <c r="AE46" s="261">
        <f t="shared" si="10"/>
        <v>6070</v>
      </c>
      <c r="AF46" s="261">
        <f t="shared" si="10"/>
        <v>87360</v>
      </c>
      <c r="AG46" s="261">
        <f t="shared" si="10"/>
        <v>64941.999999999993</v>
      </c>
      <c r="AH46" s="261">
        <f t="shared" si="10"/>
        <v>4532</v>
      </c>
      <c r="AI46" s="261">
        <f t="shared" si="10"/>
        <v>63944</v>
      </c>
      <c r="AJ46" s="261">
        <f t="shared" si="10"/>
        <v>49842.400000000001</v>
      </c>
      <c r="AK46" s="261">
        <f t="shared" si="10"/>
        <v>36307</v>
      </c>
      <c r="AL46" s="261">
        <f t="shared" si="10"/>
        <v>523142</v>
      </c>
      <c r="AM46" s="261">
        <f t="shared" si="10"/>
        <v>395273.92000000004</v>
      </c>
      <c r="AN46" s="261">
        <f t="shared" si="10"/>
        <v>3610</v>
      </c>
      <c r="AO46" s="261">
        <f t="shared" si="10"/>
        <v>51660</v>
      </c>
      <c r="AP46" s="261">
        <f t="shared" si="10"/>
        <v>39557.200000000004</v>
      </c>
      <c r="AQ46" s="261">
        <f t="shared" si="10"/>
        <v>2730</v>
      </c>
      <c r="AR46" s="261">
        <f t="shared" si="10"/>
        <v>39040</v>
      </c>
      <c r="AS46" s="261">
        <f t="shared" si="10"/>
        <v>29456</v>
      </c>
      <c r="AT46" s="261">
        <f t="shared" si="10"/>
        <v>2607</v>
      </c>
      <c r="AU46" s="261">
        <f t="shared" si="10"/>
        <v>38584</v>
      </c>
      <c r="AV46" s="261">
        <f t="shared" si="10"/>
        <v>29373.999999999996</v>
      </c>
      <c r="AW46" s="261">
        <f t="shared" si="10"/>
        <v>3895</v>
      </c>
      <c r="AX46" s="261">
        <f t="shared" si="10"/>
        <v>57370</v>
      </c>
      <c r="AY46" s="261">
        <f t="shared" si="10"/>
        <v>43011.6</v>
      </c>
      <c r="AZ46" s="261">
        <f t="shared" si="10"/>
        <v>0</v>
      </c>
      <c r="BA46" s="261">
        <f t="shared" si="10"/>
        <v>0</v>
      </c>
      <c r="BB46" s="261">
        <f t="shared" si="10"/>
        <v>0</v>
      </c>
      <c r="BC46" s="261">
        <f t="shared" si="10"/>
        <v>6631</v>
      </c>
      <c r="BD46" s="261">
        <f t="shared" si="10"/>
        <v>95262</v>
      </c>
      <c r="BE46" s="261">
        <f t="shared" si="10"/>
        <v>71637.759999999995</v>
      </c>
      <c r="BF46" s="261">
        <f t="shared" si="10"/>
        <v>4070</v>
      </c>
      <c r="BG46" s="261">
        <f t="shared" si="10"/>
        <v>58310</v>
      </c>
      <c r="BH46" s="261">
        <f t="shared" si="10"/>
        <v>44420.000000000007</v>
      </c>
      <c r="BI46" s="261">
        <f t="shared" si="10"/>
        <v>4000</v>
      </c>
      <c r="BJ46" s="261">
        <f t="shared" si="10"/>
        <v>57840</v>
      </c>
      <c r="BK46" s="261">
        <f t="shared" si="10"/>
        <v>43345.200000000004</v>
      </c>
      <c r="BL46" s="261">
        <f t="shared" si="10"/>
        <v>1520</v>
      </c>
      <c r="BM46" s="261">
        <f t="shared" si="10"/>
        <v>21140</v>
      </c>
      <c r="BN46" s="261">
        <f t="shared" si="10"/>
        <v>16476.400000000001</v>
      </c>
      <c r="BO46" s="261">
        <f t="shared" si="10"/>
        <v>4390</v>
      </c>
      <c r="BP46" s="261">
        <f t="shared" si="10"/>
        <v>63720</v>
      </c>
      <c r="BQ46" s="261">
        <f t="shared" si="10"/>
        <v>48138.400000000001</v>
      </c>
      <c r="BR46" s="261">
        <f t="shared" si="10"/>
        <v>69760</v>
      </c>
      <c r="BS46" s="261">
        <f t="shared" si="10"/>
        <v>1006068</v>
      </c>
      <c r="BT46" s="261">
        <f t="shared" ref="BT46:DC46" si="11">SUM(BT4:BT45)</f>
        <v>760690.47999999975</v>
      </c>
      <c r="BU46" s="261">
        <f t="shared" si="11"/>
        <v>4203</v>
      </c>
      <c r="BV46" s="261">
        <f t="shared" si="11"/>
        <v>61256</v>
      </c>
      <c r="BW46" s="261">
        <f t="shared" si="11"/>
        <v>45479.200000000004</v>
      </c>
      <c r="BX46" s="261">
        <f t="shared" si="11"/>
        <v>0</v>
      </c>
      <c r="BY46" s="261">
        <f t="shared" si="11"/>
        <v>0</v>
      </c>
      <c r="BZ46" s="261">
        <f t="shared" si="11"/>
        <v>0</v>
      </c>
      <c r="CA46" s="261">
        <f t="shared" si="11"/>
        <v>6698</v>
      </c>
      <c r="CB46" s="261">
        <f t="shared" si="11"/>
        <v>100486</v>
      </c>
      <c r="CC46" s="261">
        <f t="shared" si="11"/>
        <v>74192.799999999988</v>
      </c>
      <c r="CD46" s="261">
        <f t="shared" si="11"/>
        <v>4960</v>
      </c>
      <c r="CE46" s="261">
        <f t="shared" si="11"/>
        <v>70790</v>
      </c>
      <c r="CF46" s="261">
        <f t="shared" si="11"/>
        <v>53645.279999999992</v>
      </c>
      <c r="CG46" s="261">
        <f t="shared" si="11"/>
        <v>2095</v>
      </c>
      <c r="CH46" s="261">
        <f t="shared" si="11"/>
        <v>29570</v>
      </c>
      <c r="CI46" s="261">
        <f t="shared" si="11"/>
        <v>21969.600000000002</v>
      </c>
      <c r="CJ46" s="261">
        <f t="shared" si="11"/>
        <v>4029</v>
      </c>
      <c r="CK46" s="261">
        <f t="shared" si="11"/>
        <v>57578</v>
      </c>
      <c r="CL46" s="261">
        <f t="shared" si="11"/>
        <v>42558.8</v>
      </c>
      <c r="CM46" s="261">
        <f t="shared" si="11"/>
        <v>3971</v>
      </c>
      <c r="CN46" s="261">
        <f t="shared" si="11"/>
        <v>58422</v>
      </c>
      <c r="CO46" s="261">
        <f t="shared" si="11"/>
        <v>44512.4</v>
      </c>
      <c r="CP46" s="261">
        <f t="shared" si="11"/>
        <v>6370</v>
      </c>
      <c r="CQ46" s="261">
        <f t="shared" si="11"/>
        <v>89890</v>
      </c>
      <c r="CR46" s="261">
        <f t="shared" si="11"/>
        <v>71517.999999999985</v>
      </c>
      <c r="CS46" s="261">
        <f t="shared" si="11"/>
        <v>0</v>
      </c>
      <c r="CT46" s="261">
        <f t="shared" si="11"/>
        <v>0</v>
      </c>
      <c r="CU46" s="261">
        <f t="shared" si="11"/>
        <v>0</v>
      </c>
      <c r="CV46" s="261">
        <f t="shared" si="11"/>
        <v>0</v>
      </c>
      <c r="CW46" s="261">
        <f t="shared" si="11"/>
        <v>0</v>
      </c>
      <c r="CX46" s="261">
        <f t="shared" si="11"/>
        <v>0</v>
      </c>
      <c r="CY46" s="261">
        <f t="shared" si="11"/>
        <v>0</v>
      </c>
      <c r="CZ46" s="261">
        <f t="shared" si="11"/>
        <v>0</v>
      </c>
      <c r="DA46" s="261">
        <f t="shared" si="11"/>
        <v>0</v>
      </c>
      <c r="DB46" s="261">
        <f t="shared" si="11"/>
        <v>102086</v>
      </c>
      <c r="DC46" s="261">
        <f t="shared" si="11"/>
        <v>1474060</v>
      </c>
      <c r="DD46" s="261">
        <f>SUM(DD4:DD45)</f>
        <v>1114566.56</v>
      </c>
    </row>
    <row r="48" spans="1:114" x14ac:dyDescent="0.6">
      <c r="BU48" s="228"/>
    </row>
  </sheetData>
  <mergeCells count="38">
    <mergeCell ref="B46:F46"/>
    <mergeCell ref="CP2:CR2"/>
    <mergeCell ref="CS2:CU2"/>
    <mergeCell ref="CV2:CX2"/>
    <mergeCell ref="CY2:DA2"/>
    <mergeCell ref="AQ2:AS2"/>
    <mergeCell ref="AT2:AV2"/>
    <mergeCell ref="AW2:AY2"/>
    <mergeCell ref="AZ2:BB2"/>
    <mergeCell ref="BC2:BE2"/>
    <mergeCell ref="V2:X2"/>
    <mergeCell ref="Y2:AA2"/>
    <mergeCell ref="AB2:AD2"/>
    <mergeCell ref="AE2:AG2"/>
    <mergeCell ref="AH2:AJ2"/>
    <mergeCell ref="AK2:AM2"/>
    <mergeCell ref="DB2:DD2"/>
    <mergeCell ref="B3:C3"/>
    <mergeCell ref="D3:E3"/>
    <mergeCell ref="BX2:BZ2"/>
    <mergeCell ref="CA2:CC2"/>
    <mergeCell ref="CD2:CF2"/>
    <mergeCell ref="CG2:CI2"/>
    <mergeCell ref="CJ2:CL2"/>
    <mergeCell ref="CM2:CO2"/>
    <mergeCell ref="BF2:BH2"/>
    <mergeCell ref="BI2:BK2"/>
    <mergeCell ref="BL2:BN2"/>
    <mergeCell ref="BO2:BQ2"/>
    <mergeCell ref="BR2:BT2"/>
    <mergeCell ref="BU2:BW2"/>
    <mergeCell ref="AN2:AP2"/>
    <mergeCell ref="S2:U2"/>
    <mergeCell ref="B1:D1"/>
    <mergeCell ref="G2:I2"/>
    <mergeCell ref="J2:L2"/>
    <mergeCell ref="M2:O2"/>
    <mergeCell ref="P2:R2"/>
  </mergeCells>
  <conditionalFormatting sqref="B30:C46">
    <cfRule type="duplicateValues" dxfId="36" priority="1"/>
    <cfRule type="duplicateValues" dxfId="35" priority="2"/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0D70-1042-4793-A6DF-872DF53D30B5}">
  <dimension ref="A1:DI97"/>
  <sheetViews>
    <sheetView zoomScale="90" zoomScaleNormal="90" workbookViewId="0">
      <selection activeCell="DG44" sqref="DG44:DH89"/>
    </sheetView>
  </sheetViews>
  <sheetFormatPr defaultColWidth="10.28515625" defaultRowHeight="21" x14ac:dyDescent="0.6"/>
  <cols>
    <col min="1" max="1" width="5.5703125" style="227" customWidth="1"/>
    <col min="2" max="2" width="15.28515625" style="227" customWidth="1"/>
    <col min="3" max="3" width="14.140625" style="227" customWidth="1"/>
    <col min="4" max="4" width="13.28515625" style="227" customWidth="1"/>
    <col min="5" max="5" width="13.42578125" style="227" customWidth="1"/>
    <col min="6" max="10" width="10.28515625" style="227" customWidth="1"/>
    <col min="11" max="11" width="6.28515625" style="227" customWidth="1"/>
    <col min="12" max="12" width="7.140625" style="227" customWidth="1"/>
    <col min="13" max="13" width="7.85546875" style="227" customWidth="1"/>
    <col min="14" max="14" width="5" style="227" customWidth="1"/>
    <col min="15" max="16" width="6.28515625" style="227" customWidth="1"/>
    <col min="17" max="17" width="5" style="227" customWidth="1"/>
    <col min="18" max="19" width="6.28515625" style="227" customWidth="1"/>
    <col min="20" max="22" width="7.28515625" style="227" customWidth="1"/>
    <col min="23" max="23" width="5" style="227" customWidth="1"/>
    <col min="24" max="25" width="6.28515625" style="227" customWidth="1"/>
    <col min="26" max="26" width="6.85546875" style="227" customWidth="1"/>
    <col min="27" max="27" width="8.140625" style="227" customWidth="1"/>
    <col min="28" max="28" width="8.28515625" style="227" customWidth="1"/>
    <col min="29" max="29" width="5" style="227" customWidth="1"/>
    <col min="30" max="30" width="8.7109375" style="227" customWidth="1"/>
    <col min="31" max="31" width="6.28515625" style="227" customWidth="1"/>
    <col min="32" max="34" width="7" style="227" customWidth="1"/>
    <col min="35" max="35" width="5" style="227" customWidth="1"/>
    <col min="36" max="36" width="8.7109375" style="227" customWidth="1"/>
    <col min="37" max="37" width="7.7109375" style="227" customWidth="1"/>
    <col min="38" max="40" width="7.28515625" style="227" customWidth="1"/>
    <col min="41" max="41" width="6.28515625" style="227" customWidth="1"/>
    <col min="42" max="110" width="10.28515625" style="227" customWidth="1"/>
    <col min="111" max="16384" width="10.28515625" style="227"/>
  </cols>
  <sheetData>
    <row r="1" spans="1:113" ht="30" customHeight="1" thickBot="1" x14ac:dyDescent="0.65">
      <c r="B1" s="414" t="s">
        <v>724</v>
      </c>
      <c r="C1" s="414"/>
      <c r="D1" s="414"/>
    </row>
    <row r="2" spans="1:113" ht="30" customHeight="1" x14ac:dyDescent="0.6">
      <c r="A2" s="432" t="s">
        <v>725</v>
      </c>
      <c r="B2" s="433"/>
      <c r="C2" s="433"/>
      <c r="D2" s="433"/>
      <c r="E2" s="433"/>
      <c r="F2" s="433"/>
      <c r="G2" s="433"/>
      <c r="H2" s="433"/>
      <c r="I2" s="433"/>
      <c r="J2" s="434"/>
      <c r="K2" s="409">
        <v>8767</v>
      </c>
      <c r="L2" s="409"/>
      <c r="M2" s="410"/>
      <c r="N2" s="409">
        <v>45659</v>
      </c>
      <c r="O2" s="409"/>
      <c r="P2" s="410"/>
      <c r="Q2" s="409">
        <v>45660</v>
      </c>
      <c r="R2" s="409"/>
      <c r="S2" s="410"/>
      <c r="T2" s="409">
        <v>45661</v>
      </c>
      <c r="U2" s="409"/>
      <c r="V2" s="410"/>
      <c r="W2" s="409">
        <v>45662</v>
      </c>
      <c r="X2" s="409"/>
      <c r="Y2" s="410"/>
      <c r="Z2" s="409">
        <v>45663</v>
      </c>
      <c r="AA2" s="409"/>
      <c r="AB2" s="410"/>
      <c r="AC2" s="409">
        <v>45664</v>
      </c>
      <c r="AD2" s="409"/>
      <c r="AE2" s="410"/>
      <c r="AF2" s="409">
        <v>45665</v>
      </c>
      <c r="AG2" s="409"/>
      <c r="AH2" s="410"/>
      <c r="AI2" s="409">
        <v>45666</v>
      </c>
      <c r="AJ2" s="409"/>
      <c r="AK2" s="410"/>
      <c r="AL2" s="409">
        <v>45667</v>
      </c>
      <c r="AM2" s="409"/>
      <c r="AN2" s="410"/>
      <c r="AO2" s="429" t="s">
        <v>717</v>
      </c>
      <c r="AP2" s="430"/>
      <c r="AQ2" s="431"/>
      <c r="AR2" s="409">
        <v>46033</v>
      </c>
      <c r="AS2" s="409"/>
      <c r="AT2" s="410"/>
      <c r="AU2" s="409">
        <v>46034</v>
      </c>
      <c r="AV2" s="409"/>
      <c r="AW2" s="410"/>
      <c r="AX2" s="409">
        <v>46035</v>
      </c>
      <c r="AY2" s="409"/>
      <c r="AZ2" s="410"/>
      <c r="BA2" s="409">
        <v>46036</v>
      </c>
      <c r="BB2" s="409"/>
      <c r="BC2" s="410"/>
      <c r="BD2" s="409">
        <v>46037</v>
      </c>
      <c r="BE2" s="409"/>
      <c r="BF2" s="410"/>
      <c r="BG2" s="409">
        <v>46038</v>
      </c>
      <c r="BH2" s="409"/>
      <c r="BI2" s="410"/>
      <c r="BJ2" s="409">
        <v>46039</v>
      </c>
      <c r="BK2" s="409"/>
      <c r="BL2" s="410"/>
      <c r="BM2" s="409">
        <v>46040</v>
      </c>
      <c r="BN2" s="409"/>
      <c r="BO2" s="410"/>
      <c r="BP2" s="409">
        <v>46041</v>
      </c>
      <c r="BQ2" s="409"/>
      <c r="BR2" s="410"/>
      <c r="BS2" s="409">
        <v>46042</v>
      </c>
      <c r="BT2" s="409"/>
      <c r="BU2" s="410"/>
      <c r="BV2" s="429" t="s">
        <v>718</v>
      </c>
      <c r="BW2" s="430"/>
      <c r="BX2" s="431"/>
      <c r="BY2" s="409">
        <v>46043</v>
      </c>
      <c r="BZ2" s="409"/>
      <c r="CA2" s="410"/>
      <c r="CB2" s="409">
        <v>46044</v>
      </c>
      <c r="CC2" s="409"/>
      <c r="CD2" s="410"/>
      <c r="CE2" s="409">
        <v>46045</v>
      </c>
      <c r="CF2" s="409"/>
      <c r="CG2" s="410"/>
      <c r="CH2" s="409">
        <v>46046</v>
      </c>
      <c r="CI2" s="409"/>
      <c r="CJ2" s="410"/>
      <c r="CK2" s="409">
        <v>46047</v>
      </c>
      <c r="CL2" s="409"/>
      <c r="CM2" s="410"/>
      <c r="CN2" s="409">
        <v>46048</v>
      </c>
      <c r="CO2" s="409"/>
      <c r="CP2" s="410"/>
      <c r="CQ2" s="409">
        <v>46049</v>
      </c>
      <c r="CR2" s="409"/>
      <c r="CS2" s="410"/>
      <c r="CT2" s="409">
        <v>46050</v>
      </c>
      <c r="CU2" s="409"/>
      <c r="CV2" s="410"/>
      <c r="CW2" s="409">
        <v>46051</v>
      </c>
      <c r="CX2" s="409"/>
      <c r="CY2" s="410"/>
      <c r="CZ2" s="409">
        <v>46052</v>
      </c>
      <c r="DA2" s="409"/>
      <c r="DB2" s="410"/>
      <c r="DC2" s="409">
        <v>46053</v>
      </c>
      <c r="DD2" s="409"/>
      <c r="DE2" s="410"/>
      <c r="DF2" s="426" t="s">
        <v>719</v>
      </c>
      <c r="DG2" s="427"/>
      <c r="DH2" s="428"/>
    </row>
    <row r="3" spans="1:113" ht="30" customHeight="1" x14ac:dyDescent="0.6">
      <c r="A3" s="417" t="s">
        <v>726</v>
      </c>
      <c r="B3" s="419" t="s">
        <v>727</v>
      </c>
      <c r="C3" s="420"/>
      <c r="D3" s="419" t="s">
        <v>728</v>
      </c>
      <c r="E3" s="420"/>
      <c r="F3" s="423" t="s">
        <v>729</v>
      </c>
      <c r="G3" s="419" t="s">
        <v>730</v>
      </c>
      <c r="H3" s="420"/>
      <c r="I3" s="425" t="s">
        <v>731</v>
      </c>
      <c r="J3" s="415" t="s">
        <v>732</v>
      </c>
      <c r="K3" s="233" t="s">
        <v>720</v>
      </c>
      <c r="L3" s="230" t="s">
        <v>721</v>
      </c>
      <c r="M3" s="230" t="s">
        <v>722</v>
      </c>
      <c r="N3" s="233" t="s">
        <v>720</v>
      </c>
      <c r="O3" s="230" t="s">
        <v>721</v>
      </c>
      <c r="P3" s="230" t="s">
        <v>722</v>
      </c>
      <c r="Q3" s="233" t="s">
        <v>720</v>
      </c>
      <c r="R3" s="230" t="s">
        <v>721</v>
      </c>
      <c r="S3" s="230" t="s">
        <v>722</v>
      </c>
      <c r="T3" s="233" t="s">
        <v>720</v>
      </c>
      <c r="U3" s="230" t="s">
        <v>721</v>
      </c>
      <c r="V3" s="230" t="s">
        <v>722</v>
      </c>
      <c r="W3" s="233" t="s">
        <v>720</v>
      </c>
      <c r="X3" s="230" t="s">
        <v>721</v>
      </c>
      <c r="Y3" s="230" t="s">
        <v>722</v>
      </c>
      <c r="Z3" s="233" t="s">
        <v>720</v>
      </c>
      <c r="AA3" s="230" t="s">
        <v>721</v>
      </c>
      <c r="AB3" s="230" t="s">
        <v>722</v>
      </c>
      <c r="AC3" s="233" t="s">
        <v>720</v>
      </c>
      <c r="AD3" s="230" t="s">
        <v>721</v>
      </c>
      <c r="AE3" s="230" t="s">
        <v>722</v>
      </c>
      <c r="AF3" s="233" t="s">
        <v>720</v>
      </c>
      <c r="AG3" s="230" t="s">
        <v>721</v>
      </c>
      <c r="AH3" s="230" t="s">
        <v>722</v>
      </c>
      <c r="AI3" s="233" t="s">
        <v>720</v>
      </c>
      <c r="AJ3" s="230" t="s">
        <v>721</v>
      </c>
      <c r="AK3" s="230" t="s">
        <v>722</v>
      </c>
      <c r="AL3" s="233" t="s">
        <v>720</v>
      </c>
      <c r="AM3" s="230" t="s">
        <v>721</v>
      </c>
      <c r="AN3" s="230" t="s">
        <v>722</v>
      </c>
      <c r="AO3" s="263" t="s">
        <v>720</v>
      </c>
      <c r="AP3" s="264" t="s">
        <v>721</v>
      </c>
      <c r="AQ3" s="262" t="s">
        <v>722</v>
      </c>
      <c r="AR3" s="233" t="s">
        <v>720</v>
      </c>
      <c r="AS3" s="230" t="s">
        <v>721</v>
      </c>
      <c r="AT3" s="230" t="s">
        <v>723</v>
      </c>
      <c r="AU3" s="233" t="s">
        <v>720</v>
      </c>
      <c r="AV3" s="230" t="s">
        <v>721</v>
      </c>
      <c r="AW3" s="230" t="s">
        <v>723</v>
      </c>
      <c r="AX3" s="233" t="s">
        <v>720</v>
      </c>
      <c r="AY3" s="230" t="s">
        <v>721</v>
      </c>
      <c r="AZ3" s="230" t="s">
        <v>723</v>
      </c>
      <c r="BA3" s="233" t="s">
        <v>720</v>
      </c>
      <c r="BB3" s="230" t="s">
        <v>721</v>
      </c>
      <c r="BC3" s="230" t="s">
        <v>723</v>
      </c>
      <c r="BD3" s="233" t="s">
        <v>720</v>
      </c>
      <c r="BE3" s="230" t="s">
        <v>721</v>
      </c>
      <c r="BF3" s="230" t="s">
        <v>723</v>
      </c>
      <c r="BG3" s="233" t="s">
        <v>720</v>
      </c>
      <c r="BH3" s="230" t="s">
        <v>721</v>
      </c>
      <c r="BI3" s="230" t="s">
        <v>723</v>
      </c>
      <c r="BJ3" s="233" t="s">
        <v>720</v>
      </c>
      <c r="BK3" s="230" t="s">
        <v>721</v>
      </c>
      <c r="BL3" s="230" t="s">
        <v>723</v>
      </c>
      <c r="BM3" s="233" t="s">
        <v>720</v>
      </c>
      <c r="BN3" s="230" t="s">
        <v>721</v>
      </c>
      <c r="BO3" s="230" t="s">
        <v>723</v>
      </c>
      <c r="BP3" s="233" t="s">
        <v>720</v>
      </c>
      <c r="BQ3" s="230" t="s">
        <v>721</v>
      </c>
      <c r="BR3" s="230" t="s">
        <v>723</v>
      </c>
      <c r="BS3" s="233" t="s">
        <v>720</v>
      </c>
      <c r="BT3" s="230" t="s">
        <v>721</v>
      </c>
      <c r="BU3" s="230" t="s">
        <v>723</v>
      </c>
      <c r="BV3" s="263" t="s">
        <v>720</v>
      </c>
      <c r="BW3" s="264" t="s">
        <v>721</v>
      </c>
      <c r="BX3" s="262" t="s">
        <v>722</v>
      </c>
      <c r="BY3" s="233" t="s">
        <v>720</v>
      </c>
      <c r="BZ3" s="230" t="s">
        <v>721</v>
      </c>
      <c r="CA3" s="230" t="s">
        <v>723</v>
      </c>
      <c r="CB3" s="233" t="s">
        <v>720</v>
      </c>
      <c r="CC3" s="230" t="s">
        <v>721</v>
      </c>
      <c r="CD3" s="230" t="s">
        <v>723</v>
      </c>
      <c r="CE3" s="233" t="s">
        <v>720</v>
      </c>
      <c r="CF3" s="230" t="s">
        <v>721</v>
      </c>
      <c r="CG3" s="230" t="s">
        <v>723</v>
      </c>
      <c r="CH3" s="233" t="s">
        <v>720</v>
      </c>
      <c r="CI3" s="230" t="s">
        <v>721</v>
      </c>
      <c r="CJ3" s="230" t="s">
        <v>723</v>
      </c>
      <c r="CK3" s="233" t="s">
        <v>720</v>
      </c>
      <c r="CL3" s="230" t="s">
        <v>721</v>
      </c>
      <c r="CM3" s="230" t="s">
        <v>723</v>
      </c>
      <c r="CN3" s="233" t="s">
        <v>720</v>
      </c>
      <c r="CO3" s="230" t="s">
        <v>721</v>
      </c>
      <c r="CP3" s="230" t="s">
        <v>723</v>
      </c>
      <c r="CQ3" s="233" t="s">
        <v>720</v>
      </c>
      <c r="CR3" s="230" t="s">
        <v>721</v>
      </c>
      <c r="CS3" s="230" t="s">
        <v>723</v>
      </c>
      <c r="CT3" s="233" t="s">
        <v>720</v>
      </c>
      <c r="CU3" s="230" t="s">
        <v>721</v>
      </c>
      <c r="CV3" s="230" t="s">
        <v>723</v>
      </c>
      <c r="CW3" s="233" t="s">
        <v>720</v>
      </c>
      <c r="CX3" s="230" t="s">
        <v>721</v>
      </c>
      <c r="CY3" s="230" t="s">
        <v>723</v>
      </c>
      <c r="CZ3" s="233" t="s">
        <v>720</v>
      </c>
      <c r="DA3" s="230" t="s">
        <v>721</v>
      </c>
      <c r="DB3" s="230" t="s">
        <v>723</v>
      </c>
      <c r="DC3" s="233" t="s">
        <v>720</v>
      </c>
      <c r="DD3" s="230" t="s">
        <v>721</v>
      </c>
      <c r="DE3" s="230" t="s">
        <v>723</v>
      </c>
      <c r="DF3" s="263" t="s">
        <v>720</v>
      </c>
      <c r="DG3" s="264" t="s">
        <v>721</v>
      </c>
      <c r="DH3" s="262" t="s">
        <v>722</v>
      </c>
    </row>
    <row r="4" spans="1:113" ht="30" customHeight="1" x14ac:dyDescent="0.6">
      <c r="A4" s="418"/>
      <c r="B4" s="421"/>
      <c r="C4" s="422"/>
      <c r="D4" s="421"/>
      <c r="E4" s="422"/>
      <c r="F4" s="424"/>
      <c r="G4" s="421"/>
      <c r="H4" s="422"/>
      <c r="I4" s="425"/>
      <c r="J4" s="416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6">
        <f>+AL4+AI4+AF4+AC4+Z4+W4+T4+Q4+N4+K4</f>
        <v>0</v>
      </c>
      <c r="AP4" s="266">
        <f>+AM4+AJ4+AG4+AD4+AA4+X4+U4+R4+O4+L4</f>
        <v>0</v>
      </c>
      <c r="AQ4" s="266">
        <f>M4+P4+S4+V4+Y4+AB4+AE4+AH4+AK4+AN4</f>
        <v>0</v>
      </c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7"/>
      <c r="BL4" s="267"/>
      <c r="BM4" s="267"/>
      <c r="BN4" s="267"/>
      <c r="BO4" s="267"/>
      <c r="BP4" s="267"/>
      <c r="BQ4" s="267"/>
      <c r="BR4" s="267"/>
      <c r="BS4" s="267"/>
      <c r="BT4" s="267"/>
      <c r="BU4" s="267"/>
      <c r="BV4" s="266">
        <f>+BS4+BP4+BM4+BJ4+BG4+BD4+BA4+AX4+AU4+AR4+AO4</f>
        <v>0</v>
      </c>
      <c r="BW4" s="266">
        <f t="shared" ref="BW4" si="0">+BT4+BQ4+BN4+BK4+BH4+BE4+BB4+AY4+AV4+AS4+AP4</f>
        <v>0</v>
      </c>
      <c r="BX4" s="266">
        <f>AQ4+AT4+AW4+AZ4+BC4+BF4+BI4+BL4+BO4+BR4+BU4</f>
        <v>0</v>
      </c>
      <c r="BY4" s="267"/>
      <c r="BZ4" s="267"/>
      <c r="CA4" s="267"/>
      <c r="CB4" s="267"/>
      <c r="CC4" s="267"/>
      <c r="CD4" s="267"/>
      <c r="CE4" s="267"/>
      <c r="CF4" s="267"/>
      <c r="CG4" s="267"/>
      <c r="CH4" s="267"/>
      <c r="CI4" s="267"/>
      <c r="CJ4" s="267"/>
      <c r="CK4" s="267"/>
      <c r="CL4" s="267"/>
      <c r="CM4" s="267"/>
      <c r="CN4" s="267"/>
      <c r="CO4" s="267"/>
      <c r="CP4" s="267"/>
      <c r="CQ4" s="267"/>
      <c r="CR4" s="267"/>
      <c r="CS4" s="267"/>
      <c r="CT4" s="267"/>
      <c r="CU4" s="267"/>
      <c r="CV4" s="267"/>
      <c r="CW4" s="267"/>
      <c r="CX4" s="267"/>
      <c r="CY4" s="267"/>
      <c r="CZ4" s="267"/>
      <c r="DA4" s="267"/>
      <c r="DB4" s="267"/>
      <c r="DC4" s="267"/>
      <c r="DD4" s="265"/>
      <c r="DE4" s="265"/>
      <c r="DF4" s="266">
        <f t="shared" ref="DF4:DG40" si="1">+DC4+CZ4+CW4+CT4+CQ4+CN4+CK4+CH4+CE4+CB4+BY4+BV4</f>
        <v>0</v>
      </c>
      <c r="DG4" s="266">
        <f t="shared" si="1"/>
        <v>0</v>
      </c>
      <c r="DH4" s="266">
        <f>BX4+CA4+CD4+CG4+CJ4+CM4+CP4+CS4+CV4+CY4+DB4+DE4</f>
        <v>0</v>
      </c>
    </row>
    <row r="5" spans="1:113" s="275" customFormat="1" ht="24.75" customHeight="1" x14ac:dyDescent="0.6">
      <c r="A5" s="268">
        <v>1</v>
      </c>
      <c r="B5" s="269" t="s">
        <v>191</v>
      </c>
      <c r="C5" s="99" t="s">
        <v>191</v>
      </c>
      <c r="D5" s="100" t="s">
        <v>192</v>
      </c>
      <c r="E5" s="99" t="s">
        <v>193</v>
      </c>
      <c r="F5" s="234" t="s">
        <v>733</v>
      </c>
      <c r="G5" s="234" t="s">
        <v>734</v>
      </c>
      <c r="H5" s="234" t="s">
        <v>735</v>
      </c>
      <c r="I5" s="234" t="s">
        <v>736</v>
      </c>
      <c r="J5" s="270" t="s">
        <v>195</v>
      </c>
      <c r="K5" s="271"/>
      <c r="L5" s="271"/>
      <c r="M5" s="271"/>
      <c r="N5" s="271"/>
      <c r="O5" s="271"/>
      <c r="P5" s="271"/>
      <c r="Q5" s="271">
        <v>20</v>
      </c>
      <c r="R5" s="271">
        <v>280</v>
      </c>
      <c r="S5" s="271">
        <v>179.20000000000002</v>
      </c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>
        <v>27</v>
      </c>
      <c r="AM5" s="271">
        <v>400</v>
      </c>
      <c r="AN5" s="271">
        <v>297.60000000000002</v>
      </c>
      <c r="AO5" s="272">
        <f t="shared" ref="AO5:AP40" si="2">+AL5+AI5+AF5+AC5+Z5+W5+T5+Q5+N5+K5</f>
        <v>47</v>
      </c>
      <c r="AP5" s="272">
        <f t="shared" si="2"/>
        <v>680</v>
      </c>
      <c r="AQ5" s="272">
        <f t="shared" ref="AQ5:AQ40" si="3">M5+P5+S5+V5+Y5+AB5+AE5+AH5+AK5+AN5</f>
        <v>476.80000000000007</v>
      </c>
      <c r="AR5" s="273"/>
      <c r="AS5" s="273"/>
      <c r="AT5" s="273"/>
      <c r="AU5" s="273"/>
      <c r="AV5" s="273"/>
      <c r="AW5" s="273"/>
      <c r="AX5" s="273"/>
      <c r="AY5" s="273"/>
      <c r="AZ5" s="273"/>
      <c r="BA5" s="273"/>
      <c r="BB5" s="273"/>
      <c r="BC5" s="273"/>
      <c r="BD5" s="273"/>
      <c r="BE5" s="273"/>
      <c r="BF5" s="273"/>
      <c r="BG5" s="273">
        <v>17</v>
      </c>
      <c r="BH5" s="273">
        <v>224</v>
      </c>
      <c r="BI5" s="273">
        <v>173.60000000000002</v>
      </c>
      <c r="BJ5" s="273"/>
      <c r="BK5" s="273"/>
      <c r="BL5" s="273"/>
      <c r="BM5" s="273"/>
      <c r="BN5" s="273"/>
      <c r="BO5" s="273"/>
      <c r="BP5" s="273"/>
      <c r="BQ5" s="273"/>
      <c r="BR5" s="273"/>
      <c r="BS5" s="273"/>
      <c r="BT5" s="273"/>
      <c r="BU5" s="273"/>
      <c r="BV5" s="272">
        <f>AO5+AR5+AU5+AX5+BA5+BD5+BG5+BJ5+BM5+BP5+BS5</f>
        <v>64</v>
      </c>
      <c r="BW5" s="272">
        <f>AP5+AS5+AV5+AY5+BB5+BE5+BH5+BK5+BN5+BQ5+BT5</f>
        <v>904</v>
      </c>
      <c r="BX5" s="272">
        <f>AQ5+AT5+AW5+AZ5+BC5+BF5+BI5+BL5+BO5+BR5+BU5</f>
        <v>650.40000000000009</v>
      </c>
      <c r="BY5" s="273"/>
      <c r="BZ5" s="273"/>
      <c r="CA5" s="273"/>
      <c r="CB5" s="273"/>
      <c r="CC5" s="273"/>
      <c r="CD5" s="273"/>
      <c r="CE5" s="273">
        <v>38</v>
      </c>
      <c r="CF5" s="273">
        <v>594</v>
      </c>
      <c r="CG5" s="273">
        <v>372.72</v>
      </c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  <c r="CT5" s="273"/>
      <c r="CU5" s="273"/>
      <c r="CV5" s="273"/>
      <c r="CW5" s="273"/>
      <c r="CX5" s="273"/>
      <c r="CY5" s="273"/>
      <c r="CZ5" s="273">
        <v>15</v>
      </c>
      <c r="DA5" s="273">
        <v>180</v>
      </c>
      <c r="DB5" s="273">
        <v>180</v>
      </c>
      <c r="DC5" s="273"/>
      <c r="DD5" s="271"/>
      <c r="DE5" s="271"/>
      <c r="DF5" s="272">
        <f t="shared" si="1"/>
        <v>117</v>
      </c>
      <c r="DG5" s="272">
        <f t="shared" si="1"/>
        <v>1678</v>
      </c>
      <c r="DH5" s="272">
        <f t="shared" ref="DH5:DH40" si="4">BX5+CA5+CD5+CG5+CJ5+CM5+CP5+CS5+CV5+CY5+DB5+DE5</f>
        <v>1203.1200000000001</v>
      </c>
      <c r="DI5" s="274"/>
    </row>
    <row r="6" spans="1:113" s="275" customFormat="1" ht="24.75" customHeight="1" x14ac:dyDescent="0.6">
      <c r="A6" s="268">
        <v>2</v>
      </c>
      <c r="B6" s="269" t="s">
        <v>196</v>
      </c>
      <c r="C6" s="104" t="s">
        <v>197</v>
      </c>
      <c r="D6" s="100" t="s">
        <v>168</v>
      </c>
      <c r="E6" s="99" t="s">
        <v>169</v>
      </c>
      <c r="F6" s="234" t="s">
        <v>733</v>
      </c>
      <c r="G6" s="234" t="s">
        <v>737</v>
      </c>
      <c r="H6" s="234" t="s">
        <v>738</v>
      </c>
      <c r="I6" s="234" t="s">
        <v>739</v>
      </c>
      <c r="J6" s="270" t="s">
        <v>195</v>
      </c>
      <c r="K6" s="271"/>
      <c r="L6" s="271"/>
      <c r="M6" s="271"/>
      <c r="N6" s="276"/>
      <c r="O6" s="276"/>
      <c r="P6" s="276"/>
      <c r="Q6" s="276"/>
      <c r="R6" s="276"/>
      <c r="S6" s="276"/>
      <c r="T6" s="277"/>
      <c r="U6" s="271"/>
      <c r="V6" s="271"/>
      <c r="W6" s="271">
        <v>80</v>
      </c>
      <c r="X6" s="271">
        <v>1020</v>
      </c>
      <c r="Y6" s="271">
        <v>868.8</v>
      </c>
      <c r="Z6" s="271"/>
      <c r="AA6" s="271"/>
      <c r="AB6" s="271"/>
      <c r="AC6" s="271">
        <v>50</v>
      </c>
      <c r="AD6" s="271">
        <v>1020</v>
      </c>
      <c r="AE6" s="271">
        <v>630</v>
      </c>
      <c r="AF6" s="271"/>
      <c r="AG6" s="271"/>
      <c r="AH6" s="271"/>
      <c r="AI6" s="271"/>
      <c r="AJ6" s="271"/>
      <c r="AK6" s="271"/>
      <c r="AL6" s="271"/>
      <c r="AM6" s="271"/>
      <c r="AN6" s="271"/>
      <c r="AO6" s="272">
        <f t="shared" si="2"/>
        <v>130</v>
      </c>
      <c r="AP6" s="272">
        <f t="shared" si="2"/>
        <v>2040</v>
      </c>
      <c r="AQ6" s="272">
        <f t="shared" si="3"/>
        <v>1498.8</v>
      </c>
      <c r="AR6" s="273"/>
      <c r="AS6" s="273"/>
      <c r="AT6" s="273"/>
      <c r="AU6" s="273">
        <v>80</v>
      </c>
      <c r="AV6" s="273">
        <v>1000</v>
      </c>
      <c r="AW6" s="273">
        <v>851.2</v>
      </c>
      <c r="AX6" s="273"/>
      <c r="AY6" s="273"/>
      <c r="AZ6" s="273"/>
      <c r="BA6" s="273"/>
      <c r="BB6" s="273"/>
      <c r="BC6" s="273"/>
      <c r="BD6" s="273">
        <v>40</v>
      </c>
      <c r="BE6" s="273">
        <v>480</v>
      </c>
      <c r="BF6" s="273">
        <v>480</v>
      </c>
      <c r="BG6" s="273"/>
      <c r="BH6" s="273"/>
      <c r="BI6" s="273"/>
      <c r="BJ6" s="273">
        <v>40</v>
      </c>
      <c r="BK6" s="273">
        <v>760</v>
      </c>
      <c r="BL6" s="273">
        <v>500</v>
      </c>
      <c r="BM6" s="273"/>
      <c r="BN6" s="273"/>
      <c r="BO6" s="273"/>
      <c r="BP6" s="273">
        <v>30</v>
      </c>
      <c r="BQ6" s="273">
        <v>420</v>
      </c>
      <c r="BR6" s="273">
        <v>268.8</v>
      </c>
      <c r="BS6" s="273"/>
      <c r="BT6" s="273"/>
      <c r="BU6" s="273"/>
      <c r="BV6" s="272">
        <f t="shared" ref="BV6:BX40" si="5">AO6+AR6+AU6+AX6+BA6+BD6+BG6+BJ6+BM6+BP6+BS6</f>
        <v>320</v>
      </c>
      <c r="BW6" s="272">
        <f t="shared" si="5"/>
        <v>4700</v>
      </c>
      <c r="BX6" s="272">
        <f t="shared" si="5"/>
        <v>3598.8</v>
      </c>
      <c r="BY6" s="273">
        <v>30</v>
      </c>
      <c r="BZ6" s="273">
        <v>360</v>
      </c>
      <c r="CA6" s="273">
        <v>360</v>
      </c>
      <c r="CB6" s="273"/>
      <c r="CC6" s="273"/>
      <c r="CD6" s="273"/>
      <c r="CE6" s="273"/>
      <c r="CF6" s="273"/>
      <c r="CG6" s="273"/>
      <c r="CH6" s="273">
        <v>80</v>
      </c>
      <c r="CI6" s="273">
        <v>1700</v>
      </c>
      <c r="CJ6" s="273">
        <v>949.2</v>
      </c>
      <c r="CK6" s="273"/>
      <c r="CL6" s="273"/>
      <c r="CM6" s="273"/>
      <c r="CN6" s="273"/>
      <c r="CO6" s="273"/>
      <c r="CP6" s="273"/>
      <c r="CQ6" s="273"/>
      <c r="CR6" s="273"/>
      <c r="CS6" s="273"/>
      <c r="CT6" s="273">
        <v>75</v>
      </c>
      <c r="CU6" s="273">
        <v>960</v>
      </c>
      <c r="CV6" s="273">
        <v>808.8</v>
      </c>
      <c r="CW6" s="273"/>
      <c r="CX6" s="273"/>
      <c r="CY6" s="273"/>
      <c r="CZ6" s="273"/>
      <c r="DA6" s="273"/>
      <c r="DB6" s="273"/>
      <c r="DC6" s="273">
        <v>30</v>
      </c>
      <c r="DD6" s="271">
        <v>360</v>
      </c>
      <c r="DE6" s="271">
        <v>360</v>
      </c>
      <c r="DF6" s="272">
        <f t="shared" si="1"/>
        <v>535</v>
      </c>
      <c r="DG6" s="272">
        <f t="shared" si="1"/>
        <v>8080</v>
      </c>
      <c r="DH6" s="272">
        <f t="shared" si="4"/>
        <v>6076.8</v>
      </c>
      <c r="DI6" s="274"/>
    </row>
    <row r="7" spans="1:113" s="275" customFormat="1" ht="24.75" customHeight="1" x14ac:dyDescent="0.6">
      <c r="A7" s="268">
        <v>3</v>
      </c>
      <c r="B7" s="269" t="s">
        <v>198</v>
      </c>
      <c r="C7" s="104" t="s">
        <v>199</v>
      </c>
      <c r="D7" s="100" t="s">
        <v>168</v>
      </c>
      <c r="E7" s="99" t="s">
        <v>169</v>
      </c>
      <c r="F7" s="234" t="s">
        <v>733</v>
      </c>
      <c r="G7" s="234" t="s">
        <v>740</v>
      </c>
      <c r="H7" s="234" t="s">
        <v>741</v>
      </c>
      <c r="I7" s="234" t="s">
        <v>742</v>
      </c>
      <c r="J7" s="270" t="s">
        <v>195</v>
      </c>
      <c r="K7" s="271"/>
      <c r="L7" s="271"/>
      <c r="M7" s="271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>
        <v>16</v>
      </c>
      <c r="AM7" s="276">
        <v>314</v>
      </c>
      <c r="AN7" s="276">
        <v>175.20000000000002</v>
      </c>
      <c r="AO7" s="272">
        <f t="shared" si="2"/>
        <v>16</v>
      </c>
      <c r="AP7" s="272">
        <f t="shared" si="2"/>
        <v>314</v>
      </c>
      <c r="AQ7" s="272">
        <f t="shared" si="3"/>
        <v>175.20000000000002</v>
      </c>
      <c r="AR7" s="278"/>
      <c r="AS7" s="278"/>
      <c r="AT7" s="278"/>
      <c r="AU7" s="278"/>
      <c r="AV7" s="278"/>
      <c r="AW7" s="278"/>
      <c r="AX7" s="278"/>
      <c r="AY7" s="278"/>
      <c r="AZ7" s="278"/>
      <c r="BA7" s="278"/>
      <c r="BB7" s="278"/>
      <c r="BC7" s="278"/>
      <c r="BD7" s="278"/>
      <c r="BE7" s="278"/>
      <c r="BF7" s="278"/>
      <c r="BG7" s="278"/>
      <c r="BH7" s="278"/>
      <c r="BI7" s="278"/>
      <c r="BJ7" s="278"/>
      <c r="BK7" s="278"/>
      <c r="BL7" s="278"/>
      <c r="BM7" s="278"/>
      <c r="BN7" s="278"/>
      <c r="BO7" s="278"/>
      <c r="BP7" s="278"/>
      <c r="BQ7" s="278"/>
      <c r="BR7" s="278"/>
      <c r="BS7" s="278">
        <v>20</v>
      </c>
      <c r="BT7" s="278">
        <v>400</v>
      </c>
      <c r="BU7" s="278">
        <v>219.60000000000002</v>
      </c>
      <c r="BV7" s="272">
        <f t="shared" si="5"/>
        <v>36</v>
      </c>
      <c r="BW7" s="272">
        <f t="shared" si="5"/>
        <v>714</v>
      </c>
      <c r="BX7" s="272">
        <f t="shared" si="5"/>
        <v>394.80000000000007</v>
      </c>
      <c r="BY7" s="278"/>
      <c r="BZ7" s="278"/>
      <c r="CA7" s="278"/>
      <c r="CB7" s="278"/>
      <c r="CC7" s="278"/>
      <c r="CD7" s="278"/>
      <c r="CE7" s="278">
        <v>7</v>
      </c>
      <c r="CF7" s="278">
        <v>224</v>
      </c>
      <c r="CG7" s="278">
        <v>84.4</v>
      </c>
      <c r="CH7" s="278"/>
      <c r="CI7" s="278"/>
      <c r="CJ7" s="278"/>
      <c r="CK7" s="278"/>
      <c r="CL7" s="278"/>
      <c r="CM7" s="278"/>
      <c r="CN7" s="278"/>
      <c r="CO7" s="278"/>
      <c r="CP7" s="278"/>
      <c r="CQ7" s="278"/>
      <c r="CR7" s="278"/>
      <c r="CS7" s="278"/>
      <c r="CT7" s="278"/>
      <c r="CU7" s="278"/>
      <c r="CV7" s="278"/>
      <c r="CW7" s="278">
        <v>5</v>
      </c>
      <c r="CX7" s="278">
        <v>70</v>
      </c>
      <c r="CY7" s="278">
        <v>44.800000000000004</v>
      </c>
      <c r="CZ7" s="278"/>
      <c r="DA7" s="278"/>
      <c r="DB7" s="278"/>
      <c r="DC7" s="278"/>
      <c r="DD7" s="278"/>
      <c r="DE7" s="278"/>
      <c r="DF7" s="272">
        <f t="shared" si="1"/>
        <v>48</v>
      </c>
      <c r="DG7" s="272">
        <f t="shared" si="1"/>
        <v>1008</v>
      </c>
      <c r="DH7" s="272">
        <f t="shared" si="4"/>
        <v>524</v>
      </c>
      <c r="DI7" s="274"/>
    </row>
    <row r="8" spans="1:113" s="275" customFormat="1" ht="24.75" customHeight="1" x14ac:dyDescent="0.6">
      <c r="A8" s="268">
        <v>4</v>
      </c>
      <c r="B8" s="269" t="s">
        <v>200</v>
      </c>
      <c r="C8" s="104" t="s">
        <v>201</v>
      </c>
      <c r="D8" s="100" t="s">
        <v>168</v>
      </c>
      <c r="E8" s="99" t="s">
        <v>169</v>
      </c>
      <c r="F8" s="234" t="s">
        <v>733</v>
      </c>
      <c r="G8" s="234" t="s">
        <v>743</v>
      </c>
      <c r="H8" s="234" t="s">
        <v>744</v>
      </c>
      <c r="I8" s="234" t="s">
        <v>745</v>
      </c>
      <c r="J8" s="270" t="s">
        <v>195</v>
      </c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>
        <v>30</v>
      </c>
      <c r="X8" s="271">
        <v>420</v>
      </c>
      <c r="Y8" s="271">
        <v>268.8</v>
      </c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2">
        <f t="shared" si="2"/>
        <v>30</v>
      </c>
      <c r="AP8" s="272">
        <f t="shared" si="2"/>
        <v>420</v>
      </c>
      <c r="AQ8" s="272">
        <f t="shared" si="3"/>
        <v>268.8</v>
      </c>
      <c r="AR8" s="273"/>
      <c r="AS8" s="273"/>
      <c r="AT8" s="273"/>
      <c r="AU8" s="273"/>
      <c r="AV8" s="273"/>
      <c r="AW8" s="273"/>
      <c r="AX8" s="273"/>
      <c r="AY8" s="273"/>
      <c r="AZ8" s="273"/>
      <c r="BA8" s="273"/>
      <c r="BB8" s="273"/>
      <c r="BC8" s="273"/>
      <c r="BD8" s="273"/>
      <c r="BE8" s="273"/>
      <c r="BF8" s="273"/>
      <c r="BG8" s="273"/>
      <c r="BH8" s="273"/>
      <c r="BI8" s="273"/>
      <c r="BJ8" s="273"/>
      <c r="BK8" s="273"/>
      <c r="BL8" s="273"/>
      <c r="BM8" s="273"/>
      <c r="BN8" s="273"/>
      <c r="BO8" s="273"/>
      <c r="BP8" s="273">
        <v>65</v>
      </c>
      <c r="BQ8" s="273">
        <v>1340</v>
      </c>
      <c r="BR8" s="273">
        <v>820</v>
      </c>
      <c r="BS8" s="273"/>
      <c r="BT8" s="273"/>
      <c r="BU8" s="273"/>
      <c r="BV8" s="272">
        <f t="shared" si="5"/>
        <v>95</v>
      </c>
      <c r="BW8" s="272">
        <f t="shared" si="5"/>
        <v>1760</v>
      </c>
      <c r="BX8" s="272">
        <f t="shared" si="5"/>
        <v>1088.8</v>
      </c>
      <c r="BY8" s="273"/>
      <c r="BZ8" s="273"/>
      <c r="CA8" s="273"/>
      <c r="CB8" s="273"/>
      <c r="CC8" s="273"/>
      <c r="CD8" s="273"/>
      <c r="CE8" s="273"/>
      <c r="CF8" s="273"/>
      <c r="CG8" s="273"/>
      <c r="CH8" s="273"/>
      <c r="CI8" s="273"/>
      <c r="CJ8" s="273"/>
      <c r="CK8" s="273"/>
      <c r="CL8" s="273"/>
      <c r="CM8" s="273"/>
      <c r="CN8" s="273"/>
      <c r="CO8" s="273"/>
      <c r="CP8" s="273"/>
      <c r="CQ8" s="273"/>
      <c r="CR8" s="273"/>
      <c r="CS8" s="273"/>
      <c r="CT8" s="273">
        <v>75</v>
      </c>
      <c r="CU8" s="273">
        <v>1320</v>
      </c>
      <c r="CV8" s="273">
        <v>930</v>
      </c>
      <c r="CW8" s="273"/>
      <c r="CX8" s="273"/>
      <c r="CY8" s="273"/>
      <c r="CZ8" s="273"/>
      <c r="DA8" s="273"/>
      <c r="DB8" s="273"/>
      <c r="DC8" s="273"/>
      <c r="DD8" s="271"/>
      <c r="DE8" s="271"/>
      <c r="DF8" s="272">
        <f t="shared" si="1"/>
        <v>170</v>
      </c>
      <c r="DG8" s="272">
        <f t="shared" si="1"/>
        <v>3080</v>
      </c>
      <c r="DH8" s="272">
        <f t="shared" si="4"/>
        <v>2018.8</v>
      </c>
      <c r="DI8" s="274"/>
    </row>
    <row r="9" spans="1:113" s="275" customFormat="1" ht="24.75" customHeight="1" x14ac:dyDescent="0.6">
      <c r="A9" s="268">
        <v>5</v>
      </c>
      <c r="B9" s="269" t="s">
        <v>202</v>
      </c>
      <c r="C9" s="104" t="s">
        <v>203</v>
      </c>
      <c r="D9" s="100" t="s">
        <v>168</v>
      </c>
      <c r="E9" s="99" t="s">
        <v>169</v>
      </c>
      <c r="F9" s="234" t="s">
        <v>733</v>
      </c>
      <c r="G9" s="234" t="s">
        <v>200</v>
      </c>
      <c r="H9" s="234" t="s">
        <v>746</v>
      </c>
      <c r="I9" s="234" t="s">
        <v>747</v>
      </c>
      <c r="J9" s="270" t="s">
        <v>195</v>
      </c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>
        <v>21</v>
      </c>
      <c r="X9" s="271">
        <v>252</v>
      </c>
      <c r="Y9" s="271">
        <v>252</v>
      </c>
      <c r="Z9" s="271"/>
      <c r="AA9" s="271"/>
      <c r="AB9" s="271"/>
      <c r="AC9" s="271"/>
      <c r="AD9" s="271"/>
      <c r="AE9" s="271"/>
      <c r="AF9" s="271">
        <v>21</v>
      </c>
      <c r="AG9" s="271">
        <v>252</v>
      </c>
      <c r="AH9" s="271">
        <v>252</v>
      </c>
      <c r="AI9" s="271"/>
      <c r="AJ9" s="271"/>
      <c r="AK9" s="271"/>
      <c r="AL9" s="271"/>
      <c r="AM9" s="271"/>
      <c r="AN9" s="271"/>
      <c r="AO9" s="272">
        <f t="shared" si="2"/>
        <v>42</v>
      </c>
      <c r="AP9" s="272">
        <f t="shared" si="2"/>
        <v>504</v>
      </c>
      <c r="AQ9" s="272">
        <f t="shared" si="3"/>
        <v>504</v>
      </c>
      <c r="AR9" s="273"/>
      <c r="AS9" s="273"/>
      <c r="AT9" s="273"/>
      <c r="AU9" s="273">
        <v>21</v>
      </c>
      <c r="AV9" s="273">
        <v>252</v>
      </c>
      <c r="AW9" s="273">
        <v>252</v>
      </c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>
        <v>21</v>
      </c>
      <c r="BK9" s="273">
        <v>252</v>
      </c>
      <c r="BL9" s="273">
        <v>252</v>
      </c>
      <c r="BM9" s="273"/>
      <c r="BN9" s="273"/>
      <c r="BO9" s="273"/>
      <c r="BP9" s="273"/>
      <c r="BQ9" s="273"/>
      <c r="BR9" s="273"/>
      <c r="BS9" s="273"/>
      <c r="BT9" s="273"/>
      <c r="BU9" s="273"/>
      <c r="BV9" s="272">
        <f t="shared" si="5"/>
        <v>84</v>
      </c>
      <c r="BW9" s="272">
        <f t="shared" si="5"/>
        <v>1008</v>
      </c>
      <c r="BX9" s="272">
        <f t="shared" si="5"/>
        <v>1008</v>
      </c>
      <c r="BY9" s="273"/>
      <c r="BZ9" s="273"/>
      <c r="CA9" s="273"/>
      <c r="CB9" s="273">
        <v>21</v>
      </c>
      <c r="CC9" s="273">
        <v>252</v>
      </c>
      <c r="CD9" s="273">
        <v>252</v>
      </c>
      <c r="CE9" s="273"/>
      <c r="CF9" s="273"/>
      <c r="CG9" s="273"/>
      <c r="CH9" s="273"/>
      <c r="CI9" s="273"/>
      <c r="CJ9" s="273"/>
      <c r="CK9" s="273"/>
      <c r="CL9" s="273"/>
      <c r="CM9" s="273"/>
      <c r="CN9" s="273">
        <v>21</v>
      </c>
      <c r="CO9" s="273">
        <v>252</v>
      </c>
      <c r="CP9" s="273">
        <v>252</v>
      </c>
      <c r="CQ9" s="273"/>
      <c r="CR9" s="273"/>
      <c r="CS9" s="273"/>
      <c r="CT9" s="273"/>
      <c r="CU9" s="273"/>
      <c r="CV9" s="273"/>
      <c r="CW9" s="273"/>
      <c r="CX9" s="273"/>
      <c r="CY9" s="273"/>
      <c r="CZ9" s="273"/>
      <c r="DA9" s="273"/>
      <c r="DB9" s="273"/>
      <c r="DC9" s="273">
        <v>21</v>
      </c>
      <c r="DD9" s="271">
        <v>252</v>
      </c>
      <c r="DE9" s="271">
        <v>252</v>
      </c>
      <c r="DF9" s="272">
        <f t="shared" si="1"/>
        <v>147</v>
      </c>
      <c r="DG9" s="272">
        <f t="shared" si="1"/>
        <v>1764</v>
      </c>
      <c r="DH9" s="272">
        <f t="shared" si="4"/>
        <v>1764</v>
      </c>
      <c r="DI9" s="274"/>
    </row>
    <row r="10" spans="1:113" s="275" customFormat="1" ht="24.75" customHeight="1" x14ac:dyDescent="0.6">
      <c r="A10" s="268">
        <v>6</v>
      </c>
      <c r="B10" s="269" t="s">
        <v>204</v>
      </c>
      <c r="C10" s="104" t="s">
        <v>205</v>
      </c>
      <c r="D10" s="100" t="s">
        <v>168</v>
      </c>
      <c r="E10" s="99" t="s">
        <v>169</v>
      </c>
      <c r="F10" s="234" t="s">
        <v>733</v>
      </c>
      <c r="G10" s="279" t="s">
        <v>748</v>
      </c>
      <c r="H10" s="279"/>
      <c r="I10" s="279"/>
      <c r="J10" s="270" t="s">
        <v>195</v>
      </c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>
        <v>30</v>
      </c>
      <c r="AA10" s="271">
        <v>380</v>
      </c>
      <c r="AB10" s="271">
        <v>329.6</v>
      </c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2">
        <f t="shared" si="2"/>
        <v>30</v>
      </c>
      <c r="AP10" s="272">
        <f t="shared" si="2"/>
        <v>380</v>
      </c>
      <c r="AQ10" s="272">
        <f t="shared" si="3"/>
        <v>329.6</v>
      </c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  <c r="BT10" s="234"/>
      <c r="BU10" s="270"/>
      <c r="BV10" s="272">
        <f t="shared" si="5"/>
        <v>30</v>
      </c>
      <c r="BW10" s="272">
        <f t="shared" si="5"/>
        <v>380</v>
      </c>
      <c r="BX10" s="272">
        <f t="shared" si="5"/>
        <v>329.6</v>
      </c>
      <c r="BY10" s="270"/>
      <c r="BZ10" s="270"/>
      <c r="CA10" s="270"/>
      <c r="CB10" s="270"/>
      <c r="CC10" s="270"/>
      <c r="CD10" s="270"/>
      <c r="CE10" s="270"/>
      <c r="CF10" s="270"/>
      <c r="CG10" s="270"/>
      <c r="CH10" s="270">
        <v>18</v>
      </c>
      <c r="CI10" s="270">
        <v>300</v>
      </c>
      <c r="CJ10" s="270">
        <v>222</v>
      </c>
      <c r="CK10" s="270"/>
      <c r="CL10" s="270"/>
      <c r="CM10" s="270"/>
      <c r="CN10" s="270"/>
      <c r="CO10" s="270"/>
      <c r="CP10" s="270"/>
      <c r="CQ10" s="270"/>
      <c r="CR10" s="270"/>
      <c r="CS10" s="270"/>
      <c r="CT10" s="270"/>
      <c r="CU10" s="270"/>
      <c r="CV10" s="270"/>
      <c r="CW10" s="270">
        <v>20</v>
      </c>
      <c r="CX10" s="270">
        <v>260</v>
      </c>
      <c r="CY10" s="270">
        <v>209.60000000000002</v>
      </c>
      <c r="CZ10" s="270"/>
      <c r="DA10" s="270"/>
      <c r="DB10" s="270"/>
      <c r="DC10" s="270">
        <v>15</v>
      </c>
      <c r="DD10" s="270">
        <v>180</v>
      </c>
      <c r="DE10" s="270">
        <v>180</v>
      </c>
      <c r="DF10" s="272">
        <f t="shared" si="1"/>
        <v>83</v>
      </c>
      <c r="DG10" s="272">
        <f t="shared" si="1"/>
        <v>1120</v>
      </c>
      <c r="DH10" s="272">
        <f t="shared" si="4"/>
        <v>941.2</v>
      </c>
      <c r="DI10" s="274"/>
    </row>
    <row r="11" spans="1:113" s="275" customFormat="1" ht="24.75" customHeight="1" x14ac:dyDescent="0.6">
      <c r="A11" s="268">
        <v>7</v>
      </c>
      <c r="B11" s="269" t="s">
        <v>206</v>
      </c>
      <c r="C11" s="104" t="s">
        <v>207</v>
      </c>
      <c r="D11" s="100" t="s">
        <v>168</v>
      </c>
      <c r="E11" s="99" t="s">
        <v>169</v>
      </c>
      <c r="F11" s="234" t="s">
        <v>733</v>
      </c>
      <c r="G11" s="234" t="s">
        <v>749</v>
      </c>
      <c r="H11" s="234" t="s">
        <v>750</v>
      </c>
      <c r="I11" s="234" t="s">
        <v>751</v>
      </c>
      <c r="J11" s="270" t="s">
        <v>195</v>
      </c>
      <c r="K11" s="271"/>
      <c r="L11" s="271"/>
      <c r="M11" s="271"/>
      <c r="N11" s="271"/>
      <c r="O11" s="271"/>
      <c r="P11" s="271"/>
      <c r="Q11" s="271">
        <v>30</v>
      </c>
      <c r="R11" s="271">
        <v>360</v>
      </c>
      <c r="S11" s="271">
        <v>360</v>
      </c>
      <c r="T11" s="271"/>
      <c r="U11" s="271"/>
      <c r="V11" s="271"/>
      <c r="W11" s="271"/>
      <c r="X11" s="271"/>
      <c r="Y11" s="271"/>
      <c r="Z11" s="271">
        <v>30</v>
      </c>
      <c r="AA11" s="271">
        <v>360</v>
      </c>
      <c r="AB11" s="271">
        <v>360</v>
      </c>
      <c r="AC11" s="271"/>
      <c r="AD11" s="271"/>
      <c r="AE11" s="271"/>
      <c r="AF11" s="271"/>
      <c r="AG11" s="271"/>
      <c r="AH11" s="271"/>
      <c r="AI11" s="271">
        <v>15</v>
      </c>
      <c r="AJ11" s="271">
        <v>190</v>
      </c>
      <c r="AK11" s="271">
        <v>164.8</v>
      </c>
      <c r="AL11" s="271"/>
      <c r="AM11" s="271"/>
      <c r="AN11" s="271"/>
      <c r="AO11" s="272">
        <f t="shared" si="2"/>
        <v>75</v>
      </c>
      <c r="AP11" s="272">
        <f t="shared" si="2"/>
        <v>910</v>
      </c>
      <c r="AQ11" s="272">
        <f t="shared" si="3"/>
        <v>884.8</v>
      </c>
      <c r="AR11" s="234"/>
      <c r="AS11" s="234"/>
      <c r="AT11" s="234"/>
      <c r="AU11" s="234"/>
      <c r="AV11" s="234"/>
      <c r="AW11" s="234"/>
      <c r="AX11" s="234"/>
      <c r="AY11" s="234"/>
      <c r="AZ11" s="234"/>
      <c r="BA11" s="234">
        <v>15</v>
      </c>
      <c r="BB11" s="234">
        <v>180</v>
      </c>
      <c r="BC11" s="234">
        <v>180</v>
      </c>
      <c r="BD11" s="234"/>
      <c r="BE11" s="234"/>
      <c r="BF11" s="234"/>
      <c r="BG11" s="234"/>
      <c r="BH11" s="234"/>
      <c r="BI11" s="234"/>
      <c r="BJ11" s="234">
        <v>15</v>
      </c>
      <c r="BK11" s="234">
        <v>180</v>
      </c>
      <c r="BL11" s="234">
        <v>180</v>
      </c>
      <c r="BM11" s="234"/>
      <c r="BN11" s="234"/>
      <c r="BO11" s="234"/>
      <c r="BP11" s="234"/>
      <c r="BQ11" s="234"/>
      <c r="BR11" s="234"/>
      <c r="BS11" s="234"/>
      <c r="BT11" s="234"/>
      <c r="BU11" s="270"/>
      <c r="BV11" s="272">
        <f t="shared" si="5"/>
        <v>105</v>
      </c>
      <c r="BW11" s="272">
        <f t="shared" si="5"/>
        <v>1270</v>
      </c>
      <c r="BX11" s="272">
        <f t="shared" si="5"/>
        <v>1244.8</v>
      </c>
      <c r="BY11" s="270">
        <v>15</v>
      </c>
      <c r="BZ11" s="270">
        <v>180</v>
      </c>
      <c r="CA11" s="270">
        <v>180</v>
      </c>
      <c r="CB11" s="270"/>
      <c r="CC11" s="270"/>
      <c r="CD11" s="270"/>
      <c r="CE11" s="270">
        <v>10</v>
      </c>
      <c r="CF11" s="270">
        <v>140</v>
      </c>
      <c r="CG11" s="270">
        <v>89.600000000000009</v>
      </c>
      <c r="CH11" s="270">
        <v>15</v>
      </c>
      <c r="CI11" s="270">
        <v>180</v>
      </c>
      <c r="CJ11" s="270">
        <v>180</v>
      </c>
      <c r="CK11" s="270"/>
      <c r="CL11" s="270"/>
      <c r="CM11" s="270"/>
      <c r="CN11" s="270">
        <v>2</v>
      </c>
      <c r="CO11" s="270">
        <v>80</v>
      </c>
      <c r="CP11" s="270">
        <v>28</v>
      </c>
      <c r="CQ11" s="270">
        <v>15</v>
      </c>
      <c r="CR11" s="270">
        <v>180</v>
      </c>
      <c r="CS11" s="270">
        <v>180</v>
      </c>
      <c r="CT11" s="270"/>
      <c r="CU11" s="270"/>
      <c r="CV11" s="270"/>
      <c r="CW11" s="270"/>
      <c r="CX11" s="270"/>
      <c r="CY11" s="270"/>
      <c r="CZ11" s="270"/>
      <c r="DA11" s="270"/>
      <c r="DB11" s="270"/>
      <c r="DC11" s="270"/>
      <c r="DD11" s="270"/>
      <c r="DE11" s="270"/>
      <c r="DF11" s="272">
        <f t="shared" si="1"/>
        <v>162</v>
      </c>
      <c r="DG11" s="272">
        <f t="shared" si="1"/>
        <v>2030</v>
      </c>
      <c r="DH11" s="272">
        <f t="shared" si="4"/>
        <v>1902.3999999999999</v>
      </c>
      <c r="DI11" s="274"/>
    </row>
    <row r="12" spans="1:113" s="275" customFormat="1" ht="24.75" customHeight="1" x14ac:dyDescent="0.6">
      <c r="A12" s="268">
        <v>8</v>
      </c>
      <c r="B12" s="269" t="s">
        <v>208</v>
      </c>
      <c r="C12" s="104" t="s">
        <v>209</v>
      </c>
      <c r="D12" s="100" t="s">
        <v>168</v>
      </c>
      <c r="E12" s="99" t="s">
        <v>169</v>
      </c>
      <c r="F12" s="234" t="s">
        <v>733</v>
      </c>
      <c r="G12" s="234" t="s">
        <v>752</v>
      </c>
      <c r="H12" s="234" t="s">
        <v>753</v>
      </c>
      <c r="I12" s="234" t="s">
        <v>754</v>
      </c>
      <c r="J12" s="270" t="s">
        <v>195</v>
      </c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>
        <v>20</v>
      </c>
      <c r="AA12" s="271">
        <v>240</v>
      </c>
      <c r="AB12" s="271">
        <v>240</v>
      </c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2">
        <f t="shared" si="2"/>
        <v>20</v>
      </c>
      <c r="AP12" s="272">
        <f t="shared" si="2"/>
        <v>240</v>
      </c>
      <c r="AQ12" s="272">
        <f t="shared" si="3"/>
        <v>240</v>
      </c>
      <c r="AR12" s="234"/>
      <c r="AS12" s="234"/>
      <c r="AT12" s="234"/>
      <c r="AU12" s="234"/>
      <c r="AV12" s="234"/>
      <c r="AW12" s="234"/>
      <c r="AX12" s="234"/>
      <c r="AY12" s="234"/>
      <c r="AZ12" s="234"/>
      <c r="BA12" s="234">
        <v>65</v>
      </c>
      <c r="BB12" s="234">
        <v>840</v>
      </c>
      <c r="BC12" s="234">
        <v>688.8</v>
      </c>
      <c r="BD12" s="234"/>
      <c r="BE12" s="234"/>
      <c r="BF12" s="234"/>
      <c r="BG12" s="234"/>
      <c r="BH12" s="234"/>
      <c r="BI12" s="234"/>
      <c r="BJ12" s="234"/>
      <c r="BK12" s="234"/>
      <c r="BL12" s="234"/>
      <c r="BM12" s="234"/>
      <c r="BN12" s="234"/>
      <c r="BO12" s="234"/>
      <c r="BP12" s="234"/>
      <c r="BQ12" s="234"/>
      <c r="BR12" s="234"/>
      <c r="BS12" s="234"/>
      <c r="BT12" s="234"/>
      <c r="BU12" s="270"/>
      <c r="BV12" s="272">
        <f t="shared" si="5"/>
        <v>85</v>
      </c>
      <c r="BW12" s="272">
        <f t="shared" si="5"/>
        <v>1080</v>
      </c>
      <c r="BX12" s="272">
        <f t="shared" si="5"/>
        <v>928.8</v>
      </c>
      <c r="BY12" s="270"/>
      <c r="BZ12" s="270"/>
      <c r="CA12" s="270"/>
      <c r="CB12" s="270"/>
      <c r="CC12" s="270"/>
      <c r="CD12" s="270"/>
      <c r="CE12" s="270"/>
      <c r="CF12" s="270"/>
      <c r="CG12" s="270"/>
      <c r="CH12" s="270"/>
      <c r="CI12" s="270"/>
      <c r="CJ12" s="270"/>
      <c r="CK12" s="270"/>
      <c r="CL12" s="270"/>
      <c r="CM12" s="270"/>
      <c r="CN12" s="270"/>
      <c r="CO12" s="270"/>
      <c r="CP12" s="270"/>
      <c r="CQ12" s="270"/>
      <c r="CR12" s="270"/>
      <c r="CS12" s="270"/>
      <c r="CT12" s="270"/>
      <c r="CU12" s="270"/>
      <c r="CV12" s="270"/>
      <c r="CW12" s="270"/>
      <c r="CX12" s="270"/>
      <c r="CY12" s="270"/>
      <c r="CZ12" s="270"/>
      <c r="DA12" s="270"/>
      <c r="DB12" s="270"/>
      <c r="DC12" s="270"/>
      <c r="DD12" s="270"/>
      <c r="DE12" s="270"/>
      <c r="DF12" s="272">
        <f t="shared" si="1"/>
        <v>85</v>
      </c>
      <c r="DG12" s="272">
        <f t="shared" si="1"/>
        <v>1080</v>
      </c>
      <c r="DH12" s="272">
        <f t="shared" si="4"/>
        <v>928.8</v>
      </c>
      <c r="DI12" s="274"/>
    </row>
    <row r="13" spans="1:113" s="275" customFormat="1" ht="24.75" customHeight="1" x14ac:dyDescent="0.6">
      <c r="A13" s="268">
        <v>9</v>
      </c>
      <c r="B13" s="269" t="s">
        <v>210</v>
      </c>
      <c r="C13" s="104" t="s">
        <v>211</v>
      </c>
      <c r="D13" s="100" t="s">
        <v>168</v>
      </c>
      <c r="E13" s="99" t="s">
        <v>169</v>
      </c>
      <c r="F13" s="253" t="s">
        <v>733</v>
      </c>
      <c r="G13" s="253" t="s">
        <v>755</v>
      </c>
      <c r="H13" s="253" t="s">
        <v>756</v>
      </c>
      <c r="I13" s="253" t="s">
        <v>757</v>
      </c>
      <c r="J13" s="270" t="s">
        <v>195</v>
      </c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>
        <v>100</v>
      </c>
      <c r="AA13" s="271">
        <v>1400</v>
      </c>
      <c r="AB13" s="271">
        <v>896</v>
      </c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2">
        <f t="shared" si="2"/>
        <v>100</v>
      </c>
      <c r="AP13" s="272">
        <f t="shared" si="2"/>
        <v>1400</v>
      </c>
      <c r="AQ13" s="272">
        <f t="shared" si="3"/>
        <v>896</v>
      </c>
      <c r="AR13" s="253"/>
      <c r="AS13" s="253"/>
      <c r="AT13" s="253"/>
      <c r="AU13" s="253"/>
      <c r="AV13" s="253"/>
      <c r="AW13" s="253"/>
      <c r="AX13" s="253"/>
      <c r="AY13" s="253"/>
      <c r="AZ13" s="253"/>
      <c r="BA13" s="253"/>
      <c r="BB13" s="253"/>
      <c r="BC13" s="253"/>
      <c r="BD13" s="234"/>
      <c r="BE13" s="234"/>
      <c r="BF13" s="234"/>
      <c r="BG13" s="253"/>
      <c r="BH13" s="253"/>
      <c r="BI13" s="253"/>
      <c r="BJ13" s="253"/>
      <c r="BK13" s="253"/>
      <c r="BL13" s="253"/>
      <c r="BM13" s="253"/>
      <c r="BN13" s="253"/>
      <c r="BO13" s="253"/>
      <c r="BP13" s="253"/>
      <c r="BQ13" s="253"/>
      <c r="BR13" s="253"/>
      <c r="BS13" s="253"/>
      <c r="BT13" s="253"/>
      <c r="BU13" s="280"/>
      <c r="BV13" s="272">
        <f t="shared" si="5"/>
        <v>100</v>
      </c>
      <c r="BW13" s="272">
        <f t="shared" si="5"/>
        <v>1400</v>
      </c>
      <c r="BX13" s="272">
        <f t="shared" si="5"/>
        <v>896</v>
      </c>
      <c r="BY13" s="280"/>
      <c r="BZ13" s="280"/>
      <c r="CA13" s="280"/>
      <c r="CB13" s="280"/>
      <c r="CC13" s="280"/>
      <c r="CD13" s="280"/>
      <c r="CE13" s="280">
        <v>30</v>
      </c>
      <c r="CF13" s="280">
        <v>360</v>
      </c>
      <c r="CG13" s="280">
        <v>360</v>
      </c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72">
        <f t="shared" si="1"/>
        <v>130</v>
      </c>
      <c r="DG13" s="272">
        <f t="shared" si="1"/>
        <v>1760</v>
      </c>
      <c r="DH13" s="272">
        <f t="shared" si="4"/>
        <v>1256</v>
      </c>
      <c r="DI13" s="274"/>
    </row>
    <row r="14" spans="1:113" s="275" customFormat="1" ht="24.75" customHeight="1" x14ac:dyDescent="0.6">
      <c r="A14" s="268">
        <v>10</v>
      </c>
      <c r="B14" s="269" t="s">
        <v>212</v>
      </c>
      <c r="C14" s="104" t="s">
        <v>213</v>
      </c>
      <c r="D14" s="100" t="s">
        <v>214</v>
      </c>
      <c r="E14" s="99" t="s">
        <v>169</v>
      </c>
      <c r="F14" s="253" t="s">
        <v>733</v>
      </c>
      <c r="G14" s="281" t="s">
        <v>758</v>
      </c>
      <c r="H14" s="281" t="s">
        <v>758</v>
      </c>
      <c r="I14" s="253" t="s">
        <v>759</v>
      </c>
      <c r="J14" s="270" t="s">
        <v>195</v>
      </c>
      <c r="K14" s="271"/>
      <c r="L14" s="271"/>
      <c r="M14" s="271"/>
      <c r="N14" s="271">
        <v>37</v>
      </c>
      <c r="O14" s="271">
        <v>448</v>
      </c>
      <c r="P14" s="271">
        <v>437.92</v>
      </c>
      <c r="Q14" s="271">
        <v>30</v>
      </c>
      <c r="R14" s="271">
        <v>360</v>
      </c>
      <c r="S14" s="271">
        <v>360</v>
      </c>
      <c r="T14" s="271"/>
      <c r="U14" s="271"/>
      <c r="V14" s="271"/>
      <c r="W14" s="271">
        <v>10</v>
      </c>
      <c r="X14" s="271">
        <v>120</v>
      </c>
      <c r="Y14" s="271">
        <v>120</v>
      </c>
      <c r="Z14" s="271">
        <v>50</v>
      </c>
      <c r="AA14" s="271">
        <v>600</v>
      </c>
      <c r="AB14" s="271">
        <v>600</v>
      </c>
      <c r="AC14" s="271">
        <v>20</v>
      </c>
      <c r="AD14" s="271">
        <v>240</v>
      </c>
      <c r="AE14" s="271">
        <v>240</v>
      </c>
      <c r="AF14" s="271">
        <v>40</v>
      </c>
      <c r="AG14" s="271">
        <v>480</v>
      </c>
      <c r="AH14" s="271">
        <v>480</v>
      </c>
      <c r="AI14" s="271">
        <v>25</v>
      </c>
      <c r="AJ14" s="271">
        <v>300</v>
      </c>
      <c r="AK14" s="271">
        <v>300</v>
      </c>
      <c r="AL14" s="271">
        <v>25</v>
      </c>
      <c r="AM14" s="271">
        <v>300</v>
      </c>
      <c r="AN14" s="271">
        <v>300</v>
      </c>
      <c r="AO14" s="272">
        <f t="shared" si="2"/>
        <v>237</v>
      </c>
      <c r="AP14" s="272">
        <f t="shared" si="2"/>
        <v>2848</v>
      </c>
      <c r="AQ14" s="272">
        <f t="shared" si="3"/>
        <v>2837.92</v>
      </c>
      <c r="AR14" s="253"/>
      <c r="AS14" s="253"/>
      <c r="AT14" s="253"/>
      <c r="AU14" s="253">
        <v>32</v>
      </c>
      <c r="AV14" s="253">
        <v>388</v>
      </c>
      <c r="AW14" s="253">
        <v>377.92</v>
      </c>
      <c r="AX14" s="253">
        <v>30</v>
      </c>
      <c r="AY14" s="253">
        <v>360</v>
      </c>
      <c r="AZ14" s="253">
        <v>360</v>
      </c>
      <c r="BA14" s="253"/>
      <c r="BB14" s="253"/>
      <c r="BC14" s="253"/>
      <c r="BD14" s="234">
        <v>32</v>
      </c>
      <c r="BE14" s="234">
        <v>388</v>
      </c>
      <c r="BF14" s="234">
        <v>377.92</v>
      </c>
      <c r="BG14" s="253">
        <v>45</v>
      </c>
      <c r="BH14" s="253">
        <v>550</v>
      </c>
      <c r="BI14" s="253">
        <v>524.79999999999995</v>
      </c>
      <c r="BJ14" s="253">
        <v>35</v>
      </c>
      <c r="BK14" s="253">
        <v>420</v>
      </c>
      <c r="BL14" s="253">
        <v>420</v>
      </c>
      <c r="BM14" s="253"/>
      <c r="BN14" s="253"/>
      <c r="BO14" s="253"/>
      <c r="BP14" s="253">
        <v>25</v>
      </c>
      <c r="BQ14" s="253">
        <v>300</v>
      </c>
      <c r="BR14" s="253">
        <v>300</v>
      </c>
      <c r="BS14" s="253">
        <v>30</v>
      </c>
      <c r="BT14" s="253">
        <v>360</v>
      </c>
      <c r="BU14" s="280">
        <v>360</v>
      </c>
      <c r="BV14" s="272">
        <f t="shared" si="5"/>
        <v>466</v>
      </c>
      <c r="BW14" s="272">
        <f t="shared" si="5"/>
        <v>5614</v>
      </c>
      <c r="BX14" s="272">
        <f t="shared" si="5"/>
        <v>5558.56</v>
      </c>
      <c r="BY14" s="280"/>
      <c r="BZ14" s="280"/>
      <c r="CA14" s="280"/>
      <c r="CB14" s="280">
        <v>32</v>
      </c>
      <c r="CC14" s="280">
        <v>388</v>
      </c>
      <c r="CD14" s="280">
        <v>377.92</v>
      </c>
      <c r="CE14" s="280">
        <v>30</v>
      </c>
      <c r="CF14" s="280">
        <v>360</v>
      </c>
      <c r="CG14" s="280">
        <v>360</v>
      </c>
      <c r="CH14" s="280">
        <v>35</v>
      </c>
      <c r="CI14" s="280">
        <v>420</v>
      </c>
      <c r="CJ14" s="280">
        <v>420</v>
      </c>
      <c r="CK14" s="280"/>
      <c r="CL14" s="280"/>
      <c r="CM14" s="280"/>
      <c r="CN14" s="280">
        <v>32</v>
      </c>
      <c r="CO14" s="280">
        <v>388</v>
      </c>
      <c r="CP14" s="280">
        <v>377.92</v>
      </c>
      <c r="CQ14" s="280">
        <v>30</v>
      </c>
      <c r="CR14" s="280">
        <v>360</v>
      </c>
      <c r="CS14" s="280">
        <v>360</v>
      </c>
      <c r="CT14" s="280">
        <v>30</v>
      </c>
      <c r="CU14" s="280">
        <v>360</v>
      </c>
      <c r="CV14" s="280">
        <v>360</v>
      </c>
      <c r="CW14" s="280"/>
      <c r="CX14" s="280"/>
      <c r="CY14" s="280"/>
      <c r="CZ14" s="280">
        <v>30</v>
      </c>
      <c r="DA14" s="280">
        <v>360</v>
      </c>
      <c r="DB14" s="280">
        <v>360</v>
      </c>
      <c r="DC14" s="280">
        <v>30</v>
      </c>
      <c r="DD14" s="280">
        <v>360</v>
      </c>
      <c r="DE14" s="280">
        <v>360</v>
      </c>
      <c r="DF14" s="272">
        <f t="shared" si="1"/>
        <v>715</v>
      </c>
      <c r="DG14" s="272">
        <f t="shared" si="1"/>
        <v>8610</v>
      </c>
      <c r="DH14" s="272">
        <f t="shared" si="4"/>
        <v>8534.4000000000015</v>
      </c>
      <c r="DI14" s="274"/>
    </row>
    <row r="15" spans="1:113" s="275" customFormat="1" ht="24.75" customHeight="1" x14ac:dyDescent="0.6">
      <c r="A15" s="268">
        <v>11</v>
      </c>
      <c r="B15" s="269" t="s">
        <v>215</v>
      </c>
      <c r="C15" s="104" t="s">
        <v>216</v>
      </c>
      <c r="D15" s="100" t="s">
        <v>185</v>
      </c>
      <c r="E15" s="99" t="s">
        <v>217</v>
      </c>
      <c r="F15" s="234" t="s">
        <v>733</v>
      </c>
      <c r="G15" s="234" t="s">
        <v>210</v>
      </c>
      <c r="H15" s="234" t="s">
        <v>211</v>
      </c>
      <c r="I15" s="234" t="s">
        <v>760</v>
      </c>
      <c r="J15" s="270" t="s">
        <v>195</v>
      </c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2">
        <f t="shared" si="2"/>
        <v>0</v>
      </c>
      <c r="AP15" s="272">
        <f t="shared" si="2"/>
        <v>0</v>
      </c>
      <c r="AQ15" s="272">
        <f t="shared" si="3"/>
        <v>0</v>
      </c>
      <c r="AR15" s="234"/>
      <c r="AS15" s="234"/>
      <c r="AT15" s="234"/>
      <c r="AU15" s="234">
        <v>180</v>
      </c>
      <c r="AV15" s="234">
        <v>2220</v>
      </c>
      <c r="AW15" s="234">
        <v>2068.8000000000002</v>
      </c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  <c r="BI15" s="234"/>
      <c r="BJ15" s="234"/>
      <c r="BK15" s="234"/>
      <c r="BL15" s="234"/>
      <c r="BM15" s="234"/>
      <c r="BN15" s="234"/>
      <c r="BO15" s="234"/>
      <c r="BP15" s="234"/>
      <c r="BQ15" s="234"/>
      <c r="BR15" s="234"/>
      <c r="BS15" s="234"/>
      <c r="BT15" s="234"/>
      <c r="BU15" s="270"/>
      <c r="BV15" s="272">
        <f t="shared" si="5"/>
        <v>180</v>
      </c>
      <c r="BW15" s="272">
        <f t="shared" si="5"/>
        <v>2220</v>
      </c>
      <c r="BX15" s="272">
        <f t="shared" si="5"/>
        <v>2068.8000000000002</v>
      </c>
      <c r="BY15" s="270"/>
      <c r="BZ15" s="270"/>
      <c r="CA15" s="270"/>
      <c r="CB15" s="270"/>
      <c r="CC15" s="270"/>
      <c r="CD15" s="270"/>
      <c r="CE15" s="270"/>
      <c r="CF15" s="270"/>
      <c r="CG15" s="270"/>
      <c r="CH15" s="270"/>
      <c r="CI15" s="270"/>
      <c r="CJ15" s="270"/>
      <c r="CK15" s="270"/>
      <c r="CL15" s="270"/>
      <c r="CM15" s="270"/>
      <c r="CN15" s="270"/>
      <c r="CO15" s="270"/>
      <c r="CP15" s="270"/>
      <c r="CQ15" s="270"/>
      <c r="CR15" s="270"/>
      <c r="CS15" s="270"/>
      <c r="CT15" s="270"/>
      <c r="CU15" s="270"/>
      <c r="CV15" s="270"/>
      <c r="CW15" s="234"/>
      <c r="CX15" s="234"/>
      <c r="CY15" s="234"/>
      <c r="CZ15" s="234"/>
      <c r="DA15" s="234"/>
      <c r="DB15" s="234"/>
      <c r="DC15" s="270"/>
      <c r="DD15" s="270"/>
      <c r="DE15" s="270"/>
      <c r="DF15" s="272">
        <f t="shared" si="1"/>
        <v>180</v>
      </c>
      <c r="DG15" s="272">
        <f t="shared" si="1"/>
        <v>2220</v>
      </c>
      <c r="DH15" s="272">
        <f t="shared" si="4"/>
        <v>2068.8000000000002</v>
      </c>
      <c r="DI15" s="274"/>
    </row>
    <row r="16" spans="1:113" s="275" customFormat="1" ht="24.75" customHeight="1" x14ac:dyDescent="0.6">
      <c r="A16" s="268">
        <v>12</v>
      </c>
      <c r="B16" s="269" t="s">
        <v>218</v>
      </c>
      <c r="C16" s="104" t="s">
        <v>219</v>
      </c>
      <c r="D16" s="100" t="s">
        <v>78</v>
      </c>
      <c r="E16" s="99" t="s">
        <v>79</v>
      </c>
      <c r="F16" s="234" t="s">
        <v>733</v>
      </c>
      <c r="G16" s="234" t="s">
        <v>761</v>
      </c>
      <c r="H16" s="234" t="s">
        <v>762</v>
      </c>
      <c r="I16" s="234" t="s">
        <v>763</v>
      </c>
      <c r="J16" s="270" t="s">
        <v>195</v>
      </c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>
        <v>55</v>
      </c>
      <c r="AA16" s="271">
        <v>800</v>
      </c>
      <c r="AB16" s="271">
        <v>670</v>
      </c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2">
        <f t="shared" si="2"/>
        <v>55</v>
      </c>
      <c r="AP16" s="272">
        <f t="shared" si="2"/>
        <v>800</v>
      </c>
      <c r="AQ16" s="272">
        <f t="shared" si="3"/>
        <v>670</v>
      </c>
      <c r="AR16" s="234"/>
      <c r="AS16" s="234"/>
      <c r="AT16" s="234"/>
      <c r="AU16" s="234"/>
      <c r="AV16" s="234"/>
      <c r="AW16" s="234"/>
      <c r="AX16" s="234">
        <v>60</v>
      </c>
      <c r="AY16" s="234">
        <v>760</v>
      </c>
      <c r="AZ16" s="234">
        <v>659.2</v>
      </c>
      <c r="BA16" s="234"/>
      <c r="BB16" s="234"/>
      <c r="BC16" s="234"/>
      <c r="BD16" s="234"/>
      <c r="BE16" s="234"/>
      <c r="BF16" s="234"/>
      <c r="BG16" s="234"/>
      <c r="BH16" s="234"/>
      <c r="BI16" s="234"/>
      <c r="BJ16" s="234"/>
      <c r="BK16" s="234"/>
      <c r="BL16" s="234"/>
      <c r="BM16" s="234"/>
      <c r="BN16" s="234"/>
      <c r="BO16" s="234"/>
      <c r="BP16" s="234"/>
      <c r="BQ16" s="234"/>
      <c r="BR16" s="234"/>
      <c r="BS16" s="234"/>
      <c r="BT16" s="234"/>
      <c r="BU16" s="270"/>
      <c r="BV16" s="272">
        <f t="shared" si="5"/>
        <v>115</v>
      </c>
      <c r="BW16" s="272">
        <f t="shared" si="5"/>
        <v>1560</v>
      </c>
      <c r="BX16" s="272">
        <f t="shared" si="5"/>
        <v>1329.2</v>
      </c>
      <c r="BY16" s="270">
        <v>87</v>
      </c>
      <c r="BZ16" s="270">
        <v>1078</v>
      </c>
      <c r="CA16" s="270">
        <v>992.31999999999994</v>
      </c>
      <c r="CB16" s="270"/>
      <c r="CC16" s="270"/>
      <c r="CD16" s="270"/>
      <c r="CE16" s="270"/>
      <c r="CF16" s="270"/>
      <c r="CG16" s="270"/>
      <c r="CH16" s="270"/>
      <c r="CI16" s="270"/>
      <c r="CJ16" s="270"/>
      <c r="CK16" s="270"/>
      <c r="CL16" s="270"/>
      <c r="CM16" s="270"/>
      <c r="CN16" s="270"/>
      <c r="CO16" s="270"/>
      <c r="CP16" s="270"/>
      <c r="CQ16" s="270"/>
      <c r="CR16" s="270"/>
      <c r="CS16" s="270"/>
      <c r="CT16" s="270"/>
      <c r="CU16" s="270"/>
      <c r="CV16" s="270"/>
      <c r="CW16" s="234"/>
      <c r="CX16" s="253"/>
      <c r="CY16" s="253"/>
      <c r="CZ16" s="253"/>
      <c r="DA16" s="253"/>
      <c r="DB16" s="253"/>
      <c r="DC16" s="270"/>
      <c r="DD16" s="270"/>
      <c r="DE16" s="270"/>
      <c r="DF16" s="272">
        <f t="shared" si="1"/>
        <v>202</v>
      </c>
      <c r="DG16" s="272">
        <f t="shared" si="1"/>
        <v>2638</v>
      </c>
      <c r="DH16" s="272">
        <f t="shared" si="4"/>
        <v>2321.52</v>
      </c>
      <c r="DI16" s="274"/>
    </row>
    <row r="17" spans="1:113" s="275" customFormat="1" ht="24.75" customHeight="1" x14ac:dyDescent="0.6">
      <c r="A17" s="268">
        <v>13</v>
      </c>
      <c r="B17" s="269" t="s">
        <v>220</v>
      </c>
      <c r="C17" s="104" t="s">
        <v>221</v>
      </c>
      <c r="D17" s="100" t="s">
        <v>161</v>
      </c>
      <c r="E17" s="99" t="s">
        <v>61</v>
      </c>
      <c r="F17" s="253" t="s">
        <v>733</v>
      </c>
      <c r="G17" s="281" t="s">
        <v>215</v>
      </c>
      <c r="H17" s="281" t="s">
        <v>216</v>
      </c>
      <c r="I17" s="253" t="s">
        <v>764</v>
      </c>
      <c r="J17" s="270" t="s">
        <v>195</v>
      </c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2">
        <f t="shared" si="2"/>
        <v>0</v>
      </c>
      <c r="AP17" s="272">
        <f t="shared" si="2"/>
        <v>0</v>
      </c>
      <c r="AQ17" s="272">
        <f t="shared" si="3"/>
        <v>0</v>
      </c>
      <c r="AR17" s="253"/>
      <c r="AS17" s="253"/>
      <c r="AT17" s="253"/>
      <c r="AU17" s="253"/>
      <c r="AV17" s="253"/>
      <c r="AW17" s="253"/>
      <c r="AX17" s="253"/>
      <c r="AY17" s="253"/>
      <c r="AZ17" s="253"/>
      <c r="BA17" s="253"/>
      <c r="BB17" s="253"/>
      <c r="BC17" s="253"/>
      <c r="BD17" s="234"/>
      <c r="BE17" s="234"/>
      <c r="BF17" s="234"/>
      <c r="BG17" s="253"/>
      <c r="BH17" s="253"/>
      <c r="BI17" s="253"/>
      <c r="BJ17" s="253"/>
      <c r="BK17" s="253"/>
      <c r="BL17" s="253"/>
      <c r="BM17" s="253"/>
      <c r="BN17" s="253"/>
      <c r="BO17" s="253"/>
      <c r="BP17" s="253"/>
      <c r="BQ17" s="253"/>
      <c r="BR17" s="253"/>
      <c r="BS17" s="253"/>
      <c r="BT17" s="253"/>
      <c r="BU17" s="280"/>
      <c r="BV17" s="272">
        <f t="shared" si="5"/>
        <v>0</v>
      </c>
      <c r="BW17" s="272">
        <f t="shared" si="5"/>
        <v>0</v>
      </c>
      <c r="BX17" s="272">
        <f t="shared" si="5"/>
        <v>0</v>
      </c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53"/>
      <c r="CX17" s="253"/>
      <c r="CY17" s="253"/>
      <c r="CZ17" s="253"/>
      <c r="DA17" s="253"/>
      <c r="DB17" s="253"/>
      <c r="DC17" s="280"/>
      <c r="DD17" s="280"/>
      <c r="DE17" s="280"/>
      <c r="DF17" s="272">
        <f t="shared" si="1"/>
        <v>0</v>
      </c>
      <c r="DG17" s="272">
        <f t="shared" si="1"/>
        <v>0</v>
      </c>
      <c r="DH17" s="272">
        <f t="shared" si="4"/>
        <v>0</v>
      </c>
      <c r="DI17" s="274"/>
    </row>
    <row r="18" spans="1:113" s="275" customFormat="1" ht="24.75" customHeight="1" x14ac:dyDescent="0.6">
      <c r="A18" s="268">
        <v>14</v>
      </c>
      <c r="B18" s="269" t="s">
        <v>222</v>
      </c>
      <c r="C18" s="104" t="s">
        <v>223</v>
      </c>
      <c r="D18" s="100" t="s">
        <v>161</v>
      </c>
      <c r="E18" s="99" t="s">
        <v>61</v>
      </c>
      <c r="F18" s="253" t="s">
        <v>733</v>
      </c>
      <c r="G18" s="281" t="s">
        <v>765</v>
      </c>
      <c r="H18" s="281" t="s">
        <v>766</v>
      </c>
      <c r="I18" s="253" t="s">
        <v>767</v>
      </c>
      <c r="J18" s="270" t="s">
        <v>195</v>
      </c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>
        <v>100</v>
      </c>
      <c r="AA18" s="271">
        <v>1340</v>
      </c>
      <c r="AB18" s="271">
        <v>1162</v>
      </c>
      <c r="AC18" s="271"/>
      <c r="AD18" s="271"/>
      <c r="AE18" s="271"/>
      <c r="AF18" s="271">
        <v>100</v>
      </c>
      <c r="AG18" s="271">
        <v>1400</v>
      </c>
      <c r="AH18" s="271">
        <v>896</v>
      </c>
      <c r="AI18" s="271"/>
      <c r="AJ18" s="271"/>
      <c r="AK18" s="271"/>
      <c r="AL18" s="271"/>
      <c r="AM18" s="271"/>
      <c r="AN18" s="271"/>
      <c r="AO18" s="272">
        <f t="shared" si="2"/>
        <v>200</v>
      </c>
      <c r="AP18" s="272">
        <f t="shared" si="2"/>
        <v>2740</v>
      </c>
      <c r="AQ18" s="272">
        <f t="shared" si="3"/>
        <v>2058</v>
      </c>
      <c r="AR18" s="253"/>
      <c r="AS18" s="253"/>
      <c r="AT18" s="253"/>
      <c r="AU18" s="253"/>
      <c r="AV18" s="253"/>
      <c r="AW18" s="253"/>
      <c r="AX18" s="253"/>
      <c r="AY18" s="253"/>
      <c r="AZ18" s="253"/>
      <c r="BA18" s="253">
        <v>100</v>
      </c>
      <c r="BB18" s="253">
        <v>1200</v>
      </c>
      <c r="BC18" s="253">
        <v>1200</v>
      </c>
      <c r="BD18" s="234"/>
      <c r="BE18" s="234"/>
      <c r="BF18" s="234"/>
      <c r="BG18" s="253"/>
      <c r="BH18" s="253"/>
      <c r="BI18" s="253"/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80"/>
      <c r="BV18" s="272">
        <f t="shared" si="5"/>
        <v>300</v>
      </c>
      <c r="BW18" s="272">
        <f t="shared" si="5"/>
        <v>3940</v>
      </c>
      <c r="BX18" s="272">
        <f t="shared" si="5"/>
        <v>3258</v>
      </c>
      <c r="BY18" s="280"/>
      <c r="BZ18" s="280"/>
      <c r="CA18" s="280"/>
      <c r="CB18" s="280">
        <v>100</v>
      </c>
      <c r="CC18" s="280">
        <v>1200</v>
      </c>
      <c r="CD18" s="280">
        <v>1152</v>
      </c>
      <c r="CE18" s="280"/>
      <c r="CF18" s="280"/>
      <c r="CG18" s="280"/>
      <c r="CH18" s="280"/>
      <c r="CI18" s="280"/>
      <c r="CJ18" s="280"/>
      <c r="CK18" s="280"/>
      <c r="CL18" s="280"/>
      <c r="CM18" s="280"/>
      <c r="CN18" s="280">
        <v>100</v>
      </c>
      <c r="CO18" s="280">
        <v>1530</v>
      </c>
      <c r="CP18" s="280">
        <v>921.2</v>
      </c>
      <c r="CQ18" s="280"/>
      <c r="CR18" s="280"/>
      <c r="CS18" s="280"/>
      <c r="CT18" s="280"/>
      <c r="CU18" s="280"/>
      <c r="CV18" s="280"/>
      <c r="CW18" s="253"/>
      <c r="CX18" s="253"/>
      <c r="CY18" s="253"/>
      <c r="CZ18" s="253">
        <v>100</v>
      </c>
      <c r="DA18" s="253">
        <v>1200</v>
      </c>
      <c r="DB18" s="253">
        <v>1200</v>
      </c>
      <c r="DC18" s="280"/>
      <c r="DD18" s="280"/>
      <c r="DE18" s="280"/>
      <c r="DF18" s="272">
        <f t="shared" si="1"/>
        <v>600</v>
      </c>
      <c r="DG18" s="272">
        <f t="shared" si="1"/>
        <v>7870</v>
      </c>
      <c r="DH18" s="272">
        <f t="shared" si="4"/>
        <v>6531.2</v>
      </c>
      <c r="DI18" s="274"/>
    </row>
    <row r="19" spans="1:113" s="275" customFormat="1" ht="24.75" customHeight="1" x14ac:dyDescent="0.6">
      <c r="A19" s="268">
        <v>15</v>
      </c>
      <c r="B19" s="269" t="s">
        <v>224</v>
      </c>
      <c r="C19" s="104" t="s">
        <v>225</v>
      </c>
      <c r="D19" s="100" t="s">
        <v>226</v>
      </c>
      <c r="E19" s="99" t="s">
        <v>227</v>
      </c>
      <c r="F19" s="234" t="s">
        <v>733</v>
      </c>
      <c r="G19" s="234"/>
      <c r="H19" s="234"/>
      <c r="I19" s="234"/>
      <c r="J19" s="270" t="s">
        <v>195</v>
      </c>
      <c r="K19" s="271"/>
      <c r="L19" s="271"/>
      <c r="M19" s="271"/>
      <c r="N19" s="271">
        <v>16</v>
      </c>
      <c r="O19" s="271">
        <v>268</v>
      </c>
      <c r="P19" s="271">
        <v>156</v>
      </c>
      <c r="Q19" s="271"/>
      <c r="R19" s="271"/>
      <c r="S19" s="271"/>
      <c r="T19" s="271"/>
      <c r="U19" s="271"/>
      <c r="V19" s="271"/>
      <c r="W19" s="271">
        <v>22</v>
      </c>
      <c r="X19" s="271">
        <v>302</v>
      </c>
      <c r="Y19" s="271">
        <v>246</v>
      </c>
      <c r="Z19" s="271"/>
      <c r="AA19" s="271"/>
      <c r="AB19" s="271"/>
      <c r="AC19" s="271">
        <v>27</v>
      </c>
      <c r="AD19" s="271">
        <v>344</v>
      </c>
      <c r="AE19" s="271">
        <v>293.60000000000002</v>
      </c>
      <c r="AF19" s="271"/>
      <c r="AG19" s="271"/>
      <c r="AH19" s="271"/>
      <c r="AI19" s="271"/>
      <c r="AJ19" s="271"/>
      <c r="AK19" s="271"/>
      <c r="AL19" s="271">
        <v>28</v>
      </c>
      <c r="AM19" s="271">
        <v>356</v>
      </c>
      <c r="AN19" s="271">
        <v>300.8</v>
      </c>
      <c r="AO19" s="272">
        <f t="shared" si="2"/>
        <v>93</v>
      </c>
      <c r="AP19" s="272">
        <f t="shared" si="2"/>
        <v>1270</v>
      </c>
      <c r="AQ19" s="272">
        <f t="shared" si="3"/>
        <v>996.40000000000009</v>
      </c>
      <c r="AR19" s="234"/>
      <c r="AS19" s="234"/>
      <c r="AT19" s="234"/>
      <c r="AU19" s="234"/>
      <c r="AV19" s="234"/>
      <c r="AW19" s="234"/>
      <c r="AX19" s="234">
        <v>38</v>
      </c>
      <c r="AY19" s="234">
        <v>476</v>
      </c>
      <c r="AZ19" s="234">
        <v>416</v>
      </c>
      <c r="BA19" s="234"/>
      <c r="BB19" s="234"/>
      <c r="BC19" s="234"/>
      <c r="BD19" s="234">
        <v>15</v>
      </c>
      <c r="BE19" s="234">
        <v>180</v>
      </c>
      <c r="BF19" s="234">
        <v>180</v>
      </c>
      <c r="BG19" s="234">
        <v>26</v>
      </c>
      <c r="BH19" s="234">
        <v>360</v>
      </c>
      <c r="BI19" s="234">
        <v>283.60000000000002</v>
      </c>
      <c r="BJ19" s="234">
        <v>16</v>
      </c>
      <c r="BK19" s="234">
        <v>192</v>
      </c>
      <c r="BL19" s="234">
        <v>187.2</v>
      </c>
      <c r="BM19" s="234"/>
      <c r="BN19" s="234"/>
      <c r="BO19" s="234"/>
      <c r="BP19" s="234"/>
      <c r="BQ19" s="234"/>
      <c r="BR19" s="234"/>
      <c r="BS19" s="234"/>
      <c r="BT19" s="234"/>
      <c r="BU19" s="270"/>
      <c r="BV19" s="272">
        <f t="shared" si="5"/>
        <v>188</v>
      </c>
      <c r="BW19" s="272">
        <f t="shared" si="5"/>
        <v>2478</v>
      </c>
      <c r="BX19" s="272">
        <f t="shared" si="5"/>
        <v>2063.1999999999998</v>
      </c>
      <c r="BY19" s="270">
        <v>31</v>
      </c>
      <c r="BZ19" s="270">
        <v>392</v>
      </c>
      <c r="CA19" s="270">
        <v>336.8</v>
      </c>
      <c r="CB19" s="270"/>
      <c r="CC19" s="270"/>
      <c r="CD19" s="270"/>
      <c r="CE19" s="270"/>
      <c r="CF19" s="270"/>
      <c r="CG19" s="270"/>
      <c r="CH19" s="270"/>
      <c r="CI19" s="270"/>
      <c r="CJ19" s="270"/>
      <c r="CK19" s="270"/>
      <c r="CL19" s="270"/>
      <c r="CM19" s="270"/>
      <c r="CN19" s="270">
        <v>24</v>
      </c>
      <c r="CO19" s="270">
        <v>364</v>
      </c>
      <c r="CP19" s="270">
        <v>252.00000000000003</v>
      </c>
      <c r="CQ19" s="270"/>
      <c r="CR19" s="270"/>
      <c r="CS19" s="270"/>
      <c r="CT19" s="270"/>
      <c r="CU19" s="270"/>
      <c r="CV19" s="270"/>
      <c r="CW19" s="270">
        <v>35</v>
      </c>
      <c r="CX19" s="270">
        <v>440</v>
      </c>
      <c r="CY19" s="270">
        <v>389.6</v>
      </c>
      <c r="CZ19" s="270"/>
      <c r="DA19" s="270"/>
      <c r="DB19" s="270"/>
      <c r="DC19" s="270">
        <v>15</v>
      </c>
      <c r="DD19" s="270">
        <v>200</v>
      </c>
      <c r="DE19" s="270">
        <v>149.60000000000002</v>
      </c>
      <c r="DF19" s="272">
        <f t="shared" si="1"/>
        <v>293</v>
      </c>
      <c r="DG19" s="272">
        <f t="shared" si="1"/>
        <v>3874</v>
      </c>
      <c r="DH19" s="272">
        <f t="shared" si="4"/>
        <v>3191.2</v>
      </c>
      <c r="DI19" s="274"/>
    </row>
    <row r="20" spans="1:113" s="275" customFormat="1" ht="24.75" customHeight="1" x14ac:dyDescent="0.6">
      <c r="A20" s="268">
        <v>16</v>
      </c>
      <c r="B20" s="269" t="s">
        <v>228</v>
      </c>
      <c r="C20" s="104" t="s">
        <v>229</v>
      </c>
      <c r="D20" s="100" t="s">
        <v>230</v>
      </c>
      <c r="E20" s="99" t="s">
        <v>227</v>
      </c>
      <c r="F20" s="234" t="s">
        <v>733</v>
      </c>
      <c r="G20" s="234" t="s">
        <v>768</v>
      </c>
      <c r="H20" s="234" t="s">
        <v>769</v>
      </c>
      <c r="I20" s="234" t="s">
        <v>770</v>
      </c>
      <c r="J20" s="270" t="s">
        <v>195</v>
      </c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2">
        <f t="shared" si="2"/>
        <v>0</v>
      </c>
      <c r="AP20" s="272">
        <f t="shared" si="2"/>
        <v>0</v>
      </c>
      <c r="AQ20" s="272">
        <f t="shared" si="3"/>
        <v>0</v>
      </c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>
        <v>8</v>
      </c>
      <c r="BE20" s="234">
        <v>152</v>
      </c>
      <c r="BF20" s="234">
        <v>74.8</v>
      </c>
      <c r="BG20" s="234"/>
      <c r="BH20" s="234"/>
      <c r="BI20" s="234"/>
      <c r="BJ20" s="234"/>
      <c r="BK20" s="234"/>
      <c r="BL20" s="234"/>
      <c r="BM20" s="234"/>
      <c r="BN20" s="234"/>
      <c r="BO20" s="234"/>
      <c r="BP20" s="234"/>
      <c r="BQ20" s="234"/>
      <c r="BR20" s="234"/>
      <c r="BS20" s="234"/>
      <c r="BT20" s="234"/>
      <c r="BU20" s="270"/>
      <c r="BV20" s="272">
        <f t="shared" si="5"/>
        <v>8</v>
      </c>
      <c r="BW20" s="272">
        <f t="shared" si="5"/>
        <v>152</v>
      </c>
      <c r="BX20" s="272">
        <f t="shared" si="5"/>
        <v>74.8</v>
      </c>
      <c r="BY20" s="270">
        <v>15</v>
      </c>
      <c r="BZ20" s="270">
        <v>190</v>
      </c>
      <c r="CA20" s="270">
        <v>146.80000000000001</v>
      </c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>
        <v>20</v>
      </c>
      <c r="CO20" s="270">
        <v>240</v>
      </c>
      <c r="CP20" s="270">
        <v>240</v>
      </c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>
        <v>10</v>
      </c>
      <c r="DD20" s="270">
        <v>176</v>
      </c>
      <c r="DE20" s="270">
        <v>91.6</v>
      </c>
      <c r="DF20" s="272">
        <f t="shared" si="1"/>
        <v>53</v>
      </c>
      <c r="DG20" s="272">
        <f t="shared" si="1"/>
        <v>758</v>
      </c>
      <c r="DH20" s="272">
        <f t="shared" si="4"/>
        <v>553.20000000000005</v>
      </c>
      <c r="DI20" s="274"/>
    </row>
    <row r="21" spans="1:113" s="275" customFormat="1" ht="24.75" customHeight="1" x14ac:dyDescent="0.6">
      <c r="A21" s="268">
        <v>17</v>
      </c>
      <c r="B21" s="269" t="s">
        <v>231</v>
      </c>
      <c r="C21" s="104" t="s">
        <v>232</v>
      </c>
      <c r="D21" s="100" t="s">
        <v>233</v>
      </c>
      <c r="E21" s="99" t="s">
        <v>234</v>
      </c>
      <c r="F21" s="234" t="s">
        <v>733</v>
      </c>
      <c r="G21" s="234" t="s">
        <v>771</v>
      </c>
      <c r="H21" s="234" t="s">
        <v>772</v>
      </c>
      <c r="I21" s="234" t="s">
        <v>773</v>
      </c>
      <c r="J21" s="270" t="s">
        <v>195</v>
      </c>
      <c r="K21" s="271"/>
      <c r="L21" s="271"/>
      <c r="M21" s="271"/>
      <c r="N21" s="276"/>
      <c r="O21" s="276"/>
      <c r="P21" s="276"/>
      <c r="Q21" s="271">
        <v>15</v>
      </c>
      <c r="R21" s="271">
        <v>180</v>
      </c>
      <c r="S21" s="271">
        <v>180</v>
      </c>
      <c r="T21" s="271"/>
      <c r="U21" s="271"/>
      <c r="V21" s="271"/>
      <c r="W21" s="271">
        <v>15</v>
      </c>
      <c r="X21" s="271">
        <v>600</v>
      </c>
      <c r="Y21" s="271">
        <v>210</v>
      </c>
      <c r="Z21" s="271"/>
      <c r="AA21" s="271"/>
      <c r="AB21" s="271"/>
      <c r="AC21" s="271"/>
      <c r="AD21" s="271"/>
      <c r="AE21" s="271"/>
      <c r="AF21" s="271">
        <v>30</v>
      </c>
      <c r="AG21" s="271">
        <v>360</v>
      </c>
      <c r="AH21" s="271">
        <v>360</v>
      </c>
      <c r="AI21" s="271"/>
      <c r="AJ21" s="271"/>
      <c r="AK21" s="271"/>
      <c r="AL21" s="271">
        <v>30</v>
      </c>
      <c r="AM21" s="271">
        <v>640</v>
      </c>
      <c r="AN21" s="271">
        <v>380</v>
      </c>
      <c r="AO21" s="272">
        <f t="shared" si="2"/>
        <v>90</v>
      </c>
      <c r="AP21" s="272">
        <f t="shared" si="2"/>
        <v>1780</v>
      </c>
      <c r="AQ21" s="272">
        <f t="shared" si="3"/>
        <v>1130</v>
      </c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>
        <v>30</v>
      </c>
      <c r="BE21" s="234">
        <v>360</v>
      </c>
      <c r="BF21" s="234">
        <v>360</v>
      </c>
      <c r="BG21" s="234"/>
      <c r="BH21" s="234"/>
      <c r="BI21" s="234"/>
      <c r="BJ21" s="234"/>
      <c r="BK21" s="234"/>
      <c r="BL21" s="234"/>
      <c r="BM21" s="234"/>
      <c r="BN21" s="234"/>
      <c r="BO21" s="234"/>
      <c r="BP21" s="234"/>
      <c r="BQ21" s="234"/>
      <c r="BR21" s="234"/>
      <c r="BS21" s="234">
        <v>28</v>
      </c>
      <c r="BT21" s="234">
        <v>476</v>
      </c>
      <c r="BU21" s="270">
        <v>335.2</v>
      </c>
      <c r="BV21" s="272">
        <f t="shared" si="5"/>
        <v>148</v>
      </c>
      <c r="BW21" s="272">
        <f t="shared" si="5"/>
        <v>2616</v>
      </c>
      <c r="BX21" s="272">
        <f t="shared" si="5"/>
        <v>1825.2</v>
      </c>
      <c r="BY21" s="270"/>
      <c r="BZ21" s="270"/>
      <c r="CA21" s="270"/>
      <c r="CB21" s="270"/>
      <c r="CC21" s="270"/>
      <c r="CD21" s="270"/>
      <c r="CE21" s="270">
        <v>25</v>
      </c>
      <c r="CF21" s="270">
        <v>300</v>
      </c>
      <c r="CG21" s="270">
        <v>300</v>
      </c>
      <c r="CH21" s="270">
        <v>15</v>
      </c>
      <c r="CI21" s="270">
        <v>600</v>
      </c>
      <c r="CJ21" s="270">
        <v>210</v>
      </c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>
        <v>30</v>
      </c>
      <c r="CX21" s="270">
        <v>360</v>
      </c>
      <c r="CY21" s="270">
        <v>360</v>
      </c>
      <c r="CZ21" s="270"/>
      <c r="DA21" s="270"/>
      <c r="DB21" s="270"/>
      <c r="DC21" s="270">
        <v>35</v>
      </c>
      <c r="DD21" s="270">
        <v>560</v>
      </c>
      <c r="DE21" s="270">
        <v>430</v>
      </c>
      <c r="DF21" s="272">
        <f t="shared" si="1"/>
        <v>253</v>
      </c>
      <c r="DG21" s="272">
        <f t="shared" si="1"/>
        <v>4436</v>
      </c>
      <c r="DH21" s="272">
        <f t="shared" si="4"/>
        <v>3125.2</v>
      </c>
      <c r="DI21" s="274"/>
    </row>
    <row r="22" spans="1:113" s="275" customFormat="1" ht="24.75" customHeight="1" x14ac:dyDescent="0.6">
      <c r="A22" s="268">
        <v>18</v>
      </c>
      <c r="B22" s="269" t="s">
        <v>235</v>
      </c>
      <c r="C22" s="104" t="s">
        <v>236</v>
      </c>
      <c r="D22" s="100" t="s">
        <v>176</v>
      </c>
      <c r="E22" s="99" t="s">
        <v>177</v>
      </c>
      <c r="F22" s="234" t="s">
        <v>733</v>
      </c>
      <c r="G22" s="234" t="s">
        <v>774</v>
      </c>
      <c r="H22" s="234" t="s">
        <v>775</v>
      </c>
      <c r="I22" s="234" t="s">
        <v>776</v>
      </c>
      <c r="J22" s="270" t="s">
        <v>195</v>
      </c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>
        <v>200</v>
      </c>
      <c r="AJ22" s="271">
        <v>2720</v>
      </c>
      <c r="AK22" s="271">
        <v>1859.6000000000001</v>
      </c>
      <c r="AL22" s="271"/>
      <c r="AM22" s="271"/>
      <c r="AN22" s="271"/>
      <c r="AO22" s="272">
        <f t="shared" si="2"/>
        <v>200</v>
      </c>
      <c r="AP22" s="272">
        <f t="shared" si="2"/>
        <v>2720</v>
      </c>
      <c r="AQ22" s="272">
        <f t="shared" si="3"/>
        <v>1859.6000000000001</v>
      </c>
      <c r="AR22" s="234"/>
      <c r="AS22" s="234"/>
      <c r="AT22" s="234"/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234"/>
      <c r="BT22" s="234"/>
      <c r="BU22" s="270"/>
      <c r="BV22" s="272">
        <f t="shared" si="5"/>
        <v>200</v>
      </c>
      <c r="BW22" s="272">
        <f t="shared" si="5"/>
        <v>2720</v>
      </c>
      <c r="BX22" s="272">
        <f t="shared" si="5"/>
        <v>1859.6000000000001</v>
      </c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>
        <v>100</v>
      </c>
      <c r="CU22" s="270">
        <v>1280</v>
      </c>
      <c r="CV22" s="270">
        <v>1042.4000000000001</v>
      </c>
      <c r="CW22" s="270"/>
      <c r="CX22" s="270"/>
      <c r="CY22" s="270"/>
      <c r="CZ22" s="270"/>
      <c r="DA22" s="270"/>
      <c r="DB22" s="270"/>
      <c r="DC22" s="270"/>
      <c r="DD22" s="270"/>
      <c r="DE22" s="270"/>
      <c r="DF22" s="272">
        <f t="shared" si="1"/>
        <v>300</v>
      </c>
      <c r="DG22" s="272">
        <f t="shared" si="1"/>
        <v>4000</v>
      </c>
      <c r="DH22" s="272">
        <f t="shared" si="4"/>
        <v>2902</v>
      </c>
      <c r="DI22" s="274"/>
    </row>
    <row r="23" spans="1:113" s="275" customFormat="1" ht="24.75" customHeight="1" x14ac:dyDescent="0.6">
      <c r="A23" s="268">
        <v>19</v>
      </c>
      <c r="B23" s="269" t="s">
        <v>237</v>
      </c>
      <c r="C23" s="104" t="s">
        <v>238</v>
      </c>
      <c r="D23" s="100" t="s">
        <v>94</v>
      </c>
      <c r="E23" s="99" t="s">
        <v>95</v>
      </c>
      <c r="F23" s="234" t="s">
        <v>733</v>
      </c>
      <c r="G23" s="234" t="s">
        <v>777</v>
      </c>
      <c r="H23" s="234" t="s">
        <v>778</v>
      </c>
      <c r="I23" s="234" t="s">
        <v>779</v>
      </c>
      <c r="J23" s="270" t="s">
        <v>195</v>
      </c>
      <c r="K23" s="271"/>
      <c r="L23" s="271"/>
      <c r="M23" s="271"/>
      <c r="N23" s="271">
        <v>15</v>
      </c>
      <c r="O23" s="271">
        <v>180</v>
      </c>
      <c r="P23" s="271">
        <v>172.8</v>
      </c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>
        <v>27</v>
      </c>
      <c r="AD23" s="271">
        <v>328</v>
      </c>
      <c r="AE23" s="271">
        <v>317.92</v>
      </c>
      <c r="AF23" s="271"/>
      <c r="AG23" s="271"/>
      <c r="AH23" s="271"/>
      <c r="AI23" s="271"/>
      <c r="AJ23" s="271"/>
      <c r="AK23" s="271"/>
      <c r="AL23" s="271"/>
      <c r="AM23" s="271"/>
      <c r="AN23" s="271"/>
      <c r="AO23" s="272">
        <f t="shared" si="2"/>
        <v>42</v>
      </c>
      <c r="AP23" s="272">
        <f t="shared" si="2"/>
        <v>508</v>
      </c>
      <c r="AQ23" s="272">
        <f t="shared" si="3"/>
        <v>490.72</v>
      </c>
      <c r="AR23" s="234"/>
      <c r="AS23" s="234"/>
      <c r="AT23" s="234"/>
      <c r="AU23" s="234"/>
      <c r="AV23" s="234"/>
      <c r="AW23" s="234"/>
      <c r="AX23" s="234">
        <v>46</v>
      </c>
      <c r="AY23" s="234">
        <v>560</v>
      </c>
      <c r="AZ23" s="234">
        <v>560</v>
      </c>
      <c r="BA23" s="234"/>
      <c r="BB23" s="234"/>
      <c r="BC23" s="234"/>
      <c r="BD23" s="234"/>
      <c r="BE23" s="234"/>
      <c r="BF23" s="234"/>
      <c r="BG23" s="234"/>
      <c r="BH23" s="234"/>
      <c r="BI23" s="234"/>
      <c r="BJ23" s="234"/>
      <c r="BK23" s="234"/>
      <c r="BL23" s="234"/>
      <c r="BM23" s="234"/>
      <c r="BN23" s="234"/>
      <c r="BO23" s="234"/>
      <c r="BP23" s="234"/>
      <c r="BQ23" s="234"/>
      <c r="BR23" s="234"/>
      <c r="BS23" s="234">
        <v>30</v>
      </c>
      <c r="BT23" s="234">
        <v>360</v>
      </c>
      <c r="BU23" s="270">
        <v>360</v>
      </c>
      <c r="BV23" s="272">
        <f t="shared" si="5"/>
        <v>118</v>
      </c>
      <c r="BW23" s="272">
        <f t="shared" si="5"/>
        <v>1428</v>
      </c>
      <c r="BX23" s="272">
        <f t="shared" si="5"/>
        <v>1410.72</v>
      </c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0"/>
      <c r="CQ23" s="270">
        <v>35</v>
      </c>
      <c r="CR23" s="270">
        <v>424</v>
      </c>
      <c r="CS23" s="270">
        <v>413.92</v>
      </c>
      <c r="CT23" s="270"/>
      <c r="CU23" s="270"/>
      <c r="CV23" s="270"/>
      <c r="CW23" s="270">
        <v>8</v>
      </c>
      <c r="CX23" s="270">
        <v>96</v>
      </c>
      <c r="CY23" s="270">
        <v>85.2</v>
      </c>
      <c r="CZ23" s="270"/>
      <c r="DA23" s="270"/>
      <c r="DB23" s="270"/>
      <c r="DC23" s="270"/>
      <c r="DD23" s="270"/>
      <c r="DE23" s="270"/>
      <c r="DF23" s="272">
        <f t="shared" si="1"/>
        <v>161</v>
      </c>
      <c r="DG23" s="272">
        <f t="shared" si="1"/>
        <v>1948</v>
      </c>
      <c r="DH23" s="272">
        <f t="shared" si="4"/>
        <v>1909.8400000000001</v>
      </c>
      <c r="DI23" s="274"/>
    </row>
    <row r="24" spans="1:113" s="275" customFormat="1" ht="24.75" customHeight="1" x14ac:dyDescent="0.6">
      <c r="A24" s="268">
        <v>20</v>
      </c>
      <c r="B24" s="269" t="s">
        <v>239</v>
      </c>
      <c r="C24" s="104" t="s">
        <v>240</v>
      </c>
      <c r="D24" s="100" t="s">
        <v>94</v>
      </c>
      <c r="E24" s="99" t="s">
        <v>95</v>
      </c>
      <c r="F24" s="234" t="s">
        <v>733</v>
      </c>
      <c r="G24" s="234" t="s">
        <v>780</v>
      </c>
      <c r="H24" s="234" t="s">
        <v>781</v>
      </c>
      <c r="I24" s="234" t="s">
        <v>782</v>
      </c>
      <c r="J24" s="270" t="s">
        <v>195</v>
      </c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>
        <v>105</v>
      </c>
      <c r="X24" s="271">
        <v>1400</v>
      </c>
      <c r="Y24" s="271">
        <v>1270</v>
      </c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>
        <v>105</v>
      </c>
      <c r="AM24" s="271">
        <v>1400</v>
      </c>
      <c r="AN24" s="271">
        <v>1270</v>
      </c>
      <c r="AO24" s="272">
        <f t="shared" si="2"/>
        <v>210</v>
      </c>
      <c r="AP24" s="272">
        <f t="shared" si="2"/>
        <v>2800</v>
      </c>
      <c r="AQ24" s="272">
        <f t="shared" si="3"/>
        <v>2540</v>
      </c>
      <c r="AR24" s="234"/>
      <c r="AS24" s="234"/>
      <c r="AT24" s="234"/>
      <c r="AU24" s="234"/>
      <c r="AV24" s="234"/>
      <c r="AW24" s="234"/>
      <c r="AX24" s="234">
        <v>100</v>
      </c>
      <c r="AY24" s="234">
        <v>1200</v>
      </c>
      <c r="AZ24" s="234">
        <v>1200</v>
      </c>
      <c r="BA24" s="234"/>
      <c r="BB24" s="234"/>
      <c r="BC24" s="234"/>
      <c r="BD24" s="234"/>
      <c r="BE24" s="234"/>
      <c r="BF24" s="234"/>
      <c r="BG24" s="234"/>
      <c r="BH24" s="234"/>
      <c r="BI24" s="234"/>
      <c r="BJ24" s="234"/>
      <c r="BK24" s="234"/>
      <c r="BL24" s="234"/>
      <c r="BM24" s="234"/>
      <c r="BN24" s="234"/>
      <c r="BO24" s="234"/>
      <c r="BP24" s="234"/>
      <c r="BQ24" s="234"/>
      <c r="BR24" s="234"/>
      <c r="BS24" s="234">
        <v>110</v>
      </c>
      <c r="BT24" s="234">
        <v>1320</v>
      </c>
      <c r="BU24" s="270">
        <v>1320</v>
      </c>
      <c r="BV24" s="272">
        <f t="shared" si="5"/>
        <v>420</v>
      </c>
      <c r="BW24" s="272">
        <f t="shared" si="5"/>
        <v>5320</v>
      </c>
      <c r="BX24" s="272">
        <f t="shared" si="5"/>
        <v>5060</v>
      </c>
      <c r="BY24" s="270"/>
      <c r="BZ24" s="270"/>
      <c r="CA24" s="270"/>
      <c r="CB24" s="270"/>
      <c r="CC24" s="270"/>
      <c r="CD24" s="270"/>
      <c r="CE24" s="270"/>
      <c r="CF24" s="270"/>
      <c r="CG24" s="270"/>
      <c r="CH24" s="270">
        <v>180</v>
      </c>
      <c r="CI24" s="270">
        <v>2220</v>
      </c>
      <c r="CJ24" s="270">
        <v>2068.8000000000002</v>
      </c>
      <c r="CK24" s="270"/>
      <c r="CL24" s="270"/>
      <c r="CM24" s="270"/>
      <c r="CN24" s="270"/>
      <c r="CO24" s="270"/>
      <c r="CP24" s="270"/>
      <c r="CQ24" s="270"/>
      <c r="CR24" s="270"/>
      <c r="CS24" s="270"/>
      <c r="CT24" s="270"/>
      <c r="CU24" s="270"/>
      <c r="CV24" s="270"/>
      <c r="CW24" s="270"/>
      <c r="CX24" s="270"/>
      <c r="CY24" s="270"/>
      <c r="CZ24" s="270">
        <v>100</v>
      </c>
      <c r="DA24" s="270">
        <v>1200</v>
      </c>
      <c r="DB24" s="270">
        <v>1200</v>
      </c>
      <c r="DC24" s="270"/>
      <c r="DD24" s="270"/>
      <c r="DE24" s="270"/>
      <c r="DF24" s="272">
        <f t="shared" si="1"/>
        <v>700</v>
      </c>
      <c r="DG24" s="272">
        <f t="shared" si="1"/>
        <v>8740</v>
      </c>
      <c r="DH24" s="272">
        <f t="shared" si="4"/>
        <v>8328.7999999999993</v>
      </c>
      <c r="DI24" s="274"/>
    </row>
    <row r="25" spans="1:113" s="275" customFormat="1" ht="24.75" customHeight="1" x14ac:dyDescent="0.6">
      <c r="A25" s="268">
        <v>21</v>
      </c>
      <c r="B25" s="269" t="s">
        <v>241</v>
      </c>
      <c r="C25" s="99" t="s">
        <v>242</v>
      </c>
      <c r="D25" s="100" t="s">
        <v>94</v>
      </c>
      <c r="E25" s="100" t="s">
        <v>95</v>
      </c>
      <c r="F25" s="234" t="s">
        <v>733</v>
      </c>
      <c r="G25" s="234" t="s">
        <v>783</v>
      </c>
      <c r="H25" s="234" t="s">
        <v>784</v>
      </c>
      <c r="I25" s="234" t="s">
        <v>785</v>
      </c>
      <c r="J25" s="270" t="s">
        <v>195</v>
      </c>
      <c r="K25" s="271"/>
      <c r="L25" s="271"/>
      <c r="M25" s="271"/>
      <c r="N25" s="271">
        <v>50</v>
      </c>
      <c r="O25" s="271">
        <v>700</v>
      </c>
      <c r="P25" s="271">
        <v>448</v>
      </c>
      <c r="Q25" s="271"/>
      <c r="R25" s="271"/>
      <c r="S25" s="271"/>
      <c r="T25" s="271"/>
      <c r="U25" s="271"/>
      <c r="V25" s="271"/>
      <c r="W25" s="271">
        <v>120</v>
      </c>
      <c r="X25" s="271">
        <v>1540</v>
      </c>
      <c r="Y25" s="271">
        <v>1288</v>
      </c>
      <c r="Z25" s="271">
        <v>220</v>
      </c>
      <c r="AA25" s="271">
        <v>2640</v>
      </c>
      <c r="AB25" s="271">
        <v>2640</v>
      </c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2">
        <f t="shared" si="2"/>
        <v>390</v>
      </c>
      <c r="AP25" s="272">
        <f t="shared" si="2"/>
        <v>4880</v>
      </c>
      <c r="AQ25" s="272">
        <f t="shared" si="3"/>
        <v>4376</v>
      </c>
      <c r="AR25" s="234"/>
      <c r="AS25" s="234"/>
      <c r="AT25" s="234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>
        <v>100</v>
      </c>
      <c r="BH25" s="234">
        <v>1360</v>
      </c>
      <c r="BI25" s="234">
        <v>956.80000000000007</v>
      </c>
      <c r="BJ25" s="234"/>
      <c r="BK25" s="234"/>
      <c r="BL25" s="234"/>
      <c r="BM25" s="234"/>
      <c r="BN25" s="234"/>
      <c r="BO25" s="234"/>
      <c r="BP25" s="234"/>
      <c r="BQ25" s="234"/>
      <c r="BR25" s="234"/>
      <c r="BS25" s="234"/>
      <c r="BT25" s="234"/>
      <c r="BU25" s="270"/>
      <c r="BV25" s="272">
        <f t="shared" si="5"/>
        <v>490</v>
      </c>
      <c r="BW25" s="272">
        <f t="shared" si="5"/>
        <v>6240</v>
      </c>
      <c r="BX25" s="272">
        <f t="shared" si="5"/>
        <v>5332.8</v>
      </c>
      <c r="BY25" s="270"/>
      <c r="BZ25" s="270"/>
      <c r="CA25" s="270"/>
      <c r="CB25" s="270"/>
      <c r="CC25" s="270"/>
      <c r="CD25" s="270"/>
      <c r="CE25" s="270"/>
      <c r="CF25" s="270"/>
      <c r="CG25" s="270"/>
      <c r="CH25" s="270">
        <v>70</v>
      </c>
      <c r="CI25" s="270">
        <v>840</v>
      </c>
      <c r="CJ25" s="270">
        <v>840</v>
      </c>
      <c r="CK25" s="270"/>
      <c r="CL25" s="270"/>
      <c r="CM25" s="270"/>
      <c r="CN25" s="270"/>
      <c r="CO25" s="270"/>
      <c r="CP25" s="270"/>
      <c r="CQ25" s="270"/>
      <c r="CR25" s="270"/>
      <c r="CS25" s="270"/>
      <c r="CT25" s="270"/>
      <c r="CU25" s="270"/>
      <c r="CV25" s="270"/>
      <c r="CW25" s="270"/>
      <c r="CX25" s="270"/>
      <c r="CY25" s="270"/>
      <c r="CZ25" s="270"/>
      <c r="DA25" s="270"/>
      <c r="DB25" s="270"/>
      <c r="DC25" s="270"/>
      <c r="DD25" s="270"/>
      <c r="DE25" s="270"/>
      <c r="DF25" s="272">
        <f t="shared" si="1"/>
        <v>560</v>
      </c>
      <c r="DG25" s="272">
        <f t="shared" si="1"/>
        <v>7080</v>
      </c>
      <c r="DH25" s="272">
        <f t="shared" si="4"/>
        <v>6172.8</v>
      </c>
      <c r="DI25" s="274"/>
    </row>
    <row r="26" spans="1:113" s="275" customFormat="1" ht="24.75" customHeight="1" x14ac:dyDescent="0.6">
      <c r="A26" s="268">
        <v>22</v>
      </c>
      <c r="B26" s="269" t="s">
        <v>243</v>
      </c>
      <c r="C26" s="99" t="s">
        <v>244</v>
      </c>
      <c r="D26" s="100" t="s">
        <v>94</v>
      </c>
      <c r="E26" s="100" t="s">
        <v>95</v>
      </c>
      <c r="F26" s="234" t="s">
        <v>733</v>
      </c>
      <c r="G26" s="234" t="s">
        <v>786</v>
      </c>
      <c r="H26" s="234" t="s">
        <v>787</v>
      </c>
      <c r="I26" s="234" t="s">
        <v>788</v>
      </c>
      <c r="J26" s="270" t="s">
        <v>195</v>
      </c>
      <c r="K26" s="271"/>
      <c r="L26" s="271"/>
      <c r="M26" s="271"/>
      <c r="N26" s="271"/>
      <c r="O26" s="271"/>
      <c r="P26" s="271"/>
      <c r="Q26" s="276"/>
      <c r="R26" s="276"/>
      <c r="S26" s="276"/>
      <c r="T26" s="276"/>
      <c r="U26" s="276"/>
      <c r="V26" s="276"/>
      <c r="W26" s="276"/>
      <c r="X26" s="276"/>
      <c r="Y26" s="276"/>
      <c r="Z26" s="276">
        <v>430</v>
      </c>
      <c r="AA26" s="276">
        <v>5460</v>
      </c>
      <c r="AB26" s="276">
        <v>4704</v>
      </c>
      <c r="AC26" s="276"/>
      <c r="AD26" s="276"/>
      <c r="AE26" s="276"/>
      <c r="AF26" s="276"/>
      <c r="AG26" s="276"/>
      <c r="AH26" s="276"/>
      <c r="AI26" s="276">
        <v>70</v>
      </c>
      <c r="AJ26" s="276">
        <v>840</v>
      </c>
      <c r="AK26" s="276">
        <v>840</v>
      </c>
      <c r="AL26" s="276"/>
      <c r="AM26" s="276"/>
      <c r="AN26" s="276"/>
      <c r="AO26" s="272">
        <f t="shared" si="2"/>
        <v>500</v>
      </c>
      <c r="AP26" s="272">
        <f t="shared" si="2"/>
        <v>6300</v>
      </c>
      <c r="AQ26" s="272">
        <f t="shared" si="3"/>
        <v>5544</v>
      </c>
      <c r="AR26" s="253"/>
      <c r="AS26" s="253"/>
      <c r="AT26" s="253"/>
      <c r="AU26" s="253"/>
      <c r="AV26" s="253"/>
      <c r="AW26" s="253"/>
      <c r="AX26" s="253"/>
      <c r="AY26" s="253"/>
      <c r="AZ26" s="253"/>
      <c r="BA26" s="253"/>
      <c r="BB26" s="253"/>
      <c r="BC26" s="253"/>
      <c r="BD26" s="253"/>
      <c r="BE26" s="253"/>
      <c r="BF26" s="253"/>
      <c r="BG26" s="253"/>
      <c r="BH26" s="253"/>
      <c r="BI26" s="253"/>
      <c r="BJ26" s="253"/>
      <c r="BK26" s="253"/>
      <c r="BL26" s="253"/>
      <c r="BM26" s="253"/>
      <c r="BN26" s="253"/>
      <c r="BO26" s="253"/>
      <c r="BP26" s="253"/>
      <c r="BQ26" s="253"/>
      <c r="BR26" s="253"/>
      <c r="BS26" s="253">
        <v>300</v>
      </c>
      <c r="BT26" s="253">
        <v>3600</v>
      </c>
      <c r="BU26" s="253">
        <v>3600</v>
      </c>
      <c r="BV26" s="272">
        <f t="shared" si="5"/>
        <v>800</v>
      </c>
      <c r="BW26" s="272">
        <f t="shared" si="5"/>
        <v>9900</v>
      </c>
      <c r="BX26" s="272">
        <f t="shared" si="5"/>
        <v>9144</v>
      </c>
      <c r="BY26" s="253"/>
      <c r="BZ26" s="253"/>
      <c r="CA26" s="253"/>
      <c r="CB26" s="253"/>
      <c r="CC26" s="253"/>
      <c r="CD26" s="253"/>
      <c r="CE26" s="253"/>
      <c r="CF26" s="253"/>
      <c r="CG26" s="253"/>
      <c r="CH26" s="253"/>
      <c r="CI26" s="253"/>
      <c r="CJ26" s="253"/>
      <c r="CK26" s="253"/>
      <c r="CL26" s="253"/>
      <c r="CM26" s="253"/>
      <c r="CN26" s="253"/>
      <c r="CO26" s="253"/>
      <c r="CP26" s="253"/>
      <c r="CQ26" s="253"/>
      <c r="CR26" s="253"/>
      <c r="CS26" s="253"/>
      <c r="CT26" s="253"/>
      <c r="CU26" s="253"/>
      <c r="CV26" s="253"/>
      <c r="CW26" s="253"/>
      <c r="CX26" s="253"/>
      <c r="CY26" s="253"/>
      <c r="CZ26" s="253"/>
      <c r="DA26" s="253"/>
      <c r="DB26" s="253"/>
      <c r="DC26" s="253"/>
      <c r="DD26" s="253"/>
      <c r="DE26" s="253"/>
      <c r="DF26" s="272">
        <f t="shared" si="1"/>
        <v>800</v>
      </c>
      <c r="DG26" s="272">
        <f t="shared" si="1"/>
        <v>9900</v>
      </c>
      <c r="DH26" s="272">
        <f t="shared" si="4"/>
        <v>9144</v>
      </c>
      <c r="DI26" s="274"/>
    </row>
    <row r="27" spans="1:113" s="275" customFormat="1" ht="24.75" customHeight="1" x14ac:dyDescent="0.6">
      <c r="A27" s="268">
        <v>23</v>
      </c>
      <c r="B27" s="269" t="s">
        <v>245</v>
      </c>
      <c r="C27" s="104" t="s">
        <v>246</v>
      </c>
      <c r="D27" s="100" t="s">
        <v>247</v>
      </c>
      <c r="E27" s="104" t="s">
        <v>248</v>
      </c>
      <c r="F27" s="234" t="s">
        <v>733</v>
      </c>
      <c r="G27" s="234" t="s">
        <v>789</v>
      </c>
      <c r="H27" s="234" t="s">
        <v>790</v>
      </c>
      <c r="I27" s="234" t="s">
        <v>791</v>
      </c>
      <c r="J27" s="270" t="s">
        <v>195</v>
      </c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2">
        <f t="shared" si="2"/>
        <v>0</v>
      </c>
      <c r="AP27" s="272">
        <f t="shared" si="2"/>
        <v>0</v>
      </c>
      <c r="AQ27" s="272">
        <f t="shared" si="3"/>
        <v>0</v>
      </c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4"/>
      <c r="BM27" s="234"/>
      <c r="BN27" s="234"/>
      <c r="BO27" s="234"/>
      <c r="BP27" s="234"/>
      <c r="BQ27" s="234"/>
      <c r="BR27" s="234"/>
      <c r="BS27" s="234"/>
      <c r="BT27" s="234"/>
      <c r="BU27" s="270"/>
      <c r="BV27" s="272">
        <f t="shared" si="5"/>
        <v>0</v>
      </c>
      <c r="BW27" s="272">
        <f t="shared" si="5"/>
        <v>0</v>
      </c>
      <c r="BX27" s="272">
        <f t="shared" si="5"/>
        <v>0</v>
      </c>
      <c r="BY27" s="270">
        <v>100</v>
      </c>
      <c r="BZ27" s="270">
        <v>1240</v>
      </c>
      <c r="CA27" s="270">
        <v>1139.2</v>
      </c>
      <c r="CB27" s="270"/>
      <c r="CC27" s="270"/>
      <c r="CD27" s="270"/>
      <c r="CE27" s="270"/>
      <c r="CF27" s="270"/>
      <c r="CG27" s="270"/>
      <c r="CH27" s="270"/>
      <c r="CI27" s="270"/>
      <c r="CJ27" s="270"/>
      <c r="CK27" s="270"/>
      <c r="CL27" s="270"/>
      <c r="CM27" s="270"/>
      <c r="CN27" s="270"/>
      <c r="CO27" s="270"/>
      <c r="CP27" s="270"/>
      <c r="CQ27" s="270"/>
      <c r="CR27" s="270"/>
      <c r="CS27" s="270"/>
      <c r="CT27" s="270"/>
      <c r="CU27" s="270"/>
      <c r="CV27" s="270"/>
      <c r="CW27" s="270"/>
      <c r="CX27" s="270"/>
      <c r="CY27" s="270"/>
      <c r="CZ27" s="270"/>
      <c r="DA27" s="270"/>
      <c r="DB27" s="270"/>
      <c r="DC27" s="270"/>
      <c r="DD27" s="270"/>
      <c r="DE27" s="270"/>
      <c r="DF27" s="272">
        <f t="shared" si="1"/>
        <v>100</v>
      </c>
      <c r="DG27" s="272">
        <f t="shared" si="1"/>
        <v>1240</v>
      </c>
      <c r="DH27" s="272">
        <f t="shared" si="4"/>
        <v>1139.2</v>
      </c>
      <c r="DI27" s="274"/>
    </row>
    <row r="28" spans="1:113" s="275" customFormat="1" ht="24.75" customHeight="1" x14ac:dyDescent="0.6">
      <c r="A28" s="268">
        <v>24</v>
      </c>
      <c r="B28" s="269" t="s">
        <v>249</v>
      </c>
      <c r="C28" s="104" t="s">
        <v>250</v>
      </c>
      <c r="D28" s="100" t="s">
        <v>251</v>
      </c>
      <c r="E28" s="99" t="s">
        <v>252</v>
      </c>
      <c r="F28" s="234" t="s">
        <v>733</v>
      </c>
      <c r="G28" s="234" t="s">
        <v>241</v>
      </c>
      <c r="H28" s="234" t="s">
        <v>792</v>
      </c>
      <c r="I28" s="234" t="s">
        <v>793</v>
      </c>
      <c r="J28" s="270" t="s">
        <v>195</v>
      </c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2">
        <f t="shared" si="2"/>
        <v>0</v>
      </c>
      <c r="AP28" s="272">
        <f t="shared" si="2"/>
        <v>0</v>
      </c>
      <c r="AQ28" s="272">
        <f t="shared" si="3"/>
        <v>0</v>
      </c>
      <c r="AR28" s="234"/>
      <c r="AS28" s="234"/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  <c r="BM28" s="234"/>
      <c r="BN28" s="234"/>
      <c r="BO28" s="234"/>
      <c r="BP28" s="234"/>
      <c r="BQ28" s="234"/>
      <c r="BR28" s="234"/>
      <c r="BS28" s="234"/>
      <c r="BT28" s="234"/>
      <c r="BU28" s="270"/>
      <c r="BV28" s="272">
        <f t="shared" si="5"/>
        <v>0</v>
      </c>
      <c r="BW28" s="272">
        <f t="shared" si="5"/>
        <v>0</v>
      </c>
      <c r="BX28" s="272">
        <f t="shared" si="5"/>
        <v>0</v>
      </c>
      <c r="BY28" s="270"/>
      <c r="BZ28" s="270"/>
      <c r="CA28" s="270"/>
      <c r="CB28" s="270">
        <v>295</v>
      </c>
      <c r="CC28" s="270">
        <v>3880</v>
      </c>
      <c r="CD28" s="270">
        <v>3246</v>
      </c>
      <c r="CE28" s="270"/>
      <c r="CF28" s="270"/>
      <c r="CG28" s="270"/>
      <c r="CH28" s="270"/>
      <c r="CI28" s="270"/>
      <c r="CJ28" s="270"/>
      <c r="CK28" s="270"/>
      <c r="CL28" s="270"/>
      <c r="CM28" s="270"/>
      <c r="CN28" s="270"/>
      <c r="CO28" s="270"/>
      <c r="CP28" s="270"/>
      <c r="CQ28" s="270"/>
      <c r="CR28" s="270"/>
      <c r="CS28" s="270"/>
      <c r="CT28" s="270"/>
      <c r="CU28" s="270"/>
      <c r="CV28" s="270"/>
      <c r="CW28" s="270"/>
      <c r="CX28" s="270"/>
      <c r="CY28" s="270"/>
      <c r="CZ28" s="270"/>
      <c r="DA28" s="270"/>
      <c r="DB28" s="270"/>
      <c r="DC28" s="270"/>
      <c r="DD28" s="270"/>
      <c r="DE28" s="270"/>
      <c r="DF28" s="272">
        <f t="shared" si="1"/>
        <v>295</v>
      </c>
      <c r="DG28" s="272">
        <f t="shared" si="1"/>
        <v>3880</v>
      </c>
      <c r="DH28" s="272">
        <f t="shared" si="4"/>
        <v>3246</v>
      </c>
      <c r="DI28" s="274"/>
    </row>
    <row r="29" spans="1:113" s="275" customFormat="1" ht="24.75" customHeight="1" x14ac:dyDescent="0.6">
      <c r="A29" s="268">
        <v>25</v>
      </c>
      <c r="B29" s="269" t="s">
        <v>253</v>
      </c>
      <c r="C29" s="104" t="s">
        <v>254</v>
      </c>
      <c r="D29" s="100" t="s">
        <v>255</v>
      </c>
      <c r="E29" s="99" t="s">
        <v>256</v>
      </c>
      <c r="F29" s="234" t="s">
        <v>733</v>
      </c>
      <c r="G29" s="234" t="s">
        <v>794</v>
      </c>
      <c r="H29" s="234" t="s">
        <v>795</v>
      </c>
      <c r="I29" s="234" t="s">
        <v>796</v>
      </c>
      <c r="J29" s="270" t="s">
        <v>195</v>
      </c>
      <c r="K29" s="271"/>
      <c r="L29" s="271"/>
      <c r="M29" s="271"/>
      <c r="N29" s="271"/>
      <c r="O29" s="271"/>
      <c r="P29" s="271"/>
      <c r="Q29" s="271">
        <v>30</v>
      </c>
      <c r="R29" s="271">
        <v>360</v>
      </c>
      <c r="S29" s="271">
        <v>360</v>
      </c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>
        <v>50</v>
      </c>
      <c r="AM29" s="271">
        <v>600</v>
      </c>
      <c r="AN29" s="271">
        <v>600</v>
      </c>
      <c r="AO29" s="272">
        <f t="shared" si="2"/>
        <v>80</v>
      </c>
      <c r="AP29" s="272">
        <f t="shared" si="2"/>
        <v>960</v>
      </c>
      <c r="AQ29" s="272">
        <f t="shared" si="3"/>
        <v>960</v>
      </c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70"/>
      <c r="BV29" s="272">
        <f t="shared" si="5"/>
        <v>80</v>
      </c>
      <c r="BW29" s="272">
        <f t="shared" si="5"/>
        <v>960</v>
      </c>
      <c r="BX29" s="272">
        <f t="shared" si="5"/>
        <v>960</v>
      </c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0"/>
      <c r="CQ29" s="270"/>
      <c r="CR29" s="270"/>
      <c r="CS29" s="270"/>
      <c r="CT29" s="270"/>
      <c r="CU29" s="270"/>
      <c r="CV29" s="270"/>
      <c r="CW29" s="270">
        <v>60</v>
      </c>
      <c r="CX29" s="270">
        <v>720</v>
      </c>
      <c r="CY29" s="270">
        <v>720</v>
      </c>
      <c r="CZ29" s="270"/>
      <c r="DA29" s="270"/>
      <c r="DB29" s="270"/>
      <c r="DC29" s="270"/>
      <c r="DD29" s="270"/>
      <c r="DE29" s="270"/>
      <c r="DF29" s="272">
        <f t="shared" si="1"/>
        <v>140</v>
      </c>
      <c r="DG29" s="272">
        <f t="shared" si="1"/>
        <v>1680</v>
      </c>
      <c r="DH29" s="272">
        <f t="shared" si="4"/>
        <v>1680</v>
      </c>
      <c r="DI29" s="274"/>
    </row>
    <row r="30" spans="1:113" s="275" customFormat="1" ht="24.75" customHeight="1" x14ac:dyDescent="0.6">
      <c r="A30" s="268">
        <v>26</v>
      </c>
      <c r="B30" s="269" t="s">
        <v>257</v>
      </c>
      <c r="C30" s="99" t="s">
        <v>258</v>
      </c>
      <c r="D30" s="99" t="s">
        <v>141</v>
      </c>
      <c r="E30" s="104" t="s">
        <v>142</v>
      </c>
      <c r="F30" s="234" t="s">
        <v>733</v>
      </c>
      <c r="G30" s="234" t="s">
        <v>797</v>
      </c>
      <c r="H30" s="234" t="s">
        <v>798</v>
      </c>
      <c r="I30" s="234" t="s">
        <v>799</v>
      </c>
      <c r="J30" s="270" t="s">
        <v>195</v>
      </c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2">
        <f t="shared" si="2"/>
        <v>0</v>
      </c>
      <c r="AP30" s="272">
        <f t="shared" si="2"/>
        <v>0</v>
      </c>
      <c r="AQ30" s="272">
        <f t="shared" si="3"/>
        <v>0</v>
      </c>
      <c r="AR30" s="234"/>
      <c r="AS30" s="234"/>
      <c r="AT30" s="234"/>
      <c r="AU30" s="234"/>
      <c r="AV30" s="234"/>
      <c r="AW30" s="234"/>
      <c r="AX30" s="234">
        <v>250</v>
      </c>
      <c r="AY30" s="234">
        <v>4460</v>
      </c>
      <c r="AZ30" s="234">
        <v>2822.8</v>
      </c>
      <c r="BA30" s="234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4"/>
      <c r="BU30" s="270"/>
      <c r="BV30" s="272">
        <f t="shared" si="5"/>
        <v>250</v>
      </c>
      <c r="BW30" s="272">
        <f t="shared" si="5"/>
        <v>4460</v>
      </c>
      <c r="BX30" s="272">
        <f t="shared" si="5"/>
        <v>2822.8</v>
      </c>
      <c r="BY30" s="270"/>
      <c r="BZ30" s="270"/>
      <c r="CA30" s="270"/>
      <c r="CB30" s="270"/>
      <c r="CC30" s="270"/>
      <c r="CD30" s="270"/>
      <c r="CE30" s="270"/>
      <c r="CF30" s="270"/>
      <c r="CG30" s="270"/>
      <c r="CH30" s="270"/>
      <c r="CI30" s="270"/>
      <c r="CJ30" s="270"/>
      <c r="CK30" s="270"/>
      <c r="CL30" s="270"/>
      <c r="CM30" s="270"/>
      <c r="CN30" s="270"/>
      <c r="CO30" s="270"/>
      <c r="CP30" s="270"/>
      <c r="CQ30" s="270">
        <v>265</v>
      </c>
      <c r="CR30" s="270">
        <v>4580</v>
      </c>
      <c r="CS30" s="270">
        <v>3118</v>
      </c>
      <c r="CT30" s="270"/>
      <c r="CU30" s="270"/>
      <c r="CV30" s="270"/>
      <c r="CW30" s="270"/>
      <c r="CX30" s="270"/>
      <c r="CY30" s="270"/>
      <c r="CZ30" s="270"/>
      <c r="DA30" s="270"/>
      <c r="DB30" s="270"/>
      <c r="DC30" s="270"/>
      <c r="DD30" s="270"/>
      <c r="DE30" s="270"/>
      <c r="DF30" s="272">
        <f t="shared" si="1"/>
        <v>515</v>
      </c>
      <c r="DG30" s="272">
        <f t="shared" si="1"/>
        <v>9040</v>
      </c>
      <c r="DH30" s="272">
        <f t="shared" si="4"/>
        <v>5940.8</v>
      </c>
      <c r="DI30" s="274"/>
    </row>
    <row r="31" spans="1:113" s="275" customFormat="1" ht="24.75" customHeight="1" x14ac:dyDescent="0.6">
      <c r="A31" s="268">
        <v>27</v>
      </c>
      <c r="B31" s="269" t="s">
        <v>259</v>
      </c>
      <c r="C31" s="142" t="s">
        <v>260</v>
      </c>
      <c r="D31" s="100" t="s">
        <v>168</v>
      </c>
      <c r="E31" s="105" t="s">
        <v>169</v>
      </c>
      <c r="F31" s="234" t="s">
        <v>733</v>
      </c>
      <c r="G31" s="234" t="s">
        <v>800</v>
      </c>
      <c r="H31" s="234" t="s">
        <v>801</v>
      </c>
      <c r="I31" s="234" t="s">
        <v>802</v>
      </c>
      <c r="J31" s="270" t="s">
        <v>195</v>
      </c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>
        <v>30</v>
      </c>
      <c r="AM31" s="271">
        <v>360</v>
      </c>
      <c r="AN31" s="271">
        <v>360</v>
      </c>
      <c r="AO31" s="272">
        <f t="shared" si="2"/>
        <v>30</v>
      </c>
      <c r="AP31" s="272">
        <f t="shared" si="2"/>
        <v>360</v>
      </c>
      <c r="AQ31" s="272">
        <f t="shared" si="3"/>
        <v>360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4">
        <v>50</v>
      </c>
      <c r="BK31" s="234">
        <v>900</v>
      </c>
      <c r="BL31" s="234">
        <v>589.6</v>
      </c>
      <c r="BM31" s="234"/>
      <c r="BN31" s="234"/>
      <c r="BO31" s="234"/>
      <c r="BP31" s="234"/>
      <c r="BQ31" s="234"/>
      <c r="BR31" s="234"/>
      <c r="BS31" s="234"/>
      <c r="BT31" s="234"/>
      <c r="BU31" s="270"/>
      <c r="BV31" s="272">
        <f t="shared" si="5"/>
        <v>80</v>
      </c>
      <c r="BW31" s="272">
        <f t="shared" si="5"/>
        <v>1260</v>
      </c>
      <c r="BX31" s="272">
        <f t="shared" si="5"/>
        <v>949.6</v>
      </c>
      <c r="BY31" s="270"/>
      <c r="BZ31" s="270"/>
      <c r="CA31" s="270"/>
      <c r="CB31" s="270"/>
      <c r="CC31" s="270"/>
      <c r="CD31" s="270"/>
      <c r="CE31" s="270"/>
      <c r="CF31" s="270"/>
      <c r="CG31" s="270"/>
      <c r="CH31" s="270"/>
      <c r="CI31" s="270"/>
      <c r="CJ31" s="270"/>
      <c r="CK31" s="270"/>
      <c r="CL31" s="270"/>
      <c r="CM31" s="270"/>
      <c r="CN31" s="270"/>
      <c r="CO31" s="270"/>
      <c r="CP31" s="270"/>
      <c r="CQ31" s="270"/>
      <c r="CR31" s="270"/>
      <c r="CS31" s="270"/>
      <c r="CT31" s="270"/>
      <c r="CU31" s="270"/>
      <c r="CV31" s="270"/>
      <c r="CW31" s="270"/>
      <c r="CX31" s="270"/>
      <c r="CY31" s="270"/>
      <c r="CZ31" s="270"/>
      <c r="DA31" s="270"/>
      <c r="DB31" s="270"/>
      <c r="DC31" s="270"/>
      <c r="DD31" s="270"/>
      <c r="DE31" s="270"/>
      <c r="DF31" s="272">
        <f t="shared" si="1"/>
        <v>80</v>
      </c>
      <c r="DG31" s="272">
        <f t="shared" si="1"/>
        <v>1260</v>
      </c>
      <c r="DH31" s="272">
        <f t="shared" si="4"/>
        <v>949.6</v>
      </c>
      <c r="DI31" s="274"/>
    </row>
    <row r="32" spans="1:113" s="275" customFormat="1" ht="24.75" customHeight="1" x14ac:dyDescent="0.6">
      <c r="A32" s="268">
        <v>28</v>
      </c>
      <c r="B32" s="269" t="s">
        <v>261</v>
      </c>
      <c r="C32" s="143" t="s">
        <v>262</v>
      </c>
      <c r="D32" s="99" t="s">
        <v>263</v>
      </c>
      <c r="E32" s="105" t="s">
        <v>264</v>
      </c>
      <c r="F32" s="234" t="s">
        <v>733</v>
      </c>
      <c r="G32" s="234" t="s">
        <v>803</v>
      </c>
      <c r="H32" s="234" t="s">
        <v>804</v>
      </c>
      <c r="I32" s="234" t="s">
        <v>805</v>
      </c>
      <c r="J32" s="270" t="s">
        <v>195</v>
      </c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2">
        <f t="shared" si="2"/>
        <v>0</v>
      </c>
      <c r="AP32" s="272">
        <f t="shared" si="2"/>
        <v>0</v>
      </c>
      <c r="AQ32" s="272">
        <f t="shared" si="3"/>
        <v>0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70"/>
      <c r="BV32" s="272">
        <f t="shared" si="5"/>
        <v>0</v>
      </c>
      <c r="BW32" s="272">
        <f t="shared" si="5"/>
        <v>0</v>
      </c>
      <c r="BX32" s="272">
        <f t="shared" si="5"/>
        <v>0</v>
      </c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0"/>
      <c r="CQ32" s="270"/>
      <c r="CR32" s="27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0"/>
      <c r="DD32" s="270"/>
      <c r="DE32" s="270"/>
      <c r="DF32" s="272">
        <f t="shared" si="1"/>
        <v>0</v>
      </c>
      <c r="DG32" s="272">
        <f t="shared" si="1"/>
        <v>0</v>
      </c>
      <c r="DH32" s="272">
        <f t="shared" si="4"/>
        <v>0</v>
      </c>
      <c r="DI32" s="274"/>
    </row>
    <row r="33" spans="1:113" s="275" customFormat="1" ht="24.75" customHeight="1" x14ac:dyDescent="0.6">
      <c r="A33" s="268">
        <v>29</v>
      </c>
      <c r="B33" s="269" t="s">
        <v>265</v>
      </c>
      <c r="C33" s="143" t="s">
        <v>266</v>
      </c>
      <c r="D33" s="99" t="s">
        <v>94</v>
      </c>
      <c r="E33" s="105" t="s">
        <v>95</v>
      </c>
      <c r="F33" s="234" t="s">
        <v>733</v>
      </c>
      <c r="G33" s="234" t="s">
        <v>564</v>
      </c>
      <c r="H33" s="234" t="s">
        <v>565</v>
      </c>
      <c r="I33" s="234" t="s">
        <v>806</v>
      </c>
      <c r="J33" s="270" t="s">
        <v>195</v>
      </c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2">
        <f t="shared" si="2"/>
        <v>0</v>
      </c>
      <c r="AP33" s="272">
        <f t="shared" si="2"/>
        <v>0</v>
      </c>
      <c r="AQ33" s="272">
        <f t="shared" si="3"/>
        <v>0</v>
      </c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4"/>
      <c r="BM33" s="234"/>
      <c r="BN33" s="234"/>
      <c r="BO33" s="234"/>
      <c r="BP33" s="234"/>
      <c r="BQ33" s="234"/>
      <c r="BR33" s="234"/>
      <c r="BS33" s="234"/>
      <c r="BT33" s="234"/>
      <c r="BU33" s="270"/>
      <c r="BV33" s="272">
        <f t="shared" si="5"/>
        <v>0</v>
      </c>
      <c r="BW33" s="272">
        <f t="shared" si="5"/>
        <v>0</v>
      </c>
      <c r="BX33" s="272">
        <f t="shared" si="5"/>
        <v>0</v>
      </c>
      <c r="BY33" s="270"/>
      <c r="BZ33" s="270"/>
      <c r="CA33" s="270"/>
      <c r="CB33" s="270"/>
      <c r="CC33" s="270"/>
      <c r="CD33" s="270"/>
      <c r="CE33" s="270"/>
      <c r="CF33" s="270"/>
      <c r="CG33" s="270"/>
      <c r="CH33" s="270"/>
      <c r="CI33" s="270"/>
      <c r="CJ33" s="270"/>
      <c r="CK33" s="270"/>
      <c r="CL33" s="270"/>
      <c r="CM33" s="270"/>
      <c r="CN33" s="270"/>
      <c r="CO33" s="270"/>
      <c r="CP33" s="270"/>
      <c r="CQ33" s="270"/>
      <c r="CR33" s="270"/>
      <c r="CS33" s="270"/>
      <c r="CT33" s="270"/>
      <c r="CU33" s="270"/>
      <c r="CV33" s="270"/>
      <c r="CW33" s="270"/>
      <c r="CX33" s="270"/>
      <c r="CY33" s="270"/>
      <c r="CZ33" s="270"/>
      <c r="DA33" s="270"/>
      <c r="DB33" s="270"/>
      <c r="DC33" s="270">
        <v>50</v>
      </c>
      <c r="DD33" s="270">
        <v>700</v>
      </c>
      <c r="DE33" s="270">
        <v>448</v>
      </c>
      <c r="DF33" s="272">
        <f t="shared" si="1"/>
        <v>50</v>
      </c>
      <c r="DG33" s="272">
        <f t="shared" si="1"/>
        <v>700</v>
      </c>
      <c r="DH33" s="272">
        <f t="shared" si="4"/>
        <v>448</v>
      </c>
      <c r="DI33" s="274"/>
    </row>
    <row r="34" spans="1:113" s="275" customFormat="1" ht="24.75" customHeight="1" x14ac:dyDescent="0.6">
      <c r="A34" s="268">
        <v>30</v>
      </c>
      <c r="B34" s="269" t="s">
        <v>257</v>
      </c>
      <c r="C34" s="99" t="s">
        <v>267</v>
      </c>
      <c r="D34" s="100" t="s">
        <v>268</v>
      </c>
      <c r="E34" s="100" t="s">
        <v>269</v>
      </c>
      <c r="F34" s="234" t="s">
        <v>733</v>
      </c>
      <c r="G34" s="234" t="s">
        <v>807</v>
      </c>
      <c r="H34" s="234" t="s">
        <v>808</v>
      </c>
      <c r="I34" s="234" t="s">
        <v>809</v>
      </c>
      <c r="J34" s="270" t="s">
        <v>195</v>
      </c>
      <c r="K34" s="271"/>
      <c r="L34" s="271"/>
      <c r="M34" s="271"/>
      <c r="N34" s="271"/>
      <c r="O34" s="271"/>
      <c r="P34" s="271"/>
      <c r="Q34" s="271">
        <v>15</v>
      </c>
      <c r="R34" s="271">
        <v>180</v>
      </c>
      <c r="S34" s="271">
        <v>180</v>
      </c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2">
        <f t="shared" si="2"/>
        <v>15</v>
      </c>
      <c r="AP34" s="272">
        <f t="shared" si="2"/>
        <v>180</v>
      </c>
      <c r="AQ34" s="272">
        <f t="shared" si="3"/>
        <v>180</v>
      </c>
      <c r="AR34" s="234"/>
      <c r="AS34" s="234"/>
      <c r="AT34" s="234"/>
      <c r="AU34" s="234"/>
      <c r="AV34" s="234"/>
      <c r="AW34" s="234"/>
      <c r="AX34" s="234">
        <v>30</v>
      </c>
      <c r="AY34" s="234">
        <v>780</v>
      </c>
      <c r="AZ34" s="234">
        <v>390</v>
      </c>
      <c r="BA34" s="234"/>
      <c r="BB34" s="234"/>
      <c r="BC34" s="234"/>
      <c r="BD34" s="234"/>
      <c r="BE34" s="234"/>
      <c r="BF34" s="234"/>
      <c r="BG34" s="234"/>
      <c r="BH34" s="234"/>
      <c r="BI34" s="234"/>
      <c r="BJ34" s="234"/>
      <c r="BK34" s="234"/>
      <c r="BL34" s="234"/>
      <c r="BM34" s="234"/>
      <c r="BN34" s="234"/>
      <c r="BO34" s="234"/>
      <c r="BP34" s="234"/>
      <c r="BQ34" s="234"/>
      <c r="BR34" s="234"/>
      <c r="BS34" s="234"/>
      <c r="BT34" s="234"/>
      <c r="BU34" s="270"/>
      <c r="BV34" s="272">
        <f t="shared" si="5"/>
        <v>45</v>
      </c>
      <c r="BW34" s="272">
        <f t="shared" si="5"/>
        <v>960</v>
      </c>
      <c r="BX34" s="272">
        <f t="shared" si="5"/>
        <v>570</v>
      </c>
      <c r="BY34" s="270">
        <v>15</v>
      </c>
      <c r="BZ34" s="270">
        <v>180</v>
      </c>
      <c r="CA34" s="270">
        <v>180</v>
      </c>
      <c r="CB34" s="270"/>
      <c r="CC34" s="270"/>
      <c r="CD34" s="270"/>
      <c r="CE34" s="270"/>
      <c r="CF34" s="270"/>
      <c r="CG34" s="270"/>
      <c r="CH34" s="270"/>
      <c r="CI34" s="270"/>
      <c r="CJ34" s="270"/>
      <c r="CK34" s="270"/>
      <c r="CL34" s="270"/>
      <c r="CM34" s="270"/>
      <c r="CN34" s="270"/>
      <c r="CO34" s="270"/>
      <c r="CP34" s="270"/>
      <c r="CQ34" s="270">
        <v>15</v>
      </c>
      <c r="CR34" s="270">
        <v>180</v>
      </c>
      <c r="CS34" s="270">
        <v>180</v>
      </c>
      <c r="CT34" s="270"/>
      <c r="CU34" s="270"/>
      <c r="CV34" s="270"/>
      <c r="CW34" s="270"/>
      <c r="CX34" s="270"/>
      <c r="CY34" s="270"/>
      <c r="CZ34" s="270"/>
      <c r="DA34" s="270"/>
      <c r="DB34" s="270"/>
      <c r="DC34" s="270"/>
      <c r="DD34" s="270"/>
      <c r="DE34" s="270"/>
      <c r="DF34" s="272">
        <f t="shared" si="1"/>
        <v>75</v>
      </c>
      <c r="DG34" s="272">
        <f t="shared" si="1"/>
        <v>1320</v>
      </c>
      <c r="DH34" s="272">
        <f t="shared" si="4"/>
        <v>930</v>
      </c>
      <c r="DI34" s="274"/>
    </row>
    <row r="35" spans="1:113" s="275" customFormat="1" ht="24.75" customHeight="1" x14ac:dyDescent="0.6">
      <c r="A35" s="268">
        <v>31</v>
      </c>
      <c r="B35" s="269" t="s">
        <v>270</v>
      </c>
      <c r="C35" s="143" t="s">
        <v>271</v>
      </c>
      <c r="D35" s="105" t="s">
        <v>272</v>
      </c>
      <c r="E35" s="105" t="s">
        <v>273</v>
      </c>
      <c r="F35" s="234" t="s">
        <v>733</v>
      </c>
      <c r="G35" s="234" t="s">
        <v>810</v>
      </c>
      <c r="H35" s="234" t="s">
        <v>811</v>
      </c>
      <c r="I35" s="234" t="s">
        <v>812</v>
      </c>
      <c r="J35" s="270" t="s">
        <v>195</v>
      </c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>
        <v>100</v>
      </c>
      <c r="AD35" s="271">
        <v>1300</v>
      </c>
      <c r="AE35" s="271">
        <v>1048</v>
      </c>
      <c r="AF35" s="271"/>
      <c r="AG35" s="271"/>
      <c r="AH35" s="271"/>
      <c r="AI35" s="271"/>
      <c r="AJ35" s="271"/>
      <c r="AK35" s="271"/>
      <c r="AL35" s="271"/>
      <c r="AM35" s="271"/>
      <c r="AN35" s="271"/>
      <c r="AO35" s="272">
        <f t="shared" si="2"/>
        <v>100</v>
      </c>
      <c r="AP35" s="272">
        <f t="shared" si="2"/>
        <v>1300</v>
      </c>
      <c r="AQ35" s="272">
        <f t="shared" si="3"/>
        <v>1048</v>
      </c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70"/>
      <c r="BV35" s="272">
        <f t="shared" si="5"/>
        <v>100</v>
      </c>
      <c r="BW35" s="272">
        <f t="shared" si="5"/>
        <v>1300</v>
      </c>
      <c r="BX35" s="272">
        <f t="shared" si="5"/>
        <v>1048</v>
      </c>
      <c r="BY35" s="270">
        <v>53</v>
      </c>
      <c r="BZ35" s="270">
        <v>636</v>
      </c>
      <c r="CA35" s="270">
        <v>625.20000000000005</v>
      </c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0"/>
      <c r="CQ35" s="270"/>
      <c r="CR35" s="270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0"/>
      <c r="DD35" s="270"/>
      <c r="DE35" s="270"/>
      <c r="DF35" s="272">
        <f t="shared" si="1"/>
        <v>153</v>
      </c>
      <c r="DG35" s="272">
        <f t="shared" si="1"/>
        <v>1936</v>
      </c>
      <c r="DH35" s="272">
        <f t="shared" si="4"/>
        <v>1673.2</v>
      </c>
      <c r="DI35" s="274"/>
    </row>
    <row r="36" spans="1:113" s="275" customFormat="1" ht="24.75" customHeight="1" x14ac:dyDescent="0.6">
      <c r="A36" s="268">
        <v>32</v>
      </c>
      <c r="B36" s="269" t="s">
        <v>274</v>
      </c>
      <c r="C36" s="143" t="s">
        <v>274</v>
      </c>
      <c r="D36" s="105" t="s">
        <v>272</v>
      </c>
      <c r="E36" s="105" t="s">
        <v>273</v>
      </c>
      <c r="F36" s="234" t="s">
        <v>733</v>
      </c>
      <c r="G36" s="234"/>
      <c r="H36" s="234"/>
      <c r="I36" s="234" t="s">
        <v>813</v>
      </c>
      <c r="J36" s="270" t="s">
        <v>195</v>
      </c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>
        <v>25</v>
      </c>
      <c r="AD36" s="271">
        <v>300</v>
      </c>
      <c r="AE36" s="271">
        <v>210</v>
      </c>
      <c r="AF36" s="271"/>
      <c r="AG36" s="271"/>
      <c r="AH36" s="271"/>
      <c r="AI36" s="271"/>
      <c r="AJ36" s="271"/>
      <c r="AK36" s="271"/>
      <c r="AL36" s="271"/>
      <c r="AM36" s="271"/>
      <c r="AN36" s="271"/>
      <c r="AO36" s="272">
        <f t="shared" si="2"/>
        <v>25</v>
      </c>
      <c r="AP36" s="272">
        <f t="shared" si="2"/>
        <v>300</v>
      </c>
      <c r="AQ36" s="272">
        <f t="shared" si="3"/>
        <v>210</v>
      </c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/>
      <c r="BQ36" s="234"/>
      <c r="BR36" s="234"/>
      <c r="BS36" s="234"/>
      <c r="BT36" s="234"/>
      <c r="BU36" s="270"/>
      <c r="BV36" s="272">
        <f t="shared" si="5"/>
        <v>25</v>
      </c>
      <c r="BW36" s="272">
        <f t="shared" si="5"/>
        <v>300</v>
      </c>
      <c r="BX36" s="272">
        <f t="shared" si="5"/>
        <v>210</v>
      </c>
      <c r="BY36" s="270">
        <v>110</v>
      </c>
      <c r="BZ36" s="270">
        <v>1480</v>
      </c>
      <c r="CA36" s="270">
        <v>1076.8</v>
      </c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>
        <v>150</v>
      </c>
      <c r="CX36" s="270">
        <v>2000</v>
      </c>
      <c r="CY36" s="270">
        <v>1496</v>
      </c>
      <c r="CZ36" s="270"/>
      <c r="DA36" s="270"/>
      <c r="DB36" s="270"/>
      <c r="DC36" s="270"/>
      <c r="DD36" s="270"/>
      <c r="DE36" s="270"/>
      <c r="DF36" s="272">
        <f t="shared" si="1"/>
        <v>285</v>
      </c>
      <c r="DG36" s="272">
        <f t="shared" si="1"/>
        <v>3780</v>
      </c>
      <c r="DH36" s="272">
        <f t="shared" si="4"/>
        <v>2782.8</v>
      </c>
      <c r="DI36" s="274"/>
    </row>
    <row r="37" spans="1:113" s="275" customFormat="1" ht="24.75" customHeight="1" x14ac:dyDescent="0.6">
      <c r="A37" s="268">
        <v>33</v>
      </c>
      <c r="B37" s="269" t="s">
        <v>275</v>
      </c>
      <c r="C37" s="143" t="s">
        <v>276</v>
      </c>
      <c r="D37" s="105" t="s">
        <v>277</v>
      </c>
      <c r="E37" s="105"/>
      <c r="F37" s="234" t="s">
        <v>733</v>
      </c>
      <c r="G37" s="234"/>
      <c r="H37" s="234"/>
      <c r="I37" s="234" t="s">
        <v>814</v>
      </c>
      <c r="J37" s="270" t="s">
        <v>195</v>
      </c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2">
        <f t="shared" si="2"/>
        <v>0</v>
      </c>
      <c r="AP37" s="272">
        <f t="shared" si="2"/>
        <v>0</v>
      </c>
      <c r="AQ37" s="272">
        <f t="shared" si="3"/>
        <v>0</v>
      </c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/>
      <c r="BJ37" s="234"/>
      <c r="BK37" s="234"/>
      <c r="BL37" s="234"/>
      <c r="BM37" s="234"/>
      <c r="BN37" s="234"/>
      <c r="BO37" s="234"/>
      <c r="BP37" s="234">
        <v>100</v>
      </c>
      <c r="BQ37" s="234">
        <v>1200</v>
      </c>
      <c r="BR37" s="234">
        <v>1020</v>
      </c>
      <c r="BS37" s="234"/>
      <c r="BT37" s="234"/>
      <c r="BU37" s="270"/>
      <c r="BV37" s="272">
        <f t="shared" si="5"/>
        <v>100</v>
      </c>
      <c r="BW37" s="272">
        <f t="shared" si="5"/>
        <v>1200</v>
      </c>
      <c r="BX37" s="272">
        <f t="shared" si="5"/>
        <v>1020</v>
      </c>
      <c r="BY37" s="270"/>
      <c r="BZ37" s="270"/>
      <c r="CA37" s="270"/>
      <c r="CB37" s="270"/>
      <c r="CC37" s="270"/>
      <c r="CD37" s="270"/>
      <c r="CE37" s="270"/>
      <c r="CF37" s="270"/>
      <c r="CG37" s="270"/>
      <c r="CH37" s="270"/>
      <c r="CI37" s="270"/>
      <c r="CJ37" s="270"/>
      <c r="CK37" s="270"/>
      <c r="CL37" s="270"/>
      <c r="CM37" s="270"/>
      <c r="CN37" s="270"/>
      <c r="CO37" s="270"/>
      <c r="CP37" s="270"/>
      <c r="CQ37" s="270">
        <v>100</v>
      </c>
      <c r="CR37" s="270">
        <v>1200</v>
      </c>
      <c r="CS37" s="270">
        <v>1200</v>
      </c>
      <c r="CT37" s="270"/>
      <c r="CU37" s="270"/>
      <c r="CV37" s="270"/>
      <c r="CW37" s="270"/>
      <c r="CX37" s="270"/>
      <c r="CY37" s="270"/>
      <c r="CZ37" s="270"/>
      <c r="DA37" s="270"/>
      <c r="DB37" s="270"/>
      <c r="DC37" s="270"/>
      <c r="DD37" s="270"/>
      <c r="DE37" s="270"/>
      <c r="DF37" s="272">
        <f t="shared" si="1"/>
        <v>200</v>
      </c>
      <c r="DG37" s="272">
        <f t="shared" si="1"/>
        <v>2400</v>
      </c>
      <c r="DH37" s="272">
        <f t="shared" si="4"/>
        <v>2220</v>
      </c>
      <c r="DI37" s="274"/>
    </row>
    <row r="38" spans="1:113" s="275" customFormat="1" ht="24.75" customHeight="1" x14ac:dyDescent="0.6">
      <c r="A38" s="268">
        <v>34</v>
      </c>
      <c r="B38" s="269" t="s">
        <v>278</v>
      </c>
      <c r="C38" s="143" t="s">
        <v>279</v>
      </c>
      <c r="D38" s="105" t="s">
        <v>272</v>
      </c>
      <c r="E38" s="105" t="s">
        <v>273</v>
      </c>
      <c r="F38" s="234" t="s">
        <v>733</v>
      </c>
      <c r="G38" s="234" t="s">
        <v>815</v>
      </c>
      <c r="H38" s="234"/>
      <c r="I38" s="234" t="s">
        <v>816</v>
      </c>
      <c r="J38" s="270" t="s">
        <v>195</v>
      </c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>
        <v>200</v>
      </c>
      <c r="AD38" s="271">
        <v>2600</v>
      </c>
      <c r="AE38" s="271">
        <v>2096</v>
      </c>
      <c r="AF38" s="271"/>
      <c r="AG38" s="271"/>
      <c r="AH38" s="271"/>
      <c r="AI38" s="271"/>
      <c r="AJ38" s="271"/>
      <c r="AK38" s="271"/>
      <c r="AL38" s="271"/>
      <c r="AM38" s="271"/>
      <c r="AN38" s="271"/>
      <c r="AO38" s="272">
        <f t="shared" si="2"/>
        <v>200</v>
      </c>
      <c r="AP38" s="272">
        <f t="shared" si="2"/>
        <v>2600</v>
      </c>
      <c r="AQ38" s="272">
        <f t="shared" si="3"/>
        <v>2096</v>
      </c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  <c r="BE38" s="234"/>
      <c r="BF38" s="234"/>
      <c r="BG38" s="234"/>
      <c r="BH38" s="234"/>
      <c r="BI38" s="234"/>
      <c r="BJ38" s="234"/>
      <c r="BK38" s="234"/>
      <c r="BL38" s="234"/>
      <c r="BM38" s="234"/>
      <c r="BN38" s="234"/>
      <c r="BO38" s="234"/>
      <c r="BP38" s="234"/>
      <c r="BQ38" s="234"/>
      <c r="BR38" s="234"/>
      <c r="BS38" s="234"/>
      <c r="BT38" s="234"/>
      <c r="BU38" s="270"/>
      <c r="BV38" s="272">
        <f t="shared" si="5"/>
        <v>200</v>
      </c>
      <c r="BW38" s="272">
        <f t="shared" si="5"/>
        <v>2600</v>
      </c>
      <c r="BX38" s="272">
        <f t="shared" si="5"/>
        <v>2096</v>
      </c>
      <c r="BY38" s="270"/>
      <c r="BZ38" s="270"/>
      <c r="CA38" s="270"/>
      <c r="CB38" s="270">
        <v>150</v>
      </c>
      <c r="CC38" s="270">
        <v>1900</v>
      </c>
      <c r="CD38" s="270">
        <v>1648</v>
      </c>
      <c r="CE38" s="270"/>
      <c r="CF38" s="270"/>
      <c r="CG38" s="270"/>
      <c r="CH38" s="270"/>
      <c r="CI38" s="270"/>
      <c r="CJ38" s="270"/>
      <c r="CK38" s="270"/>
      <c r="CL38" s="270"/>
      <c r="CM38" s="270"/>
      <c r="CN38" s="270"/>
      <c r="CO38" s="270"/>
      <c r="CP38" s="270"/>
      <c r="CQ38" s="270"/>
      <c r="CR38" s="270"/>
      <c r="CS38" s="270"/>
      <c r="CT38" s="270"/>
      <c r="CU38" s="270"/>
      <c r="CV38" s="270"/>
      <c r="CW38" s="270"/>
      <c r="CX38" s="270"/>
      <c r="CY38" s="270"/>
      <c r="CZ38" s="270"/>
      <c r="DA38" s="270"/>
      <c r="DB38" s="270"/>
      <c r="DC38" s="270"/>
      <c r="DD38" s="270"/>
      <c r="DE38" s="270"/>
      <c r="DF38" s="272">
        <f t="shared" si="1"/>
        <v>350</v>
      </c>
      <c r="DG38" s="272">
        <f t="shared" si="1"/>
        <v>4500</v>
      </c>
      <c r="DH38" s="272">
        <f t="shared" si="4"/>
        <v>3744</v>
      </c>
      <c r="DI38" s="274"/>
    </row>
    <row r="39" spans="1:113" s="275" customFormat="1" ht="24.75" customHeight="1" x14ac:dyDescent="0.6">
      <c r="A39" s="268">
        <v>35</v>
      </c>
      <c r="B39" s="269" t="s">
        <v>280</v>
      </c>
      <c r="C39" s="143" t="s">
        <v>281</v>
      </c>
      <c r="D39" s="105" t="s">
        <v>272</v>
      </c>
      <c r="E39" s="105" t="s">
        <v>273</v>
      </c>
      <c r="F39" s="234" t="s">
        <v>733</v>
      </c>
      <c r="G39" s="234" t="s">
        <v>817</v>
      </c>
      <c r="H39" s="234"/>
      <c r="I39" s="234" t="s">
        <v>818</v>
      </c>
      <c r="J39" s="270" t="s">
        <v>195</v>
      </c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>
        <v>50</v>
      </c>
      <c r="AA39" s="271">
        <v>700</v>
      </c>
      <c r="AB39" s="271">
        <v>448</v>
      </c>
      <c r="AC39" s="271">
        <v>50</v>
      </c>
      <c r="AD39" s="271">
        <v>700</v>
      </c>
      <c r="AE39" s="271">
        <v>448</v>
      </c>
      <c r="AF39" s="271"/>
      <c r="AG39" s="271"/>
      <c r="AH39" s="271"/>
      <c r="AI39" s="271"/>
      <c r="AJ39" s="271"/>
      <c r="AK39" s="271"/>
      <c r="AL39" s="271"/>
      <c r="AM39" s="271"/>
      <c r="AN39" s="271"/>
      <c r="AO39" s="272">
        <f t="shared" si="2"/>
        <v>100</v>
      </c>
      <c r="AP39" s="272">
        <f t="shared" si="2"/>
        <v>1400</v>
      </c>
      <c r="AQ39" s="272">
        <f t="shared" si="3"/>
        <v>896</v>
      </c>
      <c r="AR39" s="234"/>
      <c r="AS39" s="234"/>
      <c r="AT39" s="234"/>
      <c r="AU39" s="234"/>
      <c r="AV39" s="234"/>
      <c r="AW39" s="234"/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  <c r="BP39" s="234"/>
      <c r="BQ39" s="234"/>
      <c r="BR39" s="234"/>
      <c r="BS39" s="234"/>
      <c r="BT39" s="234"/>
      <c r="BU39" s="270"/>
      <c r="BV39" s="272">
        <f t="shared" si="5"/>
        <v>100</v>
      </c>
      <c r="BW39" s="272">
        <f t="shared" si="5"/>
        <v>1400</v>
      </c>
      <c r="BX39" s="272">
        <f t="shared" si="5"/>
        <v>896</v>
      </c>
      <c r="BY39" s="270"/>
      <c r="BZ39" s="270"/>
      <c r="CA39" s="270"/>
      <c r="CB39" s="270">
        <v>130</v>
      </c>
      <c r="CC39" s="270">
        <v>1760</v>
      </c>
      <c r="CD39" s="270">
        <v>1256</v>
      </c>
      <c r="CE39" s="270"/>
      <c r="CF39" s="270"/>
      <c r="CG39" s="270"/>
      <c r="CH39" s="270"/>
      <c r="CI39" s="270"/>
      <c r="CJ39" s="270"/>
      <c r="CK39" s="270"/>
      <c r="CL39" s="270"/>
      <c r="CM39" s="270"/>
      <c r="CN39" s="270"/>
      <c r="CO39" s="270"/>
      <c r="CP39" s="270"/>
      <c r="CQ39" s="270"/>
      <c r="CR39" s="270"/>
      <c r="CS39" s="270"/>
      <c r="CT39" s="270"/>
      <c r="CU39" s="270"/>
      <c r="CV39" s="270"/>
      <c r="CW39" s="270"/>
      <c r="CX39" s="270"/>
      <c r="CY39" s="270"/>
      <c r="CZ39" s="270"/>
      <c r="DA39" s="270"/>
      <c r="DB39" s="270"/>
      <c r="DC39" s="270"/>
      <c r="DD39" s="270"/>
      <c r="DE39" s="270"/>
      <c r="DF39" s="272">
        <f t="shared" si="1"/>
        <v>230</v>
      </c>
      <c r="DG39" s="272">
        <f t="shared" si="1"/>
        <v>3160</v>
      </c>
      <c r="DH39" s="272">
        <f t="shared" si="4"/>
        <v>2152</v>
      </c>
      <c r="DI39" s="274"/>
    </row>
    <row r="40" spans="1:113" s="275" customFormat="1" ht="24.75" customHeight="1" x14ac:dyDescent="0.6">
      <c r="A40" s="268">
        <v>36</v>
      </c>
      <c r="B40" s="269" t="s">
        <v>282</v>
      </c>
      <c r="C40" s="143" t="s">
        <v>283</v>
      </c>
      <c r="D40" s="105" t="s">
        <v>284</v>
      </c>
      <c r="E40" s="105" t="s">
        <v>285</v>
      </c>
      <c r="F40" s="234" t="s">
        <v>733</v>
      </c>
      <c r="G40" s="234" t="s">
        <v>819</v>
      </c>
      <c r="H40" s="234"/>
      <c r="I40" s="234" t="s">
        <v>820</v>
      </c>
      <c r="J40" s="270" t="s">
        <v>195</v>
      </c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>
        <v>42</v>
      </c>
      <c r="AG40" s="271">
        <v>616</v>
      </c>
      <c r="AH40" s="271">
        <v>497.6</v>
      </c>
      <c r="AI40" s="271"/>
      <c r="AJ40" s="271"/>
      <c r="AK40" s="271"/>
      <c r="AL40" s="271"/>
      <c r="AM40" s="271"/>
      <c r="AN40" s="271"/>
      <c r="AO40" s="272">
        <f t="shared" si="2"/>
        <v>42</v>
      </c>
      <c r="AP40" s="272">
        <f t="shared" si="2"/>
        <v>616</v>
      </c>
      <c r="AQ40" s="272">
        <f t="shared" si="3"/>
        <v>497.6</v>
      </c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  <c r="BI40" s="234"/>
      <c r="BJ40" s="234"/>
      <c r="BK40" s="234"/>
      <c r="BL40" s="234"/>
      <c r="BM40" s="234"/>
      <c r="BN40" s="234"/>
      <c r="BO40" s="234"/>
      <c r="BP40" s="234"/>
      <c r="BQ40" s="234"/>
      <c r="BR40" s="234"/>
      <c r="BS40" s="234"/>
      <c r="BT40" s="234"/>
      <c r="BU40" s="270"/>
      <c r="BV40" s="272">
        <f t="shared" si="5"/>
        <v>42</v>
      </c>
      <c r="BW40" s="272">
        <f t="shared" si="5"/>
        <v>616</v>
      </c>
      <c r="BX40" s="272">
        <f t="shared" si="5"/>
        <v>497.6</v>
      </c>
      <c r="BY40" s="270"/>
      <c r="BZ40" s="270"/>
      <c r="CA40" s="270"/>
      <c r="CB40" s="270">
        <v>40</v>
      </c>
      <c r="CC40" s="270">
        <v>620</v>
      </c>
      <c r="CD40" s="270">
        <v>490</v>
      </c>
      <c r="CE40" s="270"/>
      <c r="CF40" s="270"/>
      <c r="CG40" s="270"/>
      <c r="CH40" s="270"/>
      <c r="CI40" s="270"/>
      <c r="CJ40" s="270"/>
      <c r="CK40" s="270"/>
      <c r="CL40" s="270"/>
      <c r="CM40" s="270"/>
      <c r="CN40" s="270"/>
      <c r="CO40" s="270"/>
      <c r="CP40" s="270"/>
      <c r="CQ40" s="270"/>
      <c r="CR40" s="270"/>
      <c r="CS40" s="270"/>
      <c r="CT40" s="270"/>
      <c r="CU40" s="270"/>
      <c r="CV40" s="270"/>
      <c r="CW40" s="270"/>
      <c r="CX40" s="270"/>
      <c r="CY40" s="270"/>
      <c r="CZ40" s="270"/>
      <c r="DA40" s="270"/>
      <c r="DB40" s="270"/>
      <c r="DC40" s="270"/>
      <c r="DD40" s="270"/>
      <c r="DE40" s="270"/>
      <c r="DF40" s="272">
        <f t="shared" si="1"/>
        <v>82</v>
      </c>
      <c r="DG40" s="272">
        <f t="shared" si="1"/>
        <v>1236</v>
      </c>
      <c r="DH40" s="272">
        <f t="shared" si="4"/>
        <v>987.6</v>
      </c>
      <c r="DI40" s="274"/>
    </row>
    <row r="41" spans="1:113" s="275" customFormat="1" ht="20.100000000000001" customHeight="1" thickBot="1" x14ac:dyDescent="0.65">
      <c r="A41" s="282"/>
      <c r="B41" s="283"/>
      <c r="C41" s="283"/>
      <c r="D41" s="284"/>
      <c r="E41" s="283"/>
      <c r="F41" s="283"/>
      <c r="G41" s="283"/>
      <c r="H41" s="283"/>
      <c r="I41" s="283"/>
      <c r="J41" s="285"/>
      <c r="K41" s="286"/>
      <c r="L41" s="283"/>
      <c r="M41" s="283"/>
      <c r="N41" s="283"/>
      <c r="O41" s="283"/>
      <c r="P41" s="283"/>
      <c r="Q41" s="283"/>
      <c r="R41" s="283"/>
      <c r="S41" s="271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283"/>
      <c r="BL41" s="283"/>
      <c r="BM41" s="283"/>
      <c r="BN41" s="283"/>
      <c r="BO41" s="283"/>
      <c r="BP41" s="283"/>
      <c r="BQ41" s="283"/>
      <c r="BR41" s="283"/>
      <c r="BS41" s="283"/>
      <c r="BT41" s="283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85"/>
      <c r="CI41" s="285"/>
      <c r="CJ41" s="285"/>
      <c r="CK41" s="285"/>
      <c r="CL41" s="285"/>
      <c r="CM41" s="285"/>
      <c r="CN41" s="285"/>
      <c r="CO41" s="285"/>
      <c r="CP41" s="285"/>
      <c r="CQ41" s="285"/>
      <c r="CR41" s="285"/>
      <c r="CS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</row>
    <row r="42" spans="1:113" s="275" customFormat="1" ht="20.100000000000001" customHeight="1" thickBot="1" x14ac:dyDescent="0.65">
      <c r="A42" s="287"/>
      <c r="B42" s="288"/>
      <c r="C42" s="289"/>
      <c r="D42" s="290"/>
      <c r="E42" s="289"/>
      <c r="F42" s="289"/>
      <c r="G42" s="291"/>
      <c r="H42" s="291"/>
      <c r="I42" s="289"/>
      <c r="J42" s="292"/>
      <c r="K42" s="293">
        <f t="shared" ref="K42:AN42" si="6">SUM(K6:K41)</f>
        <v>0</v>
      </c>
      <c r="L42" s="293">
        <f t="shared" si="6"/>
        <v>0</v>
      </c>
      <c r="M42" s="293">
        <f t="shared" si="6"/>
        <v>0</v>
      </c>
      <c r="N42" s="293">
        <f t="shared" si="6"/>
        <v>118</v>
      </c>
      <c r="O42" s="293">
        <f t="shared" si="6"/>
        <v>1596</v>
      </c>
      <c r="P42" s="293">
        <f t="shared" si="6"/>
        <v>1214.72</v>
      </c>
      <c r="Q42" s="293">
        <f t="shared" si="6"/>
        <v>120</v>
      </c>
      <c r="R42" s="293">
        <f t="shared" si="6"/>
        <v>1440</v>
      </c>
      <c r="S42" s="293">
        <f t="shared" si="6"/>
        <v>1440</v>
      </c>
      <c r="T42" s="293">
        <f t="shared" si="6"/>
        <v>0</v>
      </c>
      <c r="U42" s="293">
        <f t="shared" si="6"/>
        <v>0</v>
      </c>
      <c r="V42" s="293">
        <f t="shared" si="6"/>
        <v>0</v>
      </c>
      <c r="W42" s="293">
        <f t="shared" si="6"/>
        <v>403</v>
      </c>
      <c r="X42" s="293">
        <f t="shared" si="6"/>
        <v>5654</v>
      </c>
      <c r="Y42" s="293">
        <f t="shared" si="6"/>
        <v>4523.6000000000004</v>
      </c>
      <c r="Z42" s="293">
        <f t="shared" si="6"/>
        <v>985</v>
      </c>
      <c r="AA42" s="293">
        <f t="shared" si="6"/>
        <v>12520</v>
      </c>
      <c r="AB42" s="293">
        <f t="shared" si="6"/>
        <v>11153.6</v>
      </c>
      <c r="AC42" s="293">
        <f t="shared" si="6"/>
        <v>499</v>
      </c>
      <c r="AD42" s="293">
        <f t="shared" si="6"/>
        <v>6832</v>
      </c>
      <c r="AE42" s="293">
        <f t="shared" si="6"/>
        <v>5283.52</v>
      </c>
      <c r="AF42" s="293">
        <f t="shared" si="6"/>
        <v>233</v>
      </c>
      <c r="AG42" s="293">
        <f t="shared" si="6"/>
        <v>3108</v>
      </c>
      <c r="AH42" s="293">
        <f t="shared" si="6"/>
        <v>2485.6</v>
      </c>
      <c r="AI42" s="293">
        <f t="shared" si="6"/>
        <v>310</v>
      </c>
      <c r="AJ42" s="293">
        <f t="shared" si="6"/>
        <v>4050</v>
      </c>
      <c r="AK42" s="293">
        <f t="shared" si="6"/>
        <v>3164.4</v>
      </c>
      <c r="AL42" s="293">
        <f t="shared" si="6"/>
        <v>284</v>
      </c>
      <c r="AM42" s="293">
        <f t="shared" si="6"/>
        <v>3970</v>
      </c>
      <c r="AN42" s="293">
        <f t="shared" si="6"/>
        <v>3386</v>
      </c>
      <c r="AO42" s="293">
        <f t="shared" ref="AO42:CZ42" si="7">SUM(AO4:AO41)</f>
        <v>3099</v>
      </c>
      <c r="AP42" s="293">
        <f t="shared" si="7"/>
        <v>41250</v>
      </c>
      <c r="AQ42" s="293">
        <f t="shared" si="7"/>
        <v>34024.239999999998</v>
      </c>
      <c r="AR42" s="293">
        <f t="shared" si="7"/>
        <v>0</v>
      </c>
      <c r="AS42" s="293">
        <f t="shared" si="7"/>
        <v>0</v>
      </c>
      <c r="AT42" s="293">
        <f t="shared" si="7"/>
        <v>0</v>
      </c>
      <c r="AU42" s="293">
        <f t="shared" si="7"/>
        <v>313</v>
      </c>
      <c r="AV42" s="293">
        <f t="shared" si="7"/>
        <v>3860</v>
      </c>
      <c r="AW42" s="293">
        <f t="shared" si="7"/>
        <v>3549.92</v>
      </c>
      <c r="AX42" s="293">
        <f t="shared" si="7"/>
        <v>554</v>
      </c>
      <c r="AY42" s="293">
        <f t="shared" si="7"/>
        <v>8596</v>
      </c>
      <c r="AZ42" s="293">
        <f t="shared" si="7"/>
        <v>6408</v>
      </c>
      <c r="BA42" s="293">
        <f t="shared" si="7"/>
        <v>180</v>
      </c>
      <c r="BB42" s="293">
        <f t="shared" si="7"/>
        <v>2220</v>
      </c>
      <c r="BC42" s="293">
        <f t="shared" si="7"/>
        <v>2068.8000000000002</v>
      </c>
      <c r="BD42" s="293">
        <f t="shared" si="7"/>
        <v>125</v>
      </c>
      <c r="BE42" s="293">
        <f t="shared" si="7"/>
        <v>1560</v>
      </c>
      <c r="BF42" s="293">
        <f t="shared" si="7"/>
        <v>1472.72</v>
      </c>
      <c r="BG42" s="293">
        <f t="shared" si="7"/>
        <v>188</v>
      </c>
      <c r="BH42" s="293">
        <f t="shared" si="7"/>
        <v>2494</v>
      </c>
      <c r="BI42" s="293">
        <f t="shared" si="7"/>
        <v>1938.8000000000002</v>
      </c>
      <c r="BJ42" s="293">
        <f t="shared" si="7"/>
        <v>177</v>
      </c>
      <c r="BK42" s="293">
        <f t="shared" si="7"/>
        <v>2704</v>
      </c>
      <c r="BL42" s="293">
        <f t="shared" si="7"/>
        <v>2128.8000000000002</v>
      </c>
      <c r="BM42" s="293">
        <f t="shared" si="7"/>
        <v>0</v>
      </c>
      <c r="BN42" s="293">
        <f t="shared" si="7"/>
        <v>0</v>
      </c>
      <c r="BO42" s="293">
        <f t="shared" si="7"/>
        <v>0</v>
      </c>
      <c r="BP42" s="293">
        <f t="shared" si="7"/>
        <v>220</v>
      </c>
      <c r="BQ42" s="293">
        <f t="shared" si="7"/>
        <v>3260</v>
      </c>
      <c r="BR42" s="293">
        <f t="shared" si="7"/>
        <v>2408.8000000000002</v>
      </c>
      <c r="BS42" s="293">
        <f t="shared" si="7"/>
        <v>518</v>
      </c>
      <c r="BT42" s="293">
        <f t="shared" si="7"/>
        <v>6516</v>
      </c>
      <c r="BU42" s="293">
        <f t="shared" si="7"/>
        <v>6194.8</v>
      </c>
      <c r="BV42" s="293">
        <f t="shared" si="7"/>
        <v>5374</v>
      </c>
      <c r="BW42" s="293">
        <f t="shared" si="7"/>
        <v>72460</v>
      </c>
      <c r="BX42" s="293">
        <f t="shared" si="7"/>
        <v>60194.880000000005</v>
      </c>
      <c r="BY42" s="293">
        <f t="shared" si="7"/>
        <v>456</v>
      </c>
      <c r="BZ42" s="293">
        <f t="shared" si="7"/>
        <v>5736</v>
      </c>
      <c r="CA42" s="293">
        <f t="shared" si="7"/>
        <v>5037.12</v>
      </c>
      <c r="CB42" s="293">
        <f t="shared" si="7"/>
        <v>768</v>
      </c>
      <c r="CC42" s="293">
        <f t="shared" si="7"/>
        <v>10000</v>
      </c>
      <c r="CD42" s="293">
        <f t="shared" si="7"/>
        <v>8421.92</v>
      </c>
      <c r="CE42" s="293">
        <f t="shared" si="7"/>
        <v>140</v>
      </c>
      <c r="CF42" s="293">
        <f t="shared" si="7"/>
        <v>1978</v>
      </c>
      <c r="CG42" s="293">
        <f t="shared" si="7"/>
        <v>1566.72</v>
      </c>
      <c r="CH42" s="293">
        <f t="shared" si="7"/>
        <v>413</v>
      </c>
      <c r="CI42" s="293">
        <f t="shared" si="7"/>
        <v>6260</v>
      </c>
      <c r="CJ42" s="293">
        <f t="shared" si="7"/>
        <v>4890</v>
      </c>
      <c r="CK42" s="293">
        <f t="shared" si="7"/>
        <v>0</v>
      </c>
      <c r="CL42" s="293">
        <f t="shared" si="7"/>
        <v>0</v>
      </c>
      <c r="CM42" s="293">
        <f t="shared" si="7"/>
        <v>0</v>
      </c>
      <c r="CN42" s="293">
        <f t="shared" si="7"/>
        <v>199</v>
      </c>
      <c r="CO42" s="293">
        <f t="shared" si="7"/>
        <v>2854</v>
      </c>
      <c r="CP42" s="293">
        <f t="shared" si="7"/>
        <v>2071.12</v>
      </c>
      <c r="CQ42" s="293">
        <f t="shared" si="7"/>
        <v>460</v>
      </c>
      <c r="CR42" s="293">
        <f t="shared" si="7"/>
        <v>6924</v>
      </c>
      <c r="CS42" s="293">
        <f t="shared" si="7"/>
        <v>5451.92</v>
      </c>
      <c r="CT42" s="293">
        <f t="shared" si="7"/>
        <v>280</v>
      </c>
      <c r="CU42" s="293">
        <f t="shared" si="7"/>
        <v>3920</v>
      </c>
      <c r="CV42" s="293">
        <f t="shared" si="7"/>
        <v>3141.2000000000003</v>
      </c>
      <c r="CW42" s="293">
        <f t="shared" si="7"/>
        <v>308</v>
      </c>
      <c r="CX42" s="293">
        <f t="shared" si="7"/>
        <v>3946</v>
      </c>
      <c r="CY42" s="293">
        <f t="shared" si="7"/>
        <v>3305.2</v>
      </c>
      <c r="CZ42" s="293">
        <f t="shared" si="7"/>
        <v>245</v>
      </c>
      <c r="DA42" s="293">
        <f t="shared" ref="DA42:DH42" si="8">SUM(DA4:DA41)</f>
        <v>2940</v>
      </c>
      <c r="DB42" s="293">
        <f t="shared" si="8"/>
        <v>2940</v>
      </c>
      <c r="DC42" s="293">
        <f t="shared" si="8"/>
        <v>206</v>
      </c>
      <c r="DD42" s="293">
        <f t="shared" si="8"/>
        <v>2788</v>
      </c>
      <c r="DE42" s="293">
        <f t="shared" si="8"/>
        <v>2271.1999999999998</v>
      </c>
      <c r="DF42" s="293">
        <f t="shared" si="8"/>
        <v>8849</v>
      </c>
      <c r="DG42" s="293">
        <f t="shared" si="8"/>
        <v>119806</v>
      </c>
      <c r="DH42" s="293">
        <f t="shared" si="8"/>
        <v>99291.280000000013</v>
      </c>
    </row>
    <row r="43" spans="1:113" s="275" customFormat="1" ht="20.100000000000001" customHeight="1" x14ac:dyDescent="0.6">
      <c r="A43" s="294"/>
      <c r="B43" s="295"/>
      <c r="C43" s="236"/>
      <c r="D43" s="296"/>
      <c r="E43" s="236"/>
      <c r="F43" s="236"/>
      <c r="G43" s="236"/>
      <c r="H43" s="236"/>
      <c r="I43" s="236"/>
      <c r="J43" s="234"/>
      <c r="K43" s="297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72">
        <f t="shared" ref="AO43:AP74" si="9">+AL43+AI43+AF43+AC43+Z43+W43+T43+Q43+N43+K43</f>
        <v>0</v>
      </c>
      <c r="AP43" s="272">
        <f t="shared" si="9"/>
        <v>0</v>
      </c>
      <c r="AQ43" s="272">
        <f t="shared" ref="AQ43:AQ48" si="10">M43+P43+S43+V43+Y43+AB43+AE43+AH43+AK43+AN43</f>
        <v>0</v>
      </c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98"/>
      <c r="BV43" s="272">
        <f t="shared" ref="BV43:BX74" si="11">+BS43+BP43+BM43+BJ43+BG43+BD43+BA43+AX43+AU43+AR43+AO43</f>
        <v>0</v>
      </c>
      <c r="BW43" s="272">
        <f t="shared" si="11"/>
        <v>0</v>
      </c>
      <c r="BX43" s="272">
        <f>AT43+AW43+AZ43+BC43+BF43+BI43+BL43+BO43+BR43+BU43</f>
        <v>0</v>
      </c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29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72">
        <f t="shared" ref="DF43:DG74" si="12">+DC43+CZ43+CW43+CT43+CQ43+CN43+CK43+CH43+CE43+CB43+BY43+BV43</f>
        <v>0</v>
      </c>
      <c r="DG43" s="272">
        <f t="shared" si="12"/>
        <v>0</v>
      </c>
      <c r="DH43" s="299">
        <f>CA43+CD43+CG43+CJ43+CM43+CP43+CS43+CV43+CY43+DB43+DE43</f>
        <v>0</v>
      </c>
    </row>
    <row r="44" spans="1:113" s="275" customFormat="1" ht="24.75" customHeight="1" x14ac:dyDescent="0.6">
      <c r="A44" s="268">
        <v>1</v>
      </c>
      <c r="B44" s="269" t="s">
        <v>286</v>
      </c>
      <c r="C44" s="104" t="s">
        <v>287</v>
      </c>
      <c r="D44" s="100" t="s">
        <v>123</v>
      </c>
      <c r="E44" s="100" t="s">
        <v>124</v>
      </c>
      <c r="F44" s="234" t="s">
        <v>733</v>
      </c>
      <c r="G44" s="234" t="s">
        <v>821</v>
      </c>
      <c r="H44" s="234" t="s">
        <v>822</v>
      </c>
      <c r="I44" s="234" t="s">
        <v>823</v>
      </c>
      <c r="J44" s="234" t="s">
        <v>288</v>
      </c>
      <c r="K44" s="259"/>
      <c r="L44" s="258"/>
      <c r="M44" s="258"/>
      <c r="N44" s="258"/>
      <c r="O44" s="258"/>
      <c r="P44" s="258"/>
      <c r="Q44" s="258">
        <v>20</v>
      </c>
      <c r="R44" s="258">
        <v>280</v>
      </c>
      <c r="S44" s="258">
        <v>179.20000000000002</v>
      </c>
      <c r="T44" s="258"/>
      <c r="U44" s="258"/>
      <c r="V44" s="258"/>
      <c r="W44" s="258"/>
      <c r="X44" s="258"/>
      <c r="Y44" s="258"/>
      <c r="Z44" s="258">
        <v>15</v>
      </c>
      <c r="AA44" s="258">
        <v>180</v>
      </c>
      <c r="AB44" s="258">
        <v>180</v>
      </c>
      <c r="AC44" s="258"/>
      <c r="AD44" s="258"/>
      <c r="AE44" s="258"/>
      <c r="AF44" s="258"/>
      <c r="AG44" s="258"/>
      <c r="AH44" s="258"/>
      <c r="AI44" s="258"/>
      <c r="AJ44" s="258"/>
      <c r="AK44" s="258"/>
      <c r="AL44" s="258">
        <v>20</v>
      </c>
      <c r="AM44" s="258">
        <v>250</v>
      </c>
      <c r="AN44" s="258">
        <v>224.8</v>
      </c>
      <c r="AO44" s="272">
        <f>K44+N44+Q44+T44+W44+Z44+AC44+AF44+AI44+AL44</f>
        <v>55</v>
      </c>
      <c r="AP44" s="272">
        <f t="shared" si="9"/>
        <v>710</v>
      </c>
      <c r="AQ44" s="272">
        <f t="shared" si="10"/>
        <v>584</v>
      </c>
      <c r="AR44" s="234"/>
      <c r="AS44" s="234"/>
      <c r="AT44" s="234"/>
      <c r="AU44" s="234"/>
      <c r="AV44" s="234"/>
      <c r="AW44" s="234"/>
      <c r="AX44" s="234"/>
      <c r="AY44" s="234"/>
      <c r="AZ44" s="234"/>
      <c r="BA44" s="234">
        <v>25</v>
      </c>
      <c r="BB44" s="234">
        <v>480</v>
      </c>
      <c r="BC44" s="234">
        <v>249.20000000000002</v>
      </c>
      <c r="BD44" s="234"/>
      <c r="BE44" s="234"/>
      <c r="BF44" s="234"/>
      <c r="BG44" s="234">
        <v>25</v>
      </c>
      <c r="BH44" s="234">
        <v>320</v>
      </c>
      <c r="BI44" s="234">
        <v>269.60000000000002</v>
      </c>
      <c r="BJ44" s="234"/>
      <c r="BK44" s="234"/>
      <c r="BL44" s="234"/>
      <c r="BM44" s="234"/>
      <c r="BN44" s="234"/>
      <c r="BO44" s="234"/>
      <c r="BP44" s="234"/>
      <c r="BQ44" s="234"/>
      <c r="BR44" s="234"/>
      <c r="BS44" s="234">
        <v>35</v>
      </c>
      <c r="BT44" s="234">
        <v>460</v>
      </c>
      <c r="BU44" s="270">
        <v>359.20000000000005</v>
      </c>
      <c r="BV44" s="272">
        <f t="shared" si="11"/>
        <v>140</v>
      </c>
      <c r="BW44" s="272">
        <f t="shared" si="11"/>
        <v>1970</v>
      </c>
      <c r="BX44" s="272">
        <f t="shared" si="11"/>
        <v>1462</v>
      </c>
      <c r="BY44" s="270"/>
      <c r="BZ44" s="270"/>
      <c r="CA44" s="270"/>
      <c r="CB44" s="270"/>
      <c r="CC44" s="270"/>
      <c r="CD44" s="270"/>
      <c r="CE44" s="270"/>
      <c r="CF44" s="270"/>
      <c r="CG44" s="270"/>
      <c r="CH44" s="270"/>
      <c r="CI44" s="270"/>
      <c r="CJ44" s="270"/>
      <c r="CK44" s="270"/>
      <c r="CL44" s="270"/>
      <c r="CM44" s="270"/>
      <c r="CN44" s="270"/>
      <c r="CO44" s="270"/>
      <c r="CP44" s="270"/>
      <c r="CQ44" s="270"/>
      <c r="CR44" s="270"/>
      <c r="CS44" s="270"/>
      <c r="CT44" s="270"/>
      <c r="CU44" s="270"/>
      <c r="CV44" s="270"/>
      <c r="CW44" s="270"/>
      <c r="CX44" s="270"/>
      <c r="CY44" s="270"/>
      <c r="CZ44" s="270">
        <v>50</v>
      </c>
      <c r="DA44" s="270">
        <v>780</v>
      </c>
      <c r="DB44" s="270">
        <v>549.20000000000005</v>
      </c>
      <c r="DC44" s="270"/>
      <c r="DD44" s="270"/>
      <c r="DE44" s="270"/>
      <c r="DF44" s="272">
        <f t="shared" si="12"/>
        <v>190</v>
      </c>
      <c r="DG44" s="272">
        <f t="shared" si="12"/>
        <v>2750</v>
      </c>
      <c r="DH44" s="272">
        <f>BX44+CA44+CD44+CG44+CJ44+CM44+CP44+CS44+CV44+CY44+DB44+DE44</f>
        <v>2011.2</v>
      </c>
      <c r="DI44" s="274"/>
    </row>
    <row r="45" spans="1:113" s="275" customFormat="1" ht="24.75" customHeight="1" x14ac:dyDescent="0.6">
      <c r="A45" s="268">
        <v>2</v>
      </c>
      <c r="B45" s="269" t="s">
        <v>289</v>
      </c>
      <c r="C45" s="104" t="s">
        <v>290</v>
      </c>
      <c r="D45" s="100" t="s">
        <v>123</v>
      </c>
      <c r="E45" s="100" t="s">
        <v>124</v>
      </c>
      <c r="F45" s="234" t="s">
        <v>733</v>
      </c>
      <c r="G45" s="234" t="s">
        <v>824</v>
      </c>
      <c r="H45" s="234" t="s">
        <v>825</v>
      </c>
      <c r="I45" s="234" t="s">
        <v>826</v>
      </c>
      <c r="J45" s="234" t="s">
        <v>288</v>
      </c>
      <c r="K45" s="259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>
        <v>21</v>
      </c>
      <c r="AA45" s="258">
        <v>280</v>
      </c>
      <c r="AB45" s="258">
        <v>254</v>
      </c>
      <c r="AC45" s="258"/>
      <c r="AD45" s="258"/>
      <c r="AE45" s="258"/>
      <c r="AF45" s="258"/>
      <c r="AG45" s="258"/>
      <c r="AH45" s="258"/>
      <c r="AI45" s="258"/>
      <c r="AJ45" s="258"/>
      <c r="AK45" s="258"/>
      <c r="AL45" s="258"/>
      <c r="AM45" s="258"/>
      <c r="AN45" s="258"/>
      <c r="AO45" s="272">
        <f t="shared" ref="AO45:AO90" si="13">K45+N45+Q45+T45+W45+Z45+AC45+AF45+AI45+AL45</f>
        <v>21</v>
      </c>
      <c r="AP45" s="272">
        <f t="shared" si="9"/>
        <v>280</v>
      </c>
      <c r="AQ45" s="272">
        <f t="shared" si="10"/>
        <v>254</v>
      </c>
      <c r="AR45" s="234"/>
      <c r="AS45" s="234"/>
      <c r="AT45" s="234"/>
      <c r="AU45" s="234"/>
      <c r="AV45" s="234"/>
      <c r="AW45" s="234"/>
      <c r="AX45" s="234">
        <v>11</v>
      </c>
      <c r="AY45" s="234">
        <v>160</v>
      </c>
      <c r="AZ45" s="234">
        <v>134</v>
      </c>
      <c r="BA45" s="234"/>
      <c r="BB45" s="234"/>
      <c r="BC45" s="234"/>
      <c r="BD45" s="234"/>
      <c r="BE45" s="234"/>
      <c r="BF45" s="234"/>
      <c r="BG45" s="234"/>
      <c r="BH45" s="234"/>
      <c r="BI45" s="234"/>
      <c r="BJ45" s="234">
        <v>21</v>
      </c>
      <c r="BK45" s="234">
        <v>280</v>
      </c>
      <c r="BL45" s="234">
        <v>254</v>
      </c>
      <c r="BM45" s="234"/>
      <c r="BN45" s="234"/>
      <c r="BO45" s="234"/>
      <c r="BP45" s="234"/>
      <c r="BQ45" s="234"/>
      <c r="BR45" s="234"/>
      <c r="BS45" s="234"/>
      <c r="BT45" s="234"/>
      <c r="BU45" s="270"/>
      <c r="BV45" s="272">
        <f t="shared" si="11"/>
        <v>53</v>
      </c>
      <c r="BW45" s="272">
        <f t="shared" si="11"/>
        <v>720</v>
      </c>
      <c r="BX45" s="272">
        <f t="shared" si="11"/>
        <v>642</v>
      </c>
      <c r="BY45" s="270"/>
      <c r="BZ45" s="270"/>
      <c r="CA45" s="270"/>
      <c r="CB45" s="270"/>
      <c r="CC45" s="270"/>
      <c r="CD45" s="270"/>
      <c r="CE45" s="270"/>
      <c r="CF45" s="270"/>
      <c r="CG45" s="270"/>
      <c r="CH45" s="270">
        <v>11</v>
      </c>
      <c r="CI45" s="270">
        <v>160</v>
      </c>
      <c r="CJ45" s="270">
        <v>134</v>
      </c>
      <c r="CK45" s="270"/>
      <c r="CL45" s="270"/>
      <c r="CM45" s="270"/>
      <c r="CN45" s="270">
        <v>15</v>
      </c>
      <c r="CO45" s="270">
        <v>180</v>
      </c>
      <c r="CP45" s="270">
        <v>180</v>
      </c>
      <c r="CQ45" s="270"/>
      <c r="CR45" s="270"/>
      <c r="CS45" s="270"/>
      <c r="CT45" s="270"/>
      <c r="CU45" s="270"/>
      <c r="CV45" s="270"/>
      <c r="CW45" s="270"/>
      <c r="CX45" s="270"/>
      <c r="CY45" s="270"/>
      <c r="CZ45" s="270"/>
      <c r="DA45" s="270"/>
      <c r="DB45" s="270"/>
      <c r="DC45" s="270"/>
      <c r="DD45" s="270"/>
      <c r="DE45" s="270"/>
      <c r="DF45" s="272">
        <f t="shared" si="12"/>
        <v>79</v>
      </c>
      <c r="DG45" s="272">
        <f t="shared" si="12"/>
        <v>1060</v>
      </c>
      <c r="DH45" s="272">
        <f t="shared" ref="DH45:DH90" si="14">BX45+CA45+CD45+CG45+CJ45+CM45+CP45+CS45+CV45+CY45+DB45+DE45</f>
        <v>956</v>
      </c>
      <c r="DI45" s="274"/>
    </row>
    <row r="46" spans="1:113" s="275" customFormat="1" ht="24.75" customHeight="1" x14ac:dyDescent="0.6">
      <c r="A46" s="268">
        <v>3</v>
      </c>
      <c r="B46" s="269" t="s">
        <v>291</v>
      </c>
      <c r="C46" s="104" t="s">
        <v>292</v>
      </c>
      <c r="D46" s="100" t="s">
        <v>123</v>
      </c>
      <c r="E46" s="100" t="s">
        <v>124</v>
      </c>
      <c r="F46" s="234" t="s">
        <v>733</v>
      </c>
      <c r="G46" s="234" t="s">
        <v>827</v>
      </c>
      <c r="H46" s="234" t="s">
        <v>828</v>
      </c>
      <c r="I46" s="234" t="s">
        <v>829</v>
      </c>
      <c r="J46" s="234" t="s">
        <v>288</v>
      </c>
      <c r="K46" s="259"/>
      <c r="L46" s="258"/>
      <c r="M46" s="258"/>
      <c r="N46" s="258"/>
      <c r="O46" s="258"/>
      <c r="P46" s="258"/>
      <c r="Q46" s="258">
        <v>27</v>
      </c>
      <c r="R46" s="258">
        <v>400</v>
      </c>
      <c r="S46" s="258">
        <v>297.60000000000002</v>
      </c>
      <c r="T46" s="258"/>
      <c r="U46" s="258"/>
      <c r="V46" s="258"/>
      <c r="W46" s="258"/>
      <c r="X46" s="258"/>
      <c r="Y46" s="258"/>
      <c r="Z46" s="258">
        <v>30</v>
      </c>
      <c r="AA46" s="258">
        <v>360</v>
      </c>
      <c r="AB46" s="258">
        <v>360</v>
      </c>
      <c r="AC46" s="258">
        <v>20</v>
      </c>
      <c r="AD46" s="258">
        <v>270</v>
      </c>
      <c r="AE46" s="258">
        <v>194.40000000000003</v>
      </c>
      <c r="AF46" s="258"/>
      <c r="AG46" s="258"/>
      <c r="AH46" s="258"/>
      <c r="AI46" s="258">
        <v>15</v>
      </c>
      <c r="AJ46" s="258">
        <v>200</v>
      </c>
      <c r="AK46" s="258">
        <v>149.60000000000002</v>
      </c>
      <c r="AL46" s="258"/>
      <c r="AM46" s="258"/>
      <c r="AN46" s="258"/>
      <c r="AO46" s="272">
        <f t="shared" si="13"/>
        <v>92</v>
      </c>
      <c r="AP46" s="272">
        <f t="shared" si="9"/>
        <v>1230</v>
      </c>
      <c r="AQ46" s="272">
        <f t="shared" si="10"/>
        <v>1001.6</v>
      </c>
      <c r="AR46" s="234"/>
      <c r="AS46" s="234"/>
      <c r="AT46" s="234"/>
      <c r="AU46" s="234"/>
      <c r="AV46" s="234"/>
      <c r="AW46" s="234"/>
      <c r="AX46" s="234"/>
      <c r="AY46" s="234"/>
      <c r="AZ46" s="234"/>
      <c r="BA46" s="234">
        <v>20</v>
      </c>
      <c r="BB46" s="234">
        <v>280</v>
      </c>
      <c r="BC46" s="234">
        <v>179.20000000000002</v>
      </c>
      <c r="BD46" s="234"/>
      <c r="BE46" s="234"/>
      <c r="BF46" s="234"/>
      <c r="BG46" s="234">
        <v>10</v>
      </c>
      <c r="BH46" s="234">
        <v>120</v>
      </c>
      <c r="BI46" s="234">
        <v>120</v>
      </c>
      <c r="BJ46" s="234"/>
      <c r="BK46" s="234"/>
      <c r="BL46" s="234"/>
      <c r="BM46" s="234"/>
      <c r="BN46" s="234"/>
      <c r="BO46" s="234"/>
      <c r="BP46" s="234">
        <v>20</v>
      </c>
      <c r="BQ46" s="234">
        <v>240</v>
      </c>
      <c r="BR46" s="234">
        <v>240</v>
      </c>
      <c r="BS46" s="234">
        <v>5</v>
      </c>
      <c r="BT46" s="234">
        <v>60</v>
      </c>
      <c r="BU46" s="270">
        <v>60</v>
      </c>
      <c r="BV46" s="272">
        <f t="shared" si="11"/>
        <v>147</v>
      </c>
      <c r="BW46" s="272">
        <f t="shared" si="11"/>
        <v>1930</v>
      </c>
      <c r="BX46" s="272">
        <f>+BU46+BR46+BO46+BL46+BI46+BF46+BC46+AZ46+AW46+AT46+AQ46</f>
        <v>1600.8000000000002</v>
      </c>
      <c r="BY46" s="270">
        <v>10</v>
      </c>
      <c r="BZ46" s="270">
        <v>120</v>
      </c>
      <c r="CA46" s="270">
        <v>120</v>
      </c>
      <c r="CB46" s="270">
        <v>45</v>
      </c>
      <c r="CC46" s="270">
        <v>600</v>
      </c>
      <c r="CD46" s="270">
        <v>448.80000000000007</v>
      </c>
      <c r="CE46" s="270">
        <v>15</v>
      </c>
      <c r="CF46" s="270">
        <v>340</v>
      </c>
      <c r="CG46" s="270">
        <v>159.60000000000002</v>
      </c>
      <c r="CH46" s="270">
        <v>30</v>
      </c>
      <c r="CI46" s="270">
        <v>380</v>
      </c>
      <c r="CJ46" s="270">
        <v>329.6</v>
      </c>
      <c r="CK46" s="270"/>
      <c r="CL46" s="270"/>
      <c r="CM46" s="270"/>
      <c r="CN46" s="270"/>
      <c r="CO46" s="270"/>
      <c r="CP46" s="270"/>
      <c r="CQ46" s="270">
        <v>10</v>
      </c>
      <c r="CR46" s="270">
        <v>120</v>
      </c>
      <c r="CS46" s="270">
        <v>120</v>
      </c>
      <c r="CT46" s="270">
        <v>15</v>
      </c>
      <c r="CU46" s="270">
        <v>180</v>
      </c>
      <c r="CV46" s="270">
        <v>180</v>
      </c>
      <c r="CW46" s="270"/>
      <c r="CX46" s="270"/>
      <c r="CY46" s="270"/>
      <c r="CZ46" s="270">
        <v>10</v>
      </c>
      <c r="DA46" s="270">
        <v>140</v>
      </c>
      <c r="DB46" s="270">
        <v>89.600000000000009</v>
      </c>
      <c r="DC46" s="270">
        <v>25</v>
      </c>
      <c r="DD46" s="270">
        <v>320</v>
      </c>
      <c r="DE46" s="270">
        <v>269.60000000000002</v>
      </c>
      <c r="DF46" s="272">
        <f t="shared" si="12"/>
        <v>307</v>
      </c>
      <c r="DG46" s="272">
        <f t="shared" si="12"/>
        <v>4130</v>
      </c>
      <c r="DH46" s="272">
        <f t="shared" si="14"/>
        <v>3318</v>
      </c>
      <c r="DI46" s="274"/>
    </row>
    <row r="47" spans="1:113" s="275" customFormat="1" ht="24.75" customHeight="1" x14ac:dyDescent="0.6">
      <c r="A47" s="268">
        <v>4</v>
      </c>
      <c r="B47" s="269" t="s">
        <v>293</v>
      </c>
      <c r="C47" s="104" t="s">
        <v>294</v>
      </c>
      <c r="D47" s="100" t="s">
        <v>123</v>
      </c>
      <c r="E47" s="100" t="s">
        <v>124</v>
      </c>
      <c r="F47" s="234" t="s">
        <v>733</v>
      </c>
      <c r="G47" s="234" t="s">
        <v>293</v>
      </c>
      <c r="H47" s="234" t="s">
        <v>294</v>
      </c>
      <c r="I47" s="234" t="s">
        <v>830</v>
      </c>
      <c r="J47" s="234" t="s">
        <v>288</v>
      </c>
      <c r="K47" s="259"/>
      <c r="L47" s="258"/>
      <c r="M47" s="258"/>
      <c r="N47" s="258">
        <v>12</v>
      </c>
      <c r="O47" s="258">
        <v>220</v>
      </c>
      <c r="P47" s="258">
        <v>117.60000000000002</v>
      </c>
      <c r="Q47" s="258">
        <v>30</v>
      </c>
      <c r="R47" s="258">
        <v>380</v>
      </c>
      <c r="S47" s="258">
        <v>329.6</v>
      </c>
      <c r="T47" s="258"/>
      <c r="U47" s="258"/>
      <c r="V47" s="258"/>
      <c r="W47" s="258">
        <v>28</v>
      </c>
      <c r="X47" s="258">
        <v>440</v>
      </c>
      <c r="Y47" s="258">
        <v>311.60000000000002</v>
      </c>
      <c r="Z47" s="258">
        <v>20</v>
      </c>
      <c r="AA47" s="258">
        <v>250</v>
      </c>
      <c r="AB47" s="258">
        <v>224.8</v>
      </c>
      <c r="AC47" s="258">
        <v>25</v>
      </c>
      <c r="AD47" s="258">
        <v>310</v>
      </c>
      <c r="AE47" s="258">
        <v>284.8</v>
      </c>
      <c r="AF47" s="258">
        <v>15</v>
      </c>
      <c r="AG47" s="258">
        <v>200</v>
      </c>
      <c r="AH47" s="258">
        <v>149.60000000000002</v>
      </c>
      <c r="AI47" s="258">
        <v>25</v>
      </c>
      <c r="AJ47" s="258">
        <v>320</v>
      </c>
      <c r="AK47" s="258">
        <v>269.60000000000002</v>
      </c>
      <c r="AL47" s="258"/>
      <c r="AM47" s="258"/>
      <c r="AN47" s="258"/>
      <c r="AO47" s="272">
        <f t="shared" si="13"/>
        <v>155</v>
      </c>
      <c r="AP47" s="272">
        <f t="shared" si="9"/>
        <v>2120</v>
      </c>
      <c r="AQ47" s="272">
        <f t="shared" si="10"/>
        <v>1687.6</v>
      </c>
      <c r="AR47" s="234"/>
      <c r="AS47" s="234"/>
      <c r="AT47" s="234"/>
      <c r="AU47" s="234">
        <v>47</v>
      </c>
      <c r="AV47" s="234">
        <v>660</v>
      </c>
      <c r="AW47" s="234">
        <v>507.20000000000005</v>
      </c>
      <c r="AX47" s="234"/>
      <c r="AY47" s="234"/>
      <c r="AZ47" s="234"/>
      <c r="BA47" s="234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4"/>
      <c r="BM47" s="234"/>
      <c r="BN47" s="234"/>
      <c r="BO47" s="234"/>
      <c r="BP47" s="234">
        <v>62</v>
      </c>
      <c r="BQ47" s="234">
        <v>830</v>
      </c>
      <c r="BR47" s="234">
        <v>702.4</v>
      </c>
      <c r="BS47" s="234">
        <v>23</v>
      </c>
      <c r="BT47" s="234">
        <v>360</v>
      </c>
      <c r="BU47" s="270">
        <v>282</v>
      </c>
      <c r="BV47" s="272">
        <f t="shared" si="11"/>
        <v>287</v>
      </c>
      <c r="BW47" s="272">
        <f t="shared" si="11"/>
        <v>3970</v>
      </c>
      <c r="BX47" s="272">
        <f>+BU47+BR47+BO47+BL47+BI47+BF47+BC47+AZ47+AW47+AT47+AQ47</f>
        <v>3179.2</v>
      </c>
      <c r="BY47" s="270">
        <v>17</v>
      </c>
      <c r="BZ47" s="270">
        <v>280</v>
      </c>
      <c r="CA47" s="270">
        <v>177.60000000000002</v>
      </c>
      <c r="CB47" s="270">
        <v>32</v>
      </c>
      <c r="CC47" s="270">
        <v>460</v>
      </c>
      <c r="CD47" s="270">
        <v>357.6</v>
      </c>
      <c r="CE47" s="270">
        <v>32</v>
      </c>
      <c r="CF47" s="270">
        <v>460</v>
      </c>
      <c r="CG47" s="270">
        <v>357.6</v>
      </c>
      <c r="CH47" s="270">
        <v>17</v>
      </c>
      <c r="CI47" s="270">
        <v>280</v>
      </c>
      <c r="CJ47" s="270">
        <v>177.60000000000002</v>
      </c>
      <c r="CK47" s="270"/>
      <c r="CL47" s="270"/>
      <c r="CM47" s="270"/>
      <c r="CN47" s="270">
        <v>25</v>
      </c>
      <c r="CO47" s="270">
        <v>310</v>
      </c>
      <c r="CP47" s="270">
        <v>284.8</v>
      </c>
      <c r="CQ47" s="270">
        <v>20</v>
      </c>
      <c r="CR47" s="270">
        <v>250</v>
      </c>
      <c r="CS47" s="270">
        <v>224.8</v>
      </c>
      <c r="CT47" s="270"/>
      <c r="CU47" s="270"/>
      <c r="CV47" s="270"/>
      <c r="CW47" s="270">
        <v>37</v>
      </c>
      <c r="CX47" s="270">
        <v>530</v>
      </c>
      <c r="CY47" s="270">
        <v>402.40000000000003</v>
      </c>
      <c r="CZ47" s="270">
        <v>17</v>
      </c>
      <c r="DA47" s="270">
        <v>260</v>
      </c>
      <c r="DB47" s="270">
        <v>208</v>
      </c>
      <c r="DC47" s="270">
        <v>20</v>
      </c>
      <c r="DD47" s="270">
        <v>270</v>
      </c>
      <c r="DE47" s="270">
        <v>194.40000000000003</v>
      </c>
      <c r="DF47" s="272">
        <f t="shared" si="12"/>
        <v>504</v>
      </c>
      <c r="DG47" s="272">
        <f t="shared" si="12"/>
        <v>7070</v>
      </c>
      <c r="DH47" s="272">
        <f t="shared" si="14"/>
        <v>5563.9999999999991</v>
      </c>
      <c r="DI47" s="274"/>
    </row>
    <row r="48" spans="1:113" s="275" customFormat="1" ht="24.75" customHeight="1" x14ac:dyDescent="0.6">
      <c r="A48" s="268">
        <v>5</v>
      </c>
      <c r="B48" s="269" t="s">
        <v>295</v>
      </c>
      <c r="C48" s="104" t="s">
        <v>296</v>
      </c>
      <c r="D48" s="100" t="s">
        <v>297</v>
      </c>
      <c r="E48" s="99" t="s">
        <v>298</v>
      </c>
      <c r="F48" s="234" t="s">
        <v>733</v>
      </c>
      <c r="G48" s="234" t="s">
        <v>831</v>
      </c>
      <c r="H48" s="234" t="s">
        <v>832</v>
      </c>
      <c r="I48" s="234" t="s">
        <v>833</v>
      </c>
      <c r="J48" s="234" t="s">
        <v>288</v>
      </c>
      <c r="K48" s="259"/>
      <c r="L48" s="258"/>
      <c r="M48" s="258"/>
      <c r="N48" s="258"/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258"/>
      <c r="AA48" s="258"/>
      <c r="AB48" s="258"/>
      <c r="AC48" s="258">
        <v>132</v>
      </c>
      <c r="AD48" s="258">
        <v>1734</v>
      </c>
      <c r="AE48" s="258">
        <v>1346.4</v>
      </c>
      <c r="AF48" s="258"/>
      <c r="AG48" s="258"/>
      <c r="AH48" s="258"/>
      <c r="AI48" s="258"/>
      <c r="AJ48" s="258"/>
      <c r="AK48" s="258"/>
      <c r="AL48" s="258"/>
      <c r="AM48" s="258"/>
      <c r="AN48" s="258"/>
      <c r="AO48" s="272">
        <f t="shared" si="13"/>
        <v>132</v>
      </c>
      <c r="AP48" s="272">
        <f t="shared" si="9"/>
        <v>1734</v>
      </c>
      <c r="AQ48" s="272">
        <f t="shared" si="10"/>
        <v>1346.4</v>
      </c>
      <c r="AR48" s="234"/>
      <c r="AS48" s="234"/>
      <c r="AT48" s="234"/>
      <c r="AU48" s="234"/>
      <c r="AV48" s="234"/>
      <c r="AW48" s="234"/>
      <c r="AX48" s="234"/>
      <c r="AY48" s="234"/>
      <c r="AZ48" s="234"/>
      <c r="BA48" s="234">
        <v>30</v>
      </c>
      <c r="BB48" s="234">
        <v>360</v>
      </c>
      <c r="BC48" s="234">
        <v>360</v>
      </c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  <c r="BP48" s="234"/>
      <c r="BQ48" s="234"/>
      <c r="BR48" s="234"/>
      <c r="BS48" s="234"/>
      <c r="BT48" s="234"/>
      <c r="BU48" s="270"/>
      <c r="BV48" s="272">
        <f t="shared" si="11"/>
        <v>162</v>
      </c>
      <c r="BW48" s="272">
        <f t="shared" si="11"/>
        <v>2094</v>
      </c>
      <c r="BX48" s="272">
        <f t="shared" ref="BX48:BX49" si="15">+BU48+BR48+BO48+BL48+BI48+BF48+BC48+AZ48+AW48+AT48+AQ48</f>
        <v>1706.4</v>
      </c>
      <c r="BY48" s="270"/>
      <c r="BZ48" s="270"/>
      <c r="CA48" s="270"/>
      <c r="CB48" s="270"/>
      <c r="CC48" s="270"/>
      <c r="CD48" s="270"/>
      <c r="CE48" s="270"/>
      <c r="CF48" s="270"/>
      <c r="CG48" s="270"/>
      <c r="CH48" s="270"/>
      <c r="CI48" s="270"/>
      <c r="CJ48" s="270"/>
      <c r="CK48" s="270"/>
      <c r="CL48" s="270"/>
      <c r="CM48" s="270"/>
      <c r="CN48" s="270"/>
      <c r="CO48" s="270"/>
      <c r="CP48" s="270"/>
      <c r="CQ48" s="270"/>
      <c r="CR48" s="270"/>
      <c r="CS48" s="270"/>
      <c r="CT48" s="270">
        <v>125</v>
      </c>
      <c r="CU48" s="270">
        <v>1640</v>
      </c>
      <c r="CV48" s="270">
        <v>1287.2</v>
      </c>
      <c r="CW48" s="270"/>
      <c r="CX48" s="270"/>
      <c r="CY48" s="270"/>
      <c r="CZ48" s="270"/>
      <c r="DA48" s="270"/>
      <c r="DB48" s="270"/>
      <c r="DC48" s="270"/>
      <c r="DD48" s="270"/>
      <c r="DE48" s="270"/>
      <c r="DF48" s="272">
        <f t="shared" si="12"/>
        <v>287</v>
      </c>
      <c r="DG48" s="272">
        <f t="shared" si="12"/>
        <v>3734</v>
      </c>
      <c r="DH48" s="272">
        <f t="shared" si="14"/>
        <v>2993.6000000000004</v>
      </c>
      <c r="DI48" s="274"/>
    </row>
    <row r="49" spans="1:113" s="275" customFormat="1" ht="24.75" customHeight="1" x14ac:dyDescent="0.6">
      <c r="A49" s="268">
        <v>6</v>
      </c>
      <c r="B49" s="269" t="s">
        <v>299</v>
      </c>
      <c r="C49" s="104" t="s">
        <v>300</v>
      </c>
      <c r="D49" s="100" t="s">
        <v>301</v>
      </c>
      <c r="E49" s="99" t="s">
        <v>87</v>
      </c>
      <c r="F49" s="234" t="s">
        <v>733</v>
      </c>
      <c r="G49" s="234" t="s">
        <v>834</v>
      </c>
      <c r="H49" s="234" t="s">
        <v>835</v>
      </c>
      <c r="I49" s="234" t="s">
        <v>836</v>
      </c>
      <c r="J49" s="234" t="s">
        <v>288</v>
      </c>
      <c r="K49" s="259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58">
        <v>50</v>
      </c>
      <c r="AD49" s="258">
        <v>700</v>
      </c>
      <c r="AE49" s="258">
        <v>448</v>
      </c>
      <c r="AF49" s="258"/>
      <c r="AG49" s="258"/>
      <c r="AH49" s="258"/>
      <c r="AI49" s="258"/>
      <c r="AJ49" s="258"/>
      <c r="AK49" s="258"/>
      <c r="AL49" s="258"/>
      <c r="AM49" s="258"/>
      <c r="AN49" s="258"/>
      <c r="AO49" s="272">
        <f t="shared" si="13"/>
        <v>50</v>
      </c>
      <c r="AP49" s="272">
        <f t="shared" si="9"/>
        <v>700</v>
      </c>
      <c r="AQ49" s="272">
        <f>+AN49+AK49+AH49+AE49+AB49+Y49+V49+S49+P49+M49</f>
        <v>448</v>
      </c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>
        <v>50</v>
      </c>
      <c r="BH49" s="234">
        <v>700</v>
      </c>
      <c r="BI49" s="234">
        <v>448</v>
      </c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  <c r="BT49" s="234"/>
      <c r="BU49" s="270"/>
      <c r="BV49" s="272">
        <f t="shared" si="11"/>
        <v>100</v>
      </c>
      <c r="BW49" s="272">
        <f t="shared" si="11"/>
        <v>1400</v>
      </c>
      <c r="BX49" s="272">
        <f t="shared" si="15"/>
        <v>896</v>
      </c>
      <c r="BY49" s="270"/>
      <c r="BZ49" s="270"/>
      <c r="CA49" s="270"/>
      <c r="CB49" s="270"/>
      <c r="CC49" s="270"/>
      <c r="CD49" s="270"/>
      <c r="CE49" s="270">
        <v>50</v>
      </c>
      <c r="CF49" s="270">
        <v>700</v>
      </c>
      <c r="CG49" s="270">
        <v>448</v>
      </c>
      <c r="CH49" s="270"/>
      <c r="CI49" s="270"/>
      <c r="CJ49" s="270"/>
      <c r="CK49" s="270"/>
      <c r="CL49" s="270"/>
      <c r="CM49" s="270"/>
      <c r="CN49" s="270"/>
      <c r="CO49" s="270"/>
      <c r="CP49" s="270"/>
      <c r="CQ49" s="270"/>
      <c r="CR49" s="270"/>
      <c r="CS49" s="270"/>
      <c r="CT49" s="270"/>
      <c r="CU49" s="270"/>
      <c r="CV49" s="270"/>
      <c r="CW49" s="270"/>
      <c r="CX49" s="270"/>
      <c r="CY49" s="270"/>
      <c r="CZ49" s="270"/>
      <c r="DA49" s="270"/>
      <c r="DB49" s="270"/>
      <c r="DC49" s="270"/>
      <c r="DD49" s="270"/>
      <c r="DE49" s="270"/>
      <c r="DF49" s="272">
        <f t="shared" si="12"/>
        <v>150</v>
      </c>
      <c r="DG49" s="272">
        <f t="shared" si="12"/>
        <v>2100</v>
      </c>
      <c r="DH49" s="272">
        <f t="shared" si="14"/>
        <v>1344</v>
      </c>
      <c r="DI49" s="274"/>
    </row>
    <row r="50" spans="1:113" s="275" customFormat="1" ht="24.75" customHeight="1" x14ac:dyDescent="0.6">
      <c r="A50" s="268">
        <v>7</v>
      </c>
      <c r="B50" s="269" t="s">
        <v>302</v>
      </c>
      <c r="C50" s="104" t="s">
        <v>303</v>
      </c>
      <c r="D50" s="100" t="s">
        <v>304</v>
      </c>
      <c r="E50" s="99" t="s">
        <v>305</v>
      </c>
      <c r="F50" s="234" t="s">
        <v>733</v>
      </c>
      <c r="G50" s="234" t="s">
        <v>837</v>
      </c>
      <c r="H50" s="234" t="s">
        <v>838</v>
      </c>
      <c r="I50" s="234" t="s">
        <v>839</v>
      </c>
      <c r="J50" s="234" t="s">
        <v>288</v>
      </c>
      <c r="K50" s="259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8"/>
      <c r="Z50" s="258"/>
      <c r="AA50" s="258"/>
      <c r="AB50" s="258"/>
      <c r="AC50" s="258"/>
      <c r="AD50" s="258"/>
      <c r="AE50" s="258"/>
      <c r="AF50" s="258"/>
      <c r="AG50" s="258"/>
      <c r="AH50" s="258"/>
      <c r="AI50" s="258"/>
      <c r="AJ50" s="258"/>
      <c r="AK50" s="258"/>
      <c r="AL50" s="258"/>
      <c r="AM50" s="258"/>
      <c r="AN50" s="258"/>
      <c r="AO50" s="272">
        <f t="shared" si="13"/>
        <v>0</v>
      </c>
      <c r="AP50" s="272">
        <f t="shared" si="9"/>
        <v>0</v>
      </c>
      <c r="AQ50" s="272">
        <f>M50+P50+S50+V50+Y50+AB50+AE50+AH50+AK50+AN50</f>
        <v>0</v>
      </c>
      <c r="AR50" s="234"/>
      <c r="AS50" s="234"/>
      <c r="AT50" s="234"/>
      <c r="AU50" s="234"/>
      <c r="AV50" s="234"/>
      <c r="AW50" s="234"/>
      <c r="AX50" s="234">
        <v>45</v>
      </c>
      <c r="AY50" s="234">
        <v>600</v>
      </c>
      <c r="AZ50" s="234">
        <v>448.8</v>
      </c>
      <c r="BA50" s="234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4"/>
      <c r="BM50" s="234"/>
      <c r="BN50" s="234"/>
      <c r="BO50" s="234"/>
      <c r="BP50" s="234">
        <v>45</v>
      </c>
      <c r="BQ50" s="234">
        <v>584</v>
      </c>
      <c r="BR50" s="234">
        <v>473.12</v>
      </c>
      <c r="BS50" s="234"/>
      <c r="BT50" s="234"/>
      <c r="BU50" s="270"/>
      <c r="BV50" s="272">
        <f t="shared" si="11"/>
        <v>90</v>
      </c>
      <c r="BW50" s="272">
        <f t="shared" si="11"/>
        <v>1184</v>
      </c>
      <c r="BX50" s="272">
        <f t="shared" si="11"/>
        <v>921.92000000000007</v>
      </c>
      <c r="BY50" s="270"/>
      <c r="BZ50" s="270"/>
      <c r="CA50" s="270"/>
      <c r="CB50" s="270"/>
      <c r="CC50" s="270"/>
      <c r="CD50" s="270"/>
      <c r="CE50" s="270"/>
      <c r="CF50" s="270"/>
      <c r="CG50" s="270"/>
      <c r="CH50" s="270"/>
      <c r="CI50" s="270"/>
      <c r="CJ50" s="270"/>
      <c r="CK50" s="270"/>
      <c r="CL50" s="270"/>
      <c r="CM50" s="270"/>
      <c r="CN50" s="270"/>
      <c r="CO50" s="270"/>
      <c r="CP50" s="270"/>
      <c r="CQ50" s="270"/>
      <c r="CR50" s="270"/>
      <c r="CS50" s="270"/>
      <c r="CT50" s="270">
        <v>53</v>
      </c>
      <c r="CU50" s="270">
        <v>682</v>
      </c>
      <c r="CV50" s="270">
        <v>566.08000000000004</v>
      </c>
      <c r="CW50" s="270"/>
      <c r="CX50" s="270"/>
      <c r="CY50" s="270"/>
      <c r="CZ50" s="270"/>
      <c r="DA50" s="270"/>
      <c r="DB50" s="270"/>
      <c r="DC50" s="270"/>
      <c r="DD50" s="270"/>
      <c r="DE50" s="270"/>
      <c r="DF50" s="272">
        <f t="shared" si="12"/>
        <v>143</v>
      </c>
      <c r="DG50" s="272">
        <f t="shared" si="12"/>
        <v>1866</v>
      </c>
      <c r="DH50" s="272">
        <f t="shared" si="14"/>
        <v>1488</v>
      </c>
      <c r="DI50" s="274"/>
    </row>
    <row r="51" spans="1:113" s="275" customFormat="1" ht="24.75" customHeight="1" x14ac:dyDescent="0.6">
      <c r="A51" s="268">
        <v>8</v>
      </c>
      <c r="B51" s="269" t="s">
        <v>306</v>
      </c>
      <c r="C51" s="104" t="s">
        <v>307</v>
      </c>
      <c r="D51" s="100" t="s">
        <v>308</v>
      </c>
      <c r="E51" s="99" t="s">
        <v>309</v>
      </c>
      <c r="F51" s="234" t="s">
        <v>733</v>
      </c>
      <c r="G51" s="234" t="s">
        <v>299</v>
      </c>
      <c r="H51" s="234" t="s">
        <v>300</v>
      </c>
      <c r="I51" s="234" t="s">
        <v>840</v>
      </c>
      <c r="J51" s="234" t="s">
        <v>288</v>
      </c>
      <c r="K51" s="259"/>
      <c r="L51" s="258"/>
      <c r="M51" s="258"/>
      <c r="N51" s="258"/>
      <c r="O51" s="276"/>
      <c r="P51" s="276"/>
      <c r="Q51" s="258"/>
      <c r="R51" s="258"/>
      <c r="S51" s="258"/>
      <c r="T51" s="258"/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258"/>
      <c r="AF51" s="258"/>
      <c r="AG51" s="258"/>
      <c r="AH51" s="258"/>
      <c r="AI51" s="258"/>
      <c r="AJ51" s="258"/>
      <c r="AK51" s="258"/>
      <c r="AL51" s="258"/>
      <c r="AM51" s="258"/>
      <c r="AN51" s="258"/>
      <c r="AO51" s="272">
        <f t="shared" si="13"/>
        <v>0</v>
      </c>
      <c r="AP51" s="272">
        <f t="shared" si="9"/>
        <v>0</v>
      </c>
      <c r="AQ51" s="272">
        <f>M51+P51+S51+V51+Y51+AB51+AE51+AH51+AK51+AN51</f>
        <v>0</v>
      </c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  <c r="BM51" s="234"/>
      <c r="BN51" s="234"/>
      <c r="BO51" s="234"/>
      <c r="BP51" s="234"/>
      <c r="BQ51" s="234"/>
      <c r="BR51" s="234"/>
      <c r="BS51" s="234"/>
      <c r="BT51" s="234"/>
      <c r="BU51" s="270"/>
      <c r="BV51" s="272">
        <f t="shared" si="11"/>
        <v>0</v>
      </c>
      <c r="BW51" s="272">
        <f t="shared" si="11"/>
        <v>0</v>
      </c>
      <c r="BX51" s="272">
        <f t="shared" si="11"/>
        <v>0</v>
      </c>
      <c r="BY51" s="270"/>
      <c r="BZ51" s="270"/>
      <c r="CA51" s="270"/>
      <c r="CB51" s="270"/>
      <c r="CC51" s="270"/>
      <c r="CD51" s="270"/>
      <c r="CE51" s="270"/>
      <c r="CF51" s="270"/>
      <c r="CG51" s="270"/>
      <c r="CH51" s="270"/>
      <c r="CI51" s="270"/>
      <c r="CJ51" s="270"/>
      <c r="CK51" s="270"/>
      <c r="CL51" s="270"/>
      <c r="CM51" s="270"/>
      <c r="CN51" s="270"/>
      <c r="CO51" s="270"/>
      <c r="CP51" s="270"/>
      <c r="CQ51" s="270"/>
      <c r="CR51" s="270"/>
      <c r="CS51" s="270"/>
      <c r="CT51" s="270"/>
      <c r="CU51" s="270"/>
      <c r="CV51" s="270"/>
      <c r="CW51" s="270">
        <v>150</v>
      </c>
      <c r="CX51" s="270">
        <v>2680</v>
      </c>
      <c r="CY51" s="270">
        <v>1799.2</v>
      </c>
      <c r="CZ51" s="270"/>
      <c r="DA51" s="270"/>
      <c r="DB51" s="270"/>
      <c r="DC51" s="270"/>
      <c r="DD51" s="270"/>
      <c r="DE51" s="270"/>
      <c r="DF51" s="272">
        <f t="shared" si="12"/>
        <v>150</v>
      </c>
      <c r="DG51" s="272">
        <f t="shared" si="12"/>
        <v>2680</v>
      </c>
      <c r="DH51" s="272">
        <f t="shared" si="14"/>
        <v>1799.2</v>
      </c>
      <c r="DI51" s="274"/>
    </row>
    <row r="52" spans="1:113" s="275" customFormat="1" ht="24.75" customHeight="1" x14ac:dyDescent="0.6">
      <c r="A52" s="268">
        <v>9</v>
      </c>
      <c r="B52" s="269" t="s">
        <v>310</v>
      </c>
      <c r="C52" s="104" t="s">
        <v>311</v>
      </c>
      <c r="D52" s="100" t="s">
        <v>312</v>
      </c>
      <c r="E52" s="99" t="s">
        <v>313</v>
      </c>
      <c r="F52" s="234" t="s">
        <v>733</v>
      </c>
      <c r="G52" s="234" t="s">
        <v>841</v>
      </c>
      <c r="H52" s="234" t="s">
        <v>842</v>
      </c>
      <c r="I52" s="234" t="s">
        <v>843</v>
      </c>
      <c r="J52" s="234" t="s">
        <v>288</v>
      </c>
      <c r="K52" s="259"/>
      <c r="L52" s="258"/>
      <c r="M52" s="258"/>
      <c r="N52" s="258"/>
      <c r="O52" s="258"/>
      <c r="P52" s="258"/>
      <c r="Q52" s="258">
        <v>90</v>
      </c>
      <c r="R52" s="258">
        <v>1390</v>
      </c>
      <c r="S52" s="258">
        <v>1054.4000000000001</v>
      </c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>
        <v>90</v>
      </c>
      <c r="AG52" s="258">
        <v>1380</v>
      </c>
      <c r="AH52" s="258">
        <v>1045.5999999999999</v>
      </c>
      <c r="AI52" s="258"/>
      <c r="AJ52" s="258"/>
      <c r="AK52" s="258"/>
      <c r="AL52" s="258">
        <v>60</v>
      </c>
      <c r="AM52" s="258">
        <v>740</v>
      </c>
      <c r="AN52" s="258">
        <v>665.6</v>
      </c>
      <c r="AO52" s="272">
        <f t="shared" si="13"/>
        <v>240</v>
      </c>
      <c r="AP52" s="272">
        <f t="shared" si="9"/>
        <v>3510</v>
      </c>
      <c r="AQ52" s="272">
        <f>M52+P52+S52+V52+Y52+AB52+AE52+AH52+AK52+AN52</f>
        <v>2765.6</v>
      </c>
      <c r="AR52" s="234"/>
      <c r="AS52" s="234"/>
      <c r="AT52" s="234"/>
      <c r="AU52" s="234"/>
      <c r="AV52" s="234"/>
      <c r="AW52" s="234"/>
      <c r="AX52" s="234"/>
      <c r="AY52" s="234"/>
      <c r="AZ52" s="234"/>
      <c r="BA52" s="234"/>
      <c r="BB52" s="234"/>
      <c r="BC52" s="234"/>
      <c r="BD52" s="234">
        <v>90</v>
      </c>
      <c r="BE52" s="234">
        <v>1520</v>
      </c>
      <c r="BF52" s="234">
        <v>1079.5999999999999</v>
      </c>
      <c r="BG52" s="234"/>
      <c r="BH52" s="234"/>
      <c r="BI52" s="234"/>
      <c r="BJ52" s="234"/>
      <c r="BK52" s="234"/>
      <c r="BL52" s="234"/>
      <c r="BM52" s="234"/>
      <c r="BN52" s="234"/>
      <c r="BO52" s="234"/>
      <c r="BP52" s="234"/>
      <c r="BQ52" s="234"/>
      <c r="BR52" s="234"/>
      <c r="BS52" s="234">
        <v>75</v>
      </c>
      <c r="BT52" s="234">
        <v>1200</v>
      </c>
      <c r="BU52" s="270">
        <v>865.6</v>
      </c>
      <c r="BV52" s="272">
        <f t="shared" si="11"/>
        <v>405</v>
      </c>
      <c r="BW52" s="272">
        <f t="shared" si="11"/>
        <v>6230</v>
      </c>
      <c r="BX52" s="272">
        <f t="shared" si="11"/>
        <v>4710.7999999999993</v>
      </c>
      <c r="BY52" s="270"/>
      <c r="BZ52" s="270"/>
      <c r="CA52" s="270"/>
      <c r="CB52" s="270"/>
      <c r="CC52" s="270"/>
      <c r="CD52" s="270"/>
      <c r="CE52" s="270">
        <v>35</v>
      </c>
      <c r="CF52" s="270">
        <v>420</v>
      </c>
      <c r="CG52" s="270">
        <v>420</v>
      </c>
      <c r="CH52" s="270"/>
      <c r="CI52" s="270"/>
      <c r="CJ52" s="270"/>
      <c r="CK52" s="270"/>
      <c r="CL52" s="270"/>
      <c r="CM52" s="270"/>
      <c r="CN52" s="270"/>
      <c r="CO52" s="270"/>
      <c r="CP52" s="270"/>
      <c r="CQ52" s="270">
        <v>80</v>
      </c>
      <c r="CR52" s="270">
        <v>1420</v>
      </c>
      <c r="CS52" s="270">
        <v>905.2</v>
      </c>
      <c r="CT52" s="270"/>
      <c r="CU52" s="270"/>
      <c r="CV52" s="270"/>
      <c r="CW52" s="270"/>
      <c r="CX52" s="270"/>
      <c r="CY52" s="270"/>
      <c r="CZ52" s="270">
        <v>80</v>
      </c>
      <c r="DA52" s="270">
        <v>1240</v>
      </c>
      <c r="DB52" s="270">
        <v>956</v>
      </c>
      <c r="DC52" s="270"/>
      <c r="DD52" s="270"/>
      <c r="DE52" s="270"/>
      <c r="DF52" s="272">
        <f t="shared" si="12"/>
        <v>600</v>
      </c>
      <c r="DG52" s="272">
        <f t="shared" si="12"/>
        <v>9310</v>
      </c>
      <c r="DH52" s="272">
        <f t="shared" si="14"/>
        <v>6991.9999999999991</v>
      </c>
      <c r="DI52" s="274"/>
    </row>
    <row r="53" spans="1:113" s="275" customFormat="1" ht="24.75" customHeight="1" x14ac:dyDescent="0.6">
      <c r="A53" s="268">
        <v>10</v>
      </c>
      <c r="B53" s="300">
        <v>126</v>
      </c>
      <c r="C53" s="147">
        <v>126</v>
      </c>
      <c r="D53" s="100" t="s">
        <v>314</v>
      </c>
      <c r="E53" s="99" t="s">
        <v>132</v>
      </c>
      <c r="F53" s="234" t="s">
        <v>733</v>
      </c>
      <c r="G53" s="234" t="s">
        <v>306</v>
      </c>
      <c r="H53" s="234" t="s">
        <v>307</v>
      </c>
      <c r="I53" s="234" t="s">
        <v>844</v>
      </c>
      <c r="J53" s="234" t="s">
        <v>288</v>
      </c>
      <c r="K53" s="259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  <c r="AF53" s="258"/>
      <c r="AG53" s="258"/>
      <c r="AH53" s="258"/>
      <c r="AI53" s="258"/>
      <c r="AJ53" s="258"/>
      <c r="AK53" s="258"/>
      <c r="AL53" s="258"/>
      <c r="AM53" s="258"/>
      <c r="AN53" s="258"/>
      <c r="AO53" s="272">
        <f t="shared" si="13"/>
        <v>0</v>
      </c>
      <c r="AP53" s="272">
        <f t="shared" si="9"/>
        <v>0</v>
      </c>
      <c r="AQ53" s="272">
        <f>M53+P53+S53+V53+Y53+AB53+AE53+AH53+AK53+AN53</f>
        <v>0</v>
      </c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>
        <v>32</v>
      </c>
      <c r="BH53" s="234">
        <v>470</v>
      </c>
      <c r="BI53" s="234">
        <v>342.4</v>
      </c>
      <c r="BJ53" s="234"/>
      <c r="BK53" s="234"/>
      <c r="BL53" s="234"/>
      <c r="BM53" s="234"/>
      <c r="BN53" s="234"/>
      <c r="BO53" s="234"/>
      <c r="BP53" s="234"/>
      <c r="BQ53" s="234"/>
      <c r="BR53" s="234"/>
      <c r="BS53" s="234"/>
      <c r="BT53" s="234"/>
      <c r="BU53" s="270"/>
      <c r="BV53" s="272">
        <f t="shared" si="11"/>
        <v>32</v>
      </c>
      <c r="BW53" s="272">
        <f t="shared" si="11"/>
        <v>470</v>
      </c>
      <c r="BX53" s="272">
        <f t="shared" si="11"/>
        <v>342.4</v>
      </c>
      <c r="BY53" s="270"/>
      <c r="BZ53" s="270"/>
      <c r="CA53" s="270"/>
      <c r="CB53" s="270"/>
      <c r="CC53" s="270"/>
      <c r="CD53" s="270"/>
      <c r="CE53" s="270"/>
      <c r="CF53" s="270"/>
      <c r="CG53" s="270"/>
      <c r="CH53" s="270"/>
      <c r="CI53" s="270"/>
      <c r="CJ53" s="270"/>
      <c r="CK53" s="270"/>
      <c r="CL53" s="270"/>
      <c r="CM53" s="270"/>
      <c r="CN53" s="270"/>
      <c r="CO53" s="270"/>
      <c r="CP53" s="270"/>
      <c r="CQ53" s="270"/>
      <c r="CR53" s="270"/>
      <c r="CS53" s="270"/>
      <c r="CT53" s="270"/>
      <c r="CU53" s="270"/>
      <c r="CV53" s="270"/>
      <c r="CW53" s="270"/>
      <c r="CX53" s="270"/>
      <c r="CY53" s="270"/>
      <c r="CZ53" s="270"/>
      <c r="DA53" s="270"/>
      <c r="DB53" s="270"/>
      <c r="DC53" s="270"/>
      <c r="DD53" s="270"/>
      <c r="DE53" s="270"/>
      <c r="DF53" s="272">
        <f t="shared" si="12"/>
        <v>32</v>
      </c>
      <c r="DG53" s="272">
        <f t="shared" si="12"/>
        <v>470</v>
      </c>
      <c r="DH53" s="272">
        <f t="shared" si="14"/>
        <v>342.4</v>
      </c>
      <c r="DI53" s="274"/>
    </row>
    <row r="54" spans="1:113" s="275" customFormat="1" ht="24.75" customHeight="1" x14ac:dyDescent="0.6">
      <c r="A54" s="268">
        <v>11</v>
      </c>
      <c r="B54" s="269" t="s">
        <v>315</v>
      </c>
      <c r="C54" s="104" t="s">
        <v>316</v>
      </c>
      <c r="D54" s="100" t="s">
        <v>90</v>
      </c>
      <c r="E54" s="99" t="s">
        <v>91</v>
      </c>
      <c r="F54" s="234" t="s">
        <v>733</v>
      </c>
      <c r="G54" s="234" t="s">
        <v>845</v>
      </c>
      <c r="H54" s="234" t="s">
        <v>846</v>
      </c>
      <c r="I54" s="234" t="s">
        <v>847</v>
      </c>
      <c r="J54" s="234" t="s">
        <v>288</v>
      </c>
      <c r="K54" s="259"/>
      <c r="L54" s="258"/>
      <c r="M54" s="258"/>
      <c r="N54" s="258">
        <v>20</v>
      </c>
      <c r="O54" s="258">
        <v>240</v>
      </c>
      <c r="P54" s="258">
        <v>240</v>
      </c>
      <c r="Q54" s="258">
        <v>20</v>
      </c>
      <c r="R54" s="258">
        <v>380</v>
      </c>
      <c r="S54" s="258">
        <v>250</v>
      </c>
      <c r="T54" s="258"/>
      <c r="U54" s="258"/>
      <c r="V54" s="258"/>
      <c r="W54" s="258"/>
      <c r="X54" s="258"/>
      <c r="Y54" s="258"/>
      <c r="Z54" s="258">
        <v>55</v>
      </c>
      <c r="AA54" s="258">
        <v>700</v>
      </c>
      <c r="AB54" s="258">
        <v>599.20000000000005</v>
      </c>
      <c r="AC54" s="258"/>
      <c r="AD54" s="258"/>
      <c r="AE54" s="258"/>
      <c r="AF54" s="258"/>
      <c r="AG54" s="258"/>
      <c r="AH54" s="258"/>
      <c r="AI54" s="258">
        <v>25</v>
      </c>
      <c r="AJ54" s="258">
        <v>300</v>
      </c>
      <c r="AK54" s="258">
        <v>300</v>
      </c>
      <c r="AL54" s="258">
        <v>25</v>
      </c>
      <c r="AM54" s="258">
        <v>320</v>
      </c>
      <c r="AN54" s="258">
        <v>269.60000000000002</v>
      </c>
      <c r="AO54" s="272">
        <f t="shared" si="13"/>
        <v>145</v>
      </c>
      <c r="AP54" s="272">
        <f t="shared" si="9"/>
        <v>1940</v>
      </c>
      <c r="AQ54" s="272">
        <f>+AN54+AK54+AH54+AE54+AB54+Y54+V54+S54+P54+M54</f>
        <v>1658.8000000000002</v>
      </c>
      <c r="AR54" s="234"/>
      <c r="AS54" s="234"/>
      <c r="AT54" s="234"/>
      <c r="AU54" s="234">
        <v>20</v>
      </c>
      <c r="AV54" s="234">
        <v>240</v>
      </c>
      <c r="AW54" s="234">
        <v>240</v>
      </c>
      <c r="AX54" s="234">
        <v>25</v>
      </c>
      <c r="AY54" s="234">
        <v>320</v>
      </c>
      <c r="AZ54" s="234">
        <v>269.60000000000002</v>
      </c>
      <c r="BA54" s="234"/>
      <c r="BB54" s="234"/>
      <c r="BC54" s="234"/>
      <c r="BD54" s="234"/>
      <c r="BE54" s="234"/>
      <c r="BF54" s="234"/>
      <c r="BG54" s="234">
        <v>45</v>
      </c>
      <c r="BH54" s="234">
        <v>560</v>
      </c>
      <c r="BI54" s="234">
        <v>509.6</v>
      </c>
      <c r="BJ54" s="234"/>
      <c r="BK54" s="234"/>
      <c r="BL54" s="234"/>
      <c r="BM54" s="234"/>
      <c r="BN54" s="234"/>
      <c r="BO54" s="234"/>
      <c r="BP54" s="234">
        <v>70</v>
      </c>
      <c r="BQ54" s="234">
        <v>1420</v>
      </c>
      <c r="BR54" s="234">
        <v>825.6</v>
      </c>
      <c r="BS54" s="234"/>
      <c r="BT54" s="234"/>
      <c r="BU54" s="270"/>
      <c r="BV54" s="272">
        <f t="shared" si="11"/>
        <v>305</v>
      </c>
      <c r="BW54" s="272">
        <f t="shared" si="11"/>
        <v>4480</v>
      </c>
      <c r="BX54" s="272">
        <f t="shared" si="11"/>
        <v>3503.6000000000004</v>
      </c>
      <c r="BY54" s="270">
        <v>35</v>
      </c>
      <c r="BZ54" s="270">
        <v>440</v>
      </c>
      <c r="CA54" s="270">
        <v>389.6</v>
      </c>
      <c r="CB54" s="270"/>
      <c r="CC54" s="270"/>
      <c r="CD54" s="270"/>
      <c r="CE54" s="270">
        <v>35</v>
      </c>
      <c r="CF54" s="270">
        <v>560</v>
      </c>
      <c r="CG54" s="270">
        <v>406</v>
      </c>
      <c r="CH54" s="270">
        <v>45</v>
      </c>
      <c r="CI54" s="270">
        <v>580</v>
      </c>
      <c r="CJ54" s="270">
        <v>479.20000000000005</v>
      </c>
      <c r="CK54" s="270"/>
      <c r="CL54" s="270"/>
      <c r="CM54" s="270"/>
      <c r="CN54" s="270"/>
      <c r="CO54" s="270"/>
      <c r="CP54" s="270"/>
      <c r="CQ54" s="270">
        <v>50</v>
      </c>
      <c r="CR54" s="270">
        <v>600</v>
      </c>
      <c r="CS54" s="270">
        <v>600</v>
      </c>
      <c r="CT54" s="270"/>
      <c r="CU54" s="270"/>
      <c r="CV54" s="270"/>
      <c r="CW54" s="270"/>
      <c r="CX54" s="270"/>
      <c r="CY54" s="270"/>
      <c r="CZ54" s="270">
        <v>50</v>
      </c>
      <c r="DA54" s="270">
        <v>630</v>
      </c>
      <c r="DB54" s="270">
        <v>554.4</v>
      </c>
      <c r="DC54" s="270">
        <v>25</v>
      </c>
      <c r="DD54" s="270">
        <v>320</v>
      </c>
      <c r="DE54" s="270">
        <v>269.60000000000002</v>
      </c>
      <c r="DF54" s="272">
        <f t="shared" si="12"/>
        <v>545</v>
      </c>
      <c r="DG54" s="272">
        <f t="shared" si="12"/>
        <v>7610</v>
      </c>
      <c r="DH54" s="272">
        <f t="shared" si="14"/>
        <v>6202.4000000000005</v>
      </c>
      <c r="DI54" s="274"/>
    </row>
    <row r="55" spans="1:113" s="275" customFormat="1" ht="24.75" customHeight="1" x14ac:dyDescent="0.6">
      <c r="A55" s="268">
        <v>12</v>
      </c>
      <c r="B55" s="269" t="s">
        <v>317</v>
      </c>
      <c r="C55" s="104" t="s">
        <v>318</v>
      </c>
      <c r="D55" s="100" t="s">
        <v>90</v>
      </c>
      <c r="E55" s="99" t="s">
        <v>91</v>
      </c>
      <c r="F55" s="234" t="s">
        <v>733</v>
      </c>
      <c r="G55" s="234" t="s">
        <v>848</v>
      </c>
      <c r="H55" s="234" t="s">
        <v>849</v>
      </c>
      <c r="I55" s="234" t="s">
        <v>850</v>
      </c>
      <c r="J55" s="234" t="s">
        <v>288</v>
      </c>
      <c r="K55" s="259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  <c r="AB55" s="258"/>
      <c r="AC55" s="258">
        <v>25</v>
      </c>
      <c r="AD55" s="258">
        <v>350</v>
      </c>
      <c r="AE55" s="258">
        <v>224</v>
      </c>
      <c r="AF55" s="258"/>
      <c r="AG55" s="258"/>
      <c r="AH55" s="258"/>
      <c r="AI55" s="258"/>
      <c r="AJ55" s="258"/>
      <c r="AK55" s="258"/>
      <c r="AL55" s="258"/>
      <c r="AM55" s="258"/>
      <c r="AN55" s="258"/>
      <c r="AO55" s="272">
        <f t="shared" si="13"/>
        <v>25</v>
      </c>
      <c r="AP55" s="272">
        <f t="shared" si="9"/>
        <v>350</v>
      </c>
      <c r="AQ55" s="272">
        <f t="shared" ref="AQ55:AQ90" si="16">M55+P55+S55+V55+Y55+AB55+AE55+AH55+AK55+AN55</f>
        <v>224</v>
      </c>
      <c r="AR55" s="234"/>
      <c r="AS55" s="234"/>
      <c r="AT55" s="234"/>
      <c r="AU55" s="234"/>
      <c r="AV55" s="234"/>
      <c r="AW55" s="234"/>
      <c r="AX55" s="234">
        <v>30</v>
      </c>
      <c r="AY55" s="234">
        <v>1200</v>
      </c>
      <c r="AZ55" s="234">
        <v>420</v>
      </c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4"/>
      <c r="BM55" s="234"/>
      <c r="BN55" s="234"/>
      <c r="BO55" s="234"/>
      <c r="BP55" s="234">
        <v>30</v>
      </c>
      <c r="BQ55" s="234">
        <v>360</v>
      </c>
      <c r="BR55" s="234">
        <v>360</v>
      </c>
      <c r="BS55" s="234"/>
      <c r="BT55" s="234"/>
      <c r="BU55" s="270"/>
      <c r="BV55" s="272">
        <f t="shared" si="11"/>
        <v>85</v>
      </c>
      <c r="BW55" s="272">
        <f t="shared" si="11"/>
        <v>1910</v>
      </c>
      <c r="BX55" s="272">
        <f t="shared" si="11"/>
        <v>1004</v>
      </c>
      <c r="BY55" s="270"/>
      <c r="BZ55" s="270"/>
      <c r="CA55" s="270"/>
      <c r="CB55" s="270"/>
      <c r="CC55" s="270"/>
      <c r="CD55" s="270"/>
      <c r="CE55" s="270">
        <v>25</v>
      </c>
      <c r="CF55" s="270">
        <v>300</v>
      </c>
      <c r="CG55" s="270">
        <v>300</v>
      </c>
      <c r="CH55" s="270"/>
      <c r="CI55" s="270"/>
      <c r="CJ55" s="270"/>
      <c r="CK55" s="270"/>
      <c r="CL55" s="270"/>
      <c r="CM55" s="270"/>
      <c r="CN55" s="270"/>
      <c r="CO55" s="270"/>
      <c r="CP55" s="270"/>
      <c r="CQ55" s="270"/>
      <c r="CR55" s="270"/>
      <c r="CS55" s="270"/>
      <c r="CT55" s="270"/>
      <c r="CU55" s="270"/>
      <c r="CV55" s="270"/>
      <c r="CW55" s="270"/>
      <c r="CX55" s="270"/>
      <c r="CY55" s="270"/>
      <c r="CZ55" s="270"/>
      <c r="DA55" s="270"/>
      <c r="DB55" s="270"/>
      <c r="DC55" s="270"/>
      <c r="DD55" s="270"/>
      <c r="DE55" s="270"/>
      <c r="DF55" s="272">
        <f t="shared" si="12"/>
        <v>110</v>
      </c>
      <c r="DG55" s="272">
        <f t="shared" si="12"/>
        <v>2210</v>
      </c>
      <c r="DH55" s="272">
        <f t="shared" si="14"/>
        <v>1304</v>
      </c>
      <c r="DI55" s="274"/>
    </row>
    <row r="56" spans="1:113" s="275" customFormat="1" ht="24.75" customHeight="1" x14ac:dyDescent="0.6">
      <c r="A56" s="268">
        <v>13</v>
      </c>
      <c r="B56" s="269" t="s">
        <v>319</v>
      </c>
      <c r="C56" s="104" t="s">
        <v>320</v>
      </c>
      <c r="D56" s="100" t="s">
        <v>90</v>
      </c>
      <c r="E56" s="99" t="s">
        <v>91</v>
      </c>
      <c r="F56" s="234" t="s">
        <v>733</v>
      </c>
      <c r="G56" s="234" t="s">
        <v>851</v>
      </c>
      <c r="H56" s="234" t="s">
        <v>852</v>
      </c>
      <c r="I56" s="234" t="s">
        <v>853</v>
      </c>
      <c r="J56" s="234" t="s">
        <v>288</v>
      </c>
      <c r="K56" s="259"/>
      <c r="L56" s="258"/>
      <c r="M56" s="258"/>
      <c r="N56" s="258">
        <v>20</v>
      </c>
      <c r="O56" s="258">
        <v>260</v>
      </c>
      <c r="P56" s="258">
        <v>209.60000000000002</v>
      </c>
      <c r="Q56" s="258">
        <v>15</v>
      </c>
      <c r="R56" s="258">
        <v>340</v>
      </c>
      <c r="S56" s="258">
        <v>159.60000000000002</v>
      </c>
      <c r="T56" s="258"/>
      <c r="U56" s="258"/>
      <c r="V56" s="258"/>
      <c r="W56" s="258">
        <v>15</v>
      </c>
      <c r="X56" s="258">
        <v>180</v>
      </c>
      <c r="Y56" s="258">
        <v>180</v>
      </c>
      <c r="Z56" s="258">
        <v>20</v>
      </c>
      <c r="AA56" s="258">
        <v>280</v>
      </c>
      <c r="AB56" s="258">
        <v>179.20000000000002</v>
      </c>
      <c r="AC56" s="258">
        <v>20</v>
      </c>
      <c r="AD56" s="258">
        <v>260</v>
      </c>
      <c r="AE56" s="258">
        <v>209.60000000000002</v>
      </c>
      <c r="AF56" s="258"/>
      <c r="AG56" s="258"/>
      <c r="AH56" s="258"/>
      <c r="AI56" s="258">
        <v>20</v>
      </c>
      <c r="AJ56" s="258">
        <v>260</v>
      </c>
      <c r="AK56" s="258">
        <v>209.60000000000002</v>
      </c>
      <c r="AL56" s="258"/>
      <c r="AM56" s="258"/>
      <c r="AN56" s="258"/>
      <c r="AO56" s="272">
        <f t="shared" si="13"/>
        <v>110</v>
      </c>
      <c r="AP56" s="272">
        <f t="shared" si="9"/>
        <v>1580</v>
      </c>
      <c r="AQ56" s="272">
        <f t="shared" si="16"/>
        <v>1147.6000000000001</v>
      </c>
      <c r="AR56" s="234"/>
      <c r="AS56" s="234"/>
      <c r="AT56" s="234"/>
      <c r="AU56" s="234">
        <v>25</v>
      </c>
      <c r="AV56" s="234">
        <v>320</v>
      </c>
      <c r="AW56" s="234">
        <v>269.60000000000002</v>
      </c>
      <c r="AX56" s="234">
        <v>20</v>
      </c>
      <c r="AY56" s="234">
        <v>260</v>
      </c>
      <c r="AZ56" s="234">
        <v>209.60000000000002</v>
      </c>
      <c r="BA56" s="234">
        <v>20</v>
      </c>
      <c r="BB56" s="234">
        <v>280</v>
      </c>
      <c r="BC56" s="234">
        <v>179.20000000000002</v>
      </c>
      <c r="BD56" s="234">
        <v>15</v>
      </c>
      <c r="BE56" s="234">
        <v>320</v>
      </c>
      <c r="BF56" s="234">
        <v>190</v>
      </c>
      <c r="BG56" s="234">
        <v>15</v>
      </c>
      <c r="BH56" s="234">
        <v>180</v>
      </c>
      <c r="BI56" s="234">
        <v>180</v>
      </c>
      <c r="BJ56" s="234">
        <v>20</v>
      </c>
      <c r="BK56" s="234">
        <v>260</v>
      </c>
      <c r="BL56" s="234">
        <v>209.60000000000002</v>
      </c>
      <c r="BM56" s="234"/>
      <c r="BN56" s="234"/>
      <c r="BO56" s="234"/>
      <c r="BP56" s="234">
        <v>25</v>
      </c>
      <c r="BQ56" s="234">
        <v>320</v>
      </c>
      <c r="BR56" s="234">
        <v>269.60000000000002</v>
      </c>
      <c r="BS56" s="234">
        <v>20</v>
      </c>
      <c r="BT56" s="234">
        <v>260</v>
      </c>
      <c r="BU56" s="270">
        <v>209.60000000000002</v>
      </c>
      <c r="BV56" s="272">
        <f t="shared" si="11"/>
        <v>270</v>
      </c>
      <c r="BW56" s="272">
        <f t="shared" si="11"/>
        <v>3780</v>
      </c>
      <c r="BX56" s="272">
        <f t="shared" si="11"/>
        <v>2864.8</v>
      </c>
      <c r="BY56" s="270">
        <v>15</v>
      </c>
      <c r="BZ56" s="270">
        <v>600</v>
      </c>
      <c r="CA56" s="270">
        <v>210</v>
      </c>
      <c r="CB56" s="270">
        <v>15</v>
      </c>
      <c r="CC56" s="270">
        <v>180</v>
      </c>
      <c r="CD56" s="270">
        <v>180</v>
      </c>
      <c r="CE56" s="270">
        <v>15</v>
      </c>
      <c r="CF56" s="270">
        <v>210</v>
      </c>
      <c r="CG56" s="270">
        <v>134.4</v>
      </c>
      <c r="CH56" s="270">
        <v>15</v>
      </c>
      <c r="CI56" s="270">
        <v>180</v>
      </c>
      <c r="CJ56" s="270">
        <v>180</v>
      </c>
      <c r="CK56" s="270"/>
      <c r="CL56" s="270"/>
      <c r="CM56" s="270"/>
      <c r="CN56" s="270">
        <v>15</v>
      </c>
      <c r="CO56" s="270">
        <v>210</v>
      </c>
      <c r="CP56" s="270">
        <v>134.4</v>
      </c>
      <c r="CQ56" s="270">
        <v>15</v>
      </c>
      <c r="CR56" s="270">
        <v>320</v>
      </c>
      <c r="CS56" s="270">
        <v>190</v>
      </c>
      <c r="CT56" s="270"/>
      <c r="CU56" s="270"/>
      <c r="CV56" s="270"/>
      <c r="CW56" s="270">
        <v>25</v>
      </c>
      <c r="CX56" s="270">
        <v>300</v>
      </c>
      <c r="CY56" s="270">
        <v>300</v>
      </c>
      <c r="CZ56" s="270">
        <v>20</v>
      </c>
      <c r="DA56" s="270">
        <v>280</v>
      </c>
      <c r="DB56" s="270">
        <v>179.20000000000002</v>
      </c>
      <c r="DC56" s="270">
        <v>15</v>
      </c>
      <c r="DD56" s="270">
        <v>210</v>
      </c>
      <c r="DE56" s="270">
        <v>134.4</v>
      </c>
      <c r="DF56" s="272">
        <f t="shared" si="12"/>
        <v>420</v>
      </c>
      <c r="DG56" s="272">
        <f t="shared" si="12"/>
        <v>6270</v>
      </c>
      <c r="DH56" s="272">
        <f t="shared" si="14"/>
        <v>4507.2</v>
      </c>
      <c r="DI56" s="274"/>
    </row>
    <row r="57" spans="1:113" s="275" customFormat="1" ht="24.75" customHeight="1" x14ac:dyDescent="0.6">
      <c r="A57" s="268">
        <v>14</v>
      </c>
      <c r="B57" s="269" t="s">
        <v>321</v>
      </c>
      <c r="C57" s="104" t="s">
        <v>322</v>
      </c>
      <c r="D57" s="100" t="s">
        <v>323</v>
      </c>
      <c r="E57" s="99" t="s">
        <v>91</v>
      </c>
      <c r="F57" s="234" t="s">
        <v>733</v>
      </c>
      <c r="G57" s="234" t="s">
        <v>854</v>
      </c>
      <c r="H57" s="234" t="s">
        <v>855</v>
      </c>
      <c r="I57" s="234" t="s">
        <v>856</v>
      </c>
      <c r="J57" s="234" t="s">
        <v>288</v>
      </c>
      <c r="K57" s="259"/>
      <c r="L57" s="258"/>
      <c r="M57" s="258"/>
      <c r="N57" s="258"/>
      <c r="O57" s="258"/>
      <c r="P57" s="258"/>
      <c r="Q57" s="258">
        <v>40</v>
      </c>
      <c r="R57" s="258">
        <v>620</v>
      </c>
      <c r="S57" s="258">
        <v>466</v>
      </c>
      <c r="T57" s="258"/>
      <c r="U57" s="258"/>
      <c r="V57" s="258"/>
      <c r="W57" s="258"/>
      <c r="X57" s="258"/>
      <c r="Y57" s="258"/>
      <c r="Z57" s="258"/>
      <c r="AA57" s="258"/>
      <c r="AB57" s="258"/>
      <c r="AC57" s="258"/>
      <c r="AD57" s="258"/>
      <c r="AE57" s="258"/>
      <c r="AF57" s="258"/>
      <c r="AG57" s="258"/>
      <c r="AH57" s="258"/>
      <c r="AI57" s="258"/>
      <c r="AJ57" s="258"/>
      <c r="AK57" s="258"/>
      <c r="AL57" s="258"/>
      <c r="AM57" s="258"/>
      <c r="AN57" s="258"/>
      <c r="AO57" s="272">
        <f t="shared" si="13"/>
        <v>40</v>
      </c>
      <c r="AP57" s="272">
        <f t="shared" si="9"/>
        <v>620</v>
      </c>
      <c r="AQ57" s="272">
        <f t="shared" si="16"/>
        <v>466</v>
      </c>
      <c r="AR57" s="234"/>
      <c r="AS57" s="234"/>
      <c r="AT57" s="234"/>
      <c r="AU57" s="234"/>
      <c r="AV57" s="234"/>
      <c r="AW57" s="234"/>
      <c r="AX57" s="234"/>
      <c r="AY57" s="234"/>
      <c r="AZ57" s="234"/>
      <c r="BA57" s="234"/>
      <c r="BB57" s="234"/>
      <c r="BC57" s="234"/>
      <c r="BD57" s="234"/>
      <c r="BE57" s="234"/>
      <c r="BF57" s="234"/>
      <c r="BG57" s="234"/>
      <c r="BH57" s="234"/>
      <c r="BI57" s="234"/>
      <c r="BJ57" s="234"/>
      <c r="BK57" s="234"/>
      <c r="BL57" s="234"/>
      <c r="BM57" s="234"/>
      <c r="BN57" s="234"/>
      <c r="BO57" s="234"/>
      <c r="BP57" s="234"/>
      <c r="BQ57" s="234"/>
      <c r="BR57" s="234"/>
      <c r="BS57" s="234"/>
      <c r="BT57" s="234"/>
      <c r="BU57" s="270"/>
      <c r="BV57" s="272">
        <f t="shared" si="11"/>
        <v>40</v>
      </c>
      <c r="BW57" s="272">
        <f t="shared" si="11"/>
        <v>620</v>
      </c>
      <c r="BX57" s="272">
        <f t="shared" si="11"/>
        <v>466</v>
      </c>
      <c r="BY57" s="270"/>
      <c r="BZ57" s="270"/>
      <c r="CA57" s="270"/>
      <c r="CB57" s="270">
        <v>40</v>
      </c>
      <c r="CC57" s="270">
        <v>500</v>
      </c>
      <c r="CD57" s="270">
        <v>401.6</v>
      </c>
      <c r="CE57" s="270"/>
      <c r="CF57" s="270"/>
      <c r="CG57" s="270"/>
      <c r="CH57" s="270"/>
      <c r="CI57" s="270"/>
      <c r="CJ57" s="270"/>
      <c r="CK57" s="270"/>
      <c r="CL57" s="270"/>
      <c r="CM57" s="270"/>
      <c r="CN57" s="270"/>
      <c r="CO57" s="270"/>
      <c r="CP57" s="270"/>
      <c r="CQ57" s="270"/>
      <c r="CR57" s="270"/>
      <c r="CS57" s="270"/>
      <c r="CT57" s="270"/>
      <c r="CU57" s="270"/>
      <c r="CV57" s="270"/>
      <c r="CW57" s="270"/>
      <c r="CX57" s="270"/>
      <c r="CY57" s="270"/>
      <c r="CZ57" s="270"/>
      <c r="DA57" s="270"/>
      <c r="DB57" s="270"/>
      <c r="DC57" s="270"/>
      <c r="DD57" s="270"/>
      <c r="DE57" s="270"/>
      <c r="DF57" s="272">
        <f t="shared" si="12"/>
        <v>80</v>
      </c>
      <c r="DG57" s="272">
        <f t="shared" si="12"/>
        <v>1120</v>
      </c>
      <c r="DH57" s="272">
        <f t="shared" si="14"/>
        <v>867.6</v>
      </c>
      <c r="DI57" s="274"/>
    </row>
    <row r="58" spans="1:113" s="275" customFormat="1" ht="24.75" customHeight="1" x14ac:dyDescent="0.6">
      <c r="A58" s="268">
        <v>15</v>
      </c>
      <c r="B58" s="269" t="s">
        <v>324</v>
      </c>
      <c r="C58" s="104" t="s">
        <v>325</v>
      </c>
      <c r="D58" s="100" t="s">
        <v>297</v>
      </c>
      <c r="E58" s="148" t="s">
        <v>298</v>
      </c>
      <c r="F58" s="234" t="s">
        <v>733</v>
      </c>
      <c r="G58" s="234" t="s">
        <v>317</v>
      </c>
      <c r="H58" s="234" t="s">
        <v>857</v>
      </c>
      <c r="I58" s="234" t="s">
        <v>858</v>
      </c>
      <c r="J58" s="234" t="s">
        <v>288</v>
      </c>
      <c r="K58" s="259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258"/>
      <c r="AA58" s="258"/>
      <c r="AB58" s="258"/>
      <c r="AC58" s="258"/>
      <c r="AD58" s="258"/>
      <c r="AE58" s="258"/>
      <c r="AF58" s="258"/>
      <c r="AG58" s="258"/>
      <c r="AH58" s="258"/>
      <c r="AI58" s="258">
        <v>90</v>
      </c>
      <c r="AJ58" s="258">
        <v>1400</v>
      </c>
      <c r="AK58" s="258">
        <v>1039.2</v>
      </c>
      <c r="AL58" s="258"/>
      <c r="AM58" s="258"/>
      <c r="AN58" s="258"/>
      <c r="AO58" s="272">
        <f t="shared" si="13"/>
        <v>90</v>
      </c>
      <c r="AP58" s="272">
        <f t="shared" si="9"/>
        <v>1400</v>
      </c>
      <c r="AQ58" s="272">
        <f t="shared" si="16"/>
        <v>1039.2</v>
      </c>
      <c r="AR58" s="234"/>
      <c r="AS58" s="234"/>
      <c r="AT58" s="234"/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4"/>
      <c r="BM58" s="234"/>
      <c r="BN58" s="234"/>
      <c r="BO58" s="234"/>
      <c r="BP58" s="234"/>
      <c r="BQ58" s="234"/>
      <c r="BR58" s="234"/>
      <c r="BS58" s="234">
        <v>30</v>
      </c>
      <c r="BT58" s="234">
        <v>420</v>
      </c>
      <c r="BU58" s="270">
        <v>268.8</v>
      </c>
      <c r="BV58" s="272">
        <f t="shared" si="11"/>
        <v>120</v>
      </c>
      <c r="BW58" s="272">
        <f t="shared" si="11"/>
        <v>1820</v>
      </c>
      <c r="BX58" s="272">
        <f t="shared" si="11"/>
        <v>1308</v>
      </c>
      <c r="BY58" s="270"/>
      <c r="BZ58" s="270"/>
      <c r="CA58" s="270"/>
      <c r="CB58" s="270"/>
      <c r="CC58" s="270"/>
      <c r="CD58" s="270"/>
      <c r="CE58" s="270"/>
      <c r="CF58" s="270"/>
      <c r="CG58" s="270"/>
      <c r="CH58" s="270"/>
      <c r="CI58" s="270"/>
      <c r="CJ58" s="270"/>
      <c r="CK58" s="270"/>
      <c r="CL58" s="270"/>
      <c r="CM58" s="270"/>
      <c r="CN58" s="270"/>
      <c r="CO58" s="270"/>
      <c r="CP58" s="270"/>
      <c r="CQ58" s="270"/>
      <c r="CR58" s="270"/>
      <c r="CS58" s="270"/>
      <c r="CT58" s="270"/>
      <c r="CU58" s="270"/>
      <c r="CV58" s="270"/>
      <c r="CW58" s="270"/>
      <c r="CX58" s="270"/>
      <c r="CY58" s="270"/>
      <c r="CZ58" s="270"/>
      <c r="DA58" s="270"/>
      <c r="DB58" s="270"/>
      <c r="DC58" s="270">
        <v>40</v>
      </c>
      <c r="DD58" s="270">
        <v>500</v>
      </c>
      <c r="DE58" s="270">
        <v>449.6</v>
      </c>
      <c r="DF58" s="272">
        <f t="shared" si="12"/>
        <v>160</v>
      </c>
      <c r="DG58" s="272">
        <f t="shared" si="12"/>
        <v>2320</v>
      </c>
      <c r="DH58" s="272">
        <f t="shared" si="14"/>
        <v>1757.6</v>
      </c>
      <c r="DI58" s="274"/>
    </row>
    <row r="59" spans="1:113" s="275" customFormat="1" ht="24.75" customHeight="1" x14ac:dyDescent="0.6">
      <c r="A59" s="268">
        <v>15</v>
      </c>
      <c r="B59" s="269" t="s">
        <v>326</v>
      </c>
      <c r="C59" s="104" t="s">
        <v>327</v>
      </c>
      <c r="D59" s="100" t="s">
        <v>328</v>
      </c>
      <c r="E59" s="99" t="s">
        <v>329</v>
      </c>
      <c r="F59" s="234" t="s">
        <v>733</v>
      </c>
      <c r="G59" s="234" t="s">
        <v>859</v>
      </c>
      <c r="H59" s="234" t="s">
        <v>860</v>
      </c>
      <c r="I59" s="234" t="s">
        <v>861</v>
      </c>
      <c r="J59" s="234" t="s">
        <v>288</v>
      </c>
      <c r="K59" s="259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Y59" s="258"/>
      <c r="Z59" s="258"/>
      <c r="AA59" s="258"/>
      <c r="AB59" s="258"/>
      <c r="AC59" s="258"/>
      <c r="AD59" s="258"/>
      <c r="AE59" s="258"/>
      <c r="AF59" s="258"/>
      <c r="AG59" s="258"/>
      <c r="AH59" s="258"/>
      <c r="AI59" s="258"/>
      <c r="AJ59" s="258"/>
      <c r="AK59" s="258"/>
      <c r="AL59" s="258"/>
      <c r="AM59" s="258"/>
      <c r="AN59" s="258"/>
      <c r="AO59" s="272">
        <f t="shared" si="13"/>
        <v>0</v>
      </c>
      <c r="AP59" s="272">
        <f t="shared" si="9"/>
        <v>0</v>
      </c>
      <c r="AQ59" s="272">
        <f t="shared" si="16"/>
        <v>0</v>
      </c>
      <c r="AR59" s="234"/>
      <c r="AS59" s="234"/>
      <c r="AT59" s="234"/>
      <c r="AU59" s="234"/>
      <c r="AV59" s="234"/>
      <c r="AW59" s="234"/>
      <c r="AX59" s="234"/>
      <c r="AY59" s="234"/>
      <c r="AZ59" s="234"/>
      <c r="BA59" s="234"/>
      <c r="BB59" s="234"/>
      <c r="BC59" s="234"/>
      <c r="BD59" s="234"/>
      <c r="BE59" s="234"/>
      <c r="BF59" s="234"/>
      <c r="BG59" s="234"/>
      <c r="BH59" s="234"/>
      <c r="BI59" s="234"/>
      <c r="BJ59" s="234">
        <v>15</v>
      </c>
      <c r="BK59" s="234">
        <v>180</v>
      </c>
      <c r="BL59" s="234">
        <v>180</v>
      </c>
      <c r="BM59" s="234"/>
      <c r="BN59" s="234"/>
      <c r="BO59" s="234"/>
      <c r="BP59" s="234"/>
      <c r="BQ59" s="234"/>
      <c r="BR59" s="234"/>
      <c r="BS59" s="234"/>
      <c r="BT59" s="234"/>
      <c r="BU59" s="270"/>
      <c r="BV59" s="272">
        <f t="shared" si="11"/>
        <v>15</v>
      </c>
      <c r="BW59" s="272">
        <f t="shared" si="11"/>
        <v>180</v>
      </c>
      <c r="BX59" s="272">
        <f t="shared" si="11"/>
        <v>180</v>
      </c>
      <c r="BY59" s="270"/>
      <c r="BZ59" s="270"/>
      <c r="CA59" s="270"/>
      <c r="CB59" s="270"/>
      <c r="CC59" s="270"/>
      <c r="CD59" s="270"/>
      <c r="CE59" s="270"/>
      <c r="CF59" s="270"/>
      <c r="CG59" s="270"/>
      <c r="CH59" s="270"/>
      <c r="CI59" s="270"/>
      <c r="CJ59" s="270"/>
      <c r="CK59" s="270"/>
      <c r="CL59" s="270"/>
      <c r="CM59" s="270"/>
      <c r="CN59" s="270"/>
      <c r="CO59" s="270"/>
      <c r="CP59" s="270"/>
      <c r="CQ59" s="270"/>
      <c r="CR59" s="270"/>
      <c r="CS59" s="270"/>
      <c r="CT59" s="270"/>
      <c r="CU59" s="270"/>
      <c r="CV59" s="270"/>
      <c r="CW59" s="270"/>
      <c r="CX59" s="270"/>
      <c r="CY59" s="270"/>
      <c r="CZ59" s="270"/>
      <c r="DA59" s="270"/>
      <c r="DB59" s="270"/>
      <c r="DC59" s="270"/>
      <c r="DD59" s="270"/>
      <c r="DE59" s="270"/>
      <c r="DF59" s="272">
        <f t="shared" si="12"/>
        <v>15</v>
      </c>
      <c r="DG59" s="272">
        <f t="shared" si="12"/>
        <v>180</v>
      </c>
      <c r="DH59" s="272">
        <f t="shared" si="14"/>
        <v>180</v>
      </c>
      <c r="DI59" s="274"/>
    </row>
    <row r="60" spans="1:113" s="275" customFormat="1" ht="24.75" customHeight="1" x14ac:dyDescent="0.6">
      <c r="A60" s="268">
        <v>17</v>
      </c>
      <c r="B60" s="269" t="s">
        <v>210</v>
      </c>
      <c r="C60" s="104" t="s">
        <v>211</v>
      </c>
      <c r="D60" s="100" t="s">
        <v>330</v>
      </c>
      <c r="E60" s="99" t="s">
        <v>331</v>
      </c>
      <c r="F60" s="234" t="s">
        <v>733</v>
      </c>
      <c r="G60" s="234" t="s">
        <v>862</v>
      </c>
      <c r="H60" s="234" t="s">
        <v>863</v>
      </c>
      <c r="I60" s="234" t="s">
        <v>864</v>
      </c>
      <c r="J60" s="234" t="s">
        <v>288</v>
      </c>
      <c r="K60" s="259"/>
      <c r="L60" s="258"/>
      <c r="M60" s="258"/>
      <c r="N60" s="258">
        <v>115</v>
      </c>
      <c r="O60" s="258">
        <v>1380</v>
      </c>
      <c r="P60" s="258">
        <v>1380</v>
      </c>
      <c r="Q60" s="258"/>
      <c r="R60" s="258"/>
      <c r="S60" s="258"/>
      <c r="T60" s="258"/>
      <c r="U60" s="258"/>
      <c r="V60" s="258"/>
      <c r="W60" s="258"/>
      <c r="X60" s="258"/>
      <c r="Y60" s="258"/>
      <c r="Z60" s="258"/>
      <c r="AA60" s="258"/>
      <c r="AB60" s="258"/>
      <c r="AC60" s="258"/>
      <c r="AD60" s="258"/>
      <c r="AE60" s="258"/>
      <c r="AF60" s="258"/>
      <c r="AG60" s="258"/>
      <c r="AH60" s="258"/>
      <c r="AI60" s="258"/>
      <c r="AJ60" s="258"/>
      <c r="AK60" s="258"/>
      <c r="AL60" s="258"/>
      <c r="AM60" s="258"/>
      <c r="AN60" s="258"/>
      <c r="AO60" s="272">
        <f t="shared" si="13"/>
        <v>115</v>
      </c>
      <c r="AP60" s="272">
        <f t="shared" si="9"/>
        <v>1380</v>
      </c>
      <c r="AQ60" s="272">
        <f t="shared" si="16"/>
        <v>1380</v>
      </c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>
        <v>115</v>
      </c>
      <c r="BE60" s="234">
        <v>1380</v>
      </c>
      <c r="BF60" s="234">
        <v>1380</v>
      </c>
      <c r="BG60" s="234"/>
      <c r="BH60" s="234"/>
      <c r="BI60" s="234"/>
      <c r="BJ60" s="234"/>
      <c r="BK60" s="234"/>
      <c r="BL60" s="234"/>
      <c r="BM60" s="234"/>
      <c r="BN60" s="234"/>
      <c r="BO60" s="234"/>
      <c r="BP60" s="234"/>
      <c r="BQ60" s="234"/>
      <c r="BR60" s="234"/>
      <c r="BS60" s="234"/>
      <c r="BT60" s="234"/>
      <c r="BU60" s="270"/>
      <c r="BV60" s="272">
        <f t="shared" si="11"/>
        <v>230</v>
      </c>
      <c r="BW60" s="272">
        <f t="shared" si="11"/>
        <v>2760</v>
      </c>
      <c r="BX60" s="272">
        <f t="shared" si="11"/>
        <v>2760</v>
      </c>
      <c r="BY60" s="270"/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/>
      <c r="CN60" s="270"/>
      <c r="CO60" s="270"/>
      <c r="CP60" s="270"/>
      <c r="CQ60" s="270"/>
      <c r="CR60" s="270"/>
      <c r="CS60" s="270"/>
      <c r="CT60" s="270">
        <v>100</v>
      </c>
      <c r="CU60" s="270">
        <v>1200</v>
      </c>
      <c r="CV60" s="270">
        <v>1200</v>
      </c>
      <c r="CW60" s="270"/>
      <c r="CX60" s="270"/>
      <c r="CY60" s="270"/>
      <c r="CZ60" s="270"/>
      <c r="DA60" s="270"/>
      <c r="DB60" s="270"/>
      <c r="DC60" s="270"/>
      <c r="DD60" s="270"/>
      <c r="DE60" s="270"/>
      <c r="DF60" s="272">
        <f t="shared" si="12"/>
        <v>330</v>
      </c>
      <c r="DG60" s="272">
        <f t="shared" si="12"/>
        <v>3960</v>
      </c>
      <c r="DH60" s="272">
        <f t="shared" si="14"/>
        <v>3960</v>
      </c>
      <c r="DI60" s="274"/>
    </row>
    <row r="61" spans="1:113" s="275" customFormat="1" ht="24.75" customHeight="1" x14ac:dyDescent="0.6">
      <c r="A61" s="268">
        <v>18</v>
      </c>
      <c r="B61" s="269" t="s">
        <v>332</v>
      </c>
      <c r="C61" s="104" t="s">
        <v>333</v>
      </c>
      <c r="D61" s="100" t="s">
        <v>98</v>
      </c>
      <c r="E61" s="99" t="s">
        <v>334</v>
      </c>
      <c r="F61" s="234" t="s">
        <v>733</v>
      </c>
      <c r="G61" s="301" t="s">
        <v>758</v>
      </c>
      <c r="H61" s="301" t="s">
        <v>758</v>
      </c>
      <c r="I61" s="234" t="s">
        <v>865</v>
      </c>
      <c r="J61" s="234" t="s">
        <v>288</v>
      </c>
      <c r="K61" s="259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Y61" s="258"/>
      <c r="Z61" s="258">
        <v>60</v>
      </c>
      <c r="AA61" s="258">
        <v>1560</v>
      </c>
      <c r="AB61" s="258">
        <v>780</v>
      </c>
      <c r="AC61" s="258"/>
      <c r="AD61" s="258"/>
      <c r="AE61" s="258"/>
      <c r="AF61" s="258"/>
      <c r="AG61" s="258"/>
      <c r="AH61" s="258"/>
      <c r="AI61" s="258"/>
      <c r="AJ61" s="258"/>
      <c r="AK61" s="258"/>
      <c r="AL61" s="258"/>
      <c r="AM61" s="258"/>
      <c r="AN61" s="258"/>
      <c r="AO61" s="272">
        <f t="shared" si="13"/>
        <v>60</v>
      </c>
      <c r="AP61" s="272">
        <f t="shared" si="9"/>
        <v>1560</v>
      </c>
      <c r="AQ61" s="272">
        <f t="shared" si="16"/>
        <v>780</v>
      </c>
      <c r="AR61" s="234"/>
      <c r="AS61" s="234"/>
      <c r="AT61" s="234"/>
      <c r="AU61" s="234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4"/>
      <c r="BG61" s="234"/>
      <c r="BH61" s="234"/>
      <c r="BI61" s="234"/>
      <c r="BJ61" s="234"/>
      <c r="BK61" s="234"/>
      <c r="BL61" s="234"/>
      <c r="BM61" s="234"/>
      <c r="BN61" s="234"/>
      <c r="BO61" s="234"/>
      <c r="BP61" s="234"/>
      <c r="BQ61" s="234"/>
      <c r="BR61" s="234"/>
      <c r="BS61" s="234"/>
      <c r="BT61" s="234"/>
      <c r="BU61" s="270"/>
      <c r="BV61" s="272">
        <f t="shared" si="11"/>
        <v>60</v>
      </c>
      <c r="BW61" s="272">
        <f t="shared" si="11"/>
        <v>1560</v>
      </c>
      <c r="BX61" s="272">
        <f t="shared" si="11"/>
        <v>780</v>
      </c>
      <c r="BY61" s="270"/>
      <c r="BZ61" s="270"/>
      <c r="CA61" s="270"/>
      <c r="CB61" s="270">
        <v>40</v>
      </c>
      <c r="CC61" s="270">
        <v>760</v>
      </c>
      <c r="CD61" s="270">
        <v>500</v>
      </c>
      <c r="CE61" s="270"/>
      <c r="CF61" s="270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0"/>
      <c r="CR61" s="270"/>
      <c r="CS61" s="270"/>
      <c r="CT61" s="270"/>
      <c r="CU61" s="270"/>
      <c r="CV61" s="270"/>
      <c r="CW61" s="270"/>
      <c r="CX61" s="270"/>
      <c r="CY61" s="270"/>
      <c r="CZ61" s="270"/>
      <c r="DA61" s="270"/>
      <c r="DB61" s="270"/>
      <c r="DC61" s="270"/>
      <c r="DD61" s="270"/>
      <c r="DE61" s="270"/>
      <c r="DF61" s="272">
        <f t="shared" si="12"/>
        <v>100</v>
      </c>
      <c r="DG61" s="272">
        <f t="shared" si="12"/>
        <v>2320</v>
      </c>
      <c r="DH61" s="272">
        <f t="shared" si="14"/>
        <v>1280</v>
      </c>
      <c r="DI61" s="274"/>
    </row>
    <row r="62" spans="1:113" s="275" customFormat="1" ht="24.75" customHeight="1" x14ac:dyDescent="0.6">
      <c r="A62" s="268">
        <v>19</v>
      </c>
      <c r="B62" s="269" t="s">
        <v>335</v>
      </c>
      <c r="C62" s="104" t="s">
        <v>336</v>
      </c>
      <c r="D62" s="100" t="s">
        <v>337</v>
      </c>
      <c r="E62" s="99" t="s">
        <v>338</v>
      </c>
      <c r="F62" s="234" t="s">
        <v>733</v>
      </c>
      <c r="G62" s="234" t="s">
        <v>866</v>
      </c>
      <c r="H62" s="234" t="s">
        <v>867</v>
      </c>
      <c r="I62" s="234" t="s">
        <v>868</v>
      </c>
      <c r="J62" s="234" t="s">
        <v>288</v>
      </c>
      <c r="K62" s="259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258"/>
      <c r="AA62" s="258"/>
      <c r="AB62" s="258"/>
      <c r="AC62" s="258"/>
      <c r="AD62" s="258"/>
      <c r="AE62" s="258"/>
      <c r="AF62" s="258"/>
      <c r="AG62" s="258"/>
      <c r="AH62" s="258"/>
      <c r="AI62" s="258"/>
      <c r="AJ62" s="258"/>
      <c r="AK62" s="258"/>
      <c r="AL62" s="258"/>
      <c r="AM62" s="258"/>
      <c r="AN62" s="258"/>
      <c r="AO62" s="272">
        <f t="shared" si="13"/>
        <v>0</v>
      </c>
      <c r="AP62" s="272">
        <f t="shared" si="9"/>
        <v>0</v>
      </c>
      <c r="AQ62" s="272">
        <f t="shared" si="16"/>
        <v>0</v>
      </c>
      <c r="AR62" s="234"/>
      <c r="AS62" s="234"/>
      <c r="AT62" s="234"/>
      <c r="AU62" s="234"/>
      <c r="AV62" s="234"/>
      <c r="AW62" s="234"/>
      <c r="AX62" s="234"/>
      <c r="AY62" s="234"/>
      <c r="AZ62" s="234"/>
      <c r="BA62" s="234"/>
      <c r="BB62" s="234"/>
      <c r="BC62" s="234"/>
      <c r="BD62" s="234"/>
      <c r="BE62" s="234"/>
      <c r="BF62" s="234"/>
      <c r="BG62" s="234"/>
      <c r="BH62" s="234"/>
      <c r="BI62" s="234"/>
      <c r="BJ62" s="234"/>
      <c r="BK62" s="234"/>
      <c r="BL62" s="234"/>
      <c r="BM62" s="234"/>
      <c r="BN62" s="234"/>
      <c r="BO62" s="234"/>
      <c r="BP62" s="234"/>
      <c r="BQ62" s="234"/>
      <c r="BR62" s="234"/>
      <c r="BS62" s="234"/>
      <c r="BT62" s="234"/>
      <c r="BU62" s="270"/>
      <c r="BV62" s="272">
        <f t="shared" si="11"/>
        <v>0</v>
      </c>
      <c r="BW62" s="272">
        <f t="shared" si="11"/>
        <v>0</v>
      </c>
      <c r="BX62" s="272">
        <f t="shared" si="11"/>
        <v>0</v>
      </c>
      <c r="BY62" s="270"/>
      <c r="BZ62" s="270"/>
      <c r="CA62" s="270"/>
      <c r="CB62" s="270"/>
      <c r="CC62" s="270"/>
      <c r="CD62" s="270"/>
      <c r="CE62" s="270"/>
      <c r="CF62" s="270"/>
      <c r="CG62" s="270"/>
      <c r="CH62" s="270"/>
      <c r="CI62" s="270"/>
      <c r="CJ62" s="270"/>
      <c r="CK62" s="270"/>
      <c r="CL62" s="270"/>
      <c r="CM62" s="270"/>
      <c r="CN62" s="270"/>
      <c r="CO62" s="270"/>
      <c r="CP62" s="270"/>
      <c r="CQ62" s="270"/>
      <c r="CR62" s="270"/>
      <c r="CS62" s="270"/>
      <c r="CT62" s="270"/>
      <c r="CU62" s="270"/>
      <c r="CV62" s="270"/>
      <c r="CW62" s="270"/>
      <c r="CX62" s="270"/>
      <c r="CY62" s="270"/>
      <c r="CZ62" s="270"/>
      <c r="DA62" s="270"/>
      <c r="DB62" s="270"/>
      <c r="DC62" s="270"/>
      <c r="DD62" s="270"/>
      <c r="DE62" s="270"/>
      <c r="DF62" s="272">
        <f t="shared" si="12"/>
        <v>0</v>
      </c>
      <c r="DG62" s="272">
        <f t="shared" si="12"/>
        <v>0</v>
      </c>
      <c r="DH62" s="272">
        <f t="shared" si="14"/>
        <v>0</v>
      </c>
      <c r="DI62" s="274"/>
    </row>
    <row r="63" spans="1:113" s="275" customFormat="1" ht="24.75" customHeight="1" x14ac:dyDescent="0.6">
      <c r="A63" s="268">
        <v>20</v>
      </c>
      <c r="B63" s="269" t="s">
        <v>339</v>
      </c>
      <c r="C63" s="104" t="s">
        <v>339</v>
      </c>
      <c r="D63" s="100" t="s">
        <v>337</v>
      </c>
      <c r="E63" s="99" t="s">
        <v>338</v>
      </c>
      <c r="F63" s="234" t="s">
        <v>733</v>
      </c>
      <c r="G63" s="234" t="s">
        <v>869</v>
      </c>
      <c r="H63" s="234" t="s">
        <v>870</v>
      </c>
      <c r="I63" s="234" t="s">
        <v>871</v>
      </c>
      <c r="J63" s="234" t="s">
        <v>288</v>
      </c>
      <c r="K63" s="259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  <c r="AA63" s="258"/>
      <c r="AB63" s="258"/>
      <c r="AC63" s="258"/>
      <c r="AD63" s="258"/>
      <c r="AE63" s="258"/>
      <c r="AF63" s="258">
        <v>80</v>
      </c>
      <c r="AG63" s="258">
        <v>1020</v>
      </c>
      <c r="AH63" s="258">
        <v>868.8</v>
      </c>
      <c r="AI63" s="258"/>
      <c r="AJ63" s="258"/>
      <c r="AK63" s="258"/>
      <c r="AL63" s="258"/>
      <c r="AM63" s="258"/>
      <c r="AN63" s="258"/>
      <c r="AO63" s="272">
        <f t="shared" si="13"/>
        <v>80</v>
      </c>
      <c r="AP63" s="272">
        <f t="shared" si="9"/>
        <v>1020</v>
      </c>
      <c r="AQ63" s="272">
        <f t="shared" si="16"/>
        <v>868.8</v>
      </c>
      <c r="AR63" s="234"/>
      <c r="AS63" s="234"/>
      <c r="AT63" s="234"/>
      <c r="AU63" s="234"/>
      <c r="AV63" s="234"/>
      <c r="AW63" s="234"/>
      <c r="AX63" s="234"/>
      <c r="AY63" s="234"/>
      <c r="AZ63" s="234"/>
      <c r="BA63" s="234"/>
      <c r="BB63" s="234"/>
      <c r="BC63" s="234"/>
      <c r="BD63" s="234"/>
      <c r="BE63" s="234"/>
      <c r="BF63" s="234"/>
      <c r="BG63" s="234"/>
      <c r="BH63" s="234"/>
      <c r="BI63" s="234"/>
      <c r="BJ63" s="234"/>
      <c r="BK63" s="234"/>
      <c r="BL63" s="234"/>
      <c r="BM63" s="234"/>
      <c r="BN63" s="234"/>
      <c r="BO63" s="234"/>
      <c r="BP63" s="234"/>
      <c r="BQ63" s="234"/>
      <c r="BR63" s="234"/>
      <c r="BS63" s="234">
        <v>70</v>
      </c>
      <c r="BT63" s="234">
        <v>1180</v>
      </c>
      <c r="BU63" s="270">
        <v>768.8</v>
      </c>
      <c r="BV63" s="272">
        <f t="shared" si="11"/>
        <v>150</v>
      </c>
      <c r="BW63" s="272">
        <f t="shared" si="11"/>
        <v>2200</v>
      </c>
      <c r="BX63" s="272">
        <f t="shared" si="11"/>
        <v>1637.6</v>
      </c>
      <c r="BY63" s="270"/>
      <c r="BZ63" s="270"/>
      <c r="CA63" s="270"/>
      <c r="CB63" s="270"/>
      <c r="CC63" s="270"/>
      <c r="CD63" s="270"/>
      <c r="CE63" s="270"/>
      <c r="CF63" s="270"/>
      <c r="CG63" s="270"/>
      <c r="CH63" s="270"/>
      <c r="CI63" s="270"/>
      <c r="CJ63" s="270"/>
      <c r="CK63" s="270"/>
      <c r="CL63" s="270"/>
      <c r="CM63" s="270"/>
      <c r="CN63" s="270"/>
      <c r="CO63" s="270"/>
      <c r="CP63" s="270"/>
      <c r="CQ63" s="270"/>
      <c r="CR63" s="270"/>
      <c r="CS63" s="270"/>
      <c r="CT63" s="270"/>
      <c r="CU63" s="270"/>
      <c r="CV63" s="270"/>
      <c r="CW63" s="270"/>
      <c r="CX63" s="270"/>
      <c r="CY63" s="270"/>
      <c r="CZ63" s="270"/>
      <c r="DA63" s="270"/>
      <c r="DB63" s="270"/>
      <c r="DC63" s="270"/>
      <c r="DD63" s="270"/>
      <c r="DE63" s="270"/>
      <c r="DF63" s="272">
        <f t="shared" si="12"/>
        <v>150</v>
      </c>
      <c r="DG63" s="272">
        <f t="shared" si="12"/>
        <v>2200</v>
      </c>
      <c r="DH63" s="272">
        <f t="shared" si="14"/>
        <v>1637.6</v>
      </c>
      <c r="DI63" s="274"/>
    </row>
    <row r="64" spans="1:113" s="275" customFormat="1" ht="24.75" customHeight="1" x14ac:dyDescent="0.6">
      <c r="A64" s="268">
        <v>21</v>
      </c>
      <c r="B64" s="269" t="s">
        <v>340</v>
      </c>
      <c r="C64" s="104" t="s">
        <v>341</v>
      </c>
      <c r="D64" s="100" t="s">
        <v>337</v>
      </c>
      <c r="E64" s="99" t="s">
        <v>338</v>
      </c>
      <c r="F64" s="253" t="s">
        <v>733</v>
      </c>
      <c r="G64" s="253" t="s">
        <v>872</v>
      </c>
      <c r="H64" s="253" t="s">
        <v>873</v>
      </c>
      <c r="I64" s="253" t="s">
        <v>874</v>
      </c>
      <c r="J64" s="253" t="s">
        <v>288</v>
      </c>
      <c r="K64" s="259"/>
      <c r="L64" s="258"/>
      <c r="M64" s="258"/>
      <c r="N64" s="258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>
        <v>50</v>
      </c>
      <c r="AA64" s="276">
        <v>650</v>
      </c>
      <c r="AB64" s="276">
        <v>524</v>
      </c>
      <c r="AC64" s="276"/>
      <c r="AD64" s="276"/>
      <c r="AE64" s="276"/>
      <c r="AF64" s="276"/>
      <c r="AG64" s="276"/>
      <c r="AH64" s="276"/>
      <c r="AI64" s="276">
        <v>33</v>
      </c>
      <c r="AJ64" s="276">
        <v>540</v>
      </c>
      <c r="AK64" s="276">
        <v>310.8</v>
      </c>
      <c r="AL64" s="276"/>
      <c r="AM64" s="276"/>
      <c r="AN64" s="276"/>
      <c r="AO64" s="272">
        <f t="shared" si="13"/>
        <v>83</v>
      </c>
      <c r="AP64" s="272">
        <f t="shared" si="9"/>
        <v>1190</v>
      </c>
      <c r="AQ64" s="272">
        <f t="shared" si="16"/>
        <v>834.8</v>
      </c>
      <c r="AR64" s="253"/>
      <c r="AS64" s="253"/>
      <c r="AT64" s="253"/>
      <c r="AU64" s="253">
        <v>40</v>
      </c>
      <c r="AV64" s="253">
        <v>540</v>
      </c>
      <c r="AW64" s="253">
        <v>388.8</v>
      </c>
      <c r="AX64" s="253"/>
      <c r="AY64" s="253"/>
      <c r="AZ64" s="253"/>
      <c r="BA64" s="253"/>
      <c r="BB64" s="253"/>
      <c r="BC64" s="253"/>
      <c r="BD64" s="234"/>
      <c r="BE64" s="234"/>
      <c r="BF64" s="234"/>
      <c r="BG64" s="253">
        <v>50</v>
      </c>
      <c r="BH64" s="253">
        <v>810</v>
      </c>
      <c r="BI64" s="253">
        <v>503.6</v>
      </c>
      <c r="BJ64" s="253"/>
      <c r="BK64" s="253"/>
      <c r="BL64" s="253"/>
      <c r="BM64" s="253"/>
      <c r="BN64" s="253"/>
      <c r="BO64" s="253"/>
      <c r="BP64" s="253"/>
      <c r="BQ64" s="253"/>
      <c r="BR64" s="253"/>
      <c r="BS64" s="253">
        <v>45</v>
      </c>
      <c r="BT64" s="253">
        <v>600</v>
      </c>
      <c r="BU64" s="280">
        <v>448.8</v>
      </c>
      <c r="BV64" s="272">
        <f t="shared" si="11"/>
        <v>218</v>
      </c>
      <c r="BW64" s="272">
        <f t="shared" si="11"/>
        <v>3140</v>
      </c>
      <c r="BX64" s="272">
        <f t="shared" si="11"/>
        <v>2176</v>
      </c>
      <c r="BY64" s="280"/>
      <c r="BZ64" s="280"/>
      <c r="CA64" s="280"/>
      <c r="CB64" s="280"/>
      <c r="CC64" s="280"/>
      <c r="CD64" s="280"/>
      <c r="CE64" s="280"/>
      <c r="CF64" s="280"/>
      <c r="CG64" s="280"/>
      <c r="CH64" s="280"/>
      <c r="CI64" s="280"/>
      <c r="CJ64" s="280"/>
      <c r="CK64" s="280"/>
      <c r="CL64" s="280"/>
      <c r="CM64" s="280"/>
      <c r="CN64" s="280">
        <v>50</v>
      </c>
      <c r="CO64" s="280">
        <v>700</v>
      </c>
      <c r="CP64" s="280">
        <v>448</v>
      </c>
      <c r="CQ64" s="280"/>
      <c r="CR64" s="280"/>
      <c r="CS64" s="280"/>
      <c r="CT64" s="280"/>
      <c r="CU64" s="280"/>
      <c r="CV64" s="280"/>
      <c r="CW64" s="280"/>
      <c r="CX64" s="280"/>
      <c r="CY64" s="280"/>
      <c r="CZ64" s="280">
        <v>50</v>
      </c>
      <c r="DA64" s="280">
        <v>660</v>
      </c>
      <c r="DB64" s="280">
        <v>508.8</v>
      </c>
      <c r="DC64" s="280"/>
      <c r="DD64" s="280"/>
      <c r="DE64" s="280"/>
      <c r="DF64" s="272">
        <f t="shared" si="12"/>
        <v>318</v>
      </c>
      <c r="DG64" s="272">
        <f t="shared" si="12"/>
        <v>4500</v>
      </c>
      <c r="DH64" s="272">
        <f t="shared" si="14"/>
        <v>3132.8</v>
      </c>
      <c r="DI64" s="274"/>
    </row>
    <row r="65" spans="1:113" s="275" customFormat="1" ht="24.75" customHeight="1" x14ac:dyDescent="0.6">
      <c r="A65" s="268">
        <v>22</v>
      </c>
      <c r="B65" s="269" t="s">
        <v>342</v>
      </c>
      <c r="C65" s="104" t="s">
        <v>343</v>
      </c>
      <c r="D65" s="100" t="s">
        <v>131</v>
      </c>
      <c r="E65" s="99" t="s">
        <v>132</v>
      </c>
      <c r="F65" s="234" t="s">
        <v>733</v>
      </c>
      <c r="G65" s="234" t="s">
        <v>335</v>
      </c>
      <c r="H65" s="234" t="s">
        <v>875</v>
      </c>
      <c r="I65" s="234" t="s">
        <v>876</v>
      </c>
      <c r="J65" s="234" t="s">
        <v>288</v>
      </c>
      <c r="K65" s="259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  <c r="Z65" s="258"/>
      <c r="AA65" s="258"/>
      <c r="AB65" s="258"/>
      <c r="AC65" s="258"/>
      <c r="AD65" s="258"/>
      <c r="AE65" s="258"/>
      <c r="AF65" s="258">
        <v>100</v>
      </c>
      <c r="AG65" s="258">
        <v>1200</v>
      </c>
      <c r="AH65" s="258">
        <v>1200</v>
      </c>
      <c r="AI65" s="258"/>
      <c r="AJ65" s="258"/>
      <c r="AK65" s="258"/>
      <c r="AL65" s="258"/>
      <c r="AM65" s="258"/>
      <c r="AN65" s="258"/>
      <c r="AO65" s="272">
        <f t="shared" si="13"/>
        <v>100</v>
      </c>
      <c r="AP65" s="272">
        <f t="shared" si="9"/>
        <v>1200</v>
      </c>
      <c r="AQ65" s="272">
        <f t="shared" si="16"/>
        <v>1200</v>
      </c>
      <c r="AR65" s="234"/>
      <c r="AS65" s="234"/>
      <c r="AT65" s="234"/>
      <c r="AU65" s="234"/>
      <c r="AV65" s="234"/>
      <c r="AW65" s="234"/>
      <c r="AX65" s="234"/>
      <c r="AY65" s="234"/>
      <c r="AZ65" s="234"/>
      <c r="BA65" s="234">
        <v>95</v>
      </c>
      <c r="BB65" s="234">
        <v>1480</v>
      </c>
      <c r="BC65" s="234">
        <v>1032.8</v>
      </c>
      <c r="BD65" s="234"/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  <c r="BP65" s="234"/>
      <c r="BQ65" s="234"/>
      <c r="BR65" s="234"/>
      <c r="BS65" s="234"/>
      <c r="BT65" s="234"/>
      <c r="BU65" s="270"/>
      <c r="BV65" s="272">
        <f t="shared" si="11"/>
        <v>195</v>
      </c>
      <c r="BW65" s="272">
        <f t="shared" si="11"/>
        <v>2680</v>
      </c>
      <c r="BX65" s="272">
        <f t="shared" si="11"/>
        <v>2232.8000000000002</v>
      </c>
      <c r="BY65" s="270">
        <v>75</v>
      </c>
      <c r="BZ65" s="270">
        <v>1180</v>
      </c>
      <c r="CA65" s="270">
        <v>866</v>
      </c>
      <c r="CB65" s="270"/>
      <c r="CC65" s="270"/>
      <c r="CD65" s="270"/>
      <c r="CE65" s="270"/>
      <c r="CF65" s="270"/>
      <c r="CG65" s="270"/>
      <c r="CH65" s="270"/>
      <c r="CI65" s="270"/>
      <c r="CJ65" s="270"/>
      <c r="CK65" s="270"/>
      <c r="CL65" s="270"/>
      <c r="CM65" s="270"/>
      <c r="CN65" s="270"/>
      <c r="CO65" s="270"/>
      <c r="CP65" s="270"/>
      <c r="CQ65" s="270"/>
      <c r="CR65" s="270"/>
      <c r="CS65" s="270"/>
      <c r="CT65" s="270"/>
      <c r="CU65" s="270"/>
      <c r="CV65" s="270"/>
      <c r="CW65" s="270"/>
      <c r="CX65" s="270"/>
      <c r="CY65" s="270"/>
      <c r="CZ65" s="270">
        <v>85</v>
      </c>
      <c r="DA65" s="270">
        <v>1020</v>
      </c>
      <c r="DB65" s="270">
        <v>972</v>
      </c>
      <c r="DC65" s="270">
        <v>30</v>
      </c>
      <c r="DD65" s="270">
        <v>1200</v>
      </c>
      <c r="DE65" s="270">
        <v>420</v>
      </c>
      <c r="DF65" s="272">
        <f t="shared" si="12"/>
        <v>385</v>
      </c>
      <c r="DG65" s="272">
        <f t="shared" si="12"/>
        <v>6080</v>
      </c>
      <c r="DH65" s="272">
        <f t="shared" si="14"/>
        <v>4490.8</v>
      </c>
      <c r="DI65" s="274"/>
    </row>
    <row r="66" spans="1:113" s="275" customFormat="1" ht="24.75" customHeight="1" x14ac:dyDescent="0.6">
      <c r="A66" s="268">
        <v>23</v>
      </c>
      <c r="B66" s="269" t="s">
        <v>344</v>
      </c>
      <c r="C66" s="104" t="s">
        <v>345</v>
      </c>
      <c r="D66" s="100" t="s">
        <v>131</v>
      </c>
      <c r="E66" s="99" t="s">
        <v>132</v>
      </c>
      <c r="F66" s="234" t="s">
        <v>733</v>
      </c>
      <c r="G66" s="234" t="s">
        <v>877</v>
      </c>
      <c r="H66" s="234" t="s">
        <v>878</v>
      </c>
      <c r="I66" s="234" t="s">
        <v>879</v>
      </c>
      <c r="J66" s="234" t="s">
        <v>288</v>
      </c>
      <c r="K66" s="259"/>
      <c r="L66" s="258"/>
      <c r="M66" s="258"/>
      <c r="N66" s="258">
        <v>40</v>
      </c>
      <c r="O66" s="258">
        <v>560</v>
      </c>
      <c r="P66" s="258">
        <v>358.40000000000003</v>
      </c>
      <c r="Q66" s="258">
        <v>40</v>
      </c>
      <c r="R66" s="258">
        <v>630</v>
      </c>
      <c r="S66" s="258">
        <v>460.4</v>
      </c>
      <c r="T66" s="258"/>
      <c r="U66" s="258"/>
      <c r="V66" s="258"/>
      <c r="W66" s="258"/>
      <c r="X66" s="258"/>
      <c r="Y66" s="258"/>
      <c r="Z66" s="258"/>
      <c r="AA66" s="258"/>
      <c r="AB66" s="258"/>
      <c r="AC66" s="258"/>
      <c r="AD66" s="258"/>
      <c r="AE66" s="258"/>
      <c r="AF66" s="258"/>
      <c r="AG66" s="258"/>
      <c r="AH66" s="258"/>
      <c r="AI66" s="258"/>
      <c r="AJ66" s="258"/>
      <c r="AK66" s="258"/>
      <c r="AL66" s="258"/>
      <c r="AM66" s="258"/>
      <c r="AN66" s="258"/>
      <c r="AO66" s="272">
        <f t="shared" si="13"/>
        <v>80</v>
      </c>
      <c r="AP66" s="272">
        <f t="shared" si="9"/>
        <v>1190</v>
      </c>
      <c r="AQ66" s="272">
        <f t="shared" si="16"/>
        <v>818.8</v>
      </c>
      <c r="AR66" s="234"/>
      <c r="AS66" s="234"/>
      <c r="AT66" s="234"/>
      <c r="AU66" s="234"/>
      <c r="AV66" s="234"/>
      <c r="AW66" s="234"/>
      <c r="AX66" s="234">
        <v>30</v>
      </c>
      <c r="AY66" s="234">
        <v>420</v>
      </c>
      <c r="AZ66" s="234">
        <v>268.8</v>
      </c>
      <c r="BA66" s="234">
        <v>15</v>
      </c>
      <c r="BB66" s="234">
        <v>332</v>
      </c>
      <c r="BC66" s="234">
        <v>171.76</v>
      </c>
      <c r="BD66" s="234"/>
      <c r="BE66" s="234"/>
      <c r="BF66" s="234"/>
      <c r="BG66" s="234"/>
      <c r="BH66" s="234"/>
      <c r="BI66" s="234"/>
      <c r="BJ66" s="234">
        <v>25</v>
      </c>
      <c r="BK66" s="234">
        <v>300</v>
      </c>
      <c r="BL66" s="234">
        <v>300</v>
      </c>
      <c r="BM66" s="234"/>
      <c r="BN66" s="234"/>
      <c r="BO66" s="234"/>
      <c r="BP66" s="234"/>
      <c r="BQ66" s="234"/>
      <c r="BR66" s="234"/>
      <c r="BS66" s="234"/>
      <c r="BT66" s="234"/>
      <c r="BU66" s="270"/>
      <c r="BV66" s="272">
        <f t="shared" si="11"/>
        <v>150</v>
      </c>
      <c r="BW66" s="272">
        <f t="shared" si="11"/>
        <v>2242</v>
      </c>
      <c r="BX66" s="272">
        <f t="shared" si="11"/>
        <v>1559.36</v>
      </c>
      <c r="BY66" s="270"/>
      <c r="BZ66" s="270"/>
      <c r="CA66" s="270"/>
      <c r="CB66" s="270"/>
      <c r="CC66" s="270"/>
      <c r="CD66" s="270"/>
      <c r="CE66" s="270">
        <v>30</v>
      </c>
      <c r="CF66" s="270">
        <v>420</v>
      </c>
      <c r="CG66" s="270">
        <v>268.8</v>
      </c>
      <c r="CH66" s="270">
        <v>30</v>
      </c>
      <c r="CI66" s="270">
        <v>360</v>
      </c>
      <c r="CJ66" s="270">
        <v>360</v>
      </c>
      <c r="CK66" s="270"/>
      <c r="CL66" s="270"/>
      <c r="CM66" s="270"/>
      <c r="CN66" s="270"/>
      <c r="CO66" s="270"/>
      <c r="CP66" s="270"/>
      <c r="CQ66" s="270"/>
      <c r="CR66" s="270"/>
      <c r="CS66" s="270"/>
      <c r="CT66" s="270"/>
      <c r="CU66" s="270"/>
      <c r="CV66" s="270"/>
      <c r="CW66" s="270"/>
      <c r="CX66" s="270"/>
      <c r="CY66" s="270"/>
      <c r="CZ66" s="270"/>
      <c r="DA66" s="270"/>
      <c r="DB66" s="270"/>
      <c r="DC66" s="270">
        <v>17</v>
      </c>
      <c r="DD66" s="270">
        <v>494</v>
      </c>
      <c r="DE66" s="270">
        <v>208.8</v>
      </c>
      <c r="DF66" s="272">
        <f t="shared" si="12"/>
        <v>227</v>
      </c>
      <c r="DG66" s="272">
        <f t="shared" si="12"/>
        <v>3516</v>
      </c>
      <c r="DH66" s="272">
        <f t="shared" si="14"/>
        <v>2396.96</v>
      </c>
      <c r="DI66" s="274"/>
    </row>
    <row r="67" spans="1:113" s="275" customFormat="1" ht="24.75" customHeight="1" x14ac:dyDescent="0.6">
      <c r="A67" s="268">
        <v>24</v>
      </c>
      <c r="B67" s="269" t="s">
        <v>346</v>
      </c>
      <c r="C67" s="104" t="s">
        <v>347</v>
      </c>
      <c r="D67" s="100" t="s">
        <v>54</v>
      </c>
      <c r="E67" s="99" t="s">
        <v>120</v>
      </c>
      <c r="F67" s="234" t="s">
        <v>733</v>
      </c>
      <c r="G67" s="234" t="s">
        <v>880</v>
      </c>
      <c r="H67" s="234" t="s">
        <v>881</v>
      </c>
      <c r="I67" s="234" t="s">
        <v>882</v>
      </c>
      <c r="J67" s="234" t="s">
        <v>288</v>
      </c>
      <c r="K67" s="259"/>
      <c r="L67" s="258"/>
      <c r="M67" s="258"/>
      <c r="N67" s="258"/>
      <c r="O67" s="258"/>
      <c r="P67" s="258"/>
      <c r="Q67" s="258"/>
      <c r="R67" s="258"/>
      <c r="S67" s="258"/>
      <c r="T67" s="258"/>
      <c r="U67" s="258"/>
      <c r="V67" s="258"/>
      <c r="W67" s="258"/>
      <c r="X67" s="258"/>
      <c r="Y67" s="258"/>
      <c r="Z67" s="258"/>
      <c r="AA67" s="258"/>
      <c r="AB67" s="258"/>
      <c r="AC67" s="258">
        <v>30</v>
      </c>
      <c r="AD67" s="258">
        <v>420</v>
      </c>
      <c r="AE67" s="258">
        <v>268.8</v>
      </c>
      <c r="AF67" s="258"/>
      <c r="AG67" s="258"/>
      <c r="AH67" s="258"/>
      <c r="AI67" s="258"/>
      <c r="AJ67" s="258"/>
      <c r="AK67" s="258"/>
      <c r="AL67" s="258"/>
      <c r="AM67" s="258"/>
      <c r="AN67" s="258"/>
      <c r="AO67" s="272">
        <f t="shared" si="13"/>
        <v>30</v>
      </c>
      <c r="AP67" s="272">
        <f t="shared" si="9"/>
        <v>420</v>
      </c>
      <c r="AQ67" s="272">
        <f t="shared" si="16"/>
        <v>268.8</v>
      </c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>
        <v>25</v>
      </c>
      <c r="BK67" s="234">
        <v>350</v>
      </c>
      <c r="BL67" s="234">
        <v>224.00000000000003</v>
      </c>
      <c r="BM67" s="234"/>
      <c r="BN67" s="234"/>
      <c r="BO67" s="234"/>
      <c r="BP67" s="234"/>
      <c r="BQ67" s="234"/>
      <c r="BR67" s="234"/>
      <c r="BS67" s="234"/>
      <c r="BT67" s="234"/>
      <c r="BU67" s="270"/>
      <c r="BV67" s="272">
        <f t="shared" si="11"/>
        <v>55</v>
      </c>
      <c r="BW67" s="272">
        <f t="shared" si="11"/>
        <v>770</v>
      </c>
      <c r="BX67" s="272">
        <f t="shared" si="11"/>
        <v>492.80000000000007</v>
      </c>
      <c r="BY67" s="270"/>
      <c r="BZ67" s="270"/>
      <c r="CA67" s="270"/>
      <c r="CB67" s="270"/>
      <c r="CC67" s="270"/>
      <c r="CD67" s="270"/>
      <c r="CE67" s="270"/>
      <c r="CF67" s="270"/>
      <c r="CG67" s="270"/>
      <c r="CH67" s="270"/>
      <c r="CI67" s="270"/>
      <c r="CJ67" s="270"/>
      <c r="CK67" s="270"/>
      <c r="CL67" s="270"/>
      <c r="CM67" s="270"/>
      <c r="CN67" s="270">
        <v>25</v>
      </c>
      <c r="CO67" s="270">
        <v>350</v>
      </c>
      <c r="CP67" s="270">
        <v>224.00000000000003</v>
      </c>
      <c r="CQ67" s="270"/>
      <c r="CR67" s="270"/>
      <c r="CS67" s="270"/>
      <c r="CT67" s="270"/>
      <c r="CU67" s="270"/>
      <c r="CV67" s="270"/>
      <c r="CW67" s="270"/>
      <c r="CX67" s="270"/>
      <c r="CY67" s="270"/>
      <c r="CZ67" s="270"/>
      <c r="DA67" s="270"/>
      <c r="DB67" s="270"/>
      <c r="DC67" s="270"/>
      <c r="DD67" s="270"/>
      <c r="DE67" s="270"/>
      <c r="DF67" s="272">
        <f t="shared" si="12"/>
        <v>80</v>
      </c>
      <c r="DG67" s="272">
        <f t="shared" si="12"/>
        <v>1120</v>
      </c>
      <c r="DH67" s="272">
        <f t="shared" si="14"/>
        <v>716.80000000000007</v>
      </c>
      <c r="DI67" s="274"/>
    </row>
    <row r="68" spans="1:113" s="275" customFormat="1" ht="24.75" customHeight="1" x14ac:dyDescent="0.6">
      <c r="A68" s="268">
        <v>25</v>
      </c>
      <c r="B68" s="269" t="s">
        <v>348</v>
      </c>
      <c r="C68" s="104" t="s">
        <v>349</v>
      </c>
      <c r="D68" s="100" t="s">
        <v>54</v>
      </c>
      <c r="E68" s="99" t="s">
        <v>120</v>
      </c>
      <c r="F68" s="234" t="s">
        <v>733</v>
      </c>
      <c r="G68" s="234" t="s">
        <v>883</v>
      </c>
      <c r="H68" s="234" t="s">
        <v>884</v>
      </c>
      <c r="I68" s="234" t="s">
        <v>885</v>
      </c>
      <c r="J68" s="234" t="s">
        <v>288</v>
      </c>
      <c r="K68" s="259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>
        <v>200</v>
      </c>
      <c r="AA68" s="258">
        <v>3980</v>
      </c>
      <c r="AB68" s="258">
        <v>2329.1999999999998</v>
      </c>
      <c r="AC68" s="258"/>
      <c r="AD68" s="258"/>
      <c r="AE68" s="258"/>
      <c r="AF68" s="258"/>
      <c r="AG68" s="258"/>
      <c r="AH68" s="258"/>
      <c r="AI68" s="258"/>
      <c r="AJ68" s="258"/>
      <c r="AK68" s="258"/>
      <c r="AL68" s="258"/>
      <c r="AM68" s="258"/>
      <c r="AN68" s="258"/>
      <c r="AO68" s="272">
        <f t="shared" si="13"/>
        <v>200</v>
      </c>
      <c r="AP68" s="272">
        <f t="shared" si="9"/>
        <v>3980</v>
      </c>
      <c r="AQ68" s="272">
        <f t="shared" si="16"/>
        <v>2329.1999999999998</v>
      </c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4"/>
      <c r="BM68" s="234"/>
      <c r="BN68" s="234"/>
      <c r="BO68" s="234"/>
      <c r="BP68" s="234"/>
      <c r="BQ68" s="234"/>
      <c r="BR68" s="234"/>
      <c r="BS68" s="234"/>
      <c r="BT68" s="234"/>
      <c r="BU68" s="270"/>
      <c r="BV68" s="272">
        <f t="shared" si="11"/>
        <v>200</v>
      </c>
      <c r="BW68" s="272">
        <f t="shared" si="11"/>
        <v>3980</v>
      </c>
      <c r="BX68" s="272">
        <f t="shared" si="11"/>
        <v>2329.1999999999998</v>
      </c>
      <c r="BY68" s="270"/>
      <c r="BZ68" s="270"/>
      <c r="CA68" s="270"/>
      <c r="CB68" s="270"/>
      <c r="CC68" s="270"/>
      <c r="CD68" s="270"/>
      <c r="CE68" s="270">
        <v>550</v>
      </c>
      <c r="CF68" s="270">
        <v>8640</v>
      </c>
      <c r="CG68" s="270">
        <v>5583.2</v>
      </c>
      <c r="CH68" s="270"/>
      <c r="CI68" s="270"/>
      <c r="CJ68" s="270"/>
      <c r="CK68" s="270"/>
      <c r="CL68" s="270"/>
      <c r="CM68" s="270"/>
      <c r="CN68" s="270"/>
      <c r="CO68" s="270"/>
      <c r="CP68" s="270"/>
      <c r="CQ68" s="270"/>
      <c r="CR68" s="270"/>
      <c r="CS68" s="270"/>
      <c r="CT68" s="270"/>
      <c r="CU68" s="270"/>
      <c r="CV68" s="270"/>
      <c r="CW68" s="270"/>
      <c r="CX68" s="270"/>
      <c r="CY68" s="270"/>
      <c r="CZ68" s="270"/>
      <c r="DA68" s="270"/>
      <c r="DB68" s="270"/>
      <c r="DC68" s="270"/>
      <c r="DD68" s="270"/>
      <c r="DE68" s="270"/>
      <c r="DF68" s="272">
        <f t="shared" si="12"/>
        <v>750</v>
      </c>
      <c r="DG68" s="272">
        <f t="shared" si="12"/>
        <v>12620</v>
      </c>
      <c r="DH68" s="272">
        <f t="shared" si="14"/>
        <v>7912.4</v>
      </c>
      <c r="DI68" s="274"/>
    </row>
    <row r="69" spans="1:113" s="275" customFormat="1" ht="24.75" customHeight="1" x14ac:dyDescent="0.6">
      <c r="A69" s="268">
        <v>26</v>
      </c>
      <c r="B69" s="269" t="s">
        <v>350</v>
      </c>
      <c r="C69" s="104" t="s">
        <v>351</v>
      </c>
      <c r="D69" s="100" t="s">
        <v>54</v>
      </c>
      <c r="E69" s="99" t="s">
        <v>120</v>
      </c>
      <c r="F69" s="234" t="s">
        <v>733</v>
      </c>
      <c r="G69" s="234" t="s">
        <v>886</v>
      </c>
      <c r="H69" s="234" t="s">
        <v>887</v>
      </c>
      <c r="I69" s="234" t="s">
        <v>888</v>
      </c>
      <c r="J69" s="234" t="s">
        <v>288</v>
      </c>
      <c r="K69" s="259"/>
      <c r="L69" s="258"/>
      <c r="M69" s="258"/>
      <c r="N69" s="258"/>
      <c r="O69" s="258"/>
      <c r="P69" s="258"/>
      <c r="Q69" s="258">
        <v>20</v>
      </c>
      <c r="R69" s="258">
        <v>380</v>
      </c>
      <c r="S69" s="258">
        <v>226</v>
      </c>
      <c r="T69" s="258"/>
      <c r="U69" s="258"/>
      <c r="V69" s="258"/>
      <c r="W69" s="258"/>
      <c r="X69" s="258"/>
      <c r="Y69" s="258"/>
      <c r="Z69" s="258"/>
      <c r="AA69" s="258"/>
      <c r="AB69" s="258"/>
      <c r="AC69" s="258"/>
      <c r="AD69" s="258"/>
      <c r="AE69" s="258"/>
      <c r="AF69" s="258"/>
      <c r="AG69" s="258"/>
      <c r="AH69" s="258"/>
      <c r="AI69" s="258"/>
      <c r="AJ69" s="258"/>
      <c r="AK69" s="258"/>
      <c r="AL69" s="258">
        <v>38</v>
      </c>
      <c r="AM69" s="258">
        <v>560</v>
      </c>
      <c r="AN69" s="258">
        <v>413.6</v>
      </c>
      <c r="AO69" s="272">
        <f t="shared" si="13"/>
        <v>58</v>
      </c>
      <c r="AP69" s="272">
        <f t="shared" si="9"/>
        <v>940</v>
      </c>
      <c r="AQ69" s="272">
        <f t="shared" si="16"/>
        <v>639.6</v>
      </c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>
        <v>10</v>
      </c>
      <c r="BE69" s="234">
        <v>140</v>
      </c>
      <c r="BF69" s="234">
        <v>89.600000000000009</v>
      </c>
      <c r="BG69" s="234"/>
      <c r="BH69" s="234"/>
      <c r="BI69" s="234"/>
      <c r="BJ69" s="234">
        <v>20</v>
      </c>
      <c r="BK69" s="234">
        <v>280</v>
      </c>
      <c r="BL69" s="234">
        <v>179.20000000000002</v>
      </c>
      <c r="BM69" s="234"/>
      <c r="BN69" s="234"/>
      <c r="BO69" s="234"/>
      <c r="BP69" s="234"/>
      <c r="BQ69" s="234"/>
      <c r="BR69" s="234"/>
      <c r="BS69" s="234"/>
      <c r="BT69" s="234"/>
      <c r="BU69" s="270"/>
      <c r="BV69" s="272">
        <f t="shared" si="11"/>
        <v>88</v>
      </c>
      <c r="BW69" s="272">
        <f t="shared" si="11"/>
        <v>1360</v>
      </c>
      <c r="BX69" s="272">
        <f t="shared" si="11"/>
        <v>908.40000000000009</v>
      </c>
      <c r="BY69" s="270"/>
      <c r="BZ69" s="270"/>
      <c r="CA69" s="270"/>
      <c r="CB69" s="270"/>
      <c r="CC69" s="270"/>
      <c r="CD69" s="270"/>
      <c r="CE69" s="270"/>
      <c r="CF69" s="270"/>
      <c r="CG69" s="270"/>
      <c r="CH69" s="270">
        <v>30</v>
      </c>
      <c r="CI69" s="270">
        <v>380</v>
      </c>
      <c r="CJ69" s="270">
        <v>311.60000000000002</v>
      </c>
      <c r="CK69" s="270"/>
      <c r="CL69" s="270"/>
      <c r="CM69" s="270"/>
      <c r="CN69" s="270"/>
      <c r="CO69" s="270"/>
      <c r="CP69" s="270"/>
      <c r="CQ69" s="270"/>
      <c r="CR69" s="270"/>
      <c r="CS69" s="270"/>
      <c r="CT69" s="270"/>
      <c r="CU69" s="270"/>
      <c r="CV69" s="270"/>
      <c r="CW69" s="270"/>
      <c r="CX69" s="270"/>
      <c r="CY69" s="270"/>
      <c r="CZ69" s="270"/>
      <c r="DA69" s="270"/>
      <c r="DB69" s="270"/>
      <c r="DC69" s="270"/>
      <c r="DD69" s="270"/>
      <c r="DE69" s="270"/>
      <c r="DF69" s="272">
        <f t="shared" si="12"/>
        <v>118</v>
      </c>
      <c r="DG69" s="272">
        <f t="shared" si="12"/>
        <v>1740</v>
      </c>
      <c r="DH69" s="272">
        <f t="shared" si="14"/>
        <v>1220</v>
      </c>
      <c r="DI69" s="274"/>
    </row>
    <row r="70" spans="1:113" s="275" customFormat="1" ht="24.75" customHeight="1" x14ac:dyDescent="0.6">
      <c r="A70" s="268">
        <v>27</v>
      </c>
      <c r="B70" s="302" t="s">
        <v>352</v>
      </c>
      <c r="C70" s="104" t="s">
        <v>353</v>
      </c>
      <c r="D70" s="100" t="s">
        <v>54</v>
      </c>
      <c r="E70" s="99" t="s">
        <v>120</v>
      </c>
      <c r="F70" s="234" t="s">
        <v>733</v>
      </c>
      <c r="G70" s="234" t="s">
        <v>889</v>
      </c>
      <c r="H70" s="234" t="s">
        <v>890</v>
      </c>
      <c r="I70" s="234" t="s">
        <v>891</v>
      </c>
      <c r="J70" s="234" t="s">
        <v>288</v>
      </c>
      <c r="K70" s="259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>
        <v>200</v>
      </c>
      <c r="X70" s="258">
        <v>2570</v>
      </c>
      <c r="Y70" s="258">
        <v>2141.6</v>
      </c>
      <c r="Z70" s="258"/>
      <c r="AA70" s="258"/>
      <c r="AB70" s="258"/>
      <c r="AC70" s="258"/>
      <c r="AD70" s="258"/>
      <c r="AE70" s="258"/>
      <c r="AF70" s="258"/>
      <c r="AG70" s="258"/>
      <c r="AH70" s="258"/>
      <c r="AI70" s="258"/>
      <c r="AJ70" s="258"/>
      <c r="AK70" s="258"/>
      <c r="AL70" s="258"/>
      <c r="AM70" s="258"/>
      <c r="AN70" s="258"/>
      <c r="AO70" s="272">
        <f t="shared" si="13"/>
        <v>200</v>
      </c>
      <c r="AP70" s="272">
        <f t="shared" si="9"/>
        <v>2570</v>
      </c>
      <c r="AQ70" s="272">
        <f t="shared" si="16"/>
        <v>2141.6</v>
      </c>
      <c r="AR70" s="234"/>
      <c r="AS70" s="234"/>
      <c r="AT70" s="234"/>
      <c r="AU70" s="234"/>
      <c r="AV70" s="234"/>
      <c r="AW70" s="234"/>
      <c r="AX70" s="234"/>
      <c r="AY70" s="234"/>
      <c r="AZ70" s="234"/>
      <c r="BA70" s="234"/>
      <c r="BB70" s="234"/>
      <c r="BC70" s="234"/>
      <c r="BD70" s="234"/>
      <c r="BE70" s="234"/>
      <c r="BF70" s="234"/>
      <c r="BG70" s="234"/>
      <c r="BH70" s="234"/>
      <c r="BI70" s="234"/>
      <c r="BJ70" s="234"/>
      <c r="BK70" s="234"/>
      <c r="BL70" s="234"/>
      <c r="BM70" s="234"/>
      <c r="BN70" s="234"/>
      <c r="BO70" s="234"/>
      <c r="BP70" s="234"/>
      <c r="BQ70" s="234"/>
      <c r="BR70" s="234"/>
      <c r="BS70" s="234">
        <v>45</v>
      </c>
      <c r="BT70" s="234">
        <v>600</v>
      </c>
      <c r="BU70" s="270">
        <v>376.8</v>
      </c>
      <c r="BV70" s="272">
        <f t="shared" si="11"/>
        <v>245</v>
      </c>
      <c r="BW70" s="272">
        <f t="shared" si="11"/>
        <v>3170</v>
      </c>
      <c r="BX70" s="272">
        <f t="shared" si="11"/>
        <v>2518.4</v>
      </c>
      <c r="BY70" s="270"/>
      <c r="BZ70" s="270"/>
      <c r="CA70" s="270"/>
      <c r="CB70" s="270"/>
      <c r="CC70" s="270"/>
      <c r="CD70" s="270"/>
      <c r="CE70" s="270"/>
      <c r="CF70" s="270"/>
      <c r="CG70" s="270"/>
      <c r="CH70" s="270"/>
      <c r="CI70" s="270"/>
      <c r="CJ70" s="270"/>
      <c r="CK70" s="270"/>
      <c r="CL70" s="270"/>
      <c r="CM70" s="270"/>
      <c r="CN70" s="270"/>
      <c r="CO70" s="270"/>
      <c r="CP70" s="270"/>
      <c r="CQ70" s="270"/>
      <c r="CR70" s="270"/>
      <c r="CS70" s="270"/>
      <c r="CT70" s="270"/>
      <c r="CU70" s="270"/>
      <c r="CV70" s="270"/>
      <c r="CW70" s="270"/>
      <c r="CX70" s="270"/>
      <c r="CY70" s="270"/>
      <c r="CZ70" s="270"/>
      <c r="DA70" s="270"/>
      <c r="DB70" s="270"/>
      <c r="DC70" s="270"/>
      <c r="DD70" s="270"/>
      <c r="DE70" s="270"/>
      <c r="DF70" s="272">
        <f t="shared" si="12"/>
        <v>245</v>
      </c>
      <c r="DG70" s="272">
        <f t="shared" si="12"/>
        <v>3170</v>
      </c>
      <c r="DH70" s="272">
        <f t="shared" si="14"/>
        <v>2518.4</v>
      </c>
      <c r="DI70" s="274"/>
    </row>
    <row r="71" spans="1:113" s="275" customFormat="1" ht="24.75" customHeight="1" x14ac:dyDescent="0.6">
      <c r="A71" s="268">
        <v>28</v>
      </c>
      <c r="B71" s="302" t="s">
        <v>354</v>
      </c>
      <c r="C71" s="104" t="s">
        <v>355</v>
      </c>
      <c r="D71" s="100" t="s">
        <v>54</v>
      </c>
      <c r="E71" s="99" t="s">
        <v>120</v>
      </c>
      <c r="F71" s="234" t="s">
        <v>733</v>
      </c>
      <c r="G71" s="234" t="s">
        <v>892</v>
      </c>
      <c r="H71" s="234" t="s">
        <v>893</v>
      </c>
      <c r="I71" s="234" t="s">
        <v>894</v>
      </c>
      <c r="J71" s="234" t="s">
        <v>288</v>
      </c>
      <c r="K71" s="259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  <c r="Z71" s="258"/>
      <c r="AA71" s="258"/>
      <c r="AB71" s="258"/>
      <c r="AC71" s="258">
        <v>30</v>
      </c>
      <c r="AD71" s="258">
        <v>540</v>
      </c>
      <c r="AE71" s="258">
        <v>285.20000000000005</v>
      </c>
      <c r="AF71" s="258">
        <v>15</v>
      </c>
      <c r="AG71" s="258">
        <v>210</v>
      </c>
      <c r="AH71" s="258">
        <v>134.4</v>
      </c>
      <c r="AI71" s="258"/>
      <c r="AJ71" s="258"/>
      <c r="AK71" s="258"/>
      <c r="AL71" s="258"/>
      <c r="AM71" s="258"/>
      <c r="AN71" s="258"/>
      <c r="AO71" s="272">
        <f t="shared" si="13"/>
        <v>45</v>
      </c>
      <c r="AP71" s="272">
        <f t="shared" si="9"/>
        <v>750</v>
      </c>
      <c r="AQ71" s="272">
        <f t="shared" si="16"/>
        <v>419.6</v>
      </c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  <c r="BI71" s="234"/>
      <c r="BJ71" s="234">
        <v>35</v>
      </c>
      <c r="BK71" s="234">
        <v>570</v>
      </c>
      <c r="BL71" s="234">
        <v>366.8</v>
      </c>
      <c r="BM71" s="234"/>
      <c r="BN71" s="234"/>
      <c r="BO71" s="234"/>
      <c r="BP71" s="234"/>
      <c r="BQ71" s="234"/>
      <c r="BR71" s="234"/>
      <c r="BS71" s="234"/>
      <c r="BT71" s="234"/>
      <c r="BU71" s="270"/>
      <c r="BV71" s="272">
        <f t="shared" si="11"/>
        <v>80</v>
      </c>
      <c r="BW71" s="272">
        <f t="shared" si="11"/>
        <v>1320</v>
      </c>
      <c r="BX71" s="272">
        <f t="shared" si="11"/>
        <v>786.40000000000009</v>
      </c>
      <c r="BY71" s="270"/>
      <c r="BZ71" s="270"/>
      <c r="CA71" s="270"/>
      <c r="CB71" s="270"/>
      <c r="CC71" s="270"/>
      <c r="CD71" s="270"/>
      <c r="CE71" s="270"/>
      <c r="CF71" s="270"/>
      <c r="CG71" s="270"/>
      <c r="CH71" s="270"/>
      <c r="CI71" s="270"/>
      <c r="CJ71" s="270"/>
      <c r="CK71" s="270"/>
      <c r="CL71" s="270"/>
      <c r="CM71" s="270"/>
      <c r="CN71" s="270">
        <v>25</v>
      </c>
      <c r="CO71" s="270">
        <v>350</v>
      </c>
      <c r="CP71" s="270">
        <v>224</v>
      </c>
      <c r="CQ71" s="270"/>
      <c r="CR71" s="270"/>
      <c r="CS71" s="270"/>
      <c r="CT71" s="270"/>
      <c r="CU71" s="270"/>
      <c r="CV71" s="270"/>
      <c r="CW71" s="270"/>
      <c r="CX71" s="270"/>
      <c r="CY71" s="270"/>
      <c r="CZ71" s="270"/>
      <c r="DA71" s="270"/>
      <c r="DB71" s="270"/>
      <c r="DC71" s="270">
        <v>30</v>
      </c>
      <c r="DD71" s="270">
        <v>420</v>
      </c>
      <c r="DE71" s="270">
        <v>268.8</v>
      </c>
      <c r="DF71" s="272">
        <f t="shared" si="12"/>
        <v>135</v>
      </c>
      <c r="DG71" s="272">
        <f t="shared" si="12"/>
        <v>2090</v>
      </c>
      <c r="DH71" s="272">
        <f t="shared" si="14"/>
        <v>1279.2</v>
      </c>
      <c r="DI71" s="274"/>
    </row>
    <row r="72" spans="1:113" s="275" customFormat="1" ht="24.75" customHeight="1" x14ac:dyDescent="0.6">
      <c r="A72" s="268">
        <v>29</v>
      </c>
      <c r="B72" s="269" t="s">
        <v>356</v>
      </c>
      <c r="C72" s="104" t="s">
        <v>357</v>
      </c>
      <c r="D72" s="100" t="s">
        <v>54</v>
      </c>
      <c r="E72" s="99" t="s">
        <v>120</v>
      </c>
      <c r="F72" s="234" t="s">
        <v>733</v>
      </c>
      <c r="G72" s="234" t="s">
        <v>504</v>
      </c>
      <c r="H72" s="234" t="s">
        <v>895</v>
      </c>
      <c r="I72" s="234" t="s">
        <v>896</v>
      </c>
      <c r="J72" s="234" t="s">
        <v>288</v>
      </c>
      <c r="K72" s="259"/>
      <c r="L72" s="258"/>
      <c r="M72" s="258"/>
      <c r="N72" s="258"/>
      <c r="O72" s="258"/>
      <c r="P72" s="258"/>
      <c r="Q72" s="258">
        <v>95</v>
      </c>
      <c r="R72" s="258">
        <v>1460</v>
      </c>
      <c r="S72" s="258">
        <v>1099.2</v>
      </c>
      <c r="T72" s="258"/>
      <c r="U72" s="258"/>
      <c r="V72" s="258"/>
      <c r="W72" s="258"/>
      <c r="X72" s="258"/>
      <c r="Y72" s="258"/>
      <c r="Z72" s="258"/>
      <c r="AA72" s="258"/>
      <c r="AB72" s="258"/>
      <c r="AC72" s="258">
        <v>20</v>
      </c>
      <c r="AD72" s="258">
        <v>240</v>
      </c>
      <c r="AE72" s="258">
        <v>144</v>
      </c>
      <c r="AF72" s="258"/>
      <c r="AG72" s="258"/>
      <c r="AH72" s="258"/>
      <c r="AI72" s="258"/>
      <c r="AJ72" s="258"/>
      <c r="AK72" s="258"/>
      <c r="AL72" s="258">
        <v>40</v>
      </c>
      <c r="AM72" s="258">
        <v>630</v>
      </c>
      <c r="AN72" s="258">
        <v>474.8</v>
      </c>
      <c r="AO72" s="272">
        <f t="shared" si="13"/>
        <v>155</v>
      </c>
      <c r="AP72" s="272">
        <f t="shared" si="9"/>
        <v>2330</v>
      </c>
      <c r="AQ72" s="272">
        <f t="shared" si="16"/>
        <v>1718</v>
      </c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>
        <v>85</v>
      </c>
      <c r="BE72" s="234">
        <v>1210</v>
      </c>
      <c r="BF72" s="234">
        <v>858</v>
      </c>
      <c r="BG72" s="234"/>
      <c r="BH72" s="234"/>
      <c r="BI72" s="234"/>
      <c r="BJ72" s="234"/>
      <c r="BK72" s="234"/>
      <c r="BL72" s="234"/>
      <c r="BM72" s="234"/>
      <c r="BN72" s="234"/>
      <c r="BO72" s="234"/>
      <c r="BP72" s="234"/>
      <c r="BQ72" s="234"/>
      <c r="BR72" s="234"/>
      <c r="BS72" s="234">
        <v>110</v>
      </c>
      <c r="BT72" s="234">
        <v>1660</v>
      </c>
      <c r="BU72" s="270">
        <v>1200.8</v>
      </c>
      <c r="BV72" s="272">
        <f t="shared" si="11"/>
        <v>350</v>
      </c>
      <c r="BW72" s="272">
        <f t="shared" si="11"/>
        <v>5200</v>
      </c>
      <c r="BX72" s="272">
        <f t="shared" si="11"/>
        <v>3776.8</v>
      </c>
      <c r="BY72" s="270"/>
      <c r="BZ72" s="270"/>
      <c r="CA72" s="270"/>
      <c r="CB72" s="270"/>
      <c r="CC72" s="270"/>
      <c r="CD72" s="270"/>
      <c r="CE72" s="270"/>
      <c r="CF72" s="270"/>
      <c r="CG72" s="270"/>
      <c r="CH72" s="270"/>
      <c r="CI72" s="270"/>
      <c r="CJ72" s="270"/>
      <c r="CK72" s="270"/>
      <c r="CL72" s="270"/>
      <c r="CM72" s="270"/>
      <c r="CN72" s="270"/>
      <c r="CO72" s="270"/>
      <c r="CP72" s="270"/>
      <c r="CQ72" s="270"/>
      <c r="CR72" s="270"/>
      <c r="CS72" s="270"/>
      <c r="CT72" s="270">
        <v>100</v>
      </c>
      <c r="CU72" s="270">
        <v>1520</v>
      </c>
      <c r="CV72" s="270">
        <v>1111.2</v>
      </c>
      <c r="CW72" s="270"/>
      <c r="CX72" s="270"/>
      <c r="CY72" s="270"/>
      <c r="CZ72" s="270"/>
      <c r="DA72" s="270"/>
      <c r="DB72" s="270"/>
      <c r="DC72" s="270">
        <v>30</v>
      </c>
      <c r="DD72" s="270">
        <v>420</v>
      </c>
      <c r="DE72" s="270">
        <v>268.8</v>
      </c>
      <c r="DF72" s="272">
        <f t="shared" si="12"/>
        <v>480</v>
      </c>
      <c r="DG72" s="272">
        <f t="shared" si="12"/>
        <v>7140</v>
      </c>
      <c r="DH72" s="272">
        <f t="shared" si="14"/>
        <v>5156.8</v>
      </c>
      <c r="DI72" s="274"/>
    </row>
    <row r="73" spans="1:113" s="275" customFormat="1" ht="24.75" customHeight="1" x14ac:dyDescent="0.6">
      <c r="A73" s="268">
        <v>30</v>
      </c>
      <c r="B73" s="269" t="s">
        <v>358</v>
      </c>
      <c r="C73" s="104" t="s">
        <v>359</v>
      </c>
      <c r="D73" s="100" t="s">
        <v>360</v>
      </c>
      <c r="E73" s="99" t="s">
        <v>361</v>
      </c>
      <c r="F73" s="234" t="s">
        <v>733</v>
      </c>
      <c r="G73" s="234" t="s">
        <v>344</v>
      </c>
      <c r="H73" s="234" t="s">
        <v>345</v>
      </c>
      <c r="I73" s="234" t="s">
        <v>897</v>
      </c>
      <c r="J73" s="234" t="s">
        <v>288</v>
      </c>
      <c r="K73" s="259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  <c r="AA73" s="258"/>
      <c r="AB73" s="258"/>
      <c r="AC73" s="258">
        <v>15</v>
      </c>
      <c r="AD73" s="258">
        <v>180</v>
      </c>
      <c r="AE73" s="258">
        <v>180</v>
      </c>
      <c r="AF73" s="258"/>
      <c r="AG73" s="258"/>
      <c r="AH73" s="258"/>
      <c r="AI73" s="258"/>
      <c r="AJ73" s="258"/>
      <c r="AK73" s="258"/>
      <c r="AL73" s="258"/>
      <c r="AM73" s="258"/>
      <c r="AN73" s="258"/>
      <c r="AO73" s="272">
        <f t="shared" si="13"/>
        <v>15</v>
      </c>
      <c r="AP73" s="272">
        <f t="shared" si="9"/>
        <v>180</v>
      </c>
      <c r="AQ73" s="272">
        <f t="shared" si="16"/>
        <v>180</v>
      </c>
      <c r="AR73" s="234"/>
      <c r="AS73" s="234"/>
      <c r="AT73" s="234"/>
      <c r="AU73" s="234"/>
      <c r="AV73" s="234"/>
      <c r="AW73" s="234"/>
      <c r="AX73" s="234"/>
      <c r="AY73" s="234"/>
      <c r="AZ73" s="234"/>
      <c r="BA73" s="234"/>
      <c r="BB73" s="234"/>
      <c r="BC73" s="234"/>
      <c r="BD73" s="234">
        <v>53</v>
      </c>
      <c r="BE73" s="234">
        <v>1196</v>
      </c>
      <c r="BF73" s="234">
        <v>665.2</v>
      </c>
      <c r="BG73" s="234"/>
      <c r="BH73" s="234"/>
      <c r="BI73" s="234"/>
      <c r="BJ73" s="234"/>
      <c r="BK73" s="234"/>
      <c r="BL73" s="234"/>
      <c r="BM73" s="234"/>
      <c r="BN73" s="234"/>
      <c r="BO73" s="234"/>
      <c r="BP73" s="234"/>
      <c r="BQ73" s="234"/>
      <c r="BR73" s="234"/>
      <c r="BS73" s="234"/>
      <c r="BT73" s="234"/>
      <c r="BU73" s="270"/>
      <c r="BV73" s="272">
        <f t="shared" si="11"/>
        <v>68</v>
      </c>
      <c r="BW73" s="272">
        <f t="shared" si="11"/>
        <v>1376</v>
      </c>
      <c r="BX73" s="272">
        <f t="shared" si="11"/>
        <v>845.2</v>
      </c>
      <c r="BY73" s="270"/>
      <c r="BZ73" s="270"/>
      <c r="CA73" s="270"/>
      <c r="CB73" s="270"/>
      <c r="CC73" s="270"/>
      <c r="CD73" s="270"/>
      <c r="CE73" s="270"/>
      <c r="CF73" s="270"/>
      <c r="CG73" s="270"/>
      <c r="CH73" s="270"/>
      <c r="CI73" s="270"/>
      <c r="CJ73" s="270"/>
      <c r="CK73" s="270"/>
      <c r="CL73" s="270"/>
      <c r="CM73" s="270"/>
      <c r="CN73" s="270"/>
      <c r="CO73" s="270"/>
      <c r="CP73" s="270"/>
      <c r="CQ73" s="270"/>
      <c r="CR73" s="270"/>
      <c r="CS73" s="270"/>
      <c r="CT73" s="270"/>
      <c r="CU73" s="270"/>
      <c r="CV73" s="270"/>
      <c r="CW73" s="270"/>
      <c r="CX73" s="270"/>
      <c r="CY73" s="270"/>
      <c r="CZ73" s="270"/>
      <c r="DA73" s="270"/>
      <c r="DB73" s="270"/>
      <c r="DC73" s="270"/>
      <c r="DD73" s="270"/>
      <c r="DE73" s="270"/>
      <c r="DF73" s="272">
        <f t="shared" si="12"/>
        <v>68</v>
      </c>
      <c r="DG73" s="272">
        <f t="shared" si="12"/>
        <v>1376</v>
      </c>
      <c r="DH73" s="272">
        <f t="shared" si="14"/>
        <v>845.2</v>
      </c>
      <c r="DI73" s="274"/>
    </row>
    <row r="74" spans="1:113" s="275" customFormat="1" ht="24.75" customHeight="1" x14ac:dyDescent="0.6">
      <c r="A74" s="268">
        <v>31</v>
      </c>
      <c r="B74" s="269" t="s">
        <v>362</v>
      </c>
      <c r="C74" s="104" t="s">
        <v>362</v>
      </c>
      <c r="D74" s="99" t="s">
        <v>98</v>
      </c>
      <c r="E74" s="99" t="s">
        <v>99</v>
      </c>
      <c r="F74" s="234" t="s">
        <v>733</v>
      </c>
      <c r="G74" s="234" t="s">
        <v>898</v>
      </c>
      <c r="H74" s="234" t="s">
        <v>899</v>
      </c>
      <c r="I74" s="234" t="s">
        <v>900</v>
      </c>
      <c r="J74" s="234" t="s">
        <v>288</v>
      </c>
      <c r="K74" s="259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58">
        <v>130</v>
      </c>
      <c r="AA74" s="258">
        <v>2400</v>
      </c>
      <c r="AB74" s="258">
        <v>1620</v>
      </c>
      <c r="AC74" s="258"/>
      <c r="AD74" s="258"/>
      <c r="AE74" s="258"/>
      <c r="AF74" s="258"/>
      <c r="AG74" s="258"/>
      <c r="AH74" s="258"/>
      <c r="AI74" s="258"/>
      <c r="AJ74" s="258"/>
      <c r="AK74" s="258"/>
      <c r="AL74" s="258"/>
      <c r="AM74" s="258"/>
      <c r="AN74" s="258"/>
      <c r="AO74" s="272">
        <f t="shared" si="13"/>
        <v>130</v>
      </c>
      <c r="AP74" s="272">
        <f t="shared" si="9"/>
        <v>2400</v>
      </c>
      <c r="AQ74" s="272">
        <f t="shared" si="16"/>
        <v>1620</v>
      </c>
      <c r="AR74" s="234"/>
      <c r="AS74" s="234"/>
      <c r="AT74" s="234"/>
      <c r="AU74" s="234"/>
      <c r="AV74" s="234"/>
      <c r="AW74" s="234"/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  <c r="BI74" s="234"/>
      <c r="BJ74" s="234">
        <v>170</v>
      </c>
      <c r="BK74" s="234">
        <v>3480</v>
      </c>
      <c r="BL74" s="234">
        <v>2079.1999999999998</v>
      </c>
      <c r="BM74" s="234"/>
      <c r="BN74" s="234"/>
      <c r="BO74" s="234"/>
      <c r="BP74" s="234"/>
      <c r="BQ74" s="234"/>
      <c r="BR74" s="234"/>
      <c r="BS74" s="234"/>
      <c r="BT74" s="234"/>
      <c r="BU74" s="270"/>
      <c r="BV74" s="272">
        <f t="shared" si="11"/>
        <v>300</v>
      </c>
      <c r="BW74" s="272">
        <f t="shared" si="11"/>
        <v>5880</v>
      </c>
      <c r="BX74" s="272">
        <f t="shared" si="11"/>
        <v>3699.2</v>
      </c>
      <c r="BY74" s="270"/>
      <c r="BZ74" s="270"/>
      <c r="CA74" s="270"/>
      <c r="CB74" s="270">
        <v>30</v>
      </c>
      <c r="CC74" s="270">
        <v>360</v>
      </c>
      <c r="CD74" s="270">
        <v>360</v>
      </c>
      <c r="CE74" s="270"/>
      <c r="CF74" s="270"/>
      <c r="CG74" s="270"/>
      <c r="CH74" s="270"/>
      <c r="CI74" s="270"/>
      <c r="CJ74" s="270"/>
      <c r="CK74" s="270"/>
      <c r="CL74" s="270"/>
      <c r="CM74" s="270"/>
      <c r="CN74" s="270"/>
      <c r="CO74" s="270"/>
      <c r="CP74" s="270"/>
      <c r="CQ74" s="270"/>
      <c r="CR74" s="270"/>
      <c r="CS74" s="270"/>
      <c r="CT74" s="270"/>
      <c r="CU74" s="270"/>
      <c r="CV74" s="270"/>
      <c r="CW74" s="270"/>
      <c r="CX74" s="270"/>
      <c r="CY74" s="270"/>
      <c r="CZ74" s="270"/>
      <c r="DA74" s="270"/>
      <c r="DB74" s="270"/>
      <c r="DC74" s="270"/>
      <c r="DD74" s="270"/>
      <c r="DE74" s="270"/>
      <c r="DF74" s="272">
        <f t="shared" si="12"/>
        <v>330</v>
      </c>
      <c r="DG74" s="272">
        <f t="shared" si="12"/>
        <v>6240</v>
      </c>
      <c r="DH74" s="272">
        <f t="shared" si="14"/>
        <v>4059.2</v>
      </c>
      <c r="DI74" s="274"/>
    </row>
    <row r="75" spans="1:113" s="275" customFormat="1" ht="24.75" customHeight="1" x14ac:dyDescent="0.6">
      <c r="A75" s="268">
        <v>32</v>
      </c>
      <c r="B75" s="269" t="s">
        <v>363</v>
      </c>
      <c r="C75" s="104" t="s">
        <v>364</v>
      </c>
      <c r="D75" s="99" t="s">
        <v>365</v>
      </c>
      <c r="E75" s="99" t="s">
        <v>366</v>
      </c>
      <c r="F75" s="234" t="s">
        <v>733</v>
      </c>
      <c r="G75" s="234" t="s">
        <v>901</v>
      </c>
      <c r="H75" s="234" t="s">
        <v>902</v>
      </c>
      <c r="I75" s="234" t="s">
        <v>903</v>
      </c>
      <c r="J75" s="234" t="s">
        <v>288</v>
      </c>
      <c r="K75" s="259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  <c r="Z75" s="258"/>
      <c r="AA75" s="258"/>
      <c r="AB75" s="258"/>
      <c r="AC75" s="258"/>
      <c r="AD75" s="258"/>
      <c r="AE75" s="258"/>
      <c r="AF75" s="258"/>
      <c r="AG75" s="258"/>
      <c r="AH75" s="258"/>
      <c r="AI75" s="258"/>
      <c r="AJ75" s="258"/>
      <c r="AK75" s="258"/>
      <c r="AL75" s="258"/>
      <c r="AM75" s="258"/>
      <c r="AN75" s="258"/>
      <c r="AO75" s="272">
        <f t="shared" si="13"/>
        <v>0</v>
      </c>
      <c r="AP75" s="272">
        <f t="shared" ref="AP75:AP90" si="17">+AM75+AJ75+AG75+AD75+AA75+X75+U75+R75+O75+L75</f>
        <v>0</v>
      </c>
      <c r="AQ75" s="272">
        <f t="shared" si="16"/>
        <v>0</v>
      </c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  <c r="BE75" s="234"/>
      <c r="BF75" s="234"/>
      <c r="BG75" s="234"/>
      <c r="BH75" s="234"/>
      <c r="BI75" s="234"/>
      <c r="BJ75" s="234"/>
      <c r="BK75" s="234"/>
      <c r="BL75" s="234"/>
      <c r="BM75" s="234"/>
      <c r="BN75" s="234"/>
      <c r="BO75" s="234"/>
      <c r="BP75" s="234"/>
      <c r="BQ75" s="234"/>
      <c r="BR75" s="234"/>
      <c r="BS75" s="234"/>
      <c r="BT75" s="234"/>
      <c r="BU75" s="270"/>
      <c r="BV75" s="272">
        <f t="shared" ref="BV75:BX90" si="18">+BS75+BP75+BM75+BJ75+BG75+BD75+BA75+AX75+AU75+AR75+AO75</f>
        <v>0</v>
      </c>
      <c r="BW75" s="272">
        <f t="shared" si="18"/>
        <v>0</v>
      </c>
      <c r="BX75" s="272">
        <f t="shared" si="18"/>
        <v>0</v>
      </c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/>
      <c r="CK75" s="270"/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272">
        <f t="shared" ref="DF75:DG90" si="19">+DC75+CZ75+CW75+CT75+CQ75+CN75+CK75+CH75+CE75+CB75+BY75+BV75</f>
        <v>0</v>
      </c>
      <c r="DG75" s="272">
        <f t="shared" si="19"/>
        <v>0</v>
      </c>
      <c r="DH75" s="272">
        <f t="shared" si="14"/>
        <v>0</v>
      </c>
      <c r="DI75" s="274"/>
    </row>
    <row r="76" spans="1:113" s="275" customFormat="1" ht="24.75" customHeight="1" x14ac:dyDescent="0.6">
      <c r="A76" s="268">
        <v>33</v>
      </c>
      <c r="B76" s="302" t="s">
        <v>367</v>
      </c>
      <c r="C76" s="104" t="s">
        <v>368</v>
      </c>
      <c r="D76" s="99" t="s">
        <v>301</v>
      </c>
      <c r="E76" s="105" t="s">
        <v>87</v>
      </c>
      <c r="F76" s="234" t="s">
        <v>733</v>
      </c>
      <c r="G76" s="234" t="s">
        <v>904</v>
      </c>
      <c r="H76" s="234" t="s">
        <v>905</v>
      </c>
      <c r="I76" s="234" t="s">
        <v>906</v>
      </c>
      <c r="J76" s="234" t="s">
        <v>288</v>
      </c>
      <c r="K76" s="259"/>
      <c r="L76" s="258"/>
      <c r="M76" s="258"/>
      <c r="N76" s="258"/>
      <c r="O76" s="258"/>
      <c r="P76" s="258"/>
      <c r="Q76" s="258">
        <v>90</v>
      </c>
      <c r="R76" s="258">
        <v>1320</v>
      </c>
      <c r="S76" s="258">
        <v>938</v>
      </c>
      <c r="T76" s="258"/>
      <c r="U76" s="258"/>
      <c r="V76" s="258"/>
      <c r="W76" s="258"/>
      <c r="X76" s="258"/>
      <c r="Y76" s="258"/>
      <c r="Z76" s="258"/>
      <c r="AA76" s="258"/>
      <c r="AB76" s="258"/>
      <c r="AC76" s="258"/>
      <c r="AD76" s="258"/>
      <c r="AE76" s="258"/>
      <c r="AF76" s="258"/>
      <c r="AG76" s="258"/>
      <c r="AH76" s="258"/>
      <c r="AI76" s="258"/>
      <c r="AJ76" s="258"/>
      <c r="AK76" s="258"/>
      <c r="AL76" s="258"/>
      <c r="AM76" s="258"/>
      <c r="AN76" s="258"/>
      <c r="AO76" s="272">
        <f t="shared" si="13"/>
        <v>90</v>
      </c>
      <c r="AP76" s="272">
        <f t="shared" si="17"/>
        <v>1320</v>
      </c>
      <c r="AQ76" s="272">
        <f t="shared" si="16"/>
        <v>938</v>
      </c>
      <c r="AR76" s="234"/>
      <c r="AS76" s="234"/>
      <c r="AT76" s="234"/>
      <c r="AU76" s="234"/>
      <c r="AV76" s="234"/>
      <c r="AW76" s="234"/>
      <c r="AX76" s="234"/>
      <c r="AY76" s="234"/>
      <c r="AZ76" s="234"/>
      <c r="BA76" s="234"/>
      <c r="BB76" s="234"/>
      <c r="BC76" s="234"/>
      <c r="BD76" s="234"/>
      <c r="BE76" s="234"/>
      <c r="BF76" s="234"/>
      <c r="BG76" s="234"/>
      <c r="BH76" s="234"/>
      <c r="BI76" s="234"/>
      <c r="BJ76" s="234">
        <v>63</v>
      </c>
      <c r="BK76" s="234">
        <v>1052</v>
      </c>
      <c r="BL76" s="234">
        <v>594.96</v>
      </c>
      <c r="BM76" s="234"/>
      <c r="BN76" s="234"/>
      <c r="BO76" s="234"/>
      <c r="BP76" s="234"/>
      <c r="BQ76" s="234"/>
      <c r="BR76" s="234"/>
      <c r="BS76" s="234"/>
      <c r="BT76" s="234"/>
      <c r="BU76" s="270"/>
      <c r="BV76" s="272">
        <f t="shared" si="18"/>
        <v>153</v>
      </c>
      <c r="BW76" s="272">
        <f t="shared" si="18"/>
        <v>2372</v>
      </c>
      <c r="BX76" s="272">
        <f t="shared" si="18"/>
        <v>1532.96</v>
      </c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0"/>
      <c r="CO76" s="270"/>
      <c r="CP76" s="270"/>
      <c r="CQ76" s="270"/>
      <c r="CR76" s="270"/>
      <c r="CS76" s="270"/>
      <c r="CT76" s="270"/>
      <c r="CU76" s="270"/>
      <c r="CV76" s="270"/>
      <c r="CW76" s="270"/>
      <c r="CX76" s="270"/>
      <c r="CY76" s="270"/>
      <c r="CZ76" s="270"/>
      <c r="DA76" s="270"/>
      <c r="DB76" s="270"/>
      <c r="DC76" s="270">
        <v>15</v>
      </c>
      <c r="DD76" s="270">
        <v>180</v>
      </c>
      <c r="DE76" s="270">
        <v>180</v>
      </c>
      <c r="DF76" s="272">
        <f t="shared" si="19"/>
        <v>168</v>
      </c>
      <c r="DG76" s="272">
        <f t="shared" si="19"/>
        <v>2552</v>
      </c>
      <c r="DH76" s="272">
        <f t="shared" si="14"/>
        <v>1712.96</v>
      </c>
      <c r="DI76" s="274"/>
    </row>
    <row r="77" spans="1:113" s="275" customFormat="1" ht="24.75" customHeight="1" x14ac:dyDescent="0.6">
      <c r="A77" s="268">
        <v>34</v>
      </c>
      <c r="B77" s="269" t="s">
        <v>369</v>
      </c>
      <c r="C77" s="99" t="s">
        <v>369</v>
      </c>
      <c r="D77" s="99" t="s">
        <v>131</v>
      </c>
      <c r="E77" s="99" t="s">
        <v>132</v>
      </c>
      <c r="F77" s="234" t="s">
        <v>733</v>
      </c>
      <c r="G77" s="234" t="s">
        <v>907</v>
      </c>
      <c r="H77" s="234" t="s">
        <v>908</v>
      </c>
      <c r="I77" s="234" t="s">
        <v>909</v>
      </c>
      <c r="J77" s="234" t="s">
        <v>288</v>
      </c>
      <c r="K77" s="259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  <c r="Z77" s="258"/>
      <c r="AA77" s="258"/>
      <c r="AB77" s="258"/>
      <c r="AC77" s="258"/>
      <c r="AD77" s="258"/>
      <c r="AE77" s="258"/>
      <c r="AF77" s="258">
        <v>540</v>
      </c>
      <c r="AG77" s="258">
        <v>8040</v>
      </c>
      <c r="AH77" s="258">
        <v>6096.8</v>
      </c>
      <c r="AI77" s="258"/>
      <c r="AJ77" s="258"/>
      <c r="AK77" s="258"/>
      <c r="AL77" s="258"/>
      <c r="AM77" s="258"/>
      <c r="AN77" s="258"/>
      <c r="AO77" s="272">
        <f t="shared" si="13"/>
        <v>540</v>
      </c>
      <c r="AP77" s="272">
        <f t="shared" si="17"/>
        <v>8040</v>
      </c>
      <c r="AQ77" s="272">
        <f t="shared" si="16"/>
        <v>6096.8</v>
      </c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  <c r="BE77" s="234"/>
      <c r="BF77" s="234"/>
      <c r="BG77" s="234"/>
      <c r="BH77" s="234"/>
      <c r="BI77" s="234"/>
      <c r="BJ77" s="234"/>
      <c r="BK77" s="234"/>
      <c r="BL77" s="234"/>
      <c r="BM77" s="234"/>
      <c r="BN77" s="234"/>
      <c r="BO77" s="234"/>
      <c r="BP77" s="234"/>
      <c r="BQ77" s="234"/>
      <c r="BR77" s="234"/>
      <c r="BS77" s="234"/>
      <c r="BT77" s="234"/>
      <c r="BU77" s="270"/>
      <c r="BV77" s="272">
        <f t="shared" si="18"/>
        <v>540</v>
      </c>
      <c r="BW77" s="272">
        <f t="shared" si="18"/>
        <v>8040</v>
      </c>
      <c r="BX77" s="272">
        <f t="shared" si="18"/>
        <v>6096.8</v>
      </c>
      <c r="BY77" s="270"/>
      <c r="BZ77" s="270"/>
      <c r="CA77" s="270"/>
      <c r="CB77" s="270">
        <v>500</v>
      </c>
      <c r="CC77" s="270">
        <v>6860</v>
      </c>
      <c r="CD77" s="270">
        <v>5440</v>
      </c>
      <c r="CE77" s="270"/>
      <c r="CF77" s="270"/>
      <c r="CG77" s="270"/>
      <c r="CH77" s="270"/>
      <c r="CI77" s="270"/>
      <c r="CJ77" s="270"/>
      <c r="CK77" s="270"/>
      <c r="CL77" s="270"/>
      <c r="CM77" s="270"/>
      <c r="CN77" s="270"/>
      <c r="CO77" s="270"/>
      <c r="CP77" s="270"/>
      <c r="CQ77" s="270"/>
      <c r="CR77" s="270"/>
      <c r="CS77" s="270"/>
      <c r="CT77" s="270"/>
      <c r="CU77" s="270"/>
      <c r="CV77" s="270"/>
      <c r="CW77" s="270"/>
      <c r="CX77" s="270"/>
      <c r="CY77" s="270"/>
      <c r="CZ77" s="270"/>
      <c r="DA77" s="270"/>
      <c r="DB77" s="270"/>
      <c r="DC77" s="270"/>
      <c r="DD77" s="270"/>
      <c r="DE77" s="270"/>
      <c r="DF77" s="272">
        <f t="shared" si="19"/>
        <v>1040</v>
      </c>
      <c r="DG77" s="272">
        <f t="shared" si="19"/>
        <v>14900</v>
      </c>
      <c r="DH77" s="272">
        <f t="shared" si="14"/>
        <v>11536.8</v>
      </c>
      <c r="DI77" s="274"/>
    </row>
    <row r="78" spans="1:113" s="275" customFormat="1" ht="24.75" customHeight="1" x14ac:dyDescent="0.6">
      <c r="A78" s="268">
        <v>35</v>
      </c>
      <c r="B78" s="269" t="s">
        <v>370</v>
      </c>
      <c r="C78" s="143" t="s">
        <v>371</v>
      </c>
      <c r="D78" s="99" t="s">
        <v>301</v>
      </c>
      <c r="E78" s="105" t="s">
        <v>87</v>
      </c>
      <c r="F78" s="234" t="s">
        <v>733</v>
      </c>
      <c r="G78" s="234" t="s">
        <v>910</v>
      </c>
      <c r="H78" s="234" t="s">
        <v>911</v>
      </c>
      <c r="I78" s="234" t="s">
        <v>912</v>
      </c>
      <c r="J78" s="234" t="s">
        <v>288</v>
      </c>
      <c r="K78" s="259"/>
      <c r="L78" s="258"/>
      <c r="M78" s="258"/>
      <c r="N78" s="258">
        <v>85</v>
      </c>
      <c r="O78" s="258">
        <v>1400</v>
      </c>
      <c r="P78" s="258">
        <v>864</v>
      </c>
      <c r="Q78" s="258"/>
      <c r="R78" s="258"/>
      <c r="S78" s="258"/>
      <c r="T78" s="258"/>
      <c r="U78" s="258"/>
      <c r="V78" s="258"/>
      <c r="W78" s="258"/>
      <c r="X78" s="258"/>
      <c r="Y78" s="258"/>
      <c r="Z78" s="258"/>
      <c r="AA78" s="258"/>
      <c r="AB78" s="258"/>
      <c r="AC78" s="258"/>
      <c r="AD78" s="258"/>
      <c r="AE78" s="258"/>
      <c r="AF78" s="258"/>
      <c r="AG78" s="258"/>
      <c r="AH78" s="258"/>
      <c r="AI78" s="258">
        <v>170</v>
      </c>
      <c r="AJ78" s="258">
        <v>2580</v>
      </c>
      <c r="AK78" s="258">
        <v>1664.8</v>
      </c>
      <c r="AL78" s="258"/>
      <c r="AM78" s="258"/>
      <c r="AN78" s="258"/>
      <c r="AO78" s="272">
        <f t="shared" si="13"/>
        <v>255</v>
      </c>
      <c r="AP78" s="272">
        <f t="shared" si="17"/>
        <v>3980</v>
      </c>
      <c r="AQ78" s="272">
        <f t="shared" si="16"/>
        <v>2528.8000000000002</v>
      </c>
      <c r="AR78" s="234"/>
      <c r="AS78" s="234"/>
      <c r="AT78" s="234"/>
      <c r="AU78" s="234"/>
      <c r="AV78" s="234"/>
      <c r="AW78" s="234"/>
      <c r="AX78" s="234"/>
      <c r="AY78" s="234"/>
      <c r="AZ78" s="234"/>
      <c r="BA78" s="234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  <c r="BM78" s="234"/>
      <c r="BN78" s="234"/>
      <c r="BO78" s="234"/>
      <c r="BP78" s="234"/>
      <c r="BQ78" s="234"/>
      <c r="BR78" s="234"/>
      <c r="BS78" s="234"/>
      <c r="BT78" s="234"/>
      <c r="BU78" s="270"/>
      <c r="BV78" s="272">
        <f t="shared" si="18"/>
        <v>255</v>
      </c>
      <c r="BW78" s="272">
        <f t="shared" si="18"/>
        <v>3980</v>
      </c>
      <c r="BX78" s="272">
        <f t="shared" si="18"/>
        <v>2528.8000000000002</v>
      </c>
      <c r="BY78" s="270"/>
      <c r="BZ78" s="270"/>
      <c r="CA78" s="270"/>
      <c r="CB78" s="270"/>
      <c r="CC78" s="270"/>
      <c r="CD78" s="270"/>
      <c r="CE78" s="270"/>
      <c r="CF78" s="270"/>
      <c r="CG78" s="270"/>
      <c r="CH78" s="270">
        <v>170</v>
      </c>
      <c r="CI78" s="270">
        <v>2690</v>
      </c>
      <c r="CJ78" s="270">
        <v>1672.3999999999999</v>
      </c>
      <c r="CK78" s="270"/>
      <c r="CL78" s="270"/>
      <c r="CM78" s="270"/>
      <c r="CN78" s="270"/>
      <c r="CO78" s="270"/>
      <c r="CP78" s="270"/>
      <c r="CQ78" s="270"/>
      <c r="CR78" s="270"/>
      <c r="CS78" s="270"/>
      <c r="CT78" s="270"/>
      <c r="CU78" s="270"/>
      <c r="CV78" s="270"/>
      <c r="CW78" s="270"/>
      <c r="CX78" s="270"/>
      <c r="CY78" s="270"/>
      <c r="CZ78" s="270"/>
      <c r="DA78" s="270"/>
      <c r="DB78" s="270"/>
      <c r="DC78" s="270"/>
      <c r="DD78" s="270"/>
      <c r="DE78" s="270"/>
      <c r="DF78" s="272">
        <f t="shared" si="19"/>
        <v>425</v>
      </c>
      <c r="DG78" s="272">
        <f t="shared" si="19"/>
        <v>6670</v>
      </c>
      <c r="DH78" s="272">
        <f t="shared" si="14"/>
        <v>4201.2</v>
      </c>
      <c r="DI78" s="274"/>
    </row>
    <row r="79" spans="1:113" s="275" customFormat="1" ht="24.75" customHeight="1" x14ac:dyDescent="0.6">
      <c r="A79" s="268">
        <v>36</v>
      </c>
      <c r="B79" s="269" t="s">
        <v>372</v>
      </c>
      <c r="C79" s="143" t="s">
        <v>373</v>
      </c>
      <c r="D79" s="99" t="s">
        <v>301</v>
      </c>
      <c r="E79" s="105" t="s">
        <v>87</v>
      </c>
      <c r="F79" s="234" t="s">
        <v>733</v>
      </c>
      <c r="G79" s="234" t="s">
        <v>354</v>
      </c>
      <c r="H79" s="234" t="s">
        <v>913</v>
      </c>
      <c r="I79" s="234" t="s">
        <v>914</v>
      </c>
      <c r="J79" s="234" t="s">
        <v>288</v>
      </c>
      <c r="K79" s="259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>
        <v>100</v>
      </c>
      <c r="X79" s="258">
        <v>1300</v>
      </c>
      <c r="Y79" s="258">
        <v>1048</v>
      </c>
      <c r="Z79" s="258"/>
      <c r="AA79" s="258"/>
      <c r="AB79" s="258"/>
      <c r="AC79" s="258"/>
      <c r="AD79" s="258"/>
      <c r="AE79" s="258"/>
      <c r="AF79" s="258"/>
      <c r="AG79" s="258"/>
      <c r="AH79" s="258"/>
      <c r="AI79" s="258"/>
      <c r="AJ79" s="258"/>
      <c r="AK79" s="258"/>
      <c r="AL79" s="258"/>
      <c r="AM79" s="258"/>
      <c r="AN79" s="258"/>
      <c r="AO79" s="272">
        <f t="shared" si="13"/>
        <v>100</v>
      </c>
      <c r="AP79" s="272">
        <f t="shared" si="17"/>
        <v>1300</v>
      </c>
      <c r="AQ79" s="272">
        <f t="shared" si="16"/>
        <v>1048</v>
      </c>
      <c r="AR79" s="234"/>
      <c r="AS79" s="234"/>
      <c r="AT79" s="234"/>
      <c r="AU79" s="234"/>
      <c r="AV79" s="234"/>
      <c r="AW79" s="234"/>
      <c r="AX79" s="234"/>
      <c r="AY79" s="234"/>
      <c r="AZ79" s="234"/>
      <c r="BA79" s="234">
        <v>75</v>
      </c>
      <c r="BB79" s="234">
        <v>1140</v>
      </c>
      <c r="BC79" s="234">
        <v>758</v>
      </c>
      <c r="BD79" s="234"/>
      <c r="BE79" s="234"/>
      <c r="BF79" s="234"/>
      <c r="BG79" s="234">
        <v>60</v>
      </c>
      <c r="BH79" s="234">
        <v>1000</v>
      </c>
      <c r="BI79" s="234">
        <v>740</v>
      </c>
      <c r="BJ79" s="234"/>
      <c r="BK79" s="234"/>
      <c r="BL79" s="234"/>
      <c r="BM79" s="234"/>
      <c r="BN79" s="234"/>
      <c r="BO79" s="234"/>
      <c r="BP79" s="234"/>
      <c r="BQ79" s="234"/>
      <c r="BR79" s="234"/>
      <c r="BS79" s="234"/>
      <c r="BT79" s="234"/>
      <c r="BU79" s="270"/>
      <c r="BV79" s="272">
        <f t="shared" si="18"/>
        <v>235</v>
      </c>
      <c r="BW79" s="272">
        <f t="shared" si="18"/>
        <v>3440</v>
      </c>
      <c r="BX79" s="272">
        <f t="shared" si="18"/>
        <v>2546</v>
      </c>
      <c r="BY79" s="270"/>
      <c r="BZ79" s="270"/>
      <c r="CA79" s="270"/>
      <c r="CB79" s="270"/>
      <c r="CC79" s="270"/>
      <c r="CD79" s="270"/>
      <c r="CE79" s="270">
        <v>30</v>
      </c>
      <c r="CF79" s="270">
        <v>380</v>
      </c>
      <c r="CG79" s="270">
        <v>329.6</v>
      </c>
      <c r="CH79" s="270"/>
      <c r="CI79" s="270"/>
      <c r="CJ79" s="270"/>
      <c r="CK79" s="270"/>
      <c r="CL79" s="270"/>
      <c r="CM79" s="270"/>
      <c r="CN79" s="270"/>
      <c r="CO79" s="270"/>
      <c r="CP79" s="270"/>
      <c r="CQ79" s="270"/>
      <c r="CR79" s="270"/>
      <c r="CS79" s="270"/>
      <c r="CT79" s="270">
        <v>110</v>
      </c>
      <c r="CU79" s="270">
        <v>1700</v>
      </c>
      <c r="CV79" s="270">
        <v>1188</v>
      </c>
      <c r="CW79" s="270"/>
      <c r="CX79" s="270"/>
      <c r="CY79" s="270"/>
      <c r="CZ79" s="270"/>
      <c r="DA79" s="270"/>
      <c r="DB79" s="270"/>
      <c r="DC79" s="270"/>
      <c r="DD79" s="270"/>
      <c r="DE79" s="270"/>
      <c r="DF79" s="272">
        <f t="shared" si="19"/>
        <v>375</v>
      </c>
      <c r="DG79" s="272">
        <f t="shared" si="19"/>
        <v>5520</v>
      </c>
      <c r="DH79" s="272">
        <f t="shared" si="14"/>
        <v>4063.6</v>
      </c>
      <c r="DI79" s="274"/>
    </row>
    <row r="80" spans="1:113" s="275" customFormat="1" ht="24.75" customHeight="1" x14ac:dyDescent="0.6">
      <c r="A80" s="268">
        <v>37</v>
      </c>
      <c r="B80" s="269" t="s">
        <v>374</v>
      </c>
      <c r="C80" s="143" t="s">
        <v>375</v>
      </c>
      <c r="D80" s="99" t="s">
        <v>301</v>
      </c>
      <c r="E80" s="105" t="s">
        <v>87</v>
      </c>
      <c r="F80" s="234" t="s">
        <v>733</v>
      </c>
      <c r="G80" s="234" t="s">
        <v>915</v>
      </c>
      <c r="H80" s="234" t="s">
        <v>916</v>
      </c>
      <c r="I80" s="234" t="s">
        <v>917</v>
      </c>
      <c r="J80" s="234" t="s">
        <v>288</v>
      </c>
      <c r="K80" s="259"/>
      <c r="L80" s="258"/>
      <c r="M80" s="258"/>
      <c r="N80" s="258"/>
      <c r="O80" s="258"/>
      <c r="P80" s="258"/>
      <c r="Q80" s="258">
        <v>80</v>
      </c>
      <c r="R80" s="258">
        <v>1080</v>
      </c>
      <c r="S80" s="258">
        <v>777.6</v>
      </c>
      <c r="T80" s="258"/>
      <c r="U80" s="258"/>
      <c r="V80" s="258"/>
      <c r="W80" s="258"/>
      <c r="X80" s="258"/>
      <c r="Y80" s="258"/>
      <c r="Z80" s="258"/>
      <c r="AA80" s="258"/>
      <c r="AB80" s="258"/>
      <c r="AC80" s="258"/>
      <c r="AD80" s="258"/>
      <c r="AE80" s="258"/>
      <c r="AF80" s="258"/>
      <c r="AG80" s="258"/>
      <c r="AH80" s="258"/>
      <c r="AI80" s="258"/>
      <c r="AJ80" s="258"/>
      <c r="AK80" s="258"/>
      <c r="AL80" s="258"/>
      <c r="AM80" s="258"/>
      <c r="AN80" s="258"/>
      <c r="AO80" s="272">
        <f t="shared" si="13"/>
        <v>80</v>
      </c>
      <c r="AP80" s="272">
        <f t="shared" si="17"/>
        <v>1080</v>
      </c>
      <c r="AQ80" s="272">
        <f t="shared" si="16"/>
        <v>777.6</v>
      </c>
      <c r="AR80" s="234"/>
      <c r="AS80" s="234"/>
      <c r="AT80" s="234"/>
      <c r="AU80" s="234"/>
      <c r="AV80" s="234"/>
      <c r="AW80" s="234"/>
      <c r="AX80" s="234"/>
      <c r="AY80" s="234"/>
      <c r="AZ80" s="234"/>
      <c r="BA80" s="234"/>
      <c r="BB80" s="234"/>
      <c r="BC80" s="234"/>
      <c r="BD80" s="234"/>
      <c r="BE80" s="234"/>
      <c r="BF80" s="234"/>
      <c r="BG80" s="234"/>
      <c r="BH80" s="234"/>
      <c r="BI80" s="234"/>
      <c r="BJ80" s="234"/>
      <c r="BK80" s="234"/>
      <c r="BL80" s="234"/>
      <c r="BM80" s="234"/>
      <c r="BN80" s="234"/>
      <c r="BO80" s="234"/>
      <c r="BP80" s="234"/>
      <c r="BQ80" s="234"/>
      <c r="BR80" s="234"/>
      <c r="BS80" s="234">
        <v>80</v>
      </c>
      <c r="BT80" s="234">
        <v>1080</v>
      </c>
      <c r="BU80" s="270">
        <v>777.6</v>
      </c>
      <c r="BV80" s="272">
        <f t="shared" si="18"/>
        <v>160</v>
      </c>
      <c r="BW80" s="272">
        <f t="shared" si="18"/>
        <v>2160</v>
      </c>
      <c r="BX80" s="272">
        <f t="shared" si="18"/>
        <v>1555.2</v>
      </c>
      <c r="BY80" s="270"/>
      <c r="BZ80" s="270"/>
      <c r="CA80" s="270"/>
      <c r="CB80" s="270"/>
      <c r="CC80" s="270"/>
      <c r="CD80" s="270"/>
      <c r="CE80" s="270"/>
      <c r="CF80" s="270"/>
      <c r="CG80" s="270"/>
      <c r="CH80" s="270"/>
      <c r="CI80" s="270"/>
      <c r="CJ80" s="270"/>
      <c r="CK80" s="270"/>
      <c r="CL80" s="270"/>
      <c r="CM80" s="270"/>
      <c r="CN80" s="270"/>
      <c r="CO80" s="270"/>
      <c r="CP80" s="270"/>
      <c r="CQ80" s="270"/>
      <c r="CR80" s="270"/>
      <c r="CS80" s="270"/>
      <c r="CT80" s="270"/>
      <c r="CU80" s="270"/>
      <c r="CV80" s="270"/>
      <c r="CW80" s="270"/>
      <c r="CX80" s="270"/>
      <c r="CY80" s="270"/>
      <c r="CZ80" s="270"/>
      <c r="DA80" s="270"/>
      <c r="DB80" s="270"/>
      <c r="DC80" s="270"/>
      <c r="DD80" s="270"/>
      <c r="DE80" s="270"/>
      <c r="DF80" s="272">
        <f t="shared" si="19"/>
        <v>160</v>
      </c>
      <c r="DG80" s="272">
        <f t="shared" si="19"/>
        <v>2160</v>
      </c>
      <c r="DH80" s="272">
        <f t="shared" si="14"/>
        <v>1555.2</v>
      </c>
      <c r="DI80" s="274"/>
    </row>
    <row r="81" spans="1:113" s="275" customFormat="1" ht="24.75" customHeight="1" x14ac:dyDescent="0.6">
      <c r="A81" s="268">
        <v>38</v>
      </c>
      <c r="B81" s="269" t="s">
        <v>376</v>
      </c>
      <c r="C81" s="143" t="s">
        <v>376</v>
      </c>
      <c r="D81" s="105" t="s">
        <v>377</v>
      </c>
      <c r="E81" s="105" t="s">
        <v>117</v>
      </c>
      <c r="F81" s="234" t="s">
        <v>733</v>
      </c>
      <c r="G81" s="234" t="s">
        <v>918</v>
      </c>
      <c r="H81" s="234" t="s">
        <v>919</v>
      </c>
      <c r="I81" s="234" t="s">
        <v>920</v>
      </c>
      <c r="J81" s="234" t="s">
        <v>288</v>
      </c>
      <c r="K81" s="259"/>
      <c r="L81" s="258"/>
      <c r="M81" s="258"/>
      <c r="N81" s="258"/>
      <c r="O81" s="258"/>
      <c r="P81" s="258"/>
      <c r="Q81" s="258"/>
      <c r="R81" s="258"/>
      <c r="S81" s="258"/>
      <c r="T81" s="258"/>
      <c r="U81" s="258"/>
      <c r="V81" s="258"/>
      <c r="W81" s="258"/>
      <c r="X81" s="258"/>
      <c r="Y81" s="258"/>
      <c r="Z81" s="258">
        <v>220</v>
      </c>
      <c r="AA81" s="258">
        <v>3400</v>
      </c>
      <c r="AB81" s="258">
        <v>2376</v>
      </c>
      <c r="AC81" s="258"/>
      <c r="AD81" s="258"/>
      <c r="AE81" s="258"/>
      <c r="AF81" s="258"/>
      <c r="AG81" s="258"/>
      <c r="AH81" s="258"/>
      <c r="AI81" s="258"/>
      <c r="AJ81" s="258"/>
      <c r="AK81" s="258"/>
      <c r="AL81" s="258"/>
      <c r="AM81" s="258"/>
      <c r="AN81" s="258"/>
      <c r="AO81" s="272">
        <f t="shared" si="13"/>
        <v>220</v>
      </c>
      <c r="AP81" s="272">
        <f t="shared" si="17"/>
        <v>3400</v>
      </c>
      <c r="AQ81" s="272">
        <f t="shared" si="16"/>
        <v>2376</v>
      </c>
      <c r="AR81" s="234"/>
      <c r="AS81" s="234"/>
      <c r="AT81" s="234"/>
      <c r="AU81" s="234"/>
      <c r="AV81" s="234"/>
      <c r="AW81" s="234"/>
      <c r="AX81" s="234"/>
      <c r="AY81" s="234"/>
      <c r="AZ81" s="234"/>
      <c r="BA81" s="234"/>
      <c r="BB81" s="234"/>
      <c r="BC81" s="234"/>
      <c r="BD81" s="234"/>
      <c r="BE81" s="234"/>
      <c r="BF81" s="234"/>
      <c r="BG81" s="234"/>
      <c r="BH81" s="234"/>
      <c r="BI81" s="234"/>
      <c r="BJ81" s="234"/>
      <c r="BK81" s="234"/>
      <c r="BL81" s="234"/>
      <c r="BM81" s="234"/>
      <c r="BN81" s="234"/>
      <c r="BO81" s="234"/>
      <c r="BP81" s="234"/>
      <c r="BQ81" s="234"/>
      <c r="BR81" s="234"/>
      <c r="BS81" s="234">
        <v>280</v>
      </c>
      <c r="BT81" s="234">
        <v>4320</v>
      </c>
      <c r="BU81" s="270">
        <v>2792</v>
      </c>
      <c r="BV81" s="272">
        <f t="shared" si="18"/>
        <v>500</v>
      </c>
      <c r="BW81" s="272">
        <f t="shared" si="18"/>
        <v>7720</v>
      </c>
      <c r="BX81" s="272">
        <f t="shared" si="18"/>
        <v>5168</v>
      </c>
      <c r="BY81" s="270"/>
      <c r="BZ81" s="270"/>
      <c r="CA81" s="270"/>
      <c r="CB81" s="270"/>
      <c r="CC81" s="270"/>
      <c r="CD81" s="270"/>
      <c r="CE81" s="270"/>
      <c r="CF81" s="270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0"/>
      <c r="CR81" s="270"/>
      <c r="CS81" s="270"/>
      <c r="CT81" s="270"/>
      <c r="CU81" s="270"/>
      <c r="CV81" s="270"/>
      <c r="CW81" s="270"/>
      <c r="CX81" s="270"/>
      <c r="CY81" s="270"/>
      <c r="CZ81" s="270"/>
      <c r="DA81" s="270"/>
      <c r="DB81" s="270"/>
      <c r="DC81" s="270"/>
      <c r="DD81" s="270"/>
      <c r="DE81" s="270"/>
      <c r="DF81" s="272">
        <f t="shared" si="19"/>
        <v>500</v>
      </c>
      <c r="DG81" s="272">
        <f t="shared" si="19"/>
        <v>7720</v>
      </c>
      <c r="DH81" s="272">
        <f t="shared" si="14"/>
        <v>5168</v>
      </c>
      <c r="DI81" s="274"/>
    </row>
    <row r="82" spans="1:113" s="275" customFormat="1" ht="24.75" customHeight="1" x14ac:dyDescent="0.6">
      <c r="A82" s="268">
        <v>39</v>
      </c>
      <c r="B82" s="269" t="s">
        <v>378</v>
      </c>
      <c r="C82" s="99" t="s">
        <v>379</v>
      </c>
      <c r="D82" s="100" t="s">
        <v>323</v>
      </c>
      <c r="E82" s="105" t="s">
        <v>91</v>
      </c>
      <c r="F82" s="234" t="s">
        <v>733</v>
      </c>
      <c r="G82" s="234" t="s">
        <v>921</v>
      </c>
      <c r="H82" s="234" t="s">
        <v>922</v>
      </c>
      <c r="I82" s="234" t="s">
        <v>923</v>
      </c>
      <c r="J82" s="234" t="s">
        <v>288</v>
      </c>
      <c r="K82" s="259"/>
      <c r="L82" s="258"/>
      <c r="M82" s="258"/>
      <c r="N82" s="258"/>
      <c r="O82" s="258"/>
      <c r="P82" s="258"/>
      <c r="Q82" s="258"/>
      <c r="R82" s="258"/>
      <c r="S82" s="258"/>
      <c r="T82" s="258"/>
      <c r="U82" s="258"/>
      <c r="V82" s="258"/>
      <c r="W82" s="258"/>
      <c r="X82" s="258"/>
      <c r="Y82" s="258"/>
      <c r="Z82" s="258"/>
      <c r="AA82" s="258"/>
      <c r="AB82" s="258"/>
      <c r="AC82" s="258"/>
      <c r="AD82" s="258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O82" s="272">
        <f t="shared" si="13"/>
        <v>0</v>
      </c>
      <c r="AP82" s="272">
        <f t="shared" si="17"/>
        <v>0</v>
      </c>
      <c r="AQ82" s="272">
        <f t="shared" si="16"/>
        <v>0</v>
      </c>
      <c r="AR82" s="234"/>
      <c r="AS82" s="234"/>
      <c r="AT82" s="234"/>
      <c r="AU82" s="234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4"/>
      <c r="BG82" s="234"/>
      <c r="BH82" s="234"/>
      <c r="BI82" s="234"/>
      <c r="BJ82" s="234"/>
      <c r="BK82" s="234"/>
      <c r="BL82" s="234"/>
      <c r="BM82" s="234"/>
      <c r="BN82" s="234"/>
      <c r="BO82" s="234"/>
      <c r="BP82" s="234"/>
      <c r="BQ82" s="234"/>
      <c r="BR82" s="234"/>
      <c r="BS82" s="234"/>
      <c r="BT82" s="234"/>
      <c r="BU82" s="270"/>
      <c r="BV82" s="272">
        <f t="shared" si="18"/>
        <v>0</v>
      </c>
      <c r="BW82" s="272">
        <f t="shared" si="18"/>
        <v>0</v>
      </c>
      <c r="BX82" s="272">
        <f t="shared" si="18"/>
        <v>0</v>
      </c>
      <c r="BY82" s="270"/>
      <c r="BZ82" s="270"/>
      <c r="CA82" s="270"/>
      <c r="CB82" s="270"/>
      <c r="CC82" s="270"/>
      <c r="CD82" s="270"/>
      <c r="CE82" s="270"/>
      <c r="CF82" s="270"/>
      <c r="CG82" s="270"/>
      <c r="CH82" s="270"/>
      <c r="CI82" s="270"/>
      <c r="CJ82" s="270"/>
      <c r="CK82" s="270"/>
      <c r="CL82" s="270"/>
      <c r="CM82" s="270"/>
      <c r="CN82" s="270"/>
      <c r="CO82" s="270"/>
      <c r="CP82" s="270"/>
      <c r="CQ82" s="270">
        <v>55</v>
      </c>
      <c r="CR82" s="270">
        <v>1370</v>
      </c>
      <c r="CS82" s="270">
        <v>694.8</v>
      </c>
      <c r="CT82" s="270"/>
      <c r="CU82" s="270"/>
      <c r="CV82" s="270"/>
      <c r="CW82" s="270"/>
      <c r="CX82" s="270"/>
      <c r="CY82" s="270"/>
      <c r="CZ82" s="270"/>
      <c r="DA82" s="270"/>
      <c r="DB82" s="270"/>
      <c r="DC82" s="270"/>
      <c r="DD82" s="270"/>
      <c r="DE82" s="270"/>
      <c r="DF82" s="272">
        <f t="shared" si="19"/>
        <v>55</v>
      </c>
      <c r="DG82" s="272">
        <f t="shared" si="19"/>
        <v>1370</v>
      </c>
      <c r="DH82" s="272">
        <f t="shared" si="14"/>
        <v>694.8</v>
      </c>
      <c r="DI82" s="274"/>
    </row>
    <row r="83" spans="1:113" s="275" customFormat="1" ht="24.75" customHeight="1" x14ac:dyDescent="0.6">
      <c r="A83" s="268">
        <v>40</v>
      </c>
      <c r="B83" s="269" t="s">
        <v>380</v>
      </c>
      <c r="C83" s="99" t="s">
        <v>380</v>
      </c>
      <c r="D83" s="100" t="s">
        <v>123</v>
      </c>
      <c r="E83" s="149" t="s">
        <v>124</v>
      </c>
      <c r="F83" s="234" t="s">
        <v>733</v>
      </c>
      <c r="G83" s="234" t="s">
        <v>924</v>
      </c>
      <c r="H83" s="234" t="s">
        <v>925</v>
      </c>
      <c r="I83" s="234" t="s">
        <v>926</v>
      </c>
      <c r="J83" s="234" t="s">
        <v>288</v>
      </c>
      <c r="K83" s="259"/>
      <c r="L83" s="258"/>
      <c r="M83" s="258"/>
      <c r="N83" s="258"/>
      <c r="O83" s="258"/>
      <c r="P83" s="258"/>
      <c r="Q83" s="258"/>
      <c r="R83" s="258"/>
      <c r="S83" s="258"/>
      <c r="T83" s="258"/>
      <c r="U83" s="258"/>
      <c r="V83" s="258"/>
      <c r="W83" s="258"/>
      <c r="X83" s="258"/>
      <c r="Y83" s="258"/>
      <c r="Z83" s="258"/>
      <c r="AA83" s="258"/>
      <c r="AB83" s="258"/>
      <c r="AC83" s="258">
        <v>75</v>
      </c>
      <c r="AD83" s="258">
        <v>930</v>
      </c>
      <c r="AE83" s="258">
        <v>854.4</v>
      </c>
      <c r="AF83" s="258"/>
      <c r="AG83" s="258"/>
      <c r="AH83" s="258"/>
      <c r="AI83" s="258"/>
      <c r="AJ83" s="258"/>
      <c r="AK83" s="258"/>
      <c r="AL83" s="258"/>
      <c r="AM83" s="258"/>
      <c r="AN83" s="258"/>
      <c r="AO83" s="272">
        <f t="shared" si="13"/>
        <v>75</v>
      </c>
      <c r="AP83" s="272">
        <f t="shared" si="17"/>
        <v>930</v>
      </c>
      <c r="AQ83" s="272">
        <f t="shared" si="16"/>
        <v>854.4</v>
      </c>
      <c r="AR83" s="234"/>
      <c r="AS83" s="234"/>
      <c r="AT83" s="234"/>
      <c r="AU83" s="234"/>
      <c r="AV83" s="234"/>
      <c r="AW83" s="234"/>
      <c r="AX83" s="234"/>
      <c r="AY83" s="234"/>
      <c r="AZ83" s="234"/>
      <c r="BA83" s="234"/>
      <c r="BB83" s="234"/>
      <c r="BC83" s="234"/>
      <c r="BD83" s="234">
        <v>95</v>
      </c>
      <c r="BE83" s="234">
        <v>1730</v>
      </c>
      <c r="BF83" s="234">
        <v>1134.3999999999999</v>
      </c>
      <c r="BG83" s="234"/>
      <c r="BH83" s="234"/>
      <c r="BI83" s="234"/>
      <c r="BJ83" s="234"/>
      <c r="BK83" s="234"/>
      <c r="BL83" s="234"/>
      <c r="BM83" s="234"/>
      <c r="BN83" s="234"/>
      <c r="BO83" s="234"/>
      <c r="BP83" s="234"/>
      <c r="BQ83" s="234"/>
      <c r="BR83" s="234"/>
      <c r="BS83" s="234"/>
      <c r="BT83" s="234"/>
      <c r="BU83" s="270"/>
      <c r="BV83" s="272">
        <f t="shared" si="18"/>
        <v>170</v>
      </c>
      <c r="BW83" s="272">
        <f t="shared" si="18"/>
        <v>2660</v>
      </c>
      <c r="BX83" s="272">
        <f t="shared" si="18"/>
        <v>1988.7999999999997</v>
      </c>
      <c r="BY83" s="270">
        <v>140</v>
      </c>
      <c r="BZ83" s="270">
        <v>2820</v>
      </c>
      <c r="CA83" s="270">
        <v>1729.6</v>
      </c>
      <c r="CB83" s="270"/>
      <c r="CC83" s="270"/>
      <c r="CD83" s="270"/>
      <c r="CE83" s="270"/>
      <c r="CF83" s="270"/>
      <c r="CG83" s="270"/>
      <c r="CH83" s="270"/>
      <c r="CI83" s="270"/>
      <c r="CJ83" s="270"/>
      <c r="CK83" s="270"/>
      <c r="CL83" s="270"/>
      <c r="CM83" s="270"/>
      <c r="CN83" s="270"/>
      <c r="CO83" s="270"/>
      <c r="CP83" s="270"/>
      <c r="CQ83" s="270"/>
      <c r="CR83" s="270"/>
      <c r="CS83" s="270"/>
      <c r="CT83" s="270"/>
      <c r="CU83" s="270"/>
      <c r="CV83" s="270"/>
      <c r="CW83" s="270">
        <v>75</v>
      </c>
      <c r="CX83" s="270">
        <v>920</v>
      </c>
      <c r="CY83" s="270">
        <v>869.6</v>
      </c>
      <c r="CZ83" s="270"/>
      <c r="DA83" s="270"/>
      <c r="DB83" s="270"/>
      <c r="DC83" s="270"/>
      <c r="DD83" s="270"/>
      <c r="DE83" s="270"/>
      <c r="DF83" s="272">
        <f t="shared" si="19"/>
        <v>385</v>
      </c>
      <c r="DG83" s="272">
        <f t="shared" si="19"/>
        <v>6400</v>
      </c>
      <c r="DH83" s="272">
        <f t="shared" si="14"/>
        <v>4588</v>
      </c>
      <c r="DI83" s="274"/>
    </row>
    <row r="84" spans="1:113" s="275" customFormat="1" ht="24.75" customHeight="1" x14ac:dyDescent="0.6">
      <c r="A84" s="268">
        <v>41</v>
      </c>
      <c r="B84" s="269" t="s">
        <v>381</v>
      </c>
      <c r="C84" s="99" t="s">
        <v>381</v>
      </c>
      <c r="D84" s="100" t="s">
        <v>123</v>
      </c>
      <c r="E84" s="149" t="s">
        <v>124</v>
      </c>
      <c r="F84" s="234" t="s">
        <v>733</v>
      </c>
      <c r="G84" s="234" t="s">
        <v>927</v>
      </c>
      <c r="H84" s="234" t="s">
        <v>928</v>
      </c>
      <c r="I84" s="234" t="s">
        <v>929</v>
      </c>
      <c r="J84" s="234" t="s">
        <v>288</v>
      </c>
      <c r="K84" s="259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58"/>
      <c r="AA84" s="258"/>
      <c r="AB84" s="258"/>
      <c r="AC84" s="258"/>
      <c r="AD84" s="258"/>
      <c r="AE84" s="258"/>
      <c r="AF84" s="258">
        <v>33</v>
      </c>
      <c r="AG84" s="258">
        <v>396</v>
      </c>
      <c r="AH84" s="258">
        <v>253.44</v>
      </c>
      <c r="AI84" s="258"/>
      <c r="AJ84" s="258"/>
      <c r="AK84" s="258"/>
      <c r="AL84" s="258"/>
      <c r="AM84" s="258"/>
      <c r="AN84" s="258"/>
      <c r="AO84" s="272">
        <f t="shared" si="13"/>
        <v>33</v>
      </c>
      <c r="AP84" s="272">
        <f t="shared" si="17"/>
        <v>396</v>
      </c>
      <c r="AQ84" s="272">
        <f t="shared" si="16"/>
        <v>253.44</v>
      </c>
      <c r="AR84" s="234"/>
      <c r="AS84" s="234"/>
      <c r="AT84" s="234"/>
      <c r="AU84" s="234"/>
      <c r="AV84" s="234"/>
      <c r="AW84" s="234"/>
      <c r="AX84" s="234">
        <v>23</v>
      </c>
      <c r="AY84" s="234">
        <v>276</v>
      </c>
      <c r="AZ84" s="234">
        <v>176.64000000000001</v>
      </c>
      <c r="BA84" s="234"/>
      <c r="BB84" s="234"/>
      <c r="BC84" s="234"/>
      <c r="BD84" s="234"/>
      <c r="BE84" s="234"/>
      <c r="BF84" s="234"/>
      <c r="BG84" s="234"/>
      <c r="BH84" s="234"/>
      <c r="BI84" s="234"/>
      <c r="BJ84" s="234"/>
      <c r="BK84" s="234"/>
      <c r="BL84" s="234"/>
      <c r="BM84" s="234"/>
      <c r="BN84" s="234"/>
      <c r="BO84" s="234"/>
      <c r="BP84" s="234"/>
      <c r="BQ84" s="234"/>
      <c r="BR84" s="234"/>
      <c r="BS84" s="234"/>
      <c r="BT84" s="234"/>
      <c r="BU84" s="270"/>
      <c r="BV84" s="272">
        <f t="shared" si="18"/>
        <v>56</v>
      </c>
      <c r="BW84" s="272">
        <f t="shared" si="18"/>
        <v>672</v>
      </c>
      <c r="BX84" s="272">
        <f t="shared" si="18"/>
        <v>430.08000000000004</v>
      </c>
      <c r="BY84" s="270">
        <v>53</v>
      </c>
      <c r="BZ84" s="270">
        <v>636</v>
      </c>
      <c r="CA84" s="270">
        <v>407.04</v>
      </c>
      <c r="CB84" s="270"/>
      <c r="CC84" s="270"/>
      <c r="CD84" s="270"/>
      <c r="CE84" s="270"/>
      <c r="CF84" s="270"/>
      <c r="CG84" s="270"/>
      <c r="CH84" s="270"/>
      <c r="CI84" s="270"/>
      <c r="CJ84" s="270"/>
      <c r="CK84" s="270"/>
      <c r="CL84" s="270"/>
      <c r="CM84" s="270"/>
      <c r="CN84" s="270"/>
      <c r="CO84" s="270"/>
      <c r="CP84" s="270"/>
      <c r="CQ84" s="270"/>
      <c r="CR84" s="270"/>
      <c r="CS84" s="270"/>
      <c r="CT84" s="270"/>
      <c r="CU84" s="270"/>
      <c r="CV84" s="270"/>
      <c r="CW84" s="270"/>
      <c r="CX84" s="270"/>
      <c r="CY84" s="270"/>
      <c r="CZ84" s="270"/>
      <c r="DA84" s="270"/>
      <c r="DB84" s="270"/>
      <c r="DC84" s="270"/>
      <c r="DD84" s="270"/>
      <c r="DE84" s="270"/>
      <c r="DF84" s="272">
        <f t="shared" si="19"/>
        <v>109</v>
      </c>
      <c r="DG84" s="272">
        <f t="shared" si="19"/>
        <v>1308</v>
      </c>
      <c r="DH84" s="272">
        <f t="shared" si="14"/>
        <v>837.12000000000012</v>
      </c>
      <c r="DI84" s="274"/>
    </row>
    <row r="85" spans="1:113" s="275" customFormat="1" ht="24.75" customHeight="1" x14ac:dyDescent="0.6">
      <c r="A85" s="268">
        <v>42</v>
      </c>
      <c r="B85" s="269" t="s">
        <v>382</v>
      </c>
      <c r="C85" s="143" t="s">
        <v>383</v>
      </c>
      <c r="D85" s="105" t="s">
        <v>82</v>
      </c>
      <c r="E85" s="148" t="s">
        <v>83</v>
      </c>
      <c r="F85" s="234" t="s">
        <v>733</v>
      </c>
      <c r="G85" s="301"/>
      <c r="H85" s="301"/>
      <c r="I85" s="234"/>
      <c r="J85" s="234" t="s">
        <v>288</v>
      </c>
      <c r="K85" s="259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8"/>
      <c r="W85" s="258"/>
      <c r="X85" s="258"/>
      <c r="Y85" s="258"/>
      <c r="Z85" s="258"/>
      <c r="AA85" s="258"/>
      <c r="AB85" s="258"/>
      <c r="AC85" s="258"/>
      <c r="AD85" s="258"/>
      <c r="AE85" s="258"/>
      <c r="AF85" s="258"/>
      <c r="AG85" s="258"/>
      <c r="AH85" s="258"/>
      <c r="AI85" s="258"/>
      <c r="AJ85" s="258"/>
      <c r="AK85" s="258"/>
      <c r="AL85" s="258"/>
      <c r="AM85" s="258"/>
      <c r="AN85" s="258"/>
      <c r="AO85" s="272">
        <f t="shared" si="13"/>
        <v>0</v>
      </c>
      <c r="AP85" s="272">
        <f t="shared" si="17"/>
        <v>0</v>
      </c>
      <c r="AQ85" s="272">
        <f t="shared" si="16"/>
        <v>0</v>
      </c>
      <c r="AR85" s="234"/>
      <c r="AS85" s="234"/>
      <c r="AT85" s="234"/>
      <c r="AU85" s="234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4"/>
      <c r="BG85" s="234"/>
      <c r="BH85" s="234"/>
      <c r="BI85" s="234"/>
      <c r="BJ85" s="234">
        <v>80</v>
      </c>
      <c r="BK85" s="234">
        <v>1060</v>
      </c>
      <c r="BL85" s="234">
        <v>808</v>
      </c>
      <c r="BM85" s="234"/>
      <c r="BN85" s="234"/>
      <c r="BO85" s="234"/>
      <c r="BP85" s="234"/>
      <c r="BQ85" s="234"/>
      <c r="BR85" s="234"/>
      <c r="BS85" s="234"/>
      <c r="BT85" s="234"/>
      <c r="BU85" s="270"/>
      <c r="BV85" s="272">
        <f t="shared" si="18"/>
        <v>80</v>
      </c>
      <c r="BW85" s="272">
        <f t="shared" si="18"/>
        <v>1060</v>
      </c>
      <c r="BX85" s="272">
        <f t="shared" si="18"/>
        <v>808</v>
      </c>
      <c r="BY85" s="270"/>
      <c r="BZ85" s="270"/>
      <c r="CA85" s="270"/>
      <c r="CB85" s="270"/>
      <c r="CC85" s="270"/>
      <c r="CD85" s="270"/>
      <c r="CE85" s="270"/>
      <c r="CF85" s="270"/>
      <c r="CG85" s="270"/>
      <c r="CH85" s="270"/>
      <c r="CI85" s="270"/>
      <c r="CJ85" s="270"/>
      <c r="CK85" s="270"/>
      <c r="CL85" s="270"/>
      <c r="CM85" s="270"/>
      <c r="CN85" s="270"/>
      <c r="CO85" s="270"/>
      <c r="CP85" s="270"/>
      <c r="CQ85" s="270">
        <v>100</v>
      </c>
      <c r="CR85" s="270">
        <v>1200</v>
      </c>
      <c r="CS85" s="270">
        <v>1200</v>
      </c>
      <c r="CT85" s="270"/>
      <c r="CU85" s="270"/>
      <c r="CV85" s="270"/>
      <c r="CW85" s="270"/>
      <c r="CX85" s="270"/>
      <c r="CY85" s="270"/>
      <c r="CZ85" s="270"/>
      <c r="DA85" s="270"/>
      <c r="DB85" s="270"/>
      <c r="DC85" s="270"/>
      <c r="DD85" s="270"/>
      <c r="DE85" s="270"/>
      <c r="DF85" s="272">
        <f t="shared" si="19"/>
        <v>180</v>
      </c>
      <c r="DG85" s="272">
        <f t="shared" si="19"/>
        <v>2260</v>
      </c>
      <c r="DH85" s="272">
        <f t="shared" si="14"/>
        <v>2008</v>
      </c>
      <c r="DI85" s="274"/>
    </row>
    <row r="86" spans="1:113" s="275" customFormat="1" ht="24.75" customHeight="1" x14ac:dyDescent="0.6">
      <c r="A86" s="268">
        <v>43</v>
      </c>
      <c r="B86" s="269" t="s">
        <v>384</v>
      </c>
      <c r="C86" s="143" t="s">
        <v>385</v>
      </c>
      <c r="D86" s="105" t="s">
        <v>123</v>
      </c>
      <c r="E86" s="148" t="s">
        <v>124</v>
      </c>
      <c r="F86" s="234" t="s">
        <v>733</v>
      </c>
      <c r="G86" s="301" t="s">
        <v>930</v>
      </c>
      <c r="H86" s="301"/>
      <c r="I86" s="234" t="s">
        <v>931</v>
      </c>
      <c r="J86" s="234" t="s">
        <v>288</v>
      </c>
      <c r="K86" s="259"/>
      <c r="L86" s="258"/>
      <c r="M86" s="258"/>
      <c r="N86" s="258"/>
      <c r="O86" s="258"/>
      <c r="P86" s="258"/>
      <c r="Q86" s="258">
        <v>110</v>
      </c>
      <c r="R86" s="258">
        <v>1740</v>
      </c>
      <c r="S86" s="258">
        <v>1350</v>
      </c>
      <c r="T86" s="258"/>
      <c r="U86" s="258"/>
      <c r="V86" s="258"/>
      <c r="W86" s="258"/>
      <c r="X86" s="258"/>
      <c r="Y86" s="258"/>
      <c r="Z86" s="258"/>
      <c r="AA86" s="258"/>
      <c r="AB86" s="258"/>
      <c r="AC86" s="258"/>
      <c r="AD86" s="258"/>
      <c r="AE86" s="258"/>
      <c r="AF86" s="258"/>
      <c r="AG86" s="258"/>
      <c r="AH86" s="258"/>
      <c r="AI86" s="258"/>
      <c r="AJ86" s="258"/>
      <c r="AK86" s="258"/>
      <c r="AL86" s="258"/>
      <c r="AM86" s="258"/>
      <c r="AN86" s="258"/>
      <c r="AO86" s="272">
        <f t="shared" si="13"/>
        <v>110</v>
      </c>
      <c r="AP86" s="272">
        <f t="shared" si="17"/>
        <v>1740</v>
      </c>
      <c r="AQ86" s="272">
        <f t="shared" si="16"/>
        <v>1350</v>
      </c>
      <c r="AR86" s="234"/>
      <c r="AS86" s="234"/>
      <c r="AT86" s="234"/>
      <c r="AU86" s="234">
        <v>80</v>
      </c>
      <c r="AV86" s="234">
        <v>960</v>
      </c>
      <c r="AW86" s="234">
        <v>960</v>
      </c>
      <c r="AX86" s="234"/>
      <c r="AY86" s="234"/>
      <c r="AZ86" s="234"/>
      <c r="BA86" s="234">
        <v>45</v>
      </c>
      <c r="BB86" s="234">
        <v>1280</v>
      </c>
      <c r="BC86" s="234">
        <v>529.20000000000005</v>
      </c>
      <c r="BD86" s="234"/>
      <c r="BE86" s="234"/>
      <c r="BF86" s="234"/>
      <c r="BG86" s="234"/>
      <c r="BH86" s="234"/>
      <c r="BI86" s="234"/>
      <c r="BJ86" s="234"/>
      <c r="BK86" s="234"/>
      <c r="BL86" s="234"/>
      <c r="BM86" s="234"/>
      <c r="BN86" s="234"/>
      <c r="BO86" s="234"/>
      <c r="BP86" s="234">
        <v>110</v>
      </c>
      <c r="BQ86" s="234">
        <v>1320</v>
      </c>
      <c r="BR86" s="234">
        <v>1320</v>
      </c>
      <c r="BS86" s="234"/>
      <c r="BT86" s="234"/>
      <c r="BU86" s="270"/>
      <c r="BV86" s="272">
        <f t="shared" si="18"/>
        <v>345</v>
      </c>
      <c r="BW86" s="272">
        <f t="shared" si="18"/>
        <v>5300</v>
      </c>
      <c r="BX86" s="272">
        <f t="shared" si="18"/>
        <v>4159.2</v>
      </c>
      <c r="BY86" s="270"/>
      <c r="BZ86" s="270"/>
      <c r="CA86" s="270"/>
      <c r="CB86" s="270"/>
      <c r="CC86" s="270"/>
      <c r="CD86" s="270"/>
      <c r="CE86" s="270"/>
      <c r="CF86" s="270"/>
      <c r="CG86" s="270"/>
      <c r="CH86" s="270"/>
      <c r="CI86" s="270"/>
      <c r="CJ86" s="270"/>
      <c r="CK86" s="270"/>
      <c r="CL86" s="270"/>
      <c r="CM86" s="270"/>
      <c r="CN86" s="270">
        <v>55</v>
      </c>
      <c r="CO86" s="270">
        <v>1640</v>
      </c>
      <c r="CP86" s="270">
        <v>730</v>
      </c>
      <c r="CQ86" s="270"/>
      <c r="CR86" s="270"/>
      <c r="CS86" s="270"/>
      <c r="CT86" s="270"/>
      <c r="CU86" s="270"/>
      <c r="CV86" s="270"/>
      <c r="CW86" s="270"/>
      <c r="CX86" s="270"/>
      <c r="CY86" s="270"/>
      <c r="CZ86" s="270"/>
      <c r="DA86" s="270"/>
      <c r="DB86" s="270"/>
      <c r="DC86" s="270">
        <v>85</v>
      </c>
      <c r="DD86" s="270">
        <v>1160</v>
      </c>
      <c r="DE86" s="270">
        <v>934</v>
      </c>
      <c r="DF86" s="272">
        <f t="shared" si="19"/>
        <v>485</v>
      </c>
      <c r="DG86" s="272">
        <f t="shared" si="19"/>
        <v>8100</v>
      </c>
      <c r="DH86" s="272">
        <f t="shared" si="14"/>
        <v>5823.2</v>
      </c>
      <c r="DI86" s="274"/>
    </row>
    <row r="87" spans="1:113" s="275" customFormat="1" ht="24.75" customHeight="1" x14ac:dyDescent="0.6">
      <c r="A87" s="268">
        <v>44</v>
      </c>
      <c r="B87" s="269" t="s">
        <v>386</v>
      </c>
      <c r="C87" s="143" t="s">
        <v>387</v>
      </c>
      <c r="D87" s="105" t="s">
        <v>123</v>
      </c>
      <c r="E87" s="148" t="s">
        <v>124</v>
      </c>
      <c r="F87" s="234" t="s">
        <v>733</v>
      </c>
      <c r="G87" s="301" t="s">
        <v>932</v>
      </c>
      <c r="H87" s="301"/>
      <c r="I87" s="234" t="s">
        <v>933</v>
      </c>
      <c r="J87" s="234" t="s">
        <v>288</v>
      </c>
      <c r="K87" s="259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  <c r="Z87" s="258"/>
      <c r="AA87" s="258"/>
      <c r="AB87" s="258"/>
      <c r="AC87" s="258">
        <v>100</v>
      </c>
      <c r="AD87" s="258">
        <v>1800</v>
      </c>
      <c r="AE87" s="258">
        <v>1179.2</v>
      </c>
      <c r="AF87" s="258"/>
      <c r="AG87" s="258"/>
      <c r="AH87" s="258"/>
      <c r="AI87" s="258"/>
      <c r="AJ87" s="258"/>
      <c r="AK87" s="258"/>
      <c r="AL87" s="258"/>
      <c r="AM87" s="258"/>
      <c r="AN87" s="258"/>
      <c r="AO87" s="272">
        <f t="shared" si="13"/>
        <v>100</v>
      </c>
      <c r="AP87" s="272">
        <f t="shared" si="17"/>
        <v>1800</v>
      </c>
      <c r="AQ87" s="272">
        <f t="shared" si="16"/>
        <v>1179.2</v>
      </c>
      <c r="AR87" s="234"/>
      <c r="AS87" s="234"/>
      <c r="AT87" s="234"/>
      <c r="AU87" s="234"/>
      <c r="AV87" s="234"/>
      <c r="AW87" s="234"/>
      <c r="AX87" s="234"/>
      <c r="AY87" s="234"/>
      <c r="AZ87" s="234"/>
      <c r="BA87" s="234"/>
      <c r="BB87" s="234"/>
      <c r="BC87" s="234"/>
      <c r="BD87" s="234"/>
      <c r="BE87" s="234"/>
      <c r="BF87" s="234"/>
      <c r="BG87" s="234"/>
      <c r="BH87" s="234"/>
      <c r="BI87" s="234"/>
      <c r="BJ87" s="234"/>
      <c r="BK87" s="234"/>
      <c r="BL87" s="234"/>
      <c r="BM87" s="234"/>
      <c r="BN87" s="234"/>
      <c r="BO87" s="234"/>
      <c r="BP87" s="234"/>
      <c r="BQ87" s="234"/>
      <c r="BR87" s="234"/>
      <c r="BS87" s="234"/>
      <c r="BT87" s="234"/>
      <c r="BU87" s="270"/>
      <c r="BV87" s="272">
        <f t="shared" si="18"/>
        <v>100</v>
      </c>
      <c r="BW87" s="272">
        <f t="shared" si="18"/>
        <v>1800</v>
      </c>
      <c r="BX87" s="272">
        <f t="shared" si="18"/>
        <v>1179.2</v>
      </c>
      <c r="BY87" s="270"/>
      <c r="BZ87" s="270"/>
      <c r="CA87" s="270"/>
      <c r="CB87" s="270">
        <v>145</v>
      </c>
      <c r="CC87" s="270">
        <v>2620</v>
      </c>
      <c r="CD87" s="270">
        <v>1691.2</v>
      </c>
      <c r="CE87" s="270"/>
      <c r="CF87" s="270"/>
      <c r="CG87" s="270"/>
      <c r="CH87" s="270"/>
      <c r="CI87" s="270"/>
      <c r="CJ87" s="270"/>
      <c r="CK87" s="270"/>
      <c r="CL87" s="270"/>
      <c r="CM87" s="270"/>
      <c r="CN87" s="270"/>
      <c r="CO87" s="270"/>
      <c r="CP87" s="270"/>
      <c r="CQ87" s="270"/>
      <c r="CR87" s="270"/>
      <c r="CS87" s="270"/>
      <c r="CT87" s="270"/>
      <c r="CU87" s="270"/>
      <c r="CV87" s="270"/>
      <c r="CW87" s="270"/>
      <c r="CX87" s="270"/>
      <c r="CY87" s="270"/>
      <c r="CZ87" s="270"/>
      <c r="DA87" s="270"/>
      <c r="DB87" s="270"/>
      <c r="DC87" s="270"/>
      <c r="DD87" s="270"/>
      <c r="DE87" s="270"/>
      <c r="DF87" s="272">
        <f t="shared" si="19"/>
        <v>245</v>
      </c>
      <c r="DG87" s="272">
        <f t="shared" si="19"/>
        <v>4420</v>
      </c>
      <c r="DH87" s="272">
        <f t="shared" si="14"/>
        <v>2870.4</v>
      </c>
      <c r="DI87" s="274"/>
    </row>
    <row r="88" spans="1:113" s="275" customFormat="1" ht="24.75" customHeight="1" x14ac:dyDescent="0.6">
      <c r="A88" s="268">
        <v>45</v>
      </c>
      <c r="B88" s="269" t="s">
        <v>388</v>
      </c>
      <c r="C88" s="143" t="s">
        <v>389</v>
      </c>
      <c r="D88" s="105" t="s">
        <v>297</v>
      </c>
      <c r="E88" s="148" t="s">
        <v>298</v>
      </c>
      <c r="F88" s="234" t="s">
        <v>733</v>
      </c>
      <c r="G88" s="301" t="s">
        <v>934</v>
      </c>
      <c r="H88" s="301"/>
      <c r="I88" s="234" t="s">
        <v>935</v>
      </c>
      <c r="J88" s="234" t="s">
        <v>288</v>
      </c>
      <c r="K88" s="259"/>
      <c r="L88" s="258"/>
      <c r="M88" s="258"/>
      <c r="N88" s="258">
        <v>49</v>
      </c>
      <c r="O88" s="258">
        <v>676</v>
      </c>
      <c r="P88" s="258">
        <v>488</v>
      </c>
      <c r="Q88" s="258"/>
      <c r="R88" s="258"/>
      <c r="S88" s="258"/>
      <c r="T88" s="258"/>
      <c r="U88" s="258"/>
      <c r="V88" s="258"/>
      <c r="W88" s="258"/>
      <c r="X88" s="258"/>
      <c r="Y88" s="258"/>
      <c r="Z88" s="258"/>
      <c r="AA88" s="258"/>
      <c r="AB88" s="258"/>
      <c r="AC88" s="258"/>
      <c r="AD88" s="258"/>
      <c r="AE88" s="258"/>
      <c r="AF88" s="258">
        <v>49</v>
      </c>
      <c r="AG88" s="258">
        <v>676</v>
      </c>
      <c r="AH88" s="258">
        <v>488</v>
      </c>
      <c r="AI88" s="258"/>
      <c r="AJ88" s="258"/>
      <c r="AK88" s="258"/>
      <c r="AL88" s="258"/>
      <c r="AM88" s="258"/>
      <c r="AN88" s="258"/>
      <c r="AO88" s="272">
        <f t="shared" si="13"/>
        <v>98</v>
      </c>
      <c r="AP88" s="272">
        <f t="shared" si="17"/>
        <v>1352</v>
      </c>
      <c r="AQ88" s="272">
        <f t="shared" si="16"/>
        <v>976</v>
      </c>
      <c r="AR88" s="234"/>
      <c r="AS88" s="234"/>
      <c r="AT88" s="234"/>
      <c r="AU88" s="234"/>
      <c r="AV88" s="234"/>
      <c r="AW88" s="234"/>
      <c r="AX88" s="234"/>
      <c r="AY88" s="234"/>
      <c r="AZ88" s="234"/>
      <c r="BA88" s="234">
        <v>43</v>
      </c>
      <c r="BB88" s="234">
        <v>604</v>
      </c>
      <c r="BC88" s="234">
        <v>419.6</v>
      </c>
      <c r="BD88" s="234"/>
      <c r="BE88" s="234"/>
      <c r="BF88" s="234"/>
      <c r="BG88" s="234"/>
      <c r="BH88" s="234"/>
      <c r="BI88" s="234"/>
      <c r="BJ88" s="234"/>
      <c r="BK88" s="234"/>
      <c r="BL88" s="234"/>
      <c r="BM88" s="234"/>
      <c r="BN88" s="234"/>
      <c r="BO88" s="234"/>
      <c r="BP88" s="234"/>
      <c r="BQ88" s="234"/>
      <c r="BR88" s="234"/>
      <c r="BS88" s="234">
        <v>54</v>
      </c>
      <c r="BT88" s="234">
        <v>746</v>
      </c>
      <c r="BU88" s="270">
        <v>532.80000000000007</v>
      </c>
      <c r="BV88" s="272">
        <f t="shared" si="18"/>
        <v>195</v>
      </c>
      <c r="BW88" s="272">
        <f t="shared" si="18"/>
        <v>2702</v>
      </c>
      <c r="BX88" s="272">
        <f t="shared" si="18"/>
        <v>1928.4</v>
      </c>
      <c r="BY88" s="270"/>
      <c r="BZ88" s="270"/>
      <c r="CA88" s="270"/>
      <c r="CB88" s="270"/>
      <c r="CC88" s="270"/>
      <c r="CD88" s="270"/>
      <c r="CE88" s="270"/>
      <c r="CF88" s="270"/>
      <c r="CG88" s="270"/>
      <c r="CH88" s="270">
        <v>53</v>
      </c>
      <c r="CI88" s="270">
        <v>744</v>
      </c>
      <c r="CJ88" s="270">
        <v>509.20000000000005</v>
      </c>
      <c r="CK88" s="270"/>
      <c r="CL88" s="270"/>
      <c r="CM88" s="270"/>
      <c r="CN88" s="270"/>
      <c r="CO88" s="270"/>
      <c r="CP88" s="270"/>
      <c r="CQ88" s="270"/>
      <c r="CR88" s="270"/>
      <c r="CS88" s="270"/>
      <c r="CT88" s="270"/>
      <c r="CU88" s="270"/>
      <c r="CV88" s="270"/>
      <c r="CW88" s="270"/>
      <c r="CX88" s="270"/>
      <c r="CY88" s="270"/>
      <c r="CZ88" s="270"/>
      <c r="DA88" s="270"/>
      <c r="DB88" s="270"/>
      <c r="DC88" s="270"/>
      <c r="DD88" s="270"/>
      <c r="DE88" s="270"/>
      <c r="DF88" s="272">
        <f t="shared" si="19"/>
        <v>248</v>
      </c>
      <c r="DG88" s="272">
        <f t="shared" si="19"/>
        <v>3446</v>
      </c>
      <c r="DH88" s="272">
        <f t="shared" si="14"/>
        <v>2437.6000000000004</v>
      </c>
      <c r="DI88" s="274"/>
    </row>
    <row r="89" spans="1:113" s="275" customFormat="1" ht="24.75" customHeight="1" x14ac:dyDescent="0.6">
      <c r="A89" s="268">
        <v>46</v>
      </c>
      <c r="B89" s="269" t="s">
        <v>390</v>
      </c>
      <c r="C89" s="143" t="s">
        <v>391</v>
      </c>
      <c r="D89" s="105" t="s">
        <v>392</v>
      </c>
      <c r="E89" s="148" t="s">
        <v>393</v>
      </c>
      <c r="F89" s="234" t="s">
        <v>733</v>
      </c>
      <c r="G89" s="301" t="s">
        <v>936</v>
      </c>
      <c r="H89" s="301"/>
      <c r="I89" s="234" t="s">
        <v>937</v>
      </c>
      <c r="J89" s="234" t="s">
        <v>288</v>
      </c>
      <c r="K89" s="259"/>
      <c r="L89" s="258"/>
      <c r="M89" s="258"/>
      <c r="N89" s="258"/>
      <c r="O89" s="258"/>
      <c r="P89" s="258"/>
      <c r="Q89" s="258"/>
      <c r="R89" s="258"/>
      <c r="S89" s="258"/>
      <c r="T89" s="258"/>
      <c r="U89" s="258"/>
      <c r="V89" s="258"/>
      <c r="W89" s="258"/>
      <c r="X89" s="258"/>
      <c r="Y89" s="258"/>
      <c r="Z89" s="258"/>
      <c r="AA89" s="258"/>
      <c r="AB89" s="258"/>
      <c r="AC89" s="258"/>
      <c r="AD89" s="258"/>
      <c r="AE89" s="258"/>
      <c r="AF89" s="258">
        <v>350</v>
      </c>
      <c r="AG89" s="258">
        <v>4300</v>
      </c>
      <c r="AH89" s="258">
        <v>4048</v>
      </c>
      <c r="AI89" s="258"/>
      <c r="AJ89" s="258"/>
      <c r="AK89" s="258"/>
      <c r="AL89" s="258"/>
      <c r="AM89" s="258"/>
      <c r="AN89" s="258"/>
      <c r="AO89" s="272">
        <f t="shared" si="13"/>
        <v>350</v>
      </c>
      <c r="AP89" s="272">
        <f t="shared" si="17"/>
        <v>4300</v>
      </c>
      <c r="AQ89" s="272">
        <f t="shared" si="16"/>
        <v>4048</v>
      </c>
      <c r="AR89" s="234"/>
      <c r="AS89" s="234"/>
      <c r="AT89" s="234"/>
      <c r="AU89" s="234"/>
      <c r="AV89" s="234"/>
      <c r="AW89" s="234"/>
      <c r="AX89" s="234"/>
      <c r="AY89" s="234"/>
      <c r="AZ89" s="234"/>
      <c r="BA89" s="234"/>
      <c r="BB89" s="234"/>
      <c r="BC89" s="234"/>
      <c r="BD89" s="234">
        <v>350</v>
      </c>
      <c r="BE89" s="234">
        <v>4300</v>
      </c>
      <c r="BF89" s="234">
        <v>4048</v>
      </c>
      <c r="BG89" s="234"/>
      <c r="BH89" s="234"/>
      <c r="BI89" s="234"/>
      <c r="BJ89" s="234"/>
      <c r="BK89" s="234"/>
      <c r="BL89" s="234"/>
      <c r="BM89" s="234"/>
      <c r="BN89" s="234"/>
      <c r="BO89" s="234"/>
      <c r="BP89" s="234"/>
      <c r="BQ89" s="234"/>
      <c r="BR89" s="234"/>
      <c r="BS89" s="234"/>
      <c r="BT89" s="234"/>
      <c r="BU89" s="270"/>
      <c r="BV89" s="272">
        <f t="shared" si="18"/>
        <v>700</v>
      </c>
      <c r="BW89" s="272">
        <f t="shared" si="18"/>
        <v>8600</v>
      </c>
      <c r="BX89" s="272">
        <f t="shared" si="18"/>
        <v>8096</v>
      </c>
      <c r="BY89" s="270"/>
      <c r="BZ89" s="270"/>
      <c r="CA89" s="270"/>
      <c r="CB89" s="270">
        <v>400</v>
      </c>
      <c r="CC89" s="270">
        <v>4800</v>
      </c>
      <c r="CD89" s="270">
        <v>4800</v>
      </c>
      <c r="CE89" s="270"/>
      <c r="CF89" s="270"/>
      <c r="CG89" s="270"/>
      <c r="CH89" s="270"/>
      <c r="CI89" s="270"/>
      <c r="CJ89" s="270"/>
      <c r="CK89" s="270"/>
      <c r="CL89" s="270"/>
      <c r="CM89" s="270"/>
      <c r="CN89" s="270"/>
      <c r="CO89" s="270"/>
      <c r="CP89" s="270"/>
      <c r="CQ89" s="270"/>
      <c r="CR89" s="270"/>
      <c r="CS89" s="270"/>
      <c r="CT89" s="270"/>
      <c r="CU89" s="270"/>
      <c r="CV89" s="270"/>
      <c r="CW89" s="270"/>
      <c r="CX89" s="270"/>
      <c r="CY89" s="270"/>
      <c r="CZ89" s="270"/>
      <c r="DA89" s="270"/>
      <c r="DB89" s="270"/>
      <c r="DC89" s="270"/>
      <c r="DD89" s="270"/>
      <c r="DE89" s="270"/>
      <c r="DF89" s="272">
        <f t="shared" si="19"/>
        <v>1100</v>
      </c>
      <c r="DG89" s="272">
        <f t="shared" si="19"/>
        <v>13400</v>
      </c>
      <c r="DH89" s="272">
        <f t="shared" si="14"/>
        <v>12896</v>
      </c>
      <c r="DI89" s="274"/>
    </row>
    <row r="90" spans="1:113" s="275" customFormat="1" ht="24.75" customHeight="1" x14ac:dyDescent="0.6">
      <c r="A90" s="268">
        <v>47</v>
      </c>
      <c r="B90" s="269" t="s">
        <v>394</v>
      </c>
      <c r="C90" s="143" t="s">
        <v>394</v>
      </c>
      <c r="D90" s="105" t="s">
        <v>377</v>
      </c>
      <c r="E90" s="148" t="s">
        <v>117</v>
      </c>
      <c r="F90" s="234" t="s">
        <v>733</v>
      </c>
      <c r="G90" s="301" t="s">
        <v>938</v>
      </c>
      <c r="H90" s="301"/>
      <c r="I90" s="234" t="s">
        <v>939</v>
      </c>
      <c r="J90" s="234" t="s">
        <v>288</v>
      </c>
      <c r="K90" s="259"/>
      <c r="L90" s="258"/>
      <c r="M90" s="258"/>
      <c r="N90" s="258"/>
      <c r="O90" s="258"/>
      <c r="P90" s="258"/>
      <c r="Q90" s="258"/>
      <c r="R90" s="258"/>
      <c r="S90" s="258"/>
      <c r="T90" s="258"/>
      <c r="U90" s="258"/>
      <c r="V90" s="258"/>
      <c r="W90" s="258"/>
      <c r="X90" s="258"/>
      <c r="Y90" s="258"/>
      <c r="Z90" s="258"/>
      <c r="AA90" s="258"/>
      <c r="AB90" s="258"/>
      <c r="AC90" s="258"/>
      <c r="AD90" s="258"/>
      <c r="AE90" s="258"/>
      <c r="AF90" s="258"/>
      <c r="AG90" s="258"/>
      <c r="AH90" s="258"/>
      <c r="AI90" s="258"/>
      <c r="AJ90" s="258"/>
      <c r="AK90" s="258"/>
      <c r="AL90" s="258"/>
      <c r="AM90" s="258"/>
      <c r="AN90" s="258"/>
      <c r="AO90" s="272">
        <f t="shared" si="13"/>
        <v>0</v>
      </c>
      <c r="AP90" s="272">
        <f t="shared" si="17"/>
        <v>0</v>
      </c>
      <c r="AQ90" s="272">
        <f t="shared" si="16"/>
        <v>0</v>
      </c>
      <c r="AR90" s="234"/>
      <c r="AS90" s="234"/>
      <c r="AT90" s="234"/>
      <c r="AU90" s="234"/>
      <c r="AV90" s="234"/>
      <c r="AW90" s="234"/>
      <c r="AX90" s="234"/>
      <c r="AY90" s="234"/>
      <c r="AZ90" s="234"/>
      <c r="BA90" s="234"/>
      <c r="BB90" s="234"/>
      <c r="BC90" s="234"/>
      <c r="BD90" s="234"/>
      <c r="BE90" s="234"/>
      <c r="BF90" s="234"/>
      <c r="BG90" s="234"/>
      <c r="BH90" s="234"/>
      <c r="BI90" s="234"/>
      <c r="BJ90" s="234"/>
      <c r="BK90" s="234"/>
      <c r="BL90" s="234"/>
      <c r="BM90" s="234"/>
      <c r="BN90" s="234"/>
      <c r="BO90" s="234"/>
      <c r="BP90" s="234"/>
      <c r="BQ90" s="234"/>
      <c r="BR90" s="234"/>
      <c r="BS90" s="234"/>
      <c r="BT90" s="234"/>
      <c r="BU90" s="270"/>
      <c r="BV90" s="272">
        <f t="shared" si="18"/>
        <v>0</v>
      </c>
      <c r="BW90" s="272">
        <f t="shared" si="18"/>
        <v>0</v>
      </c>
      <c r="BX90" s="272">
        <f t="shared" si="18"/>
        <v>0</v>
      </c>
      <c r="BY90" s="270"/>
      <c r="BZ90" s="270"/>
      <c r="CA90" s="270"/>
      <c r="CB90" s="270"/>
      <c r="CC90" s="270"/>
      <c r="CD90" s="270"/>
      <c r="CE90" s="270"/>
      <c r="CF90" s="270"/>
      <c r="CG90" s="270"/>
      <c r="CH90" s="270"/>
      <c r="CI90" s="270"/>
      <c r="CJ90" s="270"/>
      <c r="CK90" s="270"/>
      <c r="CL90" s="270"/>
      <c r="CM90" s="270"/>
      <c r="CN90" s="270"/>
      <c r="CO90" s="270"/>
      <c r="CP90" s="270"/>
      <c r="CQ90" s="270"/>
      <c r="CR90" s="270"/>
      <c r="CS90" s="270"/>
      <c r="CT90" s="270"/>
      <c r="CU90" s="270"/>
      <c r="CV90" s="270"/>
      <c r="CW90" s="270"/>
      <c r="CX90" s="270"/>
      <c r="CY90" s="270"/>
      <c r="CZ90" s="270"/>
      <c r="DA90" s="270"/>
      <c r="DB90" s="270"/>
      <c r="DC90" s="270"/>
      <c r="DD90" s="270"/>
      <c r="DE90" s="270"/>
      <c r="DF90" s="272">
        <f t="shared" si="19"/>
        <v>0</v>
      </c>
      <c r="DG90" s="272">
        <f t="shared" si="19"/>
        <v>0</v>
      </c>
      <c r="DH90" s="272">
        <f t="shared" si="14"/>
        <v>0</v>
      </c>
    </row>
    <row r="91" spans="1:113" s="275" customFormat="1" ht="20.100000000000001" customHeight="1" thickBot="1" x14ac:dyDescent="0.65">
      <c r="A91" s="286"/>
      <c r="B91" s="303"/>
      <c r="C91" s="304"/>
      <c r="D91" s="304"/>
      <c r="E91" s="304"/>
      <c r="F91" s="283"/>
      <c r="G91" s="305"/>
      <c r="H91" s="305"/>
      <c r="I91" s="283"/>
      <c r="J91" s="283"/>
      <c r="K91" s="306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07"/>
      <c r="AH91" s="307"/>
      <c r="AI91" s="307"/>
      <c r="AJ91" s="307"/>
      <c r="AK91" s="307"/>
      <c r="AL91" s="307"/>
      <c r="AM91" s="307"/>
      <c r="AN91" s="307"/>
      <c r="AO91" s="272"/>
      <c r="AP91" s="272"/>
      <c r="AQ91" s="308"/>
      <c r="AR91" s="283"/>
      <c r="AS91" s="283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  <c r="BD91" s="283"/>
      <c r="BE91" s="283"/>
      <c r="BF91" s="283"/>
      <c r="BG91" s="283"/>
      <c r="BH91" s="283"/>
      <c r="BI91" s="283"/>
      <c r="BJ91" s="283"/>
      <c r="BK91" s="283"/>
      <c r="BL91" s="283"/>
      <c r="BM91" s="283"/>
      <c r="BN91" s="283"/>
      <c r="BO91" s="283"/>
      <c r="BP91" s="283"/>
      <c r="BQ91" s="283"/>
      <c r="BR91" s="283"/>
      <c r="BS91" s="283"/>
      <c r="BT91" s="283"/>
      <c r="BU91" s="285"/>
      <c r="BV91" s="272"/>
      <c r="BW91" s="272"/>
      <c r="BX91" s="272"/>
      <c r="BY91" s="285"/>
      <c r="BZ91" s="285"/>
      <c r="CA91" s="285"/>
      <c r="CB91" s="285"/>
      <c r="CC91" s="285"/>
      <c r="CD91" s="285"/>
      <c r="CE91" s="285"/>
      <c r="CF91" s="285"/>
      <c r="CG91" s="285"/>
      <c r="CH91" s="285"/>
      <c r="CI91" s="285"/>
      <c r="CJ91" s="285"/>
      <c r="CK91" s="285"/>
      <c r="CL91" s="285"/>
      <c r="CM91" s="285"/>
      <c r="CN91" s="285"/>
      <c r="CO91" s="285"/>
      <c r="CP91" s="285"/>
      <c r="CQ91" s="285"/>
      <c r="CR91" s="285"/>
      <c r="CS91" s="285"/>
      <c r="CT91" s="285"/>
      <c r="CU91" s="285"/>
      <c r="CV91" s="285"/>
      <c r="CW91" s="285"/>
      <c r="CX91" s="285"/>
      <c r="CY91" s="285"/>
      <c r="CZ91" s="285"/>
      <c r="DA91" s="285"/>
      <c r="DB91" s="285"/>
      <c r="DC91" s="285"/>
      <c r="DD91" s="285"/>
      <c r="DE91" s="285"/>
      <c r="DF91" s="308"/>
      <c r="DG91" s="308"/>
      <c r="DH91" s="272"/>
    </row>
    <row r="92" spans="1:113" s="275" customFormat="1" ht="20.100000000000001" customHeight="1" thickBot="1" x14ac:dyDescent="0.65">
      <c r="A92" s="287"/>
      <c r="B92" s="288"/>
      <c r="C92" s="289"/>
      <c r="D92" s="290"/>
      <c r="E92" s="289"/>
      <c r="F92" s="289"/>
      <c r="G92" s="291"/>
      <c r="H92" s="291"/>
      <c r="I92" s="289"/>
      <c r="J92" s="309"/>
      <c r="K92" s="293">
        <f t="shared" ref="K92:AN92" si="20">SUM(K44:K91)</f>
        <v>0</v>
      </c>
      <c r="L92" s="293">
        <f t="shared" si="20"/>
        <v>0</v>
      </c>
      <c r="M92" s="293">
        <f t="shared" si="20"/>
        <v>0</v>
      </c>
      <c r="N92" s="293">
        <f t="shared" si="20"/>
        <v>341</v>
      </c>
      <c r="O92" s="293">
        <f t="shared" si="20"/>
        <v>4736</v>
      </c>
      <c r="P92" s="293">
        <f t="shared" si="20"/>
        <v>3657.6</v>
      </c>
      <c r="Q92" s="293">
        <f t="shared" si="20"/>
        <v>677</v>
      </c>
      <c r="R92" s="293">
        <f t="shared" si="20"/>
        <v>10400</v>
      </c>
      <c r="S92" s="293">
        <f t="shared" si="20"/>
        <v>7587.6</v>
      </c>
      <c r="T92" s="293">
        <f t="shared" si="20"/>
        <v>0</v>
      </c>
      <c r="U92" s="293">
        <f t="shared" si="20"/>
        <v>0</v>
      </c>
      <c r="V92" s="293">
        <f t="shared" si="20"/>
        <v>0</v>
      </c>
      <c r="W92" s="293">
        <f t="shared" si="20"/>
        <v>343</v>
      </c>
      <c r="X92" s="293">
        <f t="shared" si="20"/>
        <v>4490</v>
      </c>
      <c r="Y92" s="293">
        <f t="shared" si="20"/>
        <v>3681.2</v>
      </c>
      <c r="Z92" s="293">
        <f t="shared" si="20"/>
        <v>821</v>
      </c>
      <c r="AA92" s="293">
        <f t="shared" si="20"/>
        <v>14040</v>
      </c>
      <c r="AB92" s="293">
        <f t="shared" si="20"/>
        <v>9426.4</v>
      </c>
      <c r="AC92" s="293">
        <f t="shared" si="20"/>
        <v>542</v>
      </c>
      <c r="AD92" s="293">
        <f t="shared" si="20"/>
        <v>7734</v>
      </c>
      <c r="AE92" s="293">
        <f t="shared" si="20"/>
        <v>5618.8</v>
      </c>
      <c r="AF92" s="293">
        <f t="shared" si="20"/>
        <v>1272</v>
      </c>
      <c r="AG92" s="293">
        <f t="shared" si="20"/>
        <v>17422</v>
      </c>
      <c r="AH92" s="293">
        <f t="shared" si="20"/>
        <v>14284.640000000001</v>
      </c>
      <c r="AI92" s="293">
        <f t="shared" si="20"/>
        <v>378</v>
      </c>
      <c r="AJ92" s="293">
        <f t="shared" si="20"/>
        <v>5600</v>
      </c>
      <c r="AK92" s="293">
        <f t="shared" si="20"/>
        <v>3943.6000000000004</v>
      </c>
      <c r="AL92" s="293">
        <f t="shared" si="20"/>
        <v>183</v>
      </c>
      <c r="AM92" s="293">
        <f t="shared" si="20"/>
        <v>2500</v>
      </c>
      <c r="AN92" s="293">
        <f t="shared" si="20"/>
        <v>2048.4</v>
      </c>
      <c r="AO92" s="293">
        <f t="shared" ref="AO92:CZ92" si="21">SUM(AO43:AO91)</f>
        <v>4557</v>
      </c>
      <c r="AP92" s="293">
        <f t="shared" si="21"/>
        <v>66922</v>
      </c>
      <c r="AQ92" s="293">
        <f t="shared" si="21"/>
        <v>50248.24</v>
      </c>
      <c r="AR92" s="293">
        <f t="shared" si="21"/>
        <v>0</v>
      </c>
      <c r="AS92" s="293">
        <f t="shared" si="21"/>
        <v>0</v>
      </c>
      <c r="AT92" s="293">
        <f t="shared" si="21"/>
        <v>0</v>
      </c>
      <c r="AU92" s="293">
        <f t="shared" si="21"/>
        <v>212</v>
      </c>
      <c r="AV92" s="293">
        <f t="shared" si="21"/>
        <v>2720</v>
      </c>
      <c r="AW92" s="293">
        <f t="shared" si="21"/>
        <v>2365.6000000000004</v>
      </c>
      <c r="AX92" s="293">
        <f t="shared" si="21"/>
        <v>184</v>
      </c>
      <c r="AY92" s="293">
        <f t="shared" si="21"/>
        <v>3236</v>
      </c>
      <c r="AZ92" s="293">
        <f t="shared" si="21"/>
        <v>1927.44</v>
      </c>
      <c r="BA92" s="293">
        <f t="shared" si="21"/>
        <v>368</v>
      </c>
      <c r="BB92" s="293">
        <f t="shared" si="21"/>
        <v>6236</v>
      </c>
      <c r="BC92" s="293">
        <f t="shared" si="21"/>
        <v>3878.9599999999996</v>
      </c>
      <c r="BD92" s="293">
        <f t="shared" si="21"/>
        <v>813</v>
      </c>
      <c r="BE92" s="293">
        <f t="shared" si="21"/>
        <v>11796</v>
      </c>
      <c r="BF92" s="293">
        <f t="shared" si="21"/>
        <v>9444.7999999999993</v>
      </c>
      <c r="BG92" s="293">
        <f t="shared" si="21"/>
        <v>287</v>
      </c>
      <c r="BH92" s="293">
        <f t="shared" si="21"/>
        <v>4160</v>
      </c>
      <c r="BI92" s="293">
        <f t="shared" si="21"/>
        <v>3113.2</v>
      </c>
      <c r="BJ92" s="293">
        <f t="shared" si="21"/>
        <v>474</v>
      </c>
      <c r="BK92" s="293">
        <f t="shared" si="21"/>
        <v>7812</v>
      </c>
      <c r="BL92" s="293">
        <f t="shared" si="21"/>
        <v>5195.76</v>
      </c>
      <c r="BM92" s="293">
        <f t="shared" si="21"/>
        <v>0</v>
      </c>
      <c r="BN92" s="293">
        <f t="shared" si="21"/>
        <v>0</v>
      </c>
      <c r="BO92" s="293">
        <f t="shared" si="21"/>
        <v>0</v>
      </c>
      <c r="BP92" s="293">
        <f t="shared" si="21"/>
        <v>362</v>
      </c>
      <c r="BQ92" s="293">
        <f t="shared" si="21"/>
        <v>5074</v>
      </c>
      <c r="BR92" s="293">
        <f t="shared" si="21"/>
        <v>4190.7199999999993</v>
      </c>
      <c r="BS92" s="293">
        <f t="shared" si="21"/>
        <v>872</v>
      </c>
      <c r="BT92" s="293">
        <f t="shared" si="21"/>
        <v>12946</v>
      </c>
      <c r="BU92" s="293">
        <f t="shared" si="21"/>
        <v>8942.7999999999993</v>
      </c>
      <c r="BV92" s="293">
        <f t="shared" si="21"/>
        <v>8129</v>
      </c>
      <c r="BW92" s="293">
        <f t="shared" si="21"/>
        <v>120902</v>
      </c>
      <c r="BX92" s="293">
        <f t="shared" si="21"/>
        <v>89307.520000000004</v>
      </c>
      <c r="BY92" s="293">
        <f t="shared" si="21"/>
        <v>345</v>
      </c>
      <c r="BZ92" s="293">
        <f t="shared" si="21"/>
        <v>6076</v>
      </c>
      <c r="CA92" s="293">
        <f t="shared" si="21"/>
        <v>3899.84</v>
      </c>
      <c r="CB92" s="293">
        <f t="shared" si="21"/>
        <v>1247</v>
      </c>
      <c r="CC92" s="293">
        <f t="shared" si="21"/>
        <v>17140</v>
      </c>
      <c r="CD92" s="293">
        <f t="shared" si="21"/>
        <v>14179.2</v>
      </c>
      <c r="CE92" s="293">
        <f t="shared" si="21"/>
        <v>817</v>
      </c>
      <c r="CF92" s="293">
        <f t="shared" si="21"/>
        <v>12430</v>
      </c>
      <c r="CG92" s="293">
        <f t="shared" si="21"/>
        <v>8407.2000000000007</v>
      </c>
      <c r="CH92" s="293">
        <f t="shared" si="21"/>
        <v>401</v>
      </c>
      <c r="CI92" s="293">
        <f t="shared" si="21"/>
        <v>5754</v>
      </c>
      <c r="CJ92" s="293">
        <f t="shared" si="21"/>
        <v>4153.5999999999995</v>
      </c>
      <c r="CK92" s="293">
        <f t="shared" si="21"/>
        <v>0</v>
      </c>
      <c r="CL92" s="293">
        <f t="shared" si="21"/>
        <v>0</v>
      </c>
      <c r="CM92" s="293">
        <f t="shared" si="21"/>
        <v>0</v>
      </c>
      <c r="CN92" s="293">
        <f t="shared" si="21"/>
        <v>210</v>
      </c>
      <c r="CO92" s="293">
        <f t="shared" si="21"/>
        <v>3740</v>
      </c>
      <c r="CP92" s="293">
        <f t="shared" si="21"/>
        <v>2225.1999999999998</v>
      </c>
      <c r="CQ92" s="293">
        <f t="shared" si="21"/>
        <v>330</v>
      </c>
      <c r="CR92" s="293">
        <f t="shared" si="21"/>
        <v>5280</v>
      </c>
      <c r="CS92" s="293">
        <f t="shared" si="21"/>
        <v>3934.8</v>
      </c>
      <c r="CT92" s="293">
        <f t="shared" si="21"/>
        <v>503</v>
      </c>
      <c r="CU92" s="293">
        <f t="shared" si="21"/>
        <v>6922</v>
      </c>
      <c r="CV92" s="293">
        <f t="shared" si="21"/>
        <v>5532.4800000000005</v>
      </c>
      <c r="CW92" s="293">
        <f t="shared" si="21"/>
        <v>287</v>
      </c>
      <c r="CX92" s="293">
        <f t="shared" si="21"/>
        <v>4430</v>
      </c>
      <c r="CY92" s="293">
        <f t="shared" si="21"/>
        <v>3371.2</v>
      </c>
      <c r="CZ92" s="293">
        <f t="shared" si="21"/>
        <v>362</v>
      </c>
      <c r="DA92" s="293">
        <f t="shared" ref="DA92:DH92" si="22">SUM(DA43:DA91)</f>
        <v>5010</v>
      </c>
      <c r="DB92" s="293">
        <f t="shared" si="22"/>
        <v>4017.2000000000003</v>
      </c>
      <c r="DC92" s="293">
        <f t="shared" si="22"/>
        <v>332</v>
      </c>
      <c r="DD92" s="293">
        <f t="shared" si="22"/>
        <v>5494</v>
      </c>
      <c r="DE92" s="293">
        <f t="shared" si="22"/>
        <v>3598.0000000000005</v>
      </c>
      <c r="DF92" s="293">
        <f t="shared" si="22"/>
        <v>12963</v>
      </c>
      <c r="DG92" s="293">
        <f t="shared" si="22"/>
        <v>193178</v>
      </c>
      <c r="DH92" s="293">
        <f t="shared" si="22"/>
        <v>142626.23999999999</v>
      </c>
    </row>
    <row r="93" spans="1:113" s="275" customFormat="1" ht="20.100000000000001" customHeight="1" x14ac:dyDescent="0.6">
      <c r="A93" s="310">
        <f>A40+A90</f>
        <v>83</v>
      </c>
      <c r="B93" s="236"/>
      <c r="C93" s="236"/>
      <c r="D93" s="296"/>
      <c r="E93" s="236"/>
      <c r="F93" s="236"/>
      <c r="G93" s="311"/>
      <c r="H93" s="311"/>
      <c r="I93" s="311"/>
      <c r="J93" s="236"/>
      <c r="K93" s="312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1"/>
      <c r="AM93" s="311"/>
      <c r="AN93" s="311"/>
      <c r="AO93" s="311"/>
      <c r="AP93" s="311"/>
      <c r="AQ93" s="311"/>
      <c r="AR93" s="311"/>
      <c r="AS93" s="311"/>
      <c r="AT93" s="311"/>
      <c r="AU93" s="311"/>
      <c r="AV93" s="311"/>
      <c r="AW93" s="311"/>
      <c r="AX93" s="311"/>
      <c r="AY93" s="311"/>
      <c r="AZ93" s="311"/>
      <c r="BA93" s="311"/>
      <c r="BB93" s="311"/>
      <c r="BC93" s="311"/>
      <c r="BD93" s="236"/>
      <c r="BE93" s="236"/>
      <c r="BF93" s="236"/>
      <c r="BG93" s="311"/>
      <c r="BH93" s="311"/>
      <c r="BI93" s="311"/>
      <c r="BJ93" s="311"/>
      <c r="BK93" s="311"/>
      <c r="BL93" s="311"/>
      <c r="BM93" s="311"/>
      <c r="BN93" s="311"/>
      <c r="BO93" s="311"/>
      <c r="BP93" s="311"/>
      <c r="BQ93" s="311"/>
      <c r="BR93" s="311"/>
      <c r="BS93" s="311"/>
      <c r="BT93" s="311"/>
      <c r="BU93" s="311"/>
      <c r="BV93" s="311"/>
      <c r="BW93" s="311"/>
      <c r="BX93" s="311"/>
      <c r="BY93" s="311"/>
      <c r="BZ93" s="311"/>
      <c r="CA93" s="311"/>
      <c r="CB93" s="311"/>
      <c r="CC93" s="311"/>
      <c r="CD93" s="311"/>
      <c r="CE93" s="311"/>
      <c r="CF93" s="311"/>
      <c r="CG93" s="311"/>
      <c r="CH93" s="311"/>
      <c r="CI93" s="311"/>
      <c r="CJ93" s="311"/>
      <c r="CK93" s="311"/>
      <c r="CL93" s="311"/>
      <c r="CM93" s="311"/>
      <c r="CN93" s="311"/>
      <c r="CO93" s="311"/>
      <c r="CP93" s="311"/>
      <c r="CQ93" s="311"/>
      <c r="CR93" s="311"/>
      <c r="CS93" s="311"/>
      <c r="CT93" s="311"/>
      <c r="CU93" s="311"/>
      <c r="CV93" s="311"/>
      <c r="CW93" s="311"/>
      <c r="CX93" s="311"/>
      <c r="CY93" s="311"/>
      <c r="CZ93" s="311"/>
      <c r="DA93" s="311"/>
      <c r="DB93" s="311"/>
      <c r="DC93" s="311"/>
      <c r="DD93" s="311"/>
      <c r="DE93" s="311"/>
      <c r="DF93" s="311"/>
      <c r="DG93" s="311"/>
      <c r="DH93" s="311"/>
    </row>
    <row r="94" spans="1:113" s="275" customFormat="1" ht="20.100000000000001" customHeight="1" thickBot="1" x14ac:dyDescent="0.65">
      <c r="A94" s="313"/>
      <c r="B94" s="314"/>
      <c r="C94" s="314"/>
      <c r="D94" s="314"/>
      <c r="E94" s="314"/>
      <c r="F94" s="314"/>
      <c r="G94" s="314"/>
      <c r="H94" s="314"/>
      <c r="I94" s="314" t="s">
        <v>940</v>
      </c>
      <c r="J94" s="315"/>
      <c r="K94" s="316">
        <f t="shared" ref="K94:BV94" si="23">SUM(K92,K42)</f>
        <v>0</v>
      </c>
      <c r="L94" s="316">
        <f t="shared" si="23"/>
        <v>0</v>
      </c>
      <c r="M94" s="316">
        <f t="shared" si="23"/>
        <v>0</v>
      </c>
      <c r="N94" s="316">
        <f t="shared" si="23"/>
        <v>459</v>
      </c>
      <c r="O94" s="316">
        <f t="shared" si="23"/>
        <v>6332</v>
      </c>
      <c r="P94" s="316">
        <f t="shared" si="23"/>
        <v>4872.32</v>
      </c>
      <c r="Q94" s="316">
        <f t="shared" si="23"/>
        <v>797</v>
      </c>
      <c r="R94" s="316">
        <f t="shared" si="23"/>
        <v>11840</v>
      </c>
      <c r="S94" s="316">
        <f t="shared" si="23"/>
        <v>9027.6</v>
      </c>
      <c r="T94" s="316">
        <f t="shared" si="23"/>
        <v>0</v>
      </c>
      <c r="U94" s="316">
        <f t="shared" si="23"/>
        <v>0</v>
      </c>
      <c r="V94" s="316">
        <f t="shared" si="23"/>
        <v>0</v>
      </c>
      <c r="W94" s="316">
        <f t="shared" si="23"/>
        <v>746</v>
      </c>
      <c r="X94" s="316">
        <f t="shared" si="23"/>
        <v>10144</v>
      </c>
      <c r="Y94" s="316">
        <f t="shared" si="23"/>
        <v>8204.7999999999993</v>
      </c>
      <c r="Z94" s="316">
        <f t="shared" si="23"/>
        <v>1806</v>
      </c>
      <c r="AA94" s="316">
        <f t="shared" si="23"/>
        <v>26560</v>
      </c>
      <c r="AB94" s="316">
        <f t="shared" si="23"/>
        <v>20580</v>
      </c>
      <c r="AC94" s="316">
        <f t="shared" si="23"/>
        <v>1041</v>
      </c>
      <c r="AD94" s="316">
        <f t="shared" si="23"/>
        <v>14566</v>
      </c>
      <c r="AE94" s="316">
        <f t="shared" si="23"/>
        <v>10902.32</v>
      </c>
      <c r="AF94" s="316">
        <f t="shared" si="23"/>
        <v>1505</v>
      </c>
      <c r="AG94" s="316">
        <f t="shared" si="23"/>
        <v>20530</v>
      </c>
      <c r="AH94" s="316">
        <f t="shared" si="23"/>
        <v>16770.240000000002</v>
      </c>
      <c r="AI94" s="316">
        <f t="shared" si="23"/>
        <v>688</v>
      </c>
      <c r="AJ94" s="316">
        <f t="shared" si="23"/>
        <v>9650</v>
      </c>
      <c r="AK94" s="316">
        <f t="shared" si="23"/>
        <v>7108</v>
      </c>
      <c r="AL94" s="316">
        <f t="shared" si="23"/>
        <v>467</v>
      </c>
      <c r="AM94" s="316">
        <f t="shared" si="23"/>
        <v>6470</v>
      </c>
      <c r="AN94" s="316">
        <f t="shared" si="23"/>
        <v>5434.4</v>
      </c>
      <c r="AO94" s="316">
        <f t="shared" si="23"/>
        <v>7656</v>
      </c>
      <c r="AP94" s="316">
        <f t="shared" si="23"/>
        <v>108172</v>
      </c>
      <c r="AQ94" s="316">
        <f t="shared" si="23"/>
        <v>84272.48</v>
      </c>
      <c r="AR94" s="316">
        <f t="shared" si="23"/>
        <v>0</v>
      </c>
      <c r="AS94" s="316">
        <f t="shared" si="23"/>
        <v>0</v>
      </c>
      <c r="AT94" s="316">
        <f t="shared" si="23"/>
        <v>0</v>
      </c>
      <c r="AU94" s="316">
        <f t="shared" si="23"/>
        <v>525</v>
      </c>
      <c r="AV94" s="316">
        <f t="shared" si="23"/>
        <v>6580</v>
      </c>
      <c r="AW94" s="316">
        <f t="shared" si="23"/>
        <v>5915.52</v>
      </c>
      <c r="AX94" s="316">
        <f t="shared" si="23"/>
        <v>738</v>
      </c>
      <c r="AY94" s="316">
        <f t="shared" si="23"/>
        <v>11832</v>
      </c>
      <c r="AZ94" s="316">
        <f t="shared" si="23"/>
        <v>8335.44</v>
      </c>
      <c r="BA94" s="316">
        <f t="shared" si="23"/>
        <v>548</v>
      </c>
      <c r="BB94" s="316">
        <f t="shared" si="23"/>
        <v>8456</v>
      </c>
      <c r="BC94" s="316">
        <f t="shared" si="23"/>
        <v>5947.76</v>
      </c>
      <c r="BD94" s="316">
        <f t="shared" si="23"/>
        <v>938</v>
      </c>
      <c r="BE94" s="316">
        <f t="shared" si="23"/>
        <v>13356</v>
      </c>
      <c r="BF94" s="316">
        <f t="shared" si="23"/>
        <v>10917.519999999999</v>
      </c>
      <c r="BG94" s="316">
        <f t="shared" si="23"/>
        <v>475</v>
      </c>
      <c r="BH94" s="316">
        <f t="shared" si="23"/>
        <v>6654</v>
      </c>
      <c r="BI94" s="316">
        <f t="shared" si="23"/>
        <v>5052</v>
      </c>
      <c r="BJ94" s="316">
        <f t="shared" si="23"/>
        <v>651</v>
      </c>
      <c r="BK94" s="316">
        <f t="shared" si="23"/>
        <v>10516</v>
      </c>
      <c r="BL94" s="316">
        <f t="shared" si="23"/>
        <v>7324.56</v>
      </c>
      <c r="BM94" s="316">
        <f t="shared" si="23"/>
        <v>0</v>
      </c>
      <c r="BN94" s="316">
        <f t="shared" si="23"/>
        <v>0</v>
      </c>
      <c r="BO94" s="316">
        <f t="shared" si="23"/>
        <v>0</v>
      </c>
      <c r="BP94" s="316">
        <f t="shared" si="23"/>
        <v>582</v>
      </c>
      <c r="BQ94" s="316">
        <f t="shared" si="23"/>
        <v>8334</v>
      </c>
      <c r="BR94" s="316">
        <f t="shared" si="23"/>
        <v>6599.5199999999995</v>
      </c>
      <c r="BS94" s="317">
        <f t="shared" si="23"/>
        <v>1390</v>
      </c>
      <c r="BT94" s="316">
        <f t="shared" si="23"/>
        <v>19462</v>
      </c>
      <c r="BU94" s="316">
        <f t="shared" si="23"/>
        <v>15137.599999999999</v>
      </c>
      <c r="BV94" s="316">
        <f t="shared" si="23"/>
        <v>13503</v>
      </c>
      <c r="BW94" s="316">
        <f t="shared" ref="BW94:DH94" si="24">SUM(BW92,BW42)</f>
        <v>193362</v>
      </c>
      <c r="BX94" s="316">
        <f t="shared" si="24"/>
        <v>149502.40000000002</v>
      </c>
      <c r="BY94" s="316">
        <f t="shared" si="24"/>
        <v>801</v>
      </c>
      <c r="BZ94" s="316">
        <f t="shared" si="24"/>
        <v>11812</v>
      </c>
      <c r="CA94" s="316">
        <f t="shared" si="24"/>
        <v>8936.9599999999991</v>
      </c>
      <c r="CB94" s="316">
        <f t="shared" si="24"/>
        <v>2015</v>
      </c>
      <c r="CC94" s="316">
        <f t="shared" si="24"/>
        <v>27140</v>
      </c>
      <c r="CD94" s="316">
        <f t="shared" si="24"/>
        <v>22601.120000000003</v>
      </c>
      <c r="CE94" s="316">
        <f t="shared" si="24"/>
        <v>957</v>
      </c>
      <c r="CF94" s="316">
        <f t="shared" si="24"/>
        <v>14408</v>
      </c>
      <c r="CG94" s="316">
        <f t="shared" si="24"/>
        <v>9973.92</v>
      </c>
      <c r="CH94" s="316">
        <f t="shared" si="24"/>
        <v>814</v>
      </c>
      <c r="CI94" s="316">
        <f t="shared" si="24"/>
        <v>12014</v>
      </c>
      <c r="CJ94" s="316">
        <f t="shared" si="24"/>
        <v>9043.5999999999985</v>
      </c>
      <c r="CK94" s="316">
        <f t="shared" si="24"/>
        <v>0</v>
      </c>
      <c r="CL94" s="316">
        <f t="shared" si="24"/>
        <v>0</v>
      </c>
      <c r="CM94" s="316">
        <f t="shared" si="24"/>
        <v>0</v>
      </c>
      <c r="CN94" s="316">
        <f t="shared" si="24"/>
        <v>409</v>
      </c>
      <c r="CO94" s="316">
        <f t="shared" si="24"/>
        <v>6594</v>
      </c>
      <c r="CP94" s="316">
        <f t="shared" si="24"/>
        <v>4296.32</v>
      </c>
      <c r="CQ94" s="316">
        <f t="shared" si="24"/>
        <v>790</v>
      </c>
      <c r="CR94" s="316">
        <f t="shared" si="24"/>
        <v>12204</v>
      </c>
      <c r="CS94" s="316">
        <f t="shared" si="24"/>
        <v>9386.7200000000012</v>
      </c>
      <c r="CT94" s="316">
        <f t="shared" si="24"/>
        <v>783</v>
      </c>
      <c r="CU94" s="316">
        <f t="shared" si="24"/>
        <v>10842</v>
      </c>
      <c r="CV94" s="316">
        <f t="shared" si="24"/>
        <v>8673.68</v>
      </c>
      <c r="CW94" s="316">
        <f t="shared" si="24"/>
        <v>595</v>
      </c>
      <c r="CX94" s="316">
        <f t="shared" si="24"/>
        <v>8376</v>
      </c>
      <c r="CY94" s="316">
        <f t="shared" si="24"/>
        <v>6676.4</v>
      </c>
      <c r="CZ94" s="316">
        <f t="shared" si="24"/>
        <v>607</v>
      </c>
      <c r="DA94" s="316">
        <f t="shared" si="24"/>
        <v>7950</v>
      </c>
      <c r="DB94" s="316">
        <f t="shared" si="24"/>
        <v>6957.2000000000007</v>
      </c>
      <c r="DC94" s="316">
        <f t="shared" si="24"/>
        <v>538</v>
      </c>
      <c r="DD94" s="316">
        <f t="shared" si="24"/>
        <v>8282</v>
      </c>
      <c r="DE94" s="316">
        <f t="shared" si="24"/>
        <v>5869.2000000000007</v>
      </c>
      <c r="DF94" s="316">
        <f t="shared" si="24"/>
        <v>21812</v>
      </c>
      <c r="DG94" s="316">
        <f t="shared" si="24"/>
        <v>312984</v>
      </c>
      <c r="DH94" s="316">
        <f t="shared" si="24"/>
        <v>241917.52000000002</v>
      </c>
    </row>
    <row r="96" spans="1:113" x14ac:dyDescent="0.6">
      <c r="BX96" s="243"/>
    </row>
    <row r="97" spans="12:12" x14ac:dyDescent="0.6">
      <c r="L97" s="228"/>
    </row>
  </sheetData>
  <mergeCells count="43">
    <mergeCell ref="AL2:AN2"/>
    <mergeCell ref="B1:D1"/>
    <mergeCell ref="A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BV2:BX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DF2:DH2"/>
    <mergeCell ref="BY2:CA2"/>
    <mergeCell ref="CB2:CD2"/>
    <mergeCell ref="CE2:CG2"/>
    <mergeCell ref="CH2:CJ2"/>
    <mergeCell ref="CK2:CM2"/>
    <mergeCell ref="CN2:CP2"/>
    <mergeCell ref="CQ2:CS2"/>
    <mergeCell ref="CT2:CV2"/>
    <mergeCell ref="CW2:CY2"/>
    <mergeCell ref="CZ2:DB2"/>
    <mergeCell ref="DC2:DE2"/>
    <mergeCell ref="J3:J4"/>
    <mergeCell ref="A3:A4"/>
    <mergeCell ref="B3:C4"/>
    <mergeCell ref="D3:E4"/>
    <mergeCell ref="F3:F4"/>
    <mergeCell ref="G3:H4"/>
    <mergeCell ref="I3:I4"/>
  </mergeCells>
  <conditionalFormatting sqref="C21:C40">
    <cfRule type="duplicateValues" dxfId="34" priority="3"/>
    <cfRule type="duplicateValues" dxfId="33" priority="4"/>
  </conditionalFormatting>
  <conditionalFormatting sqref="C44:C90">
    <cfRule type="duplicateValues" dxfId="32" priority="1"/>
    <cfRule type="duplicateValues" dxfId="3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7E56-AFE5-457D-ADF9-C9EEB6D1E582}">
  <dimension ref="A1:DM48"/>
  <sheetViews>
    <sheetView topLeftCell="BC1" workbookViewId="0">
      <selection activeCell="DI13" sqref="DI13"/>
    </sheetView>
  </sheetViews>
  <sheetFormatPr defaultColWidth="10.28515625" defaultRowHeight="21" x14ac:dyDescent="0.6"/>
  <cols>
    <col min="1" max="1" width="5.5703125" style="227" customWidth="1"/>
    <col min="2" max="2" width="15" style="227" customWidth="1"/>
    <col min="3" max="3" width="15.5703125" style="227" customWidth="1"/>
    <col min="4" max="4" width="13.85546875" style="227" customWidth="1"/>
    <col min="5" max="5" width="15" style="227" customWidth="1"/>
    <col min="6" max="6" width="7.85546875" style="227" customWidth="1"/>
    <col min="7" max="7" width="6.28515625" style="227" hidden="1" customWidth="1"/>
    <col min="8" max="9" width="7.140625" style="227" hidden="1" customWidth="1"/>
    <col min="10" max="10" width="6.28515625" style="227" hidden="1" customWidth="1"/>
    <col min="11" max="12" width="7.140625" style="227" hidden="1" customWidth="1"/>
    <col min="13" max="15" width="8" style="227" hidden="1" customWidth="1"/>
    <col min="16" max="16" width="7.28515625" style="227" hidden="1" customWidth="1"/>
    <col min="17" max="17" width="8.85546875" style="227" hidden="1" customWidth="1"/>
    <col min="18" max="18" width="7.5703125" style="227" hidden="1" customWidth="1"/>
    <col min="19" max="19" width="6.28515625" style="227" hidden="1" customWidth="1"/>
    <col min="20" max="21" width="7.140625" style="227" hidden="1" customWidth="1"/>
    <col min="22" max="22" width="6.28515625" style="227" hidden="1" customWidth="1"/>
    <col min="23" max="24" width="7.140625" style="227" hidden="1" customWidth="1"/>
    <col min="25" max="25" width="6.28515625" style="227" hidden="1" customWidth="1"/>
    <col min="26" max="27" width="7.140625" style="227" hidden="1" customWidth="1"/>
    <col min="28" max="28" width="6.28515625" style="227" hidden="1" customWidth="1"/>
    <col min="29" max="30" width="7.140625" style="227" hidden="1" customWidth="1"/>
    <col min="31" max="31" width="6.28515625" style="227" hidden="1" customWidth="1"/>
    <col min="32" max="33" width="7.140625" style="227" hidden="1" customWidth="1"/>
    <col min="34" max="34" width="6.28515625" style="227" hidden="1" customWidth="1"/>
    <col min="35" max="37" width="7.140625" style="227" hidden="1" customWidth="1"/>
    <col min="38" max="39" width="8" style="227" hidden="1" customWidth="1"/>
    <col min="40" max="40" width="6.28515625" style="227" customWidth="1"/>
    <col min="41" max="42" width="7.140625" style="227" customWidth="1"/>
    <col min="43" max="43" width="7.28515625" style="227" customWidth="1"/>
    <col min="44" max="44" width="6.85546875" style="227" customWidth="1"/>
    <col min="45" max="45" width="7" style="227" customWidth="1"/>
    <col min="46" max="46" width="6.28515625" style="227" customWidth="1"/>
    <col min="47" max="48" width="7.140625" style="227" customWidth="1"/>
    <col min="49" max="49" width="6.28515625" style="227" customWidth="1"/>
    <col min="50" max="51" width="7.140625" style="227" customWidth="1"/>
    <col min="52" max="52" width="6.28515625" style="227" customWidth="1"/>
    <col min="53" max="54" width="7.140625" style="227" customWidth="1"/>
    <col min="55" max="55" width="6.28515625" style="227" customWidth="1"/>
    <col min="56" max="57" width="7.140625" style="227" customWidth="1"/>
    <col min="58" max="58" width="6.28515625" style="227" customWidth="1"/>
    <col min="59" max="60" width="7.140625" style="227" customWidth="1"/>
    <col min="61" max="61" width="6.28515625" style="227" customWidth="1"/>
    <col min="62" max="63" width="6.85546875" style="227" customWidth="1"/>
    <col min="64" max="64" width="6.28515625" style="227" customWidth="1"/>
    <col min="65" max="66" width="7.140625" style="227" customWidth="1"/>
    <col min="67" max="67" width="6.28515625" style="227" customWidth="1"/>
    <col min="68" max="70" width="7.140625" style="227" customWidth="1"/>
    <col min="71" max="71" width="9.28515625" style="227" customWidth="1"/>
    <col min="72" max="72" width="8" style="227" customWidth="1"/>
    <col min="73" max="73" width="6.28515625" style="227" hidden="1" customWidth="1"/>
    <col min="74" max="105" width="8.140625" style="227" hidden="1" customWidth="1"/>
    <col min="106" max="106" width="9" style="227" customWidth="1"/>
    <col min="107" max="107" width="9.140625" style="227" customWidth="1"/>
    <col min="108" max="108" width="10.140625" style="227" customWidth="1"/>
    <col min="109" max="110" width="10.28515625" style="227" customWidth="1"/>
    <col min="111" max="111" width="10.28515625" style="227"/>
    <col min="112" max="116" width="10.28515625" style="229"/>
    <col min="117" max="16384" width="10.28515625" style="227"/>
  </cols>
  <sheetData>
    <row r="1" spans="1:117" ht="30" customHeight="1" x14ac:dyDescent="0.6">
      <c r="A1" s="225"/>
      <c r="B1" s="414" t="s">
        <v>35</v>
      </c>
      <c r="C1" s="414"/>
      <c r="D1" s="414"/>
      <c r="E1" s="225"/>
      <c r="F1" s="226"/>
      <c r="AO1" s="228"/>
      <c r="AP1" s="228"/>
      <c r="BU1" s="228"/>
      <c r="BV1" s="228"/>
      <c r="BW1" s="228"/>
    </row>
    <row r="2" spans="1:117" ht="30" customHeight="1" x14ac:dyDescent="0.6">
      <c r="A2" s="225"/>
      <c r="B2" s="225"/>
      <c r="C2" s="225"/>
      <c r="D2" s="225"/>
      <c r="E2" s="225"/>
      <c r="F2" s="225"/>
      <c r="G2" s="409">
        <v>8827</v>
      </c>
      <c r="H2" s="409"/>
      <c r="I2" s="410"/>
      <c r="J2" s="409">
        <v>45718</v>
      </c>
      <c r="K2" s="409"/>
      <c r="L2" s="410"/>
      <c r="M2" s="409">
        <v>45719</v>
      </c>
      <c r="N2" s="409"/>
      <c r="O2" s="410"/>
      <c r="P2" s="409">
        <v>45720</v>
      </c>
      <c r="Q2" s="409"/>
      <c r="R2" s="410"/>
      <c r="S2" s="409">
        <v>45721</v>
      </c>
      <c r="T2" s="409"/>
      <c r="U2" s="410"/>
      <c r="V2" s="409">
        <v>45722</v>
      </c>
      <c r="W2" s="409"/>
      <c r="X2" s="410"/>
      <c r="Y2" s="409">
        <v>45723</v>
      </c>
      <c r="Z2" s="409"/>
      <c r="AA2" s="410"/>
      <c r="AB2" s="409">
        <v>45724</v>
      </c>
      <c r="AC2" s="409"/>
      <c r="AD2" s="410"/>
      <c r="AE2" s="409">
        <v>45725</v>
      </c>
      <c r="AF2" s="409"/>
      <c r="AG2" s="410"/>
      <c r="AH2" s="409">
        <v>45726</v>
      </c>
      <c r="AI2" s="409"/>
      <c r="AJ2" s="410"/>
      <c r="AK2" s="411" t="s">
        <v>717</v>
      </c>
      <c r="AL2" s="411"/>
      <c r="AM2" s="411"/>
      <c r="AN2" s="409">
        <v>46092</v>
      </c>
      <c r="AO2" s="409"/>
      <c r="AP2" s="410"/>
      <c r="AQ2" s="409">
        <v>46093</v>
      </c>
      <c r="AR2" s="409"/>
      <c r="AS2" s="410"/>
      <c r="AT2" s="409">
        <v>46094</v>
      </c>
      <c r="AU2" s="409"/>
      <c r="AV2" s="410"/>
      <c r="AW2" s="409">
        <v>46095</v>
      </c>
      <c r="AX2" s="409"/>
      <c r="AY2" s="410"/>
      <c r="AZ2" s="409">
        <v>46096</v>
      </c>
      <c r="BA2" s="409"/>
      <c r="BB2" s="410"/>
      <c r="BC2" s="409">
        <v>46097</v>
      </c>
      <c r="BD2" s="409"/>
      <c r="BE2" s="410"/>
      <c r="BF2" s="409">
        <v>46098</v>
      </c>
      <c r="BG2" s="409"/>
      <c r="BH2" s="410"/>
      <c r="BI2" s="409">
        <v>46099</v>
      </c>
      <c r="BJ2" s="409"/>
      <c r="BK2" s="410"/>
      <c r="BL2" s="409">
        <v>46100</v>
      </c>
      <c r="BM2" s="409"/>
      <c r="BN2" s="410"/>
      <c r="BO2" s="409">
        <v>46101</v>
      </c>
      <c r="BP2" s="409"/>
      <c r="BQ2" s="410"/>
      <c r="BR2" s="411" t="s">
        <v>718</v>
      </c>
      <c r="BS2" s="411"/>
      <c r="BT2" s="411"/>
      <c r="BU2" s="409">
        <v>46074</v>
      </c>
      <c r="BV2" s="409"/>
      <c r="BW2" s="410"/>
      <c r="BX2" s="409">
        <v>46075</v>
      </c>
      <c r="BY2" s="409"/>
      <c r="BZ2" s="410"/>
      <c r="CA2" s="409">
        <v>46076</v>
      </c>
      <c r="CB2" s="409"/>
      <c r="CC2" s="410"/>
      <c r="CD2" s="409">
        <v>46077</v>
      </c>
      <c r="CE2" s="409"/>
      <c r="CF2" s="410"/>
      <c r="CG2" s="409">
        <v>46078</v>
      </c>
      <c r="CH2" s="409"/>
      <c r="CI2" s="410"/>
      <c r="CJ2" s="409">
        <v>46079</v>
      </c>
      <c r="CK2" s="409"/>
      <c r="CL2" s="410"/>
      <c r="CM2" s="409">
        <v>46080</v>
      </c>
      <c r="CN2" s="409"/>
      <c r="CO2" s="410"/>
      <c r="CP2" s="409">
        <v>46081</v>
      </c>
      <c r="CQ2" s="409"/>
      <c r="CR2" s="410"/>
      <c r="CS2" s="409" t="s">
        <v>1084</v>
      </c>
      <c r="CT2" s="409"/>
      <c r="CU2" s="410"/>
      <c r="CV2" s="409">
        <v>46052</v>
      </c>
      <c r="CW2" s="409"/>
      <c r="CX2" s="410"/>
      <c r="CY2" s="409">
        <v>46053</v>
      </c>
      <c r="CZ2" s="409"/>
      <c r="DA2" s="410"/>
      <c r="DB2" s="410" t="s">
        <v>719</v>
      </c>
      <c r="DC2" s="410"/>
      <c r="DD2" s="410"/>
    </row>
    <row r="3" spans="1:117" ht="38.25" customHeight="1" x14ac:dyDescent="0.6">
      <c r="A3" s="231" t="s">
        <v>43</v>
      </c>
      <c r="B3" s="412" t="s">
        <v>44</v>
      </c>
      <c r="C3" s="413"/>
      <c r="D3" s="412" t="s">
        <v>45</v>
      </c>
      <c r="E3" s="413"/>
      <c r="F3" s="232" t="s">
        <v>46</v>
      </c>
      <c r="G3" s="233" t="s">
        <v>720</v>
      </c>
      <c r="H3" s="230" t="s">
        <v>721</v>
      </c>
      <c r="I3" s="230" t="s">
        <v>722</v>
      </c>
      <c r="J3" s="233" t="s">
        <v>720</v>
      </c>
      <c r="K3" s="230" t="s">
        <v>721</v>
      </c>
      <c r="L3" s="230" t="s">
        <v>722</v>
      </c>
      <c r="M3" s="233" t="s">
        <v>720</v>
      </c>
      <c r="N3" s="230" t="s">
        <v>721</v>
      </c>
      <c r="O3" s="230" t="s">
        <v>722</v>
      </c>
      <c r="P3" s="233" t="s">
        <v>720</v>
      </c>
      <c r="Q3" s="230" t="s">
        <v>721</v>
      </c>
      <c r="R3" s="230" t="s">
        <v>722</v>
      </c>
      <c r="S3" s="233" t="s">
        <v>720</v>
      </c>
      <c r="T3" s="230" t="s">
        <v>721</v>
      </c>
      <c r="U3" s="230" t="s">
        <v>722</v>
      </c>
      <c r="V3" s="233" t="s">
        <v>720</v>
      </c>
      <c r="W3" s="230" t="s">
        <v>721</v>
      </c>
      <c r="X3" s="230" t="s">
        <v>722</v>
      </c>
      <c r="Y3" s="233" t="s">
        <v>720</v>
      </c>
      <c r="Z3" s="230" t="s">
        <v>721</v>
      </c>
      <c r="AA3" s="230" t="s">
        <v>722</v>
      </c>
      <c r="AB3" s="233" t="s">
        <v>720</v>
      </c>
      <c r="AC3" s="230" t="s">
        <v>721</v>
      </c>
      <c r="AD3" s="230" t="s">
        <v>722</v>
      </c>
      <c r="AE3" s="233" t="s">
        <v>720</v>
      </c>
      <c r="AF3" s="230" t="s">
        <v>721</v>
      </c>
      <c r="AG3" s="230" t="s">
        <v>722</v>
      </c>
      <c r="AH3" s="233" t="s">
        <v>720</v>
      </c>
      <c r="AI3" s="230" t="s">
        <v>721</v>
      </c>
      <c r="AJ3" s="230" t="s">
        <v>722</v>
      </c>
      <c r="AK3" s="233" t="s">
        <v>720</v>
      </c>
      <c r="AL3" s="230" t="s">
        <v>721</v>
      </c>
      <c r="AM3" s="230" t="s">
        <v>723</v>
      </c>
      <c r="AN3" s="233" t="s">
        <v>720</v>
      </c>
      <c r="AO3" s="230" t="s">
        <v>721</v>
      </c>
      <c r="AP3" s="230" t="s">
        <v>722</v>
      </c>
      <c r="AQ3" s="233" t="s">
        <v>720</v>
      </c>
      <c r="AR3" s="230" t="s">
        <v>721</v>
      </c>
      <c r="AS3" s="230" t="s">
        <v>722</v>
      </c>
      <c r="AT3" s="233" t="s">
        <v>720</v>
      </c>
      <c r="AU3" s="230" t="s">
        <v>721</v>
      </c>
      <c r="AV3" s="230" t="s">
        <v>722</v>
      </c>
      <c r="AW3" s="233" t="s">
        <v>720</v>
      </c>
      <c r="AX3" s="230" t="s">
        <v>721</v>
      </c>
      <c r="AY3" s="230" t="s">
        <v>722</v>
      </c>
      <c r="AZ3" s="233" t="s">
        <v>720</v>
      </c>
      <c r="BA3" s="230" t="s">
        <v>721</v>
      </c>
      <c r="BB3" s="230" t="s">
        <v>722</v>
      </c>
      <c r="BC3" s="233" t="s">
        <v>720</v>
      </c>
      <c r="BD3" s="230" t="s">
        <v>721</v>
      </c>
      <c r="BE3" s="230" t="s">
        <v>722</v>
      </c>
      <c r="BF3" s="233" t="s">
        <v>720</v>
      </c>
      <c r="BG3" s="230" t="s">
        <v>721</v>
      </c>
      <c r="BH3" s="230" t="s">
        <v>722</v>
      </c>
      <c r="BI3" s="233" t="s">
        <v>720</v>
      </c>
      <c r="BJ3" s="230" t="s">
        <v>721</v>
      </c>
      <c r="BK3" s="230" t="s">
        <v>722</v>
      </c>
      <c r="BL3" s="233" t="s">
        <v>720</v>
      </c>
      <c r="BM3" s="230" t="s">
        <v>721</v>
      </c>
      <c r="BN3" s="230" t="s">
        <v>722</v>
      </c>
      <c r="BO3" s="233" t="s">
        <v>720</v>
      </c>
      <c r="BP3" s="230" t="s">
        <v>721</v>
      </c>
      <c r="BQ3" s="230" t="s">
        <v>722</v>
      </c>
      <c r="BR3" s="233" t="s">
        <v>720</v>
      </c>
      <c r="BS3" s="230" t="s">
        <v>721</v>
      </c>
      <c r="BT3" s="230" t="s">
        <v>723</v>
      </c>
      <c r="BU3" s="233" t="s">
        <v>720</v>
      </c>
      <c r="BV3" s="230" t="s">
        <v>721</v>
      </c>
      <c r="BW3" s="230" t="s">
        <v>723</v>
      </c>
      <c r="BX3" s="233" t="s">
        <v>720</v>
      </c>
      <c r="BY3" s="230" t="s">
        <v>721</v>
      </c>
      <c r="BZ3" s="230" t="s">
        <v>723</v>
      </c>
      <c r="CA3" s="233" t="s">
        <v>720</v>
      </c>
      <c r="CB3" s="230" t="s">
        <v>721</v>
      </c>
      <c r="CC3" s="230" t="s">
        <v>723</v>
      </c>
      <c r="CD3" s="233" t="s">
        <v>720</v>
      </c>
      <c r="CE3" s="230" t="s">
        <v>721</v>
      </c>
      <c r="CF3" s="230" t="s">
        <v>723</v>
      </c>
      <c r="CG3" s="233" t="s">
        <v>720</v>
      </c>
      <c r="CH3" s="230" t="s">
        <v>721</v>
      </c>
      <c r="CI3" s="230" t="s">
        <v>723</v>
      </c>
      <c r="CJ3" s="233" t="s">
        <v>720</v>
      </c>
      <c r="CK3" s="230" t="s">
        <v>721</v>
      </c>
      <c r="CL3" s="230" t="s">
        <v>723</v>
      </c>
      <c r="CM3" s="233" t="s">
        <v>720</v>
      </c>
      <c r="CN3" s="230" t="s">
        <v>721</v>
      </c>
      <c r="CO3" s="230" t="s">
        <v>723</v>
      </c>
      <c r="CP3" s="233" t="s">
        <v>720</v>
      </c>
      <c r="CQ3" s="230" t="s">
        <v>721</v>
      </c>
      <c r="CR3" s="230" t="s">
        <v>723</v>
      </c>
      <c r="CS3" s="233" t="s">
        <v>720</v>
      </c>
      <c r="CT3" s="230" t="s">
        <v>721</v>
      </c>
      <c r="CU3" s="230" t="s">
        <v>723</v>
      </c>
      <c r="CV3" s="233" t="s">
        <v>720</v>
      </c>
      <c r="CW3" s="230" t="s">
        <v>721</v>
      </c>
      <c r="CX3" s="230" t="s">
        <v>723</v>
      </c>
      <c r="CY3" s="233" t="s">
        <v>720</v>
      </c>
      <c r="CZ3" s="230" t="s">
        <v>721</v>
      </c>
      <c r="DA3" s="230" t="s">
        <v>723</v>
      </c>
      <c r="DB3" s="233" t="s">
        <v>720</v>
      </c>
      <c r="DC3" s="230" t="s">
        <v>721</v>
      </c>
      <c r="DD3" s="230" t="s">
        <v>723</v>
      </c>
    </row>
    <row r="4" spans="1:117" ht="20.100000000000001" customHeight="1" x14ac:dyDescent="0.6">
      <c r="A4" s="234">
        <v>1</v>
      </c>
      <c r="B4" s="235" t="s">
        <v>52</v>
      </c>
      <c r="C4" s="236" t="s">
        <v>53</v>
      </c>
      <c r="D4" s="237" t="s">
        <v>54</v>
      </c>
      <c r="E4" s="237" t="s">
        <v>55</v>
      </c>
      <c r="F4" s="238" t="s">
        <v>56</v>
      </c>
      <c r="G4" s="239"/>
      <c r="H4" s="240"/>
      <c r="I4" s="240"/>
      <c r="J4" s="240"/>
      <c r="K4" s="240"/>
      <c r="L4" s="240"/>
      <c r="M4" s="240">
        <v>1165</v>
      </c>
      <c r="N4" s="240">
        <v>18640</v>
      </c>
      <c r="O4" s="240">
        <v>12878</v>
      </c>
      <c r="P4" s="240"/>
      <c r="Q4" s="240"/>
      <c r="R4" s="240"/>
      <c r="S4" s="240"/>
      <c r="T4" s="240"/>
      <c r="U4" s="240"/>
      <c r="V4" s="240">
        <v>870</v>
      </c>
      <c r="W4" s="240">
        <v>10900</v>
      </c>
      <c r="X4" s="240">
        <v>9260.7999999999993</v>
      </c>
      <c r="Y4" s="240">
        <v>530</v>
      </c>
      <c r="Z4" s="240">
        <v>7760</v>
      </c>
      <c r="AA4" s="240">
        <v>6220</v>
      </c>
      <c r="AB4" s="240"/>
      <c r="AC4" s="240"/>
      <c r="AD4" s="240"/>
      <c r="AE4" s="240">
        <v>525</v>
      </c>
      <c r="AF4" s="104">
        <v>9300</v>
      </c>
      <c r="AG4" s="104">
        <v>5956</v>
      </c>
      <c r="AH4" s="241">
        <v>525</v>
      </c>
      <c r="AI4" s="241">
        <v>9060</v>
      </c>
      <c r="AJ4" s="241">
        <v>6098</v>
      </c>
      <c r="AK4" s="242">
        <f>+G4+J4+M4+P4+S4+V4+Y4+AB4+AE4+AH4</f>
        <v>3615</v>
      </c>
      <c r="AL4" s="242">
        <f t="shared" ref="AL4:AM19" si="0">+H4+K4+N4+Q4+T4+W4+Z4+AC4+AF4+AI4</f>
        <v>55660</v>
      </c>
      <c r="AM4" s="242">
        <f t="shared" si="0"/>
        <v>40412.800000000003</v>
      </c>
      <c r="AN4" s="241"/>
      <c r="AO4" s="241"/>
      <c r="AP4" s="241"/>
      <c r="AQ4" s="241">
        <v>630</v>
      </c>
      <c r="AR4" s="241">
        <v>9260</v>
      </c>
      <c r="AS4" s="241">
        <v>6964</v>
      </c>
      <c r="AT4" s="241">
        <v>620</v>
      </c>
      <c r="AU4" s="241">
        <v>9140</v>
      </c>
      <c r="AV4" s="241">
        <v>7084</v>
      </c>
      <c r="AW4" s="241">
        <v>655</v>
      </c>
      <c r="AX4" s="241">
        <v>12280</v>
      </c>
      <c r="AY4" s="241">
        <v>7122.8</v>
      </c>
      <c r="AZ4" s="241"/>
      <c r="BA4" s="241"/>
      <c r="BB4" s="241"/>
      <c r="BC4" s="241">
        <v>625</v>
      </c>
      <c r="BD4" s="241">
        <v>11560</v>
      </c>
      <c r="BE4" s="241">
        <v>7550</v>
      </c>
      <c r="BF4" s="241"/>
      <c r="BG4" s="241"/>
      <c r="BH4" s="241"/>
      <c r="BI4" s="241">
        <v>650</v>
      </c>
      <c r="BJ4" s="241">
        <v>9820</v>
      </c>
      <c r="BK4" s="241">
        <v>6477.6</v>
      </c>
      <c r="BL4" s="241">
        <v>700</v>
      </c>
      <c r="BM4" s="241">
        <v>10310</v>
      </c>
      <c r="BN4" s="241">
        <v>7642.4</v>
      </c>
      <c r="BO4" s="241">
        <v>630</v>
      </c>
      <c r="BP4" s="241">
        <v>9260</v>
      </c>
      <c r="BQ4" s="241">
        <v>6964</v>
      </c>
      <c r="BR4" s="242">
        <f>+AK4+AN4+AQ4+AT4+AW4+AZ4+BC4+BF4+BI4+BL4+BO4</f>
        <v>8125</v>
      </c>
      <c r="BS4" s="242">
        <f>+AL4+AO4+AR4+AU4+AX4+BA4+BD4+BG4+BJ4+BM4+BP4</f>
        <v>127290</v>
      </c>
      <c r="BT4" s="242">
        <f t="shared" ref="BS4:BT19" si="1">+AM4+AP4+AS4+AV4+AY4+BB4+BE4+BH4+BK4+BN4+BQ4</f>
        <v>90217.600000000006</v>
      </c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241"/>
      <c r="CW4" s="241"/>
      <c r="CX4" s="241"/>
      <c r="CY4" s="241"/>
      <c r="CZ4" s="241"/>
      <c r="DA4" s="241"/>
      <c r="DB4" s="242">
        <f>+BR4+BU4+BX4+CA4+CD4+CG4+CJ4+CM4+CP4+CS4+CV4+CY4</f>
        <v>8125</v>
      </c>
      <c r="DC4" s="242">
        <f>+BS4+BV4+BY4+CB4+CE4+CH4+CK4+CN4+CQ4+CT4+CW4+CZ4</f>
        <v>127290</v>
      </c>
      <c r="DD4" s="242">
        <f>+BT4+BW4+BZ4+CC4+CF4+CI4+CL4+CO4+CR4+CU4+CX4+DA4</f>
        <v>90217.600000000006</v>
      </c>
      <c r="DE4" s="243"/>
      <c r="DG4" s="243"/>
      <c r="DH4" s="244"/>
      <c r="DI4" s="244"/>
      <c r="DJ4" s="244"/>
    </row>
    <row r="5" spans="1:117" ht="20.100000000000001" customHeight="1" x14ac:dyDescent="0.6">
      <c r="A5" s="234">
        <v>2</v>
      </c>
      <c r="B5" s="245" t="s">
        <v>58</v>
      </c>
      <c r="C5" s="234" t="s">
        <v>59</v>
      </c>
      <c r="D5" s="246" t="s">
        <v>60</v>
      </c>
      <c r="E5" s="246" t="s">
        <v>61</v>
      </c>
      <c r="F5" s="238" t="s">
        <v>56</v>
      </c>
      <c r="G5" s="239"/>
      <c r="H5" s="240"/>
      <c r="I5" s="240"/>
      <c r="J5" s="240"/>
      <c r="K5" s="240"/>
      <c r="L5" s="240"/>
      <c r="M5" s="240">
        <v>1200</v>
      </c>
      <c r="N5" s="240">
        <v>16120</v>
      </c>
      <c r="O5" s="240">
        <v>13376</v>
      </c>
      <c r="P5" s="240"/>
      <c r="Q5" s="240"/>
      <c r="R5" s="240"/>
      <c r="S5" s="240">
        <v>600</v>
      </c>
      <c r="T5" s="240">
        <v>8440</v>
      </c>
      <c r="U5" s="240">
        <v>6652</v>
      </c>
      <c r="V5" s="240">
        <v>600</v>
      </c>
      <c r="W5" s="240">
        <v>7500</v>
      </c>
      <c r="X5" s="240">
        <v>6744</v>
      </c>
      <c r="Y5" s="240">
        <v>600</v>
      </c>
      <c r="Z5" s="240">
        <v>8440</v>
      </c>
      <c r="AA5" s="240">
        <v>6556</v>
      </c>
      <c r="AB5" s="240"/>
      <c r="AC5" s="240"/>
      <c r="AD5" s="240"/>
      <c r="AE5" s="240">
        <v>600</v>
      </c>
      <c r="AF5" s="104">
        <v>8340</v>
      </c>
      <c r="AG5" s="104">
        <v>6804</v>
      </c>
      <c r="AH5" s="241">
        <v>500</v>
      </c>
      <c r="AI5" s="241">
        <v>7140</v>
      </c>
      <c r="AJ5" s="241">
        <v>5508</v>
      </c>
      <c r="AK5" s="242">
        <f t="shared" ref="AK5:AM20" si="2">+G5+J5+M5+P5+S5+V5+Y5+AB5+AE5+AH5</f>
        <v>4100</v>
      </c>
      <c r="AL5" s="242">
        <f t="shared" si="0"/>
        <v>55980</v>
      </c>
      <c r="AM5" s="242">
        <f t="shared" si="0"/>
        <v>45640</v>
      </c>
      <c r="AN5" s="241">
        <v>600</v>
      </c>
      <c r="AO5" s="241">
        <v>7600</v>
      </c>
      <c r="AP5" s="241">
        <v>6592</v>
      </c>
      <c r="AQ5" s="241">
        <v>600</v>
      </c>
      <c r="AR5" s="241">
        <v>8440</v>
      </c>
      <c r="AS5" s="241">
        <v>6556</v>
      </c>
      <c r="AT5" s="241"/>
      <c r="AU5" s="241"/>
      <c r="AV5" s="241"/>
      <c r="AW5" s="241">
        <v>1000</v>
      </c>
      <c r="AX5" s="241">
        <v>13720</v>
      </c>
      <c r="AY5" s="241">
        <v>10976</v>
      </c>
      <c r="AZ5" s="241"/>
      <c r="BA5" s="241"/>
      <c r="BB5" s="241"/>
      <c r="BC5" s="241">
        <v>600</v>
      </c>
      <c r="BD5" s="241">
        <v>7800</v>
      </c>
      <c r="BE5" s="241">
        <v>6288</v>
      </c>
      <c r="BF5" s="241">
        <v>600</v>
      </c>
      <c r="BG5" s="241">
        <v>9360</v>
      </c>
      <c r="BH5" s="241">
        <v>6696.8</v>
      </c>
      <c r="BI5" s="241">
        <v>1250</v>
      </c>
      <c r="BJ5" s="241">
        <v>15400</v>
      </c>
      <c r="BK5" s="241">
        <v>14392</v>
      </c>
      <c r="BL5" s="241"/>
      <c r="BM5" s="241"/>
      <c r="BN5" s="241"/>
      <c r="BO5" s="241">
        <v>600</v>
      </c>
      <c r="BP5" s="241">
        <v>8360</v>
      </c>
      <c r="BQ5" s="241">
        <v>6232</v>
      </c>
      <c r="BR5" s="242">
        <f t="shared" ref="BR5:BT20" si="3">+AK5+AN5+AQ5+AT5+AW5+AZ5+BC5+BF5+BI5+BL5+BO5</f>
        <v>9350</v>
      </c>
      <c r="BS5" s="242">
        <f t="shared" si="1"/>
        <v>126660</v>
      </c>
      <c r="BT5" s="242">
        <f t="shared" si="1"/>
        <v>103372.8</v>
      </c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241"/>
      <c r="CW5" s="241"/>
      <c r="CX5" s="241"/>
      <c r="CY5" s="241"/>
      <c r="CZ5" s="241"/>
      <c r="DA5" s="241"/>
      <c r="DB5" s="242">
        <f t="shared" ref="DB5:DD45" si="4">+BR5+BU5+BX5+CA5+CD5+CG5+CJ5+CM5+CP5+CS5+CV5+CY5</f>
        <v>9350</v>
      </c>
      <c r="DC5" s="242">
        <f t="shared" si="4"/>
        <v>126660</v>
      </c>
      <c r="DD5" s="242">
        <f>+BT5+BW5+BZ5+CC5+CF5+CI5+CL5+CO5+CR5+CU5+CX5+DA5</f>
        <v>103372.8</v>
      </c>
      <c r="DG5" s="243"/>
      <c r="DH5" s="244"/>
      <c r="DI5" s="244"/>
      <c r="DJ5" s="244"/>
    </row>
    <row r="6" spans="1:117" ht="20.100000000000001" customHeight="1" x14ac:dyDescent="0.6">
      <c r="A6" s="234">
        <v>3</v>
      </c>
      <c r="B6" s="245" t="s">
        <v>62</v>
      </c>
      <c r="C6" s="234" t="s">
        <v>63</v>
      </c>
      <c r="D6" s="246" t="s">
        <v>64</v>
      </c>
      <c r="E6" s="246" t="s">
        <v>65</v>
      </c>
      <c r="F6" s="238" t="s">
        <v>56</v>
      </c>
      <c r="G6" s="239"/>
      <c r="H6" s="240"/>
      <c r="I6" s="240"/>
      <c r="J6" s="240"/>
      <c r="K6" s="240"/>
      <c r="L6" s="240"/>
      <c r="M6" s="240">
        <v>230</v>
      </c>
      <c r="N6" s="240">
        <v>3780</v>
      </c>
      <c r="O6" s="240">
        <v>2748.8</v>
      </c>
      <c r="P6" s="240"/>
      <c r="Q6" s="240"/>
      <c r="R6" s="240"/>
      <c r="S6" s="240"/>
      <c r="T6" s="240"/>
      <c r="U6" s="240"/>
      <c r="V6" s="240">
        <v>500</v>
      </c>
      <c r="W6" s="240">
        <v>7800</v>
      </c>
      <c r="X6" s="240">
        <v>5252</v>
      </c>
      <c r="Y6" s="240">
        <v>225</v>
      </c>
      <c r="Z6" s="240">
        <v>3680</v>
      </c>
      <c r="AA6" s="240">
        <v>2547.1999999999998</v>
      </c>
      <c r="AB6" s="240"/>
      <c r="AC6" s="240"/>
      <c r="AD6" s="240"/>
      <c r="AE6" s="240"/>
      <c r="AF6" s="104"/>
      <c r="AG6" s="104"/>
      <c r="AH6" s="241"/>
      <c r="AI6" s="241"/>
      <c r="AJ6" s="241"/>
      <c r="AK6" s="242">
        <f t="shared" si="2"/>
        <v>955</v>
      </c>
      <c r="AL6" s="242">
        <f t="shared" si="0"/>
        <v>15260</v>
      </c>
      <c r="AM6" s="242">
        <f t="shared" si="0"/>
        <v>10548</v>
      </c>
      <c r="AN6" s="241">
        <v>214</v>
      </c>
      <c r="AO6" s="241">
        <v>2966</v>
      </c>
      <c r="AP6" s="241">
        <v>2288.64</v>
      </c>
      <c r="AQ6" s="241">
        <v>530</v>
      </c>
      <c r="AR6" s="241">
        <v>7960</v>
      </c>
      <c r="AS6" s="241">
        <v>5976</v>
      </c>
      <c r="AT6" s="241"/>
      <c r="AU6" s="241"/>
      <c r="AV6" s="241"/>
      <c r="AW6" s="241"/>
      <c r="AX6" s="241"/>
      <c r="AY6" s="241"/>
      <c r="AZ6" s="241"/>
      <c r="BA6" s="241"/>
      <c r="BB6" s="241"/>
      <c r="BC6" s="241">
        <v>1000</v>
      </c>
      <c r="BD6" s="241">
        <v>14340</v>
      </c>
      <c r="BE6" s="241">
        <v>11700</v>
      </c>
      <c r="BF6" s="241"/>
      <c r="BG6" s="241"/>
      <c r="BH6" s="241"/>
      <c r="BI6" s="241"/>
      <c r="BJ6" s="241"/>
      <c r="BK6" s="241"/>
      <c r="BL6" s="241">
        <v>250</v>
      </c>
      <c r="BM6" s="241">
        <v>3380</v>
      </c>
      <c r="BN6" s="241">
        <v>2784</v>
      </c>
      <c r="BO6" s="241"/>
      <c r="BP6" s="241"/>
      <c r="BQ6" s="241"/>
      <c r="BR6" s="242">
        <f t="shared" si="3"/>
        <v>2949</v>
      </c>
      <c r="BS6" s="242">
        <f t="shared" si="1"/>
        <v>43906</v>
      </c>
      <c r="BT6" s="242">
        <f t="shared" si="1"/>
        <v>33296.639999999999</v>
      </c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241"/>
      <c r="CW6" s="241"/>
      <c r="CX6" s="241"/>
      <c r="CY6" s="241"/>
      <c r="CZ6" s="241"/>
      <c r="DA6" s="241"/>
      <c r="DB6" s="242">
        <f t="shared" si="4"/>
        <v>2949</v>
      </c>
      <c r="DC6" s="242">
        <f t="shared" si="4"/>
        <v>43906</v>
      </c>
      <c r="DD6" s="242">
        <f t="shared" si="4"/>
        <v>33296.639999999999</v>
      </c>
      <c r="DG6" s="243"/>
      <c r="DH6" s="244"/>
      <c r="DI6" s="244"/>
      <c r="DJ6" s="244"/>
    </row>
    <row r="7" spans="1:117" ht="20.100000000000001" customHeight="1" x14ac:dyDescent="0.6">
      <c r="A7" s="234">
        <v>4</v>
      </c>
      <c r="B7" s="245" t="s">
        <v>66</v>
      </c>
      <c r="C7" s="234" t="s">
        <v>67</v>
      </c>
      <c r="D7" s="246" t="s">
        <v>60</v>
      </c>
      <c r="E7" s="246" t="s">
        <v>61</v>
      </c>
      <c r="F7" s="238" t="s">
        <v>56</v>
      </c>
      <c r="G7" s="239"/>
      <c r="H7" s="240"/>
      <c r="I7" s="240"/>
      <c r="J7" s="240"/>
      <c r="K7" s="240"/>
      <c r="L7" s="240"/>
      <c r="M7" s="240"/>
      <c r="N7" s="240"/>
      <c r="O7" s="240"/>
      <c r="P7" s="240">
        <v>625</v>
      </c>
      <c r="Q7" s="240">
        <v>8200</v>
      </c>
      <c r="R7" s="240">
        <v>6976</v>
      </c>
      <c r="S7" s="240"/>
      <c r="T7" s="240"/>
      <c r="U7" s="240"/>
      <c r="V7" s="240">
        <v>400</v>
      </c>
      <c r="W7" s="240">
        <v>5000</v>
      </c>
      <c r="X7" s="240">
        <v>4496</v>
      </c>
      <c r="Y7" s="240"/>
      <c r="Z7" s="240"/>
      <c r="AA7" s="240"/>
      <c r="AB7" s="240"/>
      <c r="AC7" s="240"/>
      <c r="AD7" s="240"/>
      <c r="AE7" s="240">
        <v>625</v>
      </c>
      <c r="AF7" s="104">
        <v>8800</v>
      </c>
      <c r="AG7" s="104">
        <v>6784</v>
      </c>
      <c r="AH7" s="241"/>
      <c r="AI7" s="241"/>
      <c r="AJ7" s="241"/>
      <c r="AK7" s="242">
        <f t="shared" si="2"/>
        <v>1650</v>
      </c>
      <c r="AL7" s="242">
        <f t="shared" si="0"/>
        <v>22000</v>
      </c>
      <c r="AM7" s="242">
        <f t="shared" si="0"/>
        <v>18256</v>
      </c>
      <c r="AN7" s="241">
        <v>600</v>
      </c>
      <c r="AO7" s="241">
        <v>7600</v>
      </c>
      <c r="AP7" s="241">
        <v>6592</v>
      </c>
      <c r="AQ7" s="241"/>
      <c r="AR7" s="241"/>
      <c r="AS7" s="241"/>
      <c r="AT7" s="241">
        <v>660</v>
      </c>
      <c r="AU7" s="241">
        <v>8680</v>
      </c>
      <c r="AV7" s="241">
        <v>7304.8</v>
      </c>
      <c r="AW7" s="241"/>
      <c r="AX7" s="241"/>
      <c r="AY7" s="241"/>
      <c r="AZ7" s="241"/>
      <c r="BA7" s="241"/>
      <c r="BB7" s="241"/>
      <c r="BC7" s="241"/>
      <c r="BD7" s="241"/>
      <c r="BE7" s="241"/>
      <c r="BF7" s="241"/>
      <c r="BG7" s="241"/>
      <c r="BH7" s="241"/>
      <c r="BI7" s="241">
        <v>680</v>
      </c>
      <c r="BJ7" s="241">
        <v>9020</v>
      </c>
      <c r="BK7" s="241">
        <v>7500.8</v>
      </c>
      <c r="BL7" s="241"/>
      <c r="BM7" s="241"/>
      <c r="BN7" s="241"/>
      <c r="BO7" s="241">
        <v>700</v>
      </c>
      <c r="BP7" s="241">
        <v>8800</v>
      </c>
      <c r="BQ7" s="241">
        <v>7612</v>
      </c>
      <c r="BR7" s="242">
        <f t="shared" si="3"/>
        <v>4290</v>
      </c>
      <c r="BS7" s="242">
        <f t="shared" si="1"/>
        <v>56100</v>
      </c>
      <c r="BT7" s="242">
        <f t="shared" si="1"/>
        <v>47265.599999999999</v>
      </c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43"/>
      <c r="CQ7" s="143"/>
      <c r="CR7" s="143"/>
      <c r="CS7" s="104"/>
      <c r="CT7" s="104"/>
      <c r="CU7" s="104"/>
      <c r="CV7" s="241"/>
      <c r="CW7" s="241"/>
      <c r="CX7" s="241"/>
      <c r="CY7" s="241"/>
      <c r="CZ7" s="241"/>
      <c r="DA7" s="241"/>
      <c r="DB7" s="242">
        <f t="shared" si="4"/>
        <v>4290</v>
      </c>
      <c r="DC7" s="242">
        <f t="shared" si="4"/>
        <v>56100</v>
      </c>
      <c r="DD7" s="242">
        <f t="shared" si="4"/>
        <v>47265.599999999999</v>
      </c>
      <c r="DG7" s="243"/>
      <c r="DH7" s="244"/>
      <c r="DI7" s="244"/>
      <c r="DJ7" s="244"/>
    </row>
    <row r="8" spans="1:117" ht="20.100000000000001" customHeight="1" x14ac:dyDescent="0.6">
      <c r="A8" s="234">
        <v>5</v>
      </c>
      <c r="B8" s="245" t="s">
        <v>68</v>
      </c>
      <c r="C8" s="234" t="s">
        <v>69</v>
      </c>
      <c r="D8" s="246" t="s">
        <v>70</v>
      </c>
      <c r="E8" s="246" t="s">
        <v>71</v>
      </c>
      <c r="F8" s="238" t="s">
        <v>56</v>
      </c>
      <c r="G8" s="239"/>
      <c r="H8" s="240"/>
      <c r="I8" s="240"/>
      <c r="J8" s="240"/>
      <c r="K8" s="240"/>
      <c r="L8" s="240"/>
      <c r="M8" s="240">
        <v>500</v>
      </c>
      <c r="N8" s="240">
        <v>7600</v>
      </c>
      <c r="O8" s="240">
        <v>5652</v>
      </c>
      <c r="P8" s="240"/>
      <c r="Q8" s="240"/>
      <c r="R8" s="240"/>
      <c r="S8" s="240"/>
      <c r="T8" s="240"/>
      <c r="U8" s="240"/>
      <c r="V8" s="240"/>
      <c r="W8" s="240"/>
      <c r="X8" s="240"/>
      <c r="Y8" s="240">
        <v>500</v>
      </c>
      <c r="Z8" s="240">
        <v>7860</v>
      </c>
      <c r="AA8" s="240">
        <v>5594.4</v>
      </c>
      <c r="AB8" s="240"/>
      <c r="AC8" s="240"/>
      <c r="AD8" s="240"/>
      <c r="AE8" s="240"/>
      <c r="AF8" s="104"/>
      <c r="AG8" s="104"/>
      <c r="AH8" s="241">
        <v>500</v>
      </c>
      <c r="AI8" s="241">
        <v>7040</v>
      </c>
      <c r="AJ8" s="241">
        <v>5612</v>
      </c>
      <c r="AK8" s="242">
        <f t="shared" si="2"/>
        <v>1500</v>
      </c>
      <c r="AL8" s="242">
        <f t="shared" si="0"/>
        <v>22500</v>
      </c>
      <c r="AM8" s="242">
        <f t="shared" si="0"/>
        <v>16858.400000000001</v>
      </c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>
        <v>500</v>
      </c>
      <c r="BD8" s="241">
        <v>7080</v>
      </c>
      <c r="BE8" s="241">
        <v>5695.2</v>
      </c>
      <c r="BF8" s="241"/>
      <c r="BG8" s="241"/>
      <c r="BH8" s="241"/>
      <c r="BI8" s="241"/>
      <c r="BJ8" s="241"/>
      <c r="BK8" s="241"/>
      <c r="BL8" s="241">
        <v>500</v>
      </c>
      <c r="BM8" s="241">
        <v>7540</v>
      </c>
      <c r="BN8" s="241">
        <v>5647.2</v>
      </c>
      <c r="BO8" s="241"/>
      <c r="BP8" s="241"/>
      <c r="BQ8" s="241"/>
      <c r="BR8" s="242">
        <f t="shared" si="3"/>
        <v>2500</v>
      </c>
      <c r="BS8" s="242">
        <f t="shared" si="1"/>
        <v>37120</v>
      </c>
      <c r="BT8" s="242">
        <f t="shared" si="1"/>
        <v>28200.800000000003</v>
      </c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43"/>
      <c r="CQ8" s="143"/>
      <c r="CR8" s="143"/>
      <c r="CS8" s="104"/>
      <c r="CT8" s="104"/>
      <c r="CU8" s="104"/>
      <c r="CV8" s="241"/>
      <c r="CW8" s="241"/>
      <c r="CX8" s="241"/>
      <c r="CY8" s="241"/>
      <c r="CZ8" s="241"/>
      <c r="DA8" s="241"/>
      <c r="DB8" s="242">
        <f t="shared" si="4"/>
        <v>2500</v>
      </c>
      <c r="DC8" s="242">
        <f t="shared" si="4"/>
        <v>37120</v>
      </c>
      <c r="DD8" s="242">
        <f t="shared" si="4"/>
        <v>28200.800000000003</v>
      </c>
      <c r="DG8" s="243"/>
      <c r="DH8" s="244"/>
      <c r="DI8" s="244"/>
      <c r="DJ8" s="244"/>
    </row>
    <row r="9" spans="1:117" ht="20.100000000000001" customHeight="1" x14ac:dyDescent="0.6">
      <c r="A9" s="234">
        <v>6</v>
      </c>
      <c r="B9" s="245" t="s">
        <v>72</v>
      </c>
      <c r="C9" s="234" t="s">
        <v>73</v>
      </c>
      <c r="D9" s="246" t="s">
        <v>74</v>
      </c>
      <c r="E9" s="246" t="s">
        <v>75</v>
      </c>
      <c r="F9" s="238" t="s">
        <v>56</v>
      </c>
      <c r="G9" s="239"/>
      <c r="H9" s="240"/>
      <c r="I9" s="240"/>
      <c r="J9" s="240"/>
      <c r="K9" s="240"/>
      <c r="L9" s="240"/>
      <c r="M9" s="240">
        <v>1340</v>
      </c>
      <c r="N9" s="240">
        <v>18430</v>
      </c>
      <c r="O9" s="240">
        <v>13820.8</v>
      </c>
      <c r="P9" s="240">
        <v>130</v>
      </c>
      <c r="Q9" s="240">
        <v>1560</v>
      </c>
      <c r="R9" s="240">
        <v>1560</v>
      </c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>
        <v>610</v>
      </c>
      <c r="AF9" s="104">
        <v>8480</v>
      </c>
      <c r="AG9" s="104">
        <v>6448</v>
      </c>
      <c r="AH9" s="241">
        <v>750</v>
      </c>
      <c r="AI9" s="241">
        <v>10740</v>
      </c>
      <c r="AJ9" s="241">
        <v>7692</v>
      </c>
      <c r="AK9" s="242">
        <f t="shared" si="2"/>
        <v>2830</v>
      </c>
      <c r="AL9" s="242">
        <f t="shared" si="0"/>
        <v>39210</v>
      </c>
      <c r="AM9" s="242">
        <f t="shared" si="0"/>
        <v>29520.799999999999</v>
      </c>
      <c r="AN9" s="241"/>
      <c r="AO9" s="241"/>
      <c r="AP9" s="241"/>
      <c r="AQ9" s="241"/>
      <c r="AR9" s="241"/>
      <c r="AS9" s="241"/>
      <c r="AT9" s="241">
        <v>180</v>
      </c>
      <c r="AU9" s="241">
        <v>2420</v>
      </c>
      <c r="AV9" s="241">
        <v>1764.8</v>
      </c>
      <c r="AW9" s="241"/>
      <c r="AX9" s="241"/>
      <c r="AY9" s="241"/>
      <c r="AZ9" s="241"/>
      <c r="BA9" s="241"/>
      <c r="BB9" s="241"/>
      <c r="BC9" s="241">
        <v>540</v>
      </c>
      <c r="BD9" s="241">
        <v>8080</v>
      </c>
      <c r="BE9" s="241">
        <v>5348.8</v>
      </c>
      <c r="BF9" s="241">
        <v>750</v>
      </c>
      <c r="BG9" s="241">
        <v>10000</v>
      </c>
      <c r="BH9" s="241">
        <v>7480</v>
      </c>
      <c r="BI9" s="241"/>
      <c r="BJ9" s="241"/>
      <c r="BK9" s="241"/>
      <c r="BL9" s="241"/>
      <c r="BM9" s="241"/>
      <c r="BN9" s="241"/>
      <c r="BO9" s="241"/>
      <c r="BP9" s="241"/>
      <c r="BQ9" s="241"/>
      <c r="BR9" s="242">
        <f t="shared" si="3"/>
        <v>4300</v>
      </c>
      <c r="BS9" s="242">
        <f t="shared" si="1"/>
        <v>59710</v>
      </c>
      <c r="BT9" s="242">
        <f t="shared" si="1"/>
        <v>44114.400000000001</v>
      </c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43"/>
      <c r="CQ9" s="143"/>
      <c r="CR9" s="143"/>
      <c r="CS9" s="104"/>
      <c r="CT9" s="104"/>
      <c r="CU9" s="104"/>
      <c r="CV9" s="241"/>
      <c r="CW9" s="241"/>
      <c r="CX9" s="241"/>
      <c r="CY9" s="241"/>
      <c r="CZ9" s="241"/>
      <c r="DA9" s="241"/>
      <c r="DB9" s="242">
        <f t="shared" si="4"/>
        <v>4300</v>
      </c>
      <c r="DC9" s="242">
        <f t="shared" si="4"/>
        <v>59710</v>
      </c>
      <c r="DD9" s="242">
        <f t="shared" si="4"/>
        <v>44114.400000000001</v>
      </c>
      <c r="DG9" s="243"/>
      <c r="DH9" s="244"/>
      <c r="DI9" s="244"/>
      <c r="DJ9" s="244"/>
    </row>
    <row r="10" spans="1:117" ht="20.100000000000001" customHeight="1" x14ac:dyDescent="0.6">
      <c r="A10" s="234">
        <v>7</v>
      </c>
      <c r="B10" s="245" t="s">
        <v>76</v>
      </c>
      <c r="C10" s="234" t="s">
        <v>77</v>
      </c>
      <c r="D10" s="246" t="s">
        <v>78</v>
      </c>
      <c r="E10" s="246" t="s">
        <v>79</v>
      </c>
      <c r="F10" s="238" t="s">
        <v>56</v>
      </c>
      <c r="G10" s="239"/>
      <c r="H10" s="240"/>
      <c r="I10" s="240"/>
      <c r="J10" s="240"/>
      <c r="K10" s="240"/>
      <c r="L10" s="240"/>
      <c r="M10" s="240">
        <v>560</v>
      </c>
      <c r="N10" s="240">
        <v>8600</v>
      </c>
      <c r="O10" s="240">
        <v>6536</v>
      </c>
      <c r="P10" s="240"/>
      <c r="Q10" s="240"/>
      <c r="R10" s="240"/>
      <c r="S10" s="240"/>
      <c r="T10" s="240"/>
      <c r="U10" s="240"/>
      <c r="V10" s="240">
        <v>560</v>
      </c>
      <c r="W10" s="240">
        <v>6920</v>
      </c>
      <c r="X10" s="240">
        <v>6344</v>
      </c>
      <c r="Y10" s="240"/>
      <c r="Z10" s="240"/>
      <c r="AA10" s="240"/>
      <c r="AB10" s="240"/>
      <c r="AC10" s="240"/>
      <c r="AD10" s="240"/>
      <c r="AE10" s="240">
        <v>560</v>
      </c>
      <c r="AF10" s="104">
        <v>8600</v>
      </c>
      <c r="AG10" s="104">
        <v>6536</v>
      </c>
      <c r="AH10" s="241"/>
      <c r="AI10" s="241"/>
      <c r="AJ10" s="241"/>
      <c r="AK10" s="242">
        <f t="shared" si="2"/>
        <v>1680</v>
      </c>
      <c r="AL10" s="242">
        <f t="shared" si="0"/>
        <v>24120</v>
      </c>
      <c r="AM10" s="242">
        <f t="shared" si="0"/>
        <v>19416</v>
      </c>
      <c r="AN10" s="241"/>
      <c r="AO10" s="241"/>
      <c r="AP10" s="241"/>
      <c r="AQ10" s="241"/>
      <c r="AR10" s="241"/>
      <c r="AS10" s="241"/>
      <c r="AT10" s="241"/>
      <c r="AU10" s="241"/>
      <c r="AV10" s="241"/>
      <c r="AW10" s="241">
        <v>560</v>
      </c>
      <c r="AX10" s="241">
        <v>10460</v>
      </c>
      <c r="AY10" s="241">
        <v>6756</v>
      </c>
      <c r="AZ10" s="241"/>
      <c r="BA10" s="241"/>
      <c r="BB10" s="241"/>
      <c r="BC10" s="241"/>
      <c r="BD10" s="241"/>
      <c r="BE10" s="241"/>
      <c r="BF10" s="241">
        <v>560</v>
      </c>
      <c r="BG10" s="241">
        <v>8000</v>
      </c>
      <c r="BH10" s="241">
        <v>6716</v>
      </c>
      <c r="BI10" s="241"/>
      <c r="BJ10" s="241"/>
      <c r="BK10" s="241"/>
      <c r="BL10" s="241"/>
      <c r="BM10" s="241"/>
      <c r="BN10" s="241"/>
      <c r="BO10" s="241">
        <v>560</v>
      </c>
      <c r="BP10" s="241">
        <v>8500</v>
      </c>
      <c r="BQ10" s="241">
        <v>6688</v>
      </c>
      <c r="BR10" s="242">
        <f t="shared" si="3"/>
        <v>3360</v>
      </c>
      <c r="BS10" s="242">
        <f t="shared" si="1"/>
        <v>51080</v>
      </c>
      <c r="BT10" s="242">
        <f t="shared" si="1"/>
        <v>39576</v>
      </c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43"/>
      <c r="CQ10" s="143"/>
      <c r="CR10" s="143"/>
      <c r="CS10" s="104"/>
      <c r="CT10" s="104"/>
      <c r="CU10" s="104"/>
      <c r="CV10" s="241"/>
      <c r="CW10" s="241"/>
      <c r="CX10" s="241"/>
      <c r="CY10" s="241"/>
      <c r="CZ10" s="241"/>
      <c r="DA10" s="241"/>
      <c r="DB10" s="242">
        <f t="shared" si="4"/>
        <v>3360</v>
      </c>
      <c r="DC10" s="242">
        <f t="shared" si="4"/>
        <v>51080</v>
      </c>
      <c r="DD10" s="242">
        <f t="shared" si="4"/>
        <v>39576</v>
      </c>
      <c r="DG10" s="243"/>
      <c r="DH10" s="244"/>
      <c r="DI10" s="244"/>
      <c r="DJ10" s="244"/>
    </row>
    <row r="11" spans="1:117" ht="20.100000000000001" customHeight="1" x14ac:dyDescent="0.6">
      <c r="A11" s="234">
        <v>8</v>
      </c>
      <c r="B11" s="245" t="s">
        <v>80</v>
      </c>
      <c r="C11" s="234" t="s">
        <v>81</v>
      </c>
      <c r="D11" s="246" t="s">
        <v>82</v>
      </c>
      <c r="E11" s="246" t="s">
        <v>83</v>
      </c>
      <c r="F11" s="238" t="s">
        <v>56</v>
      </c>
      <c r="G11" s="239"/>
      <c r="H11" s="240"/>
      <c r="I11" s="240"/>
      <c r="J11" s="240"/>
      <c r="K11" s="240"/>
      <c r="L11" s="240"/>
      <c r="M11" s="240">
        <v>290</v>
      </c>
      <c r="N11" s="240">
        <v>4340</v>
      </c>
      <c r="O11" s="240">
        <v>2980</v>
      </c>
      <c r="P11" s="240">
        <v>270</v>
      </c>
      <c r="Q11" s="240">
        <v>4000</v>
      </c>
      <c r="R11" s="240">
        <v>2530.4</v>
      </c>
      <c r="S11" s="240">
        <v>260</v>
      </c>
      <c r="T11" s="240">
        <v>3540</v>
      </c>
      <c r="U11" s="240">
        <v>2481.6000000000004</v>
      </c>
      <c r="V11" s="240"/>
      <c r="W11" s="240"/>
      <c r="X11" s="240"/>
      <c r="Y11" s="240"/>
      <c r="Z11" s="240"/>
      <c r="AA11" s="240"/>
      <c r="AB11" s="240"/>
      <c r="AC11" s="240"/>
      <c r="AD11" s="240"/>
      <c r="AE11" s="240">
        <v>240</v>
      </c>
      <c r="AF11" s="104">
        <v>3580</v>
      </c>
      <c r="AG11" s="104">
        <v>2707.2</v>
      </c>
      <c r="AH11" s="241">
        <v>150</v>
      </c>
      <c r="AI11" s="241">
        <v>1800</v>
      </c>
      <c r="AJ11" s="241">
        <v>1800</v>
      </c>
      <c r="AK11" s="242">
        <f t="shared" si="2"/>
        <v>1210</v>
      </c>
      <c r="AL11" s="242">
        <f t="shared" si="0"/>
        <v>17260</v>
      </c>
      <c r="AM11" s="242">
        <f t="shared" si="0"/>
        <v>12499.2</v>
      </c>
      <c r="AN11" s="241"/>
      <c r="AO11" s="241"/>
      <c r="AP11" s="241"/>
      <c r="AQ11" s="241"/>
      <c r="AR11" s="241"/>
      <c r="AS11" s="241"/>
      <c r="AT11" s="241"/>
      <c r="AU11" s="241"/>
      <c r="AV11" s="241"/>
      <c r="AW11" s="241">
        <v>520</v>
      </c>
      <c r="AX11" s="241">
        <v>7460</v>
      </c>
      <c r="AY11" s="241">
        <v>5228.8</v>
      </c>
      <c r="AZ11" s="241"/>
      <c r="BA11" s="241"/>
      <c r="BB11" s="241"/>
      <c r="BC11" s="241">
        <v>250</v>
      </c>
      <c r="BD11" s="241">
        <v>3860</v>
      </c>
      <c r="BE11" s="241">
        <v>2584</v>
      </c>
      <c r="BF11" s="241">
        <v>270</v>
      </c>
      <c r="BG11" s="241">
        <v>3720</v>
      </c>
      <c r="BH11" s="241">
        <v>2510.4</v>
      </c>
      <c r="BI11" s="241">
        <v>290</v>
      </c>
      <c r="BJ11" s="241">
        <v>4340</v>
      </c>
      <c r="BK11" s="241">
        <v>3064</v>
      </c>
      <c r="BL11" s="241"/>
      <c r="BM11" s="241"/>
      <c r="BN11" s="241"/>
      <c r="BO11" s="241">
        <v>250</v>
      </c>
      <c r="BP11" s="241">
        <v>3160</v>
      </c>
      <c r="BQ11" s="241">
        <v>2660.8</v>
      </c>
      <c r="BR11" s="242">
        <f t="shared" si="3"/>
        <v>2790</v>
      </c>
      <c r="BS11" s="242">
        <f t="shared" si="1"/>
        <v>39800</v>
      </c>
      <c r="BT11" s="242">
        <f t="shared" si="1"/>
        <v>28547.200000000001</v>
      </c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43"/>
      <c r="CQ11" s="143"/>
      <c r="CR11" s="143"/>
      <c r="CS11" s="104"/>
      <c r="CT11" s="104"/>
      <c r="CU11" s="104"/>
      <c r="CV11" s="241"/>
      <c r="CW11" s="241"/>
      <c r="CX11" s="241"/>
      <c r="CY11" s="241"/>
      <c r="CZ11" s="241"/>
      <c r="DA11" s="241"/>
      <c r="DB11" s="242">
        <f t="shared" si="4"/>
        <v>2790</v>
      </c>
      <c r="DC11" s="242">
        <f t="shared" si="4"/>
        <v>39800</v>
      </c>
      <c r="DD11" s="242">
        <f t="shared" si="4"/>
        <v>28547.200000000001</v>
      </c>
      <c r="DG11" s="243"/>
      <c r="DH11" s="244"/>
      <c r="DI11" s="244"/>
      <c r="DJ11" s="244"/>
    </row>
    <row r="12" spans="1:117" ht="20.100000000000001" customHeight="1" x14ac:dyDescent="0.6">
      <c r="A12" s="234">
        <v>9</v>
      </c>
      <c r="B12" s="245" t="s">
        <v>84</v>
      </c>
      <c r="C12" s="234" t="s">
        <v>85</v>
      </c>
      <c r="D12" s="246" t="s">
        <v>86</v>
      </c>
      <c r="E12" s="246" t="s">
        <v>87</v>
      </c>
      <c r="F12" s="238" t="s">
        <v>56</v>
      </c>
      <c r="G12" s="239"/>
      <c r="H12" s="240"/>
      <c r="I12" s="240"/>
      <c r="J12" s="240"/>
      <c r="K12" s="240"/>
      <c r="L12" s="240"/>
      <c r="M12" s="240"/>
      <c r="N12" s="240"/>
      <c r="O12" s="240"/>
      <c r="P12" s="240">
        <v>420</v>
      </c>
      <c r="Q12" s="240">
        <v>6140</v>
      </c>
      <c r="R12" s="240">
        <v>4560.8</v>
      </c>
      <c r="S12" s="240"/>
      <c r="T12" s="240"/>
      <c r="U12" s="240"/>
      <c r="V12" s="240">
        <v>330</v>
      </c>
      <c r="W12" s="240">
        <v>5620</v>
      </c>
      <c r="X12" s="240">
        <v>3424.8</v>
      </c>
      <c r="Y12" s="240"/>
      <c r="Z12" s="240"/>
      <c r="AA12" s="240"/>
      <c r="AB12" s="240"/>
      <c r="AC12" s="240"/>
      <c r="AD12" s="240"/>
      <c r="AE12" s="240">
        <v>400</v>
      </c>
      <c r="AF12" s="104">
        <v>4800</v>
      </c>
      <c r="AG12" s="240">
        <v>4800</v>
      </c>
      <c r="AH12" s="241"/>
      <c r="AI12" s="241"/>
      <c r="AJ12" s="241"/>
      <c r="AK12" s="242">
        <f t="shared" si="2"/>
        <v>1150</v>
      </c>
      <c r="AL12" s="242">
        <f t="shared" si="0"/>
        <v>16560</v>
      </c>
      <c r="AM12" s="242">
        <f t="shared" si="0"/>
        <v>12785.6</v>
      </c>
      <c r="AN12" s="241"/>
      <c r="AO12" s="241"/>
      <c r="AP12" s="241"/>
      <c r="AQ12" s="241">
        <v>160</v>
      </c>
      <c r="AR12" s="241">
        <v>2760</v>
      </c>
      <c r="AS12" s="241">
        <v>1836</v>
      </c>
      <c r="AT12" s="241"/>
      <c r="AU12" s="241"/>
      <c r="AV12" s="241"/>
      <c r="AW12" s="241">
        <v>460</v>
      </c>
      <c r="AX12" s="241">
        <v>6760</v>
      </c>
      <c r="AY12" s="241">
        <v>4828</v>
      </c>
      <c r="AZ12" s="241"/>
      <c r="BA12" s="241"/>
      <c r="BB12" s="241"/>
      <c r="BC12" s="241"/>
      <c r="BD12" s="241"/>
      <c r="BE12" s="241"/>
      <c r="BF12" s="241">
        <v>190</v>
      </c>
      <c r="BG12" s="241">
        <v>3120</v>
      </c>
      <c r="BH12" s="241">
        <v>2196</v>
      </c>
      <c r="BI12" s="241">
        <v>310</v>
      </c>
      <c r="BJ12" s="241">
        <v>4020</v>
      </c>
      <c r="BK12" s="241">
        <v>3228</v>
      </c>
      <c r="BL12" s="241"/>
      <c r="BM12" s="241"/>
      <c r="BN12" s="241"/>
      <c r="BO12" s="241">
        <v>400</v>
      </c>
      <c r="BP12" s="241">
        <v>6500</v>
      </c>
      <c r="BQ12" s="241">
        <v>4204</v>
      </c>
      <c r="BR12" s="242">
        <f t="shared" si="3"/>
        <v>2670</v>
      </c>
      <c r="BS12" s="242">
        <f t="shared" si="1"/>
        <v>39720</v>
      </c>
      <c r="BT12" s="242">
        <f t="shared" si="1"/>
        <v>29077.599999999999</v>
      </c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43"/>
      <c r="CQ12" s="143"/>
      <c r="CR12" s="143"/>
      <c r="CS12" s="104"/>
      <c r="CT12" s="104"/>
      <c r="CU12" s="104"/>
      <c r="CV12" s="241"/>
      <c r="CW12" s="241"/>
      <c r="CX12" s="241"/>
      <c r="CY12" s="241"/>
      <c r="CZ12" s="241"/>
      <c r="DA12" s="241"/>
      <c r="DB12" s="242">
        <f t="shared" si="4"/>
        <v>2670</v>
      </c>
      <c r="DC12" s="242">
        <f t="shared" si="4"/>
        <v>39720</v>
      </c>
      <c r="DD12" s="242">
        <f t="shared" si="4"/>
        <v>29077.599999999999</v>
      </c>
      <c r="DG12" s="243"/>
      <c r="DH12" s="244"/>
      <c r="DI12" s="244"/>
      <c r="DJ12" s="244"/>
    </row>
    <row r="13" spans="1:117" ht="20.100000000000001" customHeight="1" x14ac:dyDescent="0.6">
      <c r="A13" s="234">
        <v>10</v>
      </c>
      <c r="B13" s="245" t="s">
        <v>88</v>
      </c>
      <c r="C13" s="234" t="s">
        <v>89</v>
      </c>
      <c r="D13" s="246" t="s">
        <v>90</v>
      </c>
      <c r="E13" s="246" t="s">
        <v>91</v>
      </c>
      <c r="F13" s="238" t="s">
        <v>56</v>
      </c>
      <c r="G13" s="239"/>
      <c r="H13" s="240"/>
      <c r="I13" s="240"/>
      <c r="J13" s="240"/>
      <c r="K13" s="240"/>
      <c r="L13" s="240"/>
      <c r="M13" s="240">
        <v>326</v>
      </c>
      <c r="N13" s="240">
        <v>4362</v>
      </c>
      <c r="O13" s="240">
        <v>3677.6800000000003</v>
      </c>
      <c r="P13" s="240">
        <v>100</v>
      </c>
      <c r="Q13" s="240">
        <v>1530</v>
      </c>
      <c r="R13" s="240">
        <v>1072</v>
      </c>
      <c r="S13" s="240"/>
      <c r="T13" s="240"/>
      <c r="U13" s="240"/>
      <c r="V13" s="240">
        <v>380</v>
      </c>
      <c r="W13" s="240">
        <v>5920</v>
      </c>
      <c r="X13" s="240">
        <v>4426</v>
      </c>
      <c r="Y13" s="240">
        <v>16</v>
      </c>
      <c r="Z13" s="240">
        <v>276</v>
      </c>
      <c r="AA13" s="240">
        <v>183.6</v>
      </c>
      <c r="AB13" s="240"/>
      <c r="AC13" s="240"/>
      <c r="AD13" s="240"/>
      <c r="AE13" s="240">
        <v>110</v>
      </c>
      <c r="AF13" s="104">
        <v>1920</v>
      </c>
      <c r="AG13" s="104">
        <v>1263.2</v>
      </c>
      <c r="AH13" s="241">
        <v>390</v>
      </c>
      <c r="AI13" s="241">
        <v>5860</v>
      </c>
      <c r="AJ13" s="241">
        <v>4374</v>
      </c>
      <c r="AK13" s="242">
        <f t="shared" si="2"/>
        <v>1322</v>
      </c>
      <c r="AL13" s="242">
        <f t="shared" si="0"/>
        <v>19868</v>
      </c>
      <c r="AM13" s="242">
        <f t="shared" si="0"/>
        <v>14996.480000000001</v>
      </c>
      <c r="AN13" s="241">
        <v>20</v>
      </c>
      <c r="AO13" s="241">
        <v>280</v>
      </c>
      <c r="AP13" s="241">
        <v>179.20000000000002</v>
      </c>
      <c r="AQ13" s="241">
        <v>20</v>
      </c>
      <c r="AR13" s="241">
        <v>240</v>
      </c>
      <c r="AS13" s="241">
        <v>240</v>
      </c>
      <c r="AT13" s="241">
        <v>370</v>
      </c>
      <c r="AU13" s="241">
        <v>5450</v>
      </c>
      <c r="AV13" s="241">
        <v>4121.6000000000004</v>
      </c>
      <c r="AW13" s="241">
        <v>20</v>
      </c>
      <c r="AX13" s="241">
        <v>280</v>
      </c>
      <c r="AY13" s="241">
        <v>179.20000000000002</v>
      </c>
      <c r="AZ13" s="241"/>
      <c r="BA13" s="241"/>
      <c r="BB13" s="241"/>
      <c r="BC13" s="241">
        <v>40</v>
      </c>
      <c r="BD13" s="241">
        <v>520</v>
      </c>
      <c r="BE13" s="241">
        <v>419.20000000000005</v>
      </c>
      <c r="BF13" s="241">
        <v>367</v>
      </c>
      <c r="BG13" s="241">
        <v>5690</v>
      </c>
      <c r="BH13" s="241">
        <v>4245.2000000000007</v>
      </c>
      <c r="BI13" s="241">
        <v>50</v>
      </c>
      <c r="BJ13" s="241">
        <v>660</v>
      </c>
      <c r="BK13" s="241">
        <v>508.8</v>
      </c>
      <c r="BL13" s="241">
        <v>105</v>
      </c>
      <c r="BM13" s="241">
        <v>1610</v>
      </c>
      <c r="BN13" s="241">
        <v>1077.5999999999999</v>
      </c>
      <c r="BO13" s="241">
        <v>430</v>
      </c>
      <c r="BP13" s="241">
        <v>7340</v>
      </c>
      <c r="BQ13" s="241">
        <v>4917.6000000000004</v>
      </c>
      <c r="BR13" s="242">
        <f t="shared" si="3"/>
        <v>2744</v>
      </c>
      <c r="BS13" s="242">
        <f t="shared" si="1"/>
        <v>41938</v>
      </c>
      <c r="BT13" s="242">
        <f t="shared" si="1"/>
        <v>30884.880000000005</v>
      </c>
      <c r="BU13" s="247"/>
      <c r="BV13" s="247"/>
      <c r="BW13" s="247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240"/>
      <c r="CJ13" s="104"/>
      <c r="CK13" s="104"/>
      <c r="CL13" s="104"/>
      <c r="CM13" s="104"/>
      <c r="CN13" s="104"/>
      <c r="CO13" s="104"/>
      <c r="CP13" s="143"/>
      <c r="CQ13" s="143"/>
      <c r="CR13" s="143"/>
      <c r="CS13" s="104"/>
      <c r="CT13" s="104"/>
      <c r="CU13" s="104"/>
      <c r="CV13" s="241"/>
      <c r="CW13" s="241"/>
      <c r="CX13" s="241"/>
      <c r="CY13" s="241"/>
      <c r="CZ13" s="241"/>
      <c r="DA13" s="241"/>
      <c r="DB13" s="242">
        <f t="shared" si="4"/>
        <v>2744</v>
      </c>
      <c r="DC13" s="242">
        <f t="shared" si="4"/>
        <v>41938</v>
      </c>
      <c r="DD13" s="242">
        <f t="shared" si="4"/>
        <v>30884.880000000005</v>
      </c>
      <c r="DG13" s="243"/>
      <c r="DH13" s="244"/>
      <c r="DI13" s="244"/>
      <c r="DJ13" s="244"/>
    </row>
    <row r="14" spans="1:117" ht="20.100000000000001" customHeight="1" x14ac:dyDescent="0.6">
      <c r="A14" s="234">
        <v>11</v>
      </c>
      <c r="B14" s="245" t="s">
        <v>92</v>
      </c>
      <c r="C14" s="234" t="s">
        <v>93</v>
      </c>
      <c r="D14" s="246" t="s">
        <v>94</v>
      </c>
      <c r="E14" s="246" t="s">
        <v>95</v>
      </c>
      <c r="F14" s="238" t="s">
        <v>56</v>
      </c>
      <c r="G14" s="239"/>
      <c r="H14" s="240"/>
      <c r="I14" s="240"/>
      <c r="J14" s="240"/>
      <c r="K14" s="240"/>
      <c r="L14" s="240"/>
      <c r="M14" s="240">
        <v>200</v>
      </c>
      <c r="N14" s="240">
        <v>2600</v>
      </c>
      <c r="O14" s="240">
        <v>2096</v>
      </c>
      <c r="P14" s="240">
        <v>120</v>
      </c>
      <c r="Q14" s="240">
        <v>1640</v>
      </c>
      <c r="R14" s="240">
        <v>1136</v>
      </c>
      <c r="S14" s="240">
        <v>50</v>
      </c>
      <c r="T14" s="240">
        <v>700</v>
      </c>
      <c r="U14" s="240">
        <v>448</v>
      </c>
      <c r="V14" s="240">
        <v>440</v>
      </c>
      <c r="W14" s="240">
        <v>5920</v>
      </c>
      <c r="X14" s="240">
        <v>4235.2</v>
      </c>
      <c r="Y14" s="240">
        <v>420</v>
      </c>
      <c r="Z14" s="240">
        <v>5620</v>
      </c>
      <c r="AA14" s="240">
        <v>4158.3999999999996</v>
      </c>
      <c r="AB14" s="240"/>
      <c r="AC14" s="240"/>
      <c r="AD14" s="240"/>
      <c r="AE14" s="240">
        <v>330</v>
      </c>
      <c r="AF14" s="104">
        <v>4620</v>
      </c>
      <c r="AG14" s="104">
        <v>2956.8</v>
      </c>
      <c r="AH14" s="241">
        <v>220</v>
      </c>
      <c r="AI14" s="241">
        <v>3400</v>
      </c>
      <c r="AJ14" s="241">
        <v>2376</v>
      </c>
      <c r="AK14" s="242">
        <f t="shared" si="2"/>
        <v>1780</v>
      </c>
      <c r="AL14" s="242">
        <f t="shared" si="0"/>
        <v>24500</v>
      </c>
      <c r="AM14" s="242">
        <f t="shared" si="0"/>
        <v>17406.399999999998</v>
      </c>
      <c r="AN14" s="241">
        <v>50</v>
      </c>
      <c r="AO14" s="241">
        <v>600</v>
      </c>
      <c r="AP14" s="241">
        <v>600</v>
      </c>
      <c r="AQ14" s="241">
        <v>570</v>
      </c>
      <c r="AR14" s="241">
        <v>7380</v>
      </c>
      <c r="AS14" s="241">
        <v>6019.2000000000007</v>
      </c>
      <c r="AT14" s="241">
        <v>200</v>
      </c>
      <c r="AU14" s="241">
        <v>2760</v>
      </c>
      <c r="AV14" s="241">
        <v>1852.8</v>
      </c>
      <c r="AW14" s="241">
        <v>200</v>
      </c>
      <c r="AX14" s="241">
        <v>3440</v>
      </c>
      <c r="AY14" s="241">
        <v>2084</v>
      </c>
      <c r="AZ14" s="241"/>
      <c r="BA14" s="241"/>
      <c r="BB14" s="241"/>
      <c r="BC14" s="241">
        <v>300</v>
      </c>
      <c r="BD14" s="241">
        <v>4000</v>
      </c>
      <c r="BE14" s="241">
        <v>2992</v>
      </c>
      <c r="BF14" s="241">
        <v>300</v>
      </c>
      <c r="BG14" s="241">
        <v>4000</v>
      </c>
      <c r="BH14" s="241">
        <v>2920</v>
      </c>
      <c r="BI14" s="241">
        <v>200</v>
      </c>
      <c r="BJ14" s="241">
        <v>2800</v>
      </c>
      <c r="BK14" s="241">
        <v>1792</v>
      </c>
      <c r="BL14" s="241"/>
      <c r="BM14" s="241"/>
      <c r="BN14" s="241"/>
      <c r="BO14" s="241"/>
      <c r="BP14" s="241"/>
      <c r="BQ14" s="241"/>
      <c r="BR14" s="242">
        <f t="shared" si="3"/>
        <v>3600</v>
      </c>
      <c r="BS14" s="242">
        <f t="shared" si="1"/>
        <v>49480</v>
      </c>
      <c r="BT14" s="242">
        <f t="shared" si="1"/>
        <v>35666.399999999994</v>
      </c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43"/>
      <c r="CQ14" s="143"/>
      <c r="CR14" s="143"/>
      <c r="CS14" s="104"/>
      <c r="CT14" s="104"/>
      <c r="CU14" s="104"/>
      <c r="CV14" s="241"/>
      <c r="CW14" s="241"/>
      <c r="CX14" s="241"/>
      <c r="CY14" s="241"/>
      <c r="CZ14" s="241"/>
      <c r="DA14" s="241"/>
      <c r="DB14" s="242">
        <f t="shared" si="4"/>
        <v>3600</v>
      </c>
      <c r="DC14" s="242">
        <f t="shared" si="4"/>
        <v>49480</v>
      </c>
      <c r="DD14" s="242">
        <f t="shared" si="4"/>
        <v>35666.399999999994</v>
      </c>
      <c r="DG14" s="243"/>
      <c r="DH14" s="244"/>
      <c r="DI14" s="244"/>
      <c r="DJ14" s="244"/>
      <c r="DL14" s="244"/>
      <c r="DM14" s="228"/>
    </row>
    <row r="15" spans="1:117" ht="20.100000000000001" customHeight="1" x14ac:dyDescent="0.6">
      <c r="A15" s="234">
        <v>12</v>
      </c>
      <c r="B15" s="245" t="s">
        <v>96</v>
      </c>
      <c r="C15" s="234" t="s">
        <v>97</v>
      </c>
      <c r="D15" s="246" t="s">
        <v>98</v>
      </c>
      <c r="E15" s="246" t="s">
        <v>99</v>
      </c>
      <c r="F15" s="238" t="s">
        <v>56</v>
      </c>
      <c r="G15" s="239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>
        <v>510</v>
      </c>
      <c r="W15" s="240">
        <v>6960</v>
      </c>
      <c r="X15" s="240">
        <v>6180</v>
      </c>
      <c r="Y15" s="240"/>
      <c r="Z15" s="240"/>
      <c r="AA15" s="240"/>
      <c r="AB15" s="240"/>
      <c r="AC15" s="240"/>
      <c r="AD15" s="240"/>
      <c r="AE15" s="240"/>
      <c r="AF15" s="104"/>
      <c r="AG15" s="104"/>
      <c r="AH15" s="241"/>
      <c r="AI15" s="241"/>
      <c r="AJ15" s="241"/>
      <c r="AK15" s="242">
        <f t="shared" si="2"/>
        <v>510</v>
      </c>
      <c r="AL15" s="242">
        <f t="shared" si="0"/>
        <v>6960</v>
      </c>
      <c r="AM15" s="242">
        <f t="shared" si="0"/>
        <v>6180</v>
      </c>
      <c r="AN15" s="241">
        <v>610</v>
      </c>
      <c r="AO15" s="241">
        <v>10320</v>
      </c>
      <c r="AP15" s="241">
        <v>7216</v>
      </c>
      <c r="AQ15" s="241"/>
      <c r="AR15" s="241"/>
      <c r="AS15" s="241"/>
      <c r="AT15" s="241">
        <v>410</v>
      </c>
      <c r="AU15" s="241">
        <v>6520</v>
      </c>
      <c r="AV15" s="241">
        <v>4716</v>
      </c>
      <c r="AW15" s="241"/>
      <c r="AX15" s="241"/>
      <c r="AY15" s="241"/>
      <c r="AZ15" s="241"/>
      <c r="BA15" s="241"/>
      <c r="BB15" s="241"/>
      <c r="BC15" s="241"/>
      <c r="BD15" s="241"/>
      <c r="BE15" s="241"/>
      <c r="BF15" s="241">
        <v>540</v>
      </c>
      <c r="BG15" s="241">
        <v>8140</v>
      </c>
      <c r="BH15" s="241">
        <v>6184.8</v>
      </c>
      <c r="BI15" s="241"/>
      <c r="BJ15" s="241"/>
      <c r="BK15" s="241"/>
      <c r="BL15" s="241">
        <v>450</v>
      </c>
      <c r="BM15" s="241">
        <v>7000</v>
      </c>
      <c r="BN15" s="241">
        <v>5016</v>
      </c>
      <c r="BO15" s="241"/>
      <c r="BP15" s="241"/>
      <c r="BQ15" s="241"/>
      <c r="BR15" s="242">
        <f t="shared" si="3"/>
        <v>2520</v>
      </c>
      <c r="BS15" s="242">
        <f t="shared" si="1"/>
        <v>38940</v>
      </c>
      <c r="BT15" s="242">
        <f t="shared" si="1"/>
        <v>29312.799999999999</v>
      </c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43"/>
      <c r="CQ15" s="143"/>
      <c r="CR15" s="143"/>
      <c r="CS15" s="104"/>
      <c r="CT15" s="104"/>
      <c r="CU15" s="104"/>
      <c r="CV15" s="241"/>
      <c r="CW15" s="241"/>
      <c r="CX15" s="241"/>
      <c r="CY15" s="241"/>
      <c r="CZ15" s="241"/>
      <c r="DA15" s="241"/>
      <c r="DB15" s="242">
        <f t="shared" si="4"/>
        <v>2520</v>
      </c>
      <c r="DC15" s="242">
        <f t="shared" si="4"/>
        <v>38940</v>
      </c>
      <c r="DD15" s="242">
        <f t="shared" si="4"/>
        <v>29312.799999999999</v>
      </c>
      <c r="DG15" s="243"/>
      <c r="DH15" s="244"/>
      <c r="DI15" s="244"/>
      <c r="DJ15" s="244"/>
    </row>
    <row r="16" spans="1:117" ht="20.100000000000001" customHeight="1" x14ac:dyDescent="0.6">
      <c r="A16" s="234">
        <v>13</v>
      </c>
      <c r="B16" s="245" t="s">
        <v>100</v>
      </c>
      <c r="C16" s="234" t="s">
        <v>101</v>
      </c>
      <c r="D16" s="246" t="s">
        <v>78</v>
      </c>
      <c r="E16" s="246" t="s">
        <v>79</v>
      </c>
      <c r="F16" s="238" t="s">
        <v>56</v>
      </c>
      <c r="G16" s="239"/>
      <c r="H16" s="240"/>
      <c r="I16" s="240"/>
      <c r="J16" s="240"/>
      <c r="K16" s="240"/>
      <c r="L16" s="240"/>
      <c r="M16" s="240">
        <v>200</v>
      </c>
      <c r="N16" s="240">
        <v>2440</v>
      </c>
      <c r="O16" s="240">
        <v>2339.1999999999998</v>
      </c>
      <c r="P16" s="240"/>
      <c r="Q16" s="240"/>
      <c r="R16" s="240"/>
      <c r="S16" s="240"/>
      <c r="T16" s="240"/>
      <c r="U16" s="240"/>
      <c r="V16" s="240"/>
      <c r="W16" s="240"/>
      <c r="X16" s="240"/>
      <c r="Y16" s="240">
        <v>370</v>
      </c>
      <c r="Z16" s="240">
        <v>5900</v>
      </c>
      <c r="AA16" s="240">
        <v>4448.8</v>
      </c>
      <c r="AB16" s="240"/>
      <c r="AC16" s="240"/>
      <c r="AD16" s="240"/>
      <c r="AE16" s="240"/>
      <c r="AF16" s="104"/>
      <c r="AG16" s="104"/>
      <c r="AH16" s="241">
        <v>240</v>
      </c>
      <c r="AI16" s="241">
        <v>3780</v>
      </c>
      <c r="AJ16" s="241">
        <v>2626</v>
      </c>
      <c r="AK16" s="242">
        <f t="shared" si="2"/>
        <v>810</v>
      </c>
      <c r="AL16" s="242">
        <f t="shared" si="0"/>
        <v>12120</v>
      </c>
      <c r="AM16" s="242">
        <f t="shared" si="0"/>
        <v>9414</v>
      </c>
      <c r="AN16" s="241"/>
      <c r="AO16" s="241"/>
      <c r="AP16" s="241"/>
      <c r="AQ16" s="241"/>
      <c r="AR16" s="241"/>
      <c r="AS16" s="241"/>
      <c r="AT16" s="241"/>
      <c r="AU16" s="241"/>
      <c r="AV16" s="241"/>
      <c r="AW16" s="241">
        <v>400</v>
      </c>
      <c r="AX16" s="241">
        <v>6200</v>
      </c>
      <c r="AY16" s="241">
        <v>4677.2</v>
      </c>
      <c r="AZ16" s="241"/>
      <c r="BA16" s="241"/>
      <c r="BB16" s="241"/>
      <c r="BC16" s="241">
        <v>150</v>
      </c>
      <c r="BD16" s="241">
        <v>2160</v>
      </c>
      <c r="BE16" s="241">
        <v>1698.4</v>
      </c>
      <c r="BF16" s="241"/>
      <c r="BG16" s="241"/>
      <c r="BH16" s="241"/>
      <c r="BI16" s="241"/>
      <c r="BJ16" s="241"/>
      <c r="BK16" s="241"/>
      <c r="BL16" s="241"/>
      <c r="BM16" s="241"/>
      <c r="BN16" s="241"/>
      <c r="BO16" s="241"/>
      <c r="BP16" s="241"/>
      <c r="BQ16" s="241"/>
      <c r="BR16" s="242">
        <f t="shared" si="3"/>
        <v>1360</v>
      </c>
      <c r="BS16" s="242">
        <f t="shared" si="1"/>
        <v>20480</v>
      </c>
      <c r="BT16" s="242">
        <f t="shared" si="1"/>
        <v>15789.6</v>
      </c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43"/>
      <c r="CQ16" s="143"/>
      <c r="CR16" s="143"/>
      <c r="CS16" s="104"/>
      <c r="CT16" s="104"/>
      <c r="CU16" s="104"/>
      <c r="CV16" s="241"/>
      <c r="CW16" s="241"/>
      <c r="CX16" s="241"/>
      <c r="CY16" s="241"/>
      <c r="CZ16" s="241"/>
      <c r="DA16" s="241"/>
      <c r="DB16" s="242">
        <f t="shared" si="4"/>
        <v>1360</v>
      </c>
      <c r="DC16" s="242">
        <f t="shared" si="4"/>
        <v>20480</v>
      </c>
      <c r="DD16" s="242">
        <f t="shared" si="4"/>
        <v>15789.6</v>
      </c>
      <c r="DG16" s="243"/>
      <c r="DH16" s="244"/>
      <c r="DI16" s="244"/>
      <c r="DJ16" s="244"/>
    </row>
    <row r="17" spans="1:116" ht="20.100000000000001" customHeight="1" x14ac:dyDescent="0.6">
      <c r="A17" s="234">
        <v>14</v>
      </c>
      <c r="B17" s="245" t="s">
        <v>102</v>
      </c>
      <c r="C17" s="234" t="s">
        <v>103</v>
      </c>
      <c r="D17" s="246" t="s">
        <v>82</v>
      </c>
      <c r="E17" s="246" t="s">
        <v>83</v>
      </c>
      <c r="F17" s="238" t="s">
        <v>56</v>
      </c>
      <c r="G17" s="239"/>
      <c r="H17" s="240"/>
      <c r="I17" s="240"/>
      <c r="J17" s="240"/>
      <c r="K17" s="240"/>
      <c r="L17" s="240"/>
      <c r="M17" s="240">
        <v>340</v>
      </c>
      <c r="N17" s="240">
        <v>4460</v>
      </c>
      <c r="O17" s="240">
        <v>3948</v>
      </c>
      <c r="P17" s="240"/>
      <c r="Q17" s="240"/>
      <c r="R17" s="240"/>
      <c r="S17" s="240">
        <v>80</v>
      </c>
      <c r="T17" s="240">
        <v>960</v>
      </c>
      <c r="U17" s="240">
        <v>960</v>
      </c>
      <c r="V17" s="240">
        <v>230</v>
      </c>
      <c r="W17" s="240">
        <v>3160</v>
      </c>
      <c r="X17" s="240">
        <v>2152</v>
      </c>
      <c r="Y17" s="240">
        <v>280</v>
      </c>
      <c r="Z17" s="240">
        <v>4120</v>
      </c>
      <c r="AA17" s="240">
        <v>3096</v>
      </c>
      <c r="AB17" s="240"/>
      <c r="AC17" s="240"/>
      <c r="AD17" s="240"/>
      <c r="AE17" s="240">
        <v>100</v>
      </c>
      <c r="AF17" s="104">
        <v>1400</v>
      </c>
      <c r="AG17" s="104">
        <v>896</v>
      </c>
      <c r="AH17" s="241">
        <v>230</v>
      </c>
      <c r="AI17" s="241">
        <v>3220</v>
      </c>
      <c r="AJ17" s="241">
        <v>2060.8000000000002</v>
      </c>
      <c r="AK17" s="242">
        <f t="shared" si="2"/>
        <v>1260</v>
      </c>
      <c r="AL17" s="242">
        <f t="shared" si="0"/>
        <v>17320</v>
      </c>
      <c r="AM17" s="242">
        <f t="shared" si="0"/>
        <v>13112.8</v>
      </c>
      <c r="AN17" s="241">
        <v>210</v>
      </c>
      <c r="AO17" s="241">
        <v>2520</v>
      </c>
      <c r="AP17" s="241">
        <v>2520</v>
      </c>
      <c r="AQ17" s="241"/>
      <c r="AR17" s="241"/>
      <c r="AS17" s="241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>
        <v>300</v>
      </c>
      <c r="BG17" s="241">
        <v>4740</v>
      </c>
      <c r="BH17" s="241">
        <v>3132</v>
      </c>
      <c r="BI17" s="241"/>
      <c r="BJ17" s="241"/>
      <c r="BK17" s="241"/>
      <c r="BL17" s="241">
        <v>350</v>
      </c>
      <c r="BM17" s="241">
        <v>4500</v>
      </c>
      <c r="BN17" s="241">
        <v>3744</v>
      </c>
      <c r="BO17" s="241"/>
      <c r="BP17" s="241"/>
      <c r="BQ17" s="241"/>
      <c r="BR17" s="242">
        <f t="shared" si="3"/>
        <v>2120</v>
      </c>
      <c r="BS17" s="242">
        <f t="shared" si="1"/>
        <v>29080</v>
      </c>
      <c r="BT17" s="242">
        <f t="shared" si="1"/>
        <v>22508.799999999999</v>
      </c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43"/>
      <c r="CQ17" s="143"/>
      <c r="CR17" s="143"/>
      <c r="CS17" s="104"/>
      <c r="CT17" s="104"/>
      <c r="CU17" s="104"/>
      <c r="CV17" s="241"/>
      <c r="CW17" s="241"/>
      <c r="CX17" s="241"/>
      <c r="CY17" s="241"/>
      <c r="CZ17" s="241"/>
      <c r="DA17" s="241"/>
      <c r="DB17" s="242">
        <f t="shared" si="4"/>
        <v>2120</v>
      </c>
      <c r="DC17" s="242">
        <f t="shared" si="4"/>
        <v>29080</v>
      </c>
      <c r="DD17" s="242">
        <f t="shared" si="4"/>
        <v>22508.799999999999</v>
      </c>
      <c r="DG17" s="243"/>
      <c r="DH17" s="244"/>
      <c r="DI17" s="244"/>
      <c r="DJ17" s="244"/>
    </row>
    <row r="18" spans="1:116" ht="20.100000000000001" customHeight="1" x14ac:dyDescent="0.6">
      <c r="A18" s="234">
        <v>15</v>
      </c>
      <c r="B18" s="245" t="s">
        <v>104</v>
      </c>
      <c r="C18" s="234" t="s">
        <v>105</v>
      </c>
      <c r="D18" s="246" t="s">
        <v>90</v>
      </c>
      <c r="E18" s="246" t="s">
        <v>91</v>
      </c>
      <c r="F18" s="238" t="s">
        <v>56</v>
      </c>
      <c r="G18" s="239"/>
      <c r="H18" s="240"/>
      <c r="I18" s="240"/>
      <c r="J18" s="240"/>
      <c r="K18" s="240"/>
      <c r="L18" s="240"/>
      <c r="M18" s="240">
        <v>140</v>
      </c>
      <c r="N18" s="240">
        <v>1680</v>
      </c>
      <c r="O18" s="240">
        <v>1680</v>
      </c>
      <c r="P18" s="240">
        <v>80</v>
      </c>
      <c r="Q18" s="240">
        <v>1940</v>
      </c>
      <c r="R18" s="240">
        <v>1030</v>
      </c>
      <c r="S18" s="240">
        <v>245</v>
      </c>
      <c r="T18" s="240">
        <v>3550</v>
      </c>
      <c r="U18" s="240">
        <v>2904</v>
      </c>
      <c r="V18" s="240"/>
      <c r="W18" s="240"/>
      <c r="X18" s="240"/>
      <c r="Y18" s="240">
        <v>115</v>
      </c>
      <c r="Z18" s="240">
        <v>1450</v>
      </c>
      <c r="AA18" s="240">
        <v>1273.5999999999999</v>
      </c>
      <c r="AB18" s="240"/>
      <c r="AC18" s="240"/>
      <c r="AD18" s="240"/>
      <c r="AE18" s="240">
        <v>120</v>
      </c>
      <c r="AF18" s="104">
        <v>2340</v>
      </c>
      <c r="AG18" s="104">
        <v>1408.8</v>
      </c>
      <c r="AH18" s="241">
        <v>110</v>
      </c>
      <c r="AI18" s="241">
        <v>1600</v>
      </c>
      <c r="AJ18" s="241">
        <v>1340</v>
      </c>
      <c r="AK18" s="242">
        <f t="shared" si="2"/>
        <v>810</v>
      </c>
      <c r="AL18" s="242">
        <f t="shared" si="0"/>
        <v>12560</v>
      </c>
      <c r="AM18" s="242">
        <f t="shared" si="0"/>
        <v>9636.4</v>
      </c>
      <c r="AN18" s="241">
        <v>100</v>
      </c>
      <c r="AO18" s="241">
        <v>1240</v>
      </c>
      <c r="AP18" s="241">
        <v>1139.2</v>
      </c>
      <c r="AQ18" s="241">
        <v>160</v>
      </c>
      <c r="AR18" s="241">
        <v>1920</v>
      </c>
      <c r="AS18" s="241">
        <v>1920</v>
      </c>
      <c r="AT18" s="241"/>
      <c r="AU18" s="241"/>
      <c r="AV18" s="241"/>
      <c r="AW18" s="241">
        <v>110</v>
      </c>
      <c r="AX18" s="241">
        <v>1880</v>
      </c>
      <c r="AY18" s="241">
        <v>1360</v>
      </c>
      <c r="AZ18" s="241"/>
      <c r="BA18" s="241"/>
      <c r="BB18" s="241"/>
      <c r="BC18" s="241">
        <v>45</v>
      </c>
      <c r="BD18" s="241">
        <v>540</v>
      </c>
      <c r="BE18" s="241">
        <v>540</v>
      </c>
      <c r="BF18" s="241">
        <v>185</v>
      </c>
      <c r="BG18" s="241">
        <v>3480</v>
      </c>
      <c r="BH18" s="241">
        <v>2274</v>
      </c>
      <c r="BI18" s="241">
        <v>110</v>
      </c>
      <c r="BJ18" s="241">
        <v>2180</v>
      </c>
      <c r="BK18" s="241">
        <v>1313.6</v>
      </c>
      <c r="BL18" s="241">
        <v>100</v>
      </c>
      <c r="BM18" s="241">
        <v>1260</v>
      </c>
      <c r="BN18" s="241">
        <v>1108.8</v>
      </c>
      <c r="BO18" s="241"/>
      <c r="BP18" s="241"/>
      <c r="BQ18" s="241"/>
      <c r="BR18" s="242">
        <f t="shared" si="3"/>
        <v>1620</v>
      </c>
      <c r="BS18" s="242">
        <f t="shared" si="1"/>
        <v>25060</v>
      </c>
      <c r="BT18" s="242">
        <f t="shared" si="1"/>
        <v>19291.999999999996</v>
      </c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4"/>
      <c r="CN18" s="104"/>
      <c r="CO18" s="104"/>
      <c r="CP18" s="143"/>
      <c r="CQ18" s="143"/>
      <c r="CR18" s="143"/>
      <c r="CS18" s="104"/>
      <c r="CT18" s="104"/>
      <c r="CU18" s="104"/>
      <c r="CV18" s="241"/>
      <c r="CW18" s="241"/>
      <c r="CX18" s="241"/>
      <c r="CY18" s="241"/>
      <c r="CZ18" s="241"/>
      <c r="DA18" s="241"/>
      <c r="DB18" s="242">
        <f t="shared" si="4"/>
        <v>1620</v>
      </c>
      <c r="DC18" s="242">
        <f t="shared" si="4"/>
        <v>25060</v>
      </c>
      <c r="DD18" s="242">
        <f t="shared" si="4"/>
        <v>19291.999999999996</v>
      </c>
      <c r="DG18" s="243"/>
      <c r="DH18" s="244"/>
      <c r="DI18" s="244"/>
      <c r="DJ18" s="244"/>
    </row>
    <row r="19" spans="1:116" ht="20.100000000000001" customHeight="1" x14ac:dyDescent="0.6">
      <c r="A19" s="234">
        <v>16</v>
      </c>
      <c r="B19" s="245" t="s">
        <v>106</v>
      </c>
      <c r="C19" s="234" t="s">
        <v>107</v>
      </c>
      <c r="D19" s="246" t="s">
        <v>108</v>
      </c>
      <c r="E19" s="246" t="s">
        <v>109</v>
      </c>
      <c r="F19" s="238" t="s">
        <v>56</v>
      </c>
      <c r="G19" s="239"/>
      <c r="H19" s="240"/>
      <c r="I19" s="240"/>
      <c r="J19" s="240"/>
      <c r="K19" s="240"/>
      <c r="L19" s="240"/>
      <c r="M19" s="240"/>
      <c r="N19" s="240"/>
      <c r="O19" s="240"/>
      <c r="P19" s="240">
        <v>180</v>
      </c>
      <c r="Q19" s="240">
        <v>2580</v>
      </c>
      <c r="R19" s="240">
        <v>2026</v>
      </c>
      <c r="S19" s="240"/>
      <c r="T19" s="240"/>
      <c r="U19" s="240"/>
      <c r="V19" s="240"/>
      <c r="W19" s="240"/>
      <c r="X19" s="240"/>
      <c r="Y19" s="240">
        <v>205</v>
      </c>
      <c r="Z19" s="240">
        <v>3290</v>
      </c>
      <c r="AA19" s="240">
        <v>2389.2000000000003</v>
      </c>
      <c r="AB19" s="240"/>
      <c r="AC19" s="240"/>
      <c r="AD19" s="240"/>
      <c r="AE19" s="240">
        <v>200</v>
      </c>
      <c r="AF19" s="104">
        <v>2780</v>
      </c>
      <c r="AG19" s="104">
        <v>2244</v>
      </c>
      <c r="AH19" s="241"/>
      <c r="AI19" s="241"/>
      <c r="AJ19" s="241"/>
      <c r="AK19" s="242">
        <f t="shared" si="2"/>
        <v>585</v>
      </c>
      <c r="AL19" s="242">
        <f t="shared" si="0"/>
        <v>8650</v>
      </c>
      <c r="AM19" s="242">
        <f t="shared" si="0"/>
        <v>6659.2000000000007</v>
      </c>
      <c r="AN19" s="241"/>
      <c r="AO19" s="241"/>
      <c r="AP19" s="241"/>
      <c r="AQ19" s="241"/>
      <c r="AR19" s="241"/>
      <c r="AS19" s="241"/>
      <c r="AT19" s="241">
        <v>210</v>
      </c>
      <c r="AU19" s="241">
        <v>2960</v>
      </c>
      <c r="AV19" s="241">
        <v>2373.6</v>
      </c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>
        <v>210</v>
      </c>
      <c r="BJ19" s="241">
        <v>3640</v>
      </c>
      <c r="BK19" s="241">
        <v>2454</v>
      </c>
      <c r="BL19" s="241"/>
      <c r="BM19" s="241"/>
      <c r="BN19" s="241"/>
      <c r="BO19" s="241">
        <v>195</v>
      </c>
      <c r="BP19" s="241">
        <v>2760</v>
      </c>
      <c r="BQ19" s="241">
        <v>2230</v>
      </c>
      <c r="BR19" s="242">
        <f t="shared" si="3"/>
        <v>1200</v>
      </c>
      <c r="BS19" s="242">
        <f t="shared" si="1"/>
        <v>18010</v>
      </c>
      <c r="BT19" s="242">
        <f t="shared" si="1"/>
        <v>13716.800000000001</v>
      </c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  <c r="CN19" s="104"/>
      <c r="CO19" s="104"/>
      <c r="CP19" s="143"/>
      <c r="CQ19" s="143"/>
      <c r="CR19" s="143"/>
      <c r="CS19" s="104"/>
      <c r="CT19" s="104"/>
      <c r="CU19" s="104"/>
      <c r="CV19" s="241"/>
      <c r="CW19" s="241"/>
      <c r="CX19" s="241"/>
      <c r="CY19" s="241"/>
      <c r="CZ19" s="241"/>
      <c r="DA19" s="241"/>
      <c r="DB19" s="242">
        <f t="shared" si="4"/>
        <v>1200</v>
      </c>
      <c r="DC19" s="242">
        <f t="shared" si="4"/>
        <v>18010</v>
      </c>
      <c r="DD19" s="242">
        <f t="shared" si="4"/>
        <v>13716.800000000001</v>
      </c>
      <c r="DG19" s="243"/>
      <c r="DH19" s="244"/>
      <c r="DI19" s="244"/>
      <c r="DJ19" s="244"/>
    </row>
    <row r="20" spans="1:116" ht="20.100000000000001" customHeight="1" x14ac:dyDescent="0.6">
      <c r="A20" s="234">
        <v>17</v>
      </c>
      <c r="B20" s="245" t="s">
        <v>110</v>
      </c>
      <c r="C20" s="234" t="s">
        <v>111</v>
      </c>
      <c r="D20" s="246" t="s">
        <v>70</v>
      </c>
      <c r="E20" s="246" t="s">
        <v>71</v>
      </c>
      <c r="F20" s="238" t="s">
        <v>56</v>
      </c>
      <c r="G20" s="239"/>
      <c r="H20" s="240"/>
      <c r="I20" s="240"/>
      <c r="J20" s="240"/>
      <c r="K20" s="240"/>
      <c r="L20" s="240"/>
      <c r="M20" s="240">
        <v>185</v>
      </c>
      <c r="N20" s="240">
        <v>3070</v>
      </c>
      <c r="O20" s="240">
        <v>1946</v>
      </c>
      <c r="P20" s="240">
        <v>100</v>
      </c>
      <c r="Q20" s="240">
        <v>1410</v>
      </c>
      <c r="R20" s="240">
        <v>959.59999999999991</v>
      </c>
      <c r="S20" s="240">
        <v>85</v>
      </c>
      <c r="T20" s="240">
        <v>1260</v>
      </c>
      <c r="U20" s="240">
        <v>854.00000000000011</v>
      </c>
      <c r="V20" s="240">
        <v>110</v>
      </c>
      <c r="W20" s="240">
        <v>1390</v>
      </c>
      <c r="X20" s="240">
        <v>1213.5999999999999</v>
      </c>
      <c r="Y20" s="240">
        <v>155</v>
      </c>
      <c r="Z20" s="240">
        <v>2240</v>
      </c>
      <c r="AA20" s="240">
        <v>1662</v>
      </c>
      <c r="AB20" s="240"/>
      <c r="AC20" s="240"/>
      <c r="AD20" s="240"/>
      <c r="AE20" s="240">
        <v>220</v>
      </c>
      <c r="AF20" s="104">
        <v>3340</v>
      </c>
      <c r="AG20" s="104">
        <v>2244.4</v>
      </c>
      <c r="AH20" s="241">
        <v>75</v>
      </c>
      <c r="AI20" s="241">
        <v>1460</v>
      </c>
      <c r="AJ20" s="241">
        <v>892</v>
      </c>
      <c r="AK20" s="242">
        <f t="shared" si="2"/>
        <v>930</v>
      </c>
      <c r="AL20" s="242">
        <f t="shared" si="2"/>
        <v>14170</v>
      </c>
      <c r="AM20" s="242">
        <f t="shared" si="2"/>
        <v>9771.6</v>
      </c>
      <c r="AN20" s="241">
        <v>145</v>
      </c>
      <c r="AO20" s="241">
        <v>2140</v>
      </c>
      <c r="AP20" s="241">
        <v>1529.6</v>
      </c>
      <c r="AQ20" s="241">
        <v>185</v>
      </c>
      <c r="AR20" s="241">
        <v>2700</v>
      </c>
      <c r="AS20" s="241">
        <v>2086.8000000000002</v>
      </c>
      <c r="AT20" s="241">
        <v>100</v>
      </c>
      <c r="AU20" s="241">
        <v>1280</v>
      </c>
      <c r="AV20" s="241">
        <v>1078.4000000000001</v>
      </c>
      <c r="AW20" s="241">
        <v>105</v>
      </c>
      <c r="AX20" s="241">
        <v>2160</v>
      </c>
      <c r="AY20" s="241">
        <v>1228.8</v>
      </c>
      <c r="AZ20" s="241"/>
      <c r="BA20" s="241"/>
      <c r="BB20" s="241"/>
      <c r="BC20" s="241">
        <v>90</v>
      </c>
      <c r="BD20" s="241">
        <v>1140</v>
      </c>
      <c r="BE20" s="241">
        <v>988.8</v>
      </c>
      <c r="BF20" s="241">
        <v>80</v>
      </c>
      <c r="BG20" s="241">
        <v>1160</v>
      </c>
      <c r="BH20" s="241">
        <v>878.8</v>
      </c>
      <c r="BI20" s="241"/>
      <c r="BJ20" s="241"/>
      <c r="BK20" s="241"/>
      <c r="BL20" s="241"/>
      <c r="BM20" s="241"/>
      <c r="BN20" s="241"/>
      <c r="BO20" s="241">
        <v>190</v>
      </c>
      <c r="BP20" s="241">
        <v>2950</v>
      </c>
      <c r="BQ20" s="241">
        <v>2008.8</v>
      </c>
      <c r="BR20" s="242">
        <f t="shared" si="3"/>
        <v>1825</v>
      </c>
      <c r="BS20" s="242">
        <f t="shared" si="3"/>
        <v>27700</v>
      </c>
      <c r="BT20" s="242">
        <f t="shared" si="3"/>
        <v>19571.599999999999</v>
      </c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43"/>
      <c r="CQ20" s="143"/>
      <c r="CR20" s="143"/>
      <c r="CS20" s="104"/>
      <c r="CT20" s="104"/>
      <c r="CU20" s="104"/>
      <c r="CV20" s="241"/>
      <c r="CW20" s="241"/>
      <c r="CX20" s="241"/>
      <c r="CY20" s="241"/>
      <c r="CZ20" s="241"/>
      <c r="DA20" s="241"/>
      <c r="DB20" s="242">
        <f t="shared" si="4"/>
        <v>1825</v>
      </c>
      <c r="DC20" s="242">
        <f t="shared" si="4"/>
        <v>27700</v>
      </c>
      <c r="DD20" s="242">
        <f t="shared" si="4"/>
        <v>19571.599999999999</v>
      </c>
      <c r="DG20" s="243"/>
      <c r="DH20" s="244"/>
      <c r="DI20" s="244"/>
      <c r="DJ20" s="244"/>
      <c r="DK20" s="244"/>
      <c r="DL20" s="244"/>
    </row>
    <row r="21" spans="1:116" ht="20.100000000000001" customHeight="1" x14ac:dyDescent="0.6">
      <c r="A21" s="234">
        <v>18</v>
      </c>
      <c r="B21" s="246" t="s">
        <v>112</v>
      </c>
      <c r="C21" s="248" t="s">
        <v>113</v>
      </c>
      <c r="D21" s="246" t="s">
        <v>86</v>
      </c>
      <c r="E21" s="246" t="s">
        <v>87</v>
      </c>
      <c r="F21" s="238" t="s">
        <v>56</v>
      </c>
      <c r="G21" s="239"/>
      <c r="H21" s="240"/>
      <c r="I21" s="240"/>
      <c r="J21" s="240"/>
      <c r="K21" s="240"/>
      <c r="L21" s="240"/>
      <c r="M21" s="240"/>
      <c r="N21" s="240"/>
      <c r="O21" s="240"/>
      <c r="P21" s="240">
        <v>280</v>
      </c>
      <c r="Q21" s="240">
        <v>4100</v>
      </c>
      <c r="R21" s="240">
        <v>3030.3999999999996</v>
      </c>
      <c r="S21" s="240"/>
      <c r="T21" s="240"/>
      <c r="U21" s="240"/>
      <c r="V21" s="240">
        <v>330</v>
      </c>
      <c r="W21" s="240">
        <v>5000</v>
      </c>
      <c r="X21" s="240">
        <v>3716</v>
      </c>
      <c r="Y21" s="240"/>
      <c r="Z21" s="240"/>
      <c r="AA21" s="240"/>
      <c r="AB21" s="240"/>
      <c r="AC21" s="240"/>
      <c r="AD21" s="240"/>
      <c r="AE21" s="240">
        <v>250</v>
      </c>
      <c r="AF21" s="104">
        <v>3200</v>
      </c>
      <c r="AG21" s="104">
        <v>2696</v>
      </c>
      <c r="AH21" s="241"/>
      <c r="AI21" s="241"/>
      <c r="AJ21" s="241"/>
      <c r="AK21" s="242">
        <f t="shared" ref="AK21:AM40" si="5">+G21+J21+M21+P21+S21+V21+Y21+AB21+AE21+AH21</f>
        <v>860</v>
      </c>
      <c r="AL21" s="242">
        <f t="shared" si="5"/>
        <v>12300</v>
      </c>
      <c r="AM21" s="242">
        <f t="shared" si="5"/>
        <v>9442.4</v>
      </c>
      <c r="AN21" s="241"/>
      <c r="AO21" s="241"/>
      <c r="AP21" s="241"/>
      <c r="AQ21" s="241">
        <v>210</v>
      </c>
      <c r="AR21" s="241">
        <v>3220</v>
      </c>
      <c r="AS21" s="241">
        <v>2251.1999999999998</v>
      </c>
      <c r="AT21" s="241"/>
      <c r="AU21" s="241"/>
      <c r="AV21" s="241"/>
      <c r="AW21" s="241"/>
      <c r="AX21" s="241"/>
      <c r="AY21" s="241"/>
      <c r="AZ21" s="241"/>
      <c r="BA21" s="241"/>
      <c r="BB21" s="241"/>
      <c r="BC21" s="241">
        <v>300</v>
      </c>
      <c r="BD21" s="241">
        <v>4640</v>
      </c>
      <c r="BE21" s="241">
        <v>3356</v>
      </c>
      <c r="BF21" s="241"/>
      <c r="BG21" s="241"/>
      <c r="BH21" s="241"/>
      <c r="BI21" s="241"/>
      <c r="BJ21" s="241"/>
      <c r="BK21" s="241"/>
      <c r="BL21" s="241"/>
      <c r="BM21" s="241"/>
      <c r="BN21" s="241"/>
      <c r="BO21" s="241">
        <v>290</v>
      </c>
      <c r="BP21" s="241">
        <v>4320</v>
      </c>
      <c r="BQ21" s="241">
        <v>2950.3999999999996</v>
      </c>
      <c r="BR21" s="242">
        <f t="shared" ref="BR21:BT40" si="6">+AK21+AN21+AQ21+AT21+AW21+AZ21+BC21+BF21+BI21+BL21+BO21</f>
        <v>1660</v>
      </c>
      <c r="BS21" s="242">
        <f t="shared" si="6"/>
        <v>24480</v>
      </c>
      <c r="BT21" s="242">
        <f t="shared" si="6"/>
        <v>18000</v>
      </c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  <c r="CP21" s="143"/>
      <c r="CQ21" s="143"/>
      <c r="CR21" s="143"/>
      <c r="CS21" s="104"/>
      <c r="CT21" s="104"/>
      <c r="CU21" s="104"/>
      <c r="CV21" s="241"/>
      <c r="CW21" s="241"/>
      <c r="CX21" s="241"/>
      <c r="CY21" s="241"/>
      <c r="CZ21" s="241"/>
      <c r="DA21" s="241"/>
      <c r="DB21" s="242">
        <f t="shared" si="4"/>
        <v>1660</v>
      </c>
      <c r="DC21" s="242">
        <f t="shared" si="4"/>
        <v>24480</v>
      </c>
      <c r="DD21" s="242">
        <f t="shared" si="4"/>
        <v>18000</v>
      </c>
      <c r="DG21" s="243"/>
      <c r="DH21" s="244"/>
      <c r="DI21" s="244"/>
      <c r="DJ21" s="244"/>
    </row>
    <row r="22" spans="1:116" ht="20.100000000000001" customHeight="1" x14ac:dyDescent="0.6">
      <c r="A22" s="234">
        <v>19</v>
      </c>
      <c r="B22" s="245" t="s">
        <v>114</v>
      </c>
      <c r="C22" s="234" t="s">
        <v>115</v>
      </c>
      <c r="D22" s="246" t="s">
        <v>116</v>
      </c>
      <c r="E22" s="246" t="s">
        <v>117</v>
      </c>
      <c r="F22" s="238" t="s">
        <v>56</v>
      </c>
      <c r="G22" s="239"/>
      <c r="H22" s="240"/>
      <c r="I22" s="240"/>
      <c r="J22" s="240"/>
      <c r="K22" s="240"/>
      <c r="L22" s="240"/>
      <c r="M22" s="240">
        <v>400</v>
      </c>
      <c r="N22" s="240">
        <v>5980</v>
      </c>
      <c r="O22" s="240">
        <v>4343.2000000000007</v>
      </c>
      <c r="P22" s="240"/>
      <c r="Q22" s="240"/>
      <c r="R22" s="240"/>
      <c r="S22" s="240">
        <v>320</v>
      </c>
      <c r="T22" s="240">
        <v>4800</v>
      </c>
      <c r="U22" s="240">
        <v>3573.6</v>
      </c>
      <c r="V22" s="240"/>
      <c r="W22" s="240"/>
      <c r="X22" s="240"/>
      <c r="Y22" s="240">
        <v>280</v>
      </c>
      <c r="Z22" s="240">
        <v>4400</v>
      </c>
      <c r="AA22" s="240">
        <v>3116</v>
      </c>
      <c r="AB22" s="240"/>
      <c r="AC22" s="240"/>
      <c r="AD22" s="240"/>
      <c r="AE22" s="240">
        <v>500</v>
      </c>
      <c r="AF22" s="104">
        <v>6000</v>
      </c>
      <c r="AG22" s="240">
        <v>6000</v>
      </c>
      <c r="AH22" s="241">
        <v>200</v>
      </c>
      <c r="AI22" s="241">
        <v>2700</v>
      </c>
      <c r="AJ22" s="241">
        <v>1944</v>
      </c>
      <c r="AK22" s="242">
        <f t="shared" si="5"/>
        <v>1700</v>
      </c>
      <c r="AL22" s="242">
        <f t="shared" si="5"/>
        <v>23880</v>
      </c>
      <c r="AM22" s="242">
        <f t="shared" si="5"/>
        <v>18976.800000000003</v>
      </c>
      <c r="AN22" s="241">
        <v>280</v>
      </c>
      <c r="AO22" s="241">
        <v>4200</v>
      </c>
      <c r="AP22" s="241">
        <v>3180</v>
      </c>
      <c r="AQ22" s="241"/>
      <c r="AR22" s="241"/>
      <c r="AS22" s="241"/>
      <c r="AT22" s="241"/>
      <c r="AU22" s="241"/>
      <c r="AV22" s="241"/>
      <c r="AW22" s="241">
        <v>100</v>
      </c>
      <c r="AX22" s="241">
        <v>1300</v>
      </c>
      <c r="AY22" s="241">
        <v>1048</v>
      </c>
      <c r="AZ22" s="241"/>
      <c r="BA22" s="241"/>
      <c r="BB22" s="241"/>
      <c r="BC22" s="241">
        <v>300</v>
      </c>
      <c r="BD22" s="241">
        <v>5200</v>
      </c>
      <c r="BE22" s="241">
        <v>3156</v>
      </c>
      <c r="BF22" s="241">
        <v>70</v>
      </c>
      <c r="BG22" s="241">
        <v>980</v>
      </c>
      <c r="BH22" s="241">
        <v>627.20000000000005</v>
      </c>
      <c r="BI22" s="241">
        <v>100</v>
      </c>
      <c r="BJ22" s="241">
        <v>1400</v>
      </c>
      <c r="BK22" s="241">
        <v>896</v>
      </c>
      <c r="BL22" s="241">
        <v>210</v>
      </c>
      <c r="BM22" s="241">
        <v>3400</v>
      </c>
      <c r="BN22" s="241">
        <v>1929.6</v>
      </c>
      <c r="BO22" s="241">
        <v>80</v>
      </c>
      <c r="BP22" s="241">
        <v>1520</v>
      </c>
      <c r="BQ22" s="241">
        <v>1000</v>
      </c>
      <c r="BR22" s="242">
        <f t="shared" si="6"/>
        <v>2840</v>
      </c>
      <c r="BS22" s="242">
        <f t="shared" si="6"/>
        <v>41880</v>
      </c>
      <c r="BT22" s="242">
        <f t="shared" si="6"/>
        <v>30813.600000000002</v>
      </c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43"/>
      <c r="CQ22" s="143"/>
      <c r="CR22" s="143"/>
      <c r="CS22" s="104"/>
      <c r="CT22" s="104"/>
      <c r="CU22" s="104"/>
      <c r="CV22" s="241"/>
      <c r="CW22" s="241"/>
      <c r="CX22" s="241"/>
      <c r="CY22" s="241"/>
      <c r="CZ22" s="241"/>
      <c r="DA22" s="241"/>
      <c r="DB22" s="242">
        <f t="shared" si="4"/>
        <v>2840</v>
      </c>
      <c r="DC22" s="242">
        <f t="shared" si="4"/>
        <v>41880</v>
      </c>
      <c r="DD22" s="242">
        <f t="shared" si="4"/>
        <v>30813.600000000002</v>
      </c>
      <c r="DG22" s="243"/>
      <c r="DH22" s="244"/>
      <c r="DI22" s="244"/>
      <c r="DJ22" s="244"/>
    </row>
    <row r="23" spans="1:116" ht="20.100000000000001" customHeight="1" x14ac:dyDescent="0.6">
      <c r="A23" s="234">
        <v>20</v>
      </c>
      <c r="B23" s="245" t="s">
        <v>118</v>
      </c>
      <c r="C23" s="234" t="s">
        <v>119</v>
      </c>
      <c r="D23" s="246" t="s">
        <v>54</v>
      </c>
      <c r="E23" s="246" t="s">
        <v>120</v>
      </c>
      <c r="F23" s="238" t="s">
        <v>56</v>
      </c>
      <c r="G23" s="239"/>
      <c r="H23" s="240"/>
      <c r="I23" s="240"/>
      <c r="J23" s="240"/>
      <c r="K23" s="240"/>
      <c r="L23" s="240"/>
      <c r="M23" s="240">
        <v>75</v>
      </c>
      <c r="N23" s="240">
        <v>1020</v>
      </c>
      <c r="O23" s="240">
        <v>717.6</v>
      </c>
      <c r="P23" s="240"/>
      <c r="Q23" s="240"/>
      <c r="R23" s="240"/>
      <c r="S23" s="240"/>
      <c r="T23" s="240"/>
      <c r="U23" s="240"/>
      <c r="V23" s="240"/>
      <c r="W23" s="240"/>
      <c r="X23" s="240"/>
      <c r="Y23" s="240">
        <v>10</v>
      </c>
      <c r="Z23" s="240">
        <v>140</v>
      </c>
      <c r="AA23" s="240">
        <v>89.600000000000009</v>
      </c>
      <c r="AB23" s="240"/>
      <c r="AC23" s="240"/>
      <c r="AD23" s="240"/>
      <c r="AE23" s="240"/>
      <c r="AF23" s="104"/>
      <c r="AG23" s="104"/>
      <c r="AH23" s="241">
        <v>515</v>
      </c>
      <c r="AI23" s="241">
        <v>8420</v>
      </c>
      <c r="AJ23" s="241">
        <v>5770</v>
      </c>
      <c r="AK23" s="242">
        <f t="shared" si="5"/>
        <v>600</v>
      </c>
      <c r="AL23" s="242">
        <f t="shared" si="5"/>
        <v>9580</v>
      </c>
      <c r="AM23" s="242">
        <f t="shared" si="5"/>
        <v>6577.2</v>
      </c>
      <c r="AN23" s="241"/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>
        <v>565</v>
      </c>
      <c r="BD23" s="241">
        <v>8760</v>
      </c>
      <c r="BE23" s="241">
        <v>5854.4000000000005</v>
      </c>
      <c r="BF23" s="241">
        <v>50</v>
      </c>
      <c r="BG23" s="241">
        <v>830</v>
      </c>
      <c r="BH23" s="241">
        <v>473.20000000000005</v>
      </c>
      <c r="BI23" s="241"/>
      <c r="BJ23" s="241"/>
      <c r="BK23" s="241"/>
      <c r="BL23" s="241"/>
      <c r="BM23" s="241"/>
      <c r="BN23" s="241"/>
      <c r="BO23" s="241"/>
      <c r="BP23" s="241"/>
      <c r="BQ23" s="241"/>
      <c r="BR23" s="242">
        <f t="shared" si="6"/>
        <v>1215</v>
      </c>
      <c r="BS23" s="242">
        <f t="shared" si="6"/>
        <v>19170</v>
      </c>
      <c r="BT23" s="242">
        <f t="shared" si="6"/>
        <v>12904.800000000001</v>
      </c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43"/>
      <c r="CQ23" s="143"/>
      <c r="CR23" s="143"/>
      <c r="CS23" s="104"/>
      <c r="CT23" s="104"/>
      <c r="CU23" s="104"/>
      <c r="CV23" s="241"/>
      <c r="CW23" s="241"/>
      <c r="CX23" s="241"/>
      <c r="CY23" s="241"/>
      <c r="CZ23" s="241"/>
      <c r="DA23" s="241"/>
      <c r="DB23" s="242">
        <f t="shared" si="4"/>
        <v>1215</v>
      </c>
      <c r="DC23" s="242">
        <f t="shared" si="4"/>
        <v>19170</v>
      </c>
      <c r="DD23" s="242">
        <f t="shared" si="4"/>
        <v>12904.800000000001</v>
      </c>
      <c r="DG23" s="243"/>
      <c r="DH23" s="244"/>
      <c r="DI23" s="244"/>
      <c r="DJ23" s="244"/>
    </row>
    <row r="24" spans="1:116" ht="20.100000000000001" customHeight="1" x14ac:dyDescent="0.6">
      <c r="A24" s="234">
        <v>21</v>
      </c>
      <c r="B24" s="245" t="s">
        <v>121</v>
      </c>
      <c r="C24" s="234" t="s">
        <v>122</v>
      </c>
      <c r="D24" s="246" t="s">
        <v>123</v>
      </c>
      <c r="E24" s="246" t="s">
        <v>124</v>
      </c>
      <c r="F24" s="238" t="s">
        <v>56</v>
      </c>
      <c r="G24" s="239"/>
      <c r="H24" s="240"/>
      <c r="I24" s="240"/>
      <c r="J24" s="240"/>
      <c r="K24" s="240"/>
      <c r="L24" s="240"/>
      <c r="M24" s="240">
        <v>115</v>
      </c>
      <c r="N24" s="240">
        <v>2160</v>
      </c>
      <c r="O24" s="240">
        <v>1308.3999999999999</v>
      </c>
      <c r="P24" s="240"/>
      <c r="Q24" s="240"/>
      <c r="R24" s="240"/>
      <c r="S24" s="240">
        <v>105</v>
      </c>
      <c r="T24" s="240">
        <v>1440</v>
      </c>
      <c r="U24" s="240">
        <v>1185.2</v>
      </c>
      <c r="V24" s="240">
        <v>85</v>
      </c>
      <c r="W24" s="240">
        <v>1340</v>
      </c>
      <c r="X24" s="240">
        <v>979.2</v>
      </c>
      <c r="Y24" s="240">
        <v>190</v>
      </c>
      <c r="Z24" s="240">
        <v>3100</v>
      </c>
      <c r="AA24" s="240">
        <v>2123.6</v>
      </c>
      <c r="AB24" s="240"/>
      <c r="AC24" s="240"/>
      <c r="AD24" s="240"/>
      <c r="AE24" s="240"/>
      <c r="AF24" s="104"/>
      <c r="AG24" s="104"/>
      <c r="AH24" s="241">
        <v>90</v>
      </c>
      <c r="AI24" s="241">
        <v>1270</v>
      </c>
      <c r="AJ24" s="241">
        <v>1014</v>
      </c>
      <c r="AK24" s="242">
        <f t="shared" si="5"/>
        <v>585</v>
      </c>
      <c r="AL24" s="242">
        <f t="shared" si="5"/>
        <v>9310</v>
      </c>
      <c r="AM24" s="242">
        <f t="shared" si="5"/>
        <v>6610.4</v>
      </c>
      <c r="AN24" s="241">
        <v>70</v>
      </c>
      <c r="AO24" s="241">
        <v>870</v>
      </c>
      <c r="AP24" s="241">
        <v>794.4</v>
      </c>
      <c r="AQ24" s="241"/>
      <c r="AR24" s="241"/>
      <c r="AS24" s="241"/>
      <c r="AT24" s="241">
        <v>65</v>
      </c>
      <c r="AU24" s="241">
        <v>780</v>
      </c>
      <c r="AV24" s="241">
        <v>780</v>
      </c>
      <c r="AW24" s="241">
        <v>100</v>
      </c>
      <c r="AX24" s="241">
        <v>1260</v>
      </c>
      <c r="AY24" s="241">
        <v>1084.8</v>
      </c>
      <c r="AZ24" s="241"/>
      <c r="BA24" s="241"/>
      <c r="BB24" s="241"/>
      <c r="BC24" s="241">
        <v>155</v>
      </c>
      <c r="BD24" s="241">
        <v>2780</v>
      </c>
      <c r="BE24" s="241">
        <v>1774.3999999999999</v>
      </c>
      <c r="BF24" s="241"/>
      <c r="BG24" s="241"/>
      <c r="BH24" s="241"/>
      <c r="BI24" s="241"/>
      <c r="BJ24" s="241"/>
      <c r="BK24" s="241"/>
      <c r="BL24" s="241">
        <v>95</v>
      </c>
      <c r="BM24" s="241">
        <v>1760</v>
      </c>
      <c r="BN24" s="241">
        <v>1088.8</v>
      </c>
      <c r="BO24" s="241"/>
      <c r="BP24" s="241"/>
      <c r="BQ24" s="241"/>
      <c r="BR24" s="242">
        <f t="shared" si="6"/>
        <v>1070</v>
      </c>
      <c r="BS24" s="242">
        <f t="shared" si="6"/>
        <v>16760</v>
      </c>
      <c r="BT24" s="242">
        <f t="shared" si="6"/>
        <v>12132.799999999997</v>
      </c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43"/>
      <c r="CQ24" s="143"/>
      <c r="CR24" s="143"/>
      <c r="CS24" s="104"/>
      <c r="CT24" s="104"/>
      <c r="CU24" s="104"/>
      <c r="CV24" s="241"/>
      <c r="CW24" s="241"/>
      <c r="CX24" s="241"/>
      <c r="CY24" s="241"/>
      <c r="CZ24" s="241"/>
      <c r="DA24" s="241"/>
      <c r="DB24" s="242">
        <f t="shared" si="4"/>
        <v>1070</v>
      </c>
      <c r="DC24" s="242">
        <f t="shared" si="4"/>
        <v>16760</v>
      </c>
      <c r="DD24" s="242">
        <f t="shared" si="4"/>
        <v>12132.799999999997</v>
      </c>
      <c r="DG24" s="243"/>
      <c r="DH24" s="244"/>
      <c r="DI24" s="244"/>
      <c r="DJ24" s="244"/>
    </row>
    <row r="25" spans="1:116" ht="20.100000000000001" customHeight="1" x14ac:dyDescent="0.6">
      <c r="A25" s="234">
        <v>22</v>
      </c>
      <c r="B25" s="245" t="s">
        <v>125</v>
      </c>
      <c r="C25" s="234" t="s">
        <v>126</v>
      </c>
      <c r="D25" s="246" t="s">
        <v>60</v>
      </c>
      <c r="E25" s="246" t="s">
        <v>61</v>
      </c>
      <c r="F25" s="238" t="s">
        <v>56</v>
      </c>
      <c r="G25" s="239"/>
      <c r="H25" s="240"/>
      <c r="I25" s="240"/>
      <c r="J25" s="240"/>
      <c r="K25" s="240"/>
      <c r="L25" s="240"/>
      <c r="M25" s="240">
        <v>500</v>
      </c>
      <c r="N25" s="240">
        <v>7240</v>
      </c>
      <c r="O25" s="240">
        <v>5356</v>
      </c>
      <c r="P25" s="240"/>
      <c r="Q25" s="240"/>
      <c r="R25" s="240"/>
      <c r="S25" s="240"/>
      <c r="T25" s="240"/>
      <c r="U25" s="240"/>
      <c r="V25" s="240"/>
      <c r="W25" s="240"/>
      <c r="X25" s="240"/>
      <c r="Y25" s="240">
        <v>500</v>
      </c>
      <c r="Z25" s="240">
        <v>7040</v>
      </c>
      <c r="AA25" s="240">
        <v>5413.2</v>
      </c>
      <c r="AB25" s="240"/>
      <c r="AC25" s="240"/>
      <c r="AD25" s="240"/>
      <c r="AE25" s="240"/>
      <c r="AF25" s="104"/>
      <c r="AG25" s="104"/>
      <c r="AH25" s="241"/>
      <c r="AI25" s="241"/>
      <c r="AJ25" s="241"/>
      <c r="AK25" s="242">
        <f t="shared" si="5"/>
        <v>1000</v>
      </c>
      <c r="AL25" s="242">
        <f t="shared" si="5"/>
        <v>14280</v>
      </c>
      <c r="AM25" s="242">
        <f t="shared" si="5"/>
        <v>10769.2</v>
      </c>
      <c r="AN25" s="241"/>
      <c r="AO25" s="241"/>
      <c r="AP25" s="241"/>
      <c r="AQ25" s="241">
        <v>550</v>
      </c>
      <c r="AR25" s="241">
        <v>8400</v>
      </c>
      <c r="AS25" s="241">
        <v>5852</v>
      </c>
      <c r="AT25" s="241"/>
      <c r="AU25" s="241"/>
      <c r="AV25" s="241"/>
      <c r="AW25" s="241"/>
      <c r="AX25" s="241"/>
      <c r="AY25" s="241"/>
      <c r="AZ25" s="241"/>
      <c r="BA25" s="241"/>
      <c r="BB25" s="241"/>
      <c r="BC25" s="241">
        <v>550</v>
      </c>
      <c r="BD25" s="241">
        <v>7700</v>
      </c>
      <c r="BE25" s="241">
        <v>5922</v>
      </c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242">
        <f t="shared" si="6"/>
        <v>2100</v>
      </c>
      <c r="BS25" s="242">
        <f t="shared" si="6"/>
        <v>30380</v>
      </c>
      <c r="BT25" s="242">
        <f t="shared" si="6"/>
        <v>22543.200000000001</v>
      </c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43"/>
      <c r="CQ25" s="143"/>
      <c r="CR25" s="143"/>
      <c r="CS25" s="104"/>
      <c r="CT25" s="104"/>
      <c r="CU25" s="104"/>
      <c r="CV25" s="241"/>
      <c r="CW25" s="241"/>
      <c r="CX25" s="241"/>
      <c r="CY25" s="241"/>
      <c r="CZ25" s="241"/>
      <c r="DA25" s="241"/>
      <c r="DB25" s="242">
        <f t="shared" si="4"/>
        <v>2100</v>
      </c>
      <c r="DC25" s="242">
        <f t="shared" si="4"/>
        <v>30380</v>
      </c>
      <c r="DD25" s="242">
        <f t="shared" si="4"/>
        <v>22543.200000000001</v>
      </c>
      <c r="DG25" s="243"/>
      <c r="DH25" s="244"/>
      <c r="DI25" s="244"/>
      <c r="DJ25" s="244"/>
    </row>
    <row r="26" spans="1:116" ht="20.100000000000001" customHeight="1" x14ac:dyDescent="0.6">
      <c r="A26" s="234">
        <v>23</v>
      </c>
      <c r="B26" s="245" t="s">
        <v>127</v>
      </c>
      <c r="C26" s="234" t="s">
        <v>128</v>
      </c>
      <c r="D26" s="246" t="s">
        <v>94</v>
      </c>
      <c r="E26" s="246" t="s">
        <v>95</v>
      </c>
      <c r="F26" s="238" t="s">
        <v>56</v>
      </c>
      <c r="G26" s="239"/>
      <c r="H26" s="240"/>
      <c r="I26" s="240"/>
      <c r="J26" s="240"/>
      <c r="K26" s="240"/>
      <c r="L26" s="240"/>
      <c r="M26" s="240">
        <v>190</v>
      </c>
      <c r="N26" s="240">
        <v>2620</v>
      </c>
      <c r="O26" s="240">
        <v>1986</v>
      </c>
      <c r="P26" s="240"/>
      <c r="Q26" s="240"/>
      <c r="R26" s="240"/>
      <c r="S26" s="240"/>
      <c r="T26" s="240"/>
      <c r="U26" s="240"/>
      <c r="V26" s="240">
        <v>235</v>
      </c>
      <c r="W26" s="240">
        <v>3060</v>
      </c>
      <c r="X26" s="240">
        <v>2455.1999999999998</v>
      </c>
      <c r="Y26" s="240"/>
      <c r="Z26" s="240"/>
      <c r="AA26" s="240"/>
      <c r="AB26" s="240"/>
      <c r="AC26" s="240"/>
      <c r="AD26" s="240"/>
      <c r="AE26" s="240">
        <v>320</v>
      </c>
      <c r="AF26" s="104">
        <v>4300</v>
      </c>
      <c r="AG26" s="104">
        <v>3363.6000000000004</v>
      </c>
      <c r="AH26" s="241"/>
      <c r="AI26" s="241"/>
      <c r="AJ26" s="241"/>
      <c r="AK26" s="242">
        <f t="shared" si="5"/>
        <v>745</v>
      </c>
      <c r="AL26" s="242">
        <f t="shared" si="5"/>
        <v>9980</v>
      </c>
      <c r="AM26" s="242">
        <f t="shared" si="5"/>
        <v>7804.8</v>
      </c>
      <c r="AN26" s="241">
        <v>30</v>
      </c>
      <c r="AO26" s="241">
        <v>420</v>
      </c>
      <c r="AP26" s="241">
        <v>268.8</v>
      </c>
      <c r="AQ26" s="241">
        <v>300</v>
      </c>
      <c r="AR26" s="241">
        <v>4460</v>
      </c>
      <c r="AS26" s="241">
        <v>3184</v>
      </c>
      <c r="AT26" s="241">
        <v>400</v>
      </c>
      <c r="AU26" s="241">
        <v>4800</v>
      </c>
      <c r="AV26" s="241">
        <v>4800</v>
      </c>
      <c r="AW26" s="241">
        <v>100</v>
      </c>
      <c r="AX26" s="241">
        <v>1300</v>
      </c>
      <c r="AY26" s="241">
        <v>1048</v>
      </c>
      <c r="AZ26" s="241"/>
      <c r="BA26" s="241"/>
      <c r="BB26" s="241"/>
      <c r="BC26" s="241"/>
      <c r="BD26" s="241"/>
      <c r="BE26" s="241"/>
      <c r="BF26" s="241">
        <v>100</v>
      </c>
      <c r="BG26" s="241">
        <v>1300</v>
      </c>
      <c r="BH26" s="241">
        <v>1048</v>
      </c>
      <c r="BI26" s="241"/>
      <c r="BJ26" s="241"/>
      <c r="BK26" s="241"/>
      <c r="BL26" s="241"/>
      <c r="BM26" s="241"/>
      <c r="BN26" s="241"/>
      <c r="BO26" s="241"/>
      <c r="BP26" s="241"/>
      <c r="BQ26" s="241"/>
      <c r="BR26" s="242">
        <f t="shared" si="6"/>
        <v>1675</v>
      </c>
      <c r="BS26" s="242">
        <f t="shared" si="6"/>
        <v>22260</v>
      </c>
      <c r="BT26" s="242">
        <f t="shared" si="6"/>
        <v>18153.599999999999</v>
      </c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43"/>
      <c r="CQ26" s="143"/>
      <c r="CR26" s="143"/>
      <c r="CS26" s="104"/>
      <c r="CT26" s="104"/>
      <c r="CU26" s="104"/>
      <c r="CV26" s="241"/>
      <c r="CW26" s="241"/>
      <c r="CX26" s="241"/>
      <c r="CY26" s="241"/>
      <c r="CZ26" s="241"/>
      <c r="DA26" s="241"/>
      <c r="DB26" s="242">
        <f t="shared" si="4"/>
        <v>1675</v>
      </c>
      <c r="DC26" s="242">
        <f t="shared" si="4"/>
        <v>22260</v>
      </c>
      <c r="DD26" s="242">
        <f t="shared" si="4"/>
        <v>18153.599999999999</v>
      </c>
      <c r="DG26" s="243"/>
      <c r="DH26" s="244"/>
      <c r="DI26" s="244"/>
      <c r="DJ26" s="244"/>
    </row>
    <row r="27" spans="1:116" ht="20.100000000000001" customHeight="1" x14ac:dyDescent="0.6">
      <c r="A27" s="234">
        <v>24</v>
      </c>
      <c r="B27" s="245" t="s">
        <v>129</v>
      </c>
      <c r="C27" s="234" t="s">
        <v>130</v>
      </c>
      <c r="D27" s="246" t="s">
        <v>131</v>
      </c>
      <c r="E27" s="246" t="s">
        <v>132</v>
      </c>
      <c r="F27" s="238" t="s">
        <v>56</v>
      </c>
      <c r="G27" s="239"/>
      <c r="H27" s="240"/>
      <c r="I27" s="240"/>
      <c r="J27" s="240"/>
      <c r="K27" s="240"/>
      <c r="L27" s="240"/>
      <c r="M27" s="240">
        <v>100</v>
      </c>
      <c r="N27" s="240">
        <v>1480</v>
      </c>
      <c r="O27" s="240">
        <v>1220</v>
      </c>
      <c r="P27" s="240"/>
      <c r="Q27" s="240"/>
      <c r="R27" s="240"/>
      <c r="S27" s="240"/>
      <c r="T27" s="240"/>
      <c r="U27" s="240"/>
      <c r="V27" s="240"/>
      <c r="W27" s="240"/>
      <c r="X27" s="240"/>
      <c r="Y27" s="240">
        <v>140</v>
      </c>
      <c r="Z27" s="240">
        <v>2160</v>
      </c>
      <c r="AA27" s="240">
        <v>1618.8</v>
      </c>
      <c r="AB27" s="240"/>
      <c r="AC27" s="240"/>
      <c r="AD27" s="240"/>
      <c r="AE27" s="240"/>
      <c r="AF27" s="104"/>
      <c r="AG27" s="104"/>
      <c r="AH27" s="241">
        <v>110</v>
      </c>
      <c r="AI27" s="241">
        <v>1600</v>
      </c>
      <c r="AJ27" s="241">
        <v>1292</v>
      </c>
      <c r="AK27" s="242">
        <f t="shared" si="5"/>
        <v>350</v>
      </c>
      <c r="AL27" s="242">
        <f t="shared" si="5"/>
        <v>5240</v>
      </c>
      <c r="AM27" s="242">
        <f t="shared" si="5"/>
        <v>4130.8</v>
      </c>
      <c r="AN27" s="241"/>
      <c r="AO27" s="241"/>
      <c r="AP27" s="241"/>
      <c r="AQ27" s="241"/>
      <c r="AR27" s="241"/>
      <c r="AS27" s="241"/>
      <c r="AT27" s="241">
        <v>160</v>
      </c>
      <c r="AU27" s="241">
        <v>1960</v>
      </c>
      <c r="AV27" s="241">
        <v>1859.2</v>
      </c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>
        <v>180</v>
      </c>
      <c r="BJ27" s="241">
        <v>2920</v>
      </c>
      <c r="BK27" s="241">
        <v>2118.8000000000002</v>
      </c>
      <c r="BL27" s="241"/>
      <c r="BM27" s="241"/>
      <c r="BN27" s="241"/>
      <c r="BO27" s="241"/>
      <c r="BP27" s="241"/>
      <c r="BQ27" s="241"/>
      <c r="BR27" s="242">
        <f t="shared" si="6"/>
        <v>690</v>
      </c>
      <c r="BS27" s="242">
        <f t="shared" si="6"/>
        <v>10120</v>
      </c>
      <c r="BT27" s="242">
        <f t="shared" si="6"/>
        <v>8108.8</v>
      </c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43"/>
      <c r="CQ27" s="143"/>
      <c r="CR27" s="143"/>
      <c r="CS27" s="104"/>
      <c r="CT27" s="104"/>
      <c r="CU27" s="104"/>
      <c r="CV27" s="241"/>
      <c r="CW27" s="241"/>
      <c r="CX27" s="241"/>
      <c r="CY27" s="241"/>
      <c r="CZ27" s="241"/>
      <c r="DA27" s="241"/>
      <c r="DB27" s="242">
        <f t="shared" si="4"/>
        <v>690</v>
      </c>
      <c r="DC27" s="242">
        <f t="shared" si="4"/>
        <v>10120</v>
      </c>
      <c r="DD27" s="242">
        <f t="shared" si="4"/>
        <v>8108.8</v>
      </c>
      <c r="DG27" s="243"/>
      <c r="DH27" s="244"/>
      <c r="DI27" s="244"/>
      <c r="DJ27" s="244"/>
    </row>
    <row r="28" spans="1:116" ht="20.100000000000001" customHeight="1" x14ac:dyDescent="0.6">
      <c r="A28" s="234">
        <v>25</v>
      </c>
      <c r="B28" s="245" t="s">
        <v>133</v>
      </c>
      <c r="C28" s="234" t="s">
        <v>134</v>
      </c>
      <c r="D28" s="246" t="s">
        <v>94</v>
      </c>
      <c r="E28" s="246" t="s">
        <v>95</v>
      </c>
      <c r="F28" s="238" t="s">
        <v>56</v>
      </c>
      <c r="G28" s="239"/>
      <c r="H28" s="240"/>
      <c r="I28" s="240"/>
      <c r="J28" s="240"/>
      <c r="K28" s="240"/>
      <c r="L28" s="240"/>
      <c r="M28" s="240">
        <v>170</v>
      </c>
      <c r="N28" s="240">
        <v>2180</v>
      </c>
      <c r="O28" s="240">
        <v>1827.2</v>
      </c>
      <c r="P28" s="240"/>
      <c r="Q28" s="240"/>
      <c r="R28" s="240"/>
      <c r="S28" s="240"/>
      <c r="T28" s="240"/>
      <c r="U28" s="240"/>
      <c r="V28" s="240">
        <v>180</v>
      </c>
      <c r="W28" s="240">
        <v>2260</v>
      </c>
      <c r="X28" s="240">
        <v>2008</v>
      </c>
      <c r="Y28" s="240">
        <v>100</v>
      </c>
      <c r="Z28" s="240">
        <v>1200</v>
      </c>
      <c r="AA28" s="240">
        <v>1200</v>
      </c>
      <c r="AB28" s="240"/>
      <c r="AC28" s="240"/>
      <c r="AD28" s="240"/>
      <c r="AE28" s="240"/>
      <c r="AF28" s="104"/>
      <c r="AG28" s="104"/>
      <c r="AH28" s="241"/>
      <c r="AI28" s="241"/>
      <c r="AJ28" s="241"/>
      <c r="AK28" s="242">
        <f t="shared" si="5"/>
        <v>450</v>
      </c>
      <c r="AL28" s="242">
        <f t="shared" si="5"/>
        <v>5640</v>
      </c>
      <c r="AM28" s="242">
        <f t="shared" si="5"/>
        <v>5035.2</v>
      </c>
      <c r="AN28" s="241">
        <v>205</v>
      </c>
      <c r="AO28" s="241">
        <v>3260</v>
      </c>
      <c r="AP28" s="241">
        <v>2358</v>
      </c>
      <c r="AQ28" s="241"/>
      <c r="AR28" s="241"/>
      <c r="AS28" s="241"/>
      <c r="AT28" s="241"/>
      <c r="AU28" s="241"/>
      <c r="AV28" s="241"/>
      <c r="AW28" s="241">
        <v>545</v>
      </c>
      <c r="AX28" s="241">
        <v>6940</v>
      </c>
      <c r="AY28" s="241">
        <v>5932</v>
      </c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2">
        <f t="shared" si="6"/>
        <v>1200</v>
      </c>
      <c r="BS28" s="242">
        <f t="shared" si="6"/>
        <v>15840</v>
      </c>
      <c r="BT28" s="242">
        <f t="shared" si="6"/>
        <v>13325.2</v>
      </c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43"/>
      <c r="CQ28" s="143"/>
      <c r="CR28" s="143"/>
      <c r="CS28" s="104"/>
      <c r="CT28" s="104"/>
      <c r="CU28" s="104"/>
      <c r="CV28" s="241"/>
      <c r="CW28" s="241"/>
      <c r="CX28" s="241"/>
      <c r="CY28" s="241"/>
      <c r="CZ28" s="241"/>
      <c r="DA28" s="241"/>
      <c r="DB28" s="242">
        <f t="shared" si="4"/>
        <v>1200</v>
      </c>
      <c r="DC28" s="242">
        <f t="shared" si="4"/>
        <v>15840</v>
      </c>
      <c r="DD28" s="242">
        <f t="shared" si="4"/>
        <v>13325.2</v>
      </c>
      <c r="DG28" s="243"/>
      <c r="DH28" s="244"/>
      <c r="DI28" s="244"/>
      <c r="DJ28" s="244"/>
    </row>
    <row r="29" spans="1:116" ht="20.100000000000001" customHeight="1" x14ac:dyDescent="0.6">
      <c r="A29" s="234">
        <v>26</v>
      </c>
      <c r="B29" s="245" t="s">
        <v>135</v>
      </c>
      <c r="C29" s="234" t="s">
        <v>136</v>
      </c>
      <c r="D29" s="246" t="s">
        <v>137</v>
      </c>
      <c r="E29" s="246" t="s">
        <v>138</v>
      </c>
      <c r="F29" s="238" t="s">
        <v>56</v>
      </c>
      <c r="G29" s="239"/>
      <c r="H29" s="240"/>
      <c r="I29" s="240"/>
      <c r="J29" s="240"/>
      <c r="K29" s="240"/>
      <c r="L29" s="240"/>
      <c r="M29" s="240">
        <v>495</v>
      </c>
      <c r="N29" s="240">
        <v>7200</v>
      </c>
      <c r="O29" s="240">
        <v>5313.6</v>
      </c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104"/>
      <c r="AG29" s="104"/>
      <c r="AH29" s="241"/>
      <c r="AI29" s="241"/>
      <c r="AJ29" s="241"/>
      <c r="AK29" s="242">
        <f t="shared" si="5"/>
        <v>495</v>
      </c>
      <c r="AL29" s="242">
        <f t="shared" si="5"/>
        <v>7200</v>
      </c>
      <c r="AM29" s="242">
        <f t="shared" si="5"/>
        <v>5313.6</v>
      </c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>
        <v>500</v>
      </c>
      <c r="BM29" s="241">
        <v>7980</v>
      </c>
      <c r="BN29" s="241">
        <v>4754.8</v>
      </c>
      <c r="BO29" s="241"/>
      <c r="BP29" s="241"/>
      <c r="BQ29" s="241"/>
      <c r="BR29" s="242">
        <f t="shared" si="6"/>
        <v>995</v>
      </c>
      <c r="BS29" s="242">
        <f t="shared" si="6"/>
        <v>15180</v>
      </c>
      <c r="BT29" s="242">
        <f t="shared" si="6"/>
        <v>10068.400000000001</v>
      </c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43"/>
      <c r="CQ29" s="143"/>
      <c r="CR29" s="143"/>
      <c r="CS29" s="104"/>
      <c r="CT29" s="104"/>
      <c r="CU29" s="104"/>
      <c r="CV29" s="241"/>
      <c r="CW29" s="241"/>
      <c r="CX29" s="241"/>
      <c r="CY29" s="241"/>
      <c r="CZ29" s="241"/>
      <c r="DA29" s="241"/>
      <c r="DB29" s="242">
        <f t="shared" si="4"/>
        <v>995</v>
      </c>
      <c r="DC29" s="242">
        <f t="shared" si="4"/>
        <v>15180</v>
      </c>
      <c r="DD29" s="242">
        <f t="shared" si="4"/>
        <v>10068.400000000001</v>
      </c>
      <c r="DG29" s="243"/>
      <c r="DH29" s="244"/>
      <c r="DI29" s="244"/>
      <c r="DJ29" s="244"/>
    </row>
    <row r="30" spans="1:116" ht="20.100000000000001" customHeight="1" x14ac:dyDescent="0.6">
      <c r="A30" s="234">
        <v>27</v>
      </c>
      <c r="B30" s="245" t="s">
        <v>139</v>
      </c>
      <c r="C30" s="234" t="s">
        <v>140</v>
      </c>
      <c r="D30" s="246" t="s">
        <v>141</v>
      </c>
      <c r="E30" s="246" t="s">
        <v>142</v>
      </c>
      <c r="F30" s="238" t="s">
        <v>56</v>
      </c>
      <c r="G30" s="239"/>
      <c r="H30" s="240"/>
      <c r="I30" s="240"/>
      <c r="J30" s="240"/>
      <c r="K30" s="240"/>
      <c r="L30" s="240"/>
      <c r="M30" s="240">
        <v>30</v>
      </c>
      <c r="N30" s="240">
        <v>360</v>
      </c>
      <c r="O30" s="240">
        <v>360</v>
      </c>
      <c r="P30" s="240">
        <v>300</v>
      </c>
      <c r="Q30" s="240">
        <v>3800</v>
      </c>
      <c r="R30" s="240">
        <v>3296</v>
      </c>
      <c r="S30" s="240"/>
      <c r="T30" s="240"/>
      <c r="U30" s="240"/>
      <c r="V30" s="240">
        <v>400</v>
      </c>
      <c r="W30" s="240">
        <v>5000</v>
      </c>
      <c r="X30" s="240">
        <v>4496</v>
      </c>
      <c r="Y30" s="240"/>
      <c r="Z30" s="240"/>
      <c r="AA30" s="240"/>
      <c r="AB30" s="240"/>
      <c r="AC30" s="240"/>
      <c r="AD30" s="240"/>
      <c r="AE30" s="240"/>
      <c r="AF30" s="104"/>
      <c r="AG30" s="104"/>
      <c r="AH30" s="241">
        <v>380</v>
      </c>
      <c r="AI30" s="241">
        <v>5740</v>
      </c>
      <c r="AJ30" s="241">
        <v>3959.2</v>
      </c>
      <c r="AK30" s="242">
        <f t="shared" si="5"/>
        <v>1110</v>
      </c>
      <c r="AL30" s="242">
        <f t="shared" si="5"/>
        <v>14900</v>
      </c>
      <c r="AM30" s="242">
        <f t="shared" si="5"/>
        <v>12111.2</v>
      </c>
      <c r="AN30" s="241"/>
      <c r="AO30" s="241"/>
      <c r="AP30" s="241"/>
      <c r="AQ30" s="241"/>
      <c r="AR30" s="241"/>
      <c r="AS30" s="241"/>
      <c r="AT30" s="241">
        <v>100</v>
      </c>
      <c r="AU30" s="241">
        <v>1200</v>
      </c>
      <c r="AV30" s="241">
        <v>1200</v>
      </c>
      <c r="AW30" s="241"/>
      <c r="AX30" s="241"/>
      <c r="AY30" s="241"/>
      <c r="AZ30" s="241"/>
      <c r="BA30" s="241"/>
      <c r="BB30" s="241"/>
      <c r="BC30" s="241">
        <v>100</v>
      </c>
      <c r="BD30" s="241">
        <v>1200</v>
      </c>
      <c r="BE30" s="241">
        <v>1200</v>
      </c>
      <c r="BF30" s="241"/>
      <c r="BG30" s="241"/>
      <c r="BH30" s="241"/>
      <c r="BI30" s="241"/>
      <c r="BJ30" s="241"/>
      <c r="BK30" s="241"/>
      <c r="BL30" s="241"/>
      <c r="BM30" s="241"/>
      <c r="BN30" s="241"/>
      <c r="BO30" s="241">
        <v>80</v>
      </c>
      <c r="BP30" s="241">
        <v>1020</v>
      </c>
      <c r="BQ30" s="241">
        <v>868.8</v>
      </c>
      <c r="BR30" s="242">
        <f t="shared" si="6"/>
        <v>1390</v>
      </c>
      <c r="BS30" s="242">
        <f t="shared" si="6"/>
        <v>18320</v>
      </c>
      <c r="BT30" s="242">
        <f t="shared" si="6"/>
        <v>15380</v>
      </c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43"/>
      <c r="CQ30" s="143"/>
      <c r="CR30" s="143"/>
      <c r="CS30" s="104"/>
      <c r="CT30" s="104"/>
      <c r="CU30" s="104"/>
      <c r="CV30" s="241"/>
      <c r="CW30" s="241"/>
      <c r="CX30" s="241"/>
      <c r="CY30" s="241"/>
      <c r="CZ30" s="241"/>
      <c r="DA30" s="241"/>
      <c r="DB30" s="242">
        <f t="shared" si="4"/>
        <v>1390</v>
      </c>
      <c r="DC30" s="242">
        <f t="shared" si="4"/>
        <v>18320</v>
      </c>
      <c r="DD30" s="242">
        <f t="shared" si="4"/>
        <v>15380</v>
      </c>
      <c r="DG30" s="243"/>
      <c r="DH30" s="244"/>
      <c r="DI30" s="244"/>
      <c r="DJ30" s="244"/>
    </row>
    <row r="31" spans="1:116" ht="20.100000000000001" customHeight="1" x14ac:dyDescent="0.6">
      <c r="A31" s="234">
        <v>28</v>
      </c>
      <c r="B31" s="245" t="s">
        <v>143</v>
      </c>
      <c r="C31" s="234" t="s">
        <v>144</v>
      </c>
      <c r="D31" s="246" t="s">
        <v>145</v>
      </c>
      <c r="E31" s="246" t="s">
        <v>146</v>
      </c>
      <c r="F31" s="238" t="s">
        <v>56</v>
      </c>
      <c r="G31" s="239"/>
      <c r="H31" s="240"/>
      <c r="I31" s="240"/>
      <c r="J31" s="240"/>
      <c r="K31" s="240"/>
      <c r="L31" s="240"/>
      <c r="M31" s="240"/>
      <c r="N31" s="240"/>
      <c r="O31" s="240"/>
      <c r="P31" s="240">
        <v>220</v>
      </c>
      <c r="Q31" s="240">
        <v>3080</v>
      </c>
      <c r="R31" s="240">
        <v>2187.1999999999998</v>
      </c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>
        <v>50</v>
      </c>
      <c r="AF31" s="104">
        <v>660</v>
      </c>
      <c r="AG31" s="104">
        <v>508.8</v>
      </c>
      <c r="AH31" s="241"/>
      <c r="AI31" s="241"/>
      <c r="AJ31" s="241"/>
      <c r="AK31" s="242">
        <f t="shared" si="5"/>
        <v>270</v>
      </c>
      <c r="AL31" s="242">
        <f t="shared" si="5"/>
        <v>3740</v>
      </c>
      <c r="AM31" s="242">
        <f t="shared" si="5"/>
        <v>2696</v>
      </c>
      <c r="AN31" s="241">
        <v>90</v>
      </c>
      <c r="AO31" s="241">
        <v>1220</v>
      </c>
      <c r="AP31" s="241">
        <v>867.2</v>
      </c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  <c r="BD31" s="241"/>
      <c r="BE31" s="241"/>
      <c r="BF31" s="241">
        <v>260</v>
      </c>
      <c r="BG31" s="241">
        <v>3560</v>
      </c>
      <c r="BH31" s="241">
        <v>2721.2000000000003</v>
      </c>
      <c r="BI31" s="241"/>
      <c r="BJ31" s="241"/>
      <c r="BK31" s="241"/>
      <c r="BL31" s="241"/>
      <c r="BM31" s="241"/>
      <c r="BN31" s="241"/>
      <c r="BO31" s="241">
        <v>220</v>
      </c>
      <c r="BP31" s="241">
        <v>2940</v>
      </c>
      <c r="BQ31" s="241">
        <v>2094</v>
      </c>
      <c r="BR31" s="242">
        <f t="shared" si="6"/>
        <v>840</v>
      </c>
      <c r="BS31" s="242">
        <f t="shared" si="6"/>
        <v>11460</v>
      </c>
      <c r="BT31" s="242">
        <f t="shared" si="6"/>
        <v>8378.4</v>
      </c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43"/>
      <c r="CQ31" s="143"/>
      <c r="CR31" s="143"/>
      <c r="CS31" s="104"/>
      <c r="CT31" s="104"/>
      <c r="CU31" s="104"/>
      <c r="CV31" s="241"/>
      <c r="CW31" s="241"/>
      <c r="CX31" s="241"/>
      <c r="CY31" s="241"/>
      <c r="CZ31" s="241"/>
      <c r="DA31" s="241"/>
      <c r="DB31" s="242">
        <f t="shared" si="4"/>
        <v>840</v>
      </c>
      <c r="DC31" s="242">
        <f t="shared" si="4"/>
        <v>11460</v>
      </c>
      <c r="DD31" s="242">
        <f t="shared" si="4"/>
        <v>8378.4</v>
      </c>
      <c r="DG31" s="243"/>
      <c r="DH31" s="244"/>
      <c r="DI31" s="244"/>
      <c r="DJ31" s="244"/>
    </row>
    <row r="32" spans="1:116" ht="20.100000000000001" customHeight="1" x14ac:dyDescent="0.6">
      <c r="A32" s="234">
        <v>29</v>
      </c>
      <c r="B32" s="245" t="s">
        <v>147</v>
      </c>
      <c r="C32" s="234" t="s">
        <v>148</v>
      </c>
      <c r="D32" s="246" t="s">
        <v>123</v>
      </c>
      <c r="E32" s="246" t="s">
        <v>124</v>
      </c>
      <c r="F32" s="238" t="s">
        <v>56</v>
      </c>
      <c r="G32" s="239"/>
      <c r="H32" s="240"/>
      <c r="I32" s="240"/>
      <c r="J32" s="240"/>
      <c r="K32" s="240"/>
      <c r="L32" s="240"/>
      <c r="M32" s="240">
        <v>45</v>
      </c>
      <c r="N32" s="240">
        <v>960</v>
      </c>
      <c r="O32" s="240">
        <v>570</v>
      </c>
      <c r="P32" s="240"/>
      <c r="Q32" s="240"/>
      <c r="R32" s="240"/>
      <c r="S32" s="240">
        <v>65</v>
      </c>
      <c r="T32" s="240">
        <v>810</v>
      </c>
      <c r="U32" s="240">
        <v>734.4</v>
      </c>
      <c r="V32" s="240"/>
      <c r="W32" s="240"/>
      <c r="X32" s="240"/>
      <c r="Y32" s="240">
        <v>40</v>
      </c>
      <c r="Z32" s="240">
        <v>500</v>
      </c>
      <c r="AA32" s="240">
        <v>449.6</v>
      </c>
      <c r="AB32" s="240"/>
      <c r="AC32" s="240"/>
      <c r="AD32" s="240"/>
      <c r="AE32" s="240"/>
      <c r="AF32" s="104"/>
      <c r="AG32" s="104"/>
      <c r="AH32" s="241">
        <v>30</v>
      </c>
      <c r="AI32" s="241">
        <v>360</v>
      </c>
      <c r="AJ32" s="241">
        <v>360</v>
      </c>
      <c r="AK32" s="242">
        <f t="shared" si="5"/>
        <v>180</v>
      </c>
      <c r="AL32" s="242">
        <f t="shared" si="5"/>
        <v>2630</v>
      </c>
      <c r="AM32" s="242">
        <f t="shared" si="5"/>
        <v>2114</v>
      </c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>
        <v>90</v>
      </c>
      <c r="BD32" s="241">
        <v>1230</v>
      </c>
      <c r="BE32" s="241">
        <v>1074.8</v>
      </c>
      <c r="BF32" s="241"/>
      <c r="BG32" s="241"/>
      <c r="BH32" s="241"/>
      <c r="BI32" s="241"/>
      <c r="BJ32" s="241"/>
      <c r="BK32" s="241"/>
      <c r="BL32" s="241">
        <v>45</v>
      </c>
      <c r="BM32" s="241">
        <v>960</v>
      </c>
      <c r="BN32" s="241">
        <v>570</v>
      </c>
      <c r="BO32" s="241"/>
      <c r="BP32" s="241"/>
      <c r="BQ32" s="241"/>
      <c r="BR32" s="242">
        <f t="shared" si="6"/>
        <v>315</v>
      </c>
      <c r="BS32" s="242">
        <f t="shared" si="6"/>
        <v>4820</v>
      </c>
      <c r="BT32" s="242">
        <f t="shared" si="6"/>
        <v>3758.8</v>
      </c>
      <c r="BU32" s="104"/>
      <c r="BV32" s="104"/>
      <c r="BW32" s="104"/>
      <c r="BX32" s="104"/>
      <c r="BY32" s="104"/>
      <c r="BZ32" s="240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43"/>
      <c r="CQ32" s="143"/>
      <c r="CR32" s="143"/>
      <c r="CS32" s="104"/>
      <c r="CT32" s="104"/>
      <c r="CU32" s="104"/>
      <c r="CV32" s="241"/>
      <c r="CW32" s="241"/>
      <c r="CX32" s="241"/>
      <c r="CY32" s="241"/>
      <c r="CZ32" s="241"/>
      <c r="DA32" s="241"/>
      <c r="DB32" s="242">
        <f t="shared" si="4"/>
        <v>315</v>
      </c>
      <c r="DC32" s="242">
        <f t="shared" si="4"/>
        <v>4820</v>
      </c>
      <c r="DD32" s="242">
        <f t="shared" si="4"/>
        <v>3758.8</v>
      </c>
      <c r="DG32" s="243"/>
      <c r="DH32" s="244"/>
      <c r="DI32" s="244"/>
      <c r="DJ32" s="244"/>
    </row>
    <row r="33" spans="1:114" ht="20.100000000000001" customHeight="1" x14ac:dyDescent="0.6">
      <c r="A33" s="234">
        <v>30</v>
      </c>
      <c r="B33" s="245" t="s">
        <v>149</v>
      </c>
      <c r="C33" s="234" t="s">
        <v>150</v>
      </c>
      <c r="D33" s="246" t="s">
        <v>151</v>
      </c>
      <c r="E33" s="246" t="s">
        <v>152</v>
      </c>
      <c r="F33" s="238" t="s">
        <v>56</v>
      </c>
      <c r="G33" s="239"/>
      <c r="H33" s="240"/>
      <c r="I33" s="240"/>
      <c r="J33" s="240"/>
      <c r="K33" s="240"/>
      <c r="L33" s="240"/>
      <c r="M33" s="240">
        <v>280</v>
      </c>
      <c r="N33" s="240">
        <v>4120</v>
      </c>
      <c r="O33" s="240">
        <v>3048</v>
      </c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104"/>
      <c r="AG33" s="104"/>
      <c r="AH33" s="241"/>
      <c r="AI33" s="241"/>
      <c r="AJ33" s="241"/>
      <c r="AK33" s="242">
        <f t="shared" si="5"/>
        <v>280</v>
      </c>
      <c r="AL33" s="242">
        <f t="shared" si="5"/>
        <v>4120</v>
      </c>
      <c r="AM33" s="242">
        <f t="shared" si="5"/>
        <v>3048</v>
      </c>
      <c r="AN33" s="241"/>
      <c r="AO33" s="241"/>
      <c r="AP33" s="241"/>
      <c r="AQ33" s="241">
        <v>220</v>
      </c>
      <c r="AR33" s="241">
        <v>3300</v>
      </c>
      <c r="AS33" s="241">
        <v>2528</v>
      </c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>
        <v>280</v>
      </c>
      <c r="BG33" s="241">
        <v>4200</v>
      </c>
      <c r="BH33" s="241">
        <v>3204</v>
      </c>
      <c r="BI33" s="241"/>
      <c r="BJ33" s="241"/>
      <c r="BK33" s="241"/>
      <c r="BL33" s="241"/>
      <c r="BM33" s="241"/>
      <c r="BN33" s="241"/>
      <c r="BO33" s="241"/>
      <c r="BP33" s="241"/>
      <c r="BQ33" s="241"/>
      <c r="BR33" s="242">
        <f t="shared" si="6"/>
        <v>780</v>
      </c>
      <c r="BS33" s="242">
        <f t="shared" si="6"/>
        <v>11620</v>
      </c>
      <c r="BT33" s="242">
        <f t="shared" si="6"/>
        <v>8780</v>
      </c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43"/>
      <c r="CQ33" s="143"/>
      <c r="CR33" s="143"/>
      <c r="CS33" s="104"/>
      <c r="CT33" s="104"/>
      <c r="CU33" s="104"/>
      <c r="CV33" s="241"/>
      <c r="CW33" s="241"/>
      <c r="CX33" s="241"/>
      <c r="CY33" s="241"/>
      <c r="CZ33" s="241"/>
      <c r="DA33" s="241"/>
      <c r="DB33" s="242">
        <f t="shared" si="4"/>
        <v>780</v>
      </c>
      <c r="DC33" s="242">
        <f t="shared" si="4"/>
        <v>11620</v>
      </c>
      <c r="DD33" s="242">
        <f t="shared" si="4"/>
        <v>8780</v>
      </c>
      <c r="DG33" s="243"/>
      <c r="DH33" s="244"/>
      <c r="DI33" s="244"/>
      <c r="DJ33" s="244"/>
    </row>
    <row r="34" spans="1:114" ht="20.100000000000001" customHeight="1" x14ac:dyDescent="0.6">
      <c r="A34" s="234">
        <v>31</v>
      </c>
      <c r="B34" s="245" t="s">
        <v>153</v>
      </c>
      <c r="C34" s="234" t="s">
        <v>154</v>
      </c>
      <c r="D34" s="246" t="s">
        <v>116</v>
      </c>
      <c r="E34" s="246" t="s">
        <v>117</v>
      </c>
      <c r="F34" s="238" t="s">
        <v>56</v>
      </c>
      <c r="G34" s="239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>
        <v>430</v>
      </c>
      <c r="Z34" s="240">
        <v>6060</v>
      </c>
      <c r="AA34" s="240">
        <v>4014.8</v>
      </c>
      <c r="AB34" s="240"/>
      <c r="AC34" s="240"/>
      <c r="AD34" s="240"/>
      <c r="AE34" s="240"/>
      <c r="AF34" s="104"/>
      <c r="AG34" s="104"/>
      <c r="AH34" s="241"/>
      <c r="AI34" s="241"/>
      <c r="AJ34" s="241"/>
      <c r="AK34" s="242">
        <f t="shared" si="5"/>
        <v>430</v>
      </c>
      <c r="AL34" s="242">
        <f t="shared" si="5"/>
        <v>6060</v>
      </c>
      <c r="AM34" s="242">
        <f t="shared" si="5"/>
        <v>4014.8</v>
      </c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  <c r="BO34" s="241"/>
      <c r="BP34" s="241"/>
      <c r="BQ34" s="241"/>
      <c r="BR34" s="242">
        <f t="shared" si="6"/>
        <v>430</v>
      </c>
      <c r="BS34" s="242">
        <f t="shared" si="6"/>
        <v>6060</v>
      </c>
      <c r="BT34" s="242">
        <f t="shared" si="6"/>
        <v>4014.8</v>
      </c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43"/>
      <c r="CQ34" s="143"/>
      <c r="CR34" s="143"/>
      <c r="CS34" s="104"/>
      <c r="CT34" s="104"/>
      <c r="CU34" s="104"/>
      <c r="CV34" s="241"/>
      <c r="CW34" s="241"/>
      <c r="CX34" s="241"/>
      <c r="CY34" s="241"/>
      <c r="CZ34" s="241"/>
      <c r="DA34" s="241"/>
      <c r="DB34" s="242">
        <f t="shared" si="4"/>
        <v>430</v>
      </c>
      <c r="DC34" s="242">
        <f t="shared" si="4"/>
        <v>6060</v>
      </c>
      <c r="DD34" s="242">
        <f t="shared" si="4"/>
        <v>4014.8</v>
      </c>
      <c r="DG34" s="243"/>
      <c r="DH34" s="244"/>
      <c r="DI34" s="244"/>
      <c r="DJ34" s="244"/>
    </row>
    <row r="35" spans="1:114" ht="20.100000000000001" customHeight="1" x14ac:dyDescent="0.6">
      <c r="A35" s="234">
        <v>32</v>
      </c>
      <c r="B35" s="245" t="s">
        <v>155</v>
      </c>
      <c r="C35" s="234" t="s">
        <v>156</v>
      </c>
      <c r="D35" s="246" t="s">
        <v>157</v>
      </c>
      <c r="E35" s="246" t="s">
        <v>158</v>
      </c>
      <c r="F35" s="238" t="s">
        <v>56</v>
      </c>
      <c r="G35" s="239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>
        <v>250</v>
      </c>
      <c r="Z35" s="240">
        <v>3460</v>
      </c>
      <c r="AA35" s="240">
        <v>2300.8000000000002</v>
      </c>
      <c r="AB35" s="240"/>
      <c r="AC35" s="240"/>
      <c r="AD35" s="240"/>
      <c r="AE35" s="240"/>
      <c r="AF35" s="104"/>
      <c r="AG35" s="104"/>
      <c r="AH35" s="241"/>
      <c r="AI35" s="241"/>
      <c r="AJ35" s="241"/>
      <c r="AK35" s="242">
        <f t="shared" si="5"/>
        <v>250</v>
      </c>
      <c r="AL35" s="242">
        <f t="shared" si="5"/>
        <v>3460</v>
      </c>
      <c r="AM35" s="242">
        <f t="shared" si="5"/>
        <v>2300.8000000000002</v>
      </c>
      <c r="AN35" s="241"/>
      <c r="AO35" s="241"/>
      <c r="AP35" s="241"/>
      <c r="AQ35" s="241"/>
      <c r="AR35" s="241"/>
      <c r="AS35" s="241"/>
      <c r="AT35" s="241"/>
      <c r="AU35" s="241"/>
      <c r="AV35" s="241"/>
      <c r="AW35" s="241">
        <v>200</v>
      </c>
      <c r="AX35" s="241">
        <v>2800</v>
      </c>
      <c r="AY35" s="241">
        <v>1792</v>
      </c>
      <c r="AZ35" s="241"/>
      <c r="BA35" s="241"/>
      <c r="BB35" s="241"/>
      <c r="BC35" s="241"/>
      <c r="BD35" s="241"/>
      <c r="BE35" s="241"/>
      <c r="BF35" s="241">
        <v>230</v>
      </c>
      <c r="BG35" s="241">
        <v>3160</v>
      </c>
      <c r="BH35" s="241">
        <v>2152</v>
      </c>
      <c r="BI35" s="241"/>
      <c r="BJ35" s="241"/>
      <c r="BK35" s="241"/>
      <c r="BL35" s="241"/>
      <c r="BM35" s="241"/>
      <c r="BN35" s="241"/>
      <c r="BO35" s="241"/>
      <c r="BP35" s="241"/>
      <c r="BQ35" s="241"/>
      <c r="BR35" s="242">
        <f t="shared" si="6"/>
        <v>680</v>
      </c>
      <c r="BS35" s="242">
        <f t="shared" si="6"/>
        <v>9420</v>
      </c>
      <c r="BT35" s="242">
        <f t="shared" si="6"/>
        <v>6244.8</v>
      </c>
      <c r="BU35" s="104"/>
      <c r="BV35" s="104"/>
      <c r="BW35" s="104"/>
      <c r="BX35" s="104"/>
      <c r="BY35" s="104"/>
      <c r="BZ35" s="104"/>
      <c r="CA35" s="105"/>
      <c r="CB35" s="105"/>
      <c r="CC35" s="105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43"/>
      <c r="CQ35" s="143"/>
      <c r="CR35" s="143"/>
      <c r="CS35" s="104"/>
      <c r="CT35" s="104"/>
      <c r="CU35" s="104"/>
      <c r="CV35" s="241"/>
      <c r="CW35" s="241"/>
      <c r="CX35" s="241"/>
      <c r="CY35" s="241"/>
      <c r="CZ35" s="241"/>
      <c r="DA35" s="241"/>
      <c r="DB35" s="242">
        <f t="shared" si="4"/>
        <v>680</v>
      </c>
      <c r="DC35" s="242">
        <f t="shared" si="4"/>
        <v>9420</v>
      </c>
      <c r="DD35" s="242">
        <f t="shared" si="4"/>
        <v>6244.8</v>
      </c>
      <c r="DG35" s="243"/>
      <c r="DH35" s="244"/>
      <c r="DI35" s="244"/>
      <c r="DJ35" s="244"/>
    </row>
    <row r="36" spans="1:114" ht="20.100000000000001" customHeight="1" x14ac:dyDescent="0.6">
      <c r="A36" s="234">
        <v>33</v>
      </c>
      <c r="B36" s="245" t="s">
        <v>159</v>
      </c>
      <c r="C36" s="234" t="s">
        <v>160</v>
      </c>
      <c r="D36" s="245" t="s">
        <v>161</v>
      </c>
      <c r="E36" s="245" t="s">
        <v>61</v>
      </c>
      <c r="F36" s="238" t="s">
        <v>56</v>
      </c>
      <c r="G36" s="249"/>
      <c r="H36" s="250"/>
      <c r="I36" s="250"/>
      <c r="J36" s="250"/>
      <c r="K36" s="250"/>
      <c r="L36" s="250"/>
      <c r="M36" s="250">
        <v>60</v>
      </c>
      <c r="N36" s="250">
        <v>740</v>
      </c>
      <c r="O36" s="250">
        <v>689.6</v>
      </c>
      <c r="P36" s="250"/>
      <c r="Q36" s="250"/>
      <c r="R36" s="250"/>
      <c r="S36" s="250">
        <v>70</v>
      </c>
      <c r="T36" s="250">
        <v>1020</v>
      </c>
      <c r="U36" s="250">
        <v>765.2</v>
      </c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143"/>
      <c r="AG36" s="143"/>
      <c r="AH36" s="241">
        <v>75</v>
      </c>
      <c r="AI36" s="241">
        <v>1100</v>
      </c>
      <c r="AJ36" s="241">
        <v>770.8</v>
      </c>
      <c r="AK36" s="242">
        <f t="shared" si="5"/>
        <v>205</v>
      </c>
      <c r="AL36" s="242">
        <f t="shared" si="5"/>
        <v>2860</v>
      </c>
      <c r="AM36" s="242">
        <f t="shared" si="5"/>
        <v>2225.6000000000004</v>
      </c>
      <c r="AN36" s="241"/>
      <c r="AO36" s="241"/>
      <c r="AP36" s="241"/>
      <c r="AQ36" s="241"/>
      <c r="AR36" s="241"/>
      <c r="AS36" s="241"/>
      <c r="AT36" s="241"/>
      <c r="AU36" s="241"/>
      <c r="AV36" s="241"/>
      <c r="AW36" s="241"/>
      <c r="AX36" s="241"/>
      <c r="AY36" s="241"/>
      <c r="AZ36" s="241"/>
      <c r="BA36" s="241"/>
      <c r="BB36" s="241"/>
      <c r="BC36" s="241">
        <v>120</v>
      </c>
      <c r="BD36" s="241">
        <v>1820</v>
      </c>
      <c r="BE36" s="241">
        <v>1260</v>
      </c>
      <c r="BF36" s="241"/>
      <c r="BG36" s="241"/>
      <c r="BH36" s="241"/>
      <c r="BI36" s="241"/>
      <c r="BJ36" s="241"/>
      <c r="BK36" s="241"/>
      <c r="BL36" s="241">
        <v>90</v>
      </c>
      <c r="BM36" s="241">
        <v>1160</v>
      </c>
      <c r="BN36" s="241">
        <v>958.40000000000009</v>
      </c>
      <c r="BO36" s="241"/>
      <c r="BP36" s="241"/>
      <c r="BQ36" s="241"/>
      <c r="BR36" s="242">
        <f t="shared" si="6"/>
        <v>415</v>
      </c>
      <c r="BS36" s="242">
        <f t="shared" si="6"/>
        <v>5840</v>
      </c>
      <c r="BT36" s="242">
        <f t="shared" si="6"/>
        <v>4444</v>
      </c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  <c r="CQ36" s="143"/>
      <c r="CR36" s="143"/>
      <c r="CS36" s="143"/>
      <c r="CT36" s="143"/>
      <c r="CU36" s="143"/>
      <c r="CV36" s="241"/>
      <c r="CW36" s="241"/>
      <c r="CX36" s="241"/>
      <c r="CY36" s="241"/>
      <c r="CZ36" s="241"/>
      <c r="DA36" s="241"/>
      <c r="DB36" s="242">
        <f t="shared" si="4"/>
        <v>415</v>
      </c>
      <c r="DC36" s="242">
        <f t="shared" si="4"/>
        <v>5840</v>
      </c>
      <c r="DD36" s="242">
        <f t="shared" si="4"/>
        <v>4444</v>
      </c>
      <c r="DG36" s="243"/>
      <c r="DH36" s="244"/>
      <c r="DI36" s="244"/>
      <c r="DJ36" s="244"/>
    </row>
    <row r="37" spans="1:114" ht="20.100000000000001" customHeight="1" x14ac:dyDescent="0.6">
      <c r="A37" s="234">
        <v>34</v>
      </c>
      <c r="B37" s="245" t="s">
        <v>162</v>
      </c>
      <c r="C37" s="234" t="s">
        <v>163</v>
      </c>
      <c r="D37" s="246" t="s">
        <v>82</v>
      </c>
      <c r="E37" s="246" t="s">
        <v>83</v>
      </c>
      <c r="F37" s="238" t="s">
        <v>56</v>
      </c>
      <c r="G37" s="249"/>
      <c r="H37" s="250"/>
      <c r="I37" s="250"/>
      <c r="J37" s="250"/>
      <c r="K37" s="250"/>
      <c r="L37" s="250"/>
      <c r="M37" s="250"/>
      <c r="N37" s="250"/>
      <c r="O37" s="250"/>
      <c r="P37" s="250">
        <v>350</v>
      </c>
      <c r="Q37" s="250">
        <v>5440</v>
      </c>
      <c r="R37" s="250">
        <v>3652</v>
      </c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143"/>
      <c r="AG37" s="143"/>
      <c r="AH37" s="241"/>
      <c r="AI37" s="241"/>
      <c r="AJ37" s="241"/>
      <c r="AK37" s="242">
        <f t="shared" si="5"/>
        <v>350</v>
      </c>
      <c r="AL37" s="242">
        <f t="shared" si="5"/>
        <v>5440</v>
      </c>
      <c r="AM37" s="242">
        <f t="shared" si="5"/>
        <v>3652</v>
      </c>
      <c r="AN37" s="241"/>
      <c r="AO37" s="241"/>
      <c r="AP37" s="241"/>
      <c r="AQ37" s="241"/>
      <c r="AR37" s="241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1"/>
      <c r="BK37" s="241"/>
      <c r="BL37" s="241">
        <v>303</v>
      </c>
      <c r="BM37" s="241">
        <v>3836</v>
      </c>
      <c r="BN37" s="241">
        <v>3317.6</v>
      </c>
      <c r="BO37" s="241"/>
      <c r="BP37" s="241"/>
      <c r="BQ37" s="241"/>
      <c r="BR37" s="242">
        <f t="shared" si="6"/>
        <v>653</v>
      </c>
      <c r="BS37" s="242">
        <f t="shared" si="6"/>
        <v>9276</v>
      </c>
      <c r="BT37" s="242">
        <f t="shared" si="6"/>
        <v>6969.6</v>
      </c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241"/>
      <c r="CW37" s="241"/>
      <c r="CX37" s="241"/>
      <c r="CY37" s="241"/>
      <c r="CZ37" s="241"/>
      <c r="DA37" s="241"/>
      <c r="DB37" s="242">
        <f t="shared" si="4"/>
        <v>653</v>
      </c>
      <c r="DC37" s="242">
        <f t="shared" si="4"/>
        <v>9276</v>
      </c>
      <c r="DD37" s="242">
        <f t="shared" si="4"/>
        <v>6969.6</v>
      </c>
      <c r="DG37" s="243"/>
      <c r="DH37" s="244"/>
      <c r="DI37" s="244"/>
      <c r="DJ37" s="244"/>
    </row>
    <row r="38" spans="1:114" ht="20.100000000000001" customHeight="1" x14ac:dyDescent="0.6">
      <c r="A38" s="234">
        <v>35</v>
      </c>
      <c r="B38" s="245" t="s">
        <v>164</v>
      </c>
      <c r="C38" s="234" t="s">
        <v>165</v>
      </c>
      <c r="D38" s="246" t="s">
        <v>116</v>
      </c>
      <c r="E38" s="246" t="s">
        <v>117</v>
      </c>
      <c r="F38" s="238" t="s">
        <v>56</v>
      </c>
      <c r="G38" s="239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>
        <v>265</v>
      </c>
      <c r="W38" s="240">
        <v>3520</v>
      </c>
      <c r="X38" s="240">
        <v>2728</v>
      </c>
      <c r="Y38" s="240"/>
      <c r="Z38" s="240"/>
      <c r="AA38" s="240"/>
      <c r="AB38" s="240"/>
      <c r="AC38" s="240"/>
      <c r="AD38" s="240"/>
      <c r="AE38" s="240"/>
      <c r="AF38" s="104"/>
      <c r="AG38" s="104"/>
      <c r="AH38" s="241"/>
      <c r="AI38" s="241"/>
      <c r="AJ38" s="241"/>
      <c r="AK38" s="242">
        <f t="shared" si="5"/>
        <v>265</v>
      </c>
      <c r="AL38" s="242">
        <f t="shared" si="5"/>
        <v>3520</v>
      </c>
      <c r="AM38" s="242">
        <f t="shared" si="5"/>
        <v>2728</v>
      </c>
      <c r="AN38" s="241"/>
      <c r="AO38" s="241"/>
      <c r="AP38" s="241"/>
      <c r="AQ38" s="241"/>
      <c r="AR38" s="241"/>
      <c r="AS38" s="241"/>
      <c r="AT38" s="241">
        <v>125</v>
      </c>
      <c r="AU38" s="241">
        <v>1780</v>
      </c>
      <c r="AV38" s="241">
        <v>1297.2</v>
      </c>
      <c r="AW38" s="241">
        <v>250</v>
      </c>
      <c r="AX38" s="241">
        <v>3480</v>
      </c>
      <c r="AY38" s="241">
        <v>2680</v>
      </c>
      <c r="AZ38" s="241"/>
      <c r="BA38" s="241"/>
      <c r="BB38" s="241"/>
      <c r="BC38" s="241"/>
      <c r="BD38" s="241"/>
      <c r="BE38" s="241"/>
      <c r="BF38" s="241"/>
      <c r="BG38" s="241"/>
      <c r="BH38" s="241"/>
      <c r="BI38" s="241">
        <v>215</v>
      </c>
      <c r="BJ38" s="241">
        <v>3160</v>
      </c>
      <c r="BK38" s="241">
        <v>2126</v>
      </c>
      <c r="BL38" s="241"/>
      <c r="BM38" s="241"/>
      <c r="BN38" s="241"/>
      <c r="BO38" s="241"/>
      <c r="BP38" s="241"/>
      <c r="BQ38" s="241"/>
      <c r="BR38" s="242">
        <f t="shared" si="6"/>
        <v>855</v>
      </c>
      <c r="BS38" s="242">
        <f t="shared" si="6"/>
        <v>11940</v>
      </c>
      <c r="BT38" s="242">
        <f t="shared" si="6"/>
        <v>8831.2000000000007</v>
      </c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43"/>
      <c r="CQ38" s="143"/>
      <c r="CR38" s="143"/>
      <c r="CS38" s="104"/>
      <c r="CT38" s="104"/>
      <c r="CU38" s="104"/>
      <c r="CV38" s="241"/>
      <c r="CW38" s="241"/>
      <c r="CX38" s="241"/>
      <c r="CY38" s="241"/>
      <c r="CZ38" s="241"/>
      <c r="DA38" s="241"/>
      <c r="DB38" s="242">
        <f t="shared" si="4"/>
        <v>855</v>
      </c>
      <c r="DC38" s="242">
        <f t="shared" si="4"/>
        <v>11940</v>
      </c>
      <c r="DD38" s="242">
        <f t="shared" si="4"/>
        <v>8831.2000000000007</v>
      </c>
      <c r="DG38" s="243"/>
      <c r="DH38" s="244"/>
      <c r="DI38" s="244"/>
      <c r="DJ38" s="244"/>
    </row>
    <row r="39" spans="1:114" ht="20.100000000000001" customHeight="1" x14ac:dyDescent="0.6">
      <c r="A39" s="234">
        <v>36</v>
      </c>
      <c r="B39" s="245" t="s">
        <v>166</v>
      </c>
      <c r="C39" s="251" t="s">
        <v>167</v>
      </c>
      <c r="D39" s="246" t="s">
        <v>168</v>
      </c>
      <c r="E39" s="245" t="s">
        <v>169</v>
      </c>
      <c r="F39" s="238" t="s">
        <v>56</v>
      </c>
      <c r="G39" s="239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>
        <v>250</v>
      </c>
      <c r="AF39" s="104">
        <v>3920</v>
      </c>
      <c r="AG39" s="104">
        <v>2866.4</v>
      </c>
      <c r="AH39" s="241"/>
      <c r="AI39" s="241"/>
      <c r="AJ39" s="241"/>
      <c r="AK39" s="242">
        <f t="shared" si="5"/>
        <v>250</v>
      </c>
      <c r="AL39" s="242">
        <f t="shared" si="5"/>
        <v>3920</v>
      </c>
      <c r="AM39" s="242">
        <f t="shared" si="5"/>
        <v>2866.4</v>
      </c>
      <c r="AN39" s="241"/>
      <c r="AO39" s="241"/>
      <c r="AP39" s="241"/>
      <c r="AQ39" s="241"/>
      <c r="AR39" s="241"/>
      <c r="AS39" s="241"/>
      <c r="AT39" s="241"/>
      <c r="AU39" s="241"/>
      <c r="AV39" s="241"/>
      <c r="AW39" s="241"/>
      <c r="AX39" s="241"/>
      <c r="AY39" s="241"/>
      <c r="AZ39" s="241"/>
      <c r="BA39" s="241"/>
      <c r="BB39" s="241"/>
      <c r="BC39" s="241">
        <v>250</v>
      </c>
      <c r="BD39" s="241">
        <v>3650</v>
      </c>
      <c r="BE39" s="241">
        <v>2807.2</v>
      </c>
      <c r="BF39" s="241"/>
      <c r="BG39" s="241"/>
      <c r="BH39" s="241"/>
      <c r="BI39" s="241">
        <v>150</v>
      </c>
      <c r="BJ39" s="241">
        <v>1800</v>
      </c>
      <c r="BK39" s="241">
        <v>1800</v>
      </c>
      <c r="BL39" s="241"/>
      <c r="BM39" s="241"/>
      <c r="BN39" s="241"/>
      <c r="BO39" s="241"/>
      <c r="BP39" s="241"/>
      <c r="BQ39" s="241"/>
      <c r="BR39" s="242">
        <f t="shared" si="6"/>
        <v>650</v>
      </c>
      <c r="BS39" s="242">
        <f t="shared" si="6"/>
        <v>9370</v>
      </c>
      <c r="BT39" s="242">
        <f t="shared" si="6"/>
        <v>7473.6</v>
      </c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43"/>
      <c r="CQ39" s="143"/>
      <c r="CR39" s="143"/>
      <c r="CS39" s="104"/>
      <c r="CT39" s="104"/>
      <c r="CU39" s="104"/>
      <c r="CV39" s="241"/>
      <c r="CW39" s="241"/>
      <c r="CX39" s="241"/>
      <c r="CY39" s="241"/>
      <c r="CZ39" s="241"/>
      <c r="DA39" s="241"/>
      <c r="DB39" s="242">
        <f t="shared" si="4"/>
        <v>650</v>
      </c>
      <c r="DC39" s="242">
        <f t="shared" si="4"/>
        <v>9370</v>
      </c>
      <c r="DD39" s="242">
        <f t="shared" si="4"/>
        <v>7473.6</v>
      </c>
      <c r="DG39" s="243"/>
      <c r="DH39" s="244"/>
      <c r="DI39" s="244"/>
      <c r="DJ39" s="244"/>
    </row>
    <row r="40" spans="1:114" ht="20.100000000000001" customHeight="1" x14ac:dyDescent="0.6">
      <c r="A40" s="234">
        <v>37</v>
      </c>
      <c r="B40" s="245" t="s">
        <v>170</v>
      </c>
      <c r="C40" s="234" t="s">
        <v>171</v>
      </c>
      <c r="D40" s="246" t="s">
        <v>172</v>
      </c>
      <c r="E40" s="246" t="s">
        <v>173</v>
      </c>
      <c r="F40" s="238" t="s">
        <v>56</v>
      </c>
      <c r="G40" s="239"/>
      <c r="H40" s="240"/>
      <c r="I40" s="240"/>
      <c r="J40" s="240"/>
      <c r="K40" s="240"/>
      <c r="L40" s="240"/>
      <c r="M40" s="240"/>
      <c r="N40" s="240"/>
      <c r="O40" s="240"/>
      <c r="P40" s="240">
        <v>149</v>
      </c>
      <c r="Q40" s="240">
        <v>2068</v>
      </c>
      <c r="R40" s="240">
        <v>1712</v>
      </c>
      <c r="S40" s="240"/>
      <c r="T40" s="240"/>
      <c r="U40" s="240"/>
      <c r="V40" s="240">
        <v>143</v>
      </c>
      <c r="W40" s="240">
        <v>2236</v>
      </c>
      <c r="X40" s="240">
        <v>1535.2</v>
      </c>
      <c r="Y40" s="240"/>
      <c r="Z40" s="240"/>
      <c r="AA40" s="240"/>
      <c r="AB40" s="240"/>
      <c r="AC40" s="240"/>
      <c r="AD40" s="240"/>
      <c r="AE40" s="240"/>
      <c r="AF40" s="104"/>
      <c r="AG40" s="104"/>
      <c r="AH40" s="241"/>
      <c r="AI40" s="241"/>
      <c r="AJ40" s="241"/>
      <c r="AK40" s="242">
        <f t="shared" si="5"/>
        <v>292</v>
      </c>
      <c r="AL40" s="242">
        <f t="shared" si="5"/>
        <v>4304</v>
      </c>
      <c r="AM40" s="242">
        <f t="shared" si="5"/>
        <v>3247.2</v>
      </c>
      <c r="AN40" s="241"/>
      <c r="AO40" s="241"/>
      <c r="AP40" s="241"/>
      <c r="AQ40" s="241">
        <v>130</v>
      </c>
      <c r="AR40" s="241">
        <v>1840</v>
      </c>
      <c r="AS40" s="241">
        <v>1532</v>
      </c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>
        <v>107</v>
      </c>
      <c r="BG40" s="241">
        <v>1624</v>
      </c>
      <c r="BH40" s="241">
        <v>1205.5999999999999</v>
      </c>
      <c r="BI40" s="241"/>
      <c r="BJ40" s="241"/>
      <c r="BK40" s="241"/>
      <c r="BL40" s="241"/>
      <c r="BM40" s="241"/>
      <c r="BN40" s="241"/>
      <c r="BO40" s="241"/>
      <c r="BP40" s="241"/>
      <c r="BQ40" s="241"/>
      <c r="BR40" s="242">
        <f t="shared" si="6"/>
        <v>529</v>
      </c>
      <c r="BS40" s="242">
        <f t="shared" si="6"/>
        <v>7768</v>
      </c>
      <c r="BT40" s="242">
        <f t="shared" si="6"/>
        <v>5984.7999999999993</v>
      </c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43"/>
      <c r="CQ40" s="143"/>
      <c r="CR40" s="143"/>
      <c r="CS40" s="104"/>
      <c r="CT40" s="104"/>
      <c r="CU40" s="104"/>
      <c r="CV40" s="241"/>
      <c r="CW40" s="241"/>
      <c r="CX40" s="241"/>
      <c r="CY40" s="241"/>
      <c r="CZ40" s="241"/>
      <c r="DA40" s="241"/>
      <c r="DB40" s="242">
        <f t="shared" si="4"/>
        <v>529</v>
      </c>
      <c r="DC40" s="242">
        <f t="shared" si="4"/>
        <v>7768</v>
      </c>
      <c r="DD40" s="242">
        <f t="shared" si="4"/>
        <v>5984.7999999999993</v>
      </c>
      <c r="DG40" s="243"/>
      <c r="DH40" s="244"/>
      <c r="DI40" s="244"/>
      <c r="DJ40" s="244"/>
    </row>
    <row r="41" spans="1:114" ht="20.100000000000001" customHeight="1" x14ac:dyDescent="0.6">
      <c r="A41" s="234">
        <v>38</v>
      </c>
      <c r="B41" s="245" t="s">
        <v>174</v>
      </c>
      <c r="C41" s="234" t="s">
        <v>175</v>
      </c>
      <c r="D41" s="245" t="s">
        <v>176</v>
      </c>
      <c r="E41" s="245" t="s">
        <v>177</v>
      </c>
      <c r="F41" s="238" t="s">
        <v>56</v>
      </c>
      <c r="G41" s="249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>
        <v>300</v>
      </c>
      <c r="AF41" s="143">
        <v>4050</v>
      </c>
      <c r="AG41" s="143">
        <v>2916</v>
      </c>
      <c r="AH41" s="241"/>
      <c r="AI41" s="241"/>
      <c r="AJ41" s="241"/>
      <c r="AK41" s="242">
        <f t="shared" ref="AK41:AM45" si="7">+G41+J41+M41+P41+S41+V41+Y41+AB41+AE41+AH41</f>
        <v>300</v>
      </c>
      <c r="AL41" s="242">
        <f t="shared" si="7"/>
        <v>4050</v>
      </c>
      <c r="AM41" s="242">
        <f t="shared" si="7"/>
        <v>2916</v>
      </c>
      <c r="AN41" s="241"/>
      <c r="AO41" s="241"/>
      <c r="AP41" s="241"/>
      <c r="AQ41" s="241"/>
      <c r="AR41" s="241"/>
      <c r="AS41" s="241"/>
      <c r="AT41" s="241"/>
      <c r="AU41" s="241"/>
      <c r="AV41" s="241"/>
      <c r="AW41" s="241"/>
      <c r="AX41" s="241"/>
      <c r="AY41" s="241"/>
      <c r="AZ41" s="241"/>
      <c r="BA41" s="241"/>
      <c r="BB41" s="241"/>
      <c r="BC41" s="241"/>
      <c r="BD41" s="241"/>
      <c r="BE41" s="241"/>
      <c r="BF41" s="241"/>
      <c r="BG41" s="241"/>
      <c r="BH41" s="241"/>
      <c r="BI41" s="241"/>
      <c r="BJ41" s="241"/>
      <c r="BK41" s="241"/>
      <c r="BL41" s="241"/>
      <c r="BM41" s="241"/>
      <c r="BN41" s="241"/>
      <c r="BO41" s="241"/>
      <c r="BP41" s="241"/>
      <c r="BQ41" s="241"/>
      <c r="BR41" s="242">
        <f t="shared" ref="BR41:BT45" si="8">+AK41+AN41+AQ41+AT41+AW41+AZ41+BC41+BF41+BI41+BL41+BO41</f>
        <v>300</v>
      </c>
      <c r="BS41" s="242">
        <f t="shared" si="8"/>
        <v>4050</v>
      </c>
      <c r="BT41" s="242">
        <f t="shared" si="8"/>
        <v>2916</v>
      </c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  <c r="CQ41" s="143"/>
      <c r="CR41" s="143"/>
      <c r="CS41" s="143"/>
      <c r="CT41" s="143"/>
      <c r="CU41" s="143"/>
      <c r="CV41" s="241"/>
      <c r="CW41" s="241"/>
      <c r="CX41" s="241"/>
      <c r="CY41" s="241"/>
      <c r="CZ41" s="241"/>
      <c r="DA41" s="241"/>
      <c r="DB41" s="242">
        <f t="shared" si="4"/>
        <v>300</v>
      </c>
      <c r="DC41" s="242">
        <f t="shared" si="4"/>
        <v>4050</v>
      </c>
      <c r="DD41" s="242">
        <f t="shared" si="4"/>
        <v>2916</v>
      </c>
      <c r="DG41" s="243"/>
      <c r="DH41" s="244"/>
      <c r="DI41" s="244"/>
      <c r="DJ41" s="244"/>
    </row>
    <row r="42" spans="1:114" ht="20.100000000000001" customHeight="1" x14ac:dyDescent="0.6">
      <c r="A42" s="234">
        <v>39</v>
      </c>
      <c r="B42" s="252" t="s">
        <v>178</v>
      </c>
      <c r="C42" s="253" t="s">
        <v>179</v>
      </c>
      <c r="D42" s="254" t="s">
        <v>180</v>
      </c>
      <c r="E42" s="252" t="s">
        <v>71</v>
      </c>
      <c r="F42" s="238" t="s">
        <v>56</v>
      </c>
      <c r="G42" s="249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143"/>
      <c r="AG42" s="143"/>
      <c r="AH42" s="241"/>
      <c r="AI42" s="241"/>
      <c r="AJ42" s="241"/>
      <c r="AK42" s="242">
        <f t="shared" si="7"/>
        <v>0</v>
      </c>
      <c r="AL42" s="242">
        <f t="shared" si="7"/>
        <v>0</v>
      </c>
      <c r="AM42" s="242">
        <f t="shared" si="7"/>
        <v>0</v>
      </c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/>
      <c r="BP42" s="241"/>
      <c r="BQ42" s="241"/>
      <c r="BR42" s="242">
        <f t="shared" si="8"/>
        <v>0</v>
      </c>
      <c r="BS42" s="242">
        <f t="shared" si="8"/>
        <v>0</v>
      </c>
      <c r="BT42" s="242">
        <f t="shared" si="8"/>
        <v>0</v>
      </c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241"/>
      <c r="CW42" s="241"/>
      <c r="CX42" s="241"/>
      <c r="CY42" s="241"/>
      <c r="CZ42" s="241"/>
      <c r="DA42" s="241"/>
      <c r="DB42" s="242">
        <f t="shared" si="4"/>
        <v>0</v>
      </c>
      <c r="DC42" s="242">
        <f t="shared" si="4"/>
        <v>0</v>
      </c>
      <c r="DD42" s="242">
        <f t="shared" si="4"/>
        <v>0</v>
      </c>
      <c r="DG42" s="243"/>
      <c r="DH42" s="244"/>
      <c r="DI42" s="244"/>
      <c r="DJ42" s="244"/>
    </row>
    <row r="43" spans="1:114" ht="20.100000000000001" customHeight="1" x14ac:dyDescent="0.6">
      <c r="A43" s="234">
        <v>40</v>
      </c>
      <c r="B43" s="245" t="s">
        <v>181</v>
      </c>
      <c r="C43" s="234" t="s">
        <v>182</v>
      </c>
      <c r="D43" s="246" t="s">
        <v>157</v>
      </c>
      <c r="E43" s="246" t="s">
        <v>158</v>
      </c>
      <c r="F43" s="238" t="s">
        <v>56</v>
      </c>
      <c r="G43" s="239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104"/>
      <c r="AG43" s="104"/>
      <c r="AH43" s="241"/>
      <c r="AI43" s="241"/>
      <c r="AJ43" s="241"/>
      <c r="AK43" s="242">
        <f t="shared" si="7"/>
        <v>0</v>
      </c>
      <c r="AL43" s="242">
        <f t="shared" si="7"/>
        <v>0</v>
      </c>
      <c r="AM43" s="242">
        <f t="shared" si="7"/>
        <v>0</v>
      </c>
      <c r="AN43" s="241"/>
      <c r="AO43" s="241"/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>
        <v>250</v>
      </c>
      <c r="BG43" s="241">
        <v>3500</v>
      </c>
      <c r="BH43" s="241">
        <v>2240</v>
      </c>
      <c r="BI43" s="241"/>
      <c r="BJ43" s="241"/>
      <c r="BK43" s="241"/>
      <c r="BL43" s="241"/>
      <c r="BM43" s="241"/>
      <c r="BN43" s="241"/>
      <c r="BO43" s="241"/>
      <c r="BP43" s="241"/>
      <c r="BQ43" s="241"/>
      <c r="BR43" s="242">
        <f t="shared" si="8"/>
        <v>250</v>
      </c>
      <c r="BS43" s="242">
        <f t="shared" si="8"/>
        <v>3500</v>
      </c>
      <c r="BT43" s="242">
        <f t="shared" si="8"/>
        <v>2240</v>
      </c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43"/>
      <c r="CQ43" s="143"/>
      <c r="CR43" s="143"/>
      <c r="CS43" s="104"/>
      <c r="CT43" s="104"/>
      <c r="CU43" s="104"/>
      <c r="CV43" s="241"/>
      <c r="CW43" s="241"/>
      <c r="CX43" s="241"/>
      <c r="CY43" s="241"/>
      <c r="CZ43" s="241"/>
      <c r="DA43" s="241"/>
      <c r="DB43" s="242">
        <f t="shared" si="4"/>
        <v>250</v>
      </c>
      <c r="DC43" s="242">
        <f t="shared" si="4"/>
        <v>3500</v>
      </c>
      <c r="DD43" s="242">
        <f t="shared" si="4"/>
        <v>2240</v>
      </c>
      <c r="DG43" s="243"/>
      <c r="DH43" s="244"/>
      <c r="DI43" s="244"/>
      <c r="DJ43" s="244"/>
    </row>
    <row r="44" spans="1:114" ht="20.100000000000001" customHeight="1" x14ac:dyDescent="0.6">
      <c r="A44" s="234">
        <v>41</v>
      </c>
      <c r="B44" s="245" t="s">
        <v>183</v>
      </c>
      <c r="C44" s="234" t="s">
        <v>184</v>
      </c>
      <c r="D44" s="245" t="s">
        <v>185</v>
      </c>
      <c r="E44" s="245" t="s">
        <v>186</v>
      </c>
      <c r="F44" s="238" t="s">
        <v>56</v>
      </c>
      <c r="G44" s="249"/>
      <c r="H44" s="250"/>
      <c r="I44" s="250"/>
      <c r="J44" s="250"/>
      <c r="K44" s="250"/>
      <c r="L44" s="250"/>
      <c r="M44" s="250">
        <v>250</v>
      </c>
      <c r="N44" s="250">
        <v>3000</v>
      </c>
      <c r="O44" s="250">
        <v>3000</v>
      </c>
      <c r="P44" s="250">
        <v>250</v>
      </c>
      <c r="Q44" s="250">
        <v>3000</v>
      </c>
      <c r="R44" s="250">
        <v>3000</v>
      </c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143"/>
      <c r="AG44" s="143"/>
      <c r="AH44" s="241">
        <v>400</v>
      </c>
      <c r="AI44" s="241">
        <v>4800</v>
      </c>
      <c r="AJ44" s="241">
        <v>4800</v>
      </c>
      <c r="AK44" s="242">
        <f t="shared" si="7"/>
        <v>900</v>
      </c>
      <c r="AL44" s="242">
        <f t="shared" si="7"/>
        <v>10800</v>
      </c>
      <c r="AM44" s="242">
        <f t="shared" si="7"/>
        <v>10800</v>
      </c>
      <c r="AN44" s="241"/>
      <c r="AO44" s="241"/>
      <c r="AP44" s="241"/>
      <c r="AQ44" s="241"/>
      <c r="AR44" s="241"/>
      <c r="AS44" s="241"/>
      <c r="AT44" s="241"/>
      <c r="AU44" s="241"/>
      <c r="AV44" s="241"/>
      <c r="AW44" s="241">
        <v>385</v>
      </c>
      <c r="AX44" s="241">
        <v>4820</v>
      </c>
      <c r="AY44" s="241">
        <v>4538.8</v>
      </c>
      <c r="AZ44" s="241"/>
      <c r="BA44" s="241"/>
      <c r="BB44" s="241"/>
      <c r="BC44" s="241">
        <v>200</v>
      </c>
      <c r="BD44" s="241">
        <v>2400</v>
      </c>
      <c r="BE44" s="241">
        <v>2400</v>
      </c>
      <c r="BF44" s="241"/>
      <c r="BG44" s="241"/>
      <c r="BH44" s="241"/>
      <c r="BI44" s="241"/>
      <c r="BJ44" s="241"/>
      <c r="BK44" s="241"/>
      <c r="BL44" s="241"/>
      <c r="BM44" s="241"/>
      <c r="BN44" s="241"/>
      <c r="BO44" s="241"/>
      <c r="BP44" s="241"/>
      <c r="BQ44" s="241"/>
      <c r="BR44" s="242">
        <f t="shared" si="8"/>
        <v>1485</v>
      </c>
      <c r="BS44" s="242">
        <f t="shared" si="8"/>
        <v>18020</v>
      </c>
      <c r="BT44" s="242">
        <f t="shared" si="8"/>
        <v>17738.8</v>
      </c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43"/>
      <c r="CH44" s="143"/>
      <c r="CI44" s="143"/>
      <c r="CJ44" s="143"/>
      <c r="CK44" s="143"/>
      <c r="CL44" s="143"/>
      <c r="CM44" s="143"/>
      <c r="CN44" s="143"/>
      <c r="CO44" s="143"/>
      <c r="CP44" s="143"/>
      <c r="CQ44" s="143"/>
      <c r="CR44" s="143"/>
      <c r="CS44" s="143"/>
      <c r="CT44" s="143"/>
      <c r="CU44" s="143"/>
      <c r="CV44" s="241"/>
      <c r="CW44" s="241"/>
      <c r="CX44" s="241"/>
      <c r="CY44" s="241"/>
      <c r="CZ44" s="241"/>
      <c r="DA44" s="241"/>
      <c r="DB44" s="242">
        <f t="shared" si="4"/>
        <v>1485</v>
      </c>
      <c r="DC44" s="242">
        <f t="shared" si="4"/>
        <v>18020</v>
      </c>
      <c r="DD44" s="242">
        <f t="shared" si="4"/>
        <v>17738.8</v>
      </c>
      <c r="DG44" s="243"/>
      <c r="DH44" s="244"/>
      <c r="DI44" s="244"/>
      <c r="DJ44" s="244"/>
    </row>
    <row r="45" spans="1:114" ht="20.100000000000001" customHeight="1" x14ac:dyDescent="0.6">
      <c r="A45" s="255"/>
      <c r="B45" s="256"/>
      <c r="C45" s="255"/>
      <c r="D45" s="255"/>
      <c r="E45" s="255"/>
      <c r="F45" s="257"/>
      <c r="G45" s="258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42">
        <f t="shared" si="7"/>
        <v>0</v>
      </c>
      <c r="AL45" s="242">
        <f t="shared" si="7"/>
        <v>0</v>
      </c>
      <c r="AM45" s="242">
        <f t="shared" si="7"/>
        <v>0</v>
      </c>
      <c r="AN45" s="241"/>
      <c r="AO45" s="241"/>
      <c r="AP45" s="241"/>
      <c r="AQ45" s="241"/>
      <c r="AR45" s="241"/>
      <c r="AS45" s="241"/>
      <c r="AT45" s="241"/>
      <c r="AU45" s="241"/>
      <c r="AV45" s="241"/>
      <c r="AW45" s="241"/>
      <c r="AX45" s="241"/>
      <c r="AY45" s="241"/>
      <c r="AZ45" s="241"/>
      <c r="BA45" s="241"/>
      <c r="BB45" s="241"/>
      <c r="BC45" s="241"/>
      <c r="BD45" s="241"/>
      <c r="BE45" s="241"/>
      <c r="BF45" s="241"/>
      <c r="BG45" s="241"/>
      <c r="BH45" s="241"/>
      <c r="BI45" s="241"/>
      <c r="BJ45" s="241"/>
      <c r="BK45" s="241"/>
      <c r="BL45" s="241"/>
      <c r="BM45" s="241"/>
      <c r="BN45" s="241"/>
      <c r="BO45" s="241"/>
      <c r="BP45" s="241"/>
      <c r="BQ45" s="241"/>
      <c r="BR45" s="242">
        <f t="shared" si="8"/>
        <v>0</v>
      </c>
      <c r="BS45" s="242">
        <f t="shared" si="8"/>
        <v>0</v>
      </c>
      <c r="BT45" s="242">
        <f t="shared" si="8"/>
        <v>0</v>
      </c>
      <c r="BU45" s="241"/>
      <c r="BV45" s="241"/>
      <c r="BW45" s="241"/>
      <c r="BX45" s="241"/>
      <c r="BY45" s="241"/>
      <c r="BZ45" s="241"/>
      <c r="CA45" s="241"/>
      <c r="CB45" s="241"/>
      <c r="CC45" s="241"/>
      <c r="CD45" s="241"/>
      <c r="CE45" s="241"/>
      <c r="CF45" s="241"/>
      <c r="CG45" s="241"/>
      <c r="CH45" s="241"/>
      <c r="CI45" s="241"/>
      <c r="CJ45" s="241"/>
      <c r="CK45" s="241"/>
      <c r="CL45" s="241"/>
      <c r="CM45" s="241"/>
      <c r="CN45" s="241"/>
      <c r="CO45" s="241"/>
      <c r="CP45" s="241"/>
      <c r="CQ45" s="241"/>
      <c r="CR45" s="241"/>
      <c r="CS45" s="241"/>
      <c r="CT45" s="241"/>
      <c r="CU45" s="241"/>
      <c r="CV45" s="241"/>
      <c r="CW45" s="241"/>
      <c r="CX45" s="241"/>
      <c r="CY45" s="241"/>
      <c r="CZ45" s="241"/>
      <c r="DA45" s="241"/>
      <c r="DB45" s="242">
        <f t="shared" si="4"/>
        <v>0</v>
      </c>
      <c r="DC45" s="242">
        <f t="shared" ref="DC45" si="9">K45+N45+Q45+T45+W45+Z45+AC45+AF45+AI45+AO45+AR45+AU45+AX45+BA45+BD45+BG45+BJ45+BM45+BP45+BV45+BY45+CB45+CE45+CH45+CK45+CN45+CQ45+CT45+CW45+H45+CZ45</f>
        <v>0</v>
      </c>
      <c r="DD45" s="242">
        <f t="shared" si="4"/>
        <v>0</v>
      </c>
      <c r="DG45" s="243"/>
      <c r="DH45" s="244"/>
      <c r="DI45" s="244"/>
      <c r="DJ45" s="244"/>
    </row>
    <row r="46" spans="1:114" ht="20.100000000000001" customHeight="1" x14ac:dyDescent="0.6">
      <c r="A46" s="260"/>
      <c r="B46" s="407" t="s">
        <v>187</v>
      </c>
      <c r="C46" s="408"/>
      <c r="D46" s="408"/>
      <c r="E46" s="408"/>
      <c r="F46" s="408"/>
      <c r="G46" s="261">
        <f>SUM(G4:G45)</f>
        <v>0</v>
      </c>
      <c r="H46" s="261">
        <f t="shared" ref="H46:BS46" si="10">SUM(H4:H45)</f>
        <v>0</v>
      </c>
      <c r="I46" s="261">
        <f t="shared" si="10"/>
        <v>0</v>
      </c>
      <c r="J46" s="261">
        <f t="shared" si="10"/>
        <v>0</v>
      </c>
      <c r="K46" s="261">
        <f t="shared" si="10"/>
        <v>0</v>
      </c>
      <c r="L46" s="261">
        <f t="shared" si="10"/>
        <v>0</v>
      </c>
      <c r="M46" s="261">
        <f t="shared" si="10"/>
        <v>9386</v>
      </c>
      <c r="N46" s="261">
        <f t="shared" si="10"/>
        <v>135182</v>
      </c>
      <c r="O46" s="261">
        <f t="shared" si="10"/>
        <v>103418.08000000002</v>
      </c>
      <c r="P46" s="261">
        <f t="shared" si="10"/>
        <v>3574</v>
      </c>
      <c r="Q46" s="261">
        <f t="shared" si="10"/>
        <v>50488</v>
      </c>
      <c r="R46" s="261">
        <f t="shared" si="10"/>
        <v>38728.399999999994</v>
      </c>
      <c r="S46" s="261">
        <f t="shared" si="10"/>
        <v>1880</v>
      </c>
      <c r="T46" s="261">
        <f t="shared" si="10"/>
        <v>26520</v>
      </c>
      <c r="U46" s="261">
        <f t="shared" si="10"/>
        <v>20558.000000000004</v>
      </c>
      <c r="V46" s="261">
        <f t="shared" si="10"/>
        <v>6568</v>
      </c>
      <c r="W46" s="261">
        <f t="shared" si="10"/>
        <v>89506</v>
      </c>
      <c r="X46" s="261">
        <f t="shared" si="10"/>
        <v>71645.999999999985</v>
      </c>
      <c r="Y46" s="261">
        <f t="shared" si="10"/>
        <v>5356</v>
      </c>
      <c r="Z46" s="261">
        <f t="shared" si="10"/>
        <v>78696</v>
      </c>
      <c r="AA46" s="261">
        <f t="shared" si="10"/>
        <v>58455.599999999991</v>
      </c>
      <c r="AB46" s="261">
        <f t="shared" si="10"/>
        <v>0</v>
      </c>
      <c r="AC46" s="261">
        <f t="shared" si="10"/>
        <v>0</v>
      </c>
      <c r="AD46" s="261">
        <f t="shared" si="10"/>
        <v>0</v>
      </c>
      <c r="AE46" s="261">
        <f t="shared" si="10"/>
        <v>6310</v>
      </c>
      <c r="AF46" s="261">
        <f t="shared" si="10"/>
        <v>90430</v>
      </c>
      <c r="AG46" s="261">
        <f t="shared" si="10"/>
        <v>69399.199999999997</v>
      </c>
      <c r="AH46" s="261">
        <f t="shared" si="10"/>
        <v>5490</v>
      </c>
      <c r="AI46" s="261">
        <f t="shared" si="10"/>
        <v>81090</v>
      </c>
      <c r="AJ46" s="261">
        <f t="shared" si="10"/>
        <v>60288.800000000003</v>
      </c>
      <c r="AK46" s="261">
        <f t="shared" si="10"/>
        <v>38564</v>
      </c>
      <c r="AL46" s="261">
        <f t="shared" si="10"/>
        <v>551912</v>
      </c>
      <c r="AM46" s="261">
        <f t="shared" si="10"/>
        <v>422494.08000000007</v>
      </c>
      <c r="AN46" s="261">
        <f t="shared" si="10"/>
        <v>3224</v>
      </c>
      <c r="AO46" s="261">
        <f t="shared" si="10"/>
        <v>45236</v>
      </c>
      <c r="AP46" s="261">
        <f t="shared" si="10"/>
        <v>36125.040000000001</v>
      </c>
      <c r="AQ46" s="261">
        <f t="shared" si="10"/>
        <v>4265</v>
      </c>
      <c r="AR46" s="261">
        <f t="shared" si="10"/>
        <v>61880</v>
      </c>
      <c r="AS46" s="261">
        <f t="shared" si="10"/>
        <v>46945.2</v>
      </c>
      <c r="AT46" s="261">
        <f t="shared" si="10"/>
        <v>3600</v>
      </c>
      <c r="AU46" s="261">
        <f t="shared" si="10"/>
        <v>49730</v>
      </c>
      <c r="AV46" s="261">
        <f t="shared" si="10"/>
        <v>40232.399999999994</v>
      </c>
      <c r="AW46" s="261">
        <f t="shared" si="10"/>
        <v>5710</v>
      </c>
      <c r="AX46" s="261">
        <f t="shared" si="10"/>
        <v>86540</v>
      </c>
      <c r="AY46" s="261">
        <f t="shared" si="10"/>
        <v>62564.4</v>
      </c>
      <c r="AZ46" s="261">
        <f t="shared" si="10"/>
        <v>0</v>
      </c>
      <c r="BA46" s="261">
        <f t="shared" si="10"/>
        <v>0</v>
      </c>
      <c r="BB46" s="261">
        <f t="shared" si="10"/>
        <v>0</v>
      </c>
      <c r="BC46" s="261">
        <f t="shared" si="10"/>
        <v>6770</v>
      </c>
      <c r="BD46" s="261">
        <f t="shared" si="10"/>
        <v>100460</v>
      </c>
      <c r="BE46" s="261">
        <f t="shared" si="10"/>
        <v>74609.200000000012</v>
      </c>
      <c r="BF46" s="261">
        <f t="shared" si="10"/>
        <v>5489</v>
      </c>
      <c r="BG46" s="261">
        <f t="shared" si="10"/>
        <v>80564</v>
      </c>
      <c r="BH46" s="261">
        <f t="shared" si="10"/>
        <v>58905.2</v>
      </c>
      <c r="BI46" s="261">
        <f t="shared" si="10"/>
        <v>4395</v>
      </c>
      <c r="BJ46" s="261">
        <f t="shared" si="10"/>
        <v>61160</v>
      </c>
      <c r="BK46" s="261">
        <f t="shared" si="10"/>
        <v>47671.6</v>
      </c>
      <c r="BL46" s="261">
        <f t="shared" si="10"/>
        <v>3698</v>
      </c>
      <c r="BM46" s="261">
        <f t="shared" si="10"/>
        <v>54696</v>
      </c>
      <c r="BN46" s="261">
        <f t="shared" si="10"/>
        <v>39639.199999999997</v>
      </c>
      <c r="BO46" s="261">
        <f t="shared" si="10"/>
        <v>4625</v>
      </c>
      <c r="BP46" s="261">
        <f t="shared" si="10"/>
        <v>67430</v>
      </c>
      <c r="BQ46" s="261">
        <f t="shared" si="10"/>
        <v>50430.400000000009</v>
      </c>
      <c r="BR46" s="261">
        <f t="shared" si="10"/>
        <v>80340</v>
      </c>
      <c r="BS46" s="261">
        <f t="shared" si="10"/>
        <v>1159608</v>
      </c>
      <c r="BT46" s="261">
        <f t="shared" ref="BT46:DC46" si="11">SUM(BT4:BT45)</f>
        <v>879616.72000000032</v>
      </c>
      <c r="BU46" s="261">
        <f t="shared" si="11"/>
        <v>0</v>
      </c>
      <c r="BV46" s="261">
        <f t="shared" si="11"/>
        <v>0</v>
      </c>
      <c r="BW46" s="261">
        <f t="shared" si="11"/>
        <v>0</v>
      </c>
      <c r="BX46" s="261">
        <f t="shared" si="11"/>
        <v>0</v>
      </c>
      <c r="BY46" s="261">
        <f t="shared" si="11"/>
        <v>0</v>
      </c>
      <c r="BZ46" s="261">
        <f t="shared" si="11"/>
        <v>0</v>
      </c>
      <c r="CA46" s="261">
        <f t="shared" si="11"/>
        <v>0</v>
      </c>
      <c r="CB46" s="261">
        <f t="shared" si="11"/>
        <v>0</v>
      </c>
      <c r="CC46" s="261">
        <f t="shared" si="11"/>
        <v>0</v>
      </c>
      <c r="CD46" s="261">
        <f t="shared" si="11"/>
        <v>0</v>
      </c>
      <c r="CE46" s="261">
        <f t="shared" si="11"/>
        <v>0</v>
      </c>
      <c r="CF46" s="261">
        <f t="shared" si="11"/>
        <v>0</v>
      </c>
      <c r="CG46" s="261">
        <f t="shared" si="11"/>
        <v>0</v>
      </c>
      <c r="CH46" s="261">
        <f t="shared" si="11"/>
        <v>0</v>
      </c>
      <c r="CI46" s="261">
        <f t="shared" si="11"/>
        <v>0</v>
      </c>
      <c r="CJ46" s="261">
        <f t="shared" si="11"/>
        <v>0</v>
      </c>
      <c r="CK46" s="261">
        <f t="shared" si="11"/>
        <v>0</v>
      </c>
      <c r="CL46" s="261">
        <f t="shared" si="11"/>
        <v>0</v>
      </c>
      <c r="CM46" s="261">
        <f t="shared" si="11"/>
        <v>0</v>
      </c>
      <c r="CN46" s="261">
        <f t="shared" si="11"/>
        <v>0</v>
      </c>
      <c r="CO46" s="261">
        <f t="shared" si="11"/>
        <v>0</v>
      </c>
      <c r="CP46" s="261">
        <f t="shared" si="11"/>
        <v>0</v>
      </c>
      <c r="CQ46" s="261">
        <f t="shared" si="11"/>
        <v>0</v>
      </c>
      <c r="CR46" s="261">
        <f t="shared" si="11"/>
        <v>0</v>
      </c>
      <c r="CS46" s="261">
        <f t="shared" si="11"/>
        <v>0</v>
      </c>
      <c r="CT46" s="261">
        <f t="shared" si="11"/>
        <v>0</v>
      </c>
      <c r="CU46" s="261">
        <f t="shared" si="11"/>
        <v>0</v>
      </c>
      <c r="CV46" s="261">
        <f t="shared" si="11"/>
        <v>0</v>
      </c>
      <c r="CW46" s="261">
        <f t="shared" si="11"/>
        <v>0</v>
      </c>
      <c r="CX46" s="261">
        <f t="shared" si="11"/>
        <v>0</v>
      </c>
      <c r="CY46" s="261">
        <f t="shared" si="11"/>
        <v>0</v>
      </c>
      <c r="CZ46" s="261">
        <f t="shared" si="11"/>
        <v>0</v>
      </c>
      <c r="DA46" s="261">
        <f t="shared" si="11"/>
        <v>0</v>
      </c>
      <c r="DB46" s="261">
        <f t="shared" si="11"/>
        <v>80340</v>
      </c>
      <c r="DC46" s="261">
        <f t="shared" si="11"/>
        <v>1159608</v>
      </c>
      <c r="DD46" s="261">
        <f>SUM(DD4:DD45)</f>
        <v>879616.72000000032</v>
      </c>
    </row>
    <row r="48" spans="1:114" x14ac:dyDescent="0.6">
      <c r="BU48" s="228"/>
    </row>
  </sheetData>
  <mergeCells count="38">
    <mergeCell ref="S2:U2"/>
    <mergeCell ref="B1:D1"/>
    <mergeCell ref="G2:I2"/>
    <mergeCell ref="J2:L2"/>
    <mergeCell ref="M2:O2"/>
    <mergeCell ref="P2:R2"/>
    <mergeCell ref="DB2:DD2"/>
    <mergeCell ref="B3:C3"/>
    <mergeCell ref="D3:E3"/>
    <mergeCell ref="BX2:BZ2"/>
    <mergeCell ref="CA2:CC2"/>
    <mergeCell ref="CD2:CF2"/>
    <mergeCell ref="CG2:CI2"/>
    <mergeCell ref="CJ2:CL2"/>
    <mergeCell ref="CM2:CO2"/>
    <mergeCell ref="BF2:BH2"/>
    <mergeCell ref="BI2:BK2"/>
    <mergeCell ref="BL2:BN2"/>
    <mergeCell ref="BO2:BQ2"/>
    <mergeCell ref="BR2:BT2"/>
    <mergeCell ref="BU2:BW2"/>
    <mergeCell ref="AN2:AP2"/>
    <mergeCell ref="B46:F46"/>
    <mergeCell ref="CP2:CR2"/>
    <mergeCell ref="CS2:CU2"/>
    <mergeCell ref="CV2:CX2"/>
    <mergeCell ref="CY2:DA2"/>
    <mergeCell ref="AQ2:AS2"/>
    <mergeCell ref="AT2:AV2"/>
    <mergeCell ref="AW2:AY2"/>
    <mergeCell ref="AZ2:BB2"/>
    <mergeCell ref="BC2:BE2"/>
    <mergeCell ref="V2:X2"/>
    <mergeCell ref="Y2:AA2"/>
    <mergeCell ref="AB2:AD2"/>
    <mergeCell ref="AE2:AG2"/>
    <mergeCell ref="AH2:AJ2"/>
    <mergeCell ref="AK2:AM2"/>
  </mergeCells>
  <conditionalFormatting sqref="B30:C46">
    <cfRule type="duplicateValues" dxfId="30" priority="1"/>
    <cfRule type="duplicateValues" dxfId="29" priority="2"/>
  </conditionalFormatting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8CE5-FB0F-4726-B348-5B6C5AB4FB9F}">
  <dimension ref="A1:DI97"/>
  <sheetViews>
    <sheetView topLeftCell="BY31" zoomScale="90" zoomScaleNormal="90" workbookViewId="0">
      <selection activeCell="DG44" sqref="DG44:DH90"/>
    </sheetView>
  </sheetViews>
  <sheetFormatPr defaultColWidth="10.28515625" defaultRowHeight="21" x14ac:dyDescent="0.6"/>
  <cols>
    <col min="1" max="1" width="5.5703125" style="227" customWidth="1"/>
    <col min="2" max="2" width="15.28515625" style="227" customWidth="1"/>
    <col min="3" max="3" width="14.140625" style="227" customWidth="1"/>
    <col min="4" max="4" width="13.28515625" style="227" customWidth="1"/>
    <col min="5" max="5" width="13.42578125" style="227" customWidth="1"/>
    <col min="6" max="10" width="10.28515625" style="227" customWidth="1"/>
    <col min="11" max="11" width="6.28515625" style="227" customWidth="1"/>
    <col min="12" max="12" width="7.140625" style="227" customWidth="1"/>
    <col min="13" max="13" width="7.85546875" style="227" customWidth="1"/>
    <col min="14" max="14" width="7.28515625" style="227" customWidth="1"/>
    <col min="15" max="19" width="8.5703125" style="227" customWidth="1"/>
    <col min="20" max="22" width="7.28515625" style="227" customWidth="1"/>
    <col min="23" max="23" width="5" style="227" customWidth="1"/>
    <col min="24" max="25" width="6.28515625" style="227" customWidth="1"/>
    <col min="26" max="26" width="6.85546875" style="227" customWidth="1"/>
    <col min="27" max="27" width="8.140625" style="227" customWidth="1"/>
    <col min="28" max="28" width="8.28515625" style="227" customWidth="1"/>
    <col min="29" max="31" width="6.85546875" style="227" customWidth="1"/>
    <col min="32" max="34" width="7" style="227" customWidth="1"/>
    <col min="35" max="35" width="6.5703125" style="227" customWidth="1"/>
    <col min="36" max="36" width="8.7109375" style="227" customWidth="1"/>
    <col min="37" max="37" width="7.7109375" style="227" customWidth="1"/>
    <col min="38" max="40" width="7.28515625" style="227" customWidth="1"/>
    <col min="41" max="41" width="6.28515625" style="227" customWidth="1"/>
    <col min="42" max="100" width="10.28515625" style="227" customWidth="1"/>
    <col min="101" max="109" width="10.28515625" style="227" hidden="1" customWidth="1"/>
    <col min="110" max="110" width="10.28515625" style="227" customWidth="1"/>
    <col min="111" max="16384" width="10.28515625" style="227"/>
  </cols>
  <sheetData>
    <row r="1" spans="1:113" ht="30" customHeight="1" thickBot="1" x14ac:dyDescent="0.65">
      <c r="B1" s="414" t="s">
        <v>724</v>
      </c>
      <c r="C1" s="414"/>
      <c r="D1" s="414"/>
    </row>
    <row r="2" spans="1:113" ht="30" customHeight="1" x14ac:dyDescent="0.6">
      <c r="A2" s="432" t="s">
        <v>725</v>
      </c>
      <c r="B2" s="433"/>
      <c r="C2" s="433"/>
      <c r="D2" s="433"/>
      <c r="E2" s="433"/>
      <c r="F2" s="433"/>
      <c r="G2" s="433"/>
      <c r="H2" s="433"/>
      <c r="I2" s="433"/>
      <c r="J2" s="434"/>
      <c r="K2" s="409">
        <v>8798</v>
      </c>
      <c r="L2" s="409"/>
      <c r="M2" s="410"/>
      <c r="N2" s="409">
        <v>45690</v>
      </c>
      <c r="O2" s="409"/>
      <c r="P2" s="410"/>
      <c r="Q2" s="409">
        <v>45691</v>
      </c>
      <c r="R2" s="409"/>
      <c r="S2" s="410"/>
      <c r="T2" s="409">
        <v>45692</v>
      </c>
      <c r="U2" s="409"/>
      <c r="V2" s="410"/>
      <c r="W2" s="409">
        <v>45693</v>
      </c>
      <c r="X2" s="409"/>
      <c r="Y2" s="410"/>
      <c r="Z2" s="409">
        <v>45694</v>
      </c>
      <c r="AA2" s="409"/>
      <c r="AB2" s="410"/>
      <c r="AC2" s="409">
        <v>45695</v>
      </c>
      <c r="AD2" s="409"/>
      <c r="AE2" s="410"/>
      <c r="AF2" s="409">
        <v>45696</v>
      </c>
      <c r="AG2" s="409"/>
      <c r="AH2" s="410"/>
      <c r="AI2" s="409">
        <v>45697</v>
      </c>
      <c r="AJ2" s="409"/>
      <c r="AK2" s="410"/>
      <c r="AL2" s="409">
        <v>45698</v>
      </c>
      <c r="AM2" s="409"/>
      <c r="AN2" s="410"/>
      <c r="AO2" s="429" t="s">
        <v>717</v>
      </c>
      <c r="AP2" s="430"/>
      <c r="AQ2" s="431"/>
      <c r="AR2" s="409">
        <v>46064</v>
      </c>
      <c r="AS2" s="409"/>
      <c r="AT2" s="410"/>
      <c r="AU2" s="409">
        <v>46065</v>
      </c>
      <c r="AV2" s="409"/>
      <c r="AW2" s="410"/>
      <c r="AX2" s="409">
        <v>46066</v>
      </c>
      <c r="AY2" s="409"/>
      <c r="AZ2" s="410"/>
      <c r="BA2" s="409">
        <v>46067</v>
      </c>
      <c r="BB2" s="409"/>
      <c r="BC2" s="410"/>
      <c r="BD2" s="409">
        <v>46068</v>
      </c>
      <c r="BE2" s="409"/>
      <c r="BF2" s="410"/>
      <c r="BG2" s="409">
        <v>46069</v>
      </c>
      <c r="BH2" s="409"/>
      <c r="BI2" s="410"/>
      <c r="BJ2" s="409">
        <v>46070</v>
      </c>
      <c r="BK2" s="409"/>
      <c r="BL2" s="410"/>
      <c r="BM2" s="409">
        <v>46071</v>
      </c>
      <c r="BN2" s="409"/>
      <c r="BO2" s="410"/>
      <c r="BP2" s="409">
        <v>46072</v>
      </c>
      <c r="BQ2" s="409"/>
      <c r="BR2" s="410"/>
      <c r="BS2" s="409">
        <v>46073</v>
      </c>
      <c r="BT2" s="409"/>
      <c r="BU2" s="410"/>
      <c r="BV2" s="429" t="s">
        <v>718</v>
      </c>
      <c r="BW2" s="430"/>
      <c r="BX2" s="431"/>
      <c r="BY2" s="409">
        <v>46074</v>
      </c>
      <c r="BZ2" s="409"/>
      <c r="CA2" s="410"/>
      <c r="CB2" s="409">
        <v>46075</v>
      </c>
      <c r="CC2" s="409"/>
      <c r="CD2" s="410"/>
      <c r="CE2" s="409">
        <v>46076</v>
      </c>
      <c r="CF2" s="409"/>
      <c r="CG2" s="410"/>
      <c r="CH2" s="409">
        <v>46077</v>
      </c>
      <c r="CI2" s="409"/>
      <c r="CJ2" s="410"/>
      <c r="CK2" s="409">
        <v>46078</v>
      </c>
      <c r="CL2" s="409"/>
      <c r="CM2" s="410"/>
      <c r="CN2" s="409">
        <v>46079</v>
      </c>
      <c r="CO2" s="409"/>
      <c r="CP2" s="410"/>
      <c r="CQ2" s="409">
        <v>46080</v>
      </c>
      <c r="CR2" s="409"/>
      <c r="CS2" s="410"/>
      <c r="CT2" s="409">
        <v>46081</v>
      </c>
      <c r="CU2" s="409"/>
      <c r="CV2" s="410"/>
      <c r="CW2" s="409">
        <v>46051</v>
      </c>
      <c r="CX2" s="409"/>
      <c r="CY2" s="410"/>
      <c r="CZ2" s="409">
        <v>46052</v>
      </c>
      <c r="DA2" s="409"/>
      <c r="DB2" s="410"/>
      <c r="DC2" s="409">
        <v>46053</v>
      </c>
      <c r="DD2" s="409"/>
      <c r="DE2" s="410"/>
      <c r="DF2" s="426" t="s">
        <v>719</v>
      </c>
      <c r="DG2" s="427"/>
      <c r="DH2" s="428"/>
    </row>
    <row r="3" spans="1:113" ht="30" customHeight="1" x14ac:dyDescent="0.6">
      <c r="A3" s="417" t="s">
        <v>726</v>
      </c>
      <c r="B3" s="419" t="s">
        <v>727</v>
      </c>
      <c r="C3" s="420"/>
      <c r="D3" s="419" t="s">
        <v>728</v>
      </c>
      <c r="E3" s="420"/>
      <c r="F3" s="423" t="s">
        <v>729</v>
      </c>
      <c r="G3" s="419" t="s">
        <v>730</v>
      </c>
      <c r="H3" s="420"/>
      <c r="I3" s="425" t="s">
        <v>731</v>
      </c>
      <c r="J3" s="415" t="s">
        <v>732</v>
      </c>
      <c r="K3" s="233" t="s">
        <v>720</v>
      </c>
      <c r="L3" s="230" t="s">
        <v>721</v>
      </c>
      <c r="M3" s="230" t="s">
        <v>722</v>
      </c>
      <c r="N3" s="233" t="s">
        <v>720</v>
      </c>
      <c r="O3" s="230" t="s">
        <v>721</v>
      </c>
      <c r="P3" s="230" t="s">
        <v>722</v>
      </c>
      <c r="Q3" s="233" t="s">
        <v>720</v>
      </c>
      <c r="R3" s="230" t="s">
        <v>721</v>
      </c>
      <c r="S3" s="230" t="s">
        <v>722</v>
      </c>
      <c r="T3" s="233" t="s">
        <v>720</v>
      </c>
      <c r="U3" s="230" t="s">
        <v>721</v>
      </c>
      <c r="V3" s="230" t="s">
        <v>722</v>
      </c>
      <c r="W3" s="233" t="s">
        <v>720</v>
      </c>
      <c r="X3" s="230" t="s">
        <v>721</v>
      </c>
      <c r="Y3" s="230" t="s">
        <v>722</v>
      </c>
      <c r="Z3" s="233" t="s">
        <v>720</v>
      </c>
      <c r="AA3" s="230" t="s">
        <v>721</v>
      </c>
      <c r="AB3" s="230" t="s">
        <v>722</v>
      </c>
      <c r="AC3" s="233" t="s">
        <v>720</v>
      </c>
      <c r="AD3" s="230" t="s">
        <v>721</v>
      </c>
      <c r="AE3" s="230" t="s">
        <v>722</v>
      </c>
      <c r="AF3" s="233" t="s">
        <v>720</v>
      </c>
      <c r="AG3" s="230" t="s">
        <v>721</v>
      </c>
      <c r="AH3" s="230" t="s">
        <v>722</v>
      </c>
      <c r="AI3" s="233" t="s">
        <v>720</v>
      </c>
      <c r="AJ3" s="230" t="s">
        <v>721</v>
      </c>
      <c r="AK3" s="230" t="s">
        <v>722</v>
      </c>
      <c r="AL3" s="233" t="s">
        <v>720</v>
      </c>
      <c r="AM3" s="230" t="s">
        <v>721</v>
      </c>
      <c r="AN3" s="230" t="s">
        <v>722</v>
      </c>
      <c r="AO3" s="263" t="s">
        <v>720</v>
      </c>
      <c r="AP3" s="264" t="s">
        <v>721</v>
      </c>
      <c r="AQ3" s="262" t="s">
        <v>722</v>
      </c>
      <c r="AR3" s="233" t="s">
        <v>720</v>
      </c>
      <c r="AS3" s="230" t="s">
        <v>721</v>
      </c>
      <c r="AT3" s="230" t="s">
        <v>723</v>
      </c>
      <c r="AU3" s="233" t="s">
        <v>720</v>
      </c>
      <c r="AV3" s="230" t="s">
        <v>721</v>
      </c>
      <c r="AW3" s="230" t="s">
        <v>723</v>
      </c>
      <c r="AX3" s="233" t="s">
        <v>720</v>
      </c>
      <c r="AY3" s="230" t="s">
        <v>721</v>
      </c>
      <c r="AZ3" s="230" t="s">
        <v>723</v>
      </c>
      <c r="BA3" s="233" t="s">
        <v>720</v>
      </c>
      <c r="BB3" s="230" t="s">
        <v>721</v>
      </c>
      <c r="BC3" s="230" t="s">
        <v>723</v>
      </c>
      <c r="BD3" s="233" t="s">
        <v>720</v>
      </c>
      <c r="BE3" s="230" t="s">
        <v>721</v>
      </c>
      <c r="BF3" s="230" t="s">
        <v>723</v>
      </c>
      <c r="BG3" s="233" t="s">
        <v>720</v>
      </c>
      <c r="BH3" s="230" t="s">
        <v>721</v>
      </c>
      <c r="BI3" s="230" t="s">
        <v>723</v>
      </c>
      <c r="BJ3" s="233" t="s">
        <v>720</v>
      </c>
      <c r="BK3" s="230" t="s">
        <v>721</v>
      </c>
      <c r="BL3" s="230" t="s">
        <v>723</v>
      </c>
      <c r="BM3" s="233" t="s">
        <v>720</v>
      </c>
      <c r="BN3" s="230" t="s">
        <v>721</v>
      </c>
      <c r="BO3" s="230" t="s">
        <v>723</v>
      </c>
      <c r="BP3" s="233" t="s">
        <v>720</v>
      </c>
      <c r="BQ3" s="230" t="s">
        <v>721</v>
      </c>
      <c r="BR3" s="230" t="s">
        <v>723</v>
      </c>
      <c r="BS3" s="233" t="s">
        <v>720</v>
      </c>
      <c r="BT3" s="230" t="s">
        <v>721</v>
      </c>
      <c r="BU3" s="230" t="s">
        <v>723</v>
      </c>
      <c r="BV3" s="263" t="s">
        <v>720</v>
      </c>
      <c r="BW3" s="264" t="s">
        <v>721</v>
      </c>
      <c r="BX3" s="262" t="s">
        <v>722</v>
      </c>
      <c r="BY3" s="233" t="s">
        <v>720</v>
      </c>
      <c r="BZ3" s="230" t="s">
        <v>721</v>
      </c>
      <c r="CA3" s="230" t="s">
        <v>723</v>
      </c>
      <c r="CB3" s="233" t="s">
        <v>720</v>
      </c>
      <c r="CC3" s="230" t="s">
        <v>721</v>
      </c>
      <c r="CD3" s="230" t="s">
        <v>723</v>
      </c>
      <c r="CE3" s="233" t="s">
        <v>720</v>
      </c>
      <c r="CF3" s="230" t="s">
        <v>721</v>
      </c>
      <c r="CG3" s="230" t="s">
        <v>723</v>
      </c>
      <c r="CH3" s="233" t="s">
        <v>720</v>
      </c>
      <c r="CI3" s="230" t="s">
        <v>721</v>
      </c>
      <c r="CJ3" s="230" t="s">
        <v>723</v>
      </c>
      <c r="CK3" s="233" t="s">
        <v>720</v>
      </c>
      <c r="CL3" s="230" t="s">
        <v>721</v>
      </c>
      <c r="CM3" s="230" t="s">
        <v>723</v>
      </c>
      <c r="CN3" s="233" t="s">
        <v>720</v>
      </c>
      <c r="CO3" s="230" t="s">
        <v>721</v>
      </c>
      <c r="CP3" s="230" t="s">
        <v>723</v>
      </c>
      <c r="CQ3" s="233" t="s">
        <v>720</v>
      </c>
      <c r="CR3" s="230" t="s">
        <v>721</v>
      </c>
      <c r="CS3" s="230" t="s">
        <v>723</v>
      </c>
      <c r="CT3" s="233" t="s">
        <v>720</v>
      </c>
      <c r="CU3" s="230" t="s">
        <v>721</v>
      </c>
      <c r="CV3" s="230" t="s">
        <v>723</v>
      </c>
      <c r="CW3" s="233" t="s">
        <v>720</v>
      </c>
      <c r="CX3" s="230" t="s">
        <v>721</v>
      </c>
      <c r="CY3" s="230" t="s">
        <v>723</v>
      </c>
      <c r="CZ3" s="233" t="s">
        <v>720</v>
      </c>
      <c r="DA3" s="230" t="s">
        <v>721</v>
      </c>
      <c r="DB3" s="230" t="s">
        <v>723</v>
      </c>
      <c r="DC3" s="233" t="s">
        <v>720</v>
      </c>
      <c r="DD3" s="230" t="s">
        <v>721</v>
      </c>
      <c r="DE3" s="230" t="s">
        <v>723</v>
      </c>
      <c r="DF3" s="263" t="s">
        <v>720</v>
      </c>
      <c r="DG3" s="264" t="s">
        <v>721</v>
      </c>
      <c r="DH3" s="262" t="s">
        <v>722</v>
      </c>
    </row>
    <row r="4" spans="1:113" ht="30" customHeight="1" x14ac:dyDescent="0.6">
      <c r="A4" s="418"/>
      <c r="B4" s="421"/>
      <c r="C4" s="422"/>
      <c r="D4" s="421"/>
      <c r="E4" s="422"/>
      <c r="F4" s="424"/>
      <c r="G4" s="421"/>
      <c r="H4" s="422"/>
      <c r="I4" s="425"/>
      <c r="J4" s="416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6">
        <f>+AL4+AI4+AF4+AC4+Z4+W4+T4+Q4+N4+K4</f>
        <v>0</v>
      </c>
      <c r="AP4" s="266">
        <f>+AM4+AJ4+AG4+AD4+AA4+X4+U4+R4+O4+L4</f>
        <v>0</v>
      </c>
      <c r="AQ4" s="266">
        <f>M4+P4+S4+V4+Y4+AB4+AE4+AH4+AK4+AN4</f>
        <v>0</v>
      </c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7"/>
      <c r="BL4" s="267"/>
      <c r="BM4" s="267"/>
      <c r="BN4" s="267"/>
      <c r="BO4" s="267"/>
      <c r="BP4" s="267"/>
      <c r="BQ4" s="267"/>
      <c r="BR4" s="267"/>
      <c r="BS4" s="267"/>
      <c r="BT4" s="267"/>
      <c r="BU4" s="267"/>
      <c r="BV4" s="266">
        <f>+BS4+BP4+BM4+BJ4+BG4+BD4+BA4+AX4+AU4+AR4+AO4</f>
        <v>0</v>
      </c>
      <c r="BW4" s="266">
        <f t="shared" ref="BW4" si="0">+BT4+BQ4+BN4+BK4+BH4+BE4+BB4+AY4+AV4+AS4+AP4</f>
        <v>0</v>
      </c>
      <c r="BX4" s="266">
        <f>AQ4+AT4+AW4+AZ4+BC4+BF4+BI4+BL4+BO4+BR4+BU4</f>
        <v>0</v>
      </c>
      <c r="BY4" s="267"/>
      <c r="BZ4" s="267"/>
      <c r="CA4" s="267"/>
      <c r="CB4" s="267"/>
      <c r="CC4" s="267"/>
      <c r="CD4" s="267"/>
      <c r="CE4" s="267"/>
      <c r="CF4" s="267"/>
      <c r="CG4" s="267"/>
      <c r="CH4" s="267"/>
      <c r="CI4" s="267"/>
      <c r="CJ4" s="267"/>
      <c r="CK4" s="267"/>
      <c r="CL4" s="267"/>
      <c r="CM4" s="267"/>
      <c r="CN4" s="267"/>
      <c r="CO4" s="267"/>
      <c r="CP4" s="267"/>
      <c r="CQ4" s="267"/>
      <c r="CR4" s="267"/>
      <c r="CS4" s="267"/>
      <c r="CT4" s="267"/>
      <c r="CU4" s="267"/>
      <c r="CV4" s="267"/>
      <c r="CW4" s="267"/>
      <c r="CX4" s="267"/>
      <c r="CY4" s="267"/>
      <c r="CZ4" s="267"/>
      <c r="DA4" s="267"/>
      <c r="DB4" s="267"/>
      <c r="DC4" s="267"/>
      <c r="DD4" s="265"/>
      <c r="DE4" s="265"/>
      <c r="DF4" s="266">
        <f t="shared" ref="DF4:DG40" si="1">+DC4+CZ4+CW4+CT4+CQ4+CN4+CK4+CH4+CE4+CB4+BY4+BV4</f>
        <v>0</v>
      </c>
      <c r="DG4" s="266">
        <f t="shared" si="1"/>
        <v>0</v>
      </c>
      <c r="DH4" s="266">
        <f>BX4+CA4+CD4+CG4+CJ4+CM4+CP4+CS4+CV4+CY4+DB4+DE4</f>
        <v>0</v>
      </c>
    </row>
    <row r="5" spans="1:113" s="275" customFormat="1" ht="24.75" customHeight="1" x14ac:dyDescent="0.6">
      <c r="A5" s="268">
        <v>1</v>
      </c>
      <c r="B5" s="269" t="s">
        <v>191</v>
      </c>
      <c r="C5" s="99" t="s">
        <v>191</v>
      </c>
      <c r="D5" s="100" t="s">
        <v>192</v>
      </c>
      <c r="E5" s="99" t="s">
        <v>193</v>
      </c>
      <c r="F5" s="234" t="s">
        <v>733</v>
      </c>
      <c r="G5" s="234" t="s">
        <v>734</v>
      </c>
      <c r="H5" s="234" t="s">
        <v>735</v>
      </c>
      <c r="I5" s="234" t="s">
        <v>736</v>
      </c>
      <c r="J5" s="270" t="s">
        <v>195</v>
      </c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>
        <v>70</v>
      </c>
      <c r="AA5" s="271">
        <v>940</v>
      </c>
      <c r="AB5" s="271">
        <v>688</v>
      </c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2">
        <f t="shared" ref="AO5:AP40" si="2">+AL5+AI5+AF5+AC5+Z5+W5+T5+Q5+N5+K5</f>
        <v>70</v>
      </c>
      <c r="AP5" s="272">
        <f t="shared" si="2"/>
        <v>940</v>
      </c>
      <c r="AQ5" s="272">
        <f t="shared" ref="AQ5:AQ40" si="3">M5+P5+S5+V5+Y5+AB5+AE5+AH5+AK5+AN5</f>
        <v>688</v>
      </c>
      <c r="AR5" s="273"/>
      <c r="AS5" s="273"/>
      <c r="AT5" s="273"/>
      <c r="AU5" s="273"/>
      <c r="AV5" s="273"/>
      <c r="AW5" s="273"/>
      <c r="AX5" s="273"/>
      <c r="AY5" s="273"/>
      <c r="AZ5" s="273"/>
      <c r="BA5" s="273">
        <v>15</v>
      </c>
      <c r="BB5" s="273">
        <v>180</v>
      </c>
      <c r="BC5" s="273">
        <v>180</v>
      </c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3"/>
      <c r="BQ5" s="273"/>
      <c r="BR5" s="273"/>
      <c r="BS5" s="273">
        <v>40</v>
      </c>
      <c r="BT5" s="273">
        <v>500</v>
      </c>
      <c r="BU5" s="273">
        <v>449.6</v>
      </c>
      <c r="BV5" s="272">
        <f>AO5+AR5+AU5+AX5+BA5+BD5+BG5+BJ5+BM5+BP5+BS5</f>
        <v>125</v>
      </c>
      <c r="BW5" s="272">
        <f>AP5+AS5+AV5+AY5+BB5+BE5+BH5+BK5+BN5+BQ5+BT5</f>
        <v>1620</v>
      </c>
      <c r="BX5" s="272">
        <f>AQ5+AT5+AW5+AZ5+BC5+BF5+BI5+BL5+BO5+BR5+BU5</f>
        <v>1317.6</v>
      </c>
      <c r="BY5" s="273"/>
      <c r="BZ5" s="273"/>
      <c r="CA5" s="273"/>
      <c r="CB5" s="273"/>
      <c r="CC5" s="273"/>
      <c r="CD5" s="273"/>
      <c r="CE5" s="273"/>
      <c r="CF5" s="273"/>
      <c r="CG5" s="273"/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  <c r="CT5" s="273">
        <v>2</v>
      </c>
      <c r="CU5" s="273">
        <v>80</v>
      </c>
      <c r="CV5" s="273">
        <v>28</v>
      </c>
      <c r="CW5" s="273"/>
      <c r="CX5" s="273"/>
      <c r="CY5" s="273"/>
      <c r="CZ5" s="273"/>
      <c r="DA5" s="273"/>
      <c r="DB5" s="273"/>
      <c r="DC5" s="273"/>
      <c r="DD5" s="271"/>
      <c r="DE5" s="271"/>
      <c r="DF5" s="272">
        <f t="shared" si="1"/>
        <v>127</v>
      </c>
      <c r="DG5" s="272">
        <f t="shared" si="1"/>
        <v>1700</v>
      </c>
      <c r="DH5" s="272">
        <f t="shared" ref="DH5:DH40" si="4">BX5+CA5+CD5+CG5+CJ5+CM5+CP5+CS5+CV5+CY5+DB5+DE5</f>
        <v>1345.6</v>
      </c>
      <c r="DI5" s="274"/>
    </row>
    <row r="6" spans="1:113" s="275" customFormat="1" ht="24.75" customHeight="1" x14ac:dyDescent="0.6">
      <c r="A6" s="268">
        <v>2</v>
      </c>
      <c r="B6" s="269" t="s">
        <v>196</v>
      </c>
      <c r="C6" s="104" t="s">
        <v>197</v>
      </c>
      <c r="D6" s="100" t="s">
        <v>168</v>
      </c>
      <c r="E6" s="99" t="s">
        <v>169</v>
      </c>
      <c r="F6" s="234" t="s">
        <v>733</v>
      </c>
      <c r="G6" s="234" t="s">
        <v>737</v>
      </c>
      <c r="H6" s="234" t="s">
        <v>738</v>
      </c>
      <c r="I6" s="234" t="s">
        <v>739</v>
      </c>
      <c r="J6" s="270" t="s">
        <v>195</v>
      </c>
      <c r="K6" s="271"/>
      <c r="L6" s="271"/>
      <c r="M6" s="271"/>
      <c r="N6" s="276"/>
      <c r="O6" s="276"/>
      <c r="P6" s="276"/>
      <c r="Q6" s="276"/>
      <c r="R6" s="276"/>
      <c r="S6" s="276"/>
      <c r="T6" s="277"/>
      <c r="U6" s="271"/>
      <c r="V6" s="271"/>
      <c r="W6" s="271"/>
      <c r="X6" s="271"/>
      <c r="Y6" s="271"/>
      <c r="Z6" s="271">
        <v>30</v>
      </c>
      <c r="AA6" s="271">
        <v>360</v>
      </c>
      <c r="AB6" s="271">
        <v>360</v>
      </c>
      <c r="AC6" s="271">
        <v>80</v>
      </c>
      <c r="AD6" s="271">
        <v>1580</v>
      </c>
      <c r="AE6" s="271">
        <v>908.8</v>
      </c>
      <c r="AF6" s="271"/>
      <c r="AG6" s="271"/>
      <c r="AH6" s="271"/>
      <c r="AI6" s="271"/>
      <c r="AJ6" s="271"/>
      <c r="AK6" s="271"/>
      <c r="AL6" s="271"/>
      <c r="AM6" s="271"/>
      <c r="AN6" s="271"/>
      <c r="AO6" s="272">
        <f t="shared" si="2"/>
        <v>110</v>
      </c>
      <c r="AP6" s="272">
        <f t="shared" si="2"/>
        <v>1940</v>
      </c>
      <c r="AQ6" s="272">
        <f t="shared" si="3"/>
        <v>1268.8</v>
      </c>
      <c r="AR6" s="273">
        <v>30</v>
      </c>
      <c r="AS6" s="273">
        <v>360</v>
      </c>
      <c r="AT6" s="273">
        <v>360</v>
      </c>
      <c r="AU6" s="273"/>
      <c r="AV6" s="273"/>
      <c r="AW6" s="273"/>
      <c r="AX6" s="273"/>
      <c r="AY6" s="273"/>
      <c r="AZ6" s="273"/>
      <c r="BA6" s="273">
        <v>40</v>
      </c>
      <c r="BB6" s="273">
        <v>520</v>
      </c>
      <c r="BC6" s="273">
        <v>419.20000000000005</v>
      </c>
      <c r="BD6" s="273"/>
      <c r="BE6" s="273"/>
      <c r="BF6" s="273"/>
      <c r="BG6" s="273"/>
      <c r="BH6" s="273"/>
      <c r="BI6" s="273"/>
      <c r="BJ6" s="273"/>
      <c r="BK6" s="273"/>
      <c r="BL6" s="273"/>
      <c r="BM6" s="273">
        <v>60</v>
      </c>
      <c r="BN6" s="273">
        <v>720</v>
      </c>
      <c r="BO6" s="273">
        <v>720</v>
      </c>
      <c r="BP6" s="273"/>
      <c r="BQ6" s="273"/>
      <c r="BR6" s="273"/>
      <c r="BS6" s="273">
        <v>45</v>
      </c>
      <c r="BT6" s="273">
        <v>960</v>
      </c>
      <c r="BU6" s="273">
        <v>570</v>
      </c>
      <c r="BV6" s="272">
        <f t="shared" ref="BV6:BX40" si="5">AO6+AR6+AU6+AX6+BA6+BD6+BG6+BJ6+BM6+BP6+BS6</f>
        <v>285</v>
      </c>
      <c r="BW6" s="272">
        <f t="shared" si="5"/>
        <v>4500</v>
      </c>
      <c r="BX6" s="272">
        <f t="shared" si="5"/>
        <v>3338</v>
      </c>
      <c r="BY6" s="273"/>
      <c r="BZ6" s="273"/>
      <c r="CA6" s="273"/>
      <c r="CB6" s="273"/>
      <c r="CC6" s="273"/>
      <c r="CD6" s="273"/>
      <c r="CE6" s="273"/>
      <c r="CF6" s="273"/>
      <c r="CG6" s="273"/>
      <c r="CH6" s="273">
        <v>45</v>
      </c>
      <c r="CI6" s="273">
        <v>540</v>
      </c>
      <c r="CJ6" s="273">
        <v>540</v>
      </c>
      <c r="CK6" s="273"/>
      <c r="CL6" s="273"/>
      <c r="CM6" s="273"/>
      <c r="CN6" s="273"/>
      <c r="CO6" s="273"/>
      <c r="CP6" s="273"/>
      <c r="CQ6" s="273"/>
      <c r="CR6" s="273"/>
      <c r="CS6" s="273"/>
      <c r="CT6" s="273">
        <v>95</v>
      </c>
      <c r="CU6" s="273">
        <v>1460</v>
      </c>
      <c r="CV6" s="273">
        <v>1051.2</v>
      </c>
      <c r="CW6" s="273"/>
      <c r="CX6" s="273"/>
      <c r="CY6" s="273"/>
      <c r="CZ6" s="273"/>
      <c r="DA6" s="273"/>
      <c r="DB6" s="273"/>
      <c r="DC6" s="273"/>
      <c r="DD6" s="271"/>
      <c r="DE6" s="271"/>
      <c r="DF6" s="272">
        <f t="shared" si="1"/>
        <v>425</v>
      </c>
      <c r="DG6" s="272">
        <f t="shared" si="1"/>
        <v>6500</v>
      </c>
      <c r="DH6" s="272">
        <f t="shared" si="4"/>
        <v>4929.2</v>
      </c>
      <c r="DI6" s="274"/>
    </row>
    <row r="7" spans="1:113" s="275" customFormat="1" ht="24.75" customHeight="1" x14ac:dyDescent="0.6">
      <c r="A7" s="268">
        <v>3</v>
      </c>
      <c r="B7" s="269" t="s">
        <v>198</v>
      </c>
      <c r="C7" s="104" t="s">
        <v>199</v>
      </c>
      <c r="D7" s="100" t="s">
        <v>168</v>
      </c>
      <c r="E7" s="99" t="s">
        <v>169</v>
      </c>
      <c r="F7" s="234" t="s">
        <v>733</v>
      </c>
      <c r="G7" s="234" t="s">
        <v>740</v>
      </c>
      <c r="H7" s="234" t="s">
        <v>741</v>
      </c>
      <c r="I7" s="234" t="s">
        <v>742</v>
      </c>
      <c r="J7" s="270" t="s">
        <v>195</v>
      </c>
      <c r="K7" s="271"/>
      <c r="L7" s="271"/>
      <c r="M7" s="271"/>
      <c r="N7" s="276">
        <v>27</v>
      </c>
      <c r="O7" s="276">
        <v>344</v>
      </c>
      <c r="P7" s="276">
        <v>284</v>
      </c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>
        <v>4</v>
      </c>
      <c r="AD7" s="276">
        <v>104</v>
      </c>
      <c r="AE7" s="276">
        <v>42.4</v>
      </c>
      <c r="AF7" s="276"/>
      <c r="AG7" s="276"/>
      <c r="AH7" s="276"/>
      <c r="AI7" s="276"/>
      <c r="AJ7" s="276"/>
      <c r="AK7" s="276"/>
      <c r="AL7" s="276"/>
      <c r="AM7" s="276"/>
      <c r="AN7" s="276"/>
      <c r="AO7" s="272">
        <f t="shared" si="2"/>
        <v>31</v>
      </c>
      <c r="AP7" s="272">
        <f t="shared" si="2"/>
        <v>448</v>
      </c>
      <c r="AQ7" s="272">
        <f t="shared" si="3"/>
        <v>326.39999999999998</v>
      </c>
      <c r="AR7" s="278"/>
      <c r="AS7" s="278"/>
      <c r="AT7" s="278"/>
      <c r="AU7" s="278"/>
      <c r="AV7" s="278"/>
      <c r="AW7" s="278"/>
      <c r="AX7" s="278"/>
      <c r="AY7" s="278"/>
      <c r="AZ7" s="278"/>
      <c r="BA7" s="278"/>
      <c r="BB7" s="278"/>
      <c r="BC7" s="278"/>
      <c r="BD7" s="278"/>
      <c r="BE7" s="278"/>
      <c r="BF7" s="278"/>
      <c r="BG7" s="278"/>
      <c r="BH7" s="278"/>
      <c r="BI7" s="278"/>
      <c r="BJ7" s="278">
        <v>31</v>
      </c>
      <c r="BK7" s="278">
        <v>540</v>
      </c>
      <c r="BL7" s="278">
        <v>384</v>
      </c>
      <c r="BM7" s="278"/>
      <c r="BN7" s="278"/>
      <c r="BO7" s="278"/>
      <c r="BP7" s="278"/>
      <c r="BQ7" s="278"/>
      <c r="BR7" s="278"/>
      <c r="BS7" s="278">
        <v>15</v>
      </c>
      <c r="BT7" s="278">
        <v>200</v>
      </c>
      <c r="BU7" s="278">
        <v>125.60000000000001</v>
      </c>
      <c r="BV7" s="272">
        <f t="shared" si="5"/>
        <v>77</v>
      </c>
      <c r="BW7" s="272">
        <f t="shared" si="5"/>
        <v>1188</v>
      </c>
      <c r="BX7" s="272">
        <f t="shared" si="5"/>
        <v>836</v>
      </c>
      <c r="BY7" s="278"/>
      <c r="BZ7" s="278"/>
      <c r="CA7" s="278"/>
      <c r="CB7" s="278"/>
      <c r="CC7" s="278"/>
      <c r="CD7" s="278"/>
      <c r="CE7" s="278"/>
      <c r="CF7" s="278"/>
      <c r="CG7" s="278"/>
      <c r="CH7" s="278"/>
      <c r="CI7" s="278"/>
      <c r="CJ7" s="278"/>
      <c r="CK7" s="278"/>
      <c r="CL7" s="278"/>
      <c r="CM7" s="278"/>
      <c r="CN7" s="278">
        <v>18</v>
      </c>
      <c r="CO7" s="278">
        <v>366</v>
      </c>
      <c r="CP7" s="278">
        <v>196.4</v>
      </c>
      <c r="CQ7" s="278"/>
      <c r="CR7" s="278"/>
      <c r="CS7" s="278"/>
      <c r="CT7" s="278"/>
      <c r="CU7" s="278"/>
      <c r="CV7" s="278"/>
      <c r="CW7" s="278"/>
      <c r="CX7" s="278"/>
      <c r="CY7" s="278"/>
      <c r="CZ7" s="278"/>
      <c r="DA7" s="278"/>
      <c r="DB7" s="278"/>
      <c r="DC7" s="278"/>
      <c r="DD7" s="278"/>
      <c r="DE7" s="278"/>
      <c r="DF7" s="272">
        <f t="shared" si="1"/>
        <v>95</v>
      </c>
      <c r="DG7" s="272">
        <f t="shared" si="1"/>
        <v>1554</v>
      </c>
      <c r="DH7" s="272">
        <f t="shared" si="4"/>
        <v>1032.4000000000001</v>
      </c>
      <c r="DI7" s="274"/>
    </row>
    <row r="8" spans="1:113" s="275" customFormat="1" ht="24.75" customHeight="1" x14ac:dyDescent="0.6">
      <c r="A8" s="268">
        <v>4</v>
      </c>
      <c r="B8" s="269" t="s">
        <v>200</v>
      </c>
      <c r="C8" s="104" t="s">
        <v>201</v>
      </c>
      <c r="D8" s="100" t="s">
        <v>168</v>
      </c>
      <c r="E8" s="99" t="s">
        <v>169</v>
      </c>
      <c r="F8" s="234" t="s">
        <v>733</v>
      </c>
      <c r="G8" s="234" t="s">
        <v>743</v>
      </c>
      <c r="H8" s="234" t="s">
        <v>744</v>
      </c>
      <c r="I8" s="234" t="s">
        <v>745</v>
      </c>
      <c r="J8" s="270" t="s">
        <v>195</v>
      </c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>
        <v>110</v>
      </c>
      <c r="AJ8" s="271">
        <v>2160</v>
      </c>
      <c r="AK8" s="271">
        <v>1380</v>
      </c>
      <c r="AL8" s="271"/>
      <c r="AM8" s="271"/>
      <c r="AN8" s="271"/>
      <c r="AO8" s="272">
        <f t="shared" si="2"/>
        <v>110</v>
      </c>
      <c r="AP8" s="272">
        <f t="shared" si="2"/>
        <v>2160</v>
      </c>
      <c r="AQ8" s="272">
        <f t="shared" si="3"/>
        <v>1380</v>
      </c>
      <c r="AR8" s="273"/>
      <c r="AS8" s="273"/>
      <c r="AT8" s="273"/>
      <c r="AU8" s="273"/>
      <c r="AV8" s="273"/>
      <c r="AW8" s="273"/>
      <c r="AX8" s="273"/>
      <c r="AY8" s="273"/>
      <c r="AZ8" s="273"/>
      <c r="BA8" s="273">
        <v>50</v>
      </c>
      <c r="BB8" s="273">
        <v>700</v>
      </c>
      <c r="BC8" s="273">
        <v>448</v>
      </c>
      <c r="BD8" s="273"/>
      <c r="BE8" s="273"/>
      <c r="BF8" s="273"/>
      <c r="BG8" s="273"/>
      <c r="BH8" s="273"/>
      <c r="BI8" s="273"/>
      <c r="BJ8" s="273"/>
      <c r="BK8" s="273"/>
      <c r="BL8" s="273"/>
      <c r="BM8" s="273"/>
      <c r="BN8" s="273"/>
      <c r="BO8" s="273"/>
      <c r="BP8" s="273"/>
      <c r="BQ8" s="273"/>
      <c r="BR8" s="273"/>
      <c r="BS8" s="273">
        <v>40</v>
      </c>
      <c r="BT8" s="273">
        <v>480</v>
      </c>
      <c r="BU8" s="273">
        <v>480</v>
      </c>
      <c r="BV8" s="272">
        <f t="shared" si="5"/>
        <v>200</v>
      </c>
      <c r="BW8" s="272">
        <f t="shared" si="5"/>
        <v>3340</v>
      </c>
      <c r="BX8" s="272">
        <f t="shared" si="5"/>
        <v>2308</v>
      </c>
      <c r="BY8" s="273"/>
      <c r="BZ8" s="273"/>
      <c r="CA8" s="273"/>
      <c r="CB8" s="273"/>
      <c r="CC8" s="273"/>
      <c r="CD8" s="273"/>
      <c r="CE8" s="273"/>
      <c r="CF8" s="273"/>
      <c r="CG8" s="273"/>
      <c r="CH8" s="273">
        <v>90</v>
      </c>
      <c r="CI8" s="273">
        <v>2340</v>
      </c>
      <c r="CJ8" s="273">
        <v>1170</v>
      </c>
      <c r="CK8" s="273"/>
      <c r="CL8" s="273"/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  <c r="CX8" s="273"/>
      <c r="CY8" s="273"/>
      <c r="CZ8" s="273"/>
      <c r="DA8" s="273"/>
      <c r="DB8" s="273"/>
      <c r="DC8" s="273"/>
      <c r="DD8" s="271"/>
      <c r="DE8" s="271"/>
      <c r="DF8" s="272">
        <f t="shared" si="1"/>
        <v>290</v>
      </c>
      <c r="DG8" s="272">
        <f t="shared" si="1"/>
        <v>5680</v>
      </c>
      <c r="DH8" s="272">
        <f t="shared" si="4"/>
        <v>3478</v>
      </c>
      <c r="DI8" s="274"/>
    </row>
    <row r="9" spans="1:113" s="275" customFormat="1" ht="24.75" customHeight="1" x14ac:dyDescent="0.6">
      <c r="A9" s="268">
        <v>5</v>
      </c>
      <c r="B9" s="269" t="s">
        <v>202</v>
      </c>
      <c r="C9" s="104" t="s">
        <v>203</v>
      </c>
      <c r="D9" s="100" t="s">
        <v>168</v>
      </c>
      <c r="E9" s="99" t="s">
        <v>169</v>
      </c>
      <c r="F9" s="234" t="s">
        <v>733</v>
      </c>
      <c r="G9" s="234" t="s">
        <v>200</v>
      </c>
      <c r="H9" s="234" t="s">
        <v>746</v>
      </c>
      <c r="I9" s="234" t="s">
        <v>747</v>
      </c>
      <c r="J9" s="270" t="s">
        <v>195</v>
      </c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>
        <v>21</v>
      </c>
      <c r="AA9" s="271">
        <v>252</v>
      </c>
      <c r="AB9" s="271">
        <v>252</v>
      </c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2">
        <f t="shared" si="2"/>
        <v>21</v>
      </c>
      <c r="AP9" s="272">
        <f t="shared" si="2"/>
        <v>252</v>
      </c>
      <c r="AQ9" s="272">
        <f t="shared" si="3"/>
        <v>252</v>
      </c>
      <c r="AR9" s="273">
        <v>21</v>
      </c>
      <c r="AS9" s="273">
        <v>252</v>
      </c>
      <c r="AT9" s="273">
        <v>252</v>
      </c>
      <c r="AU9" s="273"/>
      <c r="AV9" s="273"/>
      <c r="AW9" s="273"/>
      <c r="AX9" s="273">
        <v>21</v>
      </c>
      <c r="AY9" s="273">
        <v>252</v>
      </c>
      <c r="AZ9" s="273">
        <v>252</v>
      </c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3"/>
      <c r="BM9" s="273">
        <v>21</v>
      </c>
      <c r="BN9" s="273">
        <v>252</v>
      </c>
      <c r="BO9" s="273">
        <v>252</v>
      </c>
      <c r="BP9" s="273"/>
      <c r="BQ9" s="273"/>
      <c r="BR9" s="273"/>
      <c r="BS9" s="273"/>
      <c r="BT9" s="273"/>
      <c r="BU9" s="273"/>
      <c r="BV9" s="272">
        <f t="shared" si="5"/>
        <v>84</v>
      </c>
      <c r="BW9" s="272">
        <f t="shared" si="5"/>
        <v>1008</v>
      </c>
      <c r="BX9" s="272">
        <f t="shared" si="5"/>
        <v>1008</v>
      </c>
      <c r="BY9" s="273"/>
      <c r="BZ9" s="273"/>
      <c r="CA9" s="273"/>
      <c r="CB9" s="273"/>
      <c r="CC9" s="273"/>
      <c r="CD9" s="273"/>
      <c r="CE9" s="273">
        <v>25</v>
      </c>
      <c r="CF9" s="273">
        <v>300</v>
      </c>
      <c r="CG9" s="273">
        <v>300</v>
      </c>
      <c r="CH9" s="273"/>
      <c r="CI9" s="273"/>
      <c r="CJ9" s="273"/>
      <c r="CK9" s="273"/>
      <c r="CL9" s="273"/>
      <c r="CM9" s="273"/>
      <c r="CN9" s="273"/>
      <c r="CO9" s="273"/>
      <c r="CP9" s="273"/>
      <c r="CQ9" s="273"/>
      <c r="CR9" s="273"/>
      <c r="CS9" s="273"/>
      <c r="CT9" s="273"/>
      <c r="CU9" s="273"/>
      <c r="CV9" s="273"/>
      <c r="CW9" s="273"/>
      <c r="CX9" s="273"/>
      <c r="CY9" s="273"/>
      <c r="CZ9" s="273"/>
      <c r="DA9" s="273"/>
      <c r="DB9" s="273"/>
      <c r="DC9" s="273"/>
      <c r="DD9" s="271"/>
      <c r="DE9" s="271"/>
      <c r="DF9" s="272">
        <f t="shared" si="1"/>
        <v>109</v>
      </c>
      <c r="DG9" s="272">
        <f t="shared" si="1"/>
        <v>1308</v>
      </c>
      <c r="DH9" s="272">
        <f t="shared" si="4"/>
        <v>1308</v>
      </c>
      <c r="DI9" s="274"/>
    </row>
    <row r="10" spans="1:113" s="275" customFormat="1" ht="24.75" customHeight="1" x14ac:dyDescent="0.6">
      <c r="A10" s="268">
        <v>6</v>
      </c>
      <c r="B10" s="269" t="s">
        <v>204</v>
      </c>
      <c r="C10" s="104" t="s">
        <v>205</v>
      </c>
      <c r="D10" s="100" t="s">
        <v>168</v>
      </c>
      <c r="E10" s="99" t="s">
        <v>169</v>
      </c>
      <c r="F10" s="234" t="s">
        <v>733</v>
      </c>
      <c r="G10" s="279" t="s">
        <v>748</v>
      </c>
      <c r="H10" s="279"/>
      <c r="I10" s="279"/>
      <c r="J10" s="270" t="s">
        <v>195</v>
      </c>
      <c r="K10" s="271"/>
      <c r="L10" s="271"/>
      <c r="M10" s="271"/>
      <c r="N10" s="271"/>
      <c r="O10" s="271"/>
      <c r="P10" s="271"/>
      <c r="Q10" s="271">
        <v>15</v>
      </c>
      <c r="R10" s="271">
        <v>180</v>
      </c>
      <c r="S10" s="271">
        <v>180</v>
      </c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>
        <v>13</v>
      </c>
      <c r="AJ10" s="271">
        <v>240</v>
      </c>
      <c r="AK10" s="271">
        <v>162</v>
      </c>
      <c r="AL10" s="271">
        <v>15</v>
      </c>
      <c r="AM10" s="271">
        <v>180</v>
      </c>
      <c r="AN10" s="271">
        <v>180</v>
      </c>
      <c r="AO10" s="272">
        <f t="shared" si="2"/>
        <v>43</v>
      </c>
      <c r="AP10" s="272">
        <f t="shared" si="2"/>
        <v>600</v>
      </c>
      <c r="AQ10" s="272">
        <f t="shared" si="3"/>
        <v>522</v>
      </c>
      <c r="AR10" s="234"/>
      <c r="AS10" s="234"/>
      <c r="AT10" s="234"/>
      <c r="AU10" s="234"/>
      <c r="AV10" s="234"/>
      <c r="AW10" s="234"/>
      <c r="AX10" s="234">
        <v>20</v>
      </c>
      <c r="AY10" s="234">
        <v>260</v>
      </c>
      <c r="AZ10" s="234">
        <v>209.60000000000002</v>
      </c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4">
        <v>15</v>
      </c>
      <c r="BN10" s="234">
        <v>180</v>
      </c>
      <c r="BO10" s="234">
        <v>180</v>
      </c>
      <c r="BP10" s="234"/>
      <c r="BQ10" s="234"/>
      <c r="BR10" s="234"/>
      <c r="BS10" s="234"/>
      <c r="BT10" s="234"/>
      <c r="BU10" s="270"/>
      <c r="BV10" s="272">
        <f t="shared" si="5"/>
        <v>78</v>
      </c>
      <c r="BW10" s="272">
        <f t="shared" si="5"/>
        <v>1040</v>
      </c>
      <c r="BX10" s="272">
        <f t="shared" si="5"/>
        <v>911.6</v>
      </c>
      <c r="BY10" s="270"/>
      <c r="BZ10" s="270"/>
      <c r="CA10" s="270"/>
      <c r="CB10" s="270"/>
      <c r="CC10" s="270"/>
      <c r="CD10" s="270"/>
      <c r="CE10" s="270"/>
      <c r="CF10" s="270"/>
      <c r="CG10" s="270"/>
      <c r="CH10" s="270">
        <v>15</v>
      </c>
      <c r="CI10" s="270">
        <v>180</v>
      </c>
      <c r="CJ10" s="270">
        <v>180</v>
      </c>
      <c r="CK10" s="270"/>
      <c r="CL10" s="270"/>
      <c r="CM10" s="270"/>
      <c r="CN10" s="270"/>
      <c r="CO10" s="270"/>
      <c r="CP10" s="270"/>
      <c r="CQ10" s="270"/>
      <c r="CR10" s="270"/>
      <c r="CS10" s="270"/>
      <c r="CT10" s="270"/>
      <c r="CU10" s="270"/>
      <c r="CV10" s="270"/>
      <c r="CW10" s="270"/>
      <c r="CX10" s="270"/>
      <c r="CY10" s="270"/>
      <c r="CZ10" s="270"/>
      <c r="DA10" s="270"/>
      <c r="DB10" s="270"/>
      <c r="DC10" s="270"/>
      <c r="DD10" s="270"/>
      <c r="DE10" s="270"/>
      <c r="DF10" s="272">
        <f t="shared" si="1"/>
        <v>93</v>
      </c>
      <c r="DG10" s="272">
        <f t="shared" si="1"/>
        <v>1220</v>
      </c>
      <c r="DH10" s="272">
        <f t="shared" si="4"/>
        <v>1091.5999999999999</v>
      </c>
      <c r="DI10" s="274"/>
    </row>
    <row r="11" spans="1:113" s="275" customFormat="1" ht="24.75" customHeight="1" x14ac:dyDescent="0.6">
      <c r="A11" s="268">
        <v>7</v>
      </c>
      <c r="B11" s="269" t="s">
        <v>206</v>
      </c>
      <c r="C11" s="104" t="s">
        <v>207</v>
      </c>
      <c r="D11" s="100" t="s">
        <v>168</v>
      </c>
      <c r="E11" s="99" t="s">
        <v>169</v>
      </c>
      <c r="F11" s="234" t="s">
        <v>733</v>
      </c>
      <c r="G11" s="234" t="s">
        <v>749</v>
      </c>
      <c r="H11" s="234" t="s">
        <v>750</v>
      </c>
      <c r="I11" s="234" t="s">
        <v>751</v>
      </c>
      <c r="J11" s="270" t="s">
        <v>195</v>
      </c>
      <c r="K11" s="271"/>
      <c r="L11" s="271"/>
      <c r="M11" s="271"/>
      <c r="N11" s="271"/>
      <c r="O11" s="271"/>
      <c r="P11" s="271"/>
      <c r="Q11" s="271">
        <v>15</v>
      </c>
      <c r="R11" s="271">
        <v>180</v>
      </c>
      <c r="S11" s="271">
        <v>180</v>
      </c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>
        <v>15</v>
      </c>
      <c r="AJ11" s="271">
        <v>180</v>
      </c>
      <c r="AK11" s="271">
        <v>180</v>
      </c>
      <c r="AL11" s="271"/>
      <c r="AM11" s="271"/>
      <c r="AN11" s="271"/>
      <c r="AO11" s="272">
        <f t="shared" si="2"/>
        <v>30</v>
      </c>
      <c r="AP11" s="272">
        <f t="shared" si="2"/>
        <v>360</v>
      </c>
      <c r="AQ11" s="272">
        <f t="shared" si="3"/>
        <v>360</v>
      </c>
      <c r="AR11" s="234"/>
      <c r="AS11" s="234"/>
      <c r="AT11" s="234"/>
      <c r="AU11" s="234"/>
      <c r="AV11" s="234"/>
      <c r="AW11" s="234"/>
      <c r="AX11" s="234">
        <v>10</v>
      </c>
      <c r="AY11" s="234">
        <v>120</v>
      </c>
      <c r="AZ11" s="234">
        <v>120</v>
      </c>
      <c r="BA11" s="234">
        <v>7</v>
      </c>
      <c r="BB11" s="234">
        <v>140</v>
      </c>
      <c r="BC11" s="234">
        <v>88</v>
      </c>
      <c r="BD11" s="234"/>
      <c r="BE11" s="234"/>
      <c r="BF11" s="234"/>
      <c r="BG11" s="234"/>
      <c r="BH11" s="234"/>
      <c r="BI11" s="234"/>
      <c r="BJ11" s="234">
        <v>15</v>
      </c>
      <c r="BK11" s="234">
        <v>180</v>
      </c>
      <c r="BL11" s="234">
        <v>180</v>
      </c>
      <c r="BM11" s="234">
        <v>10</v>
      </c>
      <c r="BN11" s="234">
        <v>130</v>
      </c>
      <c r="BO11" s="234">
        <v>104.80000000000001</v>
      </c>
      <c r="BP11" s="234"/>
      <c r="BQ11" s="234"/>
      <c r="BR11" s="234"/>
      <c r="BS11" s="234"/>
      <c r="BT11" s="234"/>
      <c r="BU11" s="270"/>
      <c r="BV11" s="272">
        <f t="shared" si="5"/>
        <v>72</v>
      </c>
      <c r="BW11" s="272">
        <f t="shared" si="5"/>
        <v>930</v>
      </c>
      <c r="BX11" s="272">
        <f t="shared" si="5"/>
        <v>852.8</v>
      </c>
      <c r="BY11" s="270">
        <v>15</v>
      </c>
      <c r="BZ11" s="270">
        <v>180</v>
      </c>
      <c r="CA11" s="270">
        <v>180</v>
      </c>
      <c r="CB11" s="270"/>
      <c r="CC11" s="270"/>
      <c r="CD11" s="270"/>
      <c r="CE11" s="270"/>
      <c r="CF11" s="270"/>
      <c r="CG11" s="270"/>
      <c r="CH11" s="270"/>
      <c r="CI11" s="270"/>
      <c r="CJ11" s="270"/>
      <c r="CK11" s="270"/>
      <c r="CL11" s="270"/>
      <c r="CM11" s="270"/>
      <c r="CN11" s="270">
        <v>15</v>
      </c>
      <c r="CO11" s="270">
        <v>180</v>
      </c>
      <c r="CP11" s="270">
        <v>180</v>
      </c>
      <c r="CQ11" s="270"/>
      <c r="CR11" s="270"/>
      <c r="CS11" s="270"/>
      <c r="CT11" s="270">
        <v>35</v>
      </c>
      <c r="CU11" s="270">
        <v>460</v>
      </c>
      <c r="CV11" s="270">
        <v>359.20000000000005</v>
      </c>
      <c r="CW11" s="270"/>
      <c r="CX11" s="270"/>
      <c r="CY11" s="270"/>
      <c r="CZ11" s="270"/>
      <c r="DA11" s="270"/>
      <c r="DB11" s="270"/>
      <c r="DC11" s="270"/>
      <c r="DD11" s="270"/>
      <c r="DE11" s="270"/>
      <c r="DF11" s="272">
        <f t="shared" si="1"/>
        <v>137</v>
      </c>
      <c r="DG11" s="272">
        <f t="shared" si="1"/>
        <v>1750</v>
      </c>
      <c r="DH11" s="272">
        <f t="shared" si="4"/>
        <v>1572</v>
      </c>
      <c r="DI11" s="274"/>
    </row>
    <row r="12" spans="1:113" s="275" customFormat="1" ht="24.75" customHeight="1" x14ac:dyDescent="0.6">
      <c r="A12" s="268">
        <v>8</v>
      </c>
      <c r="B12" s="269" t="s">
        <v>208</v>
      </c>
      <c r="C12" s="104" t="s">
        <v>209</v>
      </c>
      <c r="D12" s="100" t="s">
        <v>168</v>
      </c>
      <c r="E12" s="99" t="s">
        <v>169</v>
      </c>
      <c r="F12" s="234" t="s">
        <v>733</v>
      </c>
      <c r="G12" s="234" t="s">
        <v>752</v>
      </c>
      <c r="H12" s="234" t="s">
        <v>753</v>
      </c>
      <c r="I12" s="234" t="s">
        <v>754</v>
      </c>
      <c r="J12" s="270" t="s">
        <v>195</v>
      </c>
      <c r="K12" s="271"/>
      <c r="L12" s="271"/>
      <c r="M12" s="271"/>
      <c r="N12" s="271">
        <v>55</v>
      </c>
      <c r="O12" s="271">
        <v>720</v>
      </c>
      <c r="P12" s="271">
        <v>568.79999999999995</v>
      </c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2">
        <f t="shared" si="2"/>
        <v>55</v>
      </c>
      <c r="AP12" s="272">
        <f t="shared" si="2"/>
        <v>720</v>
      </c>
      <c r="AQ12" s="272">
        <f t="shared" si="3"/>
        <v>568.79999999999995</v>
      </c>
      <c r="AR12" s="234"/>
      <c r="AS12" s="234"/>
      <c r="AT12" s="234"/>
      <c r="AU12" s="234"/>
      <c r="AV12" s="234"/>
      <c r="AW12" s="234"/>
      <c r="AX12" s="234">
        <v>65</v>
      </c>
      <c r="AY12" s="234">
        <v>840</v>
      </c>
      <c r="AZ12" s="234">
        <v>688.8</v>
      </c>
      <c r="BA12" s="234"/>
      <c r="BB12" s="234"/>
      <c r="BC12" s="234"/>
      <c r="BD12" s="234"/>
      <c r="BE12" s="234"/>
      <c r="BF12" s="234"/>
      <c r="BG12" s="234"/>
      <c r="BH12" s="234"/>
      <c r="BI12" s="234"/>
      <c r="BJ12" s="234"/>
      <c r="BK12" s="234"/>
      <c r="BL12" s="234"/>
      <c r="BM12" s="234"/>
      <c r="BN12" s="234"/>
      <c r="BO12" s="234"/>
      <c r="BP12" s="234">
        <v>10</v>
      </c>
      <c r="BQ12" s="234">
        <v>140</v>
      </c>
      <c r="BR12" s="234">
        <v>89.600000000000009</v>
      </c>
      <c r="BS12" s="234"/>
      <c r="BT12" s="234"/>
      <c r="BU12" s="270"/>
      <c r="BV12" s="272">
        <f t="shared" si="5"/>
        <v>130</v>
      </c>
      <c r="BW12" s="272">
        <f t="shared" si="5"/>
        <v>1700</v>
      </c>
      <c r="BX12" s="272">
        <f t="shared" si="5"/>
        <v>1347.1999999999998</v>
      </c>
      <c r="BY12" s="270"/>
      <c r="BZ12" s="270"/>
      <c r="CA12" s="270"/>
      <c r="CB12" s="270"/>
      <c r="CC12" s="270"/>
      <c r="CD12" s="270"/>
      <c r="CE12" s="270"/>
      <c r="CF12" s="270"/>
      <c r="CG12" s="270"/>
      <c r="CH12" s="270"/>
      <c r="CI12" s="270"/>
      <c r="CJ12" s="270"/>
      <c r="CK12" s="270"/>
      <c r="CL12" s="270"/>
      <c r="CM12" s="270"/>
      <c r="CN12" s="270"/>
      <c r="CO12" s="270"/>
      <c r="CP12" s="270"/>
      <c r="CQ12" s="270"/>
      <c r="CR12" s="270"/>
      <c r="CS12" s="270"/>
      <c r="CT12" s="270"/>
      <c r="CU12" s="270"/>
      <c r="CV12" s="270"/>
      <c r="CW12" s="270"/>
      <c r="CX12" s="270"/>
      <c r="CY12" s="270"/>
      <c r="CZ12" s="270"/>
      <c r="DA12" s="270"/>
      <c r="DB12" s="270"/>
      <c r="DC12" s="270"/>
      <c r="DD12" s="270"/>
      <c r="DE12" s="270"/>
      <c r="DF12" s="272">
        <f t="shared" si="1"/>
        <v>130</v>
      </c>
      <c r="DG12" s="272">
        <f t="shared" si="1"/>
        <v>1700</v>
      </c>
      <c r="DH12" s="272">
        <f t="shared" si="4"/>
        <v>1347.1999999999998</v>
      </c>
      <c r="DI12" s="274"/>
    </row>
    <row r="13" spans="1:113" s="275" customFormat="1" ht="24.75" customHeight="1" x14ac:dyDescent="0.6">
      <c r="A13" s="268">
        <v>9</v>
      </c>
      <c r="B13" s="269" t="s">
        <v>210</v>
      </c>
      <c r="C13" s="104" t="s">
        <v>211</v>
      </c>
      <c r="D13" s="100" t="s">
        <v>168</v>
      </c>
      <c r="E13" s="99" t="s">
        <v>169</v>
      </c>
      <c r="F13" s="253" t="s">
        <v>733</v>
      </c>
      <c r="G13" s="253" t="s">
        <v>755</v>
      </c>
      <c r="H13" s="253" t="s">
        <v>756</v>
      </c>
      <c r="I13" s="253" t="s">
        <v>757</v>
      </c>
      <c r="J13" s="270" t="s">
        <v>195</v>
      </c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>
        <v>20</v>
      </c>
      <c r="AJ13" s="271">
        <v>280</v>
      </c>
      <c r="AK13" s="271">
        <v>179.20000000000002</v>
      </c>
      <c r="AL13" s="271"/>
      <c r="AM13" s="271"/>
      <c r="AN13" s="271"/>
      <c r="AO13" s="272">
        <f t="shared" si="2"/>
        <v>20</v>
      </c>
      <c r="AP13" s="272">
        <f t="shared" si="2"/>
        <v>280</v>
      </c>
      <c r="AQ13" s="272">
        <f t="shared" si="3"/>
        <v>179.20000000000002</v>
      </c>
      <c r="AR13" s="253"/>
      <c r="AS13" s="253"/>
      <c r="AT13" s="253"/>
      <c r="AU13" s="253"/>
      <c r="AV13" s="253"/>
      <c r="AW13" s="253"/>
      <c r="AX13" s="253"/>
      <c r="AY13" s="253"/>
      <c r="AZ13" s="253"/>
      <c r="BA13" s="253"/>
      <c r="BB13" s="253"/>
      <c r="BC13" s="253"/>
      <c r="BD13" s="234"/>
      <c r="BE13" s="234"/>
      <c r="BF13" s="234"/>
      <c r="BG13" s="253"/>
      <c r="BH13" s="253"/>
      <c r="BI13" s="253"/>
      <c r="BJ13" s="253">
        <v>25</v>
      </c>
      <c r="BK13" s="253">
        <v>300</v>
      </c>
      <c r="BL13" s="253">
        <v>300</v>
      </c>
      <c r="BM13" s="253"/>
      <c r="BN13" s="253"/>
      <c r="BO13" s="253"/>
      <c r="BP13" s="253"/>
      <c r="BQ13" s="253"/>
      <c r="BR13" s="253"/>
      <c r="BS13" s="253"/>
      <c r="BT13" s="253"/>
      <c r="BU13" s="280"/>
      <c r="BV13" s="272">
        <f t="shared" si="5"/>
        <v>45</v>
      </c>
      <c r="BW13" s="272">
        <f t="shared" si="5"/>
        <v>580</v>
      </c>
      <c r="BX13" s="272">
        <f t="shared" si="5"/>
        <v>479.20000000000005</v>
      </c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72">
        <f t="shared" si="1"/>
        <v>45</v>
      </c>
      <c r="DG13" s="272">
        <f t="shared" si="1"/>
        <v>580</v>
      </c>
      <c r="DH13" s="272">
        <f t="shared" si="4"/>
        <v>479.20000000000005</v>
      </c>
      <c r="DI13" s="274"/>
    </row>
    <row r="14" spans="1:113" s="275" customFormat="1" ht="24.75" customHeight="1" x14ac:dyDescent="0.6">
      <c r="A14" s="268">
        <v>10</v>
      </c>
      <c r="B14" s="269" t="s">
        <v>212</v>
      </c>
      <c r="C14" s="104" t="s">
        <v>213</v>
      </c>
      <c r="D14" s="100" t="s">
        <v>214</v>
      </c>
      <c r="E14" s="99" t="s">
        <v>169</v>
      </c>
      <c r="F14" s="253" t="s">
        <v>733</v>
      </c>
      <c r="G14" s="281" t="s">
        <v>758</v>
      </c>
      <c r="H14" s="281" t="s">
        <v>758</v>
      </c>
      <c r="I14" s="253" t="s">
        <v>759</v>
      </c>
      <c r="J14" s="270" t="s">
        <v>195</v>
      </c>
      <c r="K14" s="271"/>
      <c r="L14" s="271"/>
      <c r="M14" s="271"/>
      <c r="N14" s="271">
        <v>35</v>
      </c>
      <c r="O14" s="271">
        <v>420</v>
      </c>
      <c r="P14" s="271">
        <v>420</v>
      </c>
      <c r="Q14" s="271">
        <v>50</v>
      </c>
      <c r="R14" s="271">
        <v>600</v>
      </c>
      <c r="S14" s="271">
        <v>600</v>
      </c>
      <c r="T14" s="271"/>
      <c r="U14" s="271"/>
      <c r="V14" s="271"/>
      <c r="W14" s="271"/>
      <c r="X14" s="271"/>
      <c r="Y14" s="271"/>
      <c r="Z14" s="271">
        <v>27</v>
      </c>
      <c r="AA14" s="271">
        <v>328</v>
      </c>
      <c r="AB14" s="271">
        <v>317.92</v>
      </c>
      <c r="AC14" s="271">
        <v>55</v>
      </c>
      <c r="AD14" s="271">
        <v>660</v>
      </c>
      <c r="AE14" s="271">
        <v>660</v>
      </c>
      <c r="AF14" s="271"/>
      <c r="AG14" s="271"/>
      <c r="AH14" s="271"/>
      <c r="AI14" s="271">
        <v>30</v>
      </c>
      <c r="AJ14" s="271">
        <v>360</v>
      </c>
      <c r="AK14" s="271">
        <v>360</v>
      </c>
      <c r="AL14" s="271"/>
      <c r="AM14" s="271"/>
      <c r="AN14" s="271"/>
      <c r="AO14" s="272">
        <f t="shared" si="2"/>
        <v>197</v>
      </c>
      <c r="AP14" s="272">
        <f t="shared" si="2"/>
        <v>2368</v>
      </c>
      <c r="AQ14" s="272">
        <f t="shared" si="3"/>
        <v>2357.92</v>
      </c>
      <c r="AR14" s="253">
        <v>31</v>
      </c>
      <c r="AS14" s="253">
        <v>374</v>
      </c>
      <c r="AT14" s="253">
        <v>368.96000000000004</v>
      </c>
      <c r="AU14" s="253">
        <v>30</v>
      </c>
      <c r="AV14" s="253">
        <v>360</v>
      </c>
      <c r="AW14" s="253">
        <v>360</v>
      </c>
      <c r="AX14" s="253">
        <v>30</v>
      </c>
      <c r="AY14" s="253">
        <v>360</v>
      </c>
      <c r="AZ14" s="253">
        <v>360</v>
      </c>
      <c r="BA14" s="253"/>
      <c r="BB14" s="253"/>
      <c r="BC14" s="253"/>
      <c r="BD14" s="234"/>
      <c r="BE14" s="234"/>
      <c r="BF14" s="234"/>
      <c r="BG14" s="253">
        <v>30</v>
      </c>
      <c r="BH14" s="253">
        <v>360</v>
      </c>
      <c r="BI14" s="253">
        <v>360</v>
      </c>
      <c r="BJ14" s="253">
        <v>16</v>
      </c>
      <c r="BK14" s="253">
        <v>194</v>
      </c>
      <c r="BL14" s="253">
        <v>188.96</v>
      </c>
      <c r="BM14" s="253">
        <v>31</v>
      </c>
      <c r="BN14" s="253">
        <v>374</v>
      </c>
      <c r="BO14" s="253">
        <v>368.96000000000004</v>
      </c>
      <c r="BP14" s="253"/>
      <c r="BQ14" s="253"/>
      <c r="BR14" s="253"/>
      <c r="BS14" s="253">
        <v>30</v>
      </c>
      <c r="BT14" s="253">
        <v>360</v>
      </c>
      <c r="BU14" s="280">
        <v>360</v>
      </c>
      <c r="BV14" s="272">
        <f t="shared" si="5"/>
        <v>395</v>
      </c>
      <c r="BW14" s="272">
        <f t="shared" si="5"/>
        <v>4750</v>
      </c>
      <c r="BX14" s="272">
        <f t="shared" si="5"/>
        <v>4724.8</v>
      </c>
      <c r="BY14" s="280">
        <v>51</v>
      </c>
      <c r="BZ14" s="280">
        <v>614</v>
      </c>
      <c r="CA14" s="280">
        <v>608.96</v>
      </c>
      <c r="CB14" s="280"/>
      <c r="CC14" s="280"/>
      <c r="CD14" s="280"/>
      <c r="CE14" s="280">
        <v>31</v>
      </c>
      <c r="CF14" s="280">
        <v>374</v>
      </c>
      <c r="CG14" s="280">
        <v>368.96000000000004</v>
      </c>
      <c r="CH14" s="280">
        <v>15</v>
      </c>
      <c r="CI14" s="280">
        <v>180</v>
      </c>
      <c r="CJ14" s="280">
        <v>180</v>
      </c>
      <c r="CK14" s="280">
        <v>30</v>
      </c>
      <c r="CL14" s="280">
        <v>360</v>
      </c>
      <c r="CM14" s="280">
        <v>360</v>
      </c>
      <c r="CN14" s="280">
        <v>30</v>
      </c>
      <c r="CO14" s="280">
        <v>360</v>
      </c>
      <c r="CP14" s="280">
        <v>360</v>
      </c>
      <c r="CQ14" s="280"/>
      <c r="CR14" s="280"/>
      <c r="CS14" s="280"/>
      <c r="CT14" s="280">
        <v>71</v>
      </c>
      <c r="CU14" s="280">
        <v>854</v>
      </c>
      <c r="CV14" s="280">
        <v>848.96</v>
      </c>
      <c r="CW14" s="280"/>
      <c r="CX14" s="280"/>
      <c r="CY14" s="280"/>
      <c r="CZ14" s="280"/>
      <c r="DA14" s="280"/>
      <c r="DB14" s="280"/>
      <c r="DC14" s="280"/>
      <c r="DD14" s="280"/>
      <c r="DE14" s="280"/>
      <c r="DF14" s="272">
        <f t="shared" si="1"/>
        <v>623</v>
      </c>
      <c r="DG14" s="272">
        <f t="shared" si="1"/>
        <v>7492</v>
      </c>
      <c r="DH14" s="272">
        <f t="shared" si="4"/>
        <v>7451.68</v>
      </c>
      <c r="DI14" s="274"/>
    </row>
    <row r="15" spans="1:113" s="275" customFormat="1" ht="24.75" customHeight="1" x14ac:dyDescent="0.6">
      <c r="A15" s="268">
        <v>11</v>
      </c>
      <c r="B15" s="269" t="s">
        <v>215</v>
      </c>
      <c r="C15" s="104" t="s">
        <v>216</v>
      </c>
      <c r="D15" s="100" t="s">
        <v>185</v>
      </c>
      <c r="E15" s="99" t="s">
        <v>217</v>
      </c>
      <c r="F15" s="234" t="s">
        <v>733</v>
      </c>
      <c r="G15" s="234" t="s">
        <v>210</v>
      </c>
      <c r="H15" s="234" t="s">
        <v>211</v>
      </c>
      <c r="I15" s="234" t="s">
        <v>760</v>
      </c>
      <c r="J15" s="270" t="s">
        <v>195</v>
      </c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2">
        <f t="shared" si="2"/>
        <v>0</v>
      </c>
      <c r="AP15" s="272">
        <f t="shared" si="2"/>
        <v>0</v>
      </c>
      <c r="AQ15" s="272">
        <f t="shared" si="3"/>
        <v>0</v>
      </c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  <c r="BI15" s="234"/>
      <c r="BJ15" s="234"/>
      <c r="BK15" s="234"/>
      <c r="BL15" s="234"/>
      <c r="BM15" s="234"/>
      <c r="BN15" s="234"/>
      <c r="BO15" s="234"/>
      <c r="BP15" s="234"/>
      <c r="BQ15" s="234"/>
      <c r="BR15" s="234"/>
      <c r="BS15" s="234"/>
      <c r="BT15" s="234"/>
      <c r="BU15" s="270"/>
      <c r="BV15" s="272">
        <f t="shared" si="5"/>
        <v>0</v>
      </c>
      <c r="BW15" s="272">
        <f t="shared" si="5"/>
        <v>0</v>
      </c>
      <c r="BX15" s="272">
        <f t="shared" si="5"/>
        <v>0</v>
      </c>
      <c r="BY15" s="270"/>
      <c r="BZ15" s="270"/>
      <c r="CA15" s="270"/>
      <c r="CB15" s="270"/>
      <c r="CC15" s="270"/>
      <c r="CD15" s="270"/>
      <c r="CE15" s="270"/>
      <c r="CF15" s="270"/>
      <c r="CG15" s="270"/>
      <c r="CH15" s="270"/>
      <c r="CI15" s="270"/>
      <c r="CJ15" s="270"/>
      <c r="CK15" s="270"/>
      <c r="CL15" s="270"/>
      <c r="CM15" s="270"/>
      <c r="CN15" s="270"/>
      <c r="CO15" s="270"/>
      <c r="CP15" s="270"/>
      <c r="CQ15" s="270"/>
      <c r="CR15" s="270"/>
      <c r="CS15" s="270"/>
      <c r="CT15" s="270"/>
      <c r="CU15" s="270"/>
      <c r="CV15" s="270"/>
      <c r="CW15" s="234"/>
      <c r="CX15" s="234"/>
      <c r="CY15" s="234"/>
      <c r="CZ15" s="234"/>
      <c r="DA15" s="234"/>
      <c r="DB15" s="234"/>
      <c r="DC15" s="270"/>
      <c r="DD15" s="270"/>
      <c r="DE15" s="270"/>
      <c r="DF15" s="272">
        <f t="shared" si="1"/>
        <v>0</v>
      </c>
      <c r="DG15" s="272">
        <f t="shared" si="1"/>
        <v>0</v>
      </c>
      <c r="DH15" s="272">
        <f t="shared" si="4"/>
        <v>0</v>
      </c>
      <c r="DI15" s="274"/>
    </row>
    <row r="16" spans="1:113" s="275" customFormat="1" ht="24.75" customHeight="1" x14ac:dyDescent="0.6">
      <c r="A16" s="268">
        <v>12</v>
      </c>
      <c r="B16" s="269" t="s">
        <v>218</v>
      </c>
      <c r="C16" s="104" t="s">
        <v>219</v>
      </c>
      <c r="D16" s="100" t="s">
        <v>78</v>
      </c>
      <c r="E16" s="99" t="s">
        <v>79</v>
      </c>
      <c r="F16" s="234" t="s">
        <v>733</v>
      </c>
      <c r="G16" s="234" t="s">
        <v>761</v>
      </c>
      <c r="H16" s="234" t="s">
        <v>762</v>
      </c>
      <c r="I16" s="234" t="s">
        <v>763</v>
      </c>
      <c r="J16" s="270" t="s">
        <v>195</v>
      </c>
      <c r="K16" s="271"/>
      <c r="L16" s="271"/>
      <c r="M16" s="271"/>
      <c r="N16" s="271">
        <v>60</v>
      </c>
      <c r="O16" s="271">
        <v>1000</v>
      </c>
      <c r="P16" s="271">
        <v>722</v>
      </c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2">
        <f t="shared" si="2"/>
        <v>60</v>
      </c>
      <c r="AP16" s="272">
        <f t="shared" si="2"/>
        <v>1000</v>
      </c>
      <c r="AQ16" s="272">
        <f t="shared" si="3"/>
        <v>722</v>
      </c>
      <c r="AR16" s="234"/>
      <c r="AS16" s="234"/>
      <c r="AT16" s="234"/>
      <c r="AU16" s="234"/>
      <c r="AV16" s="234"/>
      <c r="AW16" s="234"/>
      <c r="AX16" s="234">
        <v>70</v>
      </c>
      <c r="AY16" s="234">
        <v>840</v>
      </c>
      <c r="AZ16" s="234">
        <v>840</v>
      </c>
      <c r="BA16" s="234"/>
      <c r="BB16" s="234"/>
      <c r="BC16" s="234"/>
      <c r="BD16" s="234"/>
      <c r="BE16" s="234"/>
      <c r="BF16" s="234"/>
      <c r="BG16" s="234"/>
      <c r="BH16" s="234"/>
      <c r="BI16" s="234"/>
      <c r="BJ16" s="234"/>
      <c r="BK16" s="234"/>
      <c r="BL16" s="234"/>
      <c r="BM16" s="234"/>
      <c r="BN16" s="234"/>
      <c r="BO16" s="234"/>
      <c r="BP16" s="234"/>
      <c r="BQ16" s="234"/>
      <c r="BR16" s="234"/>
      <c r="BS16" s="234"/>
      <c r="BT16" s="234"/>
      <c r="BU16" s="270"/>
      <c r="BV16" s="272">
        <f t="shared" si="5"/>
        <v>130</v>
      </c>
      <c r="BW16" s="272">
        <f t="shared" si="5"/>
        <v>1840</v>
      </c>
      <c r="BX16" s="272">
        <f t="shared" si="5"/>
        <v>1562</v>
      </c>
      <c r="BY16" s="270"/>
      <c r="BZ16" s="270"/>
      <c r="CA16" s="270"/>
      <c r="CB16" s="270"/>
      <c r="CC16" s="270"/>
      <c r="CD16" s="270"/>
      <c r="CE16" s="270"/>
      <c r="CF16" s="270"/>
      <c r="CG16" s="270"/>
      <c r="CH16" s="270"/>
      <c r="CI16" s="270"/>
      <c r="CJ16" s="270"/>
      <c r="CK16" s="270">
        <v>98</v>
      </c>
      <c r="CL16" s="270">
        <v>1480</v>
      </c>
      <c r="CM16" s="270">
        <v>1070.4000000000001</v>
      </c>
      <c r="CN16" s="270"/>
      <c r="CO16" s="270"/>
      <c r="CP16" s="270"/>
      <c r="CQ16" s="270"/>
      <c r="CR16" s="270"/>
      <c r="CS16" s="270"/>
      <c r="CT16" s="270"/>
      <c r="CU16" s="270"/>
      <c r="CV16" s="270"/>
      <c r="CW16" s="234"/>
      <c r="CX16" s="253"/>
      <c r="CY16" s="253"/>
      <c r="CZ16" s="253"/>
      <c r="DA16" s="253"/>
      <c r="DB16" s="253"/>
      <c r="DC16" s="270"/>
      <c r="DD16" s="270"/>
      <c r="DE16" s="270"/>
      <c r="DF16" s="272">
        <f t="shared" si="1"/>
        <v>228</v>
      </c>
      <c r="DG16" s="272">
        <f t="shared" si="1"/>
        <v>3320</v>
      </c>
      <c r="DH16" s="272">
        <f t="shared" si="4"/>
        <v>2632.4</v>
      </c>
      <c r="DI16" s="274"/>
    </row>
    <row r="17" spans="1:113" s="275" customFormat="1" ht="24.75" customHeight="1" x14ac:dyDescent="0.6">
      <c r="A17" s="268">
        <v>13</v>
      </c>
      <c r="B17" s="269" t="s">
        <v>220</v>
      </c>
      <c r="C17" s="104" t="s">
        <v>221</v>
      </c>
      <c r="D17" s="100" t="s">
        <v>161</v>
      </c>
      <c r="E17" s="99" t="s">
        <v>61</v>
      </c>
      <c r="F17" s="253" t="s">
        <v>733</v>
      </c>
      <c r="G17" s="281" t="s">
        <v>215</v>
      </c>
      <c r="H17" s="281" t="s">
        <v>216</v>
      </c>
      <c r="I17" s="253" t="s">
        <v>764</v>
      </c>
      <c r="J17" s="270" t="s">
        <v>195</v>
      </c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2">
        <f t="shared" si="2"/>
        <v>0</v>
      </c>
      <c r="AP17" s="272">
        <f t="shared" si="2"/>
        <v>0</v>
      </c>
      <c r="AQ17" s="272">
        <f t="shared" si="3"/>
        <v>0</v>
      </c>
      <c r="AR17" s="253"/>
      <c r="AS17" s="253"/>
      <c r="AT17" s="253"/>
      <c r="AU17" s="253"/>
      <c r="AV17" s="253"/>
      <c r="AW17" s="253"/>
      <c r="AX17" s="253"/>
      <c r="AY17" s="253"/>
      <c r="AZ17" s="253"/>
      <c r="BA17" s="253"/>
      <c r="BB17" s="253"/>
      <c r="BC17" s="253"/>
      <c r="BD17" s="234"/>
      <c r="BE17" s="234"/>
      <c r="BF17" s="234"/>
      <c r="BG17" s="253"/>
      <c r="BH17" s="253"/>
      <c r="BI17" s="253"/>
      <c r="BJ17" s="253"/>
      <c r="BK17" s="253"/>
      <c r="BL17" s="253"/>
      <c r="BM17" s="253"/>
      <c r="BN17" s="253"/>
      <c r="BO17" s="253"/>
      <c r="BP17" s="253"/>
      <c r="BQ17" s="253"/>
      <c r="BR17" s="253"/>
      <c r="BS17" s="253"/>
      <c r="BT17" s="253"/>
      <c r="BU17" s="280"/>
      <c r="BV17" s="272">
        <f t="shared" si="5"/>
        <v>0</v>
      </c>
      <c r="BW17" s="272">
        <f t="shared" si="5"/>
        <v>0</v>
      </c>
      <c r="BX17" s="272">
        <f t="shared" si="5"/>
        <v>0</v>
      </c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53"/>
      <c r="CX17" s="253"/>
      <c r="CY17" s="253"/>
      <c r="CZ17" s="253"/>
      <c r="DA17" s="253"/>
      <c r="DB17" s="253"/>
      <c r="DC17" s="280"/>
      <c r="DD17" s="280"/>
      <c r="DE17" s="280"/>
      <c r="DF17" s="272">
        <f t="shared" si="1"/>
        <v>0</v>
      </c>
      <c r="DG17" s="272">
        <f t="shared" si="1"/>
        <v>0</v>
      </c>
      <c r="DH17" s="272">
        <f t="shared" si="4"/>
        <v>0</v>
      </c>
      <c r="DI17" s="274"/>
    </row>
    <row r="18" spans="1:113" s="275" customFormat="1" ht="24.75" customHeight="1" x14ac:dyDescent="0.6">
      <c r="A18" s="268">
        <v>14</v>
      </c>
      <c r="B18" s="269" t="s">
        <v>222</v>
      </c>
      <c r="C18" s="104" t="s">
        <v>223</v>
      </c>
      <c r="D18" s="100" t="s">
        <v>161</v>
      </c>
      <c r="E18" s="99" t="s">
        <v>61</v>
      </c>
      <c r="F18" s="253" t="s">
        <v>733</v>
      </c>
      <c r="G18" s="281" t="s">
        <v>765</v>
      </c>
      <c r="H18" s="281" t="s">
        <v>766</v>
      </c>
      <c r="I18" s="253" t="s">
        <v>767</v>
      </c>
      <c r="J18" s="270" t="s">
        <v>195</v>
      </c>
      <c r="K18" s="271"/>
      <c r="L18" s="271"/>
      <c r="M18" s="271"/>
      <c r="N18" s="271"/>
      <c r="O18" s="271"/>
      <c r="P18" s="271"/>
      <c r="Q18" s="271"/>
      <c r="R18" s="271"/>
      <c r="S18" s="271"/>
      <c r="T18" s="271">
        <v>100</v>
      </c>
      <c r="U18" s="271">
        <v>1400</v>
      </c>
      <c r="V18" s="271">
        <v>896</v>
      </c>
      <c r="W18" s="271"/>
      <c r="X18" s="271"/>
      <c r="Y18" s="271"/>
      <c r="Z18" s="271"/>
      <c r="AA18" s="271"/>
      <c r="AB18" s="271"/>
      <c r="AC18" s="271">
        <v>110</v>
      </c>
      <c r="AD18" s="271">
        <v>1460</v>
      </c>
      <c r="AE18" s="271">
        <v>1282</v>
      </c>
      <c r="AF18" s="271"/>
      <c r="AG18" s="271"/>
      <c r="AH18" s="271"/>
      <c r="AI18" s="271"/>
      <c r="AJ18" s="271"/>
      <c r="AK18" s="271"/>
      <c r="AL18" s="271"/>
      <c r="AM18" s="271"/>
      <c r="AN18" s="271"/>
      <c r="AO18" s="272">
        <f t="shared" si="2"/>
        <v>210</v>
      </c>
      <c r="AP18" s="272">
        <f t="shared" si="2"/>
        <v>2860</v>
      </c>
      <c r="AQ18" s="272">
        <f t="shared" si="3"/>
        <v>2178</v>
      </c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34"/>
      <c r="BE18" s="234"/>
      <c r="BF18" s="234"/>
      <c r="BG18" s="253">
        <v>100</v>
      </c>
      <c r="BH18" s="253">
        <v>1200</v>
      </c>
      <c r="BI18" s="253">
        <v>1200</v>
      </c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80"/>
      <c r="BV18" s="272">
        <f t="shared" si="5"/>
        <v>310</v>
      </c>
      <c r="BW18" s="272">
        <f t="shared" si="5"/>
        <v>4060</v>
      </c>
      <c r="BX18" s="272">
        <f t="shared" si="5"/>
        <v>3378</v>
      </c>
      <c r="BY18" s="280">
        <v>100</v>
      </c>
      <c r="BZ18" s="280">
        <v>1280</v>
      </c>
      <c r="CA18" s="280">
        <v>1030.4000000000001</v>
      </c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>
        <v>100</v>
      </c>
      <c r="CO18" s="280">
        <v>1400</v>
      </c>
      <c r="CP18" s="280">
        <v>896</v>
      </c>
      <c r="CQ18" s="280"/>
      <c r="CR18" s="280"/>
      <c r="CS18" s="280"/>
      <c r="CT18" s="280">
        <v>100</v>
      </c>
      <c r="CU18" s="280">
        <v>1200</v>
      </c>
      <c r="CV18" s="280">
        <v>1200</v>
      </c>
      <c r="CW18" s="253"/>
      <c r="CX18" s="253"/>
      <c r="CY18" s="253"/>
      <c r="CZ18" s="253"/>
      <c r="DA18" s="253"/>
      <c r="DB18" s="253"/>
      <c r="DC18" s="280"/>
      <c r="DD18" s="280"/>
      <c r="DE18" s="280"/>
      <c r="DF18" s="272">
        <f t="shared" si="1"/>
        <v>610</v>
      </c>
      <c r="DG18" s="272">
        <f t="shared" si="1"/>
        <v>7940</v>
      </c>
      <c r="DH18" s="272">
        <f t="shared" si="4"/>
        <v>6504.4</v>
      </c>
      <c r="DI18" s="274"/>
    </row>
    <row r="19" spans="1:113" s="275" customFormat="1" ht="24.75" customHeight="1" x14ac:dyDescent="0.6">
      <c r="A19" s="268">
        <v>15</v>
      </c>
      <c r="B19" s="269" t="s">
        <v>224</v>
      </c>
      <c r="C19" s="104" t="s">
        <v>225</v>
      </c>
      <c r="D19" s="100" t="s">
        <v>226</v>
      </c>
      <c r="E19" s="99" t="s">
        <v>227</v>
      </c>
      <c r="F19" s="234" t="s">
        <v>733</v>
      </c>
      <c r="G19" s="234"/>
      <c r="H19" s="234"/>
      <c r="I19" s="234"/>
      <c r="J19" s="270" t="s">
        <v>195</v>
      </c>
      <c r="K19" s="271"/>
      <c r="L19" s="271"/>
      <c r="M19" s="271"/>
      <c r="N19" s="271"/>
      <c r="O19" s="271"/>
      <c r="P19" s="271"/>
      <c r="Q19" s="271">
        <v>26</v>
      </c>
      <c r="R19" s="271">
        <v>332</v>
      </c>
      <c r="S19" s="271">
        <v>276.8</v>
      </c>
      <c r="T19" s="271">
        <v>26</v>
      </c>
      <c r="U19" s="271">
        <v>340</v>
      </c>
      <c r="V19" s="271">
        <v>314</v>
      </c>
      <c r="W19" s="271">
        <v>15</v>
      </c>
      <c r="X19" s="271">
        <v>200</v>
      </c>
      <c r="Y19" s="271">
        <v>149.60000000000002</v>
      </c>
      <c r="Z19" s="271">
        <v>10</v>
      </c>
      <c r="AA19" s="271">
        <v>120</v>
      </c>
      <c r="AB19" s="271">
        <v>120</v>
      </c>
      <c r="AC19" s="271">
        <v>20</v>
      </c>
      <c r="AD19" s="271">
        <v>260</v>
      </c>
      <c r="AE19" s="271">
        <v>209.60000000000002</v>
      </c>
      <c r="AF19" s="271"/>
      <c r="AG19" s="271"/>
      <c r="AH19" s="271"/>
      <c r="AI19" s="271"/>
      <c r="AJ19" s="271"/>
      <c r="AK19" s="271"/>
      <c r="AL19" s="271">
        <v>27</v>
      </c>
      <c r="AM19" s="271">
        <v>324</v>
      </c>
      <c r="AN19" s="271">
        <v>314.39999999999998</v>
      </c>
      <c r="AO19" s="272">
        <f t="shared" si="2"/>
        <v>124</v>
      </c>
      <c r="AP19" s="272">
        <f t="shared" si="2"/>
        <v>1576</v>
      </c>
      <c r="AQ19" s="272">
        <f t="shared" si="3"/>
        <v>1384.4</v>
      </c>
      <c r="AR19" s="234"/>
      <c r="AS19" s="234"/>
      <c r="AT19" s="234"/>
      <c r="AU19" s="234"/>
      <c r="AV19" s="234"/>
      <c r="AW19" s="234"/>
      <c r="AX19" s="234">
        <v>22</v>
      </c>
      <c r="AY19" s="234">
        <v>284</v>
      </c>
      <c r="AZ19" s="234">
        <v>224.00000000000003</v>
      </c>
      <c r="BA19" s="234">
        <v>10</v>
      </c>
      <c r="BB19" s="234">
        <v>120</v>
      </c>
      <c r="BC19" s="234">
        <v>120</v>
      </c>
      <c r="BD19" s="234"/>
      <c r="BE19" s="234"/>
      <c r="BF19" s="234"/>
      <c r="BG19" s="234">
        <v>10</v>
      </c>
      <c r="BH19" s="234">
        <v>120</v>
      </c>
      <c r="BI19" s="234">
        <v>120</v>
      </c>
      <c r="BJ19" s="234"/>
      <c r="BK19" s="234"/>
      <c r="BL19" s="234"/>
      <c r="BM19" s="234">
        <v>15</v>
      </c>
      <c r="BN19" s="234">
        <v>200</v>
      </c>
      <c r="BO19" s="234">
        <v>149.60000000000002</v>
      </c>
      <c r="BP19" s="234"/>
      <c r="BQ19" s="234"/>
      <c r="BR19" s="234"/>
      <c r="BS19" s="234"/>
      <c r="BT19" s="234"/>
      <c r="BU19" s="270"/>
      <c r="BV19" s="272">
        <f t="shared" si="5"/>
        <v>181</v>
      </c>
      <c r="BW19" s="272">
        <f t="shared" si="5"/>
        <v>2300</v>
      </c>
      <c r="BX19" s="272">
        <f t="shared" si="5"/>
        <v>1998</v>
      </c>
      <c r="BY19" s="270">
        <v>21</v>
      </c>
      <c r="BZ19" s="270">
        <v>300</v>
      </c>
      <c r="CA19" s="270">
        <v>223.60000000000002</v>
      </c>
      <c r="CB19" s="270"/>
      <c r="CC19" s="270"/>
      <c r="CD19" s="270"/>
      <c r="CE19" s="270">
        <v>32</v>
      </c>
      <c r="CF19" s="270">
        <v>394</v>
      </c>
      <c r="CG19" s="270">
        <v>368.8</v>
      </c>
      <c r="CH19" s="270">
        <v>12</v>
      </c>
      <c r="CI19" s="270">
        <v>144</v>
      </c>
      <c r="CJ19" s="270">
        <v>134.4</v>
      </c>
      <c r="CK19" s="270"/>
      <c r="CL19" s="270"/>
      <c r="CM19" s="270"/>
      <c r="CN19" s="270">
        <v>17</v>
      </c>
      <c r="CO19" s="270">
        <v>214</v>
      </c>
      <c r="CP19" s="270">
        <v>179.20000000000002</v>
      </c>
      <c r="CQ19" s="270"/>
      <c r="CR19" s="270"/>
      <c r="CS19" s="270"/>
      <c r="CT19" s="270">
        <v>20</v>
      </c>
      <c r="CU19" s="270">
        <v>250</v>
      </c>
      <c r="CV19" s="270">
        <v>224.8</v>
      </c>
      <c r="CW19" s="270"/>
      <c r="CX19" s="270"/>
      <c r="CY19" s="270"/>
      <c r="CZ19" s="270"/>
      <c r="DA19" s="270"/>
      <c r="DB19" s="270"/>
      <c r="DC19" s="270"/>
      <c r="DD19" s="270"/>
      <c r="DE19" s="270"/>
      <c r="DF19" s="272">
        <f t="shared" si="1"/>
        <v>283</v>
      </c>
      <c r="DG19" s="272">
        <f t="shared" si="1"/>
        <v>3602</v>
      </c>
      <c r="DH19" s="272">
        <f t="shared" si="4"/>
        <v>3128.8</v>
      </c>
      <c r="DI19" s="274"/>
    </row>
    <row r="20" spans="1:113" s="275" customFormat="1" ht="24.75" customHeight="1" x14ac:dyDescent="0.6">
      <c r="A20" s="268">
        <v>16</v>
      </c>
      <c r="B20" s="269" t="s">
        <v>228</v>
      </c>
      <c r="C20" s="104" t="s">
        <v>229</v>
      </c>
      <c r="D20" s="100" t="s">
        <v>230</v>
      </c>
      <c r="E20" s="99" t="s">
        <v>227</v>
      </c>
      <c r="F20" s="234" t="s">
        <v>733</v>
      </c>
      <c r="G20" s="234" t="s">
        <v>768</v>
      </c>
      <c r="H20" s="234" t="s">
        <v>769</v>
      </c>
      <c r="I20" s="234" t="s">
        <v>770</v>
      </c>
      <c r="J20" s="270" t="s">
        <v>195</v>
      </c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>
        <v>30</v>
      </c>
      <c r="X20" s="271">
        <v>360</v>
      </c>
      <c r="Y20" s="271">
        <v>360</v>
      </c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2">
        <f t="shared" si="2"/>
        <v>30</v>
      </c>
      <c r="AP20" s="272">
        <f t="shared" si="2"/>
        <v>360</v>
      </c>
      <c r="AQ20" s="272">
        <f t="shared" si="3"/>
        <v>360</v>
      </c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  <c r="BI20" s="234"/>
      <c r="BJ20" s="234">
        <v>33</v>
      </c>
      <c r="BK20" s="234">
        <v>396</v>
      </c>
      <c r="BL20" s="234">
        <v>381.6</v>
      </c>
      <c r="BM20" s="234"/>
      <c r="BN20" s="234"/>
      <c r="BO20" s="234"/>
      <c r="BP20" s="234"/>
      <c r="BQ20" s="234"/>
      <c r="BR20" s="234"/>
      <c r="BS20" s="234"/>
      <c r="BT20" s="234"/>
      <c r="BU20" s="270"/>
      <c r="BV20" s="272">
        <f t="shared" si="5"/>
        <v>63</v>
      </c>
      <c r="BW20" s="272">
        <f t="shared" si="5"/>
        <v>756</v>
      </c>
      <c r="BX20" s="272">
        <f t="shared" si="5"/>
        <v>741.6</v>
      </c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2">
        <f t="shared" si="1"/>
        <v>63</v>
      </c>
      <c r="DG20" s="272">
        <f t="shared" si="1"/>
        <v>756</v>
      </c>
      <c r="DH20" s="272">
        <f t="shared" si="4"/>
        <v>741.6</v>
      </c>
      <c r="DI20" s="274"/>
    </row>
    <row r="21" spans="1:113" s="275" customFormat="1" ht="24.75" customHeight="1" x14ac:dyDescent="0.6">
      <c r="A21" s="268">
        <v>17</v>
      </c>
      <c r="B21" s="269" t="s">
        <v>231</v>
      </c>
      <c r="C21" s="104" t="s">
        <v>232</v>
      </c>
      <c r="D21" s="100" t="s">
        <v>233</v>
      </c>
      <c r="E21" s="99" t="s">
        <v>234</v>
      </c>
      <c r="F21" s="234" t="s">
        <v>733</v>
      </c>
      <c r="G21" s="234" t="s">
        <v>771</v>
      </c>
      <c r="H21" s="234" t="s">
        <v>772</v>
      </c>
      <c r="I21" s="234" t="s">
        <v>773</v>
      </c>
      <c r="J21" s="270" t="s">
        <v>195</v>
      </c>
      <c r="K21" s="271"/>
      <c r="L21" s="271"/>
      <c r="M21" s="271"/>
      <c r="N21" s="276"/>
      <c r="O21" s="276"/>
      <c r="P21" s="276"/>
      <c r="Q21" s="271"/>
      <c r="R21" s="271"/>
      <c r="S21" s="271"/>
      <c r="T21" s="271">
        <v>35</v>
      </c>
      <c r="U21" s="271">
        <v>560</v>
      </c>
      <c r="V21" s="271">
        <v>430</v>
      </c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>
        <v>45</v>
      </c>
      <c r="AM21" s="271">
        <v>960</v>
      </c>
      <c r="AN21" s="271">
        <v>570</v>
      </c>
      <c r="AO21" s="272">
        <f t="shared" si="2"/>
        <v>80</v>
      </c>
      <c r="AP21" s="272">
        <f t="shared" si="2"/>
        <v>1520</v>
      </c>
      <c r="AQ21" s="272">
        <f t="shared" si="3"/>
        <v>1000</v>
      </c>
      <c r="AR21" s="234"/>
      <c r="AS21" s="234"/>
      <c r="AT21" s="234"/>
      <c r="AU21" s="234"/>
      <c r="AV21" s="234"/>
      <c r="AW21" s="234"/>
      <c r="AX21" s="234"/>
      <c r="AY21" s="234"/>
      <c r="AZ21" s="234"/>
      <c r="BA21" s="234">
        <v>32</v>
      </c>
      <c r="BB21" s="234">
        <v>384</v>
      </c>
      <c r="BC21" s="234">
        <v>376.8</v>
      </c>
      <c r="BD21" s="234"/>
      <c r="BE21" s="234"/>
      <c r="BF21" s="234"/>
      <c r="BG21" s="234">
        <v>25</v>
      </c>
      <c r="BH21" s="234">
        <v>580</v>
      </c>
      <c r="BI21" s="234">
        <v>320</v>
      </c>
      <c r="BJ21" s="234"/>
      <c r="BK21" s="234"/>
      <c r="BL21" s="234"/>
      <c r="BM21" s="234"/>
      <c r="BN21" s="234"/>
      <c r="BO21" s="234"/>
      <c r="BP21" s="234"/>
      <c r="BQ21" s="234"/>
      <c r="BR21" s="234"/>
      <c r="BS21" s="234">
        <v>30</v>
      </c>
      <c r="BT21" s="234">
        <v>360</v>
      </c>
      <c r="BU21" s="270">
        <v>360</v>
      </c>
      <c r="BV21" s="272">
        <f t="shared" si="5"/>
        <v>167</v>
      </c>
      <c r="BW21" s="272">
        <f t="shared" si="5"/>
        <v>2844</v>
      </c>
      <c r="BX21" s="272">
        <f t="shared" si="5"/>
        <v>2056.8000000000002</v>
      </c>
      <c r="BY21" s="270"/>
      <c r="BZ21" s="270"/>
      <c r="CA21" s="270"/>
      <c r="CB21" s="270"/>
      <c r="CC21" s="270"/>
      <c r="CD21" s="270"/>
      <c r="CE21" s="270"/>
      <c r="CF21" s="270"/>
      <c r="CG21" s="270"/>
      <c r="CH21" s="270">
        <v>33</v>
      </c>
      <c r="CI21" s="270">
        <v>396</v>
      </c>
      <c r="CJ21" s="270">
        <v>385.2</v>
      </c>
      <c r="CK21" s="270"/>
      <c r="CL21" s="270"/>
      <c r="CM21" s="270"/>
      <c r="CN21" s="270"/>
      <c r="CO21" s="270"/>
      <c r="CP21" s="270"/>
      <c r="CQ21" s="270"/>
      <c r="CR21" s="270"/>
      <c r="CS21" s="270"/>
      <c r="CT21" s="270">
        <v>40</v>
      </c>
      <c r="CU21" s="270">
        <v>480</v>
      </c>
      <c r="CV21" s="270">
        <v>480</v>
      </c>
      <c r="CW21" s="270"/>
      <c r="CX21" s="270"/>
      <c r="CY21" s="270"/>
      <c r="CZ21" s="270"/>
      <c r="DA21" s="270"/>
      <c r="DB21" s="270"/>
      <c r="DC21" s="270"/>
      <c r="DD21" s="270"/>
      <c r="DE21" s="270"/>
      <c r="DF21" s="272">
        <f t="shared" si="1"/>
        <v>240</v>
      </c>
      <c r="DG21" s="272">
        <f t="shared" si="1"/>
        <v>3720</v>
      </c>
      <c r="DH21" s="272">
        <f t="shared" si="4"/>
        <v>2922</v>
      </c>
      <c r="DI21" s="274"/>
    </row>
    <row r="22" spans="1:113" s="275" customFormat="1" ht="24.75" customHeight="1" x14ac:dyDescent="0.6">
      <c r="A22" s="268">
        <v>18</v>
      </c>
      <c r="B22" s="269" t="s">
        <v>235</v>
      </c>
      <c r="C22" s="104" t="s">
        <v>236</v>
      </c>
      <c r="D22" s="100" t="s">
        <v>176</v>
      </c>
      <c r="E22" s="99" t="s">
        <v>177</v>
      </c>
      <c r="F22" s="234" t="s">
        <v>733</v>
      </c>
      <c r="G22" s="234" t="s">
        <v>774</v>
      </c>
      <c r="H22" s="234" t="s">
        <v>775</v>
      </c>
      <c r="I22" s="234" t="s">
        <v>776</v>
      </c>
      <c r="J22" s="270" t="s">
        <v>195</v>
      </c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>
        <v>220</v>
      </c>
      <c r="X22" s="271">
        <v>2950</v>
      </c>
      <c r="Y22" s="271">
        <v>2114.8000000000002</v>
      </c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2">
        <f t="shared" si="2"/>
        <v>220</v>
      </c>
      <c r="AP22" s="272">
        <f t="shared" si="2"/>
        <v>2950</v>
      </c>
      <c r="AQ22" s="272">
        <f t="shared" si="3"/>
        <v>2114.8000000000002</v>
      </c>
      <c r="AR22" s="234"/>
      <c r="AS22" s="234"/>
      <c r="AT22" s="234"/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234"/>
      <c r="BT22" s="234"/>
      <c r="BU22" s="270"/>
      <c r="BV22" s="272">
        <f t="shared" si="5"/>
        <v>220</v>
      </c>
      <c r="BW22" s="272">
        <f t="shared" si="5"/>
        <v>2950</v>
      </c>
      <c r="BX22" s="272">
        <f t="shared" si="5"/>
        <v>2114.8000000000002</v>
      </c>
      <c r="BY22" s="270"/>
      <c r="BZ22" s="270"/>
      <c r="CA22" s="270"/>
      <c r="CB22" s="270"/>
      <c r="CC22" s="270"/>
      <c r="CD22" s="270"/>
      <c r="CE22" s="270">
        <v>200</v>
      </c>
      <c r="CF22" s="270">
        <v>2710</v>
      </c>
      <c r="CG22" s="270">
        <v>1928.8</v>
      </c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2">
        <f t="shared" si="1"/>
        <v>420</v>
      </c>
      <c r="DG22" s="272">
        <f t="shared" si="1"/>
        <v>5660</v>
      </c>
      <c r="DH22" s="272">
        <f t="shared" si="4"/>
        <v>4043.6000000000004</v>
      </c>
      <c r="DI22" s="274"/>
    </row>
    <row r="23" spans="1:113" s="275" customFormat="1" ht="24.75" customHeight="1" x14ac:dyDescent="0.6">
      <c r="A23" s="268">
        <v>19</v>
      </c>
      <c r="B23" s="269" t="s">
        <v>237</v>
      </c>
      <c r="C23" s="104" t="s">
        <v>238</v>
      </c>
      <c r="D23" s="100" t="s">
        <v>94</v>
      </c>
      <c r="E23" s="99" t="s">
        <v>95</v>
      </c>
      <c r="F23" s="234" t="s">
        <v>733</v>
      </c>
      <c r="G23" s="234" t="s">
        <v>777</v>
      </c>
      <c r="H23" s="234" t="s">
        <v>778</v>
      </c>
      <c r="I23" s="234" t="s">
        <v>779</v>
      </c>
      <c r="J23" s="270" t="s">
        <v>195</v>
      </c>
      <c r="K23" s="271"/>
      <c r="L23" s="271"/>
      <c r="M23" s="271"/>
      <c r="N23" s="271"/>
      <c r="O23" s="271"/>
      <c r="P23" s="271"/>
      <c r="Q23" s="271">
        <v>25</v>
      </c>
      <c r="R23" s="271">
        <v>300</v>
      </c>
      <c r="S23" s="271">
        <v>300</v>
      </c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>
        <v>53</v>
      </c>
      <c r="AJ23" s="271">
        <v>638</v>
      </c>
      <c r="AK23" s="271">
        <v>625.76</v>
      </c>
      <c r="AL23" s="271"/>
      <c r="AM23" s="271"/>
      <c r="AN23" s="271"/>
      <c r="AO23" s="272">
        <f t="shared" si="2"/>
        <v>78</v>
      </c>
      <c r="AP23" s="272">
        <f t="shared" si="2"/>
        <v>938</v>
      </c>
      <c r="AQ23" s="272">
        <f t="shared" si="3"/>
        <v>925.76</v>
      </c>
      <c r="AR23" s="234"/>
      <c r="AS23" s="234"/>
      <c r="AT23" s="234"/>
      <c r="AU23" s="234"/>
      <c r="AV23" s="234"/>
      <c r="AW23" s="234"/>
      <c r="AX23" s="234">
        <v>20</v>
      </c>
      <c r="AY23" s="234">
        <v>240</v>
      </c>
      <c r="AZ23" s="234">
        <v>240</v>
      </c>
      <c r="BA23" s="234"/>
      <c r="BB23" s="234"/>
      <c r="BC23" s="234"/>
      <c r="BD23" s="234"/>
      <c r="BE23" s="234"/>
      <c r="BF23" s="234"/>
      <c r="BG23" s="234"/>
      <c r="BH23" s="234"/>
      <c r="BI23" s="234"/>
      <c r="BJ23" s="234">
        <v>40</v>
      </c>
      <c r="BK23" s="234">
        <v>480</v>
      </c>
      <c r="BL23" s="234">
        <v>480</v>
      </c>
      <c r="BM23" s="234"/>
      <c r="BN23" s="234"/>
      <c r="BO23" s="234"/>
      <c r="BP23" s="234"/>
      <c r="BQ23" s="234"/>
      <c r="BR23" s="234"/>
      <c r="BS23" s="234">
        <v>8</v>
      </c>
      <c r="BT23" s="234">
        <v>236</v>
      </c>
      <c r="BU23" s="270">
        <v>95.2</v>
      </c>
      <c r="BV23" s="272">
        <f t="shared" si="5"/>
        <v>146</v>
      </c>
      <c r="BW23" s="272">
        <f t="shared" si="5"/>
        <v>1894</v>
      </c>
      <c r="BX23" s="272">
        <f t="shared" si="5"/>
        <v>1740.96</v>
      </c>
      <c r="BY23" s="270"/>
      <c r="BZ23" s="270"/>
      <c r="CA23" s="270"/>
      <c r="CB23" s="270"/>
      <c r="CC23" s="270"/>
      <c r="CD23" s="270"/>
      <c r="CE23" s="270">
        <v>50</v>
      </c>
      <c r="CF23" s="270">
        <v>600</v>
      </c>
      <c r="CG23" s="270">
        <v>600</v>
      </c>
      <c r="CH23" s="270"/>
      <c r="CI23" s="270"/>
      <c r="CJ23" s="270"/>
      <c r="CK23" s="270"/>
      <c r="CL23" s="270"/>
      <c r="CM23" s="270"/>
      <c r="CN23" s="270">
        <v>10</v>
      </c>
      <c r="CO23" s="270">
        <v>120</v>
      </c>
      <c r="CP23" s="270">
        <v>120</v>
      </c>
      <c r="CQ23" s="270"/>
      <c r="CR23" s="27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0"/>
      <c r="DD23" s="270"/>
      <c r="DE23" s="270"/>
      <c r="DF23" s="272">
        <f t="shared" si="1"/>
        <v>206</v>
      </c>
      <c r="DG23" s="272">
        <f t="shared" si="1"/>
        <v>2614</v>
      </c>
      <c r="DH23" s="272">
        <f t="shared" si="4"/>
        <v>2460.96</v>
      </c>
      <c r="DI23" s="274"/>
    </row>
    <row r="24" spans="1:113" s="275" customFormat="1" ht="24.75" customHeight="1" x14ac:dyDescent="0.6">
      <c r="A24" s="268">
        <v>20</v>
      </c>
      <c r="B24" s="269" t="s">
        <v>239</v>
      </c>
      <c r="C24" s="104" t="s">
        <v>240</v>
      </c>
      <c r="D24" s="100" t="s">
        <v>94</v>
      </c>
      <c r="E24" s="99" t="s">
        <v>95</v>
      </c>
      <c r="F24" s="234" t="s">
        <v>733</v>
      </c>
      <c r="G24" s="234" t="s">
        <v>780</v>
      </c>
      <c r="H24" s="234" t="s">
        <v>781</v>
      </c>
      <c r="I24" s="234" t="s">
        <v>782</v>
      </c>
      <c r="J24" s="270" t="s">
        <v>195</v>
      </c>
      <c r="K24" s="271"/>
      <c r="L24" s="271"/>
      <c r="M24" s="271"/>
      <c r="N24" s="271"/>
      <c r="O24" s="271"/>
      <c r="P24" s="271"/>
      <c r="Q24" s="271"/>
      <c r="R24" s="271"/>
      <c r="S24" s="271"/>
      <c r="T24" s="271">
        <v>100</v>
      </c>
      <c r="U24" s="271">
        <v>1200</v>
      </c>
      <c r="V24" s="271">
        <v>1200</v>
      </c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>
        <v>100</v>
      </c>
      <c r="AJ24" s="271">
        <v>1200</v>
      </c>
      <c r="AK24" s="271">
        <v>1200</v>
      </c>
      <c r="AL24" s="271"/>
      <c r="AM24" s="271"/>
      <c r="AN24" s="271"/>
      <c r="AO24" s="272">
        <f t="shared" si="2"/>
        <v>200</v>
      </c>
      <c r="AP24" s="272">
        <f t="shared" si="2"/>
        <v>2400</v>
      </c>
      <c r="AQ24" s="272">
        <f t="shared" si="3"/>
        <v>2400</v>
      </c>
      <c r="AR24" s="234"/>
      <c r="AS24" s="234"/>
      <c r="AT24" s="234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>
        <v>135</v>
      </c>
      <c r="BH24" s="234">
        <v>1800</v>
      </c>
      <c r="BI24" s="234">
        <v>1569.2</v>
      </c>
      <c r="BJ24" s="234"/>
      <c r="BK24" s="234"/>
      <c r="BL24" s="234"/>
      <c r="BM24" s="234"/>
      <c r="BN24" s="234"/>
      <c r="BO24" s="234"/>
      <c r="BP24" s="234"/>
      <c r="BQ24" s="234"/>
      <c r="BR24" s="234"/>
      <c r="BS24" s="234">
        <v>110</v>
      </c>
      <c r="BT24" s="234">
        <v>1340</v>
      </c>
      <c r="BU24" s="270">
        <v>1289.5999999999999</v>
      </c>
      <c r="BV24" s="272">
        <f t="shared" si="5"/>
        <v>445</v>
      </c>
      <c r="BW24" s="272">
        <f t="shared" si="5"/>
        <v>5540</v>
      </c>
      <c r="BX24" s="272">
        <f t="shared" si="5"/>
        <v>5258.7999999999993</v>
      </c>
      <c r="BY24" s="270"/>
      <c r="BZ24" s="270"/>
      <c r="CA24" s="270"/>
      <c r="CB24" s="270"/>
      <c r="CC24" s="270"/>
      <c r="CD24" s="270"/>
      <c r="CE24" s="270"/>
      <c r="CF24" s="270"/>
      <c r="CG24" s="270"/>
      <c r="CH24" s="270">
        <v>155</v>
      </c>
      <c r="CI24" s="270">
        <v>2040</v>
      </c>
      <c r="CJ24" s="270">
        <v>1809.2</v>
      </c>
      <c r="CK24" s="270"/>
      <c r="CL24" s="270"/>
      <c r="CM24" s="270"/>
      <c r="CN24" s="270"/>
      <c r="CO24" s="270"/>
      <c r="CP24" s="270"/>
      <c r="CQ24" s="270">
        <v>60</v>
      </c>
      <c r="CR24" s="270">
        <v>720</v>
      </c>
      <c r="CS24" s="270">
        <v>720</v>
      </c>
      <c r="CT24" s="270"/>
      <c r="CU24" s="270"/>
      <c r="CV24" s="270"/>
      <c r="CW24" s="270"/>
      <c r="CX24" s="270"/>
      <c r="CY24" s="270"/>
      <c r="CZ24" s="270"/>
      <c r="DA24" s="270"/>
      <c r="DB24" s="270"/>
      <c r="DC24" s="270"/>
      <c r="DD24" s="270"/>
      <c r="DE24" s="270"/>
      <c r="DF24" s="272">
        <f t="shared" si="1"/>
        <v>660</v>
      </c>
      <c r="DG24" s="272">
        <f t="shared" si="1"/>
        <v>8300</v>
      </c>
      <c r="DH24" s="272">
        <f t="shared" si="4"/>
        <v>7787.9999999999991</v>
      </c>
      <c r="DI24" s="274"/>
    </row>
    <row r="25" spans="1:113" s="275" customFormat="1" ht="24.75" customHeight="1" x14ac:dyDescent="0.6">
      <c r="A25" s="268">
        <v>21</v>
      </c>
      <c r="B25" s="269" t="s">
        <v>241</v>
      </c>
      <c r="C25" s="99" t="s">
        <v>242</v>
      </c>
      <c r="D25" s="100" t="s">
        <v>94</v>
      </c>
      <c r="E25" s="100" t="s">
        <v>95</v>
      </c>
      <c r="F25" s="234" t="s">
        <v>733</v>
      </c>
      <c r="G25" s="234" t="s">
        <v>783</v>
      </c>
      <c r="H25" s="234" t="s">
        <v>784</v>
      </c>
      <c r="I25" s="234" t="s">
        <v>785</v>
      </c>
      <c r="J25" s="270" t="s">
        <v>195</v>
      </c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>
        <v>130</v>
      </c>
      <c r="AJ25" s="271">
        <v>1620</v>
      </c>
      <c r="AK25" s="271">
        <v>1468.8</v>
      </c>
      <c r="AL25" s="271"/>
      <c r="AM25" s="271"/>
      <c r="AN25" s="271"/>
      <c r="AO25" s="272">
        <f t="shared" si="2"/>
        <v>130</v>
      </c>
      <c r="AP25" s="272">
        <f t="shared" si="2"/>
        <v>1620</v>
      </c>
      <c r="AQ25" s="272">
        <f t="shared" si="3"/>
        <v>1468.8</v>
      </c>
      <c r="AR25" s="234"/>
      <c r="AS25" s="234"/>
      <c r="AT25" s="234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/>
      <c r="BH25" s="234"/>
      <c r="BI25" s="234"/>
      <c r="BJ25" s="234">
        <v>110</v>
      </c>
      <c r="BK25" s="234">
        <v>1420</v>
      </c>
      <c r="BL25" s="234">
        <v>1168</v>
      </c>
      <c r="BM25" s="234">
        <v>10</v>
      </c>
      <c r="BN25" s="234">
        <v>140</v>
      </c>
      <c r="BO25" s="234">
        <v>89.600000000000009</v>
      </c>
      <c r="BP25" s="234"/>
      <c r="BQ25" s="234"/>
      <c r="BR25" s="234"/>
      <c r="BS25" s="234"/>
      <c r="BT25" s="234"/>
      <c r="BU25" s="270"/>
      <c r="BV25" s="272">
        <f t="shared" si="5"/>
        <v>250</v>
      </c>
      <c r="BW25" s="272">
        <f t="shared" si="5"/>
        <v>3180</v>
      </c>
      <c r="BX25" s="272">
        <f t="shared" si="5"/>
        <v>2726.4</v>
      </c>
      <c r="BY25" s="270">
        <v>50</v>
      </c>
      <c r="BZ25" s="270">
        <v>2000</v>
      </c>
      <c r="CA25" s="270">
        <v>700</v>
      </c>
      <c r="CB25" s="270"/>
      <c r="CC25" s="270"/>
      <c r="CD25" s="270"/>
      <c r="CE25" s="270"/>
      <c r="CF25" s="270"/>
      <c r="CG25" s="270"/>
      <c r="CH25" s="270"/>
      <c r="CI25" s="270"/>
      <c r="CJ25" s="270"/>
      <c r="CK25" s="270"/>
      <c r="CL25" s="270"/>
      <c r="CM25" s="270"/>
      <c r="CN25" s="270"/>
      <c r="CO25" s="270"/>
      <c r="CP25" s="270"/>
      <c r="CQ25" s="270">
        <v>50</v>
      </c>
      <c r="CR25" s="270">
        <v>700</v>
      </c>
      <c r="CS25" s="270">
        <v>448</v>
      </c>
      <c r="CT25" s="270"/>
      <c r="CU25" s="270"/>
      <c r="CV25" s="270"/>
      <c r="CW25" s="270"/>
      <c r="CX25" s="270"/>
      <c r="CY25" s="270"/>
      <c r="CZ25" s="270"/>
      <c r="DA25" s="270"/>
      <c r="DB25" s="270"/>
      <c r="DC25" s="270"/>
      <c r="DD25" s="270"/>
      <c r="DE25" s="270"/>
      <c r="DF25" s="272">
        <f t="shared" si="1"/>
        <v>350</v>
      </c>
      <c r="DG25" s="272">
        <f t="shared" si="1"/>
        <v>5880</v>
      </c>
      <c r="DH25" s="272">
        <f t="shared" si="4"/>
        <v>3874.4</v>
      </c>
      <c r="DI25" s="274"/>
    </row>
    <row r="26" spans="1:113" s="275" customFormat="1" ht="24.75" customHeight="1" x14ac:dyDescent="0.6">
      <c r="A26" s="268">
        <v>22</v>
      </c>
      <c r="B26" s="269" t="s">
        <v>243</v>
      </c>
      <c r="C26" s="99" t="s">
        <v>244</v>
      </c>
      <c r="D26" s="100" t="s">
        <v>94</v>
      </c>
      <c r="E26" s="100" t="s">
        <v>95</v>
      </c>
      <c r="F26" s="234" t="s">
        <v>733</v>
      </c>
      <c r="G26" s="234" t="s">
        <v>786</v>
      </c>
      <c r="H26" s="234" t="s">
        <v>787</v>
      </c>
      <c r="I26" s="234" t="s">
        <v>788</v>
      </c>
      <c r="J26" s="270" t="s">
        <v>195</v>
      </c>
      <c r="K26" s="271"/>
      <c r="L26" s="271"/>
      <c r="M26" s="271"/>
      <c r="N26" s="271"/>
      <c r="O26" s="271"/>
      <c r="P26" s="271"/>
      <c r="Q26" s="276">
        <v>270</v>
      </c>
      <c r="R26" s="276">
        <v>3380</v>
      </c>
      <c r="S26" s="276">
        <v>3027.2</v>
      </c>
      <c r="T26" s="276">
        <v>230</v>
      </c>
      <c r="U26" s="276">
        <v>3020</v>
      </c>
      <c r="V26" s="276">
        <v>2364.8000000000002</v>
      </c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2">
        <f t="shared" si="2"/>
        <v>500</v>
      </c>
      <c r="AP26" s="272">
        <f t="shared" si="2"/>
        <v>6400</v>
      </c>
      <c r="AQ26" s="272">
        <f t="shared" si="3"/>
        <v>5392</v>
      </c>
      <c r="AR26" s="253"/>
      <c r="AS26" s="253"/>
      <c r="AT26" s="253"/>
      <c r="AU26" s="253"/>
      <c r="AV26" s="253"/>
      <c r="AW26" s="253"/>
      <c r="AX26" s="253"/>
      <c r="AY26" s="253"/>
      <c r="AZ26" s="253"/>
      <c r="BA26" s="253">
        <v>100</v>
      </c>
      <c r="BB26" s="253">
        <v>1300</v>
      </c>
      <c r="BC26" s="253">
        <v>1048</v>
      </c>
      <c r="BD26" s="253"/>
      <c r="BE26" s="253"/>
      <c r="BF26" s="253"/>
      <c r="BG26" s="253">
        <v>150</v>
      </c>
      <c r="BH26" s="253">
        <v>1800</v>
      </c>
      <c r="BI26" s="253">
        <v>1800</v>
      </c>
      <c r="BJ26" s="253"/>
      <c r="BK26" s="253"/>
      <c r="BL26" s="253"/>
      <c r="BM26" s="253"/>
      <c r="BN26" s="253"/>
      <c r="BO26" s="253"/>
      <c r="BP26" s="253"/>
      <c r="BQ26" s="253"/>
      <c r="BR26" s="253"/>
      <c r="BS26" s="253">
        <v>250</v>
      </c>
      <c r="BT26" s="253">
        <v>3000</v>
      </c>
      <c r="BU26" s="253">
        <v>3000</v>
      </c>
      <c r="BV26" s="272">
        <f t="shared" si="5"/>
        <v>1000</v>
      </c>
      <c r="BW26" s="272">
        <f t="shared" si="5"/>
        <v>12500</v>
      </c>
      <c r="BX26" s="272">
        <f t="shared" si="5"/>
        <v>11240</v>
      </c>
      <c r="BY26" s="253"/>
      <c r="BZ26" s="253"/>
      <c r="CA26" s="253"/>
      <c r="CB26" s="253"/>
      <c r="CC26" s="253"/>
      <c r="CD26" s="253"/>
      <c r="CE26" s="253"/>
      <c r="CF26" s="253"/>
      <c r="CG26" s="253"/>
      <c r="CH26" s="253"/>
      <c r="CI26" s="253"/>
      <c r="CJ26" s="253"/>
      <c r="CK26" s="253"/>
      <c r="CL26" s="253"/>
      <c r="CM26" s="253"/>
      <c r="CN26" s="253"/>
      <c r="CO26" s="253"/>
      <c r="CP26" s="253"/>
      <c r="CQ26" s="253">
        <v>250</v>
      </c>
      <c r="CR26" s="253">
        <v>3000</v>
      </c>
      <c r="CS26" s="253">
        <v>3000</v>
      </c>
      <c r="CT26" s="253"/>
      <c r="CU26" s="253"/>
      <c r="CV26" s="253"/>
      <c r="CW26" s="253"/>
      <c r="CX26" s="253"/>
      <c r="CY26" s="253"/>
      <c r="CZ26" s="253"/>
      <c r="DA26" s="253"/>
      <c r="DB26" s="253"/>
      <c r="DC26" s="253"/>
      <c r="DD26" s="253"/>
      <c r="DE26" s="253"/>
      <c r="DF26" s="272">
        <f t="shared" si="1"/>
        <v>1250</v>
      </c>
      <c r="DG26" s="272">
        <f t="shared" si="1"/>
        <v>15500</v>
      </c>
      <c r="DH26" s="272">
        <f t="shared" si="4"/>
        <v>14240</v>
      </c>
      <c r="DI26" s="274"/>
    </row>
    <row r="27" spans="1:113" s="275" customFormat="1" ht="24.75" customHeight="1" x14ac:dyDescent="0.6">
      <c r="A27" s="268">
        <v>23</v>
      </c>
      <c r="B27" s="269" t="s">
        <v>245</v>
      </c>
      <c r="C27" s="104" t="s">
        <v>246</v>
      </c>
      <c r="D27" s="100" t="s">
        <v>247</v>
      </c>
      <c r="E27" s="104" t="s">
        <v>248</v>
      </c>
      <c r="F27" s="234" t="s">
        <v>733</v>
      </c>
      <c r="G27" s="234" t="s">
        <v>789</v>
      </c>
      <c r="H27" s="234" t="s">
        <v>790</v>
      </c>
      <c r="I27" s="234" t="s">
        <v>791</v>
      </c>
      <c r="J27" s="270" t="s">
        <v>195</v>
      </c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2">
        <f t="shared" si="2"/>
        <v>0</v>
      </c>
      <c r="AP27" s="272">
        <f t="shared" si="2"/>
        <v>0</v>
      </c>
      <c r="AQ27" s="272">
        <f t="shared" si="3"/>
        <v>0</v>
      </c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4"/>
      <c r="BM27" s="234"/>
      <c r="BN27" s="234"/>
      <c r="BO27" s="234"/>
      <c r="BP27" s="234"/>
      <c r="BQ27" s="234"/>
      <c r="BR27" s="234"/>
      <c r="BS27" s="234"/>
      <c r="BT27" s="234"/>
      <c r="BU27" s="270"/>
      <c r="BV27" s="272">
        <f t="shared" si="5"/>
        <v>0</v>
      </c>
      <c r="BW27" s="272">
        <f t="shared" si="5"/>
        <v>0</v>
      </c>
      <c r="BX27" s="272">
        <f t="shared" si="5"/>
        <v>0</v>
      </c>
      <c r="BY27" s="270"/>
      <c r="BZ27" s="270"/>
      <c r="CA27" s="270"/>
      <c r="CB27" s="270"/>
      <c r="CC27" s="270"/>
      <c r="CD27" s="270"/>
      <c r="CE27" s="270"/>
      <c r="CF27" s="270"/>
      <c r="CG27" s="270"/>
      <c r="CH27" s="270"/>
      <c r="CI27" s="270"/>
      <c r="CJ27" s="270"/>
      <c r="CK27" s="270"/>
      <c r="CL27" s="270"/>
      <c r="CM27" s="270"/>
      <c r="CN27" s="270"/>
      <c r="CO27" s="270"/>
      <c r="CP27" s="270"/>
      <c r="CQ27" s="270">
        <v>100</v>
      </c>
      <c r="CR27" s="270">
        <v>1200</v>
      </c>
      <c r="CS27" s="270">
        <v>1200</v>
      </c>
      <c r="CT27" s="270"/>
      <c r="CU27" s="270"/>
      <c r="CV27" s="270"/>
      <c r="CW27" s="270"/>
      <c r="CX27" s="270"/>
      <c r="CY27" s="270"/>
      <c r="CZ27" s="270"/>
      <c r="DA27" s="270"/>
      <c r="DB27" s="270"/>
      <c r="DC27" s="270"/>
      <c r="DD27" s="270"/>
      <c r="DE27" s="270"/>
      <c r="DF27" s="272">
        <f t="shared" si="1"/>
        <v>100</v>
      </c>
      <c r="DG27" s="272">
        <f t="shared" si="1"/>
        <v>1200</v>
      </c>
      <c r="DH27" s="272">
        <f t="shared" si="4"/>
        <v>1200</v>
      </c>
      <c r="DI27" s="274"/>
    </row>
    <row r="28" spans="1:113" s="275" customFormat="1" ht="24.75" customHeight="1" x14ac:dyDescent="0.6">
      <c r="A28" s="268">
        <v>24</v>
      </c>
      <c r="B28" s="269" t="s">
        <v>249</v>
      </c>
      <c r="C28" s="104" t="s">
        <v>250</v>
      </c>
      <c r="D28" s="100" t="s">
        <v>251</v>
      </c>
      <c r="E28" s="99" t="s">
        <v>252</v>
      </c>
      <c r="F28" s="234" t="s">
        <v>733</v>
      </c>
      <c r="G28" s="234" t="s">
        <v>241</v>
      </c>
      <c r="H28" s="234" t="s">
        <v>792</v>
      </c>
      <c r="I28" s="234" t="s">
        <v>793</v>
      </c>
      <c r="J28" s="270" t="s">
        <v>195</v>
      </c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>
        <v>250</v>
      </c>
      <c r="AJ28" s="271">
        <v>3380</v>
      </c>
      <c r="AK28" s="271">
        <v>2645.2</v>
      </c>
      <c r="AL28" s="271"/>
      <c r="AM28" s="271"/>
      <c r="AN28" s="271"/>
      <c r="AO28" s="272">
        <f t="shared" si="2"/>
        <v>250</v>
      </c>
      <c r="AP28" s="272">
        <f t="shared" si="2"/>
        <v>3380</v>
      </c>
      <c r="AQ28" s="272">
        <f t="shared" si="3"/>
        <v>2645.2</v>
      </c>
      <c r="AR28" s="234"/>
      <c r="AS28" s="234"/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  <c r="BM28" s="234"/>
      <c r="BN28" s="234"/>
      <c r="BO28" s="234"/>
      <c r="BP28" s="234"/>
      <c r="BQ28" s="234"/>
      <c r="BR28" s="234"/>
      <c r="BS28" s="234"/>
      <c r="BT28" s="234"/>
      <c r="BU28" s="270"/>
      <c r="BV28" s="272">
        <f t="shared" si="5"/>
        <v>250</v>
      </c>
      <c r="BW28" s="272">
        <f t="shared" si="5"/>
        <v>3380</v>
      </c>
      <c r="BX28" s="272">
        <f t="shared" si="5"/>
        <v>2645.2</v>
      </c>
      <c r="BY28" s="270"/>
      <c r="BZ28" s="270"/>
      <c r="CA28" s="270"/>
      <c r="CB28" s="270"/>
      <c r="CC28" s="270"/>
      <c r="CD28" s="270"/>
      <c r="CE28" s="270"/>
      <c r="CF28" s="270"/>
      <c r="CG28" s="270"/>
      <c r="CH28" s="270"/>
      <c r="CI28" s="270"/>
      <c r="CJ28" s="270"/>
      <c r="CK28" s="270"/>
      <c r="CL28" s="270"/>
      <c r="CM28" s="270"/>
      <c r="CN28" s="270"/>
      <c r="CO28" s="270"/>
      <c r="CP28" s="270"/>
      <c r="CQ28" s="270"/>
      <c r="CR28" s="270"/>
      <c r="CS28" s="270"/>
      <c r="CT28" s="270">
        <v>295</v>
      </c>
      <c r="CU28" s="270">
        <v>4200</v>
      </c>
      <c r="CV28" s="270">
        <v>3205.2</v>
      </c>
      <c r="CW28" s="270"/>
      <c r="CX28" s="270"/>
      <c r="CY28" s="270"/>
      <c r="CZ28" s="270"/>
      <c r="DA28" s="270"/>
      <c r="DB28" s="270"/>
      <c r="DC28" s="270"/>
      <c r="DD28" s="270"/>
      <c r="DE28" s="270"/>
      <c r="DF28" s="272">
        <f t="shared" si="1"/>
        <v>545</v>
      </c>
      <c r="DG28" s="272">
        <f t="shared" si="1"/>
        <v>7580</v>
      </c>
      <c r="DH28" s="272">
        <f t="shared" si="4"/>
        <v>5850.4</v>
      </c>
      <c r="DI28" s="274"/>
    </row>
    <row r="29" spans="1:113" s="275" customFormat="1" ht="24.75" customHeight="1" x14ac:dyDescent="0.6">
      <c r="A29" s="268">
        <v>25</v>
      </c>
      <c r="B29" s="269" t="s">
        <v>253</v>
      </c>
      <c r="C29" s="104" t="s">
        <v>254</v>
      </c>
      <c r="D29" s="100" t="s">
        <v>255</v>
      </c>
      <c r="E29" s="99" t="s">
        <v>256</v>
      </c>
      <c r="F29" s="234" t="s">
        <v>733</v>
      </c>
      <c r="G29" s="234" t="s">
        <v>794</v>
      </c>
      <c r="H29" s="234" t="s">
        <v>795</v>
      </c>
      <c r="I29" s="234" t="s">
        <v>796</v>
      </c>
      <c r="J29" s="270" t="s">
        <v>195</v>
      </c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>
        <v>35</v>
      </c>
      <c r="AA29" s="271">
        <v>420</v>
      </c>
      <c r="AB29" s="271">
        <v>420</v>
      </c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2">
        <f t="shared" si="2"/>
        <v>35</v>
      </c>
      <c r="AP29" s="272">
        <f t="shared" si="2"/>
        <v>420</v>
      </c>
      <c r="AQ29" s="272">
        <f t="shared" si="3"/>
        <v>420</v>
      </c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>
        <v>50</v>
      </c>
      <c r="BN29" s="234">
        <v>600</v>
      </c>
      <c r="BO29" s="234">
        <v>600</v>
      </c>
      <c r="BP29" s="234"/>
      <c r="BQ29" s="234"/>
      <c r="BR29" s="234"/>
      <c r="BS29" s="234"/>
      <c r="BT29" s="234"/>
      <c r="BU29" s="270"/>
      <c r="BV29" s="272">
        <f t="shared" si="5"/>
        <v>85</v>
      </c>
      <c r="BW29" s="272">
        <f t="shared" si="5"/>
        <v>1020</v>
      </c>
      <c r="BX29" s="272">
        <f t="shared" si="5"/>
        <v>1020</v>
      </c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0"/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0"/>
      <c r="DD29" s="270"/>
      <c r="DE29" s="270"/>
      <c r="DF29" s="272">
        <f t="shared" si="1"/>
        <v>85</v>
      </c>
      <c r="DG29" s="272">
        <f t="shared" si="1"/>
        <v>1020</v>
      </c>
      <c r="DH29" s="272">
        <f t="shared" si="4"/>
        <v>1020</v>
      </c>
      <c r="DI29" s="274"/>
    </row>
    <row r="30" spans="1:113" s="275" customFormat="1" ht="24.75" customHeight="1" x14ac:dyDescent="0.6">
      <c r="A30" s="268">
        <v>26</v>
      </c>
      <c r="B30" s="269" t="s">
        <v>257</v>
      </c>
      <c r="C30" s="99" t="s">
        <v>258</v>
      </c>
      <c r="D30" s="99" t="s">
        <v>141</v>
      </c>
      <c r="E30" s="104" t="s">
        <v>142</v>
      </c>
      <c r="F30" s="234" t="s">
        <v>733</v>
      </c>
      <c r="G30" s="234" t="s">
        <v>797</v>
      </c>
      <c r="H30" s="234" t="s">
        <v>798</v>
      </c>
      <c r="I30" s="234" t="s">
        <v>799</v>
      </c>
      <c r="J30" s="270" t="s">
        <v>195</v>
      </c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>
        <v>245</v>
      </c>
      <c r="AM30" s="271">
        <v>4340</v>
      </c>
      <c r="AN30" s="271">
        <v>2878</v>
      </c>
      <c r="AO30" s="272">
        <f t="shared" si="2"/>
        <v>245</v>
      </c>
      <c r="AP30" s="272">
        <f t="shared" si="2"/>
        <v>4340</v>
      </c>
      <c r="AQ30" s="272">
        <f t="shared" si="3"/>
        <v>2878</v>
      </c>
      <c r="AR30" s="234"/>
      <c r="AS30" s="234"/>
      <c r="AT30" s="234"/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4"/>
      <c r="BU30" s="270"/>
      <c r="BV30" s="272">
        <f t="shared" si="5"/>
        <v>245</v>
      </c>
      <c r="BW30" s="272">
        <f t="shared" si="5"/>
        <v>4340</v>
      </c>
      <c r="BX30" s="272">
        <f t="shared" si="5"/>
        <v>2878</v>
      </c>
      <c r="BY30" s="270"/>
      <c r="BZ30" s="270"/>
      <c r="CA30" s="270"/>
      <c r="CB30" s="270"/>
      <c r="CC30" s="270"/>
      <c r="CD30" s="270"/>
      <c r="CE30" s="270"/>
      <c r="CF30" s="270"/>
      <c r="CG30" s="270"/>
      <c r="CH30" s="270"/>
      <c r="CI30" s="270"/>
      <c r="CJ30" s="270"/>
      <c r="CK30" s="270"/>
      <c r="CL30" s="270"/>
      <c r="CM30" s="270"/>
      <c r="CN30" s="270"/>
      <c r="CO30" s="270"/>
      <c r="CP30" s="270"/>
      <c r="CQ30" s="270"/>
      <c r="CR30" s="270"/>
      <c r="CS30" s="270"/>
      <c r="CT30" s="270"/>
      <c r="CU30" s="270"/>
      <c r="CV30" s="270"/>
      <c r="CW30" s="270"/>
      <c r="CX30" s="270"/>
      <c r="CY30" s="270"/>
      <c r="CZ30" s="270"/>
      <c r="DA30" s="270"/>
      <c r="DB30" s="270"/>
      <c r="DC30" s="270"/>
      <c r="DD30" s="270"/>
      <c r="DE30" s="270"/>
      <c r="DF30" s="272">
        <f t="shared" si="1"/>
        <v>245</v>
      </c>
      <c r="DG30" s="272">
        <f t="shared" si="1"/>
        <v>4340</v>
      </c>
      <c r="DH30" s="272">
        <f t="shared" si="4"/>
        <v>2878</v>
      </c>
      <c r="DI30" s="274"/>
    </row>
    <row r="31" spans="1:113" s="275" customFormat="1" ht="24.75" customHeight="1" x14ac:dyDescent="0.6">
      <c r="A31" s="268">
        <v>27</v>
      </c>
      <c r="B31" s="269" t="s">
        <v>259</v>
      </c>
      <c r="C31" s="142" t="s">
        <v>260</v>
      </c>
      <c r="D31" s="100" t="s">
        <v>168</v>
      </c>
      <c r="E31" s="105" t="s">
        <v>169</v>
      </c>
      <c r="F31" s="234" t="s">
        <v>733</v>
      </c>
      <c r="G31" s="234" t="s">
        <v>800</v>
      </c>
      <c r="H31" s="234" t="s">
        <v>801</v>
      </c>
      <c r="I31" s="234" t="s">
        <v>802</v>
      </c>
      <c r="J31" s="270" t="s">
        <v>195</v>
      </c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>
        <v>30</v>
      </c>
      <c r="AM31" s="271">
        <v>360</v>
      </c>
      <c r="AN31" s="271">
        <v>360</v>
      </c>
      <c r="AO31" s="272">
        <f t="shared" si="2"/>
        <v>30</v>
      </c>
      <c r="AP31" s="272">
        <f t="shared" si="2"/>
        <v>360</v>
      </c>
      <c r="AQ31" s="272">
        <f t="shared" si="3"/>
        <v>360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4"/>
      <c r="BM31" s="234"/>
      <c r="BN31" s="234"/>
      <c r="BO31" s="234"/>
      <c r="BP31" s="234"/>
      <c r="BQ31" s="234"/>
      <c r="BR31" s="234"/>
      <c r="BS31" s="234"/>
      <c r="BT31" s="234"/>
      <c r="BU31" s="270"/>
      <c r="BV31" s="272">
        <f t="shared" si="5"/>
        <v>30</v>
      </c>
      <c r="BW31" s="272">
        <f t="shared" si="5"/>
        <v>360</v>
      </c>
      <c r="BX31" s="272">
        <f t="shared" si="5"/>
        <v>360</v>
      </c>
      <c r="BY31" s="270"/>
      <c r="BZ31" s="270"/>
      <c r="CA31" s="270"/>
      <c r="CB31" s="270"/>
      <c r="CC31" s="270"/>
      <c r="CD31" s="270"/>
      <c r="CE31" s="270"/>
      <c r="CF31" s="270"/>
      <c r="CG31" s="270"/>
      <c r="CH31" s="270"/>
      <c r="CI31" s="270"/>
      <c r="CJ31" s="270"/>
      <c r="CK31" s="270"/>
      <c r="CL31" s="270"/>
      <c r="CM31" s="270"/>
      <c r="CN31" s="270"/>
      <c r="CO31" s="270"/>
      <c r="CP31" s="270"/>
      <c r="CQ31" s="270"/>
      <c r="CR31" s="270"/>
      <c r="CS31" s="270"/>
      <c r="CT31" s="270"/>
      <c r="CU31" s="270"/>
      <c r="CV31" s="270"/>
      <c r="CW31" s="270"/>
      <c r="CX31" s="270"/>
      <c r="CY31" s="270"/>
      <c r="CZ31" s="270"/>
      <c r="DA31" s="270"/>
      <c r="DB31" s="270"/>
      <c r="DC31" s="270"/>
      <c r="DD31" s="270"/>
      <c r="DE31" s="270"/>
      <c r="DF31" s="272">
        <f t="shared" si="1"/>
        <v>30</v>
      </c>
      <c r="DG31" s="272">
        <f t="shared" si="1"/>
        <v>360</v>
      </c>
      <c r="DH31" s="272">
        <f t="shared" si="4"/>
        <v>360</v>
      </c>
      <c r="DI31" s="274"/>
    </row>
    <row r="32" spans="1:113" s="275" customFormat="1" ht="24.75" customHeight="1" x14ac:dyDescent="0.6">
      <c r="A32" s="268">
        <v>28</v>
      </c>
      <c r="B32" s="269" t="s">
        <v>261</v>
      </c>
      <c r="C32" s="143" t="s">
        <v>262</v>
      </c>
      <c r="D32" s="99" t="s">
        <v>263</v>
      </c>
      <c r="E32" s="105" t="s">
        <v>264</v>
      </c>
      <c r="F32" s="234" t="s">
        <v>733</v>
      </c>
      <c r="G32" s="234" t="s">
        <v>803</v>
      </c>
      <c r="H32" s="234" t="s">
        <v>804</v>
      </c>
      <c r="I32" s="234" t="s">
        <v>805</v>
      </c>
      <c r="J32" s="270" t="s">
        <v>195</v>
      </c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2">
        <f t="shared" si="2"/>
        <v>0</v>
      </c>
      <c r="AP32" s="272">
        <f t="shared" si="2"/>
        <v>0</v>
      </c>
      <c r="AQ32" s="272">
        <f t="shared" si="3"/>
        <v>0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70"/>
      <c r="BV32" s="272">
        <f t="shared" si="5"/>
        <v>0</v>
      </c>
      <c r="BW32" s="272">
        <f t="shared" si="5"/>
        <v>0</v>
      </c>
      <c r="BX32" s="272">
        <f t="shared" si="5"/>
        <v>0</v>
      </c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>
        <v>420</v>
      </c>
      <c r="CL32" s="270">
        <v>6100</v>
      </c>
      <c r="CM32" s="270">
        <v>4320</v>
      </c>
      <c r="CN32" s="270"/>
      <c r="CO32" s="270"/>
      <c r="CP32" s="270"/>
      <c r="CQ32" s="270"/>
      <c r="CR32" s="27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0"/>
      <c r="DD32" s="270"/>
      <c r="DE32" s="270"/>
      <c r="DF32" s="272">
        <f t="shared" si="1"/>
        <v>420</v>
      </c>
      <c r="DG32" s="272">
        <f t="shared" si="1"/>
        <v>6100</v>
      </c>
      <c r="DH32" s="272">
        <f t="shared" si="4"/>
        <v>4320</v>
      </c>
      <c r="DI32" s="274"/>
    </row>
    <row r="33" spans="1:113" s="275" customFormat="1" ht="24.75" customHeight="1" x14ac:dyDescent="0.6">
      <c r="A33" s="268">
        <v>29</v>
      </c>
      <c r="B33" s="269" t="s">
        <v>265</v>
      </c>
      <c r="C33" s="143" t="s">
        <v>266</v>
      </c>
      <c r="D33" s="99" t="s">
        <v>94</v>
      </c>
      <c r="E33" s="105" t="s">
        <v>95</v>
      </c>
      <c r="F33" s="234" t="s">
        <v>733</v>
      </c>
      <c r="G33" s="234" t="s">
        <v>564</v>
      </c>
      <c r="H33" s="234" t="s">
        <v>565</v>
      </c>
      <c r="I33" s="234" t="s">
        <v>806</v>
      </c>
      <c r="J33" s="270" t="s">
        <v>195</v>
      </c>
      <c r="K33" s="271"/>
      <c r="L33" s="271"/>
      <c r="M33" s="271"/>
      <c r="N33" s="271">
        <v>10</v>
      </c>
      <c r="O33" s="271">
        <v>140</v>
      </c>
      <c r="P33" s="271">
        <v>89.600000000000009</v>
      </c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2">
        <f t="shared" si="2"/>
        <v>10</v>
      </c>
      <c r="AP33" s="272">
        <f t="shared" si="2"/>
        <v>140</v>
      </c>
      <c r="AQ33" s="272">
        <f t="shared" si="3"/>
        <v>89.600000000000009</v>
      </c>
      <c r="AR33" s="234"/>
      <c r="AS33" s="234"/>
      <c r="AT33" s="234"/>
      <c r="AU33" s="234"/>
      <c r="AV33" s="234"/>
      <c r="AW33" s="234"/>
      <c r="AX33" s="234">
        <v>30</v>
      </c>
      <c r="AY33" s="234">
        <v>380</v>
      </c>
      <c r="AZ33" s="234">
        <v>329.6</v>
      </c>
      <c r="BA33" s="234"/>
      <c r="BB33" s="234"/>
      <c r="BC33" s="234"/>
      <c r="BD33" s="234"/>
      <c r="BE33" s="234"/>
      <c r="BF33" s="234"/>
      <c r="BG33" s="234"/>
      <c r="BH33" s="234"/>
      <c r="BI33" s="234"/>
      <c r="BJ33" s="234">
        <v>10</v>
      </c>
      <c r="BK33" s="234">
        <v>140</v>
      </c>
      <c r="BL33" s="234">
        <v>89.600000000000009</v>
      </c>
      <c r="BM33" s="234"/>
      <c r="BN33" s="234"/>
      <c r="BO33" s="234"/>
      <c r="BP33" s="234"/>
      <c r="BQ33" s="234"/>
      <c r="BR33" s="234"/>
      <c r="BS33" s="234"/>
      <c r="BT33" s="234"/>
      <c r="BU33" s="270"/>
      <c r="BV33" s="272">
        <f t="shared" si="5"/>
        <v>50</v>
      </c>
      <c r="BW33" s="272">
        <f t="shared" si="5"/>
        <v>660</v>
      </c>
      <c r="BX33" s="272">
        <f t="shared" si="5"/>
        <v>508.80000000000007</v>
      </c>
      <c r="BY33" s="270"/>
      <c r="BZ33" s="270"/>
      <c r="CA33" s="270"/>
      <c r="CB33" s="270"/>
      <c r="CC33" s="270"/>
      <c r="CD33" s="270"/>
      <c r="CE33" s="270"/>
      <c r="CF33" s="270"/>
      <c r="CG33" s="270"/>
      <c r="CH33" s="270"/>
      <c r="CI33" s="270"/>
      <c r="CJ33" s="270"/>
      <c r="CK33" s="270"/>
      <c r="CL33" s="270"/>
      <c r="CM33" s="270"/>
      <c r="CN33" s="270"/>
      <c r="CO33" s="270"/>
      <c r="CP33" s="270"/>
      <c r="CQ33" s="270"/>
      <c r="CR33" s="270"/>
      <c r="CS33" s="270"/>
      <c r="CT33" s="270"/>
      <c r="CU33" s="270"/>
      <c r="CV33" s="270"/>
      <c r="CW33" s="270"/>
      <c r="CX33" s="270"/>
      <c r="CY33" s="270"/>
      <c r="CZ33" s="270"/>
      <c r="DA33" s="270"/>
      <c r="DB33" s="270"/>
      <c r="DC33" s="270"/>
      <c r="DD33" s="270"/>
      <c r="DE33" s="270"/>
      <c r="DF33" s="272">
        <f t="shared" si="1"/>
        <v>50</v>
      </c>
      <c r="DG33" s="272">
        <f t="shared" si="1"/>
        <v>660</v>
      </c>
      <c r="DH33" s="272">
        <f t="shared" si="4"/>
        <v>508.80000000000007</v>
      </c>
      <c r="DI33" s="274"/>
    </row>
    <row r="34" spans="1:113" s="275" customFormat="1" ht="24.75" customHeight="1" x14ac:dyDescent="0.6">
      <c r="A34" s="268">
        <v>30</v>
      </c>
      <c r="B34" s="269" t="s">
        <v>257</v>
      </c>
      <c r="C34" s="99" t="s">
        <v>267</v>
      </c>
      <c r="D34" s="100" t="s">
        <v>268</v>
      </c>
      <c r="E34" s="100" t="s">
        <v>269</v>
      </c>
      <c r="F34" s="234" t="s">
        <v>733</v>
      </c>
      <c r="G34" s="234" t="s">
        <v>807</v>
      </c>
      <c r="H34" s="234" t="s">
        <v>808</v>
      </c>
      <c r="I34" s="234" t="s">
        <v>809</v>
      </c>
      <c r="J34" s="270" t="s">
        <v>195</v>
      </c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>
        <v>30</v>
      </c>
      <c r="AA34" s="271">
        <v>360</v>
      </c>
      <c r="AB34" s="271">
        <v>360</v>
      </c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2">
        <f t="shared" si="2"/>
        <v>30</v>
      </c>
      <c r="AP34" s="272">
        <f t="shared" si="2"/>
        <v>360</v>
      </c>
      <c r="AQ34" s="272">
        <f t="shared" si="3"/>
        <v>360</v>
      </c>
      <c r="AR34" s="234"/>
      <c r="AS34" s="234"/>
      <c r="AT34" s="234"/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  <c r="BE34" s="234"/>
      <c r="BF34" s="234"/>
      <c r="BG34" s="234"/>
      <c r="BH34" s="234"/>
      <c r="BI34" s="234"/>
      <c r="BJ34" s="234"/>
      <c r="BK34" s="234"/>
      <c r="BL34" s="234"/>
      <c r="BM34" s="234"/>
      <c r="BN34" s="234"/>
      <c r="BO34" s="234"/>
      <c r="BP34" s="234">
        <v>15</v>
      </c>
      <c r="BQ34" s="234">
        <v>180</v>
      </c>
      <c r="BR34" s="234">
        <v>180</v>
      </c>
      <c r="BS34" s="234"/>
      <c r="BT34" s="234"/>
      <c r="BU34" s="270"/>
      <c r="BV34" s="272">
        <f t="shared" si="5"/>
        <v>45</v>
      </c>
      <c r="BW34" s="272">
        <f t="shared" si="5"/>
        <v>540</v>
      </c>
      <c r="BX34" s="272">
        <f t="shared" si="5"/>
        <v>540</v>
      </c>
      <c r="BY34" s="270"/>
      <c r="BZ34" s="270"/>
      <c r="CA34" s="270"/>
      <c r="CB34" s="270"/>
      <c r="CC34" s="270"/>
      <c r="CD34" s="270"/>
      <c r="CE34" s="270"/>
      <c r="CF34" s="270"/>
      <c r="CG34" s="270"/>
      <c r="CH34" s="270"/>
      <c r="CI34" s="270"/>
      <c r="CJ34" s="270"/>
      <c r="CK34" s="270"/>
      <c r="CL34" s="270"/>
      <c r="CM34" s="270"/>
      <c r="CN34" s="270"/>
      <c r="CO34" s="270"/>
      <c r="CP34" s="270"/>
      <c r="CQ34" s="270"/>
      <c r="CR34" s="270"/>
      <c r="CS34" s="270"/>
      <c r="CT34" s="270"/>
      <c r="CU34" s="270"/>
      <c r="CV34" s="270"/>
      <c r="CW34" s="270"/>
      <c r="CX34" s="270"/>
      <c r="CY34" s="270"/>
      <c r="CZ34" s="270"/>
      <c r="DA34" s="270"/>
      <c r="DB34" s="270"/>
      <c r="DC34" s="270"/>
      <c r="DD34" s="270"/>
      <c r="DE34" s="270"/>
      <c r="DF34" s="272">
        <f t="shared" si="1"/>
        <v>45</v>
      </c>
      <c r="DG34" s="272">
        <f t="shared" si="1"/>
        <v>540</v>
      </c>
      <c r="DH34" s="272">
        <f t="shared" si="4"/>
        <v>540</v>
      </c>
      <c r="DI34" s="274"/>
    </row>
    <row r="35" spans="1:113" s="275" customFormat="1" ht="24.75" customHeight="1" x14ac:dyDescent="0.6">
      <c r="A35" s="268">
        <v>31</v>
      </c>
      <c r="B35" s="269" t="s">
        <v>270</v>
      </c>
      <c r="C35" s="143" t="s">
        <v>271</v>
      </c>
      <c r="D35" s="105" t="s">
        <v>272</v>
      </c>
      <c r="E35" s="105" t="s">
        <v>273</v>
      </c>
      <c r="F35" s="234" t="s">
        <v>733</v>
      </c>
      <c r="G35" s="234" t="s">
        <v>810</v>
      </c>
      <c r="H35" s="234" t="s">
        <v>811</v>
      </c>
      <c r="I35" s="234" t="s">
        <v>812</v>
      </c>
      <c r="J35" s="270" t="s">
        <v>195</v>
      </c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>
        <v>100</v>
      </c>
      <c r="AD35" s="271">
        <v>1260</v>
      </c>
      <c r="AE35" s="271">
        <v>1108.8</v>
      </c>
      <c r="AF35" s="271"/>
      <c r="AG35" s="271"/>
      <c r="AH35" s="271"/>
      <c r="AI35" s="271"/>
      <c r="AJ35" s="271"/>
      <c r="AK35" s="271"/>
      <c r="AL35" s="271"/>
      <c r="AM35" s="271"/>
      <c r="AN35" s="271"/>
      <c r="AO35" s="272">
        <f t="shared" si="2"/>
        <v>100</v>
      </c>
      <c r="AP35" s="272">
        <f t="shared" si="2"/>
        <v>1260</v>
      </c>
      <c r="AQ35" s="272">
        <f t="shared" si="3"/>
        <v>1108.8</v>
      </c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70"/>
      <c r="BV35" s="272">
        <f t="shared" si="5"/>
        <v>100</v>
      </c>
      <c r="BW35" s="272">
        <f t="shared" si="5"/>
        <v>1260</v>
      </c>
      <c r="BX35" s="272">
        <f t="shared" si="5"/>
        <v>1108.8</v>
      </c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0"/>
      <c r="CQ35" s="270"/>
      <c r="CR35" s="270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0"/>
      <c r="DD35" s="270"/>
      <c r="DE35" s="270"/>
      <c r="DF35" s="272">
        <f t="shared" si="1"/>
        <v>100</v>
      </c>
      <c r="DG35" s="272">
        <f t="shared" si="1"/>
        <v>1260</v>
      </c>
      <c r="DH35" s="272">
        <f t="shared" si="4"/>
        <v>1108.8</v>
      </c>
      <c r="DI35" s="274"/>
    </row>
    <row r="36" spans="1:113" s="275" customFormat="1" ht="24.75" customHeight="1" x14ac:dyDescent="0.6">
      <c r="A36" s="268">
        <v>32</v>
      </c>
      <c r="B36" s="269" t="s">
        <v>274</v>
      </c>
      <c r="C36" s="143" t="s">
        <v>274</v>
      </c>
      <c r="D36" s="105" t="s">
        <v>272</v>
      </c>
      <c r="E36" s="105" t="s">
        <v>273</v>
      </c>
      <c r="F36" s="234" t="s">
        <v>733</v>
      </c>
      <c r="G36" s="234"/>
      <c r="H36" s="234"/>
      <c r="I36" s="234" t="s">
        <v>813</v>
      </c>
      <c r="J36" s="270" t="s">
        <v>195</v>
      </c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2">
        <f t="shared" si="2"/>
        <v>0</v>
      </c>
      <c r="AP36" s="272">
        <f t="shared" si="2"/>
        <v>0</v>
      </c>
      <c r="AQ36" s="272">
        <f t="shared" si="3"/>
        <v>0</v>
      </c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>
        <v>170</v>
      </c>
      <c r="BQ36" s="234">
        <v>2280</v>
      </c>
      <c r="BR36" s="234">
        <v>1675.2</v>
      </c>
      <c r="BS36" s="234"/>
      <c r="BT36" s="234"/>
      <c r="BU36" s="270"/>
      <c r="BV36" s="272">
        <f t="shared" si="5"/>
        <v>170</v>
      </c>
      <c r="BW36" s="272">
        <f t="shared" si="5"/>
        <v>2280</v>
      </c>
      <c r="BX36" s="272">
        <f t="shared" si="5"/>
        <v>1675.2</v>
      </c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  <c r="DB36" s="270"/>
      <c r="DC36" s="270"/>
      <c r="DD36" s="270"/>
      <c r="DE36" s="270"/>
      <c r="DF36" s="272">
        <f t="shared" si="1"/>
        <v>170</v>
      </c>
      <c r="DG36" s="272">
        <f t="shared" si="1"/>
        <v>2280</v>
      </c>
      <c r="DH36" s="272">
        <f t="shared" si="4"/>
        <v>1675.2</v>
      </c>
      <c r="DI36" s="274"/>
    </row>
    <row r="37" spans="1:113" s="275" customFormat="1" ht="24.75" customHeight="1" x14ac:dyDescent="0.6">
      <c r="A37" s="268">
        <v>33</v>
      </c>
      <c r="B37" s="269" t="s">
        <v>275</v>
      </c>
      <c r="C37" s="143" t="s">
        <v>276</v>
      </c>
      <c r="D37" s="105" t="s">
        <v>277</v>
      </c>
      <c r="E37" s="105"/>
      <c r="F37" s="234" t="s">
        <v>733</v>
      </c>
      <c r="G37" s="234"/>
      <c r="H37" s="234"/>
      <c r="I37" s="234" t="s">
        <v>814</v>
      </c>
      <c r="J37" s="270" t="s">
        <v>195</v>
      </c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2">
        <f t="shared" si="2"/>
        <v>0</v>
      </c>
      <c r="AP37" s="272">
        <f t="shared" si="2"/>
        <v>0</v>
      </c>
      <c r="AQ37" s="272">
        <f t="shared" si="3"/>
        <v>0</v>
      </c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/>
      <c r="BJ37" s="234"/>
      <c r="BK37" s="234"/>
      <c r="BL37" s="234"/>
      <c r="BM37" s="234"/>
      <c r="BN37" s="234"/>
      <c r="BO37" s="234"/>
      <c r="BP37" s="234"/>
      <c r="BQ37" s="234"/>
      <c r="BR37" s="234"/>
      <c r="BS37" s="234"/>
      <c r="BT37" s="234"/>
      <c r="BU37" s="270"/>
      <c r="BV37" s="272">
        <f t="shared" si="5"/>
        <v>0</v>
      </c>
      <c r="BW37" s="272">
        <f t="shared" si="5"/>
        <v>0</v>
      </c>
      <c r="BX37" s="272">
        <f t="shared" si="5"/>
        <v>0</v>
      </c>
      <c r="BY37" s="270"/>
      <c r="BZ37" s="270"/>
      <c r="CA37" s="270"/>
      <c r="CB37" s="270"/>
      <c r="CC37" s="270"/>
      <c r="CD37" s="270"/>
      <c r="CE37" s="270"/>
      <c r="CF37" s="270"/>
      <c r="CG37" s="270"/>
      <c r="CH37" s="270"/>
      <c r="CI37" s="270"/>
      <c r="CJ37" s="270"/>
      <c r="CK37" s="270"/>
      <c r="CL37" s="270"/>
      <c r="CM37" s="270"/>
      <c r="CN37" s="270"/>
      <c r="CO37" s="270"/>
      <c r="CP37" s="270"/>
      <c r="CQ37" s="270"/>
      <c r="CR37" s="270"/>
      <c r="CS37" s="270"/>
      <c r="CT37" s="270"/>
      <c r="CU37" s="270"/>
      <c r="CV37" s="270"/>
      <c r="CW37" s="270"/>
      <c r="CX37" s="270"/>
      <c r="CY37" s="270"/>
      <c r="CZ37" s="270"/>
      <c r="DA37" s="270"/>
      <c r="DB37" s="270"/>
      <c r="DC37" s="270"/>
      <c r="DD37" s="270"/>
      <c r="DE37" s="270"/>
      <c r="DF37" s="272">
        <f t="shared" si="1"/>
        <v>0</v>
      </c>
      <c r="DG37" s="272">
        <f t="shared" si="1"/>
        <v>0</v>
      </c>
      <c r="DH37" s="272">
        <f t="shared" si="4"/>
        <v>0</v>
      </c>
      <c r="DI37" s="274"/>
    </row>
    <row r="38" spans="1:113" s="275" customFormat="1" ht="24.75" customHeight="1" x14ac:dyDescent="0.6">
      <c r="A38" s="268">
        <v>34</v>
      </c>
      <c r="B38" s="269" t="s">
        <v>278</v>
      </c>
      <c r="C38" s="143" t="s">
        <v>279</v>
      </c>
      <c r="D38" s="105" t="s">
        <v>272</v>
      </c>
      <c r="E38" s="105" t="s">
        <v>273</v>
      </c>
      <c r="F38" s="234" t="s">
        <v>733</v>
      </c>
      <c r="G38" s="234" t="s">
        <v>815</v>
      </c>
      <c r="H38" s="234"/>
      <c r="I38" s="234" t="s">
        <v>816</v>
      </c>
      <c r="J38" s="270" t="s">
        <v>195</v>
      </c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>
        <v>100</v>
      </c>
      <c r="AD38" s="271">
        <v>1200</v>
      </c>
      <c r="AE38" s="271">
        <v>1200</v>
      </c>
      <c r="AF38" s="271"/>
      <c r="AG38" s="271"/>
      <c r="AH38" s="271"/>
      <c r="AI38" s="271"/>
      <c r="AJ38" s="271"/>
      <c r="AK38" s="271"/>
      <c r="AL38" s="271"/>
      <c r="AM38" s="271"/>
      <c r="AN38" s="271"/>
      <c r="AO38" s="272">
        <f t="shared" si="2"/>
        <v>100</v>
      </c>
      <c r="AP38" s="272">
        <f t="shared" si="2"/>
        <v>1200</v>
      </c>
      <c r="AQ38" s="272">
        <f t="shared" si="3"/>
        <v>1200</v>
      </c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  <c r="BE38" s="234"/>
      <c r="BF38" s="234"/>
      <c r="BG38" s="234"/>
      <c r="BH38" s="234"/>
      <c r="BI38" s="234"/>
      <c r="BJ38" s="234"/>
      <c r="BK38" s="234"/>
      <c r="BL38" s="234"/>
      <c r="BM38" s="234"/>
      <c r="BN38" s="234"/>
      <c r="BO38" s="234"/>
      <c r="BP38" s="234"/>
      <c r="BQ38" s="234"/>
      <c r="BR38" s="234"/>
      <c r="BS38" s="234"/>
      <c r="BT38" s="234"/>
      <c r="BU38" s="270"/>
      <c r="BV38" s="272">
        <f t="shared" si="5"/>
        <v>100</v>
      </c>
      <c r="BW38" s="272">
        <f t="shared" si="5"/>
        <v>1200</v>
      </c>
      <c r="BX38" s="272">
        <f t="shared" si="5"/>
        <v>1200</v>
      </c>
      <c r="BY38" s="270"/>
      <c r="BZ38" s="270"/>
      <c r="CA38" s="270"/>
      <c r="CB38" s="270"/>
      <c r="CC38" s="270"/>
      <c r="CD38" s="270"/>
      <c r="CE38" s="270"/>
      <c r="CF38" s="270"/>
      <c r="CG38" s="270"/>
      <c r="CH38" s="270"/>
      <c r="CI38" s="270"/>
      <c r="CJ38" s="270"/>
      <c r="CK38" s="270"/>
      <c r="CL38" s="270"/>
      <c r="CM38" s="270"/>
      <c r="CN38" s="270"/>
      <c r="CO38" s="270"/>
      <c r="CP38" s="270"/>
      <c r="CQ38" s="270"/>
      <c r="CR38" s="270"/>
      <c r="CS38" s="270"/>
      <c r="CT38" s="270"/>
      <c r="CU38" s="270"/>
      <c r="CV38" s="270"/>
      <c r="CW38" s="270"/>
      <c r="CX38" s="270"/>
      <c r="CY38" s="270"/>
      <c r="CZ38" s="270"/>
      <c r="DA38" s="270"/>
      <c r="DB38" s="270"/>
      <c r="DC38" s="270"/>
      <c r="DD38" s="270"/>
      <c r="DE38" s="270"/>
      <c r="DF38" s="272">
        <f t="shared" si="1"/>
        <v>100</v>
      </c>
      <c r="DG38" s="272">
        <f t="shared" si="1"/>
        <v>1200</v>
      </c>
      <c r="DH38" s="272">
        <f t="shared" si="4"/>
        <v>1200</v>
      </c>
      <c r="DI38" s="274"/>
    </row>
    <row r="39" spans="1:113" s="275" customFormat="1" ht="24.75" customHeight="1" x14ac:dyDescent="0.6">
      <c r="A39" s="268">
        <v>35</v>
      </c>
      <c r="B39" s="269" t="s">
        <v>280</v>
      </c>
      <c r="C39" s="143" t="s">
        <v>281</v>
      </c>
      <c r="D39" s="105" t="s">
        <v>272</v>
      </c>
      <c r="E39" s="105" t="s">
        <v>273</v>
      </c>
      <c r="F39" s="234" t="s">
        <v>733</v>
      </c>
      <c r="G39" s="234" t="s">
        <v>817</v>
      </c>
      <c r="H39" s="234"/>
      <c r="I39" s="234" t="s">
        <v>818</v>
      </c>
      <c r="J39" s="270" t="s">
        <v>195</v>
      </c>
      <c r="K39" s="271"/>
      <c r="L39" s="271"/>
      <c r="M39" s="271"/>
      <c r="N39" s="271"/>
      <c r="O39" s="271"/>
      <c r="P39" s="271"/>
      <c r="Q39" s="271">
        <v>120</v>
      </c>
      <c r="R39" s="271">
        <v>1640</v>
      </c>
      <c r="S39" s="271">
        <v>1136</v>
      </c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2">
        <f t="shared" si="2"/>
        <v>120</v>
      </c>
      <c r="AP39" s="272">
        <f t="shared" si="2"/>
        <v>1640</v>
      </c>
      <c r="AQ39" s="272">
        <f t="shared" si="3"/>
        <v>1136</v>
      </c>
      <c r="AR39" s="234"/>
      <c r="AS39" s="234"/>
      <c r="AT39" s="234"/>
      <c r="AU39" s="234"/>
      <c r="AV39" s="234"/>
      <c r="AW39" s="234"/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>
        <v>110</v>
      </c>
      <c r="BK39" s="234">
        <v>1520</v>
      </c>
      <c r="BL39" s="234">
        <v>1016</v>
      </c>
      <c r="BM39" s="234"/>
      <c r="BN39" s="234"/>
      <c r="BO39" s="234"/>
      <c r="BP39" s="234"/>
      <c r="BQ39" s="234"/>
      <c r="BR39" s="234"/>
      <c r="BS39" s="234"/>
      <c r="BT39" s="234"/>
      <c r="BU39" s="270"/>
      <c r="BV39" s="272">
        <f t="shared" si="5"/>
        <v>230</v>
      </c>
      <c r="BW39" s="272">
        <f t="shared" si="5"/>
        <v>3160</v>
      </c>
      <c r="BX39" s="272">
        <f t="shared" si="5"/>
        <v>2152</v>
      </c>
      <c r="BY39" s="270"/>
      <c r="BZ39" s="270"/>
      <c r="CA39" s="270"/>
      <c r="CB39" s="270"/>
      <c r="CC39" s="270"/>
      <c r="CD39" s="270"/>
      <c r="CE39" s="270"/>
      <c r="CF39" s="270"/>
      <c r="CG39" s="270"/>
      <c r="CH39" s="270"/>
      <c r="CI39" s="270"/>
      <c r="CJ39" s="270"/>
      <c r="CK39" s="270"/>
      <c r="CL39" s="270"/>
      <c r="CM39" s="270"/>
      <c r="CN39" s="270"/>
      <c r="CO39" s="270"/>
      <c r="CP39" s="270"/>
      <c r="CQ39" s="270"/>
      <c r="CR39" s="270"/>
      <c r="CS39" s="270"/>
      <c r="CT39" s="270"/>
      <c r="CU39" s="270"/>
      <c r="CV39" s="270"/>
      <c r="CW39" s="270"/>
      <c r="CX39" s="270"/>
      <c r="CY39" s="270"/>
      <c r="CZ39" s="270"/>
      <c r="DA39" s="270"/>
      <c r="DB39" s="270"/>
      <c r="DC39" s="270"/>
      <c r="DD39" s="270"/>
      <c r="DE39" s="270"/>
      <c r="DF39" s="272">
        <f t="shared" si="1"/>
        <v>230</v>
      </c>
      <c r="DG39" s="272">
        <f t="shared" si="1"/>
        <v>3160</v>
      </c>
      <c r="DH39" s="272">
        <f t="shared" si="4"/>
        <v>2152</v>
      </c>
      <c r="DI39" s="274"/>
    </row>
    <row r="40" spans="1:113" s="275" customFormat="1" ht="24.75" customHeight="1" x14ac:dyDescent="0.6">
      <c r="A40" s="268">
        <v>36</v>
      </c>
      <c r="B40" s="269" t="s">
        <v>282</v>
      </c>
      <c r="C40" s="143" t="s">
        <v>283</v>
      </c>
      <c r="D40" s="105" t="s">
        <v>284</v>
      </c>
      <c r="E40" s="105" t="s">
        <v>285</v>
      </c>
      <c r="F40" s="234" t="s">
        <v>733</v>
      </c>
      <c r="G40" s="234" t="s">
        <v>819</v>
      </c>
      <c r="H40" s="234"/>
      <c r="I40" s="234" t="s">
        <v>820</v>
      </c>
      <c r="J40" s="270" t="s">
        <v>195</v>
      </c>
      <c r="K40" s="271"/>
      <c r="L40" s="271"/>
      <c r="M40" s="271"/>
      <c r="N40" s="271"/>
      <c r="O40" s="271"/>
      <c r="P40" s="271"/>
      <c r="Q40" s="271">
        <v>43</v>
      </c>
      <c r="R40" s="271">
        <v>656</v>
      </c>
      <c r="S40" s="271">
        <v>511.6</v>
      </c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2">
        <f t="shared" si="2"/>
        <v>43</v>
      </c>
      <c r="AP40" s="272">
        <f t="shared" si="2"/>
        <v>656</v>
      </c>
      <c r="AQ40" s="272">
        <f t="shared" si="3"/>
        <v>511.6</v>
      </c>
      <c r="AR40" s="234"/>
      <c r="AS40" s="234"/>
      <c r="AT40" s="234"/>
      <c r="AU40" s="234"/>
      <c r="AV40" s="234"/>
      <c r="AW40" s="234"/>
      <c r="AX40" s="234"/>
      <c r="AY40" s="234"/>
      <c r="AZ40" s="234"/>
      <c r="BA40" s="234">
        <v>7</v>
      </c>
      <c r="BB40" s="234">
        <v>140</v>
      </c>
      <c r="BC40" s="234">
        <v>88</v>
      </c>
      <c r="BD40" s="234"/>
      <c r="BE40" s="234"/>
      <c r="BF40" s="234"/>
      <c r="BG40" s="234"/>
      <c r="BH40" s="234"/>
      <c r="BI40" s="234"/>
      <c r="BJ40" s="234"/>
      <c r="BK40" s="234"/>
      <c r="BL40" s="234"/>
      <c r="BM40" s="234">
        <v>42</v>
      </c>
      <c r="BN40" s="234">
        <v>644</v>
      </c>
      <c r="BO40" s="234">
        <v>504.4</v>
      </c>
      <c r="BP40" s="234"/>
      <c r="BQ40" s="234"/>
      <c r="BR40" s="234"/>
      <c r="BS40" s="234"/>
      <c r="BT40" s="234"/>
      <c r="BU40" s="270"/>
      <c r="BV40" s="272">
        <f t="shared" si="5"/>
        <v>92</v>
      </c>
      <c r="BW40" s="272">
        <f t="shared" si="5"/>
        <v>1440</v>
      </c>
      <c r="BX40" s="272">
        <f t="shared" si="5"/>
        <v>1104</v>
      </c>
      <c r="BY40" s="270"/>
      <c r="BZ40" s="270"/>
      <c r="CA40" s="270"/>
      <c r="CB40" s="270"/>
      <c r="CC40" s="270"/>
      <c r="CD40" s="270"/>
      <c r="CE40" s="270"/>
      <c r="CF40" s="270"/>
      <c r="CG40" s="270"/>
      <c r="CH40" s="270"/>
      <c r="CI40" s="270"/>
      <c r="CJ40" s="270"/>
      <c r="CK40" s="270"/>
      <c r="CL40" s="270"/>
      <c r="CM40" s="270"/>
      <c r="CN40" s="270"/>
      <c r="CO40" s="270"/>
      <c r="CP40" s="270"/>
      <c r="CQ40" s="270"/>
      <c r="CR40" s="270"/>
      <c r="CS40" s="270"/>
      <c r="CT40" s="270">
        <v>46</v>
      </c>
      <c r="CU40" s="270">
        <v>692</v>
      </c>
      <c r="CV40" s="270">
        <v>557.20000000000005</v>
      </c>
      <c r="CW40" s="270"/>
      <c r="CX40" s="270"/>
      <c r="CY40" s="270"/>
      <c r="CZ40" s="270"/>
      <c r="DA40" s="270"/>
      <c r="DB40" s="270"/>
      <c r="DC40" s="270"/>
      <c r="DD40" s="270"/>
      <c r="DE40" s="270"/>
      <c r="DF40" s="272">
        <f t="shared" si="1"/>
        <v>138</v>
      </c>
      <c r="DG40" s="272">
        <f t="shared" si="1"/>
        <v>2132</v>
      </c>
      <c r="DH40" s="272">
        <f t="shared" si="4"/>
        <v>1661.2</v>
      </c>
      <c r="DI40" s="274"/>
    </row>
    <row r="41" spans="1:113" s="275" customFormat="1" ht="20.100000000000001" customHeight="1" thickBot="1" x14ac:dyDescent="0.65">
      <c r="A41" s="282"/>
      <c r="B41" s="283"/>
      <c r="C41" s="283"/>
      <c r="D41" s="284"/>
      <c r="E41" s="283"/>
      <c r="F41" s="283"/>
      <c r="G41" s="283"/>
      <c r="H41" s="283"/>
      <c r="I41" s="283"/>
      <c r="J41" s="285"/>
      <c r="K41" s="286"/>
      <c r="L41" s="283"/>
      <c r="M41" s="283"/>
      <c r="N41" s="283"/>
      <c r="O41" s="283"/>
      <c r="P41" s="283"/>
      <c r="Q41" s="283"/>
      <c r="R41" s="283"/>
      <c r="S41" s="271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283"/>
      <c r="BL41" s="283"/>
      <c r="BM41" s="283"/>
      <c r="BN41" s="283"/>
      <c r="BO41" s="283"/>
      <c r="BP41" s="283"/>
      <c r="BQ41" s="283"/>
      <c r="BR41" s="283"/>
      <c r="BS41" s="283"/>
      <c r="BT41" s="283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85"/>
      <c r="CI41" s="285"/>
      <c r="CJ41" s="285"/>
      <c r="CK41" s="285"/>
      <c r="CL41" s="285"/>
      <c r="CM41" s="285"/>
      <c r="CN41" s="285"/>
      <c r="CO41" s="285"/>
      <c r="CP41" s="285"/>
      <c r="CQ41" s="285"/>
      <c r="CR41" s="285"/>
      <c r="CS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</row>
    <row r="42" spans="1:113" s="275" customFormat="1" ht="20.100000000000001" customHeight="1" thickBot="1" x14ac:dyDescent="0.65">
      <c r="A42" s="287"/>
      <c r="B42" s="288"/>
      <c r="C42" s="289"/>
      <c r="D42" s="290"/>
      <c r="E42" s="289"/>
      <c r="F42" s="289"/>
      <c r="G42" s="291"/>
      <c r="H42" s="291"/>
      <c r="I42" s="289"/>
      <c r="J42" s="292"/>
      <c r="K42" s="293">
        <f t="shared" ref="K42:AN42" si="6">SUM(K6:K41)</f>
        <v>0</v>
      </c>
      <c r="L42" s="293">
        <f t="shared" si="6"/>
        <v>0</v>
      </c>
      <c r="M42" s="293">
        <f t="shared" si="6"/>
        <v>0</v>
      </c>
      <c r="N42" s="293">
        <f t="shared" si="6"/>
        <v>187</v>
      </c>
      <c r="O42" s="293">
        <f t="shared" si="6"/>
        <v>2624</v>
      </c>
      <c r="P42" s="293">
        <f t="shared" si="6"/>
        <v>2084.4</v>
      </c>
      <c r="Q42" s="293">
        <f t="shared" si="6"/>
        <v>564</v>
      </c>
      <c r="R42" s="293">
        <f t="shared" si="6"/>
        <v>7268</v>
      </c>
      <c r="S42" s="293">
        <f t="shared" si="6"/>
        <v>6211.6</v>
      </c>
      <c r="T42" s="293">
        <f t="shared" si="6"/>
        <v>491</v>
      </c>
      <c r="U42" s="293">
        <f t="shared" si="6"/>
        <v>6520</v>
      </c>
      <c r="V42" s="293">
        <f t="shared" si="6"/>
        <v>5204.8</v>
      </c>
      <c r="W42" s="293">
        <f t="shared" si="6"/>
        <v>265</v>
      </c>
      <c r="X42" s="293">
        <f t="shared" si="6"/>
        <v>3510</v>
      </c>
      <c r="Y42" s="293">
        <f t="shared" si="6"/>
        <v>2624.4</v>
      </c>
      <c r="Z42" s="293">
        <f t="shared" si="6"/>
        <v>153</v>
      </c>
      <c r="AA42" s="293">
        <f t="shared" si="6"/>
        <v>1840</v>
      </c>
      <c r="AB42" s="293">
        <f t="shared" si="6"/>
        <v>1829.92</v>
      </c>
      <c r="AC42" s="293">
        <f t="shared" si="6"/>
        <v>469</v>
      </c>
      <c r="AD42" s="293">
        <f t="shared" si="6"/>
        <v>6524</v>
      </c>
      <c r="AE42" s="293">
        <f t="shared" si="6"/>
        <v>5411.5999999999995</v>
      </c>
      <c r="AF42" s="293">
        <f t="shared" si="6"/>
        <v>0</v>
      </c>
      <c r="AG42" s="293">
        <f t="shared" si="6"/>
        <v>0</v>
      </c>
      <c r="AH42" s="293">
        <f t="shared" si="6"/>
        <v>0</v>
      </c>
      <c r="AI42" s="293">
        <f t="shared" si="6"/>
        <v>721</v>
      </c>
      <c r="AJ42" s="293">
        <f t="shared" si="6"/>
        <v>10058</v>
      </c>
      <c r="AK42" s="293">
        <f t="shared" si="6"/>
        <v>8200.9599999999991</v>
      </c>
      <c r="AL42" s="293">
        <f t="shared" si="6"/>
        <v>362</v>
      </c>
      <c r="AM42" s="293">
        <f t="shared" si="6"/>
        <v>6164</v>
      </c>
      <c r="AN42" s="293">
        <f t="shared" si="6"/>
        <v>4302.3999999999996</v>
      </c>
      <c r="AO42" s="293">
        <f t="shared" ref="AO42:CZ42" si="7">SUM(AO4:AO41)</f>
        <v>3282</v>
      </c>
      <c r="AP42" s="293">
        <f t="shared" si="7"/>
        <v>45448</v>
      </c>
      <c r="AQ42" s="293">
        <f t="shared" si="7"/>
        <v>36558.079999999994</v>
      </c>
      <c r="AR42" s="293">
        <f t="shared" si="7"/>
        <v>82</v>
      </c>
      <c r="AS42" s="293">
        <f t="shared" si="7"/>
        <v>986</v>
      </c>
      <c r="AT42" s="293">
        <f t="shared" si="7"/>
        <v>980.96</v>
      </c>
      <c r="AU42" s="293">
        <f t="shared" si="7"/>
        <v>30</v>
      </c>
      <c r="AV42" s="293">
        <f t="shared" si="7"/>
        <v>360</v>
      </c>
      <c r="AW42" s="293">
        <f t="shared" si="7"/>
        <v>360</v>
      </c>
      <c r="AX42" s="293">
        <f t="shared" si="7"/>
        <v>288</v>
      </c>
      <c r="AY42" s="293">
        <f t="shared" si="7"/>
        <v>3576</v>
      </c>
      <c r="AZ42" s="293">
        <f t="shared" si="7"/>
        <v>3264</v>
      </c>
      <c r="BA42" s="293">
        <f t="shared" si="7"/>
        <v>261</v>
      </c>
      <c r="BB42" s="293">
        <f t="shared" si="7"/>
        <v>3484</v>
      </c>
      <c r="BC42" s="293">
        <f t="shared" si="7"/>
        <v>2768</v>
      </c>
      <c r="BD42" s="293">
        <f t="shared" si="7"/>
        <v>0</v>
      </c>
      <c r="BE42" s="293">
        <f t="shared" si="7"/>
        <v>0</v>
      </c>
      <c r="BF42" s="293">
        <f t="shared" si="7"/>
        <v>0</v>
      </c>
      <c r="BG42" s="293">
        <f t="shared" si="7"/>
        <v>450</v>
      </c>
      <c r="BH42" s="293">
        <f t="shared" si="7"/>
        <v>5860</v>
      </c>
      <c r="BI42" s="293">
        <f t="shared" si="7"/>
        <v>5369.2</v>
      </c>
      <c r="BJ42" s="293">
        <f t="shared" si="7"/>
        <v>390</v>
      </c>
      <c r="BK42" s="293">
        <f t="shared" si="7"/>
        <v>5170</v>
      </c>
      <c r="BL42" s="293">
        <f t="shared" si="7"/>
        <v>4188.16</v>
      </c>
      <c r="BM42" s="293">
        <f t="shared" si="7"/>
        <v>254</v>
      </c>
      <c r="BN42" s="293">
        <f t="shared" si="7"/>
        <v>3240</v>
      </c>
      <c r="BO42" s="293">
        <f t="shared" si="7"/>
        <v>2969.36</v>
      </c>
      <c r="BP42" s="293">
        <f t="shared" si="7"/>
        <v>195</v>
      </c>
      <c r="BQ42" s="293">
        <f t="shared" si="7"/>
        <v>2600</v>
      </c>
      <c r="BR42" s="293">
        <f t="shared" si="7"/>
        <v>1944.8000000000002</v>
      </c>
      <c r="BS42" s="293">
        <f t="shared" si="7"/>
        <v>568</v>
      </c>
      <c r="BT42" s="293">
        <f t="shared" si="7"/>
        <v>7436</v>
      </c>
      <c r="BU42" s="293">
        <f t="shared" si="7"/>
        <v>6730</v>
      </c>
      <c r="BV42" s="293">
        <f t="shared" si="7"/>
        <v>5800</v>
      </c>
      <c r="BW42" s="293">
        <f t="shared" si="7"/>
        <v>78160</v>
      </c>
      <c r="BX42" s="293">
        <f t="shared" si="7"/>
        <v>65132.56</v>
      </c>
      <c r="BY42" s="293">
        <f t="shared" si="7"/>
        <v>237</v>
      </c>
      <c r="BZ42" s="293">
        <f t="shared" si="7"/>
        <v>4374</v>
      </c>
      <c r="CA42" s="293">
        <f t="shared" si="7"/>
        <v>2742.96</v>
      </c>
      <c r="CB42" s="293">
        <f t="shared" si="7"/>
        <v>0</v>
      </c>
      <c r="CC42" s="293">
        <f t="shared" si="7"/>
        <v>0</v>
      </c>
      <c r="CD42" s="293">
        <f t="shared" si="7"/>
        <v>0</v>
      </c>
      <c r="CE42" s="293">
        <f t="shared" si="7"/>
        <v>338</v>
      </c>
      <c r="CF42" s="293">
        <f t="shared" si="7"/>
        <v>4378</v>
      </c>
      <c r="CG42" s="293">
        <f t="shared" si="7"/>
        <v>3566.56</v>
      </c>
      <c r="CH42" s="293">
        <f t="shared" si="7"/>
        <v>365</v>
      </c>
      <c r="CI42" s="293">
        <f t="shared" si="7"/>
        <v>5820</v>
      </c>
      <c r="CJ42" s="293">
        <f t="shared" si="7"/>
        <v>4398.8</v>
      </c>
      <c r="CK42" s="293">
        <f t="shared" si="7"/>
        <v>548</v>
      </c>
      <c r="CL42" s="293">
        <f t="shared" si="7"/>
        <v>7940</v>
      </c>
      <c r="CM42" s="293">
        <f t="shared" si="7"/>
        <v>5750.4</v>
      </c>
      <c r="CN42" s="293">
        <f t="shared" si="7"/>
        <v>190</v>
      </c>
      <c r="CO42" s="293">
        <f t="shared" si="7"/>
        <v>2640</v>
      </c>
      <c r="CP42" s="293">
        <f t="shared" si="7"/>
        <v>1931.6000000000001</v>
      </c>
      <c r="CQ42" s="293">
        <f t="shared" si="7"/>
        <v>460</v>
      </c>
      <c r="CR42" s="293">
        <f t="shared" si="7"/>
        <v>5620</v>
      </c>
      <c r="CS42" s="293">
        <f t="shared" si="7"/>
        <v>5368</v>
      </c>
      <c r="CT42" s="293">
        <f t="shared" si="7"/>
        <v>704</v>
      </c>
      <c r="CU42" s="293">
        <f t="shared" si="7"/>
        <v>9676</v>
      </c>
      <c r="CV42" s="293">
        <f t="shared" si="7"/>
        <v>7954.5599999999995</v>
      </c>
      <c r="CW42" s="293">
        <f t="shared" si="7"/>
        <v>0</v>
      </c>
      <c r="CX42" s="293">
        <f t="shared" si="7"/>
        <v>0</v>
      </c>
      <c r="CY42" s="293">
        <f t="shared" si="7"/>
        <v>0</v>
      </c>
      <c r="CZ42" s="293">
        <f t="shared" si="7"/>
        <v>0</v>
      </c>
      <c r="DA42" s="293">
        <f t="shared" ref="DA42:DH42" si="8">SUM(DA4:DA41)</f>
        <v>0</v>
      </c>
      <c r="DB42" s="293">
        <f t="shared" si="8"/>
        <v>0</v>
      </c>
      <c r="DC42" s="293">
        <f t="shared" si="8"/>
        <v>0</v>
      </c>
      <c r="DD42" s="293">
        <f t="shared" si="8"/>
        <v>0</v>
      </c>
      <c r="DE42" s="293">
        <f t="shared" si="8"/>
        <v>0</v>
      </c>
      <c r="DF42" s="293">
        <f t="shared" si="8"/>
        <v>8642</v>
      </c>
      <c r="DG42" s="293">
        <f t="shared" si="8"/>
        <v>118608</v>
      </c>
      <c r="DH42" s="293">
        <f t="shared" si="8"/>
        <v>96845.440000000002</v>
      </c>
    </row>
    <row r="43" spans="1:113" s="275" customFormat="1" ht="20.100000000000001" customHeight="1" x14ac:dyDescent="0.6">
      <c r="A43" s="294"/>
      <c r="B43" s="295"/>
      <c r="C43" s="236"/>
      <c r="D43" s="296"/>
      <c r="E43" s="236"/>
      <c r="F43" s="236"/>
      <c r="G43" s="236"/>
      <c r="H43" s="236"/>
      <c r="I43" s="236"/>
      <c r="J43" s="234"/>
      <c r="K43" s="297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72">
        <f t="shared" ref="AO43:AP74" si="9">+AL43+AI43+AF43+AC43+Z43+W43+T43+Q43+N43+K43</f>
        <v>0</v>
      </c>
      <c r="AP43" s="272">
        <f t="shared" si="9"/>
        <v>0</v>
      </c>
      <c r="AQ43" s="272">
        <f t="shared" ref="AQ43:AQ48" si="10">M43+P43+S43+V43+Y43+AB43+AE43+AH43+AK43+AN43</f>
        <v>0</v>
      </c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98"/>
      <c r="BV43" s="272">
        <f t="shared" ref="BV43:BX74" si="11">+BS43+BP43+BM43+BJ43+BG43+BD43+BA43+AX43+AU43+AR43+AO43</f>
        <v>0</v>
      </c>
      <c r="BW43" s="272">
        <f t="shared" si="11"/>
        <v>0</v>
      </c>
      <c r="BX43" s="272">
        <f>AT43+AW43+AZ43+BC43+BF43+BI43+BL43+BO43+BR43+BU43</f>
        <v>0</v>
      </c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29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72">
        <f t="shared" ref="DF43:DG74" si="12">+DC43+CZ43+CW43+CT43+CQ43+CN43+CK43+CH43+CE43+CB43+BY43+BV43</f>
        <v>0</v>
      </c>
      <c r="DG43" s="272">
        <f t="shared" si="12"/>
        <v>0</v>
      </c>
      <c r="DH43" s="299">
        <f>CA43+CD43+CG43+CJ43+CM43+CP43+CS43+CV43+CY43+DB43+DE43</f>
        <v>0</v>
      </c>
    </row>
    <row r="44" spans="1:113" s="275" customFormat="1" ht="24.75" customHeight="1" x14ac:dyDescent="0.6">
      <c r="A44" s="268">
        <v>1</v>
      </c>
      <c r="B44" s="269" t="s">
        <v>286</v>
      </c>
      <c r="C44" s="104" t="s">
        <v>287</v>
      </c>
      <c r="D44" s="100" t="s">
        <v>123</v>
      </c>
      <c r="E44" s="100" t="s">
        <v>124</v>
      </c>
      <c r="F44" s="234" t="s">
        <v>733</v>
      </c>
      <c r="G44" s="234" t="s">
        <v>821</v>
      </c>
      <c r="H44" s="234" t="s">
        <v>822</v>
      </c>
      <c r="I44" s="234" t="s">
        <v>823</v>
      </c>
      <c r="J44" s="234" t="s">
        <v>288</v>
      </c>
      <c r="K44" s="259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>
        <v>20</v>
      </c>
      <c r="X44" s="258">
        <v>280</v>
      </c>
      <c r="Y44" s="258">
        <v>179.20000000000002</v>
      </c>
      <c r="Z44" s="258"/>
      <c r="AA44" s="258"/>
      <c r="AB44" s="258"/>
      <c r="AC44" s="258"/>
      <c r="AD44" s="258"/>
      <c r="AE44" s="258"/>
      <c r="AF44" s="258"/>
      <c r="AG44" s="258"/>
      <c r="AH44" s="258"/>
      <c r="AI44" s="258">
        <v>25</v>
      </c>
      <c r="AJ44" s="258">
        <v>320</v>
      </c>
      <c r="AK44" s="258">
        <v>269.60000000000002</v>
      </c>
      <c r="AL44" s="258"/>
      <c r="AM44" s="258"/>
      <c r="AN44" s="258"/>
      <c r="AO44" s="272">
        <f>K44+N44+Q44+T44+W44+Z44+AC44+AF44+AI44+AL44</f>
        <v>45</v>
      </c>
      <c r="AP44" s="272">
        <f t="shared" si="9"/>
        <v>600</v>
      </c>
      <c r="AQ44" s="272">
        <f t="shared" si="10"/>
        <v>448.80000000000007</v>
      </c>
      <c r="AR44" s="234">
        <v>10</v>
      </c>
      <c r="AS44" s="234">
        <v>120</v>
      </c>
      <c r="AT44" s="234">
        <v>120</v>
      </c>
      <c r="AU44" s="234"/>
      <c r="AV44" s="234"/>
      <c r="AW44" s="234"/>
      <c r="AX44" s="234"/>
      <c r="AY44" s="234"/>
      <c r="AZ44" s="234"/>
      <c r="BA44" s="234"/>
      <c r="BB44" s="234"/>
      <c r="BC44" s="234"/>
      <c r="BD44" s="234"/>
      <c r="BE44" s="234"/>
      <c r="BF44" s="234"/>
      <c r="BG44" s="234"/>
      <c r="BH44" s="234"/>
      <c r="BI44" s="234"/>
      <c r="BJ44" s="234"/>
      <c r="BK44" s="234"/>
      <c r="BL44" s="234"/>
      <c r="BM44" s="234"/>
      <c r="BN44" s="234"/>
      <c r="BO44" s="234"/>
      <c r="BP44" s="234"/>
      <c r="BQ44" s="234"/>
      <c r="BR44" s="234"/>
      <c r="BS44" s="234"/>
      <c r="BT44" s="234"/>
      <c r="BU44" s="270"/>
      <c r="BV44" s="272">
        <f t="shared" si="11"/>
        <v>55</v>
      </c>
      <c r="BW44" s="272">
        <f t="shared" si="11"/>
        <v>720</v>
      </c>
      <c r="BX44" s="272">
        <f t="shared" si="11"/>
        <v>568.80000000000007</v>
      </c>
      <c r="BY44" s="270">
        <v>45</v>
      </c>
      <c r="BZ44" s="270">
        <v>730</v>
      </c>
      <c r="CA44" s="270">
        <v>474</v>
      </c>
      <c r="CB44" s="270"/>
      <c r="CC44" s="270"/>
      <c r="CD44" s="270"/>
      <c r="CE44" s="270"/>
      <c r="CF44" s="270"/>
      <c r="CG44" s="270"/>
      <c r="CH44" s="270"/>
      <c r="CI44" s="270"/>
      <c r="CJ44" s="270"/>
      <c r="CK44" s="270"/>
      <c r="CL44" s="270"/>
      <c r="CM44" s="270"/>
      <c r="CN44" s="270"/>
      <c r="CO44" s="270"/>
      <c r="CP44" s="270"/>
      <c r="CQ44" s="270"/>
      <c r="CR44" s="270"/>
      <c r="CS44" s="270"/>
      <c r="CT44" s="270"/>
      <c r="CU44" s="270"/>
      <c r="CV44" s="270"/>
      <c r="CW44" s="270"/>
      <c r="CX44" s="270"/>
      <c r="CY44" s="270"/>
      <c r="CZ44" s="270"/>
      <c r="DA44" s="270"/>
      <c r="DB44" s="270"/>
      <c r="DC44" s="270"/>
      <c r="DD44" s="270"/>
      <c r="DE44" s="270"/>
      <c r="DF44" s="272">
        <f t="shared" si="12"/>
        <v>100</v>
      </c>
      <c r="DG44" s="272">
        <f t="shared" si="12"/>
        <v>1450</v>
      </c>
      <c r="DH44" s="272">
        <f>BX44+CA44+CD44+CG44+CJ44+CM44+CP44+CS44+CV44+CY44+DB44+DE44</f>
        <v>1042.8000000000002</v>
      </c>
      <c r="DI44" s="274"/>
    </row>
    <row r="45" spans="1:113" s="275" customFormat="1" ht="24.75" customHeight="1" x14ac:dyDescent="0.6">
      <c r="A45" s="268">
        <v>2</v>
      </c>
      <c r="B45" s="269" t="s">
        <v>289</v>
      </c>
      <c r="C45" s="104" t="s">
        <v>290</v>
      </c>
      <c r="D45" s="100" t="s">
        <v>123</v>
      </c>
      <c r="E45" s="100" t="s">
        <v>124</v>
      </c>
      <c r="F45" s="234" t="s">
        <v>733</v>
      </c>
      <c r="G45" s="234" t="s">
        <v>824</v>
      </c>
      <c r="H45" s="234" t="s">
        <v>825</v>
      </c>
      <c r="I45" s="234" t="s">
        <v>826</v>
      </c>
      <c r="J45" s="234" t="s">
        <v>288</v>
      </c>
      <c r="K45" s="259"/>
      <c r="L45" s="258"/>
      <c r="M45" s="258"/>
      <c r="N45" s="258"/>
      <c r="O45" s="258"/>
      <c r="P45" s="258"/>
      <c r="Q45" s="258">
        <v>21</v>
      </c>
      <c r="R45" s="258">
        <v>300</v>
      </c>
      <c r="S45" s="258">
        <v>223.60000000000002</v>
      </c>
      <c r="T45" s="258"/>
      <c r="U45" s="258"/>
      <c r="V45" s="258"/>
      <c r="W45" s="258"/>
      <c r="X45" s="258"/>
      <c r="Y45" s="258"/>
      <c r="Z45" s="258"/>
      <c r="AA45" s="258"/>
      <c r="AB45" s="258"/>
      <c r="AC45" s="258"/>
      <c r="AD45" s="258"/>
      <c r="AE45" s="258"/>
      <c r="AF45" s="258"/>
      <c r="AG45" s="258"/>
      <c r="AH45" s="258"/>
      <c r="AI45" s="258"/>
      <c r="AJ45" s="258"/>
      <c r="AK45" s="258"/>
      <c r="AL45" s="258">
        <v>16</v>
      </c>
      <c r="AM45" s="258">
        <v>220</v>
      </c>
      <c r="AN45" s="258">
        <v>194</v>
      </c>
      <c r="AO45" s="272">
        <f t="shared" ref="AO45:AO90" si="13">K45+N45+Q45+T45+W45+Z45+AC45+AF45+AI45+AL45</f>
        <v>37</v>
      </c>
      <c r="AP45" s="272">
        <f t="shared" si="9"/>
        <v>520</v>
      </c>
      <c r="AQ45" s="272">
        <f t="shared" si="10"/>
        <v>417.6</v>
      </c>
      <c r="AR45" s="234"/>
      <c r="AS45" s="234"/>
      <c r="AT45" s="234"/>
      <c r="AU45" s="234"/>
      <c r="AV45" s="234"/>
      <c r="AW45" s="234"/>
      <c r="AX45" s="234"/>
      <c r="AY45" s="234"/>
      <c r="AZ45" s="234"/>
      <c r="BA45" s="234"/>
      <c r="BB45" s="234"/>
      <c r="BC45" s="234"/>
      <c r="BD45" s="234"/>
      <c r="BE45" s="234"/>
      <c r="BF45" s="234"/>
      <c r="BG45" s="234"/>
      <c r="BH45" s="234"/>
      <c r="BI45" s="234"/>
      <c r="BJ45" s="234">
        <v>21</v>
      </c>
      <c r="BK45" s="234">
        <v>280</v>
      </c>
      <c r="BL45" s="234">
        <v>254</v>
      </c>
      <c r="BM45" s="234"/>
      <c r="BN45" s="234"/>
      <c r="BO45" s="234"/>
      <c r="BP45" s="234"/>
      <c r="BQ45" s="234"/>
      <c r="BR45" s="234"/>
      <c r="BS45" s="234"/>
      <c r="BT45" s="234"/>
      <c r="BU45" s="270"/>
      <c r="BV45" s="272">
        <f t="shared" si="11"/>
        <v>58</v>
      </c>
      <c r="BW45" s="272">
        <f t="shared" si="11"/>
        <v>800</v>
      </c>
      <c r="BX45" s="272">
        <f t="shared" si="11"/>
        <v>671.6</v>
      </c>
      <c r="BY45" s="270"/>
      <c r="BZ45" s="270"/>
      <c r="CA45" s="270"/>
      <c r="CB45" s="270"/>
      <c r="CC45" s="270"/>
      <c r="CD45" s="270"/>
      <c r="CE45" s="270"/>
      <c r="CF45" s="270"/>
      <c r="CG45" s="270"/>
      <c r="CH45" s="270"/>
      <c r="CI45" s="270"/>
      <c r="CJ45" s="270"/>
      <c r="CK45" s="270">
        <v>10</v>
      </c>
      <c r="CL45" s="270">
        <v>120</v>
      </c>
      <c r="CM45" s="270">
        <v>120</v>
      </c>
      <c r="CN45" s="270"/>
      <c r="CO45" s="270"/>
      <c r="CP45" s="270"/>
      <c r="CQ45" s="270"/>
      <c r="CR45" s="270"/>
      <c r="CS45" s="270"/>
      <c r="CT45" s="270"/>
      <c r="CU45" s="270"/>
      <c r="CV45" s="270"/>
      <c r="CW45" s="270"/>
      <c r="CX45" s="270"/>
      <c r="CY45" s="270"/>
      <c r="CZ45" s="270"/>
      <c r="DA45" s="270"/>
      <c r="DB45" s="270"/>
      <c r="DC45" s="270"/>
      <c r="DD45" s="270"/>
      <c r="DE45" s="270"/>
      <c r="DF45" s="272">
        <f t="shared" si="12"/>
        <v>68</v>
      </c>
      <c r="DG45" s="272">
        <f t="shared" si="12"/>
        <v>920</v>
      </c>
      <c r="DH45" s="272">
        <f t="shared" ref="DH45:DH90" si="14">BX45+CA45+CD45+CG45+CJ45+CM45+CP45+CS45+CV45+CY45+DB45+DE45</f>
        <v>791.6</v>
      </c>
      <c r="DI45" s="274"/>
    </row>
    <row r="46" spans="1:113" s="275" customFormat="1" ht="24.75" customHeight="1" x14ac:dyDescent="0.6">
      <c r="A46" s="268">
        <v>3</v>
      </c>
      <c r="B46" s="269" t="s">
        <v>291</v>
      </c>
      <c r="C46" s="104" t="s">
        <v>292</v>
      </c>
      <c r="D46" s="100" t="s">
        <v>123</v>
      </c>
      <c r="E46" s="100" t="s">
        <v>124</v>
      </c>
      <c r="F46" s="234" t="s">
        <v>733</v>
      </c>
      <c r="G46" s="234" t="s">
        <v>827</v>
      </c>
      <c r="H46" s="234" t="s">
        <v>828</v>
      </c>
      <c r="I46" s="234" t="s">
        <v>829</v>
      </c>
      <c r="J46" s="234" t="s">
        <v>288</v>
      </c>
      <c r="K46" s="259"/>
      <c r="L46" s="258"/>
      <c r="M46" s="258"/>
      <c r="N46" s="258"/>
      <c r="O46" s="258"/>
      <c r="P46" s="258"/>
      <c r="Q46" s="258">
        <v>15</v>
      </c>
      <c r="R46" s="258">
        <v>180</v>
      </c>
      <c r="S46" s="258">
        <v>180</v>
      </c>
      <c r="T46" s="258">
        <v>20</v>
      </c>
      <c r="U46" s="258">
        <v>280</v>
      </c>
      <c r="V46" s="258">
        <v>179.20000000000002</v>
      </c>
      <c r="W46" s="258">
        <v>15</v>
      </c>
      <c r="X46" s="258">
        <v>180</v>
      </c>
      <c r="Y46" s="258">
        <v>180</v>
      </c>
      <c r="Z46" s="258"/>
      <c r="AA46" s="258"/>
      <c r="AB46" s="258"/>
      <c r="AC46" s="258">
        <v>10</v>
      </c>
      <c r="AD46" s="258">
        <v>260</v>
      </c>
      <c r="AE46" s="258">
        <v>130</v>
      </c>
      <c r="AF46" s="258"/>
      <c r="AG46" s="258"/>
      <c r="AH46" s="258"/>
      <c r="AI46" s="258">
        <v>15</v>
      </c>
      <c r="AJ46" s="258">
        <v>210</v>
      </c>
      <c r="AK46" s="258">
        <v>134.4</v>
      </c>
      <c r="AL46" s="258"/>
      <c r="AM46" s="258"/>
      <c r="AN46" s="258"/>
      <c r="AO46" s="272">
        <f t="shared" si="13"/>
        <v>75</v>
      </c>
      <c r="AP46" s="272">
        <f t="shared" si="9"/>
        <v>1110</v>
      </c>
      <c r="AQ46" s="272">
        <f t="shared" si="10"/>
        <v>803.6</v>
      </c>
      <c r="AR46" s="234">
        <v>20</v>
      </c>
      <c r="AS46" s="234">
        <v>260</v>
      </c>
      <c r="AT46" s="234">
        <v>209.60000000000002</v>
      </c>
      <c r="AU46" s="234">
        <v>10</v>
      </c>
      <c r="AV46" s="234">
        <v>120</v>
      </c>
      <c r="AW46" s="234">
        <v>120</v>
      </c>
      <c r="AX46" s="234">
        <v>10</v>
      </c>
      <c r="AY46" s="234">
        <v>140</v>
      </c>
      <c r="AZ46" s="234">
        <v>89.600000000000009</v>
      </c>
      <c r="BA46" s="234">
        <v>25</v>
      </c>
      <c r="BB46" s="234">
        <v>320</v>
      </c>
      <c r="BC46" s="234">
        <v>269.60000000000002</v>
      </c>
      <c r="BD46" s="234"/>
      <c r="BE46" s="234"/>
      <c r="BF46" s="234"/>
      <c r="BG46" s="234"/>
      <c r="BH46" s="234"/>
      <c r="BI46" s="234"/>
      <c r="BJ46" s="234">
        <v>45</v>
      </c>
      <c r="BK46" s="234">
        <v>710</v>
      </c>
      <c r="BL46" s="234">
        <v>504.40000000000003</v>
      </c>
      <c r="BM46" s="234"/>
      <c r="BN46" s="234"/>
      <c r="BO46" s="234"/>
      <c r="BP46" s="234"/>
      <c r="BQ46" s="234"/>
      <c r="BR46" s="234"/>
      <c r="BS46" s="234"/>
      <c r="BT46" s="234"/>
      <c r="BU46" s="270"/>
      <c r="BV46" s="272">
        <f t="shared" si="11"/>
        <v>185</v>
      </c>
      <c r="BW46" s="272">
        <f t="shared" si="11"/>
        <v>2660</v>
      </c>
      <c r="BX46" s="272">
        <f>+BU46+BR46+BO46+BL46+BI46+BF46+BC46+AZ46+AW46+AT46+AQ46</f>
        <v>1996.8000000000002</v>
      </c>
      <c r="BY46" s="270"/>
      <c r="BZ46" s="270"/>
      <c r="CA46" s="270"/>
      <c r="CB46" s="270"/>
      <c r="CC46" s="270"/>
      <c r="CD46" s="270"/>
      <c r="CE46" s="270">
        <v>20</v>
      </c>
      <c r="CF46" s="270">
        <v>240</v>
      </c>
      <c r="CG46" s="270">
        <v>240</v>
      </c>
      <c r="CH46" s="270">
        <v>10</v>
      </c>
      <c r="CI46" s="270">
        <v>120</v>
      </c>
      <c r="CJ46" s="270">
        <v>120</v>
      </c>
      <c r="CK46" s="270">
        <v>10</v>
      </c>
      <c r="CL46" s="270">
        <v>140</v>
      </c>
      <c r="CM46" s="270">
        <v>89.600000000000009</v>
      </c>
      <c r="CN46" s="270"/>
      <c r="CO46" s="270"/>
      <c r="CP46" s="270"/>
      <c r="CQ46" s="270">
        <v>15</v>
      </c>
      <c r="CR46" s="270">
        <v>180</v>
      </c>
      <c r="CS46" s="270">
        <v>180</v>
      </c>
      <c r="CT46" s="270">
        <v>13</v>
      </c>
      <c r="CU46" s="270">
        <v>260</v>
      </c>
      <c r="CV46" s="270">
        <v>131.60000000000002</v>
      </c>
      <c r="CW46" s="270"/>
      <c r="CX46" s="270"/>
      <c r="CY46" s="270"/>
      <c r="CZ46" s="270"/>
      <c r="DA46" s="270"/>
      <c r="DB46" s="270"/>
      <c r="DC46" s="270"/>
      <c r="DD46" s="270"/>
      <c r="DE46" s="270"/>
      <c r="DF46" s="272">
        <f t="shared" si="12"/>
        <v>253</v>
      </c>
      <c r="DG46" s="272">
        <f t="shared" si="12"/>
        <v>3600</v>
      </c>
      <c r="DH46" s="272">
        <f t="shared" si="14"/>
        <v>2758</v>
      </c>
      <c r="DI46" s="274"/>
    </row>
    <row r="47" spans="1:113" s="275" customFormat="1" ht="24.75" customHeight="1" x14ac:dyDescent="0.6">
      <c r="A47" s="268">
        <v>4</v>
      </c>
      <c r="B47" s="269" t="s">
        <v>293</v>
      </c>
      <c r="C47" s="104" t="s">
        <v>294</v>
      </c>
      <c r="D47" s="100" t="s">
        <v>123</v>
      </c>
      <c r="E47" s="100" t="s">
        <v>124</v>
      </c>
      <c r="F47" s="234" t="s">
        <v>733</v>
      </c>
      <c r="G47" s="234" t="s">
        <v>293</v>
      </c>
      <c r="H47" s="234" t="s">
        <v>294</v>
      </c>
      <c r="I47" s="234" t="s">
        <v>830</v>
      </c>
      <c r="J47" s="234" t="s">
        <v>288</v>
      </c>
      <c r="K47" s="259"/>
      <c r="L47" s="258"/>
      <c r="M47" s="258"/>
      <c r="N47" s="258">
        <v>32</v>
      </c>
      <c r="O47" s="258">
        <v>460</v>
      </c>
      <c r="P47" s="258">
        <v>357.6</v>
      </c>
      <c r="Q47" s="258">
        <v>30</v>
      </c>
      <c r="R47" s="258">
        <v>510</v>
      </c>
      <c r="S47" s="258">
        <v>354.8</v>
      </c>
      <c r="T47" s="258">
        <v>10</v>
      </c>
      <c r="U47" s="258">
        <v>130</v>
      </c>
      <c r="V47" s="258">
        <v>104.80000000000001</v>
      </c>
      <c r="W47" s="258">
        <v>32</v>
      </c>
      <c r="X47" s="258">
        <v>460</v>
      </c>
      <c r="Y47" s="258">
        <v>357.6</v>
      </c>
      <c r="Z47" s="258"/>
      <c r="AA47" s="258"/>
      <c r="AB47" s="258"/>
      <c r="AC47" s="258">
        <v>32</v>
      </c>
      <c r="AD47" s="258">
        <v>460</v>
      </c>
      <c r="AE47" s="258">
        <v>357.6</v>
      </c>
      <c r="AF47" s="258"/>
      <c r="AG47" s="258"/>
      <c r="AH47" s="258"/>
      <c r="AI47" s="258">
        <v>32</v>
      </c>
      <c r="AJ47" s="258">
        <v>460</v>
      </c>
      <c r="AK47" s="258">
        <v>357.6</v>
      </c>
      <c r="AL47" s="258"/>
      <c r="AM47" s="258"/>
      <c r="AN47" s="258"/>
      <c r="AO47" s="272">
        <f t="shared" si="13"/>
        <v>168</v>
      </c>
      <c r="AP47" s="272">
        <f t="shared" si="9"/>
        <v>2480</v>
      </c>
      <c r="AQ47" s="272">
        <f t="shared" si="10"/>
        <v>1890</v>
      </c>
      <c r="AR47" s="234">
        <v>15</v>
      </c>
      <c r="AS47" s="234">
        <v>210</v>
      </c>
      <c r="AT47" s="234">
        <v>134.4</v>
      </c>
      <c r="AU47" s="234"/>
      <c r="AV47" s="234"/>
      <c r="AW47" s="234"/>
      <c r="AX47" s="234">
        <v>30</v>
      </c>
      <c r="AY47" s="234">
        <v>380</v>
      </c>
      <c r="AZ47" s="234">
        <v>329.6</v>
      </c>
      <c r="BA47" s="234">
        <v>30</v>
      </c>
      <c r="BB47" s="234">
        <v>380</v>
      </c>
      <c r="BC47" s="234">
        <v>329.6</v>
      </c>
      <c r="BD47" s="234"/>
      <c r="BE47" s="234"/>
      <c r="BF47" s="234"/>
      <c r="BG47" s="234"/>
      <c r="BH47" s="234"/>
      <c r="BI47" s="234"/>
      <c r="BJ47" s="234">
        <v>30</v>
      </c>
      <c r="BK47" s="234">
        <v>380</v>
      </c>
      <c r="BL47" s="234">
        <v>329.6</v>
      </c>
      <c r="BM47" s="234">
        <v>30</v>
      </c>
      <c r="BN47" s="234">
        <v>380</v>
      </c>
      <c r="BO47" s="234">
        <v>329.6</v>
      </c>
      <c r="BP47" s="234">
        <v>20</v>
      </c>
      <c r="BQ47" s="234">
        <v>260</v>
      </c>
      <c r="BR47" s="234">
        <v>209.60000000000002</v>
      </c>
      <c r="BS47" s="234">
        <v>20</v>
      </c>
      <c r="BT47" s="234">
        <v>250</v>
      </c>
      <c r="BU47" s="270">
        <v>224.8</v>
      </c>
      <c r="BV47" s="272">
        <f t="shared" si="11"/>
        <v>343</v>
      </c>
      <c r="BW47" s="272">
        <f t="shared" si="11"/>
        <v>4720</v>
      </c>
      <c r="BX47" s="272">
        <f>+BU47+BR47+BO47+BL47+BI47+BF47+BC47+AZ47+AW47+AT47+AQ47</f>
        <v>3777.2</v>
      </c>
      <c r="BY47" s="270">
        <v>15</v>
      </c>
      <c r="BZ47" s="270">
        <v>200</v>
      </c>
      <c r="CA47" s="270">
        <v>149.60000000000002</v>
      </c>
      <c r="CB47" s="270"/>
      <c r="CC47" s="270"/>
      <c r="CD47" s="270"/>
      <c r="CE47" s="270">
        <v>30</v>
      </c>
      <c r="CF47" s="270">
        <v>380</v>
      </c>
      <c r="CG47" s="270">
        <v>329.6</v>
      </c>
      <c r="CH47" s="270">
        <v>20</v>
      </c>
      <c r="CI47" s="270">
        <v>240</v>
      </c>
      <c r="CJ47" s="270">
        <v>240</v>
      </c>
      <c r="CK47" s="270">
        <v>30</v>
      </c>
      <c r="CL47" s="270">
        <v>380</v>
      </c>
      <c r="CM47" s="270">
        <v>329.6</v>
      </c>
      <c r="CN47" s="270"/>
      <c r="CO47" s="270"/>
      <c r="CP47" s="270"/>
      <c r="CQ47" s="270">
        <v>22</v>
      </c>
      <c r="CR47" s="270">
        <v>330</v>
      </c>
      <c r="CS47" s="270">
        <v>252.8</v>
      </c>
      <c r="CT47" s="270">
        <v>27</v>
      </c>
      <c r="CU47" s="270">
        <v>390</v>
      </c>
      <c r="CV47" s="270">
        <v>312.8</v>
      </c>
      <c r="CW47" s="270"/>
      <c r="CX47" s="270"/>
      <c r="CY47" s="270"/>
      <c r="CZ47" s="270"/>
      <c r="DA47" s="270"/>
      <c r="DB47" s="270"/>
      <c r="DC47" s="270"/>
      <c r="DD47" s="270"/>
      <c r="DE47" s="270"/>
      <c r="DF47" s="272">
        <f t="shared" si="12"/>
        <v>487</v>
      </c>
      <c r="DG47" s="272">
        <f t="shared" si="12"/>
        <v>6640</v>
      </c>
      <c r="DH47" s="272">
        <f t="shared" si="14"/>
        <v>5391.6</v>
      </c>
      <c r="DI47" s="274"/>
    </row>
    <row r="48" spans="1:113" s="275" customFormat="1" ht="24.75" customHeight="1" x14ac:dyDescent="0.6">
      <c r="A48" s="268">
        <v>5</v>
      </c>
      <c r="B48" s="269" t="s">
        <v>295</v>
      </c>
      <c r="C48" s="104" t="s">
        <v>296</v>
      </c>
      <c r="D48" s="100" t="s">
        <v>297</v>
      </c>
      <c r="E48" s="99" t="s">
        <v>298</v>
      </c>
      <c r="F48" s="234" t="s">
        <v>733</v>
      </c>
      <c r="G48" s="234" t="s">
        <v>831</v>
      </c>
      <c r="H48" s="234" t="s">
        <v>832</v>
      </c>
      <c r="I48" s="234" t="s">
        <v>833</v>
      </c>
      <c r="J48" s="234" t="s">
        <v>288</v>
      </c>
      <c r="K48" s="259"/>
      <c r="L48" s="258"/>
      <c r="M48" s="258"/>
      <c r="N48" s="258"/>
      <c r="O48" s="258"/>
      <c r="P48" s="258"/>
      <c r="Q48" s="258">
        <v>50</v>
      </c>
      <c r="R48" s="258">
        <v>640</v>
      </c>
      <c r="S48" s="258">
        <v>539.20000000000005</v>
      </c>
      <c r="T48" s="258"/>
      <c r="U48" s="258"/>
      <c r="V48" s="258"/>
      <c r="W48" s="258"/>
      <c r="X48" s="258"/>
      <c r="Y48" s="258"/>
      <c r="Z48" s="258"/>
      <c r="AA48" s="258"/>
      <c r="AB48" s="258"/>
      <c r="AC48" s="258"/>
      <c r="AD48" s="258"/>
      <c r="AE48" s="258"/>
      <c r="AF48" s="258"/>
      <c r="AG48" s="258"/>
      <c r="AH48" s="258"/>
      <c r="AI48" s="258"/>
      <c r="AJ48" s="258"/>
      <c r="AK48" s="258"/>
      <c r="AL48" s="258"/>
      <c r="AM48" s="258"/>
      <c r="AN48" s="258"/>
      <c r="AO48" s="272">
        <f t="shared" si="13"/>
        <v>50</v>
      </c>
      <c r="AP48" s="272">
        <f t="shared" si="9"/>
        <v>640</v>
      </c>
      <c r="AQ48" s="272">
        <f t="shared" si="10"/>
        <v>539.20000000000005</v>
      </c>
      <c r="AR48" s="234"/>
      <c r="AS48" s="234"/>
      <c r="AT48" s="234"/>
      <c r="AU48" s="234">
        <v>50</v>
      </c>
      <c r="AV48" s="234">
        <v>660</v>
      </c>
      <c r="AW48" s="234">
        <v>508.8</v>
      </c>
      <c r="AX48" s="234"/>
      <c r="AY48" s="234"/>
      <c r="AZ48" s="234"/>
      <c r="BA48" s="234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>
        <v>125</v>
      </c>
      <c r="BN48" s="234">
        <v>1640</v>
      </c>
      <c r="BO48" s="234">
        <v>1287.2</v>
      </c>
      <c r="BP48" s="234"/>
      <c r="BQ48" s="234"/>
      <c r="BR48" s="234"/>
      <c r="BS48" s="234"/>
      <c r="BT48" s="234"/>
      <c r="BU48" s="270"/>
      <c r="BV48" s="272">
        <f t="shared" si="11"/>
        <v>225</v>
      </c>
      <c r="BW48" s="272">
        <f t="shared" si="11"/>
        <v>2940</v>
      </c>
      <c r="BX48" s="272">
        <f t="shared" si="11"/>
        <v>2335.1999999999998</v>
      </c>
      <c r="BY48" s="270"/>
      <c r="BZ48" s="270"/>
      <c r="CA48" s="270"/>
      <c r="CB48" s="270"/>
      <c r="CC48" s="270"/>
      <c r="CD48" s="270"/>
      <c r="CE48" s="270"/>
      <c r="CF48" s="270"/>
      <c r="CG48" s="270"/>
      <c r="CH48" s="270"/>
      <c r="CI48" s="270"/>
      <c r="CJ48" s="270"/>
      <c r="CK48" s="270"/>
      <c r="CL48" s="270"/>
      <c r="CM48" s="270"/>
      <c r="CN48" s="270"/>
      <c r="CO48" s="270"/>
      <c r="CP48" s="270"/>
      <c r="CQ48" s="270">
        <v>35</v>
      </c>
      <c r="CR48" s="270">
        <v>430</v>
      </c>
      <c r="CS48" s="270">
        <v>404.8</v>
      </c>
      <c r="CT48" s="270"/>
      <c r="CU48" s="270"/>
      <c r="CV48" s="270"/>
      <c r="CW48" s="270"/>
      <c r="CX48" s="270"/>
      <c r="CY48" s="270"/>
      <c r="CZ48" s="270"/>
      <c r="DA48" s="270"/>
      <c r="DB48" s="270"/>
      <c r="DC48" s="270"/>
      <c r="DD48" s="270"/>
      <c r="DE48" s="270"/>
      <c r="DF48" s="272">
        <f t="shared" si="12"/>
        <v>260</v>
      </c>
      <c r="DG48" s="272">
        <f t="shared" si="12"/>
        <v>3370</v>
      </c>
      <c r="DH48" s="272">
        <f t="shared" si="14"/>
        <v>2740</v>
      </c>
      <c r="DI48" s="274"/>
    </row>
    <row r="49" spans="1:113" s="275" customFormat="1" ht="24.75" customHeight="1" x14ac:dyDescent="0.6">
      <c r="A49" s="268">
        <v>6</v>
      </c>
      <c r="B49" s="269" t="s">
        <v>299</v>
      </c>
      <c r="C49" s="104" t="s">
        <v>300</v>
      </c>
      <c r="D49" s="100" t="s">
        <v>301</v>
      </c>
      <c r="E49" s="99" t="s">
        <v>87</v>
      </c>
      <c r="F49" s="234" t="s">
        <v>733</v>
      </c>
      <c r="G49" s="234" t="s">
        <v>834</v>
      </c>
      <c r="H49" s="234" t="s">
        <v>835</v>
      </c>
      <c r="I49" s="234" t="s">
        <v>836</v>
      </c>
      <c r="J49" s="234" t="s">
        <v>288</v>
      </c>
      <c r="K49" s="259"/>
      <c r="L49" s="258"/>
      <c r="M49" s="258"/>
      <c r="N49" s="258">
        <v>50</v>
      </c>
      <c r="O49" s="258">
        <v>700</v>
      </c>
      <c r="P49" s="258">
        <v>448</v>
      </c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58"/>
      <c r="AD49" s="258"/>
      <c r="AE49" s="258"/>
      <c r="AF49" s="258"/>
      <c r="AG49" s="258"/>
      <c r="AH49" s="258"/>
      <c r="AI49" s="258"/>
      <c r="AJ49" s="258"/>
      <c r="AK49" s="258"/>
      <c r="AL49" s="258"/>
      <c r="AM49" s="258"/>
      <c r="AN49" s="258"/>
      <c r="AO49" s="272">
        <f t="shared" si="13"/>
        <v>50</v>
      </c>
      <c r="AP49" s="272">
        <f t="shared" si="9"/>
        <v>700</v>
      </c>
      <c r="AQ49" s="272">
        <f>+AN49+AK49+AH49+AE49+AB49+Y49+V49+S49+P49+M49</f>
        <v>448</v>
      </c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>
        <v>50</v>
      </c>
      <c r="BH49" s="234">
        <v>700</v>
      </c>
      <c r="BI49" s="234">
        <v>448</v>
      </c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  <c r="BT49" s="234"/>
      <c r="BU49" s="270"/>
      <c r="BV49" s="272">
        <f t="shared" si="11"/>
        <v>100</v>
      </c>
      <c r="BW49" s="272">
        <f t="shared" si="11"/>
        <v>1400</v>
      </c>
      <c r="BX49" s="272">
        <f t="shared" si="11"/>
        <v>896</v>
      </c>
      <c r="BY49" s="270"/>
      <c r="BZ49" s="270"/>
      <c r="CA49" s="270"/>
      <c r="CB49" s="270"/>
      <c r="CC49" s="270"/>
      <c r="CD49" s="270"/>
      <c r="CE49" s="270">
        <v>50</v>
      </c>
      <c r="CF49" s="270">
        <v>700</v>
      </c>
      <c r="CG49" s="270">
        <v>448</v>
      </c>
      <c r="CH49" s="270"/>
      <c r="CI49" s="270"/>
      <c r="CJ49" s="270"/>
      <c r="CK49" s="270"/>
      <c r="CL49" s="270"/>
      <c r="CM49" s="270"/>
      <c r="CN49" s="270"/>
      <c r="CO49" s="270"/>
      <c r="CP49" s="270"/>
      <c r="CQ49" s="270"/>
      <c r="CR49" s="270"/>
      <c r="CS49" s="270"/>
      <c r="CT49" s="270"/>
      <c r="CU49" s="270"/>
      <c r="CV49" s="270"/>
      <c r="CW49" s="270"/>
      <c r="CX49" s="270"/>
      <c r="CY49" s="270"/>
      <c r="CZ49" s="270"/>
      <c r="DA49" s="270"/>
      <c r="DB49" s="270"/>
      <c r="DC49" s="270"/>
      <c r="DD49" s="270"/>
      <c r="DE49" s="270"/>
      <c r="DF49" s="272">
        <f t="shared" si="12"/>
        <v>150</v>
      </c>
      <c r="DG49" s="272">
        <f t="shared" si="12"/>
        <v>2100</v>
      </c>
      <c r="DH49" s="272">
        <f t="shared" si="14"/>
        <v>1344</v>
      </c>
      <c r="DI49" s="274"/>
    </row>
    <row r="50" spans="1:113" s="275" customFormat="1" ht="24.75" customHeight="1" x14ac:dyDescent="0.6">
      <c r="A50" s="268">
        <v>7</v>
      </c>
      <c r="B50" s="269" t="s">
        <v>302</v>
      </c>
      <c r="C50" s="104" t="s">
        <v>303</v>
      </c>
      <c r="D50" s="100" t="s">
        <v>304</v>
      </c>
      <c r="E50" s="99" t="s">
        <v>305</v>
      </c>
      <c r="F50" s="234" t="s">
        <v>733</v>
      </c>
      <c r="G50" s="234" t="s">
        <v>837</v>
      </c>
      <c r="H50" s="234" t="s">
        <v>838</v>
      </c>
      <c r="I50" s="234" t="s">
        <v>839</v>
      </c>
      <c r="J50" s="234" t="s">
        <v>288</v>
      </c>
      <c r="K50" s="259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>
        <v>23</v>
      </c>
      <c r="X50" s="258">
        <v>322</v>
      </c>
      <c r="Y50" s="258">
        <v>206.08</v>
      </c>
      <c r="Z50" s="258"/>
      <c r="AA50" s="258"/>
      <c r="AB50" s="258"/>
      <c r="AC50" s="258"/>
      <c r="AD50" s="258"/>
      <c r="AE50" s="258"/>
      <c r="AF50" s="258"/>
      <c r="AG50" s="258"/>
      <c r="AH50" s="258"/>
      <c r="AI50" s="258"/>
      <c r="AJ50" s="258"/>
      <c r="AK50" s="258"/>
      <c r="AL50" s="258"/>
      <c r="AM50" s="258"/>
      <c r="AN50" s="258"/>
      <c r="AO50" s="272">
        <f t="shared" si="13"/>
        <v>23</v>
      </c>
      <c r="AP50" s="272">
        <f t="shared" si="9"/>
        <v>322</v>
      </c>
      <c r="AQ50" s="272">
        <f>M50+P50+S50+V50+Y50+AB50+AE50+AH50+AK50+AN50</f>
        <v>206.08</v>
      </c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4"/>
      <c r="BM50" s="234"/>
      <c r="BN50" s="234"/>
      <c r="BO50" s="234"/>
      <c r="BP50" s="234">
        <v>69</v>
      </c>
      <c r="BQ50" s="234">
        <v>896</v>
      </c>
      <c r="BR50" s="234">
        <v>724.64</v>
      </c>
      <c r="BS50" s="234"/>
      <c r="BT50" s="234"/>
      <c r="BU50" s="270"/>
      <c r="BV50" s="272">
        <f t="shared" si="11"/>
        <v>92</v>
      </c>
      <c r="BW50" s="272">
        <f t="shared" si="11"/>
        <v>1218</v>
      </c>
      <c r="BX50" s="272">
        <f t="shared" si="11"/>
        <v>930.72</v>
      </c>
      <c r="BY50" s="270"/>
      <c r="BZ50" s="270"/>
      <c r="CA50" s="270"/>
      <c r="CB50" s="270"/>
      <c r="CC50" s="270"/>
      <c r="CD50" s="270"/>
      <c r="CE50" s="270"/>
      <c r="CF50" s="270"/>
      <c r="CG50" s="270"/>
      <c r="CH50" s="270"/>
      <c r="CI50" s="270"/>
      <c r="CJ50" s="270"/>
      <c r="CK50" s="270"/>
      <c r="CL50" s="270"/>
      <c r="CM50" s="270"/>
      <c r="CN50" s="270"/>
      <c r="CO50" s="270"/>
      <c r="CP50" s="270"/>
      <c r="CQ50" s="270">
        <v>23</v>
      </c>
      <c r="CR50" s="270">
        <v>452</v>
      </c>
      <c r="CS50" s="270">
        <v>231.28</v>
      </c>
      <c r="CT50" s="270"/>
      <c r="CU50" s="270"/>
      <c r="CV50" s="270"/>
      <c r="CW50" s="270"/>
      <c r="CX50" s="270"/>
      <c r="CY50" s="270"/>
      <c r="CZ50" s="270"/>
      <c r="DA50" s="270"/>
      <c r="DB50" s="270"/>
      <c r="DC50" s="270"/>
      <c r="DD50" s="270"/>
      <c r="DE50" s="270"/>
      <c r="DF50" s="272">
        <f t="shared" si="12"/>
        <v>115</v>
      </c>
      <c r="DG50" s="272">
        <f t="shared" si="12"/>
        <v>1670</v>
      </c>
      <c r="DH50" s="272">
        <f t="shared" si="14"/>
        <v>1162</v>
      </c>
      <c r="DI50" s="274"/>
    </row>
    <row r="51" spans="1:113" s="275" customFormat="1" ht="24.75" customHeight="1" x14ac:dyDescent="0.6">
      <c r="A51" s="268">
        <v>8</v>
      </c>
      <c r="B51" s="269" t="s">
        <v>306</v>
      </c>
      <c r="C51" s="104" t="s">
        <v>307</v>
      </c>
      <c r="D51" s="100" t="s">
        <v>308</v>
      </c>
      <c r="E51" s="99" t="s">
        <v>309</v>
      </c>
      <c r="F51" s="234" t="s">
        <v>733</v>
      </c>
      <c r="G51" s="234" t="s">
        <v>299</v>
      </c>
      <c r="H51" s="234" t="s">
        <v>300</v>
      </c>
      <c r="I51" s="234" t="s">
        <v>840</v>
      </c>
      <c r="J51" s="234" t="s">
        <v>288</v>
      </c>
      <c r="K51" s="259"/>
      <c r="L51" s="258"/>
      <c r="M51" s="258"/>
      <c r="N51" s="258"/>
      <c r="O51" s="276"/>
      <c r="P51" s="276"/>
      <c r="Q51" s="258"/>
      <c r="R51" s="258"/>
      <c r="S51" s="258"/>
      <c r="T51" s="258"/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258"/>
      <c r="AF51" s="258"/>
      <c r="AG51" s="258"/>
      <c r="AH51" s="258"/>
      <c r="AI51" s="258"/>
      <c r="AJ51" s="258"/>
      <c r="AK51" s="258"/>
      <c r="AL51" s="258"/>
      <c r="AM51" s="258"/>
      <c r="AN51" s="258"/>
      <c r="AO51" s="272">
        <f t="shared" si="13"/>
        <v>0</v>
      </c>
      <c r="AP51" s="272">
        <f t="shared" si="9"/>
        <v>0</v>
      </c>
      <c r="AQ51" s="272">
        <f>M51+P51+S51+V51+Y51+AB51+AE51+AH51+AK51+AN51</f>
        <v>0</v>
      </c>
      <c r="AR51" s="234">
        <v>19</v>
      </c>
      <c r="AS51" s="234">
        <v>340</v>
      </c>
      <c r="AT51" s="234">
        <v>236</v>
      </c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  <c r="BM51" s="234"/>
      <c r="BN51" s="234"/>
      <c r="BO51" s="234"/>
      <c r="BP51" s="234"/>
      <c r="BQ51" s="234"/>
      <c r="BR51" s="234"/>
      <c r="BS51" s="234"/>
      <c r="BT51" s="234"/>
      <c r="BU51" s="270"/>
      <c r="BV51" s="272">
        <f t="shared" si="11"/>
        <v>19</v>
      </c>
      <c r="BW51" s="272">
        <f t="shared" si="11"/>
        <v>340</v>
      </c>
      <c r="BX51" s="272">
        <f t="shared" si="11"/>
        <v>236</v>
      </c>
      <c r="BY51" s="270">
        <v>49</v>
      </c>
      <c r="BZ51" s="270">
        <v>626</v>
      </c>
      <c r="CA51" s="270">
        <v>530.24</v>
      </c>
      <c r="CB51" s="270"/>
      <c r="CC51" s="270"/>
      <c r="CD51" s="270"/>
      <c r="CE51" s="270"/>
      <c r="CF51" s="270"/>
      <c r="CG51" s="270"/>
      <c r="CH51" s="270"/>
      <c r="CI51" s="270"/>
      <c r="CJ51" s="270"/>
      <c r="CK51" s="270"/>
      <c r="CL51" s="270"/>
      <c r="CM51" s="270"/>
      <c r="CN51" s="270"/>
      <c r="CO51" s="270"/>
      <c r="CP51" s="270"/>
      <c r="CQ51" s="270"/>
      <c r="CR51" s="270"/>
      <c r="CS51" s="270"/>
      <c r="CT51" s="270"/>
      <c r="CU51" s="270"/>
      <c r="CV51" s="270"/>
      <c r="CW51" s="270"/>
      <c r="CX51" s="270"/>
      <c r="CY51" s="270"/>
      <c r="CZ51" s="270"/>
      <c r="DA51" s="270"/>
      <c r="DB51" s="270"/>
      <c r="DC51" s="270"/>
      <c r="DD51" s="270"/>
      <c r="DE51" s="270"/>
      <c r="DF51" s="272">
        <f t="shared" si="12"/>
        <v>68</v>
      </c>
      <c r="DG51" s="272">
        <f t="shared" si="12"/>
        <v>966</v>
      </c>
      <c r="DH51" s="272">
        <f t="shared" si="14"/>
        <v>766.24</v>
      </c>
      <c r="DI51" s="274"/>
    </row>
    <row r="52" spans="1:113" s="275" customFormat="1" ht="24.75" customHeight="1" x14ac:dyDescent="0.6">
      <c r="A52" s="268">
        <v>9</v>
      </c>
      <c r="B52" s="269" t="s">
        <v>310</v>
      </c>
      <c r="C52" s="104" t="s">
        <v>311</v>
      </c>
      <c r="D52" s="100" t="s">
        <v>312</v>
      </c>
      <c r="E52" s="99" t="s">
        <v>313</v>
      </c>
      <c r="F52" s="234" t="s">
        <v>733</v>
      </c>
      <c r="G52" s="234" t="s">
        <v>841</v>
      </c>
      <c r="H52" s="234" t="s">
        <v>842</v>
      </c>
      <c r="I52" s="234" t="s">
        <v>843</v>
      </c>
      <c r="J52" s="234" t="s">
        <v>288</v>
      </c>
      <c r="K52" s="259"/>
      <c r="L52" s="258"/>
      <c r="M52" s="258"/>
      <c r="N52" s="258"/>
      <c r="O52" s="258"/>
      <c r="P52" s="258"/>
      <c r="Q52" s="258"/>
      <c r="R52" s="258"/>
      <c r="S52" s="258"/>
      <c r="T52" s="258">
        <v>50</v>
      </c>
      <c r="U52" s="258">
        <v>610</v>
      </c>
      <c r="V52" s="258">
        <v>584.79999999999995</v>
      </c>
      <c r="W52" s="258"/>
      <c r="X52" s="258"/>
      <c r="Y52" s="258"/>
      <c r="Z52" s="258"/>
      <c r="AA52" s="258"/>
      <c r="AB52" s="258"/>
      <c r="AC52" s="258">
        <v>65</v>
      </c>
      <c r="AD52" s="258">
        <v>1100</v>
      </c>
      <c r="AE52" s="258">
        <v>715.2</v>
      </c>
      <c r="AF52" s="258"/>
      <c r="AG52" s="258"/>
      <c r="AH52" s="258"/>
      <c r="AI52" s="258"/>
      <c r="AJ52" s="258"/>
      <c r="AK52" s="258"/>
      <c r="AL52" s="258">
        <v>90</v>
      </c>
      <c r="AM52" s="258">
        <v>1380</v>
      </c>
      <c r="AN52" s="258">
        <v>1045.5999999999999</v>
      </c>
      <c r="AO52" s="272">
        <f t="shared" si="13"/>
        <v>205</v>
      </c>
      <c r="AP52" s="272">
        <f t="shared" si="9"/>
        <v>3090</v>
      </c>
      <c r="AQ52" s="272">
        <f>M52+P52+S52+V52+Y52+AB52+AE52+AH52+AK52+AN52</f>
        <v>2345.6</v>
      </c>
      <c r="AR52" s="234"/>
      <c r="AS52" s="234"/>
      <c r="AT52" s="234"/>
      <c r="AU52" s="234"/>
      <c r="AV52" s="234"/>
      <c r="AW52" s="234"/>
      <c r="AX52" s="234">
        <v>95</v>
      </c>
      <c r="AY52" s="234">
        <v>1190</v>
      </c>
      <c r="AZ52" s="234">
        <v>1040</v>
      </c>
      <c r="BA52" s="234"/>
      <c r="BB52" s="234"/>
      <c r="BC52" s="234"/>
      <c r="BD52" s="234"/>
      <c r="BE52" s="234"/>
      <c r="BF52" s="234"/>
      <c r="BG52" s="234"/>
      <c r="BH52" s="234"/>
      <c r="BI52" s="234"/>
      <c r="BJ52" s="234"/>
      <c r="BK52" s="234"/>
      <c r="BL52" s="234"/>
      <c r="BM52" s="234"/>
      <c r="BN52" s="234"/>
      <c r="BO52" s="234"/>
      <c r="BP52" s="234">
        <v>50</v>
      </c>
      <c r="BQ52" s="234">
        <v>900</v>
      </c>
      <c r="BR52" s="234">
        <v>589.6</v>
      </c>
      <c r="BS52" s="234"/>
      <c r="BT52" s="234"/>
      <c r="BU52" s="270"/>
      <c r="BV52" s="272">
        <f t="shared" si="11"/>
        <v>350</v>
      </c>
      <c r="BW52" s="272">
        <f t="shared" si="11"/>
        <v>5180</v>
      </c>
      <c r="BX52" s="272">
        <f t="shared" si="11"/>
        <v>3975.2</v>
      </c>
      <c r="BY52" s="270">
        <v>50</v>
      </c>
      <c r="BZ52" s="270">
        <v>610</v>
      </c>
      <c r="CA52" s="270">
        <v>584.79999999999995</v>
      </c>
      <c r="CB52" s="270"/>
      <c r="CC52" s="270"/>
      <c r="CD52" s="270"/>
      <c r="CE52" s="270"/>
      <c r="CF52" s="270"/>
      <c r="CG52" s="270"/>
      <c r="CH52" s="270">
        <v>85</v>
      </c>
      <c r="CI52" s="270">
        <v>1300</v>
      </c>
      <c r="CJ52" s="270">
        <v>992</v>
      </c>
      <c r="CK52" s="270"/>
      <c r="CL52" s="270"/>
      <c r="CM52" s="270"/>
      <c r="CN52" s="270"/>
      <c r="CO52" s="270"/>
      <c r="CP52" s="270"/>
      <c r="CQ52" s="270">
        <v>80</v>
      </c>
      <c r="CR52" s="270">
        <v>1240</v>
      </c>
      <c r="CS52" s="270">
        <v>956</v>
      </c>
      <c r="CT52" s="270"/>
      <c r="CU52" s="270"/>
      <c r="CV52" s="270"/>
      <c r="CW52" s="270"/>
      <c r="CX52" s="270"/>
      <c r="CY52" s="270"/>
      <c r="CZ52" s="270"/>
      <c r="DA52" s="270"/>
      <c r="DB52" s="270"/>
      <c r="DC52" s="270"/>
      <c r="DD52" s="270"/>
      <c r="DE52" s="270"/>
      <c r="DF52" s="272">
        <f t="shared" si="12"/>
        <v>565</v>
      </c>
      <c r="DG52" s="272">
        <f t="shared" si="12"/>
        <v>8330</v>
      </c>
      <c r="DH52" s="272">
        <f t="shared" si="14"/>
        <v>6508</v>
      </c>
      <c r="DI52" s="274"/>
    </row>
    <row r="53" spans="1:113" s="275" customFormat="1" ht="24.75" customHeight="1" x14ac:dyDescent="0.6">
      <c r="A53" s="268">
        <v>10</v>
      </c>
      <c r="B53" s="300">
        <v>126</v>
      </c>
      <c r="C53" s="147">
        <v>126</v>
      </c>
      <c r="D53" s="100" t="s">
        <v>314</v>
      </c>
      <c r="E53" s="99" t="s">
        <v>132</v>
      </c>
      <c r="F53" s="234" t="s">
        <v>733</v>
      </c>
      <c r="G53" s="234" t="s">
        <v>306</v>
      </c>
      <c r="H53" s="234" t="s">
        <v>307</v>
      </c>
      <c r="I53" s="234" t="s">
        <v>844</v>
      </c>
      <c r="J53" s="234" t="s">
        <v>288</v>
      </c>
      <c r="K53" s="259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>
        <v>50</v>
      </c>
      <c r="AA53" s="258">
        <v>780</v>
      </c>
      <c r="AB53" s="258">
        <v>549.20000000000005</v>
      </c>
      <c r="AC53" s="258"/>
      <c r="AD53" s="258"/>
      <c r="AE53" s="258"/>
      <c r="AF53" s="258"/>
      <c r="AG53" s="258"/>
      <c r="AH53" s="258"/>
      <c r="AI53" s="258"/>
      <c r="AJ53" s="258"/>
      <c r="AK53" s="258"/>
      <c r="AL53" s="258"/>
      <c r="AM53" s="258"/>
      <c r="AN53" s="258"/>
      <c r="AO53" s="272">
        <f t="shared" si="13"/>
        <v>50</v>
      </c>
      <c r="AP53" s="272">
        <f t="shared" si="9"/>
        <v>780</v>
      </c>
      <c r="AQ53" s="272">
        <f>M53+P53+S53+V53+Y53+AB53+AE53+AH53+AK53+AN53</f>
        <v>549.20000000000005</v>
      </c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  <c r="BI53" s="234"/>
      <c r="BJ53" s="234"/>
      <c r="BK53" s="234"/>
      <c r="BL53" s="234"/>
      <c r="BM53" s="234"/>
      <c r="BN53" s="234"/>
      <c r="BO53" s="234"/>
      <c r="BP53" s="234"/>
      <c r="BQ53" s="234"/>
      <c r="BR53" s="234"/>
      <c r="BS53" s="234"/>
      <c r="BT53" s="234"/>
      <c r="BU53" s="270"/>
      <c r="BV53" s="272">
        <f t="shared" si="11"/>
        <v>50</v>
      </c>
      <c r="BW53" s="272">
        <f t="shared" si="11"/>
        <v>780</v>
      </c>
      <c r="BX53" s="272">
        <f t="shared" si="11"/>
        <v>549.20000000000005</v>
      </c>
      <c r="BY53" s="270">
        <v>30</v>
      </c>
      <c r="BZ53" s="270">
        <v>380</v>
      </c>
      <c r="CA53" s="270">
        <v>329.6</v>
      </c>
      <c r="CB53" s="270"/>
      <c r="CC53" s="270"/>
      <c r="CD53" s="270"/>
      <c r="CE53" s="270"/>
      <c r="CF53" s="270"/>
      <c r="CG53" s="270"/>
      <c r="CH53" s="270"/>
      <c r="CI53" s="270"/>
      <c r="CJ53" s="270"/>
      <c r="CK53" s="270"/>
      <c r="CL53" s="270"/>
      <c r="CM53" s="270"/>
      <c r="CN53" s="270"/>
      <c r="CO53" s="270"/>
      <c r="CP53" s="270"/>
      <c r="CQ53" s="270"/>
      <c r="CR53" s="270"/>
      <c r="CS53" s="270"/>
      <c r="CT53" s="270"/>
      <c r="CU53" s="270"/>
      <c r="CV53" s="270"/>
      <c r="CW53" s="270"/>
      <c r="CX53" s="270"/>
      <c r="CY53" s="270"/>
      <c r="CZ53" s="270"/>
      <c r="DA53" s="270"/>
      <c r="DB53" s="270"/>
      <c r="DC53" s="270"/>
      <c r="DD53" s="270"/>
      <c r="DE53" s="270"/>
      <c r="DF53" s="272">
        <f t="shared" si="12"/>
        <v>80</v>
      </c>
      <c r="DG53" s="272">
        <f t="shared" si="12"/>
        <v>1160</v>
      </c>
      <c r="DH53" s="272">
        <f t="shared" si="14"/>
        <v>878.80000000000007</v>
      </c>
      <c r="DI53" s="274"/>
    </row>
    <row r="54" spans="1:113" s="275" customFormat="1" ht="24.75" customHeight="1" x14ac:dyDescent="0.6">
      <c r="A54" s="268">
        <v>11</v>
      </c>
      <c r="B54" s="269" t="s">
        <v>315</v>
      </c>
      <c r="C54" s="104" t="s">
        <v>316</v>
      </c>
      <c r="D54" s="100" t="s">
        <v>90</v>
      </c>
      <c r="E54" s="99" t="s">
        <v>91</v>
      </c>
      <c r="F54" s="234" t="s">
        <v>733</v>
      </c>
      <c r="G54" s="234" t="s">
        <v>845</v>
      </c>
      <c r="H54" s="234" t="s">
        <v>846</v>
      </c>
      <c r="I54" s="234" t="s">
        <v>847</v>
      </c>
      <c r="J54" s="234" t="s">
        <v>288</v>
      </c>
      <c r="K54" s="259"/>
      <c r="L54" s="258"/>
      <c r="M54" s="258"/>
      <c r="N54" s="258">
        <v>25</v>
      </c>
      <c r="O54" s="258">
        <v>300</v>
      </c>
      <c r="P54" s="258">
        <v>276</v>
      </c>
      <c r="Q54" s="258"/>
      <c r="R54" s="258"/>
      <c r="S54" s="258"/>
      <c r="T54" s="258">
        <v>40</v>
      </c>
      <c r="U54" s="258">
        <v>640</v>
      </c>
      <c r="V54" s="258">
        <v>459.6</v>
      </c>
      <c r="W54" s="258"/>
      <c r="X54" s="258"/>
      <c r="Y54" s="258"/>
      <c r="Z54" s="258">
        <v>35</v>
      </c>
      <c r="AA54" s="258">
        <v>420</v>
      </c>
      <c r="AB54" s="258">
        <v>420</v>
      </c>
      <c r="AC54" s="258">
        <v>20</v>
      </c>
      <c r="AD54" s="258">
        <v>410</v>
      </c>
      <c r="AE54" s="258">
        <v>204.4</v>
      </c>
      <c r="AF54" s="258"/>
      <c r="AG54" s="258"/>
      <c r="AH54" s="258"/>
      <c r="AI54" s="258"/>
      <c r="AJ54" s="258"/>
      <c r="AK54" s="258"/>
      <c r="AL54" s="258"/>
      <c r="AM54" s="258"/>
      <c r="AN54" s="258"/>
      <c r="AO54" s="272">
        <f t="shared" si="13"/>
        <v>120</v>
      </c>
      <c r="AP54" s="272">
        <f t="shared" si="9"/>
        <v>1770</v>
      </c>
      <c r="AQ54" s="272">
        <f>+AN54+AK54+AH54+AE54+AB54+Y54+V54+S54+P54+M54</f>
        <v>1360</v>
      </c>
      <c r="AR54" s="234">
        <v>35</v>
      </c>
      <c r="AS54" s="234">
        <v>420</v>
      </c>
      <c r="AT54" s="234">
        <v>420</v>
      </c>
      <c r="AU54" s="234">
        <v>45</v>
      </c>
      <c r="AV54" s="234">
        <v>960</v>
      </c>
      <c r="AW54" s="234">
        <v>570</v>
      </c>
      <c r="AX54" s="234"/>
      <c r="AY54" s="234"/>
      <c r="AZ54" s="234"/>
      <c r="BA54" s="234">
        <v>40</v>
      </c>
      <c r="BB54" s="234">
        <v>520</v>
      </c>
      <c r="BC54" s="234">
        <v>419.20000000000005</v>
      </c>
      <c r="BD54" s="234"/>
      <c r="BE54" s="234"/>
      <c r="BF54" s="234"/>
      <c r="BG54" s="234"/>
      <c r="BH54" s="234"/>
      <c r="BI54" s="234"/>
      <c r="BJ54" s="234">
        <v>25</v>
      </c>
      <c r="BK54" s="234">
        <v>300</v>
      </c>
      <c r="BL54" s="234">
        <v>300</v>
      </c>
      <c r="BM54" s="234"/>
      <c r="BN54" s="234"/>
      <c r="BO54" s="234"/>
      <c r="BP54" s="234">
        <v>65</v>
      </c>
      <c r="BQ54" s="234">
        <v>940</v>
      </c>
      <c r="BR54" s="234">
        <v>759.6</v>
      </c>
      <c r="BS54" s="234"/>
      <c r="BT54" s="234"/>
      <c r="BU54" s="270"/>
      <c r="BV54" s="272">
        <f t="shared" si="11"/>
        <v>330</v>
      </c>
      <c r="BW54" s="272">
        <f t="shared" si="11"/>
        <v>4910</v>
      </c>
      <c r="BX54" s="272">
        <f t="shared" si="11"/>
        <v>3828.8</v>
      </c>
      <c r="BY54" s="270">
        <v>25</v>
      </c>
      <c r="BZ54" s="270">
        <v>320</v>
      </c>
      <c r="CA54" s="270">
        <v>269.60000000000002</v>
      </c>
      <c r="CB54" s="270"/>
      <c r="CC54" s="270"/>
      <c r="CD54" s="270"/>
      <c r="CE54" s="270">
        <v>25</v>
      </c>
      <c r="CF54" s="270">
        <v>300</v>
      </c>
      <c r="CG54" s="270">
        <v>300</v>
      </c>
      <c r="CH54" s="270"/>
      <c r="CI54" s="270"/>
      <c r="CJ54" s="270"/>
      <c r="CK54" s="270">
        <v>20</v>
      </c>
      <c r="CL54" s="270">
        <v>240</v>
      </c>
      <c r="CM54" s="270">
        <v>240</v>
      </c>
      <c r="CN54" s="270">
        <v>20</v>
      </c>
      <c r="CO54" s="270">
        <v>280</v>
      </c>
      <c r="CP54" s="270">
        <v>179.20000000000002</v>
      </c>
      <c r="CQ54" s="270">
        <v>30</v>
      </c>
      <c r="CR54" s="270">
        <v>500</v>
      </c>
      <c r="CS54" s="270">
        <v>370</v>
      </c>
      <c r="CT54" s="270">
        <v>75</v>
      </c>
      <c r="CU54" s="270">
        <v>1500</v>
      </c>
      <c r="CV54" s="270">
        <v>879.2</v>
      </c>
      <c r="CW54" s="270"/>
      <c r="CX54" s="270"/>
      <c r="CY54" s="270"/>
      <c r="CZ54" s="270"/>
      <c r="DA54" s="270"/>
      <c r="DB54" s="270"/>
      <c r="DC54" s="270"/>
      <c r="DD54" s="270"/>
      <c r="DE54" s="270"/>
      <c r="DF54" s="272">
        <f t="shared" si="12"/>
        <v>525</v>
      </c>
      <c r="DG54" s="272">
        <f t="shared" si="12"/>
        <v>8050</v>
      </c>
      <c r="DH54" s="272">
        <f t="shared" si="14"/>
        <v>6066.8</v>
      </c>
      <c r="DI54" s="274"/>
    </row>
    <row r="55" spans="1:113" s="275" customFormat="1" ht="24.75" customHeight="1" x14ac:dyDescent="0.6">
      <c r="A55" s="268">
        <v>12</v>
      </c>
      <c r="B55" s="269" t="s">
        <v>317</v>
      </c>
      <c r="C55" s="104" t="s">
        <v>318</v>
      </c>
      <c r="D55" s="100" t="s">
        <v>90</v>
      </c>
      <c r="E55" s="99" t="s">
        <v>91</v>
      </c>
      <c r="F55" s="234" t="s">
        <v>733</v>
      </c>
      <c r="G55" s="234" t="s">
        <v>848</v>
      </c>
      <c r="H55" s="234" t="s">
        <v>849</v>
      </c>
      <c r="I55" s="234" t="s">
        <v>850</v>
      </c>
      <c r="J55" s="234" t="s">
        <v>288</v>
      </c>
      <c r="K55" s="259"/>
      <c r="L55" s="258"/>
      <c r="M55" s="258"/>
      <c r="N55" s="258"/>
      <c r="O55" s="258"/>
      <c r="P55" s="258"/>
      <c r="Q55" s="258">
        <v>50</v>
      </c>
      <c r="R55" s="258">
        <v>700</v>
      </c>
      <c r="S55" s="258">
        <v>448</v>
      </c>
      <c r="T55" s="258"/>
      <c r="U55" s="258"/>
      <c r="V55" s="258"/>
      <c r="W55" s="258"/>
      <c r="X55" s="258"/>
      <c r="Y55" s="258"/>
      <c r="Z55" s="258"/>
      <c r="AA55" s="258"/>
      <c r="AB55" s="258"/>
      <c r="AC55" s="258"/>
      <c r="AD55" s="258"/>
      <c r="AE55" s="258"/>
      <c r="AF55" s="258"/>
      <c r="AG55" s="258"/>
      <c r="AH55" s="258"/>
      <c r="AI55" s="258"/>
      <c r="AJ55" s="258"/>
      <c r="AK55" s="258"/>
      <c r="AL55" s="258"/>
      <c r="AM55" s="258"/>
      <c r="AN55" s="258"/>
      <c r="AO55" s="272">
        <f t="shared" si="13"/>
        <v>50</v>
      </c>
      <c r="AP55" s="272">
        <f t="shared" si="9"/>
        <v>700</v>
      </c>
      <c r="AQ55" s="272">
        <f t="shared" ref="AQ55:AQ90" si="15">M55+P55+S55+V55+Y55+AB55+AE55+AH55+AK55+AN55</f>
        <v>448</v>
      </c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4"/>
      <c r="BM55" s="234">
        <v>55</v>
      </c>
      <c r="BN55" s="234">
        <v>710</v>
      </c>
      <c r="BO55" s="234">
        <v>584</v>
      </c>
      <c r="BP55" s="234"/>
      <c r="BQ55" s="234"/>
      <c r="BR55" s="234"/>
      <c r="BS55" s="234"/>
      <c r="BT55" s="234"/>
      <c r="BU55" s="270"/>
      <c r="BV55" s="272">
        <f t="shared" si="11"/>
        <v>105</v>
      </c>
      <c r="BW55" s="272">
        <f t="shared" si="11"/>
        <v>1410</v>
      </c>
      <c r="BX55" s="272">
        <f t="shared" si="11"/>
        <v>1032</v>
      </c>
      <c r="BY55" s="270"/>
      <c r="BZ55" s="270"/>
      <c r="CA55" s="270"/>
      <c r="CB55" s="270"/>
      <c r="CC55" s="270"/>
      <c r="CD55" s="270"/>
      <c r="CE55" s="270"/>
      <c r="CF55" s="270"/>
      <c r="CG55" s="270"/>
      <c r="CH55" s="270"/>
      <c r="CI55" s="270"/>
      <c r="CJ55" s="270"/>
      <c r="CK55" s="270"/>
      <c r="CL55" s="270"/>
      <c r="CM55" s="270"/>
      <c r="CN55" s="270"/>
      <c r="CO55" s="270"/>
      <c r="CP55" s="270"/>
      <c r="CQ55" s="270"/>
      <c r="CR55" s="270"/>
      <c r="CS55" s="270"/>
      <c r="CT55" s="270"/>
      <c r="CU55" s="270"/>
      <c r="CV55" s="270"/>
      <c r="CW55" s="270"/>
      <c r="CX55" s="270"/>
      <c r="CY55" s="270"/>
      <c r="CZ55" s="270"/>
      <c r="DA55" s="270"/>
      <c r="DB55" s="270"/>
      <c r="DC55" s="270"/>
      <c r="DD55" s="270"/>
      <c r="DE55" s="270"/>
      <c r="DF55" s="272">
        <f t="shared" si="12"/>
        <v>105</v>
      </c>
      <c r="DG55" s="272">
        <f t="shared" si="12"/>
        <v>1410</v>
      </c>
      <c r="DH55" s="272">
        <f t="shared" si="14"/>
        <v>1032</v>
      </c>
      <c r="DI55" s="274"/>
    </row>
    <row r="56" spans="1:113" s="275" customFormat="1" ht="24.75" customHeight="1" x14ac:dyDescent="0.6">
      <c r="A56" s="268">
        <v>13</v>
      </c>
      <c r="B56" s="269" t="s">
        <v>319</v>
      </c>
      <c r="C56" s="104" t="s">
        <v>320</v>
      </c>
      <c r="D56" s="100" t="s">
        <v>90</v>
      </c>
      <c r="E56" s="99" t="s">
        <v>91</v>
      </c>
      <c r="F56" s="234" t="s">
        <v>733</v>
      </c>
      <c r="G56" s="234" t="s">
        <v>851</v>
      </c>
      <c r="H56" s="234" t="s">
        <v>852</v>
      </c>
      <c r="I56" s="234" t="s">
        <v>853</v>
      </c>
      <c r="J56" s="234" t="s">
        <v>288</v>
      </c>
      <c r="K56" s="259"/>
      <c r="L56" s="258"/>
      <c r="M56" s="258"/>
      <c r="N56" s="258">
        <v>20</v>
      </c>
      <c r="O56" s="258">
        <v>260</v>
      </c>
      <c r="P56" s="258">
        <v>209.60000000000002</v>
      </c>
      <c r="Q56" s="258">
        <v>25</v>
      </c>
      <c r="R56" s="258">
        <v>320</v>
      </c>
      <c r="S56" s="258">
        <v>269.60000000000002</v>
      </c>
      <c r="T56" s="258">
        <v>20</v>
      </c>
      <c r="U56" s="258">
        <v>260</v>
      </c>
      <c r="V56" s="258">
        <v>209.60000000000002</v>
      </c>
      <c r="W56" s="258">
        <v>20</v>
      </c>
      <c r="X56" s="258">
        <v>260</v>
      </c>
      <c r="Y56" s="258">
        <v>209.60000000000002</v>
      </c>
      <c r="Z56" s="258">
        <v>20</v>
      </c>
      <c r="AA56" s="258">
        <v>380</v>
      </c>
      <c r="AB56" s="258">
        <v>250</v>
      </c>
      <c r="AC56" s="258">
        <v>20</v>
      </c>
      <c r="AD56" s="258">
        <v>260</v>
      </c>
      <c r="AE56" s="258">
        <v>209.60000000000002</v>
      </c>
      <c r="AF56" s="258"/>
      <c r="AG56" s="258"/>
      <c r="AH56" s="258"/>
      <c r="AI56" s="258">
        <v>20</v>
      </c>
      <c r="AJ56" s="258">
        <v>260</v>
      </c>
      <c r="AK56" s="258">
        <v>209.60000000000002</v>
      </c>
      <c r="AL56" s="258">
        <v>25</v>
      </c>
      <c r="AM56" s="258">
        <v>320</v>
      </c>
      <c r="AN56" s="258">
        <v>269.60000000000002</v>
      </c>
      <c r="AO56" s="272">
        <f t="shared" si="13"/>
        <v>170</v>
      </c>
      <c r="AP56" s="272">
        <f t="shared" si="9"/>
        <v>2320</v>
      </c>
      <c r="AQ56" s="272">
        <f t="shared" si="15"/>
        <v>1837.1999999999998</v>
      </c>
      <c r="AR56" s="234">
        <v>15</v>
      </c>
      <c r="AS56" s="234">
        <v>320</v>
      </c>
      <c r="AT56" s="234">
        <v>190</v>
      </c>
      <c r="AU56" s="234">
        <v>20</v>
      </c>
      <c r="AV56" s="234">
        <v>260</v>
      </c>
      <c r="AW56" s="234">
        <v>209.60000000000002</v>
      </c>
      <c r="AX56" s="234">
        <v>15</v>
      </c>
      <c r="AY56" s="234">
        <v>180</v>
      </c>
      <c r="AZ56" s="234">
        <v>180</v>
      </c>
      <c r="BA56" s="234">
        <v>15</v>
      </c>
      <c r="BB56" s="234">
        <v>210</v>
      </c>
      <c r="BC56" s="234">
        <v>134.4</v>
      </c>
      <c r="BD56" s="234"/>
      <c r="BE56" s="234"/>
      <c r="BF56" s="234"/>
      <c r="BG56" s="234"/>
      <c r="BH56" s="234"/>
      <c r="BI56" s="234"/>
      <c r="BJ56" s="234">
        <v>15</v>
      </c>
      <c r="BK56" s="234">
        <v>210</v>
      </c>
      <c r="BL56" s="234">
        <v>134.4</v>
      </c>
      <c r="BM56" s="234">
        <v>15</v>
      </c>
      <c r="BN56" s="234">
        <v>180</v>
      </c>
      <c r="BO56" s="234">
        <v>180</v>
      </c>
      <c r="BP56" s="234">
        <v>20</v>
      </c>
      <c r="BQ56" s="234">
        <v>260</v>
      </c>
      <c r="BR56" s="234">
        <v>209.60000000000002</v>
      </c>
      <c r="BS56" s="234">
        <v>15</v>
      </c>
      <c r="BT56" s="234">
        <v>340</v>
      </c>
      <c r="BU56" s="270">
        <v>159.60000000000002</v>
      </c>
      <c r="BV56" s="272">
        <f t="shared" si="11"/>
        <v>300</v>
      </c>
      <c r="BW56" s="272">
        <f t="shared" si="11"/>
        <v>4280</v>
      </c>
      <c r="BX56" s="272">
        <f t="shared" si="11"/>
        <v>3234.7999999999997</v>
      </c>
      <c r="BY56" s="270">
        <v>45</v>
      </c>
      <c r="BZ56" s="270">
        <v>580</v>
      </c>
      <c r="CA56" s="270">
        <v>479.20000000000005</v>
      </c>
      <c r="CB56" s="270"/>
      <c r="CC56" s="270"/>
      <c r="CD56" s="270"/>
      <c r="CE56" s="270">
        <v>15</v>
      </c>
      <c r="CF56" s="270">
        <v>210</v>
      </c>
      <c r="CG56" s="270">
        <v>134.4</v>
      </c>
      <c r="CH56" s="270">
        <v>15</v>
      </c>
      <c r="CI56" s="270">
        <v>180</v>
      </c>
      <c r="CJ56" s="270">
        <v>180</v>
      </c>
      <c r="CK56" s="270">
        <v>15</v>
      </c>
      <c r="CL56" s="270">
        <v>180</v>
      </c>
      <c r="CM56" s="270">
        <v>180</v>
      </c>
      <c r="CN56" s="270"/>
      <c r="CO56" s="270"/>
      <c r="CP56" s="270"/>
      <c r="CQ56" s="270">
        <v>20</v>
      </c>
      <c r="CR56" s="270">
        <v>260</v>
      </c>
      <c r="CS56" s="270">
        <v>209.60000000000002</v>
      </c>
      <c r="CT56" s="270">
        <v>15</v>
      </c>
      <c r="CU56" s="270">
        <v>340</v>
      </c>
      <c r="CV56" s="270">
        <v>159.60000000000002</v>
      </c>
      <c r="CW56" s="270"/>
      <c r="CX56" s="270"/>
      <c r="CY56" s="270"/>
      <c r="CZ56" s="270"/>
      <c r="DA56" s="270"/>
      <c r="DB56" s="270"/>
      <c r="DC56" s="270"/>
      <c r="DD56" s="270"/>
      <c r="DE56" s="270"/>
      <c r="DF56" s="272">
        <f t="shared" si="12"/>
        <v>425</v>
      </c>
      <c r="DG56" s="272">
        <f t="shared" si="12"/>
        <v>6030</v>
      </c>
      <c r="DH56" s="272">
        <f t="shared" si="14"/>
        <v>4577.6000000000004</v>
      </c>
      <c r="DI56" s="274"/>
    </row>
    <row r="57" spans="1:113" s="275" customFormat="1" ht="24.75" customHeight="1" x14ac:dyDescent="0.6">
      <c r="A57" s="268">
        <v>14</v>
      </c>
      <c r="B57" s="269" t="s">
        <v>321</v>
      </c>
      <c r="C57" s="104" t="s">
        <v>322</v>
      </c>
      <c r="D57" s="100" t="s">
        <v>323</v>
      </c>
      <c r="E57" s="99" t="s">
        <v>91</v>
      </c>
      <c r="F57" s="234" t="s">
        <v>733</v>
      </c>
      <c r="G57" s="234" t="s">
        <v>854</v>
      </c>
      <c r="H57" s="234" t="s">
        <v>855</v>
      </c>
      <c r="I57" s="234" t="s">
        <v>856</v>
      </c>
      <c r="J57" s="234" t="s">
        <v>288</v>
      </c>
      <c r="K57" s="259"/>
      <c r="L57" s="258"/>
      <c r="M57" s="258"/>
      <c r="N57" s="258"/>
      <c r="O57" s="258"/>
      <c r="P57" s="258"/>
      <c r="Q57" s="258">
        <v>35</v>
      </c>
      <c r="R57" s="258">
        <v>560</v>
      </c>
      <c r="S57" s="258">
        <v>382</v>
      </c>
      <c r="T57" s="258"/>
      <c r="U57" s="258"/>
      <c r="V57" s="258"/>
      <c r="W57" s="258"/>
      <c r="X57" s="258"/>
      <c r="Y57" s="258"/>
      <c r="Z57" s="258"/>
      <c r="AA57" s="258"/>
      <c r="AB57" s="258"/>
      <c r="AC57" s="258"/>
      <c r="AD57" s="258"/>
      <c r="AE57" s="258"/>
      <c r="AF57" s="258"/>
      <c r="AG57" s="258"/>
      <c r="AH57" s="258"/>
      <c r="AI57" s="258"/>
      <c r="AJ57" s="258"/>
      <c r="AK57" s="258"/>
      <c r="AL57" s="258"/>
      <c r="AM57" s="258"/>
      <c r="AN57" s="258"/>
      <c r="AO57" s="272">
        <f t="shared" si="13"/>
        <v>35</v>
      </c>
      <c r="AP57" s="272">
        <f t="shared" si="9"/>
        <v>560</v>
      </c>
      <c r="AQ57" s="272">
        <f t="shared" si="15"/>
        <v>382</v>
      </c>
      <c r="AR57" s="234"/>
      <c r="AS57" s="234"/>
      <c r="AT57" s="234"/>
      <c r="AU57" s="234"/>
      <c r="AV57" s="234"/>
      <c r="AW57" s="234"/>
      <c r="AX57" s="234"/>
      <c r="AY57" s="234"/>
      <c r="AZ57" s="234"/>
      <c r="BA57" s="234"/>
      <c r="BB57" s="234"/>
      <c r="BC57" s="234"/>
      <c r="BD57" s="234"/>
      <c r="BE57" s="234"/>
      <c r="BF57" s="234"/>
      <c r="BG57" s="234"/>
      <c r="BH57" s="234"/>
      <c r="BI57" s="234"/>
      <c r="BJ57" s="234"/>
      <c r="BK57" s="234"/>
      <c r="BL57" s="234"/>
      <c r="BM57" s="234"/>
      <c r="BN57" s="234"/>
      <c r="BO57" s="234"/>
      <c r="BP57" s="234">
        <v>35</v>
      </c>
      <c r="BQ57" s="234">
        <v>450</v>
      </c>
      <c r="BR57" s="234">
        <v>374.4</v>
      </c>
      <c r="BS57" s="234"/>
      <c r="BT57" s="234"/>
      <c r="BU57" s="270"/>
      <c r="BV57" s="272">
        <f t="shared" si="11"/>
        <v>70</v>
      </c>
      <c r="BW57" s="272">
        <f t="shared" si="11"/>
        <v>1010</v>
      </c>
      <c r="BX57" s="272">
        <f t="shared" si="11"/>
        <v>756.4</v>
      </c>
      <c r="BY57" s="270"/>
      <c r="BZ57" s="270"/>
      <c r="CA57" s="270"/>
      <c r="CB57" s="270"/>
      <c r="CC57" s="270"/>
      <c r="CD57" s="270"/>
      <c r="CE57" s="270"/>
      <c r="CF57" s="270"/>
      <c r="CG57" s="270"/>
      <c r="CH57" s="270"/>
      <c r="CI57" s="270"/>
      <c r="CJ57" s="270"/>
      <c r="CK57" s="270"/>
      <c r="CL57" s="270"/>
      <c r="CM57" s="270"/>
      <c r="CN57" s="270"/>
      <c r="CO57" s="270"/>
      <c r="CP57" s="270"/>
      <c r="CQ57" s="270"/>
      <c r="CR57" s="270"/>
      <c r="CS57" s="270"/>
      <c r="CT57" s="270"/>
      <c r="CU57" s="270"/>
      <c r="CV57" s="270"/>
      <c r="CW57" s="270"/>
      <c r="CX57" s="270"/>
      <c r="CY57" s="270"/>
      <c r="CZ57" s="270"/>
      <c r="DA57" s="270"/>
      <c r="DB57" s="270"/>
      <c r="DC57" s="270"/>
      <c r="DD57" s="270"/>
      <c r="DE57" s="270"/>
      <c r="DF57" s="272">
        <f t="shared" si="12"/>
        <v>70</v>
      </c>
      <c r="DG57" s="272">
        <f t="shared" si="12"/>
        <v>1010</v>
      </c>
      <c r="DH57" s="272">
        <f t="shared" si="14"/>
        <v>756.4</v>
      </c>
      <c r="DI57" s="274"/>
    </row>
    <row r="58" spans="1:113" s="275" customFormat="1" ht="24.75" customHeight="1" x14ac:dyDescent="0.6">
      <c r="A58" s="268">
        <v>15</v>
      </c>
      <c r="B58" s="269" t="s">
        <v>324</v>
      </c>
      <c r="C58" s="104" t="s">
        <v>325</v>
      </c>
      <c r="D58" s="100" t="s">
        <v>297</v>
      </c>
      <c r="E58" s="148" t="s">
        <v>298</v>
      </c>
      <c r="F58" s="234" t="s">
        <v>733</v>
      </c>
      <c r="G58" s="234" t="s">
        <v>317</v>
      </c>
      <c r="H58" s="234" t="s">
        <v>857</v>
      </c>
      <c r="I58" s="234" t="s">
        <v>858</v>
      </c>
      <c r="J58" s="234" t="s">
        <v>288</v>
      </c>
      <c r="K58" s="259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258">
        <v>65</v>
      </c>
      <c r="AA58" s="258">
        <v>940</v>
      </c>
      <c r="AB58" s="258">
        <v>759.6</v>
      </c>
      <c r="AC58" s="258"/>
      <c r="AD58" s="258"/>
      <c r="AE58" s="258"/>
      <c r="AF58" s="258"/>
      <c r="AG58" s="258"/>
      <c r="AH58" s="258"/>
      <c r="AI58" s="258"/>
      <c r="AJ58" s="258"/>
      <c r="AK58" s="258"/>
      <c r="AL58" s="258"/>
      <c r="AM58" s="258"/>
      <c r="AN58" s="258"/>
      <c r="AO58" s="272">
        <f t="shared" si="13"/>
        <v>65</v>
      </c>
      <c r="AP58" s="272">
        <f t="shared" si="9"/>
        <v>940</v>
      </c>
      <c r="AQ58" s="272">
        <f t="shared" si="15"/>
        <v>759.6</v>
      </c>
      <c r="AR58" s="234"/>
      <c r="AS58" s="234"/>
      <c r="AT58" s="234"/>
      <c r="AU58" s="234">
        <v>20</v>
      </c>
      <c r="AV58" s="234">
        <v>260</v>
      </c>
      <c r="AW58" s="234">
        <v>209.60000000000002</v>
      </c>
      <c r="AX58" s="234"/>
      <c r="AY58" s="234"/>
      <c r="AZ58" s="234"/>
      <c r="BA58" s="234">
        <v>30</v>
      </c>
      <c r="BB58" s="234">
        <v>640</v>
      </c>
      <c r="BC58" s="234">
        <v>380</v>
      </c>
      <c r="BD58" s="234"/>
      <c r="BE58" s="234"/>
      <c r="BF58" s="234"/>
      <c r="BG58" s="234"/>
      <c r="BH58" s="234"/>
      <c r="BI58" s="234"/>
      <c r="BJ58" s="234"/>
      <c r="BK58" s="234"/>
      <c r="BL58" s="234"/>
      <c r="BM58" s="234"/>
      <c r="BN58" s="234"/>
      <c r="BO58" s="234"/>
      <c r="BP58" s="234">
        <v>75</v>
      </c>
      <c r="BQ58" s="234">
        <v>990</v>
      </c>
      <c r="BR58" s="234">
        <v>763.2</v>
      </c>
      <c r="BS58" s="234"/>
      <c r="BT58" s="234"/>
      <c r="BU58" s="270"/>
      <c r="BV58" s="272">
        <f t="shared" si="11"/>
        <v>190</v>
      </c>
      <c r="BW58" s="272">
        <f t="shared" si="11"/>
        <v>2830</v>
      </c>
      <c r="BX58" s="272">
        <f t="shared" si="11"/>
        <v>2112.4</v>
      </c>
      <c r="BY58" s="270"/>
      <c r="BZ58" s="270"/>
      <c r="CA58" s="270"/>
      <c r="CB58" s="270"/>
      <c r="CC58" s="270"/>
      <c r="CD58" s="270"/>
      <c r="CE58" s="270"/>
      <c r="CF58" s="270"/>
      <c r="CG58" s="270"/>
      <c r="CH58" s="270"/>
      <c r="CI58" s="270"/>
      <c r="CJ58" s="270"/>
      <c r="CK58" s="270"/>
      <c r="CL58" s="270"/>
      <c r="CM58" s="270"/>
      <c r="CN58" s="270"/>
      <c r="CO58" s="270"/>
      <c r="CP58" s="270"/>
      <c r="CQ58" s="270">
        <v>10</v>
      </c>
      <c r="CR58" s="270">
        <v>120</v>
      </c>
      <c r="CS58" s="270">
        <v>120</v>
      </c>
      <c r="CT58" s="270"/>
      <c r="CU58" s="270"/>
      <c r="CV58" s="270"/>
      <c r="CW58" s="270"/>
      <c r="CX58" s="270"/>
      <c r="CY58" s="270"/>
      <c r="CZ58" s="270"/>
      <c r="DA58" s="270"/>
      <c r="DB58" s="270"/>
      <c r="DC58" s="270"/>
      <c r="DD58" s="270"/>
      <c r="DE58" s="270"/>
      <c r="DF58" s="272">
        <f t="shared" si="12"/>
        <v>200</v>
      </c>
      <c r="DG58" s="272">
        <f t="shared" si="12"/>
        <v>2950</v>
      </c>
      <c r="DH58" s="272">
        <f t="shared" si="14"/>
        <v>2232.4</v>
      </c>
      <c r="DI58" s="274"/>
    </row>
    <row r="59" spans="1:113" s="275" customFormat="1" ht="24.75" customHeight="1" x14ac:dyDescent="0.6">
      <c r="A59" s="268">
        <v>15</v>
      </c>
      <c r="B59" s="269" t="s">
        <v>326</v>
      </c>
      <c r="C59" s="104" t="s">
        <v>327</v>
      </c>
      <c r="D59" s="100" t="s">
        <v>328</v>
      </c>
      <c r="E59" s="99" t="s">
        <v>329</v>
      </c>
      <c r="F59" s="234" t="s">
        <v>733</v>
      </c>
      <c r="G59" s="234" t="s">
        <v>859</v>
      </c>
      <c r="H59" s="234" t="s">
        <v>860</v>
      </c>
      <c r="I59" s="234" t="s">
        <v>861</v>
      </c>
      <c r="J59" s="234" t="s">
        <v>288</v>
      </c>
      <c r="K59" s="259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Y59" s="258"/>
      <c r="Z59" s="258"/>
      <c r="AA59" s="258"/>
      <c r="AB59" s="258"/>
      <c r="AC59" s="258"/>
      <c r="AD59" s="258"/>
      <c r="AE59" s="258"/>
      <c r="AF59" s="258"/>
      <c r="AG59" s="258"/>
      <c r="AH59" s="258"/>
      <c r="AI59" s="258"/>
      <c r="AJ59" s="258"/>
      <c r="AK59" s="258"/>
      <c r="AL59" s="258"/>
      <c r="AM59" s="258"/>
      <c r="AN59" s="258"/>
      <c r="AO59" s="272">
        <f t="shared" si="13"/>
        <v>0</v>
      </c>
      <c r="AP59" s="272">
        <f t="shared" si="9"/>
        <v>0</v>
      </c>
      <c r="AQ59" s="272">
        <f t="shared" si="15"/>
        <v>0</v>
      </c>
      <c r="AR59" s="234"/>
      <c r="AS59" s="234"/>
      <c r="AT59" s="234"/>
      <c r="AU59" s="234"/>
      <c r="AV59" s="234"/>
      <c r="AW59" s="234"/>
      <c r="AX59" s="234"/>
      <c r="AY59" s="234"/>
      <c r="AZ59" s="234"/>
      <c r="BA59" s="234">
        <v>5</v>
      </c>
      <c r="BB59" s="234">
        <v>60</v>
      </c>
      <c r="BC59" s="234">
        <v>60</v>
      </c>
      <c r="BD59" s="234"/>
      <c r="BE59" s="234"/>
      <c r="BF59" s="234"/>
      <c r="BG59" s="234"/>
      <c r="BH59" s="234"/>
      <c r="BI59" s="234"/>
      <c r="BJ59" s="234"/>
      <c r="BK59" s="234"/>
      <c r="BL59" s="234"/>
      <c r="BM59" s="234"/>
      <c r="BN59" s="234"/>
      <c r="BO59" s="234"/>
      <c r="BP59" s="234"/>
      <c r="BQ59" s="234"/>
      <c r="BR59" s="234"/>
      <c r="BS59" s="234"/>
      <c r="BT59" s="234"/>
      <c r="BU59" s="270"/>
      <c r="BV59" s="272">
        <f t="shared" si="11"/>
        <v>5</v>
      </c>
      <c r="BW59" s="272">
        <f t="shared" si="11"/>
        <v>60</v>
      </c>
      <c r="BX59" s="272">
        <f t="shared" si="11"/>
        <v>60</v>
      </c>
      <c r="BY59" s="270"/>
      <c r="BZ59" s="270"/>
      <c r="CA59" s="270"/>
      <c r="CB59" s="270"/>
      <c r="CC59" s="270"/>
      <c r="CD59" s="270"/>
      <c r="CE59" s="270"/>
      <c r="CF59" s="270"/>
      <c r="CG59" s="270"/>
      <c r="CH59" s="270"/>
      <c r="CI59" s="270"/>
      <c r="CJ59" s="270"/>
      <c r="CK59" s="270"/>
      <c r="CL59" s="270"/>
      <c r="CM59" s="270"/>
      <c r="CN59" s="270"/>
      <c r="CO59" s="270"/>
      <c r="CP59" s="270"/>
      <c r="CQ59" s="270"/>
      <c r="CR59" s="270"/>
      <c r="CS59" s="270"/>
      <c r="CT59" s="270"/>
      <c r="CU59" s="270"/>
      <c r="CV59" s="270"/>
      <c r="CW59" s="270"/>
      <c r="CX59" s="270"/>
      <c r="CY59" s="270"/>
      <c r="CZ59" s="270"/>
      <c r="DA59" s="270"/>
      <c r="DB59" s="270"/>
      <c r="DC59" s="270"/>
      <c r="DD59" s="270"/>
      <c r="DE59" s="270"/>
      <c r="DF59" s="272">
        <f t="shared" si="12"/>
        <v>5</v>
      </c>
      <c r="DG59" s="272">
        <f t="shared" si="12"/>
        <v>60</v>
      </c>
      <c r="DH59" s="272">
        <f t="shared" si="14"/>
        <v>60</v>
      </c>
      <c r="DI59" s="274"/>
    </row>
    <row r="60" spans="1:113" s="275" customFormat="1" ht="24.75" customHeight="1" x14ac:dyDescent="0.6">
      <c r="A60" s="268">
        <v>17</v>
      </c>
      <c r="B60" s="269" t="s">
        <v>210</v>
      </c>
      <c r="C60" s="104" t="s">
        <v>211</v>
      </c>
      <c r="D60" s="100" t="s">
        <v>330</v>
      </c>
      <c r="E60" s="99" t="s">
        <v>331</v>
      </c>
      <c r="F60" s="234" t="s">
        <v>733</v>
      </c>
      <c r="G60" s="234" t="s">
        <v>862</v>
      </c>
      <c r="H60" s="234" t="s">
        <v>863</v>
      </c>
      <c r="I60" s="234" t="s">
        <v>864</v>
      </c>
      <c r="J60" s="234" t="s">
        <v>288</v>
      </c>
      <c r="K60" s="259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8"/>
      <c r="AA60" s="258"/>
      <c r="AB60" s="258"/>
      <c r="AC60" s="258"/>
      <c r="AD60" s="258"/>
      <c r="AE60" s="258"/>
      <c r="AF60" s="258"/>
      <c r="AG60" s="258"/>
      <c r="AH60" s="258"/>
      <c r="AI60" s="258"/>
      <c r="AJ60" s="258"/>
      <c r="AK60" s="258"/>
      <c r="AL60" s="258"/>
      <c r="AM60" s="258"/>
      <c r="AN60" s="258"/>
      <c r="AO60" s="272">
        <f t="shared" si="13"/>
        <v>0</v>
      </c>
      <c r="AP60" s="272">
        <f t="shared" si="9"/>
        <v>0</v>
      </c>
      <c r="AQ60" s="272">
        <f t="shared" si="15"/>
        <v>0</v>
      </c>
      <c r="AR60" s="234"/>
      <c r="AS60" s="234"/>
      <c r="AT60" s="234"/>
      <c r="AU60" s="234"/>
      <c r="AV60" s="234"/>
      <c r="AW60" s="234"/>
      <c r="AX60" s="234"/>
      <c r="AY60" s="234"/>
      <c r="AZ60" s="234"/>
      <c r="BA60" s="234">
        <v>115</v>
      </c>
      <c r="BB60" s="234">
        <v>1380</v>
      </c>
      <c r="BC60" s="234">
        <v>1380</v>
      </c>
      <c r="BD60" s="234"/>
      <c r="BE60" s="234"/>
      <c r="BF60" s="234"/>
      <c r="BG60" s="234"/>
      <c r="BH60" s="234"/>
      <c r="BI60" s="234"/>
      <c r="BJ60" s="234"/>
      <c r="BK60" s="234"/>
      <c r="BL60" s="234"/>
      <c r="BM60" s="234"/>
      <c r="BN60" s="234"/>
      <c r="BO60" s="234"/>
      <c r="BP60" s="234"/>
      <c r="BQ60" s="234"/>
      <c r="BR60" s="234"/>
      <c r="BS60" s="234"/>
      <c r="BT60" s="234"/>
      <c r="BU60" s="270"/>
      <c r="BV60" s="272">
        <f t="shared" si="11"/>
        <v>115</v>
      </c>
      <c r="BW60" s="272">
        <f t="shared" si="11"/>
        <v>1380</v>
      </c>
      <c r="BX60" s="272">
        <f t="shared" si="11"/>
        <v>1380</v>
      </c>
      <c r="BY60" s="270"/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/>
      <c r="CN60" s="270"/>
      <c r="CO60" s="270"/>
      <c r="CP60" s="270"/>
      <c r="CQ60" s="270">
        <v>115</v>
      </c>
      <c r="CR60" s="270">
        <v>1380</v>
      </c>
      <c r="CS60" s="270">
        <v>1380</v>
      </c>
      <c r="CT60" s="270"/>
      <c r="CU60" s="270"/>
      <c r="CV60" s="270"/>
      <c r="CW60" s="270"/>
      <c r="CX60" s="270"/>
      <c r="CY60" s="270"/>
      <c r="CZ60" s="270"/>
      <c r="DA60" s="270"/>
      <c r="DB60" s="270"/>
      <c r="DC60" s="270"/>
      <c r="DD60" s="270"/>
      <c r="DE60" s="270"/>
      <c r="DF60" s="272">
        <f t="shared" si="12"/>
        <v>230</v>
      </c>
      <c r="DG60" s="272">
        <f t="shared" si="12"/>
        <v>2760</v>
      </c>
      <c r="DH60" s="272">
        <f t="shared" si="14"/>
        <v>2760</v>
      </c>
      <c r="DI60" s="274"/>
    </row>
    <row r="61" spans="1:113" s="275" customFormat="1" ht="24.75" customHeight="1" x14ac:dyDescent="0.6">
      <c r="A61" s="268">
        <v>18</v>
      </c>
      <c r="B61" s="269" t="s">
        <v>332</v>
      </c>
      <c r="C61" s="104" t="s">
        <v>333</v>
      </c>
      <c r="D61" s="100" t="s">
        <v>98</v>
      </c>
      <c r="E61" s="99" t="s">
        <v>334</v>
      </c>
      <c r="F61" s="234" t="s">
        <v>733</v>
      </c>
      <c r="G61" s="301" t="s">
        <v>758</v>
      </c>
      <c r="H61" s="301" t="s">
        <v>758</v>
      </c>
      <c r="I61" s="234" t="s">
        <v>865</v>
      </c>
      <c r="J61" s="234" t="s">
        <v>288</v>
      </c>
      <c r="K61" s="259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Y61" s="258"/>
      <c r="Z61" s="258"/>
      <c r="AA61" s="258"/>
      <c r="AB61" s="258"/>
      <c r="AC61" s="258"/>
      <c r="AD61" s="258"/>
      <c r="AE61" s="258"/>
      <c r="AF61" s="258"/>
      <c r="AG61" s="258"/>
      <c r="AH61" s="258"/>
      <c r="AI61" s="258"/>
      <c r="AJ61" s="258"/>
      <c r="AK61" s="258"/>
      <c r="AL61" s="258"/>
      <c r="AM61" s="258"/>
      <c r="AN61" s="258"/>
      <c r="AO61" s="272">
        <f t="shared" si="13"/>
        <v>0</v>
      </c>
      <c r="AP61" s="272">
        <f t="shared" si="9"/>
        <v>0</v>
      </c>
      <c r="AQ61" s="272">
        <f t="shared" si="15"/>
        <v>0</v>
      </c>
      <c r="AR61" s="234"/>
      <c r="AS61" s="234"/>
      <c r="AT61" s="234"/>
      <c r="AU61" s="234">
        <v>50</v>
      </c>
      <c r="AV61" s="234">
        <v>1160</v>
      </c>
      <c r="AW61" s="234">
        <v>640</v>
      </c>
      <c r="AX61" s="234"/>
      <c r="AY61" s="234"/>
      <c r="AZ61" s="234"/>
      <c r="BA61" s="234"/>
      <c r="BB61" s="234"/>
      <c r="BC61" s="234"/>
      <c r="BD61" s="234"/>
      <c r="BE61" s="234"/>
      <c r="BF61" s="234"/>
      <c r="BG61" s="234"/>
      <c r="BH61" s="234"/>
      <c r="BI61" s="234"/>
      <c r="BJ61" s="234"/>
      <c r="BK61" s="234"/>
      <c r="BL61" s="234"/>
      <c r="BM61" s="234"/>
      <c r="BN61" s="234"/>
      <c r="BO61" s="234"/>
      <c r="BP61" s="234"/>
      <c r="BQ61" s="234"/>
      <c r="BR61" s="234"/>
      <c r="BS61" s="234"/>
      <c r="BT61" s="234"/>
      <c r="BU61" s="270"/>
      <c r="BV61" s="272">
        <f t="shared" si="11"/>
        <v>50</v>
      </c>
      <c r="BW61" s="272">
        <f t="shared" si="11"/>
        <v>1160</v>
      </c>
      <c r="BX61" s="272">
        <f t="shared" si="11"/>
        <v>640</v>
      </c>
      <c r="BY61" s="270"/>
      <c r="BZ61" s="270"/>
      <c r="CA61" s="270"/>
      <c r="CB61" s="270"/>
      <c r="CC61" s="270"/>
      <c r="CD61" s="270"/>
      <c r="CE61" s="270"/>
      <c r="CF61" s="270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0"/>
      <c r="CR61" s="270"/>
      <c r="CS61" s="270"/>
      <c r="CT61" s="270"/>
      <c r="CU61" s="270"/>
      <c r="CV61" s="270"/>
      <c r="CW61" s="270"/>
      <c r="CX61" s="270"/>
      <c r="CY61" s="270"/>
      <c r="CZ61" s="270"/>
      <c r="DA61" s="270"/>
      <c r="DB61" s="270"/>
      <c r="DC61" s="270"/>
      <c r="DD61" s="270"/>
      <c r="DE61" s="270"/>
      <c r="DF61" s="272">
        <f t="shared" si="12"/>
        <v>50</v>
      </c>
      <c r="DG61" s="272">
        <f t="shared" si="12"/>
        <v>1160</v>
      </c>
      <c r="DH61" s="272">
        <f t="shared" si="14"/>
        <v>640</v>
      </c>
      <c r="DI61" s="274"/>
    </row>
    <row r="62" spans="1:113" s="275" customFormat="1" ht="24.75" customHeight="1" x14ac:dyDescent="0.6">
      <c r="A62" s="268">
        <v>19</v>
      </c>
      <c r="B62" s="269" t="s">
        <v>335</v>
      </c>
      <c r="C62" s="104" t="s">
        <v>336</v>
      </c>
      <c r="D62" s="100" t="s">
        <v>337</v>
      </c>
      <c r="E62" s="99" t="s">
        <v>338</v>
      </c>
      <c r="F62" s="234" t="s">
        <v>733</v>
      </c>
      <c r="G62" s="234" t="s">
        <v>866</v>
      </c>
      <c r="H62" s="234" t="s">
        <v>867</v>
      </c>
      <c r="I62" s="234" t="s">
        <v>868</v>
      </c>
      <c r="J62" s="234" t="s">
        <v>288</v>
      </c>
      <c r="K62" s="259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258"/>
      <c r="AA62" s="258"/>
      <c r="AB62" s="258"/>
      <c r="AC62" s="258"/>
      <c r="AD62" s="258"/>
      <c r="AE62" s="258"/>
      <c r="AF62" s="258"/>
      <c r="AG62" s="258"/>
      <c r="AH62" s="258"/>
      <c r="AI62" s="258"/>
      <c r="AJ62" s="258"/>
      <c r="AK62" s="258"/>
      <c r="AL62" s="258"/>
      <c r="AM62" s="258"/>
      <c r="AN62" s="258"/>
      <c r="AO62" s="272">
        <f t="shared" si="13"/>
        <v>0</v>
      </c>
      <c r="AP62" s="272">
        <f t="shared" si="9"/>
        <v>0</v>
      </c>
      <c r="AQ62" s="272">
        <f t="shared" si="15"/>
        <v>0</v>
      </c>
      <c r="AR62" s="234"/>
      <c r="AS62" s="234"/>
      <c r="AT62" s="234"/>
      <c r="AU62" s="234"/>
      <c r="AV62" s="234"/>
      <c r="AW62" s="234"/>
      <c r="AX62" s="234"/>
      <c r="AY62" s="234"/>
      <c r="AZ62" s="234"/>
      <c r="BA62" s="234"/>
      <c r="BB62" s="234"/>
      <c r="BC62" s="234"/>
      <c r="BD62" s="234"/>
      <c r="BE62" s="234"/>
      <c r="BF62" s="234"/>
      <c r="BG62" s="234"/>
      <c r="BH62" s="234"/>
      <c r="BI62" s="234"/>
      <c r="BJ62" s="234"/>
      <c r="BK62" s="234"/>
      <c r="BL62" s="234"/>
      <c r="BM62" s="234"/>
      <c r="BN62" s="234"/>
      <c r="BO62" s="234"/>
      <c r="BP62" s="234"/>
      <c r="BQ62" s="234"/>
      <c r="BR62" s="234"/>
      <c r="BS62" s="234"/>
      <c r="BT62" s="234"/>
      <c r="BU62" s="270"/>
      <c r="BV62" s="272">
        <f t="shared" si="11"/>
        <v>0</v>
      </c>
      <c r="BW62" s="272">
        <f t="shared" si="11"/>
        <v>0</v>
      </c>
      <c r="BX62" s="272">
        <f t="shared" si="11"/>
        <v>0</v>
      </c>
      <c r="BY62" s="270"/>
      <c r="BZ62" s="270"/>
      <c r="CA62" s="270"/>
      <c r="CB62" s="270"/>
      <c r="CC62" s="270"/>
      <c r="CD62" s="270"/>
      <c r="CE62" s="270"/>
      <c r="CF62" s="270"/>
      <c r="CG62" s="270"/>
      <c r="CH62" s="270"/>
      <c r="CI62" s="270"/>
      <c r="CJ62" s="270"/>
      <c r="CK62" s="270"/>
      <c r="CL62" s="270"/>
      <c r="CM62" s="270"/>
      <c r="CN62" s="270"/>
      <c r="CO62" s="270"/>
      <c r="CP62" s="270"/>
      <c r="CQ62" s="270"/>
      <c r="CR62" s="270"/>
      <c r="CS62" s="270"/>
      <c r="CT62" s="270"/>
      <c r="CU62" s="270"/>
      <c r="CV62" s="270"/>
      <c r="CW62" s="270"/>
      <c r="CX62" s="270"/>
      <c r="CY62" s="270"/>
      <c r="CZ62" s="270"/>
      <c r="DA62" s="270"/>
      <c r="DB62" s="270"/>
      <c r="DC62" s="270"/>
      <c r="DD62" s="270"/>
      <c r="DE62" s="270"/>
      <c r="DF62" s="272">
        <f t="shared" si="12"/>
        <v>0</v>
      </c>
      <c r="DG62" s="272">
        <f t="shared" si="12"/>
        <v>0</v>
      </c>
      <c r="DH62" s="272">
        <f t="shared" si="14"/>
        <v>0</v>
      </c>
      <c r="DI62" s="274"/>
    </row>
    <row r="63" spans="1:113" s="275" customFormat="1" ht="24.75" customHeight="1" x14ac:dyDescent="0.6">
      <c r="A63" s="268">
        <v>20</v>
      </c>
      <c r="B63" s="269" t="s">
        <v>339</v>
      </c>
      <c r="C63" s="104" t="s">
        <v>339</v>
      </c>
      <c r="D63" s="100" t="s">
        <v>337</v>
      </c>
      <c r="E63" s="99" t="s">
        <v>338</v>
      </c>
      <c r="F63" s="234" t="s">
        <v>733</v>
      </c>
      <c r="G63" s="234" t="s">
        <v>869</v>
      </c>
      <c r="H63" s="234" t="s">
        <v>870</v>
      </c>
      <c r="I63" s="234" t="s">
        <v>871</v>
      </c>
      <c r="J63" s="234" t="s">
        <v>288</v>
      </c>
      <c r="K63" s="259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  <c r="AA63" s="258"/>
      <c r="AB63" s="258"/>
      <c r="AC63" s="258">
        <v>50</v>
      </c>
      <c r="AD63" s="258">
        <v>600</v>
      </c>
      <c r="AE63" s="258">
        <v>600</v>
      </c>
      <c r="AF63" s="258"/>
      <c r="AG63" s="258"/>
      <c r="AH63" s="258"/>
      <c r="AI63" s="258"/>
      <c r="AJ63" s="258"/>
      <c r="AK63" s="258"/>
      <c r="AL63" s="258"/>
      <c r="AM63" s="258"/>
      <c r="AN63" s="258"/>
      <c r="AO63" s="272">
        <f t="shared" si="13"/>
        <v>50</v>
      </c>
      <c r="AP63" s="272">
        <f t="shared" si="9"/>
        <v>600</v>
      </c>
      <c r="AQ63" s="272">
        <f t="shared" si="15"/>
        <v>600</v>
      </c>
      <c r="AR63" s="234"/>
      <c r="AS63" s="234"/>
      <c r="AT63" s="234"/>
      <c r="AU63" s="234"/>
      <c r="AV63" s="234"/>
      <c r="AW63" s="234"/>
      <c r="AX63" s="234"/>
      <c r="AY63" s="234"/>
      <c r="AZ63" s="234"/>
      <c r="BA63" s="234"/>
      <c r="BB63" s="234"/>
      <c r="BC63" s="234"/>
      <c r="BD63" s="234"/>
      <c r="BE63" s="234"/>
      <c r="BF63" s="234"/>
      <c r="BG63" s="234"/>
      <c r="BH63" s="234"/>
      <c r="BI63" s="234"/>
      <c r="BJ63" s="234"/>
      <c r="BK63" s="234"/>
      <c r="BL63" s="234"/>
      <c r="BM63" s="234">
        <v>75</v>
      </c>
      <c r="BN63" s="234">
        <v>1310</v>
      </c>
      <c r="BO63" s="234">
        <v>722.4</v>
      </c>
      <c r="BP63" s="234"/>
      <c r="BQ63" s="234"/>
      <c r="BR63" s="234"/>
      <c r="BS63" s="234"/>
      <c r="BT63" s="234"/>
      <c r="BU63" s="270"/>
      <c r="BV63" s="272">
        <f t="shared" si="11"/>
        <v>125</v>
      </c>
      <c r="BW63" s="272">
        <f t="shared" si="11"/>
        <v>1910</v>
      </c>
      <c r="BX63" s="272">
        <f t="shared" si="11"/>
        <v>1322.4</v>
      </c>
      <c r="BY63" s="270"/>
      <c r="BZ63" s="270"/>
      <c r="CA63" s="270"/>
      <c r="CB63" s="270"/>
      <c r="CC63" s="270"/>
      <c r="CD63" s="270"/>
      <c r="CE63" s="270"/>
      <c r="CF63" s="270"/>
      <c r="CG63" s="270"/>
      <c r="CH63" s="270">
        <v>75</v>
      </c>
      <c r="CI63" s="270">
        <v>900</v>
      </c>
      <c r="CJ63" s="270">
        <v>900</v>
      </c>
      <c r="CK63" s="270"/>
      <c r="CL63" s="270"/>
      <c r="CM63" s="270"/>
      <c r="CN63" s="270"/>
      <c r="CO63" s="270"/>
      <c r="CP63" s="270"/>
      <c r="CQ63" s="270"/>
      <c r="CR63" s="270"/>
      <c r="CS63" s="270"/>
      <c r="CT63" s="270"/>
      <c r="CU63" s="270"/>
      <c r="CV63" s="270"/>
      <c r="CW63" s="270"/>
      <c r="CX63" s="270"/>
      <c r="CY63" s="270"/>
      <c r="CZ63" s="270"/>
      <c r="DA63" s="270"/>
      <c r="DB63" s="270"/>
      <c r="DC63" s="270"/>
      <c r="DD63" s="270"/>
      <c r="DE63" s="270"/>
      <c r="DF63" s="272">
        <f t="shared" si="12"/>
        <v>200</v>
      </c>
      <c r="DG63" s="272">
        <f t="shared" si="12"/>
        <v>2810</v>
      </c>
      <c r="DH63" s="272">
        <f t="shared" si="14"/>
        <v>2222.4</v>
      </c>
      <c r="DI63" s="274"/>
    </row>
    <row r="64" spans="1:113" s="275" customFormat="1" ht="24.75" customHeight="1" x14ac:dyDescent="0.6">
      <c r="A64" s="268">
        <v>21</v>
      </c>
      <c r="B64" s="269" t="s">
        <v>340</v>
      </c>
      <c r="C64" s="104" t="s">
        <v>341</v>
      </c>
      <c r="D64" s="100" t="s">
        <v>337</v>
      </c>
      <c r="E64" s="99" t="s">
        <v>338</v>
      </c>
      <c r="F64" s="253" t="s">
        <v>733</v>
      </c>
      <c r="G64" s="253" t="s">
        <v>872</v>
      </c>
      <c r="H64" s="253" t="s">
        <v>873</v>
      </c>
      <c r="I64" s="253" t="s">
        <v>874</v>
      </c>
      <c r="J64" s="253" t="s">
        <v>288</v>
      </c>
      <c r="K64" s="259"/>
      <c r="L64" s="258"/>
      <c r="M64" s="258"/>
      <c r="N64" s="258">
        <v>50</v>
      </c>
      <c r="O64" s="276">
        <v>940</v>
      </c>
      <c r="P64" s="276">
        <v>528.79999999999995</v>
      </c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  <c r="AG64" s="276"/>
      <c r="AH64" s="276"/>
      <c r="AI64" s="276">
        <v>50</v>
      </c>
      <c r="AJ64" s="276">
        <v>670</v>
      </c>
      <c r="AK64" s="276">
        <v>493.6</v>
      </c>
      <c r="AL64" s="276"/>
      <c r="AM64" s="276"/>
      <c r="AN64" s="276"/>
      <c r="AO64" s="272">
        <f t="shared" si="13"/>
        <v>100</v>
      </c>
      <c r="AP64" s="272">
        <f t="shared" si="9"/>
        <v>1610</v>
      </c>
      <c r="AQ64" s="272">
        <f t="shared" si="15"/>
        <v>1022.4</v>
      </c>
      <c r="AR64" s="253"/>
      <c r="AS64" s="253"/>
      <c r="AT64" s="253"/>
      <c r="AU64" s="253"/>
      <c r="AV64" s="253"/>
      <c r="AW64" s="253"/>
      <c r="AX64" s="253"/>
      <c r="AY64" s="253"/>
      <c r="AZ64" s="253"/>
      <c r="BA64" s="253">
        <v>50</v>
      </c>
      <c r="BB64" s="253">
        <v>920</v>
      </c>
      <c r="BC64" s="253">
        <v>559.20000000000005</v>
      </c>
      <c r="BD64" s="234"/>
      <c r="BE64" s="234"/>
      <c r="BF64" s="234"/>
      <c r="BG64" s="253"/>
      <c r="BH64" s="253"/>
      <c r="BI64" s="253"/>
      <c r="BJ64" s="253"/>
      <c r="BK64" s="253"/>
      <c r="BL64" s="253"/>
      <c r="BM64" s="253"/>
      <c r="BN64" s="253"/>
      <c r="BO64" s="253"/>
      <c r="BP64" s="253"/>
      <c r="BQ64" s="253"/>
      <c r="BR64" s="253"/>
      <c r="BS64" s="253">
        <v>50</v>
      </c>
      <c r="BT64" s="253">
        <v>680</v>
      </c>
      <c r="BU64" s="280">
        <v>478.40000000000003</v>
      </c>
      <c r="BV64" s="272">
        <f t="shared" si="11"/>
        <v>200</v>
      </c>
      <c r="BW64" s="272">
        <f t="shared" si="11"/>
        <v>3210</v>
      </c>
      <c r="BX64" s="272">
        <f t="shared" si="11"/>
        <v>2060</v>
      </c>
      <c r="BY64" s="280"/>
      <c r="BZ64" s="280"/>
      <c r="CA64" s="280"/>
      <c r="CB64" s="280"/>
      <c r="CC64" s="280"/>
      <c r="CD64" s="280"/>
      <c r="CE64" s="280"/>
      <c r="CF64" s="280"/>
      <c r="CG64" s="280"/>
      <c r="CH64" s="280"/>
      <c r="CI64" s="280"/>
      <c r="CJ64" s="280"/>
      <c r="CK64" s="280">
        <v>50</v>
      </c>
      <c r="CL64" s="280">
        <v>660</v>
      </c>
      <c r="CM64" s="280">
        <v>508.8</v>
      </c>
      <c r="CN64" s="280"/>
      <c r="CO64" s="280"/>
      <c r="CP64" s="280"/>
      <c r="CQ64" s="280"/>
      <c r="CR64" s="280"/>
      <c r="CS64" s="280"/>
      <c r="CT64" s="280">
        <v>50</v>
      </c>
      <c r="CU64" s="280">
        <v>800</v>
      </c>
      <c r="CV64" s="280">
        <v>518.79999999999995</v>
      </c>
      <c r="CW64" s="280"/>
      <c r="CX64" s="280"/>
      <c r="CY64" s="280"/>
      <c r="CZ64" s="280"/>
      <c r="DA64" s="280"/>
      <c r="DB64" s="280"/>
      <c r="DC64" s="280"/>
      <c r="DD64" s="280"/>
      <c r="DE64" s="280"/>
      <c r="DF64" s="272">
        <f t="shared" si="12"/>
        <v>300</v>
      </c>
      <c r="DG64" s="272">
        <f t="shared" si="12"/>
        <v>4670</v>
      </c>
      <c r="DH64" s="272">
        <f t="shared" si="14"/>
        <v>3087.6000000000004</v>
      </c>
      <c r="DI64" s="274"/>
    </row>
    <row r="65" spans="1:113" s="275" customFormat="1" ht="24.75" customHeight="1" x14ac:dyDescent="0.6">
      <c r="A65" s="268">
        <v>22</v>
      </c>
      <c r="B65" s="269" t="s">
        <v>342</v>
      </c>
      <c r="C65" s="104" t="s">
        <v>343</v>
      </c>
      <c r="D65" s="100" t="s">
        <v>131</v>
      </c>
      <c r="E65" s="99" t="s">
        <v>132</v>
      </c>
      <c r="F65" s="234" t="s">
        <v>733</v>
      </c>
      <c r="G65" s="234" t="s">
        <v>335</v>
      </c>
      <c r="H65" s="234" t="s">
        <v>875</v>
      </c>
      <c r="I65" s="234" t="s">
        <v>876</v>
      </c>
      <c r="J65" s="234" t="s">
        <v>288</v>
      </c>
      <c r="K65" s="259"/>
      <c r="L65" s="258"/>
      <c r="M65" s="258"/>
      <c r="N65" s="258"/>
      <c r="O65" s="258"/>
      <c r="P65" s="258"/>
      <c r="Q65" s="258">
        <v>60</v>
      </c>
      <c r="R65" s="258">
        <v>780</v>
      </c>
      <c r="S65" s="258">
        <v>628.79999999999995</v>
      </c>
      <c r="T65" s="258"/>
      <c r="U65" s="258"/>
      <c r="V65" s="258"/>
      <c r="W65" s="258"/>
      <c r="X65" s="258"/>
      <c r="Y65" s="258"/>
      <c r="Z65" s="258"/>
      <c r="AA65" s="258"/>
      <c r="AB65" s="258"/>
      <c r="AC65" s="258"/>
      <c r="AD65" s="258"/>
      <c r="AE65" s="258"/>
      <c r="AF65" s="258"/>
      <c r="AG65" s="258"/>
      <c r="AH65" s="258"/>
      <c r="AI65" s="258"/>
      <c r="AJ65" s="258"/>
      <c r="AK65" s="258"/>
      <c r="AL65" s="258"/>
      <c r="AM65" s="258"/>
      <c r="AN65" s="258"/>
      <c r="AO65" s="272">
        <f t="shared" si="13"/>
        <v>60</v>
      </c>
      <c r="AP65" s="272">
        <f t="shared" si="9"/>
        <v>780</v>
      </c>
      <c r="AQ65" s="272">
        <f t="shared" si="15"/>
        <v>628.79999999999995</v>
      </c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  <c r="BI65" s="234"/>
      <c r="BJ65" s="234">
        <v>115</v>
      </c>
      <c r="BK65" s="234">
        <v>1680</v>
      </c>
      <c r="BL65" s="234">
        <v>1369.6</v>
      </c>
      <c r="BM65" s="234"/>
      <c r="BN65" s="234"/>
      <c r="BO65" s="234"/>
      <c r="BP65" s="234"/>
      <c r="BQ65" s="234"/>
      <c r="BR65" s="234"/>
      <c r="BS65" s="234"/>
      <c r="BT65" s="234"/>
      <c r="BU65" s="270"/>
      <c r="BV65" s="272">
        <f t="shared" si="11"/>
        <v>175</v>
      </c>
      <c r="BW65" s="272">
        <f t="shared" si="11"/>
        <v>2460</v>
      </c>
      <c r="BX65" s="272">
        <f t="shared" si="11"/>
        <v>1998.3999999999999</v>
      </c>
      <c r="BY65" s="270">
        <v>90</v>
      </c>
      <c r="BZ65" s="270">
        <v>1700</v>
      </c>
      <c r="CA65" s="270">
        <v>1028.8</v>
      </c>
      <c r="CB65" s="270"/>
      <c r="CC65" s="270"/>
      <c r="CD65" s="270"/>
      <c r="CE65" s="270"/>
      <c r="CF65" s="270"/>
      <c r="CG65" s="270"/>
      <c r="CH65" s="270">
        <v>40</v>
      </c>
      <c r="CI65" s="270">
        <v>480</v>
      </c>
      <c r="CJ65" s="270">
        <v>480</v>
      </c>
      <c r="CK65" s="270"/>
      <c r="CL65" s="270"/>
      <c r="CM65" s="270"/>
      <c r="CN65" s="270"/>
      <c r="CO65" s="270"/>
      <c r="CP65" s="270"/>
      <c r="CQ65" s="270"/>
      <c r="CR65" s="270"/>
      <c r="CS65" s="270"/>
      <c r="CT65" s="270"/>
      <c r="CU65" s="270"/>
      <c r="CV65" s="270"/>
      <c r="CW65" s="270"/>
      <c r="CX65" s="270"/>
      <c r="CY65" s="270"/>
      <c r="CZ65" s="270"/>
      <c r="DA65" s="270"/>
      <c r="DB65" s="270"/>
      <c r="DC65" s="270"/>
      <c r="DD65" s="270"/>
      <c r="DE65" s="270"/>
      <c r="DF65" s="272">
        <f t="shared" si="12"/>
        <v>305</v>
      </c>
      <c r="DG65" s="272">
        <f t="shared" si="12"/>
        <v>4640</v>
      </c>
      <c r="DH65" s="272">
        <f t="shared" si="14"/>
        <v>3507.2</v>
      </c>
      <c r="DI65" s="274"/>
    </row>
    <row r="66" spans="1:113" s="275" customFormat="1" ht="24.75" customHeight="1" x14ac:dyDescent="0.6">
      <c r="A66" s="268">
        <v>23</v>
      </c>
      <c r="B66" s="269" t="s">
        <v>344</v>
      </c>
      <c r="C66" s="104" t="s">
        <v>345</v>
      </c>
      <c r="D66" s="100" t="s">
        <v>131</v>
      </c>
      <c r="E66" s="99" t="s">
        <v>132</v>
      </c>
      <c r="F66" s="234" t="s">
        <v>733</v>
      </c>
      <c r="G66" s="234" t="s">
        <v>877</v>
      </c>
      <c r="H66" s="234" t="s">
        <v>878</v>
      </c>
      <c r="I66" s="234" t="s">
        <v>879</v>
      </c>
      <c r="J66" s="234" t="s">
        <v>288</v>
      </c>
      <c r="K66" s="259"/>
      <c r="L66" s="258"/>
      <c r="M66" s="258"/>
      <c r="N66" s="258">
        <v>30</v>
      </c>
      <c r="O66" s="258">
        <v>420</v>
      </c>
      <c r="P66" s="258">
        <v>268.8</v>
      </c>
      <c r="Q66" s="258"/>
      <c r="R66" s="258"/>
      <c r="S66" s="258"/>
      <c r="T66" s="258"/>
      <c r="U66" s="258"/>
      <c r="V66" s="258"/>
      <c r="W66" s="258"/>
      <c r="X66" s="258"/>
      <c r="Y66" s="258"/>
      <c r="Z66" s="258"/>
      <c r="AA66" s="258"/>
      <c r="AB66" s="258"/>
      <c r="AC66" s="258"/>
      <c r="AD66" s="258"/>
      <c r="AE66" s="258"/>
      <c r="AF66" s="258"/>
      <c r="AG66" s="258"/>
      <c r="AH66" s="258"/>
      <c r="AI66" s="258"/>
      <c r="AJ66" s="258"/>
      <c r="AK66" s="258"/>
      <c r="AL66" s="258"/>
      <c r="AM66" s="258"/>
      <c r="AN66" s="258"/>
      <c r="AO66" s="272">
        <f t="shared" si="13"/>
        <v>30</v>
      </c>
      <c r="AP66" s="272">
        <f t="shared" si="9"/>
        <v>420</v>
      </c>
      <c r="AQ66" s="272">
        <f t="shared" si="15"/>
        <v>268.8</v>
      </c>
      <c r="AR66" s="234">
        <v>32</v>
      </c>
      <c r="AS66" s="234">
        <v>444</v>
      </c>
      <c r="AT66" s="234">
        <v>285.60000000000002</v>
      </c>
      <c r="AU66" s="234"/>
      <c r="AV66" s="234"/>
      <c r="AW66" s="234"/>
      <c r="AX66" s="234"/>
      <c r="AY66" s="234"/>
      <c r="AZ66" s="234"/>
      <c r="BA66" s="234">
        <v>35</v>
      </c>
      <c r="BB66" s="234">
        <v>430</v>
      </c>
      <c r="BC66" s="234">
        <v>404.8</v>
      </c>
      <c r="BD66" s="234"/>
      <c r="BE66" s="234"/>
      <c r="BF66" s="234"/>
      <c r="BG66" s="234">
        <v>25</v>
      </c>
      <c r="BH66" s="234">
        <v>300</v>
      </c>
      <c r="BI66" s="234">
        <v>300</v>
      </c>
      <c r="BJ66" s="234"/>
      <c r="BK66" s="234"/>
      <c r="BL66" s="234"/>
      <c r="BM66" s="234"/>
      <c r="BN66" s="234"/>
      <c r="BO66" s="234"/>
      <c r="BP66" s="234">
        <v>30</v>
      </c>
      <c r="BQ66" s="234">
        <v>420</v>
      </c>
      <c r="BR66" s="234">
        <v>268.8</v>
      </c>
      <c r="BS66" s="234"/>
      <c r="BT66" s="234"/>
      <c r="BU66" s="270"/>
      <c r="BV66" s="272">
        <f t="shared" si="11"/>
        <v>152</v>
      </c>
      <c r="BW66" s="272">
        <f t="shared" si="11"/>
        <v>2014</v>
      </c>
      <c r="BX66" s="272">
        <f t="shared" si="11"/>
        <v>1527.9999999999998</v>
      </c>
      <c r="BY66" s="270"/>
      <c r="BZ66" s="270"/>
      <c r="CA66" s="270"/>
      <c r="CB66" s="270"/>
      <c r="CC66" s="270"/>
      <c r="CD66" s="270"/>
      <c r="CE66" s="270"/>
      <c r="CF66" s="270"/>
      <c r="CG66" s="270"/>
      <c r="CH66" s="270"/>
      <c r="CI66" s="270"/>
      <c r="CJ66" s="270"/>
      <c r="CK66" s="270"/>
      <c r="CL66" s="270"/>
      <c r="CM66" s="270"/>
      <c r="CN66" s="270">
        <v>20</v>
      </c>
      <c r="CO66" s="270">
        <v>540</v>
      </c>
      <c r="CP66" s="270">
        <v>229.60000000000002</v>
      </c>
      <c r="CQ66" s="270"/>
      <c r="CR66" s="270"/>
      <c r="CS66" s="270"/>
      <c r="CT66" s="270">
        <v>32</v>
      </c>
      <c r="CU66" s="270">
        <v>444</v>
      </c>
      <c r="CV66" s="270">
        <v>285.60000000000002</v>
      </c>
      <c r="CW66" s="270"/>
      <c r="CX66" s="270"/>
      <c r="CY66" s="270"/>
      <c r="CZ66" s="270"/>
      <c r="DA66" s="270"/>
      <c r="DB66" s="270"/>
      <c r="DC66" s="270"/>
      <c r="DD66" s="270"/>
      <c r="DE66" s="270"/>
      <c r="DF66" s="272">
        <f t="shared" si="12"/>
        <v>204</v>
      </c>
      <c r="DG66" s="272">
        <f t="shared" si="12"/>
        <v>2998</v>
      </c>
      <c r="DH66" s="272">
        <f t="shared" si="14"/>
        <v>2043.1999999999998</v>
      </c>
      <c r="DI66" s="274"/>
    </row>
    <row r="67" spans="1:113" s="275" customFormat="1" ht="24.75" customHeight="1" x14ac:dyDescent="0.6">
      <c r="A67" s="268">
        <v>24</v>
      </c>
      <c r="B67" s="269" t="s">
        <v>346</v>
      </c>
      <c r="C67" s="104" t="s">
        <v>347</v>
      </c>
      <c r="D67" s="100" t="s">
        <v>54</v>
      </c>
      <c r="E67" s="99" t="s">
        <v>120</v>
      </c>
      <c r="F67" s="234" t="s">
        <v>733</v>
      </c>
      <c r="G67" s="234" t="s">
        <v>880</v>
      </c>
      <c r="H67" s="234" t="s">
        <v>881</v>
      </c>
      <c r="I67" s="234" t="s">
        <v>882</v>
      </c>
      <c r="J67" s="234" t="s">
        <v>288</v>
      </c>
      <c r="K67" s="259"/>
      <c r="L67" s="258"/>
      <c r="M67" s="258"/>
      <c r="N67" s="258"/>
      <c r="O67" s="258"/>
      <c r="P67" s="258"/>
      <c r="Q67" s="258"/>
      <c r="R67" s="258"/>
      <c r="S67" s="258"/>
      <c r="T67" s="258"/>
      <c r="U67" s="258"/>
      <c r="V67" s="258"/>
      <c r="W67" s="258">
        <v>20</v>
      </c>
      <c r="X67" s="258">
        <v>280</v>
      </c>
      <c r="Y67" s="258">
        <v>179.20000000000002</v>
      </c>
      <c r="Z67" s="258"/>
      <c r="AA67" s="258"/>
      <c r="AB67" s="258"/>
      <c r="AC67" s="258"/>
      <c r="AD67" s="258"/>
      <c r="AE67" s="258"/>
      <c r="AF67" s="258"/>
      <c r="AG67" s="258"/>
      <c r="AH67" s="258"/>
      <c r="AI67" s="258"/>
      <c r="AJ67" s="258"/>
      <c r="AK67" s="258"/>
      <c r="AL67" s="258"/>
      <c r="AM67" s="258"/>
      <c r="AN67" s="258"/>
      <c r="AO67" s="272">
        <f t="shared" si="13"/>
        <v>20</v>
      </c>
      <c r="AP67" s="272">
        <f t="shared" si="9"/>
        <v>280</v>
      </c>
      <c r="AQ67" s="272">
        <f t="shared" si="15"/>
        <v>179.20000000000002</v>
      </c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/>
      <c r="BK67" s="234"/>
      <c r="BL67" s="234"/>
      <c r="BM67" s="234"/>
      <c r="BN67" s="234"/>
      <c r="BO67" s="234"/>
      <c r="BP67" s="234"/>
      <c r="BQ67" s="234"/>
      <c r="BR67" s="234"/>
      <c r="BS67" s="234"/>
      <c r="BT67" s="234"/>
      <c r="BU67" s="270"/>
      <c r="BV67" s="272">
        <f t="shared" si="11"/>
        <v>20</v>
      </c>
      <c r="BW67" s="272">
        <f t="shared" si="11"/>
        <v>280</v>
      </c>
      <c r="BX67" s="272">
        <f t="shared" si="11"/>
        <v>179.20000000000002</v>
      </c>
      <c r="BY67" s="270"/>
      <c r="BZ67" s="270"/>
      <c r="CA67" s="270"/>
      <c r="CB67" s="270"/>
      <c r="CC67" s="270"/>
      <c r="CD67" s="270"/>
      <c r="CE67" s="270">
        <v>15</v>
      </c>
      <c r="CF67" s="270">
        <v>210</v>
      </c>
      <c r="CG67" s="270">
        <v>134.4</v>
      </c>
      <c r="CH67" s="270"/>
      <c r="CI67" s="270"/>
      <c r="CJ67" s="270"/>
      <c r="CK67" s="270"/>
      <c r="CL67" s="270"/>
      <c r="CM67" s="270"/>
      <c r="CN67" s="270"/>
      <c r="CO67" s="270"/>
      <c r="CP67" s="270"/>
      <c r="CQ67" s="270"/>
      <c r="CR67" s="270"/>
      <c r="CS67" s="270"/>
      <c r="CT67" s="270"/>
      <c r="CU67" s="270"/>
      <c r="CV67" s="270"/>
      <c r="CW67" s="270"/>
      <c r="CX67" s="270"/>
      <c r="CY67" s="270"/>
      <c r="CZ67" s="270"/>
      <c r="DA67" s="270"/>
      <c r="DB67" s="270"/>
      <c r="DC67" s="270"/>
      <c r="DD67" s="270"/>
      <c r="DE67" s="270"/>
      <c r="DF67" s="272">
        <f t="shared" si="12"/>
        <v>35</v>
      </c>
      <c r="DG67" s="272">
        <f t="shared" si="12"/>
        <v>490</v>
      </c>
      <c r="DH67" s="272">
        <f t="shared" si="14"/>
        <v>313.60000000000002</v>
      </c>
      <c r="DI67" s="360"/>
    </row>
    <row r="68" spans="1:113" s="275" customFormat="1" ht="24.75" customHeight="1" x14ac:dyDescent="0.6">
      <c r="A68" s="268">
        <v>25</v>
      </c>
      <c r="B68" s="269" t="s">
        <v>348</v>
      </c>
      <c r="C68" s="104" t="s">
        <v>349</v>
      </c>
      <c r="D68" s="100" t="s">
        <v>54</v>
      </c>
      <c r="E68" s="99" t="s">
        <v>120</v>
      </c>
      <c r="F68" s="234" t="s">
        <v>733</v>
      </c>
      <c r="G68" s="234" t="s">
        <v>883</v>
      </c>
      <c r="H68" s="234" t="s">
        <v>884</v>
      </c>
      <c r="I68" s="234" t="s">
        <v>885</v>
      </c>
      <c r="J68" s="234" t="s">
        <v>288</v>
      </c>
      <c r="K68" s="259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/>
      <c r="AA68" s="258"/>
      <c r="AB68" s="258"/>
      <c r="AC68" s="258"/>
      <c r="AD68" s="258"/>
      <c r="AE68" s="258"/>
      <c r="AF68" s="258"/>
      <c r="AG68" s="258"/>
      <c r="AH68" s="258"/>
      <c r="AI68" s="258"/>
      <c r="AJ68" s="258"/>
      <c r="AK68" s="258"/>
      <c r="AL68" s="258"/>
      <c r="AM68" s="258"/>
      <c r="AN68" s="258"/>
      <c r="AO68" s="272">
        <f t="shared" si="13"/>
        <v>0</v>
      </c>
      <c r="AP68" s="272">
        <f t="shared" si="9"/>
        <v>0</v>
      </c>
      <c r="AQ68" s="272">
        <f t="shared" si="15"/>
        <v>0</v>
      </c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4"/>
      <c r="BM68" s="234"/>
      <c r="BN68" s="234"/>
      <c r="BO68" s="234"/>
      <c r="BP68" s="234"/>
      <c r="BQ68" s="234"/>
      <c r="BR68" s="234"/>
      <c r="BS68" s="234"/>
      <c r="BT68" s="234"/>
      <c r="BU68" s="270"/>
      <c r="BV68" s="272">
        <f t="shared" si="11"/>
        <v>0</v>
      </c>
      <c r="BW68" s="272">
        <f t="shared" si="11"/>
        <v>0</v>
      </c>
      <c r="BX68" s="272">
        <f t="shared" si="11"/>
        <v>0</v>
      </c>
      <c r="BY68" s="270"/>
      <c r="BZ68" s="270"/>
      <c r="CA68" s="270"/>
      <c r="CB68" s="270"/>
      <c r="CC68" s="270"/>
      <c r="CD68" s="270"/>
      <c r="CE68" s="270"/>
      <c r="CF68" s="270"/>
      <c r="CG68" s="270"/>
      <c r="CH68" s="270">
        <v>50</v>
      </c>
      <c r="CI68" s="270">
        <v>700</v>
      </c>
      <c r="CJ68" s="270">
        <v>448</v>
      </c>
      <c r="CK68" s="270"/>
      <c r="CL68" s="270"/>
      <c r="CM68" s="270"/>
      <c r="CN68" s="270">
        <v>15</v>
      </c>
      <c r="CO68" s="270">
        <v>460</v>
      </c>
      <c r="CP68" s="270">
        <v>182</v>
      </c>
      <c r="CQ68" s="270"/>
      <c r="CR68" s="270"/>
      <c r="CS68" s="270"/>
      <c r="CT68" s="270"/>
      <c r="CU68" s="270"/>
      <c r="CV68" s="270"/>
      <c r="CW68" s="270"/>
      <c r="CX68" s="270"/>
      <c r="CY68" s="270"/>
      <c r="CZ68" s="270"/>
      <c r="DA68" s="270"/>
      <c r="DB68" s="270"/>
      <c r="DC68" s="270"/>
      <c r="DD68" s="270"/>
      <c r="DE68" s="270"/>
      <c r="DF68" s="272">
        <f t="shared" si="12"/>
        <v>65</v>
      </c>
      <c r="DG68" s="272">
        <f t="shared" si="12"/>
        <v>1160</v>
      </c>
      <c r="DH68" s="272">
        <f t="shared" si="14"/>
        <v>630</v>
      </c>
      <c r="DI68" s="274"/>
    </row>
    <row r="69" spans="1:113" s="275" customFormat="1" ht="24.75" customHeight="1" x14ac:dyDescent="0.6">
      <c r="A69" s="268">
        <v>26</v>
      </c>
      <c r="B69" s="269" t="s">
        <v>350</v>
      </c>
      <c r="C69" s="104" t="s">
        <v>351</v>
      </c>
      <c r="D69" s="100" t="s">
        <v>54</v>
      </c>
      <c r="E69" s="99" t="s">
        <v>120</v>
      </c>
      <c r="F69" s="234" t="s">
        <v>733</v>
      </c>
      <c r="G69" s="234" t="s">
        <v>886</v>
      </c>
      <c r="H69" s="234" t="s">
        <v>887</v>
      </c>
      <c r="I69" s="234" t="s">
        <v>888</v>
      </c>
      <c r="J69" s="234" t="s">
        <v>288</v>
      </c>
      <c r="K69" s="259"/>
      <c r="L69" s="258"/>
      <c r="M69" s="258"/>
      <c r="N69" s="258"/>
      <c r="O69" s="258"/>
      <c r="P69" s="258"/>
      <c r="Q69" s="258">
        <v>15</v>
      </c>
      <c r="R69" s="258">
        <v>180</v>
      </c>
      <c r="S69" s="258">
        <v>180</v>
      </c>
      <c r="T69" s="258"/>
      <c r="U69" s="258"/>
      <c r="V69" s="258"/>
      <c r="W69" s="258"/>
      <c r="X69" s="258"/>
      <c r="Y69" s="258"/>
      <c r="Z69" s="258"/>
      <c r="AA69" s="258"/>
      <c r="AB69" s="258"/>
      <c r="AC69" s="258">
        <v>22</v>
      </c>
      <c r="AD69" s="258">
        <v>340</v>
      </c>
      <c r="AE69" s="258">
        <v>237.60000000000002</v>
      </c>
      <c r="AF69" s="258"/>
      <c r="AG69" s="258"/>
      <c r="AH69" s="258"/>
      <c r="AI69" s="258"/>
      <c r="AJ69" s="258"/>
      <c r="AK69" s="258"/>
      <c r="AL69" s="258"/>
      <c r="AM69" s="258"/>
      <c r="AN69" s="258"/>
      <c r="AO69" s="272">
        <f t="shared" si="13"/>
        <v>37</v>
      </c>
      <c r="AP69" s="272">
        <f t="shared" si="9"/>
        <v>520</v>
      </c>
      <c r="AQ69" s="272">
        <f t="shared" si="15"/>
        <v>417.6</v>
      </c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>
        <v>30</v>
      </c>
      <c r="BH69" s="234">
        <v>390</v>
      </c>
      <c r="BI69" s="234">
        <v>314.39999999999998</v>
      </c>
      <c r="BJ69" s="234"/>
      <c r="BK69" s="234"/>
      <c r="BL69" s="234"/>
      <c r="BM69" s="234"/>
      <c r="BN69" s="234"/>
      <c r="BO69" s="234"/>
      <c r="BP69" s="234"/>
      <c r="BQ69" s="234"/>
      <c r="BR69" s="234"/>
      <c r="BS69" s="234"/>
      <c r="BT69" s="234"/>
      <c r="BU69" s="270"/>
      <c r="BV69" s="272">
        <f t="shared" si="11"/>
        <v>67</v>
      </c>
      <c r="BW69" s="272">
        <f t="shared" si="11"/>
        <v>910</v>
      </c>
      <c r="BX69" s="272">
        <f t="shared" si="11"/>
        <v>732</v>
      </c>
      <c r="BY69" s="270"/>
      <c r="BZ69" s="270"/>
      <c r="CA69" s="270"/>
      <c r="CB69" s="270"/>
      <c r="CC69" s="270"/>
      <c r="CD69" s="270"/>
      <c r="CE69" s="270">
        <v>35</v>
      </c>
      <c r="CF69" s="270">
        <v>460</v>
      </c>
      <c r="CG69" s="270">
        <v>359.20000000000005</v>
      </c>
      <c r="CH69" s="270"/>
      <c r="CI69" s="270"/>
      <c r="CJ69" s="270"/>
      <c r="CK69" s="270"/>
      <c r="CL69" s="270"/>
      <c r="CM69" s="270"/>
      <c r="CN69" s="270"/>
      <c r="CO69" s="270"/>
      <c r="CP69" s="270"/>
      <c r="CQ69" s="270"/>
      <c r="CR69" s="270"/>
      <c r="CS69" s="270"/>
      <c r="CT69" s="270">
        <v>35</v>
      </c>
      <c r="CU69" s="270">
        <v>440</v>
      </c>
      <c r="CV69" s="270">
        <v>389.6</v>
      </c>
      <c r="CW69" s="270"/>
      <c r="CX69" s="270"/>
      <c r="CY69" s="270"/>
      <c r="CZ69" s="270"/>
      <c r="DA69" s="270"/>
      <c r="DB69" s="270"/>
      <c r="DC69" s="270"/>
      <c r="DD69" s="270"/>
      <c r="DE69" s="270"/>
      <c r="DF69" s="272">
        <f t="shared" si="12"/>
        <v>137</v>
      </c>
      <c r="DG69" s="272">
        <f t="shared" si="12"/>
        <v>1810</v>
      </c>
      <c r="DH69" s="272">
        <f t="shared" si="14"/>
        <v>1480.8000000000002</v>
      </c>
      <c r="DI69" s="274"/>
    </row>
    <row r="70" spans="1:113" s="275" customFormat="1" ht="24.75" customHeight="1" x14ac:dyDescent="0.6">
      <c r="A70" s="268">
        <v>27</v>
      </c>
      <c r="B70" s="302" t="s">
        <v>352</v>
      </c>
      <c r="C70" s="104" t="s">
        <v>353</v>
      </c>
      <c r="D70" s="100" t="s">
        <v>54</v>
      </c>
      <c r="E70" s="99" t="s">
        <v>120</v>
      </c>
      <c r="F70" s="234" t="s">
        <v>733</v>
      </c>
      <c r="G70" s="234" t="s">
        <v>889</v>
      </c>
      <c r="H70" s="234" t="s">
        <v>890</v>
      </c>
      <c r="I70" s="234" t="s">
        <v>891</v>
      </c>
      <c r="J70" s="234" t="s">
        <v>288</v>
      </c>
      <c r="K70" s="259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258"/>
      <c r="AA70" s="258"/>
      <c r="AB70" s="258"/>
      <c r="AC70" s="258"/>
      <c r="AD70" s="258"/>
      <c r="AE70" s="258"/>
      <c r="AF70" s="258"/>
      <c r="AG70" s="258"/>
      <c r="AH70" s="258"/>
      <c r="AI70" s="258"/>
      <c r="AJ70" s="258"/>
      <c r="AK70" s="258"/>
      <c r="AL70" s="258"/>
      <c r="AM70" s="258"/>
      <c r="AN70" s="258"/>
      <c r="AO70" s="272">
        <f t="shared" si="13"/>
        <v>0</v>
      </c>
      <c r="AP70" s="272">
        <f t="shared" si="9"/>
        <v>0</v>
      </c>
      <c r="AQ70" s="272">
        <f t="shared" si="15"/>
        <v>0</v>
      </c>
      <c r="AR70" s="234"/>
      <c r="AS70" s="234"/>
      <c r="AT70" s="234"/>
      <c r="AU70" s="234">
        <v>45</v>
      </c>
      <c r="AV70" s="234">
        <v>540</v>
      </c>
      <c r="AW70" s="234">
        <v>540</v>
      </c>
      <c r="AX70" s="234"/>
      <c r="AY70" s="234"/>
      <c r="AZ70" s="234"/>
      <c r="BA70" s="234"/>
      <c r="BB70" s="234"/>
      <c r="BC70" s="234"/>
      <c r="BD70" s="234"/>
      <c r="BE70" s="234"/>
      <c r="BF70" s="234"/>
      <c r="BG70" s="234"/>
      <c r="BH70" s="234"/>
      <c r="BI70" s="234"/>
      <c r="BJ70" s="234"/>
      <c r="BK70" s="234"/>
      <c r="BL70" s="234"/>
      <c r="BM70" s="234"/>
      <c r="BN70" s="234"/>
      <c r="BO70" s="234"/>
      <c r="BP70" s="234"/>
      <c r="BQ70" s="234"/>
      <c r="BR70" s="234"/>
      <c r="BS70" s="234"/>
      <c r="BT70" s="234"/>
      <c r="BU70" s="270"/>
      <c r="BV70" s="272">
        <f t="shared" si="11"/>
        <v>45</v>
      </c>
      <c r="BW70" s="272">
        <f t="shared" si="11"/>
        <v>540</v>
      </c>
      <c r="BX70" s="272">
        <f t="shared" si="11"/>
        <v>540</v>
      </c>
      <c r="BY70" s="270"/>
      <c r="BZ70" s="270"/>
      <c r="CA70" s="270"/>
      <c r="CB70" s="270"/>
      <c r="CC70" s="270"/>
      <c r="CD70" s="270"/>
      <c r="CE70" s="270"/>
      <c r="CF70" s="270"/>
      <c r="CG70" s="270"/>
      <c r="CH70" s="270"/>
      <c r="CI70" s="270"/>
      <c r="CJ70" s="270"/>
      <c r="CK70" s="270"/>
      <c r="CL70" s="270"/>
      <c r="CM70" s="270"/>
      <c r="CN70" s="270"/>
      <c r="CO70" s="270"/>
      <c r="CP70" s="270"/>
      <c r="CQ70" s="270"/>
      <c r="CR70" s="270"/>
      <c r="CS70" s="270"/>
      <c r="CT70" s="270">
        <v>110</v>
      </c>
      <c r="CU70" s="270">
        <v>1420</v>
      </c>
      <c r="CV70" s="270">
        <v>1168</v>
      </c>
      <c r="CW70" s="270"/>
      <c r="CX70" s="270"/>
      <c r="CY70" s="270"/>
      <c r="CZ70" s="270"/>
      <c r="DA70" s="270"/>
      <c r="DB70" s="270"/>
      <c r="DC70" s="270"/>
      <c r="DD70" s="270"/>
      <c r="DE70" s="270"/>
      <c r="DF70" s="272">
        <f t="shared" si="12"/>
        <v>155</v>
      </c>
      <c r="DG70" s="272">
        <f t="shared" si="12"/>
        <v>1960</v>
      </c>
      <c r="DH70" s="272">
        <f t="shared" si="14"/>
        <v>1708</v>
      </c>
      <c r="DI70" s="274"/>
    </row>
    <row r="71" spans="1:113" s="275" customFormat="1" ht="24.75" customHeight="1" x14ac:dyDescent="0.6">
      <c r="A71" s="268">
        <v>28</v>
      </c>
      <c r="B71" s="302" t="s">
        <v>354</v>
      </c>
      <c r="C71" s="104" t="s">
        <v>355</v>
      </c>
      <c r="D71" s="100" t="s">
        <v>54</v>
      </c>
      <c r="E71" s="99" t="s">
        <v>120</v>
      </c>
      <c r="F71" s="234" t="s">
        <v>733</v>
      </c>
      <c r="G71" s="234" t="s">
        <v>892</v>
      </c>
      <c r="H71" s="234" t="s">
        <v>893</v>
      </c>
      <c r="I71" s="234" t="s">
        <v>894</v>
      </c>
      <c r="J71" s="234" t="s">
        <v>288</v>
      </c>
      <c r="K71" s="259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>
        <v>35</v>
      </c>
      <c r="X71" s="258">
        <v>590</v>
      </c>
      <c r="Y71" s="258">
        <v>360.40000000000003</v>
      </c>
      <c r="Z71" s="258"/>
      <c r="AA71" s="258"/>
      <c r="AB71" s="258"/>
      <c r="AC71" s="258"/>
      <c r="AD71" s="258"/>
      <c r="AE71" s="258"/>
      <c r="AF71" s="258"/>
      <c r="AG71" s="258"/>
      <c r="AH71" s="258"/>
      <c r="AI71" s="258"/>
      <c r="AJ71" s="258"/>
      <c r="AK71" s="258"/>
      <c r="AL71" s="258"/>
      <c r="AM71" s="258"/>
      <c r="AN71" s="258"/>
      <c r="AO71" s="272">
        <f t="shared" si="13"/>
        <v>35</v>
      </c>
      <c r="AP71" s="272">
        <f t="shared" si="9"/>
        <v>590</v>
      </c>
      <c r="AQ71" s="272">
        <f t="shared" si="15"/>
        <v>360.40000000000003</v>
      </c>
      <c r="AR71" s="234"/>
      <c r="AS71" s="234"/>
      <c r="AT71" s="234"/>
      <c r="AU71" s="234">
        <v>20</v>
      </c>
      <c r="AV71" s="234">
        <v>270</v>
      </c>
      <c r="AW71" s="234">
        <v>194.4</v>
      </c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  <c r="BI71" s="234"/>
      <c r="BJ71" s="234"/>
      <c r="BK71" s="234"/>
      <c r="BL71" s="234"/>
      <c r="BM71" s="234"/>
      <c r="BN71" s="234"/>
      <c r="BO71" s="234"/>
      <c r="BP71" s="234"/>
      <c r="BQ71" s="234"/>
      <c r="BR71" s="234"/>
      <c r="BS71" s="234">
        <v>20</v>
      </c>
      <c r="BT71" s="234">
        <v>410</v>
      </c>
      <c r="BU71" s="270">
        <v>204.40000000000003</v>
      </c>
      <c r="BV71" s="272">
        <f t="shared" si="11"/>
        <v>75</v>
      </c>
      <c r="BW71" s="272">
        <f t="shared" si="11"/>
        <v>1270</v>
      </c>
      <c r="BX71" s="272">
        <f t="shared" si="11"/>
        <v>759.2</v>
      </c>
      <c r="BY71" s="270"/>
      <c r="BZ71" s="270"/>
      <c r="CA71" s="270"/>
      <c r="CB71" s="270"/>
      <c r="CC71" s="270"/>
      <c r="CD71" s="270"/>
      <c r="CE71" s="270"/>
      <c r="CF71" s="270"/>
      <c r="CG71" s="270"/>
      <c r="CH71" s="270"/>
      <c r="CI71" s="270"/>
      <c r="CJ71" s="270"/>
      <c r="CK71" s="270"/>
      <c r="CL71" s="270"/>
      <c r="CM71" s="270"/>
      <c r="CN71" s="270">
        <v>40</v>
      </c>
      <c r="CO71" s="270">
        <v>500</v>
      </c>
      <c r="CP71" s="270">
        <v>401.6</v>
      </c>
      <c r="CQ71" s="270"/>
      <c r="CR71" s="270"/>
      <c r="CS71" s="270"/>
      <c r="CT71" s="270"/>
      <c r="CU71" s="270"/>
      <c r="CV71" s="270"/>
      <c r="CW71" s="270"/>
      <c r="CX71" s="270"/>
      <c r="CY71" s="270"/>
      <c r="CZ71" s="270"/>
      <c r="DA71" s="270"/>
      <c r="DB71" s="270"/>
      <c r="DC71" s="270"/>
      <c r="DD71" s="270"/>
      <c r="DE71" s="270"/>
      <c r="DF71" s="272">
        <f t="shared" si="12"/>
        <v>115</v>
      </c>
      <c r="DG71" s="272">
        <f t="shared" si="12"/>
        <v>1770</v>
      </c>
      <c r="DH71" s="272">
        <f t="shared" si="14"/>
        <v>1160.8000000000002</v>
      </c>
      <c r="DI71" s="274"/>
    </row>
    <row r="72" spans="1:113" s="275" customFormat="1" ht="24.75" customHeight="1" x14ac:dyDescent="0.6">
      <c r="A72" s="268">
        <v>29</v>
      </c>
      <c r="B72" s="269" t="s">
        <v>356</v>
      </c>
      <c r="C72" s="104" t="s">
        <v>357</v>
      </c>
      <c r="D72" s="100" t="s">
        <v>54</v>
      </c>
      <c r="E72" s="99" t="s">
        <v>120</v>
      </c>
      <c r="F72" s="234" t="s">
        <v>733</v>
      </c>
      <c r="G72" s="234" t="s">
        <v>504</v>
      </c>
      <c r="H72" s="234" t="s">
        <v>895</v>
      </c>
      <c r="I72" s="234" t="s">
        <v>896</v>
      </c>
      <c r="J72" s="234" t="s">
        <v>288</v>
      </c>
      <c r="K72" s="259"/>
      <c r="L72" s="258"/>
      <c r="M72" s="258"/>
      <c r="N72" s="258"/>
      <c r="O72" s="258"/>
      <c r="P72" s="258"/>
      <c r="Q72" s="258">
        <v>60</v>
      </c>
      <c r="R72" s="258">
        <v>1000</v>
      </c>
      <c r="S72" s="258">
        <v>668</v>
      </c>
      <c r="T72" s="258"/>
      <c r="U72" s="258"/>
      <c r="V72" s="258"/>
      <c r="W72" s="258">
        <v>20</v>
      </c>
      <c r="X72" s="258">
        <v>280</v>
      </c>
      <c r="Y72" s="258">
        <v>179.20000000000002</v>
      </c>
      <c r="Z72" s="258"/>
      <c r="AA72" s="258"/>
      <c r="AB72" s="258"/>
      <c r="AC72" s="258"/>
      <c r="AD72" s="258"/>
      <c r="AE72" s="258"/>
      <c r="AF72" s="258"/>
      <c r="AG72" s="258"/>
      <c r="AH72" s="258"/>
      <c r="AI72" s="258"/>
      <c r="AJ72" s="258"/>
      <c r="AK72" s="258"/>
      <c r="AL72" s="258">
        <v>100</v>
      </c>
      <c r="AM72" s="258">
        <v>1540</v>
      </c>
      <c r="AN72" s="258">
        <v>1080.8</v>
      </c>
      <c r="AO72" s="272">
        <f t="shared" si="13"/>
        <v>180</v>
      </c>
      <c r="AP72" s="272">
        <f t="shared" si="9"/>
        <v>2820</v>
      </c>
      <c r="AQ72" s="272">
        <f t="shared" si="15"/>
        <v>1928</v>
      </c>
      <c r="AR72" s="234"/>
      <c r="AS72" s="234"/>
      <c r="AT72" s="234"/>
      <c r="AU72" s="234"/>
      <c r="AV72" s="234"/>
      <c r="AW72" s="234"/>
      <c r="AX72" s="234"/>
      <c r="AY72" s="234"/>
      <c r="AZ72" s="234"/>
      <c r="BA72" s="234">
        <v>95</v>
      </c>
      <c r="BB72" s="234">
        <v>1500</v>
      </c>
      <c r="BC72" s="234">
        <v>1038.3999999999999</v>
      </c>
      <c r="BD72" s="234"/>
      <c r="BE72" s="234"/>
      <c r="BF72" s="234"/>
      <c r="BG72" s="234">
        <v>35</v>
      </c>
      <c r="BH72" s="234">
        <v>560</v>
      </c>
      <c r="BI72" s="234">
        <v>382</v>
      </c>
      <c r="BJ72" s="234"/>
      <c r="BK72" s="234"/>
      <c r="BL72" s="234"/>
      <c r="BM72" s="234"/>
      <c r="BN72" s="234"/>
      <c r="BO72" s="234"/>
      <c r="BP72" s="234"/>
      <c r="BQ72" s="234"/>
      <c r="BR72" s="234"/>
      <c r="BS72" s="234"/>
      <c r="BT72" s="234"/>
      <c r="BU72" s="270"/>
      <c r="BV72" s="272">
        <f t="shared" si="11"/>
        <v>310</v>
      </c>
      <c r="BW72" s="272">
        <f t="shared" si="11"/>
        <v>4880</v>
      </c>
      <c r="BX72" s="272">
        <f t="shared" si="11"/>
        <v>3348.3999999999996</v>
      </c>
      <c r="BY72" s="270"/>
      <c r="BZ72" s="270"/>
      <c r="CA72" s="270"/>
      <c r="CB72" s="270"/>
      <c r="CC72" s="270"/>
      <c r="CD72" s="270"/>
      <c r="CE72" s="270"/>
      <c r="CF72" s="270"/>
      <c r="CG72" s="270"/>
      <c r="CH72" s="270">
        <v>95</v>
      </c>
      <c r="CI72" s="270">
        <v>1480</v>
      </c>
      <c r="CJ72" s="270">
        <v>996.8</v>
      </c>
      <c r="CK72" s="270"/>
      <c r="CL72" s="270"/>
      <c r="CM72" s="270"/>
      <c r="CN72" s="270"/>
      <c r="CO72" s="270"/>
      <c r="CP72" s="270"/>
      <c r="CQ72" s="270"/>
      <c r="CR72" s="270"/>
      <c r="CS72" s="270"/>
      <c r="CT72" s="270">
        <v>25</v>
      </c>
      <c r="CU72" s="270">
        <v>580</v>
      </c>
      <c r="CV72" s="270">
        <v>248</v>
      </c>
      <c r="CW72" s="270"/>
      <c r="CX72" s="270"/>
      <c r="CY72" s="270"/>
      <c r="CZ72" s="270"/>
      <c r="DA72" s="270"/>
      <c r="DB72" s="270"/>
      <c r="DC72" s="270"/>
      <c r="DD72" s="270"/>
      <c r="DE72" s="270"/>
      <c r="DF72" s="272">
        <f t="shared" si="12"/>
        <v>430</v>
      </c>
      <c r="DG72" s="272">
        <f t="shared" si="12"/>
        <v>6940</v>
      </c>
      <c r="DH72" s="272">
        <f t="shared" si="14"/>
        <v>4593.2</v>
      </c>
      <c r="DI72" s="274"/>
    </row>
    <row r="73" spans="1:113" s="275" customFormat="1" ht="24.75" customHeight="1" x14ac:dyDescent="0.6">
      <c r="A73" s="268">
        <v>30</v>
      </c>
      <c r="B73" s="269" t="s">
        <v>358</v>
      </c>
      <c r="C73" s="104" t="s">
        <v>359</v>
      </c>
      <c r="D73" s="100" t="s">
        <v>360</v>
      </c>
      <c r="E73" s="99" t="s">
        <v>361</v>
      </c>
      <c r="F73" s="234" t="s">
        <v>733</v>
      </c>
      <c r="G73" s="234" t="s">
        <v>344</v>
      </c>
      <c r="H73" s="234" t="s">
        <v>345</v>
      </c>
      <c r="I73" s="234" t="s">
        <v>897</v>
      </c>
      <c r="J73" s="234" t="s">
        <v>288</v>
      </c>
      <c r="K73" s="259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  <c r="AA73" s="258"/>
      <c r="AB73" s="258"/>
      <c r="AC73" s="258"/>
      <c r="AD73" s="258"/>
      <c r="AE73" s="258"/>
      <c r="AF73" s="258"/>
      <c r="AG73" s="258"/>
      <c r="AH73" s="258"/>
      <c r="AI73" s="258"/>
      <c r="AJ73" s="258"/>
      <c r="AK73" s="258"/>
      <c r="AL73" s="258"/>
      <c r="AM73" s="258"/>
      <c r="AN73" s="258"/>
      <c r="AO73" s="272">
        <f t="shared" si="13"/>
        <v>0</v>
      </c>
      <c r="AP73" s="272">
        <f t="shared" si="9"/>
        <v>0</v>
      </c>
      <c r="AQ73" s="272">
        <f t="shared" si="15"/>
        <v>0</v>
      </c>
      <c r="AR73" s="234">
        <v>15</v>
      </c>
      <c r="AS73" s="234">
        <v>180</v>
      </c>
      <c r="AT73" s="234">
        <v>180</v>
      </c>
      <c r="AU73" s="234"/>
      <c r="AV73" s="234"/>
      <c r="AW73" s="234"/>
      <c r="AX73" s="234"/>
      <c r="AY73" s="234"/>
      <c r="AZ73" s="234"/>
      <c r="BA73" s="234"/>
      <c r="BB73" s="234"/>
      <c r="BC73" s="234"/>
      <c r="BD73" s="234"/>
      <c r="BE73" s="234"/>
      <c r="BF73" s="234"/>
      <c r="BG73" s="234"/>
      <c r="BH73" s="234"/>
      <c r="BI73" s="234"/>
      <c r="BJ73" s="234"/>
      <c r="BK73" s="234"/>
      <c r="BL73" s="234"/>
      <c r="BM73" s="234"/>
      <c r="BN73" s="234"/>
      <c r="BO73" s="234"/>
      <c r="BP73" s="234"/>
      <c r="BQ73" s="234"/>
      <c r="BR73" s="234"/>
      <c r="BS73" s="234"/>
      <c r="BT73" s="234"/>
      <c r="BU73" s="270"/>
      <c r="BV73" s="272">
        <f t="shared" si="11"/>
        <v>15</v>
      </c>
      <c r="BW73" s="272">
        <f t="shared" si="11"/>
        <v>180</v>
      </c>
      <c r="BX73" s="272">
        <f t="shared" si="11"/>
        <v>180</v>
      </c>
      <c r="BY73" s="270"/>
      <c r="BZ73" s="270"/>
      <c r="CA73" s="270"/>
      <c r="CB73" s="270"/>
      <c r="CC73" s="270"/>
      <c r="CD73" s="270"/>
      <c r="CE73" s="270"/>
      <c r="CF73" s="270"/>
      <c r="CG73" s="270"/>
      <c r="CH73" s="270"/>
      <c r="CI73" s="270"/>
      <c r="CJ73" s="270"/>
      <c r="CK73" s="270"/>
      <c r="CL73" s="270"/>
      <c r="CM73" s="270"/>
      <c r="CN73" s="270"/>
      <c r="CO73" s="270"/>
      <c r="CP73" s="270"/>
      <c r="CQ73" s="270"/>
      <c r="CR73" s="270"/>
      <c r="CS73" s="270"/>
      <c r="CT73" s="270"/>
      <c r="CU73" s="270"/>
      <c r="CV73" s="270"/>
      <c r="CW73" s="270"/>
      <c r="CX73" s="270"/>
      <c r="CY73" s="270"/>
      <c r="CZ73" s="270"/>
      <c r="DA73" s="270"/>
      <c r="DB73" s="270"/>
      <c r="DC73" s="270"/>
      <c r="DD73" s="270"/>
      <c r="DE73" s="270"/>
      <c r="DF73" s="272">
        <f t="shared" si="12"/>
        <v>15</v>
      </c>
      <c r="DG73" s="272">
        <f t="shared" si="12"/>
        <v>180</v>
      </c>
      <c r="DH73" s="272">
        <f t="shared" si="14"/>
        <v>180</v>
      </c>
      <c r="DI73" s="274"/>
    </row>
    <row r="74" spans="1:113" s="275" customFormat="1" ht="24.75" customHeight="1" x14ac:dyDescent="0.6">
      <c r="A74" s="268">
        <v>31</v>
      </c>
      <c r="B74" s="269" t="s">
        <v>362</v>
      </c>
      <c r="C74" s="104" t="s">
        <v>362</v>
      </c>
      <c r="D74" s="99" t="s">
        <v>98</v>
      </c>
      <c r="E74" s="99" t="s">
        <v>99</v>
      </c>
      <c r="F74" s="234" t="s">
        <v>733</v>
      </c>
      <c r="G74" s="234" t="s">
        <v>898</v>
      </c>
      <c r="H74" s="234" t="s">
        <v>899</v>
      </c>
      <c r="I74" s="234" t="s">
        <v>900</v>
      </c>
      <c r="J74" s="234" t="s">
        <v>288</v>
      </c>
      <c r="K74" s="259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58"/>
      <c r="AA74" s="258"/>
      <c r="AB74" s="258"/>
      <c r="AC74" s="258"/>
      <c r="AD74" s="258"/>
      <c r="AE74" s="258"/>
      <c r="AF74" s="258"/>
      <c r="AG74" s="258"/>
      <c r="AH74" s="258"/>
      <c r="AI74" s="258"/>
      <c r="AJ74" s="258"/>
      <c r="AK74" s="258"/>
      <c r="AL74" s="258">
        <v>200</v>
      </c>
      <c r="AM74" s="258">
        <v>3300</v>
      </c>
      <c r="AN74" s="258">
        <v>2272.8000000000002</v>
      </c>
      <c r="AO74" s="272">
        <f t="shared" si="13"/>
        <v>200</v>
      </c>
      <c r="AP74" s="272">
        <f t="shared" si="9"/>
        <v>3300</v>
      </c>
      <c r="AQ74" s="272">
        <f t="shared" si="15"/>
        <v>2272.8000000000002</v>
      </c>
      <c r="AR74" s="234"/>
      <c r="AS74" s="234"/>
      <c r="AT74" s="234"/>
      <c r="AU74" s="234"/>
      <c r="AV74" s="234"/>
      <c r="AW74" s="234"/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  <c r="BI74" s="234"/>
      <c r="BJ74" s="234"/>
      <c r="BK74" s="234"/>
      <c r="BL74" s="234"/>
      <c r="BM74" s="234"/>
      <c r="BN74" s="234"/>
      <c r="BO74" s="234"/>
      <c r="BP74" s="234"/>
      <c r="BQ74" s="234"/>
      <c r="BR74" s="234"/>
      <c r="BS74" s="234"/>
      <c r="BT74" s="234"/>
      <c r="BU74" s="270"/>
      <c r="BV74" s="272">
        <f t="shared" si="11"/>
        <v>200</v>
      </c>
      <c r="BW74" s="272">
        <f t="shared" si="11"/>
        <v>3300</v>
      </c>
      <c r="BX74" s="272">
        <f t="shared" si="11"/>
        <v>2272.8000000000002</v>
      </c>
      <c r="BY74" s="270"/>
      <c r="BZ74" s="270"/>
      <c r="CA74" s="270"/>
      <c r="CB74" s="270"/>
      <c r="CC74" s="270"/>
      <c r="CD74" s="270"/>
      <c r="CE74" s="270"/>
      <c r="CF74" s="270"/>
      <c r="CG74" s="270"/>
      <c r="CH74" s="270"/>
      <c r="CI74" s="270"/>
      <c r="CJ74" s="270"/>
      <c r="CK74" s="270"/>
      <c r="CL74" s="270"/>
      <c r="CM74" s="270"/>
      <c r="CN74" s="270"/>
      <c r="CO74" s="270"/>
      <c r="CP74" s="270"/>
      <c r="CQ74" s="270"/>
      <c r="CR74" s="270"/>
      <c r="CS74" s="270"/>
      <c r="CT74" s="270"/>
      <c r="CU74" s="270"/>
      <c r="CV74" s="270"/>
      <c r="CW74" s="270"/>
      <c r="CX74" s="270"/>
      <c r="CY74" s="270"/>
      <c r="CZ74" s="270"/>
      <c r="DA74" s="270"/>
      <c r="DB74" s="270"/>
      <c r="DC74" s="270"/>
      <c r="DD74" s="270"/>
      <c r="DE74" s="270"/>
      <c r="DF74" s="272">
        <f t="shared" si="12"/>
        <v>200</v>
      </c>
      <c r="DG74" s="272">
        <f t="shared" si="12"/>
        <v>3300</v>
      </c>
      <c r="DH74" s="272">
        <f t="shared" si="14"/>
        <v>2272.8000000000002</v>
      </c>
      <c r="DI74" s="274"/>
    </row>
    <row r="75" spans="1:113" s="275" customFormat="1" ht="24.75" customHeight="1" x14ac:dyDescent="0.6">
      <c r="A75" s="268">
        <v>32</v>
      </c>
      <c r="B75" s="269" t="s">
        <v>363</v>
      </c>
      <c r="C75" s="104" t="s">
        <v>364</v>
      </c>
      <c r="D75" s="99" t="s">
        <v>365</v>
      </c>
      <c r="E75" s="99" t="s">
        <v>366</v>
      </c>
      <c r="F75" s="234" t="s">
        <v>733</v>
      </c>
      <c r="G75" s="234" t="s">
        <v>901</v>
      </c>
      <c r="H75" s="234" t="s">
        <v>902</v>
      </c>
      <c r="I75" s="234" t="s">
        <v>903</v>
      </c>
      <c r="J75" s="234" t="s">
        <v>288</v>
      </c>
      <c r="K75" s="259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  <c r="Z75" s="258"/>
      <c r="AA75" s="258"/>
      <c r="AB75" s="258"/>
      <c r="AC75" s="258"/>
      <c r="AD75" s="258"/>
      <c r="AE75" s="258"/>
      <c r="AF75" s="258"/>
      <c r="AG75" s="258"/>
      <c r="AH75" s="258"/>
      <c r="AI75" s="258"/>
      <c r="AJ75" s="258"/>
      <c r="AK75" s="258"/>
      <c r="AL75" s="258"/>
      <c r="AM75" s="258"/>
      <c r="AN75" s="258"/>
      <c r="AO75" s="272">
        <f t="shared" si="13"/>
        <v>0</v>
      </c>
      <c r="AP75" s="272">
        <f t="shared" ref="AP75:AP90" si="16">+AM75+AJ75+AG75+AD75+AA75+X75+U75+R75+O75+L75</f>
        <v>0</v>
      </c>
      <c r="AQ75" s="272">
        <f t="shared" si="15"/>
        <v>0</v>
      </c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  <c r="BE75" s="234"/>
      <c r="BF75" s="234"/>
      <c r="BG75" s="234"/>
      <c r="BH75" s="234"/>
      <c r="BI75" s="234"/>
      <c r="BJ75" s="234"/>
      <c r="BK75" s="234"/>
      <c r="BL75" s="234"/>
      <c r="BM75" s="234"/>
      <c r="BN75" s="234"/>
      <c r="BO75" s="234"/>
      <c r="BP75" s="234"/>
      <c r="BQ75" s="234"/>
      <c r="BR75" s="234"/>
      <c r="BS75" s="234"/>
      <c r="BT75" s="234"/>
      <c r="BU75" s="270"/>
      <c r="BV75" s="272">
        <f t="shared" ref="BV75:BX90" si="17">+BS75+BP75+BM75+BJ75+BG75+BD75+BA75+AX75+AU75+AR75+AO75</f>
        <v>0</v>
      </c>
      <c r="BW75" s="272">
        <f t="shared" si="17"/>
        <v>0</v>
      </c>
      <c r="BX75" s="272">
        <f t="shared" si="17"/>
        <v>0</v>
      </c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/>
      <c r="CK75" s="270"/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272">
        <f t="shared" ref="DF75:DG90" si="18">+DC75+CZ75+CW75+CT75+CQ75+CN75+CK75+CH75+CE75+CB75+BY75+BV75</f>
        <v>0</v>
      </c>
      <c r="DG75" s="272">
        <f t="shared" si="18"/>
        <v>0</v>
      </c>
      <c r="DH75" s="272">
        <f t="shared" si="14"/>
        <v>0</v>
      </c>
      <c r="DI75" s="274"/>
    </row>
    <row r="76" spans="1:113" s="275" customFormat="1" ht="24.75" customHeight="1" x14ac:dyDescent="0.6">
      <c r="A76" s="268">
        <v>33</v>
      </c>
      <c r="B76" s="302" t="s">
        <v>367</v>
      </c>
      <c r="C76" s="104" t="s">
        <v>368</v>
      </c>
      <c r="D76" s="99" t="s">
        <v>301</v>
      </c>
      <c r="E76" s="105" t="s">
        <v>87</v>
      </c>
      <c r="F76" s="234" t="s">
        <v>733</v>
      </c>
      <c r="G76" s="234" t="s">
        <v>904</v>
      </c>
      <c r="H76" s="234" t="s">
        <v>905</v>
      </c>
      <c r="I76" s="234" t="s">
        <v>906</v>
      </c>
      <c r="J76" s="234" t="s">
        <v>288</v>
      </c>
      <c r="K76" s="259"/>
      <c r="L76" s="258"/>
      <c r="M76" s="258"/>
      <c r="N76" s="258"/>
      <c r="O76" s="258"/>
      <c r="P76" s="258"/>
      <c r="Q76" s="258"/>
      <c r="R76" s="258"/>
      <c r="S76" s="258"/>
      <c r="T76" s="258">
        <v>91</v>
      </c>
      <c r="U76" s="258">
        <v>1380</v>
      </c>
      <c r="V76" s="258">
        <v>897.6</v>
      </c>
      <c r="W76" s="258"/>
      <c r="X76" s="258"/>
      <c r="Y76" s="258"/>
      <c r="Z76" s="258"/>
      <c r="AA76" s="258"/>
      <c r="AB76" s="258"/>
      <c r="AC76" s="258"/>
      <c r="AD76" s="258"/>
      <c r="AE76" s="258"/>
      <c r="AF76" s="258"/>
      <c r="AG76" s="258"/>
      <c r="AH76" s="258"/>
      <c r="AI76" s="258"/>
      <c r="AJ76" s="258"/>
      <c r="AK76" s="258"/>
      <c r="AL76" s="258"/>
      <c r="AM76" s="258"/>
      <c r="AN76" s="258"/>
      <c r="AO76" s="272">
        <f t="shared" si="13"/>
        <v>91</v>
      </c>
      <c r="AP76" s="272">
        <f t="shared" si="16"/>
        <v>1380</v>
      </c>
      <c r="AQ76" s="272">
        <f t="shared" si="15"/>
        <v>897.6</v>
      </c>
      <c r="AR76" s="234"/>
      <c r="AS76" s="234"/>
      <c r="AT76" s="234"/>
      <c r="AU76" s="234"/>
      <c r="AV76" s="234"/>
      <c r="AW76" s="234"/>
      <c r="AX76" s="234"/>
      <c r="AY76" s="234"/>
      <c r="AZ76" s="234"/>
      <c r="BA76" s="234">
        <v>15</v>
      </c>
      <c r="BB76" s="234">
        <v>180</v>
      </c>
      <c r="BC76" s="234">
        <v>180</v>
      </c>
      <c r="BD76" s="234"/>
      <c r="BE76" s="234"/>
      <c r="BF76" s="234"/>
      <c r="BG76" s="234">
        <v>81</v>
      </c>
      <c r="BH76" s="234">
        <v>1322</v>
      </c>
      <c r="BI76" s="234">
        <v>796.48</v>
      </c>
      <c r="BJ76" s="234"/>
      <c r="BK76" s="234"/>
      <c r="BL76" s="234"/>
      <c r="BM76" s="234"/>
      <c r="BN76" s="234"/>
      <c r="BO76" s="234"/>
      <c r="BP76" s="234"/>
      <c r="BQ76" s="234"/>
      <c r="BR76" s="234"/>
      <c r="BS76" s="234"/>
      <c r="BT76" s="234"/>
      <c r="BU76" s="270"/>
      <c r="BV76" s="272">
        <f t="shared" si="17"/>
        <v>187</v>
      </c>
      <c r="BW76" s="272">
        <f t="shared" si="17"/>
        <v>2882</v>
      </c>
      <c r="BX76" s="272">
        <f t="shared" si="17"/>
        <v>1874.08</v>
      </c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0"/>
      <c r="CO76" s="270"/>
      <c r="CP76" s="270"/>
      <c r="CQ76" s="270"/>
      <c r="CR76" s="270"/>
      <c r="CS76" s="270"/>
      <c r="CT76" s="270"/>
      <c r="CU76" s="270"/>
      <c r="CV76" s="270"/>
      <c r="CW76" s="270"/>
      <c r="CX76" s="270"/>
      <c r="CY76" s="270"/>
      <c r="CZ76" s="270"/>
      <c r="DA76" s="270"/>
      <c r="DB76" s="270"/>
      <c r="DC76" s="270"/>
      <c r="DD76" s="270"/>
      <c r="DE76" s="270"/>
      <c r="DF76" s="272">
        <f t="shared" si="18"/>
        <v>187</v>
      </c>
      <c r="DG76" s="272">
        <f t="shared" si="18"/>
        <v>2882</v>
      </c>
      <c r="DH76" s="272">
        <f t="shared" si="14"/>
        <v>1874.08</v>
      </c>
      <c r="DI76" s="274"/>
    </row>
    <row r="77" spans="1:113" s="275" customFormat="1" ht="24.75" customHeight="1" x14ac:dyDescent="0.6">
      <c r="A77" s="268">
        <v>34</v>
      </c>
      <c r="B77" s="269" t="s">
        <v>369</v>
      </c>
      <c r="C77" s="99" t="s">
        <v>369</v>
      </c>
      <c r="D77" s="99" t="s">
        <v>131</v>
      </c>
      <c r="E77" s="99" t="s">
        <v>132</v>
      </c>
      <c r="F77" s="234" t="s">
        <v>733</v>
      </c>
      <c r="G77" s="234" t="s">
        <v>907</v>
      </c>
      <c r="H77" s="234" t="s">
        <v>908</v>
      </c>
      <c r="I77" s="234" t="s">
        <v>909</v>
      </c>
      <c r="J77" s="234" t="s">
        <v>288</v>
      </c>
      <c r="K77" s="259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  <c r="Z77" s="258"/>
      <c r="AA77" s="258"/>
      <c r="AB77" s="258"/>
      <c r="AC77" s="258"/>
      <c r="AD77" s="258"/>
      <c r="AE77" s="258"/>
      <c r="AF77" s="258"/>
      <c r="AG77" s="258"/>
      <c r="AH77" s="258"/>
      <c r="AI77" s="258"/>
      <c r="AJ77" s="258"/>
      <c r="AK77" s="258"/>
      <c r="AL77" s="258"/>
      <c r="AM77" s="258"/>
      <c r="AN77" s="258"/>
      <c r="AO77" s="272">
        <f t="shared" si="13"/>
        <v>0</v>
      </c>
      <c r="AP77" s="272">
        <f t="shared" si="16"/>
        <v>0</v>
      </c>
      <c r="AQ77" s="272">
        <f t="shared" si="15"/>
        <v>0</v>
      </c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  <c r="BE77" s="234"/>
      <c r="BF77" s="234"/>
      <c r="BG77" s="234"/>
      <c r="BH77" s="234"/>
      <c r="BI77" s="234"/>
      <c r="BJ77" s="234"/>
      <c r="BK77" s="234"/>
      <c r="BL77" s="234"/>
      <c r="BM77" s="234">
        <v>500</v>
      </c>
      <c r="BN77" s="234">
        <v>6100</v>
      </c>
      <c r="BO77" s="234">
        <v>5848</v>
      </c>
      <c r="BP77" s="234"/>
      <c r="BQ77" s="234"/>
      <c r="BR77" s="234"/>
      <c r="BS77" s="234"/>
      <c r="BT77" s="234"/>
      <c r="BU77" s="270"/>
      <c r="BV77" s="272">
        <f t="shared" si="17"/>
        <v>500</v>
      </c>
      <c r="BW77" s="272">
        <f t="shared" si="17"/>
        <v>6100</v>
      </c>
      <c r="BX77" s="272">
        <f t="shared" si="17"/>
        <v>5848</v>
      </c>
      <c r="BY77" s="270"/>
      <c r="BZ77" s="270"/>
      <c r="CA77" s="270"/>
      <c r="CB77" s="270"/>
      <c r="CC77" s="270"/>
      <c r="CD77" s="270"/>
      <c r="CE77" s="270"/>
      <c r="CF77" s="270"/>
      <c r="CG77" s="270"/>
      <c r="CH77" s="270"/>
      <c r="CI77" s="270"/>
      <c r="CJ77" s="270"/>
      <c r="CK77" s="270">
        <v>150</v>
      </c>
      <c r="CL77" s="270">
        <v>3300</v>
      </c>
      <c r="CM77" s="270">
        <v>1508</v>
      </c>
      <c r="CN77" s="270"/>
      <c r="CO77" s="270"/>
      <c r="CP77" s="270"/>
      <c r="CQ77" s="270"/>
      <c r="CR77" s="270"/>
      <c r="CS77" s="270"/>
      <c r="CT77" s="270"/>
      <c r="CU77" s="270"/>
      <c r="CV77" s="270"/>
      <c r="CW77" s="270"/>
      <c r="CX77" s="270"/>
      <c r="CY77" s="270"/>
      <c r="CZ77" s="270"/>
      <c r="DA77" s="270"/>
      <c r="DB77" s="270"/>
      <c r="DC77" s="270"/>
      <c r="DD77" s="270"/>
      <c r="DE77" s="270"/>
      <c r="DF77" s="272">
        <f t="shared" si="18"/>
        <v>650</v>
      </c>
      <c r="DG77" s="272">
        <f t="shared" si="18"/>
        <v>9400</v>
      </c>
      <c r="DH77" s="272">
        <f t="shared" si="14"/>
        <v>7356</v>
      </c>
      <c r="DI77" s="274"/>
    </row>
    <row r="78" spans="1:113" s="275" customFormat="1" ht="24.75" customHeight="1" x14ac:dyDescent="0.6">
      <c r="A78" s="268">
        <v>35</v>
      </c>
      <c r="B78" s="269" t="s">
        <v>370</v>
      </c>
      <c r="C78" s="143" t="s">
        <v>371</v>
      </c>
      <c r="D78" s="99" t="s">
        <v>301</v>
      </c>
      <c r="E78" s="105" t="s">
        <v>87</v>
      </c>
      <c r="F78" s="234" t="s">
        <v>733</v>
      </c>
      <c r="G78" s="234" t="s">
        <v>910</v>
      </c>
      <c r="H78" s="234" t="s">
        <v>911</v>
      </c>
      <c r="I78" s="234" t="s">
        <v>912</v>
      </c>
      <c r="J78" s="234" t="s">
        <v>288</v>
      </c>
      <c r="K78" s="259"/>
      <c r="L78" s="258"/>
      <c r="M78" s="258"/>
      <c r="N78" s="258"/>
      <c r="O78" s="258"/>
      <c r="P78" s="258"/>
      <c r="Q78" s="258"/>
      <c r="R78" s="258"/>
      <c r="S78" s="258"/>
      <c r="T78" s="258">
        <v>50</v>
      </c>
      <c r="U78" s="258">
        <v>600</v>
      </c>
      <c r="V78" s="258">
        <v>552</v>
      </c>
      <c r="W78" s="258"/>
      <c r="X78" s="258"/>
      <c r="Y78" s="258"/>
      <c r="Z78" s="258"/>
      <c r="AA78" s="258"/>
      <c r="AB78" s="258"/>
      <c r="AC78" s="258"/>
      <c r="AD78" s="258"/>
      <c r="AE78" s="258"/>
      <c r="AF78" s="258"/>
      <c r="AG78" s="258"/>
      <c r="AH78" s="258"/>
      <c r="AI78" s="258"/>
      <c r="AJ78" s="258"/>
      <c r="AK78" s="258"/>
      <c r="AL78" s="258"/>
      <c r="AM78" s="258"/>
      <c r="AN78" s="258"/>
      <c r="AO78" s="272">
        <f t="shared" si="13"/>
        <v>50</v>
      </c>
      <c r="AP78" s="272">
        <f t="shared" si="16"/>
        <v>600</v>
      </c>
      <c r="AQ78" s="272">
        <f t="shared" si="15"/>
        <v>552</v>
      </c>
      <c r="AR78" s="234"/>
      <c r="AS78" s="234"/>
      <c r="AT78" s="234"/>
      <c r="AU78" s="234"/>
      <c r="AV78" s="234"/>
      <c r="AW78" s="234"/>
      <c r="AX78" s="234">
        <v>100</v>
      </c>
      <c r="AY78" s="234">
        <v>1480</v>
      </c>
      <c r="AZ78" s="234">
        <v>997.2</v>
      </c>
      <c r="BA78" s="234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  <c r="BM78" s="234"/>
      <c r="BN78" s="234"/>
      <c r="BO78" s="234"/>
      <c r="BP78" s="234">
        <v>50</v>
      </c>
      <c r="BQ78" s="234">
        <v>920</v>
      </c>
      <c r="BR78" s="234">
        <v>559.20000000000005</v>
      </c>
      <c r="BS78" s="234"/>
      <c r="BT78" s="234"/>
      <c r="BU78" s="270"/>
      <c r="BV78" s="272">
        <f t="shared" si="17"/>
        <v>200</v>
      </c>
      <c r="BW78" s="272">
        <f t="shared" si="17"/>
        <v>3000</v>
      </c>
      <c r="BX78" s="272">
        <f t="shared" si="17"/>
        <v>2108.4</v>
      </c>
      <c r="BY78" s="270"/>
      <c r="BZ78" s="270"/>
      <c r="CA78" s="270"/>
      <c r="CB78" s="270"/>
      <c r="CC78" s="270"/>
      <c r="CD78" s="270"/>
      <c r="CE78" s="270"/>
      <c r="CF78" s="270"/>
      <c r="CG78" s="270"/>
      <c r="CH78" s="270">
        <v>175</v>
      </c>
      <c r="CI78" s="270">
        <v>2610</v>
      </c>
      <c r="CJ78" s="270">
        <v>1770.4</v>
      </c>
      <c r="CK78" s="270"/>
      <c r="CL78" s="270"/>
      <c r="CM78" s="270"/>
      <c r="CN78" s="270"/>
      <c r="CO78" s="270"/>
      <c r="CP78" s="270"/>
      <c r="CQ78" s="270"/>
      <c r="CR78" s="270"/>
      <c r="CS78" s="270"/>
      <c r="CT78" s="270"/>
      <c r="CU78" s="270"/>
      <c r="CV78" s="270"/>
      <c r="CW78" s="270"/>
      <c r="CX78" s="270"/>
      <c r="CY78" s="270"/>
      <c r="CZ78" s="270"/>
      <c r="DA78" s="270"/>
      <c r="DB78" s="270"/>
      <c r="DC78" s="270"/>
      <c r="DD78" s="270"/>
      <c r="DE78" s="270"/>
      <c r="DF78" s="272">
        <f t="shared" si="18"/>
        <v>375</v>
      </c>
      <c r="DG78" s="272">
        <f t="shared" si="18"/>
        <v>5610</v>
      </c>
      <c r="DH78" s="272">
        <f t="shared" si="14"/>
        <v>3878.8</v>
      </c>
      <c r="DI78" s="274"/>
    </row>
    <row r="79" spans="1:113" s="275" customFormat="1" ht="24.75" customHeight="1" x14ac:dyDescent="0.6">
      <c r="A79" s="268">
        <v>36</v>
      </c>
      <c r="B79" s="269" t="s">
        <v>372</v>
      </c>
      <c r="C79" s="143" t="s">
        <v>373</v>
      </c>
      <c r="D79" s="99" t="s">
        <v>301</v>
      </c>
      <c r="E79" s="105" t="s">
        <v>87</v>
      </c>
      <c r="F79" s="234" t="s">
        <v>733</v>
      </c>
      <c r="G79" s="234" t="s">
        <v>354</v>
      </c>
      <c r="H79" s="234" t="s">
        <v>913</v>
      </c>
      <c r="I79" s="234" t="s">
        <v>914</v>
      </c>
      <c r="J79" s="234" t="s">
        <v>288</v>
      </c>
      <c r="K79" s="259"/>
      <c r="L79" s="258"/>
      <c r="M79" s="258"/>
      <c r="N79" s="258">
        <v>50</v>
      </c>
      <c r="O79" s="258">
        <v>700</v>
      </c>
      <c r="P79" s="258">
        <v>448</v>
      </c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A79" s="258"/>
      <c r="AB79" s="258"/>
      <c r="AC79" s="258">
        <v>50</v>
      </c>
      <c r="AD79" s="258">
        <v>600</v>
      </c>
      <c r="AE79" s="258">
        <v>600</v>
      </c>
      <c r="AF79" s="258"/>
      <c r="AG79" s="258"/>
      <c r="AH79" s="258"/>
      <c r="AI79" s="258"/>
      <c r="AJ79" s="258"/>
      <c r="AK79" s="258"/>
      <c r="AL79" s="258"/>
      <c r="AM79" s="258"/>
      <c r="AN79" s="258"/>
      <c r="AO79" s="272">
        <f t="shared" si="13"/>
        <v>100</v>
      </c>
      <c r="AP79" s="272">
        <f t="shared" si="16"/>
        <v>1300</v>
      </c>
      <c r="AQ79" s="272">
        <f t="shared" si="15"/>
        <v>1048</v>
      </c>
      <c r="AR79" s="234"/>
      <c r="AS79" s="234"/>
      <c r="AT79" s="234"/>
      <c r="AU79" s="234"/>
      <c r="AV79" s="234"/>
      <c r="AW79" s="234"/>
      <c r="AX79" s="234"/>
      <c r="AY79" s="234"/>
      <c r="AZ79" s="234"/>
      <c r="BA79" s="234">
        <v>100</v>
      </c>
      <c r="BB79" s="234">
        <v>1600</v>
      </c>
      <c r="BC79" s="234">
        <v>1037.5999999999999</v>
      </c>
      <c r="BD79" s="234"/>
      <c r="BE79" s="234"/>
      <c r="BF79" s="234"/>
      <c r="BG79" s="234"/>
      <c r="BH79" s="234"/>
      <c r="BI79" s="234"/>
      <c r="BJ79" s="234"/>
      <c r="BK79" s="234"/>
      <c r="BL79" s="234"/>
      <c r="BM79" s="234"/>
      <c r="BN79" s="234"/>
      <c r="BO79" s="234"/>
      <c r="BP79" s="234"/>
      <c r="BQ79" s="234"/>
      <c r="BR79" s="234"/>
      <c r="BS79" s="234"/>
      <c r="BT79" s="234"/>
      <c r="BU79" s="270"/>
      <c r="BV79" s="272">
        <f t="shared" si="17"/>
        <v>200</v>
      </c>
      <c r="BW79" s="272">
        <f t="shared" si="17"/>
        <v>2900</v>
      </c>
      <c r="BX79" s="272">
        <f t="shared" si="17"/>
        <v>2085.6</v>
      </c>
      <c r="BY79" s="270">
        <v>230</v>
      </c>
      <c r="BZ79" s="270">
        <v>3520</v>
      </c>
      <c r="CA79" s="270">
        <v>2496</v>
      </c>
      <c r="CB79" s="270"/>
      <c r="CC79" s="270"/>
      <c r="CD79" s="270"/>
      <c r="CE79" s="270"/>
      <c r="CF79" s="270"/>
      <c r="CG79" s="270"/>
      <c r="CH79" s="270"/>
      <c r="CI79" s="270"/>
      <c r="CJ79" s="270"/>
      <c r="CK79" s="270"/>
      <c r="CL79" s="270"/>
      <c r="CM79" s="270"/>
      <c r="CN79" s="270"/>
      <c r="CO79" s="270"/>
      <c r="CP79" s="270"/>
      <c r="CQ79" s="270"/>
      <c r="CR79" s="270"/>
      <c r="CS79" s="270"/>
      <c r="CT79" s="270"/>
      <c r="CU79" s="270"/>
      <c r="CV79" s="270"/>
      <c r="CW79" s="270"/>
      <c r="CX79" s="270"/>
      <c r="CY79" s="270"/>
      <c r="CZ79" s="270"/>
      <c r="DA79" s="270"/>
      <c r="DB79" s="270"/>
      <c r="DC79" s="270"/>
      <c r="DD79" s="270"/>
      <c r="DE79" s="270"/>
      <c r="DF79" s="272">
        <f t="shared" si="18"/>
        <v>430</v>
      </c>
      <c r="DG79" s="272">
        <f t="shared" si="18"/>
        <v>6420</v>
      </c>
      <c r="DH79" s="272">
        <f t="shared" si="14"/>
        <v>4581.6000000000004</v>
      </c>
      <c r="DI79" s="274"/>
    </row>
    <row r="80" spans="1:113" s="275" customFormat="1" ht="24.75" customHeight="1" x14ac:dyDescent="0.6">
      <c r="A80" s="268">
        <v>37</v>
      </c>
      <c r="B80" s="269" t="s">
        <v>374</v>
      </c>
      <c r="C80" s="143" t="s">
        <v>375</v>
      </c>
      <c r="D80" s="99" t="s">
        <v>301</v>
      </c>
      <c r="E80" s="105" t="s">
        <v>87</v>
      </c>
      <c r="F80" s="234" t="s">
        <v>733</v>
      </c>
      <c r="G80" s="234" t="s">
        <v>915</v>
      </c>
      <c r="H80" s="234" t="s">
        <v>916</v>
      </c>
      <c r="I80" s="234" t="s">
        <v>917</v>
      </c>
      <c r="J80" s="234" t="s">
        <v>288</v>
      </c>
      <c r="K80" s="259"/>
      <c r="L80" s="258"/>
      <c r="M80" s="258"/>
      <c r="N80" s="258"/>
      <c r="O80" s="258"/>
      <c r="P80" s="258"/>
      <c r="Q80" s="258">
        <v>80</v>
      </c>
      <c r="R80" s="258">
        <v>1080</v>
      </c>
      <c r="S80" s="258">
        <v>777.6</v>
      </c>
      <c r="T80" s="258"/>
      <c r="U80" s="258"/>
      <c r="V80" s="258"/>
      <c r="W80" s="258"/>
      <c r="X80" s="258"/>
      <c r="Y80" s="258"/>
      <c r="Z80" s="258"/>
      <c r="AA80" s="258"/>
      <c r="AB80" s="258"/>
      <c r="AC80" s="258"/>
      <c r="AD80" s="258"/>
      <c r="AE80" s="258"/>
      <c r="AF80" s="258"/>
      <c r="AG80" s="258"/>
      <c r="AH80" s="258"/>
      <c r="AI80" s="258"/>
      <c r="AJ80" s="258"/>
      <c r="AK80" s="258"/>
      <c r="AL80" s="258"/>
      <c r="AM80" s="258"/>
      <c r="AN80" s="258"/>
      <c r="AO80" s="272">
        <f t="shared" si="13"/>
        <v>80</v>
      </c>
      <c r="AP80" s="272">
        <f t="shared" si="16"/>
        <v>1080</v>
      </c>
      <c r="AQ80" s="272">
        <f t="shared" si="15"/>
        <v>777.6</v>
      </c>
      <c r="AR80" s="234"/>
      <c r="AS80" s="234"/>
      <c r="AT80" s="234"/>
      <c r="AU80" s="234"/>
      <c r="AV80" s="234"/>
      <c r="AW80" s="234"/>
      <c r="AX80" s="234"/>
      <c r="AY80" s="234"/>
      <c r="AZ80" s="234"/>
      <c r="BA80" s="234">
        <v>80</v>
      </c>
      <c r="BB80" s="234">
        <v>1040</v>
      </c>
      <c r="BC80" s="234">
        <v>838.40000000000009</v>
      </c>
      <c r="BD80" s="234"/>
      <c r="BE80" s="234"/>
      <c r="BF80" s="234"/>
      <c r="BG80" s="234"/>
      <c r="BH80" s="234"/>
      <c r="BI80" s="234"/>
      <c r="BJ80" s="234"/>
      <c r="BK80" s="234"/>
      <c r="BL80" s="234"/>
      <c r="BM80" s="234"/>
      <c r="BN80" s="234"/>
      <c r="BO80" s="234"/>
      <c r="BP80" s="234"/>
      <c r="BQ80" s="234"/>
      <c r="BR80" s="234"/>
      <c r="BS80" s="234"/>
      <c r="BT80" s="234"/>
      <c r="BU80" s="270"/>
      <c r="BV80" s="272">
        <f t="shared" si="17"/>
        <v>160</v>
      </c>
      <c r="BW80" s="272">
        <f t="shared" si="17"/>
        <v>2120</v>
      </c>
      <c r="BX80" s="272">
        <f t="shared" si="17"/>
        <v>1616</v>
      </c>
      <c r="BY80" s="270"/>
      <c r="BZ80" s="270"/>
      <c r="CA80" s="270"/>
      <c r="CB80" s="270"/>
      <c r="CC80" s="270"/>
      <c r="CD80" s="270"/>
      <c r="CE80" s="270"/>
      <c r="CF80" s="270"/>
      <c r="CG80" s="270"/>
      <c r="CH80" s="270"/>
      <c r="CI80" s="270"/>
      <c r="CJ80" s="270"/>
      <c r="CK80" s="270"/>
      <c r="CL80" s="270"/>
      <c r="CM80" s="270"/>
      <c r="CN80" s="270">
        <v>80</v>
      </c>
      <c r="CO80" s="270">
        <v>1060</v>
      </c>
      <c r="CP80" s="270">
        <v>808</v>
      </c>
      <c r="CQ80" s="270"/>
      <c r="CR80" s="270"/>
      <c r="CS80" s="270"/>
      <c r="CT80" s="270"/>
      <c r="CU80" s="270"/>
      <c r="CV80" s="270"/>
      <c r="CW80" s="270"/>
      <c r="CX80" s="270"/>
      <c r="CY80" s="270"/>
      <c r="CZ80" s="270"/>
      <c r="DA80" s="270"/>
      <c r="DB80" s="270"/>
      <c r="DC80" s="270"/>
      <c r="DD80" s="270"/>
      <c r="DE80" s="270"/>
      <c r="DF80" s="272">
        <f t="shared" si="18"/>
        <v>240</v>
      </c>
      <c r="DG80" s="272">
        <f t="shared" si="18"/>
        <v>3180</v>
      </c>
      <c r="DH80" s="272">
        <f t="shared" si="14"/>
        <v>2424</v>
      </c>
      <c r="DI80" s="274"/>
    </row>
    <row r="81" spans="1:113" s="275" customFormat="1" ht="24.75" customHeight="1" x14ac:dyDescent="0.6">
      <c r="A81" s="268">
        <v>38</v>
      </c>
      <c r="B81" s="269" t="s">
        <v>376</v>
      </c>
      <c r="C81" s="143" t="s">
        <v>376</v>
      </c>
      <c r="D81" s="105" t="s">
        <v>377</v>
      </c>
      <c r="E81" s="105" t="s">
        <v>117</v>
      </c>
      <c r="F81" s="234" t="s">
        <v>733</v>
      </c>
      <c r="G81" s="234" t="s">
        <v>918</v>
      </c>
      <c r="H81" s="234" t="s">
        <v>919</v>
      </c>
      <c r="I81" s="234" t="s">
        <v>920</v>
      </c>
      <c r="J81" s="234" t="s">
        <v>288</v>
      </c>
      <c r="K81" s="259"/>
      <c r="L81" s="258"/>
      <c r="M81" s="258"/>
      <c r="N81" s="258"/>
      <c r="O81" s="258"/>
      <c r="P81" s="258"/>
      <c r="Q81" s="258"/>
      <c r="R81" s="258"/>
      <c r="S81" s="258"/>
      <c r="T81" s="258"/>
      <c r="U81" s="258"/>
      <c r="V81" s="258"/>
      <c r="W81" s="258"/>
      <c r="X81" s="258"/>
      <c r="Y81" s="258"/>
      <c r="Z81" s="258"/>
      <c r="AA81" s="258"/>
      <c r="AB81" s="258"/>
      <c r="AC81" s="258"/>
      <c r="AD81" s="258"/>
      <c r="AE81" s="258"/>
      <c r="AF81" s="258"/>
      <c r="AG81" s="258"/>
      <c r="AH81" s="258"/>
      <c r="AI81" s="258"/>
      <c r="AJ81" s="258"/>
      <c r="AK81" s="258"/>
      <c r="AL81" s="258"/>
      <c r="AM81" s="258"/>
      <c r="AN81" s="258"/>
      <c r="AO81" s="272">
        <f t="shared" si="13"/>
        <v>0</v>
      </c>
      <c r="AP81" s="272">
        <f t="shared" si="16"/>
        <v>0</v>
      </c>
      <c r="AQ81" s="272">
        <f t="shared" si="15"/>
        <v>0</v>
      </c>
      <c r="AR81" s="234"/>
      <c r="AS81" s="234"/>
      <c r="AT81" s="234"/>
      <c r="AU81" s="234"/>
      <c r="AV81" s="234"/>
      <c r="AW81" s="234"/>
      <c r="AX81" s="234"/>
      <c r="AY81" s="234"/>
      <c r="AZ81" s="234"/>
      <c r="BA81" s="234"/>
      <c r="BB81" s="234"/>
      <c r="BC81" s="234"/>
      <c r="BD81" s="234"/>
      <c r="BE81" s="234"/>
      <c r="BF81" s="234"/>
      <c r="BG81" s="234"/>
      <c r="BH81" s="234"/>
      <c r="BI81" s="234"/>
      <c r="BJ81" s="234">
        <v>160</v>
      </c>
      <c r="BK81" s="234">
        <v>2200</v>
      </c>
      <c r="BL81" s="234">
        <v>1696</v>
      </c>
      <c r="BM81" s="234"/>
      <c r="BN81" s="234"/>
      <c r="BO81" s="234"/>
      <c r="BP81" s="234"/>
      <c r="BQ81" s="234"/>
      <c r="BR81" s="234"/>
      <c r="BS81" s="234"/>
      <c r="BT81" s="234"/>
      <c r="BU81" s="270"/>
      <c r="BV81" s="272">
        <f t="shared" si="17"/>
        <v>160</v>
      </c>
      <c r="BW81" s="272">
        <f t="shared" si="17"/>
        <v>2200</v>
      </c>
      <c r="BX81" s="272">
        <f t="shared" si="17"/>
        <v>1696</v>
      </c>
      <c r="BY81" s="270"/>
      <c r="BZ81" s="270"/>
      <c r="CA81" s="270"/>
      <c r="CB81" s="270"/>
      <c r="CC81" s="270"/>
      <c r="CD81" s="270"/>
      <c r="CE81" s="270"/>
      <c r="CF81" s="270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0"/>
      <c r="CR81" s="270"/>
      <c r="CS81" s="270"/>
      <c r="CT81" s="270"/>
      <c r="CU81" s="270"/>
      <c r="CV81" s="270"/>
      <c r="CW81" s="270"/>
      <c r="CX81" s="270"/>
      <c r="CY81" s="270"/>
      <c r="CZ81" s="270"/>
      <c r="DA81" s="270"/>
      <c r="DB81" s="270"/>
      <c r="DC81" s="270"/>
      <c r="DD81" s="270"/>
      <c r="DE81" s="270"/>
      <c r="DF81" s="272">
        <f t="shared" si="18"/>
        <v>160</v>
      </c>
      <c r="DG81" s="272">
        <f t="shared" si="18"/>
        <v>2200</v>
      </c>
      <c r="DH81" s="272">
        <f t="shared" si="14"/>
        <v>1696</v>
      </c>
      <c r="DI81" s="274"/>
    </row>
    <row r="82" spans="1:113" s="275" customFormat="1" ht="24.75" customHeight="1" x14ac:dyDescent="0.6">
      <c r="A82" s="268">
        <v>39</v>
      </c>
      <c r="B82" s="269" t="s">
        <v>378</v>
      </c>
      <c r="C82" s="99" t="s">
        <v>379</v>
      </c>
      <c r="D82" s="100" t="s">
        <v>323</v>
      </c>
      <c r="E82" s="105" t="s">
        <v>91</v>
      </c>
      <c r="F82" s="234" t="s">
        <v>733</v>
      </c>
      <c r="G82" s="234" t="s">
        <v>921</v>
      </c>
      <c r="H82" s="234" t="s">
        <v>922</v>
      </c>
      <c r="I82" s="234" t="s">
        <v>923</v>
      </c>
      <c r="J82" s="234" t="s">
        <v>288</v>
      </c>
      <c r="K82" s="259"/>
      <c r="L82" s="258"/>
      <c r="M82" s="258"/>
      <c r="N82" s="258"/>
      <c r="O82" s="258"/>
      <c r="P82" s="258"/>
      <c r="Q82" s="258"/>
      <c r="R82" s="258"/>
      <c r="S82" s="258"/>
      <c r="T82" s="258"/>
      <c r="U82" s="258"/>
      <c r="V82" s="258"/>
      <c r="W82" s="258"/>
      <c r="X82" s="258"/>
      <c r="Y82" s="258"/>
      <c r="Z82" s="258"/>
      <c r="AA82" s="258"/>
      <c r="AB82" s="258"/>
      <c r="AC82" s="258"/>
      <c r="AD82" s="258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O82" s="272">
        <f t="shared" si="13"/>
        <v>0</v>
      </c>
      <c r="AP82" s="272">
        <f t="shared" si="16"/>
        <v>0</v>
      </c>
      <c r="AQ82" s="272">
        <f t="shared" si="15"/>
        <v>0</v>
      </c>
      <c r="AR82" s="234"/>
      <c r="AS82" s="234"/>
      <c r="AT82" s="234"/>
      <c r="AU82" s="234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4"/>
      <c r="BG82" s="234"/>
      <c r="BH82" s="234"/>
      <c r="BI82" s="234"/>
      <c r="BJ82" s="234"/>
      <c r="BK82" s="234"/>
      <c r="BL82" s="234"/>
      <c r="BM82" s="234"/>
      <c r="BN82" s="234"/>
      <c r="BO82" s="234"/>
      <c r="BP82" s="234"/>
      <c r="BQ82" s="234"/>
      <c r="BR82" s="234"/>
      <c r="BS82" s="234"/>
      <c r="BT82" s="234"/>
      <c r="BU82" s="270"/>
      <c r="BV82" s="272">
        <f t="shared" si="17"/>
        <v>0</v>
      </c>
      <c r="BW82" s="272">
        <f t="shared" si="17"/>
        <v>0</v>
      </c>
      <c r="BX82" s="272">
        <f t="shared" si="17"/>
        <v>0</v>
      </c>
      <c r="BY82" s="270"/>
      <c r="BZ82" s="270"/>
      <c r="CA82" s="270"/>
      <c r="CB82" s="270"/>
      <c r="CC82" s="270"/>
      <c r="CD82" s="270"/>
      <c r="CE82" s="270"/>
      <c r="CF82" s="270"/>
      <c r="CG82" s="270"/>
      <c r="CH82" s="270"/>
      <c r="CI82" s="270"/>
      <c r="CJ82" s="270"/>
      <c r="CK82" s="270"/>
      <c r="CL82" s="270"/>
      <c r="CM82" s="270"/>
      <c r="CN82" s="270"/>
      <c r="CO82" s="270"/>
      <c r="CP82" s="270"/>
      <c r="CQ82" s="270"/>
      <c r="CR82" s="270"/>
      <c r="CS82" s="270"/>
      <c r="CT82" s="270">
        <v>60</v>
      </c>
      <c r="CU82" s="270">
        <v>720</v>
      </c>
      <c r="CV82" s="270">
        <v>720</v>
      </c>
      <c r="CW82" s="270"/>
      <c r="CX82" s="270"/>
      <c r="CY82" s="270"/>
      <c r="CZ82" s="270"/>
      <c r="DA82" s="270"/>
      <c r="DB82" s="270"/>
      <c r="DC82" s="270"/>
      <c r="DD82" s="270"/>
      <c r="DE82" s="270"/>
      <c r="DF82" s="272">
        <f t="shared" si="18"/>
        <v>60</v>
      </c>
      <c r="DG82" s="272">
        <f t="shared" si="18"/>
        <v>720</v>
      </c>
      <c r="DH82" s="272">
        <f t="shared" si="14"/>
        <v>720</v>
      </c>
      <c r="DI82" s="274"/>
    </row>
    <row r="83" spans="1:113" s="275" customFormat="1" ht="24.75" customHeight="1" x14ac:dyDescent="0.6">
      <c r="A83" s="268">
        <v>40</v>
      </c>
      <c r="B83" s="269" t="s">
        <v>380</v>
      </c>
      <c r="C83" s="99" t="s">
        <v>380</v>
      </c>
      <c r="D83" s="100" t="s">
        <v>123</v>
      </c>
      <c r="E83" s="149" t="s">
        <v>124</v>
      </c>
      <c r="F83" s="234" t="s">
        <v>733</v>
      </c>
      <c r="G83" s="234" t="s">
        <v>924</v>
      </c>
      <c r="H83" s="234" t="s">
        <v>925</v>
      </c>
      <c r="I83" s="234" t="s">
        <v>926</v>
      </c>
      <c r="J83" s="234" t="s">
        <v>288</v>
      </c>
      <c r="K83" s="259"/>
      <c r="L83" s="258"/>
      <c r="M83" s="258"/>
      <c r="N83" s="258"/>
      <c r="O83" s="258"/>
      <c r="P83" s="258"/>
      <c r="Q83" s="258"/>
      <c r="R83" s="258"/>
      <c r="S83" s="258"/>
      <c r="T83" s="258"/>
      <c r="U83" s="258"/>
      <c r="V83" s="258"/>
      <c r="W83" s="258"/>
      <c r="X83" s="258"/>
      <c r="Y83" s="258"/>
      <c r="Z83" s="258">
        <v>100</v>
      </c>
      <c r="AA83" s="258">
        <v>1240</v>
      </c>
      <c r="AB83" s="258">
        <v>1139.2</v>
      </c>
      <c r="AC83" s="258"/>
      <c r="AD83" s="258"/>
      <c r="AE83" s="258"/>
      <c r="AF83" s="258"/>
      <c r="AG83" s="258"/>
      <c r="AH83" s="258"/>
      <c r="AI83" s="258"/>
      <c r="AJ83" s="258"/>
      <c r="AK83" s="258"/>
      <c r="AL83" s="258"/>
      <c r="AM83" s="258"/>
      <c r="AN83" s="258"/>
      <c r="AO83" s="272">
        <f t="shared" si="13"/>
        <v>100</v>
      </c>
      <c r="AP83" s="272">
        <f t="shared" si="16"/>
        <v>1240</v>
      </c>
      <c r="AQ83" s="272">
        <f t="shared" si="15"/>
        <v>1139.2</v>
      </c>
      <c r="AR83" s="234">
        <v>105</v>
      </c>
      <c r="AS83" s="234">
        <v>1840</v>
      </c>
      <c r="AT83" s="234">
        <v>1269.5999999999999</v>
      </c>
      <c r="AU83" s="234"/>
      <c r="AV83" s="234"/>
      <c r="AW83" s="234"/>
      <c r="AX83" s="234"/>
      <c r="AY83" s="234"/>
      <c r="AZ83" s="234"/>
      <c r="BA83" s="234"/>
      <c r="BB83" s="234"/>
      <c r="BC83" s="234"/>
      <c r="BD83" s="234"/>
      <c r="BE83" s="234"/>
      <c r="BF83" s="234"/>
      <c r="BG83" s="234"/>
      <c r="BH83" s="234"/>
      <c r="BI83" s="234"/>
      <c r="BJ83" s="234"/>
      <c r="BK83" s="234"/>
      <c r="BL83" s="234"/>
      <c r="BM83" s="234">
        <v>110</v>
      </c>
      <c r="BN83" s="234">
        <v>1790</v>
      </c>
      <c r="BO83" s="234">
        <v>1274</v>
      </c>
      <c r="BP83" s="234"/>
      <c r="BQ83" s="234"/>
      <c r="BR83" s="234"/>
      <c r="BS83" s="234"/>
      <c r="BT83" s="234"/>
      <c r="BU83" s="270"/>
      <c r="BV83" s="272">
        <f t="shared" si="17"/>
        <v>315</v>
      </c>
      <c r="BW83" s="272">
        <f t="shared" si="17"/>
        <v>4870</v>
      </c>
      <c r="BX83" s="272">
        <f t="shared" si="17"/>
        <v>3682.8</v>
      </c>
      <c r="BY83" s="270"/>
      <c r="BZ83" s="270"/>
      <c r="CA83" s="270"/>
      <c r="CB83" s="270"/>
      <c r="CC83" s="270"/>
      <c r="CD83" s="270"/>
      <c r="CE83" s="270"/>
      <c r="CF83" s="270"/>
      <c r="CG83" s="270"/>
      <c r="CH83" s="270">
        <v>100</v>
      </c>
      <c r="CI83" s="270">
        <v>1790</v>
      </c>
      <c r="CJ83" s="270">
        <v>1194.3999999999999</v>
      </c>
      <c r="CK83" s="270"/>
      <c r="CL83" s="270"/>
      <c r="CM83" s="270"/>
      <c r="CN83" s="270"/>
      <c r="CO83" s="270"/>
      <c r="CP83" s="270"/>
      <c r="CQ83" s="270"/>
      <c r="CR83" s="270"/>
      <c r="CS83" s="270"/>
      <c r="CT83" s="270"/>
      <c r="CU83" s="270"/>
      <c r="CV83" s="270"/>
      <c r="CW83" s="270"/>
      <c r="CX83" s="270"/>
      <c r="CY83" s="270"/>
      <c r="CZ83" s="270"/>
      <c r="DA83" s="270"/>
      <c r="DB83" s="270"/>
      <c r="DC83" s="270"/>
      <c r="DD83" s="270"/>
      <c r="DE83" s="270"/>
      <c r="DF83" s="272">
        <f t="shared" si="18"/>
        <v>415</v>
      </c>
      <c r="DG83" s="272">
        <f t="shared" si="18"/>
        <v>6660</v>
      </c>
      <c r="DH83" s="272">
        <f t="shared" si="14"/>
        <v>4877.2</v>
      </c>
      <c r="DI83" s="274"/>
    </row>
    <row r="84" spans="1:113" s="275" customFormat="1" ht="24.75" customHeight="1" x14ac:dyDescent="0.6">
      <c r="A84" s="268">
        <v>41</v>
      </c>
      <c r="B84" s="269" t="s">
        <v>381</v>
      </c>
      <c r="C84" s="99" t="s">
        <v>381</v>
      </c>
      <c r="D84" s="100" t="s">
        <v>123</v>
      </c>
      <c r="E84" s="149" t="s">
        <v>124</v>
      </c>
      <c r="F84" s="234" t="s">
        <v>733</v>
      </c>
      <c r="G84" s="234" t="s">
        <v>927</v>
      </c>
      <c r="H84" s="234" t="s">
        <v>928</v>
      </c>
      <c r="I84" s="234" t="s">
        <v>929</v>
      </c>
      <c r="J84" s="234" t="s">
        <v>288</v>
      </c>
      <c r="K84" s="259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58">
        <v>114</v>
      </c>
      <c r="AA84" s="258">
        <v>1368</v>
      </c>
      <c r="AB84" s="258">
        <v>875.52</v>
      </c>
      <c r="AC84" s="258"/>
      <c r="AD84" s="258"/>
      <c r="AE84" s="258"/>
      <c r="AF84" s="258"/>
      <c r="AG84" s="258"/>
      <c r="AH84" s="258"/>
      <c r="AI84" s="258"/>
      <c r="AJ84" s="258"/>
      <c r="AK84" s="258"/>
      <c r="AL84" s="258"/>
      <c r="AM84" s="258"/>
      <c r="AN84" s="258"/>
      <c r="AO84" s="272">
        <f t="shared" si="13"/>
        <v>114</v>
      </c>
      <c r="AP84" s="272">
        <f t="shared" si="16"/>
        <v>1368</v>
      </c>
      <c r="AQ84" s="272">
        <f t="shared" si="15"/>
        <v>875.52</v>
      </c>
      <c r="AR84" s="234"/>
      <c r="AS84" s="234"/>
      <c r="AT84" s="234"/>
      <c r="AU84" s="234"/>
      <c r="AV84" s="234"/>
      <c r="AW84" s="234"/>
      <c r="AX84" s="234"/>
      <c r="AY84" s="234"/>
      <c r="AZ84" s="234"/>
      <c r="BA84" s="234"/>
      <c r="BB84" s="234"/>
      <c r="BC84" s="234"/>
      <c r="BD84" s="234"/>
      <c r="BE84" s="234"/>
      <c r="BF84" s="234"/>
      <c r="BG84" s="234"/>
      <c r="BH84" s="234"/>
      <c r="BI84" s="234"/>
      <c r="BJ84" s="234"/>
      <c r="BK84" s="234"/>
      <c r="BL84" s="234"/>
      <c r="BM84" s="234"/>
      <c r="BN84" s="234"/>
      <c r="BO84" s="234"/>
      <c r="BP84" s="234"/>
      <c r="BQ84" s="234"/>
      <c r="BR84" s="234"/>
      <c r="BS84" s="234"/>
      <c r="BT84" s="234"/>
      <c r="BU84" s="270"/>
      <c r="BV84" s="272">
        <f t="shared" si="17"/>
        <v>114</v>
      </c>
      <c r="BW84" s="272">
        <f t="shared" si="17"/>
        <v>1368</v>
      </c>
      <c r="BX84" s="272">
        <f t="shared" si="17"/>
        <v>875.52</v>
      </c>
      <c r="BY84" s="270"/>
      <c r="BZ84" s="270"/>
      <c r="CA84" s="270"/>
      <c r="CB84" s="270"/>
      <c r="CC84" s="270"/>
      <c r="CD84" s="270"/>
      <c r="CE84" s="270"/>
      <c r="CF84" s="270"/>
      <c r="CG84" s="270"/>
      <c r="CH84" s="270"/>
      <c r="CI84" s="270"/>
      <c r="CJ84" s="270"/>
      <c r="CK84" s="270"/>
      <c r="CL84" s="270"/>
      <c r="CM84" s="270"/>
      <c r="CN84" s="270"/>
      <c r="CO84" s="270"/>
      <c r="CP84" s="270"/>
      <c r="CQ84" s="270"/>
      <c r="CR84" s="270"/>
      <c r="CS84" s="270"/>
      <c r="CT84" s="270"/>
      <c r="CU84" s="270"/>
      <c r="CV84" s="270"/>
      <c r="CW84" s="270"/>
      <c r="CX84" s="270"/>
      <c r="CY84" s="270"/>
      <c r="CZ84" s="270"/>
      <c r="DA84" s="270"/>
      <c r="DB84" s="270"/>
      <c r="DC84" s="270"/>
      <c r="DD84" s="270"/>
      <c r="DE84" s="270"/>
      <c r="DF84" s="272">
        <f t="shared" si="18"/>
        <v>114</v>
      </c>
      <c r="DG84" s="272">
        <f t="shared" si="18"/>
        <v>1368</v>
      </c>
      <c r="DH84" s="272">
        <f t="shared" si="14"/>
        <v>875.52</v>
      </c>
      <c r="DI84" s="274"/>
    </row>
    <row r="85" spans="1:113" s="275" customFormat="1" ht="24.75" customHeight="1" x14ac:dyDescent="0.6">
      <c r="A85" s="268">
        <v>42</v>
      </c>
      <c r="B85" s="269" t="s">
        <v>382</v>
      </c>
      <c r="C85" s="143" t="s">
        <v>383</v>
      </c>
      <c r="D85" s="105" t="s">
        <v>82</v>
      </c>
      <c r="E85" s="148" t="s">
        <v>83</v>
      </c>
      <c r="F85" s="234" t="s">
        <v>733</v>
      </c>
      <c r="G85" s="301"/>
      <c r="H85" s="301"/>
      <c r="I85" s="234"/>
      <c r="J85" s="234" t="s">
        <v>288</v>
      </c>
      <c r="K85" s="259"/>
      <c r="L85" s="258"/>
      <c r="M85" s="258"/>
      <c r="N85" s="258">
        <v>100</v>
      </c>
      <c r="O85" s="258">
        <v>1400</v>
      </c>
      <c r="P85" s="258">
        <v>896</v>
      </c>
      <c r="Q85" s="258"/>
      <c r="R85" s="258"/>
      <c r="S85" s="258"/>
      <c r="T85" s="258"/>
      <c r="U85" s="258"/>
      <c r="V85" s="258"/>
      <c r="W85" s="258"/>
      <c r="X85" s="258"/>
      <c r="Y85" s="258"/>
      <c r="Z85" s="258"/>
      <c r="AA85" s="258"/>
      <c r="AB85" s="258"/>
      <c r="AC85" s="258"/>
      <c r="AD85" s="258"/>
      <c r="AE85" s="258"/>
      <c r="AF85" s="258"/>
      <c r="AG85" s="258"/>
      <c r="AH85" s="258"/>
      <c r="AI85" s="258"/>
      <c r="AJ85" s="258"/>
      <c r="AK85" s="258"/>
      <c r="AL85" s="258"/>
      <c r="AM85" s="258"/>
      <c r="AN85" s="258"/>
      <c r="AO85" s="272">
        <f t="shared" si="13"/>
        <v>100</v>
      </c>
      <c r="AP85" s="272">
        <f t="shared" si="16"/>
        <v>1400</v>
      </c>
      <c r="AQ85" s="272">
        <f t="shared" si="15"/>
        <v>896</v>
      </c>
      <c r="AR85" s="234"/>
      <c r="AS85" s="234"/>
      <c r="AT85" s="234"/>
      <c r="AU85" s="234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4"/>
      <c r="BG85" s="234"/>
      <c r="BH85" s="234"/>
      <c r="BI85" s="234"/>
      <c r="BJ85" s="234"/>
      <c r="BK85" s="234"/>
      <c r="BL85" s="234"/>
      <c r="BM85" s="234"/>
      <c r="BN85" s="234"/>
      <c r="BO85" s="234"/>
      <c r="BP85" s="234"/>
      <c r="BQ85" s="234"/>
      <c r="BR85" s="234"/>
      <c r="BS85" s="234"/>
      <c r="BT85" s="234"/>
      <c r="BU85" s="270"/>
      <c r="BV85" s="272">
        <f t="shared" si="17"/>
        <v>100</v>
      </c>
      <c r="BW85" s="272">
        <f t="shared" si="17"/>
        <v>1400</v>
      </c>
      <c r="BX85" s="272">
        <f t="shared" si="17"/>
        <v>896</v>
      </c>
      <c r="BY85" s="270">
        <v>110</v>
      </c>
      <c r="BZ85" s="270">
        <v>1420</v>
      </c>
      <c r="CA85" s="270">
        <v>1168</v>
      </c>
      <c r="CB85" s="270"/>
      <c r="CC85" s="270"/>
      <c r="CD85" s="270"/>
      <c r="CE85" s="270"/>
      <c r="CF85" s="270"/>
      <c r="CG85" s="270"/>
      <c r="CH85" s="270"/>
      <c r="CI85" s="270"/>
      <c r="CJ85" s="270"/>
      <c r="CK85" s="270"/>
      <c r="CL85" s="270"/>
      <c r="CM85" s="270"/>
      <c r="CN85" s="270"/>
      <c r="CO85" s="270"/>
      <c r="CP85" s="270"/>
      <c r="CQ85" s="270"/>
      <c r="CR85" s="270"/>
      <c r="CS85" s="270"/>
      <c r="CT85" s="270"/>
      <c r="CU85" s="270"/>
      <c r="CV85" s="270"/>
      <c r="CW85" s="270"/>
      <c r="CX85" s="270"/>
      <c r="CY85" s="270"/>
      <c r="CZ85" s="270"/>
      <c r="DA85" s="270"/>
      <c r="DB85" s="270"/>
      <c r="DC85" s="270"/>
      <c r="DD85" s="270"/>
      <c r="DE85" s="270"/>
      <c r="DF85" s="272">
        <f t="shared" si="18"/>
        <v>210</v>
      </c>
      <c r="DG85" s="272">
        <f t="shared" si="18"/>
        <v>2820</v>
      </c>
      <c r="DH85" s="272">
        <f t="shared" si="14"/>
        <v>2064</v>
      </c>
      <c r="DI85" s="274"/>
    </row>
    <row r="86" spans="1:113" s="275" customFormat="1" ht="24.75" customHeight="1" x14ac:dyDescent="0.6">
      <c r="A86" s="268">
        <v>43</v>
      </c>
      <c r="B86" s="269" t="s">
        <v>384</v>
      </c>
      <c r="C86" s="143" t="s">
        <v>385</v>
      </c>
      <c r="D86" s="105" t="s">
        <v>123</v>
      </c>
      <c r="E86" s="148" t="s">
        <v>124</v>
      </c>
      <c r="F86" s="234" t="s">
        <v>733</v>
      </c>
      <c r="G86" s="301" t="s">
        <v>930</v>
      </c>
      <c r="H86" s="301"/>
      <c r="I86" s="234" t="s">
        <v>931</v>
      </c>
      <c r="J86" s="234" t="s">
        <v>288</v>
      </c>
      <c r="K86" s="259"/>
      <c r="L86" s="258"/>
      <c r="M86" s="258"/>
      <c r="N86" s="258"/>
      <c r="O86" s="258"/>
      <c r="P86" s="258"/>
      <c r="Q86" s="258"/>
      <c r="R86" s="258"/>
      <c r="S86" s="258"/>
      <c r="T86" s="258">
        <v>15</v>
      </c>
      <c r="U86" s="258">
        <v>210</v>
      </c>
      <c r="V86" s="258">
        <v>134.4</v>
      </c>
      <c r="W86" s="258"/>
      <c r="X86" s="258"/>
      <c r="Y86" s="258"/>
      <c r="Z86" s="258"/>
      <c r="AA86" s="258"/>
      <c r="AB86" s="258"/>
      <c r="AC86" s="258">
        <v>115</v>
      </c>
      <c r="AD86" s="258">
        <v>2780</v>
      </c>
      <c r="AE86" s="258">
        <v>1480</v>
      </c>
      <c r="AF86" s="258"/>
      <c r="AG86" s="258"/>
      <c r="AH86" s="258"/>
      <c r="AI86" s="258"/>
      <c r="AJ86" s="258"/>
      <c r="AK86" s="258"/>
      <c r="AL86" s="258"/>
      <c r="AM86" s="258"/>
      <c r="AN86" s="258"/>
      <c r="AO86" s="272">
        <f t="shared" si="13"/>
        <v>130</v>
      </c>
      <c r="AP86" s="272">
        <f t="shared" si="16"/>
        <v>2990</v>
      </c>
      <c r="AQ86" s="272">
        <f t="shared" si="15"/>
        <v>1614.4</v>
      </c>
      <c r="AR86" s="234">
        <v>250</v>
      </c>
      <c r="AS86" s="234">
        <v>3000</v>
      </c>
      <c r="AT86" s="234">
        <v>3000</v>
      </c>
      <c r="AU86" s="234"/>
      <c r="AV86" s="234"/>
      <c r="AW86" s="234"/>
      <c r="AX86" s="234"/>
      <c r="AY86" s="234"/>
      <c r="AZ86" s="234"/>
      <c r="BA86" s="234"/>
      <c r="BB86" s="234"/>
      <c r="BC86" s="234"/>
      <c r="BD86" s="234"/>
      <c r="BE86" s="234"/>
      <c r="BF86" s="234"/>
      <c r="BG86" s="234"/>
      <c r="BH86" s="234"/>
      <c r="BI86" s="234"/>
      <c r="BJ86" s="234">
        <v>60</v>
      </c>
      <c r="BK86" s="234">
        <v>1320</v>
      </c>
      <c r="BL86" s="234">
        <v>699.2</v>
      </c>
      <c r="BM86" s="234"/>
      <c r="BN86" s="234"/>
      <c r="BO86" s="234"/>
      <c r="BP86" s="234"/>
      <c r="BQ86" s="234"/>
      <c r="BR86" s="234"/>
      <c r="BS86" s="234"/>
      <c r="BT86" s="234"/>
      <c r="BU86" s="270"/>
      <c r="BV86" s="272">
        <f t="shared" si="17"/>
        <v>440</v>
      </c>
      <c r="BW86" s="272">
        <f t="shared" si="17"/>
        <v>7310</v>
      </c>
      <c r="BX86" s="272">
        <f t="shared" si="17"/>
        <v>5313.6</v>
      </c>
      <c r="BY86" s="270"/>
      <c r="BZ86" s="270"/>
      <c r="CA86" s="270"/>
      <c r="CB86" s="270"/>
      <c r="CC86" s="270"/>
      <c r="CD86" s="270"/>
      <c r="CE86" s="270">
        <v>125</v>
      </c>
      <c r="CF86" s="270">
        <v>1950</v>
      </c>
      <c r="CG86" s="270">
        <v>1484.4</v>
      </c>
      <c r="CH86" s="270"/>
      <c r="CI86" s="270"/>
      <c r="CJ86" s="270"/>
      <c r="CK86" s="270"/>
      <c r="CL86" s="270"/>
      <c r="CM86" s="270"/>
      <c r="CN86" s="270"/>
      <c r="CO86" s="270"/>
      <c r="CP86" s="270"/>
      <c r="CQ86" s="270">
        <v>50</v>
      </c>
      <c r="CR86" s="270">
        <v>600</v>
      </c>
      <c r="CS86" s="270">
        <v>600</v>
      </c>
      <c r="CT86" s="270"/>
      <c r="CU86" s="270"/>
      <c r="CV86" s="270"/>
      <c r="CW86" s="270"/>
      <c r="CX86" s="270"/>
      <c r="CY86" s="270"/>
      <c r="CZ86" s="270"/>
      <c r="DA86" s="270"/>
      <c r="DB86" s="270"/>
      <c r="DC86" s="270"/>
      <c r="DD86" s="270"/>
      <c r="DE86" s="270"/>
      <c r="DF86" s="272">
        <f t="shared" si="18"/>
        <v>615</v>
      </c>
      <c r="DG86" s="272">
        <f t="shared" si="18"/>
        <v>9860</v>
      </c>
      <c r="DH86" s="272">
        <f t="shared" si="14"/>
        <v>7398</v>
      </c>
      <c r="DI86" s="274"/>
    </row>
    <row r="87" spans="1:113" s="275" customFormat="1" ht="24.75" customHeight="1" x14ac:dyDescent="0.6">
      <c r="A87" s="268">
        <v>44</v>
      </c>
      <c r="B87" s="269" t="s">
        <v>386</v>
      </c>
      <c r="C87" s="143" t="s">
        <v>387</v>
      </c>
      <c r="D87" s="105" t="s">
        <v>123</v>
      </c>
      <c r="E87" s="148" t="s">
        <v>124</v>
      </c>
      <c r="F87" s="234" t="s">
        <v>733</v>
      </c>
      <c r="G87" s="301" t="s">
        <v>932</v>
      </c>
      <c r="H87" s="301"/>
      <c r="I87" s="234" t="s">
        <v>933</v>
      </c>
      <c r="J87" s="234" t="s">
        <v>288</v>
      </c>
      <c r="K87" s="259"/>
      <c r="L87" s="258"/>
      <c r="M87" s="258"/>
      <c r="N87" s="258">
        <v>130</v>
      </c>
      <c r="O87" s="258">
        <v>2280</v>
      </c>
      <c r="P87" s="258">
        <v>1579.6</v>
      </c>
      <c r="Q87" s="258"/>
      <c r="R87" s="258"/>
      <c r="S87" s="258"/>
      <c r="T87" s="258"/>
      <c r="U87" s="258"/>
      <c r="V87" s="258"/>
      <c r="W87" s="258"/>
      <c r="X87" s="258"/>
      <c r="Y87" s="258"/>
      <c r="Z87" s="258"/>
      <c r="AA87" s="258"/>
      <c r="AB87" s="258"/>
      <c r="AC87" s="258"/>
      <c r="AD87" s="258"/>
      <c r="AE87" s="258"/>
      <c r="AF87" s="258"/>
      <c r="AG87" s="258"/>
      <c r="AH87" s="258"/>
      <c r="AI87" s="258"/>
      <c r="AJ87" s="258"/>
      <c r="AK87" s="258"/>
      <c r="AL87" s="258"/>
      <c r="AM87" s="258"/>
      <c r="AN87" s="258"/>
      <c r="AO87" s="272">
        <f t="shared" si="13"/>
        <v>130</v>
      </c>
      <c r="AP87" s="272">
        <f t="shared" si="16"/>
        <v>2280</v>
      </c>
      <c r="AQ87" s="272">
        <f t="shared" si="15"/>
        <v>1579.6</v>
      </c>
      <c r="AR87" s="234"/>
      <c r="AS87" s="234"/>
      <c r="AT87" s="234"/>
      <c r="AU87" s="234">
        <v>115</v>
      </c>
      <c r="AV87" s="234">
        <v>2080</v>
      </c>
      <c r="AW87" s="234">
        <v>1430</v>
      </c>
      <c r="AX87" s="234"/>
      <c r="AY87" s="234"/>
      <c r="AZ87" s="234"/>
      <c r="BA87" s="234"/>
      <c r="BB87" s="234"/>
      <c r="BC87" s="234"/>
      <c r="BD87" s="234"/>
      <c r="BE87" s="234"/>
      <c r="BF87" s="234"/>
      <c r="BG87" s="234"/>
      <c r="BH87" s="234"/>
      <c r="BI87" s="234"/>
      <c r="BJ87" s="234"/>
      <c r="BK87" s="234"/>
      <c r="BL87" s="234"/>
      <c r="BM87" s="234"/>
      <c r="BN87" s="234"/>
      <c r="BO87" s="234"/>
      <c r="BP87" s="234"/>
      <c r="BQ87" s="234"/>
      <c r="BR87" s="234"/>
      <c r="BS87" s="234"/>
      <c r="BT87" s="234"/>
      <c r="BU87" s="270"/>
      <c r="BV87" s="272">
        <f t="shared" si="17"/>
        <v>245</v>
      </c>
      <c r="BW87" s="272">
        <f t="shared" si="17"/>
        <v>4360</v>
      </c>
      <c r="BX87" s="272">
        <f t="shared" si="17"/>
        <v>3009.6</v>
      </c>
      <c r="BY87" s="270"/>
      <c r="BZ87" s="270"/>
      <c r="CA87" s="270"/>
      <c r="CB87" s="270"/>
      <c r="CC87" s="270"/>
      <c r="CD87" s="270"/>
      <c r="CE87" s="270">
        <v>107</v>
      </c>
      <c r="CF87" s="270">
        <v>2004</v>
      </c>
      <c r="CG87" s="270">
        <v>1248.4000000000001</v>
      </c>
      <c r="CH87" s="270"/>
      <c r="CI87" s="270"/>
      <c r="CJ87" s="270"/>
      <c r="CK87" s="270"/>
      <c r="CL87" s="270"/>
      <c r="CM87" s="270"/>
      <c r="CN87" s="270"/>
      <c r="CO87" s="270"/>
      <c r="CP87" s="270"/>
      <c r="CQ87" s="270"/>
      <c r="CR87" s="270"/>
      <c r="CS87" s="270"/>
      <c r="CT87" s="270"/>
      <c r="CU87" s="270"/>
      <c r="CV87" s="270"/>
      <c r="CW87" s="270"/>
      <c r="CX87" s="270"/>
      <c r="CY87" s="270"/>
      <c r="CZ87" s="270"/>
      <c r="DA87" s="270"/>
      <c r="DB87" s="270"/>
      <c r="DC87" s="270"/>
      <c r="DD87" s="270"/>
      <c r="DE87" s="270"/>
      <c r="DF87" s="272">
        <f t="shared" si="18"/>
        <v>352</v>
      </c>
      <c r="DG87" s="272">
        <f t="shared" si="18"/>
        <v>6364</v>
      </c>
      <c r="DH87" s="272">
        <f t="shared" si="14"/>
        <v>4258</v>
      </c>
      <c r="DI87" s="274"/>
    </row>
    <row r="88" spans="1:113" s="275" customFormat="1" ht="24.75" customHeight="1" x14ac:dyDescent="0.6">
      <c r="A88" s="268">
        <v>45</v>
      </c>
      <c r="B88" s="269" t="s">
        <v>388</v>
      </c>
      <c r="C88" s="143" t="s">
        <v>389</v>
      </c>
      <c r="D88" s="105" t="s">
        <v>297</v>
      </c>
      <c r="E88" s="148" t="s">
        <v>298</v>
      </c>
      <c r="F88" s="234" t="s">
        <v>733</v>
      </c>
      <c r="G88" s="301" t="s">
        <v>934</v>
      </c>
      <c r="H88" s="301"/>
      <c r="I88" s="234" t="s">
        <v>935</v>
      </c>
      <c r="J88" s="234" t="s">
        <v>288</v>
      </c>
      <c r="K88" s="259"/>
      <c r="L88" s="258"/>
      <c r="M88" s="258"/>
      <c r="N88" s="258">
        <v>54</v>
      </c>
      <c r="O88" s="258">
        <v>746</v>
      </c>
      <c r="P88" s="258">
        <v>532.80000000000007</v>
      </c>
      <c r="Q88" s="258"/>
      <c r="R88" s="258"/>
      <c r="S88" s="258"/>
      <c r="T88" s="258"/>
      <c r="U88" s="258"/>
      <c r="V88" s="258"/>
      <c r="W88" s="258"/>
      <c r="X88" s="258"/>
      <c r="Y88" s="258"/>
      <c r="Z88" s="258">
        <v>21</v>
      </c>
      <c r="AA88" s="258">
        <v>282</v>
      </c>
      <c r="AB88" s="258">
        <v>202.8</v>
      </c>
      <c r="AC88" s="258"/>
      <c r="AD88" s="258"/>
      <c r="AE88" s="258"/>
      <c r="AF88" s="258"/>
      <c r="AG88" s="258"/>
      <c r="AH88" s="258"/>
      <c r="AI88" s="258"/>
      <c r="AJ88" s="258"/>
      <c r="AK88" s="258"/>
      <c r="AL88" s="258"/>
      <c r="AM88" s="258"/>
      <c r="AN88" s="258"/>
      <c r="AO88" s="272">
        <f t="shared" si="13"/>
        <v>75</v>
      </c>
      <c r="AP88" s="272">
        <f t="shared" si="16"/>
        <v>1028</v>
      </c>
      <c r="AQ88" s="272">
        <f t="shared" si="15"/>
        <v>735.60000000000014</v>
      </c>
      <c r="AR88" s="234">
        <v>49</v>
      </c>
      <c r="AS88" s="234">
        <v>676</v>
      </c>
      <c r="AT88" s="234">
        <v>488</v>
      </c>
      <c r="AU88" s="234"/>
      <c r="AV88" s="234"/>
      <c r="AW88" s="234"/>
      <c r="AX88" s="234"/>
      <c r="AY88" s="234"/>
      <c r="AZ88" s="234"/>
      <c r="BA88" s="234"/>
      <c r="BB88" s="234"/>
      <c r="BC88" s="234"/>
      <c r="BD88" s="234"/>
      <c r="BE88" s="234"/>
      <c r="BF88" s="234"/>
      <c r="BG88" s="234"/>
      <c r="BH88" s="234"/>
      <c r="BI88" s="234"/>
      <c r="BJ88" s="234"/>
      <c r="BK88" s="234"/>
      <c r="BL88" s="234"/>
      <c r="BM88" s="234">
        <v>59</v>
      </c>
      <c r="BN88" s="234">
        <v>816</v>
      </c>
      <c r="BO88" s="234">
        <v>577.60000000000014</v>
      </c>
      <c r="BP88" s="234"/>
      <c r="BQ88" s="234"/>
      <c r="BR88" s="234"/>
      <c r="BS88" s="234"/>
      <c r="BT88" s="234"/>
      <c r="BU88" s="270"/>
      <c r="BV88" s="272">
        <f t="shared" si="17"/>
        <v>183</v>
      </c>
      <c r="BW88" s="272">
        <f t="shared" si="17"/>
        <v>2520</v>
      </c>
      <c r="BX88" s="272">
        <f t="shared" si="17"/>
        <v>1801.2000000000003</v>
      </c>
      <c r="BY88" s="270"/>
      <c r="BZ88" s="270"/>
      <c r="CA88" s="270"/>
      <c r="CB88" s="270"/>
      <c r="CC88" s="270"/>
      <c r="CD88" s="270"/>
      <c r="CE88" s="270"/>
      <c r="CF88" s="270"/>
      <c r="CG88" s="270"/>
      <c r="CH88" s="270"/>
      <c r="CI88" s="270"/>
      <c r="CJ88" s="270"/>
      <c r="CK88" s="270">
        <v>49</v>
      </c>
      <c r="CL88" s="270">
        <v>676</v>
      </c>
      <c r="CM88" s="270">
        <v>488</v>
      </c>
      <c r="CN88" s="270"/>
      <c r="CO88" s="270"/>
      <c r="CP88" s="270"/>
      <c r="CQ88" s="270"/>
      <c r="CR88" s="270"/>
      <c r="CS88" s="270"/>
      <c r="CT88" s="270"/>
      <c r="CU88" s="270"/>
      <c r="CV88" s="270"/>
      <c r="CW88" s="270"/>
      <c r="CX88" s="270"/>
      <c r="CY88" s="270"/>
      <c r="CZ88" s="270"/>
      <c r="DA88" s="270"/>
      <c r="DB88" s="270"/>
      <c r="DC88" s="270"/>
      <c r="DD88" s="270"/>
      <c r="DE88" s="270"/>
      <c r="DF88" s="272">
        <f t="shared" si="18"/>
        <v>232</v>
      </c>
      <c r="DG88" s="272">
        <f t="shared" si="18"/>
        <v>3196</v>
      </c>
      <c r="DH88" s="272">
        <f t="shared" si="14"/>
        <v>2289.2000000000003</v>
      </c>
      <c r="DI88" s="274"/>
    </row>
    <row r="89" spans="1:113" s="275" customFormat="1" ht="24.75" customHeight="1" x14ac:dyDescent="0.6">
      <c r="A89" s="268">
        <v>46</v>
      </c>
      <c r="B89" s="269" t="s">
        <v>390</v>
      </c>
      <c r="C89" s="143" t="s">
        <v>391</v>
      </c>
      <c r="D89" s="105" t="s">
        <v>392</v>
      </c>
      <c r="E89" s="148" t="s">
        <v>393</v>
      </c>
      <c r="F89" s="234" t="s">
        <v>733</v>
      </c>
      <c r="G89" s="301" t="s">
        <v>936</v>
      </c>
      <c r="H89" s="301"/>
      <c r="I89" s="234" t="s">
        <v>937</v>
      </c>
      <c r="J89" s="234" t="s">
        <v>288</v>
      </c>
      <c r="K89" s="259"/>
      <c r="L89" s="258"/>
      <c r="M89" s="258"/>
      <c r="N89" s="258"/>
      <c r="O89" s="258"/>
      <c r="P89" s="258"/>
      <c r="Q89" s="258"/>
      <c r="R89" s="258"/>
      <c r="S89" s="258"/>
      <c r="T89" s="258"/>
      <c r="U89" s="258"/>
      <c r="V89" s="258"/>
      <c r="W89" s="258"/>
      <c r="X89" s="258"/>
      <c r="Y89" s="258"/>
      <c r="Z89" s="258"/>
      <c r="AA89" s="258"/>
      <c r="AB89" s="258"/>
      <c r="AC89" s="258"/>
      <c r="AD89" s="258"/>
      <c r="AE89" s="258"/>
      <c r="AF89" s="258"/>
      <c r="AG89" s="258"/>
      <c r="AH89" s="258"/>
      <c r="AI89" s="258"/>
      <c r="AJ89" s="258"/>
      <c r="AK89" s="258"/>
      <c r="AL89" s="258"/>
      <c r="AM89" s="258"/>
      <c r="AN89" s="258"/>
      <c r="AO89" s="272">
        <f t="shared" si="13"/>
        <v>0</v>
      </c>
      <c r="AP89" s="272">
        <f t="shared" si="16"/>
        <v>0</v>
      </c>
      <c r="AQ89" s="272">
        <f t="shared" si="15"/>
        <v>0</v>
      </c>
      <c r="AR89" s="234"/>
      <c r="AS89" s="234"/>
      <c r="AT89" s="234"/>
      <c r="AU89" s="234">
        <v>300</v>
      </c>
      <c r="AV89" s="234">
        <v>4100</v>
      </c>
      <c r="AW89" s="234">
        <v>2840</v>
      </c>
      <c r="AX89" s="234"/>
      <c r="AY89" s="234"/>
      <c r="AZ89" s="234"/>
      <c r="BA89" s="234"/>
      <c r="BB89" s="234"/>
      <c r="BC89" s="234"/>
      <c r="BD89" s="234"/>
      <c r="BE89" s="234"/>
      <c r="BF89" s="234"/>
      <c r="BG89" s="234"/>
      <c r="BH89" s="234"/>
      <c r="BI89" s="234"/>
      <c r="BJ89" s="234"/>
      <c r="BK89" s="234"/>
      <c r="BL89" s="234"/>
      <c r="BM89" s="234"/>
      <c r="BN89" s="234"/>
      <c r="BO89" s="234"/>
      <c r="BP89" s="234"/>
      <c r="BQ89" s="234"/>
      <c r="BR89" s="234"/>
      <c r="BS89" s="234"/>
      <c r="BT89" s="234"/>
      <c r="BU89" s="270"/>
      <c r="BV89" s="272">
        <f t="shared" si="17"/>
        <v>300</v>
      </c>
      <c r="BW89" s="272">
        <f t="shared" si="17"/>
        <v>4100</v>
      </c>
      <c r="BX89" s="272">
        <f t="shared" si="17"/>
        <v>2840</v>
      </c>
      <c r="BY89" s="270"/>
      <c r="BZ89" s="270"/>
      <c r="CA89" s="270"/>
      <c r="CB89" s="270"/>
      <c r="CC89" s="270"/>
      <c r="CD89" s="270"/>
      <c r="CE89" s="270"/>
      <c r="CF89" s="270"/>
      <c r="CG89" s="270"/>
      <c r="CH89" s="270"/>
      <c r="CI89" s="270"/>
      <c r="CJ89" s="270"/>
      <c r="CK89" s="270">
        <v>250</v>
      </c>
      <c r="CL89" s="270">
        <v>3000</v>
      </c>
      <c r="CM89" s="270">
        <v>3000</v>
      </c>
      <c r="CN89" s="270"/>
      <c r="CO89" s="270"/>
      <c r="CP89" s="270"/>
      <c r="CQ89" s="270"/>
      <c r="CR89" s="270"/>
      <c r="CS89" s="270"/>
      <c r="CT89" s="270"/>
      <c r="CU89" s="270"/>
      <c r="CV89" s="270"/>
      <c r="CW89" s="270"/>
      <c r="CX89" s="270"/>
      <c r="CY89" s="270"/>
      <c r="CZ89" s="270"/>
      <c r="DA89" s="270"/>
      <c r="DB89" s="270"/>
      <c r="DC89" s="270"/>
      <c r="DD89" s="270"/>
      <c r="DE89" s="270"/>
      <c r="DF89" s="272">
        <f t="shared" si="18"/>
        <v>550</v>
      </c>
      <c r="DG89" s="272">
        <f t="shared" si="18"/>
        <v>7100</v>
      </c>
      <c r="DH89" s="272">
        <f t="shared" si="14"/>
        <v>5840</v>
      </c>
      <c r="DI89" s="274"/>
    </row>
    <row r="90" spans="1:113" s="275" customFormat="1" ht="24.75" customHeight="1" x14ac:dyDescent="0.6">
      <c r="A90" s="268">
        <v>47</v>
      </c>
      <c r="B90" s="269" t="s">
        <v>394</v>
      </c>
      <c r="C90" s="143" t="s">
        <v>394</v>
      </c>
      <c r="D90" s="105" t="s">
        <v>377</v>
      </c>
      <c r="E90" s="148" t="s">
        <v>117</v>
      </c>
      <c r="F90" s="234" t="s">
        <v>733</v>
      </c>
      <c r="G90" s="301" t="s">
        <v>938</v>
      </c>
      <c r="H90" s="301"/>
      <c r="I90" s="234" t="s">
        <v>939</v>
      </c>
      <c r="J90" s="234" t="s">
        <v>288</v>
      </c>
      <c r="K90" s="259"/>
      <c r="L90" s="258"/>
      <c r="M90" s="258"/>
      <c r="N90" s="258"/>
      <c r="O90" s="258"/>
      <c r="P90" s="258"/>
      <c r="Q90" s="258"/>
      <c r="R90" s="258"/>
      <c r="S90" s="258"/>
      <c r="T90" s="258"/>
      <c r="U90" s="258"/>
      <c r="V90" s="258"/>
      <c r="W90" s="258"/>
      <c r="X90" s="258"/>
      <c r="Y90" s="258"/>
      <c r="Z90" s="258"/>
      <c r="AA90" s="258"/>
      <c r="AB90" s="258"/>
      <c r="AC90" s="258"/>
      <c r="AD90" s="258"/>
      <c r="AE90" s="258"/>
      <c r="AF90" s="258"/>
      <c r="AG90" s="258"/>
      <c r="AH90" s="258"/>
      <c r="AI90" s="258">
        <v>150</v>
      </c>
      <c r="AJ90" s="258">
        <v>3400</v>
      </c>
      <c r="AK90" s="258">
        <v>1596</v>
      </c>
      <c r="AL90" s="258"/>
      <c r="AM90" s="258"/>
      <c r="AN90" s="258"/>
      <c r="AO90" s="272">
        <f t="shared" si="13"/>
        <v>150</v>
      </c>
      <c r="AP90" s="272">
        <f t="shared" si="16"/>
        <v>3400</v>
      </c>
      <c r="AQ90" s="272">
        <f t="shared" si="15"/>
        <v>1596</v>
      </c>
      <c r="AR90" s="234"/>
      <c r="AS90" s="234"/>
      <c r="AT90" s="234"/>
      <c r="AU90" s="234"/>
      <c r="AV90" s="234"/>
      <c r="AW90" s="234"/>
      <c r="AX90" s="234"/>
      <c r="AY90" s="234"/>
      <c r="AZ90" s="234"/>
      <c r="BA90" s="234"/>
      <c r="BB90" s="234"/>
      <c r="BC90" s="234"/>
      <c r="BD90" s="234"/>
      <c r="BE90" s="234"/>
      <c r="BF90" s="234"/>
      <c r="BG90" s="234"/>
      <c r="BH90" s="234"/>
      <c r="BI90" s="234"/>
      <c r="BJ90" s="234"/>
      <c r="BK90" s="234"/>
      <c r="BL90" s="234"/>
      <c r="BM90" s="234"/>
      <c r="BN90" s="234"/>
      <c r="BO90" s="234"/>
      <c r="BP90" s="234"/>
      <c r="BQ90" s="234"/>
      <c r="BR90" s="234"/>
      <c r="BS90" s="234"/>
      <c r="BT90" s="234"/>
      <c r="BU90" s="270"/>
      <c r="BV90" s="272">
        <f t="shared" si="17"/>
        <v>150</v>
      </c>
      <c r="BW90" s="272">
        <f t="shared" si="17"/>
        <v>3400</v>
      </c>
      <c r="BX90" s="272">
        <f t="shared" si="17"/>
        <v>1596</v>
      </c>
      <c r="BY90" s="270"/>
      <c r="BZ90" s="270"/>
      <c r="CA90" s="270"/>
      <c r="CB90" s="270"/>
      <c r="CC90" s="270"/>
      <c r="CD90" s="270"/>
      <c r="CE90" s="270"/>
      <c r="CF90" s="270"/>
      <c r="CG90" s="270"/>
      <c r="CH90" s="270"/>
      <c r="CI90" s="270"/>
      <c r="CJ90" s="270"/>
      <c r="CK90" s="270"/>
      <c r="CL90" s="270"/>
      <c r="CM90" s="270"/>
      <c r="CN90" s="270"/>
      <c r="CO90" s="270"/>
      <c r="CP90" s="270"/>
      <c r="CQ90" s="270"/>
      <c r="CR90" s="270"/>
      <c r="CS90" s="270"/>
      <c r="CT90" s="270"/>
      <c r="CU90" s="270"/>
      <c r="CV90" s="270"/>
      <c r="CW90" s="270"/>
      <c r="CX90" s="270"/>
      <c r="CY90" s="270"/>
      <c r="CZ90" s="270"/>
      <c r="DA90" s="270"/>
      <c r="DB90" s="270"/>
      <c r="DC90" s="270"/>
      <c r="DD90" s="270"/>
      <c r="DE90" s="270"/>
      <c r="DF90" s="272">
        <f t="shared" si="18"/>
        <v>150</v>
      </c>
      <c r="DG90" s="272">
        <f t="shared" si="18"/>
        <v>3400</v>
      </c>
      <c r="DH90" s="272">
        <f t="shared" si="14"/>
        <v>1596</v>
      </c>
    </row>
    <row r="91" spans="1:113" s="275" customFormat="1" ht="20.100000000000001" customHeight="1" thickBot="1" x14ac:dyDescent="0.65">
      <c r="A91" s="286"/>
      <c r="B91" s="303"/>
      <c r="C91" s="304"/>
      <c r="D91" s="304"/>
      <c r="E91" s="304"/>
      <c r="F91" s="283"/>
      <c r="G91" s="305"/>
      <c r="H91" s="305"/>
      <c r="I91" s="283"/>
      <c r="J91" s="283"/>
      <c r="K91" s="306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07"/>
      <c r="AH91" s="307"/>
      <c r="AI91" s="307"/>
      <c r="AJ91" s="307"/>
      <c r="AK91" s="307"/>
      <c r="AL91" s="307"/>
      <c r="AM91" s="307"/>
      <c r="AN91" s="307"/>
      <c r="AO91" s="272"/>
      <c r="AP91" s="272"/>
      <c r="AQ91" s="308"/>
      <c r="AR91" s="283"/>
      <c r="AS91" s="283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  <c r="BD91" s="283"/>
      <c r="BE91" s="283"/>
      <c r="BF91" s="283"/>
      <c r="BG91" s="283"/>
      <c r="BH91" s="283"/>
      <c r="BI91" s="283"/>
      <c r="BJ91" s="283"/>
      <c r="BK91" s="283"/>
      <c r="BL91" s="283"/>
      <c r="BM91" s="283"/>
      <c r="BN91" s="283"/>
      <c r="BO91" s="283"/>
      <c r="BP91" s="283"/>
      <c r="BQ91" s="283"/>
      <c r="BR91" s="283"/>
      <c r="BS91" s="283"/>
      <c r="BT91" s="283"/>
      <c r="BU91" s="285"/>
      <c r="BV91" s="272"/>
      <c r="BW91" s="272"/>
      <c r="BX91" s="272"/>
      <c r="BY91" s="285"/>
      <c r="BZ91" s="285"/>
      <c r="CA91" s="285"/>
      <c r="CB91" s="285"/>
      <c r="CC91" s="285"/>
      <c r="CD91" s="285"/>
      <c r="CE91" s="285"/>
      <c r="CF91" s="285"/>
      <c r="CG91" s="285"/>
      <c r="CH91" s="285"/>
      <c r="CI91" s="285"/>
      <c r="CJ91" s="285"/>
      <c r="CK91" s="285"/>
      <c r="CL91" s="285"/>
      <c r="CM91" s="285"/>
      <c r="CN91" s="285"/>
      <c r="CO91" s="285"/>
      <c r="CP91" s="285"/>
      <c r="CQ91" s="285"/>
      <c r="CR91" s="285"/>
      <c r="CS91" s="285"/>
      <c r="CT91" s="285"/>
      <c r="CU91" s="285"/>
      <c r="CV91" s="285"/>
      <c r="CW91" s="285"/>
      <c r="CX91" s="285"/>
      <c r="CY91" s="285"/>
      <c r="CZ91" s="285"/>
      <c r="DA91" s="285"/>
      <c r="DB91" s="285"/>
      <c r="DC91" s="285"/>
      <c r="DD91" s="285"/>
      <c r="DE91" s="285"/>
      <c r="DF91" s="308"/>
      <c r="DG91" s="308"/>
      <c r="DH91" s="272"/>
    </row>
    <row r="92" spans="1:113" s="275" customFormat="1" ht="20.100000000000001" customHeight="1" thickBot="1" x14ac:dyDescent="0.65">
      <c r="A92" s="287"/>
      <c r="B92" s="288"/>
      <c r="C92" s="289"/>
      <c r="D92" s="290"/>
      <c r="E92" s="289"/>
      <c r="F92" s="289"/>
      <c r="G92" s="291"/>
      <c r="H92" s="291"/>
      <c r="I92" s="289"/>
      <c r="J92" s="309"/>
      <c r="K92" s="293">
        <f t="shared" ref="K92:AN92" si="19">SUM(K44:K91)</f>
        <v>0</v>
      </c>
      <c r="L92" s="293">
        <f t="shared" si="19"/>
        <v>0</v>
      </c>
      <c r="M92" s="293">
        <f t="shared" si="19"/>
        <v>0</v>
      </c>
      <c r="N92" s="293">
        <f t="shared" si="19"/>
        <v>541</v>
      </c>
      <c r="O92" s="293">
        <f t="shared" si="19"/>
        <v>8206</v>
      </c>
      <c r="P92" s="293">
        <f t="shared" si="19"/>
        <v>5545.2</v>
      </c>
      <c r="Q92" s="293">
        <f t="shared" si="19"/>
        <v>441</v>
      </c>
      <c r="R92" s="293">
        <f t="shared" si="19"/>
        <v>6250</v>
      </c>
      <c r="S92" s="293">
        <f t="shared" si="19"/>
        <v>4651.6000000000004</v>
      </c>
      <c r="T92" s="293">
        <f t="shared" si="19"/>
        <v>296</v>
      </c>
      <c r="U92" s="293">
        <f t="shared" si="19"/>
        <v>4110</v>
      </c>
      <c r="V92" s="293">
        <f t="shared" si="19"/>
        <v>3122</v>
      </c>
      <c r="W92" s="293">
        <f t="shared" si="19"/>
        <v>185</v>
      </c>
      <c r="X92" s="293">
        <f t="shared" si="19"/>
        <v>2652</v>
      </c>
      <c r="Y92" s="293">
        <f t="shared" si="19"/>
        <v>1851.2800000000002</v>
      </c>
      <c r="Z92" s="293">
        <f t="shared" si="19"/>
        <v>405</v>
      </c>
      <c r="AA92" s="293">
        <f t="shared" si="19"/>
        <v>5410</v>
      </c>
      <c r="AB92" s="293">
        <f t="shared" si="19"/>
        <v>4196.32</v>
      </c>
      <c r="AC92" s="293">
        <f t="shared" si="19"/>
        <v>384</v>
      </c>
      <c r="AD92" s="293">
        <f t="shared" si="19"/>
        <v>6810</v>
      </c>
      <c r="AE92" s="293">
        <f t="shared" si="19"/>
        <v>4534.3999999999996</v>
      </c>
      <c r="AF92" s="293">
        <f t="shared" si="19"/>
        <v>0</v>
      </c>
      <c r="AG92" s="293">
        <f t="shared" si="19"/>
        <v>0</v>
      </c>
      <c r="AH92" s="293">
        <f t="shared" si="19"/>
        <v>0</v>
      </c>
      <c r="AI92" s="293">
        <f t="shared" si="19"/>
        <v>292</v>
      </c>
      <c r="AJ92" s="293">
        <f t="shared" si="19"/>
        <v>5320</v>
      </c>
      <c r="AK92" s="293">
        <f t="shared" si="19"/>
        <v>3060.8</v>
      </c>
      <c r="AL92" s="293">
        <f t="shared" si="19"/>
        <v>431</v>
      </c>
      <c r="AM92" s="293">
        <f t="shared" si="19"/>
        <v>6760</v>
      </c>
      <c r="AN92" s="293">
        <f t="shared" si="19"/>
        <v>4862.8</v>
      </c>
      <c r="AO92" s="293">
        <f t="shared" ref="AO92:CZ92" si="20">SUM(AO43:AO91)</f>
        <v>2975</v>
      </c>
      <c r="AP92" s="293">
        <f t="shared" si="20"/>
        <v>45518</v>
      </c>
      <c r="AQ92" s="293">
        <f t="shared" si="20"/>
        <v>31824.399999999994</v>
      </c>
      <c r="AR92" s="293">
        <f t="shared" si="20"/>
        <v>565</v>
      </c>
      <c r="AS92" s="293">
        <f t="shared" si="20"/>
        <v>7810</v>
      </c>
      <c r="AT92" s="293">
        <f t="shared" si="20"/>
        <v>6533.2</v>
      </c>
      <c r="AU92" s="293">
        <f t="shared" si="20"/>
        <v>675</v>
      </c>
      <c r="AV92" s="293">
        <f t="shared" si="20"/>
        <v>10410</v>
      </c>
      <c r="AW92" s="293">
        <f t="shared" si="20"/>
        <v>7262.4</v>
      </c>
      <c r="AX92" s="293">
        <f t="shared" si="20"/>
        <v>250</v>
      </c>
      <c r="AY92" s="293">
        <f t="shared" si="20"/>
        <v>3370</v>
      </c>
      <c r="AZ92" s="293">
        <f t="shared" si="20"/>
        <v>2636.4</v>
      </c>
      <c r="BA92" s="293">
        <f t="shared" si="20"/>
        <v>635</v>
      </c>
      <c r="BB92" s="293">
        <f t="shared" si="20"/>
        <v>9180</v>
      </c>
      <c r="BC92" s="293">
        <f t="shared" si="20"/>
        <v>7031.1999999999989</v>
      </c>
      <c r="BD92" s="293">
        <f t="shared" si="20"/>
        <v>0</v>
      </c>
      <c r="BE92" s="293">
        <f t="shared" si="20"/>
        <v>0</v>
      </c>
      <c r="BF92" s="293">
        <f t="shared" si="20"/>
        <v>0</v>
      </c>
      <c r="BG92" s="293">
        <f t="shared" si="20"/>
        <v>221</v>
      </c>
      <c r="BH92" s="293">
        <f t="shared" si="20"/>
        <v>3272</v>
      </c>
      <c r="BI92" s="293">
        <f t="shared" si="20"/>
        <v>2240.88</v>
      </c>
      <c r="BJ92" s="293">
        <f t="shared" si="20"/>
        <v>471</v>
      </c>
      <c r="BK92" s="293">
        <f t="shared" si="20"/>
        <v>7080</v>
      </c>
      <c r="BL92" s="293">
        <f t="shared" si="20"/>
        <v>5287.2</v>
      </c>
      <c r="BM92" s="293">
        <f t="shared" si="20"/>
        <v>969</v>
      </c>
      <c r="BN92" s="293">
        <f t="shared" si="20"/>
        <v>12926</v>
      </c>
      <c r="BO92" s="293">
        <f t="shared" si="20"/>
        <v>10802.800000000001</v>
      </c>
      <c r="BP92" s="293">
        <f t="shared" si="20"/>
        <v>414</v>
      </c>
      <c r="BQ92" s="293">
        <f t="shared" si="20"/>
        <v>6036</v>
      </c>
      <c r="BR92" s="293">
        <f t="shared" si="20"/>
        <v>4458.6400000000003</v>
      </c>
      <c r="BS92" s="293">
        <f t="shared" si="20"/>
        <v>105</v>
      </c>
      <c r="BT92" s="293">
        <f t="shared" si="20"/>
        <v>1680</v>
      </c>
      <c r="BU92" s="293">
        <f t="shared" si="20"/>
        <v>1067.2</v>
      </c>
      <c r="BV92" s="293">
        <f t="shared" si="20"/>
        <v>7280</v>
      </c>
      <c r="BW92" s="293">
        <f t="shared" si="20"/>
        <v>107282</v>
      </c>
      <c r="BX92" s="293">
        <f t="shared" si="20"/>
        <v>79144.320000000007</v>
      </c>
      <c r="BY92" s="293">
        <f t="shared" si="20"/>
        <v>689</v>
      </c>
      <c r="BZ92" s="293">
        <f t="shared" si="20"/>
        <v>10086</v>
      </c>
      <c r="CA92" s="293">
        <f t="shared" si="20"/>
        <v>7509.84</v>
      </c>
      <c r="CB92" s="293">
        <f t="shared" si="20"/>
        <v>0</v>
      </c>
      <c r="CC92" s="293">
        <f t="shared" si="20"/>
        <v>0</v>
      </c>
      <c r="CD92" s="293">
        <f t="shared" si="20"/>
        <v>0</v>
      </c>
      <c r="CE92" s="293">
        <f t="shared" si="20"/>
        <v>422</v>
      </c>
      <c r="CF92" s="293">
        <f t="shared" si="20"/>
        <v>6454</v>
      </c>
      <c r="CG92" s="293">
        <f t="shared" si="20"/>
        <v>4678.3999999999996</v>
      </c>
      <c r="CH92" s="293">
        <f t="shared" si="20"/>
        <v>665</v>
      </c>
      <c r="CI92" s="293">
        <f t="shared" si="20"/>
        <v>9800</v>
      </c>
      <c r="CJ92" s="293">
        <f t="shared" si="20"/>
        <v>7321.6</v>
      </c>
      <c r="CK92" s="293">
        <f t="shared" si="20"/>
        <v>584</v>
      </c>
      <c r="CL92" s="293">
        <f t="shared" si="20"/>
        <v>8696</v>
      </c>
      <c r="CM92" s="293">
        <f t="shared" si="20"/>
        <v>6464</v>
      </c>
      <c r="CN92" s="293">
        <f t="shared" si="20"/>
        <v>175</v>
      </c>
      <c r="CO92" s="293">
        <f t="shared" si="20"/>
        <v>2840</v>
      </c>
      <c r="CP92" s="293">
        <f t="shared" si="20"/>
        <v>1800.4</v>
      </c>
      <c r="CQ92" s="293">
        <f t="shared" si="20"/>
        <v>400</v>
      </c>
      <c r="CR92" s="293">
        <f t="shared" si="20"/>
        <v>5492</v>
      </c>
      <c r="CS92" s="293">
        <f t="shared" si="20"/>
        <v>4704.4799999999996</v>
      </c>
      <c r="CT92" s="293">
        <f t="shared" si="20"/>
        <v>442</v>
      </c>
      <c r="CU92" s="293">
        <f t="shared" si="20"/>
        <v>6894</v>
      </c>
      <c r="CV92" s="293">
        <f t="shared" si="20"/>
        <v>4813.2000000000007</v>
      </c>
      <c r="CW92" s="293">
        <f t="shared" si="20"/>
        <v>0</v>
      </c>
      <c r="CX92" s="293">
        <f t="shared" si="20"/>
        <v>0</v>
      </c>
      <c r="CY92" s="293">
        <f t="shared" si="20"/>
        <v>0</v>
      </c>
      <c r="CZ92" s="293">
        <f t="shared" si="20"/>
        <v>0</v>
      </c>
      <c r="DA92" s="293">
        <f t="shared" ref="DA92:DH92" si="21">SUM(DA43:DA91)</f>
        <v>0</v>
      </c>
      <c r="DB92" s="293">
        <f t="shared" si="21"/>
        <v>0</v>
      </c>
      <c r="DC92" s="293">
        <f t="shared" si="21"/>
        <v>0</v>
      </c>
      <c r="DD92" s="293">
        <f t="shared" si="21"/>
        <v>0</v>
      </c>
      <c r="DE92" s="293">
        <f t="shared" si="21"/>
        <v>0</v>
      </c>
      <c r="DF92" s="293">
        <f t="shared" si="21"/>
        <v>10657</v>
      </c>
      <c r="DG92" s="293">
        <f t="shared" si="21"/>
        <v>157544</v>
      </c>
      <c r="DH92" s="293">
        <f t="shared" si="21"/>
        <v>116436.24</v>
      </c>
    </row>
    <row r="93" spans="1:113" s="275" customFormat="1" ht="20.100000000000001" customHeight="1" x14ac:dyDescent="0.6">
      <c r="A93" s="310">
        <f>A40+A90</f>
        <v>83</v>
      </c>
      <c r="B93" s="236"/>
      <c r="C93" s="236"/>
      <c r="D93" s="296"/>
      <c r="E93" s="236"/>
      <c r="F93" s="236"/>
      <c r="G93" s="311"/>
      <c r="H93" s="311"/>
      <c r="I93" s="311"/>
      <c r="J93" s="236"/>
      <c r="K93" s="312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1"/>
      <c r="AM93" s="311"/>
      <c r="AN93" s="311"/>
      <c r="AO93" s="311"/>
      <c r="AP93" s="311"/>
      <c r="AQ93" s="311"/>
      <c r="AR93" s="311"/>
      <c r="AS93" s="311"/>
      <c r="AT93" s="311"/>
      <c r="AU93" s="311"/>
      <c r="AV93" s="311"/>
      <c r="AW93" s="311"/>
      <c r="AX93" s="311"/>
      <c r="AY93" s="311"/>
      <c r="AZ93" s="311"/>
      <c r="BA93" s="311"/>
      <c r="BB93" s="311"/>
      <c r="BC93" s="311"/>
      <c r="BD93" s="236"/>
      <c r="BE93" s="236"/>
      <c r="BF93" s="236"/>
      <c r="BG93" s="311"/>
      <c r="BH93" s="311"/>
      <c r="BI93" s="311"/>
      <c r="BJ93" s="311"/>
      <c r="BK93" s="311"/>
      <c r="BL93" s="311"/>
      <c r="BM93" s="311"/>
      <c r="BN93" s="311"/>
      <c r="BO93" s="311"/>
      <c r="BP93" s="311"/>
      <c r="BQ93" s="311"/>
      <c r="BR93" s="311"/>
      <c r="BS93" s="311"/>
      <c r="BT93" s="311"/>
      <c r="BU93" s="311"/>
      <c r="BV93" s="311"/>
      <c r="BW93" s="311"/>
      <c r="BX93" s="311"/>
      <c r="BY93" s="311"/>
      <c r="BZ93" s="311"/>
      <c r="CA93" s="311"/>
      <c r="CB93" s="311"/>
      <c r="CC93" s="311"/>
      <c r="CD93" s="311"/>
      <c r="CE93" s="311"/>
      <c r="CF93" s="311"/>
      <c r="CG93" s="311"/>
      <c r="CH93" s="311"/>
      <c r="CI93" s="311"/>
      <c r="CJ93" s="311"/>
      <c r="CK93" s="311"/>
      <c r="CL93" s="311"/>
      <c r="CM93" s="311"/>
      <c r="CN93" s="311"/>
      <c r="CO93" s="311"/>
      <c r="CP93" s="311"/>
      <c r="CQ93" s="311"/>
      <c r="CR93" s="311"/>
      <c r="CS93" s="311"/>
      <c r="CT93" s="311"/>
      <c r="CU93" s="311"/>
      <c r="CV93" s="311"/>
      <c r="CW93" s="311"/>
      <c r="CX93" s="311"/>
      <c r="CY93" s="311"/>
      <c r="CZ93" s="311"/>
      <c r="DA93" s="311"/>
      <c r="DB93" s="311"/>
      <c r="DC93" s="311"/>
      <c r="DD93" s="311"/>
      <c r="DE93" s="311"/>
      <c r="DF93" s="311"/>
      <c r="DG93" s="311"/>
      <c r="DH93" s="311"/>
    </row>
    <row r="94" spans="1:113" s="275" customFormat="1" ht="20.100000000000001" customHeight="1" thickBot="1" x14ac:dyDescent="0.65">
      <c r="A94" s="313"/>
      <c r="B94" s="314"/>
      <c r="C94" s="314"/>
      <c r="D94" s="314"/>
      <c r="E94" s="314"/>
      <c r="F94" s="314"/>
      <c r="G94" s="314"/>
      <c r="H94" s="314"/>
      <c r="I94" s="314" t="s">
        <v>940</v>
      </c>
      <c r="J94" s="315"/>
      <c r="K94" s="316">
        <f t="shared" ref="K94:BV94" si="22">SUM(K92,K42)</f>
        <v>0</v>
      </c>
      <c r="L94" s="316">
        <f t="shared" si="22"/>
        <v>0</v>
      </c>
      <c r="M94" s="316">
        <f t="shared" si="22"/>
        <v>0</v>
      </c>
      <c r="N94" s="316">
        <f t="shared" si="22"/>
        <v>728</v>
      </c>
      <c r="O94" s="316">
        <f t="shared" si="22"/>
        <v>10830</v>
      </c>
      <c r="P94" s="316">
        <f t="shared" si="22"/>
        <v>7629.6</v>
      </c>
      <c r="Q94" s="316">
        <f t="shared" si="22"/>
        <v>1005</v>
      </c>
      <c r="R94" s="316">
        <f t="shared" si="22"/>
        <v>13518</v>
      </c>
      <c r="S94" s="316">
        <f t="shared" si="22"/>
        <v>10863.2</v>
      </c>
      <c r="T94" s="316">
        <f t="shared" si="22"/>
        <v>787</v>
      </c>
      <c r="U94" s="316">
        <f t="shared" si="22"/>
        <v>10630</v>
      </c>
      <c r="V94" s="316">
        <f t="shared" si="22"/>
        <v>8326.7999999999993</v>
      </c>
      <c r="W94" s="316">
        <f t="shared" si="22"/>
        <v>450</v>
      </c>
      <c r="X94" s="316">
        <f t="shared" si="22"/>
        <v>6162</v>
      </c>
      <c r="Y94" s="316">
        <f t="shared" si="22"/>
        <v>4475.68</v>
      </c>
      <c r="Z94" s="316">
        <f t="shared" si="22"/>
        <v>558</v>
      </c>
      <c r="AA94" s="316">
        <f t="shared" si="22"/>
        <v>7250</v>
      </c>
      <c r="AB94" s="316">
        <f t="shared" si="22"/>
        <v>6026.24</v>
      </c>
      <c r="AC94" s="316">
        <f t="shared" si="22"/>
        <v>853</v>
      </c>
      <c r="AD94" s="316">
        <f t="shared" si="22"/>
        <v>13334</v>
      </c>
      <c r="AE94" s="316">
        <f t="shared" si="22"/>
        <v>9946</v>
      </c>
      <c r="AF94" s="316">
        <f t="shared" si="22"/>
        <v>0</v>
      </c>
      <c r="AG94" s="316">
        <f t="shared" si="22"/>
        <v>0</v>
      </c>
      <c r="AH94" s="316">
        <f t="shared" si="22"/>
        <v>0</v>
      </c>
      <c r="AI94" s="316">
        <f t="shared" si="22"/>
        <v>1013</v>
      </c>
      <c r="AJ94" s="316">
        <f t="shared" si="22"/>
        <v>15378</v>
      </c>
      <c r="AK94" s="316">
        <f t="shared" si="22"/>
        <v>11261.759999999998</v>
      </c>
      <c r="AL94" s="316">
        <f t="shared" si="22"/>
        <v>793</v>
      </c>
      <c r="AM94" s="316">
        <f t="shared" si="22"/>
        <v>12924</v>
      </c>
      <c r="AN94" s="316">
        <f t="shared" si="22"/>
        <v>9165.2000000000007</v>
      </c>
      <c r="AO94" s="316">
        <f t="shared" si="22"/>
        <v>6257</v>
      </c>
      <c r="AP94" s="316">
        <f t="shared" si="22"/>
        <v>90966</v>
      </c>
      <c r="AQ94" s="316">
        <f t="shared" si="22"/>
        <v>68382.479999999981</v>
      </c>
      <c r="AR94" s="316">
        <f t="shared" si="22"/>
        <v>647</v>
      </c>
      <c r="AS94" s="316">
        <f t="shared" si="22"/>
        <v>8796</v>
      </c>
      <c r="AT94" s="316">
        <f t="shared" si="22"/>
        <v>7514.16</v>
      </c>
      <c r="AU94" s="316">
        <f t="shared" si="22"/>
        <v>705</v>
      </c>
      <c r="AV94" s="316">
        <f t="shared" si="22"/>
        <v>10770</v>
      </c>
      <c r="AW94" s="316">
        <f t="shared" si="22"/>
        <v>7622.4</v>
      </c>
      <c r="AX94" s="316">
        <f t="shared" si="22"/>
        <v>538</v>
      </c>
      <c r="AY94" s="316">
        <f t="shared" si="22"/>
        <v>6946</v>
      </c>
      <c r="AZ94" s="316">
        <f t="shared" si="22"/>
        <v>5900.4</v>
      </c>
      <c r="BA94" s="316">
        <f t="shared" si="22"/>
        <v>896</v>
      </c>
      <c r="BB94" s="316">
        <f t="shared" si="22"/>
        <v>12664</v>
      </c>
      <c r="BC94" s="316">
        <f t="shared" si="22"/>
        <v>9799.1999999999989</v>
      </c>
      <c r="BD94" s="316">
        <f t="shared" si="22"/>
        <v>0</v>
      </c>
      <c r="BE94" s="316">
        <f t="shared" si="22"/>
        <v>0</v>
      </c>
      <c r="BF94" s="316">
        <f t="shared" si="22"/>
        <v>0</v>
      </c>
      <c r="BG94" s="316">
        <f t="shared" si="22"/>
        <v>671</v>
      </c>
      <c r="BH94" s="316">
        <f t="shared" si="22"/>
        <v>9132</v>
      </c>
      <c r="BI94" s="316">
        <f t="shared" si="22"/>
        <v>7610.08</v>
      </c>
      <c r="BJ94" s="316">
        <f t="shared" si="22"/>
        <v>861</v>
      </c>
      <c r="BK94" s="316">
        <f t="shared" si="22"/>
        <v>12250</v>
      </c>
      <c r="BL94" s="316">
        <f t="shared" si="22"/>
        <v>9475.36</v>
      </c>
      <c r="BM94" s="316">
        <f t="shared" si="22"/>
        <v>1223</v>
      </c>
      <c r="BN94" s="316">
        <f t="shared" si="22"/>
        <v>16166</v>
      </c>
      <c r="BO94" s="316">
        <f t="shared" si="22"/>
        <v>13772.160000000002</v>
      </c>
      <c r="BP94" s="316">
        <f t="shared" si="22"/>
        <v>609</v>
      </c>
      <c r="BQ94" s="316">
        <f t="shared" si="22"/>
        <v>8636</v>
      </c>
      <c r="BR94" s="316">
        <f t="shared" si="22"/>
        <v>6403.4400000000005</v>
      </c>
      <c r="BS94" s="317">
        <f t="shared" si="22"/>
        <v>673</v>
      </c>
      <c r="BT94" s="316">
        <f t="shared" si="22"/>
        <v>9116</v>
      </c>
      <c r="BU94" s="316">
        <f t="shared" si="22"/>
        <v>7797.2</v>
      </c>
      <c r="BV94" s="316">
        <f t="shared" si="22"/>
        <v>13080</v>
      </c>
      <c r="BW94" s="316">
        <f t="shared" ref="BW94:DH94" si="23">SUM(BW92,BW42)</f>
        <v>185442</v>
      </c>
      <c r="BX94" s="316">
        <f t="shared" si="23"/>
        <v>144276.88</v>
      </c>
      <c r="BY94" s="316">
        <f t="shared" si="23"/>
        <v>926</v>
      </c>
      <c r="BZ94" s="316">
        <f t="shared" si="23"/>
        <v>14460</v>
      </c>
      <c r="CA94" s="316">
        <f t="shared" si="23"/>
        <v>10252.799999999999</v>
      </c>
      <c r="CB94" s="316">
        <f t="shared" si="23"/>
        <v>0</v>
      </c>
      <c r="CC94" s="316">
        <f t="shared" si="23"/>
        <v>0</v>
      </c>
      <c r="CD94" s="316">
        <f t="shared" si="23"/>
        <v>0</v>
      </c>
      <c r="CE94" s="316">
        <f t="shared" si="23"/>
        <v>760</v>
      </c>
      <c r="CF94" s="316">
        <f t="shared" si="23"/>
        <v>10832</v>
      </c>
      <c r="CG94" s="316">
        <f t="shared" si="23"/>
        <v>8244.9599999999991</v>
      </c>
      <c r="CH94" s="316">
        <f t="shared" si="23"/>
        <v>1030</v>
      </c>
      <c r="CI94" s="316">
        <f t="shared" si="23"/>
        <v>15620</v>
      </c>
      <c r="CJ94" s="316">
        <f t="shared" si="23"/>
        <v>11720.400000000001</v>
      </c>
      <c r="CK94" s="316">
        <f t="shared" si="23"/>
        <v>1132</v>
      </c>
      <c r="CL94" s="316">
        <f t="shared" si="23"/>
        <v>16636</v>
      </c>
      <c r="CM94" s="316">
        <f t="shared" si="23"/>
        <v>12214.4</v>
      </c>
      <c r="CN94" s="316">
        <f t="shared" si="23"/>
        <v>365</v>
      </c>
      <c r="CO94" s="316">
        <f t="shared" si="23"/>
        <v>5480</v>
      </c>
      <c r="CP94" s="316">
        <f t="shared" si="23"/>
        <v>3732</v>
      </c>
      <c r="CQ94" s="316">
        <f t="shared" si="23"/>
        <v>860</v>
      </c>
      <c r="CR94" s="316">
        <f t="shared" si="23"/>
        <v>11112</v>
      </c>
      <c r="CS94" s="316">
        <f t="shared" si="23"/>
        <v>10072.48</v>
      </c>
      <c r="CT94" s="316">
        <f t="shared" si="23"/>
        <v>1146</v>
      </c>
      <c r="CU94" s="316">
        <f t="shared" si="23"/>
        <v>16570</v>
      </c>
      <c r="CV94" s="316">
        <f t="shared" si="23"/>
        <v>12767.76</v>
      </c>
      <c r="CW94" s="316">
        <f t="shared" si="23"/>
        <v>0</v>
      </c>
      <c r="CX94" s="316">
        <f t="shared" si="23"/>
        <v>0</v>
      </c>
      <c r="CY94" s="316">
        <f t="shared" si="23"/>
        <v>0</v>
      </c>
      <c r="CZ94" s="316">
        <f t="shared" si="23"/>
        <v>0</v>
      </c>
      <c r="DA94" s="316">
        <f t="shared" si="23"/>
        <v>0</v>
      </c>
      <c r="DB94" s="316">
        <f t="shared" si="23"/>
        <v>0</v>
      </c>
      <c r="DC94" s="316">
        <f t="shared" si="23"/>
        <v>0</v>
      </c>
      <c r="DD94" s="316">
        <f t="shared" si="23"/>
        <v>0</v>
      </c>
      <c r="DE94" s="316">
        <f t="shared" si="23"/>
        <v>0</v>
      </c>
      <c r="DF94" s="316">
        <f t="shared" si="23"/>
        <v>19299</v>
      </c>
      <c r="DG94" s="316">
        <f t="shared" si="23"/>
        <v>276152</v>
      </c>
      <c r="DH94" s="316">
        <f t="shared" si="23"/>
        <v>213281.68</v>
      </c>
    </row>
    <row r="96" spans="1:113" x14ac:dyDescent="0.6">
      <c r="BX96" s="243"/>
    </row>
    <row r="97" spans="12:12" x14ac:dyDescent="0.6">
      <c r="L97" s="228"/>
    </row>
  </sheetData>
  <mergeCells count="43">
    <mergeCell ref="J3:J4"/>
    <mergeCell ref="A3:A4"/>
    <mergeCell ref="B3:C4"/>
    <mergeCell ref="D3:E4"/>
    <mergeCell ref="F3:F4"/>
    <mergeCell ref="G3:H4"/>
    <mergeCell ref="I3:I4"/>
    <mergeCell ref="DF2:DH2"/>
    <mergeCell ref="BY2:CA2"/>
    <mergeCell ref="CB2:CD2"/>
    <mergeCell ref="CE2:CG2"/>
    <mergeCell ref="CH2:CJ2"/>
    <mergeCell ref="CK2:CM2"/>
    <mergeCell ref="CN2:CP2"/>
    <mergeCell ref="CQ2:CS2"/>
    <mergeCell ref="CT2:CV2"/>
    <mergeCell ref="CW2:CY2"/>
    <mergeCell ref="CZ2:DB2"/>
    <mergeCell ref="DC2:DE2"/>
    <mergeCell ref="BV2:BX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AL2:AN2"/>
    <mergeCell ref="B1:D1"/>
    <mergeCell ref="A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conditionalFormatting sqref="C21:C40">
    <cfRule type="duplicateValues" dxfId="28" priority="3"/>
    <cfRule type="duplicateValues" dxfId="27" priority="4"/>
  </conditionalFormatting>
  <conditionalFormatting sqref="C44:C90">
    <cfRule type="duplicateValues" dxfId="26" priority="1"/>
    <cfRule type="duplicateValues" dxfId="25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C003-C121-4A05-BEBB-D9C78443BD5F}">
  <dimension ref="A1:DL152"/>
  <sheetViews>
    <sheetView topLeftCell="CM1" workbookViewId="0">
      <selection activeCell="DH4" sqref="DH4:DJ146"/>
    </sheetView>
  </sheetViews>
  <sheetFormatPr defaultColWidth="10.28515625" defaultRowHeight="21" x14ac:dyDescent="0.6"/>
  <cols>
    <col min="1" max="1" width="7" style="227" customWidth="1"/>
    <col min="2" max="2" width="14.42578125" style="227" customWidth="1"/>
    <col min="3" max="3" width="14.5703125" style="227" customWidth="1"/>
    <col min="4" max="4" width="10.28515625" style="227" customWidth="1"/>
    <col min="5" max="5" width="17" style="227" customWidth="1"/>
    <col min="6" max="6" width="12.85546875" style="227" customWidth="1"/>
    <col min="7" max="9" width="10.28515625" style="227" hidden="1" customWidth="1"/>
    <col min="10" max="10" width="15" style="227" hidden="1" customWidth="1"/>
    <col min="11" max="11" width="10.28515625" style="227" hidden="1" customWidth="1"/>
    <col min="12" max="12" width="13.42578125" style="227" hidden="1" customWidth="1"/>
    <col min="13" max="13" width="6.85546875" style="227" hidden="1" customWidth="1"/>
    <col min="14" max="15" width="6.28515625" style="227" hidden="1" customWidth="1"/>
    <col min="16" max="16" width="5" style="227" hidden="1" customWidth="1"/>
    <col min="17" max="18" width="6.28515625" style="227" hidden="1" customWidth="1"/>
    <col min="19" max="19" width="5" style="227" hidden="1" customWidth="1"/>
    <col min="20" max="21" width="6.28515625" style="227" hidden="1" customWidth="1"/>
    <col min="22" max="22" width="5" style="227" hidden="1" customWidth="1"/>
    <col min="23" max="24" width="6.28515625" style="227" hidden="1" customWidth="1"/>
    <col min="25" max="25" width="5" style="227" hidden="1" customWidth="1"/>
    <col min="26" max="27" width="6.28515625" style="227" hidden="1" customWidth="1"/>
    <col min="28" max="28" width="5" style="227" hidden="1" customWidth="1"/>
    <col min="29" max="29" width="6" style="227" hidden="1" customWidth="1"/>
    <col min="30" max="30" width="6.140625" style="227" hidden="1" customWidth="1"/>
    <col min="31" max="31" width="5" style="227" hidden="1" customWidth="1"/>
    <col min="32" max="33" width="6.28515625" style="227" hidden="1" customWidth="1"/>
    <col min="34" max="34" width="5" style="227" hidden="1" customWidth="1"/>
    <col min="35" max="36" width="6.28515625" style="227" hidden="1" customWidth="1"/>
    <col min="37" max="37" width="5" style="227" hidden="1" customWidth="1"/>
    <col min="38" max="39" width="6.28515625" style="227" hidden="1" customWidth="1"/>
    <col min="40" max="40" width="5" style="227" hidden="1" customWidth="1"/>
    <col min="41" max="43" width="6.28515625" style="227" hidden="1" customWidth="1"/>
    <col min="44" max="44" width="7.140625" style="227" hidden="1" customWidth="1"/>
    <col min="45" max="45" width="8.42578125" style="227" hidden="1" customWidth="1"/>
    <col min="46" max="46" width="6.5703125" style="227" customWidth="1"/>
    <col min="47" max="47" width="6.7109375" style="227" customWidth="1"/>
    <col min="48" max="48" width="7.42578125" style="227" customWidth="1"/>
    <col min="49" max="111" width="10.28515625" style="227" customWidth="1"/>
    <col min="112" max="112" width="7.5703125" style="227" customWidth="1"/>
    <col min="113" max="113" width="9" style="227" customWidth="1"/>
    <col min="114" max="114" width="12.140625" style="227" customWidth="1"/>
    <col min="115" max="116" width="10.28515625" style="229"/>
    <col min="117" max="16384" width="10.28515625" style="227"/>
  </cols>
  <sheetData>
    <row r="1" spans="1:116" ht="30" customHeight="1" x14ac:dyDescent="0.6">
      <c r="A1" s="440" t="s">
        <v>397</v>
      </c>
      <c r="B1" s="441"/>
      <c r="C1" s="441"/>
      <c r="D1" s="441"/>
    </row>
    <row r="2" spans="1:116" ht="30" customHeight="1" x14ac:dyDescent="0.6">
      <c r="A2" s="318" t="s">
        <v>43</v>
      </c>
      <c r="B2" s="438" t="s">
        <v>44</v>
      </c>
      <c r="C2" s="439"/>
      <c r="D2" s="438" t="s">
        <v>45</v>
      </c>
      <c r="E2" s="439"/>
      <c r="F2" s="318" t="s">
        <v>46</v>
      </c>
      <c r="G2" s="438" t="s">
        <v>730</v>
      </c>
      <c r="H2" s="439"/>
      <c r="I2" s="319" t="s">
        <v>941</v>
      </c>
      <c r="J2" s="319" t="s">
        <v>942</v>
      </c>
      <c r="K2" s="442" t="s">
        <v>943</v>
      </c>
      <c r="L2" s="443"/>
      <c r="M2" s="409">
        <v>8767</v>
      </c>
      <c r="N2" s="409"/>
      <c r="O2" s="410"/>
      <c r="P2" s="409">
        <v>45659</v>
      </c>
      <c r="Q2" s="409"/>
      <c r="R2" s="410"/>
      <c r="S2" s="409">
        <v>45660</v>
      </c>
      <c r="T2" s="409"/>
      <c r="U2" s="410"/>
      <c r="V2" s="409">
        <v>45661</v>
      </c>
      <c r="W2" s="409"/>
      <c r="X2" s="410"/>
      <c r="Y2" s="409">
        <v>45662</v>
      </c>
      <c r="Z2" s="409"/>
      <c r="AA2" s="410"/>
      <c r="AB2" s="409">
        <v>45663</v>
      </c>
      <c r="AC2" s="409"/>
      <c r="AD2" s="410"/>
      <c r="AE2" s="409">
        <v>45664</v>
      </c>
      <c r="AF2" s="409"/>
      <c r="AG2" s="410"/>
      <c r="AH2" s="409">
        <v>45665</v>
      </c>
      <c r="AI2" s="409"/>
      <c r="AJ2" s="410"/>
      <c r="AK2" s="409">
        <v>45666</v>
      </c>
      <c r="AL2" s="409"/>
      <c r="AM2" s="410"/>
      <c r="AN2" s="409">
        <v>45667</v>
      </c>
      <c r="AO2" s="409"/>
      <c r="AP2" s="410"/>
      <c r="AQ2" s="435" t="s">
        <v>717</v>
      </c>
      <c r="AR2" s="436"/>
      <c r="AS2" s="437"/>
      <c r="AT2" s="409">
        <v>46033</v>
      </c>
      <c r="AU2" s="409"/>
      <c r="AV2" s="410"/>
      <c r="AW2" s="409">
        <v>46034</v>
      </c>
      <c r="AX2" s="409"/>
      <c r="AY2" s="410"/>
      <c r="AZ2" s="409">
        <v>46035</v>
      </c>
      <c r="BA2" s="409"/>
      <c r="BB2" s="410"/>
      <c r="BC2" s="409">
        <v>46036</v>
      </c>
      <c r="BD2" s="409"/>
      <c r="BE2" s="410"/>
      <c r="BF2" s="409">
        <v>46037</v>
      </c>
      <c r="BG2" s="409"/>
      <c r="BH2" s="410"/>
      <c r="BI2" s="409">
        <v>46038</v>
      </c>
      <c r="BJ2" s="409"/>
      <c r="BK2" s="410"/>
      <c r="BL2" s="409">
        <v>46039</v>
      </c>
      <c r="BM2" s="409"/>
      <c r="BN2" s="410"/>
      <c r="BO2" s="409">
        <v>46040</v>
      </c>
      <c r="BP2" s="409"/>
      <c r="BQ2" s="410"/>
      <c r="BR2" s="409">
        <v>46041</v>
      </c>
      <c r="BS2" s="409"/>
      <c r="BT2" s="410"/>
      <c r="BU2" s="409">
        <v>46042</v>
      </c>
      <c r="BV2" s="409"/>
      <c r="BW2" s="410"/>
      <c r="BX2" s="435" t="s">
        <v>718</v>
      </c>
      <c r="BY2" s="436"/>
      <c r="BZ2" s="437"/>
      <c r="CA2" s="409">
        <v>46043</v>
      </c>
      <c r="CB2" s="409"/>
      <c r="CC2" s="410"/>
      <c r="CD2" s="409">
        <v>46044</v>
      </c>
      <c r="CE2" s="409"/>
      <c r="CF2" s="410"/>
      <c r="CG2" s="409">
        <v>46045</v>
      </c>
      <c r="CH2" s="409"/>
      <c r="CI2" s="410"/>
      <c r="CJ2" s="409">
        <v>46046</v>
      </c>
      <c r="CK2" s="409"/>
      <c r="CL2" s="410"/>
      <c r="CM2" s="409">
        <v>46047</v>
      </c>
      <c r="CN2" s="409"/>
      <c r="CO2" s="410"/>
      <c r="CP2" s="409">
        <v>46048</v>
      </c>
      <c r="CQ2" s="409"/>
      <c r="CR2" s="410"/>
      <c r="CS2" s="409">
        <v>46049</v>
      </c>
      <c r="CT2" s="409"/>
      <c r="CU2" s="410"/>
      <c r="CV2" s="409">
        <v>46050</v>
      </c>
      <c r="CW2" s="409"/>
      <c r="CX2" s="410"/>
      <c r="CY2" s="409">
        <v>46051</v>
      </c>
      <c r="CZ2" s="409"/>
      <c r="DA2" s="410"/>
      <c r="DB2" s="409">
        <v>46052</v>
      </c>
      <c r="DC2" s="409"/>
      <c r="DD2" s="410"/>
      <c r="DE2" s="409">
        <v>46053</v>
      </c>
      <c r="DF2" s="409"/>
      <c r="DG2" s="410"/>
      <c r="DH2" s="435" t="s">
        <v>719</v>
      </c>
      <c r="DI2" s="436"/>
      <c r="DJ2" s="437"/>
    </row>
    <row r="3" spans="1:116" ht="30" customHeight="1" x14ac:dyDescent="0.6">
      <c r="A3" s="318"/>
      <c r="B3" s="438"/>
      <c r="C3" s="439"/>
      <c r="D3" s="438"/>
      <c r="E3" s="439"/>
      <c r="F3" s="318"/>
      <c r="G3" s="319"/>
      <c r="H3" s="319"/>
      <c r="I3" s="319"/>
      <c r="J3" s="319"/>
      <c r="K3" s="319" t="s">
        <v>720</v>
      </c>
      <c r="L3" s="318" t="s">
        <v>721</v>
      </c>
      <c r="M3" s="233" t="s">
        <v>720</v>
      </c>
      <c r="N3" s="230" t="s">
        <v>721</v>
      </c>
      <c r="O3" s="230" t="s">
        <v>722</v>
      </c>
      <c r="P3" s="233" t="s">
        <v>720</v>
      </c>
      <c r="Q3" s="230" t="s">
        <v>721</v>
      </c>
      <c r="R3" s="230" t="s">
        <v>722</v>
      </c>
      <c r="S3" s="233" t="s">
        <v>720</v>
      </c>
      <c r="T3" s="230" t="s">
        <v>721</v>
      </c>
      <c r="U3" s="230" t="s">
        <v>722</v>
      </c>
      <c r="V3" s="233" t="s">
        <v>720</v>
      </c>
      <c r="W3" s="230" t="s">
        <v>721</v>
      </c>
      <c r="X3" s="230" t="s">
        <v>722</v>
      </c>
      <c r="Y3" s="233" t="s">
        <v>720</v>
      </c>
      <c r="Z3" s="230" t="s">
        <v>721</v>
      </c>
      <c r="AA3" s="230" t="s">
        <v>722</v>
      </c>
      <c r="AB3" s="233" t="s">
        <v>720</v>
      </c>
      <c r="AC3" s="230" t="s">
        <v>721</v>
      </c>
      <c r="AD3" s="230" t="s">
        <v>722</v>
      </c>
      <c r="AE3" s="233" t="s">
        <v>720</v>
      </c>
      <c r="AF3" s="230" t="s">
        <v>721</v>
      </c>
      <c r="AG3" s="230" t="s">
        <v>722</v>
      </c>
      <c r="AH3" s="233" t="s">
        <v>720</v>
      </c>
      <c r="AI3" s="230" t="s">
        <v>721</v>
      </c>
      <c r="AJ3" s="230" t="s">
        <v>722</v>
      </c>
      <c r="AK3" s="233" t="s">
        <v>720</v>
      </c>
      <c r="AL3" s="230" t="s">
        <v>721</v>
      </c>
      <c r="AM3" s="230" t="s">
        <v>722</v>
      </c>
      <c r="AN3" s="233" t="s">
        <v>720</v>
      </c>
      <c r="AO3" s="230" t="s">
        <v>721</v>
      </c>
      <c r="AP3" s="230" t="s">
        <v>722</v>
      </c>
      <c r="AQ3" s="320" t="s">
        <v>720</v>
      </c>
      <c r="AR3" s="321" t="s">
        <v>721</v>
      </c>
      <c r="AS3" s="321" t="s">
        <v>722</v>
      </c>
      <c r="AT3" s="233" t="s">
        <v>720</v>
      </c>
      <c r="AU3" s="230" t="s">
        <v>721</v>
      </c>
      <c r="AV3" s="230" t="s">
        <v>722</v>
      </c>
      <c r="AW3" s="233" t="s">
        <v>720</v>
      </c>
      <c r="AX3" s="230" t="s">
        <v>721</v>
      </c>
      <c r="AY3" s="230" t="s">
        <v>722</v>
      </c>
      <c r="AZ3" s="233" t="s">
        <v>720</v>
      </c>
      <c r="BA3" s="230" t="s">
        <v>721</v>
      </c>
      <c r="BB3" s="230" t="s">
        <v>722</v>
      </c>
      <c r="BC3" s="233" t="s">
        <v>720</v>
      </c>
      <c r="BD3" s="230" t="s">
        <v>721</v>
      </c>
      <c r="BE3" s="230" t="s">
        <v>722</v>
      </c>
      <c r="BF3" s="233" t="s">
        <v>720</v>
      </c>
      <c r="BG3" s="230" t="s">
        <v>721</v>
      </c>
      <c r="BH3" s="230" t="s">
        <v>722</v>
      </c>
      <c r="BI3" s="233" t="s">
        <v>720</v>
      </c>
      <c r="BJ3" s="230" t="s">
        <v>721</v>
      </c>
      <c r="BK3" s="230" t="s">
        <v>722</v>
      </c>
      <c r="BL3" s="233" t="s">
        <v>720</v>
      </c>
      <c r="BM3" s="230" t="s">
        <v>721</v>
      </c>
      <c r="BN3" s="230" t="s">
        <v>722</v>
      </c>
      <c r="BO3" s="233" t="s">
        <v>720</v>
      </c>
      <c r="BP3" s="230" t="s">
        <v>721</v>
      </c>
      <c r="BQ3" s="230" t="s">
        <v>722</v>
      </c>
      <c r="BR3" s="233" t="s">
        <v>720</v>
      </c>
      <c r="BS3" s="230" t="s">
        <v>721</v>
      </c>
      <c r="BT3" s="230" t="s">
        <v>722</v>
      </c>
      <c r="BU3" s="233" t="s">
        <v>720</v>
      </c>
      <c r="BV3" s="230" t="s">
        <v>721</v>
      </c>
      <c r="BW3" s="230" t="s">
        <v>722</v>
      </c>
      <c r="BX3" s="320" t="s">
        <v>720</v>
      </c>
      <c r="BY3" s="321" t="s">
        <v>721</v>
      </c>
      <c r="BZ3" s="321" t="s">
        <v>722</v>
      </c>
      <c r="CA3" s="233" t="s">
        <v>720</v>
      </c>
      <c r="CB3" s="230" t="s">
        <v>721</v>
      </c>
      <c r="CC3" s="230" t="s">
        <v>723</v>
      </c>
      <c r="CD3" s="233" t="s">
        <v>720</v>
      </c>
      <c r="CE3" s="230" t="s">
        <v>721</v>
      </c>
      <c r="CF3" s="230" t="s">
        <v>723</v>
      </c>
      <c r="CG3" s="233" t="s">
        <v>720</v>
      </c>
      <c r="CH3" s="230" t="s">
        <v>721</v>
      </c>
      <c r="CI3" s="230" t="s">
        <v>723</v>
      </c>
      <c r="CJ3" s="233" t="s">
        <v>720</v>
      </c>
      <c r="CK3" s="230" t="s">
        <v>721</v>
      </c>
      <c r="CL3" s="230" t="s">
        <v>723</v>
      </c>
      <c r="CM3" s="233" t="s">
        <v>720</v>
      </c>
      <c r="CN3" s="230" t="s">
        <v>721</v>
      </c>
      <c r="CO3" s="230" t="s">
        <v>723</v>
      </c>
      <c r="CP3" s="233" t="s">
        <v>720</v>
      </c>
      <c r="CQ3" s="230" t="s">
        <v>721</v>
      </c>
      <c r="CR3" s="230" t="s">
        <v>723</v>
      </c>
      <c r="CS3" s="233" t="s">
        <v>720</v>
      </c>
      <c r="CT3" s="230" t="s">
        <v>721</v>
      </c>
      <c r="CU3" s="230" t="s">
        <v>723</v>
      </c>
      <c r="CV3" s="233" t="s">
        <v>720</v>
      </c>
      <c r="CW3" s="230" t="s">
        <v>721</v>
      </c>
      <c r="CX3" s="230" t="s">
        <v>723</v>
      </c>
      <c r="CY3" s="233" t="s">
        <v>720</v>
      </c>
      <c r="CZ3" s="230" t="s">
        <v>721</v>
      </c>
      <c r="DA3" s="230" t="s">
        <v>723</v>
      </c>
      <c r="DB3" s="233" t="s">
        <v>720</v>
      </c>
      <c r="DC3" s="230" t="s">
        <v>721</v>
      </c>
      <c r="DD3" s="230" t="s">
        <v>723</v>
      </c>
      <c r="DE3" s="233" t="s">
        <v>720</v>
      </c>
      <c r="DF3" s="230" t="s">
        <v>721</v>
      </c>
      <c r="DG3" s="230" t="s">
        <v>723</v>
      </c>
      <c r="DH3" s="320" t="s">
        <v>720</v>
      </c>
      <c r="DI3" s="321" t="s">
        <v>721</v>
      </c>
      <c r="DJ3" s="321" t="s">
        <v>722</v>
      </c>
    </row>
    <row r="4" spans="1:116" s="275" customFormat="1" ht="20.100000000000001" customHeight="1" x14ac:dyDescent="0.6">
      <c r="A4" s="234">
        <v>1</v>
      </c>
      <c r="B4" s="103" t="s">
        <v>398</v>
      </c>
      <c r="C4" s="103" t="s">
        <v>399</v>
      </c>
      <c r="D4" s="103" t="s">
        <v>90</v>
      </c>
      <c r="E4" s="148" t="s">
        <v>91</v>
      </c>
      <c r="F4" s="179" t="s">
        <v>400</v>
      </c>
      <c r="G4" s="322"/>
      <c r="H4" s="323"/>
      <c r="I4" s="322" t="s">
        <v>944</v>
      </c>
      <c r="J4" s="322" t="s">
        <v>945</v>
      </c>
      <c r="K4" s="241"/>
      <c r="L4" s="24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>
        <v>15</v>
      </c>
      <c r="AC4" s="271">
        <v>180</v>
      </c>
      <c r="AD4" s="271">
        <v>180</v>
      </c>
      <c r="AE4" s="271">
        <v>0.25</v>
      </c>
      <c r="AF4" s="271">
        <v>6</v>
      </c>
      <c r="AG4" s="271">
        <v>2.1</v>
      </c>
      <c r="AH4" s="271"/>
      <c r="AI4" s="271"/>
      <c r="AJ4" s="271"/>
      <c r="AK4" s="271">
        <v>0.16600000000000001</v>
      </c>
      <c r="AL4" s="271">
        <v>2</v>
      </c>
      <c r="AM4" s="271">
        <v>1.4</v>
      </c>
      <c r="AN4" s="271">
        <v>2.25</v>
      </c>
      <c r="AO4" s="271">
        <v>30</v>
      </c>
      <c r="AP4" s="271">
        <v>22.26</v>
      </c>
      <c r="AQ4" s="272">
        <f t="shared" ref="AQ4:AS19" si="0">+AN4+AK4+AH4+AE4+AB4+Y4+V4+S4+P4+M4</f>
        <v>17.666</v>
      </c>
      <c r="AR4" s="272">
        <f t="shared" si="0"/>
        <v>218</v>
      </c>
      <c r="AS4" s="272">
        <f t="shared" si="0"/>
        <v>205.76</v>
      </c>
      <c r="AT4" s="273"/>
      <c r="AU4" s="273"/>
      <c r="AV4" s="273"/>
      <c r="AW4" s="273"/>
      <c r="AX4" s="273"/>
      <c r="AY4" s="273"/>
      <c r="AZ4" s="273">
        <v>1.833</v>
      </c>
      <c r="BA4" s="273">
        <v>34</v>
      </c>
      <c r="BB4" s="273">
        <v>17.2</v>
      </c>
      <c r="BC4" s="273">
        <v>16</v>
      </c>
      <c r="BD4" s="273">
        <v>192</v>
      </c>
      <c r="BE4" s="273">
        <v>192</v>
      </c>
      <c r="BF4" s="273"/>
      <c r="BG4" s="273"/>
      <c r="BH4" s="273"/>
      <c r="BI4" s="273"/>
      <c r="BJ4" s="273"/>
      <c r="BK4" s="273"/>
      <c r="BL4" s="273">
        <v>0.91600000000000004</v>
      </c>
      <c r="BM4" s="273">
        <v>22</v>
      </c>
      <c r="BN4" s="273">
        <v>7.7</v>
      </c>
      <c r="BO4" s="273"/>
      <c r="BP4" s="273"/>
      <c r="BQ4" s="273"/>
      <c r="BR4" s="273"/>
      <c r="BS4" s="273"/>
      <c r="BT4" s="273"/>
      <c r="BU4" s="273">
        <v>15</v>
      </c>
      <c r="BV4" s="273">
        <v>180</v>
      </c>
      <c r="BW4" s="273">
        <v>180</v>
      </c>
      <c r="BX4" s="272">
        <f>+BU4+BR4+BO4+BL4+BI4+BF4+BC4+AZ4+AW4+AT4+AQ4</f>
        <v>51.415000000000006</v>
      </c>
      <c r="BY4" s="272">
        <f t="shared" ref="BX4:BY37" si="1">+BV4+BS4+BP4+BM4+BJ4+BG4+BD4+BA4+AX4+AU4+AR4</f>
        <v>646</v>
      </c>
      <c r="BZ4" s="272">
        <f t="shared" ref="BZ4:BZ69" si="2">AS4+AV4+AY4+BB4+BE4+BH4+BK4+BN4+BQ4+BT4+BW4</f>
        <v>602.66</v>
      </c>
      <c r="CA4" s="273"/>
      <c r="CB4" s="273"/>
      <c r="CC4" s="273"/>
      <c r="CD4" s="273"/>
      <c r="CE4" s="273"/>
      <c r="CF4" s="273"/>
      <c r="CG4" s="273"/>
      <c r="CH4" s="273"/>
      <c r="CI4" s="273"/>
      <c r="CJ4" s="273"/>
      <c r="CK4" s="273"/>
      <c r="CL4" s="273"/>
      <c r="CM4" s="273"/>
      <c r="CN4" s="273"/>
      <c r="CO4" s="273"/>
      <c r="CP4" s="273"/>
      <c r="CQ4" s="273"/>
      <c r="CR4" s="273"/>
      <c r="CS4" s="273"/>
      <c r="CT4" s="273"/>
      <c r="CU4" s="273"/>
      <c r="CV4" s="273">
        <v>15</v>
      </c>
      <c r="CW4" s="273">
        <v>180</v>
      </c>
      <c r="CX4" s="273">
        <v>180</v>
      </c>
      <c r="CY4" s="273"/>
      <c r="CZ4" s="273"/>
      <c r="DA4" s="273"/>
      <c r="DB4" s="273"/>
      <c r="DC4" s="273"/>
      <c r="DD4" s="273"/>
      <c r="DE4" s="273"/>
      <c r="DF4" s="271"/>
      <c r="DG4" s="271"/>
      <c r="DH4" s="272">
        <f>BX4+CA4+CD4+CG4+CJ4+CM4+CP4+CS4+CV4+CY4+DB4+DE4</f>
        <v>66.415000000000006</v>
      </c>
      <c r="DI4" s="272">
        <f>BY4+CB4+CE4+CH4+CK4+CN4+CQ4+CT4+CW4+CZ4+DC4+DF4</f>
        <v>826</v>
      </c>
      <c r="DJ4" s="324">
        <f>BZ4+CC4+CF4+CI4+CL4+CO4+CR4+CU4+CX4+DA4+DD4+DG4</f>
        <v>782.66</v>
      </c>
      <c r="DK4" s="325"/>
      <c r="DL4" s="325"/>
    </row>
    <row r="5" spans="1:116" s="275" customFormat="1" ht="20.100000000000001" customHeight="1" x14ac:dyDescent="0.6">
      <c r="A5" s="234">
        <v>2</v>
      </c>
      <c r="B5" s="103" t="s">
        <v>401</v>
      </c>
      <c r="C5" s="103" t="s">
        <v>402</v>
      </c>
      <c r="D5" s="103" t="s">
        <v>90</v>
      </c>
      <c r="E5" s="148" t="s">
        <v>91</v>
      </c>
      <c r="F5" s="179" t="s">
        <v>400</v>
      </c>
      <c r="G5" s="322"/>
      <c r="H5" s="323"/>
      <c r="I5" s="322" t="s">
        <v>946</v>
      </c>
      <c r="J5" s="322" t="s">
        <v>945</v>
      </c>
      <c r="K5" s="241"/>
      <c r="L5" s="24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>
        <v>15</v>
      </c>
      <c r="Z5" s="271">
        <v>180</v>
      </c>
      <c r="AA5" s="271">
        <v>180</v>
      </c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>
        <v>15</v>
      </c>
      <c r="AO5" s="271">
        <v>180</v>
      </c>
      <c r="AP5" s="271">
        <v>180</v>
      </c>
      <c r="AQ5" s="272">
        <f t="shared" si="0"/>
        <v>30</v>
      </c>
      <c r="AR5" s="272">
        <f t="shared" si="0"/>
        <v>360</v>
      </c>
      <c r="AS5" s="272">
        <f t="shared" si="0"/>
        <v>360</v>
      </c>
      <c r="AT5" s="273"/>
      <c r="AU5" s="273"/>
      <c r="AV5" s="273"/>
      <c r="AW5" s="273"/>
      <c r="AX5" s="273"/>
      <c r="AY5" s="273"/>
      <c r="AZ5" s="273">
        <v>15</v>
      </c>
      <c r="BA5" s="273">
        <v>180</v>
      </c>
      <c r="BB5" s="273">
        <v>180</v>
      </c>
      <c r="BC5" s="273"/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3"/>
      <c r="BQ5" s="273"/>
      <c r="BR5" s="273">
        <v>15</v>
      </c>
      <c r="BS5" s="273">
        <v>180</v>
      </c>
      <c r="BT5" s="273">
        <v>180</v>
      </c>
      <c r="BU5" s="273"/>
      <c r="BV5" s="273"/>
      <c r="BW5" s="273"/>
      <c r="BX5" s="272">
        <f t="shared" si="1"/>
        <v>60</v>
      </c>
      <c r="BY5" s="272">
        <f t="shared" si="1"/>
        <v>720</v>
      </c>
      <c r="BZ5" s="272">
        <f t="shared" si="2"/>
        <v>720</v>
      </c>
      <c r="CA5" s="273"/>
      <c r="CB5" s="273"/>
      <c r="CC5" s="273"/>
      <c r="CD5" s="273"/>
      <c r="CE5" s="273"/>
      <c r="CF5" s="273"/>
      <c r="CG5" s="273"/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  <c r="CT5" s="273"/>
      <c r="CU5" s="273"/>
      <c r="CV5" s="273"/>
      <c r="CW5" s="273"/>
      <c r="CX5" s="273"/>
      <c r="CY5" s="273"/>
      <c r="CZ5" s="273"/>
      <c r="DA5" s="273"/>
      <c r="DB5" s="273"/>
      <c r="DC5" s="273"/>
      <c r="DD5" s="273"/>
      <c r="DE5" s="273"/>
      <c r="DF5" s="271"/>
      <c r="DG5" s="271"/>
      <c r="DH5" s="272">
        <f t="shared" ref="DH5:DJ68" si="3">BX5+CA5+CD5+CG5+CJ5+CM5+CP5+CS5+CV5+CY5+DB5+DE5</f>
        <v>60</v>
      </c>
      <c r="DI5" s="272">
        <f t="shared" si="3"/>
        <v>720</v>
      </c>
      <c r="DJ5" s="324">
        <f t="shared" si="3"/>
        <v>720</v>
      </c>
      <c r="DK5" s="325"/>
      <c r="DL5" s="325"/>
    </row>
    <row r="6" spans="1:116" s="275" customFormat="1" ht="20.100000000000001" customHeight="1" x14ac:dyDescent="0.6">
      <c r="A6" s="234">
        <v>3</v>
      </c>
      <c r="B6" s="103" t="s">
        <v>403</v>
      </c>
      <c r="C6" s="103" t="s">
        <v>404</v>
      </c>
      <c r="D6" s="103" t="s">
        <v>405</v>
      </c>
      <c r="E6" s="148" t="s">
        <v>406</v>
      </c>
      <c r="F6" s="179" t="s">
        <v>400</v>
      </c>
      <c r="G6" s="322"/>
      <c r="H6" s="323"/>
      <c r="I6" s="322" t="s">
        <v>947</v>
      </c>
      <c r="J6" s="322" t="s">
        <v>945</v>
      </c>
      <c r="K6" s="241"/>
      <c r="L6" s="241"/>
      <c r="M6" s="271"/>
      <c r="N6" s="271"/>
      <c r="O6" s="271"/>
      <c r="P6" s="271">
        <v>15</v>
      </c>
      <c r="Q6" s="271">
        <v>180</v>
      </c>
      <c r="R6" s="271">
        <v>180</v>
      </c>
      <c r="S6" s="271"/>
      <c r="T6" s="271"/>
      <c r="U6" s="271"/>
      <c r="V6" s="271"/>
      <c r="W6" s="271"/>
      <c r="X6" s="271"/>
      <c r="Y6" s="271">
        <v>15</v>
      </c>
      <c r="Z6" s="271">
        <v>180</v>
      </c>
      <c r="AA6" s="271">
        <v>180</v>
      </c>
      <c r="AB6" s="271"/>
      <c r="AC6" s="271"/>
      <c r="AD6" s="271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2">
        <f t="shared" si="0"/>
        <v>30</v>
      </c>
      <c r="AR6" s="272">
        <f t="shared" si="0"/>
        <v>360</v>
      </c>
      <c r="AS6" s="272">
        <f t="shared" si="0"/>
        <v>360</v>
      </c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>
        <v>15</v>
      </c>
      <c r="BJ6" s="273">
        <v>180</v>
      </c>
      <c r="BK6" s="273">
        <v>180</v>
      </c>
      <c r="BL6" s="273"/>
      <c r="BM6" s="273"/>
      <c r="BN6" s="273"/>
      <c r="BO6" s="273"/>
      <c r="BP6" s="273"/>
      <c r="BQ6" s="273"/>
      <c r="BR6" s="273"/>
      <c r="BS6" s="273"/>
      <c r="BT6" s="273"/>
      <c r="BU6" s="273">
        <v>15</v>
      </c>
      <c r="BV6" s="273">
        <v>180</v>
      </c>
      <c r="BW6" s="273">
        <v>180</v>
      </c>
      <c r="BX6" s="272">
        <f t="shared" si="1"/>
        <v>60</v>
      </c>
      <c r="BY6" s="272">
        <f t="shared" si="1"/>
        <v>720</v>
      </c>
      <c r="BZ6" s="272">
        <f t="shared" si="2"/>
        <v>720</v>
      </c>
      <c r="CA6" s="273"/>
      <c r="CB6" s="273"/>
      <c r="CC6" s="273"/>
      <c r="CD6" s="273"/>
      <c r="CE6" s="273"/>
      <c r="CF6" s="273"/>
      <c r="CG6" s="273"/>
      <c r="CH6" s="273"/>
      <c r="CI6" s="273"/>
      <c r="CJ6" s="273"/>
      <c r="CK6" s="273"/>
      <c r="CL6" s="273"/>
      <c r="CM6" s="273"/>
      <c r="CN6" s="273"/>
      <c r="CO6" s="273"/>
      <c r="CP6" s="273"/>
      <c r="CQ6" s="273"/>
      <c r="CR6" s="273"/>
      <c r="CS6" s="273">
        <v>30</v>
      </c>
      <c r="CT6" s="273">
        <v>390</v>
      </c>
      <c r="CU6" s="273">
        <v>314.39999999999998</v>
      </c>
      <c r="CV6" s="273"/>
      <c r="CW6" s="273"/>
      <c r="CX6" s="273"/>
      <c r="CY6" s="273"/>
      <c r="CZ6" s="273"/>
      <c r="DA6" s="273"/>
      <c r="DB6" s="273">
        <v>15</v>
      </c>
      <c r="DC6" s="273">
        <v>180</v>
      </c>
      <c r="DD6" s="273">
        <v>180</v>
      </c>
      <c r="DE6" s="273"/>
      <c r="DF6" s="271"/>
      <c r="DG6" s="271"/>
      <c r="DH6" s="272">
        <f t="shared" si="3"/>
        <v>105</v>
      </c>
      <c r="DI6" s="272">
        <f t="shared" si="3"/>
        <v>1290</v>
      </c>
      <c r="DJ6" s="324">
        <f t="shared" si="3"/>
        <v>1214.4000000000001</v>
      </c>
      <c r="DK6" s="325"/>
      <c r="DL6" s="325"/>
    </row>
    <row r="7" spans="1:116" s="275" customFormat="1" ht="20.100000000000001" customHeight="1" x14ac:dyDescent="0.6">
      <c r="A7" s="234">
        <v>4</v>
      </c>
      <c r="B7" s="103" t="s">
        <v>407</v>
      </c>
      <c r="C7" s="103" t="s">
        <v>408</v>
      </c>
      <c r="D7" s="103" t="s">
        <v>90</v>
      </c>
      <c r="E7" s="148" t="s">
        <v>91</v>
      </c>
      <c r="F7" s="179" t="s">
        <v>400</v>
      </c>
      <c r="G7" s="322"/>
      <c r="H7" s="323"/>
      <c r="I7" s="322" t="s">
        <v>948</v>
      </c>
      <c r="J7" s="322" t="s">
        <v>945</v>
      </c>
      <c r="K7" s="241"/>
      <c r="L7" s="24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>
        <v>15</v>
      </c>
      <c r="AF7" s="271">
        <v>180</v>
      </c>
      <c r="AG7" s="271">
        <v>180</v>
      </c>
      <c r="AH7" s="271"/>
      <c r="AI7" s="271"/>
      <c r="AJ7" s="271"/>
      <c r="AK7" s="271"/>
      <c r="AL7" s="271"/>
      <c r="AM7" s="271"/>
      <c r="AN7" s="271"/>
      <c r="AO7" s="271"/>
      <c r="AP7" s="271"/>
      <c r="AQ7" s="272">
        <f t="shared" si="0"/>
        <v>15</v>
      </c>
      <c r="AR7" s="272">
        <f t="shared" si="0"/>
        <v>180</v>
      </c>
      <c r="AS7" s="272">
        <f t="shared" si="0"/>
        <v>180</v>
      </c>
      <c r="AT7" s="273"/>
      <c r="AU7" s="273"/>
      <c r="AV7" s="273"/>
      <c r="AW7" s="273"/>
      <c r="AX7" s="273"/>
      <c r="AY7" s="273"/>
      <c r="AZ7" s="273"/>
      <c r="BA7" s="273"/>
      <c r="BB7" s="273"/>
      <c r="BC7" s="273">
        <v>15</v>
      </c>
      <c r="BD7" s="273">
        <v>180</v>
      </c>
      <c r="BE7" s="273">
        <v>180</v>
      </c>
      <c r="BF7" s="273"/>
      <c r="BG7" s="273"/>
      <c r="BH7" s="273"/>
      <c r="BI7" s="273"/>
      <c r="BJ7" s="273"/>
      <c r="BK7" s="273"/>
      <c r="BL7" s="273">
        <v>15</v>
      </c>
      <c r="BM7" s="273">
        <v>180</v>
      </c>
      <c r="BN7" s="273">
        <v>180</v>
      </c>
      <c r="BO7" s="273"/>
      <c r="BP7" s="273"/>
      <c r="BQ7" s="273"/>
      <c r="BR7" s="273"/>
      <c r="BS7" s="273"/>
      <c r="BT7" s="273"/>
      <c r="BU7" s="273"/>
      <c r="BV7" s="273"/>
      <c r="BW7" s="273"/>
      <c r="BX7" s="272">
        <f t="shared" si="1"/>
        <v>45</v>
      </c>
      <c r="BY7" s="272">
        <f t="shared" si="1"/>
        <v>540</v>
      </c>
      <c r="BZ7" s="272">
        <f t="shared" si="2"/>
        <v>540</v>
      </c>
      <c r="CA7" s="273">
        <v>15</v>
      </c>
      <c r="CB7" s="273">
        <v>180</v>
      </c>
      <c r="CC7" s="273">
        <v>180</v>
      </c>
      <c r="CD7" s="273"/>
      <c r="CE7" s="273"/>
      <c r="CF7" s="273"/>
      <c r="CG7" s="273"/>
      <c r="CH7" s="273"/>
      <c r="CI7" s="273"/>
      <c r="CJ7" s="273"/>
      <c r="CK7" s="273"/>
      <c r="CL7" s="273"/>
      <c r="CM7" s="273"/>
      <c r="CN7" s="273"/>
      <c r="CO7" s="273"/>
      <c r="CP7" s="273"/>
      <c r="CQ7" s="273"/>
      <c r="CR7" s="273"/>
      <c r="CS7" s="273"/>
      <c r="CT7" s="273"/>
      <c r="CU7" s="273"/>
      <c r="CV7" s="273"/>
      <c r="CW7" s="273"/>
      <c r="CX7" s="273"/>
      <c r="CY7" s="273"/>
      <c r="CZ7" s="273"/>
      <c r="DA7" s="273"/>
      <c r="DB7" s="273"/>
      <c r="DC7" s="273"/>
      <c r="DD7" s="273"/>
      <c r="DE7" s="273"/>
      <c r="DF7" s="271"/>
      <c r="DG7" s="271"/>
      <c r="DH7" s="272">
        <f t="shared" si="3"/>
        <v>60</v>
      </c>
      <c r="DI7" s="272">
        <f t="shared" si="3"/>
        <v>720</v>
      </c>
      <c r="DJ7" s="324">
        <f t="shared" si="3"/>
        <v>720</v>
      </c>
      <c r="DK7" s="325"/>
      <c r="DL7" s="325"/>
    </row>
    <row r="8" spans="1:116" s="275" customFormat="1" ht="20.100000000000001" customHeight="1" x14ac:dyDescent="0.6">
      <c r="A8" s="234">
        <v>5</v>
      </c>
      <c r="B8" s="103" t="s">
        <v>409</v>
      </c>
      <c r="C8" s="103" t="s">
        <v>410</v>
      </c>
      <c r="D8" s="103" t="s">
        <v>90</v>
      </c>
      <c r="E8" s="148" t="s">
        <v>91</v>
      </c>
      <c r="F8" s="179" t="s">
        <v>400</v>
      </c>
      <c r="G8" s="322"/>
      <c r="H8" s="323"/>
      <c r="I8" s="322" t="s">
        <v>949</v>
      </c>
      <c r="J8" s="322" t="s">
        <v>945</v>
      </c>
      <c r="K8" s="241"/>
      <c r="L8" s="24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1">
        <v>15</v>
      </c>
      <c r="AF8" s="271">
        <v>180</v>
      </c>
      <c r="AG8" s="271">
        <v>180</v>
      </c>
      <c r="AH8" s="271"/>
      <c r="AI8" s="271"/>
      <c r="AJ8" s="271"/>
      <c r="AK8" s="271"/>
      <c r="AL8" s="271"/>
      <c r="AM8" s="271"/>
      <c r="AN8" s="271"/>
      <c r="AO8" s="271"/>
      <c r="AP8" s="271"/>
      <c r="AQ8" s="272">
        <f t="shared" si="0"/>
        <v>15</v>
      </c>
      <c r="AR8" s="272">
        <f t="shared" si="0"/>
        <v>180</v>
      </c>
      <c r="AS8" s="272">
        <f t="shared" si="0"/>
        <v>180</v>
      </c>
      <c r="AT8" s="273"/>
      <c r="AU8" s="273"/>
      <c r="AV8" s="273"/>
      <c r="AW8" s="273"/>
      <c r="AX8" s="273"/>
      <c r="AY8" s="273"/>
      <c r="AZ8" s="273"/>
      <c r="BA8" s="273"/>
      <c r="BB8" s="273"/>
      <c r="BC8" s="273"/>
      <c r="BD8" s="273"/>
      <c r="BE8" s="273"/>
      <c r="BF8" s="273">
        <v>15</v>
      </c>
      <c r="BG8" s="273">
        <v>180</v>
      </c>
      <c r="BH8" s="273">
        <v>180</v>
      </c>
      <c r="BI8" s="273"/>
      <c r="BJ8" s="273"/>
      <c r="BK8" s="273"/>
      <c r="BL8" s="273"/>
      <c r="BM8" s="273"/>
      <c r="BN8" s="273"/>
      <c r="BO8" s="273"/>
      <c r="BP8" s="273"/>
      <c r="BQ8" s="273"/>
      <c r="BR8" s="273"/>
      <c r="BS8" s="273"/>
      <c r="BT8" s="273"/>
      <c r="BU8" s="273"/>
      <c r="BV8" s="273"/>
      <c r="BW8" s="273"/>
      <c r="BX8" s="272">
        <f t="shared" si="1"/>
        <v>30</v>
      </c>
      <c r="BY8" s="272">
        <f t="shared" si="1"/>
        <v>360</v>
      </c>
      <c r="BZ8" s="272">
        <f t="shared" si="2"/>
        <v>360</v>
      </c>
      <c r="CA8" s="273"/>
      <c r="CB8" s="273"/>
      <c r="CC8" s="273"/>
      <c r="CD8" s="273"/>
      <c r="CE8" s="273"/>
      <c r="CF8" s="273"/>
      <c r="CG8" s="273"/>
      <c r="CH8" s="273"/>
      <c r="CI8" s="273"/>
      <c r="CJ8" s="273"/>
      <c r="CK8" s="273"/>
      <c r="CL8" s="273"/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  <c r="CX8" s="273"/>
      <c r="CY8" s="273"/>
      <c r="CZ8" s="273"/>
      <c r="DA8" s="273"/>
      <c r="DB8" s="273"/>
      <c r="DC8" s="273"/>
      <c r="DD8" s="273"/>
      <c r="DE8" s="273"/>
      <c r="DF8" s="271"/>
      <c r="DG8" s="271"/>
      <c r="DH8" s="272">
        <f t="shared" si="3"/>
        <v>30</v>
      </c>
      <c r="DI8" s="272">
        <f t="shared" si="3"/>
        <v>360</v>
      </c>
      <c r="DJ8" s="324">
        <f t="shared" si="3"/>
        <v>360</v>
      </c>
      <c r="DK8" s="325"/>
      <c r="DL8" s="325"/>
    </row>
    <row r="9" spans="1:116" s="275" customFormat="1" ht="20.100000000000001" customHeight="1" x14ac:dyDescent="0.6">
      <c r="A9" s="234">
        <v>6</v>
      </c>
      <c r="B9" s="103" t="s">
        <v>411</v>
      </c>
      <c r="C9" s="103" t="s">
        <v>412</v>
      </c>
      <c r="D9" s="103" t="s">
        <v>90</v>
      </c>
      <c r="E9" s="148" t="s">
        <v>91</v>
      </c>
      <c r="F9" s="179" t="s">
        <v>400</v>
      </c>
      <c r="G9" s="322"/>
      <c r="H9" s="323"/>
      <c r="I9" s="326" t="s">
        <v>950</v>
      </c>
      <c r="J9" s="322" t="s">
        <v>945</v>
      </c>
      <c r="K9" s="241"/>
      <c r="L9" s="24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>
        <v>15</v>
      </c>
      <c r="AI9" s="271">
        <v>180</v>
      </c>
      <c r="AJ9" s="271">
        <v>180</v>
      </c>
      <c r="AK9" s="271"/>
      <c r="AL9" s="271"/>
      <c r="AM9" s="271"/>
      <c r="AN9" s="271"/>
      <c r="AO9" s="271"/>
      <c r="AP9" s="271"/>
      <c r="AQ9" s="272">
        <f t="shared" si="0"/>
        <v>15</v>
      </c>
      <c r="AR9" s="272">
        <f t="shared" si="0"/>
        <v>180</v>
      </c>
      <c r="AS9" s="272">
        <f t="shared" si="0"/>
        <v>180</v>
      </c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>
        <v>15</v>
      </c>
      <c r="BG9" s="273">
        <v>180</v>
      </c>
      <c r="BH9" s="273">
        <v>180</v>
      </c>
      <c r="BI9" s="273"/>
      <c r="BJ9" s="273"/>
      <c r="BK9" s="273"/>
      <c r="BL9" s="273"/>
      <c r="BM9" s="273"/>
      <c r="BN9" s="273"/>
      <c r="BO9" s="273"/>
      <c r="BP9" s="273"/>
      <c r="BQ9" s="273"/>
      <c r="BR9" s="273"/>
      <c r="BS9" s="273"/>
      <c r="BT9" s="273"/>
      <c r="BU9" s="273"/>
      <c r="BV9" s="273"/>
      <c r="BW9" s="273"/>
      <c r="BX9" s="272">
        <f t="shared" si="1"/>
        <v>30</v>
      </c>
      <c r="BY9" s="272">
        <f t="shared" si="1"/>
        <v>360</v>
      </c>
      <c r="BZ9" s="272">
        <f t="shared" si="2"/>
        <v>360</v>
      </c>
      <c r="CA9" s="273">
        <v>15</v>
      </c>
      <c r="CB9" s="273">
        <v>180</v>
      </c>
      <c r="CC9" s="273">
        <v>180</v>
      </c>
      <c r="CD9" s="273"/>
      <c r="CE9" s="273"/>
      <c r="CF9" s="273"/>
      <c r="CG9" s="273"/>
      <c r="CH9" s="273"/>
      <c r="CI9" s="273"/>
      <c r="CJ9" s="273">
        <v>20</v>
      </c>
      <c r="CK9" s="273">
        <v>250</v>
      </c>
      <c r="CL9" s="273">
        <v>224.8</v>
      </c>
      <c r="CM9" s="273"/>
      <c r="CN9" s="273"/>
      <c r="CO9" s="273"/>
      <c r="CP9" s="273"/>
      <c r="CQ9" s="273"/>
      <c r="CR9" s="273"/>
      <c r="CS9" s="273"/>
      <c r="CT9" s="273"/>
      <c r="CU9" s="273"/>
      <c r="CV9" s="273"/>
      <c r="CW9" s="273"/>
      <c r="CX9" s="273"/>
      <c r="CY9" s="273"/>
      <c r="CZ9" s="273"/>
      <c r="DA9" s="273"/>
      <c r="DB9" s="273"/>
      <c r="DC9" s="273"/>
      <c r="DD9" s="273"/>
      <c r="DE9" s="273"/>
      <c r="DF9" s="271"/>
      <c r="DG9" s="271"/>
      <c r="DH9" s="272">
        <f t="shared" si="3"/>
        <v>65</v>
      </c>
      <c r="DI9" s="272">
        <f t="shared" si="3"/>
        <v>790</v>
      </c>
      <c r="DJ9" s="324">
        <f t="shared" si="3"/>
        <v>764.8</v>
      </c>
      <c r="DK9" s="325"/>
      <c r="DL9" s="325"/>
    </row>
    <row r="10" spans="1:116" s="275" customFormat="1" ht="20.100000000000001" customHeight="1" x14ac:dyDescent="0.6">
      <c r="A10" s="234">
        <v>7</v>
      </c>
      <c r="B10" s="103" t="s">
        <v>413</v>
      </c>
      <c r="C10" s="103" t="s">
        <v>414</v>
      </c>
      <c r="D10" s="103" t="s">
        <v>90</v>
      </c>
      <c r="E10" s="148" t="s">
        <v>91</v>
      </c>
      <c r="F10" s="179" t="s">
        <v>400</v>
      </c>
      <c r="G10" s="322"/>
      <c r="H10" s="323"/>
      <c r="I10" s="326" t="s">
        <v>951</v>
      </c>
      <c r="J10" s="322" t="s">
        <v>945</v>
      </c>
      <c r="K10" s="241"/>
      <c r="L10" s="24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2">
        <f t="shared" si="0"/>
        <v>0</v>
      </c>
      <c r="AR10" s="272">
        <f t="shared" si="0"/>
        <v>0</v>
      </c>
      <c r="AS10" s="272">
        <f t="shared" si="0"/>
        <v>0</v>
      </c>
      <c r="AT10" s="273"/>
      <c r="AU10" s="273"/>
      <c r="AV10" s="273"/>
      <c r="AW10" s="273"/>
      <c r="AX10" s="273"/>
      <c r="AY10" s="273"/>
      <c r="AZ10" s="273"/>
      <c r="BA10" s="273"/>
      <c r="BB10" s="273"/>
      <c r="BC10" s="273"/>
      <c r="BD10" s="273"/>
      <c r="BE10" s="273"/>
      <c r="BF10" s="273"/>
      <c r="BG10" s="273"/>
      <c r="BH10" s="273"/>
      <c r="BI10" s="273"/>
      <c r="BJ10" s="273"/>
      <c r="BK10" s="273"/>
      <c r="BL10" s="273"/>
      <c r="BM10" s="273"/>
      <c r="BN10" s="273"/>
      <c r="BO10" s="273"/>
      <c r="BP10" s="273"/>
      <c r="BQ10" s="273"/>
      <c r="BR10" s="273"/>
      <c r="BS10" s="273"/>
      <c r="BT10" s="273"/>
      <c r="BU10" s="273"/>
      <c r="BV10" s="273"/>
      <c r="BW10" s="273"/>
      <c r="BX10" s="272">
        <f t="shared" si="1"/>
        <v>0</v>
      </c>
      <c r="BY10" s="272">
        <f t="shared" si="1"/>
        <v>0</v>
      </c>
      <c r="BZ10" s="272">
        <f t="shared" si="2"/>
        <v>0</v>
      </c>
      <c r="CA10" s="273"/>
      <c r="CB10" s="273"/>
      <c r="CC10" s="273"/>
      <c r="CD10" s="273"/>
      <c r="CE10" s="273"/>
      <c r="CF10" s="273"/>
      <c r="CG10" s="273"/>
      <c r="CH10" s="273"/>
      <c r="CI10" s="273"/>
      <c r="CJ10" s="273"/>
      <c r="CK10" s="273"/>
      <c r="CL10" s="273"/>
      <c r="CM10" s="273"/>
      <c r="CN10" s="273"/>
      <c r="CO10" s="273"/>
      <c r="CP10" s="273"/>
      <c r="CQ10" s="273"/>
      <c r="CR10" s="273"/>
      <c r="CS10" s="273"/>
      <c r="CT10" s="273"/>
      <c r="CU10" s="273"/>
      <c r="CV10" s="273"/>
      <c r="CW10" s="273"/>
      <c r="CX10" s="273"/>
      <c r="CY10" s="273"/>
      <c r="CZ10" s="273"/>
      <c r="DA10" s="273"/>
      <c r="DB10" s="273"/>
      <c r="DC10" s="273"/>
      <c r="DD10" s="273"/>
      <c r="DE10" s="273"/>
      <c r="DF10" s="271"/>
      <c r="DG10" s="271"/>
      <c r="DH10" s="272">
        <f t="shared" si="3"/>
        <v>0</v>
      </c>
      <c r="DI10" s="272">
        <f t="shared" si="3"/>
        <v>0</v>
      </c>
      <c r="DJ10" s="324">
        <f t="shared" si="3"/>
        <v>0</v>
      </c>
      <c r="DK10" s="325"/>
      <c r="DL10" s="325"/>
    </row>
    <row r="11" spans="1:116" s="275" customFormat="1" ht="20.100000000000001" customHeight="1" x14ac:dyDescent="0.6">
      <c r="A11" s="234">
        <v>8</v>
      </c>
      <c r="B11" s="103" t="s">
        <v>415</v>
      </c>
      <c r="C11" s="103" t="s">
        <v>416</v>
      </c>
      <c r="D11" s="103" t="s">
        <v>90</v>
      </c>
      <c r="E11" s="148" t="s">
        <v>91</v>
      </c>
      <c r="F11" s="179" t="s">
        <v>400</v>
      </c>
      <c r="G11" s="322" t="s">
        <v>415</v>
      </c>
      <c r="H11" s="322" t="s">
        <v>416</v>
      </c>
      <c r="I11" s="322" t="s">
        <v>952</v>
      </c>
      <c r="J11" s="322" t="s">
        <v>945</v>
      </c>
      <c r="K11" s="241"/>
      <c r="L11" s="24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>
        <v>15</v>
      </c>
      <c r="AC11" s="271">
        <v>180</v>
      </c>
      <c r="AD11" s="271">
        <v>180</v>
      </c>
      <c r="AE11" s="271"/>
      <c r="AF11" s="271"/>
      <c r="AG11" s="271"/>
      <c r="AH11" s="271"/>
      <c r="AI11" s="271"/>
      <c r="AJ11" s="271"/>
      <c r="AK11" s="271">
        <v>1</v>
      </c>
      <c r="AL11" s="271">
        <v>12</v>
      </c>
      <c r="AM11" s="271">
        <v>12</v>
      </c>
      <c r="AN11" s="271">
        <v>30</v>
      </c>
      <c r="AO11" s="271">
        <v>360</v>
      </c>
      <c r="AP11" s="271">
        <v>360</v>
      </c>
      <c r="AQ11" s="272">
        <f t="shared" si="0"/>
        <v>46</v>
      </c>
      <c r="AR11" s="272">
        <f t="shared" si="0"/>
        <v>552</v>
      </c>
      <c r="AS11" s="272">
        <f t="shared" si="0"/>
        <v>552</v>
      </c>
      <c r="AT11" s="273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3"/>
      <c r="BK11" s="273"/>
      <c r="BL11" s="273"/>
      <c r="BM11" s="273"/>
      <c r="BN11" s="273"/>
      <c r="BO11" s="273"/>
      <c r="BP11" s="273"/>
      <c r="BQ11" s="273"/>
      <c r="BR11" s="273"/>
      <c r="BS11" s="273"/>
      <c r="BT11" s="273"/>
      <c r="BU11" s="273"/>
      <c r="BV11" s="273"/>
      <c r="BW11" s="273"/>
      <c r="BX11" s="272">
        <f t="shared" si="1"/>
        <v>46</v>
      </c>
      <c r="BY11" s="272">
        <f t="shared" si="1"/>
        <v>552</v>
      </c>
      <c r="BZ11" s="272">
        <f t="shared" si="2"/>
        <v>552</v>
      </c>
      <c r="CA11" s="273"/>
      <c r="CB11" s="273"/>
      <c r="CC11" s="273"/>
      <c r="CD11" s="273"/>
      <c r="CE11" s="273"/>
      <c r="CF11" s="273"/>
      <c r="CG11" s="273">
        <v>15</v>
      </c>
      <c r="CH11" s="273">
        <v>180</v>
      </c>
      <c r="CI11" s="273">
        <v>180</v>
      </c>
      <c r="CJ11" s="273"/>
      <c r="CK11" s="273"/>
      <c r="CL11" s="273"/>
      <c r="CM11" s="273"/>
      <c r="CN11" s="273"/>
      <c r="CO11" s="273"/>
      <c r="CP11" s="273"/>
      <c r="CQ11" s="273"/>
      <c r="CR11" s="273"/>
      <c r="CS11" s="273"/>
      <c r="CT11" s="273"/>
      <c r="CU11" s="273"/>
      <c r="CV11" s="273">
        <v>15</v>
      </c>
      <c r="CW11" s="273">
        <v>180</v>
      </c>
      <c r="CX11" s="273">
        <v>180</v>
      </c>
      <c r="CY11" s="273"/>
      <c r="CZ11" s="273"/>
      <c r="DA11" s="273"/>
      <c r="DB11" s="273"/>
      <c r="DC11" s="273"/>
      <c r="DD11" s="273"/>
      <c r="DE11" s="273"/>
      <c r="DF11" s="271"/>
      <c r="DG11" s="271"/>
      <c r="DH11" s="272">
        <f t="shared" si="3"/>
        <v>76</v>
      </c>
      <c r="DI11" s="272">
        <f t="shared" si="3"/>
        <v>912</v>
      </c>
      <c r="DJ11" s="324">
        <f t="shared" si="3"/>
        <v>912</v>
      </c>
      <c r="DK11" s="325"/>
      <c r="DL11" s="325"/>
    </row>
    <row r="12" spans="1:116" s="275" customFormat="1" ht="20.100000000000001" customHeight="1" x14ac:dyDescent="0.6">
      <c r="A12" s="234">
        <v>9</v>
      </c>
      <c r="B12" s="103" t="s">
        <v>417</v>
      </c>
      <c r="C12" s="103" t="s">
        <v>418</v>
      </c>
      <c r="D12" s="103" t="s">
        <v>90</v>
      </c>
      <c r="E12" s="148" t="s">
        <v>91</v>
      </c>
      <c r="F12" s="179" t="s">
        <v>400</v>
      </c>
      <c r="G12" s="322"/>
      <c r="H12" s="323"/>
      <c r="I12" s="327" t="s">
        <v>953</v>
      </c>
      <c r="J12" s="322" t="s">
        <v>945</v>
      </c>
      <c r="K12" s="241"/>
      <c r="L12" s="24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>
        <v>15</v>
      </c>
      <c r="AL12" s="271">
        <v>180</v>
      </c>
      <c r="AM12" s="271">
        <v>180</v>
      </c>
      <c r="AN12" s="271"/>
      <c r="AO12" s="271"/>
      <c r="AP12" s="271"/>
      <c r="AQ12" s="272">
        <f t="shared" si="0"/>
        <v>15</v>
      </c>
      <c r="AR12" s="272">
        <f t="shared" si="0"/>
        <v>180</v>
      </c>
      <c r="AS12" s="272">
        <f t="shared" si="0"/>
        <v>180</v>
      </c>
      <c r="AT12" s="273"/>
      <c r="AU12" s="273"/>
      <c r="AV12" s="273"/>
      <c r="AW12" s="273"/>
      <c r="AX12" s="273"/>
      <c r="AY12" s="273"/>
      <c r="AZ12" s="273"/>
      <c r="BA12" s="273"/>
      <c r="BB12" s="273"/>
      <c r="BC12" s="273"/>
      <c r="BD12" s="273"/>
      <c r="BE12" s="273"/>
      <c r="BF12" s="273"/>
      <c r="BG12" s="273"/>
      <c r="BH12" s="273"/>
      <c r="BI12" s="273"/>
      <c r="BJ12" s="273"/>
      <c r="BK12" s="273"/>
      <c r="BL12" s="273">
        <v>15</v>
      </c>
      <c r="BM12" s="273">
        <v>180</v>
      </c>
      <c r="BN12" s="273">
        <v>180</v>
      </c>
      <c r="BO12" s="273"/>
      <c r="BP12" s="273"/>
      <c r="BQ12" s="273"/>
      <c r="BR12" s="273"/>
      <c r="BS12" s="273"/>
      <c r="BT12" s="273"/>
      <c r="BU12" s="273"/>
      <c r="BV12" s="273"/>
      <c r="BW12" s="273"/>
      <c r="BX12" s="272">
        <f t="shared" si="1"/>
        <v>30</v>
      </c>
      <c r="BY12" s="272">
        <f t="shared" si="1"/>
        <v>360</v>
      </c>
      <c r="BZ12" s="272">
        <f t="shared" si="2"/>
        <v>360</v>
      </c>
      <c r="CA12" s="273"/>
      <c r="CB12" s="273"/>
      <c r="CC12" s="273"/>
      <c r="CD12" s="273">
        <v>15</v>
      </c>
      <c r="CE12" s="273">
        <v>180</v>
      </c>
      <c r="CF12" s="273">
        <v>180</v>
      </c>
      <c r="CG12" s="273">
        <v>15</v>
      </c>
      <c r="CH12" s="273">
        <v>180</v>
      </c>
      <c r="CI12" s="273">
        <v>180</v>
      </c>
      <c r="CJ12" s="273"/>
      <c r="CK12" s="273"/>
      <c r="CL12" s="273"/>
      <c r="CM12" s="273"/>
      <c r="CN12" s="273"/>
      <c r="CO12" s="273"/>
      <c r="CP12" s="273"/>
      <c r="CQ12" s="273"/>
      <c r="CR12" s="273"/>
      <c r="CS12" s="273"/>
      <c r="CT12" s="273"/>
      <c r="CU12" s="273"/>
      <c r="CV12" s="273"/>
      <c r="CW12" s="273"/>
      <c r="CX12" s="273"/>
      <c r="CY12" s="273">
        <v>25</v>
      </c>
      <c r="CZ12" s="273">
        <v>320</v>
      </c>
      <c r="DA12" s="273">
        <v>269.60000000000002</v>
      </c>
      <c r="DB12" s="273"/>
      <c r="DC12" s="273"/>
      <c r="DD12" s="273"/>
      <c r="DE12" s="273"/>
      <c r="DF12" s="271"/>
      <c r="DG12" s="271"/>
      <c r="DH12" s="272">
        <f t="shared" si="3"/>
        <v>85</v>
      </c>
      <c r="DI12" s="272">
        <f t="shared" si="3"/>
        <v>1040</v>
      </c>
      <c r="DJ12" s="324">
        <f t="shared" si="3"/>
        <v>989.6</v>
      </c>
      <c r="DK12" s="325"/>
      <c r="DL12" s="325"/>
    </row>
    <row r="13" spans="1:116" s="275" customFormat="1" ht="20.100000000000001" customHeight="1" x14ac:dyDescent="0.6">
      <c r="A13" s="234">
        <v>10</v>
      </c>
      <c r="B13" s="103" t="s">
        <v>419</v>
      </c>
      <c r="C13" s="103" t="s">
        <v>420</v>
      </c>
      <c r="D13" s="103" t="s">
        <v>90</v>
      </c>
      <c r="E13" s="148" t="s">
        <v>91</v>
      </c>
      <c r="F13" s="179" t="s">
        <v>400</v>
      </c>
      <c r="G13" s="322"/>
      <c r="H13" s="323"/>
      <c r="I13" s="323" t="s">
        <v>954</v>
      </c>
      <c r="J13" s="322" t="s">
        <v>945</v>
      </c>
      <c r="K13" s="241"/>
      <c r="L13" s="24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>
        <v>15</v>
      </c>
      <c r="AL13" s="271">
        <v>180</v>
      </c>
      <c r="AM13" s="271">
        <v>180</v>
      </c>
      <c r="AN13" s="271"/>
      <c r="AO13" s="271"/>
      <c r="AP13" s="271"/>
      <c r="AQ13" s="272">
        <f t="shared" si="0"/>
        <v>15</v>
      </c>
      <c r="AR13" s="272">
        <f t="shared" si="0"/>
        <v>180</v>
      </c>
      <c r="AS13" s="272">
        <f t="shared" si="0"/>
        <v>180</v>
      </c>
      <c r="AT13" s="273"/>
      <c r="AU13" s="273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3"/>
      <c r="BK13" s="273"/>
      <c r="BL13" s="273"/>
      <c r="BM13" s="273"/>
      <c r="BN13" s="273"/>
      <c r="BO13" s="273"/>
      <c r="BP13" s="273"/>
      <c r="BQ13" s="273"/>
      <c r="BR13" s="273"/>
      <c r="BS13" s="273"/>
      <c r="BT13" s="273"/>
      <c r="BU13" s="273"/>
      <c r="BV13" s="273"/>
      <c r="BW13" s="273"/>
      <c r="BX13" s="272">
        <f t="shared" si="1"/>
        <v>15</v>
      </c>
      <c r="BY13" s="272">
        <f t="shared" si="1"/>
        <v>180</v>
      </c>
      <c r="BZ13" s="272">
        <f t="shared" si="2"/>
        <v>180</v>
      </c>
      <c r="CA13" s="273"/>
      <c r="CB13" s="273"/>
      <c r="CC13" s="273"/>
      <c r="CD13" s="273"/>
      <c r="CE13" s="273"/>
      <c r="CF13" s="273"/>
      <c r="CG13" s="273">
        <v>15</v>
      </c>
      <c r="CH13" s="273">
        <v>180</v>
      </c>
      <c r="CI13" s="273">
        <v>180</v>
      </c>
      <c r="CJ13" s="273"/>
      <c r="CK13" s="273"/>
      <c r="CL13" s="273"/>
      <c r="CM13" s="273"/>
      <c r="CN13" s="273"/>
      <c r="CO13" s="273"/>
      <c r="CP13" s="273"/>
      <c r="CQ13" s="273"/>
      <c r="CR13" s="273"/>
      <c r="CS13" s="273"/>
      <c r="CT13" s="273"/>
      <c r="CU13" s="273"/>
      <c r="CV13" s="273">
        <v>15</v>
      </c>
      <c r="CW13" s="273">
        <v>180</v>
      </c>
      <c r="CX13" s="273">
        <v>180</v>
      </c>
      <c r="CY13" s="273"/>
      <c r="CZ13" s="273"/>
      <c r="DA13" s="273"/>
      <c r="DB13" s="273"/>
      <c r="DC13" s="273"/>
      <c r="DD13" s="273"/>
      <c r="DE13" s="273"/>
      <c r="DF13" s="271"/>
      <c r="DG13" s="271"/>
      <c r="DH13" s="272">
        <f t="shared" si="3"/>
        <v>45</v>
      </c>
      <c r="DI13" s="272">
        <f t="shared" si="3"/>
        <v>540</v>
      </c>
      <c r="DJ13" s="324">
        <f t="shared" si="3"/>
        <v>540</v>
      </c>
      <c r="DK13" s="325"/>
      <c r="DL13" s="325"/>
    </row>
    <row r="14" spans="1:116" s="275" customFormat="1" ht="20.100000000000001" customHeight="1" x14ac:dyDescent="0.6">
      <c r="A14" s="234">
        <v>11</v>
      </c>
      <c r="B14" s="103" t="s">
        <v>421</v>
      </c>
      <c r="C14" s="103" t="s">
        <v>422</v>
      </c>
      <c r="D14" s="103" t="s">
        <v>90</v>
      </c>
      <c r="E14" s="148" t="s">
        <v>91</v>
      </c>
      <c r="F14" s="179" t="s">
        <v>400</v>
      </c>
      <c r="G14" s="322"/>
      <c r="H14" s="323"/>
      <c r="I14" s="322" t="s">
        <v>955</v>
      </c>
      <c r="J14" s="322" t="s">
        <v>945</v>
      </c>
      <c r="K14" s="241"/>
      <c r="L14" s="24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2">
        <f t="shared" si="0"/>
        <v>0</v>
      </c>
      <c r="AR14" s="272">
        <f t="shared" si="0"/>
        <v>0</v>
      </c>
      <c r="AS14" s="272">
        <f t="shared" si="0"/>
        <v>0</v>
      </c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2">
        <f t="shared" si="1"/>
        <v>0</v>
      </c>
      <c r="BY14" s="272">
        <f t="shared" si="1"/>
        <v>0</v>
      </c>
      <c r="BZ14" s="272">
        <f t="shared" si="2"/>
        <v>0</v>
      </c>
      <c r="CA14" s="273"/>
      <c r="CB14" s="273"/>
      <c r="CC14" s="273"/>
      <c r="CD14" s="273"/>
      <c r="CE14" s="273"/>
      <c r="CF14" s="273"/>
      <c r="CG14" s="273"/>
      <c r="CH14" s="273"/>
      <c r="CI14" s="273"/>
      <c r="CJ14" s="273"/>
      <c r="CK14" s="273"/>
      <c r="CL14" s="273"/>
      <c r="CM14" s="273"/>
      <c r="CN14" s="273"/>
      <c r="CO14" s="273"/>
      <c r="CP14" s="273"/>
      <c r="CQ14" s="273"/>
      <c r="CR14" s="273"/>
      <c r="CS14" s="273"/>
      <c r="CT14" s="273"/>
      <c r="CU14" s="273"/>
      <c r="CV14" s="273"/>
      <c r="CW14" s="273"/>
      <c r="CX14" s="273"/>
      <c r="CY14" s="273"/>
      <c r="CZ14" s="273"/>
      <c r="DA14" s="273"/>
      <c r="DB14" s="273"/>
      <c r="DC14" s="273"/>
      <c r="DD14" s="273"/>
      <c r="DE14" s="273"/>
      <c r="DF14" s="271"/>
      <c r="DG14" s="271"/>
      <c r="DH14" s="272">
        <f t="shared" si="3"/>
        <v>0</v>
      </c>
      <c r="DI14" s="272">
        <f t="shared" si="3"/>
        <v>0</v>
      </c>
      <c r="DJ14" s="324">
        <f t="shared" si="3"/>
        <v>0</v>
      </c>
      <c r="DK14" s="325"/>
      <c r="DL14" s="325"/>
    </row>
    <row r="15" spans="1:116" s="275" customFormat="1" ht="20.100000000000001" customHeight="1" x14ac:dyDescent="0.6">
      <c r="A15" s="234">
        <v>12</v>
      </c>
      <c r="B15" s="103" t="s">
        <v>423</v>
      </c>
      <c r="C15" s="185" t="s">
        <v>424</v>
      </c>
      <c r="D15" s="103" t="s">
        <v>90</v>
      </c>
      <c r="E15" s="148" t="s">
        <v>91</v>
      </c>
      <c r="F15" s="328" t="s">
        <v>400</v>
      </c>
      <c r="G15" s="322"/>
      <c r="H15" s="323"/>
      <c r="I15" s="322" t="s">
        <v>956</v>
      </c>
      <c r="J15" s="322" t="s">
        <v>945</v>
      </c>
      <c r="K15" s="241"/>
      <c r="L15" s="241"/>
      <c r="M15" s="271"/>
      <c r="N15" s="271"/>
      <c r="O15" s="271"/>
      <c r="P15" s="271">
        <v>15</v>
      </c>
      <c r="Q15" s="271">
        <v>180</v>
      </c>
      <c r="R15" s="271">
        <v>180</v>
      </c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>
        <v>0.25</v>
      </c>
      <c r="AF15" s="271">
        <v>6</v>
      </c>
      <c r="AG15" s="271">
        <v>2.1</v>
      </c>
      <c r="AH15" s="271">
        <v>15</v>
      </c>
      <c r="AI15" s="271">
        <v>180</v>
      </c>
      <c r="AJ15" s="271">
        <v>180</v>
      </c>
      <c r="AK15" s="271"/>
      <c r="AL15" s="271"/>
      <c r="AM15" s="271"/>
      <c r="AN15" s="271"/>
      <c r="AO15" s="271"/>
      <c r="AP15" s="271"/>
      <c r="AQ15" s="272">
        <f t="shared" si="0"/>
        <v>30.25</v>
      </c>
      <c r="AR15" s="272">
        <f t="shared" si="0"/>
        <v>366</v>
      </c>
      <c r="AS15" s="272">
        <f t="shared" si="0"/>
        <v>362.1</v>
      </c>
      <c r="AT15" s="273"/>
      <c r="AU15" s="273"/>
      <c r="AV15" s="273"/>
      <c r="AW15" s="273"/>
      <c r="AX15" s="273"/>
      <c r="AY15" s="273"/>
      <c r="AZ15" s="273"/>
      <c r="BA15" s="273"/>
      <c r="BB15" s="273"/>
      <c r="BC15" s="273">
        <v>0.25</v>
      </c>
      <c r="BD15" s="273">
        <v>6</v>
      </c>
      <c r="BE15" s="273">
        <v>2.1</v>
      </c>
      <c r="BF15" s="273"/>
      <c r="BG15" s="273"/>
      <c r="BH15" s="273"/>
      <c r="BI15" s="273">
        <v>15</v>
      </c>
      <c r="BJ15" s="273">
        <v>180</v>
      </c>
      <c r="BK15" s="273">
        <v>180</v>
      </c>
      <c r="BL15" s="273">
        <v>0.125</v>
      </c>
      <c r="BM15" s="273">
        <v>3</v>
      </c>
      <c r="BN15" s="273">
        <v>1.05</v>
      </c>
      <c r="BO15" s="273"/>
      <c r="BP15" s="273"/>
      <c r="BQ15" s="273"/>
      <c r="BR15" s="273"/>
      <c r="BS15" s="273"/>
      <c r="BT15" s="273"/>
      <c r="BU15" s="273"/>
      <c r="BV15" s="273"/>
      <c r="BW15" s="273"/>
      <c r="BX15" s="272">
        <f>+BU15+BR15+BO15+BL15+BI15+BF15+BC15+AZ15+AW15+AT15+AQ15</f>
        <v>45.625</v>
      </c>
      <c r="BY15" s="272">
        <f>+BV15+BS15+BP15+BM15+BJ15+BG15+BD15+BA15+AX15+AU15+AR15</f>
        <v>555</v>
      </c>
      <c r="BZ15" s="272">
        <f>AS15+AV15+AY15+BB15+BE15+BH15+BK15+BN15+BQ15+BT15+BW15</f>
        <v>545.25</v>
      </c>
      <c r="CA15" s="273"/>
      <c r="CB15" s="273"/>
      <c r="CC15" s="273"/>
      <c r="CD15" s="273"/>
      <c r="CE15" s="273"/>
      <c r="CF15" s="273"/>
      <c r="CG15" s="273"/>
      <c r="CH15" s="273"/>
      <c r="CI15" s="273"/>
      <c r="CJ15" s="273">
        <v>45</v>
      </c>
      <c r="CK15" s="273">
        <v>570</v>
      </c>
      <c r="CL15" s="273">
        <v>494.4</v>
      </c>
      <c r="CM15" s="273"/>
      <c r="CN15" s="273"/>
      <c r="CO15" s="273"/>
      <c r="CP15" s="273"/>
      <c r="CQ15" s="273"/>
      <c r="CR15" s="273"/>
      <c r="CS15" s="273">
        <v>30</v>
      </c>
      <c r="CT15" s="273">
        <v>390</v>
      </c>
      <c r="CU15" s="273">
        <v>314.39999999999998</v>
      </c>
      <c r="CV15" s="273"/>
      <c r="CW15" s="273"/>
      <c r="CX15" s="273"/>
      <c r="CY15" s="273">
        <v>15</v>
      </c>
      <c r="CZ15" s="273">
        <v>210</v>
      </c>
      <c r="DA15" s="273">
        <v>134.4</v>
      </c>
      <c r="DB15" s="273"/>
      <c r="DC15" s="273"/>
      <c r="DD15" s="273"/>
      <c r="DE15" s="273"/>
      <c r="DF15" s="271"/>
      <c r="DG15" s="271"/>
      <c r="DH15" s="272">
        <f t="shared" si="3"/>
        <v>135.625</v>
      </c>
      <c r="DI15" s="272">
        <f t="shared" si="3"/>
        <v>1725</v>
      </c>
      <c r="DJ15" s="324">
        <f t="shared" si="3"/>
        <v>1488.4500000000003</v>
      </c>
      <c r="DK15" s="325"/>
      <c r="DL15" s="325"/>
    </row>
    <row r="16" spans="1:116" s="275" customFormat="1" ht="20.100000000000001" customHeight="1" x14ac:dyDescent="0.6">
      <c r="A16" s="234">
        <v>13</v>
      </c>
      <c r="B16" s="103" t="s">
        <v>425</v>
      </c>
      <c r="C16" s="185" t="s">
        <v>425</v>
      </c>
      <c r="D16" s="103" t="s">
        <v>90</v>
      </c>
      <c r="E16" s="148" t="s">
        <v>91</v>
      </c>
      <c r="F16" s="328" t="s">
        <v>400</v>
      </c>
      <c r="G16" s="322"/>
      <c r="H16" s="323"/>
      <c r="I16" s="322" t="s">
        <v>957</v>
      </c>
      <c r="J16" s="322" t="s">
        <v>945</v>
      </c>
      <c r="K16" s="241"/>
      <c r="L16" s="24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2">
        <f t="shared" si="0"/>
        <v>0</v>
      </c>
      <c r="AR16" s="272">
        <f t="shared" si="0"/>
        <v>0</v>
      </c>
      <c r="AS16" s="272">
        <f t="shared" si="0"/>
        <v>0</v>
      </c>
      <c r="AT16" s="273"/>
      <c r="AU16" s="273"/>
      <c r="AV16" s="273"/>
      <c r="AW16" s="273"/>
      <c r="AX16" s="273"/>
      <c r="AY16" s="273"/>
      <c r="AZ16" s="273"/>
      <c r="BA16" s="273"/>
      <c r="BB16" s="273"/>
      <c r="BC16" s="273">
        <v>15</v>
      </c>
      <c r="BD16" s="273">
        <v>180</v>
      </c>
      <c r="BE16" s="273">
        <v>180</v>
      </c>
      <c r="BF16" s="273"/>
      <c r="BG16" s="273"/>
      <c r="BH16" s="273"/>
      <c r="BI16" s="273"/>
      <c r="BJ16" s="273"/>
      <c r="BK16" s="273"/>
      <c r="BL16" s="273"/>
      <c r="BM16" s="273"/>
      <c r="BN16" s="273"/>
      <c r="BO16" s="273"/>
      <c r="BP16" s="273"/>
      <c r="BQ16" s="273"/>
      <c r="BR16" s="273"/>
      <c r="BS16" s="273"/>
      <c r="BT16" s="273"/>
      <c r="BU16" s="273"/>
      <c r="BV16" s="273"/>
      <c r="BW16" s="273"/>
      <c r="BX16" s="272">
        <f>+BU16+BR16+BO16+BL16+BI16+BF16+BC16+AZ16+AW16+AT16+AQ16</f>
        <v>15</v>
      </c>
      <c r="BY16" s="272">
        <f>+BV16+BS16+BP16+BM16+BJ16+BG16+BD16+BA16+AX16+AU16+AR16</f>
        <v>180</v>
      </c>
      <c r="BZ16" s="272">
        <f>AS16+AV16+AY16+BB16+BE16+BH16+BK16+BN16+BQ16+BT16+BW16</f>
        <v>180</v>
      </c>
      <c r="CA16" s="273"/>
      <c r="CB16" s="273"/>
      <c r="CC16" s="273"/>
      <c r="CD16" s="273"/>
      <c r="CE16" s="273"/>
      <c r="CF16" s="273"/>
      <c r="CG16" s="273"/>
      <c r="CH16" s="273"/>
      <c r="CI16" s="273"/>
      <c r="CJ16" s="273">
        <v>35</v>
      </c>
      <c r="CK16" s="273">
        <v>430</v>
      </c>
      <c r="CL16" s="273">
        <v>404.8</v>
      </c>
      <c r="CM16" s="273"/>
      <c r="CN16" s="273"/>
      <c r="CO16" s="273"/>
      <c r="CP16" s="273"/>
      <c r="CQ16" s="273"/>
      <c r="CR16" s="273"/>
      <c r="CS16" s="273"/>
      <c r="CT16" s="273"/>
      <c r="CU16" s="273"/>
      <c r="CV16" s="273"/>
      <c r="CW16" s="273"/>
      <c r="CX16" s="273"/>
      <c r="CY16" s="273"/>
      <c r="CZ16" s="273"/>
      <c r="DA16" s="273"/>
      <c r="DB16" s="273"/>
      <c r="DC16" s="273"/>
      <c r="DD16" s="273"/>
      <c r="DE16" s="273"/>
      <c r="DF16" s="271"/>
      <c r="DG16" s="271"/>
      <c r="DH16" s="272">
        <f t="shared" si="3"/>
        <v>50</v>
      </c>
      <c r="DI16" s="272">
        <f t="shared" si="3"/>
        <v>610</v>
      </c>
      <c r="DJ16" s="324">
        <f t="shared" si="3"/>
        <v>584.79999999999995</v>
      </c>
      <c r="DK16" s="325"/>
      <c r="DL16" s="325"/>
    </row>
    <row r="17" spans="1:116" s="275" customFormat="1" ht="20.100000000000001" customHeight="1" x14ac:dyDescent="0.6">
      <c r="A17" s="234">
        <v>14</v>
      </c>
      <c r="B17" s="103" t="s">
        <v>426</v>
      </c>
      <c r="C17" s="185" t="s">
        <v>427</v>
      </c>
      <c r="D17" s="103" t="s">
        <v>90</v>
      </c>
      <c r="E17" s="148" t="s">
        <v>91</v>
      </c>
      <c r="F17" s="328" t="s">
        <v>400</v>
      </c>
      <c r="G17" s="322"/>
      <c r="H17" s="323"/>
      <c r="I17" s="322" t="s">
        <v>958</v>
      </c>
      <c r="J17" s="322" t="s">
        <v>959</v>
      </c>
      <c r="K17" s="241"/>
      <c r="L17" s="24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2">
        <f t="shared" si="0"/>
        <v>0</v>
      </c>
      <c r="AR17" s="272">
        <f t="shared" si="0"/>
        <v>0</v>
      </c>
      <c r="AS17" s="272">
        <f t="shared" si="0"/>
        <v>0</v>
      </c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3"/>
      <c r="BL17" s="273"/>
      <c r="BM17" s="273"/>
      <c r="BN17" s="273"/>
      <c r="BO17" s="273"/>
      <c r="BP17" s="273"/>
      <c r="BQ17" s="273"/>
      <c r="BR17" s="273"/>
      <c r="BS17" s="273"/>
      <c r="BT17" s="273"/>
      <c r="BU17" s="273"/>
      <c r="BV17" s="273"/>
      <c r="BW17" s="273"/>
      <c r="BX17" s="272">
        <f t="shared" si="1"/>
        <v>0</v>
      </c>
      <c r="BY17" s="272">
        <f t="shared" si="1"/>
        <v>0</v>
      </c>
      <c r="BZ17" s="272">
        <f t="shared" si="2"/>
        <v>0</v>
      </c>
      <c r="CA17" s="273"/>
      <c r="CB17" s="273"/>
      <c r="CC17" s="273"/>
      <c r="CD17" s="273">
        <v>15</v>
      </c>
      <c r="CE17" s="273">
        <v>180</v>
      </c>
      <c r="CF17" s="273">
        <v>180</v>
      </c>
      <c r="CG17" s="273"/>
      <c r="CH17" s="273"/>
      <c r="CI17" s="273"/>
      <c r="CJ17" s="273"/>
      <c r="CK17" s="273"/>
      <c r="CL17" s="273"/>
      <c r="CM17" s="273"/>
      <c r="CN17" s="273"/>
      <c r="CO17" s="273"/>
      <c r="CP17" s="273"/>
      <c r="CQ17" s="273"/>
      <c r="CR17" s="273"/>
      <c r="CS17" s="273"/>
      <c r="CT17" s="273"/>
      <c r="CU17" s="273"/>
      <c r="CV17" s="273"/>
      <c r="CW17" s="273"/>
      <c r="CX17" s="273"/>
      <c r="CY17" s="273"/>
      <c r="CZ17" s="273"/>
      <c r="DA17" s="273"/>
      <c r="DB17" s="273"/>
      <c r="DC17" s="273"/>
      <c r="DD17" s="273"/>
      <c r="DE17" s="273"/>
      <c r="DF17" s="271"/>
      <c r="DG17" s="271"/>
      <c r="DH17" s="272">
        <f t="shared" si="3"/>
        <v>15</v>
      </c>
      <c r="DI17" s="272">
        <f t="shared" si="3"/>
        <v>180</v>
      </c>
      <c r="DJ17" s="324">
        <f t="shared" si="3"/>
        <v>180</v>
      </c>
      <c r="DK17" s="325"/>
      <c r="DL17" s="325"/>
    </row>
    <row r="18" spans="1:116" s="275" customFormat="1" ht="20.100000000000001" customHeight="1" x14ac:dyDescent="0.6">
      <c r="A18" s="234">
        <v>15</v>
      </c>
      <c r="B18" s="103" t="s">
        <v>428</v>
      </c>
      <c r="C18" s="103" t="s">
        <v>429</v>
      </c>
      <c r="D18" s="103" t="s">
        <v>430</v>
      </c>
      <c r="E18" s="148" t="s">
        <v>120</v>
      </c>
      <c r="F18" s="179" t="s">
        <v>431</v>
      </c>
      <c r="G18" s="322"/>
      <c r="H18" s="323"/>
      <c r="I18" s="323" t="s">
        <v>960</v>
      </c>
      <c r="J18" s="322" t="s">
        <v>959</v>
      </c>
      <c r="K18" s="241"/>
      <c r="L18" s="24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>
        <v>48</v>
      </c>
      <c r="AF18" s="271">
        <v>672</v>
      </c>
      <c r="AG18" s="271">
        <v>430.08</v>
      </c>
      <c r="AH18" s="271"/>
      <c r="AI18" s="271"/>
      <c r="AJ18" s="271"/>
      <c r="AK18" s="271"/>
      <c r="AL18" s="271"/>
      <c r="AM18" s="271"/>
      <c r="AN18" s="271"/>
      <c r="AO18" s="271"/>
      <c r="AP18" s="271"/>
      <c r="AQ18" s="272">
        <f t="shared" si="0"/>
        <v>48</v>
      </c>
      <c r="AR18" s="272">
        <f t="shared" si="0"/>
        <v>672</v>
      </c>
      <c r="AS18" s="272">
        <f t="shared" si="0"/>
        <v>430.08</v>
      </c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>
        <v>15</v>
      </c>
      <c r="BJ18" s="273">
        <v>180</v>
      </c>
      <c r="BK18" s="273">
        <v>180</v>
      </c>
      <c r="BL18" s="273"/>
      <c r="BM18" s="273"/>
      <c r="BN18" s="273"/>
      <c r="BO18" s="273"/>
      <c r="BP18" s="273"/>
      <c r="BQ18" s="273"/>
      <c r="BR18" s="273"/>
      <c r="BS18" s="273"/>
      <c r="BT18" s="273"/>
      <c r="BU18" s="273"/>
      <c r="BV18" s="273"/>
      <c r="BW18" s="273"/>
      <c r="BX18" s="272">
        <f t="shared" si="1"/>
        <v>63</v>
      </c>
      <c r="BY18" s="272">
        <f t="shared" si="1"/>
        <v>852</v>
      </c>
      <c r="BZ18" s="272">
        <f t="shared" si="2"/>
        <v>610.07999999999993</v>
      </c>
      <c r="CA18" s="273"/>
      <c r="CB18" s="273"/>
      <c r="CC18" s="273"/>
      <c r="CD18" s="273"/>
      <c r="CE18" s="273"/>
      <c r="CF18" s="273"/>
      <c r="CG18" s="273"/>
      <c r="CH18" s="273"/>
      <c r="CI18" s="273"/>
      <c r="CJ18" s="273"/>
      <c r="CK18" s="273"/>
      <c r="CL18" s="273"/>
      <c r="CM18" s="273"/>
      <c r="CN18" s="273"/>
      <c r="CO18" s="273"/>
      <c r="CP18" s="273"/>
      <c r="CQ18" s="273"/>
      <c r="CR18" s="273"/>
      <c r="CS18" s="273"/>
      <c r="CT18" s="273"/>
      <c r="CU18" s="273"/>
      <c r="CV18" s="273"/>
      <c r="CW18" s="273"/>
      <c r="CX18" s="273"/>
      <c r="CY18" s="273"/>
      <c r="CZ18" s="273"/>
      <c r="DA18" s="273"/>
      <c r="DB18" s="273"/>
      <c r="DC18" s="273"/>
      <c r="DD18" s="273"/>
      <c r="DE18" s="273"/>
      <c r="DF18" s="271"/>
      <c r="DG18" s="271"/>
      <c r="DH18" s="272">
        <f t="shared" si="3"/>
        <v>63</v>
      </c>
      <c r="DI18" s="272">
        <f t="shared" si="3"/>
        <v>852</v>
      </c>
      <c r="DJ18" s="324">
        <f t="shared" si="3"/>
        <v>610.07999999999993</v>
      </c>
      <c r="DK18" s="325"/>
      <c r="DL18" s="325"/>
    </row>
    <row r="19" spans="1:116" s="275" customFormat="1" ht="20.100000000000001" customHeight="1" x14ac:dyDescent="0.6">
      <c r="A19" s="234">
        <v>16</v>
      </c>
      <c r="B19" s="103" t="s">
        <v>432</v>
      </c>
      <c r="C19" s="103" t="s">
        <v>433</v>
      </c>
      <c r="D19" s="103" t="s">
        <v>430</v>
      </c>
      <c r="E19" s="148" t="s">
        <v>120</v>
      </c>
      <c r="F19" s="179" t="s">
        <v>431</v>
      </c>
      <c r="G19" s="322"/>
      <c r="H19" s="323"/>
      <c r="I19" s="323" t="s">
        <v>961</v>
      </c>
      <c r="J19" s="322" t="s">
        <v>959</v>
      </c>
      <c r="K19" s="241"/>
      <c r="L19" s="241"/>
      <c r="M19" s="271"/>
      <c r="N19" s="271"/>
      <c r="O19" s="271"/>
      <c r="P19" s="271">
        <v>2</v>
      </c>
      <c r="Q19" s="271">
        <v>24</v>
      </c>
      <c r="R19" s="271">
        <v>24</v>
      </c>
      <c r="S19" s="271"/>
      <c r="T19" s="271"/>
      <c r="U19" s="271"/>
      <c r="V19" s="271"/>
      <c r="W19" s="271"/>
      <c r="X19" s="271"/>
      <c r="Y19" s="271">
        <v>10</v>
      </c>
      <c r="Z19" s="271">
        <v>120</v>
      </c>
      <c r="AA19" s="271">
        <v>120</v>
      </c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2">
        <f t="shared" si="0"/>
        <v>12</v>
      </c>
      <c r="AR19" s="272">
        <f t="shared" si="0"/>
        <v>144</v>
      </c>
      <c r="AS19" s="272">
        <f t="shared" si="0"/>
        <v>144</v>
      </c>
      <c r="AT19" s="273"/>
      <c r="AU19" s="273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3"/>
      <c r="BM19" s="273"/>
      <c r="BN19" s="273"/>
      <c r="BO19" s="273"/>
      <c r="BP19" s="273"/>
      <c r="BQ19" s="273"/>
      <c r="BR19" s="273"/>
      <c r="BS19" s="273"/>
      <c r="BT19" s="273"/>
      <c r="BU19" s="273"/>
      <c r="BV19" s="273"/>
      <c r="BW19" s="273"/>
      <c r="BX19" s="272">
        <f t="shared" si="1"/>
        <v>12</v>
      </c>
      <c r="BY19" s="272">
        <f t="shared" si="1"/>
        <v>144</v>
      </c>
      <c r="BZ19" s="272">
        <f t="shared" si="2"/>
        <v>144</v>
      </c>
      <c r="CA19" s="273"/>
      <c r="CB19" s="273"/>
      <c r="CC19" s="273"/>
      <c r="CD19" s="273"/>
      <c r="CE19" s="273"/>
      <c r="CF19" s="273"/>
      <c r="CG19" s="273"/>
      <c r="CH19" s="273"/>
      <c r="CI19" s="273"/>
      <c r="CJ19" s="273"/>
      <c r="CK19" s="273"/>
      <c r="CL19" s="273"/>
      <c r="CM19" s="273"/>
      <c r="CN19" s="273"/>
      <c r="CO19" s="273"/>
      <c r="CP19" s="273"/>
      <c r="CQ19" s="273"/>
      <c r="CR19" s="273"/>
      <c r="CS19" s="273"/>
      <c r="CT19" s="273"/>
      <c r="CU19" s="273"/>
      <c r="CV19" s="273"/>
      <c r="CW19" s="273"/>
      <c r="CX19" s="273"/>
      <c r="CY19" s="273"/>
      <c r="CZ19" s="273"/>
      <c r="DA19" s="273"/>
      <c r="DB19" s="273"/>
      <c r="DC19" s="273"/>
      <c r="DD19" s="273"/>
      <c r="DE19" s="273"/>
      <c r="DF19" s="271"/>
      <c r="DG19" s="271"/>
      <c r="DH19" s="272">
        <f t="shared" si="3"/>
        <v>12</v>
      </c>
      <c r="DI19" s="272">
        <f t="shared" si="3"/>
        <v>144</v>
      </c>
      <c r="DJ19" s="324">
        <f t="shared" si="3"/>
        <v>144</v>
      </c>
      <c r="DK19" s="325"/>
      <c r="DL19" s="325"/>
    </row>
    <row r="20" spans="1:116" s="275" customFormat="1" ht="20.100000000000001" customHeight="1" x14ac:dyDescent="0.6">
      <c r="A20" s="234">
        <v>17</v>
      </c>
      <c r="B20" s="103" t="s">
        <v>434</v>
      </c>
      <c r="C20" s="103" t="s">
        <v>435</v>
      </c>
      <c r="D20" s="103" t="s">
        <v>430</v>
      </c>
      <c r="E20" s="148" t="s">
        <v>120</v>
      </c>
      <c r="F20" s="179" t="s">
        <v>431</v>
      </c>
      <c r="G20" s="322"/>
      <c r="H20" s="323"/>
      <c r="I20" s="322" t="s">
        <v>962</v>
      </c>
      <c r="J20" s="322" t="s">
        <v>959</v>
      </c>
      <c r="K20" s="241"/>
      <c r="L20" s="24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2">
        <f t="shared" ref="AQ20:AS83" si="4">+AN20+AK20+AH20+AE20+AB20+Y20+V20+S20+P20+M20</f>
        <v>0</v>
      </c>
      <c r="AR20" s="272">
        <f t="shared" si="4"/>
        <v>0</v>
      </c>
      <c r="AS20" s="272">
        <f t="shared" si="4"/>
        <v>0</v>
      </c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3"/>
      <c r="BL20" s="273"/>
      <c r="BM20" s="273"/>
      <c r="BN20" s="273"/>
      <c r="BO20" s="273"/>
      <c r="BP20" s="273"/>
      <c r="BQ20" s="273"/>
      <c r="BR20" s="273"/>
      <c r="BS20" s="273"/>
      <c r="BT20" s="273"/>
      <c r="BU20" s="273"/>
      <c r="BV20" s="273"/>
      <c r="BW20" s="273"/>
      <c r="BX20" s="272">
        <f t="shared" si="1"/>
        <v>0</v>
      </c>
      <c r="BY20" s="272">
        <f t="shared" si="1"/>
        <v>0</v>
      </c>
      <c r="BZ20" s="272">
        <f t="shared" si="2"/>
        <v>0</v>
      </c>
      <c r="CA20" s="273"/>
      <c r="CB20" s="273"/>
      <c r="CC20" s="273"/>
      <c r="CD20" s="273"/>
      <c r="CE20" s="273"/>
      <c r="CF20" s="273"/>
      <c r="CG20" s="273"/>
      <c r="CH20" s="273"/>
      <c r="CI20" s="273"/>
      <c r="CJ20" s="273"/>
      <c r="CK20" s="273"/>
      <c r="CL20" s="273"/>
      <c r="CM20" s="273"/>
      <c r="CN20" s="273"/>
      <c r="CO20" s="273"/>
      <c r="CP20" s="273"/>
      <c r="CQ20" s="273"/>
      <c r="CR20" s="273"/>
      <c r="CS20" s="273"/>
      <c r="CT20" s="273"/>
      <c r="CU20" s="273"/>
      <c r="CV20" s="273"/>
      <c r="CW20" s="273"/>
      <c r="CX20" s="273"/>
      <c r="CY20" s="273"/>
      <c r="CZ20" s="273"/>
      <c r="DA20" s="273"/>
      <c r="DB20" s="273"/>
      <c r="DC20" s="273"/>
      <c r="DD20" s="273"/>
      <c r="DE20" s="273"/>
      <c r="DF20" s="271"/>
      <c r="DG20" s="271"/>
      <c r="DH20" s="272">
        <f t="shared" si="3"/>
        <v>0</v>
      </c>
      <c r="DI20" s="272">
        <f t="shared" si="3"/>
        <v>0</v>
      </c>
      <c r="DJ20" s="324">
        <f t="shared" si="3"/>
        <v>0</v>
      </c>
      <c r="DK20" s="325"/>
      <c r="DL20" s="325"/>
    </row>
    <row r="21" spans="1:116" s="275" customFormat="1" ht="20.100000000000001" customHeight="1" x14ac:dyDescent="0.6">
      <c r="A21" s="234">
        <v>18</v>
      </c>
      <c r="B21" s="103" t="s">
        <v>436</v>
      </c>
      <c r="C21" s="103" t="s">
        <v>437</v>
      </c>
      <c r="D21" s="103" t="s">
        <v>123</v>
      </c>
      <c r="E21" s="148" t="s">
        <v>438</v>
      </c>
      <c r="F21" s="179" t="s">
        <v>431</v>
      </c>
      <c r="G21" s="322"/>
      <c r="H21" s="323"/>
      <c r="I21" s="322" t="s">
        <v>963</v>
      </c>
      <c r="J21" s="322" t="s">
        <v>959</v>
      </c>
      <c r="K21" s="241"/>
      <c r="L21" s="24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2">
        <f t="shared" si="4"/>
        <v>0</v>
      </c>
      <c r="AR21" s="272">
        <f t="shared" si="4"/>
        <v>0</v>
      </c>
      <c r="AS21" s="272">
        <f t="shared" si="4"/>
        <v>0</v>
      </c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3"/>
      <c r="BL21" s="273"/>
      <c r="BM21" s="273"/>
      <c r="BN21" s="273"/>
      <c r="BO21" s="273"/>
      <c r="BP21" s="273"/>
      <c r="BQ21" s="273"/>
      <c r="BR21" s="273"/>
      <c r="BS21" s="273"/>
      <c r="BT21" s="273"/>
      <c r="BU21" s="273"/>
      <c r="BV21" s="273"/>
      <c r="BW21" s="273"/>
      <c r="BX21" s="272">
        <f t="shared" si="1"/>
        <v>0</v>
      </c>
      <c r="BY21" s="272">
        <f t="shared" si="1"/>
        <v>0</v>
      </c>
      <c r="BZ21" s="272">
        <f t="shared" si="2"/>
        <v>0</v>
      </c>
      <c r="CA21" s="273"/>
      <c r="CB21" s="273"/>
      <c r="CC21" s="273"/>
      <c r="CD21" s="273"/>
      <c r="CE21" s="273"/>
      <c r="CF21" s="273"/>
      <c r="CG21" s="273"/>
      <c r="CH21" s="273"/>
      <c r="CI21" s="273"/>
      <c r="CJ21" s="273"/>
      <c r="CK21" s="273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  <c r="CX21" s="273"/>
      <c r="CY21" s="273"/>
      <c r="CZ21" s="273"/>
      <c r="DA21" s="273"/>
      <c r="DB21" s="273"/>
      <c r="DC21" s="273"/>
      <c r="DD21" s="273"/>
      <c r="DE21" s="273"/>
      <c r="DF21" s="271"/>
      <c r="DG21" s="271"/>
      <c r="DH21" s="272">
        <f t="shared" si="3"/>
        <v>0</v>
      </c>
      <c r="DI21" s="272">
        <f t="shared" si="3"/>
        <v>0</v>
      </c>
      <c r="DJ21" s="324">
        <f t="shared" si="3"/>
        <v>0</v>
      </c>
      <c r="DK21" s="325"/>
      <c r="DL21" s="325"/>
    </row>
    <row r="22" spans="1:116" s="275" customFormat="1" ht="20.100000000000001" customHeight="1" x14ac:dyDescent="0.6">
      <c r="A22" s="234">
        <v>19</v>
      </c>
      <c r="B22" s="103" t="s">
        <v>439</v>
      </c>
      <c r="C22" s="103" t="s">
        <v>440</v>
      </c>
      <c r="D22" s="103" t="s">
        <v>123</v>
      </c>
      <c r="E22" s="148" t="s">
        <v>438</v>
      </c>
      <c r="F22" s="179" t="s">
        <v>431</v>
      </c>
      <c r="G22" s="322"/>
      <c r="H22" s="323"/>
      <c r="I22" s="322" t="s">
        <v>964</v>
      </c>
      <c r="J22" s="322" t="s">
        <v>959</v>
      </c>
      <c r="K22" s="241"/>
      <c r="L22" s="24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>
        <v>15</v>
      </c>
      <c r="AC22" s="271">
        <v>180</v>
      </c>
      <c r="AD22" s="271">
        <v>180</v>
      </c>
      <c r="AE22" s="271"/>
      <c r="AF22" s="271"/>
      <c r="AG22" s="271"/>
      <c r="AH22" s="271">
        <v>15</v>
      </c>
      <c r="AI22" s="271">
        <v>180</v>
      </c>
      <c r="AJ22" s="271">
        <v>180</v>
      </c>
      <c r="AK22" s="271"/>
      <c r="AL22" s="271"/>
      <c r="AM22" s="271"/>
      <c r="AN22" s="271"/>
      <c r="AO22" s="271"/>
      <c r="AP22" s="271"/>
      <c r="AQ22" s="272">
        <f t="shared" si="4"/>
        <v>30</v>
      </c>
      <c r="AR22" s="272">
        <f t="shared" si="4"/>
        <v>360</v>
      </c>
      <c r="AS22" s="272">
        <f t="shared" si="4"/>
        <v>360</v>
      </c>
      <c r="AT22" s="273"/>
      <c r="AU22" s="273"/>
      <c r="AV22" s="273"/>
      <c r="AW22" s="273"/>
      <c r="AX22" s="273"/>
      <c r="AY22" s="273"/>
      <c r="AZ22" s="273"/>
      <c r="BA22" s="273"/>
      <c r="BB22" s="273"/>
      <c r="BC22" s="273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>
        <v>15</v>
      </c>
      <c r="BS22" s="273">
        <v>180</v>
      </c>
      <c r="BT22" s="273">
        <v>180</v>
      </c>
      <c r="BU22" s="273"/>
      <c r="BV22" s="273"/>
      <c r="BW22" s="273"/>
      <c r="BX22" s="272">
        <f t="shared" si="1"/>
        <v>45</v>
      </c>
      <c r="BY22" s="272">
        <f t="shared" si="1"/>
        <v>540</v>
      </c>
      <c r="BZ22" s="272">
        <f t="shared" si="2"/>
        <v>540</v>
      </c>
      <c r="CA22" s="273"/>
      <c r="CB22" s="273"/>
      <c r="CC22" s="273"/>
      <c r="CD22" s="273"/>
      <c r="CE22" s="273"/>
      <c r="CF22" s="273"/>
      <c r="CG22" s="273"/>
      <c r="CH22" s="273"/>
      <c r="CI22" s="273"/>
      <c r="CJ22" s="273"/>
      <c r="CK22" s="273"/>
      <c r="CL22" s="273"/>
      <c r="CM22" s="273"/>
      <c r="CN22" s="273"/>
      <c r="CO22" s="273"/>
      <c r="CP22" s="273"/>
      <c r="CQ22" s="273"/>
      <c r="CR22" s="273"/>
      <c r="CS22" s="273"/>
      <c r="CT22" s="273"/>
      <c r="CU22" s="273"/>
      <c r="CV22" s="273"/>
      <c r="CW22" s="273"/>
      <c r="CX22" s="273"/>
      <c r="CY22" s="273"/>
      <c r="CZ22" s="273"/>
      <c r="DA22" s="273"/>
      <c r="DB22" s="273"/>
      <c r="DC22" s="273"/>
      <c r="DD22" s="273"/>
      <c r="DE22" s="273"/>
      <c r="DF22" s="271"/>
      <c r="DG22" s="271"/>
      <c r="DH22" s="272">
        <f t="shared" si="3"/>
        <v>45</v>
      </c>
      <c r="DI22" s="272">
        <f t="shared" si="3"/>
        <v>540</v>
      </c>
      <c r="DJ22" s="324">
        <f t="shared" si="3"/>
        <v>540</v>
      </c>
      <c r="DK22" s="325"/>
      <c r="DL22" s="325"/>
    </row>
    <row r="23" spans="1:116" s="275" customFormat="1" ht="20.100000000000001" customHeight="1" x14ac:dyDescent="0.6">
      <c r="A23" s="234">
        <v>20</v>
      </c>
      <c r="B23" s="103" t="s">
        <v>441</v>
      </c>
      <c r="C23" s="103" t="s">
        <v>442</v>
      </c>
      <c r="D23" s="103" t="s">
        <v>123</v>
      </c>
      <c r="E23" s="148" t="s">
        <v>438</v>
      </c>
      <c r="F23" s="179" t="s">
        <v>431</v>
      </c>
      <c r="G23" s="322"/>
      <c r="H23" s="323"/>
      <c r="I23" s="322" t="s">
        <v>965</v>
      </c>
      <c r="J23" s="322" t="s">
        <v>959</v>
      </c>
      <c r="K23" s="241"/>
      <c r="L23" s="24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>
        <v>15</v>
      </c>
      <c r="Z23" s="271">
        <v>180</v>
      </c>
      <c r="AA23" s="271">
        <v>180</v>
      </c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2">
        <f t="shared" si="4"/>
        <v>15</v>
      </c>
      <c r="AR23" s="272">
        <f t="shared" si="4"/>
        <v>180</v>
      </c>
      <c r="AS23" s="272">
        <f t="shared" si="4"/>
        <v>180</v>
      </c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2">
        <f t="shared" si="1"/>
        <v>15</v>
      </c>
      <c r="BY23" s="272">
        <f t="shared" si="1"/>
        <v>180</v>
      </c>
      <c r="BZ23" s="272">
        <f t="shared" si="2"/>
        <v>180</v>
      </c>
      <c r="CA23" s="273"/>
      <c r="CB23" s="273"/>
      <c r="CC23" s="273"/>
      <c r="CD23" s="273"/>
      <c r="CE23" s="273"/>
      <c r="CF23" s="273"/>
      <c r="CG23" s="273"/>
      <c r="CH23" s="273"/>
      <c r="CI23" s="273"/>
      <c r="CJ23" s="273">
        <v>15</v>
      </c>
      <c r="CK23" s="273">
        <v>180</v>
      </c>
      <c r="CL23" s="273">
        <v>180</v>
      </c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1"/>
      <c r="DG23" s="271"/>
      <c r="DH23" s="272">
        <f t="shared" si="3"/>
        <v>30</v>
      </c>
      <c r="DI23" s="272">
        <f t="shared" si="3"/>
        <v>360</v>
      </c>
      <c r="DJ23" s="324">
        <f t="shared" si="3"/>
        <v>360</v>
      </c>
      <c r="DK23" s="325"/>
      <c r="DL23" s="325"/>
    </row>
    <row r="24" spans="1:116" s="275" customFormat="1" ht="20.100000000000001" customHeight="1" x14ac:dyDescent="0.6">
      <c r="A24" s="234">
        <v>21</v>
      </c>
      <c r="B24" s="103" t="s">
        <v>443</v>
      </c>
      <c r="C24" s="103" t="s">
        <v>444</v>
      </c>
      <c r="D24" s="103" t="s">
        <v>123</v>
      </c>
      <c r="E24" s="148" t="s">
        <v>438</v>
      </c>
      <c r="F24" s="179" t="s">
        <v>431</v>
      </c>
      <c r="G24" s="322"/>
      <c r="H24" s="323"/>
      <c r="I24" s="322" t="s">
        <v>966</v>
      </c>
      <c r="J24" s="322" t="s">
        <v>959</v>
      </c>
      <c r="K24" s="241"/>
      <c r="L24" s="24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2">
        <f t="shared" si="4"/>
        <v>0</v>
      </c>
      <c r="AR24" s="272">
        <f t="shared" si="4"/>
        <v>0</v>
      </c>
      <c r="AS24" s="272">
        <f t="shared" si="4"/>
        <v>0</v>
      </c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3"/>
      <c r="BK24" s="273"/>
      <c r="BL24" s="273"/>
      <c r="BM24" s="273"/>
      <c r="BN24" s="273"/>
      <c r="BO24" s="273"/>
      <c r="BP24" s="273"/>
      <c r="BQ24" s="273"/>
      <c r="BR24" s="273"/>
      <c r="BS24" s="273"/>
      <c r="BT24" s="273"/>
      <c r="BU24" s="273"/>
      <c r="BV24" s="273"/>
      <c r="BW24" s="273"/>
      <c r="BX24" s="272">
        <f t="shared" si="1"/>
        <v>0</v>
      </c>
      <c r="BY24" s="272">
        <f t="shared" si="1"/>
        <v>0</v>
      </c>
      <c r="BZ24" s="272">
        <f t="shared" si="2"/>
        <v>0</v>
      </c>
      <c r="CA24" s="273"/>
      <c r="CB24" s="273"/>
      <c r="CC24" s="273"/>
      <c r="CD24" s="273"/>
      <c r="CE24" s="273"/>
      <c r="CF24" s="273"/>
      <c r="CG24" s="273"/>
      <c r="CH24" s="273"/>
      <c r="CI24" s="273"/>
      <c r="CJ24" s="273"/>
      <c r="CK24" s="273"/>
      <c r="CL24" s="273"/>
      <c r="CM24" s="273"/>
      <c r="CN24" s="273"/>
      <c r="CO24" s="273"/>
      <c r="CP24" s="273"/>
      <c r="CQ24" s="273"/>
      <c r="CR24" s="273"/>
      <c r="CS24" s="273"/>
      <c r="CT24" s="273"/>
      <c r="CU24" s="273"/>
      <c r="CV24" s="273"/>
      <c r="CW24" s="273"/>
      <c r="CX24" s="273"/>
      <c r="CY24" s="273"/>
      <c r="CZ24" s="273"/>
      <c r="DA24" s="273"/>
      <c r="DB24" s="273"/>
      <c r="DC24" s="273"/>
      <c r="DD24" s="273"/>
      <c r="DE24" s="273"/>
      <c r="DF24" s="271"/>
      <c r="DG24" s="271"/>
      <c r="DH24" s="272">
        <f t="shared" si="3"/>
        <v>0</v>
      </c>
      <c r="DI24" s="272">
        <f t="shared" si="3"/>
        <v>0</v>
      </c>
      <c r="DJ24" s="324">
        <f t="shared" si="3"/>
        <v>0</v>
      </c>
      <c r="DK24" s="325"/>
      <c r="DL24" s="325"/>
    </row>
    <row r="25" spans="1:116" s="275" customFormat="1" ht="20.100000000000001" customHeight="1" x14ac:dyDescent="0.6">
      <c r="A25" s="234">
        <v>22</v>
      </c>
      <c r="B25" s="103" t="s">
        <v>445</v>
      </c>
      <c r="C25" s="103" t="s">
        <v>446</v>
      </c>
      <c r="D25" s="103" t="s">
        <v>123</v>
      </c>
      <c r="E25" s="148" t="s">
        <v>438</v>
      </c>
      <c r="F25" s="179" t="s">
        <v>431</v>
      </c>
      <c r="G25" s="322"/>
      <c r="H25" s="323"/>
      <c r="I25" s="322" t="s">
        <v>967</v>
      </c>
      <c r="J25" s="322" t="s">
        <v>959</v>
      </c>
      <c r="K25" s="241"/>
      <c r="L25" s="24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2">
        <f t="shared" si="4"/>
        <v>0</v>
      </c>
      <c r="AR25" s="272">
        <f t="shared" si="4"/>
        <v>0</v>
      </c>
      <c r="AS25" s="272">
        <f t="shared" si="4"/>
        <v>0</v>
      </c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3"/>
      <c r="BK25" s="273"/>
      <c r="BL25" s="273"/>
      <c r="BM25" s="273"/>
      <c r="BN25" s="273"/>
      <c r="BO25" s="273"/>
      <c r="BP25" s="273"/>
      <c r="BQ25" s="273"/>
      <c r="BR25" s="273"/>
      <c r="BS25" s="273"/>
      <c r="BT25" s="273"/>
      <c r="BU25" s="273"/>
      <c r="BV25" s="273"/>
      <c r="BW25" s="273"/>
      <c r="BX25" s="272">
        <f t="shared" si="1"/>
        <v>0</v>
      </c>
      <c r="BY25" s="272">
        <f t="shared" si="1"/>
        <v>0</v>
      </c>
      <c r="BZ25" s="272">
        <f t="shared" si="2"/>
        <v>0</v>
      </c>
      <c r="CA25" s="273"/>
      <c r="CB25" s="273"/>
      <c r="CC25" s="273"/>
      <c r="CD25" s="273"/>
      <c r="CE25" s="273"/>
      <c r="CF25" s="273"/>
      <c r="CG25" s="273"/>
      <c r="CH25" s="273"/>
      <c r="CI25" s="273"/>
      <c r="CJ25" s="273"/>
      <c r="CK25" s="273"/>
      <c r="CL25" s="273"/>
      <c r="CM25" s="273"/>
      <c r="CN25" s="273"/>
      <c r="CO25" s="273"/>
      <c r="CP25" s="273"/>
      <c r="CQ25" s="273"/>
      <c r="CR25" s="273"/>
      <c r="CS25" s="273">
        <v>15</v>
      </c>
      <c r="CT25" s="273">
        <v>180</v>
      </c>
      <c r="CU25" s="273">
        <v>180</v>
      </c>
      <c r="CV25" s="273"/>
      <c r="CW25" s="273"/>
      <c r="CX25" s="273"/>
      <c r="CY25" s="273"/>
      <c r="CZ25" s="273"/>
      <c r="DA25" s="273"/>
      <c r="DB25" s="273"/>
      <c r="DC25" s="273"/>
      <c r="DD25" s="273"/>
      <c r="DE25" s="273"/>
      <c r="DF25" s="271"/>
      <c r="DG25" s="271"/>
      <c r="DH25" s="272">
        <f t="shared" si="3"/>
        <v>15</v>
      </c>
      <c r="DI25" s="272">
        <f t="shared" si="3"/>
        <v>180</v>
      </c>
      <c r="DJ25" s="324">
        <f t="shared" si="3"/>
        <v>180</v>
      </c>
      <c r="DK25" s="325"/>
      <c r="DL25" s="325"/>
    </row>
    <row r="26" spans="1:116" s="275" customFormat="1" ht="20.100000000000001" customHeight="1" x14ac:dyDescent="0.6">
      <c r="A26" s="234">
        <v>23</v>
      </c>
      <c r="B26" s="103" t="s">
        <v>447</v>
      </c>
      <c r="C26" s="103" t="s">
        <v>448</v>
      </c>
      <c r="D26" s="103" t="s">
        <v>123</v>
      </c>
      <c r="E26" s="148" t="s">
        <v>438</v>
      </c>
      <c r="F26" s="179" t="s">
        <v>431</v>
      </c>
      <c r="G26" s="322"/>
      <c r="H26" s="323"/>
      <c r="I26" s="322" t="s">
        <v>968</v>
      </c>
      <c r="J26" s="322" t="s">
        <v>959</v>
      </c>
      <c r="K26" s="241"/>
      <c r="L26" s="24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2">
        <f t="shared" si="4"/>
        <v>0</v>
      </c>
      <c r="AR26" s="272">
        <f t="shared" si="4"/>
        <v>0</v>
      </c>
      <c r="AS26" s="272">
        <f t="shared" si="4"/>
        <v>0</v>
      </c>
      <c r="AT26" s="273"/>
      <c r="AU26" s="273"/>
      <c r="AV26" s="273"/>
      <c r="AW26" s="273"/>
      <c r="AX26" s="273"/>
      <c r="AY26" s="273"/>
      <c r="AZ26" s="273">
        <v>22</v>
      </c>
      <c r="BA26" s="273">
        <v>320</v>
      </c>
      <c r="BB26" s="273">
        <v>268</v>
      </c>
      <c r="BC26" s="273"/>
      <c r="BD26" s="273"/>
      <c r="BE26" s="273"/>
      <c r="BF26" s="273"/>
      <c r="BG26" s="273"/>
      <c r="BH26" s="273"/>
      <c r="BI26" s="273"/>
      <c r="BJ26" s="273"/>
      <c r="BK26" s="273"/>
      <c r="BL26" s="273"/>
      <c r="BM26" s="273"/>
      <c r="BN26" s="273"/>
      <c r="BO26" s="273"/>
      <c r="BP26" s="273"/>
      <c r="BQ26" s="273"/>
      <c r="BR26" s="273"/>
      <c r="BS26" s="273"/>
      <c r="BT26" s="273"/>
      <c r="BU26" s="273"/>
      <c r="BV26" s="273"/>
      <c r="BW26" s="273"/>
      <c r="BX26" s="272">
        <f t="shared" si="1"/>
        <v>22</v>
      </c>
      <c r="BY26" s="272">
        <f t="shared" si="1"/>
        <v>320</v>
      </c>
      <c r="BZ26" s="272">
        <f t="shared" si="2"/>
        <v>268</v>
      </c>
      <c r="CA26" s="273"/>
      <c r="CB26" s="273"/>
      <c r="CC26" s="273"/>
      <c r="CD26" s="273">
        <v>15</v>
      </c>
      <c r="CE26" s="273">
        <v>180</v>
      </c>
      <c r="CF26" s="273">
        <v>180</v>
      </c>
      <c r="CG26" s="273"/>
      <c r="CH26" s="273"/>
      <c r="CI26" s="273"/>
      <c r="CJ26" s="273"/>
      <c r="CK26" s="273"/>
      <c r="CL26" s="273"/>
      <c r="CM26" s="273"/>
      <c r="CN26" s="273"/>
      <c r="CO26" s="273"/>
      <c r="CP26" s="273"/>
      <c r="CQ26" s="273"/>
      <c r="CR26" s="273"/>
      <c r="CS26" s="273"/>
      <c r="CT26" s="273"/>
      <c r="CU26" s="273"/>
      <c r="CV26" s="273"/>
      <c r="CW26" s="273"/>
      <c r="CX26" s="273"/>
      <c r="CY26" s="273"/>
      <c r="CZ26" s="273"/>
      <c r="DA26" s="273"/>
      <c r="DB26" s="273"/>
      <c r="DC26" s="273"/>
      <c r="DD26" s="273"/>
      <c r="DE26" s="273"/>
      <c r="DF26" s="271"/>
      <c r="DG26" s="271"/>
      <c r="DH26" s="272">
        <f t="shared" si="3"/>
        <v>37</v>
      </c>
      <c r="DI26" s="272">
        <f t="shared" si="3"/>
        <v>500</v>
      </c>
      <c r="DJ26" s="324">
        <f t="shared" si="3"/>
        <v>448</v>
      </c>
      <c r="DK26" s="325"/>
      <c r="DL26" s="325"/>
    </row>
    <row r="27" spans="1:116" s="275" customFormat="1" ht="20.100000000000001" customHeight="1" x14ac:dyDescent="0.6">
      <c r="A27" s="234">
        <v>24</v>
      </c>
      <c r="B27" s="103" t="s">
        <v>449</v>
      </c>
      <c r="C27" s="103" t="s">
        <v>450</v>
      </c>
      <c r="D27" s="103" t="s">
        <v>123</v>
      </c>
      <c r="E27" s="148" t="s">
        <v>438</v>
      </c>
      <c r="F27" s="179" t="s">
        <v>431</v>
      </c>
      <c r="G27" s="322"/>
      <c r="H27" s="323"/>
      <c r="I27" s="322" t="s">
        <v>969</v>
      </c>
      <c r="J27" s="322" t="s">
        <v>959</v>
      </c>
      <c r="K27" s="241"/>
      <c r="L27" s="24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2">
        <f t="shared" si="4"/>
        <v>0</v>
      </c>
      <c r="AR27" s="272">
        <f t="shared" si="4"/>
        <v>0</v>
      </c>
      <c r="AS27" s="272">
        <f t="shared" si="4"/>
        <v>0</v>
      </c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3"/>
      <c r="BK27" s="273"/>
      <c r="BL27" s="273"/>
      <c r="BM27" s="273"/>
      <c r="BN27" s="273"/>
      <c r="BO27" s="273"/>
      <c r="BP27" s="273"/>
      <c r="BQ27" s="273"/>
      <c r="BR27" s="273"/>
      <c r="BS27" s="273"/>
      <c r="BT27" s="273"/>
      <c r="BU27" s="273"/>
      <c r="BV27" s="273"/>
      <c r="BW27" s="273"/>
      <c r="BX27" s="272">
        <f t="shared" si="1"/>
        <v>0</v>
      </c>
      <c r="BY27" s="272">
        <f t="shared" si="1"/>
        <v>0</v>
      </c>
      <c r="BZ27" s="272">
        <f t="shared" si="2"/>
        <v>0</v>
      </c>
      <c r="CA27" s="273"/>
      <c r="CB27" s="273"/>
      <c r="CC27" s="273"/>
      <c r="CD27" s="273"/>
      <c r="CE27" s="273"/>
      <c r="CF27" s="273"/>
      <c r="CG27" s="273"/>
      <c r="CH27" s="273"/>
      <c r="CI27" s="273"/>
      <c r="CJ27" s="273"/>
      <c r="CK27" s="273"/>
      <c r="CL27" s="273"/>
      <c r="CM27" s="273"/>
      <c r="CN27" s="273"/>
      <c r="CO27" s="273"/>
      <c r="CP27" s="273"/>
      <c r="CQ27" s="273"/>
      <c r="CR27" s="273"/>
      <c r="CS27" s="273"/>
      <c r="CT27" s="273"/>
      <c r="CU27" s="273"/>
      <c r="CV27" s="273"/>
      <c r="CW27" s="273"/>
      <c r="CX27" s="273"/>
      <c r="CY27" s="273"/>
      <c r="CZ27" s="273"/>
      <c r="DA27" s="273"/>
      <c r="DB27" s="273"/>
      <c r="DC27" s="273"/>
      <c r="DD27" s="273"/>
      <c r="DE27" s="273"/>
      <c r="DF27" s="271"/>
      <c r="DG27" s="271"/>
      <c r="DH27" s="272">
        <f t="shared" si="3"/>
        <v>0</v>
      </c>
      <c r="DI27" s="272">
        <f t="shared" si="3"/>
        <v>0</v>
      </c>
      <c r="DJ27" s="324">
        <f t="shared" si="3"/>
        <v>0</v>
      </c>
      <c r="DK27" s="325"/>
      <c r="DL27" s="325"/>
    </row>
    <row r="28" spans="1:116" s="275" customFormat="1" ht="20.100000000000001" customHeight="1" x14ac:dyDescent="0.6">
      <c r="A28" s="234">
        <v>25</v>
      </c>
      <c r="B28" s="103">
        <v>494</v>
      </c>
      <c r="C28" s="103">
        <v>494</v>
      </c>
      <c r="D28" s="103" t="s">
        <v>123</v>
      </c>
      <c r="E28" s="148" t="s">
        <v>438</v>
      </c>
      <c r="F28" s="179" t="s">
        <v>431</v>
      </c>
      <c r="G28" s="322"/>
      <c r="H28" s="323"/>
      <c r="I28" s="322" t="s">
        <v>970</v>
      </c>
      <c r="J28" s="322" t="s">
        <v>959</v>
      </c>
      <c r="K28" s="241"/>
      <c r="L28" s="24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2">
        <f t="shared" si="4"/>
        <v>0</v>
      </c>
      <c r="AR28" s="272">
        <f t="shared" si="4"/>
        <v>0</v>
      </c>
      <c r="AS28" s="272">
        <f t="shared" si="4"/>
        <v>0</v>
      </c>
      <c r="AT28" s="273"/>
      <c r="AU28" s="273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>
        <v>5</v>
      </c>
      <c r="BG28" s="273">
        <v>122</v>
      </c>
      <c r="BH28" s="273">
        <v>54.88</v>
      </c>
      <c r="BI28" s="273"/>
      <c r="BJ28" s="273"/>
      <c r="BK28" s="273"/>
      <c r="BL28" s="273"/>
      <c r="BM28" s="273"/>
      <c r="BN28" s="273"/>
      <c r="BO28" s="273"/>
      <c r="BP28" s="273"/>
      <c r="BQ28" s="273"/>
      <c r="BR28" s="273"/>
      <c r="BS28" s="273"/>
      <c r="BT28" s="273"/>
      <c r="BU28" s="273"/>
      <c r="BV28" s="273"/>
      <c r="BW28" s="273"/>
      <c r="BX28" s="272">
        <f t="shared" si="1"/>
        <v>5</v>
      </c>
      <c r="BY28" s="272">
        <f t="shared" si="1"/>
        <v>122</v>
      </c>
      <c r="BZ28" s="272">
        <f t="shared" si="2"/>
        <v>54.88</v>
      </c>
      <c r="CA28" s="273"/>
      <c r="CB28" s="273"/>
      <c r="CC28" s="273"/>
      <c r="CD28" s="273"/>
      <c r="CE28" s="273"/>
      <c r="CF28" s="273"/>
      <c r="CG28" s="273"/>
      <c r="CH28" s="273"/>
      <c r="CI28" s="273"/>
      <c r="CJ28" s="273"/>
      <c r="CK28" s="273"/>
      <c r="CL28" s="273"/>
      <c r="CM28" s="273"/>
      <c r="CN28" s="273"/>
      <c r="CO28" s="273"/>
      <c r="CP28" s="273"/>
      <c r="CQ28" s="273"/>
      <c r="CR28" s="273"/>
      <c r="CS28" s="273"/>
      <c r="CT28" s="273"/>
      <c r="CU28" s="273"/>
      <c r="CV28" s="273"/>
      <c r="CW28" s="273"/>
      <c r="CX28" s="273"/>
      <c r="CY28" s="273"/>
      <c r="CZ28" s="273"/>
      <c r="DA28" s="273"/>
      <c r="DB28" s="273"/>
      <c r="DC28" s="273"/>
      <c r="DD28" s="273"/>
      <c r="DE28" s="273"/>
      <c r="DF28" s="271"/>
      <c r="DG28" s="271"/>
      <c r="DH28" s="272">
        <f t="shared" si="3"/>
        <v>5</v>
      </c>
      <c r="DI28" s="272">
        <f t="shared" si="3"/>
        <v>122</v>
      </c>
      <c r="DJ28" s="324">
        <f t="shared" si="3"/>
        <v>54.88</v>
      </c>
      <c r="DK28" s="325"/>
      <c r="DL28" s="325"/>
    </row>
    <row r="29" spans="1:116" s="275" customFormat="1" ht="20.100000000000001" customHeight="1" x14ac:dyDescent="0.6">
      <c r="A29" s="234">
        <v>26</v>
      </c>
      <c r="B29" s="103" t="s">
        <v>451</v>
      </c>
      <c r="C29" s="103" t="s">
        <v>451</v>
      </c>
      <c r="D29" s="103" t="s">
        <v>108</v>
      </c>
      <c r="E29" s="148" t="s">
        <v>109</v>
      </c>
      <c r="F29" s="179" t="s">
        <v>431</v>
      </c>
      <c r="G29" s="322"/>
      <c r="H29" s="323"/>
      <c r="I29" s="322" t="s">
        <v>971</v>
      </c>
      <c r="J29" s="322" t="s">
        <v>959</v>
      </c>
      <c r="K29" s="241"/>
      <c r="L29" s="241"/>
      <c r="M29" s="271"/>
      <c r="N29" s="271"/>
      <c r="O29" s="271"/>
      <c r="P29" s="271"/>
      <c r="Q29" s="271"/>
      <c r="R29" s="271"/>
      <c r="S29" s="271">
        <v>30</v>
      </c>
      <c r="T29" s="271">
        <v>780</v>
      </c>
      <c r="U29" s="271">
        <v>390</v>
      </c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2">
        <f t="shared" si="4"/>
        <v>30</v>
      </c>
      <c r="AR29" s="272">
        <f t="shared" si="4"/>
        <v>780</v>
      </c>
      <c r="AS29" s="272">
        <f t="shared" si="4"/>
        <v>390</v>
      </c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3"/>
      <c r="BL29" s="273">
        <v>15</v>
      </c>
      <c r="BM29" s="273">
        <v>180</v>
      </c>
      <c r="BN29" s="273">
        <v>180</v>
      </c>
      <c r="BO29" s="273"/>
      <c r="BP29" s="273"/>
      <c r="BQ29" s="273"/>
      <c r="BR29" s="273"/>
      <c r="BS29" s="273"/>
      <c r="BT29" s="273"/>
      <c r="BU29" s="273"/>
      <c r="BV29" s="273"/>
      <c r="BW29" s="273"/>
      <c r="BX29" s="272">
        <f t="shared" si="1"/>
        <v>45</v>
      </c>
      <c r="BY29" s="272">
        <f t="shared" si="1"/>
        <v>960</v>
      </c>
      <c r="BZ29" s="272">
        <f t="shared" si="2"/>
        <v>570</v>
      </c>
      <c r="CA29" s="273"/>
      <c r="CB29" s="273"/>
      <c r="CC29" s="273"/>
      <c r="CD29" s="273"/>
      <c r="CE29" s="273"/>
      <c r="CF29" s="273"/>
      <c r="CG29" s="273"/>
      <c r="CH29" s="273"/>
      <c r="CI29" s="273"/>
      <c r="CJ29" s="273"/>
      <c r="CK29" s="273"/>
      <c r="CL29" s="273"/>
      <c r="CM29" s="273"/>
      <c r="CN29" s="273"/>
      <c r="CO29" s="273"/>
      <c r="CP29" s="273"/>
      <c r="CQ29" s="273"/>
      <c r="CR29" s="273"/>
      <c r="CS29" s="273"/>
      <c r="CT29" s="273"/>
      <c r="CU29" s="273"/>
      <c r="CV29" s="273"/>
      <c r="CW29" s="273"/>
      <c r="CX29" s="273"/>
      <c r="CY29" s="273"/>
      <c r="CZ29" s="273"/>
      <c r="DA29" s="273"/>
      <c r="DB29" s="273"/>
      <c r="DC29" s="273"/>
      <c r="DD29" s="273"/>
      <c r="DE29" s="273"/>
      <c r="DF29" s="271"/>
      <c r="DG29" s="271"/>
      <c r="DH29" s="272">
        <f t="shared" si="3"/>
        <v>45</v>
      </c>
      <c r="DI29" s="272">
        <f t="shared" si="3"/>
        <v>960</v>
      </c>
      <c r="DJ29" s="324">
        <f t="shared" si="3"/>
        <v>570</v>
      </c>
      <c r="DK29" s="325"/>
      <c r="DL29" s="325"/>
    </row>
    <row r="30" spans="1:116" s="275" customFormat="1" ht="20.100000000000001" customHeight="1" x14ac:dyDescent="0.6">
      <c r="A30" s="234">
        <v>27</v>
      </c>
      <c r="B30" s="103" t="s">
        <v>452</v>
      </c>
      <c r="C30" s="103" t="s">
        <v>452</v>
      </c>
      <c r="D30" s="103" t="s">
        <v>123</v>
      </c>
      <c r="E30" s="148" t="s">
        <v>438</v>
      </c>
      <c r="F30" s="179" t="s">
        <v>431</v>
      </c>
      <c r="G30" s="322"/>
      <c r="H30" s="323"/>
      <c r="I30" s="322" t="s">
        <v>972</v>
      </c>
      <c r="J30" s="322" t="s">
        <v>959</v>
      </c>
      <c r="K30" s="241"/>
      <c r="L30" s="24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>
        <v>15</v>
      </c>
      <c r="AC30" s="271">
        <v>600</v>
      </c>
      <c r="AD30" s="271">
        <v>210</v>
      </c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2">
        <f t="shared" si="4"/>
        <v>15</v>
      </c>
      <c r="AR30" s="272">
        <f t="shared" si="4"/>
        <v>600</v>
      </c>
      <c r="AS30" s="272">
        <f t="shared" si="4"/>
        <v>210</v>
      </c>
      <c r="AT30" s="273"/>
      <c r="AU30" s="273"/>
      <c r="AV30" s="273"/>
      <c r="AW30" s="273"/>
      <c r="AX30" s="273"/>
      <c r="AY30" s="273"/>
      <c r="AZ30" s="273"/>
      <c r="BA30" s="273"/>
      <c r="BB30" s="273"/>
      <c r="BC30" s="273"/>
      <c r="BD30" s="273"/>
      <c r="BE30" s="273"/>
      <c r="BF30" s="273">
        <v>15</v>
      </c>
      <c r="BG30" s="273">
        <v>180</v>
      </c>
      <c r="BH30" s="273">
        <v>180</v>
      </c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2">
        <f t="shared" si="1"/>
        <v>30</v>
      </c>
      <c r="BY30" s="272">
        <f t="shared" si="1"/>
        <v>780</v>
      </c>
      <c r="BZ30" s="272">
        <f t="shared" si="2"/>
        <v>390</v>
      </c>
      <c r="CA30" s="273"/>
      <c r="CB30" s="273"/>
      <c r="CC30" s="273"/>
      <c r="CD30" s="273"/>
      <c r="CE30" s="273"/>
      <c r="CF30" s="273"/>
      <c r="CG30" s="273"/>
      <c r="CH30" s="273"/>
      <c r="CI30" s="273"/>
      <c r="CJ30" s="273"/>
      <c r="CK30" s="273"/>
      <c r="CL30" s="273"/>
      <c r="CM30" s="273"/>
      <c r="CN30" s="273"/>
      <c r="CO30" s="273"/>
      <c r="CP30" s="273"/>
      <c r="CQ30" s="273"/>
      <c r="CR30" s="273"/>
      <c r="CS30" s="273"/>
      <c r="CT30" s="273"/>
      <c r="CU30" s="273"/>
      <c r="CV30" s="273"/>
      <c r="CW30" s="273"/>
      <c r="CX30" s="273"/>
      <c r="CY30" s="273"/>
      <c r="CZ30" s="273"/>
      <c r="DA30" s="273"/>
      <c r="DB30" s="273"/>
      <c r="DC30" s="273"/>
      <c r="DD30" s="273"/>
      <c r="DE30" s="273"/>
      <c r="DF30" s="271"/>
      <c r="DG30" s="271"/>
      <c r="DH30" s="272">
        <f t="shared" si="3"/>
        <v>30</v>
      </c>
      <c r="DI30" s="272">
        <f t="shared" si="3"/>
        <v>780</v>
      </c>
      <c r="DJ30" s="324">
        <f t="shared" si="3"/>
        <v>390</v>
      </c>
      <c r="DK30" s="325"/>
      <c r="DL30" s="325"/>
    </row>
    <row r="31" spans="1:116" s="275" customFormat="1" ht="20.100000000000001" customHeight="1" x14ac:dyDescent="0.6">
      <c r="A31" s="234">
        <v>28</v>
      </c>
      <c r="B31" s="103" t="s">
        <v>453</v>
      </c>
      <c r="C31" s="103" t="s">
        <v>454</v>
      </c>
      <c r="D31" s="103" t="s">
        <v>430</v>
      </c>
      <c r="E31" s="148" t="s">
        <v>120</v>
      </c>
      <c r="F31" s="179" t="s">
        <v>431</v>
      </c>
      <c r="G31" s="322"/>
      <c r="H31" s="323"/>
      <c r="I31" s="322"/>
      <c r="J31" s="322" t="s">
        <v>959</v>
      </c>
      <c r="K31" s="241"/>
      <c r="L31" s="24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>
        <v>180</v>
      </c>
      <c r="Z31" s="271">
        <v>2540</v>
      </c>
      <c r="AA31" s="271">
        <v>1932</v>
      </c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2">
        <f t="shared" si="4"/>
        <v>180</v>
      </c>
      <c r="AR31" s="272">
        <f t="shared" si="4"/>
        <v>2540</v>
      </c>
      <c r="AS31" s="272">
        <f t="shared" si="4"/>
        <v>1932</v>
      </c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3"/>
      <c r="BK31" s="273"/>
      <c r="BL31" s="273"/>
      <c r="BM31" s="273"/>
      <c r="BN31" s="273"/>
      <c r="BO31" s="273"/>
      <c r="BP31" s="273"/>
      <c r="BQ31" s="273"/>
      <c r="BR31" s="273"/>
      <c r="BS31" s="273"/>
      <c r="BT31" s="273"/>
      <c r="BU31" s="273"/>
      <c r="BV31" s="273"/>
      <c r="BW31" s="273"/>
      <c r="BX31" s="272">
        <f t="shared" si="1"/>
        <v>180</v>
      </c>
      <c r="BY31" s="272">
        <f t="shared" si="1"/>
        <v>2540</v>
      </c>
      <c r="BZ31" s="272">
        <f t="shared" si="2"/>
        <v>1932</v>
      </c>
      <c r="CA31" s="273">
        <v>50</v>
      </c>
      <c r="CB31" s="273">
        <v>880</v>
      </c>
      <c r="CC31" s="273">
        <v>620</v>
      </c>
      <c r="CD31" s="273"/>
      <c r="CE31" s="273"/>
      <c r="CF31" s="273"/>
      <c r="CG31" s="273"/>
      <c r="CH31" s="273"/>
      <c r="CI31" s="273"/>
      <c r="CJ31" s="273"/>
      <c r="CK31" s="273"/>
      <c r="CL31" s="273"/>
      <c r="CM31" s="273"/>
      <c r="CN31" s="273"/>
      <c r="CO31" s="273"/>
      <c r="CP31" s="273"/>
      <c r="CQ31" s="273"/>
      <c r="CR31" s="273"/>
      <c r="CS31" s="273">
        <v>130</v>
      </c>
      <c r="CT31" s="273">
        <v>2040</v>
      </c>
      <c r="CU31" s="273">
        <v>1180</v>
      </c>
      <c r="CV31" s="273"/>
      <c r="CW31" s="273"/>
      <c r="CX31" s="273"/>
      <c r="CY31" s="273"/>
      <c r="CZ31" s="273"/>
      <c r="DA31" s="273"/>
      <c r="DB31" s="273"/>
      <c r="DC31" s="273"/>
      <c r="DD31" s="273"/>
      <c r="DE31" s="273"/>
      <c r="DF31" s="271"/>
      <c r="DG31" s="271"/>
      <c r="DH31" s="272">
        <f t="shared" si="3"/>
        <v>360</v>
      </c>
      <c r="DI31" s="272">
        <f t="shared" si="3"/>
        <v>5460</v>
      </c>
      <c r="DJ31" s="324">
        <f t="shared" si="3"/>
        <v>3732</v>
      </c>
      <c r="DK31" s="325"/>
      <c r="DL31" s="325"/>
    </row>
    <row r="32" spans="1:116" s="275" customFormat="1" ht="20.100000000000001" customHeight="1" x14ac:dyDescent="0.6">
      <c r="A32" s="234">
        <v>29</v>
      </c>
      <c r="B32" s="103" t="s">
        <v>455</v>
      </c>
      <c r="C32" s="103" t="s">
        <v>456</v>
      </c>
      <c r="D32" s="103" t="s">
        <v>430</v>
      </c>
      <c r="E32" s="148" t="s">
        <v>120</v>
      </c>
      <c r="F32" s="179" t="s">
        <v>431</v>
      </c>
      <c r="G32" s="322"/>
      <c r="H32" s="323"/>
      <c r="I32" s="322" t="s">
        <v>973</v>
      </c>
      <c r="J32" s="322" t="s">
        <v>974</v>
      </c>
      <c r="K32" s="241"/>
      <c r="L32" s="24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2">
        <f t="shared" si="4"/>
        <v>0</v>
      </c>
      <c r="AR32" s="272">
        <f t="shared" si="4"/>
        <v>0</v>
      </c>
      <c r="AS32" s="272">
        <f t="shared" si="4"/>
        <v>0</v>
      </c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3"/>
      <c r="BK32" s="273"/>
      <c r="BL32" s="273"/>
      <c r="BM32" s="273"/>
      <c r="BN32" s="273"/>
      <c r="BO32" s="273"/>
      <c r="BP32" s="273"/>
      <c r="BQ32" s="273"/>
      <c r="BR32" s="273"/>
      <c r="BS32" s="273"/>
      <c r="BT32" s="273"/>
      <c r="BU32" s="273"/>
      <c r="BV32" s="273"/>
      <c r="BW32" s="273"/>
      <c r="BX32" s="272">
        <f t="shared" si="1"/>
        <v>0</v>
      </c>
      <c r="BY32" s="272">
        <f t="shared" si="1"/>
        <v>0</v>
      </c>
      <c r="BZ32" s="272">
        <f t="shared" si="2"/>
        <v>0</v>
      </c>
      <c r="CA32" s="273"/>
      <c r="CB32" s="273"/>
      <c r="CC32" s="273"/>
      <c r="CD32" s="273"/>
      <c r="CE32" s="273"/>
      <c r="CF32" s="273"/>
      <c r="CG32" s="273"/>
      <c r="CH32" s="273"/>
      <c r="CI32" s="273"/>
      <c r="CJ32" s="273"/>
      <c r="CK32" s="273"/>
      <c r="CL32" s="273"/>
      <c r="CM32" s="273"/>
      <c r="CN32" s="273"/>
      <c r="CO32" s="273"/>
      <c r="CP32" s="273"/>
      <c r="CQ32" s="273"/>
      <c r="CR32" s="273"/>
      <c r="CS32" s="273"/>
      <c r="CT32" s="273"/>
      <c r="CU32" s="273"/>
      <c r="CV32" s="273"/>
      <c r="CW32" s="273"/>
      <c r="CX32" s="273"/>
      <c r="CY32" s="273"/>
      <c r="CZ32" s="273"/>
      <c r="DA32" s="273"/>
      <c r="DB32" s="273"/>
      <c r="DC32" s="273"/>
      <c r="DD32" s="273"/>
      <c r="DE32" s="273"/>
      <c r="DF32" s="271"/>
      <c r="DG32" s="271"/>
      <c r="DH32" s="272">
        <f t="shared" si="3"/>
        <v>0</v>
      </c>
      <c r="DI32" s="272">
        <f t="shared" si="3"/>
        <v>0</v>
      </c>
      <c r="DJ32" s="324">
        <f t="shared" si="3"/>
        <v>0</v>
      </c>
      <c r="DK32" s="325"/>
      <c r="DL32" s="325"/>
    </row>
    <row r="33" spans="1:116" s="275" customFormat="1" ht="20.100000000000001" customHeight="1" x14ac:dyDescent="0.6">
      <c r="A33" s="234">
        <v>30</v>
      </c>
      <c r="B33" s="103" t="s">
        <v>457</v>
      </c>
      <c r="C33" s="103" t="s">
        <v>458</v>
      </c>
      <c r="D33" s="103" t="s">
        <v>123</v>
      </c>
      <c r="E33" s="148" t="s">
        <v>438</v>
      </c>
      <c r="F33" s="179" t="s">
        <v>431</v>
      </c>
      <c r="G33" s="322"/>
      <c r="H33" s="323"/>
      <c r="I33" s="322" t="s">
        <v>975</v>
      </c>
      <c r="J33" s="322" t="s">
        <v>974</v>
      </c>
      <c r="K33" s="241"/>
      <c r="L33" s="24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>
        <v>50</v>
      </c>
      <c r="Z33" s="271">
        <v>700</v>
      </c>
      <c r="AA33" s="271">
        <v>448</v>
      </c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2">
        <f t="shared" si="4"/>
        <v>50</v>
      </c>
      <c r="AR33" s="272">
        <f t="shared" si="4"/>
        <v>700</v>
      </c>
      <c r="AS33" s="272">
        <f t="shared" si="4"/>
        <v>448</v>
      </c>
      <c r="AT33" s="273"/>
      <c r="AU33" s="273"/>
      <c r="AV33" s="273"/>
      <c r="AW33" s="273"/>
      <c r="AX33" s="273"/>
      <c r="AY33" s="273"/>
      <c r="AZ33" s="273"/>
      <c r="BA33" s="273"/>
      <c r="BB33" s="273"/>
      <c r="BC33" s="273"/>
      <c r="BD33" s="273"/>
      <c r="BE33" s="273"/>
      <c r="BF33" s="273"/>
      <c r="BG33" s="273"/>
      <c r="BH33" s="273"/>
      <c r="BI33" s="273"/>
      <c r="BJ33" s="273"/>
      <c r="BK33" s="273"/>
      <c r="BL33" s="273"/>
      <c r="BM33" s="273"/>
      <c r="BN33" s="273"/>
      <c r="BO33" s="273"/>
      <c r="BP33" s="273"/>
      <c r="BQ33" s="273"/>
      <c r="BR33" s="273"/>
      <c r="BS33" s="273"/>
      <c r="BT33" s="273"/>
      <c r="BU33" s="273"/>
      <c r="BV33" s="273"/>
      <c r="BW33" s="273"/>
      <c r="BX33" s="272">
        <f t="shared" si="1"/>
        <v>50</v>
      </c>
      <c r="BY33" s="272">
        <f t="shared" si="1"/>
        <v>700</v>
      </c>
      <c r="BZ33" s="272">
        <f t="shared" si="2"/>
        <v>448</v>
      </c>
      <c r="CA33" s="273"/>
      <c r="CB33" s="273"/>
      <c r="CC33" s="273"/>
      <c r="CD33" s="273"/>
      <c r="CE33" s="273"/>
      <c r="CF33" s="273"/>
      <c r="CG33" s="273"/>
      <c r="CH33" s="273"/>
      <c r="CI33" s="273"/>
      <c r="CJ33" s="273"/>
      <c r="CK33" s="273"/>
      <c r="CL33" s="273"/>
      <c r="CM33" s="273"/>
      <c r="CN33" s="273"/>
      <c r="CO33" s="273"/>
      <c r="CP33" s="273"/>
      <c r="CQ33" s="273"/>
      <c r="CR33" s="273"/>
      <c r="CS33" s="273"/>
      <c r="CT33" s="273"/>
      <c r="CU33" s="273"/>
      <c r="CV33" s="273"/>
      <c r="CW33" s="273"/>
      <c r="CX33" s="273"/>
      <c r="CY33" s="273"/>
      <c r="CZ33" s="273"/>
      <c r="DA33" s="273"/>
      <c r="DB33" s="273"/>
      <c r="DC33" s="273"/>
      <c r="DD33" s="273"/>
      <c r="DE33" s="273"/>
      <c r="DF33" s="271"/>
      <c r="DG33" s="271"/>
      <c r="DH33" s="272">
        <f t="shared" si="3"/>
        <v>50</v>
      </c>
      <c r="DI33" s="272">
        <f t="shared" si="3"/>
        <v>700</v>
      </c>
      <c r="DJ33" s="324">
        <f t="shared" si="3"/>
        <v>448</v>
      </c>
      <c r="DK33" s="325"/>
      <c r="DL33" s="325"/>
    </row>
    <row r="34" spans="1:116" s="275" customFormat="1" ht="20.100000000000001" customHeight="1" x14ac:dyDescent="0.6">
      <c r="A34" s="234">
        <v>31</v>
      </c>
      <c r="B34" s="103" t="s">
        <v>459</v>
      </c>
      <c r="C34" s="103" t="s">
        <v>73</v>
      </c>
      <c r="D34" s="103" t="s">
        <v>430</v>
      </c>
      <c r="E34" s="148" t="s">
        <v>120</v>
      </c>
      <c r="F34" s="179" t="s">
        <v>431</v>
      </c>
      <c r="G34" s="322"/>
      <c r="H34" s="323"/>
      <c r="I34" s="322" t="s">
        <v>976</v>
      </c>
      <c r="J34" s="322" t="s">
        <v>974</v>
      </c>
      <c r="K34" s="241"/>
      <c r="L34" s="24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>
        <v>30</v>
      </c>
      <c r="AI34" s="271">
        <v>464</v>
      </c>
      <c r="AJ34" s="271">
        <v>302</v>
      </c>
      <c r="AK34" s="271"/>
      <c r="AL34" s="271"/>
      <c r="AM34" s="271"/>
      <c r="AN34" s="271"/>
      <c r="AO34" s="271"/>
      <c r="AP34" s="271"/>
      <c r="AQ34" s="272">
        <f t="shared" si="4"/>
        <v>30</v>
      </c>
      <c r="AR34" s="272">
        <f t="shared" si="4"/>
        <v>464</v>
      </c>
      <c r="AS34" s="272">
        <f t="shared" si="4"/>
        <v>302</v>
      </c>
      <c r="AT34" s="273"/>
      <c r="AU34" s="273"/>
      <c r="AV34" s="273"/>
      <c r="AW34" s="273"/>
      <c r="AX34" s="273"/>
      <c r="AY34" s="273"/>
      <c r="AZ34" s="273"/>
      <c r="BA34" s="273"/>
      <c r="BB34" s="273"/>
      <c r="BC34" s="273"/>
      <c r="BD34" s="273"/>
      <c r="BE34" s="273"/>
      <c r="BF34" s="273"/>
      <c r="BG34" s="273"/>
      <c r="BH34" s="273"/>
      <c r="BI34" s="273"/>
      <c r="BJ34" s="273"/>
      <c r="BK34" s="273"/>
      <c r="BL34" s="273"/>
      <c r="BM34" s="273"/>
      <c r="BN34" s="273"/>
      <c r="BO34" s="273"/>
      <c r="BP34" s="273"/>
      <c r="BQ34" s="273"/>
      <c r="BR34" s="273"/>
      <c r="BS34" s="273"/>
      <c r="BT34" s="273"/>
      <c r="BU34" s="273"/>
      <c r="BV34" s="273"/>
      <c r="BW34" s="273"/>
      <c r="BX34" s="272">
        <f t="shared" si="1"/>
        <v>30</v>
      </c>
      <c r="BY34" s="272">
        <f t="shared" si="1"/>
        <v>464</v>
      </c>
      <c r="BZ34" s="272">
        <f t="shared" si="2"/>
        <v>302</v>
      </c>
      <c r="CA34" s="273"/>
      <c r="CB34" s="273"/>
      <c r="CC34" s="273"/>
      <c r="CD34" s="273"/>
      <c r="CE34" s="273"/>
      <c r="CF34" s="273"/>
      <c r="CG34" s="273"/>
      <c r="CH34" s="273"/>
      <c r="CI34" s="273"/>
      <c r="CJ34" s="273"/>
      <c r="CK34" s="273"/>
      <c r="CL34" s="273"/>
      <c r="CM34" s="273"/>
      <c r="CN34" s="273"/>
      <c r="CO34" s="273"/>
      <c r="CP34" s="273"/>
      <c r="CQ34" s="273"/>
      <c r="CR34" s="273"/>
      <c r="CS34" s="273"/>
      <c r="CT34" s="273"/>
      <c r="CU34" s="273"/>
      <c r="CV34" s="273"/>
      <c r="CW34" s="273"/>
      <c r="CX34" s="273"/>
      <c r="CY34" s="273"/>
      <c r="CZ34" s="273"/>
      <c r="DA34" s="273"/>
      <c r="DB34" s="273"/>
      <c r="DC34" s="273"/>
      <c r="DD34" s="273"/>
      <c r="DE34" s="273"/>
      <c r="DF34" s="271"/>
      <c r="DG34" s="271"/>
      <c r="DH34" s="272">
        <f t="shared" si="3"/>
        <v>30</v>
      </c>
      <c r="DI34" s="272">
        <f t="shared" si="3"/>
        <v>464</v>
      </c>
      <c r="DJ34" s="324">
        <f t="shared" si="3"/>
        <v>302</v>
      </c>
      <c r="DK34" s="325"/>
      <c r="DL34" s="325"/>
    </row>
    <row r="35" spans="1:116" s="275" customFormat="1" ht="20.100000000000001" customHeight="1" x14ac:dyDescent="0.6">
      <c r="A35" s="234">
        <v>32</v>
      </c>
      <c r="B35" s="103" t="s">
        <v>460</v>
      </c>
      <c r="C35" s="103" t="s">
        <v>461</v>
      </c>
      <c r="D35" s="103" t="s">
        <v>304</v>
      </c>
      <c r="E35" s="148" t="s">
        <v>305</v>
      </c>
      <c r="F35" s="179" t="s">
        <v>462</v>
      </c>
      <c r="G35" s="322"/>
      <c r="H35" s="323"/>
      <c r="I35" s="322" t="s">
        <v>977</v>
      </c>
      <c r="J35" s="322" t="s">
        <v>974</v>
      </c>
      <c r="K35" s="241"/>
      <c r="L35" s="241"/>
      <c r="M35" s="271"/>
      <c r="N35" s="271"/>
      <c r="O35" s="271"/>
      <c r="P35" s="271"/>
      <c r="Q35" s="271"/>
      <c r="R35" s="271"/>
      <c r="S35" s="271">
        <v>2</v>
      </c>
      <c r="T35" s="271">
        <v>52</v>
      </c>
      <c r="U35" s="271">
        <v>22.16</v>
      </c>
      <c r="V35" s="271"/>
      <c r="W35" s="271"/>
      <c r="X35" s="271"/>
      <c r="Y35" s="271"/>
      <c r="Z35" s="271"/>
      <c r="AA35" s="271"/>
      <c r="AB35" s="271">
        <v>5</v>
      </c>
      <c r="AC35" s="271">
        <v>60</v>
      </c>
      <c r="AD35" s="271">
        <v>60</v>
      </c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2">
        <f t="shared" si="4"/>
        <v>7</v>
      </c>
      <c r="AR35" s="272">
        <f t="shared" si="4"/>
        <v>112</v>
      </c>
      <c r="AS35" s="272">
        <f t="shared" si="4"/>
        <v>82.16</v>
      </c>
      <c r="AT35" s="273"/>
      <c r="AU35" s="273"/>
      <c r="AV35" s="273"/>
      <c r="AW35" s="273"/>
      <c r="AX35" s="273"/>
      <c r="AY35" s="273"/>
      <c r="AZ35" s="273"/>
      <c r="BA35" s="273"/>
      <c r="BB35" s="273"/>
      <c r="BC35" s="273"/>
      <c r="BD35" s="273"/>
      <c r="BE35" s="273"/>
      <c r="BF35" s="273"/>
      <c r="BG35" s="273"/>
      <c r="BH35" s="273"/>
      <c r="BI35" s="273"/>
      <c r="BJ35" s="273"/>
      <c r="BK35" s="273"/>
      <c r="BL35" s="273"/>
      <c r="BM35" s="273"/>
      <c r="BN35" s="273"/>
      <c r="BO35" s="273"/>
      <c r="BP35" s="273"/>
      <c r="BQ35" s="273"/>
      <c r="BR35" s="273"/>
      <c r="BS35" s="273"/>
      <c r="BT35" s="273"/>
      <c r="BU35" s="273"/>
      <c r="BV35" s="273"/>
      <c r="BW35" s="273"/>
      <c r="BX35" s="272">
        <f t="shared" si="1"/>
        <v>7</v>
      </c>
      <c r="BY35" s="272">
        <f t="shared" si="1"/>
        <v>112</v>
      </c>
      <c r="BZ35" s="272">
        <f t="shared" si="2"/>
        <v>82.16</v>
      </c>
      <c r="CA35" s="273"/>
      <c r="CB35" s="273"/>
      <c r="CC35" s="273"/>
      <c r="CD35" s="273"/>
      <c r="CE35" s="273"/>
      <c r="CF35" s="273"/>
      <c r="CG35" s="273"/>
      <c r="CH35" s="273"/>
      <c r="CI35" s="273"/>
      <c r="CJ35" s="273"/>
      <c r="CK35" s="273"/>
      <c r="CL35" s="273"/>
      <c r="CM35" s="273"/>
      <c r="CN35" s="273"/>
      <c r="CO35" s="273"/>
      <c r="CP35" s="273">
        <v>30</v>
      </c>
      <c r="CQ35" s="273">
        <v>360</v>
      </c>
      <c r="CR35" s="273">
        <v>360</v>
      </c>
      <c r="CS35" s="273"/>
      <c r="CT35" s="273"/>
      <c r="CU35" s="273"/>
      <c r="CV35" s="273"/>
      <c r="CW35" s="273"/>
      <c r="CX35" s="273"/>
      <c r="CY35" s="273"/>
      <c r="CZ35" s="273"/>
      <c r="DA35" s="273"/>
      <c r="DB35" s="273"/>
      <c r="DC35" s="273"/>
      <c r="DD35" s="273"/>
      <c r="DE35" s="273"/>
      <c r="DF35" s="271"/>
      <c r="DG35" s="271"/>
      <c r="DH35" s="272">
        <f t="shared" si="3"/>
        <v>37</v>
      </c>
      <c r="DI35" s="272">
        <f t="shared" si="3"/>
        <v>472</v>
      </c>
      <c r="DJ35" s="324">
        <f t="shared" si="3"/>
        <v>442.15999999999997</v>
      </c>
      <c r="DK35" s="325"/>
      <c r="DL35" s="325"/>
    </row>
    <row r="36" spans="1:116" s="275" customFormat="1" ht="20.100000000000001" customHeight="1" x14ac:dyDescent="0.6">
      <c r="A36" s="234">
        <v>33</v>
      </c>
      <c r="B36" s="103" t="s">
        <v>463</v>
      </c>
      <c r="C36" s="103" t="s">
        <v>464</v>
      </c>
      <c r="D36" s="103" t="s">
        <v>304</v>
      </c>
      <c r="E36" s="148" t="s">
        <v>305</v>
      </c>
      <c r="F36" s="179" t="s">
        <v>462</v>
      </c>
      <c r="G36" s="322"/>
      <c r="H36" s="323"/>
      <c r="I36" s="322" t="s">
        <v>978</v>
      </c>
      <c r="J36" s="322" t="s">
        <v>974</v>
      </c>
      <c r="K36" s="241"/>
      <c r="L36" s="24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2">
        <f t="shared" si="4"/>
        <v>0</v>
      </c>
      <c r="AR36" s="272">
        <f t="shared" si="4"/>
        <v>0</v>
      </c>
      <c r="AS36" s="272">
        <f t="shared" si="4"/>
        <v>0</v>
      </c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3"/>
      <c r="BL36" s="273">
        <v>15</v>
      </c>
      <c r="BM36" s="273">
        <v>180</v>
      </c>
      <c r="BN36" s="273">
        <v>180</v>
      </c>
      <c r="BO36" s="273"/>
      <c r="BP36" s="273"/>
      <c r="BQ36" s="273"/>
      <c r="BR36" s="273"/>
      <c r="BS36" s="273"/>
      <c r="BT36" s="273"/>
      <c r="BU36" s="273"/>
      <c r="BV36" s="273"/>
      <c r="BW36" s="273"/>
      <c r="BX36" s="272">
        <f t="shared" si="1"/>
        <v>15</v>
      </c>
      <c r="BY36" s="272">
        <f t="shared" si="1"/>
        <v>180</v>
      </c>
      <c r="BZ36" s="272">
        <f t="shared" si="2"/>
        <v>180</v>
      </c>
      <c r="CA36" s="273"/>
      <c r="CB36" s="273"/>
      <c r="CC36" s="273"/>
      <c r="CD36" s="273"/>
      <c r="CE36" s="273"/>
      <c r="CF36" s="273"/>
      <c r="CG36" s="273"/>
      <c r="CH36" s="273"/>
      <c r="CI36" s="273"/>
      <c r="CJ36" s="273"/>
      <c r="CK36" s="273"/>
      <c r="CL36" s="273"/>
      <c r="CM36" s="273"/>
      <c r="CN36" s="273"/>
      <c r="CO36" s="273"/>
      <c r="CP36" s="273"/>
      <c r="CQ36" s="273"/>
      <c r="CR36" s="273"/>
      <c r="CS36" s="273"/>
      <c r="CT36" s="273"/>
      <c r="CU36" s="273"/>
      <c r="CV36" s="273"/>
      <c r="CW36" s="273"/>
      <c r="CX36" s="273"/>
      <c r="CY36" s="273">
        <v>15</v>
      </c>
      <c r="CZ36" s="273">
        <v>600</v>
      </c>
      <c r="DA36" s="273">
        <v>210</v>
      </c>
      <c r="DB36" s="273">
        <v>5</v>
      </c>
      <c r="DC36" s="273">
        <v>60</v>
      </c>
      <c r="DD36" s="273">
        <v>60</v>
      </c>
      <c r="DE36" s="273"/>
      <c r="DF36" s="271"/>
      <c r="DG36" s="271"/>
      <c r="DH36" s="272">
        <f t="shared" si="3"/>
        <v>35</v>
      </c>
      <c r="DI36" s="272">
        <f t="shared" si="3"/>
        <v>840</v>
      </c>
      <c r="DJ36" s="324">
        <f t="shared" si="3"/>
        <v>450</v>
      </c>
      <c r="DK36" s="325"/>
      <c r="DL36" s="325"/>
    </row>
    <row r="37" spans="1:116" s="275" customFormat="1" ht="20.100000000000001" customHeight="1" x14ac:dyDescent="0.6">
      <c r="A37" s="234">
        <v>34</v>
      </c>
      <c r="B37" s="103" t="s">
        <v>465</v>
      </c>
      <c r="C37" s="103" t="s">
        <v>465</v>
      </c>
      <c r="D37" s="103" t="s">
        <v>304</v>
      </c>
      <c r="E37" s="148" t="s">
        <v>305</v>
      </c>
      <c r="F37" s="179" t="s">
        <v>462</v>
      </c>
      <c r="G37" s="322"/>
      <c r="H37" s="323"/>
      <c r="I37" s="322" t="s">
        <v>956</v>
      </c>
      <c r="J37" s="322" t="s">
        <v>974</v>
      </c>
      <c r="K37" s="241"/>
      <c r="L37" s="24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>
        <v>15</v>
      </c>
      <c r="AC37" s="271">
        <v>180</v>
      </c>
      <c r="AD37" s="271">
        <v>180</v>
      </c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2">
        <f t="shared" si="4"/>
        <v>15</v>
      </c>
      <c r="AR37" s="272">
        <f t="shared" si="4"/>
        <v>180</v>
      </c>
      <c r="AS37" s="272">
        <f t="shared" si="4"/>
        <v>180</v>
      </c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2">
        <f t="shared" si="1"/>
        <v>15</v>
      </c>
      <c r="BY37" s="272">
        <f t="shared" si="1"/>
        <v>180</v>
      </c>
      <c r="BZ37" s="272">
        <f t="shared" si="2"/>
        <v>180</v>
      </c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/>
      <c r="CN37" s="273"/>
      <c r="CO37" s="273"/>
      <c r="CP37" s="273">
        <v>15</v>
      </c>
      <c r="CQ37" s="273">
        <v>180</v>
      </c>
      <c r="CR37" s="273">
        <v>180</v>
      </c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1"/>
      <c r="DG37" s="271"/>
      <c r="DH37" s="272">
        <f t="shared" si="3"/>
        <v>30</v>
      </c>
      <c r="DI37" s="272">
        <f t="shared" si="3"/>
        <v>360</v>
      </c>
      <c r="DJ37" s="324">
        <f t="shared" si="3"/>
        <v>360</v>
      </c>
      <c r="DK37" s="325"/>
      <c r="DL37" s="325"/>
    </row>
    <row r="38" spans="1:116" s="275" customFormat="1" ht="20.100000000000001" customHeight="1" x14ac:dyDescent="0.6">
      <c r="A38" s="234">
        <v>35</v>
      </c>
      <c r="B38" s="103" t="s">
        <v>466</v>
      </c>
      <c r="C38" s="103" t="s">
        <v>467</v>
      </c>
      <c r="D38" s="103" t="s">
        <v>304</v>
      </c>
      <c r="E38" s="148" t="s">
        <v>305</v>
      </c>
      <c r="F38" s="179" t="s">
        <v>462</v>
      </c>
      <c r="G38" s="322"/>
      <c r="H38" s="323"/>
      <c r="I38" s="322" t="s">
        <v>979</v>
      </c>
      <c r="J38" s="322" t="s">
        <v>974</v>
      </c>
      <c r="K38" s="241"/>
      <c r="L38" s="24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>
        <v>24</v>
      </c>
      <c r="Z38" s="271">
        <v>344</v>
      </c>
      <c r="AA38" s="271">
        <v>282.39999999999998</v>
      </c>
      <c r="AB38" s="271"/>
      <c r="AC38" s="271"/>
      <c r="AD38" s="271"/>
      <c r="AE38" s="271"/>
      <c r="AF38" s="271"/>
      <c r="AG38" s="271"/>
      <c r="AH38" s="271"/>
      <c r="AI38" s="271"/>
      <c r="AJ38" s="271"/>
      <c r="AK38" s="271">
        <v>15</v>
      </c>
      <c r="AL38" s="271">
        <v>180</v>
      </c>
      <c r="AM38" s="271">
        <v>180</v>
      </c>
      <c r="AN38" s="271"/>
      <c r="AO38" s="271"/>
      <c r="AP38" s="271"/>
      <c r="AQ38" s="272">
        <f t="shared" si="4"/>
        <v>39</v>
      </c>
      <c r="AR38" s="272">
        <f t="shared" si="4"/>
        <v>524</v>
      </c>
      <c r="AS38" s="272">
        <f t="shared" si="4"/>
        <v>462.4</v>
      </c>
      <c r="AT38" s="273"/>
      <c r="AU38" s="273"/>
      <c r="AV38" s="273"/>
      <c r="AW38" s="273"/>
      <c r="AX38" s="273"/>
      <c r="AY38" s="273"/>
      <c r="AZ38" s="273"/>
      <c r="BA38" s="273"/>
      <c r="BB38" s="273"/>
      <c r="BC38" s="273"/>
      <c r="BD38" s="273"/>
      <c r="BE38" s="273"/>
      <c r="BF38" s="273"/>
      <c r="BG38" s="273"/>
      <c r="BH38" s="273"/>
      <c r="BI38" s="273"/>
      <c r="BJ38" s="273"/>
      <c r="BK38" s="273"/>
      <c r="BL38" s="273"/>
      <c r="BM38" s="273"/>
      <c r="BN38" s="273"/>
      <c r="BO38" s="273"/>
      <c r="BP38" s="273"/>
      <c r="BQ38" s="273"/>
      <c r="BR38" s="273"/>
      <c r="BS38" s="273"/>
      <c r="BT38" s="273"/>
      <c r="BU38" s="273"/>
      <c r="BV38" s="273"/>
      <c r="BW38" s="273"/>
      <c r="BX38" s="272">
        <f t="shared" ref="BX38:BY69" si="5">+BU38+BR38+BO38+BL38+BI38+BF38+BC38+AZ38+AW38+AT38+AQ38</f>
        <v>39</v>
      </c>
      <c r="BY38" s="272">
        <f t="shared" si="5"/>
        <v>524</v>
      </c>
      <c r="BZ38" s="272">
        <f t="shared" si="2"/>
        <v>462.4</v>
      </c>
      <c r="CA38" s="273"/>
      <c r="CB38" s="273"/>
      <c r="CC38" s="273"/>
      <c r="CD38" s="273"/>
      <c r="CE38" s="273"/>
      <c r="CF38" s="273"/>
      <c r="CG38" s="273"/>
      <c r="CH38" s="273"/>
      <c r="CI38" s="273"/>
      <c r="CJ38" s="273"/>
      <c r="CK38" s="273"/>
      <c r="CL38" s="273"/>
      <c r="CM38" s="273"/>
      <c r="CN38" s="273"/>
      <c r="CO38" s="273"/>
      <c r="CP38" s="273"/>
      <c r="CQ38" s="273"/>
      <c r="CR38" s="273"/>
      <c r="CS38" s="273"/>
      <c r="CT38" s="273"/>
      <c r="CU38" s="273"/>
      <c r="CV38" s="273"/>
      <c r="CW38" s="273"/>
      <c r="CX38" s="273"/>
      <c r="CY38" s="273"/>
      <c r="CZ38" s="273"/>
      <c r="DA38" s="273"/>
      <c r="DB38" s="273"/>
      <c r="DC38" s="273"/>
      <c r="DD38" s="273"/>
      <c r="DE38" s="273"/>
      <c r="DF38" s="271"/>
      <c r="DG38" s="271"/>
      <c r="DH38" s="272">
        <f t="shared" si="3"/>
        <v>39</v>
      </c>
      <c r="DI38" s="272">
        <f t="shared" si="3"/>
        <v>524</v>
      </c>
      <c r="DJ38" s="324">
        <f t="shared" si="3"/>
        <v>462.4</v>
      </c>
      <c r="DK38" s="325"/>
      <c r="DL38" s="325"/>
    </row>
    <row r="39" spans="1:116" s="275" customFormat="1" ht="20.100000000000001" customHeight="1" x14ac:dyDescent="0.6">
      <c r="A39" s="234">
        <v>36</v>
      </c>
      <c r="B39" s="103" t="s">
        <v>423</v>
      </c>
      <c r="C39" s="103" t="s">
        <v>424</v>
      </c>
      <c r="D39" s="103" t="s">
        <v>468</v>
      </c>
      <c r="E39" s="148" t="s">
        <v>469</v>
      </c>
      <c r="F39" s="179" t="s">
        <v>462</v>
      </c>
      <c r="G39" s="322"/>
      <c r="H39" s="323"/>
      <c r="I39" s="322" t="s">
        <v>980</v>
      </c>
      <c r="J39" s="322" t="s">
        <v>974</v>
      </c>
      <c r="K39" s="241"/>
      <c r="L39" s="24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>
        <v>1</v>
      </c>
      <c r="AI39" s="271">
        <v>24</v>
      </c>
      <c r="AJ39" s="271">
        <v>8.4</v>
      </c>
      <c r="AK39" s="271"/>
      <c r="AL39" s="271"/>
      <c r="AM39" s="271"/>
      <c r="AN39" s="271"/>
      <c r="AO39" s="271"/>
      <c r="AP39" s="271"/>
      <c r="AQ39" s="272">
        <f t="shared" si="4"/>
        <v>1</v>
      </c>
      <c r="AR39" s="272">
        <f t="shared" si="4"/>
        <v>24</v>
      </c>
      <c r="AS39" s="272">
        <f t="shared" si="4"/>
        <v>8.4</v>
      </c>
      <c r="AT39" s="273"/>
      <c r="AU39" s="273"/>
      <c r="AV39" s="273"/>
      <c r="AW39" s="273"/>
      <c r="AX39" s="273"/>
      <c r="AY39" s="273"/>
      <c r="AZ39" s="273"/>
      <c r="BA39" s="273"/>
      <c r="BB39" s="273"/>
      <c r="BC39" s="273"/>
      <c r="BD39" s="273"/>
      <c r="BE39" s="273"/>
      <c r="BF39" s="273"/>
      <c r="BG39" s="273"/>
      <c r="BH39" s="273"/>
      <c r="BI39" s="273"/>
      <c r="BJ39" s="273"/>
      <c r="BK39" s="273"/>
      <c r="BL39" s="273"/>
      <c r="BM39" s="273"/>
      <c r="BN39" s="273"/>
      <c r="BO39" s="273"/>
      <c r="BP39" s="273"/>
      <c r="BQ39" s="273"/>
      <c r="BR39" s="273"/>
      <c r="BS39" s="273"/>
      <c r="BT39" s="273"/>
      <c r="BU39" s="273"/>
      <c r="BV39" s="273"/>
      <c r="BW39" s="273"/>
      <c r="BX39" s="272">
        <f t="shared" si="5"/>
        <v>1</v>
      </c>
      <c r="BY39" s="272">
        <f t="shared" si="5"/>
        <v>24</v>
      </c>
      <c r="BZ39" s="272">
        <f t="shared" si="2"/>
        <v>8.4</v>
      </c>
      <c r="CA39" s="273">
        <v>11</v>
      </c>
      <c r="CB39" s="273">
        <v>284</v>
      </c>
      <c r="CC39" s="273">
        <v>114.4</v>
      </c>
      <c r="CD39" s="273"/>
      <c r="CE39" s="273"/>
      <c r="CF39" s="273"/>
      <c r="CG39" s="273"/>
      <c r="CH39" s="273"/>
      <c r="CI39" s="273"/>
      <c r="CJ39" s="273"/>
      <c r="CK39" s="273"/>
      <c r="CL39" s="273"/>
      <c r="CM39" s="273"/>
      <c r="CN39" s="273"/>
      <c r="CO39" s="273"/>
      <c r="CP39" s="273"/>
      <c r="CQ39" s="273"/>
      <c r="CR39" s="273"/>
      <c r="CS39" s="273"/>
      <c r="CT39" s="273"/>
      <c r="CU39" s="273"/>
      <c r="CV39" s="273"/>
      <c r="CW39" s="273"/>
      <c r="CX39" s="273"/>
      <c r="CY39" s="273"/>
      <c r="CZ39" s="273"/>
      <c r="DA39" s="273"/>
      <c r="DB39" s="273"/>
      <c r="DC39" s="273"/>
      <c r="DD39" s="273"/>
      <c r="DE39" s="273"/>
      <c r="DF39" s="271"/>
      <c r="DG39" s="271"/>
      <c r="DH39" s="272">
        <f t="shared" si="3"/>
        <v>12</v>
      </c>
      <c r="DI39" s="272">
        <f t="shared" si="3"/>
        <v>308</v>
      </c>
      <c r="DJ39" s="324">
        <f t="shared" si="3"/>
        <v>122.80000000000001</v>
      </c>
      <c r="DK39" s="325"/>
      <c r="DL39" s="325"/>
    </row>
    <row r="40" spans="1:116" s="275" customFormat="1" ht="20.100000000000001" customHeight="1" x14ac:dyDescent="0.6">
      <c r="A40" s="234">
        <v>37</v>
      </c>
      <c r="B40" s="103" t="s">
        <v>470</v>
      </c>
      <c r="C40" s="103" t="s">
        <v>470</v>
      </c>
      <c r="D40" s="103" t="s">
        <v>468</v>
      </c>
      <c r="E40" s="148" t="s">
        <v>469</v>
      </c>
      <c r="F40" s="179" t="s">
        <v>462</v>
      </c>
      <c r="G40" s="322"/>
      <c r="H40" s="323"/>
      <c r="I40" s="322" t="s">
        <v>981</v>
      </c>
      <c r="J40" s="322" t="s">
        <v>974</v>
      </c>
      <c r="K40" s="241"/>
      <c r="L40" s="241"/>
      <c r="M40" s="271"/>
      <c r="N40" s="271"/>
      <c r="O40" s="271"/>
      <c r="P40" s="271"/>
      <c r="Q40" s="271"/>
      <c r="R40" s="271"/>
      <c r="S40" s="271">
        <v>16</v>
      </c>
      <c r="T40" s="271">
        <v>220</v>
      </c>
      <c r="U40" s="271">
        <v>194</v>
      </c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>
        <v>20</v>
      </c>
      <c r="AI40" s="271">
        <v>240</v>
      </c>
      <c r="AJ40" s="271">
        <v>240</v>
      </c>
      <c r="AK40" s="271"/>
      <c r="AL40" s="271"/>
      <c r="AM40" s="271"/>
      <c r="AN40" s="271"/>
      <c r="AO40" s="271"/>
      <c r="AP40" s="271"/>
      <c r="AQ40" s="272">
        <f t="shared" si="4"/>
        <v>36</v>
      </c>
      <c r="AR40" s="272">
        <f t="shared" si="4"/>
        <v>460</v>
      </c>
      <c r="AS40" s="272">
        <f t="shared" si="4"/>
        <v>434</v>
      </c>
      <c r="AT40" s="273"/>
      <c r="AU40" s="273"/>
      <c r="AV40" s="273"/>
      <c r="AW40" s="273">
        <v>15</v>
      </c>
      <c r="AX40" s="273">
        <v>180</v>
      </c>
      <c r="AY40" s="273">
        <v>180</v>
      </c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3">
        <v>15</v>
      </c>
      <c r="BM40" s="273">
        <v>180</v>
      </c>
      <c r="BN40" s="273">
        <v>180</v>
      </c>
      <c r="BO40" s="273"/>
      <c r="BP40" s="273"/>
      <c r="BQ40" s="273"/>
      <c r="BR40" s="273"/>
      <c r="BS40" s="273"/>
      <c r="BT40" s="273"/>
      <c r="BU40" s="273"/>
      <c r="BV40" s="273"/>
      <c r="BW40" s="273"/>
      <c r="BX40" s="272">
        <f t="shared" si="5"/>
        <v>66</v>
      </c>
      <c r="BY40" s="272">
        <f t="shared" si="5"/>
        <v>820</v>
      </c>
      <c r="BZ40" s="272">
        <f t="shared" si="2"/>
        <v>794</v>
      </c>
      <c r="CA40" s="273"/>
      <c r="CB40" s="273"/>
      <c r="CC40" s="273"/>
      <c r="CD40" s="273">
        <v>15</v>
      </c>
      <c r="CE40" s="273">
        <v>180</v>
      </c>
      <c r="CF40" s="273">
        <v>180</v>
      </c>
      <c r="CG40" s="273"/>
      <c r="CH40" s="273"/>
      <c r="CI40" s="273"/>
      <c r="CJ40" s="273"/>
      <c r="CK40" s="273"/>
      <c r="CL40" s="273"/>
      <c r="CM40" s="273"/>
      <c r="CN40" s="273"/>
      <c r="CO40" s="273"/>
      <c r="CP40" s="273"/>
      <c r="CQ40" s="273"/>
      <c r="CR40" s="273"/>
      <c r="CS40" s="273"/>
      <c r="CT40" s="273"/>
      <c r="CU40" s="273"/>
      <c r="CV40" s="273"/>
      <c r="CW40" s="273"/>
      <c r="CX40" s="273"/>
      <c r="CY40" s="273"/>
      <c r="CZ40" s="273"/>
      <c r="DA40" s="273"/>
      <c r="DB40" s="273"/>
      <c r="DC40" s="273"/>
      <c r="DD40" s="273"/>
      <c r="DE40" s="273"/>
      <c r="DF40" s="271"/>
      <c r="DG40" s="271"/>
      <c r="DH40" s="272">
        <f t="shared" si="3"/>
        <v>81</v>
      </c>
      <c r="DI40" s="272">
        <f t="shared" si="3"/>
        <v>1000</v>
      </c>
      <c r="DJ40" s="324">
        <f t="shared" si="3"/>
        <v>974</v>
      </c>
      <c r="DK40" s="325"/>
      <c r="DL40" s="325"/>
    </row>
    <row r="41" spans="1:116" s="275" customFormat="1" ht="20.100000000000001" customHeight="1" x14ac:dyDescent="0.6">
      <c r="A41" s="234">
        <v>38</v>
      </c>
      <c r="B41" s="103" t="s">
        <v>471</v>
      </c>
      <c r="C41" s="103" t="s">
        <v>472</v>
      </c>
      <c r="D41" s="103" t="s">
        <v>473</v>
      </c>
      <c r="E41" s="148" t="s">
        <v>474</v>
      </c>
      <c r="F41" s="179" t="s">
        <v>462</v>
      </c>
      <c r="G41" s="322"/>
      <c r="H41" s="323"/>
      <c r="I41" s="322" t="s">
        <v>982</v>
      </c>
      <c r="J41" s="322" t="s">
        <v>974</v>
      </c>
      <c r="K41" s="241"/>
      <c r="L41" s="24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>
        <v>20</v>
      </c>
      <c r="AF41" s="271">
        <v>380</v>
      </c>
      <c r="AG41" s="271">
        <v>250</v>
      </c>
      <c r="AH41" s="271"/>
      <c r="AI41" s="271"/>
      <c r="AJ41" s="271"/>
      <c r="AK41" s="271"/>
      <c r="AL41" s="271"/>
      <c r="AM41" s="271"/>
      <c r="AN41" s="271"/>
      <c r="AO41" s="271"/>
      <c r="AP41" s="271"/>
      <c r="AQ41" s="272">
        <f t="shared" si="4"/>
        <v>20</v>
      </c>
      <c r="AR41" s="272">
        <f t="shared" si="4"/>
        <v>380</v>
      </c>
      <c r="AS41" s="272">
        <f t="shared" si="4"/>
        <v>250</v>
      </c>
      <c r="AT41" s="273"/>
      <c r="AU41" s="273"/>
      <c r="AV41" s="273"/>
      <c r="AW41" s="273"/>
      <c r="AX41" s="273"/>
      <c r="AY41" s="273"/>
      <c r="AZ41" s="273"/>
      <c r="BA41" s="273"/>
      <c r="BB41" s="273"/>
      <c r="BC41" s="273"/>
      <c r="BD41" s="273"/>
      <c r="BE41" s="273"/>
      <c r="BF41" s="273"/>
      <c r="BG41" s="273"/>
      <c r="BH41" s="273"/>
      <c r="BI41" s="273"/>
      <c r="BJ41" s="273"/>
      <c r="BK41" s="273"/>
      <c r="BL41" s="273"/>
      <c r="BM41" s="273"/>
      <c r="BN41" s="273"/>
      <c r="BO41" s="273"/>
      <c r="BP41" s="273"/>
      <c r="BQ41" s="273"/>
      <c r="BR41" s="273"/>
      <c r="BS41" s="273"/>
      <c r="BT41" s="273"/>
      <c r="BU41" s="273"/>
      <c r="BV41" s="273"/>
      <c r="BW41" s="273"/>
      <c r="BX41" s="272">
        <f t="shared" si="5"/>
        <v>20</v>
      </c>
      <c r="BY41" s="272">
        <f t="shared" si="5"/>
        <v>380</v>
      </c>
      <c r="BZ41" s="272">
        <f t="shared" si="2"/>
        <v>250</v>
      </c>
      <c r="CA41" s="273"/>
      <c r="CB41" s="273"/>
      <c r="CC41" s="273"/>
      <c r="CD41" s="273">
        <v>7</v>
      </c>
      <c r="CE41" s="273">
        <v>140</v>
      </c>
      <c r="CF41" s="273">
        <v>88</v>
      </c>
      <c r="CG41" s="273">
        <v>15</v>
      </c>
      <c r="CH41" s="273">
        <v>180</v>
      </c>
      <c r="CI41" s="273">
        <v>180</v>
      </c>
      <c r="CJ41" s="273"/>
      <c r="CK41" s="273"/>
      <c r="CL41" s="273"/>
      <c r="CM41" s="273"/>
      <c r="CN41" s="273"/>
      <c r="CO41" s="273"/>
      <c r="CP41" s="273"/>
      <c r="CQ41" s="273"/>
      <c r="CR41" s="273"/>
      <c r="CS41" s="273"/>
      <c r="CT41" s="273"/>
      <c r="CU41" s="273"/>
      <c r="CV41" s="273"/>
      <c r="CW41" s="273"/>
      <c r="CX41" s="273"/>
      <c r="CY41" s="273"/>
      <c r="CZ41" s="273"/>
      <c r="DA41" s="273"/>
      <c r="DB41" s="273"/>
      <c r="DC41" s="273"/>
      <c r="DD41" s="273"/>
      <c r="DE41" s="273"/>
      <c r="DF41" s="271"/>
      <c r="DG41" s="271"/>
      <c r="DH41" s="272">
        <f t="shared" si="3"/>
        <v>42</v>
      </c>
      <c r="DI41" s="272">
        <f t="shared" si="3"/>
        <v>700</v>
      </c>
      <c r="DJ41" s="324">
        <f t="shared" si="3"/>
        <v>518</v>
      </c>
      <c r="DK41" s="325"/>
      <c r="DL41" s="325"/>
    </row>
    <row r="42" spans="1:116" s="275" customFormat="1" ht="20.100000000000001" customHeight="1" x14ac:dyDescent="0.6">
      <c r="A42" s="234">
        <v>39</v>
      </c>
      <c r="B42" s="103" t="s">
        <v>475</v>
      </c>
      <c r="C42" s="103" t="s">
        <v>476</v>
      </c>
      <c r="D42" s="103" t="s">
        <v>473</v>
      </c>
      <c r="E42" s="148" t="s">
        <v>474</v>
      </c>
      <c r="F42" s="179" t="s">
        <v>462</v>
      </c>
      <c r="G42" s="322"/>
      <c r="H42" s="323"/>
      <c r="I42" s="322" t="s">
        <v>983</v>
      </c>
      <c r="J42" s="322" t="s">
        <v>974</v>
      </c>
      <c r="K42" s="241"/>
      <c r="L42" s="241"/>
      <c r="M42" s="271"/>
      <c r="N42" s="271"/>
      <c r="O42" s="271"/>
      <c r="P42" s="271"/>
      <c r="Q42" s="271"/>
      <c r="R42" s="271"/>
      <c r="S42" s="271">
        <v>6</v>
      </c>
      <c r="T42" s="271">
        <v>72</v>
      </c>
      <c r="U42" s="271">
        <v>72</v>
      </c>
      <c r="V42" s="271"/>
      <c r="W42" s="271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>
        <v>5</v>
      </c>
      <c r="AO42" s="271">
        <v>60</v>
      </c>
      <c r="AP42" s="271">
        <v>60</v>
      </c>
      <c r="AQ42" s="272">
        <f t="shared" si="4"/>
        <v>11</v>
      </c>
      <c r="AR42" s="272">
        <f t="shared" si="4"/>
        <v>132</v>
      </c>
      <c r="AS42" s="272">
        <f t="shared" si="4"/>
        <v>132</v>
      </c>
      <c r="AT42" s="273"/>
      <c r="AU42" s="273"/>
      <c r="AV42" s="273"/>
      <c r="AW42" s="273"/>
      <c r="AX42" s="273"/>
      <c r="AY42" s="273"/>
      <c r="AZ42" s="273"/>
      <c r="BA42" s="273"/>
      <c r="BB42" s="273"/>
      <c r="BC42" s="273"/>
      <c r="BD42" s="273"/>
      <c r="BE42" s="273"/>
      <c r="BF42" s="273"/>
      <c r="BG42" s="273"/>
      <c r="BH42" s="273"/>
      <c r="BI42" s="273"/>
      <c r="BJ42" s="273"/>
      <c r="BK42" s="273"/>
      <c r="BL42" s="273">
        <v>5</v>
      </c>
      <c r="BM42" s="273">
        <v>60</v>
      </c>
      <c r="BN42" s="273">
        <v>60</v>
      </c>
      <c r="BO42" s="273"/>
      <c r="BP42" s="273"/>
      <c r="BQ42" s="273"/>
      <c r="BR42" s="273"/>
      <c r="BS42" s="273"/>
      <c r="BT42" s="273"/>
      <c r="BU42" s="273"/>
      <c r="BV42" s="273"/>
      <c r="BW42" s="273"/>
      <c r="BX42" s="272">
        <f t="shared" si="5"/>
        <v>16</v>
      </c>
      <c r="BY42" s="272">
        <f t="shared" si="5"/>
        <v>192</v>
      </c>
      <c r="BZ42" s="272">
        <f t="shared" si="2"/>
        <v>192</v>
      </c>
      <c r="CA42" s="273"/>
      <c r="CB42" s="273"/>
      <c r="CC42" s="273"/>
      <c r="CD42" s="273"/>
      <c r="CE42" s="273"/>
      <c r="CF42" s="273"/>
      <c r="CG42" s="273"/>
      <c r="CH42" s="273"/>
      <c r="CI42" s="273"/>
      <c r="CJ42" s="273">
        <v>5</v>
      </c>
      <c r="CK42" s="273">
        <v>60</v>
      </c>
      <c r="CL42" s="273">
        <v>60</v>
      </c>
      <c r="CM42" s="273"/>
      <c r="CN42" s="273"/>
      <c r="CO42" s="273"/>
      <c r="CP42" s="273"/>
      <c r="CQ42" s="273"/>
      <c r="CR42" s="273"/>
      <c r="CS42" s="273"/>
      <c r="CT42" s="273"/>
      <c r="CU42" s="273"/>
      <c r="CV42" s="273"/>
      <c r="CW42" s="273"/>
      <c r="CX42" s="273"/>
      <c r="CY42" s="273"/>
      <c r="CZ42" s="273"/>
      <c r="DA42" s="273"/>
      <c r="DB42" s="273"/>
      <c r="DC42" s="273"/>
      <c r="DD42" s="273"/>
      <c r="DE42" s="273">
        <v>6</v>
      </c>
      <c r="DF42" s="271">
        <v>72</v>
      </c>
      <c r="DG42" s="271">
        <v>72</v>
      </c>
      <c r="DH42" s="272">
        <f t="shared" si="3"/>
        <v>27</v>
      </c>
      <c r="DI42" s="272">
        <f t="shared" si="3"/>
        <v>324</v>
      </c>
      <c r="DJ42" s="324">
        <f t="shared" si="3"/>
        <v>324</v>
      </c>
      <c r="DK42" s="325"/>
      <c r="DL42" s="325"/>
    </row>
    <row r="43" spans="1:116" s="275" customFormat="1" ht="20.100000000000001" customHeight="1" x14ac:dyDescent="0.6">
      <c r="A43" s="234">
        <v>40</v>
      </c>
      <c r="B43" s="103" t="s">
        <v>477</v>
      </c>
      <c r="C43" s="103" t="s">
        <v>477</v>
      </c>
      <c r="D43" s="103" t="s">
        <v>473</v>
      </c>
      <c r="E43" s="148" t="s">
        <v>474</v>
      </c>
      <c r="F43" s="179" t="s">
        <v>462</v>
      </c>
      <c r="G43" s="322"/>
      <c r="H43" s="323"/>
      <c r="I43" s="322" t="s">
        <v>984</v>
      </c>
      <c r="J43" s="322" t="s">
        <v>974</v>
      </c>
      <c r="K43" s="241"/>
      <c r="L43" s="241"/>
      <c r="M43" s="271"/>
      <c r="N43" s="271"/>
      <c r="O43" s="271"/>
      <c r="P43" s="271"/>
      <c r="Q43" s="271"/>
      <c r="R43" s="271"/>
      <c r="S43" s="271">
        <v>30</v>
      </c>
      <c r="T43" s="271">
        <v>360</v>
      </c>
      <c r="U43" s="271">
        <v>360</v>
      </c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>
        <v>5</v>
      </c>
      <c r="AO43" s="271">
        <v>60</v>
      </c>
      <c r="AP43" s="271">
        <v>60</v>
      </c>
      <c r="AQ43" s="272">
        <f t="shared" si="4"/>
        <v>35</v>
      </c>
      <c r="AR43" s="272">
        <f t="shared" si="4"/>
        <v>420</v>
      </c>
      <c r="AS43" s="272">
        <f t="shared" si="4"/>
        <v>420</v>
      </c>
      <c r="AT43" s="273"/>
      <c r="AU43" s="273"/>
      <c r="AV43" s="273"/>
      <c r="AW43" s="273"/>
      <c r="AX43" s="273"/>
      <c r="AY43" s="273"/>
      <c r="AZ43" s="273"/>
      <c r="BA43" s="273"/>
      <c r="BB43" s="273"/>
      <c r="BC43" s="273"/>
      <c r="BD43" s="273"/>
      <c r="BE43" s="273"/>
      <c r="BF43" s="273"/>
      <c r="BG43" s="273"/>
      <c r="BH43" s="273"/>
      <c r="BI43" s="273">
        <v>10</v>
      </c>
      <c r="BJ43" s="273">
        <v>120</v>
      </c>
      <c r="BK43" s="273">
        <v>120</v>
      </c>
      <c r="BL43" s="273"/>
      <c r="BM43" s="273"/>
      <c r="BN43" s="273"/>
      <c r="BO43" s="273"/>
      <c r="BP43" s="273"/>
      <c r="BQ43" s="273"/>
      <c r="BR43" s="273">
        <v>5</v>
      </c>
      <c r="BS43" s="273">
        <v>60</v>
      </c>
      <c r="BT43" s="273">
        <v>60</v>
      </c>
      <c r="BU43" s="273"/>
      <c r="BV43" s="273"/>
      <c r="BW43" s="273"/>
      <c r="BX43" s="272">
        <f t="shared" si="5"/>
        <v>50</v>
      </c>
      <c r="BY43" s="272">
        <f t="shared" si="5"/>
        <v>600</v>
      </c>
      <c r="BZ43" s="272">
        <f t="shared" si="2"/>
        <v>600</v>
      </c>
      <c r="CA43" s="273"/>
      <c r="CB43" s="273"/>
      <c r="CC43" s="273"/>
      <c r="CD43" s="273"/>
      <c r="CE43" s="273"/>
      <c r="CF43" s="273"/>
      <c r="CG43" s="273">
        <v>15</v>
      </c>
      <c r="CH43" s="273">
        <v>180</v>
      </c>
      <c r="CI43" s="273">
        <v>180</v>
      </c>
      <c r="CJ43" s="273">
        <v>21</v>
      </c>
      <c r="CK43" s="273">
        <v>252</v>
      </c>
      <c r="CL43" s="273">
        <v>252</v>
      </c>
      <c r="CM43" s="273"/>
      <c r="CN43" s="273"/>
      <c r="CO43" s="273"/>
      <c r="CP43" s="273"/>
      <c r="CQ43" s="273"/>
      <c r="CR43" s="273"/>
      <c r="CS43" s="273"/>
      <c r="CT43" s="273"/>
      <c r="CU43" s="273"/>
      <c r="CV43" s="273"/>
      <c r="CW43" s="273"/>
      <c r="CX43" s="273"/>
      <c r="CY43" s="273"/>
      <c r="CZ43" s="273"/>
      <c r="DA43" s="273"/>
      <c r="DB43" s="273"/>
      <c r="DC43" s="273"/>
      <c r="DD43" s="273"/>
      <c r="DE43" s="273">
        <v>21</v>
      </c>
      <c r="DF43" s="271">
        <v>704</v>
      </c>
      <c r="DG43" s="271">
        <v>277.92</v>
      </c>
      <c r="DH43" s="272">
        <f t="shared" si="3"/>
        <v>107</v>
      </c>
      <c r="DI43" s="272">
        <f t="shared" si="3"/>
        <v>1736</v>
      </c>
      <c r="DJ43" s="324">
        <f t="shared" si="3"/>
        <v>1309.92</v>
      </c>
      <c r="DK43" s="325"/>
      <c r="DL43" s="325"/>
    </row>
    <row r="44" spans="1:116" s="275" customFormat="1" ht="20.100000000000001" customHeight="1" x14ac:dyDescent="0.6">
      <c r="A44" s="234">
        <v>41</v>
      </c>
      <c r="B44" s="103" t="s">
        <v>478</v>
      </c>
      <c r="C44" s="103" t="s">
        <v>478</v>
      </c>
      <c r="D44" s="103" t="s">
        <v>365</v>
      </c>
      <c r="E44" s="148" t="s">
        <v>479</v>
      </c>
      <c r="F44" s="179" t="s">
        <v>462</v>
      </c>
      <c r="G44" s="322"/>
      <c r="H44" s="323"/>
      <c r="I44" s="322" t="s">
        <v>985</v>
      </c>
      <c r="J44" s="322" t="s">
        <v>974</v>
      </c>
      <c r="K44" s="241"/>
      <c r="L44" s="24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2">
        <f t="shared" si="4"/>
        <v>0</v>
      </c>
      <c r="AR44" s="272">
        <f t="shared" si="4"/>
        <v>0</v>
      </c>
      <c r="AS44" s="272">
        <f t="shared" si="4"/>
        <v>0</v>
      </c>
      <c r="AT44" s="273"/>
      <c r="AU44" s="273"/>
      <c r="AV44" s="273"/>
      <c r="AW44" s="273"/>
      <c r="AX44" s="273"/>
      <c r="AY44" s="273"/>
      <c r="AZ44" s="273">
        <v>15</v>
      </c>
      <c r="BA44" s="273">
        <v>180</v>
      </c>
      <c r="BB44" s="273">
        <v>180</v>
      </c>
      <c r="BC44" s="273"/>
      <c r="BD44" s="273"/>
      <c r="BE44" s="273"/>
      <c r="BF44" s="273"/>
      <c r="BG44" s="273"/>
      <c r="BH44" s="273"/>
      <c r="BI44" s="273"/>
      <c r="BJ44" s="273"/>
      <c r="BK44" s="273"/>
      <c r="BL44" s="273"/>
      <c r="BM44" s="273"/>
      <c r="BN44" s="273"/>
      <c r="BO44" s="273"/>
      <c r="BP44" s="273"/>
      <c r="BQ44" s="273"/>
      <c r="BR44" s="273"/>
      <c r="BS44" s="273"/>
      <c r="BT44" s="273"/>
      <c r="BU44" s="273"/>
      <c r="BV44" s="273"/>
      <c r="BW44" s="273"/>
      <c r="BX44" s="272">
        <f t="shared" si="5"/>
        <v>15</v>
      </c>
      <c r="BY44" s="272">
        <f t="shared" si="5"/>
        <v>180</v>
      </c>
      <c r="BZ44" s="272">
        <f t="shared" si="2"/>
        <v>180</v>
      </c>
      <c r="CA44" s="273"/>
      <c r="CB44" s="273"/>
      <c r="CC44" s="273"/>
      <c r="CD44" s="273">
        <v>15</v>
      </c>
      <c r="CE44" s="273">
        <v>180</v>
      </c>
      <c r="CF44" s="273">
        <v>180</v>
      </c>
      <c r="CG44" s="273"/>
      <c r="CH44" s="273"/>
      <c r="CI44" s="273"/>
      <c r="CJ44" s="273"/>
      <c r="CK44" s="273"/>
      <c r="CL44" s="273"/>
      <c r="CM44" s="273"/>
      <c r="CN44" s="273"/>
      <c r="CO44" s="273"/>
      <c r="CP44" s="273"/>
      <c r="CQ44" s="273"/>
      <c r="CR44" s="273"/>
      <c r="CS44" s="273">
        <v>17</v>
      </c>
      <c r="CT44" s="273">
        <v>260</v>
      </c>
      <c r="CU44" s="273">
        <v>208</v>
      </c>
      <c r="CV44" s="273"/>
      <c r="CW44" s="273"/>
      <c r="CX44" s="273"/>
      <c r="CY44" s="273"/>
      <c r="CZ44" s="273"/>
      <c r="DA44" s="273"/>
      <c r="DB44" s="273"/>
      <c r="DC44" s="273"/>
      <c r="DD44" s="273"/>
      <c r="DE44" s="273"/>
      <c r="DF44" s="271"/>
      <c r="DG44" s="271"/>
      <c r="DH44" s="272">
        <f t="shared" si="3"/>
        <v>47</v>
      </c>
      <c r="DI44" s="272">
        <f t="shared" si="3"/>
        <v>620</v>
      </c>
      <c r="DJ44" s="324">
        <f t="shared" si="3"/>
        <v>568</v>
      </c>
      <c r="DK44" s="325"/>
      <c r="DL44" s="325"/>
    </row>
    <row r="45" spans="1:116" s="275" customFormat="1" ht="20.100000000000001" customHeight="1" x14ac:dyDescent="0.6">
      <c r="A45" s="234">
        <v>42</v>
      </c>
      <c r="B45" s="103" t="s">
        <v>480</v>
      </c>
      <c r="C45" s="103" t="s">
        <v>480</v>
      </c>
      <c r="D45" s="103" t="s">
        <v>365</v>
      </c>
      <c r="E45" s="148" t="s">
        <v>479</v>
      </c>
      <c r="F45" s="179" t="s">
        <v>462</v>
      </c>
      <c r="G45" s="322"/>
      <c r="H45" s="323"/>
      <c r="I45" s="322" t="s">
        <v>986</v>
      </c>
      <c r="J45" s="322" t="s">
        <v>974</v>
      </c>
      <c r="K45" s="241"/>
      <c r="L45" s="24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2">
        <f t="shared" si="4"/>
        <v>0</v>
      </c>
      <c r="AR45" s="272">
        <f t="shared" si="4"/>
        <v>0</v>
      </c>
      <c r="AS45" s="272">
        <f t="shared" si="4"/>
        <v>0</v>
      </c>
      <c r="AT45" s="273"/>
      <c r="AU45" s="273"/>
      <c r="AV45" s="273"/>
      <c r="AW45" s="273"/>
      <c r="AX45" s="273"/>
      <c r="AY45" s="273"/>
      <c r="AZ45" s="273"/>
      <c r="BA45" s="273"/>
      <c r="BB45" s="273"/>
      <c r="BC45" s="273"/>
      <c r="BD45" s="273"/>
      <c r="BE45" s="273"/>
      <c r="BF45" s="273"/>
      <c r="BG45" s="273"/>
      <c r="BH45" s="273"/>
      <c r="BI45" s="273"/>
      <c r="BJ45" s="273"/>
      <c r="BK45" s="273"/>
      <c r="BL45" s="273"/>
      <c r="BM45" s="273"/>
      <c r="BN45" s="273"/>
      <c r="BO45" s="273"/>
      <c r="BP45" s="273"/>
      <c r="BQ45" s="273"/>
      <c r="BR45" s="273"/>
      <c r="BS45" s="273"/>
      <c r="BT45" s="273"/>
      <c r="BU45" s="273"/>
      <c r="BV45" s="273"/>
      <c r="BW45" s="273"/>
      <c r="BX45" s="272">
        <f t="shared" si="5"/>
        <v>0</v>
      </c>
      <c r="BY45" s="272">
        <f t="shared" si="5"/>
        <v>0</v>
      </c>
      <c r="BZ45" s="272">
        <f t="shared" si="2"/>
        <v>0</v>
      </c>
      <c r="CA45" s="273"/>
      <c r="CB45" s="273"/>
      <c r="CC45" s="273"/>
      <c r="CD45" s="273"/>
      <c r="CE45" s="273"/>
      <c r="CF45" s="273"/>
      <c r="CG45" s="273"/>
      <c r="CH45" s="273"/>
      <c r="CI45" s="273"/>
      <c r="CJ45" s="273"/>
      <c r="CK45" s="273"/>
      <c r="CL45" s="273"/>
      <c r="CM45" s="273"/>
      <c r="CN45" s="273"/>
      <c r="CO45" s="273"/>
      <c r="CP45" s="273"/>
      <c r="CQ45" s="273"/>
      <c r="CR45" s="273"/>
      <c r="CS45" s="273"/>
      <c r="CT45" s="273"/>
      <c r="CU45" s="273"/>
      <c r="CV45" s="273"/>
      <c r="CW45" s="273"/>
      <c r="CX45" s="273"/>
      <c r="CY45" s="273"/>
      <c r="CZ45" s="273"/>
      <c r="DA45" s="273"/>
      <c r="DB45" s="273"/>
      <c r="DC45" s="273"/>
      <c r="DD45" s="273"/>
      <c r="DE45" s="273"/>
      <c r="DF45" s="271"/>
      <c r="DG45" s="271"/>
      <c r="DH45" s="272">
        <f t="shared" si="3"/>
        <v>0</v>
      </c>
      <c r="DI45" s="272">
        <f t="shared" si="3"/>
        <v>0</v>
      </c>
      <c r="DJ45" s="324">
        <f t="shared" si="3"/>
        <v>0</v>
      </c>
      <c r="DK45" s="325"/>
      <c r="DL45" s="325"/>
    </row>
    <row r="46" spans="1:116" s="275" customFormat="1" ht="20.100000000000001" customHeight="1" x14ac:dyDescent="0.6">
      <c r="A46" s="234">
        <v>43</v>
      </c>
      <c r="B46" s="103" t="s">
        <v>481</v>
      </c>
      <c r="C46" s="103" t="s">
        <v>481</v>
      </c>
      <c r="D46" s="103" t="s">
        <v>365</v>
      </c>
      <c r="E46" s="148" t="s">
        <v>479</v>
      </c>
      <c r="F46" s="179" t="s">
        <v>462</v>
      </c>
      <c r="G46" s="322"/>
      <c r="H46" s="323"/>
      <c r="I46" s="322" t="s">
        <v>987</v>
      </c>
      <c r="J46" s="322" t="s">
        <v>974</v>
      </c>
      <c r="K46" s="241"/>
      <c r="L46" s="24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2">
        <f t="shared" si="4"/>
        <v>0</v>
      </c>
      <c r="AR46" s="272">
        <f t="shared" si="4"/>
        <v>0</v>
      </c>
      <c r="AS46" s="272">
        <f t="shared" si="4"/>
        <v>0</v>
      </c>
      <c r="AT46" s="273"/>
      <c r="AU46" s="273"/>
      <c r="AV46" s="273"/>
      <c r="AW46" s="273"/>
      <c r="AX46" s="273"/>
      <c r="AY46" s="273"/>
      <c r="AZ46" s="273"/>
      <c r="BA46" s="273"/>
      <c r="BB46" s="273"/>
      <c r="BC46" s="273"/>
      <c r="BD46" s="273"/>
      <c r="BE46" s="273"/>
      <c r="BF46" s="273">
        <v>20</v>
      </c>
      <c r="BG46" s="273">
        <v>240</v>
      </c>
      <c r="BH46" s="273">
        <v>240</v>
      </c>
      <c r="BI46" s="273"/>
      <c r="BJ46" s="273"/>
      <c r="BK46" s="273"/>
      <c r="BL46" s="273"/>
      <c r="BM46" s="273"/>
      <c r="BN46" s="273"/>
      <c r="BO46" s="273"/>
      <c r="BP46" s="273"/>
      <c r="BQ46" s="273"/>
      <c r="BR46" s="273"/>
      <c r="BS46" s="273"/>
      <c r="BT46" s="273"/>
      <c r="BU46" s="273"/>
      <c r="BV46" s="273"/>
      <c r="BW46" s="273"/>
      <c r="BX46" s="272">
        <f t="shared" si="5"/>
        <v>20</v>
      </c>
      <c r="BY46" s="272">
        <f t="shared" si="5"/>
        <v>240</v>
      </c>
      <c r="BZ46" s="272">
        <f t="shared" si="2"/>
        <v>240</v>
      </c>
      <c r="CA46" s="273"/>
      <c r="CB46" s="273"/>
      <c r="CC46" s="273"/>
      <c r="CD46" s="273"/>
      <c r="CE46" s="273"/>
      <c r="CF46" s="273"/>
      <c r="CG46" s="273"/>
      <c r="CH46" s="273"/>
      <c r="CI46" s="273"/>
      <c r="CJ46" s="273">
        <v>15</v>
      </c>
      <c r="CK46" s="273">
        <v>180</v>
      </c>
      <c r="CL46" s="273">
        <v>180</v>
      </c>
      <c r="CM46" s="273"/>
      <c r="CN46" s="273"/>
      <c r="CO46" s="273"/>
      <c r="CP46" s="273"/>
      <c r="CQ46" s="273"/>
      <c r="CR46" s="273"/>
      <c r="CS46" s="273"/>
      <c r="CT46" s="273"/>
      <c r="CU46" s="273"/>
      <c r="CV46" s="273"/>
      <c r="CW46" s="273"/>
      <c r="CX46" s="273"/>
      <c r="CY46" s="273"/>
      <c r="CZ46" s="273"/>
      <c r="DA46" s="273"/>
      <c r="DB46" s="273"/>
      <c r="DC46" s="273"/>
      <c r="DD46" s="273"/>
      <c r="DE46" s="273"/>
      <c r="DF46" s="271"/>
      <c r="DG46" s="271"/>
      <c r="DH46" s="272">
        <f t="shared" si="3"/>
        <v>35</v>
      </c>
      <c r="DI46" s="272">
        <f t="shared" si="3"/>
        <v>420</v>
      </c>
      <c r="DJ46" s="324">
        <f t="shared" si="3"/>
        <v>420</v>
      </c>
      <c r="DK46" s="325"/>
      <c r="DL46" s="325"/>
    </row>
    <row r="47" spans="1:116" s="275" customFormat="1" ht="20.100000000000001" customHeight="1" x14ac:dyDescent="0.6">
      <c r="A47" s="234">
        <v>44</v>
      </c>
      <c r="B47" s="103" t="s">
        <v>482</v>
      </c>
      <c r="C47" s="103" t="s">
        <v>309</v>
      </c>
      <c r="D47" s="103" t="s">
        <v>365</v>
      </c>
      <c r="E47" s="148" t="s">
        <v>479</v>
      </c>
      <c r="F47" s="179" t="s">
        <v>462</v>
      </c>
      <c r="G47" s="322"/>
      <c r="H47" s="323"/>
      <c r="I47" s="322" t="s">
        <v>988</v>
      </c>
      <c r="J47" s="322" t="s">
        <v>974</v>
      </c>
      <c r="K47" s="241"/>
      <c r="L47" s="24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2">
        <f t="shared" si="4"/>
        <v>0</v>
      </c>
      <c r="AR47" s="272">
        <f t="shared" si="4"/>
        <v>0</v>
      </c>
      <c r="AS47" s="272">
        <f t="shared" si="4"/>
        <v>0</v>
      </c>
      <c r="AT47" s="273"/>
      <c r="AU47" s="273"/>
      <c r="AV47" s="273"/>
      <c r="AW47" s="273"/>
      <c r="AX47" s="273"/>
      <c r="AY47" s="273"/>
      <c r="AZ47" s="273"/>
      <c r="BA47" s="273"/>
      <c r="BB47" s="273"/>
      <c r="BC47" s="273"/>
      <c r="BD47" s="273"/>
      <c r="BE47" s="273"/>
      <c r="BF47" s="273"/>
      <c r="BG47" s="273"/>
      <c r="BH47" s="273"/>
      <c r="BI47" s="273"/>
      <c r="BJ47" s="273"/>
      <c r="BK47" s="273"/>
      <c r="BL47" s="273"/>
      <c r="BM47" s="273"/>
      <c r="BN47" s="273"/>
      <c r="BO47" s="273"/>
      <c r="BP47" s="273"/>
      <c r="BQ47" s="273"/>
      <c r="BR47" s="273"/>
      <c r="BS47" s="273"/>
      <c r="BT47" s="273"/>
      <c r="BU47" s="273"/>
      <c r="BV47" s="273"/>
      <c r="BW47" s="273"/>
      <c r="BX47" s="272">
        <f t="shared" si="5"/>
        <v>0</v>
      </c>
      <c r="BY47" s="272">
        <f t="shared" si="5"/>
        <v>0</v>
      </c>
      <c r="BZ47" s="272">
        <f t="shared" si="2"/>
        <v>0</v>
      </c>
      <c r="CA47" s="273"/>
      <c r="CB47" s="273"/>
      <c r="CC47" s="273"/>
      <c r="CD47" s="273"/>
      <c r="CE47" s="273"/>
      <c r="CF47" s="273"/>
      <c r="CG47" s="273"/>
      <c r="CH47" s="273"/>
      <c r="CI47" s="273"/>
      <c r="CJ47" s="273"/>
      <c r="CK47" s="273"/>
      <c r="CL47" s="273"/>
      <c r="CM47" s="273"/>
      <c r="CN47" s="273"/>
      <c r="CO47" s="273"/>
      <c r="CP47" s="273"/>
      <c r="CQ47" s="273"/>
      <c r="CR47" s="273"/>
      <c r="CS47" s="273"/>
      <c r="CT47" s="273"/>
      <c r="CU47" s="273"/>
      <c r="CV47" s="273">
        <v>15</v>
      </c>
      <c r="CW47" s="273">
        <v>180</v>
      </c>
      <c r="CX47" s="273">
        <v>180</v>
      </c>
      <c r="CY47" s="273">
        <v>15</v>
      </c>
      <c r="CZ47" s="273">
        <v>180</v>
      </c>
      <c r="DA47" s="273">
        <v>180</v>
      </c>
      <c r="DB47" s="273"/>
      <c r="DC47" s="273"/>
      <c r="DD47" s="273"/>
      <c r="DE47" s="273"/>
      <c r="DF47" s="271"/>
      <c r="DG47" s="271"/>
      <c r="DH47" s="272">
        <f t="shared" si="3"/>
        <v>30</v>
      </c>
      <c r="DI47" s="272">
        <f t="shared" si="3"/>
        <v>360</v>
      </c>
      <c r="DJ47" s="324">
        <f t="shared" si="3"/>
        <v>360</v>
      </c>
      <c r="DK47" s="325"/>
      <c r="DL47" s="325"/>
    </row>
    <row r="48" spans="1:116" s="275" customFormat="1" ht="20.100000000000001" customHeight="1" x14ac:dyDescent="0.6">
      <c r="A48" s="234">
        <v>45</v>
      </c>
      <c r="B48" s="103" t="s">
        <v>483</v>
      </c>
      <c r="C48" s="103" t="s">
        <v>484</v>
      </c>
      <c r="D48" s="103" t="s">
        <v>485</v>
      </c>
      <c r="E48" s="148" t="s">
        <v>132</v>
      </c>
      <c r="F48" s="179" t="s">
        <v>462</v>
      </c>
      <c r="G48" s="322"/>
      <c r="H48" s="323"/>
      <c r="I48" s="322" t="s">
        <v>989</v>
      </c>
      <c r="J48" s="322" t="s">
        <v>974</v>
      </c>
      <c r="K48" s="241"/>
      <c r="L48" s="24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2">
        <f t="shared" si="4"/>
        <v>0</v>
      </c>
      <c r="AR48" s="272">
        <f t="shared" si="4"/>
        <v>0</v>
      </c>
      <c r="AS48" s="272">
        <f t="shared" si="4"/>
        <v>0</v>
      </c>
      <c r="AT48" s="273"/>
      <c r="AU48" s="273"/>
      <c r="AV48" s="273"/>
      <c r="AW48" s="273"/>
      <c r="AX48" s="273"/>
      <c r="AY48" s="273"/>
      <c r="AZ48" s="273"/>
      <c r="BA48" s="273"/>
      <c r="BB48" s="273"/>
      <c r="BC48" s="273"/>
      <c r="BD48" s="273"/>
      <c r="BE48" s="273"/>
      <c r="BF48" s="273"/>
      <c r="BG48" s="273"/>
      <c r="BH48" s="273"/>
      <c r="BI48" s="273"/>
      <c r="BJ48" s="273"/>
      <c r="BK48" s="273"/>
      <c r="BL48" s="273"/>
      <c r="BM48" s="273"/>
      <c r="BN48" s="273"/>
      <c r="BO48" s="273"/>
      <c r="BP48" s="273"/>
      <c r="BQ48" s="273"/>
      <c r="BR48" s="273"/>
      <c r="BS48" s="273"/>
      <c r="BT48" s="273"/>
      <c r="BU48" s="273"/>
      <c r="BV48" s="273"/>
      <c r="BW48" s="273"/>
      <c r="BX48" s="272">
        <f t="shared" si="5"/>
        <v>0</v>
      </c>
      <c r="BY48" s="272">
        <f t="shared" si="5"/>
        <v>0</v>
      </c>
      <c r="BZ48" s="272">
        <f t="shared" si="2"/>
        <v>0</v>
      </c>
      <c r="CA48" s="273"/>
      <c r="CB48" s="273"/>
      <c r="CC48" s="273"/>
      <c r="CD48" s="273"/>
      <c r="CE48" s="273"/>
      <c r="CF48" s="273"/>
      <c r="CG48" s="273"/>
      <c r="CH48" s="273"/>
      <c r="CI48" s="273"/>
      <c r="CJ48" s="273"/>
      <c r="CK48" s="273"/>
      <c r="CL48" s="273"/>
      <c r="CM48" s="273"/>
      <c r="CN48" s="273"/>
      <c r="CO48" s="273"/>
      <c r="CP48" s="273"/>
      <c r="CQ48" s="273"/>
      <c r="CR48" s="273"/>
      <c r="CS48" s="273"/>
      <c r="CT48" s="273"/>
      <c r="CU48" s="273"/>
      <c r="CV48" s="273"/>
      <c r="CW48" s="273"/>
      <c r="CX48" s="273"/>
      <c r="CY48" s="273"/>
      <c r="CZ48" s="273"/>
      <c r="DA48" s="273"/>
      <c r="DB48" s="273"/>
      <c r="DC48" s="273"/>
      <c r="DD48" s="273"/>
      <c r="DE48" s="273"/>
      <c r="DF48" s="271"/>
      <c r="DG48" s="271"/>
      <c r="DH48" s="272">
        <f t="shared" si="3"/>
        <v>0</v>
      </c>
      <c r="DI48" s="272">
        <f t="shared" si="3"/>
        <v>0</v>
      </c>
      <c r="DJ48" s="324">
        <f t="shared" si="3"/>
        <v>0</v>
      </c>
      <c r="DK48" s="325"/>
      <c r="DL48" s="325"/>
    </row>
    <row r="49" spans="1:116" s="275" customFormat="1" ht="20.100000000000001" customHeight="1" x14ac:dyDescent="0.6">
      <c r="A49" s="234">
        <v>46</v>
      </c>
      <c r="B49" s="103" t="s">
        <v>486</v>
      </c>
      <c r="C49" s="103" t="s">
        <v>487</v>
      </c>
      <c r="D49" s="103" t="s">
        <v>485</v>
      </c>
      <c r="E49" s="148" t="s">
        <v>132</v>
      </c>
      <c r="F49" s="179" t="s">
        <v>462</v>
      </c>
      <c r="G49" s="322"/>
      <c r="H49" s="323"/>
      <c r="I49" s="322" t="s">
        <v>990</v>
      </c>
      <c r="J49" s="322" t="s">
        <v>974</v>
      </c>
      <c r="K49" s="241"/>
      <c r="L49" s="24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>
        <v>38</v>
      </c>
      <c r="AF49" s="271">
        <v>638</v>
      </c>
      <c r="AG49" s="271">
        <v>446.72</v>
      </c>
      <c r="AH49" s="271"/>
      <c r="AI49" s="271"/>
      <c r="AJ49" s="271"/>
      <c r="AK49" s="271"/>
      <c r="AL49" s="271"/>
      <c r="AM49" s="271"/>
      <c r="AN49" s="271"/>
      <c r="AO49" s="271"/>
      <c r="AP49" s="271"/>
      <c r="AQ49" s="272">
        <f t="shared" si="4"/>
        <v>38</v>
      </c>
      <c r="AR49" s="272">
        <f t="shared" si="4"/>
        <v>638</v>
      </c>
      <c r="AS49" s="272">
        <f t="shared" si="4"/>
        <v>446.72</v>
      </c>
      <c r="AT49" s="273"/>
      <c r="AU49" s="273"/>
      <c r="AV49" s="273"/>
      <c r="AW49" s="273"/>
      <c r="AX49" s="273"/>
      <c r="AY49" s="273"/>
      <c r="AZ49" s="273"/>
      <c r="BA49" s="273"/>
      <c r="BB49" s="273"/>
      <c r="BC49" s="273"/>
      <c r="BD49" s="273"/>
      <c r="BE49" s="273"/>
      <c r="BF49" s="273"/>
      <c r="BG49" s="273"/>
      <c r="BH49" s="273"/>
      <c r="BI49" s="273"/>
      <c r="BJ49" s="273"/>
      <c r="BK49" s="273"/>
      <c r="BL49" s="273"/>
      <c r="BM49" s="273"/>
      <c r="BN49" s="273"/>
      <c r="BO49" s="273"/>
      <c r="BP49" s="273"/>
      <c r="BQ49" s="273"/>
      <c r="BR49" s="273"/>
      <c r="BS49" s="273"/>
      <c r="BT49" s="273"/>
      <c r="BU49" s="273"/>
      <c r="BV49" s="273"/>
      <c r="BW49" s="273"/>
      <c r="BX49" s="272">
        <f t="shared" si="5"/>
        <v>38</v>
      </c>
      <c r="BY49" s="272">
        <f t="shared" si="5"/>
        <v>638</v>
      </c>
      <c r="BZ49" s="272">
        <f t="shared" si="2"/>
        <v>446.72</v>
      </c>
      <c r="CA49" s="273"/>
      <c r="CB49" s="273"/>
      <c r="CC49" s="273"/>
      <c r="CD49" s="273"/>
      <c r="CE49" s="273"/>
      <c r="CF49" s="273"/>
      <c r="CG49" s="273">
        <v>26</v>
      </c>
      <c r="CH49" s="273">
        <v>376</v>
      </c>
      <c r="CI49" s="273">
        <v>303.83999999999997</v>
      </c>
      <c r="CJ49" s="273"/>
      <c r="CK49" s="273"/>
      <c r="CL49" s="273"/>
      <c r="CM49" s="273"/>
      <c r="CN49" s="273"/>
      <c r="CO49" s="273"/>
      <c r="CP49" s="273"/>
      <c r="CQ49" s="273"/>
      <c r="CR49" s="273"/>
      <c r="CS49" s="273"/>
      <c r="CT49" s="273"/>
      <c r="CU49" s="273"/>
      <c r="CV49" s="273"/>
      <c r="CW49" s="273"/>
      <c r="CX49" s="273"/>
      <c r="CY49" s="273"/>
      <c r="CZ49" s="273"/>
      <c r="DA49" s="273"/>
      <c r="DB49" s="273">
        <v>30</v>
      </c>
      <c r="DC49" s="273">
        <v>780</v>
      </c>
      <c r="DD49" s="273">
        <v>390</v>
      </c>
      <c r="DE49" s="273"/>
      <c r="DF49" s="271"/>
      <c r="DG49" s="271"/>
      <c r="DH49" s="272">
        <f t="shared" si="3"/>
        <v>94</v>
      </c>
      <c r="DI49" s="272">
        <f t="shared" si="3"/>
        <v>1794</v>
      </c>
      <c r="DJ49" s="324">
        <f t="shared" si="3"/>
        <v>1140.56</v>
      </c>
      <c r="DK49" s="325"/>
      <c r="DL49" s="325"/>
    </row>
    <row r="50" spans="1:116" s="275" customFormat="1" ht="20.100000000000001" customHeight="1" x14ac:dyDescent="0.6">
      <c r="A50" s="234">
        <v>47</v>
      </c>
      <c r="B50" s="103" t="s">
        <v>488</v>
      </c>
      <c r="C50" s="103" t="s">
        <v>489</v>
      </c>
      <c r="D50" s="103" t="s">
        <v>490</v>
      </c>
      <c r="E50" s="148" t="s">
        <v>491</v>
      </c>
      <c r="F50" s="179" t="s">
        <v>462</v>
      </c>
      <c r="G50" s="322"/>
      <c r="H50" s="323"/>
      <c r="I50" s="322" t="s">
        <v>991</v>
      </c>
      <c r="J50" s="322" t="s">
        <v>974</v>
      </c>
      <c r="K50" s="241"/>
      <c r="L50" s="24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2">
        <f t="shared" si="4"/>
        <v>0</v>
      </c>
      <c r="AR50" s="272">
        <f t="shared" si="4"/>
        <v>0</v>
      </c>
      <c r="AS50" s="272">
        <f t="shared" si="4"/>
        <v>0</v>
      </c>
      <c r="AT50" s="273"/>
      <c r="AU50" s="273"/>
      <c r="AV50" s="273"/>
      <c r="AW50" s="273"/>
      <c r="AX50" s="273"/>
      <c r="AY50" s="273"/>
      <c r="AZ50" s="273"/>
      <c r="BA50" s="273"/>
      <c r="BB50" s="273"/>
      <c r="BC50" s="273"/>
      <c r="BD50" s="273"/>
      <c r="BE50" s="273"/>
      <c r="BF50" s="273"/>
      <c r="BG50" s="273"/>
      <c r="BH50" s="273"/>
      <c r="BI50" s="273"/>
      <c r="BJ50" s="273"/>
      <c r="BK50" s="273"/>
      <c r="BL50" s="273"/>
      <c r="BM50" s="273"/>
      <c r="BN50" s="273"/>
      <c r="BO50" s="273"/>
      <c r="BP50" s="273"/>
      <c r="BQ50" s="273"/>
      <c r="BR50" s="273"/>
      <c r="BS50" s="273"/>
      <c r="BT50" s="273"/>
      <c r="BU50" s="273"/>
      <c r="BV50" s="273"/>
      <c r="BW50" s="273"/>
      <c r="BX50" s="272">
        <f t="shared" si="5"/>
        <v>0</v>
      </c>
      <c r="BY50" s="272">
        <f t="shared" si="5"/>
        <v>0</v>
      </c>
      <c r="BZ50" s="272">
        <f t="shared" si="2"/>
        <v>0</v>
      </c>
      <c r="CA50" s="273"/>
      <c r="CB50" s="273"/>
      <c r="CC50" s="273"/>
      <c r="CD50" s="273"/>
      <c r="CE50" s="273"/>
      <c r="CF50" s="273"/>
      <c r="CG50" s="273"/>
      <c r="CH50" s="273"/>
      <c r="CI50" s="273"/>
      <c r="CJ50" s="273">
        <v>15</v>
      </c>
      <c r="CK50" s="273">
        <v>180</v>
      </c>
      <c r="CL50" s="273">
        <v>180</v>
      </c>
      <c r="CM50" s="273"/>
      <c r="CN50" s="273"/>
      <c r="CO50" s="273"/>
      <c r="CP50" s="273"/>
      <c r="CQ50" s="273"/>
      <c r="CR50" s="273"/>
      <c r="CS50" s="273"/>
      <c r="CT50" s="273"/>
      <c r="CU50" s="273"/>
      <c r="CV50" s="273">
        <v>16</v>
      </c>
      <c r="CW50" s="273">
        <v>220</v>
      </c>
      <c r="CX50" s="273">
        <v>194</v>
      </c>
      <c r="CY50" s="273"/>
      <c r="CZ50" s="273"/>
      <c r="DA50" s="273"/>
      <c r="DB50" s="273"/>
      <c r="DC50" s="273"/>
      <c r="DD50" s="273"/>
      <c r="DE50" s="273"/>
      <c r="DF50" s="271"/>
      <c r="DG50" s="271"/>
      <c r="DH50" s="272">
        <f t="shared" si="3"/>
        <v>31</v>
      </c>
      <c r="DI50" s="272">
        <f t="shared" si="3"/>
        <v>400</v>
      </c>
      <c r="DJ50" s="324">
        <f t="shared" si="3"/>
        <v>374</v>
      </c>
      <c r="DK50" s="325"/>
      <c r="DL50" s="325"/>
    </row>
    <row r="51" spans="1:116" s="275" customFormat="1" ht="20.100000000000001" customHeight="1" x14ac:dyDescent="0.5">
      <c r="A51" s="234">
        <v>48</v>
      </c>
      <c r="B51" s="103" t="s">
        <v>492</v>
      </c>
      <c r="C51" s="187" t="s">
        <v>493</v>
      </c>
      <c r="D51" s="103" t="s">
        <v>494</v>
      </c>
      <c r="E51" s="148" t="s">
        <v>495</v>
      </c>
      <c r="F51" s="179" t="s">
        <v>462</v>
      </c>
      <c r="G51" s="322"/>
      <c r="H51" s="323"/>
      <c r="I51" s="322" t="s">
        <v>992</v>
      </c>
      <c r="J51" s="322" t="s">
        <v>974</v>
      </c>
      <c r="K51" s="241"/>
      <c r="L51" s="241"/>
      <c r="M51" s="271"/>
      <c r="N51" s="271"/>
      <c r="O51" s="271"/>
      <c r="P51" s="271">
        <v>15</v>
      </c>
      <c r="Q51" s="271">
        <v>180</v>
      </c>
      <c r="R51" s="271">
        <v>180</v>
      </c>
      <c r="S51" s="271"/>
      <c r="T51" s="271"/>
      <c r="U51" s="271"/>
      <c r="V51" s="271"/>
      <c r="W51" s="271"/>
      <c r="X51" s="271"/>
      <c r="Y51" s="271">
        <v>20</v>
      </c>
      <c r="Z51" s="271">
        <v>354</v>
      </c>
      <c r="AA51" s="271">
        <v>244.96</v>
      </c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2">
        <f t="shared" si="4"/>
        <v>35</v>
      </c>
      <c r="AR51" s="272">
        <f t="shared" si="4"/>
        <v>534</v>
      </c>
      <c r="AS51" s="272">
        <f t="shared" si="4"/>
        <v>424.96000000000004</v>
      </c>
      <c r="AT51" s="273"/>
      <c r="AU51" s="273"/>
      <c r="AV51" s="273"/>
      <c r="AW51" s="273"/>
      <c r="AX51" s="273"/>
      <c r="AY51" s="273"/>
      <c r="AZ51" s="273"/>
      <c r="BA51" s="273"/>
      <c r="BB51" s="273"/>
      <c r="BC51" s="273"/>
      <c r="BD51" s="273"/>
      <c r="BE51" s="273"/>
      <c r="BF51" s="273"/>
      <c r="BG51" s="273"/>
      <c r="BH51" s="273"/>
      <c r="BI51" s="273">
        <v>15</v>
      </c>
      <c r="BJ51" s="273">
        <v>180</v>
      </c>
      <c r="BK51" s="273">
        <v>180</v>
      </c>
      <c r="BL51" s="273"/>
      <c r="BM51" s="273"/>
      <c r="BN51" s="273"/>
      <c r="BO51" s="273"/>
      <c r="BP51" s="273"/>
      <c r="BQ51" s="273"/>
      <c r="BR51" s="273"/>
      <c r="BS51" s="273"/>
      <c r="BT51" s="273"/>
      <c r="BU51" s="273"/>
      <c r="BV51" s="273"/>
      <c r="BW51" s="273"/>
      <c r="BX51" s="272">
        <f t="shared" si="5"/>
        <v>50</v>
      </c>
      <c r="BY51" s="272">
        <f t="shared" si="5"/>
        <v>714</v>
      </c>
      <c r="BZ51" s="272">
        <f t="shared" si="2"/>
        <v>604.96</v>
      </c>
      <c r="CA51" s="273"/>
      <c r="CB51" s="273"/>
      <c r="CC51" s="273"/>
      <c r="CD51" s="273"/>
      <c r="CE51" s="273"/>
      <c r="CF51" s="273"/>
      <c r="CG51" s="273"/>
      <c r="CH51" s="273"/>
      <c r="CI51" s="273"/>
      <c r="CJ51" s="273"/>
      <c r="CK51" s="273"/>
      <c r="CL51" s="273"/>
      <c r="CM51" s="273"/>
      <c r="CN51" s="273"/>
      <c r="CO51" s="273"/>
      <c r="CP51" s="273"/>
      <c r="CQ51" s="273"/>
      <c r="CR51" s="273"/>
      <c r="CS51" s="273"/>
      <c r="CT51" s="273"/>
      <c r="CU51" s="273"/>
      <c r="CV51" s="273"/>
      <c r="CW51" s="273"/>
      <c r="CX51" s="273"/>
      <c r="CY51" s="273"/>
      <c r="CZ51" s="273"/>
      <c r="DA51" s="273"/>
      <c r="DB51" s="273"/>
      <c r="DC51" s="273"/>
      <c r="DD51" s="273"/>
      <c r="DE51" s="273"/>
      <c r="DF51" s="271"/>
      <c r="DG51" s="271"/>
      <c r="DH51" s="272">
        <f t="shared" si="3"/>
        <v>50</v>
      </c>
      <c r="DI51" s="272">
        <f t="shared" si="3"/>
        <v>714</v>
      </c>
      <c r="DJ51" s="324">
        <f t="shared" si="3"/>
        <v>604.96</v>
      </c>
      <c r="DK51" s="325"/>
      <c r="DL51" s="325"/>
    </row>
    <row r="52" spans="1:116" s="275" customFormat="1" ht="20.100000000000001" customHeight="1" x14ac:dyDescent="0.5">
      <c r="A52" s="234">
        <v>49</v>
      </c>
      <c r="B52" s="103" t="s">
        <v>496</v>
      </c>
      <c r="C52" s="187" t="s">
        <v>497</v>
      </c>
      <c r="D52" s="103" t="s">
        <v>490</v>
      </c>
      <c r="E52" s="148" t="s">
        <v>491</v>
      </c>
      <c r="F52" s="179" t="s">
        <v>462</v>
      </c>
      <c r="G52" s="322"/>
      <c r="H52" s="323"/>
      <c r="I52" s="322" t="s">
        <v>993</v>
      </c>
      <c r="J52" s="322" t="s">
        <v>994</v>
      </c>
      <c r="K52" s="241"/>
      <c r="L52" s="24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2">
        <f t="shared" si="4"/>
        <v>0</v>
      </c>
      <c r="AR52" s="272">
        <f t="shared" si="4"/>
        <v>0</v>
      </c>
      <c r="AS52" s="272">
        <f t="shared" si="4"/>
        <v>0</v>
      </c>
      <c r="AT52" s="273"/>
      <c r="AU52" s="273"/>
      <c r="AV52" s="273"/>
      <c r="AW52" s="273"/>
      <c r="AX52" s="273"/>
      <c r="AY52" s="273"/>
      <c r="AZ52" s="273"/>
      <c r="BA52" s="273"/>
      <c r="BB52" s="273"/>
      <c r="BC52" s="273"/>
      <c r="BD52" s="273"/>
      <c r="BE52" s="273"/>
      <c r="BF52" s="273"/>
      <c r="BG52" s="273"/>
      <c r="BH52" s="273"/>
      <c r="BI52" s="273"/>
      <c r="BJ52" s="273"/>
      <c r="BK52" s="273"/>
      <c r="BL52" s="273"/>
      <c r="BM52" s="273"/>
      <c r="BN52" s="273"/>
      <c r="BO52" s="273"/>
      <c r="BP52" s="273"/>
      <c r="BQ52" s="273"/>
      <c r="BR52" s="273"/>
      <c r="BS52" s="273"/>
      <c r="BT52" s="273"/>
      <c r="BU52" s="273"/>
      <c r="BV52" s="273"/>
      <c r="BW52" s="273"/>
      <c r="BX52" s="272">
        <f t="shared" si="5"/>
        <v>0</v>
      </c>
      <c r="BY52" s="272">
        <f t="shared" si="5"/>
        <v>0</v>
      </c>
      <c r="BZ52" s="272">
        <f t="shared" si="2"/>
        <v>0</v>
      </c>
      <c r="CA52" s="273"/>
      <c r="CB52" s="273"/>
      <c r="CC52" s="273"/>
      <c r="CD52" s="273"/>
      <c r="CE52" s="273"/>
      <c r="CF52" s="273"/>
      <c r="CG52" s="273"/>
      <c r="CH52" s="273"/>
      <c r="CI52" s="273"/>
      <c r="CJ52" s="273"/>
      <c r="CK52" s="273"/>
      <c r="CL52" s="273"/>
      <c r="CM52" s="273"/>
      <c r="CN52" s="273"/>
      <c r="CO52" s="273"/>
      <c r="CP52" s="273"/>
      <c r="CQ52" s="273"/>
      <c r="CR52" s="273"/>
      <c r="CS52" s="273"/>
      <c r="CT52" s="273"/>
      <c r="CU52" s="273"/>
      <c r="CV52" s="273"/>
      <c r="CW52" s="273"/>
      <c r="CX52" s="273"/>
      <c r="CY52" s="273"/>
      <c r="CZ52" s="273"/>
      <c r="DA52" s="273"/>
      <c r="DB52" s="273"/>
      <c r="DC52" s="273"/>
      <c r="DD52" s="273"/>
      <c r="DE52" s="273"/>
      <c r="DF52" s="271"/>
      <c r="DG52" s="271"/>
      <c r="DH52" s="272">
        <f t="shared" si="3"/>
        <v>0</v>
      </c>
      <c r="DI52" s="272">
        <f t="shared" si="3"/>
        <v>0</v>
      </c>
      <c r="DJ52" s="324">
        <f t="shared" si="3"/>
        <v>0</v>
      </c>
      <c r="DK52" s="325"/>
      <c r="DL52" s="325"/>
    </row>
    <row r="53" spans="1:116" s="275" customFormat="1" ht="20.100000000000001" customHeight="1" x14ac:dyDescent="0.5">
      <c r="A53" s="234">
        <v>50</v>
      </c>
      <c r="B53" s="103" t="s">
        <v>498</v>
      </c>
      <c r="C53" s="187" t="s">
        <v>499</v>
      </c>
      <c r="D53" s="103" t="s">
        <v>500</v>
      </c>
      <c r="E53" s="148" t="s">
        <v>501</v>
      </c>
      <c r="F53" s="179" t="s">
        <v>462</v>
      </c>
      <c r="G53" s="322"/>
      <c r="H53" s="323"/>
      <c r="I53" s="322" t="s">
        <v>995</v>
      </c>
      <c r="J53" s="322" t="s">
        <v>994</v>
      </c>
      <c r="K53" s="241"/>
      <c r="L53" s="24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2">
        <f t="shared" si="4"/>
        <v>0</v>
      </c>
      <c r="AR53" s="272">
        <f t="shared" si="4"/>
        <v>0</v>
      </c>
      <c r="AS53" s="272">
        <f t="shared" si="4"/>
        <v>0</v>
      </c>
      <c r="AT53" s="273"/>
      <c r="AU53" s="273"/>
      <c r="AV53" s="273"/>
      <c r="AW53" s="273"/>
      <c r="AX53" s="273"/>
      <c r="AY53" s="273"/>
      <c r="AZ53" s="273"/>
      <c r="BA53" s="273"/>
      <c r="BB53" s="273"/>
      <c r="BC53" s="273"/>
      <c r="BD53" s="273"/>
      <c r="BE53" s="273"/>
      <c r="BF53" s="273"/>
      <c r="BG53" s="273"/>
      <c r="BH53" s="273"/>
      <c r="BI53" s="273"/>
      <c r="BJ53" s="273"/>
      <c r="BK53" s="273"/>
      <c r="BL53" s="273"/>
      <c r="BM53" s="273"/>
      <c r="BN53" s="273"/>
      <c r="BO53" s="273"/>
      <c r="BP53" s="273"/>
      <c r="BQ53" s="273"/>
      <c r="BR53" s="273"/>
      <c r="BS53" s="273"/>
      <c r="BT53" s="273"/>
      <c r="BU53" s="273"/>
      <c r="BV53" s="273"/>
      <c r="BW53" s="273"/>
      <c r="BX53" s="272">
        <f t="shared" si="5"/>
        <v>0</v>
      </c>
      <c r="BY53" s="272">
        <f t="shared" si="5"/>
        <v>0</v>
      </c>
      <c r="BZ53" s="272">
        <f t="shared" si="2"/>
        <v>0</v>
      </c>
      <c r="CA53" s="273"/>
      <c r="CB53" s="273"/>
      <c r="CC53" s="273"/>
      <c r="CD53" s="273"/>
      <c r="CE53" s="273"/>
      <c r="CF53" s="273"/>
      <c r="CG53" s="273"/>
      <c r="CH53" s="273"/>
      <c r="CI53" s="273"/>
      <c r="CJ53" s="273"/>
      <c r="CK53" s="273"/>
      <c r="CL53" s="273"/>
      <c r="CM53" s="273"/>
      <c r="CN53" s="273"/>
      <c r="CO53" s="273"/>
      <c r="CP53" s="273"/>
      <c r="CQ53" s="273"/>
      <c r="CR53" s="273"/>
      <c r="CS53" s="273"/>
      <c r="CT53" s="273"/>
      <c r="CU53" s="273"/>
      <c r="CV53" s="273"/>
      <c r="CW53" s="273"/>
      <c r="CX53" s="273"/>
      <c r="CY53" s="273"/>
      <c r="CZ53" s="273"/>
      <c r="DA53" s="273"/>
      <c r="DB53" s="273"/>
      <c r="DC53" s="273"/>
      <c r="DD53" s="273"/>
      <c r="DE53" s="273"/>
      <c r="DF53" s="271"/>
      <c r="DG53" s="271"/>
      <c r="DH53" s="272">
        <f t="shared" si="3"/>
        <v>0</v>
      </c>
      <c r="DI53" s="272">
        <f t="shared" si="3"/>
        <v>0</v>
      </c>
      <c r="DJ53" s="324">
        <f t="shared" si="3"/>
        <v>0</v>
      </c>
      <c r="DK53" s="325"/>
      <c r="DL53" s="325"/>
    </row>
    <row r="54" spans="1:116" s="275" customFormat="1" ht="20.100000000000001" customHeight="1" x14ac:dyDescent="0.5">
      <c r="A54" s="234">
        <v>51</v>
      </c>
      <c r="B54" s="103" t="s">
        <v>502</v>
      </c>
      <c r="C54" s="187" t="s">
        <v>503</v>
      </c>
      <c r="D54" s="103" t="s">
        <v>500</v>
      </c>
      <c r="E54" s="148" t="s">
        <v>501</v>
      </c>
      <c r="F54" s="179" t="s">
        <v>462</v>
      </c>
      <c r="G54" s="322"/>
      <c r="H54" s="323"/>
      <c r="I54" s="322" t="s">
        <v>996</v>
      </c>
      <c r="J54" s="322" t="s">
        <v>994</v>
      </c>
      <c r="K54" s="241"/>
      <c r="L54" s="241"/>
      <c r="M54" s="271"/>
      <c r="N54" s="271"/>
      <c r="O54" s="271"/>
      <c r="P54" s="271">
        <v>15</v>
      </c>
      <c r="Q54" s="271">
        <v>180</v>
      </c>
      <c r="R54" s="271">
        <v>180</v>
      </c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2">
        <f t="shared" si="4"/>
        <v>15</v>
      </c>
      <c r="AR54" s="272">
        <f t="shared" si="4"/>
        <v>180</v>
      </c>
      <c r="AS54" s="272">
        <f t="shared" si="4"/>
        <v>180</v>
      </c>
      <c r="AT54" s="273"/>
      <c r="AU54" s="273"/>
      <c r="AV54" s="273"/>
      <c r="AW54" s="273"/>
      <c r="AX54" s="273"/>
      <c r="AY54" s="273"/>
      <c r="AZ54" s="273"/>
      <c r="BA54" s="273"/>
      <c r="BB54" s="273"/>
      <c r="BC54" s="273"/>
      <c r="BD54" s="273"/>
      <c r="BE54" s="273"/>
      <c r="BF54" s="273"/>
      <c r="BG54" s="273"/>
      <c r="BH54" s="273"/>
      <c r="BI54" s="273"/>
      <c r="BJ54" s="273"/>
      <c r="BK54" s="273"/>
      <c r="BL54" s="273"/>
      <c r="BM54" s="273"/>
      <c r="BN54" s="273"/>
      <c r="BO54" s="273"/>
      <c r="BP54" s="273"/>
      <c r="BQ54" s="273"/>
      <c r="BR54" s="273"/>
      <c r="BS54" s="273"/>
      <c r="BT54" s="273"/>
      <c r="BU54" s="273"/>
      <c r="BV54" s="273"/>
      <c r="BW54" s="273"/>
      <c r="BX54" s="272">
        <f t="shared" si="5"/>
        <v>15</v>
      </c>
      <c r="BY54" s="272">
        <f t="shared" si="5"/>
        <v>180</v>
      </c>
      <c r="BZ54" s="272">
        <f t="shared" si="2"/>
        <v>180</v>
      </c>
      <c r="CA54" s="273"/>
      <c r="CB54" s="273"/>
      <c r="CC54" s="273"/>
      <c r="CD54" s="273"/>
      <c r="CE54" s="273"/>
      <c r="CF54" s="273"/>
      <c r="CG54" s="273"/>
      <c r="CH54" s="273"/>
      <c r="CI54" s="273"/>
      <c r="CJ54" s="273"/>
      <c r="CK54" s="273"/>
      <c r="CL54" s="273"/>
      <c r="CM54" s="273"/>
      <c r="CN54" s="273"/>
      <c r="CO54" s="273"/>
      <c r="CP54" s="273"/>
      <c r="CQ54" s="273"/>
      <c r="CR54" s="273"/>
      <c r="CS54" s="273"/>
      <c r="CT54" s="273"/>
      <c r="CU54" s="273"/>
      <c r="CV54" s="273"/>
      <c r="CW54" s="273"/>
      <c r="CX54" s="273"/>
      <c r="CY54" s="273"/>
      <c r="CZ54" s="273"/>
      <c r="DA54" s="273"/>
      <c r="DB54" s="273"/>
      <c r="DC54" s="273"/>
      <c r="DD54" s="273"/>
      <c r="DE54" s="273"/>
      <c r="DF54" s="271"/>
      <c r="DG54" s="271"/>
      <c r="DH54" s="272">
        <f t="shared" si="3"/>
        <v>15</v>
      </c>
      <c r="DI54" s="272">
        <f t="shared" si="3"/>
        <v>180</v>
      </c>
      <c r="DJ54" s="324">
        <f t="shared" si="3"/>
        <v>180</v>
      </c>
      <c r="DK54" s="325"/>
      <c r="DL54" s="325"/>
    </row>
    <row r="55" spans="1:116" s="275" customFormat="1" ht="20.100000000000001" customHeight="1" x14ac:dyDescent="0.5">
      <c r="A55" s="234">
        <v>52</v>
      </c>
      <c r="B55" s="103" t="s">
        <v>504</v>
      </c>
      <c r="C55" s="187" t="s">
        <v>505</v>
      </c>
      <c r="D55" s="103" t="s">
        <v>500</v>
      </c>
      <c r="E55" s="148" t="s">
        <v>501</v>
      </c>
      <c r="F55" s="179" t="s">
        <v>462</v>
      </c>
      <c r="G55" s="322"/>
      <c r="H55" s="323"/>
      <c r="I55" s="322" t="s">
        <v>997</v>
      </c>
      <c r="J55" s="322" t="s">
        <v>994</v>
      </c>
      <c r="K55" s="241"/>
      <c r="L55" s="24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2">
        <f t="shared" si="4"/>
        <v>0</v>
      </c>
      <c r="AR55" s="272">
        <f t="shared" si="4"/>
        <v>0</v>
      </c>
      <c r="AS55" s="272">
        <f t="shared" si="4"/>
        <v>0</v>
      </c>
      <c r="AT55" s="273"/>
      <c r="AU55" s="273"/>
      <c r="AV55" s="273"/>
      <c r="AW55" s="273"/>
      <c r="AX55" s="273"/>
      <c r="AY55" s="273"/>
      <c r="AZ55" s="273"/>
      <c r="BA55" s="273"/>
      <c r="BB55" s="273"/>
      <c r="BC55" s="273"/>
      <c r="BD55" s="273"/>
      <c r="BE55" s="273"/>
      <c r="BF55" s="273"/>
      <c r="BG55" s="273"/>
      <c r="BH55" s="273"/>
      <c r="BI55" s="273"/>
      <c r="BJ55" s="273"/>
      <c r="BK55" s="273"/>
      <c r="BL55" s="273"/>
      <c r="BM55" s="273"/>
      <c r="BN55" s="273"/>
      <c r="BO55" s="273"/>
      <c r="BP55" s="273"/>
      <c r="BQ55" s="273"/>
      <c r="BR55" s="273"/>
      <c r="BS55" s="273"/>
      <c r="BT55" s="273"/>
      <c r="BU55" s="273"/>
      <c r="BV55" s="273"/>
      <c r="BW55" s="273"/>
      <c r="BX55" s="272">
        <f t="shared" si="5"/>
        <v>0</v>
      </c>
      <c r="BY55" s="272">
        <f t="shared" si="5"/>
        <v>0</v>
      </c>
      <c r="BZ55" s="272">
        <f t="shared" si="2"/>
        <v>0</v>
      </c>
      <c r="CA55" s="273"/>
      <c r="CB55" s="273"/>
      <c r="CC55" s="273"/>
      <c r="CD55" s="273"/>
      <c r="CE55" s="273"/>
      <c r="CF55" s="273"/>
      <c r="CG55" s="273">
        <v>50</v>
      </c>
      <c r="CH55" s="273">
        <v>700</v>
      </c>
      <c r="CI55" s="273">
        <v>448</v>
      </c>
      <c r="CJ55" s="273"/>
      <c r="CK55" s="273"/>
      <c r="CL55" s="273"/>
      <c r="CM55" s="273"/>
      <c r="CN55" s="273"/>
      <c r="CO55" s="273"/>
      <c r="CP55" s="273"/>
      <c r="CQ55" s="273"/>
      <c r="CR55" s="273"/>
      <c r="CS55" s="273"/>
      <c r="CT55" s="273"/>
      <c r="CU55" s="273"/>
      <c r="CV55" s="273"/>
      <c r="CW55" s="273"/>
      <c r="CX55" s="273"/>
      <c r="CY55" s="273"/>
      <c r="CZ55" s="273"/>
      <c r="DA55" s="273"/>
      <c r="DB55" s="273"/>
      <c r="DC55" s="273"/>
      <c r="DD55" s="273"/>
      <c r="DE55" s="273"/>
      <c r="DF55" s="271"/>
      <c r="DG55" s="271"/>
      <c r="DH55" s="272">
        <f t="shared" si="3"/>
        <v>50</v>
      </c>
      <c r="DI55" s="272">
        <f t="shared" si="3"/>
        <v>700</v>
      </c>
      <c r="DJ55" s="324">
        <f t="shared" si="3"/>
        <v>448</v>
      </c>
      <c r="DK55" s="325"/>
      <c r="DL55" s="325"/>
    </row>
    <row r="56" spans="1:116" s="275" customFormat="1" ht="20.100000000000001" customHeight="1" x14ac:dyDescent="0.5">
      <c r="A56" s="234">
        <v>53</v>
      </c>
      <c r="B56" s="103" t="s">
        <v>506</v>
      </c>
      <c r="C56" s="187" t="s">
        <v>507</v>
      </c>
      <c r="D56" s="103" t="s">
        <v>304</v>
      </c>
      <c r="E56" s="148" t="s">
        <v>305</v>
      </c>
      <c r="F56" s="179" t="s">
        <v>462</v>
      </c>
      <c r="G56" s="322"/>
      <c r="H56" s="323"/>
      <c r="I56" s="322" t="s">
        <v>998</v>
      </c>
      <c r="J56" s="322" t="s">
        <v>994</v>
      </c>
      <c r="K56" s="241"/>
      <c r="L56" s="241"/>
      <c r="M56" s="271"/>
      <c r="N56" s="271"/>
      <c r="O56" s="271"/>
      <c r="P56" s="271"/>
      <c r="Q56" s="271"/>
      <c r="R56" s="271"/>
      <c r="S56" s="271">
        <v>30</v>
      </c>
      <c r="T56" s="271">
        <v>360</v>
      </c>
      <c r="U56" s="271">
        <v>360</v>
      </c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2">
        <f t="shared" si="4"/>
        <v>30</v>
      </c>
      <c r="AR56" s="272">
        <f t="shared" si="4"/>
        <v>360</v>
      </c>
      <c r="AS56" s="272">
        <f t="shared" si="4"/>
        <v>360</v>
      </c>
      <c r="AT56" s="273"/>
      <c r="AU56" s="273"/>
      <c r="AV56" s="273"/>
      <c r="AW56" s="273"/>
      <c r="AX56" s="273"/>
      <c r="AY56" s="273"/>
      <c r="AZ56" s="273"/>
      <c r="BA56" s="273"/>
      <c r="BB56" s="273"/>
      <c r="BC56" s="273"/>
      <c r="BD56" s="273"/>
      <c r="BE56" s="273"/>
      <c r="BF56" s="273"/>
      <c r="BG56" s="273"/>
      <c r="BH56" s="273"/>
      <c r="BI56" s="273"/>
      <c r="BJ56" s="273"/>
      <c r="BK56" s="273"/>
      <c r="BL56" s="273"/>
      <c r="BM56" s="273"/>
      <c r="BN56" s="273"/>
      <c r="BO56" s="273"/>
      <c r="BP56" s="273"/>
      <c r="BQ56" s="273"/>
      <c r="BR56" s="273"/>
      <c r="BS56" s="273"/>
      <c r="BT56" s="273"/>
      <c r="BU56" s="273"/>
      <c r="BV56" s="273"/>
      <c r="BW56" s="273"/>
      <c r="BX56" s="272">
        <f t="shared" si="5"/>
        <v>30</v>
      </c>
      <c r="BY56" s="272">
        <f t="shared" si="5"/>
        <v>360</v>
      </c>
      <c r="BZ56" s="272">
        <f t="shared" si="2"/>
        <v>360</v>
      </c>
      <c r="CA56" s="273">
        <v>30</v>
      </c>
      <c r="CB56" s="273">
        <v>380</v>
      </c>
      <c r="CC56" s="273">
        <v>329.6</v>
      </c>
      <c r="CD56" s="273"/>
      <c r="CE56" s="273"/>
      <c r="CF56" s="273"/>
      <c r="CG56" s="273"/>
      <c r="CH56" s="273"/>
      <c r="CI56" s="273"/>
      <c r="CJ56" s="273"/>
      <c r="CK56" s="273"/>
      <c r="CL56" s="273"/>
      <c r="CM56" s="273"/>
      <c r="CN56" s="273"/>
      <c r="CO56" s="273"/>
      <c r="CP56" s="273"/>
      <c r="CQ56" s="273"/>
      <c r="CR56" s="273"/>
      <c r="CS56" s="273"/>
      <c r="CT56" s="273"/>
      <c r="CU56" s="273"/>
      <c r="CV56" s="273"/>
      <c r="CW56" s="273"/>
      <c r="CX56" s="273"/>
      <c r="CY56" s="273"/>
      <c r="CZ56" s="273"/>
      <c r="DA56" s="273"/>
      <c r="DB56" s="273"/>
      <c r="DC56" s="273"/>
      <c r="DD56" s="273"/>
      <c r="DE56" s="273"/>
      <c r="DF56" s="271"/>
      <c r="DG56" s="271"/>
      <c r="DH56" s="272">
        <f t="shared" si="3"/>
        <v>60</v>
      </c>
      <c r="DI56" s="272">
        <f t="shared" si="3"/>
        <v>740</v>
      </c>
      <c r="DJ56" s="324">
        <f t="shared" si="3"/>
        <v>689.6</v>
      </c>
      <c r="DK56" s="325"/>
      <c r="DL56" s="325"/>
    </row>
    <row r="57" spans="1:116" s="275" customFormat="1" ht="20.100000000000001" customHeight="1" x14ac:dyDescent="0.5">
      <c r="A57" s="234">
        <v>54</v>
      </c>
      <c r="B57" s="103" t="s">
        <v>508</v>
      </c>
      <c r="C57" s="187" t="s">
        <v>508</v>
      </c>
      <c r="D57" s="103" t="s">
        <v>509</v>
      </c>
      <c r="E57" s="148" t="s">
        <v>510</v>
      </c>
      <c r="F57" s="179" t="s">
        <v>511</v>
      </c>
      <c r="G57" s="322"/>
      <c r="H57" s="323"/>
      <c r="I57" s="322" t="s">
        <v>999</v>
      </c>
      <c r="J57" s="322" t="s">
        <v>994</v>
      </c>
      <c r="K57" s="241"/>
      <c r="L57" s="24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2">
        <f t="shared" si="4"/>
        <v>0</v>
      </c>
      <c r="AR57" s="272">
        <f t="shared" si="4"/>
        <v>0</v>
      </c>
      <c r="AS57" s="272">
        <f t="shared" si="4"/>
        <v>0</v>
      </c>
      <c r="AT57" s="273"/>
      <c r="AU57" s="273"/>
      <c r="AV57" s="273"/>
      <c r="AW57" s="273"/>
      <c r="AX57" s="273"/>
      <c r="AY57" s="273"/>
      <c r="AZ57" s="273"/>
      <c r="BA57" s="273"/>
      <c r="BB57" s="273"/>
      <c r="BC57" s="273"/>
      <c r="BD57" s="273"/>
      <c r="BE57" s="273"/>
      <c r="BF57" s="273"/>
      <c r="BG57" s="273"/>
      <c r="BH57" s="273"/>
      <c r="BI57" s="273"/>
      <c r="BJ57" s="273"/>
      <c r="BK57" s="273"/>
      <c r="BL57" s="273"/>
      <c r="BM57" s="273"/>
      <c r="BN57" s="273"/>
      <c r="BO57" s="273"/>
      <c r="BP57" s="273"/>
      <c r="BQ57" s="273"/>
      <c r="BR57" s="273"/>
      <c r="BS57" s="273"/>
      <c r="BT57" s="273"/>
      <c r="BU57" s="273"/>
      <c r="BV57" s="273"/>
      <c r="BW57" s="273"/>
      <c r="BX57" s="272">
        <f t="shared" si="5"/>
        <v>0</v>
      </c>
      <c r="BY57" s="272">
        <f t="shared" si="5"/>
        <v>0</v>
      </c>
      <c r="BZ57" s="272">
        <f t="shared" si="2"/>
        <v>0</v>
      </c>
      <c r="CA57" s="273"/>
      <c r="CB57" s="273"/>
      <c r="CC57" s="273"/>
      <c r="CD57" s="273"/>
      <c r="CE57" s="273"/>
      <c r="CF57" s="273"/>
      <c r="CG57" s="273"/>
      <c r="CH57" s="273"/>
      <c r="CI57" s="273"/>
      <c r="CJ57" s="273"/>
      <c r="CK57" s="273"/>
      <c r="CL57" s="273"/>
      <c r="CM57" s="273"/>
      <c r="CN57" s="273"/>
      <c r="CO57" s="273"/>
      <c r="CP57" s="273"/>
      <c r="CQ57" s="273"/>
      <c r="CR57" s="273"/>
      <c r="CS57" s="273"/>
      <c r="CT57" s="273"/>
      <c r="CU57" s="273"/>
      <c r="CV57" s="273"/>
      <c r="CW57" s="273"/>
      <c r="CX57" s="273"/>
      <c r="CY57" s="273"/>
      <c r="CZ57" s="273"/>
      <c r="DA57" s="273"/>
      <c r="DB57" s="273"/>
      <c r="DC57" s="273"/>
      <c r="DD57" s="273"/>
      <c r="DE57" s="273"/>
      <c r="DF57" s="271"/>
      <c r="DG57" s="271"/>
      <c r="DH57" s="272">
        <f t="shared" si="3"/>
        <v>0</v>
      </c>
      <c r="DI57" s="272">
        <f t="shared" si="3"/>
        <v>0</v>
      </c>
      <c r="DJ57" s="324">
        <f t="shared" si="3"/>
        <v>0</v>
      </c>
      <c r="DK57" s="325"/>
      <c r="DL57" s="325"/>
    </row>
    <row r="58" spans="1:116" s="275" customFormat="1" ht="20.100000000000001" customHeight="1" x14ac:dyDescent="0.6">
      <c r="A58" s="234">
        <v>55</v>
      </c>
      <c r="B58" s="103" t="s">
        <v>512</v>
      </c>
      <c r="C58" s="103" t="s">
        <v>513</v>
      </c>
      <c r="D58" s="103" t="s">
        <v>514</v>
      </c>
      <c r="E58" s="148" t="s">
        <v>515</v>
      </c>
      <c r="F58" s="179" t="s">
        <v>516</v>
      </c>
      <c r="G58" s="322"/>
      <c r="H58" s="323"/>
      <c r="I58" s="322" t="s">
        <v>1000</v>
      </c>
      <c r="J58" s="322" t="s">
        <v>994</v>
      </c>
      <c r="K58" s="241"/>
      <c r="L58" s="24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>
        <v>15</v>
      </c>
      <c r="AF58" s="271">
        <v>180</v>
      </c>
      <c r="AG58" s="271">
        <v>180</v>
      </c>
      <c r="AH58" s="271"/>
      <c r="AI58" s="271"/>
      <c r="AJ58" s="271"/>
      <c r="AK58" s="271"/>
      <c r="AL58" s="271"/>
      <c r="AM58" s="271"/>
      <c r="AN58" s="271"/>
      <c r="AO58" s="271"/>
      <c r="AP58" s="271"/>
      <c r="AQ58" s="272">
        <f t="shared" si="4"/>
        <v>15</v>
      </c>
      <c r="AR58" s="272">
        <f t="shared" si="4"/>
        <v>180</v>
      </c>
      <c r="AS58" s="272">
        <f t="shared" si="4"/>
        <v>180</v>
      </c>
      <c r="AT58" s="273"/>
      <c r="AU58" s="273"/>
      <c r="AV58" s="273"/>
      <c r="AW58" s="273"/>
      <c r="AX58" s="273"/>
      <c r="AY58" s="273"/>
      <c r="AZ58" s="273"/>
      <c r="BA58" s="273"/>
      <c r="BB58" s="273"/>
      <c r="BC58" s="273"/>
      <c r="BD58" s="273"/>
      <c r="BE58" s="273"/>
      <c r="BF58" s="273"/>
      <c r="BG58" s="273"/>
      <c r="BH58" s="273"/>
      <c r="BI58" s="273"/>
      <c r="BJ58" s="273"/>
      <c r="BK58" s="273"/>
      <c r="BL58" s="273">
        <v>15</v>
      </c>
      <c r="BM58" s="273">
        <v>180</v>
      </c>
      <c r="BN58" s="273">
        <v>180</v>
      </c>
      <c r="BO58" s="273"/>
      <c r="BP58" s="273"/>
      <c r="BQ58" s="273"/>
      <c r="BR58" s="273"/>
      <c r="BS58" s="273"/>
      <c r="BT58" s="273"/>
      <c r="BU58" s="273"/>
      <c r="BV58" s="273"/>
      <c r="BW58" s="273"/>
      <c r="BX58" s="272">
        <f t="shared" si="5"/>
        <v>30</v>
      </c>
      <c r="BY58" s="272">
        <f t="shared" si="5"/>
        <v>360</v>
      </c>
      <c r="BZ58" s="272">
        <f t="shared" si="2"/>
        <v>360</v>
      </c>
      <c r="CA58" s="273"/>
      <c r="CB58" s="273"/>
      <c r="CC58" s="273"/>
      <c r="CD58" s="273"/>
      <c r="CE58" s="273"/>
      <c r="CF58" s="273"/>
      <c r="CG58" s="273"/>
      <c r="CH58" s="273"/>
      <c r="CI58" s="273"/>
      <c r="CJ58" s="273"/>
      <c r="CK58" s="273"/>
      <c r="CL58" s="273"/>
      <c r="CM58" s="273"/>
      <c r="CN58" s="273"/>
      <c r="CO58" s="273"/>
      <c r="CP58" s="273">
        <v>10</v>
      </c>
      <c r="CQ58" s="273">
        <v>120</v>
      </c>
      <c r="CR58" s="273">
        <v>120</v>
      </c>
      <c r="CS58" s="273"/>
      <c r="CT58" s="273"/>
      <c r="CU58" s="273"/>
      <c r="CV58" s="273"/>
      <c r="CW58" s="273"/>
      <c r="CX58" s="273"/>
      <c r="CY58" s="273"/>
      <c r="CZ58" s="273"/>
      <c r="DA58" s="273"/>
      <c r="DB58" s="273"/>
      <c r="DC58" s="273"/>
      <c r="DD58" s="273"/>
      <c r="DE58" s="273"/>
      <c r="DF58" s="271"/>
      <c r="DG58" s="271"/>
      <c r="DH58" s="272">
        <f t="shared" si="3"/>
        <v>40</v>
      </c>
      <c r="DI58" s="272">
        <f t="shared" si="3"/>
        <v>480</v>
      </c>
      <c r="DJ58" s="324">
        <f t="shared" si="3"/>
        <v>480</v>
      </c>
      <c r="DK58" s="325"/>
      <c r="DL58" s="325"/>
    </row>
    <row r="59" spans="1:116" s="275" customFormat="1" ht="20.100000000000001" customHeight="1" x14ac:dyDescent="0.6">
      <c r="A59" s="234">
        <v>56</v>
      </c>
      <c r="B59" s="103" t="s">
        <v>517</v>
      </c>
      <c r="C59" s="103" t="s">
        <v>518</v>
      </c>
      <c r="D59" s="103" t="s">
        <v>168</v>
      </c>
      <c r="E59" s="148" t="s">
        <v>169</v>
      </c>
      <c r="F59" s="179" t="s">
        <v>516</v>
      </c>
      <c r="G59" s="322"/>
      <c r="H59" s="323"/>
      <c r="I59" s="322" t="s">
        <v>1001</v>
      </c>
      <c r="J59" s="322" t="s">
        <v>994</v>
      </c>
      <c r="K59" s="241"/>
      <c r="L59" s="24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>
        <v>10.5</v>
      </c>
      <c r="AL59" s="271">
        <v>168</v>
      </c>
      <c r="AM59" s="271">
        <v>109.8</v>
      </c>
      <c r="AN59" s="271">
        <v>6</v>
      </c>
      <c r="AO59" s="271">
        <v>240</v>
      </c>
      <c r="AP59" s="271">
        <v>84</v>
      </c>
      <c r="AQ59" s="272">
        <f t="shared" si="4"/>
        <v>16.5</v>
      </c>
      <c r="AR59" s="272">
        <f t="shared" si="4"/>
        <v>408</v>
      </c>
      <c r="AS59" s="272">
        <f t="shared" si="4"/>
        <v>193.8</v>
      </c>
      <c r="AT59" s="273"/>
      <c r="AU59" s="273"/>
      <c r="AV59" s="273"/>
      <c r="AW59" s="273"/>
      <c r="AX59" s="273"/>
      <c r="AY59" s="273"/>
      <c r="AZ59" s="273"/>
      <c r="BA59" s="273"/>
      <c r="BB59" s="273"/>
      <c r="BC59" s="273"/>
      <c r="BD59" s="273"/>
      <c r="BE59" s="273"/>
      <c r="BF59" s="273"/>
      <c r="BG59" s="273"/>
      <c r="BH59" s="273"/>
      <c r="BI59" s="273"/>
      <c r="BJ59" s="273"/>
      <c r="BK59" s="273"/>
      <c r="BL59" s="273">
        <v>15</v>
      </c>
      <c r="BM59" s="273">
        <v>180</v>
      </c>
      <c r="BN59" s="273">
        <v>180</v>
      </c>
      <c r="BO59" s="273"/>
      <c r="BP59" s="273"/>
      <c r="BQ59" s="273"/>
      <c r="BR59" s="273"/>
      <c r="BS59" s="273"/>
      <c r="BT59" s="273"/>
      <c r="BU59" s="273"/>
      <c r="BV59" s="273"/>
      <c r="BW59" s="273"/>
      <c r="BX59" s="272">
        <f t="shared" si="5"/>
        <v>31.5</v>
      </c>
      <c r="BY59" s="272">
        <f t="shared" si="5"/>
        <v>588</v>
      </c>
      <c r="BZ59" s="272">
        <f t="shared" si="2"/>
        <v>373.8</v>
      </c>
      <c r="CA59" s="273"/>
      <c r="CB59" s="273"/>
      <c r="CC59" s="273"/>
      <c r="CD59" s="273"/>
      <c r="CE59" s="273"/>
      <c r="CF59" s="273"/>
      <c r="CG59" s="273">
        <v>14</v>
      </c>
      <c r="CH59" s="273">
        <v>336</v>
      </c>
      <c r="CI59" s="273">
        <v>156</v>
      </c>
      <c r="CJ59" s="273"/>
      <c r="CK59" s="273"/>
      <c r="CL59" s="273"/>
      <c r="CM59" s="273"/>
      <c r="CN59" s="273"/>
      <c r="CO59" s="273"/>
      <c r="CP59" s="273"/>
      <c r="CQ59" s="273"/>
      <c r="CR59" s="273"/>
      <c r="CS59" s="273"/>
      <c r="CT59" s="273"/>
      <c r="CU59" s="273"/>
      <c r="CV59" s="273"/>
      <c r="CW59" s="273"/>
      <c r="CX59" s="273"/>
      <c r="CY59" s="273"/>
      <c r="CZ59" s="273"/>
      <c r="DA59" s="273"/>
      <c r="DB59" s="273"/>
      <c r="DC59" s="273"/>
      <c r="DD59" s="273"/>
      <c r="DE59" s="273"/>
      <c r="DF59" s="271"/>
      <c r="DG59" s="271"/>
      <c r="DH59" s="272">
        <f t="shared" si="3"/>
        <v>45.5</v>
      </c>
      <c r="DI59" s="272">
        <f t="shared" si="3"/>
        <v>924</v>
      </c>
      <c r="DJ59" s="324">
        <f t="shared" si="3"/>
        <v>529.79999999999995</v>
      </c>
      <c r="DK59" s="325"/>
      <c r="DL59" s="325"/>
    </row>
    <row r="60" spans="1:116" s="275" customFormat="1" ht="20.100000000000001" customHeight="1" x14ac:dyDescent="0.6">
      <c r="A60" s="234">
        <v>57</v>
      </c>
      <c r="B60" s="103" t="s">
        <v>519</v>
      </c>
      <c r="C60" s="103" t="s">
        <v>520</v>
      </c>
      <c r="D60" s="103" t="s">
        <v>168</v>
      </c>
      <c r="E60" s="148" t="s">
        <v>169</v>
      </c>
      <c r="F60" s="179" t="s">
        <v>516</v>
      </c>
      <c r="G60" s="322"/>
      <c r="H60" s="323"/>
      <c r="I60" s="322" t="s">
        <v>1002</v>
      </c>
      <c r="J60" s="322" t="s">
        <v>994</v>
      </c>
      <c r="K60" s="241"/>
      <c r="L60" s="24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2">
        <f t="shared" si="4"/>
        <v>0</v>
      </c>
      <c r="AR60" s="272">
        <f t="shared" si="4"/>
        <v>0</v>
      </c>
      <c r="AS60" s="272">
        <f t="shared" si="4"/>
        <v>0</v>
      </c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3"/>
      <c r="BL60" s="273"/>
      <c r="BM60" s="273"/>
      <c r="BN60" s="273"/>
      <c r="BO60" s="273"/>
      <c r="BP60" s="273"/>
      <c r="BQ60" s="273"/>
      <c r="BR60" s="273"/>
      <c r="BS60" s="273"/>
      <c r="BT60" s="273"/>
      <c r="BU60" s="273"/>
      <c r="BV60" s="273"/>
      <c r="BW60" s="273"/>
      <c r="BX60" s="272">
        <f t="shared" si="5"/>
        <v>0</v>
      </c>
      <c r="BY60" s="272">
        <f t="shared" si="5"/>
        <v>0</v>
      </c>
      <c r="BZ60" s="272">
        <f t="shared" si="2"/>
        <v>0</v>
      </c>
      <c r="CA60" s="273"/>
      <c r="CB60" s="273"/>
      <c r="CC60" s="273"/>
      <c r="CD60" s="273"/>
      <c r="CE60" s="273"/>
      <c r="CF60" s="273"/>
      <c r="CG60" s="273">
        <v>15</v>
      </c>
      <c r="CH60" s="273">
        <v>180</v>
      </c>
      <c r="CI60" s="273">
        <v>180</v>
      </c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1"/>
      <c r="DG60" s="271"/>
      <c r="DH60" s="272">
        <f t="shared" si="3"/>
        <v>15</v>
      </c>
      <c r="DI60" s="272">
        <f t="shared" si="3"/>
        <v>180</v>
      </c>
      <c r="DJ60" s="324">
        <f t="shared" si="3"/>
        <v>180</v>
      </c>
      <c r="DK60" s="325"/>
      <c r="DL60" s="325"/>
    </row>
    <row r="61" spans="1:116" s="275" customFormat="1" ht="20.100000000000001" customHeight="1" x14ac:dyDescent="0.6">
      <c r="A61" s="234">
        <v>58</v>
      </c>
      <c r="B61" s="103" t="s">
        <v>521</v>
      </c>
      <c r="C61" s="103" t="s">
        <v>522</v>
      </c>
      <c r="D61" s="103" t="s">
        <v>168</v>
      </c>
      <c r="E61" s="148" t="s">
        <v>169</v>
      </c>
      <c r="F61" s="179" t="s">
        <v>516</v>
      </c>
      <c r="G61" s="322"/>
      <c r="H61" s="323"/>
      <c r="I61" s="322" t="s">
        <v>1003</v>
      </c>
      <c r="J61" s="322" t="s">
        <v>994</v>
      </c>
      <c r="K61" s="241"/>
      <c r="L61" s="24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>
        <v>16</v>
      </c>
      <c r="AL61" s="271">
        <v>360</v>
      </c>
      <c r="AM61" s="271">
        <v>204</v>
      </c>
      <c r="AN61" s="271"/>
      <c r="AO61" s="271"/>
      <c r="AP61" s="271"/>
      <c r="AQ61" s="272">
        <f t="shared" si="4"/>
        <v>16</v>
      </c>
      <c r="AR61" s="272">
        <f t="shared" si="4"/>
        <v>360</v>
      </c>
      <c r="AS61" s="272">
        <f t="shared" si="4"/>
        <v>204</v>
      </c>
      <c r="AT61" s="273"/>
      <c r="AU61" s="273"/>
      <c r="AV61" s="273"/>
      <c r="AW61" s="273"/>
      <c r="AX61" s="273"/>
      <c r="AY61" s="273"/>
      <c r="AZ61" s="273"/>
      <c r="BA61" s="273"/>
      <c r="BB61" s="273"/>
      <c r="BC61" s="273"/>
      <c r="BD61" s="273"/>
      <c r="BE61" s="273"/>
      <c r="BF61" s="273"/>
      <c r="BG61" s="273"/>
      <c r="BH61" s="273"/>
      <c r="BI61" s="273"/>
      <c r="BJ61" s="273"/>
      <c r="BK61" s="273"/>
      <c r="BL61" s="273"/>
      <c r="BM61" s="273"/>
      <c r="BN61" s="273"/>
      <c r="BO61" s="273"/>
      <c r="BP61" s="273"/>
      <c r="BQ61" s="273"/>
      <c r="BR61" s="273"/>
      <c r="BS61" s="273"/>
      <c r="BT61" s="273"/>
      <c r="BU61" s="273"/>
      <c r="BV61" s="273"/>
      <c r="BW61" s="273"/>
      <c r="BX61" s="272">
        <f t="shared" si="5"/>
        <v>16</v>
      </c>
      <c r="BY61" s="272">
        <f t="shared" si="5"/>
        <v>360</v>
      </c>
      <c r="BZ61" s="272">
        <f t="shared" si="2"/>
        <v>204</v>
      </c>
      <c r="CA61" s="273"/>
      <c r="CB61" s="273"/>
      <c r="CC61" s="273"/>
      <c r="CD61" s="273"/>
      <c r="CE61" s="273"/>
      <c r="CF61" s="273"/>
      <c r="CG61" s="273">
        <v>6</v>
      </c>
      <c r="CH61" s="273">
        <v>72</v>
      </c>
      <c r="CI61" s="273">
        <v>72</v>
      </c>
      <c r="CJ61" s="273"/>
      <c r="CK61" s="273"/>
      <c r="CL61" s="273"/>
      <c r="CM61" s="273"/>
      <c r="CN61" s="273"/>
      <c r="CO61" s="273"/>
      <c r="CP61" s="273"/>
      <c r="CQ61" s="273"/>
      <c r="CR61" s="273"/>
      <c r="CS61" s="273"/>
      <c r="CT61" s="273"/>
      <c r="CU61" s="273"/>
      <c r="CV61" s="273"/>
      <c r="CW61" s="273"/>
      <c r="CX61" s="273"/>
      <c r="CY61" s="273"/>
      <c r="CZ61" s="273"/>
      <c r="DA61" s="273"/>
      <c r="DB61" s="273"/>
      <c r="DC61" s="273"/>
      <c r="DD61" s="273"/>
      <c r="DE61" s="273"/>
      <c r="DF61" s="271"/>
      <c r="DG61" s="271"/>
      <c r="DH61" s="272">
        <f t="shared" si="3"/>
        <v>22</v>
      </c>
      <c r="DI61" s="272">
        <f t="shared" si="3"/>
        <v>432</v>
      </c>
      <c r="DJ61" s="324">
        <f t="shared" si="3"/>
        <v>276</v>
      </c>
      <c r="DK61" s="325"/>
      <c r="DL61" s="325"/>
    </row>
    <row r="62" spans="1:116" s="275" customFormat="1" ht="20.100000000000001" customHeight="1" x14ac:dyDescent="0.6">
      <c r="A62" s="234">
        <v>59</v>
      </c>
      <c r="B62" s="103" t="s">
        <v>523</v>
      </c>
      <c r="C62" s="103" t="s">
        <v>524</v>
      </c>
      <c r="D62" s="103" t="s">
        <v>168</v>
      </c>
      <c r="E62" s="148" t="s">
        <v>169</v>
      </c>
      <c r="F62" s="179" t="s">
        <v>516</v>
      </c>
      <c r="G62" s="322"/>
      <c r="H62" s="323"/>
      <c r="I62" s="322" t="s">
        <v>1004</v>
      </c>
      <c r="J62" s="322" t="s">
        <v>994</v>
      </c>
      <c r="K62" s="241"/>
      <c r="L62" s="24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>
        <v>30</v>
      </c>
      <c r="AO62" s="271">
        <v>780</v>
      </c>
      <c r="AP62" s="271">
        <v>318</v>
      </c>
      <c r="AQ62" s="272">
        <f t="shared" si="4"/>
        <v>30</v>
      </c>
      <c r="AR62" s="272">
        <f t="shared" si="4"/>
        <v>780</v>
      </c>
      <c r="AS62" s="272">
        <f t="shared" si="4"/>
        <v>318</v>
      </c>
      <c r="AT62" s="273"/>
      <c r="AU62" s="273"/>
      <c r="AV62" s="273"/>
      <c r="AW62" s="273"/>
      <c r="AX62" s="273"/>
      <c r="AY62" s="273"/>
      <c r="AZ62" s="273"/>
      <c r="BA62" s="273"/>
      <c r="BB62" s="273"/>
      <c r="BC62" s="273"/>
      <c r="BD62" s="273"/>
      <c r="BE62" s="273"/>
      <c r="BF62" s="273"/>
      <c r="BG62" s="273"/>
      <c r="BH62" s="273"/>
      <c r="BI62" s="273"/>
      <c r="BJ62" s="273"/>
      <c r="BK62" s="273"/>
      <c r="BL62" s="273"/>
      <c r="BM62" s="273"/>
      <c r="BN62" s="273"/>
      <c r="BO62" s="273"/>
      <c r="BP62" s="273"/>
      <c r="BQ62" s="273"/>
      <c r="BR62" s="273"/>
      <c r="BS62" s="273"/>
      <c r="BT62" s="273"/>
      <c r="BU62" s="273"/>
      <c r="BV62" s="273"/>
      <c r="BW62" s="273"/>
      <c r="BX62" s="272">
        <f t="shared" si="5"/>
        <v>30</v>
      </c>
      <c r="BY62" s="272">
        <f t="shared" si="5"/>
        <v>780</v>
      </c>
      <c r="BZ62" s="272">
        <f t="shared" si="2"/>
        <v>318</v>
      </c>
      <c r="CA62" s="273"/>
      <c r="CB62" s="273"/>
      <c r="CC62" s="273"/>
      <c r="CD62" s="273"/>
      <c r="CE62" s="273"/>
      <c r="CF62" s="273"/>
      <c r="CG62" s="273">
        <v>50</v>
      </c>
      <c r="CH62" s="273">
        <v>750</v>
      </c>
      <c r="CI62" s="273">
        <v>570.79999999999995</v>
      </c>
      <c r="CJ62" s="273"/>
      <c r="CK62" s="273"/>
      <c r="CL62" s="273"/>
      <c r="CM62" s="273"/>
      <c r="CN62" s="273"/>
      <c r="CO62" s="273"/>
      <c r="CP62" s="273"/>
      <c r="CQ62" s="273"/>
      <c r="CR62" s="273"/>
      <c r="CS62" s="273"/>
      <c r="CT62" s="273"/>
      <c r="CU62" s="273"/>
      <c r="CV62" s="273"/>
      <c r="CW62" s="273"/>
      <c r="CX62" s="273"/>
      <c r="CY62" s="273"/>
      <c r="CZ62" s="273"/>
      <c r="DA62" s="273"/>
      <c r="DB62" s="273"/>
      <c r="DC62" s="273"/>
      <c r="DD62" s="273"/>
      <c r="DE62" s="273"/>
      <c r="DF62" s="271"/>
      <c r="DG62" s="271"/>
      <c r="DH62" s="272">
        <f t="shared" si="3"/>
        <v>80</v>
      </c>
      <c r="DI62" s="272">
        <f t="shared" si="3"/>
        <v>1530</v>
      </c>
      <c r="DJ62" s="324">
        <f t="shared" si="3"/>
        <v>888.8</v>
      </c>
      <c r="DK62" s="325"/>
      <c r="DL62" s="325"/>
    </row>
    <row r="63" spans="1:116" s="275" customFormat="1" ht="20.100000000000001" customHeight="1" x14ac:dyDescent="0.6">
      <c r="A63" s="234">
        <v>60</v>
      </c>
      <c r="B63" s="103" t="s">
        <v>525</v>
      </c>
      <c r="C63" s="103" t="s">
        <v>526</v>
      </c>
      <c r="D63" s="103" t="s">
        <v>168</v>
      </c>
      <c r="E63" s="148" t="s">
        <v>169</v>
      </c>
      <c r="F63" s="179" t="s">
        <v>516</v>
      </c>
      <c r="G63" s="322"/>
      <c r="H63" s="323"/>
      <c r="I63" s="322" t="s">
        <v>1005</v>
      </c>
      <c r="J63" s="322" t="s">
        <v>994</v>
      </c>
      <c r="K63" s="241"/>
      <c r="L63" s="24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>
        <v>22</v>
      </c>
      <c r="AL63" s="271">
        <v>320</v>
      </c>
      <c r="AM63" s="271">
        <v>268</v>
      </c>
      <c r="AN63" s="271"/>
      <c r="AO63" s="271"/>
      <c r="AP63" s="271"/>
      <c r="AQ63" s="272">
        <f t="shared" si="4"/>
        <v>22</v>
      </c>
      <c r="AR63" s="272">
        <f t="shared" si="4"/>
        <v>320</v>
      </c>
      <c r="AS63" s="272">
        <f t="shared" si="4"/>
        <v>268</v>
      </c>
      <c r="AT63" s="273"/>
      <c r="AU63" s="273"/>
      <c r="AV63" s="273"/>
      <c r="AW63" s="273"/>
      <c r="AX63" s="273"/>
      <c r="AY63" s="273"/>
      <c r="AZ63" s="273"/>
      <c r="BA63" s="273"/>
      <c r="BB63" s="273"/>
      <c r="BC63" s="273"/>
      <c r="BD63" s="273"/>
      <c r="BE63" s="273"/>
      <c r="BF63" s="273"/>
      <c r="BG63" s="273"/>
      <c r="BH63" s="273"/>
      <c r="BI63" s="273"/>
      <c r="BJ63" s="273"/>
      <c r="BK63" s="273"/>
      <c r="BL63" s="273"/>
      <c r="BM63" s="273"/>
      <c r="BN63" s="273"/>
      <c r="BO63" s="273"/>
      <c r="BP63" s="273"/>
      <c r="BQ63" s="273"/>
      <c r="BR63" s="273"/>
      <c r="BS63" s="273"/>
      <c r="BT63" s="273"/>
      <c r="BU63" s="273"/>
      <c r="BV63" s="273"/>
      <c r="BW63" s="273"/>
      <c r="BX63" s="272">
        <f t="shared" si="5"/>
        <v>22</v>
      </c>
      <c r="BY63" s="272">
        <f t="shared" si="5"/>
        <v>320</v>
      </c>
      <c r="BZ63" s="272">
        <f t="shared" si="2"/>
        <v>268</v>
      </c>
      <c r="CA63" s="273"/>
      <c r="CB63" s="273"/>
      <c r="CC63" s="273"/>
      <c r="CD63" s="273"/>
      <c r="CE63" s="273"/>
      <c r="CF63" s="273"/>
      <c r="CG63" s="273">
        <v>3</v>
      </c>
      <c r="CH63" s="273">
        <v>36</v>
      </c>
      <c r="CI63" s="273">
        <v>25.2</v>
      </c>
      <c r="CJ63" s="273"/>
      <c r="CK63" s="273"/>
      <c r="CL63" s="273"/>
      <c r="CM63" s="273"/>
      <c r="CN63" s="273"/>
      <c r="CO63" s="273"/>
      <c r="CP63" s="273"/>
      <c r="CQ63" s="273"/>
      <c r="CR63" s="273"/>
      <c r="CS63" s="273"/>
      <c r="CT63" s="273"/>
      <c r="CU63" s="273"/>
      <c r="CV63" s="273"/>
      <c r="CW63" s="273"/>
      <c r="CX63" s="273"/>
      <c r="CY63" s="273"/>
      <c r="CZ63" s="273"/>
      <c r="DA63" s="273"/>
      <c r="DB63" s="273"/>
      <c r="DC63" s="273"/>
      <c r="DD63" s="273"/>
      <c r="DE63" s="273"/>
      <c r="DF63" s="271"/>
      <c r="DG63" s="271"/>
      <c r="DH63" s="272">
        <f t="shared" si="3"/>
        <v>25</v>
      </c>
      <c r="DI63" s="272">
        <f t="shared" si="3"/>
        <v>356</v>
      </c>
      <c r="DJ63" s="324">
        <f t="shared" si="3"/>
        <v>293.2</v>
      </c>
      <c r="DK63" s="325"/>
      <c r="DL63" s="325"/>
    </row>
    <row r="64" spans="1:116" s="275" customFormat="1" ht="20.100000000000001" customHeight="1" x14ac:dyDescent="0.6">
      <c r="A64" s="234">
        <v>61</v>
      </c>
      <c r="B64" s="103" t="s">
        <v>527</v>
      </c>
      <c r="C64" s="103" t="s">
        <v>528</v>
      </c>
      <c r="D64" s="103" t="s">
        <v>168</v>
      </c>
      <c r="E64" s="148" t="s">
        <v>169</v>
      </c>
      <c r="F64" s="179" t="s">
        <v>516</v>
      </c>
      <c r="G64" s="322"/>
      <c r="H64" s="323"/>
      <c r="I64" s="322" t="s">
        <v>1006</v>
      </c>
      <c r="J64" s="322" t="s">
        <v>994</v>
      </c>
      <c r="K64" s="241"/>
      <c r="L64" s="24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2">
        <f t="shared" si="4"/>
        <v>0</v>
      </c>
      <c r="AR64" s="272">
        <f t="shared" si="4"/>
        <v>0</v>
      </c>
      <c r="AS64" s="272">
        <f t="shared" si="4"/>
        <v>0</v>
      </c>
      <c r="AT64" s="273"/>
      <c r="AU64" s="273"/>
      <c r="AV64" s="273"/>
      <c r="AW64" s="273"/>
      <c r="AX64" s="273"/>
      <c r="AY64" s="273"/>
      <c r="AZ64" s="273"/>
      <c r="BA64" s="273"/>
      <c r="BB64" s="273"/>
      <c r="BC64" s="273"/>
      <c r="BD64" s="273"/>
      <c r="BE64" s="273"/>
      <c r="BF64" s="273"/>
      <c r="BG64" s="273"/>
      <c r="BH64" s="273"/>
      <c r="BI64" s="273"/>
      <c r="BJ64" s="273"/>
      <c r="BK64" s="273"/>
      <c r="BL64" s="273"/>
      <c r="BM64" s="273"/>
      <c r="BN64" s="273"/>
      <c r="BO64" s="273"/>
      <c r="BP64" s="273"/>
      <c r="BQ64" s="273"/>
      <c r="BR64" s="273"/>
      <c r="BS64" s="273"/>
      <c r="BT64" s="273"/>
      <c r="BU64" s="273"/>
      <c r="BV64" s="273"/>
      <c r="BW64" s="273"/>
      <c r="BX64" s="272">
        <f t="shared" si="5"/>
        <v>0</v>
      </c>
      <c r="BY64" s="272">
        <f t="shared" si="5"/>
        <v>0</v>
      </c>
      <c r="BZ64" s="272">
        <f t="shared" si="2"/>
        <v>0</v>
      </c>
      <c r="CA64" s="273"/>
      <c r="CB64" s="273"/>
      <c r="CC64" s="273"/>
      <c r="CD64" s="273"/>
      <c r="CE64" s="273"/>
      <c r="CF64" s="273"/>
      <c r="CG64" s="273">
        <v>10</v>
      </c>
      <c r="CH64" s="273">
        <v>260</v>
      </c>
      <c r="CI64" s="273">
        <v>130</v>
      </c>
      <c r="CJ64" s="273"/>
      <c r="CK64" s="273"/>
      <c r="CL64" s="273"/>
      <c r="CM64" s="273"/>
      <c r="CN64" s="273"/>
      <c r="CO64" s="273"/>
      <c r="CP64" s="273"/>
      <c r="CQ64" s="273"/>
      <c r="CR64" s="273"/>
      <c r="CS64" s="273"/>
      <c r="CT64" s="273"/>
      <c r="CU64" s="273"/>
      <c r="CV64" s="273"/>
      <c r="CW64" s="273"/>
      <c r="CX64" s="273"/>
      <c r="CY64" s="273"/>
      <c r="CZ64" s="273"/>
      <c r="DA64" s="273"/>
      <c r="DB64" s="273"/>
      <c r="DC64" s="273"/>
      <c r="DD64" s="273"/>
      <c r="DE64" s="273"/>
      <c r="DF64" s="271"/>
      <c r="DG64" s="271"/>
      <c r="DH64" s="272">
        <f t="shared" si="3"/>
        <v>10</v>
      </c>
      <c r="DI64" s="272">
        <f t="shared" si="3"/>
        <v>260</v>
      </c>
      <c r="DJ64" s="324">
        <f t="shared" si="3"/>
        <v>130</v>
      </c>
      <c r="DK64" s="325"/>
      <c r="DL64" s="325"/>
    </row>
    <row r="65" spans="1:116" s="275" customFormat="1" ht="20.100000000000001" customHeight="1" x14ac:dyDescent="0.6">
      <c r="A65" s="234">
        <v>62</v>
      </c>
      <c r="B65" s="103" t="s">
        <v>529</v>
      </c>
      <c r="C65" s="103" t="s">
        <v>529</v>
      </c>
      <c r="D65" s="103" t="s">
        <v>168</v>
      </c>
      <c r="E65" s="148" t="s">
        <v>169</v>
      </c>
      <c r="F65" s="179" t="s">
        <v>516</v>
      </c>
      <c r="G65" s="322"/>
      <c r="H65" s="323"/>
      <c r="I65" s="322" t="s">
        <v>1007</v>
      </c>
      <c r="J65" s="322" t="s">
        <v>994</v>
      </c>
      <c r="K65" s="241"/>
      <c r="L65" s="24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2">
        <f t="shared" si="4"/>
        <v>0</v>
      </c>
      <c r="AR65" s="272">
        <f t="shared" si="4"/>
        <v>0</v>
      </c>
      <c r="AS65" s="272">
        <f t="shared" si="4"/>
        <v>0</v>
      </c>
      <c r="AT65" s="273"/>
      <c r="AU65" s="273"/>
      <c r="AV65" s="273"/>
      <c r="AW65" s="273"/>
      <c r="AX65" s="273"/>
      <c r="AY65" s="273"/>
      <c r="AZ65" s="273"/>
      <c r="BA65" s="273"/>
      <c r="BB65" s="273"/>
      <c r="BC65" s="273">
        <v>37</v>
      </c>
      <c r="BD65" s="273">
        <v>500</v>
      </c>
      <c r="BE65" s="273">
        <v>448</v>
      </c>
      <c r="BF65" s="273">
        <v>10</v>
      </c>
      <c r="BG65" s="273">
        <v>120</v>
      </c>
      <c r="BH65" s="273">
        <v>72</v>
      </c>
      <c r="BI65" s="273"/>
      <c r="BJ65" s="273"/>
      <c r="BK65" s="273"/>
      <c r="BL65" s="273"/>
      <c r="BM65" s="273"/>
      <c r="BN65" s="273"/>
      <c r="BO65" s="273"/>
      <c r="BP65" s="273"/>
      <c r="BQ65" s="273"/>
      <c r="BR65" s="273"/>
      <c r="BS65" s="273"/>
      <c r="BT65" s="273"/>
      <c r="BU65" s="273"/>
      <c r="BV65" s="273"/>
      <c r="BW65" s="273"/>
      <c r="BX65" s="272">
        <f t="shared" si="5"/>
        <v>47</v>
      </c>
      <c r="BY65" s="272">
        <f t="shared" si="5"/>
        <v>620</v>
      </c>
      <c r="BZ65" s="272">
        <f t="shared" si="2"/>
        <v>520</v>
      </c>
      <c r="CA65" s="273"/>
      <c r="CB65" s="273"/>
      <c r="CC65" s="273"/>
      <c r="CD65" s="273"/>
      <c r="CE65" s="273"/>
      <c r="CF65" s="273"/>
      <c r="CG65" s="273"/>
      <c r="CH65" s="273"/>
      <c r="CI65" s="273"/>
      <c r="CJ65" s="273"/>
      <c r="CK65" s="273"/>
      <c r="CL65" s="273"/>
      <c r="CM65" s="273"/>
      <c r="CN65" s="273"/>
      <c r="CO65" s="273"/>
      <c r="CP65" s="273"/>
      <c r="CQ65" s="273"/>
      <c r="CR65" s="273"/>
      <c r="CS65" s="273"/>
      <c r="CT65" s="273"/>
      <c r="CU65" s="273"/>
      <c r="CV65" s="273"/>
      <c r="CW65" s="273"/>
      <c r="CX65" s="273"/>
      <c r="CY65" s="273">
        <v>40</v>
      </c>
      <c r="CZ65" s="273">
        <v>620</v>
      </c>
      <c r="DA65" s="273">
        <v>490</v>
      </c>
      <c r="DB65" s="273"/>
      <c r="DC65" s="273"/>
      <c r="DD65" s="273"/>
      <c r="DE65" s="273"/>
      <c r="DF65" s="271"/>
      <c r="DG65" s="271"/>
      <c r="DH65" s="272">
        <f t="shared" si="3"/>
        <v>87</v>
      </c>
      <c r="DI65" s="272">
        <f t="shared" si="3"/>
        <v>1240</v>
      </c>
      <c r="DJ65" s="324">
        <f t="shared" si="3"/>
        <v>1010</v>
      </c>
      <c r="DK65" s="325"/>
      <c r="DL65" s="325"/>
    </row>
    <row r="66" spans="1:116" s="275" customFormat="1" ht="20.100000000000001" customHeight="1" x14ac:dyDescent="0.6">
      <c r="A66" s="234">
        <v>63</v>
      </c>
      <c r="B66" s="103" t="s">
        <v>530</v>
      </c>
      <c r="C66" s="103" t="s">
        <v>530</v>
      </c>
      <c r="D66" s="103" t="s">
        <v>141</v>
      </c>
      <c r="E66" s="148"/>
      <c r="F66" s="179" t="s">
        <v>516</v>
      </c>
      <c r="G66" s="322"/>
      <c r="H66" s="323"/>
      <c r="I66" s="322" t="s">
        <v>1008</v>
      </c>
      <c r="J66" s="322" t="s">
        <v>994</v>
      </c>
      <c r="K66" s="241"/>
      <c r="L66" s="24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  <c r="AO66" s="271"/>
      <c r="AP66" s="271"/>
      <c r="AQ66" s="272">
        <f t="shared" si="4"/>
        <v>0</v>
      </c>
      <c r="AR66" s="272">
        <f t="shared" si="4"/>
        <v>0</v>
      </c>
      <c r="AS66" s="272">
        <f t="shared" si="4"/>
        <v>0</v>
      </c>
      <c r="AT66" s="273"/>
      <c r="AU66" s="273"/>
      <c r="AV66" s="273"/>
      <c r="AW66" s="273"/>
      <c r="AX66" s="273"/>
      <c r="AY66" s="273"/>
      <c r="AZ66" s="273"/>
      <c r="BA66" s="273"/>
      <c r="BB66" s="273"/>
      <c r="BC66" s="273"/>
      <c r="BD66" s="273"/>
      <c r="BE66" s="273"/>
      <c r="BF66" s="273"/>
      <c r="BG66" s="273"/>
      <c r="BH66" s="273"/>
      <c r="BI66" s="273"/>
      <c r="BJ66" s="273"/>
      <c r="BK66" s="273"/>
      <c r="BL66" s="273"/>
      <c r="BM66" s="273"/>
      <c r="BN66" s="273"/>
      <c r="BO66" s="273"/>
      <c r="BP66" s="273"/>
      <c r="BQ66" s="273"/>
      <c r="BR66" s="273">
        <v>34</v>
      </c>
      <c r="BS66" s="273">
        <v>464</v>
      </c>
      <c r="BT66" s="273">
        <v>402.4</v>
      </c>
      <c r="BU66" s="273"/>
      <c r="BV66" s="273"/>
      <c r="BW66" s="273"/>
      <c r="BX66" s="272">
        <f t="shared" si="5"/>
        <v>34</v>
      </c>
      <c r="BY66" s="272">
        <f t="shared" si="5"/>
        <v>464</v>
      </c>
      <c r="BZ66" s="272">
        <f t="shared" si="2"/>
        <v>402.4</v>
      </c>
      <c r="CA66" s="273"/>
      <c r="CB66" s="273"/>
      <c r="CC66" s="273"/>
      <c r="CD66" s="273"/>
      <c r="CE66" s="273"/>
      <c r="CF66" s="273"/>
      <c r="CG66" s="273"/>
      <c r="CH66" s="273"/>
      <c r="CI66" s="273"/>
      <c r="CJ66" s="273"/>
      <c r="CK66" s="273"/>
      <c r="CL66" s="273"/>
      <c r="CM66" s="273"/>
      <c r="CN66" s="273"/>
      <c r="CO66" s="273"/>
      <c r="CP66" s="273"/>
      <c r="CQ66" s="273"/>
      <c r="CR66" s="273"/>
      <c r="CS66" s="273"/>
      <c r="CT66" s="273"/>
      <c r="CU66" s="273"/>
      <c r="CV66" s="273"/>
      <c r="CW66" s="273"/>
      <c r="CX66" s="273"/>
      <c r="CY66" s="273"/>
      <c r="CZ66" s="273"/>
      <c r="DA66" s="273"/>
      <c r="DB66" s="273"/>
      <c r="DC66" s="273"/>
      <c r="DD66" s="273"/>
      <c r="DE66" s="273"/>
      <c r="DF66" s="271"/>
      <c r="DG66" s="271"/>
      <c r="DH66" s="272">
        <f t="shared" si="3"/>
        <v>34</v>
      </c>
      <c r="DI66" s="272">
        <f t="shared" si="3"/>
        <v>464</v>
      </c>
      <c r="DJ66" s="324">
        <f t="shared" si="3"/>
        <v>402.4</v>
      </c>
      <c r="DK66" s="325"/>
      <c r="DL66" s="325"/>
    </row>
    <row r="67" spans="1:116" s="275" customFormat="1" ht="20.100000000000001" customHeight="1" x14ac:dyDescent="0.6">
      <c r="A67" s="234">
        <v>64</v>
      </c>
      <c r="B67" s="103" t="s">
        <v>465</v>
      </c>
      <c r="C67" s="103" t="s">
        <v>465</v>
      </c>
      <c r="D67" s="103" t="s">
        <v>531</v>
      </c>
      <c r="E67" s="148" t="s">
        <v>532</v>
      </c>
      <c r="F67" s="179" t="s">
        <v>516</v>
      </c>
      <c r="G67" s="322"/>
      <c r="H67" s="323"/>
      <c r="I67" s="322" t="s">
        <v>1009</v>
      </c>
      <c r="J67" s="322" t="s">
        <v>994</v>
      </c>
      <c r="K67" s="241"/>
      <c r="L67" s="24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2">
        <f t="shared" si="4"/>
        <v>0</v>
      </c>
      <c r="AR67" s="272">
        <f t="shared" si="4"/>
        <v>0</v>
      </c>
      <c r="AS67" s="272">
        <f t="shared" si="4"/>
        <v>0</v>
      </c>
      <c r="AT67" s="273"/>
      <c r="AU67" s="273"/>
      <c r="AV67" s="273"/>
      <c r="AW67" s="273"/>
      <c r="AX67" s="273"/>
      <c r="AY67" s="273"/>
      <c r="AZ67" s="273">
        <v>30</v>
      </c>
      <c r="BA67" s="273">
        <v>426</v>
      </c>
      <c r="BB67" s="273">
        <v>338</v>
      </c>
      <c r="BC67" s="273"/>
      <c r="BD67" s="273"/>
      <c r="BE67" s="273"/>
      <c r="BF67" s="273"/>
      <c r="BG67" s="273"/>
      <c r="BH67" s="273"/>
      <c r="BI67" s="273"/>
      <c r="BJ67" s="273"/>
      <c r="BK67" s="273"/>
      <c r="BL67" s="273"/>
      <c r="BM67" s="273"/>
      <c r="BN67" s="273"/>
      <c r="BO67" s="273"/>
      <c r="BP67" s="273"/>
      <c r="BQ67" s="273"/>
      <c r="BR67" s="273"/>
      <c r="BS67" s="273"/>
      <c r="BT67" s="273"/>
      <c r="BU67" s="273"/>
      <c r="BV67" s="273"/>
      <c r="BW67" s="273"/>
      <c r="BX67" s="272">
        <f t="shared" si="5"/>
        <v>30</v>
      </c>
      <c r="BY67" s="272">
        <f t="shared" si="5"/>
        <v>426</v>
      </c>
      <c r="BZ67" s="272">
        <f t="shared" si="2"/>
        <v>338</v>
      </c>
      <c r="CA67" s="273"/>
      <c r="CB67" s="273"/>
      <c r="CC67" s="273"/>
      <c r="CD67" s="273"/>
      <c r="CE67" s="273"/>
      <c r="CF67" s="273"/>
      <c r="CG67" s="273"/>
      <c r="CH67" s="273"/>
      <c r="CI67" s="273"/>
      <c r="CJ67" s="273"/>
      <c r="CK67" s="273"/>
      <c r="CL67" s="273"/>
      <c r="CM67" s="273"/>
      <c r="CN67" s="273"/>
      <c r="CO67" s="273"/>
      <c r="CP67" s="273"/>
      <c r="CQ67" s="273"/>
      <c r="CR67" s="273"/>
      <c r="CS67" s="273"/>
      <c r="CT67" s="273"/>
      <c r="CU67" s="273"/>
      <c r="CV67" s="273">
        <v>15</v>
      </c>
      <c r="CW67" s="273">
        <v>180</v>
      </c>
      <c r="CX67" s="273">
        <v>180</v>
      </c>
      <c r="CY67" s="273"/>
      <c r="CZ67" s="273"/>
      <c r="DA67" s="273"/>
      <c r="DB67" s="273"/>
      <c r="DC67" s="273"/>
      <c r="DD67" s="273"/>
      <c r="DE67" s="273">
        <v>48</v>
      </c>
      <c r="DF67" s="271">
        <v>576</v>
      </c>
      <c r="DG67" s="271">
        <v>565.20000000000005</v>
      </c>
      <c r="DH67" s="272">
        <f t="shared" si="3"/>
        <v>93</v>
      </c>
      <c r="DI67" s="272">
        <f t="shared" si="3"/>
        <v>1182</v>
      </c>
      <c r="DJ67" s="324">
        <f t="shared" si="3"/>
        <v>1083.2</v>
      </c>
      <c r="DK67" s="325"/>
      <c r="DL67" s="325"/>
    </row>
    <row r="68" spans="1:116" s="275" customFormat="1" ht="20.100000000000001" customHeight="1" x14ac:dyDescent="0.6">
      <c r="A68" s="234">
        <v>65</v>
      </c>
      <c r="B68" s="103" t="s">
        <v>533</v>
      </c>
      <c r="C68" s="103" t="s">
        <v>533</v>
      </c>
      <c r="D68" s="103" t="s">
        <v>531</v>
      </c>
      <c r="E68" s="148" t="s">
        <v>532</v>
      </c>
      <c r="F68" s="179" t="s">
        <v>516</v>
      </c>
      <c r="G68" s="322"/>
      <c r="H68" s="323"/>
      <c r="I68" s="322" t="s">
        <v>1010</v>
      </c>
      <c r="J68" s="322" t="s">
        <v>994</v>
      </c>
      <c r="K68" s="241"/>
      <c r="L68" s="24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2">
        <f t="shared" si="4"/>
        <v>0</v>
      </c>
      <c r="AR68" s="272">
        <f t="shared" si="4"/>
        <v>0</v>
      </c>
      <c r="AS68" s="272">
        <f t="shared" si="4"/>
        <v>0</v>
      </c>
      <c r="AT68" s="273"/>
      <c r="AU68" s="273"/>
      <c r="AV68" s="273"/>
      <c r="AW68" s="273"/>
      <c r="AX68" s="273"/>
      <c r="AY68" s="273"/>
      <c r="AZ68" s="273"/>
      <c r="BA68" s="273"/>
      <c r="BB68" s="273"/>
      <c r="BC68" s="273"/>
      <c r="BD68" s="273"/>
      <c r="BE68" s="273"/>
      <c r="BF68" s="273"/>
      <c r="BG68" s="273"/>
      <c r="BH68" s="273"/>
      <c r="BI68" s="273"/>
      <c r="BJ68" s="273"/>
      <c r="BK68" s="273"/>
      <c r="BL68" s="273"/>
      <c r="BM68" s="273"/>
      <c r="BN68" s="273"/>
      <c r="BO68" s="273"/>
      <c r="BP68" s="273"/>
      <c r="BQ68" s="273"/>
      <c r="BR68" s="273"/>
      <c r="BS68" s="273"/>
      <c r="BT68" s="273"/>
      <c r="BU68" s="273"/>
      <c r="BV68" s="273"/>
      <c r="BW68" s="273"/>
      <c r="BX68" s="272">
        <f t="shared" si="5"/>
        <v>0</v>
      </c>
      <c r="BY68" s="272">
        <f t="shared" si="5"/>
        <v>0</v>
      </c>
      <c r="BZ68" s="272">
        <f t="shared" si="2"/>
        <v>0</v>
      </c>
      <c r="CA68" s="273"/>
      <c r="CB68" s="273"/>
      <c r="CC68" s="273"/>
      <c r="CD68" s="273"/>
      <c r="CE68" s="273"/>
      <c r="CF68" s="273"/>
      <c r="CG68" s="273"/>
      <c r="CH68" s="273"/>
      <c r="CI68" s="273"/>
      <c r="CJ68" s="273"/>
      <c r="CK68" s="273"/>
      <c r="CL68" s="273"/>
      <c r="CM68" s="273"/>
      <c r="CN68" s="273"/>
      <c r="CO68" s="273"/>
      <c r="CP68" s="273"/>
      <c r="CQ68" s="273"/>
      <c r="CR68" s="273"/>
      <c r="CS68" s="273"/>
      <c r="CT68" s="273"/>
      <c r="CU68" s="273"/>
      <c r="CV68" s="273">
        <v>5</v>
      </c>
      <c r="CW68" s="273">
        <v>60</v>
      </c>
      <c r="CX68" s="273">
        <v>60</v>
      </c>
      <c r="CY68" s="273"/>
      <c r="CZ68" s="273"/>
      <c r="DA68" s="273"/>
      <c r="DB68" s="273"/>
      <c r="DC68" s="273"/>
      <c r="DD68" s="273"/>
      <c r="DE68" s="273"/>
      <c r="DF68" s="271"/>
      <c r="DG68" s="271"/>
      <c r="DH68" s="272">
        <f t="shared" si="3"/>
        <v>5</v>
      </c>
      <c r="DI68" s="272">
        <f t="shared" si="3"/>
        <v>60</v>
      </c>
      <c r="DJ68" s="324">
        <f t="shared" si="3"/>
        <v>60</v>
      </c>
      <c r="DK68" s="325"/>
      <c r="DL68" s="325"/>
    </row>
    <row r="69" spans="1:116" s="275" customFormat="1" ht="20.100000000000001" customHeight="1" x14ac:dyDescent="0.6">
      <c r="A69" s="234">
        <v>66</v>
      </c>
      <c r="B69" s="103" t="s">
        <v>534</v>
      </c>
      <c r="C69" s="103" t="s">
        <v>535</v>
      </c>
      <c r="D69" s="103" t="s">
        <v>531</v>
      </c>
      <c r="E69" s="148" t="s">
        <v>532</v>
      </c>
      <c r="F69" s="179" t="s">
        <v>516</v>
      </c>
      <c r="G69" s="322"/>
      <c r="H69" s="323"/>
      <c r="I69" s="322" t="s">
        <v>1011</v>
      </c>
      <c r="J69" s="322" t="s">
        <v>994</v>
      </c>
      <c r="K69" s="241"/>
      <c r="L69" s="24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2">
        <f t="shared" si="4"/>
        <v>0</v>
      </c>
      <c r="AR69" s="272">
        <f t="shared" si="4"/>
        <v>0</v>
      </c>
      <c r="AS69" s="272">
        <f t="shared" si="4"/>
        <v>0</v>
      </c>
      <c r="AT69" s="273"/>
      <c r="AU69" s="273"/>
      <c r="AV69" s="273"/>
      <c r="AW69" s="273">
        <v>20</v>
      </c>
      <c r="AX69" s="273">
        <v>240</v>
      </c>
      <c r="AY69" s="273">
        <v>240</v>
      </c>
      <c r="AZ69" s="273"/>
      <c r="BA69" s="273"/>
      <c r="BB69" s="273"/>
      <c r="BC69" s="273"/>
      <c r="BD69" s="273"/>
      <c r="BE69" s="273"/>
      <c r="BF69" s="273"/>
      <c r="BG69" s="273"/>
      <c r="BH69" s="273"/>
      <c r="BI69" s="273"/>
      <c r="BJ69" s="273"/>
      <c r="BK69" s="273"/>
      <c r="BL69" s="273"/>
      <c r="BM69" s="273"/>
      <c r="BN69" s="273"/>
      <c r="BO69" s="273"/>
      <c r="BP69" s="273"/>
      <c r="BQ69" s="273"/>
      <c r="BR69" s="273"/>
      <c r="BS69" s="273"/>
      <c r="BT69" s="273"/>
      <c r="BU69" s="273"/>
      <c r="BV69" s="273"/>
      <c r="BW69" s="273"/>
      <c r="BX69" s="272">
        <f t="shared" si="5"/>
        <v>20</v>
      </c>
      <c r="BY69" s="272">
        <f t="shared" si="5"/>
        <v>240</v>
      </c>
      <c r="BZ69" s="272">
        <f t="shared" si="2"/>
        <v>240</v>
      </c>
      <c r="CA69" s="273"/>
      <c r="CB69" s="273"/>
      <c r="CC69" s="273"/>
      <c r="CD69" s="273"/>
      <c r="CE69" s="273"/>
      <c r="CF69" s="273"/>
      <c r="CG69" s="273"/>
      <c r="CH69" s="273"/>
      <c r="CI69" s="273"/>
      <c r="CJ69" s="273"/>
      <c r="CK69" s="273"/>
      <c r="CL69" s="273"/>
      <c r="CM69" s="273"/>
      <c r="CN69" s="273"/>
      <c r="CO69" s="273"/>
      <c r="CP69" s="273"/>
      <c r="CQ69" s="273"/>
      <c r="CR69" s="273"/>
      <c r="CS69" s="273">
        <v>24</v>
      </c>
      <c r="CT69" s="273">
        <v>344</v>
      </c>
      <c r="CU69" s="273">
        <v>282.39999999999998</v>
      </c>
      <c r="CV69" s="273"/>
      <c r="CW69" s="273"/>
      <c r="CX69" s="273"/>
      <c r="CY69" s="273"/>
      <c r="CZ69" s="273"/>
      <c r="DA69" s="273"/>
      <c r="DB69" s="273"/>
      <c r="DC69" s="273"/>
      <c r="DD69" s="273"/>
      <c r="DE69" s="273"/>
      <c r="DF69" s="271"/>
      <c r="DG69" s="271"/>
      <c r="DH69" s="272">
        <f t="shared" ref="DH69:DJ132" si="6">BX69+CA69+CD69+CG69+CJ69+CM69+CP69+CS69+CV69+CY69+DB69+DE69</f>
        <v>44</v>
      </c>
      <c r="DI69" s="272">
        <f t="shared" si="6"/>
        <v>584</v>
      </c>
      <c r="DJ69" s="324">
        <f t="shared" si="6"/>
        <v>522.4</v>
      </c>
      <c r="DK69" s="325"/>
      <c r="DL69" s="325"/>
    </row>
    <row r="70" spans="1:116" s="275" customFormat="1" ht="20.100000000000001" customHeight="1" x14ac:dyDescent="0.6">
      <c r="A70" s="234">
        <v>67</v>
      </c>
      <c r="B70" s="103" t="s">
        <v>483</v>
      </c>
      <c r="C70" s="103" t="s">
        <v>484</v>
      </c>
      <c r="D70" s="103" t="s">
        <v>531</v>
      </c>
      <c r="E70" s="148" t="s">
        <v>532</v>
      </c>
      <c r="F70" s="179" t="s">
        <v>516</v>
      </c>
      <c r="G70" s="322"/>
      <c r="H70" s="323"/>
      <c r="I70" s="322" t="s">
        <v>1012</v>
      </c>
      <c r="J70" s="322" t="s">
        <v>994</v>
      </c>
      <c r="K70" s="241"/>
      <c r="L70" s="24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2">
        <f t="shared" si="4"/>
        <v>0</v>
      </c>
      <c r="AR70" s="272">
        <f t="shared" si="4"/>
        <v>0</v>
      </c>
      <c r="AS70" s="272">
        <f t="shared" si="4"/>
        <v>0</v>
      </c>
      <c r="AT70" s="273"/>
      <c r="AU70" s="273"/>
      <c r="AV70" s="273"/>
      <c r="AW70" s="273"/>
      <c r="AX70" s="273"/>
      <c r="AY70" s="273"/>
      <c r="AZ70" s="273"/>
      <c r="BA70" s="273"/>
      <c r="BB70" s="273"/>
      <c r="BC70" s="273"/>
      <c r="BD70" s="273"/>
      <c r="BE70" s="273"/>
      <c r="BF70" s="273"/>
      <c r="BG70" s="273"/>
      <c r="BH70" s="273"/>
      <c r="BI70" s="273"/>
      <c r="BJ70" s="273"/>
      <c r="BK70" s="273"/>
      <c r="BL70" s="273"/>
      <c r="BM70" s="273"/>
      <c r="BN70" s="273"/>
      <c r="BO70" s="273"/>
      <c r="BP70" s="273"/>
      <c r="BQ70" s="273"/>
      <c r="BR70" s="273"/>
      <c r="BS70" s="273"/>
      <c r="BT70" s="273"/>
      <c r="BU70" s="273"/>
      <c r="BV70" s="273"/>
      <c r="BW70" s="273"/>
      <c r="BX70" s="272">
        <f t="shared" ref="BX70:BY109" si="7">+BU70+BR70+BO70+BL70+BI70+BF70+BC70+AZ70+AW70+AT70+AQ70</f>
        <v>0</v>
      </c>
      <c r="BY70" s="272">
        <f t="shared" si="7"/>
        <v>0</v>
      </c>
      <c r="BZ70" s="272">
        <f t="shared" ref="BZ70:BZ133" si="8">AS70+AV70+AY70+BB70+BE70+BH70+BK70+BN70+BQ70+BT70+BW70</f>
        <v>0</v>
      </c>
      <c r="CA70" s="273"/>
      <c r="CB70" s="273"/>
      <c r="CC70" s="273"/>
      <c r="CD70" s="273"/>
      <c r="CE70" s="273"/>
      <c r="CF70" s="273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3"/>
      <c r="CR70" s="273"/>
      <c r="CS70" s="273"/>
      <c r="CT70" s="273"/>
      <c r="CU70" s="273"/>
      <c r="CV70" s="273"/>
      <c r="CW70" s="273"/>
      <c r="CX70" s="273"/>
      <c r="CY70" s="273"/>
      <c r="CZ70" s="273"/>
      <c r="DA70" s="273"/>
      <c r="DB70" s="273"/>
      <c r="DC70" s="273"/>
      <c r="DD70" s="273"/>
      <c r="DE70" s="273"/>
      <c r="DF70" s="271"/>
      <c r="DG70" s="271"/>
      <c r="DH70" s="272">
        <f t="shared" si="6"/>
        <v>0</v>
      </c>
      <c r="DI70" s="272">
        <f t="shared" si="6"/>
        <v>0</v>
      </c>
      <c r="DJ70" s="324">
        <f t="shared" si="6"/>
        <v>0</v>
      </c>
      <c r="DK70" s="325"/>
      <c r="DL70" s="325"/>
    </row>
    <row r="71" spans="1:116" s="275" customFormat="1" ht="20.100000000000001" customHeight="1" x14ac:dyDescent="0.6">
      <c r="A71" s="234">
        <v>68</v>
      </c>
      <c r="B71" s="103" t="s">
        <v>536</v>
      </c>
      <c r="C71" s="103" t="s">
        <v>537</v>
      </c>
      <c r="D71" s="103" t="s">
        <v>531</v>
      </c>
      <c r="E71" s="148" t="s">
        <v>532</v>
      </c>
      <c r="F71" s="179" t="s">
        <v>516</v>
      </c>
      <c r="G71" s="322"/>
      <c r="H71" s="323"/>
      <c r="I71" s="322" t="s">
        <v>1013</v>
      </c>
      <c r="J71" s="322" t="s">
        <v>994</v>
      </c>
      <c r="K71" s="241"/>
      <c r="L71" s="241"/>
      <c r="M71" s="271"/>
      <c r="N71" s="271"/>
      <c r="O71" s="271"/>
      <c r="P71" s="271"/>
      <c r="Q71" s="271"/>
      <c r="R71" s="271"/>
      <c r="S71" s="271">
        <v>7</v>
      </c>
      <c r="T71" s="271">
        <v>140</v>
      </c>
      <c r="U71" s="271">
        <v>88</v>
      </c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2">
        <f t="shared" si="4"/>
        <v>7</v>
      </c>
      <c r="AR71" s="272">
        <f t="shared" si="4"/>
        <v>140</v>
      </c>
      <c r="AS71" s="272">
        <f t="shared" si="4"/>
        <v>88</v>
      </c>
      <c r="AT71" s="273"/>
      <c r="AU71" s="273"/>
      <c r="AV71" s="273"/>
      <c r="AW71" s="273"/>
      <c r="AX71" s="273"/>
      <c r="AY71" s="273"/>
      <c r="AZ71" s="273">
        <v>1</v>
      </c>
      <c r="BA71" s="273">
        <v>24</v>
      </c>
      <c r="BB71" s="273">
        <v>8.4</v>
      </c>
      <c r="BC71" s="273"/>
      <c r="BD71" s="273"/>
      <c r="BE71" s="273"/>
      <c r="BF71" s="273"/>
      <c r="BG71" s="273"/>
      <c r="BH71" s="273"/>
      <c r="BI71" s="273"/>
      <c r="BJ71" s="273"/>
      <c r="BK71" s="273"/>
      <c r="BL71" s="273"/>
      <c r="BM71" s="273"/>
      <c r="BN71" s="273"/>
      <c r="BO71" s="273"/>
      <c r="BP71" s="273"/>
      <c r="BQ71" s="273"/>
      <c r="BR71" s="273"/>
      <c r="BS71" s="273"/>
      <c r="BT71" s="273"/>
      <c r="BU71" s="273"/>
      <c r="BV71" s="273"/>
      <c r="BW71" s="273"/>
      <c r="BX71" s="272">
        <f t="shared" si="7"/>
        <v>8</v>
      </c>
      <c r="BY71" s="272">
        <f t="shared" si="7"/>
        <v>164</v>
      </c>
      <c r="BZ71" s="272">
        <f t="shared" si="8"/>
        <v>96.4</v>
      </c>
      <c r="CA71" s="273"/>
      <c r="CB71" s="273"/>
      <c r="CC71" s="273"/>
      <c r="CD71" s="273"/>
      <c r="CE71" s="273"/>
      <c r="CF71" s="273"/>
      <c r="CG71" s="273"/>
      <c r="CH71" s="273"/>
      <c r="CI71" s="273"/>
      <c r="CJ71" s="273"/>
      <c r="CK71" s="273"/>
      <c r="CL71" s="273"/>
      <c r="CM71" s="273"/>
      <c r="CN71" s="273"/>
      <c r="CO71" s="273"/>
      <c r="CP71" s="273"/>
      <c r="CQ71" s="273"/>
      <c r="CR71" s="273"/>
      <c r="CS71" s="273"/>
      <c r="CT71" s="273"/>
      <c r="CU71" s="273"/>
      <c r="CV71" s="273">
        <v>9</v>
      </c>
      <c r="CW71" s="273">
        <v>188</v>
      </c>
      <c r="CX71" s="273">
        <v>104.8</v>
      </c>
      <c r="CY71" s="273"/>
      <c r="CZ71" s="273"/>
      <c r="DA71" s="273"/>
      <c r="DB71" s="273"/>
      <c r="DC71" s="273"/>
      <c r="DD71" s="273"/>
      <c r="DE71" s="273"/>
      <c r="DF71" s="271"/>
      <c r="DG71" s="271"/>
      <c r="DH71" s="272">
        <f t="shared" si="6"/>
        <v>17</v>
      </c>
      <c r="DI71" s="272">
        <f t="shared" si="6"/>
        <v>352</v>
      </c>
      <c r="DJ71" s="324">
        <f t="shared" si="6"/>
        <v>201.2</v>
      </c>
      <c r="DK71" s="325"/>
      <c r="DL71" s="325"/>
    </row>
    <row r="72" spans="1:116" s="275" customFormat="1" ht="20.100000000000001" customHeight="1" x14ac:dyDescent="0.6">
      <c r="A72" s="234">
        <v>69</v>
      </c>
      <c r="B72" s="103" t="s">
        <v>538</v>
      </c>
      <c r="C72" s="103" t="s">
        <v>538</v>
      </c>
      <c r="D72" s="103" t="s">
        <v>284</v>
      </c>
      <c r="E72" s="148" t="s">
        <v>285</v>
      </c>
      <c r="F72" s="179" t="s">
        <v>516</v>
      </c>
      <c r="G72" s="322"/>
      <c r="H72" s="323"/>
      <c r="I72" s="322" t="s">
        <v>1014</v>
      </c>
      <c r="J72" s="322" t="s">
        <v>994</v>
      </c>
      <c r="K72" s="241"/>
      <c r="L72" s="24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>
        <v>15</v>
      </c>
      <c r="AC72" s="271">
        <v>180</v>
      </c>
      <c r="AD72" s="271">
        <v>180</v>
      </c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2">
        <f t="shared" si="4"/>
        <v>15</v>
      </c>
      <c r="AR72" s="272">
        <f t="shared" si="4"/>
        <v>180</v>
      </c>
      <c r="AS72" s="272">
        <f t="shared" si="4"/>
        <v>180</v>
      </c>
      <c r="AT72" s="273"/>
      <c r="AU72" s="273"/>
      <c r="AV72" s="273"/>
      <c r="AW72" s="273"/>
      <c r="AX72" s="273"/>
      <c r="AY72" s="273"/>
      <c r="AZ72" s="273"/>
      <c r="BA72" s="273"/>
      <c r="BB72" s="273"/>
      <c r="BC72" s="273"/>
      <c r="BD72" s="273"/>
      <c r="BE72" s="273"/>
      <c r="BF72" s="273"/>
      <c r="BG72" s="273"/>
      <c r="BH72" s="273"/>
      <c r="BI72" s="273"/>
      <c r="BJ72" s="273"/>
      <c r="BK72" s="273"/>
      <c r="BL72" s="273"/>
      <c r="BM72" s="273"/>
      <c r="BN72" s="273"/>
      <c r="BO72" s="273"/>
      <c r="BP72" s="273"/>
      <c r="BQ72" s="273"/>
      <c r="BR72" s="273"/>
      <c r="BS72" s="273"/>
      <c r="BT72" s="273"/>
      <c r="BU72" s="273">
        <v>15</v>
      </c>
      <c r="BV72" s="273">
        <v>180</v>
      </c>
      <c r="BW72" s="273">
        <v>180</v>
      </c>
      <c r="BX72" s="272">
        <f t="shared" si="7"/>
        <v>30</v>
      </c>
      <c r="BY72" s="272">
        <f t="shared" si="7"/>
        <v>360</v>
      </c>
      <c r="BZ72" s="272">
        <f t="shared" si="8"/>
        <v>360</v>
      </c>
      <c r="CA72" s="273"/>
      <c r="CB72" s="273"/>
      <c r="CC72" s="273"/>
      <c r="CD72" s="273"/>
      <c r="CE72" s="273"/>
      <c r="CF72" s="273"/>
      <c r="CG72" s="273"/>
      <c r="CH72" s="273"/>
      <c r="CI72" s="273"/>
      <c r="CJ72" s="273"/>
      <c r="CK72" s="273"/>
      <c r="CL72" s="273"/>
      <c r="CM72" s="273"/>
      <c r="CN72" s="273"/>
      <c r="CO72" s="273"/>
      <c r="CP72" s="273"/>
      <c r="CQ72" s="273"/>
      <c r="CR72" s="273"/>
      <c r="CS72" s="273"/>
      <c r="CT72" s="273"/>
      <c r="CU72" s="273"/>
      <c r="CV72" s="273"/>
      <c r="CW72" s="273"/>
      <c r="CX72" s="273"/>
      <c r="CY72" s="273"/>
      <c r="CZ72" s="273"/>
      <c r="DA72" s="273"/>
      <c r="DB72" s="273">
        <v>15</v>
      </c>
      <c r="DC72" s="273">
        <v>180</v>
      </c>
      <c r="DD72" s="273">
        <v>180</v>
      </c>
      <c r="DE72" s="273"/>
      <c r="DF72" s="271"/>
      <c r="DG72" s="271"/>
      <c r="DH72" s="272">
        <f t="shared" si="6"/>
        <v>45</v>
      </c>
      <c r="DI72" s="272">
        <f t="shared" si="6"/>
        <v>540</v>
      </c>
      <c r="DJ72" s="324">
        <f t="shared" si="6"/>
        <v>540</v>
      </c>
      <c r="DK72" s="325"/>
      <c r="DL72" s="325"/>
    </row>
    <row r="73" spans="1:116" s="275" customFormat="1" ht="20.100000000000001" customHeight="1" x14ac:dyDescent="0.6">
      <c r="A73" s="234">
        <v>70</v>
      </c>
      <c r="B73" s="103" t="s">
        <v>539</v>
      </c>
      <c r="C73" s="103" t="s">
        <v>540</v>
      </c>
      <c r="D73" s="103" t="s">
        <v>541</v>
      </c>
      <c r="E73" s="148" t="s">
        <v>542</v>
      </c>
      <c r="F73" s="179" t="s">
        <v>516</v>
      </c>
      <c r="G73" s="322"/>
      <c r="H73" s="323"/>
      <c r="I73" s="322" t="s">
        <v>1015</v>
      </c>
      <c r="J73" s="322" t="s">
        <v>994</v>
      </c>
      <c r="K73" s="241"/>
      <c r="L73" s="24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>
        <v>1</v>
      </c>
      <c r="AI73" s="271">
        <v>40</v>
      </c>
      <c r="AJ73" s="271">
        <v>14</v>
      </c>
      <c r="AK73" s="271"/>
      <c r="AL73" s="271"/>
      <c r="AM73" s="271"/>
      <c r="AN73" s="271"/>
      <c r="AO73" s="271"/>
      <c r="AP73" s="271"/>
      <c r="AQ73" s="272">
        <f t="shared" si="4"/>
        <v>1</v>
      </c>
      <c r="AR73" s="272">
        <f t="shared" si="4"/>
        <v>40</v>
      </c>
      <c r="AS73" s="272">
        <f t="shared" si="4"/>
        <v>14</v>
      </c>
      <c r="AT73" s="273"/>
      <c r="AU73" s="273"/>
      <c r="AV73" s="273"/>
      <c r="AW73" s="273">
        <v>4</v>
      </c>
      <c r="AX73" s="273">
        <v>76</v>
      </c>
      <c r="AY73" s="273">
        <v>50</v>
      </c>
      <c r="AZ73" s="273"/>
      <c r="BA73" s="273"/>
      <c r="BB73" s="273"/>
      <c r="BC73" s="273">
        <v>7</v>
      </c>
      <c r="BD73" s="273">
        <v>168</v>
      </c>
      <c r="BE73" s="273">
        <v>90</v>
      </c>
      <c r="BF73" s="273"/>
      <c r="BG73" s="273"/>
      <c r="BH73" s="273"/>
      <c r="BI73" s="273"/>
      <c r="BJ73" s="273"/>
      <c r="BK73" s="273"/>
      <c r="BL73" s="273"/>
      <c r="BM73" s="273"/>
      <c r="BN73" s="273"/>
      <c r="BO73" s="273"/>
      <c r="BP73" s="273"/>
      <c r="BQ73" s="273"/>
      <c r="BR73" s="273"/>
      <c r="BS73" s="273"/>
      <c r="BT73" s="273"/>
      <c r="BU73" s="273"/>
      <c r="BV73" s="273"/>
      <c r="BW73" s="273"/>
      <c r="BX73" s="272">
        <f t="shared" si="7"/>
        <v>12</v>
      </c>
      <c r="BY73" s="272">
        <f t="shared" si="7"/>
        <v>284</v>
      </c>
      <c r="BZ73" s="272">
        <f t="shared" si="8"/>
        <v>154</v>
      </c>
      <c r="CA73" s="273"/>
      <c r="CB73" s="273"/>
      <c r="CC73" s="273"/>
      <c r="CD73" s="273">
        <v>2</v>
      </c>
      <c r="CE73" s="273">
        <v>52</v>
      </c>
      <c r="CF73" s="273">
        <v>26</v>
      </c>
      <c r="CG73" s="273"/>
      <c r="CH73" s="273"/>
      <c r="CI73" s="273"/>
      <c r="CJ73" s="273"/>
      <c r="CK73" s="273"/>
      <c r="CL73" s="273"/>
      <c r="CM73" s="273"/>
      <c r="CN73" s="273"/>
      <c r="CO73" s="273"/>
      <c r="CP73" s="273">
        <v>6</v>
      </c>
      <c r="CQ73" s="273">
        <v>100</v>
      </c>
      <c r="CR73" s="273">
        <v>74</v>
      </c>
      <c r="CS73" s="273"/>
      <c r="CT73" s="273"/>
      <c r="CU73" s="273"/>
      <c r="CV73" s="273"/>
      <c r="CW73" s="273"/>
      <c r="CX73" s="273"/>
      <c r="CY73" s="273"/>
      <c r="CZ73" s="273"/>
      <c r="DA73" s="273"/>
      <c r="DB73" s="273"/>
      <c r="DC73" s="273"/>
      <c r="DD73" s="273"/>
      <c r="DE73" s="273">
        <v>3</v>
      </c>
      <c r="DF73" s="271">
        <v>64</v>
      </c>
      <c r="DG73" s="271">
        <v>38</v>
      </c>
      <c r="DH73" s="272">
        <f t="shared" si="6"/>
        <v>23</v>
      </c>
      <c r="DI73" s="272">
        <f t="shared" si="6"/>
        <v>500</v>
      </c>
      <c r="DJ73" s="324">
        <f t="shared" si="6"/>
        <v>292</v>
      </c>
      <c r="DK73" s="325"/>
      <c r="DL73" s="325"/>
    </row>
    <row r="74" spans="1:116" s="275" customFormat="1" ht="20.100000000000001" customHeight="1" x14ac:dyDescent="0.6">
      <c r="A74" s="234">
        <v>71</v>
      </c>
      <c r="B74" s="103" t="s">
        <v>543</v>
      </c>
      <c r="C74" s="103" t="s">
        <v>543</v>
      </c>
      <c r="D74" s="103" t="s">
        <v>541</v>
      </c>
      <c r="E74" s="148" t="s">
        <v>542</v>
      </c>
      <c r="F74" s="179" t="s">
        <v>516</v>
      </c>
      <c r="G74" s="322"/>
      <c r="H74" s="323"/>
      <c r="I74" s="322" t="s">
        <v>1016</v>
      </c>
      <c r="J74" s="322" t="s">
        <v>994</v>
      </c>
      <c r="K74" s="241"/>
      <c r="L74" s="24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2">
        <f t="shared" si="4"/>
        <v>0</v>
      </c>
      <c r="AR74" s="272">
        <f t="shared" si="4"/>
        <v>0</v>
      </c>
      <c r="AS74" s="272">
        <f t="shared" si="4"/>
        <v>0</v>
      </c>
      <c r="AT74" s="273"/>
      <c r="AU74" s="273"/>
      <c r="AV74" s="273"/>
      <c r="AW74" s="273"/>
      <c r="AX74" s="273"/>
      <c r="AY74" s="273"/>
      <c r="AZ74" s="273"/>
      <c r="BA74" s="273"/>
      <c r="BB74" s="273"/>
      <c r="BC74" s="273"/>
      <c r="BD74" s="273"/>
      <c r="BE74" s="273"/>
      <c r="BF74" s="273"/>
      <c r="BG74" s="273"/>
      <c r="BH74" s="273"/>
      <c r="BI74" s="273"/>
      <c r="BJ74" s="273"/>
      <c r="BK74" s="273"/>
      <c r="BL74" s="273"/>
      <c r="BM74" s="273"/>
      <c r="BN74" s="273"/>
      <c r="BO74" s="273"/>
      <c r="BP74" s="273"/>
      <c r="BQ74" s="273"/>
      <c r="BR74" s="273"/>
      <c r="BS74" s="273"/>
      <c r="BT74" s="273"/>
      <c r="BU74" s="273">
        <v>15</v>
      </c>
      <c r="BV74" s="273">
        <v>180</v>
      </c>
      <c r="BW74" s="273">
        <v>180</v>
      </c>
      <c r="BX74" s="272">
        <f t="shared" si="7"/>
        <v>15</v>
      </c>
      <c r="BY74" s="272">
        <f t="shared" si="7"/>
        <v>180</v>
      </c>
      <c r="BZ74" s="272">
        <f t="shared" si="8"/>
        <v>180</v>
      </c>
      <c r="CA74" s="273"/>
      <c r="CB74" s="273"/>
      <c r="CC74" s="273"/>
      <c r="CD74" s="273">
        <v>5</v>
      </c>
      <c r="CE74" s="273">
        <v>60</v>
      </c>
      <c r="CF74" s="273">
        <v>60</v>
      </c>
      <c r="CG74" s="273"/>
      <c r="CH74" s="273"/>
      <c r="CI74" s="273"/>
      <c r="CJ74" s="273"/>
      <c r="CK74" s="273"/>
      <c r="CL74" s="273"/>
      <c r="CM74" s="273"/>
      <c r="CN74" s="273"/>
      <c r="CO74" s="273"/>
      <c r="CP74" s="273"/>
      <c r="CQ74" s="273"/>
      <c r="CR74" s="273"/>
      <c r="CS74" s="273"/>
      <c r="CT74" s="273"/>
      <c r="CU74" s="273"/>
      <c r="CV74" s="273"/>
      <c r="CW74" s="273"/>
      <c r="CX74" s="273"/>
      <c r="CY74" s="273"/>
      <c r="CZ74" s="273"/>
      <c r="DA74" s="273"/>
      <c r="DB74" s="273"/>
      <c r="DC74" s="273"/>
      <c r="DD74" s="273"/>
      <c r="DE74" s="273"/>
      <c r="DF74" s="271"/>
      <c r="DG74" s="271"/>
      <c r="DH74" s="272">
        <f t="shared" si="6"/>
        <v>20</v>
      </c>
      <c r="DI74" s="272">
        <f t="shared" si="6"/>
        <v>240</v>
      </c>
      <c r="DJ74" s="324">
        <f t="shared" si="6"/>
        <v>240</v>
      </c>
      <c r="DK74" s="325"/>
      <c r="DL74" s="325"/>
    </row>
    <row r="75" spans="1:116" s="275" customFormat="1" ht="20.100000000000001" customHeight="1" x14ac:dyDescent="0.6">
      <c r="A75" s="234">
        <v>72</v>
      </c>
      <c r="B75" s="103" t="s">
        <v>544</v>
      </c>
      <c r="C75" s="103" t="s">
        <v>544</v>
      </c>
      <c r="D75" s="103" t="s">
        <v>541</v>
      </c>
      <c r="E75" s="148" t="s">
        <v>542</v>
      </c>
      <c r="F75" s="179" t="s">
        <v>516</v>
      </c>
      <c r="G75" s="322"/>
      <c r="H75" s="323"/>
      <c r="I75" s="322" t="s">
        <v>1017</v>
      </c>
      <c r="J75" s="322" t="s">
        <v>994</v>
      </c>
      <c r="K75" s="241"/>
      <c r="L75" s="24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2">
        <f t="shared" si="4"/>
        <v>0</v>
      </c>
      <c r="AR75" s="272">
        <f t="shared" si="4"/>
        <v>0</v>
      </c>
      <c r="AS75" s="272">
        <f t="shared" si="4"/>
        <v>0</v>
      </c>
      <c r="AT75" s="273"/>
      <c r="AU75" s="273"/>
      <c r="AV75" s="273"/>
      <c r="AW75" s="273"/>
      <c r="AX75" s="273"/>
      <c r="AY75" s="273"/>
      <c r="AZ75" s="273"/>
      <c r="BA75" s="273"/>
      <c r="BB75" s="273"/>
      <c r="BC75" s="273"/>
      <c r="BD75" s="273"/>
      <c r="BE75" s="273"/>
      <c r="BF75" s="273"/>
      <c r="BG75" s="273"/>
      <c r="BH75" s="273"/>
      <c r="BI75" s="273"/>
      <c r="BJ75" s="273"/>
      <c r="BK75" s="273"/>
      <c r="BL75" s="273"/>
      <c r="BM75" s="273"/>
      <c r="BN75" s="273"/>
      <c r="BO75" s="273"/>
      <c r="BP75" s="273"/>
      <c r="BQ75" s="273"/>
      <c r="BR75" s="273"/>
      <c r="BS75" s="273"/>
      <c r="BT75" s="273"/>
      <c r="BU75" s="273">
        <v>15</v>
      </c>
      <c r="BV75" s="273">
        <v>180</v>
      </c>
      <c r="BW75" s="273">
        <v>180</v>
      </c>
      <c r="BX75" s="272">
        <f t="shared" si="7"/>
        <v>15</v>
      </c>
      <c r="BY75" s="272">
        <f t="shared" si="7"/>
        <v>180</v>
      </c>
      <c r="BZ75" s="272">
        <f t="shared" si="8"/>
        <v>180</v>
      </c>
      <c r="CA75" s="273"/>
      <c r="CB75" s="273"/>
      <c r="CC75" s="273"/>
      <c r="CD75" s="273"/>
      <c r="CE75" s="273"/>
      <c r="CF75" s="273"/>
      <c r="CG75" s="273"/>
      <c r="CH75" s="273"/>
      <c r="CI75" s="273"/>
      <c r="CJ75" s="273"/>
      <c r="CK75" s="273"/>
      <c r="CL75" s="273"/>
      <c r="CM75" s="273"/>
      <c r="CN75" s="273"/>
      <c r="CO75" s="273"/>
      <c r="CP75" s="273"/>
      <c r="CQ75" s="273"/>
      <c r="CR75" s="273"/>
      <c r="CS75" s="273"/>
      <c r="CT75" s="273"/>
      <c r="CU75" s="273"/>
      <c r="CV75" s="273"/>
      <c r="CW75" s="273"/>
      <c r="CX75" s="273"/>
      <c r="CY75" s="273"/>
      <c r="CZ75" s="273"/>
      <c r="DA75" s="273"/>
      <c r="DB75" s="273"/>
      <c r="DC75" s="273"/>
      <c r="DD75" s="273"/>
      <c r="DE75" s="273"/>
      <c r="DF75" s="271"/>
      <c r="DG75" s="271"/>
      <c r="DH75" s="272">
        <f t="shared" si="6"/>
        <v>15</v>
      </c>
      <c r="DI75" s="272">
        <f t="shared" si="6"/>
        <v>180</v>
      </c>
      <c r="DJ75" s="324">
        <f t="shared" si="6"/>
        <v>180</v>
      </c>
      <c r="DK75" s="325"/>
      <c r="DL75" s="325"/>
    </row>
    <row r="76" spans="1:116" s="275" customFormat="1" ht="20.100000000000001" customHeight="1" x14ac:dyDescent="0.6">
      <c r="A76" s="234">
        <v>73</v>
      </c>
      <c r="B76" s="103" t="s">
        <v>545</v>
      </c>
      <c r="C76" s="103" t="s">
        <v>546</v>
      </c>
      <c r="D76" s="103" t="s">
        <v>230</v>
      </c>
      <c r="E76" s="148" t="s">
        <v>227</v>
      </c>
      <c r="F76" s="179" t="s">
        <v>516</v>
      </c>
      <c r="G76" s="322"/>
      <c r="H76" s="323"/>
      <c r="I76" s="322" t="s">
        <v>1018</v>
      </c>
      <c r="J76" s="322" t="s">
        <v>994</v>
      </c>
      <c r="K76" s="241"/>
      <c r="L76" s="241"/>
      <c r="M76" s="271"/>
      <c r="N76" s="271"/>
      <c r="O76" s="271"/>
      <c r="P76" s="271">
        <v>23</v>
      </c>
      <c r="Q76" s="271">
        <v>332</v>
      </c>
      <c r="R76" s="271">
        <v>280</v>
      </c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>
        <v>3</v>
      </c>
      <c r="AO76" s="271">
        <v>120</v>
      </c>
      <c r="AP76" s="271">
        <v>42</v>
      </c>
      <c r="AQ76" s="272">
        <f t="shared" si="4"/>
        <v>26</v>
      </c>
      <c r="AR76" s="272">
        <f t="shared" si="4"/>
        <v>452</v>
      </c>
      <c r="AS76" s="272">
        <f t="shared" si="4"/>
        <v>322</v>
      </c>
      <c r="AT76" s="273"/>
      <c r="AU76" s="273"/>
      <c r="AV76" s="273"/>
      <c r="AW76" s="273"/>
      <c r="AX76" s="273"/>
      <c r="AY76" s="273"/>
      <c r="AZ76" s="273">
        <v>15</v>
      </c>
      <c r="BA76" s="273">
        <v>180</v>
      </c>
      <c r="BB76" s="273">
        <v>180</v>
      </c>
      <c r="BC76" s="273"/>
      <c r="BD76" s="273"/>
      <c r="BE76" s="273"/>
      <c r="BF76" s="273"/>
      <c r="BG76" s="273"/>
      <c r="BH76" s="273"/>
      <c r="BI76" s="273">
        <v>19</v>
      </c>
      <c r="BJ76" s="273">
        <v>340</v>
      </c>
      <c r="BK76" s="273">
        <v>236</v>
      </c>
      <c r="BL76" s="273"/>
      <c r="BM76" s="273"/>
      <c r="BN76" s="273"/>
      <c r="BO76" s="273"/>
      <c r="BP76" s="273"/>
      <c r="BQ76" s="273"/>
      <c r="BR76" s="273"/>
      <c r="BS76" s="273"/>
      <c r="BT76" s="273"/>
      <c r="BU76" s="273"/>
      <c r="BV76" s="273"/>
      <c r="BW76" s="273"/>
      <c r="BX76" s="272">
        <f t="shared" si="7"/>
        <v>60</v>
      </c>
      <c r="BY76" s="272">
        <f t="shared" si="7"/>
        <v>972</v>
      </c>
      <c r="BZ76" s="272">
        <f t="shared" si="8"/>
        <v>738</v>
      </c>
      <c r="CA76" s="273"/>
      <c r="CB76" s="273"/>
      <c r="CC76" s="273"/>
      <c r="CD76" s="273"/>
      <c r="CE76" s="273"/>
      <c r="CF76" s="273"/>
      <c r="CG76" s="273"/>
      <c r="CH76" s="273"/>
      <c r="CI76" s="273"/>
      <c r="CJ76" s="273"/>
      <c r="CK76" s="273"/>
      <c r="CL76" s="273"/>
      <c r="CM76" s="273"/>
      <c r="CN76" s="273"/>
      <c r="CO76" s="273"/>
      <c r="CP76" s="273"/>
      <c r="CQ76" s="273"/>
      <c r="CR76" s="273"/>
      <c r="CS76" s="273">
        <v>15</v>
      </c>
      <c r="CT76" s="273">
        <v>180</v>
      </c>
      <c r="CU76" s="273">
        <v>180</v>
      </c>
      <c r="CV76" s="273"/>
      <c r="CW76" s="273"/>
      <c r="CX76" s="273"/>
      <c r="CY76" s="273"/>
      <c r="CZ76" s="273"/>
      <c r="DA76" s="273"/>
      <c r="DB76" s="273"/>
      <c r="DC76" s="273"/>
      <c r="DD76" s="273"/>
      <c r="DE76" s="273">
        <v>21</v>
      </c>
      <c r="DF76" s="271">
        <v>364</v>
      </c>
      <c r="DG76" s="271">
        <v>260</v>
      </c>
      <c r="DH76" s="272">
        <f t="shared" si="6"/>
        <v>96</v>
      </c>
      <c r="DI76" s="272">
        <f t="shared" si="6"/>
        <v>1516</v>
      </c>
      <c r="DJ76" s="324">
        <f t="shared" si="6"/>
        <v>1178</v>
      </c>
      <c r="DK76" s="325"/>
      <c r="DL76" s="325"/>
    </row>
    <row r="77" spans="1:116" s="275" customFormat="1" ht="20.100000000000001" customHeight="1" x14ac:dyDescent="0.6">
      <c r="A77" s="234">
        <v>74</v>
      </c>
      <c r="B77" s="103" t="s">
        <v>547</v>
      </c>
      <c r="C77" s="103" t="s">
        <v>548</v>
      </c>
      <c r="D77" s="103" t="s">
        <v>230</v>
      </c>
      <c r="E77" s="148" t="s">
        <v>227</v>
      </c>
      <c r="F77" s="179" t="s">
        <v>516</v>
      </c>
      <c r="G77" s="322"/>
      <c r="H77" s="323"/>
      <c r="I77" s="329" t="s">
        <v>1019</v>
      </c>
      <c r="J77" s="322" t="s">
        <v>994</v>
      </c>
      <c r="K77" s="241"/>
      <c r="L77" s="24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  <c r="AO77" s="271"/>
      <c r="AP77" s="271"/>
      <c r="AQ77" s="272">
        <f t="shared" si="4"/>
        <v>0</v>
      </c>
      <c r="AR77" s="272">
        <f t="shared" si="4"/>
        <v>0</v>
      </c>
      <c r="AS77" s="272">
        <f t="shared" si="4"/>
        <v>0</v>
      </c>
      <c r="AT77" s="273"/>
      <c r="AU77" s="273"/>
      <c r="AV77" s="273"/>
      <c r="AW77" s="273"/>
      <c r="AX77" s="273"/>
      <c r="AY77" s="273"/>
      <c r="AZ77" s="273"/>
      <c r="BA77" s="273"/>
      <c r="BB77" s="273"/>
      <c r="BC77" s="273"/>
      <c r="BD77" s="273"/>
      <c r="BE77" s="273"/>
      <c r="BF77" s="273"/>
      <c r="BG77" s="273"/>
      <c r="BH77" s="273"/>
      <c r="BI77" s="273"/>
      <c r="BJ77" s="273"/>
      <c r="BK77" s="273"/>
      <c r="BL77" s="273"/>
      <c r="BM77" s="273"/>
      <c r="BN77" s="273"/>
      <c r="BO77" s="273"/>
      <c r="BP77" s="273"/>
      <c r="BQ77" s="273"/>
      <c r="BR77" s="273"/>
      <c r="BS77" s="273"/>
      <c r="BT77" s="273"/>
      <c r="BU77" s="273"/>
      <c r="BV77" s="273"/>
      <c r="BW77" s="273"/>
      <c r="BX77" s="272">
        <f t="shared" si="7"/>
        <v>0</v>
      </c>
      <c r="BY77" s="272">
        <f t="shared" si="7"/>
        <v>0</v>
      </c>
      <c r="BZ77" s="272">
        <f t="shared" si="8"/>
        <v>0</v>
      </c>
      <c r="CA77" s="273"/>
      <c r="CB77" s="273"/>
      <c r="CC77" s="273"/>
      <c r="CD77" s="273"/>
      <c r="CE77" s="273"/>
      <c r="CF77" s="273"/>
      <c r="CG77" s="273"/>
      <c r="CH77" s="273"/>
      <c r="CI77" s="273"/>
      <c r="CJ77" s="273"/>
      <c r="CK77" s="273"/>
      <c r="CL77" s="273"/>
      <c r="CM77" s="273"/>
      <c r="CN77" s="273"/>
      <c r="CO77" s="273"/>
      <c r="CP77" s="273"/>
      <c r="CQ77" s="273"/>
      <c r="CR77" s="273"/>
      <c r="CS77" s="273">
        <v>2</v>
      </c>
      <c r="CT77" s="273">
        <v>24</v>
      </c>
      <c r="CU77" s="273">
        <v>24</v>
      </c>
      <c r="CV77" s="273"/>
      <c r="CW77" s="273"/>
      <c r="CX77" s="273"/>
      <c r="CY77" s="273"/>
      <c r="CZ77" s="273"/>
      <c r="DA77" s="273"/>
      <c r="DB77" s="273"/>
      <c r="DC77" s="273"/>
      <c r="DD77" s="273"/>
      <c r="DE77" s="273"/>
      <c r="DF77" s="271"/>
      <c r="DG77" s="271"/>
      <c r="DH77" s="272">
        <f t="shared" si="6"/>
        <v>2</v>
      </c>
      <c r="DI77" s="272">
        <f t="shared" si="6"/>
        <v>24</v>
      </c>
      <c r="DJ77" s="324">
        <f t="shared" si="6"/>
        <v>24</v>
      </c>
      <c r="DK77" s="325"/>
      <c r="DL77" s="325"/>
    </row>
    <row r="78" spans="1:116" s="275" customFormat="1" ht="20.100000000000001" customHeight="1" x14ac:dyDescent="0.6">
      <c r="A78" s="234">
        <v>75</v>
      </c>
      <c r="B78" s="103" t="s">
        <v>549</v>
      </c>
      <c r="C78" s="103" t="s">
        <v>550</v>
      </c>
      <c r="D78" s="103" t="s">
        <v>230</v>
      </c>
      <c r="E78" s="148" t="s">
        <v>227</v>
      </c>
      <c r="F78" s="179" t="s">
        <v>516</v>
      </c>
      <c r="G78" s="322"/>
      <c r="H78" s="323"/>
      <c r="I78" s="322"/>
      <c r="J78" s="322" t="s">
        <v>994</v>
      </c>
      <c r="K78" s="241"/>
      <c r="L78" s="241"/>
      <c r="M78" s="271"/>
      <c r="N78" s="271"/>
      <c r="O78" s="271"/>
      <c r="P78" s="271">
        <v>19</v>
      </c>
      <c r="Q78" s="271">
        <v>284</v>
      </c>
      <c r="R78" s="271">
        <v>222.4</v>
      </c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2">
        <f t="shared" si="4"/>
        <v>19</v>
      </c>
      <c r="AR78" s="272">
        <f t="shared" si="4"/>
        <v>284</v>
      </c>
      <c r="AS78" s="272">
        <f t="shared" si="4"/>
        <v>222.4</v>
      </c>
      <c r="AT78" s="273"/>
      <c r="AU78" s="273"/>
      <c r="AV78" s="273"/>
      <c r="AW78" s="273"/>
      <c r="AX78" s="273"/>
      <c r="AY78" s="273"/>
      <c r="AZ78" s="273"/>
      <c r="BA78" s="273"/>
      <c r="BB78" s="273"/>
      <c r="BC78" s="273"/>
      <c r="BD78" s="273"/>
      <c r="BE78" s="273"/>
      <c r="BF78" s="273">
        <v>15</v>
      </c>
      <c r="BG78" s="273">
        <v>236</v>
      </c>
      <c r="BH78" s="273">
        <v>169.6</v>
      </c>
      <c r="BI78" s="273"/>
      <c r="BJ78" s="273"/>
      <c r="BK78" s="273"/>
      <c r="BL78" s="273"/>
      <c r="BM78" s="273"/>
      <c r="BN78" s="273"/>
      <c r="BO78" s="273"/>
      <c r="BP78" s="273"/>
      <c r="BQ78" s="273"/>
      <c r="BR78" s="273"/>
      <c r="BS78" s="273"/>
      <c r="BT78" s="273"/>
      <c r="BU78" s="273"/>
      <c r="BV78" s="273"/>
      <c r="BW78" s="273"/>
      <c r="BX78" s="272">
        <f t="shared" si="7"/>
        <v>34</v>
      </c>
      <c r="BY78" s="272">
        <f t="shared" si="7"/>
        <v>520</v>
      </c>
      <c r="BZ78" s="272">
        <f t="shared" si="8"/>
        <v>392</v>
      </c>
      <c r="CA78" s="273"/>
      <c r="CB78" s="273"/>
      <c r="CC78" s="273"/>
      <c r="CD78" s="273"/>
      <c r="CE78" s="273"/>
      <c r="CF78" s="273"/>
      <c r="CG78" s="273"/>
      <c r="CH78" s="273"/>
      <c r="CI78" s="273"/>
      <c r="CJ78" s="273"/>
      <c r="CK78" s="273"/>
      <c r="CL78" s="273"/>
      <c r="CM78" s="273"/>
      <c r="CN78" s="273"/>
      <c r="CO78" s="273"/>
      <c r="CP78" s="273"/>
      <c r="CQ78" s="273"/>
      <c r="CR78" s="273"/>
      <c r="CS78" s="273"/>
      <c r="CT78" s="273"/>
      <c r="CU78" s="273"/>
      <c r="CV78" s="273">
        <v>18</v>
      </c>
      <c r="CW78" s="273">
        <v>244</v>
      </c>
      <c r="CX78" s="273">
        <v>194</v>
      </c>
      <c r="CY78" s="273"/>
      <c r="CZ78" s="273"/>
      <c r="DA78" s="273"/>
      <c r="DB78" s="273"/>
      <c r="DC78" s="273"/>
      <c r="DD78" s="273"/>
      <c r="DE78" s="273"/>
      <c r="DF78" s="271"/>
      <c r="DG78" s="271"/>
      <c r="DH78" s="272">
        <f t="shared" si="6"/>
        <v>52</v>
      </c>
      <c r="DI78" s="272">
        <f t="shared" si="6"/>
        <v>764</v>
      </c>
      <c r="DJ78" s="324">
        <f t="shared" si="6"/>
        <v>586</v>
      </c>
      <c r="DK78" s="325"/>
      <c r="DL78" s="325"/>
    </row>
    <row r="79" spans="1:116" s="275" customFormat="1" ht="20.100000000000001" customHeight="1" x14ac:dyDescent="0.6">
      <c r="A79" s="234">
        <v>76</v>
      </c>
      <c r="B79" s="103" t="s">
        <v>551</v>
      </c>
      <c r="C79" s="103" t="s">
        <v>552</v>
      </c>
      <c r="D79" s="103" t="s">
        <v>230</v>
      </c>
      <c r="E79" s="148" t="s">
        <v>227</v>
      </c>
      <c r="F79" s="179" t="s">
        <v>516</v>
      </c>
      <c r="G79" s="322"/>
      <c r="H79" s="323"/>
      <c r="I79" s="322"/>
      <c r="J79" s="322" t="s">
        <v>1020</v>
      </c>
      <c r="K79" s="241"/>
      <c r="L79" s="241"/>
      <c r="M79" s="271"/>
      <c r="N79" s="271"/>
      <c r="O79" s="271"/>
      <c r="P79" s="271">
        <v>3</v>
      </c>
      <c r="Q79" s="271">
        <v>64</v>
      </c>
      <c r="R79" s="271">
        <v>28.4</v>
      </c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  <c r="AO79" s="271"/>
      <c r="AP79" s="271"/>
      <c r="AQ79" s="272">
        <f t="shared" si="4"/>
        <v>3</v>
      </c>
      <c r="AR79" s="272">
        <f t="shared" si="4"/>
        <v>64</v>
      </c>
      <c r="AS79" s="272">
        <f t="shared" si="4"/>
        <v>28.4</v>
      </c>
      <c r="AT79" s="273"/>
      <c r="AU79" s="273"/>
      <c r="AV79" s="273"/>
      <c r="AW79" s="273"/>
      <c r="AX79" s="273"/>
      <c r="AY79" s="273"/>
      <c r="AZ79" s="273"/>
      <c r="BA79" s="273"/>
      <c r="BB79" s="273"/>
      <c r="BC79" s="273"/>
      <c r="BD79" s="273"/>
      <c r="BE79" s="273"/>
      <c r="BF79" s="273">
        <v>15</v>
      </c>
      <c r="BG79" s="273">
        <v>180</v>
      </c>
      <c r="BH79" s="273">
        <v>180</v>
      </c>
      <c r="BI79" s="273"/>
      <c r="BJ79" s="273"/>
      <c r="BK79" s="273"/>
      <c r="BL79" s="273"/>
      <c r="BM79" s="273"/>
      <c r="BN79" s="273"/>
      <c r="BO79" s="273"/>
      <c r="BP79" s="273"/>
      <c r="BQ79" s="273"/>
      <c r="BR79" s="273"/>
      <c r="BS79" s="273"/>
      <c r="BT79" s="273"/>
      <c r="BU79" s="273"/>
      <c r="BV79" s="273"/>
      <c r="BW79" s="273"/>
      <c r="BX79" s="272">
        <f t="shared" si="7"/>
        <v>18</v>
      </c>
      <c r="BY79" s="272">
        <f t="shared" si="7"/>
        <v>244</v>
      </c>
      <c r="BZ79" s="272">
        <f t="shared" si="8"/>
        <v>208.4</v>
      </c>
      <c r="CA79" s="273"/>
      <c r="CB79" s="273"/>
      <c r="CC79" s="273"/>
      <c r="CD79" s="273"/>
      <c r="CE79" s="273"/>
      <c r="CF79" s="273"/>
      <c r="CG79" s="273"/>
      <c r="CH79" s="273"/>
      <c r="CI79" s="273"/>
      <c r="CJ79" s="273"/>
      <c r="CK79" s="273"/>
      <c r="CL79" s="273"/>
      <c r="CM79" s="273"/>
      <c r="CN79" s="273"/>
      <c r="CO79" s="273"/>
      <c r="CP79" s="273"/>
      <c r="CQ79" s="273"/>
      <c r="CR79" s="273"/>
      <c r="CS79" s="273"/>
      <c r="CT79" s="273"/>
      <c r="CU79" s="273"/>
      <c r="CV79" s="273"/>
      <c r="CW79" s="273"/>
      <c r="CX79" s="273"/>
      <c r="CY79" s="273">
        <v>15</v>
      </c>
      <c r="CZ79" s="273">
        <v>180</v>
      </c>
      <c r="DA79" s="273">
        <v>180</v>
      </c>
      <c r="DB79" s="273"/>
      <c r="DC79" s="273"/>
      <c r="DD79" s="273"/>
      <c r="DE79" s="273"/>
      <c r="DF79" s="271"/>
      <c r="DG79" s="271"/>
      <c r="DH79" s="272">
        <f t="shared" si="6"/>
        <v>33</v>
      </c>
      <c r="DI79" s="272">
        <f t="shared" si="6"/>
        <v>424</v>
      </c>
      <c r="DJ79" s="324">
        <f t="shared" si="6"/>
        <v>388.4</v>
      </c>
      <c r="DK79" s="325"/>
      <c r="DL79" s="325"/>
    </row>
    <row r="80" spans="1:116" s="275" customFormat="1" ht="20.100000000000001" customHeight="1" x14ac:dyDescent="0.6">
      <c r="A80" s="234">
        <v>77</v>
      </c>
      <c r="B80" s="103">
        <v>185</v>
      </c>
      <c r="C80" s="103">
        <v>185</v>
      </c>
      <c r="D80" s="103" t="s">
        <v>553</v>
      </c>
      <c r="E80" s="148" t="s">
        <v>554</v>
      </c>
      <c r="F80" s="179" t="s">
        <v>516</v>
      </c>
      <c r="G80" s="322"/>
      <c r="H80" s="323"/>
      <c r="I80" s="322"/>
      <c r="J80" s="322" t="s">
        <v>1020</v>
      </c>
      <c r="K80" s="241"/>
      <c r="L80" s="241"/>
      <c r="M80" s="271"/>
      <c r="N80" s="271"/>
      <c r="O80" s="271"/>
      <c r="P80" s="271"/>
      <c r="Q80" s="271"/>
      <c r="R80" s="271"/>
      <c r="S80" s="271">
        <v>4</v>
      </c>
      <c r="T80" s="271">
        <v>48</v>
      </c>
      <c r="U80" s="271">
        <v>48</v>
      </c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2">
        <f t="shared" si="4"/>
        <v>4</v>
      </c>
      <c r="AR80" s="272">
        <f t="shared" si="4"/>
        <v>48</v>
      </c>
      <c r="AS80" s="272">
        <f t="shared" si="4"/>
        <v>48</v>
      </c>
      <c r="AT80" s="273"/>
      <c r="AU80" s="273"/>
      <c r="AV80" s="273"/>
      <c r="AW80" s="273"/>
      <c r="AX80" s="273"/>
      <c r="AY80" s="273"/>
      <c r="AZ80" s="273"/>
      <c r="BA80" s="273"/>
      <c r="BB80" s="273"/>
      <c r="BC80" s="273"/>
      <c r="BD80" s="273"/>
      <c r="BE80" s="273"/>
      <c r="BF80" s="273"/>
      <c r="BG80" s="273"/>
      <c r="BH80" s="273"/>
      <c r="BI80" s="273"/>
      <c r="BJ80" s="273"/>
      <c r="BK80" s="273"/>
      <c r="BL80" s="273">
        <v>5</v>
      </c>
      <c r="BM80" s="273">
        <v>60</v>
      </c>
      <c r="BN80" s="273">
        <v>60</v>
      </c>
      <c r="BO80" s="273"/>
      <c r="BP80" s="273"/>
      <c r="BQ80" s="273"/>
      <c r="BR80" s="273"/>
      <c r="BS80" s="273"/>
      <c r="BT80" s="273"/>
      <c r="BU80" s="273"/>
      <c r="BV80" s="273"/>
      <c r="BW80" s="273"/>
      <c r="BX80" s="272">
        <f t="shared" si="7"/>
        <v>9</v>
      </c>
      <c r="BY80" s="272">
        <f t="shared" si="7"/>
        <v>108</v>
      </c>
      <c r="BZ80" s="272">
        <f t="shared" si="8"/>
        <v>108</v>
      </c>
      <c r="CA80" s="273"/>
      <c r="CB80" s="273"/>
      <c r="CC80" s="273"/>
      <c r="CD80" s="273"/>
      <c r="CE80" s="273"/>
      <c r="CF80" s="273"/>
      <c r="CG80" s="273"/>
      <c r="CH80" s="273"/>
      <c r="CI80" s="273"/>
      <c r="CJ80" s="273"/>
      <c r="CK80" s="273"/>
      <c r="CL80" s="273"/>
      <c r="CM80" s="273"/>
      <c r="CN80" s="273"/>
      <c r="CO80" s="273"/>
      <c r="CP80" s="273"/>
      <c r="CQ80" s="273"/>
      <c r="CR80" s="273"/>
      <c r="CS80" s="273"/>
      <c r="CT80" s="273"/>
      <c r="CU80" s="273"/>
      <c r="CV80" s="273"/>
      <c r="CW80" s="273"/>
      <c r="CX80" s="273"/>
      <c r="CY80" s="273"/>
      <c r="CZ80" s="273"/>
      <c r="DA80" s="273"/>
      <c r="DB80" s="273"/>
      <c r="DC80" s="273"/>
      <c r="DD80" s="273"/>
      <c r="DE80" s="273"/>
      <c r="DF80" s="271"/>
      <c r="DG80" s="271"/>
      <c r="DH80" s="272">
        <f t="shared" si="6"/>
        <v>9</v>
      </c>
      <c r="DI80" s="272">
        <f t="shared" si="6"/>
        <v>108</v>
      </c>
      <c r="DJ80" s="324">
        <f t="shared" si="6"/>
        <v>108</v>
      </c>
      <c r="DK80" s="325"/>
      <c r="DL80" s="325"/>
    </row>
    <row r="81" spans="1:116" s="275" customFormat="1" ht="20.100000000000001" customHeight="1" x14ac:dyDescent="0.6">
      <c r="A81" s="234">
        <v>78</v>
      </c>
      <c r="B81" s="103" t="s">
        <v>555</v>
      </c>
      <c r="C81" s="185" t="s">
        <v>556</v>
      </c>
      <c r="D81" s="103" t="s">
        <v>230</v>
      </c>
      <c r="E81" s="148" t="s">
        <v>532</v>
      </c>
      <c r="F81" s="328" t="s">
        <v>516</v>
      </c>
      <c r="G81" s="322"/>
      <c r="H81" s="323"/>
      <c r="I81" s="322" t="s">
        <v>1021</v>
      </c>
      <c r="J81" s="322" t="s">
        <v>1020</v>
      </c>
      <c r="K81" s="241"/>
      <c r="L81" s="24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2">
        <f t="shared" si="4"/>
        <v>0</v>
      </c>
      <c r="AR81" s="272">
        <f t="shared" si="4"/>
        <v>0</v>
      </c>
      <c r="AS81" s="272">
        <f t="shared" si="4"/>
        <v>0</v>
      </c>
      <c r="AT81" s="273"/>
      <c r="AU81" s="273"/>
      <c r="AV81" s="273"/>
      <c r="AW81" s="273"/>
      <c r="AX81" s="273"/>
      <c r="AY81" s="273"/>
      <c r="AZ81" s="273"/>
      <c r="BA81" s="273"/>
      <c r="BB81" s="273"/>
      <c r="BC81" s="273"/>
      <c r="BD81" s="273"/>
      <c r="BE81" s="273"/>
      <c r="BF81" s="273"/>
      <c r="BG81" s="273"/>
      <c r="BH81" s="273"/>
      <c r="BI81" s="273"/>
      <c r="BJ81" s="273"/>
      <c r="BK81" s="273"/>
      <c r="BL81" s="273"/>
      <c r="BM81" s="273"/>
      <c r="BN81" s="273"/>
      <c r="BO81" s="273"/>
      <c r="BP81" s="273"/>
      <c r="BQ81" s="273"/>
      <c r="BR81" s="273"/>
      <c r="BS81" s="273"/>
      <c r="BT81" s="273"/>
      <c r="BU81" s="273"/>
      <c r="BV81" s="273"/>
      <c r="BW81" s="273"/>
      <c r="BX81" s="272">
        <f t="shared" si="7"/>
        <v>0</v>
      </c>
      <c r="BY81" s="272">
        <f t="shared" si="7"/>
        <v>0</v>
      </c>
      <c r="BZ81" s="272">
        <f t="shared" si="8"/>
        <v>0</v>
      </c>
      <c r="CA81" s="273"/>
      <c r="CB81" s="273"/>
      <c r="CC81" s="273"/>
      <c r="CD81" s="273"/>
      <c r="CE81" s="273"/>
      <c r="CF81" s="273"/>
      <c r="CG81" s="273"/>
      <c r="CH81" s="273"/>
      <c r="CI81" s="273"/>
      <c r="CJ81" s="273"/>
      <c r="CK81" s="273"/>
      <c r="CL81" s="273"/>
      <c r="CM81" s="273"/>
      <c r="CN81" s="273"/>
      <c r="CO81" s="273"/>
      <c r="CP81" s="273"/>
      <c r="CQ81" s="273"/>
      <c r="CR81" s="273"/>
      <c r="CS81" s="273"/>
      <c r="CT81" s="273"/>
      <c r="CU81" s="273"/>
      <c r="CV81" s="273"/>
      <c r="CW81" s="273"/>
      <c r="CX81" s="273"/>
      <c r="CY81" s="273"/>
      <c r="CZ81" s="273"/>
      <c r="DA81" s="273"/>
      <c r="DB81" s="273"/>
      <c r="DC81" s="273"/>
      <c r="DD81" s="273"/>
      <c r="DE81" s="273"/>
      <c r="DF81" s="271"/>
      <c r="DG81" s="271"/>
      <c r="DH81" s="272">
        <f t="shared" si="6"/>
        <v>0</v>
      </c>
      <c r="DI81" s="272">
        <f t="shared" si="6"/>
        <v>0</v>
      </c>
      <c r="DJ81" s="324">
        <f t="shared" si="6"/>
        <v>0</v>
      </c>
      <c r="DK81" s="325"/>
      <c r="DL81" s="325"/>
    </row>
    <row r="82" spans="1:116" s="275" customFormat="1" ht="20.100000000000001" customHeight="1" x14ac:dyDescent="0.6">
      <c r="A82" s="234">
        <v>79</v>
      </c>
      <c r="B82" s="103" t="s">
        <v>557</v>
      </c>
      <c r="C82" s="185" t="s">
        <v>558</v>
      </c>
      <c r="D82" s="103" t="s">
        <v>141</v>
      </c>
      <c r="E82" s="148" t="s">
        <v>532</v>
      </c>
      <c r="F82" s="328" t="s">
        <v>516</v>
      </c>
      <c r="G82" s="322"/>
      <c r="H82" s="323"/>
      <c r="I82" s="322"/>
      <c r="J82" s="322" t="s">
        <v>1020</v>
      </c>
      <c r="K82" s="241"/>
      <c r="L82" s="241"/>
      <c r="M82" s="271"/>
      <c r="N82" s="271"/>
      <c r="O82" s="271"/>
      <c r="P82" s="271">
        <v>50</v>
      </c>
      <c r="Q82" s="271">
        <v>600</v>
      </c>
      <c r="R82" s="271">
        <v>600</v>
      </c>
      <c r="S82" s="271"/>
      <c r="T82" s="271"/>
      <c r="U82" s="271"/>
      <c r="V82" s="271"/>
      <c r="W82" s="271"/>
      <c r="X82" s="271"/>
      <c r="Y82" s="271"/>
      <c r="Z82" s="271"/>
      <c r="AA82" s="271"/>
      <c r="AB82" s="271">
        <v>10</v>
      </c>
      <c r="AC82" s="271">
        <v>140</v>
      </c>
      <c r="AD82" s="271">
        <v>89.6</v>
      </c>
      <c r="AE82" s="271"/>
      <c r="AF82" s="271"/>
      <c r="AG82" s="271"/>
      <c r="AH82" s="271"/>
      <c r="AI82" s="271"/>
      <c r="AJ82" s="271"/>
      <c r="AK82" s="271"/>
      <c r="AL82" s="271"/>
      <c r="AM82" s="271"/>
      <c r="AN82" s="271">
        <v>30</v>
      </c>
      <c r="AO82" s="271">
        <v>360</v>
      </c>
      <c r="AP82" s="271">
        <v>360</v>
      </c>
      <c r="AQ82" s="272">
        <f t="shared" si="4"/>
        <v>90</v>
      </c>
      <c r="AR82" s="272">
        <f t="shared" si="4"/>
        <v>1100</v>
      </c>
      <c r="AS82" s="272">
        <f t="shared" si="4"/>
        <v>1049.5999999999999</v>
      </c>
      <c r="AT82" s="273"/>
      <c r="AU82" s="273"/>
      <c r="AV82" s="273"/>
      <c r="AW82" s="273"/>
      <c r="AX82" s="273"/>
      <c r="AY82" s="273"/>
      <c r="AZ82" s="273"/>
      <c r="BA82" s="273"/>
      <c r="BB82" s="273"/>
      <c r="BC82" s="273"/>
      <c r="BD82" s="273"/>
      <c r="BE82" s="273"/>
      <c r="BF82" s="273"/>
      <c r="BG82" s="273"/>
      <c r="BH82" s="273"/>
      <c r="BI82" s="273"/>
      <c r="BJ82" s="273"/>
      <c r="BK82" s="273"/>
      <c r="BL82" s="273"/>
      <c r="BM82" s="273"/>
      <c r="BN82" s="273"/>
      <c r="BO82" s="273"/>
      <c r="BP82" s="273"/>
      <c r="BQ82" s="273"/>
      <c r="BR82" s="273">
        <v>60</v>
      </c>
      <c r="BS82" s="273">
        <v>740</v>
      </c>
      <c r="BT82" s="273">
        <v>689.6</v>
      </c>
      <c r="BU82" s="273">
        <v>56</v>
      </c>
      <c r="BV82" s="273">
        <v>684</v>
      </c>
      <c r="BW82" s="273">
        <v>653.76</v>
      </c>
      <c r="BX82" s="272">
        <f t="shared" si="7"/>
        <v>206</v>
      </c>
      <c r="BY82" s="272">
        <f t="shared" si="7"/>
        <v>2524</v>
      </c>
      <c r="BZ82" s="272">
        <f t="shared" si="8"/>
        <v>2392.96</v>
      </c>
      <c r="CA82" s="273"/>
      <c r="CB82" s="273"/>
      <c r="CC82" s="273"/>
      <c r="CD82" s="273"/>
      <c r="CE82" s="273"/>
      <c r="CF82" s="273"/>
      <c r="CG82" s="273"/>
      <c r="CH82" s="273"/>
      <c r="CI82" s="273"/>
      <c r="CJ82" s="273"/>
      <c r="CK82" s="273"/>
      <c r="CL82" s="273"/>
      <c r="CM82" s="273"/>
      <c r="CN82" s="273"/>
      <c r="CO82" s="273"/>
      <c r="CP82" s="273"/>
      <c r="CQ82" s="273"/>
      <c r="CR82" s="273"/>
      <c r="CS82" s="273"/>
      <c r="CT82" s="273"/>
      <c r="CU82" s="273"/>
      <c r="CV82" s="273"/>
      <c r="CW82" s="273"/>
      <c r="CX82" s="273"/>
      <c r="CY82" s="273"/>
      <c r="CZ82" s="273"/>
      <c r="DA82" s="273"/>
      <c r="DB82" s="273"/>
      <c r="DC82" s="273"/>
      <c r="DD82" s="273"/>
      <c r="DE82" s="273">
        <v>12</v>
      </c>
      <c r="DF82" s="271">
        <v>168</v>
      </c>
      <c r="DG82" s="271">
        <v>107.52</v>
      </c>
      <c r="DH82" s="272">
        <f t="shared" si="6"/>
        <v>218</v>
      </c>
      <c r="DI82" s="272">
        <f t="shared" si="6"/>
        <v>2692</v>
      </c>
      <c r="DJ82" s="324">
        <f t="shared" si="6"/>
        <v>2500.48</v>
      </c>
      <c r="DK82" s="325"/>
      <c r="DL82" s="325"/>
    </row>
    <row r="83" spans="1:116" s="275" customFormat="1" ht="20.100000000000001" customHeight="1" x14ac:dyDescent="0.6">
      <c r="A83" s="234">
        <v>80</v>
      </c>
      <c r="B83" s="103" t="s">
        <v>559</v>
      </c>
      <c r="C83" s="185" t="s">
        <v>560</v>
      </c>
      <c r="D83" s="103" t="s">
        <v>192</v>
      </c>
      <c r="E83" s="148" t="s">
        <v>561</v>
      </c>
      <c r="F83" s="328" t="s">
        <v>516</v>
      </c>
      <c r="G83" s="322"/>
      <c r="H83" s="323"/>
      <c r="I83" s="322"/>
      <c r="J83" s="322" t="s">
        <v>1020</v>
      </c>
      <c r="K83" s="241"/>
      <c r="L83" s="24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2">
        <f t="shared" si="4"/>
        <v>0</v>
      </c>
      <c r="AR83" s="272">
        <f t="shared" si="4"/>
        <v>0</v>
      </c>
      <c r="AS83" s="272">
        <f t="shared" si="4"/>
        <v>0</v>
      </c>
      <c r="AT83" s="273"/>
      <c r="AU83" s="273"/>
      <c r="AV83" s="273"/>
      <c r="AW83" s="273"/>
      <c r="AX83" s="273"/>
      <c r="AY83" s="273"/>
      <c r="AZ83" s="273"/>
      <c r="BA83" s="273"/>
      <c r="BB83" s="273"/>
      <c r="BC83" s="273"/>
      <c r="BD83" s="273"/>
      <c r="BE83" s="273"/>
      <c r="BF83" s="273"/>
      <c r="BG83" s="273"/>
      <c r="BH83" s="273"/>
      <c r="BI83" s="273"/>
      <c r="BJ83" s="273"/>
      <c r="BK83" s="273"/>
      <c r="BL83" s="273"/>
      <c r="BM83" s="273"/>
      <c r="BN83" s="273"/>
      <c r="BO83" s="273"/>
      <c r="BP83" s="273"/>
      <c r="BQ83" s="273"/>
      <c r="BR83" s="273"/>
      <c r="BS83" s="273"/>
      <c r="BT83" s="273"/>
      <c r="BU83" s="273"/>
      <c r="BV83" s="273"/>
      <c r="BW83" s="273"/>
      <c r="BX83" s="272">
        <f t="shared" si="7"/>
        <v>0</v>
      </c>
      <c r="BY83" s="272">
        <f t="shared" si="7"/>
        <v>0</v>
      </c>
      <c r="BZ83" s="272">
        <f t="shared" si="8"/>
        <v>0</v>
      </c>
      <c r="CA83" s="273"/>
      <c r="CB83" s="273"/>
      <c r="CC83" s="273"/>
      <c r="CD83" s="273"/>
      <c r="CE83" s="273"/>
      <c r="CF83" s="273"/>
      <c r="CG83" s="273"/>
      <c r="CH83" s="273"/>
      <c r="CI83" s="273"/>
      <c r="CJ83" s="273"/>
      <c r="CK83" s="273"/>
      <c r="CL83" s="273"/>
      <c r="CM83" s="273"/>
      <c r="CN83" s="273"/>
      <c r="CO83" s="273"/>
      <c r="CP83" s="273"/>
      <c r="CQ83" s="273"/>
      <c r="CR83" s="273"/>
      <c r="CS83" s="273"/>
      <c r="CT83" s="273"/>
      <c r="CU83" s="273"/>
      <c r="CV83" s="273"/>
      <c r="CW83" s="273"/>
      <c r="CX83" s="273"/>
      <c r="CY83" s="273"/>
      <c r="CZ83" s="273"/>
      <c r="DA83" s="273"/>
      <c r="DB83" s="273"/>
      <c r="DC83" s="273"/>
      <c r="DD83" s="273"/>
      <c r="DE83" s="273"/>
      <c r="DF83" s="271"/>
      <c r="DG83" s="271"/>
      <c r="DH83" s="272">
        <f t="shared" si="6"/>
        <v>0</v>
      </c>
      <c r="DI83" s="272">
        <f t="shared" si="6"/>
        <v>0</v>
      </c>
      <c r="DJ83" s="324">
        <f t="shared" si="6"/>
        <v>0</v>
      </c>
      <c r="DK83" s="325"/>
      <c r="DL83" s="325"/>
    </row>
    <row r="84" spans="1:116" s="275" customFormat="1" ht="20.100000000000001" customHeight="1" x14ac:dyDescent="0.6">
      <c r="A84" s="234">
        <v>81</v>
      </c>
      <c r="B84" s="103" t="s">
        <v>562</v>
      </c>
      <c r="C84" s="185" t="s">
        <v>563</v>
      </c>
      <c r="D84" s="103" t="s">
        <v>168</v>
      </c>
      <c r="E84" s="148" t="s">
        <v>169</v>
      </c>
      <c r="F84" s="328" t="s">
        <v>516</v>
      </c>
      <c r="G84" s="322"/>
      <c r="H84" s="323"/>
      <c r="I84" s="322"/>
      <c r="J84" s="322" t="s">
        <v>1020</v>
      </c>
      <c r="K84" s="241"/>
      <c r="L84" s="241"/>
      <c r="M84" s="271"/>
      <c r="N84" s="271"/>
      <c r="O84" s="271"/>
      <c r="P84" s="271"/>
      <c r="Q84" s="271"/>
      <c r="R84" s="271"/>
      <c r="S84" s="271">
        <v>10</v>
      </c>
      <c r="T84" s="271">
        <v>120</v>
      </c>
      <c r="U84" s="271">
        <v>120</v>
      </c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2">
        <f t="shared" ref="AQ84:AS136" si="9">+AN84+AK84+AH84+AE84+AB84+Y84+V84+S84+P84+M84</f>
        <v>10</v>
      </c>
      <c r="AR84" s="272">
        <f t="shared" si="9"/>
        <v>120</v>
      </c>
      <c r="AS84" s="272">
        <f t="shared" si="9"/>
        <v>120</v>
      </c>
      <c r="AT84" s="273"/>
      <c r="AU84" s="273"/>
      <c r="AV84" s="273"/>
      <c r="AW84" s="273"/>
      <c r="AX84" s="273"/>
      <c r="AY84" s="273"/>
      <c r="AZ84" s="273"/>
      <c r="BA84" s="273"/>
      <c r="BB84" s="273"/>
      <c r="BC84" s="273"/>
      <c r="BD84" s="273"/>
      <c r="BE84" s="273"/>
      <c r="BF84" s="273"/>
      <c r="BG84" s="273"/>
      <c r="BH84" s="273"/>
      <c r="BI84" s="273"/>
      <c r="BJ84" s="273"/>
      <c r="BK84" s="273"/>
      <c r="BL84" s="273">
        <v>10</v>
      </c>
      <c r="BM84" s="273">
        <v>120</v>
      </c>
      <c r="BN84" s="273">
        <v>120</v>
      </c>
      <c r="BO84" s="273"/>
      <c r="BP84" s="273"/>
      <c r="BQ84" s="273"/>
      <c r="BR84" s="273">
        <v>15</v>
      </c>
      <c r="BS84" s="273">
        <v>180</v>
      </c>
      <c r="BT84" s="273">
        <v>180</v>
      </c>
      <c r="BU84" s="273"/>
      <c r="BV84" s="273"/>
      <c r="BW84" s="273"/>
      <c r="BX84" s="272">
        <f t="shared" si="7"/>
        <v>35</v>
      </c>
      <c r="BY84" s="272">
        <f t="shared" si="7"/>
        <v>420</v>
      </c>
      <c r="BZ84" s="272">
        <f t="shared" si="8"/>
        <v>420</v>
      </c>
      <c r="CA84" s="273"/>
      <c r="CB84" s="273"/>
      <c r="CC84" s="273"/>
      <c r="CD84" s="273"/>
      <c r="CE84" s="273"/>
      <c r="CF84" s="273"/>
      <c r="CG84" s="273"/>
      <c r="CH84" s="273"/>
      <c r="CI84" s="273"/>
      <c r="CJ84" s="273"/>
      <c r="CK84" s="273"/>
      <c r="CL84" s="273"/>
      <c r="CM84" s="273"/>
      <c r="CN84" s="273"/>
      <c r="CO84" s="273"/>
      <c r="CP84" s="273"/>
      <c r="CQ84" s="273"/>
      <c r="CR84" s="273"/>
      <c r="CS84" s="273"/>
      <c r="CT84" s="273"/>
      <c r="CU84" s="273"/>
      <c r="CV84" s="273"/>
      <c r="CW84" s="273"/>
      <c r="CX84" s="273"/>
      <c r="CY84" s="273">
        <v>10</v>
      </c>
      <c r="CZ84" s="273">
        <v>120</v>
      </c>
      <c r="DA84" s="273">
        <v>120</v>
      </c>
      <c r="DB84" s="273"/>
      <c r="DC84" s="273"/>
      <c r="DD84" s="273"/>
      <c r="DE84" s="273"/>
      <c r="DF84" s="271"/>
      <c r="DG84" s="271"/>
      <c r="DH84" s="272">
        <f t="shared" si="6"/>
        <v>45</v>
      </c>
      <c r="DI84" s="272">
        <f t="shared" si="6"/>
        <v>540</v>
      </c>
      <c r="DJ84" s="324">
        <f t="shared" si="6"/>
        <v>540</v>
      </c>
      <c r="DK84" s="325"/>
      <c r="DL84" s="325"/>
    </row>
    <row r="85" spans="1:116" s="275" customFormat="1" ht="20.100000000000001" customHeight="1" x14ac:dyDescent="0.6">
      <c r="A85" s="234">
        <v>82</v>
      </c>
      <c r="B85" s="103" t="s">
        <v>564</v>
      </c>
      <c r="C85" s="185" t="s">
        <v>565</v>
      </c>
      <c r="D85" s="103" t="s">
        <v>141</v>
      </c>
      <c r="E85" s="148" t="s">
        <v>566</v>
      </c>
      <c r="F85" s="328" t="s">
        <v>516</v>
      </c>
      <c r="G85" s="322"/>
      <c r="H85" s="323"/>
      <c r="I85" s="322" t="s">
        <v>1022</v>
      </c>
      <c r="J85" s="322" t="s">
        <v>1023</v>
      </c>
      <c r="K85" s="241"/>
      <c r="L85" s="241"/>
      <c r="M85" s="271"/>
      <c r="N85" s="271"/>
      <c r="O85" s="271"/>
      <c r="P85" s="271"/>
      <c r="Q85" s="271"/>
      <c r="R85" s="271"/>
      <c r="S85" s="271">
        <v>8</v>
      </c>
      <c r="T85" s="271">
        <v>96</v>
      </c>
      <c r="U85" s="271">
        <v>96</v>
      </c>
      <c r="V85" s="271"/>
      <c r="W85" s="271"/>
      <c r="X85" s="271"/>
      <c r="Y85" s="271">
        <v>5</v>
      </c>
      <c r="Z85" s="271">
        <v>60</v>
      </c>
      <c r="AA85" s="271">
        <v>60</v>
      </c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>
        <v>10</v>
      </c>
      <c r="AO85" s="271">
        <v>130</v>
      </c>
      <c r="AP85" s="271">
        <v>104.8</v>
      </c>
      <c r="AQ85" s="272">
        <f t="shared" si="9"/>
        <v>23</v>
      </c>
      <c r="AR85" s="272">
        <f t="shared" si="9"/>
        <v>286</v>
      </c>
      <c r="AS85" s="272">
        <f t="shared" si="9"/>
        <v>260.8</v>
      </c>
      <c r="AT85" s="273"/>
      <c r="AU85" s="273"/>
      <c r="AV85" s="273"/>
      <c r="AW85" s="273"/>
      <c r="AX85" s="273"/>
      <c r="AY85" s="273"/>
      <c r="AZ85" s="273"/>
      <c r="BA85" s="273"/>
      <c r="BB85" s="273"/>
      <c r="BC85" s="273"/>
      <c r="BD85" s="273"/>
      <c r="BE85" s="273"/>
      <c r="BF85" s="273">
        <v>10</v>
      </c>
      <c r="BG85" s="273">
        <v>130</v>
      </c>
      <c r="BH85" s="273">
        <v>104.8</v>
      </c>
      <c r="BI85" s="273"/>
      <c r="BJ85" s="273"/>
      <c r="BK85" s="273"/>
      <c r="BL85" s="273"/>
      <c r="BM85" s="273"/>
      <c r="BN85" s="273"/>
      <c r="BO85" s="273"/>
      <c r="BP85" s="273"/>
      <c r="BQ85" s="273"/>
      <c r="BR85" s="273"/>
      <c r="BS85" s="273"/>
      <c r="BT85" s="273"/>
      <c r="BU85" s="273"/>
      <c r="BV85" s="273"/>
      <c r="BW85" s="273"/>
      <c r="BX85" s="272">
        <f t="shared" si="7"/>
        <v>33</v>
      </c>
      <c r="BY85" s="272">
        <f t="shared" si="7"/>
        <v>416</v>
      </c>
      <c r="BZ85" s="272">
        <f t="shared" si="8"/>
        <v>365.6</v>
      </c>
      <c r="CA85" s="273"/>
      <c r="CB85" s="273"/>
      <c r="CC85" s="273"/>
      <c r="CD85" s="273">
        <v>5</v>
      </c>
      <c r="CE85" s="273">
        <v>70</v>
      </c>
      <c r="CF85" s="273">
        <v>44.8</v>
      </c>
      <c r="CG85" s="273">
        <v>5</v>
      </c>
      <c r="CH85" s="273">
        <v>116</v>
      </c>
      <c r="CI85" s="273">
        <v>64</v>
      </c>
      <c r="CJ85" s="273"/>
      <c r="CK85" s="273"/>
      <c r="CL85" s="273"/>
      <c r="CM85" s="273"/>
      <c r="CN85" s="273"/>
      <c r="CO85" s="273"/>
      <c r="CP85" s="273"/>
      <c r="CQ85" s="273"/>
      <c r="CR85" s="273"/>
      <c r="CS85" s="273"/>
      <c r="CT85" s="273"/>
      <c r="CU85" s="273"/>
      <c r="CV85" s="273"/>
      <c r="CW85" s="273"/>
      <c r="CX85" s="273"/>
      <c r="CY85" s="273">
        <v>14</v>
      </c>
      <c r="CZ85" s="273">
        <v>178</v>
      </c>
      <c r="DA85" s="273">
        <v>148.96</v>
      </c>
      <c r="DB85" s="273"/>
      <c r="DC85" s="273"/>
      <c r="DD85" s="273"/>
      <c r="DE85" s="273">
        <v>4</v>
      </c>
      <c r="DF85" s="271">
        <v>48</v>
      </c>
      <c r="DG85" s="271">
        <v>48</v>
      </c>
      <c r="DH85" s="272">
        <f t="shared" si="6"/>
        <v>61</v>
      </c>
      <c r="DI85" s="272">
        <f t="shared" si="6"/>
        <v>828</v>
      </c>
      <c r="DJ85" s="324">
        <f t="shared" si="6"/>
        <v>671.36</v>
      </c>
      <c r="DK85" s="325"/>
      <c r="DL85" s="325"/>
    </row>
    <row r="86" spans="1:116" s="275" customFormat="1" ht="20.100000000000001" customHeight="1" x14ac:dyDescent="0.6">
      <c r="A86" s="234">
        <v>83</v>
      </c>
      <c r="B86" s="103" t="s">
        <v>567</v>
      </c>
      <c r="C86" s="185" t="s">
        <v>568</v>
      </c>
      <c r="D86" s="103" t="s">
        <v>168</v>
      </c>
      <c r="E86" s="148" t="s">
        <v>169</v>
      </c>
      <c r="F86" s="328" t="s">
        <v>516</v>
      </c>
      <c r="G86" s="322"/>
      <c r="H86" s="323"/>
      <c r="I86" s="322" t="s">
        <v>1024</v>
      </c>
      <c r="J86" s="322" t="s">
        <v>1023</v>
      </c>
      <c r="K86" s="241"/>
      <c r="L86" s="24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2">
        <f t="shared" si="9"/>
        <v>0</v>
      </c>
      <c r="AR86" s="272">
        <f t="shared" si="9"/>
        <v>0</v>
      </c>
      <c r="AS86" s="272">
        <f t="shared" si="9"/>
        <v>0</v>
      </c>
      <c r="AT86" s="273"/>
      <c r="AU86" s="273"/>
      <c r="AV86" s="273"/>
      <c r="AW86" s="273"/>
      <c r="AX86" s="273"/>
      <c r="AY86" s="273"/>
      <c r="AZ86" s="273"/>
      <c r="BA86" s="273"/>
      <c r="BB86" s="273"/>
      <c r="BC86" s="273"/>
      <c r="BD86" s="273"/>
      <c r="BE86" s="273"/>
      <c r="BF86" s="273"/>
      <c r="BG86" s="273"/>
      <c r="BH86" s="273"/>
      <c r="BI86" s="273"/>
      <c r="BJ86" s="273"/>
      <c r="BK86" s="273"/>
      <c r="BL86" s="273"/>
      <c r="BM86" s="273"/>
      <c r="BN86" s="273"/>
      <c r="BO86" s="273"/>
      <c r="BP86" s="273"/>
      <c r="BQ86" s="273"/>
      <c r="BR86" s="273"/>
      <c r="BS86" s="273"/>
      <c r="BT86" s="273"/>
      <c r="BU86" s="273"/>
      <c r="BV86" s="273"/>
      <c r="BW86" s="273"/>
      <c r="BX86" s="272">
        <f t="shared" si="7"/>
        <v>0</v>
      </c>
      <c r="BY86" s="272">
        <f t="shared" si="7"/>
        <v>0</v>
      </c>
      <c r="BZ86" s="272">
        <f t="shared" si="8"/>
        <v>0</v>
      </c>
      <c r="CA86" s="273"/>
      <c r="CB86" s="273"/>
      <c r="CC86" s="273"/>
      <c r="CD86" s="273"/>
      <c r="CE86" s="273"/>
      <c r="CF86" s="273"/>
      <c r="CG86" s="273"/>
      <c r="CH86" s="273"/>
      <c r="CI86" s="273"/>
      <c r="CJ86" s="273"/>
      <c r="CK86" s="273"/>
      <c r="CL86" s="273"/>
      <c r="CM86" s="273"/>
      <c r="CN86" s="273"/>
      <c r="CO86" s="273"/>
      <c r="CP86" s="273"/>
      <c r="CQ86" s="273"/>
      <c r="CR86" s="273"/>
      <c r="CS86" s="273"/>
      <c r="CT86" s="273"/>
      <c r="CU86" s="273"/>
      <c r="CV86" s="273"/>
      <c r="CW86" s="273"/>
      <c r="CX86" s="273"/>
      <c r="CY86" s="273"/>
      <c r="CZ86" s="273"/>
      <c r="DA86" s="273"/>
      <c r="DB86" s="273"/>
      <c r="DC86" s="273"/>
      <c r="DD86" s="273"/>
      <c r="DE86" s="273"/>
      <c r="DF86" s="271"/>
      <c r="DG86" s="271"/>
      <c r="DH86" s="272">
        <f t="shared" si="6"/>
        <v>0</v>
      </c>
      <c r="DI86" s="272">
        <f t="shared" si="6"/>
        <v>0</v>
      </c>
      <c r="DJ86" s="324">
        <f t="shared" si="6"/>
        <v>0</v>
      </c>
      <c r="DK86" s="325"/>
      <c r="DL86" s="325"/>
    </row>
    <row r="87" spans="1:116" s="275" customFormat="1" ht="20.100000000000001" customHeight="1" x14ac:dyDescent="0.6">
      <c r="A87" s="234">
        <v>84</v>
      </c>
      <c r="B87" s="103" t="s">
        <v>569</v>
      </c>
      <c r="C87" s="185" t="s">
        <v>570</v>
      </c>
      <c r="D87" s="103" t="s">
        <v>571</v>
      </c>
      <c r="E87" s="148" t="s">
        <v>532</v>
      </c>
      <c r="F87" s="328" t="s">
        <v>572</v>
      </c>
      <c r="G87" s="322"/>
      <c r="H87" s="323"/>
      <c r="I87" s="322" t="s">
        <v>1025</v>
      </c>
      <c r="J87" s="322" t="s">
        <v>1023</v>
      </c>
      <c r="K87" s="241"/>
      <c r="L87" s="24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>
        <v>20</v>
      </c>
      <c r="AL87" s="271">
        <v>240</v>
      </c>
      <c r="AM87" s="271">
        <v>240</v>
      </c>
      <c r="AN87" s="271"/>
      <c r="AO87" s="271"/>
      <c r="AP87" s="271"/>
      <c r="AQ87" s="272">
        <f t="shared" si="9"/>
        <v>20</v>
      </c>
      <c r="AR87" s="272">
        <f t="shared" si="9"/>
        <v>240</v>
      </c>
      <c r="AS87" s="272">
        <f t="shared" si="9"/>
        <v>240</v>
      </c>
      <c r="AT87" s="273"/>
      <c r="AU87" s="273"/>
      <c r="AV87" s="273"/>
      <c r="AW87" s="273"/>
      <c r="AX87" s="273"/>
      <c r="AY87" s="273"/>
      <c r="AZ87" s="273"/>
      <c r="BA87" s="273"/>
      <c r="BB87" s="273"/>
      <c r="BC87" s="273"/>
      <c r="BD87" s="273"/>
      <c r="BE87" s="273"/>
      <c r="BF87" s="273">
        <v>20</v>
      </c>
      <c r="BG87" s="273">
        <v>240</v>
      </c>
      <c r="BH87" s="273">
        <v>240</v>
      </c>
      <c r="BI87" s="273"/>
      <c r="BJ87" s="273"/>
      <c r="BK87" s="273"/>
      <c r="BL87" s="273">
        <v>10</v>
      </c>
      <c r="BM87" s="273">
        <v>120</v>
      </c>
      <c r="BN87" s="273">
        <v>120</v>
      </c>
      <c r="BO87" s="273"/>
      <c r="BP87" s="273"/>
      <c r="BQ87" s="273"/>
      <c r="BR87" s="273">
        <v>20</v>
      </c>
      <c r="BS87" s="273">
        <v>240</v>
      </c>
      <c r="BT87" s="273">
        <v>240</v>
      </c>
      <c r="BU87" s="273"/>
      <c r="BV87" s="273"/>
      <c r="BW87" s="273"/>
      <c r="BX87" s="272">
        <f t="shared" si="7"/>
        <v>70</v>
      </c>
      <c r="BY87" s="272">
        <f t="shared" si="7"/>
        <v>840</v>
      </c>
      <c r="BZ87" s="272">
        <f t="shared" si="8"/>
        <v>840</v>
      </c>
      <c r="CA87" s="273">
        <v>0.66600000000000004</v>
      </c>
      <c r="CB87" s="273">
        <v>14</v>
      </c>
      <c r="CC87" s="273">
        <v>5.6</v>
      </c>
      <c r="CD87" s="273"/>
      <c r="CE87" s="273"/>
      <c r="CF87" s="273"/>
      <c r="CG87" s="273"/>
      <c r="CH87" s="273"/>
      <c r="CI87" s="273"/>
      <c r="CJ87" s="273">
        <v>2.4159999999999999</v>
      </c>
      <c r="CK87" s="273">
        <v>32</v>
      </c>
      <c r="CL87" s="273">
        <v>23.66</v>
      </c>
      <c r="CM87" s="273"/>
      <c r="CN87" s="273"/>
      <c r="CO87" s="273"/>
      <c r="CP87" s="273"/>
      <c r="CQ87" s="273"/>
      <c r="CR87" s="273"/>
      <c r="CS87" s="273">
        <v>0.25</v>
      </c>
      <c r="CT87" s="273">
        <v>3</v>
      </c>
      <c r="CU87" s="273">
        <v>2.1</v>
      </c>
      <c r="CV87" s="273">
        <v>20</v>
      </c>
      <c r="CW87" s="273">
        <v>240</v>
      </c>
      <c r="CX87" s="273">
        <v>240</v>
      </c>
      <c r="CY87" s="273"/>
      <c r="CZ87" s="273"/>
      <c r="DA87" s="273"/>
      <c r="DB87" s="273">
        <v>1</v>
      </c>
      <c r="DC87" s="273">
        <v>12</v>
      </c>
      <c r="DD87" s="273">
        <v>12</v>
      </c>
      <c r="DE87" s="273"/>
      <c r="DF87" s="271"/>
      <c r="DG87" s="271"/>
      <c r="DH87" s="272">
        <f t="shared" si="6"/>
        <v>94.331999999999994</v>
      </c>
      <c r="DI87" s="272">
        <f t="shared" si="6"/>
        <v>1141</v>
      </c>
      <c r="DJ87" s="324">
        <f t="shared" si="6"/>
        <v>1123.3600000000001</v>
      </c>
      <c r="DK87" s="325"/>
      <c r="DL87" s="325"/>
    </row>
    <row r="88" spans="1:116" s="275" customFormat="1" ht="20.100000000000001" customHeight="1" x14ac:dyDescent="0.6">
      <c r="A88" s="234">
        <v>85</v>
      </c>
      <c r="B88" s="103" t="s">
        <v>573</v>
      </c>
      <c r="C88" s="185" t="s">
        <v>574</v>
      </c>
      <c r="D88" s="103" t="s">
        <v>571</v>
      </c>
      <c r="E88" s="148" t="s">
        <v>532</v>
      </c>
      <c r="F88" s="328" t="s">
        <v>572</v>
      </c>
      <c r="G88" s="322"/>
      <c r="H88" s="323"/>
      <c r="I88" s="322" t="s">
        <v>1026</v>
      </c>
      <c r="J88" s="322" t="s">
        <v>1023</v>
      </c>
      <c r="K88" s="241"/>
      <c r="L88" s="24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>
        <v>20</v>
      </c>
      <c r="AL88" s="271">
        <v>240</v>
      </c>
      <c r="AM88" s="271">
        <v>240</v>
      </c>
      <c r="AN88" s="271"/>
      <c r="AO88" s="271"/>
      <c r="AP88" s="271"/>
      <c r="AQ88" s="272">
        <f t="shared" si="9"/>
        <v>20</v>
      </c>
      <c r="AR88" s="272">
        <f t="shared" si="9"/>
        <v>240</v>
      </c>
      <c r="AS88" s="272">
        <f t="shared" si="9"/>
        <v>240</v>
      </c>
      <c r="AT88" s="273"/>
      <c r="AU88" s="273"/>
      <c r="AV88" s="273"/>
      <c r="AW88" s="273"/>
      <c r="AX88" s="273"/>
      <c r="AY88" s="273"/>
      <c r="AZ88" s="273"/>
      <c r="BA88" s="273"/>
      <c r="BB88" s="273"/>
      <c r="BC88" s="273">
        <v>6</v>
      </c>
      <c r="BD88" s="273">
        <v>72</v>
      </c>
      <c r="BE88" s="273">
        <v>72</v>
      </c>
      <c r="BF88" s="273"/>
      <c r="BG88" s="273"/>
      <c r="BH88" s="273"/>
      <c r="BI88" s="273"/>
      <c r="BJ88" s="273"/>
      <c r="BK88" s="273"/>
      <c r="BL88" s="273">
        <v>10</v>
      </c>
      <c r="BM88" s="273">
        <v>400</v>
      </c>
      <c r="BN88" s="273">
        <v>140</v>
      </c>
      <c r="BO88" s="273"/>
      <c r="BP88" s="273"/>
      <c r="BQ88" s="273"/>
      <c r="BR88" s="273">
        <v>20</v>
      </c>
      <c r="BS88" s="273">
        <v>240</v>
      </c>
      <c r="BT88" s="273">
        <v>240</v>
      </c>
      <c r="BU88" s="273"/>
      <c r="BV88" s="273"/>
      <c r="BW88" s="273"/>
      <c r="BX88" s="272">
        <f t="shared" si="7"/>
        <v>56</v>
      </c>
      <c r="BY88" s="272">
        <f t="shared" si="7"/>
        <v>952</v>
      </c>
      <c r="BZ88" s="272">
        <f t="shared" si="8"/>
        <v>692</v>
      </c>
      <c r="CA88" s="273">
        <v>1</v>
      </c>
      <c r="CB88" s="273">
        <v>12</v>
      </c>
      <c r="CC88" s="273">
        <v>12</v>
      </c>
      <c r="CD88" s="273"/>
      <c r="CE88" s="273"/>
      <c r="CF88" s="273"/>
      <c r="CG88" s="273"/>
      <c r="CH88" s="273"/>
      <c r="CI88" s="273"/>
      <c r="CJ88" s="273">
        <v>0.41599999999999998</v>
      </c>
      <c r="CK88" s="273">
        <v>36</v>
      </c>
      <c r="CL88" s="273">
        <v>24.36</v>
      </c>
      <c r="CM88" s="273"/>
      <c r="CN88" s="273"/>
      <c r="CO88" s="273"/>
      <c r="CP88" s="273"/>
      <c r="CQ88" s="273"/>
      <c r="CR88" s="273"/>
      <c r="CS88" s="273">
        <v>1.5</v>
      </c>
      <c r="CT88" s="273">
        <v>24</v>
      </c>
      <c r="CU88" s="273">
        <v>16.2</v>
      </c>
      <c r="CV88" s="273">
        <v>20.25</v>
      </c>
      <c r="CW88" s="273">
        <v>246</v>
      </c>
      <c r="CX88" s="273">
        <v>242.1</v>
      </c>
      <c r="CY88" s="273"/>
      <c r="CZ88" s="273"/>
      <c r="DA88" s="273"/>
      <c r="DB88" s="273">
        <v>0.25</v>
      </c>
      <c r="DC88" s="273">
        <v>6</v>
      </c>
      <c r="DD88" s="273">
        <v>2.1</v>
      </c>
      <c r="DE88" s="273"/>
      <c r="DF88" s="271"/>
      <c r="DG88" s="271"/>
      <c r="DH88" s="272">
        <f t="shared" si="6"/>
        <v>79.415999999999997</v>
      </c>
      <c r="DI88" s="272">
        <f t="shared" si="6"/>
        <v>1276</v>
      </c>
      <c r="DJ88" s="324">
        <f t="shared" si="6"/>
        <v>988.7600000000001</v>
      </c>
      <c r="DK88" s="325"/>
      <c r="DL88" s="325"/>
    </row>
    <row r="89" spans="1:116" s="275" customFormat="1" ht="20.100000000000001" customHeight="1" x14ac:dyDescent="0.6">
      <c r="A89" s="234">
        <v>86</v>
      </c>
      <c r="B89" s="103" t="s">
        <v>575</v>
      </c>
      <c r="C89" s="185" t="s">
        <v>576</v>
      </c>
      <c r="D89" s="103" t="s">
        <v>571</v>
      </c>
      <c r="E89" s="148" t="s">
        <v>532</v>
      </c>
      <c r="F89" s="328" t="s">
        <v>572</v>
      </c>
      <c r="G89" s="322"/>
      <c r="H89" s="323"/>
      <c r="I89" s="322" t="s">
        <v>1027</v>
      </c>
      <c r="J89" s="322" t="s">
        <v>1023</v>
      </c>
      <c r="K89" s="241"/>
      <c r="L89" s="241"/>
      <c r="M89" s="271"/>
      <c r="N89" s="271"/>
      <c r="O89" s="271"/>
      <c r="P89" s="271">
        <v>2</v>
      </c>
      <c r="Q89" s="271">
        <v>24</v>
      </c>
      <c r="R89" s="271">
        <v>24</v>
      </c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>
        <v>20</v>
      </c>
      <c r="AL89" s="271">
        <v>240</v>
      </c>
      <c r="AM89" s="271">
        <v>240</v>
      </c>
      <c r="AN89" s="271"/>
      <c r="AO89" s="271"/>
      <c r="AP89" s="271"/>
      <c r="AQ89" s="272">
        <f t="shared" si="9"/>
        <v>22</v>
      </c>
      <c r="AR89" s="272">
        <f t="shared" si="9"/>
        <v>264</v>
      </c>
      <c r="AS89" s="272">
        <f t="shared" si="9"/>
        <v>264</v>
      </c>
      <c r="AT89" s="273"/>
      <c r="AU89" s="273"/>
      <c r="AV89" s="273"/>
      <c r="AW89" s="273">
        <v>15</v>
      </c>
      <c r="AX89" s="273">
        <v>180</v>
      </c>
      <c r="AY89" s="273">
        <v>180</v>
      </c>
      <c r="AZ89" s="273"/>
      <c r="BA89" s="273"/>
      <c r="BB89" s="273"/>
      <c r="BC89" s="273"/>
      <c r="BD89" s="273"/>
      <c r="BE89" s="273"/>
      <c r="BF89" s="273">
        <v>20</v>
      </c>
      <c r="BG89" s="273">
        <v>240</v>
      </c>
      <c r="BH89" s="273">
        <v>240</v>
      </c>
      <c r="BI89" s="273"/>
      <c r="BJ89" s="273"/>
      <c r="BK89" s="273"/>
      <c r="BL89" s="273">
        <v>5</v>
      </c>
      <c r="BM89" s="273">
        <v>200</v>
      </c>
      <c r="BN89" s="273">
        <v>70</v>
      </c>
      <c r="BO89" s="273"/>
      <c r="BP89" s="273"/>
      <c r="BQ89" s="273"/>
      <c r="BR89" s="273">
        <v>20</v>
      </c>
      <c r="BS89" s="273">
        <v>240</v>
      </c>
      <c r="BT89" s="273">
        <v>240</v>
      </c>
      <c r="BU89" s="273"/>
      <c r="BV89" s="273"/>
      <c r="BW89" s="273"/>
      <c r="BX89" s="272">
        <f t="shared" si="7"/>
        <v>82</v>
      </c>
      <c r="BY89" s="272">
        <f t="shared" si="7"/>
        <v>1124</v>
      </c>
      <c r="BZ89" s="272">
        <f t="shared" si="8"/>
        <v>994</v>
      </c>
      <c r="CA89" s="273">
        <v>2</v>
      </c>
      <c r="CB89" s="273">
        <v>36</v>
      </c>
      <c r="CC89" s="273">
        <v>20.399999999999999</v>
      </c>
      <c r="CD89" s="273"/>
      <c r="CE89" s="273"/>
      <c r="CF89" s="273"/>
      <c r="CG89" s="273">
        <v>2</v>
      </c>
      <c r="CH89" s="273">
        <v>24</v>
      </c>
      <c r="CI89" s="273">
        <v>24</v>
      </c>
      <c r="CJ89" s="273">
        <v>2.5</v>
      </c>
      <c r="CK89" s="273">
        <v>8</v>
      </c>
      <c r="CL89" s="273">
        <v>3.5</v>
      </c>
      <c r="CM89" s="273"/>
      <c r="CN89" s="273"/>
      <c r="CO89" s="273"/>
      <c r="CP89" s="273"/>
      <c r="CQ89" s="273"/>
      <c r="CR89" s="273"/>
      <c r="CS89" s="273">
        <v>1</v>
      </c>
      <c r="CT89" s="273">
        <v>12</v>
      </c>
      <c r="CU89" s="273">
        <v>12</v>
      </c>
      <c r="CV89" s="273">
        <v>20</v>
      </c>
      <c r="CW89" s="273">
        <v>240</v>
      </c>
      <c r="CX89" s="273">
        <v>240</v>
      </c>
      <c r="CY89" s="273"/>
      <c r="CZ89" s="273"/>
      <c r="DA89" s="273"/>
      <c r="DB89" s="273">
        <v>1</v>
      </c>
      <c r="DC89" s="273">
        <v>24</v>
      </c>
      <c r="DD89" s="273">
        <v>8.4</v>
      </c>
      <c r="DE89" s="273">
        <v>12</v>
      </c>
      <c r="DF89" s="271">
        <v>200</v>
      </c>
      <c r="DG89" s="271">
        <v>148</v>
      </c>
      <c r="DH89" s="272">
        <f t="shared" si="6"/>
        <v>122.5</v>
      </c>
      <c r="DI89" s="272">
        <f t="shared" si="6"/>
        <v>1668</v>
      </c>
      <c r="DJ89" s="324">
        <f t="shared" si="6"/>
        <v>1450.3000000000002</v>
      </c>
      <c r="DK89" s="325"/>
      <c r="DL89" s="325"/>
    </row>
    <row r="90" spans="1:116" s="275" customFormat="1" ht="20.100000000000001" customHeight="1" x14ac:dyDescent="0.6">
      <c r="A90" s="234">
        <v>87</v>
      </c>
      <c r="B90" s="103" t="s">
        <v>577</v>
      </c>
      <c r="C90" s="185" t="s">
        <v>577</v>
      </c>
      <c r="D90" s="103" t="s">
        <v>571</v>
      </c>
      <c r="E90" s="148" t="s">
        <v>532</v>
      </c>
      <c r="F90" s="328" t="s">
        <v>572</v>
      </c>
      <c r="G90" s="322"/>
      <c r="H90" s="323"/>
      <c r="I90" s="322" t="s">
        <v>1028</v>
      </c>
      <c r="J90" s="322" t="s">
        <v>1023</v>
      </c>
      <c r="K90" s="241"/>
      <c r="L90" s="24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>
        <v>5</v>
      </c>
      <c r="AI90" s="271">
        <v>60</v>
      </c>
      <c r="AJ90" s="271">
        <v>60</v>
      </c>
      <c r="AK90" s="271">
        <v>32</v>
      </c>
      <c r="AL90" s="271">
        <v>460</v>
      </c>
      <c r="AM90" s="271">
        <v>357.6</v>
      </c>
      <c r="AN90" s="271"/>
      <c r="AO90" s="271"/>
      <c r="AP90" s="271"/>
      <c r="AQ90" s="272">
        <f t="shared" si="9"/>
        <v>37</v>
      </c>
      <c r="AR90" s="272">
        <f t="shared" si="9"/>
        <v>520</v>
      </c>
      <c r="AS90" s="272">
        <f t="shared" si="9"/>
        <v>417.6</v>
      </c>
      <c r="AT90" s="273"/>
      <c r="AU90" s="273"/>
      <c r="AV90" s="273"/>
      <c r="AW90" s="273"/>
      <c r="AX90" s="273"/>
      <c r="AY90" s="273"/>
      <c r="AZ90" s="273"/>
      <c r="BA90" s="273"/>
      <c r="BB90" s="273"/>
      <c r="BC90" s="273"/>
      <c r="BD90" s="273"/>
      <c r="BE90" s="273"/>
      <c r="BF90" s="273"/>
      <c r="BG90" s="273"/>
      <c r="BH90" s="273"/>
      <c r="BI90" s="273"/>
      <c r="BJ90" s="273"/>
      <c r="BK90" s="273"/>
      <c r="BL90" s="273"/>
      <c r="BM90" s="273"/>
      <c r="BN90" s="273"/>
      <c r="BO90" s="273"/>
      <c r="BP90" s="273"/>
      <c r="BQ90" s="273"/>
      <c r="BR90" s="273">
        <v>20</v>
      </c>
      <c r="BS90" s="273">
        <v>240</v>
      </c>
      <c r="BT90" s="273">
        <v>240</v>
      </c>
      <c r="BU90" s="273"/>
      <c r="BV90" s="273"/>
      <c r="BW90" s="273"/>
      <c r="BX90" s="272">
        <f t="shared" si="7"/>
        <v>57</v>
      </c>
      <c r="BY90" s="272">
        <f t="shared" si="7"/>
        <v>760</v>
      </c>
      <c r="BZ90" s="272">
        <f t="shared" si="8"/>
        <v>657.6</v>
      </c>
      <c r="CA90" s="273"/>
      <c r="CB90" s="273"/>
      <c r="CC90" s="273"/>
      <c r="CD90" s="273"/>
      <c r="CE90" s="273"/>
      <c r="CF90" s="273"/>
      <c r="CG90" s="273"/>
      <c r="CH90" s="273"/>
      <c r="CI90" s="273"/>
      <c r="CJ90" s="273"/>
      <c r="CK90" s="273"/>
      <c r="CL90" s="273"/>
      <c r="CM90" s="273"/>
      <c r="CN90" s="273"/>
      <c r="CO90" s="273"/>
      <c r="CP90" s="273"/>
      <c r="CQ90" s="273"/>
      <c r="CR90" s="273"/>
      <c r="CS90" s="273"/>
      <c r="CT90" s="273"/>
      <c r="CU90" s="273"/>
      <c r="CV90" s="273">
        <v>20</v>
      </c>
      <c r="CW90" s="273">
        <v>240</v>
      </c>
      <c r="CX90" s="273">
        <v>240</v>
      </c>
      <c r="CY90" s="273"/>
      <c r="CZ90" s="273"/>
      <c r="DA90" s="273"/>
      <c r="DB90" s="273"/>
      <c r="DC90" s="273"/>
      <c r="DD90" s="273"/>
      <c r="DE90" s="273"/>
      <c r="DF90" s="271"/>
      <c r="DG90" s="271"/>
      <c r="DH90" s="272">
        <f t="shared" si="6"/>
        <v>77</v>
      </c>
      <c r="DI90" s="272">
        <f t="shared" si="6"/>
        <v>1000</v>
      </c>
      <c r="DJ90" s="324">
        <f t="shared" si="6"/>
        <v>897.6</v>
      </c>
      <c r="DK90" s="325"/>
      <c r="DL90" s="325"/>
    </row>
    <row r="91" spans="1:116" s="275" customFormat="1" ht="20.100000000000001" customHeight="1" x14ac:dyDescent="0.6">
      <c r="A91" s="234">
        <v>88</v>
      </c>
      <c r="B91" s="103" t="s">
        <v>578</v>
      </c>
      <c r="C91" s="185" t="s">
        <v>579</v>
      </c>
      <c r="D91" s="103" t="s">
        <v>580</v>
      </c>
      <c r="E91" s="148" t="s">
        <v>532</v>
      </c>
      <c r="F91" s="328" t="s">
        <v>572</v>
      </c>
      <c r="G91" s="322"/>
      <c r="H91" s="323"/>
      <c r="I91" s="322" t="s">
        <v>1029</v>
      </c>
      <c r="J91" s="322" t="s">
        <v>1023</v>
      </c>
      <c r="K91" s="241"/>
      <c r="L91" s="241"/>
      <c r="M91" s="271"/>
      <c r="N91" s="271"/>
      <c r="O91" s="271"/>
      <c r="P91" s="271"/>
      <c r="Q91" s="271"/>
      <c r="R91" s="271"/>
      <c r="S91" s="271">
        <v>6</v>
      </c>
      <c r="T91" s="271">
        <v>84</v>
      </c>
      <c r="U91" s="271">
        <v>53.76</v>
      </c>
      <c r="V91" s="271"/>
      <c r="W91" s="271"/>
      <c r="X91" s="271"/>
      <c r="Y91" s="271"/>
      <c r="Z91" s="271"/>
      <c r="AA91" s="271"/>
      <c r="AB91" s="271"/>
      <c r="AC91" s="271"/>
      <c r="AD91" s="271"/>
      <c r="AE91" s="271">
        <v>15</v>
      </c>
      <c r="AF91" s="271">
        <v>180</v>
      </c>
      <c r="AG91" s="271">
        <v>180</v>
      </c>
      <c r="AH91" s="271"/>
      <c r="AI91" s="271"/>
      <c r="AJ91" s="271"/>
      <c r="AK91" s="271"/>
      <c r="AL91" s="271"/>
      <c r="AM91" s="271"/>
      <c r="AN91" s="271"/>
      <c r="AO91" s="271"/>
      <c r="AP91" s="271"/>
      <c r="AQ91" s="272">
        <f t="shared" si="9"/>
        <v>21</v>
      </c>
      <c r="AR91" s="272">
        <f t="shared" si="9"/>
        <v>264</v>
      </c>
      <c r="AS91" s="272">
        <f t="shared" si="9"/>
        <v>233.76</v>
      </c>
      <c r="AT91" s="273"/>
      <c r="AU91" s="273"/>
      <c r="AV91" s="273"/>
      <c r="AW91" s="273">
        <v>2</v>
      </c>
      <c r="AX91" s="273">
        <v>80</v>
      </c>
      <c r="AY91" s="273">
        <v>28</v>
      </c>
      <c r="AZ91" s="273"/>
      <c r="BA91" s="273"/>
      <c r="BB91" s="273"/>
      <c r="BC91" s="273"/>
      <c r="BD91" s="273"/>
      <c r="BE91" s="273"/>
      <c r="BF91" s="273">
        <v>23</v>
      </c>
      <c r="BG91" s="273">
        <v>360</v>
      </c>
      <c r="BH91" s="273">
        <v>282</v>
      </c>
      <c r="BI91" s="273"/>
      <c r="BJ91" s="273"/>
      <c r="BK91" s="273"/>
      <c r="BL91" s="273">
        <v>10</v>
      </c>
      <c r="BM91" s="273">
        <v>400</v>
      </c>
      <c r="BN91" s="273">
        <v>140</v>
      </c>
      <c r="BO91" s="273"/>
      <c r="BP91" s="273"/>
      <c r="BQ91" s="273"/>
      <c r="BR91" s="273"/>
      <c r="BS91" s="273"/>
      <c r="BT91" s="273"/>
      <c r="BU91" s="273"/>
      <c r="BV91" s="273"/>
      <c r="BW91" s="273"/>
      <c r="BX91" s="272">
        <f t="shared" si="7"/>
        <v>56</v>
      </c>
      <c r="BY91" s="272">
        <f t="shared" si="7"/>
        <v>1104</v>
      </c>
      <c r="BZ91" s="272">
        <f t="shared" si="8"/>
        <v>683.76</v>
      </c>
      <c r="CA91" s="273">
        <v>15</v>
      </c>
      <c r="CB91" s="273">
        <v>600</v>
      </c>
      <c r="CC91" s="273">
        <v>210</v>
      </c>
      <c r="CD91" s="273"/>
      <c r="CE91" s="273"/>
      <c r="CF91" s="273"/>
      <c r="CG91" s="273"/>
      <c r="CH91" s="273"/>
      <c r="CI91" s="273"/>
      <c r="CJ91" s="273"/>
      <c r="CK91" s="273"/>
      <c r="CL91" s="273"/>
      <c r="CM91" s="273"/>
      <c r="CN91" s="273"/>
      <c r="CO91" s="273"/>
      <c r="CP91" s="273"/>
      <c r="CQ91" s="273"/>
      <c r="CR91" s="273"/>
      <c r="CS91" s="273"/>
      <c r="CT91" s="273"/>
      <c r="CU91" s="273"/>
      <c r="CV91" s="273"/>
      <c r="CW91" s="273"/>
      <c r="CX91" s="273"/>
      <c r="CY91" s="273"/>
      <c r="CZ91" s="273"/>
      <c r="DA91" s="273"/>
      <c r="DB91" s="273"/>
      <c r="DC91" s="273"/>
      <c r="DD91" s="273"/>
      <c r="DE91" s="273"/>
      <c r="DF91" s="271"/>
      <c r="DG91" s="271"/>
      <c r="DH91" s="272">
        <f t="shared" si="6"/>
        <v>71</v>
      </c>
      <c r="DI91" s="272">
        <f t="shared" si="6"/>
        <v>1704</v>
      </c>
      <c r="DJ91" s="324">
        <f t="shared" si="6"/>
        <v>893.76</v>
      </c>
      <c r="DK91" s="325"/>
      <c r="DL91" s="325"/>
    </row>
    <row r="92" spans="1:116" s="275" customFormat="1" ht="20.100000000000001" customHeight="1" x14ac:dyDescent="0.6">
      <c r="A92" s="234">
        <v>89</v>
      </c>
      <c r="B92" s="103" t="s">
        <v>153</v>
      </c>
      <c r="C92" s="185" t="s">
        <v>154</v>
      </c>
      <c r="D92" s="103" t="s">
        <v>581</v>
      </c>
      <c r="E92" s="148" t="s">
        <v>532</v>
      </c>
      <c r="F92" s="328" t="s">
        <v>572</v>
      </c>
      <c r="G92" s="322"/>
      <c r="H92" s="323"/>
      <c r="I92" s="322" t="s">
        <v>1030</v>
      </c>
      <c r="J92" s="322" t="s">
        <v>1023</v>
      </c>
      <c r="K92" s="241"/>
      <c r="L92" s="24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>
        <v>15</v>
      </c>
      <c r="AC92" s="271">
        <v>180</v>
      </c>
      <c r="AD92" s="271">
        <v>180</v>
      </c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2">
        <f t="shared" si="9"/>
        <v>15</v>
      </c>
      <c r="AR92" s="272">
        <f t="shared" si="9"/>
        <v>180</v>
      </c>
      <c r="AS92" s="272">
        <f t="shared" si="9"/>
        <v>180</v>
      </c>
      <c r="AT92" s="273"/>
      <c r="AU92" s="273"/>
      <c r="AV92" s="273"/>
      <c r="AW92" s="273">
        <v>5</v>
      </c>
      <c r="AX92" s="273">
        <v>116</v>
      </c>
      <c r="AY92" s="273">
        <v>49.6</v>
      </c>
      <c r="AZ92" s="273"/>
      <c r="BA92" s="273"/>
      <c r="BB92" s="273"/>
      <c r="BC92" s="273"/>
      <c r="BD92" s="273"/>
      <c r="BE92" s="273"/>
      <c r="BF92" s="273">
        <v>20</v>
      </c>
      <c r="BG92" s="273">
        <v>240</v>
      </c>
      <c r="BH92" s="273">
        <v>240</v>
      </c>
      <c r="BI92" s="273"/>
      <c r="BJ92" s="273"/>
      <c r="BK92" s="273"/>
      <c r="BL92" s="273"/>
      <c r="BM92" s="273"/>
      <c r="BN92" s="273"/>
      <c r="BO92" s="273"/>
      <c r="BP92" s="273"/>
      <c r="BQ92" s="273"/>
      <c r="BR92" s="273">
        <v>20</v>
      </c>
      <c r="BS92" s="273">
        <v>240</v>
      </c>
      <c r="BT92" s="273">
        <v>240</v>
      </c>
      <c r="BU92" s="273"/>
      <c r="BV92" s="273"/>
      <c r="BW92" s="273"/>
      <c r="BX92" s="272">
        <f t="shared" si="7"/>
        <v>60</v>
      </c>
      <c r="BY92" s="272">
        <f t="shared" si="7"/>
        <v>776</v>
      </c>
      <c r="BZ92" s="272">
        <f t="shared" si="8"/>
        <v>709.6</v>
      </c>
      <c r="CA92" s="273"/>
      <c r="CB92" s="273"/>
      <c r="CC92" s="273"/>
      <c r="CD92" s="273"/>
      <c r="CE92" s="273"/>
      <c r="CF92" s="273"/>
      <c r="CG92" s="273"/>
      <c r="CH92" s="273"/>
      <c r="CI92" s="273"/>
      <c r="CJ92" s="273"/>
      <c r="CK92" s="273"/>
      <c r="CL92" s="273"/>
      <c r="CM92" s="273"/>
      <c r="CN92" s="273"/>
      <c r="CO92" s="273"/>
      <c r="CP92" s="273"/>
      <c r="CQ92" s="273"/>
      <c r="CR92" s="273"/>
      <c r="CS92" s="273"/>
      <c r="CT92" s="273"/>
      <c r="CU92" s="273"/>
      <c r="CV92" s="273"/>
      <c r="CW92" s="273"/>
      <c r="CX92" s="273"/>
      <c r="CY92" s="273"/>
      <c r="CZ92" s="273"/>
      <c r="DA92" s="273"/>
      <c r="DB92" s="273"/>
      <c r="DC92" s="273"/>
      <c r="DD92" s="273"/>
      <c r="DE92" s="273"/>
      <c r="DF92" s="271"/>
      <c r="DG92" s="271"/>
      <c r="DH92" s="272">
        <f t="shared" si="6"/>
        <v>60</v>
      </c>
      <c r="DI92" s="272">
        <f t="shared" si="6"/>
        <v>776</v>
      </c>
      <c r="DJ92" s="324">
        <f t="shared" si="6"/>
        <v>709.6</v>
      </c>
      <c r="DK92" s="325"/>
      <c r="DL92" s="325"/>
    </row>
    <row r="93" spans="1:116" s="275" customFormat="1" ht="20.100000000000001" customHeight="1" x14ac:dyDescent="0.6">
      <c r="A93" s="234">
        <v>90</v>
      </c>
      <c r="B93" s="103" t="s">
        <v>582</v>
      </c>
      <c r="C93" s="185" t="s">
        <v>583</v>
      </c>
      <c r="D93" s="103" t="s">
        <v>161</v>
      </c>
      <c r="E93" s="148" t="s">
        <v>61</v>
      </c>
      <c r="F93" s="328" t="s">
        <v>572</v>
      </c>
      <c r="G93" s="322"/>
      <c r="H93" s="323"/>
      <c r="I93" s="322" t="s">
        <v>1031</v>
      </c>
      <c r="J93" s="322" t="s">
        <v>1023</v>
      </c>
      <c r="K93" s="241"/>
      <c r="L93" s="24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2">
        <f t="shared" si="9"/>
        <v>0</v>
      </c>
      <c r="AR93" s="272">
        <f t="shared" si="9"/>
        <v>0</v>
      </c>
      <c r="AS93" s="272">
        <f t="shared" si="9"/>
        <v>0</v>
      </c>
      <c r="AT93" s="273"/>
      <c r="AU93" s="273"/>
      <c r="AV93" s="273"/>
      <c r="AW93" s="273"/>
      <c r="AX93" s="273"/>
      <c r="AY93" s="273"/>
      <c r="AZ93" s="273"/>
      <c r="BA93" s="273"/>
      <c r="BB93" s="273"/>
      <c r="BC93" s="273"/>
      <c r="BD93" s="273"/>
      <c r="BE93" s="273"/>
      <c r="BF93" s="273">
        <v>50</v>
      </c>
      <c r="BG93" s="273">
        <v>660</v>
      </c>
      <c r="BH93" s="273">
        <v>508.8</v>
      </c>
      <c r="BI93" s="273"/>
      <c r="BJ93" s="273"/>
      <c r="BK93" s="273"/>
      <c r="BL93" s="273">
        <v>100</v>
      </c>
      <c r="BM93" s="273">
        <v>1400</v>
      </c>
      <c r="BN93" s="273">
        <v>896</v>
      </c>
      <c r="BO93" s="273"/>
      <c r="BP93" s="273"/>
      <c r="BQ93" s="273"/>
      <c r="BR93" s="273"/>
      <c r="BS93" s="273"/>
      <c r="BT93" s="273"/>
      <c r="BU93" s="273"/>
      <c r="BV93" s="273"/>
      <c r="BW93" s="273"/>
      <c r="BX93" s="272">
        <f t="shared" si="7"/>
        <v>150</v>
      </c>
      <c r="BY93" s="272">
        <f t="shared" si="7"/>
        <v>2060</v>
      </c>
      <c r="BZ93" s="272">
        <f t="shared" si="8"/>
        <v>1404.8</v>
      </c>
      <c r="CA93" s="273"/>
      <c r="CB93" s="273"/>
      <c r="CC93" s="273"/>
      <c r="CD93" s="273"/>
      <c r="CE93" s="273"/>
      <c r="CF93" s="273"/>
      <c r="CG93" s="273"/>
      <c r="CH93" s="273"/>
      <c r="CI93" s="273"/>
      <c r="CJ93" s="273"/>
      <c r="CK93" s="273"/>
      <c r="CL93" s="273"/>
      <c r="CM93" s="273"/>
      <c r="CN93" s="273"/>
      <c r="CO93" s="273"/>
      <c r="CP93" s="273"/>
      <c r="CQ93" s="273"/>
      <c r="CR93" s="273"/>
      <c r="CS93" s="273"/>
      <c r="CT93" s="273"/>
      <c r="CU93" s="273"/>
      <c r="CV93" s="273"/>
      <c r="CW93" s="273"/>
      <c r="CX93" s="273"/>
      <c r="CY93" s="273"/>
      <c r="CZ93" s="273"/>
      <c r="DA93" s="273"/>
      <c r="DB93" s="273"/>
      <c r="DC93" s="273"/>
      <c r="DD93" s="273"/>
      <c r="DE93" s="273"/>
      <c r="DF93" s="271"/>
      <c r="DG93" s="271"/>
      <c r="DH93" s="272">
        <f t="shared" si="6"/>
        <v>150</v>
      </c>
      <c r="DI93" s="272">
        <f t="shared" si="6"/>
        <v>2060</v>
      </c>
      <c r="DJ93" s="324">
        <f t="shared" si="6"/>
        <v>1404.8</v>
      </c>
      <c r="DK93" s="325"/>
      <c r="DL93" s="325"/>
    </row>
    <row r="94" spans="1:116" s="275" customFormat="1" ht="20.100000000000001" customHeight="1" x14ac:dyDescent="0.6">
      <c r="A94" s="234">
        <v>91</v>
      </c>
      <c r="B94" s="103" t="s">
        <v>584</v>
      </c>
      <c r="C94" s="185" t="s">
        <v>585</v>
      </c>
      <c r="D94" s="103" t="s">
        <v>571</v>
      </c>
      <c r="E94" s="148" t="s">
        <v>586</v>
      </c>
      <c r="F94" s="328" t="s">
        <v>572</v>
      </c>
      <c r="G94" s="322"/>
      <c r="H94" s="323"/>
      <c r="I94" s="322" t="s">
        <v>1032</v>
      </c>
      <c r="J94" s="322" t="s">
        <v>1023</v>
      </c>
      <c r="K94" s="241"/>
      <c r="L94" s="24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>
        <v>6</v>
      </c>
      <c r="Z94" s="271">
        <v>100</v>
      </c>
      <c r="AA94" s="271">
        <v>74</v>
      </c>
      <c r="AB94" s="271"/>
      <c r="AC94" s="271"/>
      <c r="AD94" s="271"/>
      <c r="AE94" s="271"/>
      <c r="AF94" s="271"/>
      <c r="AG94" s="271"/>
      <c r="AH94" s="271"/>
      <c r="AI94" s="271"/>
      <c r="AJ94" s="271"/>
      <c r="AK94" s="271">
        <v>40</v>
      </c>
      <c r="AL94" s="271">
        <v>480</v>
      </c>
      <c r="AM94" s="271">
        <v>480</v>
      </c>
      <c r="AN94" s="271"/>
      <c r="AO94" s="271"/>
      <c r="AP94" s="271"/>
      <c r="AQ94" s="272">
        <f t="shared" si="9"/>
        <v>46</v>
      </c>
      <c r="AR94" s="272">
        <f t="shared" si="9"/>
        <v>580</v>
      </c>
      <c r="AS94" s="272">
        <f t="shared" si="9"/>
        <v>554</v>
      </c>
      <c r="AT94" s="273"/>
      <c r="AU94" s="273"/>
      <c r="AV94" s="273"/>
      <c r="AW94" s="273"/>
      <c r="AX94" s="273"/>
      <c r="AY94" s="273"/>
      <c r="AZ94" s="273"/>
      <c r="BA94" s="273"/>
      <c r="BB94" s="273"/>
      <c r="BC94" s="273"/>
      <c r="BD94" s="273"/>
      <c r="BE94" s="273"/>
      <c r="BF94" s="273"/>
      <c r="BG94" s="273"/>
      <c r="BH94" s="273"/>
      <c r="BI94" s="273"/>
      <c r="BJ94" s="273"/>
      <c r="BK94" s="273"/>
      <c r="BL94" s="273"/>
      <c r="BM94" s="273"/>
      <c r="BN94" s="273"/>
      <c r="BO94" s="273"/>
      <c r="BP94" s="273"/>
      <c r="BQ94" s="273"/>
      <c r="BR94" s="273">
        <v>40</v>
      </c>
      <c r="BS94" s="273">
        <v>480</v>
      </c>
      <c r="BT94" s="273">
        <v>480</v>
      </c>
      <c r="BU94" s="273"/>
      <c r="BV94" s="273"/>
      <c r="BW94" s="273"/>
      <c r="BX94" s="272">
        <f t="shared" si="7"/>
        <v>86</v>
      </c>
      <c r="BY94" s="272">
        <f t="shared" si="7"/>
        <v>1060</v>
      </c>
      <c r="BZ94" s="272">
        <f t="shared" si="8"/>
        <v>1034</v>
      </c>
      <c r="CA94" s="273">
        <v>0.58299999999999996</v>
      </c>
      <c r="CB94" s="273">
        <v>10</v>
      </c>
      <c r="CC94" s="273">
        <v>4.9000000000000004</v>
      </c>
      <c r="CD94" s="273"/>
      <c r="CE94" s="273"/>
      <c r="CF94" s="273"/>
      <c r="CG94" s="273">
        <v>0.25</v>
      </c>
      <c r="CH94" s="273">
        <v>6</v>
      </c>
      <c r="CI94" s="273">
        <v>2.1</v>
      </c>
      <c r="CJ94" s="273"/>
      <c r="CK94" s="273"/>
      <c r="CL94" s="273"/>
      <c r="CM94" s="273"/>
      <c r="CN94" s="273"/>
      <c r="CO94" s="273"/>
      <c r="CP94" s="273"/>
      <c r="CQ94" s="273"/>
      <c r="CR94" s="273"/>
      <c r="CS94" s="273">
        <v>0.25</v>
      </c>
      <c r="CT94" s="273">
        <v>6</v>
      </c>
      <c r="CU94" s="273">
        <v>2.1</v>
      </c>
      <c r="CV94" s="273">
        <v>20.25</v>
      </c>
      <c r="CW94" s="273">
        <v>246</v>
      </c>
      <c r="CX94" s="273">
        <v>242.1</v>
      </c>
      <c r="CY94" s="273"/>
      <c r="CZ94" s="273"/>
      <c r="DA94" s="273"/>
      <c r="DB94" s="273"/>
      <c r="DC94" s="273"/>
      <c r="DD94" s="273"/>
      <c r="DE94" s="273"/>
      <c r="DF94" s="271"/>
      <c r="DG94" s="271"/>
      <c r="DH94" s="272">
        <f t="shared" si="6"/>
        <v>107.333</v>
      </c>
      <c r="DI94" s="272">
        <f t="shared" si="6"/>
        <v>1328</v>
      </c>
      <c r="DJ94" s="324">
        <f t="shared" si="6"/>
        <v>1285.1999999999998</v>
      </c>
      <c r="DK94" s="325"/>
      <c r="DL94" s="325"/>
    </row>
    <row r="95" spans="1:116" s="275" customFormat="1" ht="20.100000000000001" customHeight="1" x14ac:dyDescent="0.6">
      <c r="A95" s="234">
        <v>92</v>
      </c>
      <c r="B95" s="330" t="s">
        <v>587</v>
      </c>
      <c r="C95" s="330" t="s">
        <v>588</v>
      </c>
      <c r="D95" s="330" t="s">
        <v>589</v>
      </c>
      <c r="E95" s="330" t="s">
        <v>590</v>
      </c>
      <c r="F95" s="328" t="s">
        <v>591</v>
      </c>
      <c r="G95" s="322"/>
      <c r="H95" s="323"/>
      <c r="I95" s="322" t="s">
        <v>1033</v>
      </c>
      <c r="J95" s="322" t="s">
        <v>1023</v>
      </c>
      <c r="K95" s="241"/>
      <c r="L95" s="24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>
        <v>6</v>
      </c>
      <c r="Z95" s="271">
        <v>100</v>
      </c>
      <c r="AA95" s="271">
        <v>74</v>
      </c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  <c r="AO95" s="271"/>
      <c r="AP95" s="271"/>
      <c r="AQ95" s="272">
        <f t="shared" si="9"/>
        <v>6</v>
      </c>
      <c r="AR95" s="272">
        <f t="shared" si="9"/>
        <v>100</v>
      </c>
      <c r="AS95" s="272">
        <f t="shared" si="9"/>
        <v>74</v>
      </c>
      <c r="AT95" s="273"/>
      <c r="AU95" s="273"/>
      <c r="AV95" s="273"/>
      <c r="AW95" s="273">
        <v>10</v>
      </c>
      <c r="AX95" s="273">
        <v>176</v>
      </c>
      <c r="AY95" s="273">
        <v>109.6</v>
      </c>
      <c r="AZ95" s="273"/>
      <c r="BA95" s="273"/>
      <c r="BB95" s="273"/>
      <c r="BC95" s="273"/>
      <c r="BD95" s="273"/>
      <c r="BE95" s="273"/>
      <c r="BF95" s="273"/>
      <c r="BG95" s="273"/>
      <c r="BH95" s="273"/>
      <c r="BI95" s="273"/>
      <c r="BJ95" s="273"/>
      <c r="BK95" s="273"/>
      <c r="BL95" s="273"/>
      <c r="BM95" s="273"/>
      <c r="BN95" s="273"/>
      <c r="BO95" s="273"/>
      <c r="BP95" s="273"/>
      <c r="BQ95" s="273"/>
      <c r="BR95" s="273">
        <v>15</v>
      </c>
      <c r="BS95" s="273">
        <v>180</v>
      </c>
      <c r="BT95" s="273">
        <v>165.6</v>
      </c>
      <c r="BU95" s="273"/>
      <c r="BV95" s="273"/>
      <c r="BW95" s="273"/>
      <c r="BX95" s="272">
        <f t="shared" si="7"/>
        <v>31</v>
      </c>
      <c r="BY95" s="272">
        <f t="shared" si="7"/>
        <v>456</v>
      </c>
      <c r="BZ95" s="272">
        <f t="shared" si="8"/>
        <v>349.2</v>
      </c>
      <c r="CA95" s="273">
        <v>10</v>
      </c>
      <c r="CB95" s="273">
        <v>400</v>
      </c>
      <c r="CC95" s="273">
        <v>140</v>
      </c>
      <c r="CD95" s="273"/>
      <c r="CE95" s="273"/>
      <c r="CF95" s="273"/>
      <c r="CG95" s="273"/>
      <c r="CH95" s="273"/>
      <c r="CI95" s="273"/>
      <c r="CJ95" s="273"/>
      <c r="CK95" s="273"/>
      <c r="CL95" s="273"/>
      <c r="CM95" s="273"/>
      <c r="CN95" s="273"/>
      <c r="CO95" s="273"/>
      <c r="CP95" s="273">
        <v>11</v>
      </c>
      <c r="CQ95" s="273">
        <v>160</v>
      </c>
      <c r="CR95" s="273">
        <v>134</v>
      </c>
      <c r="CS95" s="273"/>
      <c r="CT95" s="273"/>
      <c r="CU95" s="273"/>
      <c r="CV95" s="273"/>
      <c r="CW95" s="273"/>
      <c r="CX95" s="273"/>
      <c r="CY95" s="273"/>
      <c r="CZ95" s="273"/>
      <c r="DA95" s="273"/>
      <c r="DB95" s="273">
        <v>10</v>
      </c>
      <c r="DC95" s="273">
        <v>120</v>
      </c>
      <c r="DD95" s="273">
        <v>105.6</v>
      </c>
      <c r="DE95" s="273"/>
      <c r="DF95" s="271"/>
      <c r="DG95" s="271"/>
      <c r="DH95" s="272">
        <f t="shared" si="6"/>
        <v>62</v>
      </c>
      <c r="DI95" s="272">
        <f t="shared" si="6"/>
        <v>1136</v>
      </c>
      <c r="DJ95" s="324">
        <f t="shared" si="6"/>
        <v>728.80000000000007</v>
      </c>
      <c r="DK95" s="325"/>
      <c r="DL95" s="325"/>
    </row>
    <row r="96" spans="1:116" s="275" customFormat="1" ht="20.100000000000001" customHeight="1" x14ac:dyDescent="0.6">
      <c r="A96" s="234">
        <v>93</v>
      </c>
      <c r="B96" s="103" t="s">
        <v>592</v>
      </c>
      <c r="C96" s="185" t="s">
        <v>593</v>
      </c>
      <c r="D96" s="103" t="s">
        <v>589</v>
      </c>
      <c r="E96" s="148" t="s">
        <v>590</v>
      </c>
      <c r="F96" s="328" t="s">
        <v>591</v>
      </c>
      <c r="G96" s="322"/>
      <c r="H96" s="323"/>
      <c r="I96" s="322" t="s">
        <v>1034</v>
      </c>
      <c r="J96" s="322" t="s">
        <v>1023</v>
      </c>
      <c r="K96" s="241"/>
      <c r="L96" s="24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>
        <v>5</v>
      </c>
      <c r="Z96" s="271">
        <v>60</v>
      </c>
      <c r="AA96" s="271">
        <v>60</v>
      </c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2">
        <f t="shared" si="9"/>
        <v>5</v>
      </c>
      <c r="AR96" s="272">
        <f t="shared" si="9"/>
        <v>60</v>
      </c>
      <c r="AS96" s="272">
        <f t="shared" si="9"/>
        <v>60</v>
      </c>
      <c r="AT96" s="273"/>
      <c r="AU96" s="273"/>
      <c r="AV96" s="273"/>
      <c r="AW96" s="273">
        <v>5</v>
      </c>
      <c r="AX96" s="273">
        <v>116</v>
      </c>
      <c r="AY96" s="273">
        <v>49.6</v>
      </c>
      <c r="AZ96" s="273"/>
      <c r="BA96" s="273"/>
      <c r="BB96" s="273"/>
      <c r="BC96" s="273"/>
      <c r="BD96" s="273"/>
      <c r="BE96" s="273"/>
      <c r="BF96" s="273"/>
      <c r="BG96" s="273"/>
      <c r="BH96" s="273"/>
      <c r="BI96" s="273"/>
      <c r="BJ96" s="273"/>
      <c r="BK96" s="273"/>
      <c r="BL96" s="273"/>
      <c r="BM96" s="273"/>
      <c r="BN96" s="273"/>
      <c r="BO96" s="273"/>
      <c r="BP96" s="273"/>
      <c r="BQ96" s="273"/>
      <c r="BR96" s="273">
        <v>6</v>
      </c>
      <c r="BS96" s="273">
        <v>100</v>
      </c>
      <c r="BT96" s="273">
        <v>74</v>
      </c>
      <c r="BU96" s="273"/>
      <c r="BV96" s="273"/>
      <c r="BW96" s="273"/>
      <c r="BX96" s="272">
        <f t="shared" si="7"/>
        <v>16</v>
      </c>
      <c r="BY96" s="272">
        <f t="shared" si="7"/>
        <v>276</v>
      </c>
      <c r="BZ96" s="272">
        <f t="shared" si="8"/>
        <v>183.6</v>
      </c>
      <c r="CA96" s="273">
        <v>20</v>
      </c>
      <c r="CB96" s="273">
        <v>240</v>
      </c>
      <c r="CC96" s="273">
        <v>240</v>
      </c>
      <c r="CD96" s="273"/>
      <c r="CE96" s="273"/>
      <c r="CF96" s="273"/>
      <c r="CG96" s="273"/>
      <c r="CH96" s="273"/>
      <c r="CI96" s="273"/>
      <c r="CJ96" s="273"/>
      <c r="CK96" s="273"/>
      <c r="CL96" s="273"/>
      <c r="CM96" s="273"/>
      <c r="CN96" s="273"/>
      <c r="CO96" s="273"/>
      <c r="CP96" s="273">
        <v>10</v>
      </c>
      <c r="CQ96" s="273">
        <v>120</v>
      </c>
      <c r="CR96" s="273">
        <v>120</v>
      </c>
      <c r="CS96" s="273"/>
      <c r="CT96" s="273"/>
      <c r="CU96" s="273"/>
      <c r="CV96" s="273"/>
      <c r="CW96" s="273"/>
      <c r="CX96" s="273"/>
      <c r="CY96" s="273"/>
      <c r="CZ96" s="273"/>
      <c r="DA96" s="273"/>
      <c r="DB96" s="273"/>
      <c r="DC96" s="273"/>
      <c r="DD96" s="273"/>
      <c r="DE96" s="273">
        <v>20</v>
      </c>
      <c r="DF96" s="271">
        <v>240</v>
      </c>
      <c r="DG96" s="271">
        <v>240</v>
      </c>
      <c r="DH96" s="272">
        <f t="shared" si="6"/>
        <v>66</v>
      </c>
      <c r="DI96" s="272">
        <f t="shared" si="6"/>
        <v>876</v>
      </c>
      <c r="DJ96" s="324">
        <f t="shared" si="6"/>
        <v>783.6</v>
      </c>
      <c r="DK96" s="325"/>
      <c r="DL96" s="325"/>
    </row>
    <row r="97" spans="1:116" s="275" customFormat="1" ht="20.100000000000001" customHeight="1" x14ac:dyDescent="0.6">
      <c r="A97" s="234">
        <v>94</v>
      </c>
      <c r="B97" s="103" t="s">
        <v>594</v>
      </c>
      <c r="C97" s="103" t="s">
        <v>595</v>
      </c>
      <c r="D97" s="103" t="s">
        <v>589</v>
      </c>
      <c r="E97" s="148" t="s">
        <v>590</v>
      </c>
      <c r="F97" s="179" t="s">
        <v>591</v>
      </c>
      <c r="G97" s="322"/>
      <c r="H97" s="323"/>
      <c r="I97" s="322" t="s">
        <v>1035</v>
      </c>
      <c r="J97" s="322" t="s">
        <v>1023</v>
      </c>
      <c r="K97" s="241"/>
      <c r="L97" s="24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>
        <v>5</v>
      </c>
      <c r="Z97" s="271">
        <v>70</v>
      </c>
      <c r="AA97" s="271">
        <v>44.8</v>
      </c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271"/>
      <c r="AQ97" s="272">
        <f t="shared" si="9"/>
        <v>5</v>
      </c>
      <c r="AR97" s="272">
        <f t="shared" si="9"/>
        <v>70</v>
      </c>
      <c r="AS97" s="272">
        <f t="shared" si="9"/>
        <v>44.8</v>
      </c>
      <c r="AT97" s="273"/>
      <c r="AU97" s="273"/>
      <c r="AV97" s="273"/>
      <c r="AW97" s="273">
        <v>6</v>
      </c>
      <c r="AX97" s="273">
        <v>82</v>
      </c>
      <c r="AY97" s="273">
        <v>56.8</v>
      </c>
      <c r="AZ97" s="273"/>
      <c r="BA97" s="273"/>
      <c r="BB97" s="273"/>
      <c r="BC97" s="273"/>
      <c r="BD97" s="273"/>
      <c r="BE97" s="273"/>
      <c r="BF97" s="273"/>
      <c r="BG97" s="273"/>
      <c r="BH97" s="273"/>
      <c r="BI97" s="273"/>
      <c r="BJ97" s="273"/>
      <c r="BK97" s="273"/>
      <c r="BL97" s="273">
        <v>5</v>
      </c>
      <c r="BM97" s="273">
        <v>70</v>
      </c>
      <c r="BN97" s="273">
        <v>44.8</v>
      </c>
      <c r="BO97" s="273"/>
      <c r="BP97" s="273"/>
      <c r="BQ97" s="273"/>
      <c r="BR97" s="273">
        <v>5</v>
      </c>
      <c r="BS97" s="273">
        <v>70</v>
      </c>
      <c r="BT97" s="273">
        <v>44.8</v>
      </c>
      <c r="BU97" s="273"/>
      <c r="BV97" s="273"/>
      <c r="BW97" s="273"/>
      <c r="BX97" s="272">
        <f t="shared" si="7"/>
        <v>21</v>
      </c>
      <c r="BY97" s="272">
        <f t="shared" si="7"/>
        <v>292</v>
      </c>
      <c r="BZ97" s="272">
        <f t="shared" si="8"/>
        <v>191.2</v>
      </c>
      <c r="CA97" s="273"/>
      <c r="CB97" s="273"/>
      <c r="CC97" s="273"/>
      <c r="CD97" s="273"/>
      <c r="CE97" s="273"/>
      <c r="CF97" s="273"/>
      <c r="CG97" s="273"/>
      <c r="CH97" s="273"/>
      <c r="CI97" s="273"/>
      <c r="CJ97" s="273"/>
      <c r="CK97" s="273"/>
      <c r="CL97" s="273"/>
      <c r="CM97" s="273"/>
      <c r="CN97" s="273"/>
      <c r="CO97" s="273"/>
      <c r="CP97" s="273">
        <v>5</v>
      </c>
      <c r="CQ97" s="273">
        <v>70</v>
      </c>
      <c r="CR97" s="273">
        <v>44.8</v>
      </c>
      <c r="CS97" s="273"/>
      <c r="CT97" s="273"/>
      <c r="CU97" s="273"/>
      <c r="CV97" s="273"/>
      <c r="CW97" s="273"/>
      <c r="CX97" s="273"/>
      <c r="CY97" s="273"/>
      <c r="CZ97" s="273"/>
      <c r="DA97" s="273"/>
      <c r="DB97" s="273"/>
      <c r="DC97" s="273"/>
      <c r="DD97" s="273"/>
      <c r="DE97" s="273">
        <v>5</v>
      </c>
      <c r="DF97" s="271">
        <v>70</v>
      </c>
      <c r="DG97" s="271">
        <v>44.8</v>
      </c>
      <c r="DH97" s="272">
        <f t="shared" si="6"/>
        <v>31</v>
      </c>
      <c r="DI97" s="272">
        <f t="shared" si="6"/>
        <v>432</v>
      </c>
      <c r="DJ97" s="324">
        <f t="shared" si="6"/>
        <v>280.8</v>
      </c>
      <c r="DK97" s="325"/>
      <c r="DL97" s="325"/>
    </row>
    <row r="98" spans="1:116" s="275" customFormat="1" ht="20.100000000000001" customHeight="1" x14ac:dyDescent="0.6">
      <c r="A98" s="234">
        <v>95</v>
      </c>
      <c r="B98" s="103" t="s">
        <v>596</v>
      </c>
      <c r="C98" s="103" t="s">
        <v>597</v>
      </c>
      <c r="D98" s="103" t="s">
        <v>589</v>
      </c>
      <c r="E98" s="148" t="s">
        <v>590</v>
      </c>
      <c r="F98" s="179" t="s">
        <v>591</v>
      </c>
      <c r="G98" s="322"/>
      <c r="H98" s="323"/>
      <c r="I98" s="322" t="s">
        <v>1036</v>
      </c>
      <c r="J98" s="322" t="s">
        <v>1023</v>
      </c>
      <c r="K98" s="241"/>
      <c r="L98" s="241"/>
      <c r="M98" s="271"/>
      <c r="N98" s="271"/>
      <c r="O98" s="271"/>
      <c r="P98" s="271"/>
      <c r="Q98" s="271"/>
      <c r="R98" s="271"/>
      <c r="S98" s="271">
        <v>24</v>
      </c>
      <c r="T98" s="271">
        <v>320</v>
      </c>
      <c r="U98" s="271">
        <v>320</v>
      </c>
      <c r="V98" s="271"/>
      <c r="W98" s="271"/>
      <c r="X98" s="271"/>
      <c r="Y98" s="271">
        <v>21</v>
      </c>
      <c r="Z98" s="271">
        <v>312</v>
      </c>
      <c r="AA98" s="271">
        <v>245.12</v>
      </c>
      <c r="AB98" s="271"/>
      <c r="AC98" s="271"/>
      <c r="AD98" s="271"/>
      <c r="AE98" s="271"/>
      <c r="AF98" s="271"/>
      <c r="AG98" s="271"/>
      <c r="AH98" s="271">
        <v>10</v>
      </c>
      <c r="AI98" s="271">
        <v>200</v>
      </c>
      <c r="AJ98" s="271">
        <v>200</v>
      </c>
      <c r="AK98" s="271"/>
      <c r="AL98" s="271"/>
      <c r="AM98" s="271"/>
      <c r="AN98" s="271"/>
      <c r="AO98" s="271"/>
      <c r="AP98" s="271"/>
      <c r="AQ98" s="272">
        <f t="shared" si="9"/>
        <v>55</v>
      </c>
      <c r="AR98" s="272">
        <f t="shared" si="9"/>
        <v>832</v>
      </c>
      <c r="AS98" s="272">
        <f t="shared" si="9"/>
        <v>765.12</v>
      </c>
      <c r="AT98" s="273"/>
      <c r="AU98" s="273"/>
      <c r="AV98" s="273"/>
      <c r="AW98" s="273">
        <v>24</v>
      </c>
      <c r="AX98" s="273">
        <v>424</v>
      </c>
      <c r="AY98" s="273">
        <v>362.4</v>
      </c>
      <c r="AZ98" s="273"/>
      <c r="BA98" s="273"/>
      <c r="BB98" s="273"/>
      <c r="BC98" s="273"/>
      <c r="BD98" s="273"/>
      <c r="BE98" s="273"/>
      <c r="BF98" s="273"/>
      <c r="BG98" s="273"/>
      <c r="BH98" s="273"/>
      <c r="BI98" s="273"/>
      <c r="BJ98" s="273"/>
      <c r="BK98" s="273"/>
      <c r="BL98" s="273"/>
      <c r="BM98" s="273"/>
      <c r="BN98" s="273"/>
      <c r="BO98" s="273"/>
      <c r="BP98" s="273"/>
      <c r="BQ98" s="273"/>
      <c r="BR98" s="273">
        <v>7</v>
      </c>
      <c r="BS98" s="273">
        <v>180</v>
      </c>
      <c r="BT98" s="273">
        <v>128</v>
      </c>
      <c r="BU98" s="273"/>
      <c r="BV98" s="273"/>
      <c r="BW98" s="273"/>
      <c r="BX98" s="272">
        <f t="shared" si="7"/>
        <v>86</v>
      </c>
      <c r="BY98" s="272">
        <f t="shared" si="7"/>
        <v>1436</v>
      </c>
      <c r="BZ98" s="272">
        <f t="shared" si="8"/>
        <v>1255.52</v>
      </c>
      <c r="CA98" s="273">
        <v>20</v>
      </c>
      <c r="CB98" s="273">
        <v>240</v>
      </c>
      <c r="CC98" s="273">
        <v>240</v>
      </c>
      <c r="CD98" s="273"/>
      <c r="CE98" s="273"/>
      <c r="CF98" s="273"/>
      <c r="CG98" s="273"/>
      <c r="CH98" s="273"/>
      <c r="CI98" s="273"/>
      <c r="CJ98" s="273"/>
      <c r="CK98" s="273"/>
      <c r="CL98" s="273"/>
      <c r="CM98" s="273"/>
      <c r="CN98" s="273"/>
      <c r="CO98" s="273"/>
      <c r="CP98" s="273">
        <v>25</v>
      </c>
      <c r="CQ98" s="273">
        <v>380</v>
      </c>
      <c r="CR98" s="273">
        <v>380</v>
      </c>
      <c r="CS98" s="273"/>
      <c r="CT98" s="273"/>
      <c r="CU98" s="273"/>
      <c r="CV98" s="273"/>
      <c r="CW98" s="273"/>
      <c r="CX98" s="273"/>
      <c r="CY98" s="273"/>
      <c r="CZ98" s="273"/>
      <c r="DA98" s="273"/>
      <c r="DB98" s="273"/>
      <c r="DC98" s="273"/>
      <c r="DD98" s="273"/>
      <c r="DE98" s="273">
        <v>26</v>
      </c>
      <c r="DF98" s="271">
        <v>380</v>
      </c>
      <c r="DG98" s="271">
        <v>354</v>
      </c>
      <c r="DH98" s="272">
        <f t="shared" si="6"/>
        <v>157</v>
      </c>
      <c r="DI98" s="272">
        <f t="shared" si="6"/>
        <v>2436</v>
      </c>
      <c r="DJ98" s="324">
        <f t="shared" si="6"/>
        <v>2229.52</v>
      </c>
      <c r="DK98" s="325"/>
      <c r="DL98" s="325"/>
    </row>
    <row r="99" spans="1:116" s="275" customFormat="1" ht="20.100000000000001" customHeight="1" x14ac:dyDescent="0.6">
      <c r="A99" s="234">
        <v>96</v>
      </c>
      <c r="B99" s="103" t="s">
        <v>486</v>
      </c>
      <c r="C99" s="103" t="s">
        <v>487</v>
      </c>
      <c r="D99" s="103" t="s">
        <v>589</v>
      </c>
      <c r="E99" s="148" t="s">
        <v>590</v>
      </c>
      <c r="F99" s="179" t="s">
        <v>591</v>
      </c>
      <c r="G99" s="322"/>
      <c r="H99" s="323"/>
      <c r="I99" s="322" t="s">
        <v>1037</v>
      </c>
      <c r="J99" s="322" t="s">
        <v>1023</v>
      </c>
      <c r="K99" s="241"/>
      <c r="L99" s="241"/>
      <c r="M99" s="271"/>
      <c r="N99" s="271"/>
      <c r="O99" s="271"/>
      <c r="P99" s="271"/>
      <c r="Q99" s="271"/>
      <c r="R99" s="271"/>
      <c r="S99" s="271">
        <v>15</v>
      </c>
      <c r="T99" s="271">
        <v>180</v>
      </c>
      <c r="U99" s="271">
        <v>156</v>
      </c>
      <c r="V99" s="271"/>
      <c r="W99" s="271"/>
      <c r="X99" s="271"/>
      <c r="Y99" s="271">
        <v>33</v>
      </c>
      <c r="Z99" s="271">
        <v>490</v>
      </c>
      <c r="AA99" s="271">
        <v>368.8</v>
      </c>
      <c r="AB99" s="271"/>
      <c r="AC99" s="271"/>
      <c r="AD99" s="271"/>
      <c r="AE99" s="271"/>
      <c r="AF99" s="271"/>
      <c r="AG99" s="271"/>
      <c r="AH99" s="271">
        <v>3</v>
      </c>
      <c r="AI99" s="271">
        <v>60</v>
      </c>
      <c r="AJ99" s="271">
        <v>60</v>
      </c>
      <c r="AK99" s="271"/>
      <c r="AL99" s="271"/>
      <c r="AM99" s="271"/>
      <c r="AN99" s="271"/>
      <c r="AO99" s="271"/>
      <c r="AP99" s="271"/>
      <c r="AQ99" s="272">
        <f t="shared" si="9"/>
        <v>51</v>
      </c>
      <c r="AR99" s="272">
        <f t="shared" si="9"/>
        <v>730</v>
      </c>
      <c r="AS99" s="272">
        <f t="shared" si="9"/>
        <v>584.79999999999995</v>
      </c>
      <c r="AT99" s="273"/>
      <c r="AU99" s="273"/>
      <c r="AV99" s="273"/>
      <c r="AW99" s="273">
        <v>26</v>
      </c>
      <c r="AX99" s="273">
        <v>394</v>
      </c>
      <c r="AY99" s="273">
        <v>307.2</v>
      </c>
      <c r="AZ99" s="273"/>
      <c r="BA99" s="273"/>
      <c r="BB99" s="273"/>
      <c r="BC99" s="273"/>
      <c r="BD99" s="273"/>
      <c r="BE99" s="273"/>
      <c r="BF99" s="273"/>
      <c r="BG99" s="273"/>
      <c r="BH99" s="273"/>
      <c r="BI99" s="273"/>
      <c r="BJ99" s="273"/>
      <c r="BK99" s="273"/>
      <c r="BL99" s="273"/>
      <c r="BM99" s="273"/>
      <c r="BN99" s="273"/>
      <c r="BO99" s="273"/>
      <c r="BP99" s="273"/>
      <c r="BQ99" s="273"/>
      <c r="BR99" s="273">
        <v>32</v>
      </c>
      <c r="BS99" s="273">
        <v>464</v>
      </c>
      <c r="BT99" s="273">
        <v>397.6</v>
      </c>
      <c r="BU99" s="273"/>
      <c r="BV99" s="273"/>
      <c r="BW99" s="273"/>
      <c r="BX99" s="272">
        <f t="shared" si="7"/>
        <v>109</v>
      </c>
      <c r="BY99" s="272">
        <f t="shared" si="7"/>
        <v>1588</v>
      </c>
      <c r="BZ99" s="272">
        <f t="shared" si="8"/>
        <v>1289.5999999999999</v>
      </c>
      <c r="CA99" s="273">
        <v>15</v>
      </c>
      <c r="CB99" s="273">
        <v>220</v>
      </c>
      <c r="CC99" s="273">
        <v>220</v>
      </c>
      <c r="CD99" s="273"/>
      <c r="CE99" s="273"/>
      <c r="CF99" s="273"/>
      <c r="CG99" s="273"/>
      <c r="CH99" s="273"/>
      <c r="CI99" s="273"/>
      <c r="CJ99" s="273"/>
      <c r="CK99" s="273"/>
      <c r="CL99" s="273"/>
      <c r="CM99" s="273"/>
      <c r="CN99" s="273"/>
      <c r="CO99" s="273"/>
      <c r="CP99" s="273">
        <v>40</v>
      </c>
      <c r="CQ99" s="273">
        <v>598</v>
      </c>
      <c r="CR99" s="273">
        <v>480.4</v>
      </c>
      <c r="CS99" s="273"/>
      <c r="CT99" s="273"/>
      <c r="CU99" s="273"/>
      <c r="CV99" s="273"/>
      <c r="CW99" s="273"/>
      <c r="CX99" s="273"/>
      <c r="CY99" s="273"/>
      <c r="CZ99" s="273"/>
      <c r="DA99" s="273"/>
      <c r="DB99" s="273"/>
      <c r="DC99" s="273"/>
      <c r="DD99" s="273"/>
      <c r="DE99" s="273">
        <v>23</v>
      </c>
      <c r="DF99" s="271">
        <v>300</v>
      </c>
      <c r="DG99" s="271">
        <v>300</v>
      </c>
      <c r="DH99" s="272">
        <f t="shared" si="6"/>
        <v>187</v>
      </c>
      <c r="DI99" s="272">
        <f t="shared" si="6"/>
        <v>2706</v>
      </c>
      <c r="DJ99" s="324">
        <f t="shared" si="6"/>
        <v>2290</v>
      </c>
      <c r="DK99" s="325"/>
      <c r="DL99" s="325"/>
    </row>
    <row r="100" spans="1:116" s="275" customFormat="1" ht="20.100000000000001" customHeight="1" x14ac:dyDescent="0.6">
      <c r="A100" s="234">
        <v>97</v>
      </c>
      <c r="B100" s="103" t="s">
        <v>598</v>
      </c>
      <c r="C100" s="103" t="s">
        <v>599</v>
      </c>
      <c r="D100" s="103" t="s">
        <v>589</v>
      </c>
      <c r="E100" s="148" t="s">
        <v>590</v>
      </c>
      <c r="F100" s="179" t="s">
        <v>591</v>
      </c>
      <c r="G100" s="322"/>
      <c r="H100" s="323"/>
      <c r="I100" s="322" t="s">
        <v>1038</v>
      </c>
      <c r="J100" s="322" t="s">
        <v>1023</v>
      </c>
      <c r="K100" s="241"/>
      <c r="L100" s="24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>
        <v>20</v>
      </c>
      <c r="Z100" s="271">
        <v>280</v>
      </c>
      <c r="AA100" s="271">
        <v>179.2</v>
      </c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  <c r="AM100" s="271"/>
      <c r="AN100" s="271"/>
      <c r="AO100" s="271"/>
      <c r="AP100" s="271"/>
      <c r="AQ100" s="272">
        <f t="shared" si="9"/>
        <v>20</v>
      </c>
      <c r="AR100" s="272">
        <f t="shared" si="9"/>
        <v>280</v>
      </c>
      <c r="AS100" s="272">
        <f t="shared" si="9"/>
        <v>179.2</v>
      </c>
      <c r="AT100" s="273"/>
      <c r="AU100" s="273"/>
      <c r="AV100" s="273"/>
      <c r="AW100" s="273">
        <v>20</v>
      </c>
      <c r="AX100" s="273">
        <v>280</v>
      </c>
      <c r="AY100" s="273">
        <v>179.2</v>
      </c>
      <c r="AZ100" s="273"/>
      <c r="BA100" s="273"/>
      <c r="BB100" s="273"/>
      <c r="BC100" s="273"/>
      <c r="BD100" s="273"/>
      <c r="BE100" s="273"/>
      <c r="BF100" s="273"/>
      <c r="BG100" s="273"/>
      <c r="BH100" s="273"/>
      <c r="BI100" s="273"/>
      <c r="BJ100" s="273"/>
      <c r="BK100" s="273"/>
      <c r="BL100" s="273">
        <v>15</v>
      </c>
      <c r="BM100" s="273">
        <v>210</v>
      </c>
      <c r="BN100" s="273">
        <v>134.4</v>
      </c>
      <c r="BO100" s="273"/>
      <c r="BP100" s="273"/>
      <c r="BQ100" s="273"/>
      <c r="BR100" s="273">
        <v>20</v>
      </c>
      <c r="BS100" s="273">
        <v>280</v>
      </c>
      <c r="BT100" s="273">
        <v>179.2</v>
      </c>
      <c r="BU100" s="273"/>
      <c r="BV100" s="273"/>
      <c r="BW100" s="273"/>
      <c r="BX100" s="272">
        <f t="shared" si="7"/>
        <v>75</v>
      </c>
      <c r="BY100" s="272">
        <f t="shared" si="7"/>
        <v>1050</v>
      </c>
      <c r="BZ100" s="272">
        <f t="shared" si="8"/>
        <v>672</v>
      </c>
      <c r="CA100" s="273"/>
      <c r="CB100" s="273"/>
      <c r="CC100" s="273"/>
      <c r="CD100" s="273"/>
      <c r="CE100" s="273"/>
      <c r="CF100" s="273"/>
      <c r="CG100" s="273"/>
      <c r="CH100" s="273"/>
      <c r="CI100" s="273"/>
      <c r="CJ100" s="273"/>
      <c r="CK100" s="273"/>
      <c r="CL100" s="273"/>
      <c r="CM100" s="273"/>
      <c r="CN100" s="273"/>
      <c r="CO100" s="273"/>
      <c r="CP100" s="273">
        <v>15</v>
      </c>
      <c r="CQ100" s="273">
        <v>210</v>
      </c>
      <c r="CR100" s="273">
        <v>134.4</v>
      </c>
      <c r="CS100" s="273"/>
      <c r="CT100" s="273"/>
      <c r="CU100" s="273"/>
      <c r="CV100" s="273"/>
      <c r="CW100" s="273"/>
      <c r="CX100" s="273"/>
      <c r="CY100" s="273"/>
      <c r="CZ100" s="273"/>
      <c r="DA100" s="273"/>
      <c r="DB100" s="273"/>
      <c r="DC100" s="273"/>
      <c r="DD100" s="273"/>
      <c r="DE100" s="273"/>
      <c r="DF100" s="271"/>
      <c r="DG100" s="271"/>
      <c r="DH100" s="272">
        <f t="shared" si="6"/>
        <v>90</v>
      </c>
      <c r="DI100" s="272">
        <f t="shared" si="6"/>
        <v>1260</v>
      </c>
      <c r="DJ100" s="324">
        <f t="shared" si="6"/>
        <v>806.4</v>
      </c>
      <c r="DK100" s="325"/>
      <c r="DL100" s="325"/>
    </row>
    <row r="101" spans="1:116" s="275" customFormat="1" ht="20.100000000000001" customHeight="1" x14ac:dyDescent="0.6">
      <c r="A101" s="234">
        <v>98</v>
      </c>
      <c r="B101" s="103" t="s">
        <v>600</v>
      </c>
      <c r="C101" s="103" t="s">
        <v>601</v>
      </c>
      <c r="D101" s="103" t="s">
        <v>589</v>
      </c>
      <c r="E101" s="148" t="s">
        <v>590</v>
      </c>
      <c r="F101" s="179" t="s">
        <v>591</v>
      </c>
      <c r="G101" s="322"/>
      <c r="H101" s="323"/>
      <c r="I101" s="322" t="s">
        <v>1039</v>
      </c>
      <c r="J101" s="322" t="s">
        <v>1023</v>
      </c>
      <c r="K101" s="241"/>
      <c r="L101" s="241"/>
      <c r="M101" s="271"/>
      <c r="N101" s="271"/>
      <c r="O101" s="271"/>
      <c r="P101" s="271"/>
      <c r="Q101" s="271"/>
      <c r="R101" s="271"/>
      <c r="S101" s="271">
        <v>3</v>
      </c>
      <c r="T101" s="271">
        <v>36</v>
      </c>
      <c r="U101" s="271">
        <v>25.2</v>
      </c>
      <c r="V101" s="271"/>
      <c r="W101" s="271"/>
      <c r="X101" s="271"/>
      <c r="Y101" s="271">
        <v>9</v>
      </c>
      <c r="Z101" s="271">
        <v>146</v>
      </c>
      <c r="AA101" s="271">
        <v>94.8</v>
      </c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1"/>
      <c r="AL101" s="271"/>
      <c r="AM101" s="271"/>
      <c r="AN101" s="271">
        <v>10</v>
      </c>
      <c r="AO101" s="271">
        <v>120</v>
      </c>
      <c r="AP101" s="271">
        <v>120</v>
      </c>
      <c r="AQ101" s="272">
        <f t="shared" si="9"/>
        <v>22</v>
      </c>
      <c r="AR101" s="272">
        <f t="shared" si="9"/>
        <v>302</v>
      </c>
      <c r="AS101" s="272">
        <f t="shared" si="9"/>
        <v>240</v>
      </c>
      <c r="AT101" s="273"/>
      <c r="AU101" s="273"/>
      <c r="AV101" s="273"/>
      <c r="AW101" s="273">
        <v>15</v>
      </c>
      <c r="AX101" s="273">
        <v>180</v>
      </c>
      <c r="AY101" s="273">
        <v>132</v>
      </c>
      <c r="AZ101" s="273"/>
      <c r="BA101" s="273"/>
      <c r="BB101" s="273"/>
      <c r="BC101" s="273"/>
      <c r="BD101" s="273"/>
      <c r="BE101" s="273"/>
      <c r="BF101" s="273"/>
      <c r="BG101" s="273"/>
      <c r="BH101" s="273"/>
      <c r="BI101" s="273"/>
      <c r="BJ101" s="273"/>
      <c r="BK101" s="273"/>
      <c r="BL101" s="273">
        <v>29</v>
      </c>
      <c r="BM101" s="273">
        <v>388</v>
      </c>
      <c r="BN101" s="273">
        <v>388</v>
      </c>
      <c r="BO101" s="273"/>
      <c r="BP101" s="273"/>
      <c r="BQ101" s="273"/>
      <c r="BR101" s="273"/>
      <c r="BS101" s="273"/>
      <c r="BT101" s="273"/>
      <c r="BU101" s="273"/>
      <c r="BV101" s="273"/>
      <c r="BW101" s="273"/>
      <c r="BX101" s="272">
        <f t="shared" si="7"/>
        <v>66</v>
      </c>
      <c r="BY101" s="272">
        <f t="shared" si="7"/>
        <v>870</v>
      </c>
      <c r="BZ101" s="272">
        <f t="shared" si="8"/>
        <v>760</v>
      </c>
      <c r="CA101" s="273">
        <v>20</v>
      </c>
      <c r="CB101" s="273">
        <v>280</v>
      </c>
      <c r="CC101" s="273">
        <v>179.2</v>
      </c>
      <c r="CD101" s="273"/>
      <c r="CE101" s="273"/>
      <c r="CF101" s="273"/>
      <c r="CG101" s="273"/>
      <c r="CH101" s="273"/>
      <c r="CI101" s="273"/>
      <c r="CJ101" s="273"/>
      <c r="CK101" s="273"/>
      <c r="CL101" s="273"/>
      <c r="CM101" s="273"/>
      <c r="CN101" s="273"/>
      <c r="CO101" s="273"/>
      <c r="CP101" s="273">
        <v>20</v>
      </c>
      <c r="CQ101" s="273">
        <v>240</v>
      </c>
      <c r="CR101" s="273">
        <v>240</v>
      </c>
      <c r="CS101" s="273"/>
      <c r="CT101" s="273"/>
      <c r="CU101" s="273"/>
      <c r="CV101" s="273"/>
      <c r="CW101" s="273"/>
      <c r="CX101" s="273"/>
      <c r="CY101" s="273"/>
      <c r="CZ101" s="273"/>
      <c r="DA101" s="273"/>
      <c r="DB101" s="273"/>
      <c r="DC101" s="273"/>
      <c r="DD101" s="273"/>
      <c r="DE101" s="273">
        <v>25</v>
      </c>
      <c r="DF101" s="271">
        <v>340</v>
      </c>
      <c r="DG101" s="271">
        <v>340</v>
      </c>
      <c r="DH101" s="272">
        <f t="shared" si="6"/>
        <v>131</v>
      </c>
      <c r="DI101" s="272">
        <f t="shared" si="6"/>
        <v>1730</v>
      </c>
      <c r="DJ101" s="324">
        <f t="shared" si="6"/>
        <v>1519.2</v>
      </c>
      <c r="DK101" s="325"/>
      <c r="DL101" s="325"/>
    </row>
    <row r="102" spans="1:116" s="275" customFormat="1" ht="20.100000000000001" customHeight="1" x14ac:dyDescent="0.6">
      <c r="A102" s="234">
        <v>99</v>
      </c>
      <c r="B102" s="103" t="s">
        <v>602</v>
      </c>
      <c r="C102" s="103" t="s">
        <v>603</v>
      </c>
      <c r="D102" s="103" t="s">
        <v>337</v>
      </c>
      <c r="E102" s="148" t="s">
        <v>338</v>
      </c>
      <c r="F102" s="179" t="s">
        <v>591</v>
      </c>
      <c r="G102" s="322"/>
      <c r="H102" s="323"/>
      <c r="I102" s="322" t="s">
        <v>1040</v>
      </c>
      <c r="J102" s="322" t="s">
        <v>1023</v>
      </c>
      <c r="K102" s="241"/>
      <c r="L102" s="24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>
        <v>10</v>
      </c>
      <c r="AI102" s="271">
        <v>148</v>
      </c>
      <c r="AJ102" s="271">
        <v>122</v>
      </c>
      <c r="AK102" s="271"/>
      <c r="AL102" s="271"/>
      <c r="AM102" s="271"/>
      <c r="AN102" s="271"/>
      <c r="AO102" s="271"/>
      <c r="AP102" s="271"/>
      <c r="AQ102" s="272">
        <f t="shared" si="9"/>
        <v>10</v>
      </c>
      <c r="AR102" s="272">
        <f t="shared" si="9"/>
        <v>148</v>
      </c>
      <c r="AS102" s="272">
        <f t="shared" si="9"/>
        <v>122</v>
      </c>
      <c r="AT102" s="273"/>
      <c r="AU102" s="273"/>
      <c r="AV102" s="273"/>
      <c r="AW102" s="273"/>
      <c r="AX102" s="273"/>
      <c r="AY102" s="273"/>
      <c r="AZ102" s="273"/>
      <c r="BA102" s="273"/>
      <c r="BB102" s="273"/>
      <c r="BC102" s="273"/>
      <c r="BD102" s="273"/>
      <c r="BE102" s="273"/>
      <c r="BF102" s="273">
        <v>12</v>
      </c>
      <c r="BG102" s="273">
        <v>178</v>
      </c>
      <c r="BH102" s="273">
        <v>136.88</v>
      </c>
      <c r="BI102" s="273"/>
      <c r="BJ102" s="273"/>
      <c r="BK102" s="273"/>
      <c r="BL102" s="273"/>
      <c r="BM102" s="273"/>
      <c r="BN102" s="273"/>
      <c r="BO102" s="273"/>
      <c r="BP102" s="273"/>
      <c r="BQ102" s="273"/>
      <c r="BR102" s="273"/>
      <c r="BS102" s="273"/>
      <c r="BT102" s="273"/>
      <c r="BU102" s="273"/>
      <c r="BV102" s="273"/>
      <c r="BW102" s="273"/>
      <c r="BX102" s="272">
        <f t="shared" si="7"/>
        <v>22</v>
      </c>
      <c r="BY102" s="272">
        <f t="shared" si="7"/>
        <v>326</v>
      </c>
      <c r="BZ102" s="272">
        <f t="shared" si="8"/>
        <v>258.88</v>
      </c>
      <c r="CA102" s="273"/>
      <c r="CB102" s="273"/>
      <c r="CC102" s="273"/>
      <c r="CD102" s="273"/>
      <c r="CE102" s="273"/>
      <c r="CF102" s="273"/>
      <c r="CG102" s="273"/>
      <c r="CH102" s="273"/>
      <c r="CI102" s="273"/>
      <c r="CJ102" s="273"/>
      <c r="CK102" s="273"/>
      <c r="CL102" s="273"/>
      <c r="CM102" s="273"/>
      <c r="CN102" s="273"/>
      <c r="CO102" s="273"/>
      <c r="CP102" s="273"/>
      <c r="CQ102" s="273"/>
      <c r="CR102" s="273"/>
      <c r="CS102" s="273">
        <v>10</v>
      </c>
      <c r="CT102" s="273">
        <v>176</v>
      </c>
      <c r="CU102" s="273">
        <v>124</v>
      </c>
      <c r="CV102" s="273"/>
      <c r="CW102" s="273"/>
      <c r="CX102" s="273"/>
      <c r="CY102" s="273"/>
      <c r="CZ102" s="273"/>
      <c r="DA102" s="273"/>
      <c r="DB102" s="273"/>
      <c r="DC102" s="273"/>
      <c r="DD102" s="273"/>
      <c r="DE102" s="273"/>
      <c r="DF102" s="271"/>
      <c r="DG102" s="271"/>
      <c r="DH102" s="272">
        <f t="shared" si="6"/>
        <v>32</v>
      </c>
      <c r="DI102" s="272">
        <f t="shared" si="6"/>
        <v>502</v>
      </c>
      <c r="DJ102" s="324">
        <f t="shared" si="6"/>
        <v>382.88</v>
      </c>
      <c r="DK102" s="325"/>
      <c r="DL102" s="325"/>
    </row>
    <row r="103" spans="1:116" s="275" customFormat="1" ht="20.100000000000001" customHeight="1" x14ac:dyDescent="0.6">
      <c r="A103" s="234">
        <v>100</v>
      </c>
      <c r="B103" s="103" t="s">
        <v>604</v>
      </c>
      <c r="C103" s="103" t="s">
        <v>605</v>
      </c>
      <c r="D103" s="103" t="s">
        <v>337</v>
      </c>
      <c r="E103" s="148" t="s">
        <v>338</v>
      </c>
      <c r="F103" s="179" t="s">
        <v>591</v>
      </c>
      <c r="G103" s="322"/>
      <c r="H103" s="323"/>
      <c r="I103" s="322" t="s">
        <v>1041</v>
      </c>
      <c r="J103" s="322" t="s">
        <v>1023</v>
      </c>
      <c r="K103" s="241"/>
      <c r="L103" s="24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/>
      <c r="AO103" s="271"/>
      <c r="AP103" s="271"/>
      <c r="AQ103" s="272">
        <f t="shared" si="9"/>
        <v>0</v>
      </c>
      <c r="AR103" s="272">
        <f t="shared" si="9"/>
        <v>0</v>
      </c>
      <c r="AS103" s="272">
        <f t="shared" si="9"/>
        <v>0</v>
      </c>
      <c r="AT103" s="273"/>
      <c r="AU103" s="273"/>
      <c r="AV103" s="273"/>
      <c r="AW103" s="273"/>
      <c r="AX103" s="273"/>
      <c r="AY103" s="273"/>
      <c r="AZ103" s="273">
        <v>4</v>
      </c>
      <c r="BA103" s="273">
        <v>76</v>
      </c>
      <c r="BB103" s="273">
        <v>50</v>
      </c>
      <c r="BC103" s="273"/>
      <c r="BD103" s="273"/>
      <c r="BE103" s="273"/>
      <c r="BF103" s="273"/>
      <c r="BG103" s="273"/>
      <c r="BH103" s="273"/>
      <c r="BI103" s="273"/>
      <c r="BJ103" s="273"/>
      <c r="BK103" s="273"/>
      <c r="BL103" s="273"/>
      <c r="BM103" s="273"/>
      <c r="BN103" s="273"/>
      <c r="BO103" s="273"/>
      <c r="BP103" s="273"/>
      <c r="BQ103" s="273"/>
      <c r="BR103" s="273"/>
      <c r="BS103" s="273"/>
      <c r="BT103" s="273"/>
      <c r="BU103" s="273">
        <v>1</v>
      </c>
      <c r="BV103" s="273">
        <v>40</v>
      </c>
      <c r="BW103" s="273">
        <v>14</v>
      </c>
      <c r="BX103" s="272">
        <f t="shared" si="7"/>
        <v>5</v>
      </c>
      <c r="BY103" s="272">
        <f t="shared" si="7"/>
        <v>116</v>
      </c>
      <c r="BZ103" s="272">
        <f t="shared" si="8"/>
        <v>64</v>
      </c>
      <c r="CA103" s="273"/>
      <c r="CB103" s="273"/>
      <c r="CC103" s="273"/>
      <c r="CD103" s="273"/>
      <c r="CE103" s="273"/>
      <c r="CF103" s="273"/>
      <c r="CG103" s="273"/>
      <c r="CH103" s="273"/>
      <c r="CI103" s="273"/>
      <c r="CJ103" s="273"/>
      <c r="CK103" s="273"/>
      <c r="CL103" s="273"/>
      <c r="CM103" s="273"/>
      <c r="CN103" s="273"/>
      <c r="CO103" s="273"/>
      <c r="CP103" s="273"/>
      <c r="CQ103" s="273"/>
      <c r="CR103" s="273"/>
      <c r="CS103" s="273"/>
      <c r="CT103" s="273"/>
      <c r="CU103" s="273"/>
      <c r="CV103" s="273"/>
      <c r="CW103" s="273"/>
      <c r="CX103" s="273"/>
      <c r="CY103" s="273"/>
      <c r="CZ103" s="273"/>
      <c r="DA103" s="273"/>
      <c r="DB103" s="273"/>
      <c r="DC103" s="273"/>
      <c r="DD103" s="273"/>
      <c r="DE103" s="273"/>
      <c r="DF103" s="271"/>
      <c r="DG103" s="271"/>
      <c r="DH103" s="272">
        <f t="shared" si="6"/>
        <v>5</v>
      </c>
      <c r="DI103" s="272">
        <f t="shared" si="6"/>
        <v>116</v>
      </c>
      <c r="DJ103" s="324">
        <f t="shared" si="6"/>
        <v>64</v>
      </c>
      <c r="DK103" s="325"/>
      <c r="DL103" s="325"/>
    </row>
    <row r="104" spans="1:116" s="275" customFormat="1" ht="20.100000000000001" customHeight="1" x14ac:dyDescent="0.6">
      <c r="A104" s="234">
        <v>101</v>
      </c>
      <c r="B104" s="103" t="s">
        <v>606</v>
      </c>
      <c r="C104" s="103" t="s">
        <v>607</v>
      </c>
      <c r="D104" s="103" t="s">
        <v>337</v>
      </c>
      <c r="E104" s="148" t="s">
        <v>338</v>
      </c>
      <c r="F104" s="179" t="s">
        <v>591</v>
      </c>
      <c r="G104" s="322"/>
      <c r="H104" s="323"/>
      <c r="I104" s="322" t="s">
        <v>1042</v>
      </c>
      <c r="J104" s="322" t="s">
        <v>1023</v>
      </c>
      <c r="K104" s="241"/>
      <c r="L104" s="24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>
        <v>8</v>
      </c>
      <c r="AC104" s="271">
        <v>152</v>
      </c>
      <c r="AD104" s="271">
        <v>90.4</v>
      </c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  <c r="AO104" s="271"/>
      <c r="AP104" s="271"/>
      <c r="AQ104" s="272">
        <f t="shared" si="9"/>
        <v>8</v>
      </c>
      <c r="AR104" s="272">
        <f t="shared" si="9"/>
        <v>152</v>
      </c>
      <c r="AS104" s="272">
        <f t="shared" si="9"/>
        <v>90.4</v>
      </c>
      <c r="AT104" s="273"/>
      <c r="AU104" s="273"/>
      <c r="AV104" s="273"/>
      <c r="AW104" s="273"/>
      <c r="AX104" s="273"/>
      <c r="AY104" s="273"/>
      <c r="AZ104" s="273">
        <v>9</v>
      </c>
      <c r="BA104" s="273">
        <v>136</v>
      </c>
      <c r="BB104" s="273">
        <v>100.4</v>
      </c>
      <c r="BC104" s="273"/>
      <c r="BD104" s="273"/>
      <c r="BE104" s="273"/>
      <c r="BF104" s="273"/>
      <c r="BG104" s="273"/>
      <c r="BH104" s="273"/>
      <c r="BI104" s="273"/>
      <c r="BJ104" s="273"/>
      <c r="BK104" s="273"/>
      <c r="BL104" s="273"/>
      <c r="BM104" s="273"/>
      <c r="BN104" s="273"/>
      <c r="BO104" s="273"/>
      <c r="BP104" s="273"/>
      <c r="BQ104" s="273"/>
      <c r="BR104" s="273"/>
      <c r="BS104" s="273"/>
      <c r="BT104" s="273"/>
      <c r="BU104" s="273">
        <v>7</v>
      </c>
      <c r="BV104" s="273">
        <v>84</v>
      </c>
      <c r="BW104" s="273">
        <v>84</v>
      </c>
      <c r="BX104" s="272">
        <f t="shared" si="7"/>
        <v>24</v>
      </c>
      <c r="BY104" s="272">
        <f t="shared" si="7"/>
        <v>372</v>
      </c>
      <c r="BZ104" s="272">
        <f t="shared" si="8"/>
        <v>274.8</v>
      </c>
      <c r="CA104" s="273"/>
      <c r="CB104" s="273"/>
      <c r="CC104" s="273"/>
      <c r="CD104" s="273"/>
      <c r="CE104" s="273"/>
      <c r="CF104" s="273"/>
      <c r="CG104" s="273"/>
      <c r="CH104" s="273"/>
      <c r="CI104" s="273"/>
      <c r="CJ104" s="273"/>
      <c r="CK104" s="273"/>
      <c r="CL104" s="273"/>
      <c r="CM104" s="273"/>
      <c r="CN104" s="273"/>
      <c r="CO104" s="273"/>
      <c r="CP104" s="273"/>
      <c r="CQ104" s="273"/>
      <c r="CR104" s="273"/>
      <c r="CS104" s="273">
        <v>7</v>
      </c>
      <c r="CT104" s="273">
        <v>140</v>
      </c>
      <c r="CU104" s="273">
        <v>78.400000000000006</v>
      </c>
      <c r="CV104" s="273"/>
      <c r="CW104" s="273"/>
      <c r="CX104" s="273"/>
      <c r="CY104" s="273"/>
      <c r="CZ104" s="273"/>
      <c r="DA104" s="273"/>
      <c r="DB104" s="273"/>
      <c r="DC104" s="273"/>
      <c r="DD104" s="273"/>
      <c r="DE104" s="273"/>
      <c r="DF104" s="271"/>
      <c r="DG104" s="271"/>
      <c r="DH104" s="272">
        <f t="shared" si="6"/>
        <v>31</v>
      </c>
      <c r="DI104" s="272">
        <f t="shared" si="6"/>
        <v>512</v>
      </c>
      <c r="DJ104" s="324">
        <f t="shared" si="6"/>
        <v>353.20000000000005</v>
      </c>
      <c r="DK104" s="325"/>
      <c r="DL104" s="325"/>
    </row>
    <row r="105" spans="1:116" s="275" customFormat="1" ht="20.100000000000001" customHeight="1" x14ac:dyDescent="0.6">
      <c r="A105" s="234">
        <v>102</v>
      </c>
      <c r="B105" s="103" t="s">
        <v>608</v>
      </c>
      <c r="C105" s="103" t="s">
        <v>609</v>
      </c>
      <c r="D105" s="103" t="s">
        <v>337</v>
      </c>
      <c r="E105" s="148" t="s">
        <v>338</v>
      </c>
      <c r="F105" s="179" t="s">
        <v>591</v>
      </c>
      <c r="G105" s="322"/>
      <c r="H105" s="323"/>
      <c r="I105" s="322" t="s">
        <v>1043</v>
      </c>
      <c r="J105" s="322" t="s">
        <v>1023</v>
      </c>
      <c r="K105" s="241"/>
      <c r="L105" s="24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  <c r="AA105" s="271"/>
      <c r="AB105" s="271">
        <v>3</v>
      </c>
      <c r="AC105" s="271">
        <v>92</v>
      </c>
      <c r="AD105" s="271">
        <v>40</v>
      </c>
      <c r="AE105" s="271"/>
      <c r="AF105" s="271"/>
      <c r="AG105" s="271"/>
      <c r="AH105" s="271"/>
      <c r="AI105" s="271"/>
      <c r="AJ105" s="271"/>
      <c r="AK105" s="271"/>
      <c r="AL105" s="271"/>
      <c r="AM105" s="271"/>
      <c r="AN105" s="271"/>
      <c r="AO105" s="271"/>
      <c r="AP105" s="271"/>
      <c r="AQ105" s="272">
        <f t="shared" si="9"/>
        <v>3</v>
      </c>
      <c r="AR105" s="272">
        <f t="shared" si="9"/>
        <v>92</v>
      </c>
      <c r="AS105" s="272">
        <f t="shared" si="9"/>
        <v>40</v>
      </c>
      <c r="AT105" s="273"/>
      <c r="AU105" s="273"/>
      <c r="AV105" s="273"/>
      <c r="AW105" s="273"/>
      <c r="AX105" s="273"/>
      <c r="AY105" s="273"/>
      <c r="AZ105" s="273">
        <v>4</v>
      </c>
      <c r="BA105" s="273">
        <v>78</v>
      </c>
      <c r="BB105" s="273">
        <v>46.96</v>
      </c>
      <c r="BC105" s="273"/>
      <c r="BD105" s="273"/>
      <c r="BE105" s="273"/>
      <c r="BF105" s="273"/>
      <c r="BG105" s="273"/>
      <c r="BH105" s="273"/>
      <c r="BI105" s="273"/>
      <c r="BJ105" s="273"/>
      <c r="BK105" s="273"/>
      <c r="BL105" s="273"/>
      <c r="BM105" s="273"/>
      <c r="BN105" s="273"/>
      <c r="BO105" s="273"/>
      <c r="BP105" s="273"/>
      <c r="BQ105" s="273"/>
      <c r="BR105" s="273"/>
      <c r="BS105" s="273"/>
      <c r="BT105" s="273"/>
      <c r="BU105" s="273">
        <v>5</v>
      </c>
      <c r="BV105" s="273">
        <v>90</v>
      </c>
      <c r="BW105" s="273">
        <v>58.96</v>
      </c>
      <c r="BX105" s="272">
        <f t="shared" si="7"/>
        <v>12</v>
      </c>
      <c r="BY105" s="272">
        <f t="shared" si="7"/>
        <v>260</v>
      </c>
      <c r="BZ105" s="272">
        <f t="shared" si="8"/>
        <v>145.92000000000002</v>
      </c>
      <c r="CA105" s="273"/>
      <c r="CB105" s="273"/>
      <c r="CC105" s="273"/>
      <c r="CD105" s="273"/>
      <c r="CE105" s="273"/>
      <c r="CF105" s="273"/>
      <c r="CG105" s="273"/>
      <c r="CH105" s="273"/>
      <c r="CI105" s="273"/>
      <c r="CJ105" s="273"/>
      <c r="CK105" s="273"/>
      <c r="CL105" s="273"/>
      <c r="CM105" s="273"/>
      <c r="CN105" s="273"/>
      <c r="CO105" s="273"/>
      <c r="CP105" s="273"/>
      <c r="CQ105" s="273"/>
      <c r="CR105" s="273"/>
      <c r="CS105" s="273">
        <v>4</v>
      </c>
      <c r="CT105" s="273">
        <v>50</v>
      </c>
      <c r="CU105" s="273">
        <v>44.96</v>
      </c>
      <c r="CV105" s="273"/>
      <c r="CW105" s="273"/>
      <c r="CX105" s="273"/>
      <c r="CY105" s="273"/>
      <c r="CZ105" s="273"/>
      <c r="DA105" s="273"/>
      <c r="DB105" s="273"/>
      <c r="DC105" s="273"/>
      <c r="DD105" s="273"/>
      <c r="DE105" s="273"/>
      <c r="DF105" s="271"/>
      <c r="DG105" s="271"/>
      <c r="DH105" s="272">
        <f t="shared" si="6"/>
        <v>16</v>
      </c>
      <c r="DI105" s="272">
        <f t="shared" si="6"/>
        <v>310</v>
      </c>
      <c r="DJ105" s="324">
        <f t="shared" si="6"/>
        <v>190.88000000000002</v>
      </c>
      <c r="DK105" s="325"/>
      <c r="DL105" s="325"/>
    </row>
    <row r="106" spans="1:116" s="275" customFormat="1" ht="20.100000000000001" customHeight="1" x14ac:dyDescent="0.6">
      <c r="A106" s="234">
        <v>103</v>
      </c>
      <c r="B106" s="103" t="s">
        <v>610</v>
      </c>
      <c r="C106" s="103" t="s">
        <v>611</v>
      </c>
      <c r="D106" s="103" t="s">
        <v>337</v>
      </c>
      <c r="E106" s="148" t="s">
        <v>338</v>
      </c>
      <c r="F106" s="179" t="s">
        <v>591</v>
      </c>
      <c r="G106" s="322"/>
      <c r="H106" s="323"/>
      <c r="I106" s="322" t="s">
        <v>1044</v>
      </c>
      <c r="J106" s="322" t="s">
        <v>1023</v>
      </c>
      <c r="K106" s="241"/>
      <c r="L106" s="24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>
        <v>5</v>
      </c>
      <c r="AC106" s="271">
        <v>94</v>
      </c>
      <c r="AD106" s="271">
        <v>52.88</v>
      </c>
      <c r="AE106" s="271"/>
      <c r="AF106" s="271"/>
      <c r="AG106" s="271"/>
      <c r="AH106" s="271"/>
      <c r="AI106" s="271"/>
      <c r="AJ106" s="271"/>
      <c r="AK106" s="271"/>
      <c r="AL106" s="271"/>
      <c r="AM106" s="271"/>
      <c r="AN106" s="271"/>
      <c r="AO106" s="271"/>
      <c r="AP106" s="271"/>
      <c r="AQ106" s="272">
        <f t="shared" si="9"/>
        <v>5</v>
      </c>
      <c r="AR106" s="272">
        <f t="shared" si="9"/>
        <v>94</v>
      </c>
      <c r="AS106" s="272">
        <f t="shared" si="9"/>
        <v>52.88</v>
      </c>
      <c r="AT106" s="273"/>
      <c r="AU106" s="273"/>
      <c r="AV106" s="273"/>
      <c r="AW106" s="273"/>
      <c r="AX106" s="273"/>
      <c r="AY106" s="273"/>
      <c r="AZ106" s="273">
        <v>8</v>
      </c>
      <c r="BA106" s="273">
        <v>134</v>
      </c>
      <c r="BB106" s="273">
        <v>82.8</v>
      </c>
      <c r="BC106" s="273"/>
      <c r="BD106" s="273"/>
      <c r="BE106" s="273"/>
      <c r="BF106" s="273"/>
      <c r="BG106" s="273"/>
      <c r="BH106" s="273"/>
      <c r="BI106" s="273"/>
      <c r="BJ106" s="273"/>
      <c r="BK106" s="273"/>
      <c r="BL106" s="273"/>
      <c r="BM106" s="273"/>
      <c r="BN106" s="273"/>
      <c r="BO106" s="273"/>
      <c r="BP106" s="273"/>
      <c r="BQ106" s="273"/>
      <c r="BR106" s="273"/>
      <c r="BS106" s="273"/>
      <c r="BT106" s="273"/>
      <c r="BU106" s="273">
        <v>8</v>
      </c>
      <c r="BV106" s="273">
        <v>136</v>
      </c>
      <c r="BW106" s="273">
        <v>79.760000000000005</v>
      </c>
      <c r="BX106" s="272">
        <f t="shared" si="7"/>
        <v>21</v>
      </c>
      <c r="BY106" s="272">
        <f t="shared" si="7"/>
        <v>364</v>
      </c>
      <c r="BZ106" s="272">
        <f t="shared" si="8"/>
        <v>215.44</v>
      </c>
      <c r="CA106" s="273"/>
      <c r="CB106" s="273"/>
      <c r="CC106" s="273"/>
      <c r="CD106" s="273"/>
      <c r="CE106" s="273"/>
      <c r="CF106" s="273"/>
      <c r="CG106" s="273"/>
      <c r="CH106" s="273"/>
      <c r="CI106" s="273"/>
      <c r="CJ106" s="273"/>
      <c r="CK106" s="273"/>
      <c r="CL106" s="273"/>
      <c r="CM106" s="273"/>
      <c r="CN106" s="273"/>
      <c r="CO106" s="273"/>
      <c r="CP106" s="273"/>
      <c r="CQ106" s="273"/>
      <c r="CR106" s="273"/>
      <c r="CS106" s="273">
        <v>5</v>
      </c>
      <c r="CT106" s="273">
        <v>94</v>
      </c>
      <c r="CU106" s="273">
        <v>52.88</v>
      </c>
      <c r="CV106" s="273"/>
      <c r="CW106" s="273"/>
      <c r="CX106" s="273"/>
      <c r="CY106" s="273"/>
      <c r="CZ106" s="273"/>
      <c r="DA106" s="273"/>
      <c r="DB106" s="273">
        <v>5</v>
      </c>
      <c r="DC106" s="273">
        <v>70</v>
      </c>
      <c r="DD106" s="273">
        <v>44.8</v>
      </c>
      <c r="DE106" s="273"/>
      <c r="DF106" s="271"/>
      <c r="DG106" s="271"/>
      <c r="DH106" s="272">
        <f t="shared" si="6"/>
        <v>31</v>
      </c>
      <c r="DI106" s="272">
        <f t="shared" si="6"/>
        <v>528</v>
      </c>
      <c r="DJ106" s="324">
        <f t="shared" si="6"/>
        <v>313.12</v>
      </c>
      <c r="DK106" s="325"/>
      <c r="DL106" s="325"/>
    </row>
    <row r="107" spans="1:116" s="275" customFormat="1" ht="20.100000000000001" customHeight="1" x14ac:dyDescent="0.6">
      <c r="A107" s="234">
        <v>104</v>
      </c>
      <c r="B107" s="103" t="s">
        <v>612</v>
      </c>
      <c r="C107" s="103" t="s">
        <v>613</v>
      </c>
      <c r="D107" s="103" t="s">
        <v>337</v>
      </c>
      <c r="E107" s="148" t="s">
        <v>338</v>
      </c>
      <c r="F107" s="179" t="s">
        <v>591</v>
      </c>
      <c r="G107" s="322"/>
      <c r="H107" s="323"/>
      <c r="I107" s="322" t="s">
        <v>1045</v>
      </c>
      <c r="J107" s="322" t="s">
        <v>1023</v>
      </c>
      <c r="K107" s="241"/>
      <c r="L107" s="24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>
        <v>4</v>
      </c>
      <c r="AC107" s="271">
        <v>50</v>
      </c>
      <c r="AD107" s="271">
        <v>44.96</v>
      </c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/>
      <c r="AO107" s="271"/>
      <c r="AP107" s="271"/>
      <c r="AQ107" s="272">
        <f t="shared" si="9"/>
        <v>4</v>
      </c>
      <c r="AR107" s="272">
        <f t="shared" si="9"/>
        <v>50</v>
      </c>
      <c r="AS107" s="272">
        <f t="shared" si="9"/>
        <v>44.96</v>
      </c>
      <c r="AT107" s="273"/>
      <c r="AU107" s="273"/>
      <c r="AV107" s="273"/>
      <c r="AW107" s="273"/>
      <c r="AX107" s="273"/>
      <c r="AY107" s="273"/>
      <c r="AZ107" s="273">
        <v>3</v>
      </c>
      <c r="BA107" s="273">
        <v>36</v>
      </c>
      <c r="BB107" s="273">
        <v>36</v>
      </c>
      <c r="BC107" s="273"/>
      <c r="BD107" s="273"/>
      <c r="BE107" s="273"/>
      <c r="BF107" s="273"/>
      <c r="BG107" s="273"/>
      <c r="BH107" s="273"/>
      <c r="BI107" s="273"/>
      <c r="BJ107" s="273"/>
      <c r="BK107" s="273"/>
      <c r="BL107" s="273"/>
      <c r="BM107" s="273"/>
      <c r="BN107" s="273"/>
      <c r="BO107" s="273"/>
      <c r="BP107" s="273"/>
      <c r="BQ107" s="273"/>
      <c r="BR107" s="273"/>
      <c r="BS107" s="273"/>
      <c r="BT107" s="273"/>
      <c r="BU107" s="273">
        <v>2</v>
      </c>
      <c r="BV107" s="273">
        <v>24</v>
      </c>
      <c r="BW107" s="273">
        <v>24</v>
      </c>
      <c r="BX107" s="272">
        <f t="shared" si="7"/>
        <v>9</v>
      </c>
      <c r="BY107" s="272">
        <f t="shared" si="7"/>
        <v>110</v>
      </c>
      <c r="BZ107" s="272">
        <f t="shared" si="8"/>
        <v>104.96000000000001</v>
      </c>
      <c r="CA107" s="273"/>
      <c r="CB107" s="273"/>
      <c r="CC107" s="273"/>
      <c r="CD107" s="273"/>
      <c r="CE107" s="273"/>
      <c r="CF107" s="273"/>
      <c r="CG107" s="273"/>
      <c r="CH107" s="273"/>
      <c r="CI107" s="273"/>
      <c r="CJ107" s="273"/>
      <c r="CK107" s="273"/>
      <c r="CL107" s="273"/>
      <c r="CM107" s="273"/>
      <c r="CN107" s="273"/>
      <c r="CO107" s="273"/>
      <c r="CP107" s="273"/>
      <c r="CQ107" s="273"/>
      <c r="CR107" s="273"/>
      <c r="CS107" s="273">
        <v>3</v>
      </c>
      <c r="CT107" s="273">
        <v>36</v>
      </c>
      <c r="CU107" s="273">
        <v>36</v>
      </c>
      <c r="CV107" s="273"/>
      <c r="CW107" s="273"/>
      <c r="CX107" s="273"/>
      <c r="CY107" s="273"/>
      <c r="CZ107" s="273"/>
      <c r="DA107" s="273"/>
      <c r="DB107" s="273"/>
      <c r="DC107" s="273"/>
      <c r="DD107" s="273"/>
      <c r="DE107" s="273"/>
      <c r="DF107" s="271"/>
      <c r="DG107" s="271"/>
      <c r="DH107" s="272">
        <f t="shared" si="6"/>
        <v>12</v>
      </c>
      <c r="DI107" s="272">
        <f t="shared" si="6"/>
        <v>146</v>
      </c>
      <c r="DJ107" s="324">
        <f t="shared" si="6"/>
        <v>140.96</v>
      </c>
      <c r="DK107" s="325"/>
      <c r="DL107" s="325"/>
    </row>
    <row r="108" spans="1:116" s="275" customFormat="1" ht="20.100000000000001" customHeight="1" x14ac:dyDescent="0.6">
      <c r="A108" s="234">
        <v>105</v>
      </c>
      <c r="B108" s="103" t="s">
        <v>614</v>
      </c>
      <c r="C108" s="103" t="s">
        <v>614</v>
      </c>
      <c r="D108" s="103" t="s">
        <v>337</v>
      </c>
      <c r="E108" s="148" t="s">
        <v>338</v>
      </c>
      <c r="F108" s="179" t="s">
        <v>591</v>
      </c>
      <c r="G108" s="322"/>
      <c r="H108" s="323"/>
      <c r="I108" s="322" t="s">
        <v>1046</v>
      </c>
      <c r="J108" s="322" t="s">
        <v>1023</v>
      </c>
      <c r="K108" s="241"/>
      <c r="L108" s="24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>
        <v>5</v>
      </c>
      <c r="AC108" s="271">
        <v>62</v>
      </c>
      <c r="AD108" s="271">
        <v>56.96</v>
      </c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/>
      <c r="AO108" s="271"/>
      <c r="AP108" s="271"/>
      <c r="AQ108" s="272">
        <f t="shared" si="9"/>
        <v>5</v>
      </c>
      <c r="AR108" s="272">
        <f t="shared" si="9"/>
        <v>62</v>
      </c>
      <c r="AS108" s="272">
        <f t="shared" si="9"/>
        <v>56.96</v>
      </c>
      <c r="AT108" s="273"/>
      <c r="AU108" s="273"/>
      <c r="AV108" s="273"/>
      <c r="AW108" s="273"/>
      <c r="AX108" s="273"/>
      <c r="AY108" s="273"/>
      <c r="AZ108" s="273">
        <v>6</v>
      </c>
      <c r="BA108" s="273">
        <v>100</v>
      </c>
      <c r="BB108" s="273">
        <v>74</v>
      </c>
      <c r="BC108" s="273"/>
      <c r="BD108" s="273"/>
      <c r="BE108" s="273"/>
      <c r="BF108" s="273">
        <v>10</v>
      </c>
      <c r="BG108" s="273">
        <v>120</v>
      </c>
      <c r="BH108" s="273">
        <v>120</v>
      </c>
      <c r="BI108" s="273"/>
      <c r="BJ108" s="273"/>
      <c r="BK108" s="273"/>
      <c r="BL108" s="273"/>
      <c r="BM108" s="273"/>
      <c r="BN108" s="273"/>
      <c r="BO108" s="273"/>
      <c r="BP108" s="273"/>
      <c r="BQ108" s="273"/>
      <c r="BR108" s="273"/>
      <c r="BS108" s="273"/>
      <c r="BT108" s="273"/>
      <c r="BU108" s="273"/>
      <c r="BV108" s="273"/>
      <c r="BW108" s="273"/>
      <c r="BX108" s="272">
        <f t="shared" si="7"/>
        <v>21</v>
      </c>
      <c r="BY108" s="272">
        <f t="shared" si="7"/>
        <v>282</v>
      </c>
      <c r="BZ108" s="272">
        <f t="shared" si="8"/>
        <v>250.96</v>
      </c>
      <c r="CA108" s="273"/>
      <c r="CB108" s="273"/>
      <c r="CC108" s="273"/>
      <c r="CD108" s="273"/>
      <c r="CE108" s="273"/>
      <c r="CF108" s="273"/>
      <c r="CG108" s="273"/>
      <c r="CH108" s="273"/>
      <c r="CI108" s="273"/>
      <c r="CJ108" s="273"/>
      <c r="CK108" s="273"/>
      <c r="CL108" s="273"/>
      <c r="CM108" s="273"/>
      <c r="CN108" s="273"/>
      <c r="CO108" s="273"/>
      <c r="CP108" s="273"/>
      <c r="CQ108" s="273"/>
      <c r="CR108" s="273"/>
      <c r="CS108" s="273">
        <v>5</v>
      </c>
      <c r="CT108" s="273">
        <v>60</v>
      </c>
      <c r="CU108" s="273">
        <v>60</v>
      </c>
      <c r="CV108" s="273"/>
      <c r="CW108" s="273"/>
      <c r="CX108" s="273"/>
      <c r="CY108" s="273"/>
      <c r="CZ108" s="273"/>
      <c r="DA108" s="273"/>
      <c r="DB108" s="273"/>
      <c r="DC108" s="273"/>
      <c r="DD108" s="273"/>
      <c r="DE108" s="273"/>
      <c r="DF108" s="271"/>
      <c r="DG108" s="271"/>
      <c r="DH108" s="272">
        <f t="shared" si="6"/>
        <v>26</v>
      </c>
      <c r="DI108" s="272">
        <f t="shared" si="6"/>
        <v>342</v>
      </c>
      <c r="DJ108" s="324">
        <f t="shared" si="6"/>
        <v>310.96000000000004</v>
      </c>
      <c r="DK108" s="325"/>
      <c r="DL108" s="325"/>
    </row>
    <row r="109" spans="1:116" s="275" customFormat="1" ht="20.100000000000001" customHeight="1" x14ac:dyDescent="0.6">
      <c r="A109" s="234">
        <v>106</v>
      </c>
      <c r="B109" s="103" t="s">
        <v>615</v>
      </c>
      <c r="C109" s="103" t="s">
        <v>616</v>
      </c>
      <c r="D109" s="103" t="s">
        <v>297</v>
      </c>
      <c r="E109" s="148" t="s">
        <v>298</v>
      </c>
      <c r="F109" s="179" t="s">
        <v>591</v>
      </c>
      <c r="G109" s="322"/>
      <c r="H109" s="323"/>
      <c r="I109" s="322" t="s">
        <v>1047</v>
      </c>
      <c r="J109" s="322" t="s">
        <v>1023</v>
      </c>
      <c r="K109" s="241"/>
      <c r="L109" s="24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>
        <v>30</v>
      </c>
      <c r="AI109" s="271">
        <v>370</v>
      </c>
      <c r="AJ109" s="271">
        <v>344.8</v>
      </c>
      <c r="AK109" s="271"/>
      <c r="AL109" s="271"/>
      <c r="AM109" s="271"/>
      <c r="AN109" s="271">
        <v>10</v>
      </c>
      <c r="AO109" s="271">
        <v>120</v>
      </c>
      <c r="AP109" s="271">
        <v>120</v>
      </c>
      <c r="AQ109" s="272">
        <f t="shared" si="9"/>
        <v>40</v>
      </c>
      <c r="AR109" s="272">
        <f t="shared" si="9"/>
        <v>490</v>
      </c>
      <c r="AS109" s="272">
        <f t="shared" si="9"/>
        <v>464.8</v>
      </c>
      <c r="AT109" s="273"/>
      <c r="AU109" s="273"/>
      <c r="AV109" s="273"/>
      <c r="AW109" s="273"/>
      <c r="AX109" s="273"/>
      <c r="AY109" s="273"/>
      <c r="AZ109" s="273"/>
      <c r="BA109" s="273"/>
      <c r="BB109" s="273"/>
      <c r="BC109" s="273">
        <v>16</v>
      </c>
      <c r="BD109" s="273">
        <v>212</v>
      </c>
      <c r="BE109" s="273">
        <v>137.6</v>
      </c>
      <c r="BF109" s="273"/>
      <c r="BG109" s="273"/>
      <c r="BH109" s="273"/>
      <c r="BI109" s="273"/>
      <c r="BJ109" s="273"/>
      <c r="BK109" s="273"/>
      <c r="BL109" s="273"/>
      <c r="BM109" s="273"/>
      <c r="BN109" s="273"/>
      <c r="BO109" s="273"/>
      <c r="BP109" s="273"/>
      <c r="BQ109" s="273"/>
      <c r="BR109" s="273"/>
      <c r="BS109" s="273"/>
      <c r="BT109" s="273"/>
      <c r="BU109" s="273"/>
      <c r="BV109" s="273"/>
      <c r="BW109" s="273"/>
      <c r="BX109" s="272">
        <f t="shared" si="7"/>
        <v>56</v>
      </c>
      <c r="BY109" s="272">
        <f t="shared" si="7"/>
        <v>702</v>
      </c>
      <c r="BZ109" s="272">
        <f t="shared" si="8"/>
        <v>602.4</v>
      </c>
      <c r="CA109" s="273">
        <v>25</v>
      </c>
      <c r="CB109" s="273">
        <v>300</v>
      </c>
      <c r="CC109" s="273">
        <v>276</v>
      </c>
      <c r="CD109" s="273"/>
      <c r="CE109" s="273"/>
      <c r="CF109" s="273"/>
      <c r="CG109" s="273"/>
      <c r="CH109" s="273"/>
      <c r="CI109" s="273"/>
      <c r="CJ109" s="273"/>
      <c r="CK109" s="273"/>
      <c r="CL109" s="273"/>
      <c r="CM109" s="273"/>
      <c r="CN109" s="273"/>
      <c r="CO109" s="273"/>
      <c r="CP109" s="273"/>
      <c r="CQ109" s="273"/>
      <c r="CR109" s="273"/>
      <c r="CS109" s="273"/>
      <c r="CT109" s="273"/>
      <c r="CU109" s="273"/>
      <c r="CV109" s="273"/>
      <c r="CW109" s="273"/>
      <c r="CX109" s="273"/>
      <c r="CY109" s="273"/>
      <c r="CZ109" s="273"/>
      <c r="DA109" s="273"/>
      <c r="DB109" s="273">
        <v>20</v>
      </c>
      <c r="DC109" s="273">
        <v>240</v>
      </c>
      <c r="DD109" s="273">
        <v>240</v>
      </c>
      <c r="DE109" s="273"/>
      <c r="DF109" s="271"/>
      <c r="DG109" s="271"/>
      <c r="DH109" s="272">
        <f t="shared" si="6"/>
        <v>101</v>
      </c>
      <c r="DI109" s="272">
        <f t="shared" si="6"/>
        <v>1242</v>
      </c>
      <c r="DJ109" s="324">
        <f t="shared" si="6"/>
        <v>1118.4000000000001</v>
      </c>
      <c r="DK109" s="325"/>
      <c r="DL109" s="325"/>
    </row>
    <row r="110" spans="1:116" s="275" customFormat="1" ht="20.100000000000001" customHeight="1" x14ac:dyDescent="0.6">
      <c r="A110" s="234">
        <v>107</v>
      </c>
      <c r="B110" s="103" t="s">
        <v>617</v>
      </c>
      <c r="C110" s="103" t="s">
        <v>618</v>
      </c>
      <c r="D110" s="103" t="s">
        <v>297</v>
      </c>
      <c r="E110" s="148" t="s">
        <v>298</v>
      </c>
      <c r="F110" s="179" t="s">
        <v>591</v>
      </c>
      <c r="G110" s="322"/>
      <c r="H110" s="323"/>
      <c r="I110" s="322" t="s">
        <v>1048</v>
      </c>
      <c r="J110" s="322" t="s">
        <v>1023</v>
      </c>
      <c r="K110" s="241"/>
      <c r="L110" s="24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>
        <v>14</v>
      </c>
      <c r="AF110" s="271">
        <v>206</v>
      </c>
      <c r="AG110" s="271">
        <v>154.80000000000001</v>
      </c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2">
        <f t="shared" si="9"/>
        <v>14</v>
      </c>
      <c r="AR110" s="272">
        <f t="shared" si="9"/>
        <v>206</v>
      </c>
      <c r="AS110" s="272">
        <f t="shared" si="9"/>
        <v>154.80000000000001</v>
      </c>
      <c r="AT110" s="273"/>
      <c r="AU110" s="273"/>
      <c r="AV110" s="273"/>
      <c r="AW110" s="273"/>
      <c r="AX110" s="273"/>
      <c r="AY110" s="273"/>
      <c r="AZ110" s="273"/>
      <c r="BA110" s="273"/>
      <c r="BB110" s="273"/>
      <c r="BC110" s="273">
        <v>7</v>
      </c>
      <c r="BD110" s="273">
        <v>112</v>
      </c>
      <c r="BE110" s="273">
        <v>86</v>
      </c>
      <c r="BF110" s="273"/>
      <c r="BG110" s="273"/>
      <c r="BH110" s="273"/>
      <c r="BI110" s="273"/>
      <c r="BJ110" s="273"/>
      <c r="BK110" s="273"/>
      <c r="BL110" s="273"/>
      <c r="BM110" s="273"/>
      <c r="BN110" s="273"/>
      <c r="BO110" s="273"/>
      <c r="BP110" s="273"/>
      <c r="BQ110" s="273"/>
      <c r="BR110" s="273"/>
      <c r="BS110" s="273"/>
      <c r="BT110" s="273"/>
      <c r="BU110" s="273"/>
      <c r="BV110" s="273"/>
      <c r="BW110" s="273"/>
      <c r="BX110" s="272">
        <f t="shared" ref="BX110:BY136" si="10">+BU110+BR110+BO110+BL110+BI110+BF110+BC110+AZ110+AW110+AT110+AQ110</f>
        <v>21</v>
      </c>
      <c r="BY110" s="272">
        <f t="shared" si="10"/>
        <v>318</v>
      </c>
      <c r="BZ110" s="272">
        <f t="shared" si="8"/>
        <v>240.8</v>
      </c>
      <c r="CA110" s="273">
        <v>8</v>
      </c>
      <c r="CB110" s="273">
        <v>152</v>
      </c>
      <c r="CC110" s="273">
        <v>100</v>
      </c>
      <c r="CD110" s="273"/>
      <c r="CE110" s="273"/>
      <c r="CF110" s="273"/>
      <c r="CG110" s="273"/>
      <c r="CH110" s="273"/>
      <c r="CI110" s="273"/>
      <c r="CJ110" s="273"/>
      <c r="CK110" s="273"/>
      <c r="CL110" s="273"/>
      <c r="CM110" s="273"/>
      <c r="CN110" s="273"/>
      <c r="CO110" s="273"/>
      <c r="CP110" s="273"/>
      <c r="CQ110" s="273"/>
      <c r="CR110" s="273"/>
      <c r="CS110" s="273"/>
      <c r="CT110" s="273"/>
      <c r="CU110" s="273"/>
      <c r="CV110" s="273"/>
      <c r="CW110" s="273"/>
      <c r="CX110" s="273"/>
      <c r="CY110" s="273"/>
      <c r="CZ110" s="273"/>
      <c r="DA110" s="273"/>
      <c r="DB110" s="273"/>
      <c r="DC110" s="273"/>
      <c r="DD110" s="273"/>
      <c r="DE110" s="273">
        <v>20</v>
      </c>
      <c r="DF110" s="271">
        <v>240</v>
      </c>
      <c r="DG110" s="271">
        <v>240</v>
      </c>
      <c r="DH110" s="272">
        <f t="shared" si="6"/>
        <v>49</v>
      </c>
      <c r="DI110" s="272">
        <f t="shared" si="6"/>
        <v>710</v>
      </c>
      <c r="DJ110" s="324">
        <f t="shared" si="6"/>
        <v>580.79999999999995</v>
      </c>
      <c r="DK110" s="325"/>
      <c r="DL110" s="325"/>
    </row>
    <row r="111" spans="1:116" s="275" customFormat="1" ht="20.100000000000001" customHeight="1" x14ac:dyDescent="0.6">
      <c r="A111" s="234">
        <v>108</v>
      </c>
      <c r="B111" s="103" t="s">
        <v>619</v>
      </c>
      <c r="C111" s="103" t="s">
        <v>620</v>
      </c>
      <c r="D111" s="103" t="s">
        <v>297</v>
      </c>
      <c r="E111" s="148" t="s">
        <v>298</v>
      </c>
      <c r="F111" s="179" t="s">
        <v>591</v>
      </c>
      <c r="G111" s="322"/>
      <c r="H111" s="323"/>
      <c r="I111" s="322" t="s">
        <v>1049</v>
      </c>
      <c r="J111" s="322" t="s">
        <v>1023</v>
      </c>
      <c r="K111" s="241"/>
      <c r="L111" s="24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  <c r="AE111" s="271">
        <v>4</v>
      </c>
      <c r="AF111" s="271">
        <v>48</v>
      </c>
      <c r="AG111" s="271">
        <v>48</v>
      </c>
      <c r="AH111" s="271"/>
      <c r="AI111" s="271"/>
      <c r="AJ111" s="271"/>
      <c r="AK111" s="271"/>
      <c r="AL111" s="271"/>
      <c r="AM111" s="271"/>
      <c r="AN111" s="271"/>
      <c r="AO111" s="271"/>
      <c r="AP111" s="271"/>
      <c r="AQ111" s="272">
        <f t="shared" si="9"/>
        <v>4</v>
      </c>
      <c r="AR111" s="272">
        <f t="shared" si="9"/>
        <v>48</v>
      </c>
      <c r="AS111" s="272">
        <f t="shared" si="9"/>
        <v>48</v>
      </c>
      <c r="AT111" s="273"/>
      <c r="AU111" s="273"/>
      <c r="AV111" s="273"/>
      <c r="AW111" s="273"/>
      <c r="AX111" s="273"/>
      <c r="AY111" s="273"/>
      <c r="AZ111" s="273"/>
      <c r="BA111" s="273"/>
      <c r="BB111" s="273"/>
      <c r="BC111" s="273">
        <v>6</v>
      </c>
      <c r="BD111" s="273">
        <v>100</v>
      </c>
      <c r="BE111" s="273">
        <v>69.2</v>
      </c>
      <c r="BF111" s="273"/>
      <c r="BG111" s="273"/>
      <c r="BH111" s="273"/>
      <c r="BI111" s="273"/>
      <c r="BJ111" s="273"/>
      <c r="BK111" s="273"/>
      <c r="BL111" s="273"/>
      <c r="BM111" s="273"/>
      <c r="BN111" s="273"/>
      <c r="BO111" s="273"/>
      <c r="BP111" s="273"/>
      <c r="BQ111" s="273"/>
      <c r="BR111" s="273"/>
      <c r="BS111" s="273"/>
      <c r="BT111" s="273"/>
      <c r="BU111" s="273"/>
      <c r="BV111" s="273"/>
      <c r="BW111" s="273"/>
      <c r="BX111" s="272">
        <f t="shared" si="10"/>
        <v>10</v>
      </c>
      <c r="BY111" s="272">
        <f t="shared" si="10"/>
        <v>148</v>
      </c>
      <c r="BZ111" s="272">
        <f t="shared" si="8"/>
        <v>117.2</v>
      </c>
      <c r="CA111" s="273"/>
      <c r="CB111" s="273"/>
      <c r="CC111" s="273"/>
      <c r="CD111" s="273"/>
      <c r="CE111" s="273"/>
      <c r="CF111" s="273"/>
      <c r="CG111" s="273"/>
      <c r="CH111" s="273"/>
      <c r="CI111" s="273"/>
      <c r="CJ111" s="273"/>
      <c r="CK111" s="273"/>
      <c r="CL111" s="273"/>
      <c r="CM111" s="273"/>
      <c r="CN111" s="273"/>
      <c r="CO111" s="273"/>
      <c r="CP111" s="273"/>
      <c r="CQ111" s="273"/>
      <c r="CR111" s="273"/>
      <c r="CS111" s="273"/>
      <c r="CT111" s="273"/>
      <c r="CU111" s="273"/>
      <c r="CV111" s="273">
        <v>5</v>
      </c>
      <c r="CW111" s="273">
        <v>60</v>
      </c>
      <c r="CX111" s="273">
        <v>60</v>
      </c>
      <c r="CY111" s="273"/>
      <c r="CZ111" s="273"/>
      <c r="DA111" s="273"/>
      <c r="DB111" s="273"/>
      <c r="DC111" s="273"/>
      <c r="DD111" s="273"/>
      <c r="DE111" s="273"/>
      <c r="DF111" s="271"/>
      <c r="DG111" s="271"/>
      <c r="DH111" s="272">
        <f t="shared" si="6"/>
        <v>15</v>
      </c>
      <c r="DI111" s="272">
        <f t="shared" si="6"/>
        <v>208</v>
      </c>
      <c r="DJ111" s="324">
        <f t="shared" si="6"/>
        <v>177.2</v>
      </c>
      <c r="DK111" s="325"/>
      <c r="DL111" s="325"/>
    </row>
    <row r="112" spans="1:116" s="275" customFormat="1" ht="20.100000000000001" customHeight="1" x14ac:dyDescent="0.6">
      <c r="A112" s="234">
        <v>109</v>
      </c>
      <c r="B112" s="103" t="s">
        <v>621</v>
      </c>
      <c r="C112" s="103" t="s">
        <v>622</v>
      </c>
      <c r="D112" s="103" t="s">
        <v>297</v>
      </c>
      <c r="E112" s="148" t="s">
        <v>298</v>
      </c>
      <c r="F112" s="179" t="s">
        <v>591</v>
      </c>
      <c r="G112" s="322"/>
      <c r="H112" s="323"/>
      <c r="I112" s="322" t="s">
        <v>1050</v>
      </c>
      <c r="J112" s="322" t="s">
        <v>1051</v>
      </c>
      <c r="K112" s="241"/>
      <c r="L112" s="24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  <c r="AO112" s="271"/>
      <c r="AP112" s="271"/>
      <c r="AQ112" s="272">
        <f t="shared" si="9"/>
        <v>0</v>
      </c>
      <c r="AR112" s="272">
        <f t="shared" si="9"/>
        <v>0</v>
      </c>
      <c r="AS112" s="272">
        <f t="shared" si="9"/>
        <v>0</v>
      </c>
      <c r="AT112" s="273"/>
      <c r="AU112" s="273"/>
      <c r="AV112" s="273"/>
      <c r="AW112" s="273"/>
      <c r="AX112" s="273"/>
      <c r="AY112" s="273"/>
      <c r="AZ112" s="273"/>
      <c r="BA112" s="273"/>
      <c r="BB112" s="273"/>
      <c r="BC112" s="273"/>
      <c r="BD112" s="273"/>
      <c r="BE112" s="273"/>
      <c r="BF112" s="273"/>
      <c r="BG112" s="273"/>
      <c r="BH112" s="273"/>
      <c r="BI112" s="273"/>
      <c r="BJ112" s="273"/>
      <c r="BK112" s="273"/>
      <c r="BL112" s="273"/>
      <c r="BM112" s="273"/>
      <c r="BN112" s="273"/>
      <c r="BO112" s="273"/>
      <c r="BP112" s="273"/>
      <c r="BQ112" s="273"/>
      <c r="BR112" s="273"/>
      <c r="BS112" s="273"/>
      <c r="BT112" s="273"/>
      <c r="BU112" s="273"/>
      <c r="BV112" s="273"/>
      <c r="BW112" s="273"/>
      <c r="BX112" s="272">
        <f t="shared" si="10"/>
        <v>0</v>
      </c>
      <c r="BY112" s="272">
        <f t="shared" si="10"/>
        <v>0</v>
      </c>
      <c r="BZ112" s="272">
        <f t="shared" si="8"/>
        <v>0</v>
      </c>
      <c r="CA112" s="273"/>
      <c r="CB112" s="273"/>
      <c r="CC112" s="273"/>
      <c r="CD112" s="273"/>
      <c r="CE112" s="273"/>
      <c r="CF112" s="273"/>
      <c r="CG112" s="273"/>
      <c r="CH112" s="273"/>
      <c r="CI112" s="273"/>
      <c r="CJ112" s="273"/>
      <c r="CK112" s="273"/>
      <c r="CL112" s="273"/>
      <c r="CM112" s="273"/>
      <c r="CN112" s="273"/>
      <c r="CO112" s="273"/>
      <c r="CP112" s="273"/>
      <c r="CQ112" s="273"/>
      <c r="CR112" s="273"/>
      <c r="CS112" s="273"/>
      <c r="CT112" s="273"/>
      <c r="CU112" s="273"/>
      <c r="CV112" s="273"/>
      <c r="CW112" s="273"/>
      <c r="CX112" s="273"/>
      <c r="CY112" s="273"/>
      <c r="CZ112" s="273"/>
      <c r="DA112" s="273"/>
      <c r="DB112" s="273"/>
      <c r="DC112" s="273"/>
      <c r="DD112" s="273"/>
      <c r="DE112" s="273"/>
      <c r="DF112" s="271"/>
      <c r="DG112" s="271"/>
      <c r="DH112" s="272">
        <f t="shared" si="6"/>
        <v>0</v>
      </c>
      <c r="DI112" s="272">
        <f t="shared" si="6"/>
        <v>0</v>
      </c>
      <c r="DJ112" s="324">
        <f t="shared" si="6"/>
        <v>0</v>
      </c>
      <c r="DK112" s="325"/>
      <c r="DL112" s="325"/>
    </row>
    <row r="113" spans="1:116" s="275" customFormat="1" ht="20.100000000000001" customHeight="1" x14ac:dyDescent="0.6">
      <c r="A113" s="234">
        <v>110</v>
      </c>
      <c r="B113" s="103">
        <v>99</v>
      </c>
      <c r="C113" s="103">
        <v>99</v>
      </c>
      <c r="D113" s="103" t="s">
        <v>297</v>
      </c>
      <c r="E113" s="148" t="s">
        <v>298</v>
      </c>
      <c r="F113" s="179" t="s">
        <v>591</v>
      </c>
      <c r="G113" s="322"/>
      <c r="H113" s="323"/>
      <c r="I113" s="322" t="s">
        <v>1052</v>
      </c>
      <c r="J113" s="322" t="s">
        <v>1051</v>
      </c>
      <c r="K113" s="241"/>
      <c r="L113" s="24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  <c r="AE113" s="271">
        <v>7</v>
      </c>
      <c r="AF113" s="271">
        <v>144</v>
      </c>
      <c r="AG113" s="271">
        <v>78.319999999999993</v>
      </c>
      <c r="AH113" s="271"/>
      <c r="AI113" s="271"/>
      <c r="AJ113" s="271"/>
      <c r="AK113" s="271"/>
      <c r="AL113" s="271"/>
      <c r="AM113" s="271"/>
      <c r="AN113" s="271">
        <v>10</v>
      </c>
      <c r="AO113" s="271">
        <v>120</v>
      </c>
      <c r="AP113" s="271">
        <v>120</v>
      </c>
      <c r="AQ113" s="272">
        <f t="shared" si="9"/>
        <v>17</v>
      </c>
      <c r="AR113" s="272">
        <f t="shared" si="9"/>
        <v>264</v>
      </c>
      <c r="AS113" s="272">
        <f t="shared" si="9"/>
        <v>198.32</v>
      </c>
      <c r="AT113" s="273"/>
      <c r="AU113" s="273"/>
      <c r="AV113" s="273"/>
      <c r="AW113" s="273"/>
      <c r="AX113" s="273"/>
      <c r="AY113" s="273"/>
      <c r="AZ113" s="273"/>
      <c r="BA113" s="273"/>
      <c r="BB113" s="273"/>
      <c r="BC113" s="273">
        <v>10</v>
      </c>
      <c r="BD113" s="273">
        <v>124</v>
      </c>
      <c r="BE113" s="273">
        <v>113.92</v>
      </c>
      <c r="BF113" s="273"/>
      <c r="BG113" s="273"/>
      <c r="BH113" s="273"/>
      <c r="BI113" s="273"/>
      <c r="BJ113" s="273"/>
      <c r="BK113" s="273"/>
      <c r="BL113" s="273"/>
      <c r="BM113" s="273"/>
      <c r="BN113" s="273"/>
      <c r="BO113" s="273"/>
      <c r="BP113" s="273"/>
      <c r="BQ113" s="273"/>
      <c r="BR113" s="273"/>
      <c r="BS113" s="273"/>
      <c r="BT113" s="273"/>
      <c r="BU113" s="273"/>
      <c r="BV113" s="273"/>
      <c r="BW113" s="273"/>
      <c r="BX113" s="272">
        <f t="shared" si="10"/>
        <v>27</v>
      </c>
      <c r="BY113" s="272">
        <f t="shared" si="10"/>
        <v>388</v>
      </c>
      <c r="BZ113" s="272">
        <f t="shared" si="8"/>
        <v>312.24</v>
      </c>
      <c r="CA113" s="273">
        <v>30</v>
      </c>
      <c r="CB113" s="273">
        <v>362</v>
      </c>
      <c r="CC113" s="273">
        <v>338.96</v>
      </c>
      <c r="CD113" s="273"/>
      <c r="CE113" s="273"/>
      <c r="CF113" s="273"/>
      <c r="CG113" s="273"/>
      <c r="CH113" s="273"/>
      <c r="CI113" s="273"/>
      <c r="CJ113" s="273"/>
      <c r="CK113" s="273"/>
      <c r="CL113" s="273"/>
      <c r="CM113" s="273"/>
      <c r="CN113" s="273"/>
      <c r="CO113" s="273"/>
      <c r="CP113" s="273"/>
      <c r="CQ113" s="273"/>
      <c r="CR113" s="273"/>
      <c r="CS113" s="273"/>
      <c r="CT113" s="273"/>
      <c r="CU113" s="273"/>
      <c r="CV113" s="273">
        <v>1</v>
      </c>
      <c r="CW113" s="273">
        <v>40</v>
      </c>
      <c r="CX113" s="273">
        <v>14</v>
      </c>
      <c r="CY113" s="273"/>
      <c r="CZ113" s="273"/>
      <c r="DA113" s="273"/>
      <c r="DB113" s="273">
        <v>15</v>
      </c>
      <c r="DC113" s="273">
        <v>180</v>
      </c>
      <c r="DD113" s="273">
        <v>180</v>
      </c>
      <c r="DE113" s="273"/>
      <c r="DF113" s="271"/>
      <c r="DG113" s="271"/>
      <c r="DH113" s="272">
        <f t="shared" si="6"/>
        <v>73</v>
      </c>
      <c r="DI113" s="272">
        <f t="shared" si="6"/>
        <v>970</v>
      </c>
      <c r="DJ113" s="324">
        <f t="shared" si="6"/>
        <v>845.2</v>
      </c>
      <c r="DK113" s="325"/>
      <c r="DL113" s="325"/>
    </row>
    <row r="114" spans="1:116" s="275" customFormat="1" ht="20.100000000000001" customHeight="1" x14ac:dyDescent="0.6">
      <c r="A114" s="234">
        <v>111</v>
      </c>
      <c r="B114" s="103" t="s">
        <v>623</v>
      </c>
      <c r="C114" s="103" t="s">
        <v>624</v>
      </c>
      <c r="D114" s="103" t="s">
        <v>625</v>
      </c>
      <c r="E114" s="148" t="s">
        <v>313</v>
      </c>
      <c r="F114" s="179" t="s">
        <v>591</v>
      </c>
      <c r="G114" s="322"/>
      <c r="H114" s="323"/>
      <c r="I114" s="322" t="s">
        <v>1053</v>
      </c>
      <c r="J114" s="322" t="s">
        <v>1051</v>
      </c>
      <c r="K114" s="241"/>
      <c r="L114" s="241"/>
      <c r="M114" s="271"/>
      <c r="N114" s="271"/>
      <c r="O114" s="271"/>
      <c r="P114" s="271"/>
      <c r="Q114" s="271"/>
      <c r="R114" s="271"/>
      <c r="S114" s="271">
        <v>10</v>
      </c>
      <c r="T114" s="271">
        <v>120</v>
      </c>
      <c r="U114" s="271">
        <v>120</v>
      </c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2">
        <f t="shared" si="9"/>
        <v>10</v>
      </c>
      <c r="AR114" s="272">
        <f t="shared" si="9"/>
        <v>120</v>
      </c>
      <c r="AS114" s="272">
        <f t="shared" si="9"/>
        <v>120</v>
      </c>
      <c r="AT114" s="273"/>
      <c r="AU114" s="273"/>
      <c r="AV114" s="273"/>
      <c r="AW114" s="273"/>
      <c r="AX114" s="273"/>
      <c r="AY114" s="273"/>
      <c r="AZ114" s="273"/>
      <c r="BA114" s="273"/>
      <c r="BB114" s="273"/>
      <c r="BC114" s="273"/>
      <c r="BD114" s="273"/>
      <c r="BE114" s="273"/>
      <c r="BF114" s="273">
        <v>10</v>
      </c>
      <c r="BG114" s="273">
        <v>120</v>
      </c>
      <c r="BH114" s="273">
        <v>120</v>
      </c>
      <c r="BI114" s="273"/>
      <c r="BJ114" s="273"/>
      <c r="BK114" s="273"/>
      <c r="BL114" s="273">
        <v>10</v>
      </c>
      <c r="BM114" s="273">
        <v>120</v>
      </c>
      <c r="BN114" s="273">
        <v>120</v>
      </c>
      <c r="BO114" s="273"/>
      <c r="BP114" s="273"/>
      <c r="BQ114" s="273"/>
      <c r="BR114" s="273"/>
      <c r="BS114" s="273"/>
      <c r="BT114" s="273"/>
      <c r="BU114" s="273"/>
      <c r="BV114" s="273"/>
      <c r="BW114" s="273"/>
      <c r="BX114" s="272">
        <f t="shared" si="10"/>
        <v>30</v>
      </c>
      <c r="BY114" s="272">
        <f t="shared" si="10"/>
        <v>360</v>
      </c>
      <c r="BZ114" s="272">
        <f t="shared" si="8"/>
        <v>360</v>
      </c>
      <c r="CA114" s="273"/>
      <c r="CB114" s="273"/>
      <c r="CC114" s="273"/>
      <c r="CD114" s="273"/>
      <c r="CE114" s="273"/>
      <c r="CF114" s="273"/>
      <c r="CG114" s="273"/>
      <c r="CH114" s="273"/>
      <c r="CI114" s="273"/>
      <c r="CJ114" s="273"/>
      <c r="CK114" s="273"/>
      <c r="CL114" s="273"/>
      <c r="CM114" s="273"/>
      <c r="CN114" s="273"/>
      <c r="CO114" s="273"/>
      <c r="CP114" s="273"/>
      <c r="CQ114" s="273"/>
      <c r="CR114" s="273"/>
      <c r="CS114" s="273"/>
      <c r="CT114" s="273"/>
      <c r="CU114" s="273"/>
      <c r="CV114" s="273"/>
      <c r="CW114" s="273"/>
      <c r="CX114" s="273"/>
      <c r="CY114" s="273">
        <v>2</v>
      </c>
      <c r="CZ114" s="273">
        <v>24</v>
      </c>
      <c r="DA114" s="273">
        <v>16.8</v>
      </c>
      <c r="DB114" s="273"/>
      <c r="DC114" s="273"/>
      <c r="DD114" s="273"/>
      <c r="DE114" s="273"/>
      <c r="DF114" s="271"/>
      <c r="DG114" s="271"/>
      <c r="DH114" s="272">
        <f t="shared" si="6"/>
        <v>32</v>
      </c>
      <c r="DI114" s="272">
        <f t="shared" si="6"/>
        <v>384</v>
      </c>
      <c r="DJ114" s="324">
        <f t="shared" si="6"/>
        <v>376.8</v>
      </c>
      <c r="DK114" s="325"/>
      <c r="DL114" s="325"/>
    </row>
    <row r="115" spans="1:116" s="275" customFormat="1" ht="20.100000000000001" customHeight="1" x14ac:dyDescent="0.6">
      <c r="A115" s="234">
        <v>112</v>
      </c>
      <c r="B115" s="103" t="s">
        <v>626</v>
      </c>
      <c r="C115" s="103" t="s">
        <v>627</v>
      </c>
      <c r="D115" s="103" t="s">
        <v>625</v>
      </c>
      <c r="E115" s="148" t="s">
        <v>313</v>
      </c>
      <c r="F115" s="179" t="s">
        <v>591</v>
      </c>
      <c r="G115" s="322"/>
      <c r="H115" s="323"/>
      <c r="I115" s="322" t="s">
        <v>1054</v>
      </c>
      <c r="J115" s="322" t="s">
        <v>1051</v>
      </c>
      <c r="K115" s="241"/>
      <c r="L115" s="24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>
        <v>10</v>
      </c>
      <c r="AO115" s="271">
        <v>120</v>
      </c>
      <c r="AP115" s="271">
        <v>120</v>
      </c>
      <c r="AQ115" s="272">
        <f t="shared" si="9"/>
        <v>10</v>
      </c>
      <c r="AR115" s="272">
        <f t="shared" si="9"/>
        <v>120</v>
      </c>
      <c r="AS115" s="272">
        <f t="shared" si="9"/>
        <v>120</v>
      </c>
      <c r="AT115" s="273"/>
      <c r="AU115" s="273"/>
      <c r="AV115" s="273"/>
      <c r="AW115" s="273"/>
      <c r="AX115" s="273"/>
      <c r="AY115" s="273"/>
      <c r="AZ115" s="273"/>
      <c r="BA115" s="273"/>
      <c r="BB115" s="273"/>
      <c r="BC115" s="273"/>
      <c r="BD115" s="273"/>
      <c r="BE115" s="273"/>
      <c r="BF115" s="273">
        <v>10</v>
      </c>
      <c r="BG115" s="273">
        <v>120</v>
      </c>
      <c r="BH115" s="273">
        <v>120</v>
      </c>
      <c r="BI115" s="273"/>
      <c r="BJ115" s="273"/>
      <c r="BK115" s="273"/>
      <c r="BL115" s="273">
        <v>20</v>
      </c>
      <c r="BM115" s="273">
        <v>240</v>
      </c>
      <c r="BN115" s="273">
        <v>240</v>
      </c>
      <c r="BO115" s="273"/>
      <c r="BP115" s="273"/>
      <c r="BQ115" s="273"/>
      <c r="BR115" s="273"/>
      <c r="BS115" s="273"/>
      <c r="BT115" s="273"/>
      <c r="BU115" s="273"/>
      <c r="BV115" s="273"/>
      <c r="BW115" s="273"/>
      <c r="BX115" s="272">
        <f t="shared" si="10"/>
        <v>40</v>
      </c>
      <c r="BY115" s="272">
        <f t="shared" si="10"/>
        <v>480</v>
      </c>
      <c r="BZ115" s="272">
        <f t="shared" si="8"/>
        <v>480</v>
      </c>
      <c r="CA115" s="273"/>
      <c r="CB115" s="273"/>
      <c r="CC115" s="273"/>
      <c r="CD115" s="273">
        <v>1</v>
      </c>
      <c r="CE115" s="273">
        <v>12</v>
      </c>
      <c r="CF115" s="273">
        <v>12</v>
      </c>
      <c r="CG115" s="273"/>
      <c r="CH115" s="273"/>
      <c r="CI115" s="273"/>
      <c r="CJ115" s="273"/>
      <c r="CK115" s="273"/>
      <c r="CL115" s="273"/>
      <c r="CM115" s="273"/>
      <c r="CN115" s="273"/>
      <c r="CO115" s="273"/>
      <c r="CP115" s="273"/>
      <c r="CQ115" s="273"/>
      <c r="CR115" s="273"/>
      <c r="CS115" s="273"/>
      <c r="CT115" s="273"/>
      <c r="CU115" s="273"/>
      <c r="CV115" s="273"/>
      <c r="CW115" s="273"/>
      <c r="CX115" s="273"/>
      <c r="CY115" s="273">
        <v>2</v>
      </c>
      <c r="CZ115" s="273">
        <v>24</v>
      </c>
      <c r="DA115" s="273">
        <v>24</v>
      </c>
      <c r="DB115" s="273">
        <v>20</v>
      </c>
      <c r="DC115" s="273">
        <v>240</v>
      </c>
      <c r="DD115" s="273">
        <v>240</v>
      </c>
      <c r="DE115" s="273">
        <v>10</v>
      </c>
      <c r="DF115" s="271">
        <v>120</v>
      </c>
      <c r="DG115" s="271">
        <v>120</v>
      </c>
      <c r="DH115" s="272">
        <f t="shared" si="6"/>
        <v>73</v>
      </c>
      <c r="DI115" s="272">
        <f t="shared" si="6"/>
        <v>876</v>
      </c>
      <c r="DJ115" s="324">
        <f t="shared" si="6"/>
        <v>876</v>
      </c>
      <c r="DK115" s="325"/>
      <c r="DL115" s="325"/>
    </row>
    <row r="116" spans="1:116" s="275" customFormat="1" ht="20.100000000000001" customHeight="1" x14ac:dyDescent="0.6">
      <c r="A116" s="234">
        <v>113</v>
      </c>
      <c r="B116" s="103" t="s">
        <v>628</v>
      </c>
      <c r="C116" s="103" t="s">
        <v>629</v>
      </c>
      <c r="D116" s="103" t="s">
        <v>625</v>
      </c>
      <c r="E116" s="148" t="s">
        <v>313</v>
      </c>
      <c r="F116" s="179" t="s">
        <v>591</v>
      </c>
      <c r="G116" s="322"/>
      <c r="H116" s="323"/>
      <c r="I116" s="322" t="s">
        <v>1055</v>
      </c>
      <c r="J116" s="322" t="s">
        <v>1051</v>
      </c>
      <c r="K116" s="241"/>
      <c r="L116" s="241"/>
      <c r="M116" s="271"/>
      <c r="N116" s="271"/>
      <c r="O116" s="271"/>
      <c r="P116" s="271">
        <v>8</v>
      </c>
      <c r="Q116" s="271">
        <v>158</v>
      </c>
      <c r="R116" s="271">
        <v>90.88</v>
      </c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/>
      <c r="AO116" s="271"/>
      <c r="AP116" s="271"/>
      <c r="AQ116" s="272">
        <f t="shared" si="9"/>
        <v>8</v>
      </c>
      <c r="AR116" s="272">
        <f t="shared" si="9"/>
        <v>158</v>
      </c>
      <c r="AS116" s="272">
        <f t="shared" si="9"/>
        <v>90.88</v>
      </c>
      <c r="AT116" s="273"/>
      <c r="AU116" s="273"/>
      <c r="AV116" s="273"/>
      <c r="AW116" s="273"/>
      <c r="AX116" s="273"/>
      <c r="AY116" s="273"/>
      <c r="AZ116" s="273"/>
      <c r="BA116" s="273"/>
      <c r="BB116" s="273"/>
      <c r="BC116" s="273"/>
      <c r="BD116" s="273"/>
      <c r="BE116" s="273"/>
      <c r="BF116" s="273"/>
      <c r="BG116" s="273"/>
      <c r="BH116" s="273"/>
      <c r="BI116" s="273">
        <v>3</v>
      </c>
      <c r="BJ116" s="273">
        <v>36</v>
      </c>
      <c r="BK116" s="273">
        <v>36</v>
      </c>
      <c r="BL116" s="273"/>
      <c r="BM116" s="273"/>
      <c r="BN116" s="273"/>
      <c r="BO116" s="273"/>
      <c r="BP116" s="273"/>
      <c r="BQ116" s="273"/>
      <c r="BR116" s="273"/>
      <c r="BS116" s="273"/>
      <c r="BT116" s="273"/>
      <c r="BU116" s="273">
        <v>8</v>
      </c>
      <c r="BV116" s="273">
        <v>158</v>
      </c>
      <c r="BW116" s="273">
        <v>90.88</v>
      </c>
      <c r="BX116" s="272">
        <f t="shared" si="10"/>
        <v>19</v>
      </c>
      <c r="BY116" s="272">
        <f t="shared" si="10"/>
        <v>352</v>
      </c>
      <c r="BZ116" s="272">
        <f t="shared" si="8"/>
        <v>217.76</v>
      </c>
      <c r="CA116" s="273"/>
      <c r="CB116" s="273"/>
      <c r="CC116" s="273"/>
      <c r="CD116" s="273"/>
      <c r="CE116" s="273"/>
      <c r="CF116" s="273"/>
      <c r="CG116" s="273"/>
      <c r="CH116" s="273"/>
      <c r="CI116" s="273"/>
      <c r="CJ116" s="273"/>
      <c r="CK116" s="273"/>
      <c r="CL116" s="273"/>
      <c r="CM116" s="273"/>
      <c r="CN116" s="273"/>
      <c r="CO116" s="273"/>
      <c r="CP116" s="273"/>
      <c r="CQ116" s="273"/>
      <c r="CR116" s="273"/>
      <c r="CS116" s="273">
        <v>8</v>
      </c>
      <c r="CT116" s="273">
        <v>158</v>
      </c>
      <c r="CU116" s="273">
        <v>90.88</v>
      </c>
      <c r="CV116" s="273"/>
      <c r="CW116" s="273"/>
      <c r="CX116" s="273"/>
      <c r="CY116" s="273"/>
      <c r="CZ116" s="273"/>
      <c r="DA116" s="273"/>
      <c r="DB116" s="273"/>
      <c r="DC116" s="273"/>
      <c r="DD116" s="273"/>
      <c r="DE116" s="273"/>
      <c r="DF116" s="271"/>
      <c r="DG116" s="271"/>
      <c r="DH116" s="272">
        <f t="shared" si="6"/>
        <v>27</v>
      </c>
      <c r="DI116" s="272">
        <f t="shared" si="6"/>
        <v>510</v>
      </c>
      <c r="DJ116" s="324">
        <f t="shared" si="6"/>
        <v>308.64</v>
      </c>
      <c r="DK116" s="325"/>
      <c r="DL116" s="325"/>
    </row>
    <row r="117" spans="1:116" s="275" customFormat="1" ht="20.100000000000001" customHeight="1" x14ac:dyDescent="0.6">
      <c r="A117" s="234">
        <v>114</v>
      </c>
      <c r="B117" s="103" t="s">
        <v>630</v>
      </c>
      <c r="C117" s="103" t="s">
        <v>631</v>
      </c>
      <c r="D117" s="103" t="s">
        <v>625</v>
      </c>
      <c r="E117" s="148" t="s">
        <v>313</v>
      </c>
      <c r="F117" s="179" t="s">
        <v>591</v>
      </c>
      <c r="G117" s="322"/>
      <c r="H117" s="323"/>
      <c r="I117" s="322" t="s">
        <v>1056</v>
      </c>
      <c r="J117" s="322" t="s">
        <v>1051</v>
      </c>
      <c r="K117" s="241"/>
      <c r="L117" s="241"/>
      <c r="M117" s="271"/>
      <c r="N117" s="271"/>
      <c r="O117" s="271"/>
      <c r="P117" s="271">
        <v>1</v>
      </c>
      <c r="Q117" s="271">
        <v>14</v>
      </c>
      <c r="R117" s="271">
        <v>8.9600000000000009</v>
      </c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>
        <v>1</v>
      </c>
      <c r="AL117" s="271">
        <v>40</v>
      </c>
      <c r="AM117" s="271">
        <v>14</v>
      </c>
      <c r="AN117" s="271"/>
      <c r="AO117" s="271"/>
      <c r="AP117" s="271"/>
      <c r="AQ117" s="272">
        <f t="shared" si="9"/>
        <v>2</v>
      </c>
      <c r="AR117" s="272">
        <f t="shared" si="9"/>
        <v>54</v>
      </c>
      <c r="AS117" s="272">
        <f t="shared" si="9"/>
        <v>22.96</v>
      </c>
      <c r="AT117" s="273"/>
      <c r="AU117" s="273"/>
      <c r="AV117" s="273"/>
      <c r="AW117" s="273"/>
      <c r="AX117" s="273"/>
      <c r="AY117" s="273"/>
      <c r="AZ117" s="273"/>
      <c r="BA117" s="273"/>
      <c r="BB117" s="273"/>
      <c r="BC117" s="273"/>
      <c r="BD117" s="273"/>
      <c r="BE117" s="273"/>
      <c r="BF117" s="273"/>
      <c r="BG117" s="273"/>
      <c r="BH117" s="273"/>
      <c r="BI117" s="273"/>
      <c r="BJ117" s="273"/>
      <c r="BK117" s="273"/>
      <c r="BL117" s="273"/>
      <c r="BM117" s="273"/>
      <c r="BN117" s="273"/>
      <c r="BO117" s="273"/>
      <c r="BP117" s="273"/>
      <c r="BQ117" s="273"/>
      <c r="BR117" s="273"/>
      <c r="BS117" s="273"/>
      <c r="BT117" s="273"/>
      <c r="BU117" s="273"/>
      <c r="BV117" s="273"/>
      <c r="BW117" s="273"/>
      <c r="BX117" s="272">
        <f t="shared" si="10"/>
        <v>2</v>
      </c>
      <c r="BY117" s="272">
        <f t="shared" si="10"/>
        <v>54</v>
      </c>
      <c r="BZ117" s="272">
        <f t="shared" si="8"/>
        <v>22.96</v>
      </c>
      <c r="CA117" s="273"/>
      <c r="CB117" s="273"/>
      <c r="CC117" s="273"/>
      <c r="CD117" s="273"/>
      <c r="CE117" s="273"/>
      <c r="CF117" s="273"/>
      <c r="CG117" s="273">
        <v>3</v>
      </c>
      <c r="CH117" s="273">
        <v>64</v>
      </c>
      <c r="CI117" s="273">
        <v>38</v>
      </c>
      <c r="CJ117" s="273"/>
      <c r="CK117" s="273"/>
      <c r="CL117" s="273"/>
      <c r="CM117" s="273"/>
      <c r="CN117" s="273"/>
      <c r="CO117" s="273"/>
      <c r="CP117" s="273"/>
      <c r="CQ117" s="273"/>
      <c r="CR117" s="273"/>
      <c r="CS117" s="273"/>
      <c r="CT117" s="273"/>
      <c r="CU117" s="273"/>
      <c r="CV117" s="273"/>
      <c r="CW117" s="273"/>
      <c r="CX117" s="273"/>
      <c r="CY117" s="273"/>
      <c r="CZ117" s="273"/>
      <c r="DA117" s="273"/>
      <c r="DB117" s="273">
        <v>1</v>
      </c>
      <c r="DC117" s="273">
        <v>14</v>
      </c>
      <c r="DD117" s="273">
        <v>8.9600000000000009</v>
      </c>
      <c r="DE117" s="273"/>
      <c r="DF117" s="271"/>
      <c r="DG117" s="271"/>
      <c r="DH117" s="272">
        <f t="shared" si="6"/>
        <v>6</v>
      </c>
      <c r="DI117" s="272">
        <f t="shared" si="6"/>
        <v>132</v>
      </c>
      <c r="DJ117" s="324">
        <f t="shared" si="6"/>
        <v>69.92</v>
      </c>
      <c r="DK117" s="325"/>
      <c r="DL117" s="325"/>
    </row>
    <row r="118" spans="1:116" s="275" customFormat="1" ht="20.100000000000001" customHeight="1" x14ac:dyDescent="0.6">
      <c r="A118" s="234">
        <v>115</v>
      </c>
      <c r="B118" s="103" t="s">
        <v>632</v>
      </c>
      <c r="C118" s="103" t="s">
        <v>633</v>
      </c>
      <c r="D118" s="103" t="s">
        <v>625</v>
      </c>
      <c r="E118" s="148" t="s">
        <v>313</v>
      </c>
      <c r="F118" s="179" t="s">
        <v>591</v>
      </c>
      <c r="G118" s="322"/>
      <c r="H118" s="323"/>
      <c r="I118" s="322" t="s">
        <v>1057</v>
      </c>
      <c r="J118" s="322" t="s">
        <v>1051</v>
      </c>
      <c r="K118" s="241"/>
      <c r="L118" s="241"/>
      <c r="M118" s="271"/>
      <c r="N118" s="271"/>
      <c r="O118" s="271"/>
      <c r="P118" s="271">
        <v>3</v>
      </c>
      <c r="Q118" s="271">
        <v>36</v>
      </c>
      <c r="R118" s="271">
        <v>32.159999999999997</v>
      </c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>
        <v>1</v>
      </c>
      <c r="AL118" s="271">
        <v>12</v>
      </c>
      <c r="AM118" s="271">
        <v>8.16</v>
      </c>
      <c r="AN118" s="271"/>
      <c r="AO118" s="271"/>
      <c r="AP118" s="271"/>
      <c r="AQ118" s="272">
        <f t="shared" si="9"/>
        <v>4</v>
      </c>
      <c r="AR118" s="272">
        <f t="shared" si="9"/>
        <v>48</v>
      </c>
      <c r="AS118" s="272">
        <f t="shared" si="9"/>
        <v>40.319999999999993</v>
      </c>
      <c r="AT118" s="273"/>
      <c r="AU118" s="273"/>
      <c r="AV118" s="273"/>
      <c r="AW118" s="273"/>
      <c r="AX118" s="273"/>
      <c r="AY118" s="273"/>
      <c r="AZ118" s="273"/>
      <c r="BA118" s="273"/>
      <c r="BB118" s="273"/>
      <c r="BC118" s="273"/>
      <c r="BD118" s="273"/>
      <c r="BE118" s="273"/>
      <c r="BF118" s="273"/>
      <c r="BG118" s="273"/>
      <c r="BH118" s="273"/>
      <c r="BI118" s="273">
        <v>3</v>
      </c>
      <c r="BJ118" s="273">
        <v>36</v>
      </c>
      <c r="BK118" s="273">
        <v>36</v>
      </c>
      <c r="BL118" s="273"/>
      <c r="BM118" s="273"/>
      <c r="BN118" s="273"/>
      <c r="BO118" s="273"/>
      <c r="BP118" s="273"/>
      <c r="BQ118" s="273"/>
      <c r="BR118" s="273"/>
      <c r="BS118" s="273"/>
      <c r="BT118" s="273"/>
      <c r="BU118" s="273"/>
      <c r="BV118" s="273"/>
      <c r="BW118" s="273"/>
      <c r="BX118" s="272">
        <f t="shared" si="10"/>
        <v>7</v>
      </c>
      <c r="BY118" s="272">
        <f t="shared" si="10"/>
        <v>84</v>
      </c>
      <c r="BZ118" s="272">
        <f t="shared" si="8"/>
        <v>76.319999999999993</v>
      </c>
      <c r="CA118" s="273"/>
      <c r="CB118" s="273"/>
      <c r="CC118" s="273"/>
      <c r="CD118" s="273"/>
      <c r="CE118" s="273"/>
      <c r="CF118" s="273"/>
      <c r="CG118" s="273">
        <v>2</v>
      </c>
      <c r="CH118" s="273">
        <v>24</v>
      </c>
      <c r="CI118" s="273">
        <v>20.16</v>
      </c>
      <c r="CJ118" s="273"/>
      <c r="CK118" s="273"/>
      <c r="CL118" s="273"/>
      <c r="CM118" s="273"/>
      <c r="CN118" s="273"/>
      <c r="CO118" s="273"/>
      <c r="CP118" s="273"/>
      <c r="CQ118" s="273"/>
      <c r="CR118" s="273"/>
      <c r="CS118" s="273"/>
      <c r="CT118" s="273"/>
      <c r="CU118" s="273"/>
      <c r="CV118" s="273"/>
      <c r="CW118" s="273"/>
      <c r="CX118" s="273"/>
      <c r="CY118" s="273"/>
      <c r="CZ118" s="273"/>
      <c r="DA118" s="273"/>
      <c r="DB118" s="273">
        <v>1</v>
      </c>
      <c r="DC118" s="273">
        <v>12</v>
      </c>
      <c r="DD118" s="273">
        <v>12</v>
      </c>
      <c r="DE118" s="273"/>
      <c r="DF118" s="271"/>
      <c r="DG118" s="271"/>
      <c r="DH118" s="272">
        <f t="shared" si="6"/>
        <v>10</v>
      </c>
      <c r="DI118" s="272">
        <f t="shared" si="6"/>
        <v>120</v>
      </c>
      <c r="DJ118" s="324">
        <f t="shared" si="6"/>
        <v>108.47999999999999</v>
      </c>
      <c r="DK118" s="325"/>
      <c r="DL118" s="325"/>
    </row>
    <row r="119" spans="1:116" s="275" customFormat="1" ht="20.100000000000001" customHeight="1" x14ac:dyDescent="0.6">
      <c r="A119" s="234">
        <v>116</v>
      </c>
      <c r="B119" s="103" t="s">
        <v>634</v>
      </c>
      <c r="C119" s="103" t="s">
        <v>635</v>
      </c>
      <c r="D119" s="103" t="s">
        <v>625</v>
      </c>
      <c r="E119" s="148" t="s">
        <v>313</v>
      </c>
      <c r="F119" s="179" t="s">
        <v>591</v>
      </c>
      <c r="G119" s="322"/>
      <c r="H119" s="323"/>
      <c r="I119" s="322" t="s">
        <v>1058</v>
      </c>
      <c r="J119" s="322" t="s">
        <v>1051</v>
      </c>
      <c r="K119" s="241"/>
      <c r="L119" s="241"/>
      <c r="M119" s="271"/>
      <c r="N119" s="271"/>
      <c r="O119" s="271"/>
      <c r="P119" s="271"/>
      <c r="Q119" s="271"/>
      <c r="R119" s="271"/>
      <c r="S119" s="271">
        <v>10</v>
      </c>
      <c r="T119" s="271">
        <v>120</v>
      </c>
      <c r="U119" s="271">
        <v>120</v>
      </c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2">
        <f t="shared" si="9"/>
        <v>10</v>
      </c>
      <c r="AR119" s="272">
        <f t="shared" si="9"/>
        <v>120</v>
      </c>
      <c r="AS119" s="272">
        <f t="shared" si="9"/>
        <v>120</v>
      </c>
      <c r="AT119" s="273"/>
      <c r="AU119" s="273"/>
      <c r="AV119" s="273"/>
      <c r="AW119" s="273"/>
      <c r="AX119" s="273"/>
      <c r="AY119" s="273"/>
      <c r="AZ119" s="273"/>
      <c r="BA119" s="273"/>
      <c r="BB119" s="273"/>
      <c r="BC119" s="273"/>
      <c r="BD119" s="273"/>
      <c r="BE119" s="273"/>
      <c r="BF119" s="273"/>
      <c r="BG119" s="273"/>
      <c r="BH119" s="273"/>
      <c r="BI119" s="273"/>
      <c r="BJ119" s="273"/>
      <c r="BK119" s="273"/>
      <c r="BL119" s="273"/>
      <c r="BM119" s="273"/>
      <c r="BN119" s="273"/>
      <c r="BO119" s="273"/>
      <c r="BP119" s="273"/>
      <c r="BQ119" s="273"/>
      <c r="BR119" s="273"/>
      <c r="BS119" s="273"/>
      <c r="BT119" s="273"/>
      <c r="BU119" s="273"/>
      <c r="BV119" s="273"/>
      <c r="BW119" s="273"/>
      <c r="BX119" s="272">
        <f t="shared" si="10"/>
        <v>10</v>
      </c>
      <c r="BY119" s="272">
        <f t="shared" si="10"/>
        <v>120</v>
      </c>
      <c r="BZ119" s="272">
        <f t="shared" si="8"/>
        <v>120</v>
      </c>
      <c r="CA119" s="273"/>
      <c r="CB119" s="273"/>
      <c r="CC119" s="273"/>
      <c r="CD119" s="273"/>
      <c r="CE119" s="273"/>
      <c r="CF119" s="273"/>
      <c r="CG119" s="273"/>
      <c r="CH119" s="273"/>
      <c r="CI119" s="273"/>
      <c r="CJ119" s="273"/>
      <c r="CK119" s="273"/>
      <c r="CL119" s="273"/>
      <c r="CM119" s="273"/>
      <c r="CN119" s="273"/>
      <c r="CO119" s="273"/>
      <c r="CP119" s="273"/>
      <c r="CQ119" s="273"/>
      <c r="CR119" s="273"/>
      <c r="CS119" s="273"/>
      <c r="CT119" s="273"/>
      <c r="CU119" s="273"/>
      <c r="CV119" s="273"/>
      <c r="CW119" s="273"/>
      <c r="CX119" s="273"/>
      <c r="CY119" s="273"/>
      <c r="CZ119" s="273"/>
      <c r="DA119" s="273"/>
      <c r="DB119" s="273"/>
      <c r="DC119" s="273"/>
      <c r="DD119" s="273"/>
      <c r="DE119" s="273"/>
      <c r="DF119" s="271"/>
      <c r="DG119" s="271"/>
      <c r="DH119" s="272">
        <f t="shared" si="6"/>
        <v>10</v>
      </c>
      <c r="DI119" s="272">
        <f t="shared" si="6"/>
        <v>120</v>
      </c>
      <c r="DJ119" s="324">
        <f t="shared" si="6"/>
        <v>120</v>
      </c>
      <c r="DK119" s="325"/>
      <c r="DL119" s="325"/>
    </row>
    <row r="120" spans="1:116" s="275" customFormat="1" ht="20.100000000000001" customHeight="1" x14ac:dyDescent="0.6">
      <c r="A120" s="234">
        <v>117</v>
      </c>
      <c r="B120" s="103" t="s">
        <v>636</v>
      </c>
      <c r="C120" s="103" t="s">
        <v>636</v>
      </c>
      <c r="D120" s="103" t="s">
        <v>625</v>
      </c>
      <c r="E120" s="148" t="s">
        <v>313</v>
      </c>
      <c r="F120" s="179" t="s">
        <v>591</v>
      </c>
      <c r="G120" s="322"/>
      <c r="H120" s="323"/>
      <c r="I120" s="322" t="s">
        <v>1059</v>
      </c>
      <c r="J120" s="322" t="s">
        <v>1051</v>
      </c>
      <c r="K120" s="241"/>
      <c r="L120" s="241"/>
      <c r="M120" s="271"/>
      <c r="N120" s="271"/>
      <c r="O120" s="271"/>
      <c r="P120" s="271"/>
      <c r="Q120" s="271"/>
      <c r="R120" s="271"/>
      <c r="S120" s="271">
        <v>6</v>
      </c>
      <c r="T120" s="271">
        <v>212</v>
      </c>
      <c r="U120" s="271">
        <v>78.400000000000006</v>
      </c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>
        <v>10</v>
      </c>
      <c r="AO120" s="271">
        <v>120</v>
      </c>
      <c r="AP120" s="271">
        <v>120</v>
      </c>
      <c r="AQ120" s="272">
        <f t="shared" si="9"/>
        <v>16</v>
      </c>
      <c r="AR120" s="272">
        <f t="shared" si="9"/>
        <v>332</v>
      </c>
      <c r="AS120" s="272">
        <f t="shared" si="9"/>
        <v>198.4</v>
      </c>
      <c r="AT120" s="273"/>
      <c r="AU120" s="273"/>
      <c r="AV120" s="273"/>
      <c r="AW120" s="273"/>
      <c r="AX120" s="273"/>
      <c r="AY120" s="273"/>
      <c r="AZ120" s="273"/>
      <c r="BA120" s="273"/>
      <c r="BB120" s="273"/>
      <c r="BC120" s="273"/>
      <c r="BD120" s="273"/>
      <c r="BE120" s="273"/>
      <c r="BF120" s="273"/>
      <c r="BG120" s="273"/>
      <c r="BH120" s="273"/>
      <c r="BI120" s="273"/>
      <c r="BJ120" s="273"/>
      <c r="BK120" s="273"/>
      <c r="BL120" s="273">
        <v>6</v>
      </c>
      <c r="BM120" s="273">
        <v>72</v>
      </c>
      <c r="BN120" s="273">
        <v>68.400000000000006</v>
      </c>
      <c r="BO120" s="273"/>
      <c r="BP120" s="273"/>
      <c r="BQ120" s="273"/>
      <c r="BR120" s="273"/>
      <c r="BS120" s="273"/>
      <c r="BT120" s="273"/>
      <c r="BU120" s="273"/>
      <c r="BV120" s="273"/>
      <c r="BW120" s="273"/>
      <c r="BX120" s="272">
        <f t="shared" si="10"/>
        <v>22</v>
      </c>
      <c r="BY120" s="272">
        <f t="shared" si="10"/>
        <v>404</v>
      </c>
      <c r="BZ120" s="272">
        <f t="shared" si="8"/>
        <v>266.8</v>
      </c>
      <c r="CA120" s="273"/>
      <c r="CB120" s="273"/>
      <c r="CC120" s="273"/>
      <c r="CD120" s="273"/>
      <c r="CE120" s="273"/>
      <c r="CF120" s="273"/>
      <c r="CG120" s="273"/>
      <c r="CH120" s="273"/>
      <c r="CI120" s="273"/>
      <c r="CJ120" s="273">
        <v>5</v>
      </c>
      <c r="CK120" s="273">
        <v>66</v>
      </c>
      <c r="CL120" s="273">
        <v>43.68</v>
      </c>
      <c r="CM120" s="273"/>
      <c r="CN120" s="273"/>
      <c r="CO120" s="273"/>
      <c r="CP120" s="273"/>
      <c r="CQ120" s="273"/>
      <c r="CR120" s="273"/>
      <c r="CS120" s="273"/>
      <c r="CT120" s="273"/>
      <c r="CU120" s="273"/>
      <c r="CV120" s="273"/>
      <c r="CW120" s="273"/>
      <c r="CX120" s="273"/>
      <c r="CY120" s="273"/>
      <c r="CZ120" s="273"/>
      <c r="DA120" s="273"/>
      <c r="DB120" s="273"/>
      <c r="DC120" s="273"/>
      <c r="DD120" s="273"/>
      <c r="DE120" s="273"/>
      <c r="DF120" s="271"/>
      <c r="DG120" s="271"/>
      <c r="DH120" s="272">
        <f t="shared" si="6"/>
        <v>27</v>
      </c>
      <c r="DI120" s="272">
        <f t="shared" si="6"/>
        <v>470</v>
      </c>
      <c r="DJ120" s="324">
        <f t="shared" si="6"/>
        <v>310.48</v>
      </c>
      <c r="DK120" s="325"/>
      <c r="DL120" s="325"/>
    </row>
    <row r="121" spans="1:116" s="275" customFormat="1" ht="20.100000000000001" customHeight="1" x14ac:dyDescent="0.6">
      <c r="A121" s="234">
        <v>118</v>
      </c>
      <c r="B121" s="103" t="s">
        <v>637</v>
      </c>
      <c r="C121" s="103" t="s">
        <v>638</v>
      </c>
      <c r="D121" s="103" t="s">
        <v>337</v>
      </c>
      <c r="E121" s="148" t="s">
        <v>338</v>
      </c>
      <c r="F121" s="179" t="s">
        <v>591</v>
      </c>
      <c r="G121" s="322"/>
      <c r="H121" s="323"/>
      <c r="I121" s="322" t="s">
        <v>1060</v>
      </c>
      <c r="J121" s="322" t="s">
        <v>1051</v>
      </c>
      <c r="K121" s="241"/>
      <c r="L121" s="24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  <c r="AO121" s="271"/>
      <c r="AP121" s="271"/>
      <c r="AQ121" s="272">
        <f t="shared" si="9"/>
        <v>0</v>
      </c>
      <c r="AR121" s="272">
        <f t="shared" si="9"/>
        <v>0</v>
      </c>
      <c r="AS121" s="272">
        <f t="shared" si="9"/>
        <v>0</v>
      </c>
      <c r="AT121" s="273"/>
      <c r="AU121" s="273"/>
      <c r="AV121" s="273"/>
      <c r="AW121" s="273"/>
      <c r="AX121" s="273"/>
      <c r="AY121" s="273"/>
      <c r="AZ121" s="273"/>
      <c r="BA121" s="273"/>
      <c r="BB121" s="273"/>
      <c r="BC121" s="273"/>
      <c r="BD121" s="273"/>
      <c r="BE121" s="273"/>
      <c r="BF121" s="273"/>
      <c r="BG121" s="273"/>
      <c r="BH121" s="273"/>
      <c r="BI121" s="273"/>
      <c r="BJ121" s="273"/>
      <c r="BK121" s="273"/>
      <c r="BL121" s="273"/>
      <c r="BM121" s="273"/>
      <c r="BN121" s="273"/>
      <c r="BO121" s="273"/>
      <c r="BP121" s="273"/>
      <c r="BQ121" s="273"/>
      <c r="BR121" s="273"/>
      <c r="BS121" s="273"/>
      <c r="BT121" s="273"/>
      <c r="BU121" s="273"/>
      <c r="BV121" s="273"/>
      <c r="BW121" s="273"/>
      <c r="BX121" s="272">
        <f t="shared" si="10"/>
        <v>0</v>
      </c>
      <c r="BY121" s="272">
        <f t="shared" si="10"/>
        <v>0</v>
      </c>
      <c r="BZ121" s="272">
        <f t="shared" si="8"/>
        <v>0</v>
      </c>
      <c r="CA121" s="273"/>
      <c r="CB121" s="273"/>
      <c r="CC121" s="273"/>
      <c r="CD121" s="273"/>
      <c r="CE121" s="273"/>
      <c r="CF121" s="273"/>
      <c r="CG121" s="273"/>
      <c r="CH121" s="273"/>
      <c r="CI121" s="273"/>
      <c r="CJ121" s="273"/>
      <c r="CK121" s="273"/>
      <c r="CL121" s="273"/>
      <c r="CM121" s="273"/>
      <c r="CN121" s="273"/>
      <c r="CO121" s="273"/>
      <c r="CP121" s="273"/>
      <c r="CQ121" s="273"/>
      <c r="CR121" s="273"/>
      <c r="CS121" s="273"/>
      <c r="CT121" s="273"/>
      <c r="CU121" s="273"/>
      <c r="CV121" s="273"/>
      <c r="CW121" s="273"/>
      <c r="CX121" s="273"/>
      <c r="CY121" s="273"/>
      <c r="CZ121" s="273"/>
      <c r="DA121" s="273"/>
      <c r="DB121" s="273"/>
      <c r="DC121" s="273"/>
      <c r="DD121" s="273"/>
      <c r="DE121" s="273"/>
      <c r="DF121" s="271"/>
      <c r="DG121" s="271"/>
      <c r="DH121" s="272">
        <f t="shared" si="6"/>
        <v>0</v>
      </c>
      <c r="DI121" s="272">
        <f t="shared" si="6"/>
        <v>0</v>
      </c>
      <c r="DJ121" s="324">
        <f t="shared" si="6"/>
        <v>0</v>
      </c>
      <c r="DK121" s="325"/>
      <c r="DL121" s="325"/>
    </row>
    <row r="122" spans="1:116" s="275" customFormat="1" ht="20.100000000000001" customHeight="1" x14ac:dyDescent="0.6">
      <c r="A122" s="234">
        <v>119</v>
      </c>
      <c r="B122" s="103" t="s">
        <v>639</v>
      </c>
      <c r="C122" s="103" t="s">
        <v>640</v>
      </c>
      <c r="D122" s="103" t="s">
        <v>337</v>
      </c>
      <c r="E122" s="148" t="s">
        <v>338</v>
      </c>
      <c r="F122" s="179" t="s">
        <v>591</v>
      </c>
      <c r="G122" s="322"/>
      <c r="H122" s="323"/>
      <c r="I122" s="322" t="s">
        <v>1061</v>
      </c>
      <c r="J122" s="322" t="s">
        <v>1051</v>
      </c>
      <c r="K122" s="241"/>
      <c r="L122" s="24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  <c r="AM122" s="271"/>
      <c r="AN122" s="271"/>
      <c r="AO122" s="271"/>
      <c r="AP122" s="271"/>
      <c r="AQ122" s="272">
        <f t="shared" si="9"/>
        <v>0</v>
      </c>
      <c r="AR122" s="272">
        <f t="shared" si="9"/>
        <v>0</v>
      </c>
      <c r="AS122" s="272">
        <f t="shared" si="9"/>
        <v>0</v>
      </c>
      <c r="AT122" s="273"/>
      <c r="AU122" s="273"/>
      <c r="AV122" s="273"/>
      <c r="AW122" s="273"/>
      <c r="AX122" s="273"/>
      <c r="AY122" s="273"/>
      <c r="AZ122" s="273"/>
      <c r="BA122" s="273"/>
      <c r="BB122" s="273"/>
      <c r="BC122" s="273"/>
      <c r="BD122" s="273"/>
      <c r="BE122" s="273"/>
      <c r="BF122" s="273"/>
      <c r="BG122" s="273"/>
      <c r="BH122" s="273"/>
      <c r="BI122" s="273"/>
      <c r="BJ122" s="273"/>
      <c r="BK122" s="273"/>
      <c r="BL122" s="273"/>
      <c r="BM122" s="273"/>
      <c r="BN122" s="273"/>
      <c r="BO122" s="273"/>
      <c r="BP122" s="273"/>
      <c r="BQ122" s="273"/>
      <c r="BR122" s="273"/>
      <c r="BS122" s="273"/>
      <c r="BT122" s="273"/>
      <c r="BU122" s="273"/>
      <c r="BV122" s="273"/>
      <c r="BW122" s="273"/>
      <c r="BX122" s="272">
        <f t="shared" si="10"/>
        <v>0</v>
      </c>
      <c r="BY122" s="272">
        <f t="shared" si="10"/>
        <v>0</v>
      </c>
      <c r="BZ122" s="272">
        <f t="shared" si="8"/>
        <v>0</v>
      </c>
      <c r="CA122" s="273"/>
      <c r="CB122" s="273"/>
      <c r="CC122" s="273"/>
      <c r="CD122" s="273"/>
      <c r="CE122" s="273"/>
      <c r="CF122" s="273"/>
      <c r="CG122" s="273"/>
      <c r="CH122" s="273"/>
      <c r="CI122" s="273"/>
      <c r="CJ122" s="273"/>
      <c r="CK122" s="273"/>
      <c r="CL122" s="273"/>
      <c r="CM122" s="273"/>
      <c r="CN122" s="273"/>
      <c r="CO122" s="273"/>
      <c r="CP122" s="273"/>
      <c r="CQ122" s="273"/>
      <c r="CR122" s="273"/>
      <c r="CS122" s="273"/>
      <c r="CT122" s="273"/>
      <c r="CU122" s="273"/>
      <c r="CV122" s="273"/>
      <c r="CW122" s="273"/>
      <c r="CX122" s="273"/>
      <c r="CY122" s="273"/>
      <c r="CZ122" s="273"/>
      <c r="DA122" s="273"/>
      <c r="DB122" s="273"/>
      <c r="DC122" s="273"/>
      <c r="DD122" s="273"/>
      <c r="DE122" s="273"/>
      <c r="DF122" s="271"/>
      <c r="DG122" s="271"/>
      <c r="DH122" s="272">
        <f t="shared" si="6"/>
        <v>0</v>
      </c>
      <c r="DI122" s="272">
        <f t="shared" si="6"/>
        <v>0</v>
      </c>
      <c r="DJ122" s="324">
        <f t="shared" si="6"/>
        <v>0</v>
      </c>
      <c r="DK122" s="325"/>
      <c r="DL122" s="325"/>
    </row>
    <row r="123" spans="1:116" s="275" customFormat="1" ht="20.100000000000001" customHeight="1" x14ac:dyDescent="0.6">
      <c r="A123" s="234">
        <v>120</v>
      </c>
      <c r="B123" s="103" t="s">
        <v>641</v>
      </c>
      <c r="C123" s="103" t="s">
        <v>641</v>
      </c>
      <c r="D123" s="103" t="s">
        <v>301</v>
      </c>
      <c r="E123" s="148" t="s">
        <v>87</v>
      </c>
      <c r="F123" s="179" t="s">
        <v>642</v>
      </c>
      <c r="G123" s="322"/>
      <c r="H123" s="323"/>
      <c r="I123" s="322" t="s">
        <v>1062</v>
      </c>
      <c r="J123" s="322" t="s">
        <v>1051</v>
      </c>
      <c r="K123" s="241"/>
      <c r="L123" s="24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  <c r="AM123" s="271"/>
      <c r="AN123" s="271"/>
      <c r="AO123" s="271"/>
      <c r="AP123" s="271"/>
      <c r="AQ123" s="272">
        <f t="shared" si="9"/>
        <v>0</v>
      </c>
      <c r="AR123" s="272">
        <f t="shared" si="9"/>
        <v>0</v>
      </c>
      <c r="AS123" s="272">
        <f t="shared" si="9"/>
        <v>0</v>
      </c>
      <c r="AT123" s="273"/>
      <c r="AU123" s="273"/>
      <c r="AV123" s="273"/>
      <c r="AW123" s="273"/>
      <c r="AX123" s="273"/>
      <c r="AY123" s="273"/>
      <c r="AZ123" s="273"/>
      <c r="BA123" s="273"/>
      <c r="BB123" s="273"/>
      <c r="BC123" s="273"/>
      <c r="BD123" s="273"/>
      <c r="BE123" s="273"/>
      <c r="BF123" s="273"/>
      <c r="BG123" s="273"/>
      <c r="BH123" s="273"/>
      <c r="BI123" s="273"/>
      <c r="BJ123" s="273"/>
      <c r="BK123" s="273"/>
      <c r="BL123" s="273"/>
      <c r="BM123" s="273"/>
      <c r="BN123" s="273"/>
      <c r="BO123" s="273"/>
      <c r="BP123" s="273"/>
      <c r="BQ123" s="273"/>
      <c r="BR123" s="273"/>
      <c r="BS123" s="273"/>
      <c r="BT123" s="273"/>
      <c r="BU123" s="273"/>
      <c r="BV123" s="273"/>
      <c r="BW123" s="273"/>
      <c r="BX123" s="272">
        <f t="shared" si="10"/>
        <v>0</v>
      </c>
      <c r="BY123" s="272">
        <f t="shared" si="10"/>
        <v>0</v>
      </c>
      <c r="BZ123" s="272">
        <f t="shared" si="8"/>
        <v>0</v>
      </c>
      <c r="CA123" s="273"/>
      <c r="CB123" s="273"/>
      <c r="CC123" s="273"/>
      <c r="CD123" s="273"/>
      <c r="CE123" s="273"/>
      <c r="CF123" s="273"/>
      <c r="CG123" s="273"/>
      <c r="CH123" s="273"/>
      <c r="CI123" s="273"/>
      <c r="CJ123" s="273"/>
      <c r="CK123" s="273"/>
      <c r="CL123" s="273"/>
      <c r="CM123" s="273"/>
      <c r="CN123" s="273"/>
      <c r="CO123" s="273"/>
      <c r="CP123" s="273"/>
      <c r="CQ123" s="273"/>
      <c r="CR123" s="273"/>
      <c r="CS123" s="273"/>
      <c r="CT123" s="273"/>
      <c r="CU123" s="273"/>
      <c r="CV123" s="273"/>
      <c r="CW123" s="273"/>
      <c r="CX123" s="273"/>
      <c r="CY123" s="273"/>
      <c r="CZ123" s="273"/>
      <c r="DA123" s="273"/>
      <c r="DB123" s="273"/>
      <c r="DC123" s="273"/>
      <c r="DD123" s="273"/>
      <c r="DE123" s="273"/>
      <c r="DF123" s="271"/>
      <c r="DG123" s="271"/>
      <c r="DH123" s="272">
        <f t="shared" si="6"/>
        <v>0</v>
      </c>
      <c r="DI123" s="272">
        <f t="shared" si="6"/>
        <v>0</v>
      </c>
      <c r="DJ123" s="324">
        <f t="shared" si="6"/>
        <v>0</v>
      </c>
      <c r="DK123" s="325"/>
      <c r="DL123" s="325"/>
    </row>
    <row r="124" spans="1:116" s="275" customFormat="1" ht="20.100000000000001" customHeight="1" x14ac:dyDescent="0.6">
      <c r="A124" s="234">
        <v>121</v>
      </c>
      <c r="B124" s="103" t="s">
        <v>533</v>
      </c>
      <c r="C124" s="103" t="s">
        <v>533</v>
      </c>
      <c r="D124" s="103" t="s">
        <v>301</v>
      </c>
      <c r="E124" s="148" t="s">
        <v>87</v>
      </c>
      <c r="F124" s="179" t="s">
        <v>642</v>
      </c>
      <c r="G124" s="322"/>
      <c r="H124" s="323"/>
      <c r="I124" s="322" t="s">
        <v>1063</v>
      </c>
      <c r="J124" s="322" t="s">
        <v>1051</v>
      </c>
      <c r="K124" s="241"/>
      <c r="L124" s="24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1"/>
      <c r="AL124" s="271"/>
      <c r="AM124" s="271"/>
      <c r="AN124" s="271"/>
      <c r="AO124" s="271"/>
      <c r="AP124" s="271"/>
      <c r="AQ124" s="272">
        <f t="shared" si="9"/>
        <v>0</v>
      </c>
      <c r="AR124" s="272">
        <f t="shared" si="9"/>
        <v>0</v>
      </c>
      <c r="AS124" s="272">
        <f t="shared" si="9"/>
        <v>0</v>
      </c>
      <c r="AT124" s="273"/>
      <c r="AU124" s="273"/>
      <c r="AV124" s="273"/>
      <c r="AW124" s="273"/>
      <c r="AX124" s="273"/>
      <c r="AY124" s="273"/>
      <c r="AZ124" s="273"/>
      <c r="BA124" s="273"/>
      <c r="BB124" s="273"/>
      <c r="BC124" s="273"/>
      <c r="BD124" s="273"/>
      <c r="BE124" s="273"/>
      <c r="BF124" s="273"/>
      <c r="BG124" s="273"/>
      <c r="BH124" s="273"/>
      <c r="BI124" s="273"/>
      <c r="BJ124" s="273"/>
      <c r="BK124" s="273"/>
      <c r="BL124" s="273"/>
      <c r="BM124" s="273"/>
      <c r="BN124" s="273"/>
      <c r="BO124" s="273"/>
      <c r="BP124" s="273"/>
      <c r="BQ124" s="273"/>
      <c r="BR124" s="273"/>
      <c r="BS124" s="273"/>
      <c r="BT124" s="273"/>
      <c r="BU124" s="273"/>
      <c r="BV124" s="273"/>
      <c r="BW124" s="273"/>
      <c r="BX124" s="272">
        <f t="shared" si="10"/>
        <v>0</v>
      </c>
      <c r="BY124" s="272">
        <f t="shared" si="10"/>
        <v>0</v>
      </c>
      <c r="BZ124" s="272">
        <f t="shared" si="8"/>
        <v>0</v>
      </c>
      <c r="CA124" s="273"/>
      <c r="CB124" s="273"/>
      <c r="CC124" s="273"/>
      <c r="CD124" s="273"/>
      <c r="CE124" s="273"/>
      <c r="CF124" s="273"/>
      <c r="CG124" s="273"/>
      <c r="CH124" s="273"/>
      <c r="CI124" s="273"/>
      <c r="CJ124" s="273"/>
      <c r="CK124" s="273"/>
      <c r="CL124" s="273"/>
      <c r="CM124" s="273"/>
      <c r="CN124" s="273"/>
      <c r="CO124" s="273"/>
      <c r="CP124" s="273"/>
      <c r="CQ124" s="273"/>
      <c r="CR124" s="273"/>
      <c r="CS124" s="273"/>
      <c r="CT124" s="273"/>
      <c r="CU124" s="273"/>
      <c r="CV124" s="273"/>
      <c r="CW124" s="273"/>
      <c r="CX124" s="273"/>
      <c r="CY124" s="273"/>
      <c r="CZ124" s="273"/>
      <c r="DA124" s="273"/>
      <c r="DB124" s="273"/>
      <c r="DC124" s="273"/>
      <c r="DD124" s="273"/>
      <c r="DE124" s="273"/>
      <c r="DF124" s="271"/>
      <c r="DG124" s="271"/>
      <c r="DH124" s="272">
        <f t="shared" si="6"/>
        <v>0</v>
      </c>
      <c r="DI124" s="272">
        <f t="shared" si="6"/>
        <v>0</v>
      </c>
      <c r="DJ124" s="324">
        <f t="shared" si="6"/>
        <v>0</v>
      </c>
      <c r="DK124" s="325"/>
      <c r="DL124" s="325"/>
    </row>
    <row r="125" spans="1:116" s="275" customFormat="1" ht="20.100000000000001" customHeight="1" x14ac:dyDescent="0.6">
      <c r="A125" s="234">
        <v>122</v>
      </c>
      <c r="B125" s="103" t="s">
        <v>643</v>
      </c>
      <c r="C125" s="103" t="s">
        <v>644</v>
      </c>
      <c r="D125" s="103" t="s">
        <v>301</v>
      </c>
      <c r="E125" s="148" t="s">
        <v>87</v>
      </c>
      <c r="F125" s="179" t="s">
        <v>642</v>
      </c>
      <c r="G125" s="322"/>
      <c r="H125" s="323"/>
      <c r="I125" s="322" t="s">
        <v>1064</v>
      </c>
      <c r="J125" s="322" t="s">
        <v>1051</v>
      </c>
      <c r="K125" s="241"/>
      <c r="L125" s="241"/>
      <c r="M125" s="271"/>
      <c r="N125" s="271"/>
      <c r="O125" s="271"/>
      <c r="P125" s="271"/>
      <c r="Q125" s="271"/>
      <c r="R125" s="271"/>
      <c r="S125" s="271">
        <v>15</v>
      </c>
      <c r="T125" s="271">
        <v>180</v>
      </c>
      <c r="U125" s="271">
        <v>180</v>
      </c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  <c r="AM125" s="271"/>
      <c r="AN125" s="271">
        <v>15</v>
      </c>
      <c r="AO125" s="271">
        <v>180</v>
      </c>
      <c r="AP125" s="271">
        <v>180</v>
      </c>
      <c r="AQ125" s="272">
        <f t="shared" si="9"/>
        <v>30</v>
      </c>
      <c r="AR125" s="272">
        <f t="shared" si="9"/>
        <v>360</v>
      </c>
      <c r="AS125" s="272">
        <f t="shared" si="9"/>
        <v>360</v>
      </c>
      <c r="AT125" s="273"/>
      <c r="AU125" s="273"/>
      <c r="AV125" s="273"/>
      <c r="AW125" s="273"/>
      <c r="AX125" s="273"/>
      <c r="AY125" s="273"/>
      <c r="AZ125" s="273"/>
      <c r="BA125" s="273"/>
      <c r="BB125" s="273"/>
      <c r="BC125" s="273"/>
      <c r="BD125" s="273"/>
      <c r="BE125" s="273"/>
      <c r="BF125" s="273"/>
      <c r="BG125" s="273"/>
      <c r="BH125" s="273"/>
      <c r="BI125" s="273"/>
      <c r="BJ125" s="273"/>
      <c r="BK125" s="273"/>
      <c r="BL125" s="273">
        <v>15</v>
      </c>
      <c r="BM125" s="273">
        <v>180</v>
      </c>
      <c r="BN125" s="273">
        <v>180</v>
      </c>
      <c r="BO125" s="273"/>
      <c r="BP125" s="273"/>
      <c r="BQ125" s="273"/>
      <c r="BR125" s="273"/>
      <c r="BS125" s="273"/>
      <c r="BT125" s="273"/>
      <c r="BU125" s="273"/>
      <c r="BV125" s="273"/>
      <c r="BW125" s="273"/>
      <c r="BX125" s="272">
        <f t="shared" si="10"/>
        <v>45</v>
      </c>
      <c r="BY125" s="272">
        <f t="shared" si="10"/>
        <v>540</v>
      </c>
      <c r="BZ125" s="272">
        <f t="shared" si="8"/>
        <v>540</v>
      </c>
      <c r="CA125" s="273"/>
      <c r="CB125" s="273"/>
      <c r="CC125" s="273"/>
      <c r="CD125" s="273"/>
      <c r="CE125" s="273"/>
      <c r="CF125" s="273"/>
      <c r="CG125" s="273"/>
      <c r="CH125" s="273"/>
      <c r="CI125" s="273"/>
      <c r="CJ125" s="273">
        <v>15</v>
      </c>
      <c r="CK125" s="273">
        <v>180</v>
      </c>
      <c r="CL125" s="273">
        <v>180</v>
      </c>
      <c r="CM125" s="273"/>
      <c r="CN125" s="273"/>
      <c r="CO125" s="273"/>
      <c r="CP125" s="273"/>
      <c r="CQ125" s="273"/>
      <c r="CR125" s="273"/>
      <c r="CS125" s="273"/>
      <c r="CT125" s="273"/>
      <c r="CU125" s="273"/>
      <c r="CV125" s="273"/>
      <c r="CW125" s="273"/>
      <c r="CX125" s="273"/>
      <c r="CY125" s="273"/>
      <c r="CZ125" s="273"/>
      <c r="DA125" s="273"/>
      <c r="DB125" s="273"/>
      <c r="DC125" s="273"/>
      <c r="DD125" s="273"/>
      <c r="DE125" s="273">
        <v>15</v>
      </c>
      <c r="DF125" s="271">
        <v>180</v>
      </c>
      <c r="DG125" s="271">
        <v>180</v>
      </c>
      <c r="DH125" s="272">
        <f t="shared" si="6"/>
        <v>75</v>
      </c>
      <c r="DI125" s="272">
        <f t="shared" si="6"/>
        <v>900</v>
      </c>
      <c r="DJ125" s="324">
        <f t="shared" si="6"/>
        <v>900</v>
      </c>
      <c r="DK125" s="325"/>
      <c r="DL125" s="325"/>
    </row>
    <row r="126" spans="1:116" s="275" customFormat="1" ht="20.100000000000001" customHeight="1" x14ac:dyDescent="0.6">
      <c r="A126" s="234">
        <v>123</v>
      </c>
      <c r="B126" s="103" t="s">
        <v>645</v>
      </c>
      <c r="C126" s="103" t="s">
        <v>646</v>
      </c>
      <c r="D126" s="103" t="s">
        <v>301</v>
      </c>
      <c r="E126" s="148" t="s">
        <v>87</v>
      </c>
      <c r="F126" s="179" t="s">
        <v>642</v>
      </c>
      <c r="G126" s="322"/>
      <c r="H126" s="323"/>
      <c r="I126" s="322" t="s">
        <v>1065</v>
      </c>
      <c r="J126" s="322" t="s">
        <v>1051</v>
      </c>
      <c r="K126" s="241"/>
      <c r="L126" s="24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  <c r="AM126" s="271"/>
      <c r="AN126" s="271"/>
      <c r="AO126" s="271"/>
      <c r="AP126" s="271"/>
      <c r="AQ126" s="272">
        <f t="shared" si="9"/>
        <v>0</v>
      </c>
      <c r="AR126" s="272">
        <f t="shared" si="9"/>
        <v>0</v>
      </c>
      <c r="AS126" s="272">
        <f t="shared" si="9"/>
        <v>0</v>
      </c>
      <c r="AT126" s="273"/>
      <c r="AU126" s="273"/>
      <c r="AV126" s="273"/>
      <c r="AW126" s="273"/>
      <c r="AX126" s="273"/>
      <c r="AY126" s="273"/>
      <c r="AZ126" s="273"/>
      <c r="BA126" s="273"/>
      <c r="BB126" s="273"/>
      <c r="BC126" s="273"/>
      <c r="BD126" s="273"/>
      <c r="BE126" s="273"/>
      <c r="BF126" s="273"/>
      <c r="BG126" s="273"/>
      <c r="BH126" s="273"/>
      <c r="BI126" s="273"/>
      <c r="BJ126" s="273"/>
      <c r="BK126" s="273"/>
      <c r="BL126" s="273"/>
      <c r="BM126" s="273"/>
      <c r="BN126" s="273"/>
      <c r="BO126" s="273"/>
      <c r="BP126" s="273"/>
      <c r="BQ126" s="273"/>
      <c r="BR126" s="273"/>
      <c r="BS126" s="273"/>
      <c r="BT126" s="273"/>
      <c r="BU126" s="273"/>
      <c r="BV126" s="273"/>
      <c r="BW126" s="273"/>
      <c r="BX126" s="272">
        <f t="shared" si="10"/>
        <v>0</v>
      </c>
      <c r="BY126" s="272">
        <f t="shared" si="10"/>
        <v>0</v>
      </c>
      <c r="BZ126" s="272">
        <f t="shared" si="8"/>
        <v>0</v>
      </c>
      <c r="CA126" s="273"/>
      <c r="CB126" s="273"/>
      <c r="CC126" s="273"/>
      <c r="CD126" s="273"/>
      <c r="CE126" s="273"/>
      <c r="CF126" s="273"/>
      <c r="CG126" s="273"/>
      <c r="CH126" s="273"/>
      <c r="CI126" s="273"/>
      <c r="CJ126" s="273"/>
      <c r="CK126" s="273"/>
      <c r="CL126" s="273"/>
      <c r="CM126" s="273"/>
      <c r="CN126" s="273"/>
      <c r="CO126" s="273"/>
      <c r="CP126" s="273"/>
      <c r="CQ126" s="273"/>
      <c r="CR126" s="273"/>
      <c r="CS126" s="273"/>
      <c r="CT126" s="273"/>
      <c r="CU126" s="273"/>
      <c r="CV126" s="273"/>
      <c r="CW126" s="273"/>
      <c r="CX126" s="273"/>
      <c r="CY126" s="273">
        <v>16</v>
      </c>
      <c r="CZ126" s="273">
        <v>296</v>
      </c>
      <c r="DA126" s="273">
        <v>214.24</v>
      </c>
      <c r="DB126" s="273"/>
      <c r="DC126" s="273"/>
      <c r="DD126" s="273"/>
      <c r="DE126" s="273"/>
      <c r="DF126" s="271"/>
      <c r="DG126" s="271"/>
      <c r="DH126" s="272">
        <f t="shared" si="6"/>
        <v>16</v>
      </c>
      <c r="DI126" s="272">
        <f t="shared" si="6"/>
        <v>296</v>
      </c>
      <c r="DJ126" s="324">
        <f t="shared" si="6"/>
        <v>214.24</v>
      </c>
      <c r="DK126" s="325"/>
      <c r="DL126" s="325"/>
    </row>
    <row r="127" spans="1:116" s="275" customFormat="1" ht="20.100000000000001" customHeight="1" x14ac:dyDescent="0.6">
      <c r="A127" s="234">
        <v>124</v>
      </c>
      <c r="B127" s="103" t="s">
        <v>647</v>
      </c>
      <c r="C127" s="103" t="s">
        <v>648</v>
      </c>
      <c r="D127" s="103" t="s">
        <v>301</v>
      </c>
      <c r="E127" s="148" t="s">
        <v>87</v>
      </c>
      <c r="F127" s="179" t="s">
        <v>642</v>
      </c>
      <c r="G127" s="322"/>
      <c r="H127" s="323"/>
      <c r="I127" s="322" t="s">
        <v>1066</v>
      </c>
      <c r="J127" s="322" t="s">
        <v>1051</v>
      </c>
      <c r="K127" s="241"/>
      <c r="L127" s="241"/>
      <c r="M127" s="271"/>
      <c r="N127" s="271"/>
      <c r="O127" s="271"/>
      <c r="P127" s="271"/>
      <c r="Q127" s="271"/>
      <c r="R127" s="271"/>
      <c r="S127" s="271">
        <v>7</v>
      </c>
      <c r="T127" s="271">
        <v>144</v>
      </c>
      <c r="U127" s="271">
        <v>81.92</v>
      </c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/>
      <c r="AL127" s="271"/>
      <c r="AM127" s="271"/>
      <c r="AN127" s="271">
        <v>10</v>
      </c>
      <c r="AO127" s="271">
        <v>180</v>
      </c>
      <c r="AP127" s="271">
        <v>113.12</v>
      </c>
      <c r="AQ127" s="272">
        <f t="shared" si="9"/>
        <v>17</v>
      </c>
      <c r="AR127" s="272">
        <f t="shared" si="9"/>
        <v>324</v>
      </c>
      <c r="AS127" s="272">
        <f t="shared" si="9"/>
        <v>195.04000000000002</v>
      </c>
      <c r="AT127" s="273"/>
      <c r="AU127" s="273"/>
      <c r="AV127" s="273"/>
      <c r="AW127" s="273"/>
      <c r="AX127" s="273"/>
      <c r="AY127" s="273"/>
      <c r="AZ127" s="273"/>
      <c r="BA127" s="273"/>
      <c r="BB127" s="273"/>
      <c r="BC127" s="273"/>
      <c r="BD127" s="273"/>
      <c r="BE127" s="273"/>
      <c r="BF127" s="273"/>
      <c r="BG127" s="273"/>
      <c r="BH127" s="273"/>
      <c r="BI127" s="273"/>
      <c r="BJ127" s="273"/>
      <c r="BK127" s="273"/>
      <c r="BL127" s="273">
        <v>13</v>
      </c>
      <c r="BM127" s="273">
        <v>276</v>
      </c>
      <c r="BN127" s="273">
        <v>151.84</v>
      </c>
      <c r="BO127" s="273"/>
      <c r="BP127" s="273"/>
      <c r="BQ127" s="273"/>
      <c r="BR127" s="273"/>
      <c r="BS127" s="273"/>
      <c r="BT127" s="273"/>
      <c r="BU127" s="273"/>
      <c r="BV127" s="273"/>
      <c r="BW127" s="273"/>
      <c r="BX127" s="272">
        <f t="shared" si="10"/>
        <v>30</v>
      </c>
      <c r="BY127" s="272">
        <f t="shared" si="10"/>
        <v>600</v>
      </c>
      <c r="BZ127" s="272">
        <f t="shared" si="8"/>
        <v>346.88</v>
      </c>
      <c r="CA127" s="273"/>
      <c r="CB127" s="273"/>
      <c r="CC127" s="273"/>
      <c r="CD127" s="273"/>
      <c r="CE127" s="273"/>
      <c r="CF127" s="273"/>
      <c r="CG127" s="273"/>
      <c r="CH127" s="273"/>
      <c r="CI127" s="273"/>
      <c r="CJ127" s="273">
        <v>1</v>
      </c>
      <c r="CK127" s="273">
        <v>40</v>
      </c>
      <c r="CL127" s="273">
        <v>14</v>
      </c>
      <c r="CM127" s="273"/>
      <c r="CN127" s="273"/>
      <c r="CO127" s="273"/>
      <c r="CP127" s="273"/>
      <c r="CQ127" s="273"/>
      <c r="CR127" s="273"/>
      <c r="CS127" s="273"/>
      <c r="CT127" s="273"/>
      <c r="CU127" s="273"/>
      <c r="CV127" s="273"/>
      <c r="CW127" s="273"/>
      <c r="CX127" s="273"/>
      <c r="CY127" s="273"/>
      <c r="CZ127" s="273"/>
      <c r="DA127" s="273"/>
      <c r="DB127" s="273"/>
      <c r="DC127" s="273"/>
      <c r="DD127" s="273"/>
      <c r="DE127" s="273">
        <v>5</v>
      </c>
      <c r="DF127" s="271">
        <v>200</v>
      </c>
      <c r="DG127" s="271">
        <v>70</v>
      </c>
      <c r="DH127" s="272">
        <f t="shared" si="6"/>
        <v>36</v>
      </c>
      <c r="DI127" s="272">
        <f t="shared" si="6"/>
        <v>840</v>
      </c>
      <c r="DJ127" s="324">
        <f t="shared" si="6"/>
        <v>430.88</v>
      </c>
      <c r="DK127" s="325"/>
      <c r="DL127" s="325"/>
    </row>
    <row r="128" spans="1:116" s="275" customFormat="1" ht="20.100000000000001" customHeight="1" x14ac:dyDescent="0.6">
      <c r="A128" s="234">
        <v>125</v>
      </c>
      <c r="B128" s="103" t="s">
        <v>649</v>
      </c>
      <c r="C128" s="103" t="s">
        <v>649</v>
      </c>
      <c r="D128" s="103" t="s">
        <v>116</v>
      </c>
      <c r="E128" s="148" t="s">
        <v>117</v>
      </c>
      <c r="F128" s="179" t="s">
        <v>642</v>
      </c>
      <c r="G128" s="322"/>
      <c r="H128" s="323"/>
      <c r="I128" s="322" t="s">
        <v>1067</v>
      </c>
      <c r="J128" s="322" t="s">
        <v>1051</v>
      </c>
      <c r="K128" s="241"/>
      <c r="L128" s="241"/>
      <c r="M128" s="271"/>
      <c r="N128" s="271"/>
      <c r="O128" s="271"/>
      <c r="P128" s="271">
        <v>0.41699999999999998</v>
      </c>
      <c r="Q128" s="271">
        <v>8</v>
      </c>
      <c r="R128" s="271">
        <v>3.5</v>
      </c>
      <c r="S128" s="271">
        <v>3.8</v>
      </c>
      <c r="T128" s="271">
        <v>68</v>
      </c>
      <c r="U128" s="271">
        <v>55.16</v>
      </c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  <c r="AO128" s="271"/>
      <c r="AP128" s="271"/>
      <c r="AQ128" s="272">
        <f t="shared" si="9"/>
        <v>4.2169999999999996</v>
      </c>
      <c r="AR128" s="272">
        <f t="shared" si="9"/>
        <v>76</v>
      </c>
      <c r="AS128" s="272">
        <f t="shared" si="9"/>
        <v>58.66</v>
      </c>
      <c r="AT128" s="273"/>
      <c r="AU128" s="273"/>
      <c r="AV128" s="273"/>
      <c r="AW128" s="273"/>
      <c r="AX128" s="273"/>
      <c r="AY128" s="273"/>
      <c r="AZ128" s="273"/>
      <c r="BA128" s="273"/>
      <c r="BB128" s="273"/>
      <c r="BC128" s="273"/>
      <c r="BD128" s="273"/>
      <c r="BE128" s="273"/>
      <c r="BF128" s="273"/>
      <c r="BG128" s="273"/>
      <c r="BH128" s="273"/>
      <c r="BI128" s="273">
        <v>9</v>
      </c>
      <c r="BJ128" s="273">
        <v>140</v>
      </c>
      <c r="BK128" s="273">
        <v>103.92</v>
      </c>
      <c r="BL128" s="273"/>
      <c r="BM128" s="273"/>
      <c r="BN128" s="273"/>
      <c r="BO128" s="273"/>
      <c r="BP128" s="273"/>
      <c r="BQ128" s="273"/>
      <c r="BR128" s="273"/>
      <c r="BS128" s="273"/>
      <c r="BT128" s="273"/>
      <c r="BU128" s="273"/>
      <c r="BV128" s="273"/>
      <c r="BW128" s="273"/>
      <c r="BX128" s="272">
        <f t="shared" si="10"/>
        <v>13.216999999999999</v>
      </c>
      <c r="BY128" s="272">
        <f t="shared" si="10"/>
        <v>216</v>
      </c>
      <c r="BZ128" s="272">
        <f t="shared" si="8"/>
        <v>162.57999999999998</v>
      </c>
      <c r="CA128" s="273"/>
      <c r="CB128" s="273"/>
      <c r="CC128" s="273"/>
      <c r="CD128" s="273"/>
      <c r="CE128" s="273"/>
      <c r="CF128" s="273"/>
      <c r="CG128" s="273">
        <v>8</v>
      </c>
      <c r="CH128" s="273">
        <v>112</v>
      </c>
      <c r="CI128" s="273">
        <v>112</v>
      </c>
      <c r="CJ128" s="273"/>
      <c r="CK128" s="273"/>
      <c r="CL128" s="273"/>
      <c r="CM128" s="273"/>
      <c r="CN128" s="273"/>
      <c r="CO128" s="273"/>
      <c r="CP128" s="273"/>
      <c r="CQ128" s="273"/>
      <c r="CR128" s="273"/>
      <c r="CS128" s="273"/>
      <c r="CT128" s="273"/>
      <c r="CU128" s="273"/>
      <c r="CV128" s="273"/>
      <c r="CW128" s="273"/>
      <c r="CX128" s="273"/>
      <c r="CY128" s="273"/>
      <c r="CZ128" s="273"/>
      <c r="DA128" s="273"/>
      <c r="DB128" s="273">
        <v>6</v>
      </c>
      <c r="DC128" s="273">
        <v>94</v>
      </c>
      <c r="DD128" s="273">
        <v>78.88</v>
      </c>
      <c r="DE128" s="273"/>
      <c r="DF128" s="271"/>
      <c r="DG128" s="271"/>
      <c r="DH128" s="272">
        <f t="shared" si="6"/>
        <v>27.216999999999999</v>
      </c>
      <c r="DI128" s="272">
        <f t="shared" si="6"/>
        <v>422</v>
      </c>
      <c r="DJ128" s="324">
        <f t="shared" si="6"/>
        <v>353.46</v>
      </c>
      <c r="DK128" s="325"/>
      <c r="DL128" s="325"/>
    </row>
    <row r="129" spans="1:116" s="275" customFormat="1" ht="20.100000000000001" customHeight="1" x14ac:dyDescent="0.6">
      <c r="A129" s="234">
        <v>126</v>
      </c>
      <c r="B129" s="103" t="s">
        <v>650</v>
      </c>
      <c r="C129" s="103" t="s">
        <v>650</v>
      </c>
      <c r="D129" s="103" t="s">
        <v>116</v>
      </c>
      <c r="E129" s="148" t="s">
        <v>117</v>
      </c>
      <c r="F129" s="179" t="s">
        <v>642</v>
      </c>
      <c r="G129" s="322"/>
      <c r="H129" s="323"/>
      <c r="I129" s="322" t="s">
        <v>1068</v>
      </c>
      <c r="J129" s="322" t="s">
        <v>1051</v>
      </c>
      <c r="K129" s="241"/>
      <c r="L129" s="24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>
        <v>15</v>
      </c>
      <c r="AL129" s="271">
        <v>190</v>
      </c>
      <c r="AM129" s="271">
        <v>164.8</v>
      </c>
      <c r="AN129" s="271"/>
      <c r="AO129" s="271"/>
      <c r="AP129" s="271"/>
      <c r="AQ129" s="272">
        <f t="shared" si="9"/>
        <v>15</v>
      </c>
      <c r="AR129" s="272">
        <f t="shared" si="9"/>
        <v>190</v>
      </c>
      <c r="AS129" s="272">
        <f t="shared" si="9"/>
        <v>164.8</v>
      </c>
      <c r="AT129" s="273"/>
      <c r="AU129" s="273"/>
      <c r="AV129" s="273"/>
      <c r="AW129" s="273"/>
      <c r="AX129" s="273"/>
      <c r="AY129" s="273"/>
      <c r="AZ129" s="273"/>
      <c r="BA129" s="273"/>
      <c r="BB129" s="273"/>
      <c r="BC129" s="273"/>
      <c r="BD129" s="273"/>
      <c r="BE129" s="273"/>
      <c r="BF129" s="273"/>
      <c r="BG129" s="273"/>
      <c r="BH129" s="273"/>
      <c r="BI129" s="273">
        <v>1</v>
      </c>
      <c r="BJ129" s="273">
        <v>12</v>
      </c>
      <c r="BK129" s="273">
        <v>12</v>
      </c>
      <c r="BL129" s="273"/>
      <c r="BM129" s="273"/>
      <c r="BN129" s="273"/>
      <c r="BO129" s="273"/>
      <c r="BP129" s="273"/>
      <c r="BQ129" s="273"/>
      <c r="BR129" s="273"/>
      <c r="BS129" s="273"/>
      <c r="BT129" s="273"/>
      <c r="BU129" s="273"/>
      <c r="BV129" s="273"/>
      <c r="BW129" s="273"/>
      <c r="BX129" s="272">
        <f t="shared" si="10"/>
        <v>16</v>
      </c>
      <c r="BY129" s="272">
        <f t="shared" si="10"/>
        <v>202</v>
      </c>
      <c r="BZ129" s="272">
        <f t="shared" si="8"/>
        <v>176.8</v>
      </c>
      <c r="CA129" s="273"/>
      <c r="CB129" s="273"/>
      <c r="CC129" s="273"/>
      <c r="CD129" s="273"/>
      <c r="CE129" s="273"/>
      <c r="CF129" s="273"/>
      <c r="CG129" s="273">
        <v>5</v>
      </c>
      <c r="CH129" s="273">
        <v>70</v>
      </c>
      <c r="CI129" s="273">
        <v>44.8</v>
      </c>
      <c r="CJ129" s="273"/>
      <c r="CK129" s="273"/>
      <c r="CL129" s="273"/>
      <c r="CM129" s="273"/>
      <c r="CN129" s="273"/>
      <c r="CO129" s="273"/>
      <c r="CP129" s="273"/>
      <c r="CQ129" s="273"/>
      <c r="CR129" s="273"/>
      <c r="CS129" s="273"/>
      <c r="CT129" s="273"/>
      <c r="CU129" s="273"/>
      <c r="CV129" s="273"/>
      <c r="CW129" s="273"/>
      <c r="CX129" s="273"/>
      <c r="CY129" s="273"/>
      <c r="CZ129" s="273"/>
      <c r="DA129" s="273"/>
      <c r="DB129" s="273">
        <v>28</v>
      </c>
      <c r="DC129" s="273">
        <v>420</v>
      </c>
      <c r="DD129" s="273">
        <v>342</v>
      </c>
      <c r="DE129" s="273"/>
      <c r="DF129" s="271"/>
      <c r="DG129" s="271"/>
      <c r="DH129" s="272">
        <f t="shared" si="6"/>
        <v>49</v>
      </c>
      <c r="DI129" s="272">
        <f t="shared" si="6"/>
        <v>692</v>
      </c>
      <c r="DJ129" s="324">
        <f t="shared" si="6"/>
        <v>563.6</v>
      </c>
      <c r="DK129" s="325"/>
      <c r="DL129" s="325"/>
    </row>
    <row r="130" spans="1:116" s="275" customFormat="1" ht="20.100000000000001" customHeight="1" x14ac:dyDescent="0.6">
      <c r="A130" s="234">
        <v>127</v>
      </c>
      <c r="B130" s="103" t="s">
        <v>651</v>
      </c>
      <c r="C130" s="103" t="s">
        <v>652</v>
      </c>
      <c r="D130" s="103" t="s">
        <v>116</v>
      </c>
      <c r="E130" s="148" t="s">
        <v>117</v>
      </c>
      <c r="F130" s="179" t="s">
        <v>642</v>
      </c>
      <c r="G130" s="322"/>
      <c r="H130" s="323"/>
      <c r="I130" s="322" t="s">
        <v>1069</v>
      </c>
      <c r="J130" s="322" t="s">
        <v>1051</v>
      </c>
      <c r="K130" s="241"/>
      <c r="L130" s="241"/>
      <c r="M130" s="271"/>
      <c r="N130" s="271"/>
      <c r="O130" s="271"/>
      <c r="P130" s="271"/>
      <c r="Q130" s="271"/>
      <c r="R130" s="271"/>
      <c r="S130" s="271">
        <v>5.7</v>
      </c>
      <c r="T130" s="271">
        <v>74</v>
      </c>
      <c r="U130" s="271">
        <v>65.599999999999994</v>
      </c>
      <c r="V130" s="271"/>
      <c r="W130" s="271"/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>
        <v>12</v>
      </c>
      <c r="AL130" s="271">
        <v>240</v>
      </c>
      <c r="AM130" s="271">
        <v>188</v>
      </c>
      <c r="AN130" s="271"/>
      <c r="AO130" s="271"/>
      <c r="AP130" s="271"/>
      <c r="AQ130" s="272">
        <f t="shared" si="9"/>
        <v>17.7</v>
      </c>
      <c r="AR130" s="272">
        <f t="shared" si="9"/>
        <v>314</v>
      </c>
      <c r="AS130" s="272">
        <f t="shared" si="9"/>
        <v>253.6</v>
      </c>
      <c r="AT130" s="273"/>
      <c r="AU130" s="273"/>
      <c r="AV130" s="273"/>
      <c r="AW130" s="273"/>
      <c r="AX130" s="273"/>
      <c r="AY130" s="273"/>
      <c r="AZ130" s="273"/>
      <c r="BA130" s="273"/>
      <c r="BB130" s="273"/>
      <c r="BC130" s="273"/>
      <c r="BD130" s="273"/>
      <c r="BE130" s="273"/>
      <c r="BF130" s="273"/>
      <c r="BG130" s="273"/>
      <c r="BH130" s="273"/>
      <c r="BI130" s="273">
        <v>3</v>
      </c>
      <c r="BJ130" s="273">
        <v>42</v>
      </c>
      <c r="BK130" s="273">
        <v>26.88</v>
      </c>
      <c r="BL130" s="273"/>
      <c r="BM130" s="273"/>
      <c r="BN130" s="273"/>
      <c r="BO130" s="273"/>
      <c r="BP130" s="273"/>
      <c r="BQ130" s="273"/>
      <c r="BR130" s="273"/>
      <c r="BS130" s="273"/>
      <c r="BT130" s="273"/>
      <c r="BU130" s="273"/>
      <c r="BV130" s="273"/>
      <c r="BW130" s="273"/>
      <c r="BX130" s="272">
        <f t="shared" si="10"/>
        <v>20.7</v>
      </c>
      <c r="BY130" s="272">
        <f t="shared" si="10"/>
        <v>356</v>
      </c>
      <c r="BZ130" s="272">
        <f t="shared" si="8"/>
        <v>280.48</v>
      </c>
      <c r="CA130" s="273"/>
      <c r="CB130" s="273"/>
      <c r="CC130" s="273"/>
      <c r="CD130" s="273"/>
      <c r="CE130" s="273"/>
      <c r="CF130" s="273"/>
      <c r="CG130" s="273">
        <v>7</v>
      </c>
      <c r="CH130" s="273">
        <v>116</v>
      </c>
      <c r="CI130" s="273">
        <v>116</v>
      </c>
      <c r="CJ130" s="273"/>
      <c r="CK130" s="273"/>
      <c r="CL130" s="273"/>
      <c r="CM130" s="273"/>
      <c r="CN130" s="273"/>
      <c r="CO130" s="273"/>
      <c r="CP130" s="273"/>
      <c r="CQ130" s="273"/>
      <c r="CR130" s="273"/>
      <c r="CS130" s="273"/>
      <c r="CT130" s="273"/>
      <c r="CU130" s="273"/>
      <c r="CV130" s="273"/>
      <c r="CW130" s="273"/>
      <c r="CX130" s="273"/>
      <c r="CY130" s="273"/>
      <c r="CZ130" s="273"/>
      <c r="DA130" s="273"/>
      <c r="DB130" s="273">
        <v>12</v>
      </c>
      <c r="DC130" s="273">
        <v>168</v>
      </c>
      <c r="DD130" s="273">
        <v>168</v>
      </c>
      <c r="DE130" s="273"/>
      <c r="DF130" s="271"/>
      <c r="DG130" s="271"/>
      <c r="DH130" s="272">
        <f t="shared" si="6"/>
        <v>39.700000000000003</v>
      </c>
      <c r="DI130" s="272">
        <f t="shared" si="6"/>
        <v>640</v>
      </c>
      <c r="DJ130" s="324">
        <f t="shared" si="6"/>
        <v>564.48</v>
      </c>
      <c r="DK130" s="325"/>
      <c r="DL130" s="325"/>
    </row>
    <row r="131" spans="1:116" s="275" customFormat="1" ht="20.100000000000001" customHeight="1" x14ac:dyDescent="0.6">
      <c r="A131" s="234">
        <v>128</v>
      </c>
      <c r="B131" s="103" t="s">
        <v>653</v>
      </c>
      <c r="C131" s="103" t="s">
        <v>654</v>
      </c>
      <c r="D131" s="103" t="s">
        <v>116</v>
      </c>
      <c r="E131" s="148" t="s">
        <v>117</v>
      </c>
      <c r="F131" s="179" t="s">
        <v>642</v>
      </c>
      <c r="G131" s="322"/>
      <c r="H131" s="323"/>
      <c r="I131" s="322" t="s">
        <v>1070</v>
      </c>
      <c r="J131" s="322" t="s">
        <v>1051</v>
      </c>
      <c r="K131" s="241"/>
      <c r="L131" s="241"/>
      <c r="M131" s="271"/>
      <c r="N131" s="271"/>
      <c r="O131" s="271"/>
      <c r="P131" s="271"/>
      <c r="Q131" s="271"/>
      <c r="R131" s="271"/>
      <c r="S131" s="271">
        <v>15</v>
      </c>
      <c r="T131" s="271">
        <v>320</v>
      </c>
      <c r="U131" s="271">
        <v>190</v>
      </c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>
        <v>10</v>
      </c>
      <c r="AL131" s="271">
        <v>130</v>
      </c>
      <c r="AM131" s="271">
        <v>104.8</v>
      </c>
      <c r="AN131" s="271"/>
      <c r="AO131" s="271"/>
      <c r="AP131" s="271"/>
      <c r="AQ131" s="272">
        <f t="shared" si="9"/>
        <v>25</v>
      </c>
      <c r="AR131" s="272">
        <f t="shared" si="9"/>
        <v>450</v>
      </c>
      <c r="AS131" s="272">
        <f t="shared" si="9"/>
        <v>294.8</v>
      </c>
      <c r="AT131" s="273"/>
      <c r="AU131" s="273"/>
      <c r="AV131" s="273"/>
      <c r="AW131" s="273"/>
      <c r="AX131" s="273"/>
      <c r="AY131" s="273"/>
      <c r="AZ131" s="273"/>
      <c r="BA131" s="273"/>
      <c r="BB131" s="273"/>
      <c r="BC131" s="273"/>
      <c r="BD131" s="273"/>
      <c r="BE131" s="273"/>
      <c r="BF131" s="273"/>
      <c r="BG131" s="273"/>
      <c r="BH131" s="273"/>
      <c r="BI131" s="273">
        <v>10</v>
      </c>
      <c r="BJ131" s="273">
        <v>130</v>
      </c>
      <c r="BK131" s="273">
        <v>104.8</v>
      </c>
      <c r="BL131" s="273"/>
      <c r="BM131" s="273"/>
      <c r="BN131" s="273"/>
      <c r="BO131" s="273"/>
      <c r="BP131" s="273"/>
      <c r="BQ131" s="273"/>
      <c r="BR131" s="273"/>
      <c r="BS131" s="273"/>
      <c r="BT131" s="273"/>
      <c r="BU131" s="273"/>
      <c r="BV131" s="273"/>
      <c r="BW131" s="273"/>
      <c r="BX131" s="272">
        <f t="shared" si="10"/>
        <v>35</v>
      </c>
      <c r="BY131" s="272">
        <f t="shared" si="10"/>
        <v>580</v>
      </c>
      <c r="BZ131" s="272">
        <f t="shared" si="8"/>
        <v>399.6</v>
      </c>
      <c r="CA131" s="273"/>
      <c r="CB131" s="273"/>
      <c r="CC131" s="273"/>
      <c r="CD131" s="273"/>
      <c r="CE131" s="273"/>
      <c r="CF131" s="273"/>
      <c r="CG131" s="273">
        <v>10</v>
      </c>
      <c r="CH131" s="273">
        <v>120</v>
      </c>
      <c r="CI131" s="273">
        <v>120</v>
      </c>
      <c r="CJ131" s="273"/>
      <c r="CK131" s="273"/>
      <c r="CL131" s="273"/>
      <c r="CM131" s="273"/>
      <c r="CN131" s="273"/>
      <c r="CO131" s="273"/>
      <c r="CP131" s="273"/>
      <c r="CQ131" s="273"/>
      <c r="CR131" s="273"/>
      <c r="CS131" s="273"/>
      <c r="CT131" s="273"/>
      <c r="CU131" s="273"/>
      <c r="CV131" s="273"/>
      <c r="CW131" s="273"/>
      <c r="CX131" s="273"/>
      <c r="CY131" s="273"/>
      <c r="CZ131" s="273"/>
      <c r="DA131" s="273"/>
      <c r="DB131" s="273">
        <v>20</v>
      </c>
      <c r="DC131" s="273">
        <v>390</v>
      </c>
      <c r="DD131" s="273">
        <v>234.8</v>
      </c>
      <c r="DE131" s="273"/>
      <c r="DF131" s="271"/>
      <c r="DG131" s="271"/>
      <c r="DH131" s="272">
        <f t="shared" si="6"/>
        <v>65</v>
      </c>
      <c r="DI131" s="272">
        <f t="shared" si="6"/>
        <v>1090</v>
      </c>
      <c r="DJ131" s="324">
        <f t="shared" si="6"/>
        <v>754.40000000000009</v>
      </c>
      <c r="DK131" s="325"/>
      <c r="DL131" s="325"/>
    </row>
    <row r="132" spans="1:116" s="275" customFormat="1" ht="20.100000000000001" customHeight="1" x14ac:dyDescent="0.6">
      <c r="A132" s="234">
        <v>129</v>
      </c>
      <c r="B132" s="103" t="s">
        <v>655</v>
      </c>
      <c r="C132" s="103" t="s">
        <v>656</v>
      </c>
      <c r="D132" s="103" t="s">
        <v>657</v>
      </c>
      <c r="E132" s="148" t="s">
        <v>658</v>
      </c>
      <c r="F132" s="179" t="s">
        <v>642</v>
      </c>
      <c r="G132" s="322"/>
      <c r="H132" s="323"/>
      <c r="I132" s="322" t="s">
        <v>1071</v>
      </c>
      <c r="J132" s="322" t="s">
        <v>1051</v>
      </c>
      <c r="K132" s="241"/>
      <c r="L132" s="24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  <c r="AM132" s="271"/>
      <c r="AN132" s="271"/>
      <c r="AO132" s="271"/>
      <c r="AP132" s="271"/>
      <c r="AQ132" s="272">
        <f t="shared" si="9"/>
        <v>0</v>
      </c>
      <c r="AR132" s="272">
        <f t="shared" si="9"/>
        <v>0</v>
      </c>
      <c r="AS132" s="272">
        <f t="shared" si="9"/>
        <v>0</v>
      </c>
      <c r="AT132" s="273"/>
      <c r="AU132" s="273"/>
      <c r="AV132" s="273"/>
      <c r="AW132" s="273"/>
      <c r="AX132" s="273"/>
      <c r="AY132" s="273"/>
      <c r="AZ132" s="273"/>
      <c r="BA132" s="273"/>
      <c r="BB132" s="273"/>
      <c r="BC132" s="273"/>
      <c r="BD132" s="273"/>
      <c r="BE132" s="273"/>
      <c r="BF132" s="273">
        <v>7</v>
      </c>
      <c r="BG132" s="273">
        <v>84</v>
      </c>
      <c r="BH132" s="273">
        <v>84</v>
      </c>
      <c r="BI132" s="273"/>
      <c r="BJ132" s="273"/>
      <c r="BK132" s="273"/>
      <c r="BL132" s="273"/>
      <c r="BM132" s="273"/>
      <c r="BN132" s="273"/>
      <c r="BO132" s="273"/>
      <c r="BP132" s="273"/>
      <c r="BQ132" s="273"/>
      <c r="BR132" s="273"/>
      <c r="BS132" s="273"/>
      <c r="BT132" s="273"/>
      <c r="BU132" s="273"/>
      <c r="BV132" s="273"/>
      <c r="BW132" s="273"/>
      <c r="BX132" s="272">
        <f t="shared" si="10"/>
        <v>7</v>
      </c>
      <c r="BY132" s="272">
        <f t="shared" si="10"/>
        <v>84</v>
      </c>
      <c r="BZ132" s="272">
        <f t="shared" si="8"/>
        <v>84</v>
      </c>
      <c r="CA132" s="273"/>
      <c r="CB132" s="273"/>
      <c r="CC132" s="273"/>
      <c r="CD132" s="273"/>
      <c r="CE132" s="273"/>
      <c r="CF132" s="273"/>
      <c r="CG132" s="273"/>
      <c r="CH132" s="273"/>
      <c r="CI132" s="273"/>
      <c r="CJ132" s="273"/>
      <c r="CK132" s="273"/>
      <c r="CL132" s="273"/>
      <c r="CM132" s="273"/>
      <c r="CN132" s="273"/>
      <c r="CO132" s="273"/>
      <c r="CP132" s="273"/>
      <c r="CQ132" s="273"/>
      <c r="CR132" s="273"/>
      <c r="CS132" s="273"/>
      <c r="CT132" s="273"/>
      <c r="CU132" s="273"/>
      <c r="CV132" s="273"/>
      <c r="CW132" s="273"/>
      <c r="CX132" s="273"/>
      <c r="CY132" s="273">
        <v>5</v>
      </c>
      <c r="CZ132" s="273">
        <v>60</v>
      </c>
      <c r="DA132" s="273">
        <v>60</v>
      </c>
      <c r="DB132" s="273"/>
      <c r="DC132" s="273"/>
      <c r="DD132" s="273"/>
      <c r="DE132" s="273"/>
      <c r="DF132" s="271"/>
      <c r="DG132" s="271"/>
      <c r="DH132" s="272">
        <f t="shared" si="6"/>
        <v>12</v>
      </c>
      <c r="DI132" s="272">
        <f t="shared" si="6"/>
        <v>144</v>
      </c>
      <c r="DJ132" s="324">
        <f t="shared" si="6"/>
        <v>144</v>
      </c>
      <c r="DK132" s="325"/>
      <c r="DL132" s="325"/>
    </row>
    <row r="133" spans="1:116" s="275" customFormat="1" ht="20.100000000000001" customHeight="1" x14ac:dyDescent="0.6">
      <c r="A133" s="234">
        <v>130</v>
      </c>
      <c r="B133" s="103" t="s">
        <v>659</v>
      </c>
      <c r="C133" s="103" t="s">
        <v>660</v>
      </c>
      <c r="D133" s="103" t="s">
        <v>657</v>
      </c>
      <c r="E133" s="148" t="s">
        <v>658</v>
      </c>
      <c r="F133" s="179" t="s">
        <v>642</v>
      </c>
      <c r="G133" s="331"/>
      <c r="H133" s="331"/>
      <c r="I133" s="331"/>
      <c r="J133" s="331"/>
      <c r="K133" s="332"/>
      <c r="L133" s="241"/>
      <c r="M133" s="271"/>
      <c r="N133" s="271"/>
      <c r="O133" s="271"/>
      <c r="P133" s="271">
        <v>30</v>
      </c>
      <c r="Q133" s="271">
        <v>420</v>
      </c>
      <c r="R133" s="271">
        <v>268.8</v>
      </c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>
        <v>23</v>
      </c>
      <c r="AI133" s="271">
        <v>316</v>
      </c>
      <c r="AJ133" s="271">
        <v>215.2</v>
      </c>
      <c r="AK133" s="271"/>
      <c r="AL133" s="271"/>
      <c r="AM133" s="271"/>
      <c r="AN133" s="271"/>
      <c r="AO133" s="271"/>
      <c r="AP133" s="271"/>
      <c r="AQ133" s="272">
        <f t="shared" si="9"/>
        <v>53</v>
      </c>
      <c r="AR133" s="272">
        <f t="shared" si="9"/>
        <v>736</v>
      </c>
      <c r="AS133" s="272">
        <f t="shared" si="9"/>
        <v>484</v>
      </c>
      <c r="AT133" s="273"/>
      <c r="AU133" s="273"/>
      <c r="AV133" s="273"/>
      <c r="AW133" s="273"/>
      <c r="AX133" s="273"/>
      <c r="AY133" s="273"/>
      <c r="AZ133" s="273"/>
      <c r="BA133" s="273"/>
      <c r="BB133" s="273"/>
      <c r="BC133" s="273"/>
      <c r="BD133" s="273"/>
      <c r="BE133" s="273"/>
      <c r="BF133" s="273"/>
      <c r="BG133" s="273"/>
      <c r="BH133" s="273"/>
      <c r="BI133" s="273"/>
      <c r="BJ133" s="273"/>
      <c r="BK133" s="273"/>
      <c r="BL133" s="273"/>
      <c r="BM133" s="273"/>
      <c r="BN133" s="273"/>
      <c r="BO133" s="273"/>
      <c r="BP133" s="273"/>
      <c r="BQ133" s="273"/>
      <c r="BR133" s="273"/>
      <c r="BS133" s="273"/>
      <c r="BT133" s="273"/>
      <c r="BU133" s="273"/>
      <c r="BV133" s="273"/>
      <c r="BW133" s="273"/>
      <c r="BX133" s="272">
        <f t="shared" si="10"/>
        <v>53</v>
      </c>
      <c r="BY133" s="272">
        <f t="shared" si="10"/>
        <v>736</v>
      </c>
      <c r="BZ133" s="272">
        <f t="shared" si="8"/>
        <v>484</v>
      </c>
      <c r="CA133" s="273"/>
      <c r="CB133" s="273"/>
      <c r="CC133" s="273"/>
      <c r="CD133" s="273">
        <v>28</v>
      </c>
      <c r="CE133" s="273">
        <v>386</v>
      </c>
      <c r="CF133" s="273">
        <v>260</v>
      </c>
      <c r="CG133" s="273"/>
      <c r="CH133" s="273"/>
      <c r="CI133" s="273"/>
      <c r="CJ133" s="273"/>
      <c r="CK133" s="273"/>
      <c r="CL133" s="273"/>
      <c r="CM133" s="273"/>
      <c r="CN133" s="273"/>
      <c r="CO133" s="273"/>
      <c r="CP133" s="273"/>
      <c r="CQ133" s="273"/>
      <c r="CR133" s="273"/>
      <c r="CS133" s="273"/>
      <c r="CT133" s="273"/>
      <c r="CU133" s="273"/>
      <c r="CV133" s="273"/>
      <c r="CW133" s="273"/>
      <c r="CX133" s="273"/>
      <c r="CY133" s="273">
        <v>35</v>
      </c>
      <c r="CZ133" s="273">
        <v>536</v>
      </c>
      <c r="DA133" s="273">
        <v>332.8</v>
      </c>
      <c r="DB133" s="273"/>
      <c r="DC133" s="273"/>
      <c r="DD133" s="273"/>
      <c r="DE133" s="273"/>
      <c r="DF133" s="271"/>
      <c r="DG133" s="271"/>
      <c r="DH133" s="272">
        <f t="shared" ref="DH133:DJ146" si="11">BX133+CA133+CD133+CG133+CJ133+CM133+CP133+CS133+CV133+CY133+DB133+DE133</f>
        <v>116</v>
      </c>
      <c r="DI133" s="272">
        <f t="shared" si="11"/>
        <v>1658</v>
      </c>
      <c r="DJ133" s="324">
        <f t="shared" si="11"/>
        <v>1076.8</v>
      </c>
      <c r="DK133" s="325"/>
      <c r="DL133" s="325"/>
    </row>
    <row r="134" spans="1:116" s="275" customFormat="1" ht="20.100000000000001" customHeight="1" x14ac:dyDescent="0.6">
      <c r="A134" s="234">
        <v>131</v>
      </c>
      <c r="B134" s="103" t="s">
        <v>661</v>
      </c>
      <c r="C134" s="103" t="s">
        <v>662</v>
      </c>
      <c r="D134" s="103" t="s">
        <v>330</v>
      </c>
      <c r="E134" s="148" t="s">
        <v>331</v>
      </c>
      <c r="F134" s="179" t="s">
        <v>642</v>
      </c>
      <c r="G134" s="331"/>
      <c r="H134" s="331"/>
      <c r="I134" s="331"/>
      <c r="J134" s="331"/>
      <c r="K134" s="332"/>
      <c r="L134" s="24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  <c r="AM134" s="271"/>
      <c r="AN134" s="271"/>
      <c r="AO134" s="271"/>
      <c r="AP134" s="271"/>
      <c r="AQ134" s="272">
        <f t="shared" si="9"/>
        <v>0</v>
      </c>
      <c r="AR134" s="272">
        <f t="shared" si="9"/>
        <v>0</v>
      </c>
      <c r="AS134" s="272">
        <f t="shared" si="9"/>
        <v>0</v>
      </c>
      <c r="AT134" s="273"/>
      <c r="AU134" s="273"/>
      <c r="AV134" s="273"/>
      <c r="AW134" s="273"/>
      <c r="AX134" s="273"/>
      <c r="AY134" s="273"/>
      <c r="AZ134" s="273"/>
      <c r="BA134" s="273"/>
      <c r="BB134" s="273"/>
      <c r="BC134" s="273"/>
      <c r="BD134" s="273"/>
      <c r="BE134" s="273"/>
      <c r="BF134" s="273"/>
      <c r="BG134" s="273"/>
      <c r="BH134" s="273"/>
      <c r="BI134" s="273"/>
      <c r="BJ134" s="273"/>
      <c r="BK134" s="273"/>
      <c r="BL134" s="273"/>
      <c r="BM134" s="273"/>
      <c r="BN134" s="273"/>
      <c r="BO134" s="273"/>
      <c r="BP134" s="273"/>
      <c r="BQ134" s="273"/>
      <c r="BR134" s="273"/>
      <c r="BS134" s="273"/>
      <c r="BT134" s="273"/>
      <c r="BU134" s="273"/>
      <c r="BV134" s="273"/>
      <c r="BW134" s="273"/>
      <c r="BX134" s="272">
        <f t="shared" si="10"/>
        <v>0</v>
      </c>
      <c r="BY134" s="272">
        <f t="shared" si="10"/>
        <v>0</v>
      </c>
      <c r="BZ134" s="272">
        <f t="shared" ref="BZ134:BZ146" si="12">AS134+AV134+AY134+BB134+BE134+BH134+BK134+BN134+BQ134+BT134+BW134</f>
        <v>0</v>
      </c>
      <c r="CA134" s="273"/>
      <c r="CB134" s="273"/>
      <c r="CC134" s="273"/>
      <c r="CD134" s="273"/>
      <c r="CE134" s="273"/>
      <c r="CF134" s="273"/>
      <c r="CG134" s="273"/>
      <c r="CH134" s="273"/>
      <c r="CI134" s="273"/>
      <c r="CJ134" s="273"/>
      <c r="CK134" s="273"/>
      <c r="CL134" s="273"/>
      <c r="CM134" s="273"/>
      <c r="CN134" s="273"/>
      <c r="CO134" s="273"/>
      <c r="CP134" s="273"/>
      <c r="CQ134" s="273"/>
      <c r="CR134" s="273"/>
      <c r="CS134" s="273"/>
      <c r="CT134" s="273"/>
      <c r="CU134" s="273"/>
      <c r="CV134" s="273"/>
      <c r="CW134" s="273"/>
      <c r="CX134" s="273"/>
      <c r="CY134" s="273"/>
      <c r="CZ134" s="273"/>
      <c r="DA134" s="273"/>
      <c r="DB134" s="273"/>
      <c r="DC134" s="273"/>
      <c r="DD134" s="273"/>
      <c r="DE134" s="273"/>
      <c r="DF134" s="271"/>
      <c r="DG134" s="271"/>
      <c r="DH134" s="272">
        <f t="shared" si="11"/>
        <v>0</v>
      </c>
      <c r="DI134" s="272">
        <f t="shared" si="11"/>
        <v>0</v>
      </c>
      <c r="DJ134" s="324">
        <f t="shared" si="11"/>
        <v>0</v>
      </c>
      <c r="DK134" s="325"/>
      <c r="DL134" s="325"/>
    </row>
    <row r="135" spans="1:116" s="275" customFormat="1" ht="20.100000000000001" customHeight="1" x14ac:dyDescent="0.6">
      <c r="A135" s="234">
        <v>132</v>
      </c>
      <c r="B135" s="103" t="s">
        <v>663</v>
      </c>
      <c r="C135" s="103" t="s">
        <v>663</v>
      </c>
      <c r="D135" s="103" t="s">
        <v>664</v>
      </c>
      <c r="E135" s="148" t="s">
        <v>665</v>
      </c>
      <c r="F135" s="179" t="s">
        <v>642</v>
      </c>
      <c r="G135" s="331"/>
      <c r="H135" s="331"/>
      <c r="I135" s="331"/>
      <c r="J135" s="331"/>
      <c r="K135" s="332"/>
      <c r="L135" s="332"/>
      <c r="M135" s="271"/>
      <c r="N135" s="271"/>
      <c r="O135" s="271"/>
      <c r="P135" s="271">
        <v>0.25</v>
      </c>
      <c r="Q135" s="271">
        <v>6</v>
      </c>
      <c r="R135" s="271">
        <v>2.1</v>
      </c>
      <c r="S135" s="271">
        <v>0.66600000000000004</v>
      </c>
      <c r="T135" s="271">
        <v>14</v>
      </c>
      <c r="U135" s="271">
        <v>5.6</v>
      </c>
      <c r="V135" s="271"/>
      <c r="W135" s="271"/>
      <c r="X135" s="271"/>
      <c r="Y135" s="271">
        <v>17</v>
      </c>
      <c r="Z135" s="271">
        <v>270</v>
      </c>
      <c r="AA135" s="271">
        <v>192.8</v>
      </c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  <c r="AM135" s="271"/>
      <c r="AN135" s="271"/>
      <c r="AO135" s="271"/>
      <c r="AP135" s="271"/>
      <c r="AQ135" s="272">
        <f t="shared" si="9"/>
        <v>17.916</v>
      </c>
      <c r="AR135" s="272">
        <f t="shared" si="9"/>
        <v>290</v>
      </c>
      <c r="AS135" s="272">
        <f t="shared" si="9"/>
        <v>200.5</v>
      </c>
      <c r="AT135" s="273"/>
      <c r="AU135" s="273"/>
      <c r="AV135" s="273"/>
      <c r="AW135" s="273">
        <v>25</v>
      </c>
      <c r="AX135" s="273">
        <v>300</v>
      </c>
      <c r="AY135" s="273">
        <v>300</v>
      </c>
      <c r="AZ135" s="273"/>
      <c r="BA135" s="273"/>
      <c r="BB135" s="273"/>
      <c r="BC135" s="273"/>
      <c r="BD135" s="273"/>
      <c r="BE135" s="273"/>
      <c r="BF135" s="273"/>
      <c r="BG135" s="273"/>
      <c r="BH135" s="273"/>
      <c r="BI135" s="273"/>
      <c r="BJ135" s="273"/>
      <c r="BK135" s="273"/>
      <c r="BL135" s="273"/>
      <c r="BM135" s="273"/>
      <c r="BN135" s="273"/>
      <c r="BO135" s="273"/>
      <c r="BP135" s="273"/>
      <c r="BQ135" s="273"/>
      <c r="BR135" s="273">
        <v>10</v>
      </c>
      <c r="BS135" s="273">
        <v>120</v>
      </c>
      <c r="BT135" s="273">
        <v>120</v>
      </c>
      <c r="BU135" s="273"/>
      <c r="BV135" s="273"/>
      <c r="BW135" s="273"/>
      <c r="BX135" s="272">
        <f t="shared" si="10"/>
        <v>52.915999999999997</v>
      </c>
      <c r="BY135" s="272">
        <f t="shared" si="10"/>
        <v>710</v>
      </c>
      <c r="BZ135" s="272">
        <f t="shared" si="12"/>
        <v>620.5</v>
      </c>
      <c r="CA135" s="273"/>
      <c r="CB135" s="273"/>
      <c r="CC135" s="273"/>
      <c r="CD135" s="273">
        <v>10</v>
      </c>
      <c r="CE135" s="273">
        <v>140</v>
      </c>
      <c r="CF135" s="273">
        <v>89.6</v>
      </c>
      <c r="CG135" s="273"/>
      <c r="CH135" s="273"/>
      <c r="CI135" s="273"/>
      <c r="CJ135" s="273"/>
      <c r="CK135" s="273"/>
      <c r="CL135" s="273"/>
      <c r="CM135" s="273"/>
      <c r="CN135" s="273"/>
      <c r="CO135" s="273"/>
      <c r="CP135" s="273">
        <v>12</v>
      </c>
      <c r="CQ135" s="273">
        <v>144</v>
      </c>
      <c r="CR135" s="273">
        <v>144</v>
      </c>
      <c r="CS135" s="273"/>
      <c r="CT135" s="273"/>
      <c r="CU135" s="273"/>
      <c r="CV135" s="273">
        <v>20</v>
      </c>
      <c r="CW135" s="273">
        <v>240</v>
      </c>
      <c r="CX135" s="273">
        <v>240</v>
      </c>
      <c r="CY135" s="273">
        <v>5</v>
      </c>
      <c r="CZ135" s="273">
        <v>60</v>
      </c>
      <c r="DA135" s="273">
        <v>60</v>
      </c>
      <c r="DB135" s="273">
        <v>60</v>
      </c>
      <c r="DC135" s="273">
        <v>1000</v>
      </c>
      <c r="DD135" s="273">
        <v>740</v>
      </c>
      <c r="DE135" s="273"/>
      <c r="DF135" s="271"/>
      <c r="DG135" s="271"/>
      <c r="DH135" s="272">
        <f t="shared" si="11"/>
        <v>159.916</v>
      </c>
      <c r="DI135" s="272">
        <f t="shared" si="11"/>
        <v>2294</v>
      </c>
      <c r="DJ135" s="324">
        <f t="shared" si="11"/>
        <v>1894.1</v>
      </c>
      <c r="DK135" s="325"/>
      <c r="DL135" s="325"/>
    </row>
    <row r="136" spans="1:116" s="275" customFormat="1" ht="20.100000000000001" customHeight="1" x14ac:dyDescent="0.6">
      <c r="A136" s="234">
        <v>133</v>
      </c>
      <c r="B136" s="103" t="s">
        <v>666</v>
      </c>
      <c r="C136" s="103" t="s">
        <v>667</v>
      </c>
      <c r="D136" s="103" t="s">
        <v>664</v>
      </c>
      <c r="E136" s="148" t="s">
        <v>665</v>
      </c>
      <c r="F136" s="179" t="s">
        <v>642</v>
      </c>
      <c r="G136" s="331"/>
      <c r="H136" s="331"/>
      <c r="I136" s="331"/>
      <c r="J136" s="331"/>
      <c r="K136" s="332"/>
      <c r="L136" s="332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>
        <v>11</v>
      </c>
      <c r="Z136" s="271">
        <v>160</v>
      </c>
      <c r="AA136" s="271">
        <v>134</v>
      </c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/>
      <c r="AL136" s="271"/>
      <c r="AM136" s="271"/>
      <c r="AN136" s="271"/>
      <c r="AO136" s="271"/>
      <c r="AP136" s="271"/>
      <c r="AQ136" s="272">
        <f t="shared" si="9"/>
        <v>11</v>
      </c>
      <c r="AR136" s="272">
        <f t="shared" si="9"/>
        <v>160</v>
      </c>
      <c r="AS136" s="272">
        <f t="shared" si="9"/>
        <v>134</v>
      </c>
      <c r="AT136" s="273"/>
      <c r="AU136" s="273"/>
      <c r="AV136" s="273"/>
      <c r="AW136" s="273"/>
      <c r="AX136" s="273"/>
      <c r="AY136" s="273"/>
      <c r="AZ136" s="273"/>
      <c r="BA136" s="273"/>
      <c r="BB136" s="273"/>
      <c r="BC136" s="273"/>
      <c r="BD136" s="273"/>
      <c r="BE136" s="273"/>
      <c r="BF136" s="273"/>
      <c r="BG136" s="273"/>
      <c r="BH136" s="273"/>
      <c r="BI136" s="273"/>
      <c r="BJ136" s="273"/>
      <c r="BK136" s="273"/>
      <c r="BL136" s="273"/>
      <c r="BM136" s="273"/>
      <c r="BN136" s="273"/>
      <c r="BO136" s="273"/>
      <c r="BP136" s="273"/>
      <c r="BQ136" s="273"/>
      <c r="BR136" s="273">
        <v>7</v>
      </c>
      <c r="BS136" s="273">
        <v>140</v>
      </c>
      <c r="BT136" s="273">
        <v>88</v>
      </c>
      <c r="BU136" s="273"/>
      <c r="BV136" s="273"/>
      <c r="BW136" s="273"/>
      <c r="BX136" s="272">
        <f t="shared" si="10"/>
        <v>18</v>
      </c>
      <c r="BY136" s="272">
        <f t="shared" si="10"/>
        <v>300</v>
      </c>
      <c r="BZ136" s="272">
        <f t="shared" si="12"/>
        <v>222</v>
      </c>
      <c r="CA136" s="273"/>
      <c r="CB136" s="273"/>
      <c r="CC136" s="273"/>
      <c r="CD136" s="273"/>
      <c r="CE136" s="273"/>
      <c r="CF136" s="273"/>
      <c r="CG136" s="273"/>
      <c r="CH136" s="273"/>
      <c r="CI136" s="273"/>
      <c r="CJ136" s="273"/>
      <c r="CK136" s="273"/>
      <c r="CL136" s="273"/>
      <c r="CM136" s="273"/>
      <c r="CN136" s="273"/>
      <c r="CO136" s="273"/>
      <c r="CP136" s="273">
        <v>10</v>
      </c>
      <c r="CQ136" s="273">
        <v>120</v>
      </c>
      <c r="CR136" s="273">
        <v>120</v>
      </c>
      <c r="CS136" s="273"/>
      <c r="CT136" s="273"/>
      <c r="CU136" s="273"/>
      <c r="CV136" s="273"/>
      <c r="CW136" s="273"/>
      <c r="CX136" s="273"/>
      <c r="CY136" s="273"/>
      <c r="CZ136" s="273"/>
      <c r="DA136" s="273"/>
      <c r="DB136" s="273"/>
      <c r="DC136" s="273"/>
      <c r="DD136" s="273"/>
      <c r="DE136" s="273"/>
      <c r="DF136" s="271"/>
      <c r="DG136" s="271"/>
      <c r="DH136" s="272">
        <f>BX136+CA136+CD136+CG136+CJ136+CM136+CP136+CS136+CV136+CY136+DB136+DE136</f>
        <v>28</v>
      </c>
      <c r="DI136" s="272">
        <f t="shared" si="11"/>
        <v>420</v>
      </c>
      <c r="DJ136" s="324">
        <f t="shared" si="11"/>
        <v>342</v>
      </c>
      <c r="DK136" s="325"/>
      <c r="DL136" s="325"/>
    </row>
    <row r="137" spans="1:116" s="275" customFormat="1" ht="20.100000000000001" customHeight="1" x14ac:dyDescent="0.6">
      <c r="A137" s="234">
        <v>134</v>
      </c>
      <c r="B137" s="103" t="s">
        <v>668</v>
      </c>
      <c r="C137" s="103" t="s">
        <v>669</v>
      </c>
      <c r="D137" s="103" t="s">
        <v>664</v>
      </c>
      <c r="E137" s="148" t="s">
        <v>665</v>
      </c>
      <c r="F137" s="179" t="s">
        <v>642</v>
      </c>
      <c r="G137" s="331"/>
      <c r="H137" s="331"/>
      <c r="I137" s="331"/>
      <c r="J137" s="331"/>
      <c r="K137" s="332"/>
      <c r="L137" s="332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>
        <v>3</v>
      </c>
      <c r="Z137" s="271">
        <v>36</v>
      </c>
      <c r="AA137" s="271">
        <v>36</v>
      </c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>
        <v>15</v>
      </c>
      <c r="AL137" s="271">
        <v>180</v>
      </c>
      <c r="AM137" s="271">
        <v>180</v>
      </c>
      <c r="AN137" s="271"/>
      <c r="AO137" s="271"/>
      <c r="AP137" s="271"/>
      <c r="AQ137" s="272">
        <f t="shared" ref="AQ137:AS146" si="13">+AN137+AK137+AH137+AE137+AB137+Y137+V137+S137+P137+M137</f>
        <v>18</v>
      </c>
      <c r="AR137" s="272">
        <f t="shared" si="13"/>
        <v>216</v>
      </c>
      <c r="AS137" s="272">
        <f t="shared" si="13"/>
        <v>216</v>
      </c>
      <c r="AT137" s="273"/>
      <c r="AU137" s="273"/>
      <c r="AV137" s="273"/>
      <c r="AW137" s="273">
        <v>6</v>
      </c>
      <c r="AX137" s="273">
        <v>100</v>
      </c>
      <c r="AY137" s="273">
        <v>74</v>
      </c>
      <c r="AZ137" s="273"/>
      <c r="BA137" s="273"/>
      <c r="BB137" s="273"/>
      <c r="BC137" s="273"/>
      <c r="BD137" s="273"/>
      <c r="BE137" s="273"/>
      <c r="BF137" s="273"/>
      <c r="BG137" s="273"/>
      <c r="BH137" s="273"/>
      <c r="BI137" s="273"/>
      <c r="BJ137" s="273"/>
      <c r="BK137" s="273"/>
      <c r="BL137" s="273"/>
      <c r="BM137" s="273"/>
      <c r="BN137" s="273"/>
      <c r="BO137" s="273"/>
      <c r="BP137" s="273"/>
      <c r="BQ137" s="273"/>
      <c r="BR137" s="273">
        <v>5</v>
      </c>
      <c r="BS137" s="273">
        <v>60</v>
      </c>
      <c r="BT137" s="273">
        <v>60</v>
      </c>
      <c r="BU137" s="273"/>
      <c r="BV137" s="273"/>
      <c r="BW137" s="273"/>
      <c r="BX137" s="272">
        <f t="shared" ref="BX137:BY146" si="14">+BU137+BR137+BO137+BL137+BI137+BF137+BC137+AZ137+AW137+AT137+AQ137</f>
        <v>29</v>
      </c>
      <c r="BY137" s="272">
        <f t="shared" si="14"/>
        <v>376</v>
      </c>
      <c r="BZ137" s="272">
        <f t="shared" si="12"/>
        <v>350</v>
      </c>
      <c r="CA137" s="273"/>
      <c r="CB137" s="273"/>
      <c r="CC137" s="273"/>
      <c r="CD137" s="273"/>
      <c r="CE137" s="273"/>
      <c r="CF137" s="273"/>
      <c r="CG137" s="273"/>
      <c r="CH137" s="273"/>
      <c r="CI137" s="273"/>
      <c r="CJ137" s="273"/>
      <c r="CK137" s="273"/>
      <c r="CL137" s="273"/>
      <c r="CM137" s="273"/>
      <c r="CN137" s="273"/>
      <c r="CO137" s="273"/>
      <c r="CP137" s="273">
        <v>5</v>
      </c>
      <c r="CQ137" s="273">
        <v>60</v>
      </c>
      <c r="CR137" s="273">
        <v>60</v>
      </c>
      <c r="CS137" s="273"/>
      <c r="CT137" s="273"/>
      <c r="CU137" s="273"/>
      <c r="CV137" s="273"/>
      <c r="CW137" s="273"/>
      <c r="CX137" s="273"/>
      <c r="CY137" s="273"/>
      <c r="CZ137" s="273"/>
      <c r="DA137" s="273"/>
      <c r="DB137" s="273"/>
      <c r="DC137" s="273"/>
      <c r="DD137" s="273"/>
      <c r="DE137" s="273"/>
      <c r="DF137" s="271"/>
      <c r="DG137" s="271"/>
      <c r="DH137" s="272">
        <f t="shared" si="11"/>
        <v>34</v>
      </c>
      <c r="DI137" s="272">
        <f t="shared" si="11"/>
        <v>436</v>
      </c>
      <c r="DJ137" s="324">
        <f t="shared" si="11"/>
        <v>410</v>
      </c>
      <c r="DK137" s="325"/>
      <c r="DL137" s="325"/>
    </row>
    <row r="138" spans="1:116" s="275" customFormat="1" ht="20.100000000000001" customHeight="1" x14ac:dyDescent="0.6">
      <c r="A138" s="234">
        <v>135</v>
      </c>
      <c r="B138" s="103" t="s">
        <v>670</v>
      </c>
      <c r="C138" s="103" t="s">
        <v>671</v>
      </c>
      <c r="D138" s="103" t="s">
        <v>664</v>
      </c>
      <c r="E138" s="148" t="s">
        <v>665</v>
      </c>
      <c r="F138" s="179" t="s">
        <v>642</v>
      </c>
      <c r="G138" s="331"/>
      <c r="H138" s="331"/>
      <c r="I138" s="331"/>
      <c r="J138" s="331"/>
      <c r="K138" s="332"/>
      <c r="L138" s="332"/>
      <c r="M138" s="271"/>
      <c r="N138" s="271"/>
      <c r="O138" s="271"/>
      <c r="P138" s="271">
        <v>0.16600000000000001</v>
      </c>
      <c r="Q138" s="271">
        <v>2</v>
      </c>
      <c r="R138" s="271">
        <v>1.4</v>
      </c>
      <c r="S138" s="271"/>
      <c r="T138" s="271"/>
      <c r="U138" s="271"/>
      <c r="V138" s="271"/>
      <c r="W138" s="271"/>
      <c r="X138" s="271"/>
      <c r="Y138" s="271">
        <v>5</v>
      </c>
      <c r="Z138" s="271">
        <v>60</v>
      </c>
      <c r="AA138" s="271">
        <v>60</v>
      </c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  <c r="AM138" s="271"/>
      <c r="AN138" s="271"/>
      <c r="AO138" s="271"/>
      <c r="AP138" s="271"/>
      <c r="AQ138" s="272">
        <f t="shared" si="13"/>
        <v>5.1660000000000004</v>
      </c>
      <c r="AR138" s="272">
        <f t="shared" si="13"/>
        <v>62</v>
      </c>
      <c r="AS138" s="272">
        <f t="shared" si="13"/>
        <v>61.4</v>
      </c>
      <c r="AT138" s="273"/>
      <c r="AU138" s="273"/>
      <c r="AV138" s="273"/>
      <c r="AW138" s="273">
        <v>6</v>
      </c>
      <c r="AX138" s="273">
        <v>110</v>
      </c>
      <c r="AY138" s="273">
        <v>58.8</v>
      </c>
      <c r="AZ138" s="273"/>
      <c r="BA138" s="273"/>
      <c r="BB138" s="273"/>
      <c r="BC138" s="273"/>
      <c r="BD138" s="273"/>
      <c r="BE138" s="273"/>
      <c r="BF138" s="273"/>
      <c r="BG138" s="273"/>
      <c r="BH138" s="273"/>
      <c r="BI138" s="273"/>
      <c r="BJ138" s="273"/>
      <c r="BK138" s="273"/>
      <c r="BL138" s="273"/>
      <c r="BM138" s="273"/>
      <c r="BN138" s="273"/>
      <c r="BO138" s="273"/>
      <c r="BP138" s="273"/>
      <c r="BQ138" s="273"/>
      <c r="BR138" s="273">
        <v>15</v>
      </c>
      <c r="BS138" s="273">
        <v>210</v>
      </c>
      <c r="BT138" s="273">
        <v>134.4</v>
      </c>
      <c r="BU138" s="273"/>
      <c r="BV138" s="273"/>
      <c r="BW138" s="273"/>
      <c r="BX138" s="272">
        <f t="shared" si="14"/>
        <v>26.166</v>
      </c>
      <c r="BY138" s="272">
        <f t="shared" si="14"/>
        <v>382</v>
      </c>
      <c r="BZ138" s="272">
        <f t="shared" si="12"/>
        <v>254.6</v>
      </c>
      <c r="CA138" s="273"/>
      <c r="CB138" s="273"/>
      <c r="CC138" s="273"/>
      <c r="CD138" s="273"/>
      <c r="CE138" s="273"/>
      <c r="CF138" s="273"/>
      <c r="CG138" s="273"/>
      <c r="CH138" s="273"/>
      <c r="CI138" s="273"/>
      <c r="CJ138" s="273"/>
      <c r="CK138" s="273"/>
      <c r="CL138" s="273"/>
      <c r="CM138" s="273"/>
      <c r="CN138" s="273"/>
      <c r="CO138" s="273"/>
      <c r="CP138" s="273">
        <v>50</v>
      </c>
      <c r="CQ138" s="273">
        <v>660</v>
      </c>
      <c r="CR138" s="273">
        <v>508.8</v>
      </c>
      <c r="CS138" s="273"/>
      <c r="CT138" s="273"/>
      <c r="CU138" s="273"/>
      <c r="CV138" s="273"/>
      <c r="CW138" s="273"/>
      <c r="CX138" s="273"/>
      <c r="CY138" s="273"/>
      <c r="CZ138" s="273"/>
      <c r="DA138" s="273"/>
      <c r="DB138" s="273"/>
      <c r="DC138" s="273"/>
      <c r="DD138" s="273"/>
      <c r="DE138" s="273"/>
      <c r="DF138" s="271"/>
      <c r="DG138" s="271"/>
      <c r="DH138" s="272">
        <f t="shared" si="11"/>
        <v>76.165999999999997</v>
      </c>
      <c r="DI138" s="272">
        <f t="shared" si="11"/>
        <v>1042</v>
      </c>
      <c r="DJ138" s="324">
        <f t="shared" si="11"/>
        <v>763.4</v>
      </c>
      <c r="DK138" s="325"/>
      <c r="DL138" s="325"/>
    </row>
    <row r="139" spans="1:116" s="275" customFormat="1" ht="20.100000000000001" customHeight="1" x14ac:dyDescent="0.6">
      <c r="A139" s="234">
        <v>136</v>
      </c>
      <c r="B139" s="103" t="s">
        <v>672</v>
      </c>
      <c r="C139" s="103" t="s">
        <v>673</v>
      </c>
      <c r="D139" s="103" t="s">
        <v>330</v>
      </c>
      <c r="E139" s="148" t="s">
        <v>331</v>
      </c>
      <c r="F139" s="179" t="s">
        <v>642</v>
      </c>
      <c r="G139" s="331"/>
      <c r="H139" s="331"/>
      <c r="I139" s="331"/>
      <c r="J139" s="331"/>
      <c r="K139" s="332"/>
      <c r="L139" s="332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/>
      <c r="AC139" s="271"/>
      <c r="AD139" s="271"/>
      <c r="AE139" s="271">
        <v>10</v>
      </c>
      <c r="AF139" s="271">
        <v>126</v>
      </c>
      <c r="AG139" s="271">
        <v>110.88</v>
      </c>
      <c r="AH139" s="271"/>
      <c r="AI139" s="271"/>
      <c r="AJ139" s="271"/>
      <c r="AK139" s="271"/>
      <c r="AL139" s="271"/>
      <c r="AM139" s="271"/>
      <c r="AN139" s="271"/>
      <c r="AO139" s="271"/>
      <c r="AP139" s="271"/>
      <c r="AQ139" s="272">
        <f t="shared" si="13"/>
        <v>10</v>
      </c>
      <c r="AR139" s="272">
        <f t="shared" si="13"/>
        <v>126</v>
      </c>
      <c r="AS139" s="272">
        <f t="shared" si="13"/>
        <v>110.88</v>
      </c>
      <c r="AT139" s="273"/>
      <c r="AU139" s="273"/>
      <c r="AV139" s="273"/>
      <c r="AW139" s="273"/>
      <c r="AX139" s="273"/>
      <c r="AY139" s="273"/>
      <c r="AZ139" s="273"/>
      <c r="BA139" s="273"/>
      <c r="BB139" s="273"/>
      <c r="BC139" s="273">
        <v>5</v>
      </c>
      <c r="BD139" s="273">
        <v>60</v>
      </c>
      <c r="BE139" s="273">
        <v>60</v>
      </c>
      <c r="BF139" s="273"/>
      <c r="BG139" s="273"/>
      <c r="BH139" s="273"/>
      <c r="BI139" s="273"/>
      <c r="BJ139" s="273"/>
      <c r="BK139" s="273"/>
      <c r="BL139" s="273"/>
      <c r="BM139" s="273"/>
      <c r="BN139" s="273"/>
      <c r="BO139" s="273"/>
      <c r="BP139" s="273"/>
      <c r="BQ139" s="273"/>
      <c r="BR139" s="273"/>
      <c r="BS139" s="273"/>
      <c r="BT139" s="273"/>
      <c r="BU139" s="273"/>
      <c r="BV139" s="273"/>
      <c r="BW139" s="273"/>
      <c r="BX139" s="272">
        <f t="shared" si="14"/>
        <v>15</v>
      </c>
      <c r="BY139" s="272">
        <f t="shared" si="14"/>
        <v>186</v>
      </c>
      <c r="BZ139" s="272">
        <f t="shared" si="12"/>
        <v>170.88</v>
      </c>
      <c r="CA139" s="273">
        <v>8</v>
      </c>
      <c r="CB139" s="273">
        <v>124</v>
      </c>
      <c r="CC139" s="273">
        <v>98</v>
      </c>
      <c r="CD139" s="273"/>
      <c r="CE139" s="273"/>
      <c r="CF139" s="273"/>
      <c r="CG139" s="273"/>
      <c r="CH139" s="273"/>
      <c r="CI139" s="273"/>
      <c r="CJ139" s="273"/>
      <c r="CK139" s="273"/>
      <c r="CL139" s="273"/>
      <c r="CM139" s="273"/>
      <c r="CN139" s="273"/>
      <c r="CO139" s="273"/>
      <c r="CP139" s="273"/>
      <c r="CQ139" s="273"/>
      <c r="CR139" s="273"/>
      <c r="CS139" s="273"/>
      <c r="CT139" s="273"/>
      <c r="CU139" s="273"/>
      <c r="CV139" s="273">
        <v>11</v>
      </c>
      <c r="CW139" s="273">
        <v>166</v>
      </c>
      <c r="CX139" s="273">
        <v>124.88</v>
      </c>
      <c r="CY139" s="273"/>
      <c r="CZ139" s="273"/>
      <c r="DA139" s="273"/>
      <c r="DB139" s="273"/>
      <c r="DC139" s="273"/>
      <c r="DD139" s="273"/>
      <c r="DE139" s="273"/>
      <c r="DF139" s="271"/>
      <c r="DG139" s="271"/>
      <c r="DH139" s="272">
        <f t="shared" si="11"/>
        <v>34</v>
      </c>
      <c r="DI139" s="272">
        <f t="shared" si="11"/>
        <v>476</v>
      </c>
      <c r="DJ139" s="324">
        <f t="shared" si="11"/>
        <v>393.76</v>
      </c>
      <c r="DK139" s="325"/>
      <c r="DL139" s="325"/>
    </row>
    <row r="140" spans="1:116" s="275" customFormat="1" ht="20.100000000000001" customHeight="1" x14ac:dyDescent="0.6">
      <c r="A140" s="234">
        <v>137</v>
      </c>
      <c r="B140" s="103" t="s">
        <v>674</v>
      </c>
      <c r="C140" s="103" t="s">
        <v>675</v>
      </c>
      <c r="D140" s="103" t="s">
        <v>330</v>
      </c>
      <c r="E140" s="148" t="s">
        <v>331</v>
      </c>
      <c r="F140" s="179" t="s">
        <v>642</v>
      </c>
      <c r="G140" s="331"/>
      <c r="H140" s="331"/>
      <c r="I140" s="331"/>
      <c r="J140" s="331"/>
      <c r="K140" s="332"/>
      <c r="L140" s="332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>
        <v>12</v>
      </c>
      <c r="AF140" s="271">
        <v>172</v>
      </c>
      <c r="AG140" s="271">
        <v>142.4</v>
      </c>
      <c r="AH140" s="271"/>
      <c r="AI140" s="271"/>
      <c r="AJ140" s="271"/>
      <c r="AK140" s="271"/>
      <c r="AL140" s="271"/>
      <c r="AM140" s="271"/>
      <c r="AN140" s="271"/>
      <c r="AO140" s="271"/>
      <c r="AP140" s="271"/>
      <c r="AQ140" s="272">
        <f t="shared" si="13"/>
        <v>12</v>
      </c>
      <c r="AR140" s="272">
        <f t="shared" si="13"/>
        <v>172</v>
      </c>
      <c r="AS140" s="272">
        <f t="shared" si="13"/>
        <v>142.4</v>
      </c>
      <c r="AT140" s="273"/>
      <c r="AU140" s="273"/>
      <c r="AV140" s="273"/>
      <c r="AW140" s="273"/>
      <c r="AX140" s="273"/>
      <c r="AY140" s="273"/>
      <c r="AZ140" s="273"/>
      <c r="BA140" s="273"/>
      <c r="BB140" s="273"/>
      <c r="BC140" s="273">
        <v>12</v>
      </c>
      <c r="BD140" s="273">
        <v>200</v>
      </c>
      <c r="BE140" s="273">
        <v>148</v>
      </c>
      <c r="BF140" s="273"/>
      <c r="BG140" s="273"/>
      <c r="BH140" s="273"/>
      <c r="BI140" s="273"/>
      <c r="BJ140" s="273"/>
      <c r="BK140" s="273"/>
      <c r="BL140" s="273"/>
      <c r="BM140" s="273"/>
      <c r="BN140" s="273"/>
      <c r="BO140" s="273"/>
      <c r="BP140" s="273"/>
      <c r="BQ140" s="273"/>
      <c r="BR140" s="273"/>
      <c r="BS140" s="273"/>
      <c r="BT140" s="273"/>
      <c r="BU140" s="273"/>
      <c r="BV140" s="273"/>
      <c r="BW140" s="273"/>
      <c r="BX140" s="272">
        <f t="shared" si="14"/>
        <v>24</v>
      </c>
      <c r="BY140" s="272">
        <f t="shared" si="14"/>
        <v>372</v>
      </c>
      <c r="BZ140" s="272">
        <f t="shared" si="12"/>
        <v>290.39999999999998</v>
      </c>
      <c r="CA140" s="273">
        <v>18</v>
      </c>
      <c r="CB140" s="273">
        <v>244</v>
      </c>
      <c r="CC140" s="273">
        <v>208.4</v>
      </c>
      <c r="CD140" s="273"/>
      <c r="CE140" s="273"/>
      <c r="CF140" s="273"/>
      <c r="CG140" s="273"/>
      <c r="CH140" s="273"/>
      <c r="CI140" s="273"/>
      <c r="CJ140" s="273"/>
      <c r="CK140" s="273"/>
      <c r="CL140" s="273"/>
      <c r="CM140" s="273"/>
      <c r="CN140" s="273"/>
      <c r="CO140" s="273"/>
      <c r="CP140" s="273"/>
      <c r="CQ140" s="273"/>
      <c r="CR140" s="273"/>
      <c r="CS140" s="273"/>
      <c r="CT140" s="273"/>
      <c r="CU140" s="273"/>
      <c r="CV140" s="273">
        <v>21</v>
      </c>
      <c r="CW140" s="273">
        <v>364</v>
      </c>
      <c r="CX140" s="273">
        <v>250.4</v>
      </c>
      <c r="CY140" s="273"/>
      <c r="CZ140" s="273"/>
      <c r="DA140" s="273"/>
      <c r="DB140" s="273"/>
      <c r="DC140" s="273"/>
      <c r="DD140" s="273"/>
      <c r="DE140" s="273"/>
      <c r="DF140" s="271"/>
      <c r="DG140" s="271"/>
      <c r="DH140" s="272">
        <f t="shared" si="11"/>
        <v>63</v>
      </c>
      <c r="DI140" s="272">
        <f t="shared" si="11"/>
        <v>980</v>
      </c>
      <c r="DJ140" s="324">
        <f t="shared" si="11"/>
        <v>749.19999999999993</v>
      </c>
      <c r="DK140" s="325"/>
      <c r="DL140" s="325"/>
    </row>
    <row r="141" spans="1:116" s="275" customFormat="1" ht="20.100000000000001" customHeight="1" x14ac:dyDescent="0.6">
      <c r="A141" s="234">
        <v>138</v>
      </c>
      <c r="B141" s="103" t="s">
        <v>676</v>
      </c>
      <c r="C141" s="103" t="s">
        <v>677</v>
      </c>
      <c r="D141" s="103" t="s">
        <v>664</v>
      </c>
      <c r="E141" s="148" t="s">
        <v>665</v>
      </c>
      <c r="F141" s="179" t="s">
        <v>642</v>
      </c>
      <c r="G141" s="331"/>
      <c r="H141" s="331"/>
      <c r="I141" s="331"/>
      <c r="J141" s="331"/>
      <c r="K141" s="332"/>
      <c r="L141" s="332"/>
      <c r="M141" s="271"/>
      <c r="N141" s="271"/>
      <c r="O141" s="271"/>
      <c r="P141" s="271">
        <v>1.25</v>
      </c>
      <c r="Q141" s="271">
        <v>18</v>
      </c>
      <c r="R141" s="271">
        <v>10.26</v>
      </c>
      <c r="S141" s="271">
        <v>12.25</v>
      </c>
      <c r="T141" s="271">
        <v>216</v>
      </c>
      <c r="U141" s="271">
        <v>134.9</v>
      </c>
      <c r="V141" s="271"/>
      <c r="W141" s="271"/>
      <c r="X141" s="271"/>
      <c r="Y141" s="271"/>
      <c r="Z141" s="271"/>
      <c r="AA141" s="271"/>
      <c r="AB141" s="271"/>
      <c r="AC141" s="271"/>
      <c r="AD141" s="271"/>
      <c r="AE141" s="271"/>
      <c r="AF141" s="271"/>
      <c r="AG141" s="271"/>
      <c r="AH141" s="271"/>
      <c r="AI141" s="271"/>
      <c r="AJ141" s="271"/>
      <c r="AK141" s="271">
        <v>13</v>
      </c>
      <c r="AL141" s="271">
        <v>240</v>
      </c>
      <c r="AM141" s="271">
        <v>162</v>
      </c>
      <c r="AN141" s="271"/>
      <c r="AO141" s="271"/>
      <c r="AP141" s="271"/>
      <c r="AQ141" s="272">
        <f t="shared" si="13"/>
        <v>26.5</v>
      </c>
      <c r="AR141" s="272">
        <f t="shared" si="13"/>
        <v>474</v>
      </c>
      <c r="AS141" s="272">
        <f t="shared" si="13"/>
        <v>307.15999999999997</v>
      </c>
      <c r="AT141" s="273"/>
      <c r="AU141" s="273"/>
      <c r="AV141" s="273"/>
      <c r="AW141" s="273"/>
      <c r="AX141" s="273"/>
      <c r="AY141" s="273"/>
      <c r="AZ141" s="273"/>
      <c r="BA141" s="273"/>
      <c r="BB141" s="273"/>
      <c r="BC141" s="273"/>
      <c r="BD141" s="273"/>
      <c r="BE141" s="273"/>
      <c r="BF141" s="273"/>
      <c r="BG141" s="273"/>
      <c r="BH141" s="273"/>
      <c r="BI141" s="273">
        <v>5</v>
      </c>
      <c r="BJ141" s="273">
        <v>60</v>
      </c>
      <c r="BK141" s="273">
        <v>60</v>
      </c>
      <c r="BL141" s="273"/>
      <c r="BM141" s="273"/>
      <c r="BN141" s="273"/>
      <c r="BO141" s="273"/>
      <c r="BP141" s="273"/>
      <c r="BQ141" s="273"/>
      <c r="BR141" s="273"/>
      <c r="BS141" s="273"/>
      <c r="BT141" s="273"/>
      <c r="BU141" s="273"/>
      <c r="BV141" s="273"/>
      <c r="BW141" s="273"/>
      <c r="BX141" s="272">
        <f t="shared" si="14"/>
        <v>31.5</v>
      </c>
      <c r="BY141" s="272">
        <f t="shared" si="14"/>
        <v>534</v>
      </c>
      <c r="BZ141" s="272">
        <f t="shared" si="12"/>
        <v>367.15999999999997</v>
      </c>
      <c r="CA141" s="273"/>
      <c r="CB141" s="273"/>
      <c r="CC141" s="273"/>
      <c r="CD141" s="273"/>
      <c r="CE141" s="273"/>
      <c r="CF141" s="273"/>
      <c r="CG141" s="273">
        <v>15</v>
      </c>
      <c r="CH141" s="273">
        <v>180</v>
      </c>
      <c r="CI141" s="273">
        <v>180</v>
      </c>
      <c r="CJ141" s="273"/>
      <c r="CK141" s="273"/>
      <c r="CL141" s="273"/>
      <c r="CM141" s="273"/>
      <c r="CN141" s="273"/>
      <c r="CO141" s="273"/>
      <c r="CP141" s="273"/>
      <c r="CQ141" s="273"/>
      <c r="CR141" s="273"/>
      <c r="CS141" s="273"/>
      <c r="CT141" s="273"/>
      <c r="CU141" s="273"/>
      <c r="CV141" s="273"/>
      <c r="CW141" s="273"/>
      <c r="CX141" s="273"/>
      <c r="CY141" s="273"/>
      <c r="CZ141" s="273"/>
      <c r="DA141" s="273"/>
      <c r="DB141" s="273">
        <v>75</v>
      </c>
      <c r="DC141" s="273">
        <v>1340</v>
      </c>
      <c r="DD141" s="273">
        <v>899.6</v>
      </c>
      <c r="DE141" s="273"/>
      <c r="DF141" s="271"/>
      <c r="DG141" s="271"/>
      <c r="DH141" s="272">
        <f t="shared" si="11"/>
        <v>121.5</v>
      </c>
      <c r="DI141" s="272">
        <f t="shared" si="11"/>
        <v>2054</v>
      </c>
      <c r="DJ141" s="324">
        <f t="shared" si="11"/>
        <v>1446.76</v>
      </c>
      <c r="DK141" s="325"/>
      <c r="DL141" s="325"/>
    </row>
    <row r="142" spans="1:116" s="275" customFormat="1" ht="20.100000000000001" customHeight="1" x14ac:dyDescent="0.6">
      <c r="A142" s="234">
        <v>139</v>
      </c>
      <c r="B142" s="103" t="s">
        <v>678</v>
      </c>
      <c r="C142" s="103" t="s">
        <v>678</v>
      </c>
      <c r="D142" s="103" t="s">
        <v>664</v>
      </c>
      <c r="E142" s="148" t="s">
        <v>665</v>
      </c>
      <c r="F142" s="179" t="s">
        <v>642</v>
      </c>
      <c r="G142" s="331"/>
      <c r="H142" s="331"/>
      <c r="I142" s="331"/>
      <c r="J142" s="331"/>
      <c r="K142" s="332"/>
      <c r="L142" s="332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>
        <v>1</v>
      </c>
      <c r="Z142" s="271">
        <v>12</v>
      </c>
      <c r="AA142" s="271">
        <v>12</v>
      </c>
      <c r="AB142" s="271">
        <v>21</v>
      </c>
      <c r="AC142" s="271">
        <v>254</v>
      </c>
      <c r="AD142" s="271">
        <v>248.96</v>
      </c>
      <c r="AE142" s="271"/>
      <c r="AF142" s="271"/>
      <c r="AG142" s="271"/>
      <c r="AH142" s="271"/>
      <c r="AI142" s="271"/>
      <c r="AJ142" s="271"/>
      <c r="AK142" s="271"/>
      <c r="AL142" s="271"/>
      <c r="AM142" s="271"/>
      <c r="AN142" s="271">
        <v>13</v>
      </c>
      <c r="AO142" s="271">
        <v>240</v>
      </c>
      <c r="AP142" s="271">
        <v>162</v>
      </c>
      <c r="AQ142" s="272">
        <f t="shared" si="13"/>
        <v>35</v>
      </c>
      <c r="AR142" s="272">
        <f t="shared" si="13"/>
        <v>506</v>
      </c>
      <c r="AS142" s="272">
        <f t="shared" si="13"/>
        <v>422.96000000000004</v>
      </c>
      <c r="AT142" s="273"/>
      <c r="AU142" s="273"/>
      <c r="AV142" s="273"/>
      <c r="AW142" s="273">
        <v>3.2080000000000002</v>
      </c>
      <c r="AX142" s="273">
        <v>41</v>
      </c>
      <c r="AY142" s="273">
        <v>33.909999999999997</v>
      </c>
      <c r="AZ142" s="273"/>
      <c r="BA142" s="273"/>
      <c r="BB142" s="273"/>
      <c r="BC142" s="273"/>
      <c r="BD142" s="273"/>
      <c r="BE142" s="273"/>
      <c r="BF142" s="273"/>
      <c r="BG142" s="273"/>
      <c r="BH142" s="273"/>
      <c r="BI142" s="273"/>
      <c r="BJ142" s="273"/>
      <c r="BK142" s="273"/>
      <c r="BL142" s="273"/>
      <c r="BM142" s="273"/>
      <c r="BN142" s="273"/>
      <c r="BO142" s="273"/>
      <c r="BP142" s="273"/>
      <c r="BQ142" s="273"/>
      <c r="BR142" s="273">
        <v>16</v>
      </c>
      <c r="BS142" s="273">
        <v>210</v>
      </c>
      <c r="BT142" s="273">
        <v>175.68</v>
      </c>
      <c r="BU142" s="273"/>
      <c r="BV142" s="273"/>
      <c r="BW142" s="273"/>
      <c r="BX142" s="272">
        <f t="shared" si="14"/>
        <v>54.207999999999998</v>
      </c>
      <c r="BY142" s="272">
        <f t="shared" si="14"/>
        <v>757</v>
      </c>
      <c r="BZ142" s="272">
        <f t="shared" si="12"/>
        <v>632.54999999999995</v>
      </c>
      <c r="CA142" s="273">
        <v>20</v>
      </c>
      <c r="CB142" s="273">
        <v>240</v>
      </c>
      <c r="CC142" s="273">
        <v>240</v>
      </c>
      <c r="CD142" s="273"/>
      <c r="CE142" s="273"/>
      <c r="CF142" s="273"/>
      <c r="CG142" s="273"/>
      <c r="CH142" s="273"/>
      <c r="CI142" s="273"/>
      <c r="CJ142" s="273">
        <v>10</v>
      </c>
      <c r="CK142" s="273">
        <v>140</v>
      </c>
      <c r="CL142" s="273">
        <v>89.6</v>
      </c>
      <c r="CM142" s="273"/>
      <c r="CN142" s="273"/>
      <c r="CO142" s="273"/>
      <c r="CP142" s="273">
        <v>3</v>
      </c>
      <c r="CQ142" s="273">
        <v>120</v>
      </c>
      <c r="CR142" s="273">
        <v>42</v>
      </c>
      <c r="CS142" s="273"/>
      <c r="CT142" s="273"/>
      <c r="CU142" s="273"/>
      <c r="CV142" s="273"/>
      <c r="CW142" s="273"/>
      <c r="CX142" s="273"/>
      <c r="CY142" s="273"/>
      <c r="CZ142" s="273"/>
      <c r="DA142" s="273"/>
      <c r="DB142" s="273">
        <v>70</v>
      </c>
      <c r="DC142" s="273">
        <v>1400</v>
      </c>
      <c r="DD142" s="273">
        <v>880</v>
      </c>
      <c r="DE142" s="273"/>
      <c r="DF142" s="271"/>
      <c r="DG142" s="271"/>
      <c r="DH142" s="272">
        <f t="shared" si="11"/>
        <v>157.208</v>
      </c>
      <c r="DI142" s="272">
        <f t="shared" si="11"/>
        <v>2657</v>
      </c>
      <c r="DJ142" s="324">
        <f t="shared" si="11"/>
        <v>1884.15</v>
      </c>
      <c r="DK142" s="325"/>
      <c r="DL142" s="325"/>
    </row>
    <row r="143" spans="1:116" s="275" customFormat="1" ht="20.100000000000001" customHeight="1" x14ac:dyDescent="0.6">
      <c r="A143" s="234">
        <v>140</v>
      </c>
      <c r="B143" s="103" t="s">
        <v>679</v>
      </c>
      <c r="C143" s="103" t="s">
        <v>680</v>
      </c>
      <c r="D143" s="103" t="s">
        <v>301</v>
      </c>
      <c r="E143" s="148" t="s">
        <v>87</v>
      </c>
      <c r="F143" s="179" t="s">
        <v>642</v>
      </c>
      <c r="G143" s="331"/>
      <c r="H143" s="331"/>
      <c r="I143" s="331"/>
      <c r="J143" s="331"/>
      <c r="K143" s="332"/>
      <c r="L143" s="332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1"/>
      <c r="AL143" s="271"/>
      <c r="AM143" s="271"/>
      <c r="AN143" s="271"/>
      <c r="AO143" s="271"/>
      <c r="AP143" s="271"/>
      <c r="AQ143" s="272">
        <f t="shared" si="13"/>
        <v>0</v>
      </c>
      <c r="AR143" s="272">
        <f t="shared" si="13"/>
        <v>0</v>
      </c>
      <c r="AS143" s="272">
        <f t="shared" si="13"/>
        <v>0</v>
      </c>
      <c r="AT143" s="273"/>
      <c r="AU143" s="273"/>
      <c r="AV143" s="273"/>
      <c r="AW143" s="273"/>
      <c r="AX143" s="273"/>
      <c r="AY143" s="273"/>
      <c r="AZ143" s="273"/>
      <c r="BA143" s="273"/>
      <c r="BB143" s="273"/>
      <c r="BC143" s="273"/>
      <c r="BD143" s="273"/>
      <c r="BE143" s="273"/>
      <c r="BF143" s="273"/>
      <c r="BG143" s="273"/>
      <c r="BH143" s="273"/>
      <c r="BI143" s="273"/>
      <c r="BJ143" s="273"/>
      <c r="BK143" s="273"/>
      <c r="BL143" s="273"/>
      <c r="BM143" s="273"/>
      <c r="BN143" s="273"/>
      <c r="BO143" s="273"/>
      <c r="BP143" s="273"/>
      <c r="BQ143" s="273"/>
      <c r="BR143" s="273"/>
      <c r="BS143" s="273"/>
      <c r="BT143" s="273"/>
      <c r="BU143" s="273"/>
      <c r="BV143" s="273"/>
      <c r="BW143" s="273"/>
      <c r="BX143" s="272">
        <f t="shared" si="14"/>
        <v>0</v>
      </c>
      <c r="BY143" s="272">
        <f t="shared" si="14"/>
        <v>0</v>
      </c>
      <c r="BZ143" s="272">
        <f t="shared" si="12"/>
        <v>0</v>
      </c>
      <c r="CA143" s="273"/>
      <c r="CB143" s="273"/>
      <c r="CC143" s="273"/>
      <c r="CD143" s="273"/>
      <c r="CE143" s="273"/>
      <c r="CF143" s="273"/>
      <c r="CG143" s="273"/>
      <c r="CH143" s="273"/>
      <c r="CI143" s="273"/>
      <c r="CJ143" s="273"/>
      <c r="CK143" s="273"/>
      <c r="CL143" s="273"/>
      <c r="CM143" s="273"/>
      <c r="CN143" s="273"/>
      <c r="CO143" s="273"/>
      <c r="CP143" s="273"/>
      <c r="CQ143" s="273"/>
      <c r="CR143" s="273"/>
      <c r="CS143" s="273"/>
      <c r="CT143" s="273"/>
      <c r="CU143" s="273"/>
      <c r="CV143" s="273"/>
      <c r="CW143" s="273"/>
      <c r="CX143" s="273"/>
      <c r="CY143" s="273"/>
      <c r="CZ143" s="273"/>
      <c r="DA143" s="273"/>
      <c r="DB143" s="273"/>
      <c r="DC143" s="273"/>
      <c r="DD143" s="273"/>
      <c r="DE143" s="273"/>
      <c r="DF143" s="271"/>
      <c r="DG143" s="271"/>
      <c r="DH143" s="272">
        <f t="shared" si="11"/>
        <v>0</v>
      </c>
      <c r="DI143" s="272">
        <f t="shared" si="11"/>
        <v>0</v>
      </c>
      <c r="DJ143" s="324">
        <f t="shared" si="11"/>
        <v>0</v>
      </c>
      <c r="DK143" s="325"/>
      <c r="DL143" s="325"/>
    </row>
    <row r="144" spans="1:116" s="275" customFormat="1" ht="20.100000000000001" customHeight="1" x14ac:dyDescent="0.6">
      <c r="A144" s="234">
        <v>141</v>
      </c>
      <c r="B144" s="150" t="s">
        <v>681</v>
      </c>
      <c r="C144" s="330" t="s">
        <v>682</v>
      </c>
      <c r="D144" s="142" t="s">
        <v>301</v>
      </c>
      <c r="E144" s="149" t="s">
        <v>87</v>
      </c>
      <c r="F144" s="333" t="s">
        <v>642</v>
      </c>
      <c r="G144" s="331"/>
      <c r="H144" s="331"/>
      <c r="I144" s="331"/>
      <c r="J144" s="331"/>
      <c r="K144" s="332"/>
      <c r="L144" s="332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1"/>
      <c r="AL144" s="271"/>
      <c r="AM144" s="271"/>
      <c r="AN144" s="271"/>
      <c r="AO144" s="271"/>
      <c r="AP144" s="271"/>
      <c r="AQ144" s="272">
        <f t="shared" si="13"/>
        <v>0</v>
      </c>
      <c r="AR144" s="272">
        <f t="shared" si="13"/>
        <v>0</v>
      </c>
      <c r="AS144" s="272">
        <f t="shared" si="13"/>
        <v>0</v>
      </c>
      <c r="AT144" s="273"/>
      <c r="AU144" s="273"/>
      <c r="AV144" s="273"/>
      <c r="AW144" s="273"/>
      <c r="AX144" s="273"/>
      <c r="AY144" s="273"/>
      <c r="AZ144" s="273"/>
      <c r="BA144" s="273"/>
      <c r="BB144" s="273"/>
      <c r="BC144" s="273"/>
      <c r="BD144" s="273"/>
      <c r="BE144" s="273"/>
      <c r="BF144" s="273"/>
      <c r="BG144" s="273"/>
      <c r="BH144" s="273"/>
      <c r="BI144" s="273"/>
      <c r="BJ144" s="273"/>
      <c r="BK144" s="273"/>
      <c r="BL144" s="273"/>
      <c r="BM144" s="273"/>
      <c r="BN144" s="273"/>
      <c r="BO144" s="273"/>
      <c r="BP144" s="273"/>
      <c r="BQ144" s="273"/>
      <c r="BR144" s="273"/>
      <c r="BS144" s="273"/>
      <c r="BT144" s="273"/>
      <c r="BU144" s="273"/>
      <c r="BV144" s="273"/>
      <c r="BW144" s="273"/>
      <c r="BX144" s="272">
        <f t="shared" si="14"/>
        <v>0</v>
      </c>
      <c r="BY144" s="272">
        <f t="shared" si="14"/>
        <v>0</v>
      </c>
      <c r="BZ144" s="272">
        <f t="shared" si="12"/>
        <v>0</v>
      </c>
      <c r="CA144" s="273"/>
      <c r="CB144" s="273"/>
      <c r="CC144" s="273"/>
      <c r="CD144" s="273"/>
      <c r="CE144" s="273"/>
      <c r="CF144" s="273"/>
      <c r="CG144" s="273"/>
      <c r="CH144" s="273"/>
      <c r="CI144" s="273"/>
      <c r="CJ144" s="273"/>
      <c r="CK144" s="273"/>
      <c r="CL144" s="273"/>
      <c r="CM144" s="273"/>
      <c r="CN144" s="273"/>
      <c r="CO144" s="273"/>
      <c r="CP144" s="273">
        <v>30</v>
      </c>
      <c r="CQ144" s="273">
        <v>420</v>
      </c>
      <c r="CR144" s="273">
        <v>268.8</v>
      </c>
      <c r="CS144" s="273"/>
      <c r="CT144" s="273"/>
      <c r="CU144" s="273"/>
      <c r="CV144" s="273"/>
      <c r="CW144" s="273"/>
      <c r="CX144" s="273"/>
      <c r="CY144" s="273"/>
      <c r="CZ144" s="273"/>
      <c r="DA144" s="273"/>
      <c r="DB144" s="273"/>
      <c r="DC144" s="273"/>
      <c r="DD144" s="273"/>
      <c r="DE144" s="273"/>
      <c r="DF144" s="271"/>
      <c r="DG144" s="271"/>
      <c r="DH144" s="272">
        <f t="shared" si="11"/>
        <v>30</v>
      </c>
      <c r="DI144" s="272">
        <f t="shared" si="11"/>
        <v>420</v>
      </c>
      <c r="DJ144" s="324">
        <f t="shared" si="11"/>
        <v>268.8</v>
      </c>
      <c r="DK144" s="325"/>
      <c r="DL144" s="325"/>
    </row>
    <row r="145" spans="1:116" s="275" customFormat="1" ht="20.100000000000001" customHeight="1" x14ac:dyDescent="0.6">
      <c r="A145" s="234">
        <v>142</v>
      </c>
      <c r="B145" s="330" t="s">
        <v>683</v>
      </c>
      <c r="C145" s="330" t="s">
        <v>684</v>
      </c>
      <c r="D145" s="142" t="s">
        <v>94</v>
      </c>
      <c r="E145" s="149" t="s">
        <v>95</v>
      </c>
      <c r="F145" s="333" t="s">
        <v>685</v>
      </c>
      <c r="G145" s="331"/>
      <c r="H145" s="331"/>
      <c r="I145" s="331"/>
      <c r="J145" s="331"/>
      <c r="K145" s="332"/>
      <c r="L145" s="332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1"/>
      <c r="AL145" s="271"/>
      <c r="AM145" s="271"/>
      <c r="AN145" s="271"/>
      <c r="AO145" s="271"/>
      <c r="AP145" s="271"/>
      <c r="AQ145" s="272">
        <f t="shared" si="13"/>
        <v>0</v>
      </c>
      <c r="AR145" s="272">
        <f t="shared" si="13"/>
        <v>0</v>
      </c>
      <c r="AS145" s="272">
        <f t="shared" si="13"/>
        <v>0</v>
      </c>
      <c r="AT145" s="273"/>
      <c r="AU145" s="273"/>
      <c r="AV145" s="273"/>
      <c r="AW145" s="273"/>
      <c r="AX145" s="273"/>
      <c r="AY145" s="273"/>
      <c r="AZ145" s="273"/>
      <c r="BA145" s="273"/>
      <c r="BB145" s="273"/>
      <c r="BC145" s="273"/>
      <c r="BD145" s="273"/>
      <c r="BE145" s="273"/>
      <c r="BF145" s="273"/>
      <c r="BG145" s="273"/>
      <c r="BH145" s="273"/>
      <c r="BI145" s="273"/>
      <c r="BJ145" s="273"/>
      <c r="BK145" s="273"/>
      <c r="BL145" s="273"/>
      <c r="BM145" s="273"/>
      <c r="BN145" s="273"/>
      <c r="BO145" s="273"/>
      <c r="BP145" s="273"/>
      <c r="BQ145" s="273"/>
      <c r="BR145" s="273"/>
      <c r="BS145" s="273"/>
      <c r="BT145" s="273"/>
      <c r="BU145" s="273"/>
      <c r="BV145" s="273"/>
      <c r="BW145" s="273"/>
      <c r="BX145" s="272">
        <f t="shared" si="14"/>
        <v>0</v>
      </c>
      <c r="BY145" s="272">
        <f t="shared" si="14"/>
        <v>0</v>
      </c>
      <c r="BZ145" s="272">
        <f t="shared" si="12"/>
        <v>0</v>
      </c>
      <c r="CA145" s="273"/>
      <c r="CB145" s="273"/>
      <c r="CC145" s="273"/>
      <c r="CD145" s="273"/>
      <c r="CE145" s="273"/>
      <c r="CF145" s="273"/>
      <c r="CG145" s="273"/>
      <c r="CH145" s="273"/>
      <c r="CI145" s="273"/>
      <c r="CJ145" s="273"/>
      <c r="CK145" s="273"/>
      <c r="CL145" s="273"/>
      <c r="CM145" s="273"/>
      <c r="CN145" s="273"/>
      <c r="CO145" s="273"/>
      <c r="CP145" s="273"/>
      <c r="CQ145" s="273"/>
      <c r="CR145" s="273"/>
      <c r="CS145" s="273"/>
      <c r="CT145" s="273"/>
      <c r="CU145" s="273"/>
      <c r="CV145" s="273"/>
      <c r="CW145" s="273"/>
      <c r="CX145" s="273"/>
      <c r="CY145" s="273"/>
      <c r="CZ145" s="273"/>
      <c r="DA145" s="273"/>
      <c r="DB145" s="273"/>
      <c r="DC145" s="273"/>
      <c r="DD145" s="273"/>
      <c r="DE145" s="273"/>
      <c r="DF145" s="271"/>
      <c r="DG145" s="271"/>
      <c r="DH145" s="272">
        <f t="shared" si="11"/>
        <v>0</v>
      </c>
      <c r="DI145" s="272">
        <f t="shared" si="11"/>
        <v>0</v>
      </c>
      <c r="DJ145" s="324">
        <f t="shared" si="11"/>
        <v>0</v>
      </c>
      <c r="DK145" s="325"/>
      <c r="DL145" s="325"/>
    </row>
    <row r="146" spans="1:116" s="275" customFormat="1" ht="20.100000000000001" customHeight="1" x14ac:dyDescent="0.6">
      <c r="A146" s="234">
        <v>143</v>
      </c>
      <c r="B146" s="330" t="s">
        <v>686</v>
      </c>
      <c r="C146" s="334" t="s">
        <v>687</v>
      </c>
      <c r="D146" s="103" t="s">
        <v>74</v>
      </c>
      <c r="E146" s="148" t="s">
        <v>75</v>
      </c>
      <c r="F146" s="179" t="s">
        <v>685</v>
      </c>
      <c r="G146" s="331"/>
      <c r="H146" s="331"/>
      <c r="I146" s="331"/>
      <c r="J146" s="331"/>
      <c r="K146" s="332"/>
      <c r="L146" s="332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>
        <v>100</v>
      </c>
      <c r="Z146" s="271">
        <v>1400</v>
      </c>
      <c r="AA146" s="271">
        <v>896</v>
      </c>
      <c r="AB146" s="271"/>
      <c r="AC146" s="271"/>
      <c r="AD146" s="271"/>
      <c r="AE146" s="271"/>
      <c r="AF146" s="271"/>
      <c r="AG146" s="271"/>
      <c r="AH146" s="271"/>
      <c r="AI146" s="271"/>
      <c r="AJ146" s="271"/>
      <c r="AK146" s="271"/>
      <c r="AL146" s="271"/>
      <c r="AM146" s="271"/>
      <c r="AN146" s="271"/>
      <c r="AO146" s="271"/>
      <c r="AP146" s="271"/>
      <c r="AQ146" s="272">
        <f t="shared" si="13"/>
        <v>100</v>
      </c>
      <c r="AR146" s="272">
        <f t="shared" si="13"/>
        <v>1400</v>
      </c>
      <c r="AS146" s="272">
        <f t="shared" si="13"/>
        <v>896</v>
      </c>
      <c r="AT146" s="273"/>
      <c r="AU146" s="273"/>
      <c r="AV146" s="273"/>
      <c r="AW146" s="273"/>
      <c r="AX146" s="273"/>
      <c r="AY146" s="273"/>
      <c r="AZ146" s="273"/>
      <c r="BA146" s="273"/>
      <c r="BB146" s="273"/>
      <c r="BC146" s="273"/>
      <c r="BD146" s="273"/>
      <c r="BE146" s="273"/>
      <c r="BF146" s="273"/>
      <c r="BG146" s="273"/>
      <c r="BH146" s="273"/>
      <c r="BI146" s="273"/>
      <c r="BJ146" s="273"/>
      <c r="BK146" s="273"/>
      <c r="BL146" s="273"/>
      <c r="BM146" s="273"/>
      <c r="BN146" s="273"/>
      <c r="BO146" s="273"/>
      <c r="BP146" s="273"/>
      <c r="BQ146" s="273"/>
      <c r="BR146" s="273"/>
      <c r="BS146" s="273"/>
      <c r="BT146" s="273"/>
      <c r="BU146" s="273"/>
      <c r="BV146" s="273"/>
      <c r="BW146" s="273"/>
      <c r="BX146" s="272">
        <f t="shared" si="14"/>
        <v>100</v>
      </c>
      <c r="BY146" s="272">
        <f t="shared" si="14"/>
        <v>1400</v>
      </c>
      <c r="BZ146" s="272">
        <f t="shared" si="12"/>
        <v>896</v>
      </c>
      <c r="CA146" s="273"/>
      <c r="CB146" s="273"/>
      <c r="CC146" s="273"/>
      <c r="CD146" s="273"/>
      <c r="CE146" s="273"/>
      <c r="CF146" s="273"/>
      <c r="CG146" s="273"/>
      <c r="CH146" s="273"/>
      <c r="CI146" s="273"/>
      <c r="CJ146" s="273"/>
      <c r="CK146" s="273"/>
      <c r="CL146" s="273"/>
      <c r="CM146" s="273"/>
      <c r="CN146" s="273"/>
      <c r="CO146" s="273"/>
      <c r="CP146" s="273"/>
      <c r="CQ146" s="273"/>
      <c r="CR146" s="273"/>
      <c r="CS146" s="273"/>
      <c r="CT146" s="273"/>
      <c r="CU146" s="273"/>
      <c r="CV146" s="273"/>
      <c r="CW146" s="273"/>
      <c r="CX146" s="273"/>
      <c r="CY146" s="273"/>
      <c r="CZ146" s="273"/>
      <c r="DA146" s="273"/>
      <c r="DB146" s="273"/>
      <c r="DC146" s="273"/>
      <c r="DD146" s="273"/>
      <c r="DE146" s="273"/>
      <c r="DF146" s="271"/>
      <c r="DG146" s="271"/>
      <c r="DH146" s="272">
        <f t="shared" si="11"/>
        <v>100</v>
      </c>
      <c r="DI146" s="272">
        <f t="shared" si="11"/>
        <v>1400</v>
      </c>
      <c r="DJ146" s="324">
        <f t="shared" si="11"/>
        <v>896</v>
      </c>
      <c r="DK146" s="325"/>
      <c r="DL146" s="325"/>
    </row>
    <row r="147" spans="1:116" s="275" customFormat="1" ht="20.100000000000001" customHeight="1" x14ac:dyDescent="0.6">
      <c r="A147" s="234"/>
      <c r="B147" s="330"/>
      <c r="C147" s="330"/>
      <c r="D147" s="330"/>
      <c r="E147" s="330"/>
      <c r="F147" s="333"/>
      <c r="G147" s="331"/>
      <c r="H147" s="331"/>
      <c r="I147" s="331"/>
      <c r="J147" s="331"/>
      <c r="K147" s="332"/>
      <c r="L147" s="332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1"/>
      <c r="AL147" s="271"/>
      <c r="AM147" s="271"/>
      <c r="AN147" s="271"/>
      <c r="AO147" s="271"/>
      <c r="AP147" s="271"/>
      <c r="AQ147" s="272"/>
      <c r="AR147" s="272"/>
      <c r="AS147" s="272"/>
      <c r="AT147" s="273"/>
      <c r="AU147" s="273"/>
      <c r="AV147" s="273"/>
      <c r="AW147" s="273"/>
      <c r="AX147" s="273"/>
      <c r="AY147" s="273"/>
      <c r="AZ147" s="273"/>
      <c r="BA147" s="273"/>
      <c r="BB147" s="273"/>
      <c r="BC147" s="273"/>
      <c r="BD147" s="273"/>
      <c r="BE147" s="273"/>
      <c r="BF147" s="273"/>
      <c r="BG147" s="273"/>
      <c r="BH147" s="273"/>
      <c r="BI147" s="273"/>
      <c r="BJ147" s="273"/>
      <c r="BK147" s="273"/>
      <c r="BL147" s="273"/>
      <c r="BM147" s="273"/>
      <c r="BN147" s="273"/>
      <c r="BO147" s="273"/>
      <c r="BP147" s="273"/>
      <c r="BQ147" s="273"/>
      <c r="BR147" s="273"/>
      <c r="BS147" s="273"/>
      <c r="BT147" s="273"/>
      <c r="BU147" s="273"/>
      <c r="BV147" s="273"/>
      <c r="BW147" s="273"/>
      <c r="BX147" s="272"/>
      <c r="BY147" s="272"/>
      <c r="BZ147" s="272"/>
      <c r="CA147" s="273"/>
      <c r="CB147" s="273"/>
      <c r="CC147" s="273"/>
      <c r="CD147" s="273"/>
      <c r="CE147" s="273"/>
      <c r="CF147" s="273"/>
      <c r="CG147" s="273"/>
      <c r="CH147" s="273"/>
      <c r="CI147" s="273"/>
      <c r="CJ147" s="273"/>
      <c r="CK147" s="273"/>
      <c r="CL147" s="273"/>
      <c r="CM147" s="273"/>
      <c r="CN147" s="273"/>
      <c r="CO147" s="273"/>
      <c r="CP147" s="273"/>
      <c r="CQ147" s="273"/>
      <c r="CR147" s="273"/>
      <c r="CS147" s="273"/>
      <c r="CT147" s="273"/>
      <c r="CU147" s="273"/>
      <c r="CV147" s="273"/>
      <c r="CW147" s="273"/>
      <c r="CX147" s="273"/>
      <c r="CY147" s="273"/>
      <c r="CZ147" s="273"/>
      <c r="DA147" s="273"/>
      <c r="DB147" s="273"/>
      <c r="DC147" s="273"/>
      <c r="DD147" s="273"/>
      <c r="DE147" s="273"/>
      <c r="DF147" s="271"/>
      <c r="DG147" s="271"/>
      <c r="DH147" s="272"/>
      <c r="DI147" s="272"/>
      <c r="DJ147" s="324"/>
      <c r="DK147" s="325"/>
      <c r="DL147" s="325"/>
    </row>
    <row r="148" spans="1:116" s="275" customFormat="1" ht="20.100000000000001" customHeight="1" x14ac:dyDescent="0.6">
      <c r="A148" s="335"/>
      <c r="B148" s="335" t="s">
        <v>1072</v>
      </c>
      <c r="C148" s="335"/>
      <c r="D148" s="335"/>
      <c r="E148" s="335"/>
      <c r="F148" s="335"/>
      <c r="G148" s="335"/>
      <c r="H148" s="335"/>
      <c r="I148" s="335"/>
      <c r="J148" s="335"/>
      <c r="K148" s="336">
        <f t="shared" ref="K148:AP148" si="15">SUM(K4:K135)</f>
        <v>0</v>
      </c>
      <c r="L148" s="336">
        <f t="shared" si="15"/>
        <v>0</v>
      </c>
      <c r="M148" s="272">
        <f t="shared" si="15"/>
        <v>0</v>
      </c>
      <c r="N148" s="272">
        <f t="shared" si="15"/>
        <v>0</v>
      </c>
      <c r="O148" s="272">
        <f t="shared" si="15"/>
        <v>0</v>
      </c>
      <c r="P148" s="272">
        <f t="shared" si="15"/>
        <v>201.667</v>
      </c>
      <c r="Q148" s="272">
        <f t="shared" si="15"/>
        <v>2690</v>
      </c>
      <c r="R148" s="272">
        <f t="shared" si="15"/>
        <v>2305.2000000000003</v>
      </c>
      <c r="S148" s="272">
        <f t="shared" si="15"/>
        <v>264.166</v>
      </c>
      <c r="T148" s="272">
        <f t="shared" si="15"/>
        <v>4120</v>
      </c>
      <c r="U148" s="272">
        <f t="shared" si="15"/>
        <v>3201.7999999999997</v>
      </c>
      <c r="V148" s="272">
        <f t="shared" si="15"/>
        <v>0</v>
      </c>
      <c r="W148" s="272">
        <f t="shared" si="15"/>
        <v>0</v>
      </c>
      <c r="X148" s="272">
        <f t="shared" si="15"/>
        <v>0</v>
      </c>
      <c r="Y148" s="272">
        <f t="shared" si="15"/>
        <v>456</v>
      </c>
      <c r="Z148" s="272">
        <f t="shared" si="15"/>
        <v>6486</v>
      </c>
      <c r="AA148" s="272">
        <f t="shared" si="15"/>
        <v>4960.880000000001</v>
      </c>
      <c r="AB148" s="272">
        <f t="shared" si="15"/>
        <v>145</v>
      </c>
      <c r="AC148" s="272">
        <f t="shared" si="15"/>
        <v>2330</v>
      </c>
      <c r="AD148" s="272">
        <f t="shared" si="15"/>
        <v>1724.8000000000002</v>
      </c>
      <c r="AE148" s="272">
        <f t="shared" si="15"/>
        <v>191.5</v>
      </c>
      <c r="AF148" s="272">
        <f t="shared" si="15"/>
        <v>2820</v>
      </c>
      <c r="AG148" s="272">
        <f t="shared" si="15"/>
        <v>2132.1200000000003</v>
      </c>
      <c r="AH148" s="272">
        <f t="shared" si="15"/>
        <v>178</v>
      </c>
      <c r="AI148" s="272">
        <f t="shared" si="15"/>
        <v>2462</v>
      </c>
      <c r="AJ148" s="272">
        <f t="shared" si="15"/>
        <v>2106.4</v>
      </c>
      <c r="AK148" s="272">
        <f t="shared" si="15"/>
        <v>265.666</v>
      </c>
      <c r="AL148" s="272">
        <f t="shared" si="15"/>
        <v>3674</v>
      </c>
      <c r="AM148" s="272">
        <f t="shared" si="15"/>
        <v>3172.56</v>
      </c>
      <c r="AN148" s="272">
        <f t="shared" si="15"/>
        <v>211.25</v>
      </c>
      <c r="AO148" s="272">
        <f t="shared" si="15"/>
        <v>3280</v>
      </c>
      <c r="AP148" s="272">
        <f t="shared" si="15"/>
        <v>2484.1799999999998</v>
      </c>
      <c r="AQ148" s="272">
        <f>SUM(AQ4:AQ147)</f>
        <v>2130.915</v>
      </c>
      <c r="AR148" s="272">
        <f t="shared" ref="AR148:DC148" si="16">SUM(AR4:AR147)</f>
        <v>30978</v>
      </c>
      <c r="AS148" s="272">
        <f t="shared" si="16"/>
        <v>24378.739999999998</v>
      </c>
      <c r="AT148" s="272">
        <f t="shared" si="16"/>
        <v>0</v>
      </c>
      <c r="AU148" s="272">
        <f t="shared" si="16"/>
        <v>0</v>
      </c>
      <c r="AV148" s="272">
        <f t="shared" si="16"/>
        <v>0</v>
      </c>
      <c r="AW148" s="272">
        <f t="shared" si="16"/>
        <v>207.208</v>
      </c>
      <c r="AX148" s="272">
        <f t="shared" si="16"/>
        <v>3075</v>
      </c>
      <c r="AY148" s="272">
        <f t="shared" si="16"/>
        <v>2391.11</v>
      </c>
      <c r="AZ148" s="272">
        <f t="shared" si="16"/>
        <v>133.833</v>
      </c>
      <c r="BA148" s="272">
        <f t="shared" si="16"/>
        <v>1904</v>
      </c>
      <c r="BB148" s="272">
        <f t="shared" si="16"/>
        <v>1561.76</v>
      </c>
      <c r="BC148" s="272">
        <f t="shared" si="16"/>
        <v>152.25</v>
      </c>
      <c r="BD148" s="272">
        <f t="shared" si="16"/>
        <v>2106</v>
      </c>
      <c r="BE148" s="272">
        <f t="shared" si="16"/>
        <v>1778.82</v>
      </c>
      <c r="BF148" s="272">
        <f t="shared" si="16"/>
        <v>302</v>
      </c>
      <c r="BG148" s="272">
        <f t="shared" si="16"/>
        <v>3930</v>
      </c>
      <c r="BH148" s="272">
        <f t="shared" si="16"/>
        <v>3452.96</v>
      </c>
      <c r="BI148" s="272">
        <f t="shared" si="16"/>
        <v>123</v>
      </c>
      <c r="BJ148" s="272">
        <f t="shared" si="16"/>
        <v>1636</v>
      </c>
      <c r="BK148" s="272">
        <f t="shared" si="16"/>
        <v>1455.6000000000001</v>
      </c>
      <c r="BL148" s="272">
        <f t="shared" si="16"/>
        <v>374.041</v>
      </c>
      <c r="BM148" s="272">
        <f t="shared" si="16"/>
        <v>5601</v>
      </c>
      <c r="BN148" s="272">
        <f t="shared" si="16"/>
        <v>4202.1900000000005</v>
      </c>
      <c r="BO148" s="272">
        <f t="shared" si="16"/>
        <v>0</v>
      </c>
      <c r="BP148" s="272">
        <f t="shared" si="16"/>
        <v>0</v>
      </c>
      <c r="BQ148" s="272">
        <f t="shared" si="16"/>
        <v>0</v>
      </c>
      <c r="BR148" s="272">
        <f t="shared" si="16"/>
        <v>422</v>
      </c>
      <c r="BS148" s="272">
        <f t="shared" si="16"/>
        <v>5498</v>
      </c>
      <c r="BT148" s="272">
        <f t="shared" si="16"/>
        <v>4939.28</v>
      </c>
      <c r="BU148" s="272">
        <f t="shared" si="16"/>
        <v>162</v>
      </c>
      <c r="BV148" s="272">
        <f t="shared" si="16"/>
        <v>2116</v>
      </c>
      <c r="BW148" s="272">
        <f t="shared" si="16"/>
        <v>1905.3600000000001</v>
      </c>
      <c r="BX148" s="272">
        <f t="shared" si="16"/>
        <v>4007.2470000000003</v>
      </c>
      <c r="BY148" s="272">
        <f t="shared" si="16"/>
        <v>56844</v>
      </c>
      <c r="BZ148" s="272">
        <f t="shared" si="16"/>
        <v>46065.82</v>
      </c>
      <c r="CA148" s="272">
        <f t="shared" si="16"/>
        <v>334.24900000000002</v>
      </c>
      <c r="CB148" s="272">
        <f t="shared" si="16"/>
        <v>5378</v>
      </c>
      <c r="CC148" s="272">
        <f t="shared" si="16"/>
        <v>3957.46</v>
      </c>
      <c r="CD148" s="272">
        <f t="shared" si="16"/>
        <v>133</v>
      </c>
      <c r="CE148" s="272">
        <f t="shared" si="16"/>
        <v>1760</v>
      </c>
      <c r="CF148" s="272">
        <f t="shared" si="16"/>
        <v>1480.3999999999999</v>
      </c>
      <c r="CG148" s="272">
        <f t="shared" si="16"/>
        <v>306.25</v>
      </c>
      <c r="CH148" s="272">
        <f t="shared" si="16"/>
        <v>4442</v>
      </c>
      <c r="CI148" s="272">
        <f t="shared" si="16"/>
        <v>3506.9</v>
      </c>
      <c r="CJ148" s="272">
        <f t="shared" si="16"/>
        <v>207.33199999999999</v>
      </c>
      <c r="CK148" s="272">
        <f t="shared" si="16"/>
        <v>2604</v>
      </c>
      <c r="CL148" s="272">
        <f t="shared" si="16"/>
        <v>2354.7999999999997</v>
      </c>
      <c r="CM148" s="272">
        <f t="shared" si="16"/>
        <v>0</v>
      </c>
      <c r="CN148" s="272">
        <f t="shared" si="16"/>
        <v>0</v>
      </c>
      <c r="CO148" s="272">
        <f t="shared" si="16"/>
        <v>0</v>
      </c>
      <c r="CP148" s="272">
        <f t="shared" si="16"/>
        <v>297</v>
      </c>
      <c r="CQ148" s="272">
        <f t="shared" si="16"/>
        <v>4062</v>
      </c>
      <c r="CR148" s="272">
        <f t="shared" si="16"/>
        <v>3411.2000000000003</v>
      </c>
      <c r="CS148" s="272">
        <f t="shared" si="16"/>
        <v>308</v>
      </c>
      <c r="CT148" s="272">
        <f t="shared" si="16"/>
        <v>4567</v>
      </c>
      <c r="CU148" s="272">
        <f t="shared" si="16"/>
        <v>3202.7200000000003</v>
      </c>
      <c r="CV148" s="272">
        <f t="shared" si="16"/>
        <v>281.5</v>
      </c>
      <c r="CW148" s="272">
        <f t="shared" si="16"/>
        <v>3694</v>
      </c>
      <c r="CX148" s="272">
        <f t="shared" si="16"/>
        <v>3346.2799999999997</v>
      </c>
      <c r="CY148" s="272">
        <f t="shared" si="16"/>
        <v>214</v>
      </c>
      <c r="CZ148" s="272">
        <f t="shared" si="16"/>
        <v>3408</v>
      </c>
      <c r="DA148" s="272">
        <f t="shared" si="16"/>
        <v>2440.8000000000002</v>
      </c>
      <c r="DB148" s="272">
        <f t="shared" si="16"/>
        <v>410.25</v>
      </c>
      <c r="DC148" s="272">
        <f t="shared" si="16"/>
        <v>6930</v>
      </c>
      <c r="DD148" s="272">
        <f t="shared" ref="DD148:DJ148" si="17">SUM(DD4:DD147)</f>
        <v>5007.1400000000003</v>
      </c>
      <c r="DE148" s="272">
        <f t="shared" si="17"/>
        <v>276</v>
      </c>
      <c r="DF148" s="272">
        <f t="shared" si="17"/>
        <v>4266</v>
      </c>
      <c r="DG148" s="272">
        <f t="shared" si="17"/>
        <v>3405.44</v>
      </c>
      <c r="DH148" s="272">
        <f t="shared" si="17"/>
        <v>6774.8279999999995</v>
      </c>
      <c r="DI148" s="272">
        <f t="shared" si="17"/>
        <v>97955</v>
      </c>
      <c r="DJ148" s="272">
        <f t="shared" si="17"/>
        <v>78178.959999999992</v>
      </c>
      <c r="DK148" s="325"/>
      <c r="DL148" s="325"/>
    </row>
    <row r="149" spans="1:116" x14ac:dyDescent="0.6">
      <c r="BX149" s="243"/>
      <c r="BY149" s="243"/>
      <c r="BZ149" s="243"/>
    </row>
    <row r="152" spans="1:116" x14ac:dyDescent="0.6">
      <c r="DH152" s="228"/>
    </row>
  </sheetData>
  <mergeCells count="41">
    <mergeCell ref="M2:O2"/>
    <mergeCell ref="A1:D1"/>
    <mergeCell ref="B2:C2"/>
    <mergeCell ref="D2:E2"/>
    <mergeCell ref="G2:H2"/>
    <mergeCell ref="K2:L2"/>
    <mergeCell ref="AW2:AY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CG2:CI2"/>
    <mergeCell ref="AZ2:BB2"/>
    <mergeCell ref="BC2:BE2"/>
    <mergeCell ref="BF2:BH2"/>
    <mergeCell ref="BI2:BK2"/>
    <mergeCell ref="BL2:BN2"/>
    <mergeCell ref="BO2:BQ2"/>
    <mergeCell ref="DB2:DD2"/>
    <mergeCell ref="DE2:DG2"/>
    <mergeCell ref="DH2:DJ2"/>
    <mergeCell ref="B3:C3"/>
    <mergeCell ref="D3:E3"/>
    <mergeCell ref="CJ2:CL2"/>
    <mergeCell ref="CM2:CO2"/>
    <mergeCell ref="CP2:CR2"/>
    <mergeCell ref="CS2:CU2"/>
    <mergeCell ref="CV2:CX2"/>
    <mergeCell ref="CY2:DA2"/>
    <mergeCell ref="BR2:BT2"/>
    <mergeCell ref="BU2:BW2"/>
    <mergeCell ref="BX2:BZ2"/>
    <mergeCell ref="CA2:CC2"/>
    <mergeCell ref="CD2:CF2"/>
  </mergeCells>
  <conditionalFormatting sqref="B148:C148">
    <cfRule type="duplicateValues" dxfId="24" priority="1"/>
    <cfRule type="duplicateValues" dxfId="23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5DA9-E99B-4516-A784-5E6B2695A606}">
  <dimension ref="A1:DI97"/>
  <sheetViews>
    <sheetView topLeftCell="BK22" zoomScale="90" zoomScaleNormal="90" workbookViewId="0">
      <selection activeCell="BW44" sqref="BW44:BX90"/>
    </sheetView>
  </sheetViews>
  <sheetFormatPr defaultColWidth="10.28515625" defaultRowHeight="21" x14ac:dyDescent="0.6"/>
  <cols>
    <col min="1" max="1" width="5.5703125" style="227" customWidth="1"/>
    <col min="2" max="2" width="15.28515625" style="227" customWidth="1"/>
    <col min="3" max="3" width="14.140625" style="227" customWidth="1"/>
    <col min="4" max="4" width="13.28515625" style="227" customWidth="1"/>
    <col min="5" max="5" width="13.42578125" style="227" customWidth="1"/>
    <col min="6" max="6" width="10.28515625" style="227" customWidth="1"/>
    <col min="7" max="10" width="10.28515625" style="227" hidden="1" customWidth="1"/>
    <col min="11" max="11" width="6.28515625" style="227" hidden="1" customWidth="1"/>
    <col min="12" max="12" width="7.140625" style="227" hidden="1" customWidth="1"/>
    <col min="13" max="13" width="7.85546875" style="227" hidden="1" customWidth="1"/>
    <col min="14" max="14" width="7.28515625" style="227" hidden="1" customWidth="1"/>
    <col min="15" max="19" width="8.5703125" style="227" hidden="1" customWidth="1"/>
    <col min="20" max="22" width="7.28515625" style="227" hidden="1" customWidth="1"/>
    <col min="23" max="31" width="7.85546875" style="227" hidden="1" customWidth="1"/>
    <col min="32" max="34" width="7" style="227" hidden="1" customWidth="1"/>
    <col min="35" max="35" width="6.5703125" style="227" hidden="1" customWidth="1"/>
    <col min="36" max="36" width="8.7109375" style="227" hidden="1" customWidth="1"/>
    <col min="37" max="37" width="7.7109375" style="227" hidden="1" customWidth="1"/>
    <col min="38" max="40" width="8.7109375" style="227" hidden="1" customWidth="1"/>
    <col min="41" max="41" width="6.28515625" style="227" hidden="1" customWidth="1"/>
    <col min="42" max="43" width="10.28515625" style="227" hidden="1" customWidth="1"/>
    <col min="44" max="76" width="10.28515625" style="227" customWidth="1"/>
    <col min="77" max="109" width="10.28515625" style="227" hidden="1" customWidth="1"/>
    <col min="110" max="110" width="10.28515625" style="227" customWidth="1"/>
    <col min="111" max="16384" width="10.28515625" style="227"/>
  </cols>
  <sheetData>
    <row r="1" spans="1:113" ht="30" customHeight="1" thickBot="1" x14ac:dyDescent="0.65">
      <c r="B1" s="414" t="s">
        <v>724</v>
      </c>
      <c r="C1" s="414"/>
      <c r="D1" s="414"/>
    </row>
    <row r="2" spans="1:113" ht="30" customHeight="1" x14ac:dyDescent="0.6">
      <c r="A2" s="432" t="s">
        <v>725</v>
      </c>
      <c r="B2" s="433"/>
      <c r="C2" s="433"/>
      <c r="D2" s="433"/>
      <c r="E2" s="433"/>
      <c r="F2" s="433"/>
      <c r="G2" s="433"/>
      <c r="H2" s="433"/>
      <c r="I2" s="433"/>
      <c r="J2" s="434"/>
      <c r="K2" s="409">
        <v>8827</v>
      </c>
      <c r="L2" s="409"/>
      <c r="M2" s="410"/>
      <c r="N2" s="409">
        <v>45718</v>
      </c>
      <c r="O2" s="409"/>
      <c r="P2" s="410"/>
      <c r="Q2" s="409">
        <v>45719</v>
      </c>
      <c r="R2" s="409"/>
      <c r="S2" s="410"/>
      <c r="T2" s="409">
        <v>45720</v>
      </c>
      <c r="U2" s="409"/>
      <c r="V2" s="410"/>
      <c r="W2" s="409">
        <v>45721</v>
      </c>
      <c r="X2" s="409"/>
      <c r="Y2" s="410"/>
      <c r="Z2" s="409">
        <v>45722</v>
      </c>
      <c r="AA2" s="409"/>
      <c r="AB2" s="410"/>
      <c r="AC2" s="409">
        <v>45723</v>
      </c>
      <c r="AD2" s="409"/>
      <c r="AE2" s="410"/>
      <c r="AF2" s="409">
        <v>45724</v>
      </c>
      <c r="AG2" s="409"/>
      <c r="AH2" s="410"/>
      <c r="AI2" s="409">
        <v>45725</v>
      </c>
      <c r="AJ2" s="409"/>
      <c r="AK2" s="410"/>
      <c r="AL2" s="409">
        <v>45726</v>
      </c>
      <c r="AM2" s="409"/>
      <c r="AN2" s="410"/>
      <c r="AO2" s="429" t="s">
        <v>717</v>
      </c>
      <c r="AP2" s="430"/>
      <c r="AQ2" s="431"/>
      <c r="AR2" s="409">
        <v>46092</v>
      </c>
      <c r="AS2" s="409"/>
      <c r="AT2" s="410"/>
      <c r="AU2" s="409">
        <v>46093</v>
      </c>
      <c r="AV2" s="409"/>
      <c r="AW2" s="410"/>
      <c r="AX2" s="409">
        <v>46094</v>
      </c>
      <c r="AY2" s="409"/>
      <c r="AZ2" s="410"/>
      <c r="BA2" s="409">
        <v>46095</v>
      </c>
      <c r="BB2" s="409"/>
      <c r="BC2" s="410"/>
      <c r="BD2" s="409">
        <v>46096</v>
      </c>
      <c r="BE2" s="409"/>
      <c r="BF2" s="410"/>
      <c r="BG2" s="409">
        <v>46097</v>
      </c>
      <c r="BH2" s="409"/>
      <c r="BI2" s="410"/>
      <c r="BJ2" s="409">
        <v>46098</v>
      </c>
      <c r="BK2" s="409"/>
      <c r="BL2" s="410"/>
      <c r="BM2" s="409">
        <v>46099</v>
      </c>
      <c r="BN2" s="409"/>
      <c r="BO2" s="410"/>
      <c r="BP2" s="409">
        <v>46100</v>
      </c>
      <c r="BQ2" s="409"/>
      <c r="BR2" s="410"/>
      <c r="BS2" s="409">
        <v>46101</v>
      </c>
      <c r="BT2" s="409"/>
      <c r="BU2" s="410"/>
      <c r="BV2" s="429" t="s">
        <v>718</v>
      </c>
      <c r="BW2" s="430"/>
      <c r="BX2" s="431"/>
      <c r="BY2" s="409">
        <v>46074</v>
      </c>
      <c r="BZ2" s="409"/>
      <c r="CA2" s="410"/>
      <c r="CB2" s="409">
        <v>46075</v>
      </c>
      <c r="CC2" s="409"/>
      <c r="CD2" s="410"/>
      <c r="CE2" s="409">
        <v>46076</v>
      </c>
      <c r="CF2" s="409"/>
      <c r="CG2" s="410"/>
      <c r="CH2" s="409">
        <v>46077</v>
      </c>
      <c r="CI2" s="409"/>
      <c r="CJ2" s="410"/>
      <c r="CK2" s="409">
        <v>46078</v>
      </c>
      <c r="CL2" s="409"/>
      <c r="CM2" s="410"/>
      <c r="CN2" s="409">
        <v>46079</v>
      </c>
      <c r="CO2" s="409"/>
      <c r="CP2" s="410"/>
      <c r="CQ2" s="409">
        <v>46080</v>
      </c>
      <c r="CR2" s="409"/>
      <c r="CS2" s="410"/>
      <c r="CT2" s="409">
        <v>46081</v>
      </c>
      <c r="CU2" s="409"/>
      <c r="CV2" s="410"/>
      <c r="CW2" s="409">
        <v>46051</v>
      </c>
      <c r="CX2" s="409"/>
      <c r="CY2" s="410"/>
      <c r="CZ2" s="409">
        <v>46052</v>
      </c>
      <c r="DA2" s="409"/>
      <c r="DB2" s="410"/>
      <c r="DC2" s="409">
        <v>46053</v>
      </c>
      <c r="DD2" s="409"/>
      <c r="DE2" s="410"/>
      <c r="DF2" s="426" t="s">
        <v>719</v>
      </c>
      <c r="DG2" s="427"/>
      <c r="DH2" s="428"/>
    </row>
    <row r="3" spans="1:113" ht="30" customHeight="1" x14ac:dyDescent="0.6">
      <c r="A3" s="417" t="s">
        <v>726</v>
      </c>
      <c r="B3" s="419" t="s">
        <v>727</v>
      </c>
      <c r="C3" s="420"/>
      <c r="D3" s="419" t="s">
        <v>728</v>
      </c>
      <c r="E3" s="420"/>
      <c r="F3" s="423" t="s">
        <v>729</v>
      </c>
      <c r="G3" s="419" t="s">
        <v>730</v>
      </c>
      <c r="H3" s="420"/>
      <c r="I3" s="425" t="s">
        <v>731</v>
      </c>
      <c r="J3" s="415" t="s">
        <v>732</v>
      </c>
      <c r="K3" s="233" t="s">
        <v>720</v>
      </c>
      <c r="L3" s="230" t="s">
        <v>721</v>
      </c>
      <c r="M3" s="230" t="s">
        <v>722</v>
      </c>
      <c r="N3" s="233" t="s">
        <v>720</v>
      </c>
      <c r="O3" s="230" t="s">
        <v>721</v>
      </c>
      <c r="P3" s="230" t="s">
        <v>722</v>
      </c>
      <c r="Q3" s="233" t="s">
        <v>720</v>
      </c>
      <c r="R3" s="230" t="s">
        <v>721</v>
      </c>
      <c r="S3" s="230" t="s">
        <v>722</v>
      </c>
      <c r="T3" s="233" t="s">
        <v>720</v>
      </c>
      <c r="U3" s="230" t="s">
        <v>721</v>
      </c>
      <c r="V3" s="230" t="s">
        <v>722</v>
      </c>
      <c r="W3" s="233" t="s">
        <v>720</v>
      </c>
      <c r="X3" s="230" t="s">
        <v>721</v>
      </c>
      <c r="Y3" s="230" t="s">
        <v>722</v>
      </c>
      <c r="Z3" s="233" t="s">
        <v>720</v>
      </c>
      <c r="AA3" s="230" t="s">
        <v>721</v>
      </c>
      <c r="AB3" s="230" t="s">
        <v>722</v>
      </c>
      <c r="AC3" s="233" t="s">
        <v>720</v>
      </c>
      <c r="AD3" s="230" t="s">
        <v>721</v>
      </c>
      <c r="AE3" s="230" t="s">
        <v>722</v>
      </c>
      <c r="AF3" s="233" t="s">
        <v>720</v>
      </c>
      <c r="AG3" s="230" t="s">
        <v>721</v>
      </c>
      <c r="AH3" s="230" t="s">
        <v>722</v>
      </c>
      <c r="AI3" s="233" t="s">
        <v>720</v>
      </c>
      <c r="AJ3" s="230" t="s">
        <v>721</v>
      </c>
      <c r="AK3" s="230" t="s">
        <v>722</v>
      </c>
      <c r="AL3" s="233" t="s">
        <v>720</v>
      </c>
      <c r="AM3" s="230" t="s">
        <v>721</v>
      </c>
      <c r="AN3" s="230" t="s">
        <v>722</v>
      </c>
      <c r="AO3" s="263" t="s">
        <v>720</v>
      </c>
      <c r="AP3" s="264" t="s">
        <v>721</v>
      </c>
      <c r="AQ3" s="262" t="s">
        <v>722</v>
      </c>
      <c r="AR3" s="233" t="s">
        <v>720</v>
      </c>
      <c r="AS3" s="230" t="s">
        <v>721</v>
      </c>
      <c r="AT3" s="230" t="s">
        <v>722</v>
      </c>
      <c r="AU3" s="233" t="s">
        <v>720</v>
      </c>
      <c r="AV3" s="230" t="s">
        <v>721</v>
      </c>
      <c r="AW3" s="230" t="s">
        <v>722</v>
      </c>
      <c r="AX3" s="233" t="s">
        <v>720</v>
      </c>
      <c r="AY3" s="230" t="s">
        <v>721</v>
      </c>
      <c r="AZ3" s="230" t="s">
        <v>722</v>
      </c>
      <c r="BA3" s="233" t="s">
        <v>720</v>
      </c>
      <c r="BB3" s="230" t="s">
        <v>721</v>
      </c>
      <c r="BC3" s="230" t="s">
        <v>722</v>
      </c>
      <c r="BD3" s="233" t="s">
        <v>720</v>
      </c>
      <c r="BE3" s="230" t="s">
        <v>721</v>
      </c>
      <c r="BF3" s="230" t="s">
        <v>722</v>
      </c>
      <c r="BG3" s="233" t="s">
        <v>720</v>
      </c>
      <c r="BH3" s="230" t="s">
        <v>721</v>
      </c>
      <c r="BI3" s="230" t="s">
        <v>722</v>
      </c>
      <c r="BJ3" s="233" t="s">
        <v>720</v>
      </c>
      <c r="BK3" s="230" t="s">
        <v>721</v>
      </c>
      <c r="BL3" s="230" t="s">
        <v>722</v>
      </c>
      <c r="BM3" s="233" t="s">
        <v>720</v>
      </c>
      <c r="BN3" s="230" t="s">
        <v>721</v>
      </c>
      <c r="BO3" s="230" t="s">
        <v>722</v>
      </c>
      <c r="BP3" s="233" t="s">
        <v>720</v>
      </c>
      <c r="BQ3" s="230" t="s">
        <v>721</v>
      </c>
      <c r="BR3" s="230" t="s">
        <v>722</v>
      </c>
      <c r="BS3" s="233" t="s">
        <v>720</v>
      </c>
      <c r="BT3" s="230" t="s">
        <v>721</v>
      </c>
      <c r="BU3" s="230" t="s">
        <v>722</v>
      </c>
      <c r="BV3" s="263" t="s">
        <v>720</v>
      </c>
      <c r="BW3" s="264" t="s">
        <v>721</v>
      </c>
      <c r="BX3" s="262" t="s">
        <v>722</v>
      </c>
      <c r="BY3" s="233" t="s">
        <v>720</v>
      </c>
      <c r="BZ3" s="230" t="s">
        <v>721</v>
      </c>
      <c r="CA3" s="230" t="s">
        <v>723</v>
      </c>
      <c r="CB3" s="233" t="s">
        <v>720</v>
      </c>
      <c r="CC3" s="230" t="s">
        <v>721</v>
      </c>
      <c r="CD3" s="230" t="s">
        <v>723</v>
      </c>
      <c r="CE3" s="233" t="s">
        <v>720</v>
      </c>
      <c r="CF3" s="230" t="s">
        <v>721</v>
      </c>
      <c r="CG3" s="230" t="s">
        <v>723</v>
      </c>
      <c r="CH3" s="233" t="s">
        <v>720</v>
      </c>
      <c r="CI3" s="230" t="s">
        <v>721</v>
      </c>
      <c r="CJ3" s="230" t="s">
        <v>723</v>
      </c>
      <c r="CK3" s="233" t="s">
        <v>720</v>
      </c>
      <c r="CL3" s="230" t="s">
        <v>721</v>
      </c>
      <c r="CM3" s="230" t="s">
        <v>723</v>
      </c>
      <c r="CN3" s="233" t="s">
        <v>720</v>
      </c>
      <c r="CO3" s="230" t="s">
        <v>721</v>
      </c>
      <c r="CP3" s="230" t="s">
        <v>723</v>
      </c>
      <c r="CQ3" s="233" t="s">
        <v>720</v>
      </c>
      <c r="CR3" s="230" t="s">
        <v>721</v>
      </c>
      <c r="CS3" s="230" t="s">
        <v>723</v>
      </c>
      <c r="CT3" s="233" t="s">
        <v>720</v>
      </c>
      <c r="CU3" s="230" t="s">
        <v>721</v>
      </c>
      <c r="CV3" s="230" t="s">
        <v>723</v>
      </c>
      <c r="CW3" s="233" t="s">
        <v>720</v>
      </c>
      <c r="CX3" s="230" t="s">
        <v>721</v>
      </c>
      <c r="CY3" s="230" t="s">
        <v>723</v>
      </c>
      <c r="CZ3" s="233" t="s">
        <v>720</v>
      </c>
      <c r="DA3" s="230" t="s">
        <v>721</v>
      </c>
      <c r="DB3" s="230" t="s">
        <v>723</v>
      </c>
      <c r="DC3" s="233" t="s">
        <v>720</v>
      </c>
      <c r="DD3" s="230" t="s">
        <v>721</v>
      </c>
      <c r="DE3" s="230" t="s">
        <v>723</v>
      </c>
      <c r="DF3" s="263" t="s">
        <v>720</v>
      </c>
      <c r="DG3" s="264" t="s">
        <v>721</v>
      </c>
      <c r="DH3" s="262" t="s">
        <v>722</v>
      </c>
    </row>
    <row r="4" spans="1:113" ht="30" customHeight="1" x14ac:dyDescent="0.6">
      <c r="A4" s="418"/>
      <c r="B4" s="421"/>
      <c r="C4" s="422"/>
      <c r="D4" s="421"/>
      <c r="E4" s="422"/>
      <c r="F4" s="424"/>
      <c r="G4" s="421"/>
      <c r="H4" s="422"/>
      <c r="I4" s="425"/>
      <c r="J4" s="416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6">
        <f>+AL4+AI4+AF4+AC4+Z4+W4+T4+Q4+N4+K4</f>
        <v>0</v>
      </c>
      <c r="AP4" s="266">
        <f>+AM4+AJ4+AG4+AD4+AA4+X4+U4+R4+O4+L4</f>
        <v>0</v>
      </c>
      <c r="AQ4" s="266">
        <f>M4+P4+S4+V4+Y4+AB4+AE4+AH4+AK4+AN4</f>
        <v>0</v>
      </c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67"/>
      <c r="BE4" s="267"/>
      <c r="BF4" s="267"/>
      <c r="BG4" s="267"/>
      <c r="BH4" s="267"/>
      <c r="BI4" s="267"/>
      <c r="BJ4" s="267"/>
      <c r="BK4" s="267"/>
      <c r="BL4" s="267"/>
      <c r="BM4" s="267"/>
      <c r="BN4" s="267"/>
      <c r="BO4" s="267"/>
      <c r="BP4" s="267"/>
      <c r="BQ4" s="267"/>
      <c r="BR4" s="267"/>
      <c r="BS4" s="267"/>
      <c r="BT4" s="267"/>
      <c r="BU4" s="267"/>
      <c r="BV4" s="266">
        <f>+BS4+BP4+BM4+BJ4+BG4+BD4+BA4+AX4+AU4+AR4+AO4</f>
        <v>0</v>
      </c>
      <c r="BW4" s="266">
        <f t="shared" ref="BW4" si="0">+BT4+BQ4+BN4+BK4+BH4+BE4+BB4+AY4+AV4+AS4+AP4</f>
        <v>0</v>
      </c>
      <c r="BX4" s="266">
        <f>AQ4+AT4+AW4+AZ4+BC4+BF4+BI4+BL4+BO4+BR4+BU4</f>
        <v>0</v>
      </c>
      <c r="BY4" s="267"/>
      <c r="BZ4" s="267"/>
      <c r="CA4" s="267"/>
      <c r="CB4" s="267"/>
      <c r="CC4" s="267"/>
      <c r="CD4" s="267"/>
      <c r="CE4" s="267"/>
      <c r="CF4" s="267"/>
      <c r="CG4" s="267"/>
      <c r="CH4" s="267"/>
      <c r="CI4" s="267"/>
      <c r="CJ4" s="267"/>
      <c r="CK4" s="267"/>
      <c r="CL4" s="267"/>
      <c r="CM4" s="267"/>
      <c r="CN4" s="267"/>
      <c r="CO4" s="267"/>
      <c r="CP4" s="267"/>
      <c r="CQ4" s="267"/>
      <c r="CR4" s="267"/>
      <c r="CS4" s="267"/>
      <c r="CT4" s="267"/>
      <c r="CU4" s="267"/>
      <c r="CV4" s="267"/>
      <c r="CW4" s="267"/>
      <c r="CX4" s="267"/>
      <c r="CY4" s="267"/>
      <c r="CZ4" s="267"/>
      <c r="DA4" s="267"/>
      <c r="DB4" s="267"/>
      <c r="DC4" s="267"/>
      <c r="DD4" s="265"/>
      <c r="DE4" s="265"/>
      <c r="DF4" s="266">
        <f t="shared" ref="DF4:DG40" si="1">+DC4+CZ4+CW4+CT4+CQ4+CN4+CK4+CH4+CE4+CB4+BY4+BV4</f>
        <v>0</v>
      </c>
      <c r="DG4" s="266">
        <f t="shared" si="1"/>
        <v>0</v>
      </c>
      <c r="DH4" s="266">
        <f>BX4+CA4+CD4+CG4+CJ4+CM4+CP4+CS4+CV4+CY4+DB4+DE4</f>
        <v>0</v>
      </c>
    </row>
    <row r="5" spans="1:113" s="275" customFormat="1" ht="24.75" customHeight="1" x14ac:dyDescent="0.6">
      <c r="A5" s="268">
        <v>1</v>
      </c>
      <c r="B5" s="269" t="s">
        <v>191</v>
      </c>
      <c r="C5" s="99" t="s">
        <v>191</v>
      </c>
      <c r="D5" s="100" t="s">
        <v>192</v>
      </c>
      <c r="E5" s="99" t="s">
        <v>193</v>
      </c>
      <c r="F5" s="234" t="s">
        <v>733</v>
      </c>
      <c r="G5" s="234" t="s">
        <v>734</v>
      </c>
      <c r="H5" s="234" t="s">
        <v>735</v>
      </c>
      <c r="I5" s="234" t="s">
        <v>736</v>
      </c>
      <c r="J5" s="270" t="s">
        <v>195</v>
      </c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>
        <v>19</v>
      </c>
      <c r="AA5" s="271">
        <v>258</v>
      </c>
      <c r="AB5" s="271">
        <v>182.4</v>
      </c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2">
        <f t="shared" ref="AO5:AP40" si="2">+AL5+AI5+AF5+AC5+Z5+W5+T5+Q5+N5+K5</f>
        <v>19</v>
      </c>
      <c r="AP5" s="272">
        <f t="shared" si="2"/>
        <v>258</v>
      </c>
      <c r="AQ5" s="272">
        <f t="shared" ref="AQ5:AQ40" si="3">M5+P5+S5+V5+Y5+AB5+AE5+AH5+AK5+AN5</f>
        <v>182.4</v>
      </c>
      <c r="AR5" s="273"/>
      <c r="AS5" s="273"/>
      <c r="AT5" s="273"/>
      <c r="AU5" s="273"/>
      <c r="AV5" s="273"/>
      <c r="AW5" s="273"/>
      <c r="AX5" s="273">
        <v>16</v>
      </c>
      <c r="AY5" s="273">
        <v>220</v>
      </c>
      <c r="AZ5" s="273">
        <v>194</v>
      </c>
      <c r="BA5" s="273"/>
      <c r="BB5" s="273"/>
      <c r="BC5" s="273"/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3"/>
      <c r="BQ5" s="273"/>
      <c r="BR5" s="273"/>
      <c r="BS5" s="273">
        <v>63</v>
      </c>
      <c r="BT5" s="273">
        <v>854</v>
      </c>
      <c r="BU5" s="273">
        <v>696.16</v>
      </c>
      <c r="BV5" s="272">
        <f>AO5+AR5+AU5+AX5+BA5+BD5+BG5+BJ5+BM5+BP5+BS5</f>
        <v>98</v>
      </c>
      <c r="BW5" s="272">
        <f>AP5+AS5+AV5+AY5+BB5+BE5+BH5+BK5+BN5+BQ5+BT5</f>
        <v>1332</v>
      </c>
      <c r="BX5" s="272">
        <f>AQ5+AT5+AW5+AZ5+BC5+BF5+BI5+BL5+BO5+BR5+BU5</f>
        <v>1072.56</v>
      </c>
      <c r="BY5" s="273"/>
      <c r="BZ5" s="273"/>
      <c r="CA5" s="273"/>
      <c r="CB5" s="273"/>
      <c r="CC5" s="273"/>
      <c r="CD5" s="273"/>
      <c r="CE5" s="273"/>
      <c r="CF5" s="273"/>
      <c r="CG5" s="273"/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  <c r="CT5" s="273"/>
      <c r="CU5" s="273"/>
      <c r="CV5" s="273"/>
      <c r="CW5" s="273"/>
      <c r="CX5" s="273"/>
      <c r="CY5" s="273"/>
      <c r="CZ5" s="273"/>
      <c r="DA5" s="273"/>
      <c r="DB5" s="273"/>
      <c r="DC5" s="273"/>
      <c r="DD5" s="271"/>
      <c r="DE5" s="271"/>
      <c r="DF5" s="272">
        <f t="shared" si="1"/>
        <v>98</v>
      </c>
      <c r="DG5" s="272">
        <f t="shared" si="1"/>
        <v>1332</v>
      </c>
      <c r="DH5" s="272">
        <f t="shared" ref="DH5:DH40" si="4">BX5+CA5+CD5+CG5+CJ5+CM5+CP5+CS5+CV5+CY5+DB5+DE5</f>
        <v>1072.56</v>
      </c>
      <c r="DI5" s="274"/>
    </row>
    <row r="6" spans="1:113" s="275" customFormat="1" ht="24.75" customHeight="1" x14ac:dyDescent="0.6">
      <c r="A6" s="268">
        <v>2</v>
      </c>
      <c r="B6" s="269" t="s">
        <v>196</v>
      </c>
      <c r="C6" s="104" t="s">
        <v>197</v>
      </c>
      <c r="D6" s="100" t="s">
        <v>168</v>
      </c>
      <c r="E6" s="99" t="s">
        <v>169</v>
      </c>
      <c r="F6" s="234" t="s">
        <v>733</v>
      </c>
      <c r="G6" s="234" t="s">
        <v>737</v>
      </c>
      <c r="H6" s="234" t="s">
        <v>738</v>
      </c>
      <c r="I6" s="234" t="s">
        <v>739</v>
      </c>
      <c r="J6" s="270" t="s">
        <v>195</v>
      </c>
      <c r="K6" s="271"/>
      <c r="L6" s="271"/>
      <c r="M6" s="271"/>
      <c r="N6" s="276"/>
      <c r="O6" s="276"/>
      <c r="P6" s="276"/>
      <c r="Q6" s="276"/>
      <c r="R6" s="276"/>
      <c r="S6" s="276"/>
      <c r="T6" s="277"/>
      <c r="U6" s="271"/>
      <c r="V6" s="271"/>
      <c r="W6" s="271">
        <v>90</v>
      </c>
      <c r="X6" s="271">
        <v>1140</v>
      </c>
      <c r="Y6" s="271">
        <v>988.8</v>
      </c>
      <c r="Z6" s="271"/>
      <c r="AA6" s="271"/>
      <c r="AB6" s="271"/>
      <c r="AC6" s="271">
        <v>15</v>
      </c>
      <c r="AD6" s="271">
        <v>600</v>
      </c>
      <c r="AE6" s="271">
        <v>210</v>
      </c>
      <c r="AF6" s="271"/>
      <c r="AG6" s="271"/>
      <c r="AH6" s="271"/>
      <c r="AI6" s="271">
        <v>30</v>
      </c>
      <c r="AJ6" s="271">
        <v>360</v>
      </c>
      <c r="AK6" s="271">
        <v>360</v>
      </c>
      <c r="AL6" s="271"/>
      <c r="AM6" s="271"/>
      <c r="AN6" s="271"/>
      <c r="AO6" s="272">
        <f t="shared" si="2"/>
        <v>135</v>
      </c>
      <c r="AP6" s="272">
        <f t="shared" si="2"/>
        <v>2100</v>
      </c>
      <c r="AQ6" s="272">
        <f t="shared" si="3"/>
        <v>1558.8</v>
      </c>
      <c r="AR6" s="273"/>
      <c r="AS6" s="273"/>
      <c r="AT6" s="273"/>
      <c r="AU6" s="273">
        <v>80</v>
      </c>
      <c r="AV6" s="273">
        <v>1000</v>
      </c>
      <c r="AW6" s="273">
        <v>899.2</v>
      </c>
      <c r="AX6" s="273"/>
      <c r="AY6" s="273"/>
      <c r="AZ6" s="273"/>
      <c r="BA6" s="273"/>
      <c r="BB6" s="273"/>
      <c r="BC6" s="273"/>
      <c r="BD6" s="273"/>
      <c r="BE6" s="273"/>
      <c r="BF6" s="273"/>
      <c r="BG6" s="273">
        <v>40</v>
      </c>
      <c r="BH6" s="273">
        <v>820</v>
      </c>
      <c r="BI6" s="273">
        <v>408.8</v>
      </c>
      <c r="BJ6" s="273"/>
      <c r="BK6" s="273"/>
      <c r="BL6" s="273"/>
      <c r="BM6" s="273">
        <v>60</v>
      </c>
      <c r="BN6" s="273">
        <v>720</v>
      </c>
      <c r="BO6" s="273">
        <v>720</v>
      </c>
      <c r="BP6" s="273"/>
      <c r="BQ6" s="273"/>
      <c r="BR6" s="273"/>
      <c r="BS6" s="273"/>
      <c r="BT6" s="273"/>
      <c r="BU6" s="273"/>
      <c r="BV6" s="272">
        <f t="shared" ref="BV6:BX40" si="5">AO6+AR6+AU6+AX6+BA6+BD6+BG6+BJ6+BM6+BP6+BS6</f>
        <v>315</v>
      </c>
      <c r="BW6" s="272">
        <f t="shared" si="5"/>
        <v>4640</v>
      </c>
      <c r="BX6" s="272">
        <f t="shared" si="5"/>
        <v>3586.8</v>
      </c>
      <c r="BY6" s="273"/>
      <c r="BZ6" s="273"/>
      <c r="CA6" s="273"/>
      <c r="CB6" s="273"/>
      <c r="CC6" s="273"/>
      <c r="CD6" s="273"/>
      <c r="CE6" s="273"/>
      <c r="CF6" s="273"/>
      <c r="CG6" s="273"/>
      <c r="CH6" s="273"/>
      <c r="CI6" s="273"/>
      <c r="CJ6" s="273"/>
      <c r="CK6" s="273"/>
      <c r="CL6" s="273"/>
      <c r="CM6" s="273"/>
      <c r="CN6" s="273"/>
      <c r="CO6" s="273"/>
      <c r="CP6" s="273"/>
      <c r="CQ6" s="273"/>
      <c r="CR6" s="273"/>
      <c r="CS6" s="273"/>
      <c r="CT6" s="273"/>
      <c r="CU6" s="273"/>
      <c r="CV6" s="273"/>
      <c r="CW6" s="273"/>
      <c r="CX6" s="273"/>
      <c r="CY6" s="273"/>
      <c r="CZ6" s="273"/>
      <c r="DA6" s="273"/>
      <c r="DB6" s="273"/>
      <c r="DC6" s="273"/>
      <c r="DD6" s="271"/>
      <c r="DE6" s="271"/>
      <c r="DF6" s="272">
        <f t="shared" si="1"/>
        <v>315</v>
      </c>
      <c r="DG6" s="272">
        <f t="shared" si="1"/>
        <v>4640</v>
      </c>
      <c r="DH6" s="272">
        <f t="shared" si="4"/>
        <v>3586.8</v>
      </c>
      <c r="DI6" s="274"/>
    </row>
    <row r="7" spans="1:113" s="275" customFormat="1" ht="24.75" customHeight="1" x14ac:dyDescent="0.6">
      <c r="A7" s="268">
        <v>3</v>
      </c>
      <c r="B7" s="269" t="s">
        <v>198</v>
      </c>
      <c r="C7" s="104" t="s">
        <v>199</v>
      </c>
      <c r="D7" s="100" t="s">
        <v>168</v>
      </c>
      <c r="E7" s="99" t="s">
        <v>169</v>
      </c>
      <c r="F7" s="234" t="s">
        <v>733</v>
      </c>
      <c r="G7" s="234" t="s">
        <v>740</v>
      </c>
      <c r="H7" s="234" t="s">
        <v>741</v>
      </c>
      <c r="I7" s="234" t="s">
        <v>742</v>
      </c>
      <c r="J7" s="270" t="s">
        <v>195</v>
      </c>
      <c r="K7" s="271"/>
      <c r="L7" s="271"/>
      <c r="M7" s="271"/>
      <c r="N7" s="276"/>
      <c r="O7" s="276"/>
      <c r="P7" s="276"/>
      <c r="Q7" s="276"/>
      <c r="R7" s="276"/>
      <c r="S7" s="276"/>
      <c r="T7" s="276">
        <v>10</v>
      </c>
      <c r="U7" s="276">
        <v>400</v>
      </c>
      <c r="V7" s="276">
        <v>140</v>
      </c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2">
        <f t="shared" si="2"/>
        <v>10</v>
      </c>
      <c r="AP7" s="272">
        <f t="shared" si="2"/>
        <v>400</v>
      </c>
      <c r="AQ7" s="272">
        <f t="shared" si="3"/>
        <v>140</v>
      </c>
      <c r="AR7" s="278">
        <v>20</v>
      </c>
      <c r="AS7" s="278">
        <v>250</v>
      </c>
      <c r="AT7" s="278">
        <v>200.8</v>
      </c>
      <c r="AU7" s="278"/>
      <c r="AV7" s="278"/>
      <c r="AW7" s="278"/>
      <c r="AX7" s="278"/>
      <c r="AY7" s="278"/>
      <c r="AZ7" s="278"/>
      <c r="BA7" s="278"/>
      <c r="BB7" s="278"/>
      <c r="BC7" s="278"/>
      <c r="BD7" s="278"/>
      <c r="BE7" s="278"/>
      <c r="BF7" s="278"/>
      <c r="BG7" s="278"/>
      <c r="BH7" s="278"/>
      <c r="BI7" s="278"/>
      <c r="BJ7" s="278"/>
      <c r="BK7" s="278"/>
      <c r="BL7" s="278"/>
      <c r="BM7" s="278"/>
      <c r="BN7" s="278"/>
      <c r="BO7" s="278"/>
      <c r="BP7" s="278"/>
      <c r="BQ7" s="278"/>
      <c r="BR7" s="278"/>
      <c r="BS7" s="278"/>
      <c r="BT7" s="278"/>
      <c r="BU7" s="278"/>
      <c r="BV7" s="272">
        <f t="shared" si="5"/>
        <v>30</v>
      </c>
      <c r="BW7" s="272">
        <f t="shared" si="5"/>
        <v>650</v>
      </c>
      <c r="BX7" s="272">
        <f t="shared" si="5"/>
        <v>340.8</v>
      </c>
      <c r="BY7" s="278"/>
      <c r="BZ7" s="278"/>
      <c r="CA7" s="278"/>
      <c r="CB7" s="278"/>
      <c r="CC7" s="278"/>
      <c r="CD7" s="278"/>
      <c r="CE7" s="278"/>
      <c r="CF7" s="278"/>
      <c r="CG7" s="278"/>
      <c r="CH7" s="278"/>
      <c r="CI7" s="278"/>
      <c r="CJ7" s="278"/>
      <c r="CK7" s="278"/>
      <c r="CL7" s="278"/>
      <c r="CM7" s="278"/>
      <c r="CN7" s="278"/>
      <c r="CO7" s="278"/>
      <c r="CP7" s="278"/>
      <c r="CQ7" s="278"/>
      <c r="CR7" s="278"/>
      <c r="CS7" s="278"/>
      <c r="CT7" s="278"/>
      <c r="CU7" s="278"/>
      <c r="CV7" s="278"/>
      <c r="CW7" s="278"/>
      <c r="CX7" s="278"/>
      <c r="CY7" s="278"/>
      <c r="CZ7" s="278"/>
      <c r="DA7" s="278"/>
      <c r="DB7" s="278"/>
      <c r="DC7" s="278"/>
      <c r="DD7" s="278"/>
      <c r="DE7" s="278"/>
      <c r="DF7" s="272">
        <f t="shared" si="1"/>
        <v>30</v>
      </c>
      <c r="DG7" s="272">
        <f t="shared" si="1"/>
        <v>650</v>
      </c>
      <c r="DH7" s="272">
        <f t="shared" si="4"/>
        <v>340.8</v>
      </c>
      <c r="DI7" s="274"/>
    </row>
    <row r="8" spans="1:113" s="275" customFormat="1" ht="24.75" customHeight="1" x14ac:dyDescent="0.6">
      <c r="A8" s="268">
        <v>4</v>
      </c>
      <c r="B8" s="269" t="s">
        <v>200</v>
      </c>
      <c r="C8" s="104" t="s">
        <v>201</v>
      </c>
      <c r="D8" s="100" t="s">
        <v>168</v>
      </c>
      <c r="E8" s="99" t="s">
        <v>169</v>
      </c>
      <c r="F8" s="234" t="s">
        <v>733</v>
      </c>
      <c r="G8" s="234" t="s">
        <v>743</v>
      </c>
      <c r="H8" s="234" t="s">
        <v>744</v>
      </c>
      <c r="I8" s="234" t="s">
        <v>745</v>
      </c>
      <c r="J8" s="270" t="s">
        <v>195</v>
      </c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>
        <v>50</v>
      </c>
      <c r="AA8" s="271">
        <v>600</v>
      </c>
      <c r="AB8" s="271">
        <v>600</v>
      </c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2">
        <f t="shared" si="2"/>
        <v>50</v>
      </c>
      <c r="AP8" s="272">
        <f t="shared" si="2"/>
        <v>600</v>
      </c>
      <c r="AQ8" s="272">
        <f t="shared" si="3"/>
        <v>600</v>
      </c>
      <c r="AR8" s="273"/>
      <c r="AS8" s="273"/>
      <c r="AT8" s="273"/>
      <c r="AU8" s="273"/>
      <c r="AV8" s="273"/>
      <c r="AW8" s="273"/>
      <c r="AX8" s="273">
        <v>45</v>
      </c>
      <c r="AY8" s="273">
        <v>540</v>
      </c>
      <c r="AZ8" s="273">
        <v>540</v>
      </c>
      <c r="BA8" s="273"/>
      <c r="BB8" s="273"/>
      <c r="BC8" s="273"/>
      <c r="BD8" s="273"/>
      <c r="BE8" s="273"/>
      <c r="BF8" s="273"/>
      <c r="BG8" s="273">
        <v>100</v>
      </c>
      <c r="BH8" s="273">
        <v>1200</v>
      </c>
      <c r="BI8" s="273">
        <v>1200</v>
      </c>
      <c r="BJ8" s="273"/>
      <c r="BK8" s="273"/>
      <c r="BL8" s="273"/>
      <c r="BM8" s="273"/>
      <c r="BN8" s="273"/>
      <c r="BO8" s="273"/>
      <c r="BP8" s="273"/>
      <c r="BQ8" s="273"/>
      <c r="BR8" s="273"/>
      <c r="BS8" s="273"/>
      <c r="BT8" s="273"/>
      <c r="BU8" s="273"/>
      <c r="BV8" s="272">
        <f t="shared" si="5"/>
        <v>195</v>
      </c>
      <c r="BW8" s="272">
        <f t="shared" si="5"/>
        <v>2340</v>
      </c>
      <c r="BX8" s="272">
        <f t="shared" si="5"/>
        <v>2340</v>
      </c>
      <c r="BY8" s="273"/>
      <c r="BZ8" s="273"/>
      <c r="CA8" s="273"/>
      <c r="CB8" s="273"/>
      <c r="CC8" s="273"/>
      <c r="CD8" s="273"/>
      <c r="CE8" s="273"/>
      <c r="CF8" s="273"/>
      <c r="CG8" s="273"/>
      <c r="CH8" s="273"/>
      <c r="CI8" s="273"/>
      <c r="CJ8" s="273"/>
      <c r="CK8" s="273"/>
      <c r="CL8" s="273"/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  <c r="CX8" s="273"/>
      <c r="CY8" s="273"/>
      <c r="CZ8" s="273"/>
      <c r="DA8" s="273"/>
      <c r="DB8" s="273"/>
      <c r="DC8" s="273"/>
      <c r="DD8" s="271"/>
      <c r="DE8" s="271"/>
      <c r="DF8" s="272">
        <f t="shared" si="1"/>
        <v>195</v>
      </c>
      <c r="DG8" s="272">
        <f t="shared" si="1"/>
        <v>2340</v>
      </c>
      <c r="DH8" s="272">
        <f t="shared" si="4"/>
        <v>2340</v>
      </c>
      <c r="DI8" s="274"/>
    </row>
    <row r="9" spans="1:113" s="275" customFormat="1" ht="24.75" customHeight="1" x14ac:dyDescent="0.6">
      <c r="A9" s="268">
        <v>5</v>
      </c>
      <c r="B9" s="269" t="s">
        <v>202</v>
      </c>
      <c r="C9" s="104" t="s">
        <v>203</v>
      </c>
      <c r="D9" s="100" t="s">
        <v>168</v>
      </c>
      <c r="E9" s="99" t="s">
        <v>169</v>
      </c>
      <c r="F9" s="234" t="s">
        <v>733</v>
      </c>
      <c r="G9" s="234" t="s">
        <v>200</v>
      </c>
      <c r="H9" s="234" t="s">
        <v>746</v>
      </c>
      <c r="I9" s="234" t="s">
        <v>747</v>
      </c>
      <c r="J9" s="270" t="s">
        <v>195</v>
      </c>
      <c r="K9" s="271"/>
      <c r="L9" s="271"/>
      <c r="M9" s="271"/>
      <c r="N9" s="271"/>
      <c r="O9" s="271"/>
      <c r="P9" s="271"/>
      <c r="Q9" s="271">
        <v>20</v>
      </c>
      <c r="R9" s="271">
        <v>240</v>
      </c>
      <c r="S9" s="271">
        <v>240</v>
      </c>
      <c r="T9" s="271"/>
      <c r="U9" s="271"/>
      <c r="V9" s="271"/>
      <c r="W9" s="271"/>
      <c r="X9" s="271"/>
      <c r="Y9" s="271"/>
      <c r="Z9" s="271"/>
      <c r="AA9" s="271"/>
      <c r="AB9" s="271"/>
      <c r="AC9" s="271">
        <v>21</v>
      </c>
      <c r="AD9" s="271">
        <v>252</v>
      </c>
      <c r="AE9" s="271">
        <v>252</v>
      </c>
      <c r="AF9" s="271"/>
      <c r="AG9" s="271"/>
      <c r="AH9" s="271"/>
      <c r="AI9" s="271"/>
      <c r="AJ9" s="271"/>
      <c r="AK9" s="271"/>
      <c r="AL9" s="271">
        <v>15</v>
      </c>
      <c r="AM9" s="271">
        <v>180</v>
      </c>
      <c r="AN9" s="271">
        <v>180</v>
      </c>
      <c r="AO9" s="272">
        <f t="shared" si="2"/>
        <v>56</v>
      </c>
      <c r="AP9" s="272">
        <f t="shared" si="2"/>
        <v>672</v>
      </c>
      <c r="AQ9" s="272">
        <f t="shared" si="3"/>
        <v>672</v>
      </c>
      <c r="AR9" s="273"/>
      <c r="AS9" s="273"/>
      <c r="AT9" s="273"/>
      <c r="AU9" s="273"/>
      <c r="AV9" s="273"/>
      <c r="AW9" s="273"/>
      <c r="AX9" s="273">
        <v>10</v>
      </c>
      <c r="AY9" s="273">
        <v>120</v>
      </c>
      <c r="AZ9" s="273">
        <v>120</v>
      </c>
      <c r="BA9" s="273"/>
      <c r="BB9" s="273"/>
      <c r="BC9" s="273"/>
      <c r="BD9" s="273"/>
      <c r="BE9" s="273"/>
      <c r="BF9" s="273"/>
      <c r="BG9" s="273">
        <v>25</v>
      </c>
      <c r="BH9" s="273">
        <v>300</v>
      </c>
      <c r="BI9" s="273">
        <v>300</v>
      </c>
      <c r="BJ9" s="273"/>
      <c r="BK9" s="273"/>
      <c r="BL9" s="273"/>
      <c r="BM9" s="273"/>
      <c r="BN9" s="273"/>
      <c r="BO9" s="273"/>
      <c r="BP9" s="273"/>
      <c r="BQ9" s="273"/>
      <c r="BR9" s="273"/>
      <c r="BS9" s="273"/>
      <c r="BT9" s="273"/>
      <c r="BU9" s="273"/>
      <c r="BV9" s="272">
        <f t="shared" si="5"/>
        <v>91</v>
      </c>
      <c r="BW9" s="272">
        <f t="shared" si="5"/>
        <v>1092</v>
      </c>
      <c r="BX9" s="272">
        <f t="shared" si="5"/>
        <v>1092</v>
      </c>
      <c r="BY9" s="273"/>
      <c r="BZ9" s="273"/>
      <c r="CA9" s="273"/>
      <c r="CB9" s="273"/>
      <c r="CC9" s="273"/>
      <c r="CD9" s="273"/>
      <c r="CE9" s="273"/>
      <c r="CF9" s="273"/>
      <c r="CG9" s="273"/>
      <c r="CH9" s="273"/>
      <c r="CI9" s="273"/>
      <c r="CJ9" s="273"/>
      <c r="CK9" s="273"/>
      <c r="CL9" s="273"/>
      <c r="CM9" s="273"/>
      <c r="CN9" s="273"/>
      <c r="CO9" s="273"/>
      <c r="CP9" s="273"/>
      <c r="CQ9" s="273"/>
      <c r="CR9" s="273"/>
      <c r="CS9" s="273"/>
      <c r="CT9" s="273"/>
      <c r="CU9" s="273"/>
      <c r="CV9" s="273"/>
      <c r="CW9" s="273"/>
      <c r="CX9" s="273"/>
      <c r="CY9" s="273"/>
      <c r="CZ9" s="273"/>
      <c r="DA9" s="273"/>
      <c r="DB9" s="273"/>
      <c r="DC9" s="273"/>
      <c r="DD9" s="271"/>
      <c r="DE9" s="271"/>
      <c r="DF9" s="272">
        <f t="shared" si="1"/>
        <v>91</v>
      </c>
      <c r="DG9" s="272">
        <f t="shared" si="1"/>
        <v>1092</v>
      </c>
      <c r="DH9" s="272">
        <f t="shared" si="4"/>
        <v>1092</v>
      </c>
      <c r="DI9" s="274"/>
    </row>
    <row r="10" spans="1:113" s="275" customFormat="1" ht="24.75" customHeight="1" x14ac:dyDescent="0.6">
      <c r="A10" s="268">
        <v>6</v>
      </c>
      <c r="B10" s="269" t="s">
        <v>204</v>
      </c>
      <c r="C10" s="104" t="s">
        <v>205</v>
      </c>
      <c r="D10" s="100" t="s">
        <v>168</v>
      </c>
      <c r="E10" s="99" t="s">
        <v>169</v>
      </c>
      <c r="F10" s="234" t="s">
        <v>733</v>
      </c>
      <c r="G10" s="279" t="s">
        <v>748</v>
      </c>
      <c r="H10" s="279"/>
      <c r="I10" s="279"/>
      <c r="J10" s="270" t="s">
        <v>195</v>
      </c>
      <c r="K10" s="271"/>
      <c r="L10" s="271"/>
      <c r="M10" s="271"/>
      <c r="N10" s="271"/>
      <c r="O10" s="271"/>
      <c r="P10" s="271"/>
      <c r="Q10" s="271">
        <v>25</v>
      </c>
      <c r="R10" s="271">
        <v>320</v>
      </c>
      <c r="S10" s="271">
        <v>269.60000000000002</v>
      </c>
      <c r="T10" s="271"/>
      <c r="U10" s="271"/>
      <c r="V10" s="271"/>
      <c r="W10" s="271"/>
      <c r="X10" s="271"/>
      <c r="Y10" s="271"/>
      <c r="Z10" s="271"/>
      <c r="AA10" s="271"/>
      <c r="AB10" s="271"/>
      <c r="AC10" s="271">
        <v>20</v>
      </c>
      <c r="AD10" s="271">
        <v>240</v>
      </c>
      <c r="AE10" s="271">
        <v>240</v>
      </c>
      <c r="AF10" s="271"/>
      <c r="AG10" s="271"/>
      <c r="AH10" s="271"/>
      <c r="AI10" s="271">
        <v>17</v>
      </c>
      <c r="AJ10" s="271">
        <v>260</v>
      </c>
      <c r="AK10" s="271">
        <v>208</v>
      </c>
      <c r="AL10" s="271"/>
      <c r="AM10" s="271"/>
      <c r="AN10" s="271"/>
      <c r="AO10" s="272">
        <f t="shared" si="2"/>
        <v>62</v>
      </c>
      <c r="AP10" s="272">
        <f t="shared" si="2"/>
        <v>820</v>
      </c>
      <c r="AQ10" s="272">
        <f t="shared" si="3"/>
        <v>717.6</v>
      </c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>
        <v>15</v>
      </c>
      <c r="BK10" s="234">
        <v>180</v>
      </c>
      <c r="BL10" s="234">
        <v>180</v>
      </c>
      <c r="BM10" s="234"/>
      <c r="BN10" s="234"/>
      <c r="BO10" s="234"/>
      <c r="BP10" s="234"/>
      <c r="BQ10" s="234"/>
      <c r="BR10" s="234"/>
      <c r="BS10" s="234">
        <v>18</v>
      </c>
      <c r="BT10" s="234">
        <v>300</v>
      </c>
      <c r="BU10" s="270">
        <v>222</v>
      </c>
      <c r="BV10" s="272">
        <f t="shared" si="5"/>
        <v>95</v>
      </c>
      <c r="BW10" s="272">
        <f t="shared" si="5"/>
        <v>1300</v>
      </c>
      <c r="BX10" s="272">
        <f t="shared" si="5"/>
        <v>1119.5999999999999</v>
      </c>
      <c r="BY10" s="270"/>
      <c r="BZ10" s="270"/>
      <c r="CA10" s="270"/>
      <c r="CB10" s="270"/>
      <c r="CC10" s="270"/>
      <c r="CD10" s="270"/>
      <c r="CE10" s="270"/>
      <c r="CF10" s="270"/>
      <c r="CG10" s="270"/>
      <c r="CH10" s="270"/>
      <c r="CI10" s="270"/>
      <c r="CJ10" s="270"/>
      <c r="CK10" s="270"/>
      <c r="CL10" s="270"/>
      <c r="CM10" s="270"/>
      <c r="CN10" s="270"/>
      <c r="CO10" s="270"/>
      <c r="CP10" s="270"/>
      <c r="CQ10" s="270"/>
      <c r="CR10" s="270"/>
      <c r="CS10" s="270"/>
      <c r="CT10" s="270"/>
      <c r="CU10" s="270"/>
      <c r="CV10" s="270"/>
      <c r="CW10" s="270"/>
      <c r="CX10" s="270"/>
      <c r="CY10" s="270"/>
      <c r="CZ10" s="270"/>
      <c r="DA10" s="270"/>
      <c r="DB10" s="270"/>
      <c r="DC10" s="270"/>
      <c r="DD10" s="270"/>
      <c r="DE10" s="270"/>
      <c r="DF10" s="272">
        <f t="shared" si="1"/>
        <v>95</v>
      </c>
      <c r="DG10" s="272">
        <f t="shared" si="1"/>
        <v>1300</v>
      </c>
      <c r="DH10" s="272">
        <f t="shared" si="4"/>
        <v>1119.5999999999999</v>
      </c>
      <c r="DI10" s="274"/>
    </row>
    <row r="11" spans="1:113" s="275" customFormat="1" ht="24.75" customHeight="1" x14ac:dyDescent="0.6">
      <c r="A11" s="268">
        <v>7</v>
      </c>
      <c r="B11" s="269" t="s">
        <v>206</v>
      </c>
      <c r="C11" s="104" t="s">
        <v>207</v>
      </c>
      <c r="D11" s="100" t="s">
        <v>168</v>
      </c>
      <c r="E11" s="99" t="s">
        <v>169</v>
      </c>
      <c r="F11" s="234" t="s">
        <v>733</v>
      </c>
      <c r="G11" s="234" t="s">
        <v>749</v>
      </c>
      <c r="H11" s="234" t="s">
        <v>750</v>
      </c>
      <c r="I11" s="234" t="s">
        <v>751</v>
      </c>
      <c r="J11" s="270" t="s">
        <v>195</v>
      </c>
      <c r="K11" s="271"/>
      <c r="L11" s="271"/>
      <c r="M11" s="271"/>
      <c r="N11" s="271"/>
      <c r="O11" s="271"/>
      <c r="P11" s="271"/>
      <c r="Q11" s="271">
        <v>3</v>
      </c>
      <c r="R11" s="271">
        <v>120</v>
      </c>
      <c r="S11" s="271">
        <v>42</v>
      </c>
      <c r="T11" s="271"/>
      <c r="U11" s="271"/>
      <c r="V11" s="271"/>
      <c r="W11" s="271">
        <v>20</v>
      </c>
      <c r="X11" s="271">
        <v>250</v>
      </c>
      <c r="Y11" s="271">
        <v>224.8</v>
      </c>
      <c r="Z11" s="271"/>
      <c r="AA11" s="271"/>
      <c r="AB11" s="271"/>
      <c r="AC11" s="271">
        <v>15</v>
      </c>
      <c r="AD11" s="271">
        <v>180</v>
      </c>
      <c r="AE11" s="271">
        <v>180</v>
      </c>
      <c r="AF11" s="271"/>
      <c r="AG11" s="271"/>
      <c r="AH11" s="271"/>
      <c r="AI11" s="271"/>
      <c r="AJ11" s="271"/>
      <c r="AK11" s="271"/>
      <c r="AL11" s="271">
        <v>5</v>
      </c>
      <c r="AM11" s="271">
        <v>70</v>
      </c>
      <c r="AN11" s="271">
        <v>44.800000000000004</v>
      </c>
      <c r="AO11" s="272">
        <f t="shared" si="2"/>
        <v>43</v>
      </c>
      <c r="AP11" s="272">
        <f t="shared" si="2"/>
        <v>620</v>
      </c>
      <c r="AQ11" s="272">
        <f t="shared" si="3"/>
        <v>491.6</v>
      </c>
      <c r="AR11" s="234"/>
      <c r="AS11" s="234"/>
      <c r="AT11" s="234"/>
      <c r="AU11" s="234"/>
      <c r="AV11" s="234"/>
      <c r="AW11" s="234"/>
      <c r="AX11" s="234"/>
      <c r="AY11" s="234"/>
      <c r="AZ11" s="234"/>
      <c r="BA11" s="234">
        <v>15</v>
      </c>
      <c r="BB11" s="234">
        <v>180</v>
      </c>
      <c r="BC11" s="234">
        <v>180</v>
      </c>
      <c r="BD11" s="234"/>
      <c r="BE11" s="234"/>
      <c r="BF11" s="234"/>
      <c r="BG11" s="234"/>
      <c r="BH11" s="234"/>
      <c r="BI11" s="234"/>
      <c r="BJ11" s="234"/>
      <c r="BK11" s="234"/>
      <c r="BL11" s="234"/>
      <c r="BM11" s="234"/>
      <c r="BN11" s="234"/>
      <c r="BO11" s="234"/>
      <c r="BP11" s="234"/>
      <c r="BQ11" s="234"/>
      <c r="BR11" s="234"/>
      <c r="BS11" s="234">
        <v>5</v>
      </c>
      <c r="BT11" s="234">
        <v>70</v>
      </c>
      <c r="BU11" s="270">
        <v>44.800000000000004</v>
      </c>
      <c r="BV11" s="272">
        <f t="shared" si="5"/>
        <v>63</v>
      </c>
      <c r="BW11" s="272">
        <f t="shared" si="5"/>
        <v>870</v>
      </c>
      <c r="BX11" s="272">
        <f t="shared" si="5"/>
        <v>716.4</v>
      </c>
      <c r="BY11" s="270"/>
      <c r="BZ11" s="270"/>
      <c r="CA11" s="270"/>
      <c r="CB11" s="270"/>
      <c r="CC11" s="270"/>
      <c r="CD11" s="270"/>
      <c r="CE11" s="270"/>
      <c r="CF11" s="270"/>
      <c r="CG11" s="270"/>
      <c r="CH11" s="270"/>
      <c r="CI11" s="270"/>
      <c r="CJ11" s="270"/>
      <c r="CK11" s="270"/>
      <c r="CL11" s="270"/>
      <c r="CM11" s="270"/>
      <c r="CN11" s="270"/>
      <c r="CO11" s="270"/>
      <c r="CP11" s="270"/>
      <c r="CQ11" s="270"/>
      <c r="CR11" s="270"/>
      <c r="CS11" s="270"/>
      <c r="CT11" s="270"/>
      <c r="CU11" s="270"/>
      <c r="CV11" s="270"/>
      <c r="CW11" s="270"/>
      <c r="CX11" s="270"/>
      <c r="CY11" s="270"/>
      <c r="CZ11" s="270"/>
      <c r="DA11" s="270"/>
      <c r="DB11" s="270"/>
      <c r="DC11" s="270"/>
      <c r="DD11" s="270"/>
      <c r="DE11" s="270"/>
      <c r="DF11" s="272">
        <f t="shared" si="1"/>
        <v>63</v>
      </c>
      <c r="DG11" s="272">
        <f t="shared" si="1"/>
        <v>870</v>
      </c>
      <c r="DH11" s="272">
        <f t="shared" si="4"/>
        <v>716.4</v>
      </c>
      <c r="DI11" s="274"/>
    </row>
    <row r="12" spans="1:113" s="275" customFormat="1" ht="24.75" customHeight="1" x14ac:dyDescent="0.6">
      <c r="A12" s="268">
        <v>8</v>
      </c>
      <c r="B12" s="269" t="s">
        <v>208</v>
      </c>
      <c r="C12" s="104" t="s">
        <v>209</v>
      </c>
      <c r="D12" s="100" t="s">
        <v>168</v>
      </c>
      <c r="E12" s="99" t="s">
        <v>169</v>
      </c>
      <c r="F12" s="234" t="s">
        <v>733</v>
      </c>
      <c r="G12" s="234" t="s">
        <v>752</v>
      </c>
      <c r="H12" s="234" t="s">
        <v>753</v>
      </c>
      <c r="I12" s="234" t="s">
        <v>754</v>
      </c>
      <c r="J12" s="270" t="s">
        <v>195</v>
      </c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>
        <v>35</v>
      </c>
      <c r="AM12" s="271">
        <v>450</v>
      </c>
      <c r="AN12" s="271">
        <v>374.4</v>
      </c>
      <c r="AO12" s="272">
        <f t="shared" si="2"/>
        <v>35</v>
      </c>
      <c r="AP12" s="272">
        <f t="shared" si="2"/>
        <v>450</v>
      </c>
      <c r="AQ12" s="272">
        <f t="shared" si="3"/>
        <v>374.4</v>
      </c>
      <c r="AR12" s="234"/>
      <c r="AS12" s="234"/>
      <c r="AT12" s="234"/>
      <c r="AU12" s="234">
        <v>15</v>
      </c>
      <c r="AV12" s="234">
        <v>180</v>
      </c>
      <c r="AW12" s="234">
        <v>180</v>
      </c>
      <c r="AX12" s="234"/>
      <c r="AY12" s="234"/>
      <c r="AZ12" s="234"/>
      <c r="BA12" s="234"/>
      <c r="BB12" s="234"/>
      <c r="BC12" s="234"/>
      <c r="BD12" s="234"/>
      <c r="BE12" s="234"/>
      <c r="BF12" s="234"/>
      <c r="BG12" s="234"/>
      <c r="BH12" s="234"/>
      <c r="BI12" s="234"/>
      <c r="BJ12" s="234"/>
      <c r="BK12" s="234"/>
      <c r="BL12" s="234"/>
      <c r="BM12" s="234">
        <v>50</v>
      </c>
      <c r="BN12" s="234">
        <v>620</v>
      </c>
      <c r="BO12" s="234">
        <v>569.6</v>
      </c>
      <c r="BP12" s="234"/>
      <c r="BQ12" s="234"/>
      <c r="BR12" s="234"/>
      <c r="BS12" s="234"/>
      <c r="BT12" s="234"/>
      <c r="BU12" s="270"/>
      <c r="BV12" s="272">
        <f t="shared" si="5"/>
        <v>100</v>
      </c>
      <c r="BW12" s="272">
        <f t="shared" si="5"/>
        <v>1250</v>
      </c>
      <c r="BX12" s="272">
        <f t="shared" si="5"/>
        <v>1124</v>
      </c>
      <c r="BY12" s="270"/>
      <c r="BZ12" s="270"/>
      <c r="CA12" s="270"/>
      <c r="CB12" s="270"/>
      <c r="CC12" s="270"/>
      <c r="CD12" s="270"/>
      <c r="CE12" s="270"/>
      <c r="CF12" s="270"/>
      <c r="CG12" s="270"/>
      <c r="CH12" s="270"/>
      <c r="CI12" s="270"/>
      <c r="CJ12" s="270"/>
      <c r="CK12" s="270"/>
      <c r="CL12" s="270"/>
      <c r="CM12" s="270"/>
      <c r="CN12" s="270"/>
      <c r="CO12" s="270"/>
      <c r="CP12" s="270"/>
      <c r="CQ12" s="270"/>
      <c r="CR12" s="270"/>
      <c r="CS12" s="270"/>
      <c r="CT12" s="270"/>
      <c r="CU12" s="270"/>
      <c r="CV12" s="270"/>
      <c r="CW12" s="270"/>
      <c r="CX12" s="270"/>
      <c r="CY12" s="270"/>
      <c r="CZ12" s="270"/>
      <c r="DA12" s="270"/>
      <c r="DB12" s="270"/>
      <c r="DC12" s="270"/>
      <c r="DD12" s="270"/>
      <c r="DE12" s="270"/>
      <c r="DF12" s="272">
        <f t="shared" si="1"/>
        <v>100</v>
      </c>
      <c r="DG12" s="272">
        <f t="shared" si="1"/>
        <v>1250</v>
      </c>
      <c r="DH12" s="272">
        <f t="shared" si="4"/>
        <v>1124</v>
      </c>
      <c r="DI12" s="274"/>
    </row>
    <row r="13" spans="1:113" s="275" customFormat="1" ht="24.75" customHeight="1" x14ac:dyDescent="0.6">
      <c r="A13" s="268">
        <v>9</v>
      </c>
      <c r="B13" s="269" t="s">
        <v>210</v>
      </c>
      <c r="C13" s="104" t="s">
        <v>211</v>
      </c>
      <c r="D13" s="100" t="s">
        <v>168</v>
      </c>
      <c r="E13" s="99" t="s">
        <v>169</v>
      </c>
      <c r="F13" s="253" t="s">
        <v>733</v>
      </c>
      <c r="G13" s="253" t="s">
        <v>755</v>
      </c>
      <c r="H13" s="253" t="s">
        <v>756</v>
      </c>
      <c r="I13" s="253" t="s">
        <v>757</v>
      </c>
      <c r="J13" s="270" t="s">
        <v>195</v>
      </c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2">
        <f t="shared" si="2"/>
        <v>0</v>
      </c>
      <c r="AP13" s="272">
        <f t="shared" si="2"/>
        <v>0</v>
      </c>
      <c r="AQ13" s="272">
        <f t="shared" si="3"/>
        <v>0</v>
      </c>
      <c r="AR13" s="253"/>
      <c r="AS13" s="253"/>
      <c r="AT13" s="253"/>
      <c r="AU13" s="253"/>
      <c r="AV13" s="253"/>
      <c r="AW13" s="253"/>
      <c r="AX13" s="253"/>
      <c r="AY13" s="253"/>
      <c r="AZ13" s="253"/>
      <c r="BA13" s="253"/>
      <c r="BB13" s="253"/>
      <c r="BC13" s="253"/>
      <c r="BD13" s="234"/>
      <c r="BE13" s="234"/>
      <c r="BF13" s="234"/>
      <c r="BG13" s="253"/>
      <c r="BH13" s="253"/>
      <c r="BI13" s="253"/>
      <c r="BJ13" s="253"/>
      <c r="BK13" s="253"/>
      <c r="BL13" s="253"/>
      <c r="BM13" s="253"/>
      <c r="BN13" s="253"/>
      <c r="BO13" s="253"/>
      <c r="BP13" s="253"/>
      <c r="BQ13" s="253"/>
      <c r="BR13" s="253"/>
      <c r="BS13" s="253">
        <v>45</v>
      </c>
      <c r="BT13" s="253">
        <v>570</v>
      </c>
      <c r="BU13" s="280">
        <v>494.4</v>
      </c>
      <c r="BV13" s="272">
        <f t="shared" si="5"/>
        <v>45</v>
      </c>
      <c r="BW13" s="272">
        <f t="shared" si="5"/>
        <v>570</v>
      </c>
      <c r="BX13" s="272">
        <f t="shared" si="5"/>
        <v>494.4</v>
      </c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  <c r="DA13" s="280"/>
      <c r="DB13" s="280"/>
      <c r="DC13" s="280"/>
      <c r="DD13" s="280"/>
      <c r="DE13" s="280"/>
      <c r="DF13" s="272">
        <f t="shared" si="1"/>
        <v>45</v>
      </c>
      <c r="DG13" s="272">
        <f t="shared" si="1"/>
        <v>570</v>
      </c>
      <c r="DH13" s="272">
        <f t="shared" si="4"/>
        <v>494.4</v>
      </c>
      <c r="DI13" s="274"/>
    </row>
    <row r="14" spans="1:113" s="275" customFormat="1" ht="24.75" customHeight="1" x14ac:dyDescent="0.6">
      <c r="A14" s="268">
        <v>10</v>
      </c>
      <c r="B14" s="269" t="s">
        <v>212</v>
      </c>
      <c r="C14" s="104" t="s">
        <v>213</v>
      </c>
      <c r="D14" s="100" t="s">
        <v>214</v>
      </c>
      <c r="E14" s="99" t="s">
        <v>169</v>
      </c>
      <c r="F14" s="253" t="s">
        <v>733</v>
      </c>
      <c r="G14" s="281" t="s">
        <v>758</v>
      </c>
      <c r="H14" s="281" t="s">
        <v>758</v>
      </c>
      <c r="I14" s="253" t="s">
        <v>759</v>
      </c>
      <c r="J14" s="270" t="s">
        <v>195</v>
      </c>
      <c r="K14" s="271"/>
      <c r="L14" s="271"/>
      <c r="M14" s="271"/>
      <c r="N14" s="271"/>
      <c r="O14" s="271"/>
      <c r="P14" s="271"/>
      <c r="Q14" s="271">
        <v>52</v>
      </c>
      <c r="R14" s="271">
        <v>628</v>
      </c>
      <c r="S14" s="271">
        <v>617.92000000000007</v>
      </c>
      <c r="T14" s="271"/>
      <c r="U14" s="271"/>
      <c r="V14" s="271"/>
      <c r="W14" s="271">
        <v>55</v>
      </c>
      <c r="X14" s="271">
        <v>660</v>
      </c>
      <c r="Y14" s="271">
        <v>660</v>
      </c>
      <c r="Z14" s="271"/>
      <c r="AA14" s="271"/>
      <c r="AB14" s="271"/>
      <c r="AC14" s="271">
        <v>55</v>
      </c>
      <c r="AD14" s="271">
        <v>660</v>
      </c>
      <c r="AE14" s="271">
        <v>660</v>
      </c>
      <c r="AF14" s="271"/>
      <c r="AG14" s="271"/>
      <c r="AH14" s="271"/>
      <c r="AI14" s="271">
        <v>20</v>
      </c>
      <c r="AJ14" s="271">
        <v>240</v>
      </c>
      <c r="AK14" s="271">
        <v>240</v>
      </c>
      <c r="AL14" s="271">
        <v>25</v>
      </c>
      <c r="AM14" s="271">
        <v>300</v>
      </c>
      <c r="AN14" s="271">
        <v>300</v>
      </c>
      <c r="AO14" s="272">
        <f t="shared" si="2"/>
        <v>207</v>
      </c>
      <c r="AP14" s="272">
        <f t="shared" si="2"/>
        <v>2488</v>
      </c>
      <c r="AQ14" s="272">
        <f t="shared" si="3"/>
        <v>2477.92</v>
      </c>
      <c r="AR14" s="253"/>
      <c r="AS14" s="253"/>
      <c r="AT14" s="253"/>
      <c r="AU14" s="253">
        <v>52</v>
      </c>
      <c r="AV14" s="253">
        <v>628</v>
      </c>
      <c r="AW14" s="253">
        <v>617.92000000000007</v>
      </c>
      <c r="AX14" s="253">
        <v>98</v>
      </c>
      <c r="AY14" s="253">
        <v>1182</v>
      </c>
      <c r="AZ14" s="253">
        <v>1166.8800000000001</v>
      </c>
      <c r="BA14" s="253">
        <v>25</v>
      </c>
      <c r="BB14" s="253">
        <v>300</v>
      </c>
      <c r="BC14" s="253">
        <v>300</v>
      </c>
      <c r="BD14" s="234"/>
      <c r="BE14" s="234"/>
      <c r="BF14" s="234"/>
      <c r="BG14" s="253">
        <v>55</v>
      </c>
      <c r="BH14" s="253">
        <v>660</v>
      </c>
      <c r="BI14" s="253">
        <v>660</v>
      </c>
      <c r="BJ14" s="253"/>
      <c r="BK14" s="253"/>
      <c r="BL14" s="253"/>
      <c r="BM14" s="253">
        <v>35</v>
      </c>
      <c r="BN14" s="253">
        <v>420</v>
      </c>
      <c r="BO14" s="253">
        <v>420</v>
      </c>
      <c r="BP14" s="253">
        <v>30</v>
      </c>
      <c r="BQ14" s="253">
        <v>360</v>
      </c>
      <c r="BR14" s="253">
        <v>360</v>
      </c>
      <c r="BS14" s="253"/>
      <c r="BT14" s="253"/>
      <c r="BU14" s="280"/>
      <c r="BV14" s="272">
        <f t="shared" si="5"/>
        <v>502</v>
      </c>
      <c r="BW14" s="272">
        <f t="shared" si="5"/>
        <v>6038</v>
      </c>
      <c r="BX14" s="272">
        <f t="shared" si="5"/>
        <v>6002.72</v>
      </c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  <c r="DA14" s="280"/>
      <c r="DB14" s="280"/>
      <c r="DC14" s="280"/>
      <c r="DD14" s="280"/>
      <c r="DE14" s="280"/>
      <c r="DF14" s="272">
        <f t="shared" si="1"/>
        <v>502</v>
      </c>
      <c r="DG14" s="272">
        <f t="shared" si="1"/>
        <v>6038</v>
      </c>
      <c r="DH14" s="272">
        <f t="shared" si="4"/>
        <v>6002.72</v>
      </c>
      <c r="DI14" s="274"/>
    </row>
    <row r="15" spans="1:113" s="275" customFormat="1" ht="24.75" customHeight="1" x14ac:dyDescent="0.6">
      <c r="A15" s="268">
        <v>11</v>
      </c>
      <c r="B15" s="269" t="s">
        <v>215</v>
      </c>
      <c r="C15" s="104" t="s">
        <v>216</v>
      </c>
      <c r="D15" s="100" t="s">
        <v>185</v>
      </c>
      <c r="E15" s="99" t="s">
        <v>217</v>
      </c>
      <c r="F15" s="234" t="s">
        <v>733</v>
      </c>
      <c r="G15" s="234" t="s">
        <v>210</v>
      </c>
      <c r="H15" s="234" t="s">
        <v>211</v>
      </c>
      <c r="I15" s="234" t="s">
        <v>760</v>
      </c>
      <c r="J15" s="270" t="s">
        <v>195</v>
      </c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2">
        <f t="shared" si="2"/>
        <v>0</v>
      </c>
      <c r="AP15" s="272">
        <f t="shared" si="2"/>
        <v>0</v>
      </c>
      <c r="AQ15" s="272">
        <f t="shared" si="3"/>
        <v>0</v>
      </c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34"/>
      <c r="BF15" s="234"/>
      <c r="BG15" s="234">
        <v>185</v>
      </c>
      <c r="BH15" s="234">
        <v>2420</v>
      </c>
      <c r="BI15" s="234">
        <v>2138.8000000000002</v>
      </c>
      <c r="BJ15" s="234"/>
      <c r="BK15" s="234"/>
      <c r="BL15" s="234"/>
      <c r="BM15" s="234"/>
      <c r="BN15" s="234"/>
      <c r="BO15" s="234"/>
      <c r="BP15" s="234"/>
      <c r="BQ15" s="234"/>
      <c r="BR15" s="234"/>
      <c r="BS15" s="234"/>
      <c r="BT15" s="234"/>
      <c r="BU15" s="270"/>
      <c r="BV15" s="272">
        <f t="shared" si="5"/>
        <v>185</v>
      </c>
      <c r="BW15" s="272">
        <f t="shared" si="5"/>
        <v>2420</v>
      </c>
      <c r="BX15" s="272">
        <f t="shared" si="5"/>
        <v>2138.8000000000002</v>
      </c>
      <c r="BY15" s="270"/>
      <c r="BZ15" s="270"/>
      <c r="CA15" s="270"/>
      <c r="CB15" s="270"/>
      <c r="CC15" s="270"/>
      <c r="CD15" s="270"/>
      <c r="CE15" s="270"/>
      <c r="CF15" s="270"/>
      <c r="CG15" s="270"/>
      <c r="CH15" s="270"/>
      <c r="CI15" s="270"/>
      <c r="CJ15" s="270"/>
      <c r="CK15" s="270"/>
      <c r="CL15" s="270"/>
      <c r="CM15" s="270"/>
      <c r="CN15" s="270"/>
      <c r="CO15" s="270"/>
      <c r="CP15" s="270"/>
      <c r="CQ15" s="270"/>
      <c r="CR15" s="270"/>
      <c r="CS15" s="270"/>
      <c r="CT15" s="270"/>
      <c r="CU15" s="270"/>
      <c r="CV15" s="270"/>
      <c r="CW15" s="234"/>
      <c r="CX15" s="234"/>
      <c r="CY15" s="234"/>
      <c r="CZ15" s="234"/>
      <c r="DA15" s="234"/>
      <c r="DB15" s="234"/>
      <c r="DC15" s="270"/>
      <c r="DD15" s="270"/>
      <c r="DE15" s="270"/>
      <c r="DF15" s="272">
        <f t="shared" si="1"/>
        <v>185</v>
      </c>
      <c r="DG15" s="272">
        <f t="shared" si="1"/>
        <v>2420</v>
      </c>
      <c r="DH15" s="272">
        <f t="shared" si="4"/>
        <v>2138.8000000000002</v>
      </c>
      <c r="DI15" s="274"/>
    </row>
    <row r="16" spans="1:113" s="275" customFormat="1" ht="24.75" customHeight="1" x14ac:dyDescent="0.6">
      <c r="A16" s="268">
        <v>12</v>
      </c>
      <c r="B16" s="269" t="s">
        <v>218</v>
      </c>
      <c r="C16" s="104" t="s">
        <v>219</v>
      </c>
      <c r="D16" s="100" t="s">
        <v>78</v>
      </c>
      <c r="E16" s="99" t="s">
        <v>79</v>
      </c>
      <c r="F16" s="234" t="s">
        <v>733</v>
      </c>
      <c r="G16" s="234" t="s">
        <v>761</v>
      </c>
      <c r="H16" s="234" t="s">
        <v>762</v>
      </c>
      <c r="I16" s="234" t="s">
        <v>763</v>
      </c>
      <c r="J16" s="270" t="s">
        <v>195</v>
      </c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2">
        <f t="shared" si="2"/>
        <v>0</v>
      </c>
      <c r="AP16" s="272">
        <f t="shared" si="2"/>
        <v>0</v>
      </c>
      <c r="AQ16" s="272">
        <f t="shared" si="3"/>
        <v>0</v>
      </c>
      <c r="AR16" s="234"/>
      <c r="AS16" s="234"/>
      <c r="AT16" s="234"/>
      <c r="AU16" s="234">
        <v>125</v>
      </c>
      <c r="AV16" s="234">
        <v>1880</v>
      </c>
      <c r="AW16" s="234">
        <v>1368</v>
      </c>
      <c r="AX16" s="234"/>
      <c r="AY16" s="234"/>
      <c r="AZ16" s="234"/>
      <c r="BA16" s="234"/>
      <c r="BB16" s="234"/>
      <c r="BC16" s="234"/>
      <c r="BD16" s="234"/>
      <c r="BE16" s="234"/>
      <c r="BF16" s="234"/>
      <c r="BG16" s="234"/>
      <c r="BH16" s="234"/>
      <c r="BI16" s="234"/>
      <c r="BJ16" s="234"/>
      <c r="BK16" s="234"/>
      <c r="BL16" s="234"/>
      <c r="BM16" s="234"/>
      <c r="BN16" s="234"/>
      <c r="BO16" s="234"/>
      <c r="BP16" s="234"/>
      <c r="BQ16" s="234"/>
      <c r="BR16" s="234"/>
      <c r="BS16" s="234"/>
      <c r="BT16" s="234"/>
      <c r="BU16" s="270"/>
      <c r="BV16" s="272">
        <f t="shared" si="5"/>
        <v>125</v>
      </c>
      <c r="BW16" s="272">
        <f t="shared" si="5"/>
        <v>1880</v>
      </c>
      <c r="BX16" s="272">
        <f t="shared" si="5"/>
        <v>1368</v>
      </c>
      <c r="BY16" s="270"/>
      <c r="BZ16" s="270"/>
      <c r="CA16" s="270"/>
      <c r="CB16" s="270"/>
      <c r="CC16" s="270"/>
      <c r="CD16" s="270"/>
      <c r="CE16" s="270"/>
      <c r="CF16" s="270"/>
      <c r="CG16" s="270"/>
      <c r="CH16" s="270"/>
      <c r="CI16" s="270"/>
      <c r="CJ16" s="270"/>
      <c r="CK16" s="270"/>
      <c r="CL16" s="270"/>
      <c r="CM16" s="270"/>
      <c r="CN16" s="270"/>
      <c r="CO16" s="270"/>
      <c r="CP16" s="270"/>
      <c r="CQ16" s="270"/>
      <c r="CR16" s="270"/>
      <c r="CS16" s="270"/>
      <c r="CT16" s="270"/>
      <c r="CU16" s="270"/>
      <c r="CV16" s="270"/>
      <c r="CW16" s="234"/>
      <c r="CX16" s="253"/>
      <c r="CY16" s="253"/>
      <c r="CZ16" s="253"/>
      <c r="DA16" s="253"/>
      <c r="DB16" s="253"/>
      <c r="DC16" s="270"/>
      <c r="DD16" s="270"/>
      <c r="DE16" s="270"/>
      <c r="DF16" s="272">
        <f t="shared" si="1"/>
        <v>125</v>
      </c>
      <c r="DG16" s="272">
        <f t="shared" si="1"/>
        <v>1880</v>
      </c>
      <c r="DH16" s="272">
        <f t="shared" si="4"/>
        <v>1368</v>
      </c>
      <c r="DI16" s="274"/>
    </row>
    <row r="17" spans="1:113" s="275" customFormat="1" ht="24.75" customHeight="1" x14ac:dyDescent="0.6">
      <c r="A17" s="268">
        <v>13</v>
      </c>
      <c r="B17" s="269" t="s">
        <v>220</v>
      </c>
      <c r="C17" s="104" t="s">
        <v>221</v>
      </c>
      <c r="D17" s="100" t="s">
        <v>161</v>
      </c>
      <c r="E17" s="99" t="s">
        <v>61</v>
      </c>
      <c r="F17" s="253" t="s">
        <v>733</v>
      </c>
      <c r="G17" s="281" t="s">
        <v>215</v>
      </c>
      <c r="H17" s="281" t="s">
        <v>216</v>
      </c>
      <c r="I17" s="253" t="s">
        <v>764</v>
      </c>
      <c r="J17" s="270" t="s">
        <v>195</v>
      </c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2">
        <f t="shared" si="2"/>
        <v>0</v>
      </c>
      <c r="AP17" s="272">
        <f t="shared" si="2"/>
        <v>0</v>
      </c>
      <c r="AQ17" s="272">
        <f t="shared" si="3"/>
        <v>0</v>
      </c>
      <c r="AR17" s="253"/>
      <c r="AS17" s="253"/>
      <c r="AT17" s="253"/>
      <c r="AU17" s="253"/>
      <c r="AV17" s="253"/>
      <c r="AW17" s="253"/>
      <c r="AX17" s="253"/>
      <c r="AY17" s="253"/>
      <c r="AZ17" s="253"/>
      <c r="BA17" s="253"/>
      <c r="BB17" s="253"/>
      <c r="BC17" s="253"/>
      <c r="BD17" s="234"/>
      <c r="BE17" s="234"/>
      <c r="BF17" s="234"/>
      <c r="BG17" s="253"/>
      <c r="BH17" s="253"/>
      <c r="BI17" s="253"/>
      <c r="BJ17" s="253"/>
      <c r="BK17" s="253"/>
      <c r="BL17" s="253"/>
      <c r="BM17" s="253"/>
      <c r="BN17" s="253"/>
      <c r="BO17" s="253"/>
      <c r="BP17" s="253"/>
      <c r="BQ17" s="253"/>
      <c r="BR17" s="253"/>
      <c r="BS17" s="253"/>
      <c r="BT17" s="253"/>
      <c r="BU17" s="280"/>
      <c r="BV17" s="272">
        <f t="shared" si="5"/>
        <v>0</v>
      </c>
      <c r="BW17" s="272">
        <f t="shared" si="5"/>
        <v>0</v>
      </c>
      <c r="BX17" s="272">
        <f t="shared" si="5"/>
        <v>0</v>
      </c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53"/>
      <c r="CX17" s="253"/>
      <c r="CY17" s="253"/>
      <c r="CZ17" s="253"/>
      <c r="DA17" s="253"/>
      <c r="DB17" s="253"/>
      <c r="DC17" s="280"/>
      <c r="DD17" s="280"/>
      <c r="DE17" s="280"/>
      <c r="DF17" s="272">
        <f t="shared" si="1"/>
        <v>0</v>
      </c>
      <c r="DG17" s="272">
        <f t="shared" si="1"/>
        <v>0</v>
      </c>
      <c r="DH17" s="272">
        <f t="shared" si="4"/>
        <v>0</v>
      </c>
      <c r="DI17" s="274"/>
    </row>
    <row r="18" spans="1:113" s="275" customFormat="1" ht="24.75" customHeight="1" x14ac:dyDescent="0.6">
      <c r="A18" s="268">
        <v>14</v>
      </c>
      <c r="B18" s="269" t="s">
        <v>222</v>
      </c>
      <c r="C18" s="104" t="s">
        <v>223</v>
      </c>
      <c r="D18" s="100" t="s">
        <v>161</v>
      </c>
      <c r="E18" s="99" t="s">
        <v>61</v>
      </c>
      <c r="F18" s="253" t="s">
        <v>733</v>
      </c>
      <c r="G18" s="281" t="s">
        <v>765</v>
      </c>
      <c r="H18" s="281" t="s">
        <v>766</v>
      </c>
      <c r="I18" s="253" t="s">
        <v>767</v>
      </c>
      <c r="J18" s="270" t="s">
        <v>195</v>
      </c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>
        <v>100</v>
      </c>
      <c r="AJ18" s="271">
        <v>1340</v>
      </c>
      <c r="AK18" s="271">
        <v>1162</v>
      </c>
      <c r="AL18" s="271"/>
      <c r="AM18" s="271"/>
      <c r="AN18" s="271"/>
      <c r="AO18" s="272">
        <f t="shared" si="2"/>
        <v>100</v>
      </c>
      <c r="AP18" s="272">
        <f t="shared" si="2"/>
        <v>1340</v>
      </c>
      <c r="AQ18" s="272">
        <f t="shared" si="3"/>
        <v>1162</v>
      </c>
      <c r="AR18" s="253"/>
      <c r="AS18" s="253"/>
      <c r="AT18" s="253"/>
      <c r="AU18" s="253"/>
      <c r="AV18" s="253"/>
      <c r="AW18" s="253"/>
      <c r="AX18" s="253">
        <v>100</v>
      </c>
      <c r="AY18" s="253">
        <v>1660</v>
      </c>
      <c r="AZ18" s="253">
        <v>946.4</v>
      </c>
      <c r="BA18" s="253"/>
      <c r="BB18" s="253"/>
      <c r="BC18" s="253"/>
      <c r="BD18" s="234"/>
      <c r="BE18" s="234"/>
      <c r="BF18" s="234"/>
      <c r="BG18" s="253"/>
      <c r="BH18" s="253"/>
      <c r="BI18" s="253"/>
      <c r="BJ18" s="253">
        <v>210</v>
      </c>
      <c r="BK18" s="253">
        <v>2520</v>
      </c>
      <c r="BL18" s="253">
        <v>2472</v>
      </c>
      <c r="BM18" s="253"/>
      <c r="BN18" s="253"/>
      <c r="BO18" s="253"/>
      <c r="BP18" s="253"/>
      <c r="BQ18" s="253"/>
      <c r="BR18" s="253"/>
      <c r="BS18" s="253"/>
      <c r="BT18" s="253"/>
      <c r="BU18" s="280"/>
      <c r="BV18" s="272">
        <f t="shared" si="5"/>
        <v>410</v>
      </c>
      <c r="BW18" s="272">
        <f t="shared" si="5"/>
        <v>5520</v>
      </c>
      <c r="BX18" s="272">
        <f t="shared" si="5"/>
        <v>4580.3999999999996</v>
      </c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53"/>
      <c r="CX18" s="253"/>
      <c r="CY18" s="253"/>
      <c r="CZ18" s="253"/>
      <c r="DA18" s="253"/>
      <c r="DB18" s="253"/>
      <c r="DC18" s="280"/>
      <c r="DD18" s="280"/>
      <c r="DE18" s="280"/>
      <c r="DF18" s="272">
        <f t="shared" si="1"/>
        <v>410</v>
      </c>
      <c r="DG18" s="272">
        <f t="shared" si="1"/>
        <v>5520</v>
      </c>
      <c r="DH18" s="272">
        <f t="shared" si="4"/>
        <v>4580.3999999999996</v>
      </c>
      <c r="DI18" s="274"/>
    </row>
    <row r="19" spans="1:113" s="275" customFormat="1" ht="24.75" customHeight="1" x14ac:dyDescent="0.6">
      <c r="A19" s="268">
        <v>15</v>
      </c>
      <c r="B19" s="269" t="s">
        <v>224</v>
      </c>
      <c r="C19" s="104" t="s">
        <v>225</v>
      </c>
      <c r="D19" s="100" t="s">
        <v>226</v>
      </c>
      <c r="E19" s="99" t="s">
        <v>227</v>
      </c>
      <c r="F19" s="234" t="s">
        <v>733</v>
      </c>
      <c r="G19" s="234"/>
      <c r="H19" s="234"/>
      <c r="I19" s="234"/>
      <c r="J19" s="270" t="s">
        <v>195</v>
      </c>
      <c r="K19" s="271"/>
      <c r="L19" s="271"/>
      <c r="M19" s="271"/>
      <c r="N19" s="271"/>
      <c r="O19" s="271"/>
      <c r="P19" s="271"/>
      <c r="Q19" s="271">
        <v>27</v>
      </c>
      <c r="R19" s="271">
        <v>400</v>
      </c>
      <c r="S19" s="271">
        <v>297.60000000000002</v>
      </c>
      <c r="T19" s="271">
        <v>15</v>
      </c>
      <c r="U19" s="271">
        <v>180</v>
      </c>
      <c r="V19" s="271">
        <v>180</v>
      </c>
      <c r="W19" s="271"/>
      <c r="X19" s="271"/>
      <c r="Y19" s="271"/>
      <c r="Z19" s="271">
        <v>20</v>
      </c>
      <c r="AA19" s="271">
        <v>260</v>
      </c>
      <c r="AB19" s="271">
        <v>209.60000000000002</v>
      </c>
      <c r="AC19" s="271"/>
      <c r="AD19" s="271"/>
      <c r="AE19" s="271"/>
      <c r="AF19" s="271"/>
      <c r="AG19" s="271"/>
      <c r="AH19" s="271"/>
      <c r="AI19" s="271">
        <v>15</v>
      </c>
      <c r="AJ19" s="271">
        <v>190</v>
      </c>
      <c r="AK19" s="271">
        <v>164.8</v>
      </c>
      <c r="AL19" s="271"/>
      <c r="AM19" s="271"/>
      <c r="AN19" s="271"/>
      <c r="AO19" s="272">
        <f t="shared" si="2"/>
        <v>77</v>
      </c>
      <c r="AP19" s="272">
        <f t="shared" si="2"/>
        <v>1030</v>
      </c>
      <c r="AQ19" s="272">
        <f t="shared" si="3"/>
        <v>852</v>
      </c>
      <c r="AR19" s="234">
        <v>15</v>
      </c>
      <c r="AS19" s="234">
        <v>200</v>
      </c>
      <c r="AT19" s="234">
        <v>149.60000000000002</v>
      </c>
      <c r="AU19" s="234"/>
      <c r="AV19" s="234"/>
      <c r="AW19" s="234"/>
      <c r="AX19" s="234"/>
      <c r="AY19" s="234"/>
      <c r="AZ19" s="234"/>
      <c r="BA19" s="234">
        <v>13</v>
      </c>
      <c r="BB19" s="234">
        <v>184</v>
      </c>
      <c r="BC19" s="234">
        <v>148.4</v>
      </c>
      <c r="BD19" s="234"/>
      <c r="BE19" s="234"/>
      <c r="BF19" s="234"/>
      <c r="BG19" s="234"/>
      <c r="BH19" s="234"/>
      <c r="BI19" s="234"/>
      <c r="BJ19" s="234">
        <v>24</v>
      </c>
      <c r="BK19" s="234">
        <v>336</v>
      </c>
      <c r="BL19" s="234">
        <v>245.20000000000002</v>
      </c>
      <c r="BM19" s="234"/>
      <c r="BN19" s="234"/>
      <c r="BO19" s="234"/>
      <c r="BP19" s="234"/>
      <c r="BQ19" s="234"/>
      <c r="BR19" s="234"/>
      <c r="BS19" s="234">
        <v>15</v>
      </c>
      <c r="BT19" s="234">
        <v>200</v>
      </c>
      <c r="BU19" s="270">
        <v>149.60000000000002</v>
      </c>
      <c r="BV19" s="272">
        <f t="shared" si="5"/>
        <v>144</v>
      </c>
      <c r="BW19" s="272">
        <f t="shared" si="5"/>
        <v>1950</v>
      </c>
      <c r="BX19" s="272">
        <f t="shared" si="5"/>
        <v>1544.8000000000002</v>
      </c>
      <c r="BY19" s="270"/>
      <c r="BZ19" s="270"/>
      <c r="CA19" s="270"/>
      <c r="CB19" s="270"/>
      <c r="CC19" s="270"/>
      <c r="CD19" s="270"/>
      <c r="CE19" s="270"/>
      <c r="CF19" s="270"/>
      <c r="CG19" s="270"/>
      <c r="CH19" s="270"/>
      <c r="CI19" s="270"/>
      <c r="CJ19" s="270"/>
      <c r="CK19" s="270"/>
      <c r="CL19" s="270"/>
      <c r="CM19" s="270"/>
      <c r="CN19" s="270"/>
      <c r="CO19" s="270"/>
      <c r="CP19" s="270"/>
      <c r="CQ19" s="270"/>
      <c r="CR19" s="270"/>
      <c r="CS19" s="270"/>
      <c r="CT19" s="270"/>
      <c r="CU19" s="270"/>
      <c r="CV19" s="270"/>
      <c r="CW19" s="270"/>
      <c r="CX19" s="270"/>
      <c r="CY19" s="270"/>
      <c r="CZ19" s="270"/>
      <c r="DA19" s="270"/>
      <c r="DB19" s="270"/>
      <c r="DC19" s="270"/>
      <c r="DD19" s="270"/>
      <c r="DE19" s="270"/>
      <c r="DF19" s="272">
        <f t="shared" si="1"/>
        <v>144</v>
      </c>
      <c r="DG19" s="272">
        <f t="shared" si="1"/>
        <v>1950</v>
      </c>
      <c r="DH19" s="272">
        <f t="shared" si="4"/>
        <v>1544.8000000000002</v>
      </c>
      <c r="DI19" s="274"/>
    </row>
    <row r="20" spans="1:113" s="275" customFormat="1" ht="24.75" customHeight="1" x14ac:dyDescent="0.6">
      <c r="A20" s="268">
        <v>16</v>
      </c>
      <c r="B20" s="269" t="s">
        <v>228</v>
      </c>
      <c r="C20" s="104" t="s">
        <v>229</v>
      </c>
      <c r="D20" s="100" t="s">
        <v>230</v>
      </c>
      <c r="E20" s="99" t="s">
        <v>227</v>
      </c>
      <c r="F20" s="234" t="s">
        <v>733</v>
      </c>
      <c r="G20" s="234" t="s">
        <v>768</v>
      </c>
      <c r="H20" s="234" t="s">
        <v>769</v>
      </c>
      <c r="I20" s="234" t="s">
        <v>770</v>
      </c>
      <c r="J20" s="270" t="s">
        <v>195</v>
      </c>
      <c r="K20" s="271"/>
      <c r="L20" s="271"/>
      <c r="M20" s="271"/>
      <c r="N20" s="271"/>
      <c r="O20" s="271"/>
      <c r="P20" s="271"/>
      <c r="Q20" s="271"/>
      <c r="R20" s="271"/>
      <c r="S20" s="271"/>
      <c r="T20" s="271">
        <v>9</v>
      </c>
      <c r="U20" s="271">
        <v>174</v>
      </c>
      <c r="V20" s="271">
        <v>89.600000000000009</v>
      </c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>
        <v>15</v>
      </c>
      <c r="AM20" s="271">
        <v>200</v>
      </c>
      <c r="AN20" s="271">
        <v>149.60000000000002</v>
      </c>
      <c r="AO20" s="272">
        <f t="shared" si="2"/>
        <v>24</v>
      </c>
      <c r="AP20" s="272">
        <f t="shared" si="2"/>
        <v>374</v>
      </c>
      <c r="AQ20" s="272">
        <f t="shared" si="3"/>
        <v>239.20000000000005</v>
      </c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  <c r="BI20" s="234"/>
      <c r="BJ20" s="234">
        <v>20</v>
      </c>
      <c r="BK20" s="234">
        <v>296</v>
      </c>
      <c r="BL20" s="234">
        <v>218.79999999999998</v>
      </c>
      <c r="BM20" s="234"/>
      <c r="BN20" s="234"/>
      <c r="BO20" s="234"/>
      <c r="BP20" s="234"/>
      <c r="BQ20" s="234"/>
      <c r="BR20" s="234"/>
      <c r="BS20" s="234"/>
      <c r="BT20" s="234"/>
      <c r="BU20" s="270"/>
      <c r="BV20" s="272">
        <f t="shared" si="5"/>
        <v>44</v>
      </c>
      <c r="BW20" s="272">
        <f t="shared" si="5"/>
        <v>670</v>
      </c>
      <c r="BX20" s="272">
        <f t="shared" si="5"/>
        <v>458</v>
      </c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2">
        <f t="shared" si="1"/>
        <v>44</v>
      </c>
      <c r="DG20" s="272">
        <f t="shared" si="1"/>
        <v>670</v>
      </c>
      <c r="DH20" s="272">
        <f t="shared" si="4"/>
        <v>458</v>
      </c>
      <c r="DI20" s="274"/>
    </row>
    <row r="21" spans="1:113" s="275" customFormat="1" ht="24.75" customHeight="1" x14ac:dyDescent="0.6">
      <c r="A21" s="268">
        <v>17</v>
      </c>
      <c r="B21" s="269" t="s">
        <v>231</v>
      </c>
      <c r="C21" s="104" t="s">
        <v>232</v>
      </c>
      <c r="D21" s="100" t="s">
        <v>233</v>
      </c>
      <c r="E21" s="99" t="s">
        <v>234</v>
      </c>
      <c r="F21" s="234" t="s">
        <v>733</v>
      </c>
      <c r="G21" s="234" t="s">
        <v>771</v>
      </c>
      <c r="H21" s="234" t="s">
        <v>772</v>
      </c>
      <c r="I21" s="234" t="s">
        <v>773</v>
      </c>
      <c r="J21" s="270" t="s">
        <v>195</v>
      </c>
      <c r="K21" s="271"/>
      <c r="L21" s="271"/>
      <c r="M21" s="271"/>
      <c r="N21" s="276"/>
      <c r="O21" s="276"/>
      <c r="P21" s="276"/>
      <c r="Q21" s="271">
        <v>30</v>
      </c>
      <c r="R21" s="271">
        <v>780</v>
      </c>
      <c r="S21" s="271">
        <v>390</v>
      </c>
      <c r="T21" s="271"/>
      <c r="U21" s="271"/>
      <c r="V21" s="271"/>
      <c r="W21" s="271"/>
      <c r="X21" s="271"/>
      <c r="Y21" s="271"/>
      <c r="Z21" s="271"/>
      <c r="AA21" s="271"/>
      <c r="AB21" s="271"/>
      <c r="AC21" s="271">
        <v>30</v>
      </c>
      <c r="AD21" s="271">
        <v>500</v>
      </c>
      <c r="AE21" s="271">
        <v>370</v>
      </c>
      <c r="AF21" s="271"/>
      <c r="AG21" s="271"/>
      <c r="AH21" s="271"/>
      <c r="AI21" s="271"/>
      <c r="AJ21" s="271"/>
      <c r="AK21" s="271"/>
      <c r="AL21" s="271">
        <v>28</v>
      </c>
      <c r="AM21" s="271">
        <v>420</v>
      </c>
      <c r="AN21" s="271">
        <v>342</v>
      </c>
      <c r="AO21" s="272">
        <f t="shared" si="2"/>
        <v>88</v>
      </c>
      <c r="AP21" s="272">
        <f t="shared" si="2"/>
        <v>1700</v>
      </c>
      <c r="AQ21" s="272">
        <f t="shared" si="3"/>
        <v>1102</v>
      </c>
      <c r="AR21" s="234"/>
      <c r="AS21" s="234"/>
      <c r="AT21" s="234"/>
      <c r="AU21" s="234"/>
      <c r="AV21" s="234"/>
      <c r="AW21" s="234"/>
      <c r="AX21" s="234">
        <v>30</v>
      </c>
      <c r="AY21" s="234">
        <v>444</v>
      </c>
      <c r="AZ21" s="234">
        <v>358.8</v>
      </c>
      <c r="BA21" s="234"/>
      <c r="BB21" s="234"/>
      <c r="BC21" s="234"/>
      <c r="BD21" s="234"/>
      <c r="BE21" s="234"/>
      <c r="BF21" s="234"/>
      <c r="BG21" s="234"/>
      <c r="BH21" s="234"/>
      <c r="BI21" s="234"/>
      <c r="BJ21" s="234"/>
      <c r="BK21" s="234"/>
      <c r="BL21" s="234"/>
      <c r="BM21" s="234">
        <v>30</v>
      </c>
      <c r="BN21" s="234">
        <v>360</v>
      </c>
      <c r="BO21" s="234">
        <v>360</v>
      </c>
      <c r="BP21" s="234"/>
      <c r="BQ21" s="234"/>
      <c r="BR21" s="234"/>
      <c r="BS21" s="234"/>
      <c r="BT21" s="234"/>
      <c r="BU21" s="270"/>
      <c r="BV21" s="272">
        <f t="shared" si="5"/>
        <v>148</v>
      </c>
      <c r="BW21" s="272">
        <f t="shared" si="5"/>
        <v>2504</v>
      </c>
      <c r="BX21" s="272">
        <f t="shared" si="5"/>
        <v>1820.8</v>
      </c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2">
        <f t="shared" si="1"/>
        <v>148</v>
      </c>
      <c r="DG21" s="272">
        <f t="shared" si="1"/>
        <v>2504</v>
      </c>
      <c r="DH21" s="272">
        <f t="shared" si="4"/>
        <v>1820.8</v>
      </c>
      <c r="DI21" s="274"/>
    </row>
    <row r="22" spans="1:113" s="275" customFormat="1" ht="24.75" customHeight="1" x14ac:dyDescent="0.6">
      <c r="A22" s="268">
        <v>18</v>
      </c>
      <c r="B22" s="269" t="s">
        <v>235</v>
      </c>
      <c r="C22" s="104" t="s">
        <v>236</v>
      </c>
      <c r="D22" s="100" t="s">
        <v>176</v>
      </c>
      <c r="E22" s="99" t="s">
        <v>177</v>
      </c>
      <c r="F22" s="234" t="s">
        <v>733</v>
      </c>
      <c r="G22" s="234" t="s">
        <v>774</v>
      </c>
      <c r="H22" s="234" t="s">
        <v>775</v>
      </c>
      <c r="I22" s="234" t="s">
        <v>776</v>
      </c>
      <c r="J22" s="270" t="s">
        <v>195</v>
      </c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>
        <v>230</v>
      </c>
      <c r="X22" s="271">
        <v>2960</v>
      </c>
      <c r="Y22" s="271">
        <v>2456</v>
      </c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2">
        <f t="shared" si="2"/>
        <v>230</v>
      </c>
      <c r="AP22" s="272">
        <f t="shared" si="2"/>
        <v>2960</v>
      </c>
      <c r="AQ22" s="272">
        <f t="shared" si="3"/>
        <v>2456</v>
      </c>
      <c r="AR22" s="234"/>
      <c r="AS22" s="234"/>
      <c r="AT22" s="234"/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234"/>
      <c r="BT22" s="234"/>
      <c r="BU22" s="270"/>
      <c r="BV22" s="272">
        <f t="shared" si="5"/>
        <v>230</v>
      </c>
      <c r="BW22" s="272">
        <f t="shared" si="5"/>
        <v>2960</v>
      </c>
      <c r="BX22" s="272">
        <f t="shared" si="5"/>
        <v>2456</v>
      </c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2">
        <f t="shared" si="1"/>
        <v>230</v>
      </c>
      <c r="DG22" s="272">
        <f t="shared" si="1"/>
        <v>2960</v>
      </c>
      <c r="DH22" s="272">
        <f t="shared" si="4"/>
        <v>2456</v>
      </c>
      <c r="DI22" s="274"/>
    </row>
    <row r="23" spans="1:113" s="275" customFormat="1" ht="24.75" customHeight="1" x14ac:dyDescent="0.6">
      <c r="A23" s="268">
        <v>19</v>
      </c>
      <c r="B23" s="269" t="s">
        <v>237</v>
      </c>
      <c r="C23" s="104" t="s">
        <v>238</v>
      </c>
      <c r="D23" s="100" t="s">
        <v>94</v>
      </c>
      <c r="E23" s="99" t="s">
        <v>95</v>
      </c>
      <c r="F23" s="234" t="s">
        <v>733</v>
      </c>
      <c r="G23" s="234" t="s">
        <v>777</v>
      </c>
      <c r="H23" s="234" t="s">
        <v>778</v>
      </c>
      <c r="I23" s="234" t="s">
        <v>779</v>
      </c>
      <c r="J23" s="270" t="s">
        <v>195</v>
      </c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>
        <v>37</v>
      </c>
      <c r="X23" s="271">
        <v>448</v>
      </c>
      <c r="Y23" s="271">
        <v>437.92</v>
      </c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2">
        <f t="shared" si="2"/>
        <v>37</v>
      </c>
      <c r="AP23" s="272">
        <f t="shared" si="2"/>
        <v>448</v>
      </c>
      <c r="AQ23" s="272">
        <f t="shared" si="3"/>
        <v>437.92</v>
      </c>
      <c r="AR23" s="234"/>
      <c r="AS23" s="234"/>
      <c r="AT23" s="234"/>
      <c r="AU23" s="234">
        <v>25</v>
      </c>
      <c r="AV23" s="234">
        <v>300</v>
      </c>
      <c r="AW23" s="234">
        <v>300</v>
      </c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4"/>
      <c r="BK23" s="234"/>
      <c r="BL23" s="234"/>
      <c r="BM23" s="234"/>
      <c r="BN23" s="234"/>
      <c r="BO23" s="234"/>
      <c r="BP23" s="234">
        <v>25</v>
      </c>
      <c r="BQ23" s="234">
        <v>300</v>
      </c>
      <c r="BR23" s="234">
        <v>300</v>
      </c>
      <c r="BS23" s="234"/>
      <c r="BT23" s="234"/>
      <c r="BU23" s="270"/>
      <c r="BV23" s="272">
        <f t="shared" si="5"/>
        <v>87</v>
      </c>
      <c r="BW23" s="272">
        <f t="shared" si="5"/>
        <v>1048</v>
      </c>
      <c r="BX23" s="272">
        <f t="shared" si="5"/>
        <v>1037.92</v>
      </c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0"/>
      <c r="CQ23" s="270"/>
      <c r="CR23" s="270"/>
      <c r="CS23" s="270"/>
      <c r="CT23" s="270"/>
      <c r="CU23" s="270"/>
      <c r="CV23" s="270"/>
      <c r="CW23" s="270"/>
      <c r="CX23" s="270"/>
      <c r="CY23" s="270"/>
      <c r="CZ23" s="270"/>
      <c r="DA23" s="270"/>
      <c r="DB23" s="270"/>
      <c r="DC23" s="270"/>
      <c r="DD23" s="270"/>
      <c r="DE23" s="270"/>
      <c r="DF23" s="272">
        <f t="shared" si="1"/>
        <v>87</v>
      </c>
      <c r="DG23" s="272">
        <f t="shared" si="1"/>
        <v>1048</v>
      </c>
      <c r="DH23" s="272">
        <f t="shared" si="4"/>
        <v>1037.92</v>
      </c>
      <c r="DI23" s="274"/>
    </row>
    <row r="24" spans="1:113" s="275" customFormat="1" ht="24.75" customHeight="1" x14ac:dyDescent="0.6">
      <c r="A24" s="268">
        <v>20</v>
      </c>
      <c r="B24" s="269" t="s">
        <v>239</v>
      </c>
      <c r="C24" s="104" t="s">
        <v>240</v>
      </c>
      <c r="D24" s="100" t="s">
        <v>94</v>
      </c>
      <c r="E24" s="99" t="s">
        <v>95</v>
      </c>
      <c r="F24" s="234" t="s">
        <v>733</v>
      </c>
      <c r="G24" s="234" t="s">
        <v>780</v>
      </c>
      <c r="H24" s="234" t="s">
        <v>781</v>
      </c>
      <c r="I24" s="234" t="s">
        <v>782</v>
      </c>
      <c r="J24" s="270" t="s">
        <v>195</v>
      </c>
      <c r="K24" s="271"/>
      <c r="L24" s="271"/>
      <c r="M24" s="271"/>
      <c r="N24" s="271"/>
      <c r="O24" s="271"/>
      <c r="P24" s="271"/>
      <c r="Q24" s="271">
        <v>100</v>
      </c>
      <c r="R24" s="271">
        <v>1200</v>
      </c>
      <c r="S24" s="271">
        <v>1200</v>
      </c>
      <c r="T24" s="271"/>
      <c r="U24" s="271"/>
      <c r="V24" s="271"/>
      <c r="W24" s="271"/>
      <c r="X24" s="271"/>
      <c r="Y24" s="271"/>
      <c r="Z24" s="271">
        <v>100</v>
      </c>
      <c r="AA24" s="271">
        <v>1200</v>
      </c>
      <c r="AB24" s="271">
        <v>1200</v>
      </c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2">
        <f t="shared" si="2"/>
        <v>200</v>
      </c>
      <c r="AP24" s="272">
        <f t="shared" si="2"/>
        <v>2400</v>
      </c>
      <c r="AQ24" s="272">
        <f t="shared" si="3"/>
        <v>2400</v>
      </c>
      <c r="AR24" s="234">
        <v>130</v>
      </c>
      <c r="AS24" s="234">
        <v>1620</v>
      </c>
      <c r="AT24" s="234">
        <v>1468.8</v>
      </c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  <c r="BI24" s="234"/>
      <c r="BJ24" s="234">
        <v>130</v>
      </c>
      <c r="BK24" s="234">
        <v>1580</v>
      </c>
      <c r="BL24" s="234">
        <v>1529.6</v>
      </c>
      <c r="BM24" s="234"/>
      <c r="BN24" s="234"/>
      <c r="BO24" s="234"/>
      <c r="BP24" s="234"/>
      <c r="BQ24" s="234"/>
      <c r="BR24" s="234"/>
      <c r="BS24" s="234"/>
      <c r="BT24" s="234"/>
      <c r="BU24" s="270"/>
      <c r="BV24" s="272">
        <f t="shared" si="5"/>
        <v>460</v>
      </c>
      <c r="BW24" s="272">
        <f t="shared" si="5"/>
        <v>5600</v>
      </c>
      <c r="BX24" s="272">
        <f t="shared" si="5"/>
        <v>5398.4</v>
      </c>
      <c r="BY24" s="270"/>
      <c r="BZ24" s="270"/>
      <c r="CA24" s="270"/>
      <c r="CB24" s="270"/>
      <c r="CC24" s="270"/>
      <c r="CD24" s="270"/>
      <c r="CE24" s="270"/>
      <c r="CF24" s="270"/>
      <c r="CG24" s="270"/>
      <c r="CH24" s="270"/>
      <c r="CI24" s="270"/>
      <c r="CJ24" s="270"/>
      <c r="CK24" s="270"/>
      <c r="CL24" s="270"/>
      <c r="CM24" s="270"/>
      <c r="CN24" s="270"/>
      <c r="CO24" s="270"/>
      <c r="CP24" s="270"/>
      <c r="CQ24" s="270"/>
      <c r="CR24" s="270"/>
      <c r="CS24" s="270"/>
      <c r="CT24" s="270"/>
      <c r="CU24" s="270"/>
      <c r="CV24" s="270"/>
      <c r="CW24" s="270"/>
      <c r="CX24" s="270"/>
      <c r="CY24" s="270"/>
      <c r="CZ24" s="270"/>
      <c r="DA24" s="270"/>
      <c r="DB24" s="270"/>
      <c r="DC24" s="270"/>
      <c r="DD24" s="270"/>
      <c r="DE24" s="270"/>
      <c r="DF24" s="272">
        <f t="shared" si="1"/>
        <v>460</v>
      </c>
      <c r="DG24" s="272">
        <f t="shared" si="1"/>
        <v>5600</v>
      </c>
      <c r="DH24" s="272">
        <f t="shared" si="4"/>
        <v>5398.4</v>
      </c>
      <c r="DI24" s="274"/>
    </row>
    <row r="25" spans="1:113" s="275" customFormat="1" ht="24.75" customHeight="1" x14ac:dyDescent="0.6">
      <c r="A25" s="268">
        <v>21</v>
      </c>
      <c r="B25" s="269" t="s">
        <v>241</v>
      </c>
      <c r="C25" s="99" t="s">
        <v>242</v>
      </c>
      <c r="D25" s="100" t="s">
        <v>94</v>
      </c>
      <c r="E25" s="100" t="s">
        <v>95</v>
      </c>
      <c r="F25" s="234" t="s">
        <v>733</v>
      </c>
      <c r="G25" s="234" t="s">
        <v>783</v>
      </c>
      <c r="H25" s="234" t="s">
        <v>784</v>
      </c>
      <c r="I25" s="234" t="s">
        <v>785</v>
      </c>
      <c r="J25" s="270" t="s">
        <v>195</v>
      </c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>
        <v>100</v>
      </c>
      <c r="X25" s="271">
        <v>1200</v>
      </c>
      <c r="Y25" s="271">
        <v>1200</v>
      </c>
      <c r="Z25" s="271"/>
      <c r="AA25" s="271"/>
      <c r="AB25" s="271"/>
      <c r="AC25" s="271">
        <v>100</v>
      </c>
      <c r="AD25" s="271">
        <v>1200</v>
      </c>
      <c r="AE25" s="271">
        <v>1200</v>
      </c>
      <c r="AF25" s="271"/>
      <c r="AG25" s="271"/>
      <c r="AH25" s="271"/>
      <c r="AI25" s="271"/>
      <c r="AJ25" s="271"/>
      <c r="AK25" s="271"/>
      <c r="AL25" s="271"/>
      <c r="AM25" s="271"/>
      <c r="AN25" s="271"/>
      <c r="AO25" s="272">
        <f t="shared" si="2"/>
        <v>200</v>
      </c>
      <c r="AP25" s="272">
        <f t="shared" si="2"/>
        <v>2400</v>
      </c>
      <c r="AQ25" s="272">
        <f t="shared" si="3"/>
        <v>2400</v>
      </c>
      <c r="AR25" s="234">
        <v>120</v>
      </c>
      <c r="AS25" s="234">
        <v>1620</v>
      </c>
      <c r="AT25" s="234">
        <v>1166.4000000000001</v>
      </c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/>
      <c r="BH25" s="234"/>
      <c r="BI25" s="234"/>
      <c r="BJ25" s="234"/>
      <c r="BK25" s="234"/>
      <c r="BL25" s="234"/>
      <c r="BM25" s="234">
        <v>100</v>
      </c>
      <c r="BN25" s="234">
        <v>1200</v>
      </c>
      <c r="BO25" s="234">
        <v>1200</v>
      </c>
      <c r="BP25" s="234"/>
      <c r="BQ25" s="234"/>
      <c r="BR25" s="234"/>
      <c r="BS25" s="234"/>
      <c r="BT25" s="234"/>
      <c r="BU25" s="270"/>
      <c r="BV25" s="272">
        <f t="shared" si="5"/>
        <v>420</v>
      </c>
      <c r="BW25" s="272">
        <f t="shared" si="5"/>
        <v>5220</v>
      </c>
      <c r="BX25" s="272">
        <f t="shared" si="5"/>
        <v>4766.3999999999996</v>
      </c>
      <c r="BY25" s="270"/>
      <c r="BZ25" s="270"/>
      <c r="CA25" s="270"/>
      <c r="CB25" s="270"/>
      <c r="CC25" s="270"/>
      <c r="CD25" s="270"/>
      <c r="CE25" s="270"/>
      <c r="CF25" s="270"/>
      <c r="CG25" s="270"/>
      <c r="CH25" s="270"/>
      <c r="CI25" s="270"/>
      <c r="CJ25" s="270"/>
      <c r="CK25" s="270"/>
      <c r="CL25" s="270"/>
      <c r="CM25" s="270"/>
      <c r="CN25" s="270"/>
      <c r="CO25" s="270"/>
      <c r="CP25" s="270"/>
      <c r="CQ25" s="270"/>
      <c r="CR25" s="270"/>
      <c r="CS25" s="270"/>
      <c r="CT25" s="270"/>
      <c r="CU25" s="270"/>
      <c r="CV25" s="270"/>
      <c r="CW25" s="270"/>
      <c r="CX25" s="270"/>
      <c r="CY25" s="270"/>
      <c r="CZ25" s="270"/>
      <c r="DA25" s="270"/>
      <c r="DB25" s="270"/>
      <c r="DC25" s="270"/>
      <c r="DD25" s="270"/>
      <c r="DE25" s="270"/>
      <c r="DF25" s="272">
        <f t="shared" si="1"/>
        <v>420</v>
      </c>
      <c r="DG25" s="272">
        <f t="shared" si="1"/>
        <v>5220</v>
      </c>
      <c r="DH25" s="272">
        <f t="shared" si="4"/>
        <v>4766.3999999999996</v>
      </c>
      <c r="DI25" s="274"/>
    </row>
    <row r="26" spans="1:113" s="275" customFormat="1" ht="24.75" customHeight="1" x14ac:dyDescent="0.6">
      <c r="A26" s="268">
        <v>22</v>
      </c>
      <c r="B26" s="269" t="s">
        <v>243</v>
      </c>
      <c r="C26" s="99" t="s">
        <v>244</v>
      </c>
      <c r="D26" s="100" t="s">
        <v>94</v>
      </c>
      <c r="E26" s="100" t="s">
        <v>95</v>
      </c>
      <c r="F26" s="234" t="s">
        <v>733</v>
      </c>
      <c r="G26" s="234" t="s">
        <v>786</v>
      </c>
      <c r="H26" s="234" t="s">
        <v>787</v>
      </c>
      <c r="I26" s="234" t="s">
        <v>788</v>
      </c>
      <c r="J26" s="270" t="s">
        <v>195</v>
      </c>
      <c r="K26" s="271"/>
      <c r="L26" s="271"/>
      <c r="M26" s="271"/>
      <c r="N26" s="271"/>
      <c r="O26" s="271"/>
      <c r="P26" s="271"/>
      <c r="Q26" s="276"/>
      <c r="R26" s="276"/>
      <c r="S26" s="276"/>
      <c r="T26" s="276"/>
      <c r="U26" s="276"/>
      <c r="V26" s="276"/>
      <c r="W26" s="276">
        <v>350</v>
      </c>
      <c r="X26" s="276">
        <v>4400</v>
      </c>
      <c r="Y26" s="276">
        <v>3896</v>
      </c>
      <c r="Z26" s="276"/>
      <c r="AA26" s="276"/>
      <c r="AB26" s="276"/>
      <c r="AC26" s="276"/>
      <c r="AD26" s="276"/>
      <c r="AE26" s="276"/>
      <c r="AF26" s="276"/>
      <c r="AG26" s="276"/>
      <c r="AH26" s="276"/>
      <c r="AI26" s="276">
        <v>400</v>
      </c>
      <c r="AJ26" s="276">
        <v>5000</v>
      </c>
      <c r="AK26" s="276">
        <v>4496</v>
      </c>
      <c r="AL26" s="276"/>
      <c r="AM26" s="276"/>
      <c r="AN26" s="276"/>
      <c r="AO26" s="272">
        <f t="shared" si="2"/>
        <v>750</v>
      </c>
      <c r="AP26" s="272">
        <f t="shared" si="2"/>
        <v>9400</v>
      </c>
      <c r="AQ26" s="272">
        <f t="shared" si="3"/>
        <v>8392</v>
      </c>
      <c r="AR26" s="253"/>
      <c r="AS26" s="253"/>
      <c r="AT26" s="253"/>
      <c r="AU26" s="253"/>
      <c r="AV26" s="253"/>
      <c r="AW26" s="253"/>
      <c r="AX26" s="253"/>
      <c r="AY26" s="253"/>
      <c r="AZ26" s="253"/>
      <c r="BA26" s="253"/>
      <c r="BB26" s="253"/>
      <c r="BC26" s="253"/>
      <c r="BD26" s="253"/>
      <c r="BE26" s="253"/>
      <c r="BF26" s="253"/>
      <c r="BG26" s="253"/>
      <c r="BH26" s="253"/>
      <c r="BI26" s="253"/>
      <c r="BJ26" s="253"/>
      <c r="BK26" s="253"/>
      <c r="BL26" s="253"/>
      <c r="BM26" s="253"/>
      <c r="BN26" s="253"/>
      <c r="BO26" s="253"/>
      <c r="BP26" s="253"/>
      <c r="BQ26" s="253"/>
      <c r="BR26" s="253"/>
      <c r="BS26" s="253"/>
      <c r="BT26" s="253"/>
      <c r="BU26" s="253"/>
      <c r="BV26" s="272">
        <f t="shared" si="5"/>
        <v>750</v>
      </c>
      <c r="BW26" s="272">
        <f t="shared" si="5"/>
        <v>9400</v>
      </c>
      <c r="BX26" s="272">
        <f t="shared" si="5"/>
        <v>8392</v>
      </c>
      <c r="BY26" s="253"/>
      <c r="BZ26" s="253"/>
      <c r="CA26" s="253"/>
      <c r="CB26" s="253"/>
      <c r="CC26" s="253"/>
      <c r="CD26" s="253"/>
      <c r="CE26" s="253"/>
      <c r="CF26" s="253"/>
      <c r="CG26" s="253"/>
      <c r="CH26" s="253"/>
      <c r="CI26" s="253"/>
      <c r="CJ26" s="253"/>
      <c r="CK26" s="253"/>
      <c r="CL26" s="253"/>
      <c r="CM26" s="253"/>
      <c r="CN26" s="253"/>
      <c r="CO26" s="253"/>
      <c r="CP26" s="253"/>
      <c r="CQ26" s="253"/>
      <c r="CR26" s="253"/>
      <c r="CS26" s="253"/>
      <c r="CT26" s="253"/>
      <c r="CU26" s="253"/>
      <c r="CV26" s="253"/>
      <c r="CW26" s="253"/>
      <c r="CX26" s="253"/>
      <c r="CY26" s="253"/>
      <c r="CZ26" s="253"/>
      <c r="DA26" s="253"/>
      <c r="DB26" s="253"/>
      <c r="DC26" s="253"/>
      <c r="DD26" s="253"/>
      <c r="DE26" s="253"/>
      <c r="DF26" s="272">
        <f t="shared" si="1"/>
        <v>750</v>
      </c>
      <c r="DG26" s="272">
        <f t="shared" si="1"/>
        <v>9400</v>
      </c>
      <c r="DH26" s="272">
        <f t="shared" si="4"/>
        <v>8392</v>
      </c>
      <c r="DI26" s="274"/>
    </row>
    <row r="27" spans="1:113" s="275" customFormat="1" ht="24.75" customHeight="1" x14ac:dyDescent="0.6">
      <c r="A27" s="268">
        <v>23</v>
      </c>
      <c r="B27" s="269" t="s">
        <v>245</v>
      </c>
      <c r="C27" s="104" t="s">
        <v>246</v>
      </c>
      <c r="D27" s="100" t="s">
        <v>247</v>
      </c>
      <c r="E27" s="104" t="s">
        <v>248</v>
      </c>
      <c r="F27" s="234" t="s">
        <v>733</v>
      </c>
      <c r="G27" s="234" t="s">
        <v>789</v>
      </c>
      <c r="H27" s="234" t="s">
        <v>790</v>
      </c>
      <c r="I27" s="234" t="s">
        <v>791</v>
      </c>
      <c r="J27" s="270" t="s">
        <v>195</v>
      </c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2">
        <f t="shared" si="2"/>
        <v>0</v>
      </c>
      <c r="AP27" s="272">
        <f t="shared" si="2"/>
        <v>0</v>
      </c>
      <c r="AQ27" s="272">
        <f t="shared" si="3"/>
        <v>0</v>
      </c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4"/>
      <c r="BM27" s="234"/>
      <c r="BN27" s="234"/>
      <c r="BO27" s="234"/>
      <c r="BP27" s="234"/>
      <c r="BQ27" s="234"/>
      <c r="BR27" s="234"/>
      <c r="BS27" s="234"/>
      <c r="BT27" s="234"/>
      <c r="BU27" s="270"/>
      <c r="BV27" s="272">
        <f t="shared" si="5"/>
        <v>0</v>
      </c>
      <c r="BW27" s="272">
        <f t="shared" si="5"/>
        <v>0</v>
      </c>
      <c r="BX27" s="272">
        <f t="shared" si="5"/>
        <v>0</v>
      </c>
      <c r="BY27" s="270"/>
      <c r="BZ27" s="270"/>
      <c r="CA27" s="270"/>
      <c r="CB27" s="270"/>
      <c r="CC27" s="270"/>
      <c r="CD27" s="270"/>
      <c r="CE27" s="270"/>
      <c r="CF27" s="270"/>
      <c r="CG27" s="270"/>
      <c r="CH27" s="270"/>
      <c r="CI27" s="270"/>
      <c r="CJ27" s="270"/>
      <c r="CK27" s="270"/>
      <c r="CL27" s="270"/>
      <c r="CM27" s="270"/>
      <c r="CN27" s="270"/>
      <c r="CO27" s="270"/>
      <c r="CP27" s="270"/>
      <c r="CQ27" s="270"/>
      <c r="CR27" s="270"/>
      <c r="CS27" s="270"/>
      <c r="CT27" s="270"/>
      <c r="CU27" s="270"/>
      <c r="CV27" s="270"/>
      <c r="CW27" s="270"/>
      <c r="CX27" s="270"/>
      <c r="CY27" s="270"/>
      <c r="CZ27" s="270"/>
      <c r="DA27" s="270"/>
      <c r="DB27" s="270"/>
      <c r="DC27" s="270"/>
      <c r="DD27" s="270"/>
      <c r="DE27" s="270"/>
      <c r="DF27" s="272">
        <f t="shared" si="1"/>
        <v>0</v>
      </c>
      <c r="DG27" s="272">
        <f t="shared" si="1"/>
        <v>0</v>
      </c>
      <c r="DH27" s="272">
        <f t="shared" si="4"/>
        <v>0</v>
      </c>
      <c r="DI27" s="274"/>
    </row>
    <row r="28" spans="1:113" s="275" customFormat="1" ht="24.75" customHeight="1" x14ac:dyDescent="0.6">
      <c r="A28" s="268">
        <v>24</v>
      </c>
      <c r="B28" s="269" t="s">
        <v>249</v>
      </c>
      <c r="C28" s="104" t="s">
        <v>250</v>
      </c>
      <c r="D28" s="100" t="s">
        <v>251</v>
      </c>
      <c r="E28" s="99" t="s">
        <v>252</v>
      </c>
      <c r="F28" s="234" t="s">
        <v>733</v>
      </c>
      <c r="G28" s="234" t="s">
        <v>241</v>
      </c>
      <c r="H28" s="234" t="s">
        <v>792</v>
      </c>
      <c r="I28" s="234" t="s">
        <v>793</v>
      </c>
      <c r="J28" s="270" t="s">
        <v>195</v>
      </c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2">
        <f t="shared" si="2"/>
        <v>0</v>
      </c>
      <c r="AP28" s="272">
        <f t="shared" si="2"/>
        <v>0</v>
      </c>
      <c r="AQ28" s="272">
        <f t="shared" si="3"/>
        <v>0</v>
      </c>
      <c r="AR28" s="234"/>
      <c r="AS28" s="234"/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  <c r="BM28" s="234"/>
      <c r="BN28" s="234"/>
      <c r="BO28" s="234"/>
      <c r="BP28" s="234"/>
      <c r="BQ28" s="234"/>
      <c r="BR28" s="234"/>
      <c r="BS28" s="234">
        <v>300</v>
      </c>
      <c r="BT28" s="234">
        <v>3940</v>
      </c>
      <c r="BU28" s="270">
        <v>3306</v>
      </c>
      <c r="BV28" s="272">
        <f t="shared" si="5"/>
        <v>300</v>
      </c>
      <c r="BW28" s="272">
        <f t="shared" si="5"/>
        <v>3940</v>
      </c>
      <c r="BX28" s="272">
        <f t="shared" si="5"/>
        <v>3306</v>
      </c>
      <c r="BY28" s="270"/>
      <c r="BZ28" s="270"/>
      <c r="CA28" s="270"/>
      <c r="CB28" s="270"/>
      <c r="CC28" s="270"/>
      <c r="CD28" s="270"/>
      <c r="CE28" s="270"/>
      <c r="CF28" s="270"/>
      <c r="CG28" s="270"/>
      <c r="CH28" s="270"/>
      <c r="CI28" s="270"/>
      <c r="CJ28" s="270"/>
      <c r="CK28" s="270"/>
      <c r="CL28" s="270"/>
      <c r="CM28" s="270"/>
      <c r="CN28" s="270"/>
      <c r="CO28" s="270"/>
      <c r="CP28" s="270"/>
      <c r="CQ28" s="270"/>
      <c r="CR28" s="270"/>
      <c r="CS28" s="270"/>
      <c r="CT28" s="270"/>
      <c r="CU28" s="270"/>
      <c r="CV28" s="270"/>
      <c r="CW28" s="270"/>
      <c r="CX28" s="270"/>
      <c r="CY28" s="270"/>
      <c r="CZ28" s="270"/>
      <c r="DA28" s="270"/>
      <c r="DB28" s="270"/>
      <c r="DC28" s="270"/>
      <c r="DD28" s="270"/>
      <c r="DE28" s="270"/>
      <c r="DF28" s="272">
        <f t="shared" si="1"/>
        <v>300</v>
      </c>
      <c r="DG28" s="272">
        <f t="shared" si="1"/>
        <v>3940</v>
      </c>
      <c r="DH28" s="272">
        <f t="shared" si="4"/>
        <v>3306</v>
      </c>
      <c r="DI28" s="274"/>
    </row>
    <row r="29" spans="1:113" s="275" customFormat="1" ht="24.75" customHeight="1" x14ac:dyDescent="0.6">
      <c r="A29" s="268">
        <v>25</v>
      </c>
      <c r="B29" s="269" t="s">
        <v>253</v>
      </c>
      <c r="C29" s="104" t="s">
        <v>254</v>
      </c>
      <c r="D29" s="100" t="s">
        <v>255</v>
      </c>
      <c r="E29" s="99" t="s">
        <v>256</v>
      </c>
      <c r="F29" s="234" t="s">
        <v>733</v>
      </c>
      <c r="G29" s="234" t="s">
        <v>794</v>
      </c>
      <c r="H29" s="234" t="s">
        <v>795</v>
      </c>
      <c r="I29" s="234" t="s">
        <v>796</v>
      </c>
      <c r="J29" s="270" t="s">
        <v>195</v>
      </c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>
        <v>35</v>
      </c>
      <c r="AD29" s="271">
        <v>420</v>
      </c>
      <c r="AE29" s="271">
        <v>420</v>
      </c>
      <c r="AF29" s="271"/>
      <c r="AG29" s="271"/>
      <c r="AH29" s="271"/>
      <c r="AI29" s="271"/>
      <c r="AJ29" s="271"/>
      <c r="AK29" s="271"/>
      <c r="AL29" s="271"/>
      <c r="AM29" s="271"/>
      <c r="AN29" s="271"/>
      <c r="AO29" s="272">
        <f t="shared" si="2"/>
        <v>35</v>
      </c>
      <c r="AP29" s="272">
        <f t="shared" si="2"/>
        <v>420</v>
      </c>
      <c r="AQ29" s="272">
        <f t="shared" si="3"/>
        <v>420</v>
      </c>
      <c r="AR29" s="234"/>
      <c r="AS29" s="234"/>
      <c r="AT29" s="234"/>
      <c r="AU29" s="234"/>
      <c r="AV29" s="234"/>
      <c r="AW29" s="234"/>
      <c r="AX29" s="234"/>
      <c r="AY29" s="234"/>
      <c r="AZ29" s="234"/>
      <c r="BA29" s="234">
        <v>50</v>
      </c>
      <c r="BB29" s="234">
        <v>600</v>
      </c>
      <c r="BC29" s="234">
        <v>600</v>
      </c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70"/>
      <c r="BV29" s="272">
        <f t="shared" si="5"/>
        <v>85</v>
      </c>
      <c r="BW29" s="272">
        <f t="shared" si="5"/>
        <v>1020</v>
      </c>
      <c r="BX29" s="272">
        <f t="shared" si="5"/>
        <v>1020</v>
      </c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0"/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0"/>
      <c r="DD29" s="270"/>
      <c r="DE29" s="270"/>
      <c r="DF29" s="272">
        <f t="shared" si="1"/>
        <v>85</v>
      </c>
      <c r="DG29" s="272">
        <f t="shared" si="1"/>
        <v>1020</v>
      </c>
      <c r="DH29" s="272">
        <f t="shared" si="4"/>
        <v>1020</v>
      </c>
      <c r="DI29" s="274"/>
    </row>
    <row r="30" spans="1:113" s="275" customFormat="1" ht="24.75" customHeight="1" x14ac:dyDescent="0.6">
      <c r="A30" s="268">
        <v>26</v>
      </c>
      <c r="B30" s="269" t="s">
        <v>257</v>
      </c>
      <c r="C30" s="99" t="s">
        <v>258</v>
      </c>
      <c r="D30" s="99" t="s">
        <v>141</v>
      </c>
      <c r="E30" s="104" t="s">
        <v>142</v>
      </c>
      <c r="F30" s="234" t="s">
        <v>733</v>
      </c>
      <c r="G30" s="234" t="s">
        <v>797</v>
      </c>
      <c r="H30" s="234" t="s">
        <v>798</v>
      </c>
      <c r="I30" s="234" t="s">
        <v>799</v>
      </c>
      <c r="J30" s="270" t="s">
        <v>195</v>
      </c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>
        <v>250</v>
      </c>
      <c r="AJ30" s="271">
        <v>3040</v>
      </c>
      <c r="AK30" s="271">
        <v>2729.2</v>
      </c>
      <c r="AL30" s="271"/>
      <c r="AM30" s="271"/>
      <c r="AN30" s="271"/>
      <c r="AO30" s="272">
        <f t="shared" si="2"/>
        <v>250</v>
      </c>
      <c r="AP30" s="272">
        <f t="shared" si="2"/>
        <v>3040</v>
      </c>
      <c r="AQ30" s="272">
        <f t="shared" si="3"/>
        <v>2729.2</v>
      </c>
      <c r="AR30" s="234"/>
      <c r="AS30" s="234"/>
      <c r="AT30" s="234"/>
      <c r="AU30" s="234"/>
      <c r="AV30" s="234"/>
      <c r="AW30" s="234"/>
      <c r="AX30" s="234"/>
      <c r="AY30" s="234"/>
      <c r="AZ30" s="234"/>
      <c r="BA30" s="234">
        <v>270</v>
      </c>
      <c r="BB30" s="234">
        <v>3710</v>
      </c>
      <c r="BC30" s="234">
        <v>3032</v>
      </c>
      <c r="BD30" s="234"/>
      <c r="BE30" s="234"/>
      <c r="BF30" s="234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4"/>
      <c r="BU30" s="270"/>
      <c r="BV30" s="272">
        <f t="shared" si="5"/>
        <v>520</v>
      </c>
      <c r="BW30" s="272">
        <f t="shared" si="5"/>
        <v>6750</v>
      </c>
      <c r="BX30" s="272">
        <f t="shared" si="5"/>
        <v>5761.2</v>
      </c>
      <c r="BY30" s="270"/>
      <c r="BZ30" s="270"/>
      <c r="CA30" s="270"/>
      <c r="CB30" s="270"/>
      <c r="CC30" s="270"/>
      <c r="CD30" s="270"/>
      <c r="CE30" s="270"/>
      <c r="CF30" s="270"/>
      <c r="CG30" s="270"/>
      <c r="CH30" s="270"/>
      <c r="CI30" s="270"/>
      <c r="CJ30" s="270"/>
      <c r="CK30" s="270"/>
      <c r="CL30" s="270"/>
      <c r="CM30" s="270"/>
      <c r="CN30" s="270"/>
      <c r="CO30" s="270"/>
      <c r="CP30" s="270"/>
      <c r="CQ30" s="270"/>
      <c r="CR30" s="270"/>
      <c r="CS30" s="270"/>
      <c r="CT30" s="270"/>
      <c r="CU30" s="270"/>
      <c r="CV30" s="270"/>
      <c r="CW30" s="270"/>
      <c r="CX30" s="270"/>
      <c r="CY30" s="270"/>
      <c r="CZ30" s="270"/>
      <c r="DA30" s="270"/>
      <c r="DB30" s="270"/>
      <c r="DC30" s="270"/>
      <c r="DD30" s="270"/>
      <c r="DE30" s="270"/>
      <c r="DF30" s="272">
        <f t="shared" si="1"/>
        <v>520</v>
      </c>
      <c r="DG30" s="272">
        <f t="shared" si="1"/>
        <v>6750</v>
      </c>
      <c r="DH30" s="272">
        <f t="shared" si="4"/>
        <v>5761.2</v>
      </c>
      <c r="DI30" s="274"/>
    </row>
    <row r="31" spans="1:113" s="275" customFormat="1" ht="24.75" customHeight="1" x14ac:dyDescent="0.6">
      <c r="A31" s="268">
        <v>27</v>
      </c>
      <c r="B31" s="269" t="s">
        <v>259</v>
      </c>
      <c r="C31" s="142" t="s">
        <v>260</v>
      </c>
      <c r="D31" s="100" t="s">
        <v>168</v>
      </c>
      <c r="E31" s="105" t="s">
        <v>169</v>
      </c>
      <c r="F31" s="234" t="s">
        <v>733</v>
      </c>
      <c r="G31" s="234" t="s">
        <v>800</v>
      </c>
      <c r="H31" s="234" t="s">
        <v>801</v>
      </c>
      <c r="I31" s="234" t="s">
        <v>802</v>
      </c>
      <c r="J31" s="270" t="s">
        <v>195</v>
      </c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271"/>
      <c r="AC31" s="271">
        <v>50</v>
      </c>
      <c r="AD31" s="271">
        <v>900</v>
      </c>
      <c r="AE31" s="271">
        <v>589.6</v>
      </c>
      <c r="AF31" s="271"/>
      <c r="AG31" s="271"/>
      <c r="AH31" s="271"/>
      <c r="AI31" s="271">
        <v>30</v>
      </c>
      <c r="AJ31" s="271">
        <v>360</v>
      </c>
      <c r="AK31" s="271">
        <v>360</v>
      </c>
      <c r="AL31" s="271"/>
      <c r="AM31" s="271"/>
      <c r="AN31" s="271"/>
      <c r="AO31" s="272">
        <f t="shared" si="2"/>
        <v>80</v>
      </c>
      <c r="AP31" s="272">
        <f t="shared" si="2"/>
        <v>1260</v>
      </c>
      <c r="AQ31" s="272">
        <f t="shared" si="3"/>
        <v>949.6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4"/>
      <c r="BM31" s="234"/>
      <c r="BN31" s="234"/>
      <c r="BO31" s="234"/>
      <c r="BP31" s="234"/>
      <c r="BQ31" s="234"/>
      <c r="BR31" s="234"/>
      <c r="BS31" s="234"/>
      <c r="BT31" s="234"/>
      <c r="BU31" s="270"/>
      <c r="BV31" s="272">
        <f t="shared" si="5"/>
        <v>80</v>
      </c>
      <c r="BW31" s="272">
        <f t="shared" si="5"/>
        <v>1260</v>
      </c>
      <c r="BX31" s="272">
        <f t="shared" si="5"/>
        <v>949.6</v>
      </c>
      <c r="BY31" s="270"/>
      <c r="BZ31" s="270"/>
      <c r="CA31" s="270"/>
      <c r="CB31" s="270"/>
      <c r="CC31" s="270"/>
      <c r="CD31" s="270"/>
      <c r="CE31" s="270"/>
      <c r="CF31" s="270"/>
      <c r="CG31" s="270"/>
      <c r="CH31" s="270"/>
      <c r="CI31" s="270"/>
      <c r="CJ31" s="270"/>
      <c r="CK31" s="270"/>
      <c r="CL31" s="270"/>
      <c r="CM31" s="270"/>
      <c r="CN31" s="270"/>
      <c r="CO31" s="270"/>
      <c r="CP31" s="270"/>
      <c r="CQ31" s="270"/>
      <c r="CR31" s="270"/>
      <c r="CS31" s="270"/>
      <c r="CT31" s="270"/>
      <c r="CU31" s="270"/>
      <c r="CV31" s="270"/>
      <c r="CW31" s="270"/>
      <c r="CX31" s="270"/>
      <c r="CY31" s="270"/>
      <c r="CZ31" s="270"/>
      <c r="DA31" s="270"/>
      <c r="DB31" s="270"/>
      <c r="DC31" s="270"/>
      <c r="DD31" s="270"/>
      <c r="DE31" s="270"/>
      <c r="DF31" s="272">
        <f t="shared" si="1"/>
        <v>80</v>
      </c>
      <c r="DG31" s="272">
        <f t="shared" si="1"/>
        <v>1260</v>
      </c>
      <c r="DH31" s="272">
        <f t="shared" si="4"/>
        <v>949.6</v>
      </c>
      <c r="DI31" s="274"/>
    </row>
    <row r="32" spans="1:113" s="275" customFormat="1" ht="24.75" customHeight="1" x14ac:dyDescent="0.6">
      <c r="A32" s="268">
        <v>28</v>
      </c>
      <c r="B32" s="269" t="s">
        <v>261</v>
      </c>
      <c r="C32" s="143" t="s">
        <v>262</v>
      </c>
      <c r="D32" s="99" t="s">
        <v>263</v>
      </c>
      <c r="E32" s="105" t="s">
        <v>264</v>
      </c>
      <c r="F32" s="234" t="s">
        <v>733</v>
      </c>
      <c r="G32" s="234" t="s">
        <v>803</v>
      </c>
      <c r="H32" s="234" t="s">
        <v>804</v>
      </c>
      <c r="I32" s="234" t="s">
        <v>805</v>
      </c>
      <c r="J32" s="270" t="s">
        <v>195</v>
      </c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2">
        <f t="shared" si="2"/>
        <v>0</v>
      </c>
      <c r="AP32" s="272">
        <f t="shared" si="2"/>
        <v>0</v>
      </c>
      <c r="AQ32" s="272">
        <f t="shared" si="3"/>
        <v>0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70"/>
      <c r="BV32" s="272">
        <f t="shared" si="5"/>
        <v>0</v>
      </c>
      <c r="BW32" s="272">
        <f t="shared" si="5"/>
        <v>0</v>
      </c>
      <c r="BX32" s="272">
        <f t="shared" si="5"/>
        <v>0</v>
      </c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0"/>
      <c r="CQ32" s="270"/>
      <c r="CR32" s="27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0"/>
      <c r="DD32" s="270"/>
      <c r="DE32" s="270"/>
      <c r="DF32" s="272">
        <f t="shared" si="1"/>
        <v>0</v>
      </c>
      <c r="DG32" s="272">
        <f t="shared" si="1"/>
        <v>0</v>
      </c>
      <c r="DH32" s="272">
        <f t="shared" si="4"/>
        <v>0</v>
      </c>
      <c r="DI32" s="274"/>
    </row>
    <row r="33" spans="1:113" s="275" customFormat="1" ht="24.75" customHeight="1" x14ac:dyDescent="0.6">
      <c r="A33" s="268">
        <v>29</v>
      </c>
      <c r="B33" s="269" t="s">
        <v>265</v>
      </c>
      <c r="C33" s="143" t="s">
        <v>266</v>
      </c>
      <c r="D33" s="99" t="s">
        <v>94</v>
      </c>
      <c r="E33" s="105" t="s">
        <v>95</v>
      </c>
      <c r="F33" s="234" t="s">
        <v>733</v>
      </c>
      <c r="G33" s="234" t="s">
        <v>564</v>
      </c>
      <c r="H33" s="234" t="s">
        <v>565</v>
      </c>
      <c r="I33" s="234" t="s">
        <v>806</v>
      </c>
      <c r="J33" s="270" t="s">
        <v>195</v>
      </c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2">
        <f t="shared" si="2"/>
        <v>0</v>
      </c>
      <c r="AP33" s="272">
        <f t="shared" si="2"/>
        <v>0</v>
      </c>
      <c r="AQ33" s="272">
        <f t="shared" si="3"/>
        <v>0</v>
      </c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4"/>
      <c r="BM33" s="234"/>
      <c r="BN33" s="234"/>
      <c r="BO33" s="234"/>
      <c r="BP33" s="234"/>
      <c r="BQ33" s="234"/>
      <c r="BR33" s="234"/>
      <c r="BS33" s="234"/>
      <c r="BT33" s="234"/>
      <c r="BU33" s="270"/>
      <c r="BV33" s="272">
        <f t="shared" si="5"/>
        <v>0</v>
      </c>
      <c r="BW33" s="272">
        <f t="shared" si="5"/>
        <v>0</v>
      </c>
      <c r="BX33" s="272">
        <f t="shared" si="5"/>
        <v>0</v>
      </c>
      <c r="BY33" s="270"/>
      <c r="BZ33" s="270"/>
      <c r="CA33" s="270"/>
      <c r="CB33" s="270"/>
      <c r="CC33" s="270"/>
      <c r="CD33" s="270"/>
      <c r="CE33" s="270"/>
      <c r="CF33" s="270"/>
      <c r="CG33" s="270"/>
      <c r="CH33" s="270"/>
      <c r="CI33" s="270"/>
      <c r="CJ33" s="270"/>
      <c r="CK33" s="270"/>
      <c r="CL33" s="270"/>
      <c r="CM33" s="270"/>
      <c r="CN33" s="270"/>
      <c r="CO33" s="270"/>
      <c r="CP33" s="270"/>
      <c r="CQ33" s="270"/>
      <c r="CR33" s="270"/>
      <c r="CS33" s="270"/>
      <c r="CT33" s="270"/>
      <c r="CU33" s="270"/>
      <c r="CV33" s="270"/>
      <c r="CW33" s="270"/>
      <c r="CX33" s="270"/>
      <c r="CY33" s="270"/>
      <c r="CZ33" s="270"/>
      <c r="DA33" s="270"/>
      <c r="DB33" s="270"/>
      <c r="DC33" s="270"/>
      <c r="DD33" s="270"/>
      <c r="DE33" s="270"/>
      <c r="DF33" s="272">
        <f t="shared" si="1"/>
        <v>0</v>
      </c>
      <c r="DG33" s="272">
        <f t="shared" si="1"/>
        <v>0</v>
      </c>
      <c r="DH33" s="272">
        <f t="shared" si="4"/>
        <v>0</v>
      </c>
      <c r="DI33" s="274"/>
    </row>
    <row r="34" spans="1:113" s="275" customFormat="1" ht="24.75" customHeight="1" x14ac:dyDescent="0.6">
      <c r="A34" s="268">
        <v>30</v>
      </c>
      <c r="B34" s="269" t="s">
        <v>257</v>
      </c>
      <c r="C34" s="99" t="s">
        <v>267</v>
      </c>
      <c r="D34" s="100" t="s">
        <v>268</v>
      </c>
      <c r="E34" s="100" t="s">
        <v>269</v>
      </c>
      <c r="F34" s="234" t="s">
        <v>733</v>
      </c>
      <c r="G34" s="234" t="s">
        <v>807</v>
      </c>
      <c r="H34" s="234" t="s">
        <v>808</v>
      </c>
      <c r="I34" s="234" t="s">
        <v>809</v>
      </c>
      <c r="J34" s="270" t="s">
        <v>195</v>
      </c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  <c r="AB34" s="271"/>
      <c r="AC34" s="271">
        <v>15</v>
      </c>
      <c r="AD34" s="271">
        <v>180</v>
      </c>
      <c r="AE34" s="271">
        <v>180</v>
      </c>
      <c r="AF34" s="271"/>
      <c r="AG34" s="271"/>
      <c r="AH34" s="271"/>
      <c r="AI34" s="271"/>
      <c r="AJ34" s="271"/>
      <c r="AK34" s="271"/>
      <c r="AL34" s="271"/>
      <c r="AM34" s="271"/>
      <c r="AN34" s="271"/>
      <c r="AO34" s="272">
        <f t="shared" si="2"/>
        <v>15</v>
      </c>
      <c r="AP34" s="272">
        <f t="shared" si="2"/>
        <v>180</v>
      </c>
      <c r="AQ34" s="272">
        <f t="shared" si="3"/>
        <v>180</v>
      </c>
      <c r="AR34" s="234">
        <v>15</v>
      </c>
      <c r="AS34" s="234">
        <v>600</v>
      </c>
      <c r="AT34" s="234">
        <v>210</v>
      </c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  <c r="BE34" s="234"/>
      <c r="BF34" s="234"/>
      <c r="BG34" s="234">
        <v>15</v>
      </c>
      <c r="BH34" s="234">
        <v>180</v>
      </c>
      <c r="BI34" s="234">
        <v>180</v>
      </c>
      <c r="BJ34" s="234"/>
      <c r="BK34" s="234"/>
      <c r="BL34" s="234"/>
      <c r="BM34" s="234"/>
      <c r="BN34" s="234"/>
      <c r="BO34" s="234"/>
      <c r="BP34" s="234"/>
      <c r="BQ34" s="234"/>
      <c r="BR34" s="234"/>
      <c r="BS34" s="234"/>
      <c r="BT34" s="234"/>
      <c r="BU34" s="270"/>
      <c r="BV34" s="272">
        <f t="shared" si="5"/>
        <v>45</v>
      </c>
      <c r="BW34" s="272">
        <f t="shared" si="5"/>
        <v>960</v>
      </c>
      <c r="BX34" s="272">
        <f t="shared" si="5"/>
        <v>570</v>
      </c>
      <c r="BY34" s="270"/>
      <c r="BZ34" s="270"/>
      <c r="CA34" s="270"/>
      <c r="CB34" s="270"/>
      <c r="CC34" s="270"/>
      <c r="CD34" s="270"/>
      <c r="CE34" s="270"/>
      <c r="CF34" s="270"/>
      <c r="CG34" s="270"/>
      <c r="CH34" s="270"/>
      <c r="CI34" s="270"/>
      <c r="CJ34" s="270"/>
      <c r="CK34" s="270"/>
      <c r="CL34" s="270"/>
      <c r="CM34" s="270"/>
      <c r="CN34" s="270"/>
      <c r="CO34" s="270"/>
      <c r="CP34" s="270"/>
      <c r="CQ34" s="270"/>
      <c r="CR34" s="270"/>
      <c r="CS34" s="270"/>
      <c r="CT34" s="270"/>
      <c r="CU34" s="270"/>
      <c r="CV34" s="270"/>
      <c r="CW34" s="270"/>
      <c r="CX34" s="270"/>
      <c r="CY34" s="270"/>
      <c r="CZ34" s="270"/>
      <c r="DA34" s="270"/>
      <c r="DB34" s="270"/>
      <c r="DC34" s="270"/>
      <c r="DD34" s="270"/>
      <c r="DE34" s="270"/>
      <c r="DF34" s="272">
        <f t="shared" si="1"/>
        <v>45</v>
      </c>
      <c r="DG34" s="272">
        <f t="shared" si="1"/>
        <v>960</v>
      </c>
      <c r="DH34" s="272">
        <f t="shared" si="4"/>
        <v>570</v>
      </c>
      <c r="DI34" s="274"/>
    </row>
    <row r="35" spans="1:113" s="275" customFormat="1" ht="24.75" customHeight="1" x14ac:dyDescent="0.6">
      <c r="A35" s="268">
        <v>31</v>
      </c>
      <c r="B35" s="269" t="s">
        <v>270</v>
      </c>
      <c r="C35" s="143" t="s">
        <v>271</v>
      </c>
      <c r="D35" s="105" t="s">
        <v>272</v>
      </c>
      <c r="E35" s="105" t="s">
        <v>273</v>
      </c>
      <c r="F35" s="234" t="s">
        <v>733</v>
      </c>
      <c r="G35" s="234" t="s">
        <v>810</v>
      </c>
      <c r="H35" s="234" t="s">
        <v>811</v>
      </c>
      <c r="I35" s="234" t="s">
        <v>812</v>
      </c>
      <c r="J35" s="270" t="s">
        <v>195</v>
      </c>
      <c r="K35" s="271"/>
      <c r="L35" s="271"/>
      <c r="M35" s="271"/>
      <c r="N35" s="271"/>
      <c r="O35" s="271"/>
      <c r="P35" s="271"/>
      <c r="Q35" s="271">
        <v>50</v>
      </c>
      <c r="R35" s="271">
        <v>600</v>
      </c>
      <c r="S35" s="271">
        <v>600</v>
      </c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2">
        <f t="shared" si="2"/>
        <v>50</v>
      </c>
      <c r="AP35" s="272">
        <f t="shared" si="2"/>
        <v>600</v>
      </c>
      <c r="AQ35" s="272">
        <f t="shared" si="3"/>
        <v>600</v>
      </c>
      <c r="AR35" s="234">
        <v>70</v>
      </c>
      <c r="AS35" s="234">
        <v>880</v>
      </c>
      <c r="AT35" s="234">
        <v>779.2</v>
      </c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>
        <v>50</v>
      </c>
      <c r="BN35" s="234">
        <v>640</v>
      </c>
      <c r="BO35" s="234">
        <v>539.20000000000005</v>
      </c>
      <c r="BP35" s="234"/>
      <c r="BQ35" s="234"/>
      <c r="BR35" s="234"/>
      <c r="BS35" s="234"/>
      <c r="BT35" s="234"/>
      <c r="BU35" s="270"/>
      <c r="BV35" s="272">
        <f t="shared" si="5"/>
        <v>170</v>
      </c>
      <c r="BW35" s="272">
        <f t="shared" si="5"/>
        <v>2120</v>
      </c>
      <c r="BX35" s="272">
        <f t="shared" si="5"/>
        <v>1918.4</v>
      </c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0"/>
      <c r="CQ35" s="270"/>
      <c r="CR35" s="270"/>
      <c r="CS35" s="270"/>
      <c r="CT35" s="270"/>
      <c r="CU35" s="270"/>
      <c r="CV35" s="270"/>
      <c r="CW35" s="270"/>
      <c r="CX35" s="270"/>
      <c r="CY35" s="270"/>
      <c r="CZ35" s="270"/>
      <c r="DA35" s="270"/>
      <c r="DB35" s="270"/>
      <c r="DC35" s="270"/>
      <c r="DD35" s="270"/>
      <c r="DE35" s="270"/>
      <c r="DF35" s="272">
        <f t="shared" si="1"/>
        <v>170</v>
      </c>
      <c r="DG35" s="272">
        <f t="shared" si="1"/>
        <v>2120</v>
      </c>
      <c r="DH35" s="272">
        <f t="shared" si="4"/>
        <v>1918.4</v>
      </c>
      <c r="DI35" s="274"/>
    </row>
    <row r="36" spans="1:113" s="275" customFormat="1" ht="24.75" customHeight="1" x14ac:dyDescent="0.6">
      <c r="A36" s="268">
        <v>32</v>
      </c>
      <c r="B36" s="269" t="s">
        <v>274</v>
      </c>
      <c r="C36" s="143" t="s">
        <v>274</v>
      </c>
      <c r="D36" s="105" t="s">
        <v>272</v>
      </c>
      <c r="E36" s="105" t="s">
        <v>273</v>
      </c>
      <c r="F36" s="234" t="s">
        <v>733</v>
      </c>
      <c r="G36" s="234"/>
      <c r="H36" s="234"/>
      <c r="I36" s="234" t="s">
        <v>813</v>
      </c>
      <c r="J36" s="270" t="s">
        <v>195</v>
      </c>
      <c r="K36" s="271"/>
      <c r="L36" s="271"/>
      <c r="M36" s="271"/>
      <c r="N36" s="271"/>
      <c r="O36" s="271"/>
      <c r="P36" s="271"/>
      <c r="Q36" s="271"/>
      <c r="R36" s="271"/>
      <c r="S36" s="271"/>
      <c r="T36" s="271">
        <v>190</v>
      </c>
      <c r="U36" s="271">
        <v>2520</v>
      </c>
      <c r="V36" s="271">
        <v>1843.2</v>
      </c>
      <c r="W36" s="271"/>
      <c r="X36" s="271"/>
      <c r="Y36" s="271"/>
      <c r="Z36" s="271">
        <v>250</v>
      </c>
      <c r="AA36" s="271">
        <v>3300</v>
      </c>
      <c r="AB36" s="271">
        <v>2544</v>
      </c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2">
        <f t="shared" si="2"/>
        <v>440</v>
      </c>
      <c r="AP36" s="272">
        <f t="shared" si="2"/>
        <v>5820</v>
      </c>
      <c r="AQ36" s="272">
        <f t="shared" si="3"/>
        <v>4387.2</v>
      </c>
      <c r="AR36" s="234"/>
      <c r="AS36" s="234"/>
      <c r="AT36" s="234"/>
      <c r="AU36" s="234">
        <v>250</v>
      </c>
      <c r="AV36" s="234">
        <v>3300</v>
      </c>
      <c r="AW36" s="234">
        <v>2544</v>
      </c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/>
      <c r="BQ36" s="234"/>
      <c r="BR36" s="234"/>
      <c r="BS36" s="234"/>
      <c r="BT36" s="234"/>
      <c r="BU36" s="270"/>
      <c r="BV36" s="272">
        <f t="shared" si="5"/>
        <v>690</v>
      </c>
      <c r="BW36" s="272">
        <f t="shared" si="5"/>
        <v>9120</v>
      </c>
      <c r="BX36" s="272">
        <f t="shared" si="5"/>
        <v>6931.2</v>
      </c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  <c r="DB36" s="270"/>
      <c r="DC36" s="270"/>
      <c r="DD36" s="270"/>
      <c r="DE36" s="270"/>
      <c r="DF36" s="272">
        <f t="shared" si="1"/>
        <v>690</v>
      </c>
      <c r="DG36" s="272">
        <f t="shared" si="1"/>
        <v>9120</v>
      </c>
      <c r="DH36" s="272">
        <f t="shared" si="4"/>
        <v>6931.2</v>
      </c>
      <c r="DI36" s="274"/>
    </row>
    <row r="37" spans="1:113" s="275" customFormat="1" ht="24.75" customHeight="1" x14ac:dyDescent="0.6">
      <c r="A37" s="268">
        <v>33</v>
      </c>
      <c r="B37" s="269" t="s">
        <v>275</v>
      </c>
      <c r="C37" s="143" t="s">
        <v>276</v>
      </c>
      <c r="D37" s="105" t="s">
        <v>277</v>
      </c>
      <c r="E37" s="105"/>
      <c r="F37" s="234" t="s">
        <v>733</v>
      </c>
      <c r="G37" s="234"/>
      <c r="H37" s="234"/>
      <c r="I37" s="234" t="s">
        <v>814</v>
      </c>
      <c r="J37" s="270" t="s">
        <v>195</v>
      </c>
      <c r="K37" s="271"/>
      <c r="L37" s="271"/>
      <c r="M37" s="271"/>
      <c r="N37" s="271"/>
      <c r="O37" s="271"/>
      <c r="P37" s="271"/>
      <c r="Q37" s="271"/>
      <c r="R37" s="271"/>
      <c r="S37" s="271"/>
      <c r="T37" s="271">
        <v>100</v>
      </c>
      <c r="U37" s="271">
        <v>1200</v>
      </c>
      <c r="V37" s="271">
        <v>1200</v>
      </c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>
        <v>100</v>
      </c>
      <c r="AJ37" s="271">
        <v>1200</v>
      </c>
      <c r="AK37" s="271">
        <v>1020</v>
      </c>
      <c r="AL37" s="271"/>
      <c r="AM37" s="271"/>
      <c r="AN37" s="271"/>
      <c r="AO37" s="272">
        <f t="shared" si="2"/>
        <v>200</v>
      </c>
      <c r="AP37" s="272">
        <f t="shared" si="2"/>
        <v>2400</v>
      </c>
      <c r="AQ37" s="272">
        <f t="shared" si="3"/>
        <v>2220</v>
      </c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/>
      <c r="BJ37" s="234"/>
      <c r="BK37" s="234"/>
      <c r="BL37" s="234"/>
      <c r="BM37" s="234"/>
      <c r="BN37" s="234"/>
      <c r="BO37" s="234"/>
      <c r="BP37" s="234"/>
      <c r="BQ37" s="234"/>
      <c r="BR37" s="234"/>
      <c r="BS37" s="234"/>
      <c r="BT37" s="234"/>
      <c r="BU37" s="270"/>
      <c r="BV37" s="272">
        <f t="shared" si="5"/>
        <v>200</v>
      </c>
      <c r="BW37" s="272">
        <f t="shared" si="5"/>
        <v>2400</v>
      </c>
      <c r="BX37" s="272">
        <f t="shared" si="5"/>
        <v>2220</v>
      </c>
      <c r="BY37" s="270"/>
      <c r="BZ37" s="270"/>
      <c r="CA37" s="270"/>
      <c r="CB37" s="270"/>
      <c r="CC37" s="270"/>
      <c r="CD37" s="270"/>
      <c r="CE37" s="270"/>
      <c r="CF37" s="270"/>
      <c r="CG37" s="270"/>
      <c r="CH37" s="270"/>
      <c r="CI37" s="270"/>
      <c r="CJ37" s="270"/>
      <c r="CK37" s="270"/>
      <c r="CL37" s="270"/>
      <c r="CM37" s="270"/>
      <c r="CN37" s="270"/>
      <c r="CO37" s="270"/>
      <c r="CP37" s="270"/>
      <c r="CQ37" s="270"/>
      <c r="CR37" s="270"/>
      <c r="CS37" s="270"/>
      <c r="CT37" s="270"/>
      <c r="CU37" s="270"/>
      <c r="CV37" s="270"/>
      <c r="CW37" s="270"/>
      <c r="CX37" s="270"/>
      <c r="CY37" s="270"/>
      <c r="CZ37" s="270"/>
      <c r="DA37" s="270"/>
      <c r="DB37" s="270"/>
      <c r="DC37" s="270"/>
      <c r="DD37" s="270"/>
      <c r="DE37" s="270"/>
      <c r="DF37" s="272">
        <f t="shared" si="1"/>
        <v>200</v>
      </c>
      <c r="DG37" s="272">
        <f t="shared" si="1"/>
        <v>2400</v>
      </c>
      <c r="DH37" s="272">
        <f t="shared" si="4"/>
        <v>2220</v>
      </c>
      <c r="DI37" s="274"/>
    </row>
    <row r="38" spans="1:113" s="275" customFormat="1" ht="24.75" customHeight="1" x14ac:dyDescent="0.6">
      <c r="A38" s="268">
        <v>34</v>
      </c>
      <c r="B38" s="269" t="s">
        <v>278</v>
      </c>
      <c r="C38" s="143" t="s">
        <v>279</v>
      </c>
      <c r="D38" s="105" t="s">
        <v>272</v>
      </c>
      <c r="E38" s="105" t="s">
        <v>273</v>
      </c>
      <c r="F38" s="234" t="s">
        <v>733</v>
      </c>
      <c r="G38" s="234" t="s">
        <v>815</v>
      </c>
      <c r="H38" s="234"/>
      <c r="I38" s="234" t="s">
        <v>816</v>
      </c>
      <c r="J38" s="270" t="s">
        <v>195</v>
      </c>
      <c r="K38" s="271"/>
      <c r="L38" s="271"/>
      <c r="M38" s="271"/>
      <c r="N38" s="271"/>
      <c r="O38" s="271"/>
      <c r="P38" s="271"/>
      <c r="Q38" s="271">
        <v>185</v>
      </c>
      <c r="R38" s="271">
        <v>2560</v>
      </c>
      <c r="S38" s="271">
        <v>1926</v>
      </c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2">
        <f t="shared" si="2"/>
        <v>185</v>
      </c>
      <c r="AP38" s="272">
        <f t="shared" si="2"/>
        <v>2560</v>
      </c>
      <c r="AQ38" s="272">
        <f t="shared" si="3"/>
        <v>1926</v>
      </c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  <c r="BE38" s="234"/>
      <c r="BF38" s="234"/>
      <c r="BG38" s="234"/>
      <c r="BH38" s="234"/>
      <c r="BI38" s="234"/>
      <c r="BJ38" s="234"/>
      <c r="BK38" s="234"/>
      <c r="BL38" s="234"/>
      <c r="BM38" s="234">
        <v>80</v>
      </c>
      <c r="BN38" s="234">
        <v>960</v>
      </c>
      <c r="BO38" s="234">
        <v>960</v>
      </c>
      <c r="BP38" s="234"/>
      <c r="BQ38" s="234"/>
      <c r="BR38" s="234"/>
      <c r="BS38" s="234"/>
      <c r="BT38" s="234"/>
      <c r="BU38" s="270"/>
      <c r="BV38" s="272">
        <f t="shared" si="5"/>
        <v>265</v>
      </c>
      <c r="BW38" s="272">
        <f t="shared" si="5"/>
        <v>3520</v>
      </c>
      <c r="BX38" s="272">
        <f t="shared" si="5"/>
        <v>2886</v>
      </c>
      <c r="BY38" s="270"/>
      <c r="BZ38" s="270"/>
      <c r="CA38" s="270"/>
      <c r="CB38" s="270"/>
      <c r="CC38" s="270"/>
      <c r="CD38" s="270"/>
      <c r="CE38" s="270"/>
      <c r="CF38" s="270"/>
      <c r="CG38" s="270"/>
      <c r="CH38" s="270"/>
      <c r="CI38" s="270"/>
      <c r="CJ38" s="270"/>
      <c r="CK38" s="270"/>
      <c r="CL38" s="270"/>
      <c r="CM38" s="270"/>
      <c r="CN38" s="270"/>
      <c r="CO38" s="270"/>
      <c r="CP38" s="270"/>
      <c r="CQ38" s="270"/>
      <c r="CR38" s="270"/>
      <c r="CS38" s="270"/>
      <c r="CT38" s="270"/>
      <c r="CU38" s="270"/>
      <c r="CV38" s="270"/>
      <c r="CW38" s="270"/>
      <c r="CX38" s="270"/>
      <c r="CY38" s="270"/>
      <c r="CZ38" s="270"/>
      <c r="DA38" s="270"/>
      <c r="DB38" s="270"/>
      <c r="DC38" s="270"/>
      <c r="DD38" s="270"/>
      <c r="DE38" s="270"/>
      <c r="DF38" s="272">
        <f t="shared" si="1"/>
        <v>265</v>
      </c>
      <c r="DG38" s="272">
        <f t="shared" si="1"/>
        <v>3520</v>
      </c>
      <c r="DH38" s="272">
        <f t="shared" si="4"/>
        <v>2886</v>
      </c>
      <c r="DI38" s="274"/>
    </row>
    <row r="39" spans="1:113" s="275" customFormat="1" ht="24.75" customHeight="1" x14ac:dyDescent="0.6">
      <c r="A39" s="268">
        <v>35</v>
      </c>
      <c r="B39" s="269" t="s">
        <v>280</v>
      </c>
      <c r="C39" s="143" t="s">
        <v>281</v>
      </c>
      <c r="D39" s="105" t="s">
        <v>272</v>
      </c>
      <c r="E39" s="105" t="s">
        <v>273</v>
      </c>
      <c r="F39" s="234" t="s">
        <v>733</v>
      </c>
      <c r="G39" s="234" t="s">
        <v>817</v>
      </c>
      <c r="H39" s="234"/>
      <c r="I39" s="234" t="s">
        <v>818</v>
      </c>
      <c r="J39" s="270" t="s">
        <v>195</v>
      </c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>
        <v>160</v>
      </c>
      <c r="X39" s="271">
        <v>2220</v>
      </c>
      <c r="Y39" s="271">
        <v>1464</v>
      </c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2">
        <f t="shared" si="2"/>
        <v>160</v>
      </c>
      <c r="AP39" s="272">
        <f t="shared" si="2"/>
        <v>2220</v>
      </c>
      <c r="AQ39" s="272">
        <f t="shared" si="3"/>
        <v>1464</v>
      </c>
      <c r="AR39" s="234">
        <v>80</v>
      </c>
      <c r="AS39" s="234">
        <v>1060</v>
      </c>
      <c r="AT39" s="234">
        <v>808</v>
      </c>
      <c r="AU39" s="234"/>
      <c r="AV39" s="234"/>
      <c r="AW39" s="234"/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  <c r="BP39" s="234"/>
      <c r="BQ39" s="234"/>
      <c r="BR39" s="234"/>
      <c r="BS39" s="234"/>
      <c r="BT39" s="234"/>
      <c r="BU39" s="270"/>
      <c r="BV39" s="272">
        <f t="shared" si="5"/>
        <v>240</v>
      </c>
      <c r="BW39" s="272">
        <f t="shared" si="5"/>
        <v>3280</v>
      </c>
      <c r="BX39" s="272">
        <f t="shared" si="5"/>
        <v>2272</v>
      </c>
      <c r="BY39" s="270"/>
      <c r="BZ39" s="270"/>
      <c r="CA39" s="270"/>
      <c r="CB39" s="270"/>
      <c r="CC39" s="270"/>
      <c r="CD39" s="270"/>
      <c r="CE39" s="270"/>
      <c r="CF39" s="270"/>
      <c r="CG39" s="270"/>
      <c r="CH39" s="270"/>
      <c r="CI39" s="270"/>
      <c r="CJ39" s="270"/>
      <c r="CK39" s="270"/>
      <c r="CL39" s="270"/>
      <c r="CM39" s="270"/>
      <c r="CN39" s="270"/>
      <c r="CO39" s="270"/>
      <c r="CP39" s="270"/>
      <c r="CQ39" s="270"/>
      <c r="CR39" s="270"/>
      <c r="CS39" s="270"/>
      <c r="CT39" s="270"/>
      <c r="CU39" s="270"/>
      <c r="CV39" s="270"/>
      <c r="CW39" s="270"/>
      <c r="CX39" s="270"/>
      <c r="CY39" s="270"/>
      <c r="CZ39" s="270"/>
      <c r="DA39" s="270"/>
      <c r="DB39" s="270"/>
      <c r="DC39" s="270"/>
      <c r="DD39" s="270"/>
      <c r="DE39" s="270"/>
      <c r="DF39" s="272">
        <f t="shared" si="1"/>
        <v>240</v>
      </c>
      <c r="DG39" s="272">
        <f t="shared" si="1"/>
        <v>3280</v>
      </c>
      <c r="DH39" s="272">
        <f t="shared" si="4"/>
        <v>2272</v>
      </c>
      <c r="DI39" s="274"/>
    </row>
    <row r="40" spans="1:113" s="275" customFormat="1" ht="24.75" customHeight="1" x14ac:dyDescent="0.6">
      <c r="A40" s="268">
        <v>36</v>
      </c>
      <c r="B40" s="269" t="s">
        <v>282</v>
      </c>
      <c r="C40" s="143" t="s">
        <v>283</v>
      </c>
      <c r="D40" s="105" t="s">
        <v>284</v>
      </c>
      <c r="E40" s="105" t="s">
        <v>285</v>
      </c>
      <c r="F40" s="234" t="s">
        <v>733</v>
      </c>
      <c r="G40" s="234" t="s">
        <v>819</v>
      </c>
      <c r="H40" s="234"/>
      <c r="I40" s="234" t="s">
        <v>820</v>
      </c>
      <c r="J40" s="270" t="s">
        <v>195</v>
      </c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2">
        <f t="shared" si="2"/>
        <v>0</v>
      </c>
      <c r="AP40" s="272">
        <f t="shared" si="2"/>
        <v>0</v>
      </c>
      <c r="AQ40" s="272">
        <f t="shared" si="3"/>
        <v>0</v>
      </c>
      <c r="AR40" s="234"/>
      <c r="AS40" s="234"/>
      <c r="AT40" s="234"/>
      <c r="AU40" s="234">
        <v>100</v>
      </c>
      <c r="AV40" s="234">
        <v>1620</v>
      </c>
      <c r="AW40" s="234">
        <v>1206</v>
      </c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  <c r="BI40" s="234"/>
      <c r="BJ40" s="234"/>
      <c r="BK40" s="234"/>
      <c r="BL40" s="234"/>
      <c r="BM40" s="234"/>
      <c r="BN40" s="234"/>
      <c r="BO40" s="234"/>
      <c r="BP40" s="234"/>
      <c r="BQ40" s="234"/>
      <c r="BR40" s="234"/>
      <c r="BS40" s="234"/>
      <c r="BT40" s="234"/>
      <c r="BU40" s="270"/>
      <c r="BV40" s="272">
        <f t="shared" si="5"/>
        <v>100</v>
      </c>
      <c r="BW40" s="272">
        <f t="shared" si="5"/>
        <v>1620</v>
      </c>
      <c r="BX40" s="272">
        <f t="shared" si="5"/>
        <v>1206</v>
      </c>
      <c r="BY40" s="270"/>
      <c r="BZ40" s="270"/>
      <c r="CA40" s="270"/>
      <c r="CB40" s="270"/>
      <c r="CC40" s="270"/>
      <c r="CD40" s="270"/>
      <c r="CE40" s="270"/>
      <c r="CF40" s="270"/>
      <c r="CG40" s="270"/>
      <c r="CH40" s="270"/>
      <c r="CI40" s="270"/>
      <c r="CJ40" s="270"/>
      <c r="CK40" s="270"/>
      <c r="CL40" s="270"/>
      <c r="CM40" s="270"/>
      <c r="CN40" s="270"/>
      <c r="CO40" s="270"/>
      <c r="CP40" s="270"/>
      <c r="CQ40" s="270"/>
      <c r="CR40" s="270"/>
      <c r="CS40" s="270"/>
      <c r="CT40" s="270"/>
      <c r="CU40" s="270"/>
      <c r="CV40" s="270"/>
      <c r="CW40" s="270"/>
      <c r="CX40" s="270"/>
      <c r="CY40" s="270"/>
      <c r="CZ40" s="270"/>
      <c r="DA40" s="270"/>
      <c r="DB40" s="270"/>
      <c r="DC40" s="270"/>
      <c r="DD40" s="270"/>
      <c r="DE40" s="270"/>
      <c r="DF40" s="272">
        <f t="shared" si="1"/>
        <v>100</v>
      </c>
      <c r="DG40" s="272">
        <f t="shared" si="1"/>
        <v>1620</v>
      </c>
      <c r="DH40" s="272">
        <f t="shared" si="4"/>
        <v>1206</v>
      </c>
      <c r="DI40" s="274"/>
    </row>
    <row r="41" spans="1:113" s="275" customFormat="1" ht="20.100000000000001" customHeight="1" thickBot="1" x14ac:dyDescent="0.65">
      <c r="A41" s="282"/>
      <c r="B41" s="283"/>
      <c r="C41" s="283"/>
      <c r="D41" s="284"/>
      <c r="E41" s="283"/>
      <c r="F41" s="283"/>
      <c r="G41" s="283"/>
      <c r="H41" s="283"/>
      <c r="I41" s="283"/>
      <c r="J41" s="285"/>
      <c r="K41" s="286"/>
      <c r="L41" s="283"/>
      <c r="M41" s="283"/>
      <c r="N41" s="283"/>
      <c r="O41" s="283"/>
      <c r="P41" s="283"/>
      <c r="Q41" s="283"/>
      <c r="R41" s="283"/>
      <c r="S41" s="271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283"/>
      <c r="BL41" s="283"/>
      <c r="BM41" s="283"/>
      <c r="BN41" s="283"/>
      <c r="BO41" s="283"/>
      <c r="BP41" s="283"/>
      <c r="BQ41" s="283"/>
      <c r="BR41" s="283"/>
      <c r="BS41" s="283"/>
      <c r="BT41" s="283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85"/>
      <c r="CI41" s="285"/>
      <c r="CJ41" s="285"/>
      <c r="CK41" s="285"/>
      <c r="CL41" s="285"/>
      <c r="CM41" s="285"/>
      <c r="CN41" s="285"/>
      <c r="CO41" s="285"/>
      <c r="CP41" s="285"/>
      <c r="CQ41" s="285"/>
      <c r="CR41" s="285"/>
      <c r="CS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</row>
    <row r="42" spans="1:113" s="275" customFormat="1" ht="20.100000000000001" customHeight="1" thickBot="1" x14ac:dyDescent="0.65">
      <c r="A42" s="287"/>
      <c r="B42" s="288"/>
      <c r="C42" s="289"/>
      <c r="D42" s="290"/>
      <c r="E42" s="289"/>
      <c r="F42" s="289"/>
      <c r="G42" s="291"/>
      <c r="H42" s="291"/>
      <c r="I42" s="289"/>
      <c r="J42" s="292"/>
      <c r="K42" s="293">
        <f t="shared" ref="K42:AN42" si="6">SUM(K6:K41)</f>
        <v>0</v>
      </c>
      <c r="L42" s="293">
        <f t="shared" si="6"/>
        <v>0</v>
      </c>
      <c r="M42" s="293">
        <f t="shared" si="6"/>
        <v>0</v>
      </c>
      <c r="N42" s="293">
        <f t="shared" si="6"/>
        <v>0</v>
      </c>
      <c r="O42" s="293">
        <f t="shared" si="6"/>
        <v>0</v>
      </c>
      <c r="P42" s="293">
        <f t="shared" si="6"/>
        <v>0</v>
      </c>
      <c r="Q42" s="293">
        <f t="shared" si="6"/>
        <v>492</v>
      </c>
      <c r="R42" s="293">
        <f t="shared" si="6"/>
        <v>6848</v>
      </c>
      <c r="S42" s="293">
        <f t="shared" si="6"/>
        <v>5583.12</v>
      </c>
      <c r="T42" s="293">
        <f t="shared" si="6"/>
        <v>324</v>
      </c>
      <c r="U42" s="293">
        <f t="shared" si="6"/>
        <v>4474</v>
      </c>
      <c r="V42" s="293">
        <f t="shared" si="6"/>
        <v>3452.8</v>
      </c>
      <c r="W42" s="293">
        <f t="shared" si="6"/>
        <v>1042</v>
      </c>
      <c r="X42" s="293">
        <f t="shared" si="6"/>
        <v>13278</v>
      </c>
      <c r="Y42" s="293">
        <f t="shared" si="6"/>
        <v>11327.52</v>
      </c>
      <c r="Z42" s="293">
        <f t="shared" si="6"/>
        <v>420</v>
      </c>
      <c r="AA42" s="293">
        <f t="shared" si="6"/>
        <v>5360</v>
      </c>
      <c r="AB42" s="293">
        <f t="shared" si="6"/>
        <v>4553.6000000000004</v>
      </c>
      <c r="AC42" s="293">
        <f t="shared" si="6"/>
        <v>356</v>
      </c>
      <c r="AD42" s="293">
        <f t="shared" si="6"/>
        <v>5132</v>
      </c>
      <c r="AE42" s="293">
        <f t="shared" si="6"/>
        <v>4301.6000000000004</v>
      </c>
      <c r="AF42" s="293">
        <f t="shared" si="6"/>
        <v>0</v>
      </c>
      <c r="AG42" s="293">
        <f t="shared" si="6"/>
        <v>0</v>
      </c>
      <c r="AH42" s="293">
        <f t="shared" si="6"/>
        <v>0</v>
      </c>
      <c r="AI42" s="293">
        <f t="shared" si="6"/>
        <v>962</v>
      </c>
      <c r="AJ42" s="293">
        <f t="shared" si="6"/>
        <v>11990</v>
      </c>
      <c r="AK42" s="293">
        <f t="shared" si="6"/>
        <v>10740</v>
      </c>
      <c r="AL42" s="293">
        <f t="shared" si="6"/>
        <v>123</v>
      </c>
      <c r="AM42" s="293">
        <f t="shared" si="6"/>
        <v>1620</v>
      </c>
      <c r="AN42" s="293">
        <f t="shared" si="6"/>
        <v>1390.8000000000002</v>
      </c>
      <c r="AO42" s="293">
        <f t="shared" ref="AO42:CZ42" si="7">SUM(AO4:AO41)</f>
        <v>3738</v>
      </c>
      <c r="AP42" s="293">
        <f t="shared" si="7"/>
        <v>48960</v>
      </c>
      <c r="AQ42" s="293">
        <f t="shared" si="7"/>
        <v>41531.839999999997</v>
      </c>
      <c r="AR42" s="293">
        <f t="shared" si="7"/>
        <v>450</v>
      </c>
      <c r="AS42" s="293">
        <f t="shared" si="7"/>
        <v>6230</v>
      </c>
      <c r="AT42" s="293">
        <f t="shared" si="7"/>
        <v>4782.8</v>
      </c>
      <c r="AU42" s="293">
        <f t="shared" si="7"/>
        <v>647</v>
      </c>
      <c r="AV42" s="293">
        <f t="shared" si="7"/>
        <v>8908</v>
      </c>
      <c r="AW42" s="293">
        <f t="shared" si="7"/>
        <v>7115.12</v>
      </c>
      <c r="AX42" s="293">
        <f t="shared" si="7"/>
        <v>299</v>
      </c>
      <c r="AY42" s="293">
        <f t="shared" si="7"/>
        <v>4166</v>
      </c>
      <c r="AZ42" s="293">
        <f t="shared" si="7"/>
        <v>3326.0800000000004</v>
      </c>
      <c r="BA42" s="293">
        <f t="shared" si="7"/>
        <v>373</v>
      </c>
      <c r="BB42" s="293">
        <f t="shared" si="7"/>
        <v>4974</v>
      </c>
      <c r="BC42" s="293">
        <f t="shared" si="7"/>
        <v>4260.3999999999996</v>
      </c>
      <c r="BD42" s="293">
        <f t="shared" si="7"/>
        <v>0</v>
      </c>
      <c r="BE42" s="293">
        <f t="shared" si="7"/>
        <v>0</v>
      </c>
      <c r="BF42" s="293">
        <f t="shared" si="7"/>
        <v>0</v>
      </c>
      <c r="BG42" s="293">
        <f t="shared" si="7"/>
        <v>420</v>
      </c>
      <c r="BH42" s="293">
        <f t="shared" si="7"/>
        <v>5580</v>
      </c>
      <c r="BI42" s="293">
        <f t="shared" si="7"/>
        <v>4887.6000000000004</v>
      </c>
      <c r="BJ42" s="293">
        <f t="shared" si="7"/>
        <v>399</v>
      </c>
      <c r="BK42" s="293">
        <f t="shared" si="7"/>
        <v>4912</v>
      </c>
      <c r="BL42" s="293">
        <f t="shared" si="7"/>
        <v>4645.6000000000004</v>
      </c>
      <c r="BM42" s="293">
        <f t="shared" si="7"/>
        <v>405</v>
      </c>
      <c r="BN42" s="293">
        <f t="shared" si="7"/>
        <v>4920</v>
      </c>
      <c r="BO42" s="293">
        <f t="shared" si="7"/>
        <v>4768.8</v>
      </c>
      <c r="BP42" s="293">
        <f t="shared" si="7"/>
        <v>55</v>
      </c>
      <c r="BQ42" s="293">
        <f t="shared" si="7"/>
        <v>660</v>
      </c>
      <c r="BR42" s="293">
        <f t="shared" si="7"/>
        <v>660</v>
      </c>
      <c r="BS42" s="293">
        <f t="shared" si="7"/>
        <v>446</v>
      </c>
      <c r="BT42" s="293">
        <f t="shared" si="7"/>
        <v>5934</v>
      </c>
      <c r="BU42" s="293">
        <f t="shared" si="7"/>
        <v>4912.96</v>
      </c>
      <c r="BV42" s="293">
        <f t="shared" si="7"/>
        <v>7232</v>
      </c>
      <c r="BW42" s="293">
        <f t="shared" si="7"/>
        <v>95244</v>
      </c>
      <c r="BX42" s="293">
        <f t="shared" si="7"/>
        <v>80891.199999999997</v>
      </c>
      <c r="BY42" s="293">
        <f t="shared" si="7"/>
        <v>0</v>
      </c>
      <c r="BZ42" s="293">
        <f t="shared" si="7"/>
        <v>0</v>
      </c>
      <c r="CA42" s="293">
        <f t="shared" si="7"/>
        <v>0</v>
      </c>
      <c r="CB42" s="293">
        <f t="shared" si="7"/>
        <v>0</v>
      </c>
      <c r="CC42" s="293">
        <f t="shared" si="7"/>
        <v>0</v>
      </c>
      <c r="CD42" s="293">
        <f t="shared" si="7"/>
        <v>0</v>
      </c>
      <c r="CE42" s="293">
        <f t="shared" si="7"/>
        <v>0</v>
      </c>
      <c r="CF42" s="293">
        <f t="shared" si="7"/>
        <v>0</v>
      </c>
      <c r="CG42" s="293">
        <f t="shared" si="7"/>
        <v>0</v>
      </c>
      <c r="CH42" s="293">
        <f t="shared" si="7"/>
        <v>0</v>
      </c>
      <c r="CI42" s="293">
        <f t="shared" si="7"/>
        <v>0</v>
      </c>
      <c r="CJ42" s="293">
        <f t="shared" si="7"/>
        <v>0</v>
      </c>
      <c r="CK42" s="293">
        <f t="shared" si="7"/>
        <v>0</v>
      </c>
      <c r="CL42" s="293">
        <f t="shared" si="7"/>
        <v>0</v>
      </c>
      <c r="CM42" s="293">
        <f t="shared" si="7"/>
        <v>0</v>
      </c>
      <c r="CN42" s="293">
        <f t="shared" si="7"/>
        <v>0</v>
      </c>
      <c r="CO42" s="293">
        <f t="shared" si="7"/>
        <v>0</v>
      </c>
      <c r="CP42" s="293">
        <f t="shared" si="7"/>
        <v>0</v>
      </c>
      <c r="CQ42" s="293">
        <f t="shared" si="7"/>
        <v>0</v>
      </c>
      <c r="CR42" s="293">
        <f t="shared" si="7"/>
        <v>0</v>
      </c>
      <c r="CS42" s="293">
        <f t="shared" si="7"/>
        <v>0</v>
      </c>
      <c r="CT42" s="293">
        <f t="shared" si="7"/>
        <v>0</v>
      </c>
      <c r="CU42" s="293">
        <f t="shared" si="7"/>
        <v>0</v>
      </c>
      <c r="CV42" s="293">
        <f t="shared" si="7"/>
        <v>0</v>
      </c>
      <c r="CW42" s="293">
        <f t="shared" si="7"/>
        <v>0</v>
      </c>
      <c r="CX42" s="293">
        <f t="shared" si="7"/>
        <v>0</v>
      </c>
      <c r="CY42" s="293">
        <f t="shared" si="7"/>
        <v>0</v>
      </c>
      <c r="CZ42" s="293">
        <f t="shared" si="7"/>
        <v>0</v>
      </c>
      <c r="DA42" s="293">
        <f t="shared" ref="DA42:DH42" si="8">SUM(DA4:DA41)</f>
        <v>0</v>
      </c>
      <c r="DB42" s="293">
        <f t="shared" si="8"/>
        <v>0</v>
      </c>
      <c r="DC42" s="293">
        <f t="shared" si="8"/>
        <v>0</v>
      </c>
      <c r="DD42" s="293">
        <f t="shared" si="8"/>
        <v>0</v>
      </c>
      <c r="DE42" s="293">
        <f t="shared" si="8"/>
        <v>0</v>
      </c>
      <c r="DF42" s="293">
        <f t="shared" si="8"/>
        <v>7232</v>
      </c>
      <c r="DG42" s="293">
        <f t="shared" si="8"/>
        <v>95244</v>
      </c>
      <c r="DH42" s="293">
        <f t="shared" si="8"/>
        <v>80891.199999999997</v>
      </c>
    </row>
    <row r="43" spans="1:113" s="275" customFormat="1" ht="20.100000000000001" customHeight="1" x14ac:dyDescent="0.6">
      <c r="A43" s="294"/>
      <c r="B43" s="295"/>
      <c r="C43" s="236"/>
      <c r="D43" s="296"/>
      <c r="E43" s="236"/>
      <c r="F43" s="236"/>
      <c r="G43" s="236"/>
      <c r="H43" s="236"/>
      <c r="I43" s="236"/>
      <c r="J43" s="234"/>
      <c r="K43" s="297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72">
        <f t="shared" ref="AO43:AP74" si="9">+AL43+AI43+AF43+AC43+Z43+W43+T43+Q43+N43+K43</f>
        <v>0</v>
      </c>
      <c r="AP43" s="272">
        <f t="shared" si="9"/>
        <v>0</v>
      </c>
      <c r="AQ43" s="272">
        <f t="shared" ref="AQ43:AQ48" si="10">M43+P43+S43+V43+Y43+AB43+AE43+AH43+AK43+AN43</f>
        <v>0</v>
      </c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98"/>
      <c r="BV43" s="272">
        <f t="shared" ref="BV43:BX74" si="11">+BS43+BP43+BM43+BJ43+BG43+BD43+BA43+AX43+AU43+AR43+AO43</f>
        <v>0</v>
      </c>
      <c r="BW43" s="272">
        <f t="shared" si="11"/>
        <v>0</v>
      </c>
      <c r="BX43" s="272">
        <f>AT43+AW43+AZ43+BC43+BF43+BI43+BL43+BO43+BR43+BU43</f>
        <v>0</v>
      </c>
      <c r="BY43" s="298"/>
      <c r="BZ43" s="298"/>
      <c r="CA43" s="298"/>
      <c r="CB43" s="298"/>
      <c r="CC43" s="298"/>
      <c r="CD43" s="298"/>
      <c r="CE43" s="298"/>
      <c r="CF43" s="298"/>
      <c r="CG43" s="298"/>
      <c r="CH43" s="298"/>
      <c r="CI43" s="298"/>
      <c r="CJ43" s="298"/>
      <c r="CK43" s="298"/>
      <c r="CL43" s="298"/>
      <c r="CM43" s="298"/>
      <c r="CN43" s="298"/>
      <c r="CO43" s="298"/>
      <c r="CP43" s="298"/>
      <c r="CQ43" s="298"/>
      <c r="CR43" s="298"/>
      <c r="CS43" s="298"/>
      <c r="CT43" s="298"/>
      <c r="CU43" s="298"/>
      <c r="CV43" s="298"/>
      <c r="CW43" s="298"/>
      <c r="CX43" s="298"/>
      <c r="CY43" s="298"/>
      <c r="CZ43" s="298"/>
      <c r="DA43" s="298"/>
      <c r="DB43" s="298"/>
      <c r="DC43" s="298"/>
      <c r="DD43" s="298"/>
      <c r="DE43" s="298"/>
      <c r="DF43" s="272">
        <f t="shared" ref="DF43:DG74" si="12">+DC43+CZ43+CW43+CT43+CQ43+CN43+CK43+CH43+CE43+CB43+BY43+BV43</f>
        <v>0</v>
      </c>
      <c r="DG43" s="272">
        <f t="shared" si="12"/>
        <v>0</v>
      </c>
      <c r="DH43" s="299">
        <f>CA43+CD43+CG43+CJ43+CM43+CP43+CS43+CV43+CY43+DB43+DE43</f>
        <v>0</v>
      </c>
    </row>
    <row r="44" spans="1:113" s="275" customFormat="1" ht="24.75" customHeight="1" x14ac:dyDescent="0.6">
      <c r="A44" s="268">
        <v>1</v>
      </c>
      <c r="B44" s="269" t="s">
        <v>286</v>
      </c>
      <c r="C44" s="104" t="s">
        <v>287</v>
      </c>
      <c r="D44" s="100" t="s">
        <v>123</v>
      </c>
      <c r="E44" s="100" t="s">
        <v>124</v>
      </c>
      <c r="F44" s="234" t="s">
        <v>733</v>
      </c>
      <c r="G44" s="234" t="s">
        <v>821</v>
      </c>
      <c r="H44" s="234" t="s">
        <v>822</v>
      </c>
      <c r="I44" s="234" t="s">
        <v>823</v>
      </c>
      <c r="J44" s="234" t="s">
        <v>288</v>
      </c>
      <c r="K44" s="259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>
        <v>35</v>
      </c>
      <c r="AJ44" s="258">
        <v>460</v>
      </c>
      <c r="AK44" s="258">
        <v>359.20000000000005</v>
      </c>
      <c r="AL44" s="258"/>
      <c r="AM44" s="258"/>
      <c r="AN44" s="258"/>
      <c r="AO44" s="272">
        <f>K44+N44+Q44+T44+W44+Z44+AC44+AF44+AI44+AL44</f>
        <v>35</v>
      </c>
      <c r="AP44" s="272">
        <f t="shared" si="9"/>
        <v>460</v>
      </c>
      <c r="AQ44" s="272">
        <f t="shared" si="10"/>
        <v>359.20000000000005</v>
      </c>
      <c r="AR44" s="234"/>
      <c r="AS44" s="234"/>
      <c r="AT44" s="234"/>
      <c r="AU44" s="234"/>
      <c r="AV44" s="234"/>
      <c r="AW44" s="234"/>
      <c r="AX44" s="234"/>
      <c r="AY44" s="234"/>
      <c r="AZ44" s="234"/>
      <c r="BA44" s="234">
        <v>5</v>
      </c>
      <c r="BB44" s="234">
        <v>200</v>
      </c>
      <c r="BC44" s="234">
        <v>70</v>
      </c>
      <c r="BD44" s="234"/>
      <c r="BE44" s="234"/>
      <c r="BF44" s="234"/>
      <c r="BG44" s="234">
        <v>10</v>
      </c>
      <c r="BH44" s="234">
        <v>140</v>
      </c>
      <c r="BI44" s="234">
        <v>89.600000000000009</v>
      </c>
      <c r="BJ44" s="234"/>
      <c r="BK44" s="234"/>
      <c r="BL44" s="234"/>
      <c r="BM44" s="234"/>
      <c r="BN44" s="234"/>
      <c r="BO44" s="234"/>
      <c r="BP44" s="234"/>
      <c r="BQ44" s="234"/>
      <c r="BR44" s="234"/>
      <c r="BS44" s="234"/>
      <c r="BT44" s="234"/>
      <c r="BU44" s="270"/>
      <c r="BV44" s="272">
        <f t="shared" si="11"/>
        <v>50</v>
      </c>
      <c r="BW44" s="272">
        <f t="shared" si="11"/>
        <v>800</v>
      </c>
      <c r="BX44" s="272">
        <f t="shared" si="11"/>
        <v>518.80000000000007</v>
      </c>
      <c r="BY44" s="270"/>
      <c r="BZ44" s="270"/>
      <c r="CA44" s="270"/>
      <c r="CB44" s="270"/>
      <c r="CC44" s="270"/>
      <c r="CD44" s="270"/>
      <c r="CE44" s="270"/>
      <c r="CF44" s="270"/>
      <c r="CG44" s="270"/>
      <c r="CH44" s="270"/>
      <c r="CI44" s="270"/>
      <c r="CJ44" s="270"/>
      <c r="CK44" s="270"/>
      <c r="CL44" s="270"/>
      <c r="CM44" s="270"/>
      <c r="CN44" s="270"/>
      <c r="CO44" s="270"/>
      <c r="CP44" s="270"/>
      <c r="CQ44" s="270"/>
      <c r="CR44" s="270"/>
      <c r="CS44" s="270"/>
      <c r="CT44" s="270"/>
      <c r="CU44" s="270"/>
      <c r="CV44" s="270"/>
      <c r="CW44" s="270"/>
      <c r="CX44" s="270"/>
      <c r="CY44" s="270"/>
      <c r="CZ44" s="270"/>
      <c r="DA44" s="270"/>
      <c r="DB44" s="270"/>
      <c r="DC44" s="270"/>
      <c r="DD44" s="270"/>
      <c r="DE44" s="270"/>
      <c r="DF44" s="272">
        <f t="shared" si="12"/>
        <v>50</v>
      </c>
      <c r="DG44" s="272">
        <f t="shared" si="12"/>
        <v>800</v>
      </c>
      <c r="DH44" s="272">
        <f>BX44+CA44+CD44+CG44+CJ44+CM44+CP44+CS44+CV44+CY44+DB44+DE44</f>
        <v>518.80000000000007</v>
      </c>
      <c r="DI44" s="274"/>
    </row>
    <row r="45" spans="1:113" s="275" customFormat="1" ht="24.75" customHeight="1" x14ac:dyDescent="0.6">
      <c r="A45" s="268">
        <v>2</v>
      </c>
      <c r="B45" s="269" t="s">
        <v>289</v>
      </c>
      <c r="C45" s="104" t="s">
        <v>290</v>
      </c>
      <c r="D45" s="100" t="s">
        <v>123</v>
      </c>
      <c r="E45" s="100" t="s">
        <v>124</v>
      </c>
      <c r="F45" s="234" t="s">
        <v>733</v>
      </c>
      <c r="G45" s="234" t="s">
        <v>824</v>
      </c>
      <c r="H45" s="234" t="s">
        <v>825</v>
      </c>
      <c r="I45" s="234" t="s">
        <v>826</v>
      </c>
      <c r="J45" s="234" t="s">
        <v>288</v>
      </c>
      <c r="K45" s="259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>
        <v>7</v>
      </c>
      <c r="X45" s="258">
        <v>140</v>
      </c>
      <c r="Y45" s="258">
        <v>88</v>
      </c>
      <c r="Z45" s="258"/>
      <c r="AA45" s="258"/>
      <c r="AB45" s="258"/>
      <c r="AC45" s="258"/>
      <c r="AD45" s="258"/>
      <c r="AE45" s="258"/>
      <c r="AF45" s="258"/>
      <c r="AG45" s="258"/>
      <c r="AH45" s="258"/>
      <c r="AI45" s="258"/>
      <c r="AJ45" s="258"/>
      <c r="AK45" s="258"/>
      <c r="AL45" s="258"/>
      <c r="AM45" s="258"/>
      <c r="AN45" s="258"/>
      <c r="AO45" s="272">
        <f t="shared" ref="AO45:AO90" si="13">K45+N45+Q45+T45+W45+Z45+AC45+AF45+AI45+AL45</f>
        <v>7</v>
      </c>
      <c r="AP45" s="272">
        <f t="shared" si="9"/>
        <v>140</v>
      </c>
      <c r="AQ45" s="272">
        <f t="shared" si="10"/>
        <v>88</v>
      </c>
      <c r="AR45" s="234"/>
      <c r="AS45" s="234"/>
      <c r="AT45" s="234"/>
      <c r="AU45" s="234"/>
      <c r="AV45" s="234"/>
      <c r="AW45" s="234"/>
      <c r="AX45" s="234">
        <v>30</v>
      </c>
      <c r="AY45" s="234">
        <v>370</v>
      </c>
      <c r="AZ45" s="234">
        <v>344.8</v>
      </c>
      <c r="BA45" s="234"/>
      <c r="BB45" s="234"/>
      <c r="BC45" s="234"/>
      <c r="BD45" s="234"/>
      <c r="BE45" s="234"/>
      <c r="BF45" s="234"/>
      <c r="BG45" s="234"/>
      <c r="BH45" s="234"/>
      <c r="BI45" s="234"/>
      <c r="BJ45" s="234"/>
      <c r="BK45" s="234"/>
      <c r="BL45" s="234"/>
      <c r="BM45" s="234">
        <v>16</v>
      </c>
      <c r="BN45" s="234">
        <v>230</v>
      </c>
      <c r="BO45" s="234">
        <v>178.8</v>
      </c>
      <c r="BP45" s="234"/>
      <c r="BQ45" s="234"/>
      <c r="BR45" s="234"/>
      <c r="BS45" s="234"/>
      <c r="BT45" s="234"/>
      <c r="BU45" s="270"/>
      <c r="BV45" s="272">
        <f t="shared" si="11"/>
        <v>53</v>
      </c>
      <c r="BW45" s="272">
        <f t="shared" si="11"/>
        <v>740</v>
      </c>
      <c r="BX45" s="272">
        <f t="shared" si="11"/>
        <v>611.6</v>
      </c>
      <c r="BY45" s="270"/>
      <c r="BZ45" s="270"/>
      <c r="CA45" s="270"/>
      <c r="CB45" s="270"/>
      <c r="CC45" s="270"/>
      <c r="CD45" s="270"/>
      <c r="CE45" s="270"/>
      <c r="CF45" s="270"/>
      <c r="CG45" s="270"/>
      <c r="CH45" s="270"/>
      <c r="CI45" s="270"/>
      <c r="CJ45" s="270"/>
      <c r="CK45" s="270"/>
      <c r="CL45" s="270"/>
      <c r="CM45" s="270"/>
      <c r="CN45" s="270"/>
      <c r="CO45" s="270"/>
      <c r="CP45" s="270"/>
      <c r="CQ45" s="270"/>
      <c r="CR45" s="270"/>
      <c r="CS45" s="270"/>
      <c r="CT45" s="270"/>
      <c r="CU45" s="270"/>
      <c r="CV45" s="270"/>
      <c r="CW45" s="270"/>
      <c r="CX45" s="270"/>
      <c r="CY45" s="270"/>
      <c r="CZ45" s="270"/>
      <c r="DA45" s="270"/>
      <c r="DB45" s="270"/>
      <c r="DC45" s="270"/>
      <c r="DD45" s="270"/>
      <c r="DE45" s="270"/>
      <c r="DF45" s="272">
        <f t="shared" si="12"/>
        <v>53</v>
      </c>
      <c r="DG45" s="272">
        <f t="shared" si="12"/>
        <v>740</v>
      </c>
      <c r="DH45" s="272">
        <f t="shared" ref="DH45:DH90" si="14">BX45+CA45+CD45+CG45+CJ45+CM45+CP45+CS45+CV45+CY45+DB45+DE45</f>
        <v>611.6</v>
      </c>
      <c r="DI45" s="274"/>
    </row>
    <row r="46" spans="1:113" s="275" customFormat="1" ht="24.75" customHeight="1" x14ac:dyDescent="0.6">
      <c r="A46" s="268">
        <v>3</v>
      </c>
      <c r="B46" s="269" t="s">
        <v>291</v>
      </c>
      <c r="C46" s="104" t="s">
        <v>292</v>
      </c>
      <c r="D46" s="100" t="s">
        <v>123</v>
      </c>
      <c r="E46" s="100" t="s">
        <v>124</v>
      </c>
      <c r="F46" s="234" t="s">
        <v>733</v>
      </c>
      <c r="G46" s="234" t="s">
        <v>827</v>
      </c>
      <c r="H46" s="234" t="s">
        <v>828</v>
      </c>
      <c r="I46" s="234" t="s">
        <v>829</v>
      </c>
      <c r="J46" s="234" t="s">
        <v>288</v>
      </c>
      <c r="K46" s="259"/>
      <c r="L46" s="258"/>
      <c r="M46" s="258"/>
      <c r="N46" s="258"/>
      <c r="O46" s="258"/>
      <c r="P46" s="258"/>
      <c r="Q46" s="258">
        <v>30</v>
      </c>
      <c r="R46" s="258">
        <v>380</v>
      </c>
      <c r="S46" s="258">
        <v>329.6</v>
      </c>
      <c r="T46" s="258"/>
      <c r="U46" s="258"/>
      <c r="V46" s="258"/>
      <c r="W46" s="258">
        <v>20</v>
      </c>
      <c r="X46" s="258">
        <v>280</v>
      </c>
      <c r="Y46" s="258">
        <v>179.20000000000002</v>
      </c>
      <c r="Z46" s="258">
        <v>20</v>
      </c>
      <c r="AA46" s="258">
        <v>240</v>
      </c>
      <c r="AB46" s="258">
        <v>240</v>
      </c>
      <c r="AC46" s="258">
        <v>17</v>
      </c>
      <c r="AD46" s="258">
        <v>260</v>
      </c>
      <c r="AE46" s="258">
        <v>208</v>
      </c>
      <c r="AF46" s="258"/>
      <c r="AG46" s="258"/>
      <c r="AH46" s="258"/>
      <c r="AI46" s="258"/>
      <c r="AJ46" s="258"/>
      <c r="AK46" s="258"/>
      <c r="AL46" s="258">
        <v>20</v>
      </c>
      <c r="AM46" s="258">
        <v>240</v>
      </c>
      <c r="AN46" s="258">
        <v>240</v>
      </c>
      <c r="AO46" s="272">
        <f t="shared" si="13"/>
        <v>107</v>
      </c>
      <c r="AP46" s="272">
        <f t="shared" si="9"/>
        <v>1400</v>
      </c>
      <c r="AQ46" s="272">
        <f t="shared" si="10"/>
        <v>1196.8000000000002</v>
      </c>
      <c r="AR46" s="234">
        <v>15</v>
      </c>
      <c r="AS46" s="234">
        <v>180</v>
      </c>
      <c r="AT46" s="234">
        <v>180</v>
      </c>
      <c r="AU46" s="234">
        <v>65</v>
      </c>
      <c r="AV46" s="234">
        <v>780</v>
      </c>
      <c r="AW46" s="234">
        <v>780</v>
      </c>
      <c r="AX46" s="234">
        <v>50</v>
      </c>
      <c r="AY46" s="234">
        <v>700</v>
      </c>
      <c r="AZ46" s="234">
        <v>448</v>
      </c>
      <c r="BA46" s="234">
        <v>40</v>
      </c>
      <c r="BB46" s="234">
        <v>540</v>
      </c>
      <c r="BC46" s="234">
        <v>388.80000000000007</v>
      </c>
      <c r="BD46" s="234"/>
      <c r="BE46" s="234"/>
      <c r="BF46" s="234"/>
      <c r="BG46" s="234">
        <v>45</v>
      </c>
      <c r="BH46" s="234">
        <v>540</v>
      </c>
      <c r="BI46" s="234">
        <v>540</v>
      </c>
      <c r="BJ46" s="234"/>
      <c r="BK46" s="234"/>
      <c r="BL46" s="234"/>
      <c r="BM46" s="234">
        <v>50</v>
      </c>
      <c r="BN46" s="234">
        <v>960</v>
      </c>
      <c r="BO46" s="234">
        <v>498.40000000000009</v>
      </c>
      <c r="BP46" s="234">
        <v>35</v>
      </c>
      <c r="BQ46" s="234">
        <v>880</v>
      </c>
      <c r="BR46" s="234">
        <v>389.20000000000005</v>
      </c>
      <c r="BS46" s="234">
        <v>30</v>
      </c>
      <c r="BT46" s="234">
        <v>660</v>
      </c>
      <c r="BU46" s="270">
        <v>349.6</v>
      </c>
      <c r="BV46" s="272">
        <f t="shared" si="11"/>
        <v>437</v>
      </c>
      <c r="BW46" s="272">
        <f t="shared" si="11"/>
        <v>6640</v>
      </c>
      <c r="BX46" s="272">
        <f>+BU46+BR46+BO46+BL46+BI46+BF46+BC46+AZ46+AW46+AT46+AQ46</f>
        <v>4770.8000000000011</v>
      </c>
      <c r="BY46" s="270"/>
      <c r="BZ46" s="270"/>
      <c r="CA46" s="270"/>
      <c r="CB46" s="270"/>
      <c r="CC46" s="270"/>
      <c r="CD46" s="270"/>
      <c r="CE46" s="270"/>
      <c r="CF46" s="270"/>
      <c r="CG46" s="270"/>
      <c r="CH46" s="270"/>
      <c r="CI46" s="270"/>
      <c r="CJ46" s="270"/>
      <c r="CK46" s="270"/>
      <c r="CL46" s="270"/>
      <c r="CM46" s="270"/>
      <c r="CN46" s="270"/>
      <c r="CO46" s="270"/>
      <c r="CP46" s="270"/>
      <c r="CQ46" s="270"/>
      <c r="CR46" s="270"/>
      <c r="CS46" s="270"/>
      <c r="CT46" s="270"/>
      <c r="CU46" s="270"/>
      <c r="CV46" s="270"/>
      <c r="CW46" s="270"/>
      <c r="CX46" s="270"/>
      <c r="CY46" s="270"/>
      <c r="CZ46" s="270"/>
      <c r="DA46" s="270"/>
      <c r="DB46" s="270"/>
      <c r="DC46" s="270"/>
      <c r="DD46" s="270"/>
      <c r="DE46" s="270"/>
      <c r="DF46" s="272">
        <f t="shared" si="12"/>
        <v>437</v>
      </c>
      <c r="DG46" s="272">
        <f t="shared" si="12"/>
        <v>6640</v>
      </c>
      <c r="DH46" s="272">
        <f t="shared" si="14"/>
        <v>4770.8000000000011</v>
      </c>
      <c r="DI46" s="274"/>
    </row>
    <row r="47" spans="1:113" s="275" customFormat="1" ht="24.75" customHeight="1" x14ac:dyDescent="0.6">
      <c r="A47" s="268">
        <v>4</v>
      </c>
      <c r="B47" s="269" t="s">
        <v>293</v>
      </c>
      <c r="C47" s="104" t="s">
        <v>294</v>
      </c>
      <c r="D47" s="100" t="s">
        <v>123</v>
      </c>
      <c r="E47" s="100" t="s">
        <v>124</v>
      </c>
      <c r="F47" s="234" t="s">
        <v>733</v>
      </c>
      <c r="G47" s="234" t="s">
        <v>293</v>
      </c>
      <c r="H47" s="234" t="s">
        <v>294</v>
      </c>
      <c r="I47" s="234" t="s">
        <v>830</v>
      </c>
      <c r="J47" s="234" t="s">
        <v>288</v>
      </c>
      <c r="K47" s="259"/>
      <c r="L47" s="258"/>
      <c r="M47" s="258"/>
      <c r="N47" s="258"/>
      <c r="O47" s="258"/>
      <c r="P47" s="258"/>
      <c r="Q47" s="258">
        <v>17</v>
      </c>
      <c r="R47" s="258">
        <v>280</v>
      </c>
      <c r="S47" s="258">
        <v>177.60000000000002</v>
      </c>
      <c r="T47" s="258">
        <v>35</v>
      </c>
      <c r="U47" s="258">
        <v>440</v>
      </c>
      <c r="V47" s="258">
        <v>389.6</v>
      </c>
      <c r="W47" s="258">
        <v>37</v>
      </c>
      <c r="X47" s="258">
        <v>520</v>
      </c>
      <c r="Y47" s="258">
        <v>417.6</v>
      </c>
      <c r="Z47" s="258">
        <v>22</v>
      </c>
      <c r="AA47" s="258">
        <v>340</v>
      </c>
      <c r="AB47" s="258">
        <v>237.60000000000002</v>
      </c>
      <c r="AC47" s="258">
        <v>37</v>
      </c>
      <c r="AD47" s="258">
        <v>520</v>
      </c>
      <c r="AE47" s="258">
        <v>417.6</v>
      </c>
      <c r="AF47" s="258"/>
      <c r="AG47" s="258"/>
      <c r="AH47" s="258"/>
      <c r="AI47" s="258">
        <v>32</v>
      </c>
      <c r="AJ47" s="258">
        <v>460</v>
      </c>
      <c r="AK47" s="258">
        <v>357.6</v>
      </c>
      <c r="AL47" s="258"/>
      <c r="AM47" s="258"/>
      <c r="AN47" s="258"/>
      <c r="AO47" s="272">
        <f t="shared" si="13"/>
        <v>180</v>
      </c>
      <c r="AP47" s="272">
        <f t="shared" si="9"/>
        <v>2560</v>
      </c>
      <c r="AQ47" s="272">
        <f t="shared" si="10"/>
        <v>1997.6</v>
      </c>
      <c r="AR47" s="234">
        <v>25</v>
      </c>
      <c r="AS47" s="234">
        <v>320</v>
      </c>
      <c r="AT47" s="234">
        <v>269.60000000000002</v>
      </c>
      <c r="AU47" s="234">
        <v>5</v>
      </c>
      <c r="AV47" s="234">
        <v>70</v>
      </c>
      <c r="AW47" s="234">
        <v>44.800000000000004</v>
      </c>
      <c r="AX47" s="234">
        <v>25</v>
      </c>
      <c r="AY47" s="234">
        <v>320</v>
      </c>
      <c r="AZ47" s="234">
        <v>269.60000000000002</v>
      </c>
      <c r="BA47" s="234">
        <v>32</v>
      </c>
      <c r="BB47" s="234">
        <v>460</v>
      </c>
      <c r="BC47" s="234">
        <v>357.6</v>
      </c>
      <c r="BD47" s="234"/>
      <c r="BE47" s="234"/>
      <c r="BF47" s="234"/>
      <c r="BG47" s="234">
        <v>37</v>
      </c>
      <c r="BH47" s="234">
        <v>530</v>
      </c>
      <c r="BI47" s="234">
        <v>402.40000000000003</v>
      </c>
      <c r="BJ47" s="234"/>
      <c r="BK47" s="234"/>
      <c r="BL47" s="234"/>
      <c r="BM47" s="234">
        <v>17</v>
      </c>
      <c r="BN47" s="234">
        <v>280</v>
      </c>
      <c r="BO47" s="234">
        <v>177.60000000000002</v>
      </c>
      <c r="BP47" s="234">
        <v>22</v>
      </c>
      <c r="BQ47" s="234">
        <v>330</v>
      </c>
      <c r="BR47" s="234">
        <v>252.8</v>
      </c>
      <c r="BS47" s="234">
        <v>30</v>
      </c>
      <c r="BT47" s="234">
        <v>380</v>
      </c>
      <c r="BU47" s="270">
        <v>329.6</v>
      </c>
      <c r="BV47" s="272">
        <f t="shared" si="11"/>
        <v>373</v>
      </c>
      <c r="BW47" s="272">
        <f t="shared" si="11"/>
        <v>5250</v>
      </c>
      <c r="BX47" s="272">
        <f>+BU47+BR47+BO47+BL47+BI47+BF47+BC47+AZ47+AW47+AT47+AQ47</f>
        <v>4101.6000000000004</v>
      </c>
      <c r="BY47" s="270"/>
      <c r="BZ47" s="270"/>
      <c r="CA47" s="270"/>
      <c r="CB47" s="270"/>
      <c r="CC47" s="270"/>
      <c r="CD47" s="270"/>
      <c r="CE47" s="270"/>
      <c r="CF47" s="270"/>
      <c r="CG47" s="270"/>
      <c r="CH47" s="270"/>
      <c r="CI47" s="270"/>
      <c r="CJ47" s="270"/>
      <c r="CK47" s="270"/>
      <c r="CL47" s="270"/>
      <c r="CM47" s="270"/>
      <c r="CN47" s="270"/>
      <c r="CO47" s="270"/>
      <c r="CP47" s="270"/>
      <c r="CQ47" s="270"/>
      <c r="CR47" s="270"/>
      <c r="CS47" s="270"/>
      <c r="CT47" s="270"/>
      <c r="CU47" s="270"/>
      <c r="CV47" s="270"/>
      <c r="CW47" s="270"/>
      <c r="CX47" s="270"/>
      <c r="CY47" s="270"/>
      <c r="CZ47" s="270"/>
      <c r="DA47" s="270"/>
      <c r="DB47" s="270"/>
      <c r="DC47" s="270"/>
      <c r="DD47" s="270"/>
      <c r="DE47" s="270"/>
      <c r="DF47" s="272">
        <f t="shared" si="12"/>
        <v>373</v>
      </c>
      <c r="DG47" s="272">
        <f t="shared" si="12"/>
        <v>5250</v>
      </c>
      <c r="DH47" s="272">
        <f t="shared" si="14"/>
        <v>4101.6000000000004</v>
      </c>
      <c r="DI47" s="274"/>
    </row>
    <row r="48" spans="1:113" s="275" customFormat="1" ht="24.75" customHeight="1" x14ac:dyDescent="0.6">
      <c r="A48" s="268">
        <v>5</v>
      </c>
      <c r="B48" s="269" t="s">
        <v>295</v>
      </c>
      <c r="C48" s="104" t="s">
        <v>296</v>
      </c>
      <c r="D48" s="100" t="s">
        <v>297</v>
      </c>
      <c r="E48" s="99" t="s">
        <v>298</v>
      </c>
      <c r="F48" s="234" t="s">
        <v>733</v>
      </c>
      <c r="G48" s="234" t="s">
        <v>831</v>
      </c>
      <c r="H48" s="234" t="s">
        <v>832</v>
      </c>
      <c r="I48" s="234" t="s">
        <v>833</v>
      </c>
      <c r="J48" s="234" t="s">
        <v>288</v>
      </c>
      <c r="K48" s="259"/>
      <c r="L48" s="258"/>
      <c r="M48" s="258"/>
      <c r="N48" s="258"/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258">
        <v>123</v>
      </c>
      <c r="AA48" s="258">
        <v>1700</v>
      </c>
      <c r="AB48" s="258">
        <v>1269.2</v>
      </c>
      <c r="AC48" s="258"/>
      <c r="AD48" s="258"/>
      <c r="AE48" s="258"/>
      <c r="AF48" s="258"/>
      <c r="AG48" s="258"/>
      <c r="AH48" s="258"/>
      <c r="AI48" s="258"/>
      <c r="AJ48" s="258"/>
      <c r="AK48" s="258"/>
      <c r="AL48" s="258"/>
      <c r="AM48" s="258"/>
      <c r="AN48" s="258"/>
      <c r="AO48" s="272">
        <f t="shared" si="13"/>
        <v>123</v>
      </c>
      <c r="AP48" s="272">
        <f t="shared" si="9"/>
        <v>1700</v>
      </c>
      <c r="AQ48" s="272">
        <f t="shared" si="10"/>
        <v>1269.2</v>
      </c>
      <c r="AR48" s="234"/>
      <c r="AS48" s="234"/>
      <c r="AT48" s="234"/>
      <c r="AU48" s="234"/>
      <c r="AV48" s="234"/>
      <c r="AW48" s="234"/>
      <c r="AX48" s="234">
        <v>30</v>
      </c>
      <c r="AY48" s="234">
        <v>360</v>
      </c>
      <c r="AZ48" s="234">
        <v>360</v>
      </c>
      <c r="BA48" s="234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  <c r="BP48" s="234"/>
      <c r="BQ48" s="234"/>
      <c r="BR48" s="234"/>
      <c r="BS48" s="234"/>
      <c r="BT48" s="234"/>
      <c r="BU48" s="270"/>
      <c r="BV48" s="272">
        <f t="shared" si="11"/>
        <v>153</v>
      </c>
      <c r="BW48" s="272">
        <f t="shared" si="11"/>
        <v>2060</v>
      </c>
      <c r="BX48" s="272">
        <f t="shared" si="11"/>
        <v>1629.2</v>
      </c>
      <c r="BY48" s="270"/>
      <c r="BZ48" s="270"/>
      <c r="CA48" s="270"/>
      <c r="CB48" s="270"/>
      <c r="CC48" s="270"/>
      <c r="CD48" s="270"/>
      <c r="CE48" s="270"/>
      <c r="CF48" s="270"/>
      <c r="CG48" s="270"/>
      <c r="CH48" s="270"/>
      <c r="CI48" s="270"/>
      <c r="CJ48" s="270"/>
      <c r="CK48" s="270"/>
      <c r="CL48" s="270"/>
      <c r="CM48" s="270"/>
      <c r="CN48" s="270"/>
      <c r="CO48" s="270"/>
      <c r="CP48" s="270"/>
      <c r="CQ48" s="270"/>
      <c r="CR48" s="270"/>
      <c r="CS48" s="270"/>
      <c r="CT48" s="270"/>
      <c r="CU48" s="270"/>
      <c r="CV48" s="270"/>
      <c r="CW48" s="270"/>
      <c r="CX48" s="270"/>
      <c r="CY48" s="270"/>
      <c r="CZ48" s="270"/>
      <c r="DA48" s="270"/>
      <c r="DB48" s="270"/>
      <c r="DC48" s="270"/>
      <c r="DD48" s="270"/>
      <c r="DE48" s="270"/>
      <c r="DF48" s="272">
        <f t="shared" si="12"/>
        <v>153</v>
      </c>
      <c r="DG48" s="272">
        <f t="shared" si="12"/>
        <v>2060</v>
      </c>
      <c r="DH48" s="272">
        <f t="shared" si="14"/>
        <v>1629.2</v>
      </c>
      <c r="DI48" s="274"/>
    </row>
    <row r="49" spans="1:113" s="275" customFormat="1" ht="24.75" customHeight="1" x14ac:dyDescent="0.6">
      <c r="A49" s="268">
        <v>6</v>
      </c>
      <c r="B49" s="269" t="s">
        <v>299</v>
      </c>
      <c r="C49" s="104" t="s">
        <v>300</v>
      </c>
      <c r="D49" s="100" t="s">
        <v>301</v>
      </c>
      <c r="E49" s="99" t="s">
        <v>87</v>
      </c>
      <c r="F49" s="234" t="s">
        <v>733</v>
      </c>
      <c r="G49" s="234" t="s">
        <v>834</v>
      </c>
      <c r="H49" s="234" t="s">
        <v>835</v>
      </c>
      <c r="I49" s="234" t="s">
        <v>836</v>
      </c>
      <c r="J49" s="234" t="s">
        <v>288</v>
      </c>
      <c r="K49" s="259"/>
      <c r="L49" s="258"/>
      <c r="M49" s="258"/>
      <c r="N49" s="258"/>
      <c r="O49" s="258"/>
      <c r="P49" s="258"/>
      <c r="Q49" s="258">
        <v>50</v>
      </c>
      <c r="R49" s="258">
        <v>700</v>
      </c>
      <c r="S49" s="258">
        <v>448</v>
      </c>
      <c r="T49" s="258"/>
      <c r="U49" s="258"/>
      <c r="V49" s="258"/>
      <c r="W49" s="258"/>
      <c r="X49" s="258"/>
      <c r="Y49" s="258"/>
      <c r="Z49" s="258"/>
      <c r="AA49" s="258"/>
      <c r="AB49" s="258"/>
      <c r="AC49" s="258"/>
      <c r="AD49" s="258"/>
      <c r="AE49" s="258"/>
      <c r="AF49" s="258"/>
      <c r="AG49" s="258"/>
      <c r="AH49" s="258"/>
      <c r="AI49" s="258"/>
      <c r="AJ49" s="258"/>
      <c r="AK49" s="258"/>
      <c r="AL49" s="258">
        <v>50</v>
      </c>
      <c r="AM49" s="258">
        <v>700</v>
      </c>
      <c r="AN49" s="258">
        <v>448</v>
      </c>
      <c r="AO49" s="272">
        <f t="shared" si="13"/>
        <v>100</v>
      </c>
      <c r="AP49" s="272">
        <f t="shared" si="9"/>
        <v>1400</v>
      </c>
      <c r="AQ49" s="272">
        <f>+AN49+AK49+AH49+AE49+AB49+Y49+V49+S49+P49+M49</f>
        <v>896</v>
      </c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>
        <v>60</v>
      </c>
      <c r="BN49" s="234">
        <v>840</v>
      </c>
      <c r="BO49" s="234">
        <v>537.6</v>
      </c>
      <c r="BP49" s="234"/>
      <c r="BQ49" s="234"/>
      <c r="BR49" s="234"/>
      <c r="BS49" s="234"/>
      <c r="BT49" s="234"/>
      <c r="BU49" s="270"/>
      <c r="BV49" s="272">
        <f t="shared" si="11"/>
        <v>160</v>
      </c>
      <c r="BW49" s="272">
        <f t="shared" si="11"/>
        <v>2240</v>
      </c>
      <c r="BX49" s="272">
        <f t="shared" si="11"/>
        <v>1433.6</v>
      </c>
      <c r="BY49" s="270"/>
      <c r="BZ49" s="270"/>
      <c r="CA49" s="270"/>
      <c r="CB49" s="270"/>
      <c r="CC49" s="270"/>
      <c r="CD49" s="270"/>
      <c r="CE49" s="270"/>
      <c r="CF49" s="270"/>
      <c r="CG49" s="270"/>
      <c r="CH49" s="270"/>
      <c r="CI49" s="270"/>
      <c r="CJ49" s="270"/>
      <c r="CK49" s="270"/>
      <c r="CL49" s="270"/>
      <c r="CM49" s="270"/>
      <c r="CN49" s="270"/>
      <c r="CO49" s="270"/>
      <c r="CP49" s="270"/>
      <c r="CQ49" s="270"/>
      <c r="CR49" s="270"/>
      <c r="CS49" s="270"/>
      <c r="CT49" s="270"/>
      <c r="CU49" s="270"/>
      <c r="CV49" s="270"/>
      <c r="CW49" s="270"/>
      <c r="CX49" s="270"/>
      <c r="CY49" s="270"/>
      <c r="CZ49" s="270"/>
      <c r="DA49" s="270"/>
      <c r="DB49" s="270"/>
      <c r="DC49" s="270"/>
      <c r="DD49" s="270"/>
      <c r="DE49" s="270"/>
      <c r="DF49" s="272">
        <f t="shared" si="12"/>
        <v>160</v>
      </c>
      <c r="DG49" s="272">
        <f t="shared" si="12"/>
        <v>2240</v>
      </c>
      <c r="DH49" s="272">
        <f t="shared" si="14"/>
        <v>1433.6</v>
      </c>
      <c r="DI49" s="274"/>
    </row>
    <row r="50" spans="1:113" s="275" customFormat="1" ht="24.75" customHeight="1" x14ac:dyDescent="0.6">
      <c r="A50" s="268">
        <v>7</v>
      </c>
      <c r="B50" s="269" t="s">
        <v>302</v>
      </c>
      <c r="C50" s="104" t="s">
        <v>303</v>
      </c>
      <c r="D50" s="100" t="s">
        <v>304</v>
      </c>
      <c r="E50" s="99" t="s">
        <v>305</v>
      </c>
      <c r="F50" s="234" t="s">
        <v>733</v>
      </c>
      <c r="G50" s="234" t="s">
        <v>837</v>
      </c>
      <c r="H50" s="234" t="s">
        <v>838</v>
      </c>
      <c r="I50" s="234" t="s">
        <v>839</v>
      </c>
      <c r="J50" s="234" t="s">
        <v>288</v>
      </c>
      <c r="K50" s="259"/>
      <c r="L50" s="258"/>
      <c r="M50" s="258"/>
      <c r="N50" s="258"/>
      <c r="O50" s="258"/>
      <c r="P50" s="258"/>
      <c r="Q50" s="258"/>
      <c r="R50" s="258"/>
      <c r="S50" s="258"/>
      <c r="T50" s="258">
        <v>73</v>
      </c>
      <c r="U50" s="258">
        <v>902</v>
      </c>
      <c r="V50" s="258">
        <v>836.48</v>
      </c>
      <c r="W50" s="258"/>
      <c r="X50" s="258"/>
      <c r="Y50" s="258"/>
      <c r="Z50" s="258"/>
      <c r="AA50" s="258"/>
      <c r="AB50" s="258"/>
      <c r="AC50" s="258"/>
      <c r="AD50" s="258"/>
      <c r="AE50" s="258"/>
      <c r="AF50" s="258"/>
      <c r="AG50" s="258"/>
      <c r="AH50" s="258"/>
      <c r="AI50" s="258"/>
      <c r="AJ50" s="258"/>
      <c r="AK50" s="258"/>
      <c r="AL50" s="258"/>
      <c r="AM50" s="258"/>
      <c r="AN50" s="258"/>
      <c r="AO50" s="272">
        <f t="shared" si="13"/>
        <v>73</v>
      </c>
      <c r="AP50" s="272">
        <f t="shared" si="9"/>
        <v>902</v>
      </c>
      <c r="AQ50" s="272">
        <f>M50+P50+S50+V50+Y50+AB50+AE50+AH50+AK50+AN50</f>
        <v>836.48</v>
      </c>
      <c r="AR50" s="234"/>
      <c r="AS50" s="234"/>
      <c r="AT50" s="234"/>
      <c r="AU50" s="234">
        <v>40</v>
      </c>
      <c r="AV50" s="234">
        <v>540</v>
      </c>
      <c r="AW50" s="234">
        <v>388.8</v>
      </c>
      <c r="AX50" s="234"/>
      <c r="AY50" s="234"/>
      <c r="AZ50" s="234"/>
      <c r="BA50" s="234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4"/>
      <c r="BM50" s="234"/>
      <c r="BN50" s="234"/>
      <c r="BO50" s="234"/>
      <c r="BP50" s="234"/>
      <c r="BQ50" s="234"/>
      <c r="BR50" s="234"/>
      <c r="BS50" s="234"/>
      <c r="BT50" s="234"/>
      <c r="BU50" s="270"/>
      <c r="BV50" s="272">
        <f t="shared" si="11"/>
        <v>113</v>
      </c>
      <c r="BW50" s="272">
        <f t="shared" si="11"/>
        <v>1442</v>
      </c>
      <c r="BX50" s="272">
        <f t="shared" si="11"/>
        <v>1225.28</v>
      </c>
      <c r="BY50" s="270"/>
      <c r="BZ50" s="270"/>
      <c r="CA50" s="270"/>
      <c r="CB50" s="270"/>
      <c r="CC50" s="270"/>
      <c r="CD50" s="270"/>
      <c r="CE50" s="270"/>
      <c r="CF50" s="270"/>
      <c r="CG50" s="270"/>
      <c r="CH50" s="270"/>
      <c r="CI50" s="270"/>
      <c r="CJ50" s="270"/>
      <c r="CK50" s="270"/>
      <c r="CL50" s="270"/>
      <c r="CM50" s="270"/>
      <c r="CN50" s="270"/>
      <c r="CO50" s="270"/>
      <c r="CP50" s="270"/>
      <c r="CQ50" s="270"/>
      <c r="CR50" s="270"/>
      <c r="CS50" s="270"/>
      <c r="CT50" s="270"/>
      <c r="CU50" s="270"/>
      <c r="CV50" s="270"/>
      <c r="CW50" s="270"/>
      <c r="CX50" s="270"/>
      <c r="CY50" s="270"/>
      <c r="CZ50" s="270"/>
      <c r="DA50" s="270"/>
      <c r="DB50" s="270"/>
      <c r="DC50" s="270"/>
      <c r="DD50" s="270"/>
      <c r="DE50" s="270"/>
      <c r="DF50" s="272">
        <f t="shared" si="12"/>
        <v>113</v>
      </c>
      <c r="DG50" s="272">
        <f t="shared" si="12"/>
        <v>1442</v>
      </c>
      <c r="DH50" s="272">
        <f t="shared" si="14"/>
        <v>1225.28</v>
      </c>
      <c r="DI50" s="274"/>
    </row>
    <row r="51" spans="1:113" s="275" customFormat="1" ht="24.75" customHeight="1" x14ac:dyDescent="0.6">
      <c r="A51" s="268">
        <v>8</v>
      </c>
      <c r="B51" s="269" t="s">
        <v>306</v>
      </c>
      <c r="C51" s="104" t="s">
        <v>307</v>
      </c>
      <c r="D51" s="100" t="s">
        <v>308</v>
      </c>
      <c r="E51" s="99" t="s">
        <v>309</v>
      </c>
      <c r="F51" s="234" t="s">
        <v>733</v>
      </c>
      <c r="G51" s="234" t="s">
        <v>299</v>
      </c>
      <c r="H51" s="234" t="s">
        <v>300</v>
      </c>
      <c r="I51" s="234" t="s">
        <v>840</v>
      </c>
      <c r="J51" s="234" t="s">
        <v>288</v>
      </c>
      <c r="K51" s="259"/>
      <c r="L51" s="258"/>
      <c r="M51" s="258"/>
      <c r="N51" s="258"/>
      <c r="O51" s="276"/>
      <c r="P51" s="276"/>
      <c r="Q51" s="258"/>
      <c r="R51" s="258"/>
      <c r="S51" s="258"/>
      <c r="T51" s="258"/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258"/>
      <c r="AF51" s="258"/>
      <c r="AG51" s="258"/>
      <c r="AH51" s="258"/>
      <c r="AI51" s="258"/>
      <c r="AJ51" s="258"/>
      <c r="AK51" s="258"/>
      <c r="AL51" s="258"/>
      <c r="AM51" s="258"/>
      <c r="AN51" s="258"/>
      <c r="AO51" s="272">
        <f t="shared" si="13"/>
        <v>0</v>
      </c>
      <c r="AP51" s="272">
        <f t="shared" si="9"/>
        <v>0</v>
      </c>
      <c r="AQ51" s="272">
        <f>M51+P51+S51+V51+Y51+AB51+AE51+AH51+AK51+AN51</f>
        <v>0</v>
      </c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  <c r="BM51" s="234"/>
      <c r="BN51" s="234"/>
      <c r="BO51" s="234"/>
      <c r="BP51" s="234"/>
      <c r="BQ51" s="234"/>
      <c r="BR51" s="234"/>
      <c r="BS51" s="234"/>
      <c r="BT51" s="234"/>
      <c r="BU51" s="270"/>
      <c r="BV51" s="272">
        <f t="shared" si="11"/>
        <v>0</v>
      </c>
      <c r="BW51" s="272">
        <f t="shared" si="11"/>
        <v>0</v>
      </c>
      <c r="BX51" s="272">
        <f t="shared" si="11"/>
        <v>0</v>
      </c>
      <c r="BY51" s="270"/>
      <c r="BZ51" s="270"/>
      <c r="CA51" s="270"/>
      <c r="CB51" s="270"/>
      <c r="CC51" s="270"/>
      <c r="CD51" s="270"/>
      <c r="CE51" s="270"/>
      <c r="CF51" s="270"/>
      <c r="CG51" s="270"/>
      <c r="CH51" s="270"/>
      <c r="CI51" s="270"/>
      <c r="CJ51" s="270"/>
      <c r="CK51" s="270"/>
      <c r="CL51" s="270"/>
      <c r="CM51" s="270"/>
      <c r="CN51" s="270"/>
      <c r="CO51" s="270"/>
      <c r="CP51" s="270"/>
      <c r="CQ51" s="270"/>
      <c r="CR51" s="270"/>
      <c r="CS51" s="270"/>
      <c r="CT51" s="270"/>
      <c r="CU51" s="270"/>
      <c r="CV51" s="270"/>
      <c r="CW51" s="270"/>
      <c r="CX51" s="270"/>
      <c r="CY51" s="270"/>
      <c r="CZ51" s="270"/>
      <c r="DA51" s="270"/>
      <c r="DB51" s="270"/>
      <c r="DC51" s="270"/>
      <c r="DD51" s="270"/>
      <c r="DE51" s="270"/>
      <c r="DF51" s="272">
        <f t="shared" si="12"/>
        <v>0</v>
      </c>
      <c r="DG51" s="272">
        <f t="shared" si="12"/>
        <v>0</v>
      </c>
      <c r="DH51" s="272">
        <f t="shared" si="14"/>
        <v>0</v>
      </c>
      <c r="DI51" s="274"/>
    </row>
    <row r="52" spans="1:113" s="275" customFormat="1" ht="24.75" customHeight="1" x14ac:dyDescent="0.6">
      <c r="A52" s="268">
        <v>9</v>
      </c>
      <c r="B52" s="269" t="s">
        <v>310</v>
      </c>
      <c r="C52" s="104" t="s">
        <v>311</v>
      </c>
      <c r="D52" s="100" t="s">
        <v>312</v>
      </c>
      <c r="E52" s="99" t="s">
        <v>313</v>
      </c>
      <c r="F52" s="234" t="s">
        <v>733</v>
      </c>
      <c r="G52" s="234" t="s">
        <v>841</v>
      </c>
      <c r="H52" s="234" t="s">
        <v>842</v>
      </c>
      <c r="I52" s="234" t="s">
        <v>843</v>
      </c>
      <c r="J52" s="234" t="s">
        <v>288</v>
      </c>
      <c r="K52" s="259"/>
      <c r="L52" s="258"/>
      <c r="M52" s="258"/>
      <c r="N52" s="258"/>
      <c r="O52" s="258"/>
      <c r="P52" s="258"/>
      <c r="Q52" s="258"/>
      <c r="R52" s="258"/>
      <c r="S52" s="258"/>
      <c r="T52" s="258">
        <v>65</v>
      </c>
      <c r="U52" s="258">
        <v>800</v>
      </c>
      <c r="V52" s="258">
        <v>749.6</v>
      </c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>
        <v>100</v>
      </c>
      <c r="AJ52" s="258">
        <v>1500</v>
      </c>
      <c r="AK52" s="258">
        <v>1189.5999999999999</v>
      </c>
      <c r="AL52" s="258"/>
      <c r="AM52" s="258"/>
      <c r="AN52" s="258"/>
      <c r="AO52" s="272">
        <f t="shared" si="13"/>
        <v>165</v>
      </c>
      <c r="AP52" s="272">
        <f t="shared" si="9"/>
        <v>2300</v>
      </c>
      <c r="AQ52" s="272">
        <f>M52+P52+S52+V52+Y52+AB52+AE52+AH52+AK52+AN52</f>
        <v>1939.1999999999998</v>
      </c>
      <c r="AR52" s="234">
        <v>85</v>
      </c>
      <c r="AS52" s="234">
        <v>1340</v>
      </c>
      <c r="AT52" s="234">
        <v>955.2</v>
      </c>
      <c r="AU52" s="234"/>
      <c r="AV52" s="234"/>
      <c r="AW52" s="234"/>
      <c r="AX52" s="234"/>
      <c r="AY52" s="234"/>
      <c r="AZ52" s="234"/>
      <c r="BA52" s="234"/>
      <c r="BB52" s="234"/>
      <c r="BC52" s="234"/>
      <c r="BD52" s="234"/>
      <c r="BE52" s="234"/>
      <c r="BF52" s="234"/>
      <c r="BG52" s="234">
        <v>135</v>
      </c>
      <c r="BH52" s="234">
        <v>2240</v>
      </c>
      <c r="BI52" s="234">
        <v>1544.8</v>
      </c>
      <c r="BJ52" s="234"/>
      <c r="BK52" s="234"/>
      <c r="BL52" s="234"/>
      <c r="BM52" s="234"/>
      <c r="BN52" s="234"/>
      <c r="BO52" s="234"/>
      <c r="BP52" s="234"/>
      <c r="BQ52" s="234"/>
      <c r="BR52" s="234"/>
      <c r="BS52" s="234"/>
      <c r="BT52" s="234"/>
      <c r="BU52" s="270"/>
      <c r="BV52" s="272">
        <f t="shared" si="11"/>
        <v>385</v>
      </c>
      <c r="BW52" s="272">
        <f t="shared" si="11"/>
        <v>5880</v>
      </c>
      <c r="BX52" s="272">
        <f t="shared" si="11"/>
        <v>4439.2</v>
      </c>
      <c r="BY52" s="270"/>
      <c r="BZ52" s="270"/>
      <c r="CA52" s="270"/>
      <c r="CB52" s="270"/>
      <c r="CC52" s="270"/>
      <c r="CD52" s="270"/>
      <c r="CE52" s="270"/>
      <c r="CF52" s="270"/>
      <c r="CG52" s="270"/>
      <c r="CH52" s="270"/>
      <c r="CI52" s="270"/>
      <c r="CJ52" s="270"/>
      <c r="CK52" s="270"/>
      <c r="CL52" s="270"/>
      <c r="CM52" s="270"/>
      <c r="CN52" s="270"/>
      <c r="CO52" s="270"/>
      <c r="CP52" s="270"/>
      <c r="CQ52" s="270"/>
      <c r="CR52" s="270"/>
      <c r="CS52" s="270"/>
      <c r="CT52" s="270"/>
      <c r="CU52" s="270"/>
      <c r="CV52" s="270"/>
      <c r="CW52" s="270"/>
      <c r="CX52" s="270"/>
      <c r="CY52" s="270"/>
      <c r="CZ52" s="270"/>
      <c r="DA52" s="270"/>
      <c r="DB52" s="270"/>
      <c r="DC52" s="270"/>
      <c r="DD52" s="270"/>
      <c r="DE52" s="270"/>
      <c r="DF52" s="272">
        <f t="shared" si="12"/>
        <v>385</v>
      </c>
      <c r="DG52" s="272">
        <f t="shared" si="12"/>
        <v>5880</v>
      </c>
      <c r="DH52" s="272">
        <f t="shared" si="14"/>
        <v>4439.2</v>
      </c>
      <c r="DI52" s="274"/>
    </row>
    <row r="53" spans="1:113" s="275" customFormat="1" ht="24.75" customHeight="1" x14ac:dyDescent="0.6">
      <c r="A53" s="268">
        <v>10</v>
      </c>
      <c r="B53" s="300">
        <v>126</v>
      </c>
      <c r="C53" s="147">
        <v>126</v>
      </c>
      <c r="D53" s="100" t="s">
        <v>314</v>
      </c>
      <c r="E53" s="99" t="s">
        <v>132</v>
      </c>
      <c r="F53" s="234" t="s">
        <v>733</v>
      </c>
      <c r="G53" s="234" t="s">
        <v>306</v>
      </c>
      <c r="H53" s="234" t="s">
        <v>307</v>
      </c>
      <c r="I53" s="234" t="s">
        <v>844</v>
      </c>
      <c r="J53" s="234" t="s">
        <v>288</v>
      </c>
      <c r="K53" s="259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  <c r="AF53" s="258"/>
      <c r="AG53" s="258"/>
      <c r="AH53" s="258"/>
      <c r="AI53" s="258"/>
      <c r="AJ53" s="258"/>
      <c r="AK53" s="258"/>
      <c r="AL53" s="258"/>
      <c r="AM53" s="258"/>
      <c r="AN53" s="258"/>
      <c r="AO53" s="272">
        <f t="shared" si="13"/>
        <v>0</v>
      </c>
      <c r="AP53" s="272">
        <f t="shared" si="9"/>
        <v>0</v>
      </c>
      <c r="AQ53" s="272">
        <f>M53+P53+S53+V53+Y53+AB53+AE53+AH53+AK53+AN53</f>
        <v>0</v>
      </c>
      <c r="AR53" s="234">
        <v>50</v>
      </c>
      <c r="AS53" s="234">
        <v>640</v>
      </c>
      <c r="AT53" s="234">
        <v>539.20000000000005</v>
      </c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  <c r="BI53" s="234"/>
      <c r="BJ53" s="234">
        <v>30</v>
      </c>
      <c r="BK53" s="234">
        <v>400</v>
      </c>
      <c r="BL53" s="234">
        <v>299.20000000000005</v>
      </c>
      <c r="BM53" s="234"/>
      <c r="BN53" s="234"/>
      <c r="BO53" s="234"/>
      <c r="BP53" s="234"/>
      <c r="BQ53" s="234"/>
      <c r="BR53" s="234"/>
      <c r="BS53" s="234"/>
      <c r="BT53" s="234"/>
      <c r="BU53" s="270"/>
      <c r="BV53" s="272">
        <f t="shared" si="11"/>
        <v>80</v>
      </c>
      <c r="BW53" s="272">
        <f t="shared" si="11"/>
        <v>1040</v>
      </c>
      <c r="BX53" s="272">
        <f t="shared" si="11"/>
        <v>838.40000000000009</v>
      </c>
      <c r="BY53" s="270"/>
      <c r="BZ53" s="270"/>
      <c r="CA53" s="270"/>
      <c r="CB53" s="270"/>
      <c r="CC53" s="270"/>
      <c r="CD53" s="270"/>
      <c r="CE53" s="270"/>
      <c r="CF53" s="270"/>
      <c r="CG53" s="270"/>
      <c r="CH53" s="270"/>
      <c r="CI53" s="270"/>
      <c r="CJ53" s="270"/>
      <c r="CK53" s="270"/>
      <c r="CL53" s="270"/>
      <c r="CM53" s="270"/>
      <c r="CN53" s="270"/>
      <c r="CO53" s="270"/>
      <c r="CP53" s="270"/>
      <c r="CQ53" s="270"/>
      <c r="CR53" s="270"/>
      <c r="CS53" s="270"/>
      <c r="CT53" s="270"/>
      <c r="CU53" s="270"/>
      <c r="CV53" s="270"/>
      <c r="CW53" s="270"/>
      <c r="CX53" s="270"/>
      <c r="CY53" s="270"/>
      <c r="CZ53" s="270"/>
      <c r="DA53" s="270"/>
      <c r="DB53" s="270"/>
      <c r="DC53" s="270"/>
      <c r="DD53" s="270"/>
      <c r="DE53" s="270"/>
      <c r="DF53" s="272">
        <f t="shared" si="12"/>
        <v>80</v>
      </c>
      <c r="DG53" s="272">
        <f t="shared" si="12"/>
        <v>1040</v>
      </c>
      <c r="DH53" s="272">
        <f t="shared" si="14"/>
        <v>838.40000000000009</v>
      </c>
      <c r="DI53" s="274"/>
    </row>
    <row r="54" spans="1:113" s="275" customFormat="1" ht="24.75" customHeight="1" x14ac:dyDescent="0.6">
      <c r="A54" s="268">
        <v>11</v>
      </c>
      <c r="B54" s="269" t="s">
        <v>315</v>
      </c>
      <c r="C54" s="104" t="s">
        <v>316</v>
      </c>
      <c r="D54" s="100" t="s">
        <v>90</v>
      </c>
      <c r="E54" s="99" t="s">
        <v>91</v>
      </c>
      <c r="F54" s="234" t="s">
        <v>733</v>
      </c>
      <c r="G54" s="234" t="s">
        <v>845</v>
      </c>
      <c r="H54" s="234" t="s">
        <v>846</v>
      </c>
      <c r="I54" s="234" t="s">
        <v>847</v>
      </c>
      <c r="J54" s="234" t="s">
        <v>288</v>
      </c>
      <c r="K54" s="259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>
        <v>35</v>
      </c>
      <c r="X54" s="258">
        <v>420</v>
      </c>
      <c r="Y54" s="258">
        <v>420</v>
      </c>
      <c r="Z54" s="258">
        <v>25</v>
      </c>
      <c r="AA54" s="258">
        <v>300</v>
      </c>
      <c r="AB54" s="258">
        <v>300</v>
      </c>
      <c r="AC54" s="258">
        <v>20</v>
      </c>
      <c r="AD54" s="258">
        <v>380</v>
      </c>
      <c r="AE54" s="258">
        <v>250</v>
      </c>
      <c r="AF54" s="258"/>
      <c r="AG54" s="258"/>
      <c r="AH54" s="258"/>
      <c r="AI54" s="258">
        <v>25</v>
      </c>
      <c r="AJ54" s="258">
        <v>440</v>
      </c>
      <c r="AK54" s="258">
        <v>310</v>
      </c>
      <c r="AL54" s="258">
        <v>35</v>
      </c>
      <c r="AM54" s="258">
        <v>460</v>
      </c>
      <c r="AN54" s="258">
        <v>359.20000000000005</v>
      </c>
      <c r="AO54" s="272">
        <f t="shared" si="13"/>
        <v>140</v>
      </c>
      <c r="AP54" s="272">
        <f t="shared" si="9"/>
        <v>2000</v>
      </c>
      <c r="AQ54" s="272">
        <f>+AN54+AK54+AH54+AE54+AB54+Y54+V54+S54+P54+M54</f>
        <v>1639.2</v>
      </c>
      <c r="AR54" s="234">
        <v>10</v>
      </c>
      <c r="AS54" s="234">
        <v>120</v>
      </c>
      <c r="AT54" s="234">
        <v>72</v>
      </c>
      <c r="AU54" s="234">
        <v>30</v>
      </c>
      <c r="AV54" s="234">
        <v>380</v>
      </c>
      <c r="AW54" s="234">
        <v>329.6</v>
      </c>
      <c r="AX54" s="234"/>
      <c r="AY54" s="234"/>
      <c r="AZ54" s="234"/>
      <c r="BA54" s="234">
        <v>35</v>
      </c>
      <c r="BB54" s="234">
        <v>440</v>
      </c>
      <c r="BC54" s="234">
        <v>389.6</v>
      </c>
      <c r="BD54" s="234"/>
      <c r="BE54" s="234"/>
      <c r="BF54" s="234"/>
      <c r="BG54" s="234">
        <v>45</v>
      </c>
      <c r="BH54" s="234">
        <v>570</v>
      </c>
      <c r="BI54" s="234">
        <v>494.4</v>
      </c>
      <c r="BJ54" s="234"/>
      <c r="BK54" s="234"/>
      <c r="BL54" s="234"/>
      <c r="BM54" s="234">
        <v>60</v>
      </c>
      <c r="BN54" s="234">
        <v>1320</v>
      </c>
      <c r="BO54" s="234">
        <v>699.2</v>
      </c>
      <c r="BP54" s="234"/>
      <c r="BQ54" s="234"/>
      <c r="BR54" s="234"/>
      <c r="BS54" s="234">
        <v>25</v>
      </c>
      <c r="BT54" s="234">
        <v>300</v>
      </c>
      <c r="BU54" s="270">
        <v>300</v>
      </c>
      <c r="BV54" s="272">
        <f t="shared" si="11"/>
        <v>345</v>
      </c>
      <c r="BW54" s="272">
        <f t="shared" si="11"/>
        <v>5130</v>
      </c>
      <c r="BX54" s="272">
        <f t="shared" si="11"/>
        <v>3924</v>
      </c>
      <c r="BY54" s="270"/>
      <c r="BZ54" s="270"/>
      <c r="CA54" s="270"/>
      <c r="CB54" s="270"/>
      <c r="CC54" s="270"/>
      <c r="CD54" s="270"/>
      <c r="CE54" s="270"/>
      <c r="CF54" s="270"/>
      <c r="CG54" s="270"/>
      <c r="CH54" s="270"/>
      <c r="CI54" s="270"/>
      <c r="CJ54" s="270"/>
      <c r="CK54" s="270"/>
      <c r="CL54" s="270"/>
      <c r="CM54" s="270"/>
      <c r="CN54" s="270"/>
      <c r="CO54" s="270"/>
      <c r="CP54" s="270"/>
      <c r="CQ54" s="270"/>
      <c r="CR54" s="270"/>
      <c r="CS54" s="270"/>
      <c r="CT54" s="270"/>
      <c r="CU54" s="270"/>
      <c r="CV54" s="270"/>
      <c r="CW54" s="270"/>
      <c r="CX54" s="270"/>
      <c r="CY54" s="270"/>
      <c r="CZ54" s="270"/>
      <c r="DA54" s="270"/>
      <c r="DB54" s="270"/>
      <c r="DC54" s="270"/>
      <c r="DD54" s="270"/>
      <c r="DE54" s="270"/>
      <c r="DF54" s="272">
        <f t="shared" si="12"/>
        <v>345</v>
      </c>
      <c r="DG54" s="272">
        <f t="shared" si="12"/>
        <v>5130</v>
      </c>
      <c r="DH54" s="272">
        <f t="shared" si="14"/>
        <v>3924</v>
      </c>
      <c r="DI54" s="274"/>
    </row>
    <row r="55" spans="1:113" s="275" customFormat="1" ht="24.75" customHeight="1" x14ac:dyDescent="0.6">
      <c r="A55" s="268">
        <v>12</v>
      </c>
      <c r="B55" s="269" t="s">
        <v>317</v>
      </c>
      <c r="C55" s="104" t="s">
        <v>318</v>
      </c>
      <c r="D55" s="100" t="s">
        <v>90</v>
      </c>
      <c r="E55" s="99" t="s">
        <v>91</v>
      </c>
      <c r="F55" s="234" t="s">
        <v>733</v>
      </c>
      <c r="G55" s="234" t="s">
        <v>848</v>
      </c>
      <c r="H55" s="234" t="s">
        <v>849</v>
      </c>
      <c r="I55" s="234" t="s">
        <v>850</v>
      </c>
      <c r="J55" s="234" t="s">
        <v>288</v>
      </c>
      <c r="K55" s="259"/>
      <c r="L55" s="258"/>
      <c r="M55" s="258"/>
      <c r="N55" s="258"/>
      <c r="O55" s="258"/>
      <c r="P55" s="258"/>
      <c r="Q55" s="258">
        <v>25</v>
      </c>
      <c r="R55" s="258">
        <v>350</v>
      </c>
      <c r="S55" s="258">
        <v>224</v>
      </c>
      <c r="T55" s="258"/>
      <c r="U55" s="258"/>
      <c r="V55" s="258"/>
      <c r="W55" s="258"/>
      <c r="X55" s="258"/>
      <c r="Y55" s="258"/>
      <c r="Z55" s="258"/>
      <c r="AA55" s="258"/>
      <c r="AB55" s="258"/>
      <c r="AC55" s="258"/>
      <c r="AD55" s="258"/>
      <c r="AE55" s="258"/>
      <c r="AF55" s="258"/>
      <c r="AG55" s="258"/>
      <c r="AH55" s="258"/>
      <c r="AI55" s="258"/>
      <c r="AJ55" s="258"/>
      <c r="AK55" s="258"/>
      <c r="AL55" s="258"/>
      <c r="AM55" s="258"/>
      <c r="AN55" s="258"/>
      <c r="AO55" s="272">
        <f t="shared" si="13"/>
        <v>25</v>
      </c>
      <c r="AP55" s="272">
        <f t="shared" si="9"/>
        <v>350</v>
      </c>
      <c r="AQ55" s="272">
        <f t="shared" ref="AQ55:AQ90" si="15">M55+P55+S55+V55+Y55+AB55+AE55+AH55+AK55+AN55</f>
        <v>224</v>
      </c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>
        <v>90</v>
      </c>
      <c r="BK55" s="234">
        <v>1920</v>
      </c>
      <c r="BL55" s="234">
        <v>1140</v>
      </c>
      <c r="BM55" s="234"/>
      <c r="BN55" s="234"/>
      <c r="BO55" s="234"/>
      <c r="BP55" s="234"/>
      <c r="BQ55" s="234"/>
      <c r="BR55" s="234"/>
      <c r="BS55" s="234"/>
      <c r="BT55" s="234"/>
      <c r="BU55" s="270"/>
      <c r="BV55" s="272">
        <f t="shared" si="11"/>
        <v>115</v>
      </c>
      <c r="BW55" s="272">
        <f t="shared" si="11"/>
        <v>2270</v>
      </c>
      <c r="BX55" s="272">
        <f t="shared" si="11"/>
        <v>1364</v>
      </c>
      <c r="BY55" s="270"/>
      <c r="BZ55" s="270"/>
      <c r="CA55" s="270"/>
      <c r="CB55" s="270"/>
      <c r="CC55" s="270"/>
      <c r="CD55" s="270"/>
      <c r="CE55" s="270"/>
      <c r="CF55" s="270"/>
      <c r="CG55" s="270"/>
      <c r="CH55" s="270"/>
      <c r="CI55" s="270"/>
      <c r="CJ55" s="270"/>
      <c r="CK55" s="270"/>
      <c r="CL55" s="270"/>
      <c r="CM55" s="270"/>
      <c r="CN55" s="270"/>
      <c r="CO55" s="270"/>
      <c r="CP55" s="270"/>
      <c r="CQ55" s="270"/>
      <c r="CR55" s="270"/>
      <c r="CS55" s="270"/>
      <c r="CT55" s="270"/>
      <c r="CU55" s="270"/>
      <c r="CV55" s="270"/>
      <c r="CW55" s="270"/>
      <c r="CX55" s="270"/>
      <c r="CY55" s="270"/>
      <c r="CZ55" s="270"/>
      <c r="DA55" s="270"/>
      <c r="DB55" s="270"/>
      <c r="DC55" s="270"/>
      <c r="DD55" s="270"/>
      <c r="DE55" s="270"/>
      <c r="DF55" s="272">
        <f t="shared" si="12"/>
        <v>115</v>
      </c>
      <c r="DG55" s="272">
        <f t="shared" si="12"/>
        <v>2270</v>
      </c>
      <c r="DH55" s="272">
        <f t="shared" si="14"/>
        <v>1364</v>
      </c>
      <c r="DI55" s="274"/>
    </row>
    <row r="56" spans="1:113" s="275" customFormat="1" ht="24.75" customHeight="1" x14ac:dyDescent="0.6">
      <c r="A56" s="268">
        <v>13</v>
      </c>
      <c r="B56" s="269" t="s">
        <v>319</v>
      </c>
      <c r="C56" s="104" t="s">
        <v>320</v>
      </c>
      <c r="D56" s="100" t="s">
        <v>90</v>
      </c>
      <c r="E56" s="99" t="s">
        <v>91</v>
      </c>
      <c r="F56" s="234" t="s">
        <v>733</v>
      </c>
      <c r="G56" s="234" t="s">
        <v>851</v>
      </c>
      <c r="H56" s="234" t="s">
        <v>852</v>
      </c>
      <c r="I56" s="234" t="s">
        <v>853</v>
      </c>
      <c r="J56" s="234" t="s">
        <v>288</v>
      </c>
      <c r="K56" s="259"/>
      <c r="L56" s="258"/>
      <c r="M56" s="258"/>
      <c r="N56" s="258"/>
      <c r="O56" s="258"/>
      <c r="P56" s="258"/>
      <c r="Q56" s="258">
        <v>30</v>
      </c>
      <c r="R56" s="258">
        <v>410</v>
      </c>
      <c r="S56" s="258">
        <v>284</v>
      </c>
      <c r="T56" s="258">
        <v>25</v>
      </c>
      <c r="U56" s="258">
        <v>320</v>
      </c>
      <c r="V56" s="258">
        <v>269.60000000000002</v>
      </c>
      <c r="W56" s="258">
        <v>20</v>
      </c>
      <c r="X56" s="258">
        <v>260</v>
      </c>
      <c r="Y56" s="258">
        <v>209.60000000000002</v>
      </c>
      <c r="Z56" s="258">
        <v>28</v>
      </c>
      <c r="AA56" s="258">
        <v>336</v>
      </c>
      <c r="AB56" s="258">
        <v>325.2</v>
      </c>
      <c r="AC56" s="258">
        <v>15</v>
      </c>
      <c r="AD56" s="258">
        <v>600</v>
      </c>
      <c r="AE56" s="258">
        <v>210</v>
      </c>
      <c r="AF56" s="258"/>
      <c r="AG56" s="258"/>
      <c r="AH56" s="258"/>
      <c r="AI56" s="258">
        <v>20</v>
      </c>
      <c r="AJ56" s="258">
        <v>280</v>
      </c>
      <c r="AK56" s="258">
        <v>179.20000000000002</v>
      </c>
      <c r="AL56" s="258">
        <v>15</v>
      </c>
      <c r="AM56" s="258">
        <v>320</v>
      </c>
      <c r="AN56" s="258">
        <v>190</v>
      </c>
      <c r="AO56" s="272">
        <f t="shared" si="13"/>
        <v>153</v>
      </c>
      <c r="AP56" s="272">
        <f t="shared" si="9"/>
        <v>2526</v>
      </c>
      <c r="AQ56" s="272">
        <f t="shared" si="15"/>
        <v>1667.6000000000001</v>
      </c>
      <c r="AR56" s="234"/>
      <c r="AS56" s="234"/>
      <c r="AT56" s="234"/>
      <c r="AU56" s="234">
        <v>20</v>
      </c>
      <c r="AV56" s="234">
        <v>280</v>
      </c>
      <c r="AW56" s="234">
        <v>179.20000000000002</v>
      </c>
      <c r="AX56" s="234"/>
      <c r="AY56" s="234"/>
      <c r="AZ56" s="234"/>
      <c r="BA56" s="234">
        <v>20</v>
      </c>
      <c r="BB56" s="234">
        <v>260</v>
      </c>
      <c r="BC56" s="234">
        <v>209.60000000000002</v>
      </c>
      <c r="BD56" s="234"/>
      <c r="BE56" s="234"/>
      <c r="BF56" s="234"/>
      <c r="BG56" s="234">
        <v>25</v>
      </c>
      <c r="BH56" s="234">
        <v>320</v>
      </c>
      <c r="BI56" s="234">
        <v>269.60000000000002</v>
      </c>
      <c r="BJ56" s="234">
        <v>20</v>
      </c>
      <c r="BK56" s="234">
        <v>260</v>
      </c>
      <c r="BL56" s="234">
        <v>209.60000000000002</v>
      </c>
      <c r="BM56" s="234"/>
      <c r="BN56" s="234"/>
      <c r="BO56" s="234"/>
      <c r="BP56" s="234"/>
      <c r="BQ56" s="234"/>
      <c r="BR56" s="234"/>
      <c r="BS56" s="234">
        <v>35</v>
      </c>
      <c r="BT56" s="234">
        <v>440</v>
      </c>
      <c r="BU56" s="270">
        <v>389.6</v>
      </c>
      <c r="BV56" s="272">
        <f t="shared" si="11"/>
        <v>273</v>
      </c>
      <c r="BW56" s="272">
        <f t="shared" si="11"/>
        <v>4086</v>
      </c>
      <c r="BX56" s="272">
        <f t="shared" si="11"/>
        <v>2925.2000000000003</v>
      </c>
      <c r="BY56" s="270"/>
      <c r="BZ56" s="270"/>
      <c r="CA56" s="270"/>
      <c r="CB56" s="270"/>
      <c r="CC56" s="270"/>
      <c r="CD56" s="270"/>
      <c r="CE56" s="270"/>
      <c r="CF56" s="270"/>
      <c r="CG56" s="270"/>
      <c r="CH56" s="270"/>
      <c r="CI56" s="270"/>
      <c r="CJ56" s="270"/>
      <c r="CK56" s="270"/>
      <c r="CL56" s="270"/>
      <c r="CM56" s="270"/>
      <c r="CN56" s="270"/>
      <c r="CO56" s="270"/>
      <c r="CP56" s="270"/>
      <c r="CQ56" s="270"/>
      <c r="CR56" s="270"/>
      <c r="CS56" s="270"/>
      <c r="CT56" s="270"/>
      <c r="CU56" s="270"/>
      <c r="CV56" s="270"/>
      <c r="CW56" s="270"/>
      <c r="CX56" s="270"/>
      <c r="CY56" s="270"/>
      <c r="CZ56" s="270"/>
      <c r="DA56" s="270"/>
      <c r="DB56" s="270"/>
      <c r="DC56" s="270"/>
      <c r="DD56" s="270"/>
      <c r="DE56" s="270"/>
      <c r="DF56" s="272">
        <f t="shared" si="12"/>
        <v>273</v>
      </c>
      <c r="DG56" s="272">
        <f t="shared" si="12"/>
        <v>4086</v>
      </c>
      <c r="DH56" s="272">
        <f t="shared" si="14"/>
        <v>2925.2000000000003</v>
      </c>
      <c r="DI56" s="274"/>
    </row>
    <row r="57" spans="1:113" s="275" customFormat="1" ht="24.75" customHeight="1" x14ac:dyDescent="0.6">
      <c r="A57" s="268">
        <v>14</v>
      </c>
      <c r="B57" s="269" t="s">
        <v>321</v>
      </c>
      <c r="C57" s="104" t="s">
        <v>322</v>
      </c>
      <c r="D57" s="100" t="s">
        <v>323</v>
      </c>
      <c r="E57" s="99" t="s">
        <v>91</v>
      </c>
      <c r="F57" s="234" t="s">
        <v>733</v>
      </c>
      <c r="G57" s="234" t="s">
        <v>854</v>
      </c>
      <c r="H57" s="234" t="s">
        <v>855</v>
      </c>
      <c r="I57" s="234" t="s">
        <v>856</v>
      </c>
      <c r="J57" s="234" t="s">
        <v>288</v>
      </c>
      <c r="K57" s="259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  <c r="Z57" s="258">
        <v>35</v>
      </c>
      <c r="AA57" s="258">
        <v>560</v>
      </c>
      <c r="AB57" s="258">
        <v>382</v>
      </c>
      <c r="AC57" s="258"/>
      <c r="AD57" s="258"/>
      <c r="AE57" s="258"/>
      <c r="AF57" s="258"/>
      <c r="AG57" s="258"/>
      <c r="AH57" s="258"/>
      <c r="AI57" s="258"/>
      <c r="AJ57" s="258"/>
      <c r="AK57" s="258"/>
      <c r="AL57" s="258"/>
      <c r="AM57" s="258"/>
      <c r="AN57" s="258"/>
      <c r="AO57" s="272">
        <f t="shared" si="13"/>
        <v>35</v>
      </c>
      <c r="AP57" s="272">
        <f t="shared" si="9"/>
        <v>560</v>
      </c>
      <c r="AQ57" s="272">
        <f t="shared" si="15"/>
        <v>382</v>
      </c>
      <c r="AR57" s="234"/>
      <c r="AS57" s="234"/>
      <c r="AT57" s="234"/>
      <c r="AU57" s="234"/>
      <c r="AV57" s="234"/>
      <c r="AW57" s="234"/>
      <c r="AX57" s="234"/>
      <c r="AY57" s="234"/>
      <c r="AZ57" s="234"/>
      <c r="BA57" s="234">
        <v>30</v>
      </c>
      <c r="BB57" s="234">
        <v>380</v>
      </c>
      <c r="BC57" s="234">
        <v>329.6</v>
      </c>
      <c r="BD57" s="234"/>
      <c r="BE57" s="234"/>
      <c r="BF57" s="234"/>
      <c r="BG57" s="234"/>
      <c r="BH57" s="234"/>
      <c r="BI57" s="234"/>
      <c r="BJ57" s="234"/>
      <c r="BK57" s="234"/>
      <c r="BL57" s="234"/>
      <c r="BM57" s="234"/>
      <c r="BN57" s="234"/>
      <c r="BO57" s="234"/>
      <c r="BP57" s="234"/>
      <c r="BQ57" s="234"/>
      <c r="BR57" s="234"/>
      <c r="BS57" s="234">
        <v>35</v>
      </c>
      <c r="BT57" s="234">
        <v>580</v>
      </c>
      <c r="BU57" s="270">
        <v>375.6</v>
      </c>
      <c r="BV57" s="272">
        <f t="shared" si="11"/>
        <v>100</v>
      </c>
      <c r="BW57" s="272">
        <f t="shared" si="11"/>
        <v>1520</v>
      </c>
      <c r="BX57" s="272">
        <f t="shared" si="11"/>
        <v>1087.2</v>
      </c>
      <c r="BY57" s="270"/>
      <c r="BZ57" s="270"/>
      <c r="CA57" s="270"/>
      <c r="CB57" s="270"/>
      <c r="CC57" s="270"/>
      <c r="CD57" s="270"/>
      <c r="CE57" s="270"/>
      <c r="CF57" s="270"/>
      <c r="CG57" s="270"/>
      <c r="CH57" s="270"/>
      <c r="CI57" s="270"/>
      <c r="CJ57" s="270"/>
      <c r="CK57" s="270"/>
      <c r="CL57" s="270"/>
      <c r="CM57" s="270"/>
      <c r="CN57" s="270"/>
      <c r="CO57" s="270"/>
      <c r="CP57" s="270"/>
      <c r="CQ57" s="270"/>
      <c r="CR57" s="270"/>
      <c r="CS57" s="270"/>
      <c r="CT57" s="270"/>
      <c r="CU57" s="270"/>
      <c r="CV57" s="270"/>
      <c r="CW57" s="270"/>
      <c r="CX57" s="270"/>
      <c r="CY57" s="270"/>
      <c r="CZ57" s="270"/>
      <c r="DA57" s="270"/>
      <c r="DB57" s="270"/>
      <c r="DC57" s="270"/>
      <c r="DD57" s="270"/>
      <c r="DE57" s="270"/>
      <c r="DF57" s="272">
        <f t="shared" si="12"/>
        <v>100</v>
      </c>
      <c r="DG57" s="272">
        <f t="shared" si="12"/>
        <v>1520</v>
      </c>
      <c r="DH57" s="272">
        <f t="shared" si="14"/>
        <v>1087.2</v>
      </c>
      <c r="DI57" s="274"/>
    </row>
    <row r="58" spans="1:113" s="275" customFormat="1" ht="24.75" customHeight="1" x14ac:dyDescent="0.6">
      <c r="A58" s="268">
        <v>15</v>
      </c>
      <c r="B58" s="269" t="s">
        <v>324</v>
      </c>
      <c r="C58" s="104" t="s">
        <v>325</v>
      </c>
      <c r="D58" s="100" t="s">
        <v>297</v>
      </c>
      <c r="E58" s="148" t="s">
        <v>298</v>
      </c>
      <c r="F58" s="234" t="s">
        <v>733</v>
      </c>
      <c r="G58" s="234" t="s">
        <v>317</v>
      </c>
      <c r="H58" s="234" t="s">
        <v>857</v>
      </c>
      <c r="I58" s="234" t="s">
        <v>858</v>
      </c>
      <c r="J58" s="234" t="s">
        <v>288</v>
      </c>
      <c r="K58" s="259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258">
        <v>220</v>
      </c>
      <c r="AA58" s="258">
        <v>3400</v>
      </c>
      <c r="AB58" s="258">
        <v>2376</v>
      </c>
      <c r="AC58" s="258">
        <v>170</v>
      </c>
      <c r="AD58" s="258">
        <v>2600</v>
      </c>
      <c r="AE58" s="258">
        <v>2080</v>
      </c>
      <c r="AF58" s="258"/>
      <c r="AG58" s="258"/>
      <c r="AH58" s="258"/>
      <c r="AI58" s="258"/>
      <c r="AJ58" s="258"/>
      <c r="AK58" s="258"/>
      <c r="AL58" s="258"/>
      <c r="AM58" s="258"/>
      <c r="AN58" s="258"/>
      <c r="AO58" s="272">
        <f t="shared" si="13"/>
        <v>390</v>
      </c>
      <c r="AP58" s="272">
        <f t="shared" si="9"/>
        <v>6000</v>
      </c>
      <c r="AQ58" s="272">
        <f t="shared" si="15"/>
        <v>4456</v>
      </c>
      <c r="AR58" s="234">
        <v>50</v>
      </c>
      <c r="AS58" s="234">
        <v>700</v>
      </c>
      <c r="AT58" s="234">
        <v>448</v>
      </c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4"/>
      <c r="BM58" s="234"/>
      <c r="BN58" s="234"/>
      <c r="BO58" s="234"/>
      <c r="BP58" s="234">
        <v>60</v>
      </c>
      <c r="BQ58" s="234">
        <v>840</v>
      </c>
      <c r="BR58" s="234">
        <v>537.6</v>
      </c>
      <c r="BS58" s="234"/>
      <c r="BT58" s="234"/>
      <c r="BU58" s="270"/>
      <c r="BV58" s="272">
        <f t="shared" si="11"/>
        <v>500</v>
      </c>
      <c r="BW58" s="272">
        <f t="shared" si="11"/>
        <v>7540</v>
      </c>
      <c r="BX58" s="272">
        <f t="shared" si="11"/>
        <v>5441.6</v>
      </c>
      <c r="BY58" s="270"/>
      <c r="BZ58" s="270"/>
      <c r="CA58" s="270"/>
      <c r="CB58" s="270"/>
      <c r="CC58" s="270"/>
      <c r="CD58" s="270"/>
      <c r="CE58" s="270"/>
      <c r="CF58" s="270"/>
      <c r="CG58" s="270"/>
      <c r="CH58" s="270"/>
      <c r="CI58" s="270"/>
      <c r="CJ58" s="270"/>
      <c r="CK58" s="270"/>
      <c r="CL58" s="270"/>
      <c r="CM58" s="270"/>
      <c r="CN58" s="270"/>
      <c r="CO58" s="270"/>
      <c r="CP58" s="270"/>
      <c r="CQ58" s="270"/>
      <c r="CR58" s="270"/>
      <c r="CS58" s="270"/>
      <c r="CT58" s="270"/>
      <c r="CU58" s="270"/>
      <c r="CV58" s="270"/>
      <c r="CW58" s="270"/>
      <c r="CX58" s="270"/>
      <c r="CY58" s="270"/>
      <c r="CZ58" s="270"/>
      <c r="DA58" s="270"/>
      <c r="DB58" s="270"/>
      <c r="DC58" s="270"/>
      <c r="DD58" s="270"/>
      <c r="DE58" s="270"/>
      <c r="DF58" s="272">
        <f t="shared" si="12"/>
        <v>500</v>
      </c>
      <c r="DG58" s="272">
        <f t="shared" si="12"/>
        <v>7540</v>
      </c>
      <c r="DH58" s="272">
        <f t="shared" si="14"/>
        <v>5441.6</v>
      </c>
      <c r="DI58" s="274"/>
    </row>
    <row r="59" spans="1:113" s="275" customFormat="1" ht="24.75" customHeight="1" x14ac:dyDescent="0.6">
      <c r="A59" s="268">
        <v>15</v>
      </c>
      <c r="B59" s="269" t="s">
        <v>326</v>
      </c>
      <c r="C59" s="104" t="s">
        <v>327</v>
      </c>
      <c r="D59" s="100" t="s">
        <v>328</v>
      </c>
      <c r="E59" s="99" t="s">
        <v>329</v>
      </c>
      <c r="F59" s="234" t="s">
        <v>733</v>
      </c>
      <c r="G59" s="234" t="s">
        <v>859</v>
      </c>
      <c r="H59" s="234" t="s">
        <v>860</v>
      </c>
      <c r="I59" s="234" t="s">
        <v>861</v>
      </c>
      <c r="J59" s="234" t="s">
        <v>288</v>
      </c>
      <c r="K59" s="259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Y59" s="258"/>
      <c r="Z59" s="258"/>
      <c r="AA59" s="258"/>
      <c r="AB59" s="258"/>
      <c r="AC59" s="258"/>
      <c r="AD59" s="258"/>
      <c r="AE59" s="258"/>
      <c r="AF59" s="258"/>
      <c r="AG59" s="258"/>
      <c r="AH59" s="258"/>
      <c r="AI59" s="258"/>
      <c r="AJ59" s="258"/>
      <c r="AK59" s="258"/>
      <c r="AL59" s="258"/>
      <c r="AM59" s="258"/>
      <c r="AN59" s="258"/>
      <c r="AO59" s="272">
        <f t="shared" si="13"/>
        <v>0</v>
      </c>
      <c r="AP59" s="272">
        <f t="shared" si="9"/>
        <v>0</v>
      </c>
      <c r="AQ59" s="272">
        <f t="shared" si="15"/>
        <v>0</v>
      </c>
      <c r="AR59" s="234"/>
      <c r="AS59" s="234"/>
      <c r="AT59" s="234"/>
      <c r="AU59" s="234"/>
      <c r="AV59" s="234"/>
      <c r="AW59" s="234"/>
      <c r="AX59" s="234"/>
      <c r="AY59" s="234"/>
      <c r="AZ59" s="234"/>
      <c r="BA59" s="234">
        <v>15</v>
      </c>
      <c r="BB59" s="234">
        <v>180</v>
      </c>
      <c r="BC59" s="234">
        <v>180</v>
      </c>
      <c r="BD59" s="234"/>
      <c r="BE59" s="234"/>
      <c r="BF59" s="234"/>
      <c r="BG59" s="234"/>
      <c r="BH59" s="234"/>
      <c r="BI59" s="234"/>
      <c r="BJ59" s="234"/>
      <c r="BK59" s="234"/>
      <c r="BL59" s="234"/>
      <c r="BM59" s="234"/>
      <c r="BN59" s="234"/>
      <c r="BO59" s="234"/>
      <c r="BP59" s="234"/>
      <c r="BQ59" s="234"/>
      <c r="BR59" s="234"/>
      <c r="BS59" s="234"/>
      <c r="BT59" s="234"/>
      <c r="BU59" s="270"/>
      <c r="BV59" s="272">
        <f t="shared" si="11"/>
        <v>15</v>
      </c>
      <c r="BW59" s="272">
        <f t="shared" si="11"/>
        <v>180</v>
      </c>
      <c r="BX59" s="272">
        <f t="shared" si="11"/>
        <v>180</v>
      </c>
      <c r="BY59" s="270"/>
      <c r="BZ59" s="270"/>
      <c r="CA59" s="270"/>
      <c r="CB59" s="270"/>
      <c r="CC59" s="270"/>
      <c r="CD59" s="270"/>
      <c r="CE59" s="270"/>
      <c r="CF59" s="270"/>
      <c r="CG59" s="270"/>
      <c r="CH59" s="270"/>
      <c r="CI59" s="270"/>
      <c r="CJ59" s="270"/>
      <c r="CK59" s="270"/>
      <c r="CL59" s="270"/>
      <c r="CM59" s="270"/>
      <c r="CN59" s="270"/>
      <c r="CO59" s="270"/>
      <c r="CP59" s="270"/>
      <c r="CQ59" s="270"/>
      <c r="CR59" s="270"/>
      <c r="CS59" s="270"/>
      <c r="CT59" s="270"/>
      <c r="CU59" s="270"/>
      <c r="CV59" s="270"/>
      <c r="CW59" s="270"/>
      <c r="CX59" s="270"/>
      <c r="CY59" s="270"/>
      <c r="CZ59" s="270"/>
      <c r="DA59" s="270"/>
      <c r="DB59" s="270"/>
      <c r="DC59" s="270"/>
      <c r="DD59" s="270"/>
      <c r="DE59" s="270"/>
      <c r="DF59" s="272">
        <f t="shared" si="12"/>
        <v>15</v>
      </c>
      <c r="DG59" s="272">
        <f t="shared" si="12"/>
        <v>180</v>
      </c>
      <c r="DH59" s="272">
        <f t="shared" si="14"/>
        <v>180</v>
      </c>
      <c r="DI59" s="274"/>
    </row>
    <row r="60" spans="1:113" s="275" customFormat="1" ht="24.75" customHeight="1" x14ac:dyDescent="0.6">
      <c r="A60" s="268">
        <v>17</v>
      </c>
      <c r="B60" s="269" t="s">
        <v>210</v>
      </c>
      <c r="C60" s="104" t="s">
        <v>211</v>
      </c>
      <c r="D60" s="100" t="s">
        <v>330</v>
      </c>
      <c r="E60" s="99" t="s">
        <v>331</v>
      </c>
      <c r="F60" s="234" t="s">
        <v>733</v>
      </c>
      <c r="G60" s="234" t="s">
        <v>862</v>
      </c>
      <c r="H60" s="234" t="s">
        <v>863</v>
      </c>
      <c r="I60" s="234" t="s">
        <v>864</v>
      </c>
      <c r="J60" s="234" t="s">
        <v>288</v>
      </c>
      <c r="K60" s="259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8"/>
      <c r="AA60" s="258"/>
      <c r="AB60" s="258"/>
      <c r="AC60" s="258">
        <v>100</v>
      </c>
      <c r="AD60" s="258">
        <v>1400</v>
      </c>
      <c r="AE60" s="258">
        <v>896</v>
      </c>
      <c r="AF60" s="258"/>
      <c r="AG60" s="258"/>
      <c r="AH60" s="258"/>
      <c r="AI60" s="258"/>
      <c r="AJ60" s="258"/>
      <c r="AK60" s="258"/>
      <c r="AL60" s="258"/>
      <c r="AM60" s="258"/>
      <c r="AN60" s="258"/>
      <c r="AO60" s="272">
        <f t="shared" si="13"/>
        <v>100</v>
      </c>
      <c r="AP60" s="272">
        <f t="shared" si="9"/>
        <v>1400</v>
      </c>
      <c r="AQ60" s="272">
        <f t="shared" si="15"/>
        <v>896</v>
      </c>
      <c r="AR60" s="234"/>
      <c r="AS60" s="234"/>
      <c r="AT60" s="234"/>
      <c r="AU60" s="234"/>
      <c r="AV60" s="234"/>
      <c r="AW60" s="234"/>
      <c r="AX60" s="234">
        <v>115</v>
      </c>
      <c r="AY60" s="234">
        <v>1380</v>
      </c>
      <c r="AZ60" s="234">
        <v>1380</v>
      </c>
      <c r="BA60" s="234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4"/>
      <c r="BM60" s="234"/>
      <c r="BN60" s="234"/>
      <c r="BO60" s="234"/>
      <c r="BP60" s="234">
        <v>115</v>
      </c>
      <c r="BQ60" s="234">
        <v>1380</v>
      </c>
      <c r="BR60" s="234">
        <v>1380</v>
      </c>
      <c r="BS60" s="234"/>
      <c r="BT60" s="234"/>
      <c r="BU60" s="270"/>
      <c r="BV60" s="272">
        <f t="shared" si="11"/>
        <v>330</v>
      </c>
      <c r="BW60" s="272">
        <f t="shared" si="11"/>
        <v>4160</v>
      </c>
      <c r="BX60" s="272">
        <f t="shared" si="11"/>
        <v>3656</v>
      </c>
      <c r="BY60" s="270"/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/>
      <c r="CN60" s="270"/>
      <c r="CO60" s="270"/>
      <c r="CP60" s="270"/>
      <c r="CQ60" s="270"/>
      <c r="CR60" s="270"/>
      <c r="CS60" s="270"/>
      <c r="CT60" s="270"/>
      <c r="CU60" s="270"/>
      <c r="CV60" s="270"/>
      <c r="CW60" s="270"/>
      <c r="CX60" s="270"/>
      <c r="CY60" s="270"/>
      <c r="CZ60" s="270"/>
      <c r="DA60" s="270"/>
      <c r="DB60" s="270"/>
      <c r="DC60" s="270"/>
      <c r="DD60" s="270"/>
      <c r="DE60" s="270"/>
      <c r="DF60" s="272">
        <f t="shared" si="12"/>
        <v>330</v>
      </c>
      <c r="DG60" s="272">
        <f t="shared" si="12"/>
        <v>4160</v>
      </c>
      <c r="DH60" s="272">
        <f t="shared" si="14"/>
        <v>3656</v>
      </c>
      <c r="DI60" s="274"/>
    </row>
    <row r="61" spans="1:113" s="275" customFormat="1" ht="24.75" customHeight="1" x14ac:dyDescent="0.6">
      <c r="A61" s="268">
        <v>18</v>
      </c>
      <c r="B61" s="269" t="s">
        <v>332</v>
      </c>
      <c r="C61" s="104" t="s">
        <v>333</v>
      </c>
      <c r="D61" s="100" t="s">
        <v>98</v>
      </c>
      <c r="E61" s="99" t="s">
        <v>334</v>
      </c>
      <c r="F61" s="234" t="s">
        <v>733</v>
      </c>
      <c r="G61" s="301" t="s">
        <v>758</v>
      </c>
      <c r="H61" s="301" t="s">
        <v>758</v>
      </c>
      <c r="I61" s="234" t="s">
        <v>865</v>
      </c>
      <c r="J61" s="234" t="s">
        <v>288</v>
      </c>
      <c r="K61" s="259"/>
      <c r="L61" s="258"/>
      <c r="M61" s="258"/>
      <c r="N61" s="258"/>
      <c r="O61" s="258"/>
      <c r="P61" s="258"/>
      <c r="Q61" s="258"/>
      <c r="R61" s="258"/>
      <c r="S61" s="258"/>
      <c r="T61" s="258">
        <v>40</v>
      </c>
      <c r="U61" s="258">
        <v>760</v>
      </c>
      <c r="V61" s="258">
        <v>500</v>
      </c>
      <c r="W61" s="258"/>
      <c r="X61" s="258"/>
      <c r="Y61" s="258"/>
      <c r="Z61" s="258"/>
      <c r="AA61" s="258"/>
      <c r="AB61" s="258"/>
      <c r="AC61" s="258"/>
      <c r="AD61" s="258"/>
      <c r="AE61" s="258"/>
      <c r="AF61" s="258"/>
      <c r="AG61" s="258"/>
      <c r="AH61" s="258"/>
      <c r="AI61" s="258">
        <v>30</v>
      </c>
      <c r="AJ61" s="258">
        <v>360</v>
      </c>
      <c r="AK61" s="258">
        <v>360</v>
      </c>
      <c r="AL61" s="258"/>
      <c r="AM61" s="258"/>
      <c r="AN61" s="258"/>
      <c r="AO61" s="272">
        <f t="shared" si="13"/>
        <v>70</v>
      </c>
      <c r="AP61" s="272">
        <f t="shared" si="9"/>
        <v>1120</v>
      </c>
      <c r="AQ61" s="272">
        <f t="shared" si="15"/>
        <v>860</v>
      </c>
      <c r="AR61" s="234"/>
      <c r="AS61" s="234"/>
      <c r="AT61" s="234"/>
      <c r="AU61" s="234">
        <v>30</v>
      </c>
      <c r="AV61" s="234">
        <v>1200</v>
      </c>
      <c r="AW61" s="234">
        <v>420</v>
      </c>
      <c r="AX61" s="234"/>
      <c r="AY61" s="234"/>
      <c r="AZ61" s="234"/>
      <c r="BA61" s="234"/>
      <c r="BB61" s="234"/>
      <c r="BC61" s="234"/>
      <c r="BD61" s="234"/>
      <c r="BE61" s="234"/>
      <c r="BF61" s="234"/>
      <c r="BG61" s="234"/>
      <c r="BH61" s="234"/>
      <c r="BI61" s="234"/>
      <c r="BJ61" s="234"/>
      <c r="BK61" s="234"/>
      <c r="BL61" s="234"/>
      <c r="BM61" s="234"/>
      <c r="BN61" s="234"/>
      <c r="BO61" s="234"/>
      <c r="BP61" s="234"/>
      <c r="BQ61" s="234"/>
      <c r="BR61" s="234"/>
      <c r="BS61" s="234"/>
      <c r="BT61" s="234"/>
      <c r="BU61" s="270"/>
      <c r="BV61" s="272">
        <f t="shared" si="11"/>
        <v>100</v>
      </c>
      <c r="BW61" s="272">
        <f t="shared" si="11"/>
        <v>2320</v>
      </c>
      <c r="BX61" s="272">
        <f t="shared" si="11"/>
        <v>1280</v>
      </c>
      <c r="BY61" s="270"/>
      <c r="BZ61" s="270"/>
      <c r="CA61" s="270"/>
      <c r="CB61" s="270"/>
      <c r="CC61" s="270"/>
      <c r="CD61" s="270"/>
      <c r="CE61" s="270"/>
      <c r="CF61" s="270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0"/>
      <c r="CR61" s="270"/>
      <c r="CS61" s="270"/>
      <c r="CT61" s="270"/>
      <c r="CU61" s="270"/>
      <c r="CV61" s="270"/>
      <c r="CW61" s="270"/>
      <c r="CX61" s="270"/>
      <c r="CY61" s="270"/>
      <c r="CZ61" s="270"/>
      <c r="DA61" s="270"/>
      <c r="DB61" s="270"/>
      <c r="DC61" s="270"/>
      <c r="DD61" s="270"/>
      <c r="DE61" s="270"/>
      <c r="DF61" s="272">
        <f t="shared" si="12"/>
        <v>100</v>
      </c>
      <c r="DG61" s="272">
        <f t="shared" si="12"/>
        <v>2320</v>
      </c>
      <c r="DH61" s="272">
        <f t="shared" si="14"/>
        <v>1280</v>
      </c>
      <c r="DI61" s="274"/>
    </row>
    <row r="62" spans="1:113" s="275" customFormat="1" ht="24.75" customHeight="1" x14ac:dyDescent="0.6">
      <c r="A62" s="268">
        <v>19</v>
      </c>
      <c r="B62" s="269" t="s">
        <v>335</v>
      </c>
      <c r="C62" s="104" t="s">
        <v>336</v>
      </c>
      <c r="D62" s="100" t="s">
        <v>337</v>
      </c>
      <c r="E62" s="99" t="s">
        <v>338</v>
      </c>
      <c r="F62" s="234" t="s">
        <v>733</v>
      </c>
      <c r="G62" s="234" t="s">
        <v>866</v>
      </c>
      <c r="H62" s="234" t="s">
        <v>867</v>
      </c>
      <c r="I62" s="234" t="s">
        <v>868</v>
      </c>
      <c r="J62" s="234" t="s">
        <v>288</v>
      </c>
      <c r="K62" s="259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258"/>
      <c r="AA62" s="258"/>
      <c r="AB62" s="258"/>
      <c r="AC62" s="258"/>
      <c r="AD62" s="258"/>
      <c r="AE62" s="258"/>
      <c r="AF62" s="258"/>
      <c r="AG62" s="258"/>
      <c r="AH62" s="258"/>
      <c r="AI62" s="258"/>
      <c r="AJ62" s="258"/>
      <c r="AK62" s="258"/>
      <c r="AL62" s="258"/>
      <c r="AM62" s="258"/>
      <c r="AN62" s="258"/>
      <c r="AO62" s="272">
        <f t="shared" si="13"/>
        <v>0</v>
      </c>
      <c r="AP62" s="272">
        <f t="shared" si="9"/>
        <v>0</v>
      </c>
      <c r="AQ62" s="272">
        <f t="shared" si="15"/>
        <v>0</v>
      </c>
      <c r="AR62" s="234"/>
      <c r="AS62" s="234"/>
      <c r="AT62" s="234"/>
      <c r="AU62" s="234"/>
      <c r="AV62" s="234"/>
      <c r="AW62" s="234"/>
      <c r="AX62" s="234"/>
      <c r="AY62" s="234"/>
      <c r="AZ62" s="234"/>
      <c r="BA62" s="234"/>
      <c r="BB62" s="234"/>
      <c r="BC62" s="234"/>
      <c r="BD62" s="234"/>
      <c r="BE62" s="234"/>
      <c r="BF62" s="234"/>
      <c r="BG62" s="234">
        <v>80</v>
      </c>
      <c r="BH62" s="234">
        <v>1300</v>
      </c>
      <c r="BI62" s="234">
        <v>840.8</v>
      </c>
      <c r="BJ62" s="234"/>
      <c r="BK62" s="234"/>
      <c r="BL62" s="234"/>
      <c r="BM62" s="234"/>
      <c r="BN62" s="234"/>
      <c r="BO62" s="234"/>
      <c r="BP62" s="234">
        <v>20</v>
      </c>
      <c r="BQ62" s="234">
        <v>240</v>
      </c>
      <c r="BR62" s="234">
        <v>240</v>
      </c>
      <c r="BS62" s="234"/>
      <c r="BT62" s="234"/>
      <c r="BU62" s="270"/>
      <c r="BV62" s="272">
        <f t="shared" si="11"/>
        <v>100</v>
      </c>
      <c r="BW62" s="272">
        <f t="shared" si="11"/>
        <v>1540</v>
      </c>
      <c r="BX62" s="272">
        <f t="shared" si="11"/>
        <v>1080.8</v>
      </c>
      <c r="BY62" s="270"/>
      <c r="BZ62" s="270"/>
      <c r="CA62" s="270"/>
      <c r="CB62" s="270"/>
      <c r="CC62" s="270"/>
      <c r="CD62" s="270"/>
      <c r="CE62" s="270"/>
      <c r="CF62" s="270"/>
      <c r="CG62" s="270"/>
      <c r="CH62" s="270"/>
      <c r="CI62" s="270"/>
      <c r="CJ62" s="270"/>
      <c r="CK62" s="270"/>
      <c r="CL62" s="270"/>
      <c r="CM62" s="270"/>
      <c r="CN62" s="270"/>
      <c r="CO62" s="270"/>
      <c r="CP62" s="270"/>
      <c r="CQ62" s="270"/>
      <c r="CR62" s="270"/>
      <c r="CS62" s="270"/>
      <c r="CT62" s="270"/>
      <c r="CU62" s="270"/>
      <c r="CV62" s="270"/>
      <c r="CW62" s="270"/>
      <c r="CX62" s="270"/>
      <c r="CY62" s="270"/>
      <c r="CZ62" s="270"/>
      <c r="DA62" s="270"/>
      <c r="DB62" s="270"/>
      <c r="DC62" s="270"/>
      <c r="DD62" s="270"/>
      <c r="DE62" s="270"/>
      <c r="DF62" s="272">
        <f t="shared" si="12"/>
        <v>100</v>
      </c>
      <c r="DG62" s="272">
        <f t="shared" si="12"/>
        <v>1540</v>
      </c>
      <c r="DH62" s="272">
        <f t="shared" si="14"/>
        <v>1080.8</v>
      </c>
      <c r="DI62" s="274"/>
    </row>
    <row r="63" spans="1:113" s="275" customFormat="1" ht="24.75" customHeight="1" x14ac:dyDescent="0.6">
      <c r="A63" s="268">
        <v>20</v>
      </c>
      <c r="B63" s="269" t="s">
        <v>339</v>
      </c>
      <c r="C63" s="104" t="s">
        <v>339</v>
      </c>
      <c r="D63" s="100" t="s">
        <v>337</v>
      </c>
      <c r="E63" s="99" t="s">
        <v>338</v>
      </c>
      <c r="F63" s="234" t="s">
        <v>733</v>
      </c>
      <c r="G63" s="234" t="s">
        <v>869</v>
      </c>
      <c r="H63" s="234" t="s">
        <v>870</v>
      </c>
      <c r="I63" s="234" t="s">
        <v>871</v>
      </c>
      <c r="J63" s="234" t="s">
        <v>288</v>
      </c>
      <c r="K63" s="259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  <c r="AA63" s="258"/>
      <c r="AB63" s="258"/>
      <c r="AC63" s="258"/>
      <c r="AD63" s="258"/>
      <c r="AE63" s="258"/>
      <c r="AF63" s="258"/>
      <c r="AG63" s="258"/>
      <c r="AH63" s="258"/>
      <c r="AI63" s="258"/>
      <c r="AJ63" s="258"/>
      <c r="AK63" s="258"/>
      <c r="AL63" s="258"/>
      <c r="AM63" s="258"/>
      <c r="AN63" s="258"/>
      <c r="AO63" s="272">
        <f t="shared" si="13"/>
        <v>0</v>
      </c>
      <c r="AP63" s="272">
        <f t="shared" si="9"/>
        <v>0</v>
      </c>
      <c r="AQ63" s="272">
        <f t="shared" si="15"/>
        <v>0</v>
      </c>
      <c r="AR63" s="234"/>
      <c r="AS63" s="234"/>
      <c r="AT63" s="234"/>
      <c r="AU63" s="234"/>
      <c r="AV63" s="234"/>
      <c r="AW63" s="234"/>
      <c r="AX63" s="234"/>
      <c r="AY63" s="234"/>
      <c r="AZ63" s="234"/>
      <c r="BA63" s="234"/>
      <c r="BB63" s="234"/>
      <c r="BC63" s="234"/>
      <c r="BD63" s="234"/>
      <c r="BE63" s="234"/>
      <c r="BF63" s="234"/>
      <c r="BG63" s="234"/>
      <c r="BH63" s="234"/>
      <c r="BI63" s="234"/>
      <c r="BJ63" s="234"/>
      <c r="BK63" s="234"/>
      <c r="BL63" s="234"/>
      <c r="BM63" s="234"/>
      <c r="BN63" s="234"/>
      <c r="BO63" s="234"/>
      <c r="BP63" s="234"/>
      <c r="BQ63" s="234"/>
      <c r="BR63" s="234"/>
      <c r="BS63" s="234"/>
      <c r="BT63" s="234"/>
      <c r="BU63" s="270"/>
      <c r="BV63" s="272">
        <f t="shared" si="11"/>
        <v>0</v>
      </c>
      <c r="BW63" s="272">
        <f t="shared" si="11"/>
        <v>0</v>
      </c>
      <c r="BX63" s="272">
        <f t="shared" si="11"/>
        <v>0</v>
      </c>
      <c r="BY63" s="270"/>
      <c r="BZ63" s="270"/>
      <c r="CA63" s="270"/>
      <c r="CB63" s="270"/>
      <c r="CC63" s="270"/>
      <c r="CD63" s="270"/>
      <c r="CE63" s="270"/>
      <c r="CF63" s="270"/>
      <c r="CG63" s="270"/>
      <c r="CH63" s="270"/>
      <c r="CI63" s="270"/>
      <c r="CJ63" s="270"/>
      <c r="CK63" s="270"/>
      <c r="CL63" s="270"/>
      <c r="CM63" s="270"/>
      <c r="CN63" s="270"/>
      <c r="CO63" s="270"/>
      <c r="CP63" s="270"/>
      <c r="CQ63" s="270"/>
      <c r="CR63" s="270"/>
      <c r="CS63" s="270"/>
      <c r="CT63" s="270"/>
      <c r="CU63" s="270"/>
      <c r="CV63" s="270"/>
      <c r="CW63" s="270"/>
      <c r="CX63" s="270"/>
      <c r="CY63" s="270"/>
      <c r="CZ63" s="270"/>
      <c r="DA63" s="270"/>
      <c r="DB63" s="270"/>
      <c r="DC63" s="270"/>
      <c r="DD63" s="270"/>
      <c r="DE63" s="270"/>
      <c r="DF63" s="272">
        <f t="shared" si="12"/>
        <v>0</v>
      </c>
      <c r="DG63" s="272">
        <f t="shared" si="12"/>
        <v>0</v>
      </c>
      <c r="DH63" s="272">
        <f t="shared" si="14"/>
        <v>0</v>
      </c>
      <c r="DI63" s="274"/>
    </row>
    <row r="64" spans="1:113" s="275" customFormat="1" ht="24.75" customHeight="1" x14ac:dyDescent="0.6">
      <c r="A64" s="268">
        <v>21</v>
      </c>
      <c r="B64" s="269" t="s">
        <v>340</v>
      </c>
      <c r="C64" s="104" t="s">
        <v>341</v>
      </c>
      <c r="D64" s="100" t="s">
        <v>337</v>
      </c>
      <c r="E64" s="99" t="s">
        <v>338</v>
      </c>
      <c r="F64" s="253" t="s">
        <v>733</v>
      </c>
      <c r="G64" s="253" t="s">
        <v>872</v>
      </c>
      <c r="H64" s="253" t="s">
        <v>873</v>
      </c>
      <c r="I64" s="253" t="s">
        <v>874</v>
      </c>
      <c r="J64" s="253" t="s">
        <v>288</v>
      </c>
      <c r="K64" s="259"/>
      <c r="L64" s="258"/>
      <c r="M64" s="258"/>
      <c r="N64" s="258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>
        <v>30</v>
      </c>
      <c r="AA64" s="276">
        <v>420</v>
      </c>
      <c r="AB64" s="276">
        <v>268.8</v>
      </c>
      <c r="AC64" s="276"/>
      <c r="AD64" s="276"/>
      <c r="AE64" s="276"/>
      <c r="AF64" s="276"/>
      <c r="AG64" s="276"/>
      <c r="AH64" s="276"/>
      <c r="AI64" s="276"/>
      <c r="AJ64" s="276"/>
      <c r="AK64" s="276"/>
      <c r="AL64" s="276">
        <v>30</v>
      </c>
      <c r="AM64" s="276">
        <v>360</v>
      </c>
      <c r="AN64" s="276">
        <v>360</v>
      </c>
      <c r="AO64" s="272">
        <f t="shared" si="13"/>
        <v>60</v>
      </c>
      <c r="AP64" s="272">
        <f t="shared" si="9"/>
        <v>780</v>
      </c>
      <c r="AQ64" s="272">
        <f t="shared" si="15"/>
        <v>628.79999999999995</v>
      </c>
      <c r="AR64" s="253"/>
      <c r="AS64" s="253"/>
      <c r="AT64" s="253"/>
      <c r="AU64" s="253">
        <v>55</v>
      </c>
      <c r="AV64" s="253">
        <v>900</v>
      </c>
      <c r="AW64" s="253">
        <v>518</v>
      </c>
      <c r="AX64" s="253"/>
      <c r="AY64" s="253"/>
      <c r="AZ64" s="253"/>
      <c r="BA64" s="253"/>
      <c r="BB64" s="253"/>
      <c r="BC64" s="253"/>
      <c r="BD64" s="234"/>
      <c r="BE64" s="234"/>
      <c r="BF64" s="234"/>
      <c r="BG64" s="253">
        <v>50</v>
      </c>
      <c r="BH64" s="253">
        <v>660</v>
      </c>
      <c r="BI64" s="253">
        <v>508.8</v>
      </c>
      <c r="BJ64" s="253"/>
      <c r="BK64" s="253"/>
      <c r="BL64" s="253"/>
      <c r="BM64" s="253"/>
      <c r="BN64" s="253"/>
      <c r="BO64" s="253"/>
      <c r="BP64" s="253"/>
      <c r="BQ64" s="253"/>
      <c r="BR64" s="253"/>
      <c r="BS64" s="253"/>
      <c r="BT64" s="253"/>
      <c r="BU64" s="280"/>
      <c r="BV64" s="272">
        <f t="shared" si="11"/>
        <v>165</v>
      </c>
      <c r="BW64" s="272">
        <f t="shared" si="11"/>
        <v>2340</v>
      </c>
      <c r="BX64" s="272">
        <f t="shared" si="11"/>
        <v>1655.6</v>
      </c>
      <c r="BY64" s="280"/>
      <c r="BZ64" s="280"/>
      <c r="CA64" s="280"/>
      <c r="CB64" s="280"/>
      <c r="CC64" s="280"/>
      <c r="CD64" s="280"/>
      <c r="CE64" s="280"/>
      <c r="CF64" s="280"/>
      <c r="CG64" s="280"/>
      <c r="CH64" s="280"/>
      <c r="CI64" s="280"/>
      <c r="CJ64" s="280"/>
      <c r="CK64" s="280"/>
      <c r="CL64" s="280"/>
      <c r="CM64" s="280"/>
      <c r="CN64" s="280"/>
      <c r="CO64" s="280"/>
      <c r="CP64" s="280"/>
      <c r="CQ64" s="280"/>
      <c r="CR64" s="280"/>
      <c r="CS64" s="280"/>
      <c r="CT64" s="280"/>
      <c r="CU64" s="280"/>
      <c r="CV64" s="280"/>
      <c r="CW64" s="280"/>
      <c r="CX64" s="280"/>
      <c r="CY64" s="280"/>
      <c r="CZ64" s="280"/>
      <c r="DA64" s="280"/>
      <c r="DB64" s="280"/>
      <c r="DC64" s="280"/>
      <c r="DD64" s="280"/>
      <c r="DE64" s="280"/>
      <c r="DF64" s="272">
        <f t="shared" si="12"/>
        <v>165</v>
      </c>
      <c r="DG64" s="272">
        <f t="shared" si="12"/>
        <v>2340</v>
      </c>
      <c r="DH64" s="272">
        <f t="shared" si="14"/>
        <v>1655.6</v>
      </c>
      <c r="DI64" s="274"/>
    </row>
    <row r="65" spans="1:113" s="275" customFormat="1" ht="24.75" customHeight="1" x14ac:dyDescent="0.6">
      <c r="A65" s="268">
        <v>22</v>
      </c>
      <c r="B65" s="269" t="s">
        <v>342</v>
      </c>
      <c r="C65" s="104" t="s">
        <v>343</v>
      </c>
      <c r="D65" s="100" t="s">
        <v>131</v>
      </c>
      <c r="E65" s="99" t="s">
        <v>132</v>
      </c>
      <c r="F65" s="234" t="s">
        <v>733</v>
      </c>
      <c r="G65" s="234" t="s">
        <v>335</v>
      </c>
      <c r="H65" s="234" t="s">
        <v>875</v>
      </c>
      <c r="I65" s="234" t="s">
        <v>876</v>
      </c>
      <c r="J65" s="234" t="s">
        <v>288</v>
      </c>
      <c r="K65" s="259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  <c r="Z65" s="258"/>
      <c r="AA65" s="258"/>
      <c r="AB65" s="258"/>
      <c r="AC65" s="258">
        <v>140</v>
      </c>
      <c r="AD65" s="258">
        <v>2140</v>
      </c>
      <c r="AE65" s="258">
        <v>1649.2</v>
      </c>
      <c r="AF65" s="258"/>
      <c r="AG65" s="258"/>
      <c r="AH65" s="258"/>
      <c r="AI65" s="258"/>
      <c r="AJ65" s="258"/>
      <c r="AK65" s="258"/>
      <c r="AL65" s="258"/>
      <c r="AM65" s="258"/>
      <c r="AN65" s="258"/>
      <c r="AO65" s="272">
        <f t="shared" si="13"/>
        <v>140</v>
      </c>
      <c r="AP65" s="272">
        <f t="shared" si="9"/>
        <v>2140</v>
      </c>
      <c r="AQ65" s="272">
        <f t="shared" si="15"/>
        <v>1649.2</v>
      </c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  <c r="BI65" s="234"/>
      <c r="BJ65" s="234">
        <v>150</v>
      </c>
      <c r="BK65" s="234">
        <v>2660</v>
      </c>
      <c r="BL65" s="234">
        <v>1781.6</v>
      </c>
      <c r="BM65" s="234"/>
      <c r="BN65" s="234"/>
      <c r="BO65" s="234"/>
      <c r="BP65" s="234">
        <v>30</v>
      </c>
      <c r="BQ65" s="234">
        <v>360</v>
      </c>
      <c r="BR65" s="234">
        <v>360</v>
      </c>
      <c r="BS65" s="234"/>
      <c r="BT65" s="234"/>
      <c r="BU65" s="270"/>
      <c r="BV65" s="272">
        <f t="shared" si="11"/>
        <v>320</v>
      </c>
      <c r="BW65" s="272">
        <f t="shared" si="11"/>
        <v>5160</v>
      </c>
      <c r="BX65" s="272">
        <f t="shared" si="11"/>
        <v>3790.8</v>
      </c>
      <c r="BY65" s="270"/>
      <c r="BZ65" s="270"/>
      <c r="CA65" s="270"/>
      <c r="CB65" s="270"/>
      <c r="CC65" s="270"/>
      <c r="CD65" s="270"/>
      <c r="CE65" s="270"/>
      <c r="CF65" s="270"/>
      <c r="CG65" s="270"/>
      <c r="CH65" s="270"/>
      <c r="CI65" s="270"/>
      <c r="CJ65" s="270"/>
      <c r="CK65" s="270"/>
      <c r="CL65" s="270"/>
      <c r="CM65" s="270"/>
      <c r="CN65" s="270"/>
      <c r="CO65" s="270"/>
      <c r="CP65" s="270"/>
      <c r="CQ65" s="270"/>
      <c r="CR65" s="270"/>
      <c r="CS65" s="270"/>
      <c r="CT65" s="270"/>
      <c r="CU65" s="270"/>
      <c r="CV65" s="270"/>
      <c r="CW65" s="270"/>
      <c r="CX65" s="270"/>
      <c r="CY65" s="270"/>
      <c r="CZ65" s="270"/>
      <c r="DA65" s="270"/>
      <c r="DB65" s="270"/>
      <c r="DC65" s="270"/>
      <c r="DD65" s="270"/>
      <c r="DE65" s="270"/>
      <c r="DF65" s="272">
        <f t="shared" si="12"/>
        <v>320</v>
      </c>
      <c r="DG65" s="272">
        <f t="shared" si="12"/>
        <v>5160</v>
      </c>
      <c r="DH65" s="272">
        <f t="shared" si="14"/>
        <v>3790.8</v>
      </c>
      <c r="DI65" s="274"/>
    </row>
    <row r="66" spans="1:113" s="275" customFormat="1" ht="24.75" customHeight="1" x14ac:dyDescent="0.6">
      <c r="A66" s="268">
        <v>23</v>
      </c>
      <c r="B66" s="269" t="s">
        <v>344</v>
      </c>
      <c r="C66" s="104" t="s">
        <v>345</v>
      </c>
      <c r="D66" s="100" t="s">
        <v>131</v>
      </c>
      <c r="E66" s="99" t="s">
        <v>132</v>
      </c>
      <c r="F66" s="234" t="s">
        <v>733</v>
      </c>
      <c r="G66" s="234" t="s">
        <v>877</v>
      </c>
      <c r="H66" s="234" t="s">
        <v>878</v>
      </c>
      <c r="I66" s="234" t="s">
        <v>879</v>
      </c>
      <c r="J66" s="234" t="s">
        <v>288</v>
      </c>
      <c r="K66" s="259"/>
      <c r="L66" s="258"/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58"/>
      <c r="X66" s="258"/>
      <c r="Y66" s="258"/>
      <c r="Z66" s="258"/>
      <c r="AA66" s="258"/>
      <c r="AB66" s="258"/>
      <c r="AC66" s="258"/>
      <c r="AD66" s="258"/>
      <c r="AE66" s="258"/>
      <c r="AF66" s="258"/>
      <c r="AG66" s="258"/>
      <c r="AH66" s="258"/>
      <c r="AI66" s="258"/>
      <c r="AJ66" s="258"/>
      <c r="AK66" s="258"/>
      <c r="AL66" s="258"/>
      <c r="AM66" s="258"/>
      <c r="AN66" s="258"/>
      <c r="AO66" s="272">
        <f t="shared" si="13"/>
        <v>0</v>
      </c>
      <c r="AP66" s="272">
        <f t="shared" si="9"/>
        <v>0</v>
      </c>
      <c r="AQ66" s="272">
        <f t="shared" si="15"/>
        <v>0</v>
      </c>
      <c r="AR66" s="234"/>
      <c r="AS66" s="234"/>
      <c r="AT66" s="234"/>
      <c r="AU66" s="234"/>
      <c r="AV66" s="234"/>
      <c r="AW66" s="234"/>
      <c r="AX66" s="234">
        <v>55</v>
      </c>
      <c r="AY66" s="234">
        <v>720</v>
      </c>
      <c r="AZ66" s="234">
        <v>568.79999999999995</v>
      </c>
      <c r="BA66" s="234"/>
      <c r="BB66" s="234"/>
      <c r="BC66" s="234"/>
      <c r="BD66" s="234"/>
      <c r="BE66" s="234"/>
      <c r="BF66" s="234"/>
      <c r="BG66" s="234"/>
      <c r="BH66" s="234"/>
      <c r="BI66" s="234"/>
      <c r="BJ66" s="234"/>
      <c r="BK66" s="234"/>
      <c r="BL66" s="234"/>
      <c r="BM66" s="234"/>
      <c r="BN66" s="234"/>
      <c r="BO66" s="234"/>
      <c r="BP66" s="234"/>
      <c r="BQ66" s="234"/>
      <c r="BR66" s="234"/>
      <c r="BS66" s="234"/>
      <c r="BT66" s="234"/>
      <c r="BU66" s="270"/>
      <c r="BV66" s="272">
        <f t="shared" si="11"/>
        <v>55</v>
      </c>
      <c r="BW66" s="272">
        <f t="shared" si="11"/>
        <v>720</v>
      </c>
      <c r="BX66" s="272">
        <f t="shared" si="11"/>
        <v>568.79999999999995</v>
      </c>
      <c r="BY66" s="270"/>
      <c r="BZ66" s="270"/>
      <c r="CA66" s="270"/>
      <c r="CB66" s="270"/>
      <c r="CC66" s="270"/>
      <c r="CD66" s="270"/>
      <c r="CE66" s="270"/>
      <c r="CF66" s="270"/>
      <c r="CG66" s="270"/>
      <c r="CH66" s="270"/>
      <c r="CI66" s="270"/>
      <c r="CJ66" s="270"/>
      <c r="CK66" s="270"/>
      <c r="CL66" s="270"/>
      <c r="CM66" s="270"/>
      <c r="CN66" s="270"/>
      <c r="CO66" s="270"/>
      <c r="CP66" s="270"/>
      <c r="CQ66" s="270"/>
      <c r="CR66" s="270"/>
      <c r="CS66" s="270"/>
      <c r="CT66" s="270"/>
      <c r="CU66" s="270"/>
      <c r="CV66" s="270"/>
      <c r="CW66" s="270"/>
      <c r="CX66" s="270"/>
      <c r="CY66" s="270"/>
      <c r="CZ66" s="270"/>
      <c r="DA66" s="270"/>
      <c r="DB66" s="270"/>
      <c r="DC66" s="270"/>
      <c r="DD66" s="270"/>
      <c r="DE66" s="270"/>
      <c r="DF66" s="272">
        <f t="shared" si="12"/>
        <v>55</v>
      </c>
      <c r="DG66" s="272">
        <f t="shared" si="12"/>
        <v>720</v>
      </c>
      <c r="DH66" s="272">
        <f t="shared" si="14"/>
        <v>568.79999999999995</v>
      </c>
      <c r="DI66" s="274"/>
    </row>
    <row r="67" spans="1:113" s="275" customFormat="1" ht="24.75" customHeight="1" x14ac:dyDescent="0.6">
      <c r="A67" s="268">
        <v>24</v>
      </c>
      <c r="B67" s="269" t="s">
        <v>346</v>
      </c>
      <c r="C67" s="104" t="s">
        <v>347</v>
      </c>
      <c r="D67" s="100" t="s">
        <v>54</v>
      </c>
      <c r="E67" s="99" t="s">
        <v>120</v>
      </c>
      <c r="F67" s="234" t="s">
        <v>733</v>
      </c>
      <c r="G67" s="234" t="s">
        <v>880</v>
      </c>
      <c r="H67" s="234" t="s">
        <v>881</v>
      </c>
      <c r="I67" s="234" t="s">
        <v>882</v>
      </c>
      <c r="J67" s="234" t="s">
        <v>288</v>
      </c>
      <c r="K67" s="259"/>
      <c r="L67" s="258"/>
      <c r="M67" s="258"/>
      <c r="N67" s="258"/>
      <c r="O67" s="258"/>
      <c r="P67" s="258"/>
      <c r="Q67" s="258">
        <v>30</v>
      </c>
      <c r="R67" s="258">
        <v>420</v>
      </c>
      <c r="S67" s="258">
        <v>268.8</v>
      </c>
      <c r="T67" s="258"/>
      <c r="U67" s="258"/>
      <c r="V67" s="258"/>
      <c r="W67" s="258"/>
      <c r="X67" s="258"/>
      <c r="Y67" s="258"/>
      <c r="Z67" s="258"/>
      <c r="AA67" s="258"/>
      <c r="AB67" s="258"/>
      <c r="AC67" s="258"/>
      <c r="AD67" s="258"/>
      <c r="AE67" s="258"/>
      <c r="AF67" s="258"/>
      <c r="AG67" s="258"/>
      <c r="AH67" s="258"/>
      <c r="AI67" s="258">
        <v>30</v>
      </c>
      <c r="AJ67" s="258">
        <v>420</v>
      </c>
      <c r="AK67" s="258">
        <v>268.8</v>
      </c>
      <c r="AL67" s="258"/>
      <c r="AM67" s="258"/>
      <c r="AN67" s="258"/>
      <c r="AO67" s="272">
        <f t="shared" si="13"/>
        <v>60</v>
      </c>
      <c r="AP67" s="272">
        <f t="shared" si="9"/>
        <v>840</v>
      </c>
      <c r="AQ67" s="272">
        <f t="shared" si="15"/>
        <v>537.6</v>
      </c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>
        <v>20</v>
      </c>
      <c r="BK67" s="234">
        <v>280</v>
      </c>
      <c r="BL67" s="234">
        <v>179.20000000000002</v>
      </c>
      <c r="BM67" s="234"/>
      <c r="BN67" s="234"/>
      <c r="BO67" s="234"/>
      <c r="BP67" s="234"/>
      <c r="BQ67" s="234"/>
      <c r="BR67" s="234"/>
      <c r="BS67" s="234"/>
      <c r="BT67" s="234"/>
      <c r="BU67" s="270"/>
      <c r="BV67" s="272">
        <f t="shared" si="11"/>
        <v>80</v>
      </c>
      <c r="BW67" s="272">
        <f t="shared" si="11"/>
        <v>1120</v>
      </c>
      <c r="BX67" s="272">
        <f t="shared" si="11"/>
        <v>716.80000000000007</v>
      </c>
      <c r="BY67" s="270"/>
      <c r="BZ67" s="270"/>
      <c r="CA67" s="270"/>
      <c r="CB67" s="270"/>
      <c r="CC67" s="270"/>
      <c r="CD67" s="270"/>
      <c r="CE67" s="270"/>
      <c r="CF67" s="270"/>
      <c r="CG67" s="270"/>
      <c r="CH67" s="270"/>
      <c r="CI67" s="270"/>
      <c r="CJ67" s="270"/>
      <c r="CK67" s="270"/>
      <c r="CL67" s="270"/>
      <c r="CM67" s="270"/>
      <c r="CN67" s="270"/>
      <c r="CO67" s="270"/>
      <c r="CP67" s="270"/>
      <c r="CQ67" s="270"/>
      <c r="CR67" s="270"/>
      <c r="CS67" s="270"/>
      <c r="CT67" s="270"/>
      <c r="CU67" s="270"/>
      <c r="CV67" s="270"/>
      <c r="CW67" s="270"/>
      <c r="CX67" s="270"/>
      <c r="CY67" s="270"/>
      <c r="CZ67" s="270"/>
      <c r="DA67" s="270"/>
      <c r="DB67" s="270"/>
      <c r="DC67" s="270"/>
      <c r="DD67" s="270"/>
      <c r="DE67" s="270"/>
      <c r="DF67" s="272">
        <f t="shared" si="12"/>
        <v>80</v>
      </c>
      <c r="DG67" s="272">
        <f t="shared" si="12"/>
        <v>1120</v>
      </c>
      <c r="DH67" s="272">
        <f t="shared" si="14"/>
        <v>716.80000000000007</v>
      </c>
      <c r="DI67" s="360"/>
    </row>
    <row r="68" spans="1:113" s="275" customFormat="1" ht="24.75" customHeight="1" x14ac:dyDescent="0.6">
      <c r="A68" s="268">
        <v>25</v>
      </c>
      <c r="B68" s="269" t="s">
        <v>348</v>
      </c>
      <c r="C68" s="104" t="s">
        <v>349</v>
      </c>
      <c r="D68" s="100" t="s">
        <v>54</v>
      </c>
      <c r="E68" s="99" t="s">
        <v>120</v>
      </c>
      <c r="F68" s="234" t="s">
        <v>733</v>
      </c>
      <c r="G68" s="234" t="s">
        <v>883</v>
      </c>
      <c r="H68" s="234" t="s">
        <v>884</v>
      </c>
      <c r="I68" s="234" t="s">
        <v>885</v>
      </c>
      <c r="J68" s="234" t="s">
        <v>288</v>
      </c>
      <c r="K68" s="259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/>
      <c r="AA68" s="258"/>
      <c r="AB68" s="258"/>
      <c r="AC68" s="258"/>
      <c r="AD68" s="258"/>
      <c r="AE68" s="258"/>
      <c r="AF68" s="258"/>
      <c r="AG68" s="258"/>
      <c r="AH68" s="258"/>
      <c r="AI68" s="258"/>
      <c r="AJ68" s="258"/>
      <c r="AK68" s="258"/>
      <c r="AL68" s="258"/>
      <c r="AM68" s="258"/>
      <c r="AN68" s="258"/>
      <c r="AO68" s="272">
        <f t="shared" si="13"/>
        <v>0</v>
      </c>
      <c r="AP68" s="272">
        <f t="shared" si="9"/>
        <v>0</v>
      </c>
      <c r="AQ68" s="272">
        <f t="shared" si="15"/>
        <v>0</v>
      </c>
      <c r="AR68" s="234">
        <v>110</v>
      </c>
      <c r="AS68" s="234">
        <v>1600</v>
      </c>
      <c r="AT68" s="234">
        <v>1340</v>
      </c>
      <c r="AU68" s="234">
        <v>550</v>
      </c>
      <c r="AV68" s="234">
        <v>7680</v>
      </c>
      <c r="AW68" s="234">
        <v>5753.6</v>
      </c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4"/>
      <c r="BM68" s="234"/>
      <c r="BN68" s="234"/>
      <c r="BO68" s="234"/>
      <c r="BP68" s="234"/>
      <c r="BQ68" s="234"/>
      <c r="BR68" s="234"/>
      <c r="BS68" s="234"/>
      <c r="BT68" s="234"/>
      <c r="BU68" s="270"/>
      <c r="BV68" s="272">
        <f t="shared" si="11"/>
        <v>660</v>
      </c>
      <c r="BW68" s="272">
        <f t="shared" si="11"/>
        <v>9280</v>
      </c>
      <c r="BX68" s="272">
        <f t="shared" si="11"/>
        <v>7093.6</v>
      </c>
      <c r="BY68" s="270"/>
      <c r="BZ68" s="270"/>
      <c r="CA68" s="270"/>
      <c r="CB68" s="270"/>
      <c r="CC68" s="270"/>
      <c r="CD68" s="270"/>
      <c r="CE68" s="270"/>
      <c r="CF68" s="270"/>
      <c r="CG68" s="270"/>
      <c r="CH68" s="270"/>
      <c r="CI68" s="270"/>
      <c r="CJ68" s="270"/>
      <c r="CK68" s="270"/>
      <c r="CL68" s="270"/>
      <c r="CM68" s="270"/>
      <c r="CN68" s="270"/>
      <c r="CO68" s="270"/>
      <c r="CP68" s="270"/>
      <c r="CQ68" s="270"/>
      <c r="CR68" s="270"/>
      <c r="CS68" s="270"/>
      <c r="CT68" s="270"/>
      <c r="CU68" s="270"/>
      <c r="CV68" s="270"/>
      <c r="CW68" s="270"/>
      <c r="CX68" s="270"/>
      <c r="CY68" s="270"/>
      <c r="CZ68" s="270"/>
      <c r="DA68" s="270"/>
      <c r="DB68" s="270"/>
      <c r="DC68" s="270"/>
      <c r="DD68" s="270"/>
      <c r="DE68" s="270"/>
      <c r="DF68" s="272">
        <f t="shared" si="12"/>
        <v>660</v>
      </c>
      <c r="DG68" s="272">
        <f t="shared" si="12"/>
        <v>9280</v>
      </c>
      <c r="DH68" s="272">
        <f t="shared" si="14"/>
        <v>7093.6</v>
      </c>
      <c r="DI68" s="274"/>
    </row>
    <row r="69" spans="1:113" s="275" customFormat="1" ht="24.75" customHeight="1" x14ac:dyDescent="0.6">
      <c r="A69" s="268">
        <v>26</v>
      </c>
      <c r="B69" s="269" t="s">
        <v>350</v>
      </c>
      <c r="C69" s="104" t="s">
        <v>351</v>
      </c>
      <c r="D69" s="100" t="s">
        <v>54</v>
      </c>
      <c r="E69" s="99" t="s">
        <v>120</v>
      </c>
      <c r="F69" s="234" t="s">
        <v>733</v>
      </c>
      <c r="G69" s="234" t="s">
        <v>886</v>
      </c>
      <c r="H69" s="234" t="s">
        <v>887</v>
      </c>
      <c r="I69" s="234" t="s">
        <v>888</v>
      </c>
      <c r="J69" s="234" t="s">
        <v>288</v>
      </c>
      <c r="K69" s="259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  <c r="Z69" s="258"/>
      <c r="AA69" s="258"/>
      <c r="AB69" s="258"/>
      <c r="AC69" s="258">
        <v>30</v>
      </c>
      <c r="AD69" s="258">
        <v>640</v>
      </c>
      <c r="AE69" s="258">
        <v>380</v>
      </c>
      <c r="AF69" s="258"/>
      <c r="AG69" s="258"/>
      <c r="AH69" s="258"/>
      <c r="AI69" s="258"/>
      <c r="AJ69" s="258"/>
      <c r="AK69" s="258"/>
      <c r="AL69" s="258"/>
      <c r="AM69" s="258"/>
      <c r="AN69" s="258"/>
      <c r="AO69" s="272">
        <f t="shared" si="13"/>
        <v>30</v>
      </c>
      <c r="AP69" s="272">
        <f t="shared" si="9"/>
        <v>640</v>
      </c>
      <c r="AQ69" s="272">
        <f t="shared" si="15"/>
        <v>380</v>
      </c>
      <c r="AR69" s="234"/>
      <c r="AS69" s="234"/>
      <c r="AT69" s="234"/>
      <c r="AU69" s="234"/>
      <c r="AV69" s="234"/>
      <c r="AW69" s="234"/>
      <c r="AX69" s="234"/>
      <c r="AY69" s="234"/>
      <c r="AZ69" s="234"/>
      <c r="BA69" s="234">
        <v>20</v>
      </c>
      <c r="BB69" s="234">
        <v>260</v>
      </c>
      <c r="BC69" s="234">
        <v>209.60000000000002</v>
      </c>
      <c r="BD69" s="234"/>
      <c r="BE69" s="234"/>
      <c r="BF69" s="234"/>
      <c r="BG69" s="234"/>
      <c r="BH69" s="234"/>
      <c r="BI69" s="234"/>
      <c r="BJ69" s="234"/>
      <c r="BK69" s="234"/>
      <c r="BL69" s="234"/>
      <c r="BM69" s="234"/>
      <c r="BN69" s="234"/>
      <c r="BO69" s="234"/>
      <c r="BP69" s="234">
        <v>30</v>
      </c>
      <c r="BQ69" s="234">
        <v>360</v>
      </c>
      <c r="BR69" s="234">
        <v>324</v>
      </c>
      <c r="BS69" s="234"/>
      <c r="BT69" s="234"/>
      <c r="BU69" s="270"/>
      <c r="BV69" s="272">
        <f t="shared" si="11"/>
        <v>80</v>
      </c>
      <c r="BW69" s="272">
        <f t="shared" si="11"/>
        <v>1260</v>
      </c>
      <c r="BX69" s="272">
        <f t="shared" si="11"/>
        <v>913.6</v>
      </c>
      <c r="BY69" s="270"/>
      <c r="BZ69" s="270"/>
      <c r="CA69" s="270"/>
      <c r="CB69" s="270"/>
      <c r="CC69" s="270"/>
      <c r="CD69" s="270"/>
      <c r="CE69" s="270"/>
      <c r="CF69" s="270"/>
      <c r="CG69" s="270"/>
      <c r="CH69" s="270"/>
      <c r="CI69" s="270"/>
      <c r="CJ69" s="270"/>
      <c r="CK69" s="270"/>
      <c r="CL69" s="270"/>
      <c r="CM69" s="270"/>
      <c r="CN69" s="270"/>
      <c r="CO69" s="270"/>
      <c r="CP69" s="270"/>
      <c r="CQ69" s="270"/>
      <c r="CR69" s="270"/>
      <c r="CS69" s="270"/>
      <c r="CT69" s="270"/>
      <c r="CU69" s="270"/>
      <c r="CV69" s="270"/>
      <c r="CW69" s="270"/>
      <c r="CX69" s="270"/>
      <c r="CY69" s="270"/>
      <c r="CZ69" s="270"/>
      <c r="DA69" s="270"/>
      <c r="DB69" s="270"/>
      <c r="DC69" s="270"/>
      <c r="DD69" s="270"/>
      <c r="DE69" s="270"/>
      <c r="DF69" s="272">
        <f t="shared" si="12"/>
        <v>80</v>
      </c>
      <c r="DG69" s="272">
        <f t="shared" si="12"/>
        <v>1260</v>
      </c>
      <c r="DH69" s="272">
        <f t="shared" si="14"/>
        <v>913.6</v>
      </c>
      <c r="DI69" s="274"/>
    </row>
    <row r="70" spans="1:113" s="275" customFormat="1" ht="24.75" customHeight="1" x14ac:dyDescent="0.6">
      <c r="A70" s="268">
        <v>27</v>
      </c>
      <c r="B70" s="302" t="s">
        <v>352</v>
      </c>
      <c r="C70" s="104" t="s">
        <v>353</v>
      </c>
      <c r="D70" s="100" t="s">
        <v>54</v>
      </c>
      <c r="E70" s="99" t="s">
        <v>120</v>
      </c>
      <c r="F70" s="234" t="s">
        <v>733</v>
      </c>
      <c r="G70" s="234" t="s">
        <v>889</v>
      </c>
      <c r="H70" s="234" t="s">
        <v>890</v>
      </c>
      <c r="I70" s="234" t="s">
        <v>891</v>
      </c>
      <c r="J70" s="234" t="s">
        <v>288</v>
      </c>
      <c r="K70" s="259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258"/>
      <c r="AA70" s="258"/>
      <c r="AB70" s="258"/>
      <c r="AC70" s="258">
        <v>65</v>
      </c>
      <c r="AD70" s="258">
        <v>880</v>
      </c>
      <c r="AE70" s="258">
        <v>628</v>
      </c>
      <c r="AF70" s="258"/>
      <c r="AG70" s="258"/>
      <c r="AH70" s="258"/>
      <c r="AI70" s="258"/>
      <c r="AJ70" s="258"/>
      <c r="AK70" s="258"/>
      <c r="AL70" s="258"/>
      <c r="AM70" s="258"/>
      <c r="AN70" s="258"/>
      <c r="AO70" s="272">
        <f t="shared" si="13"/>
        <v>65</v>
      </c>
      <c r="AP70" s="272">
        <f t="shared" si="9"/>
        <v>880</v>
      </c>
      <c r="AQ70" s="272">
        <f t="shared" si="15"/>
        <v>628</v>
      </c>
      <c r="AR70" s="234"/>
      <c r="AS70" s="234"/>
      <c r="AT70" s="234"/>
      <c r="AU70" s="234"/>
      <c r="AV70" s="234"/>
      <c r="AW70" s="234"/>
      <c r="AX70" s="234">
        <v>50</v>
      </c>
      <c r="AY70" s="234">
        <v>640</v>
      </c>
      <c r="AZ70" s="234">
        <v>539.20000000000005</v>
      </c>
      <c r="BA70" s="234">
        <v>150</v>
      </c>
      <c r="BB70" s="234">
        <v>1900</v>
      </c>
      <c r="BC70" s="234">
        <v>1648</v>
      </c>
      <c r="BD70" s="234"/>
      <c r="BE70" s="234"/>
      <c r="BF70" s="234"/>
      <c r="BG70" s="234"/>
      <c r="BH70" s="234"/>
      <c r="BI70" s="234"/>
      <c r="BJ70" s="234">
        <v>80</v>
      </c>
      <c r="BK70" s="234">
        <v>1030</v>
      </c>
      <c r="BL70" s="234">
        <v>853.6</v>
      </c>
      <c r="BM70" s="234"/>
      <c r="BN70" s="234"/>
      <c r="BO70" s="234"/>
      <c r="BP70" s="234"/>
      <c r="BQ70" s="234"/>
      <c r="BR70" s="234"/>
      <c r="BS70" s="234"/>
      <c r="BT70" s="234"/>
      <c r="BU70" s="270"/>
      <c r="BV70" s="272">
        <f t="shared" si="11"/>
        <v>345</v>
      </c>
      <c r="BW70" s="272">
        <f t="shared" si="11"/>
        <v>4450</v>
      </c>
      <c r="BX70" s="272">
        <f t="shared" si="11"/>
        <v>3668.8</v>
      </c>
      <c r="BY70" s="270"/>
      <c r="BZ70" s="270"/>
      <c r="CA70" s="270"/>
      <c r="CB70" s="270"/>
      <c r="CC70" s="270"/>
      <c r="CD70" s="270"/>
      <c r="CE70" s="270"/>
      <c r="CF70" s="270"/>
      <c r="CG70" s="270"/>
      <c r="CH70" s="270"/>
      <c r="CI70" s="270"/>
      <c r="CJ70" s="270"/>
      <c r="CK70" s="270"/>
      <c r="CL70" s="270"/>
      <c r="CM70" s="270"/>
      <c r="CN70" s="270"/>
      <c r="CO70" s="270"/>
      <c r="CP70" s="270"/>
      <c r="CQ70" s="270"/>
      <c r="CR70" s="270"/>
      <c r="CS70" s="270"/>
      <c r="CT70" s="270"/>
      <c r="CU70" s="270"/>
      <c r="CV70" s="270"/>
      <c r="CW70" s="270"/>
      <c r="CX70" s="270"/>
      <c r="CY70" s="270"/>
      <c r="CZ70" s="270"/>
      <c r="DA70" s="270"/>
      <c r="DB70" s="270"/>
      <c r="DC70" s="270"/>
      <c r="DD70" s="270"/>
      <c r="DE70" s="270"/>
      <c r="DF70" s="272">
        <f t="shared" si="12"/>
        <v>345</v>
      </c>
      <c r="DG70" s="272">
        <f t="shared" si="12"/>
        <v>4450</v>
      </c>
      <c r="DH70" s="272">
        <f t="shared" si="14"/>
        <v>3668.8</v>
      </c>
      <c r="DI70" s="274"/>
    </row>
    <row r="71" spans="1:113" s="275" customFormat="1" ht="24.75" customHeight="1" x14ac:dyDescent="0.6">
      <c r="A71" s="268">
        <v>28</v>
      </c>
      <c r="B71" s="302" t="s">
        <v>354</v>
      </c>
      <c r="C71" s="104" t="s">
        <v>355</v>
      </c>
      <c r="D71" s="100" t="s">
        <v>54</v>
      </c>
      <c r="E71" s="99" t="s">
        <v>120</v>
      </c>
      <c r="F71" s="234" t="s">
        <v>733</v>
      </c>
      <c r="G71" s="234" t="s">
        <v>892</v>
      </c>
      <c r="H71" s="234" t="s">
        <v>893</v>
      </c>
      <c r="I71" s="234" t="s">
        <v>894</v>
      </c>
      <c r="J71" s="234" t="s">
        <v>288</v>
      </c>
      <c r="K71" s="259"/>
      <c r="L71" s="258"/>
      <c r="M71" s="258"/>
      <c r="N71" s="258"/>
      <c r="O71" s="258"/>
      <c r="P71" s="258"/>
      <c r="Q71" s="258">
        <v>25</v>
      </c>
      <c r="R71" s="258">
        <v>480</v>
      </c>
      <c r="S71" s="258">
        <v>249.20000000000005</v>
      </c>
      <c r="T71" s="258"/>
      <c r="U71" s="258"/>
      <c r="V71" s="258"/>
      <c r="W71" s="258"/>
      <c r="X71" s="258"/>
      <c r="Y71" s="258"/>
      <c r="Z71" s="258"/>
      <c r="AA71" s="258"/>
      <c r="AB71" s="258"/>
      <c r="AC71" s="258">
        <v>40</v>
      </c>
      <c r="AD71" s="258">
        <v>560</v>
      </c>
      <c r="AE71" s="258">
        <v>358.40000000000003</v>
      </c>
      <c r="AF71" s="258"/>
      <c r="AG71" s="258"/>
      <c r="AH71" s="258"/>
      <c r="AI71" s="258"/>
      <c r="AJ71" s="258"/>
      <c r="AK71" s="258"/>
      <c r="AL71" s="258"/>
      <c r="AM71" s="258"/>
      <c r="AN71" s="258"/>
      <c r="AO71" s="272">
        <f t="shared" si="13"/>
        <v>65</v>
      </c>
      <c r="AP71" s="272">
        <f t="shared" si="9"/>
        <v>1040</v>
      </c>
      <c r="AQ71" s="272">
        <f t="shared" si="15"/>
        <v>607.60000000000014</v>
      </c>
      <c r="AR71" s="234"/>
      <c r="AS71" s="234"/>
      <c r="AT71" s="234"/>
      <c r="AU71" s="234"/>
      <c r="AV71" s="234"/>
      <c r="AW71" s="234"/>
      <c r="AX71" s="234"/>
      <c r="AY71" s="234"/>
      <c r="AZ71" s="234"/>
      <c r="BA71" s="234">
        <v>50</v>
      </c>
      <c r="BB71" s="234">
        <v>780</v>
      </c>
      <c r="BC71" s="234">
        <v>525.20000000000005</v>
      </c>
      <c r="BD71" s="234"/>
      <c r="BE71" s="234"/>
      <c r="BF71" s="234"/>
      <c r="BG71" s="234"/>
      <c r="BH71" s="234"/>
      <c r="BI71" s="234"/>
      <c r="BJ71" s="234"/>
      <c r="BK71" s="234"/>
      <c r="BL71" s="234"/>
      <c r="BM71" s="234"/>
      <c r="BN71" s="234"/>
      <c r="BO71" s="234"/>
      <c r="BP71" s="234"/>
      <c r="BQ71" s="234"/>
      <c r="BR71" s="234"/>
      <c r="BS71" s="234"/>
      <c r="BT71" s="234"/>
      <c r="BU71" s="270"/>
      <c r="BV71" s="272">
        <f t="shared" si="11"/>
        <v>115</v>
      </c>
      <c r="BW71" s="272">
        <f t="shared" si="11"/>
        <v>1820</v>
      </c>
      <c r="BX71" s="272">
        <f t="shared" si="11"/>
        <v>1132.8000000000002</v>
      </c>
      <c r="BY71" s="270"/>
      <c r="BZ71" s="270"/>
      <c r="CA71" s="270"/>
      <c r="CB71" s="270"/>
      <c r="CC71" s="270"/>
      <c r="CD71" s="270"/>
      <c r="CE71" s="270"/>
      <c r="CF71" s="270"/>
      <c r="CG71" s="270"/>
      <c r="CH71" s="270"/>
      <c r="CI71" s="270"/>
      <c r="CJ71" s="270"/>
      <c r="CK71" s="270"/>
      <c r="CL71" s="270"/>
      <c r="CM71" s="270"/>
      <c r="CN71" s="270"/>
      <c r="CO71" s="270"/>
      <c r="CP71" s="270"/>
      <c r="CQ71" s="270"/>
      <c r="CR71" s="270"/>
      <c r="CS71" s="270"/>
      <c r="CT71" s="270"/>
      <c r="CU71" s="270"/>
      <c r="CV71" s="270"/>
      <c r="CW71" s="270"/>
      <c r="CX71" s="270"/>
      <c r="CY71" s="270"/>
      <c r="CZ71" s="270"/>
      <c r="DA71" s="270"/>
      <c r="DB71" s="270"/>
      <c r="DC71" s="270"/>
      <c r="DD71" s="270"/>
      <c r="DE71" s="270"/>
      <c r="DF71" s="272">
        <f t="shared" si="12"/>
        <v>115</v>
      </c>
      <c r="DG71" s="272">
        <f t="shared" si="12"/>
        <v>1820</v>
      </c>
      <c r="DH71" s="272">
        <f t="shared" si="14"/>
        <v>1132.8000000000002</v>
      </c>
      <c r="DI71" s="274"/>
    </row>
    <row r="72" spans="1:113" s="275" customFormat="1" ht="24.75" customHeight="1" x14ac:dyDescent="0.6">
      <c r="A72" s="268">
        <v>29</v>
      </c>
      <c r="B72" s="269" t="s">
        <v>356</v>
      </c>
      <c r="C72" s="104" t="s">
        <v>357</v>
      </c>
      <c r="D72" s="100" t="s">
        <v>54</v>
      </c>
      <c r="E72" s="99" t="s">
        <v>120</v>
      </c>
      <c r="F72" s="234" t="s">
        <v>733</v>
      </c>
      <c r="G72" s="234" t="s">
        <v>504</v>
      </c>
      <c r="H72" s="234" t="s">
        <v>895</v>
      </c>
      <c r="I72" s="234" t="s">
        <v>896</v>
      </c>
      <c r="J72" s="234" t="s">
        <v>288</v>
      </c>
      <c r="K72" s="259"/>
      <c r="L72" s="258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>
        <v>100</v>
      </c>
      <c r="X72" s="258">
        <v>1520</v>
      </c>
      <c r="Y72" s="258">
        <v>1063.2</v>
      </c>
      <c r="Z72" s="258"/>
      <c r="AA72" s="258"/>
      <c r="AB72" s="258"/>
      <c r="AC72" s="258"/>
      <c r="AD72" s="258"/>
      <c r="AE72" s="258"/>
      <c r="AF72" s="258"/>
      <c r="AG72" s="258"/>
      <c r="AH72" s="258"/>
      <c r="AI72" s="258">
        <v>45</v>
      </c>
      <c r="AJ72" s="258">
        <v>890</v>
      </c>
      <c r="AK72" s="258">
        <v>453.6</v>
      </c>
      <c r="AL72" s="258">
        <v>80</v>
      </c>
      <c r="AM72" s="258">
        <v>1020</v>
      </c>
      <c r="AN72" s="258">
        <v>868.8</v>
      </c>
      <c r="AO72" s="272">
        <f t="shared" si="13"/>
        <v>225</v>
      </c>
      <c r="AP72" s="272">
        <f t="shared" si="9"/>
        <v>3430</v>
      </c>
      <c r="AQ72" s="272">
        <f t="shared" si="15"/>
        <v>2385.6000000000004</v>
      </c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/>
      <c r="BE72" s="234"/>
      <c r="BF72" s="234"/>
      <c r="BG72" s="234"/>
      <c r="BH72" s="234"/>
      <c r="BI72" s="234"/>
      <c r="BJ72" s="234"/>
      <c r="BK72" s="234"/>
      <c r="BL72" s="234"/>
      <c r="BM72" s="234">
        <v>100</v>
      </c>
      <c r="BN72" s="234">
        <v>1410</v>
      </c>
      <c r="BO72" s="234">
        <v>1007.5999999999999</v>
      </c>
      <c r="BP72" s="234"/>
      <c r="BQ72" s="234"/>
      <c r="BR72" s="234"/>
      <c r="BS72" s="234"/>
      <c r="BT72" s="234"/>
      <c r="BU72" s="270"/>
      <c r="BV72" s="272">
        <f t="shared" si="11"/>
        <v>325</v>
      </c>
      <c r="BW72" s="272">
        <f t="shared" si="11"/>
        <v>4840</v>
      </c>
      <c r="BX72" s="272">
        <f t="shared" si="11"/>
        <v>3393.2000000000003</v>
      </c>
      <c r="BY72" s="270"/>
      <c r="BZ72" s="270"/>
      <c r="CA72" s="270"/>
      <c r="CB72" s="270"/>
      <c r="CC72" s="270"/>
      <c r="CD72" s="270"/>
      <c r="CE72" s="270"/>
      <c r="CF72" s="270"/>
      <c r="CG72" s="270"/>
      <c r="CH72" s="270"/>
      <c r="CI72" s="270"/>
      <c r="CJ72" s="270"/>
      <c r="CK72" s="270"/>
      <c r="CL72" s="270"/>
      <c r="CM72" s="270"/>
      <c r="CN72" s="270"/>
      <c r="CO72" s="270"/>
      <c r="CP72" s="270"/>
      <c r="CQ72" s="270"/>
      <c r="CR72" s="270"/>
      <c r="CS72" s="270"/>
      <c r="CT72" s="270"/>
      <c r="CU72" s="270"/>
      <c r="CV72" s="270"/>
      <c r="CW72" s="270"/>
      <c r="CX72" s="270"/>
      <c r="CY72" s="270"/>
      <c r="CZ72" s="270"/>
      <c r="DA72" s="270"/>
      <c r="DB72" s="270"/>
      <c r="DC72" s="270"/>
      <c r="DD72" s="270"/>
      <c r="DE72" s="270"/>
      <c r="DF72" s="272">
        <f t="shared" si="12"/>
        <v>325</v>
      </c>
      <c r="DG72" s="272">
        <f t="shared" si="12"/>
        <v>4840</v>
      </c>
      <c r="DH72" s="272">
        <f t="shared" si="14"/>
        <v>3393.2000000000003</v>
      </c>
      <c r="DI72" s="274"/>
    </row>
    <row r="73" spans="1:113" s="275" customFormat="1" ht="24.75" customHeight="1" x14ac:dyDescent="0.6">
      <c r="A73" s="268">
        <v>30</v>
      </c>
      <c r="B73" s="269" t="s">
        <v>358</v>
      </c>
      <c r="C73" s="104" t="s">
        <v>359</v>
      </c>
      <c r="D73" s="100" t="s">
        <v>360</v>
      </c>
      <c r="E73" s="99" t="s">
        <v>361</v>
      </c>
      <c r="F73" s="234" t="s">
        <v>733</v>
      </c>
      <c r="G73" s="234" t="s">
        <v>344</v>
      </c>
      <c r="H73" s="234" t="s">
        <v>345</v>
      </c>
      <c r="I73" s="234" t="s">
        <v>897</v>
      </c>
      <c r="J73" s="234" t="s">
        <v>288</v>
      </c>
      <c r="K73" s="259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  <c r="AA73" s="258"/>
      <c r="AB73" s="258"/>
      <c r="AC73" s="258"/>
      <c r="AD73" s="258"/>
      <c r="AE73" s="258"/>
      <c r="AF73" s="258"/>
      <c r="AG73" s="258"/>
      <c r="AH73" s="258"/>
      <c r="AI73" s="258"/>
      <c r="AJ73" s="258"/>
      <c r="AK73" s="258"/>
      <c r="AL73" s="258"/>
      <c r="AM73" s="258"/>
      <c r="AN73" s="258"/>
      <c r="AO73" s="272">
        <f t="shared" si="13"/>
        <v>0</v>
      </c>
      <c r="AP73" s="272">
        <f t="shared" si="9"/>
        <v>0</v>
      </c>
      <c r="AQ73" s="272">
        <f t="shared" si="15"/>
        <v>0</v>
      </c>
      <c r="AR73" s="234">
        <v>8</v>
      </c>
      <c r="AS73" s="234">
        <v>102</v>
      </c>
      <c r="AT73" s="234">
        <v>86.88</v>
      </c>
      <c r="AU73" s="234">
        <v>100</v>
      </c>
      <c r="AV73" s="234">
        <v>1580</v>
      </c>
      <c r="AW73" s="234">
        <v>1068</v>
      </c>
      <c r="AX73" s="234"/>
      <c r="AY73" s="234"/>
      <c r="AZ73" s="234"/>
      <c r="BA73" s="234"/>
      <c r="BB73" s="234"/>
      <c r="BC73" s="234"/>
      <c r="BD73" s="234"/>
      <c r="BE73" s="234"/>
      <c r="BF73" s="234"/>
      <c r="BG73" s="234"/>
      <c r="BH73" s="234"/>
      <c r="BI73" s="234"/>
      <c r="BJ73" s="234"/>
      <c r="BK73" s="234"/>
      <c r="BL73" s="234"/>
      <c r="BM73" s="234"/>
      <c r="BN73" s="234"/>
      <c r="BO73" s="234"/>
      <c r="BP73" s="234"/>
      <c r="BQ73" s="234"/>
      <c r="BR73" s="234"/>
      <c r="BS73" s="234"/>
      <c r="BT73" s="234"/>
      <c r="BU73" s="270"/>
      <c r="BV73" s="272">
        <f t="shared" si="11"/>
        <v>108</v>
      </c>
      <c r="BW73" s="272">
        <f t="shared" si="11"/>
        <v>1682</v>
      </c>
      <c r="BX73" s="272">
        <f t="shared" si="11"/>
        <v>1154.8800000000001</v>
      </c>
      <c r="BY73" s="270"/>
      <c r="BZ73" s="270"/>
      <c r="CA73" s="270"/>
      <c r="CB73" s="270"/>
      <c r="CC73" s="270"/>
      <c r="CD73" s="270"/>
      <c r="CE73" s="270"/>
      <c r="CF73" s="270"/>
      <c r="CG73" s="270"/>
      <c r="CH73" s="270"/>
      <c r="CI73" s="270"/>
      <c r="CJ73" s="270"/>
      <c r="CK73" s="270"/>
      <c r="CL73" s="270"/>
      <c r="CM73" s="270"/>
      <c r="CN73" s="270"/>
      <c r="CO73" s="270"/>
      <c r="CP73" s="270"/>
      <c r="CQ73" s="270"/>
      <c r="CR73" s="270"/>
      <c r="CS73" s="270"/>
      <c r="CT73" s="270"/>
      <c r="CU73" s="270"/>
      <c r="CV73" s="270"/>
      <c r="CW73" s="270"/>
      <c r="CX73" s="270"/>
      <c r="CY73" s="270"/>
      <c r="CZ73" s="270"/>
      <c r="DA73" s="270"/>
      <c r="DB73" s="270"/>
      <c r="DC73" s="270"/>
      <c r="DD73" s="270"/>
      <c r="DE73" s="270"/>
      <c r="DF73" s="272">
        <f t="shared" si="12"/>
        <v>108</v>
      </c>
      <c r="DG73" s="272">
        <f t="shared" si="12"/>
        <v>1682</v>
      </c>
      <c r="DH73" s="272">
        <f t="shared" si="14"/>
        <v>1154.8800000000001</v>
      </c>
      <c r="DI73" s="274"/>
    </row>
    <row r="74" spans="1:113" s="275" customFormat="1" ht="24.75" customHeight="1" x14ac:dyDescent="0.6">
      <c r="A74" s="268">
        <v>31</v>
      </c>
      <c r="B74" s="269" t="s">
        <v>362</v>
      </c>
      <c r="C74" s="104" t="s">
        <v>362</v>
      </c>
      <c r="D74" s="99" t="s">
        <v>98</v>
      </c>
      <c r="E74" s="99" t="s">
        <v>99</v>
      </c>
      <c r="F74" s="234" t="s">
        <v>733</v>
      </c>
      <c r="G74" s="234" t="s">
        <v>898</v>
      </c>
      <c r="H74" s="234" t="s">
        <v>899</v>
      </c>
      <c r="I74" s="234" t="s">
        <v>900</v>
      </c>
      <c r="J74" s="234" t="s">
        <v>288</v>
      </c>
      <c r="K74" s="259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58"/>
      <c r="AA74" s="258"/>
      <c r="AB74" s="258"/>
      <c r="AC74" s="258"/>
      <c r="AD74" s="258"/>
      <c r="AE74" s="258"/>
      <c r="AF74" s="258"/>
      <c r="AG74" s="258"/>
      <c r="AH74" s="258"/>
      <c r="AI74" s="258">
        <v>100</v>
      </c>
      <c r="AJ74" s="258">
        <v>1200</v>
      </c>
      <c r="AK74" s="258">
        <v>1200</v>
      </c>
      <c r="AL74" s="258"/>
      <c r="AM74" s="258"/>
      <c r="AN74" s="258"/>
      <c r="AO74" s="272">
        <f t="shared" si="13"/>
        <v>100</v>
      </c>
      <c r="AP74" s="272">
        <f t="shared" si="9"/>
        <v>1200</v>
      </c>
      <c r="AQ74" s="272">
        <f t="shared" si="15"/>
        <v>1200</v>
      </c>
      <c r="AR74" s="234"/>
      <c r="AS74" s="234"/>
      <c r="AT74" s="234"/>
      <c r="AU74" s="234"/>
      <c r="AV74" s="234"/>
      <c r="AW74" s="234"/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  <c r="BI74" s="234"/>
      <c r="BJ74" s="234"/>
      <c r="BK74" s="234"/>
      <c r="BL74" s="234"/>
      <c r="BM74" s="234"/>
      <c r="BN74" s="234"/>
      <c r="BO74" s="234"/>
      <c r="BP74" s="234"/>
      <c r="BQ74" s="234"/>
      <c r="BR74" s="234"/>
      <c r="BS74" s="234"/>
      <c r="BT74" s="234"/>
      <c r="BU74" s="270"/>
      <c r="BV74" s="272">
        <f t="shared" si="11"/>
        <v>100</v>
      </c>
      <c r="BW74" s="272">
        <f t="shared" si="11"/>
        <v>1200</v>
      </c>
      <c r="BX74" s="272">
        <f t="shared" si="11"/>
        <v>1200</v>
      </c>
      <c r="BY74" s="270"/>
      <c r="BZ74" s="270"/>
      <c r="CA74" s="270"/>
      <c r="CB74" s="270"/>
      <c r="CC74" s="270"/>
      <c r="CD74" s="270"/>
      <c r="CE74" s="270"/>
      <c r="CF74" s="270"/>
      <c r="CG74" s="270"/>
      <c r="CH74" s="270"/>
      <c r="CI74" s="270"/>
      <c r="CJ74" s="270"/>
      <c r="CK74" s="270"/>
      <c r="CL74" s="270"/>
      <c r="CM74" s="270"/>
      <c r="CN74" s="270"/>
      <c r="CO74" s="270"/>
      <c r="CP74" s="270"/>
      <c r="CQ74" s="270"/>
      <c r="CR74" s="270"/>
      <c r="CS74" s="270"/>
      <c r="CT74" s="270"/>
      <c r="CU74" s="270"/>
      <c r="CV74" s="270"/>
      <c r="CW74" s="270"/>
      <c r="CX74" s="270"/>
      <c r="CY74" s="270"/>
      <c r="CZ74" s="270"/>
      <c r="DA74" s="270"/>
      <c r="DB74" s="270"/>
      <c r="DC74" s="270"/>
      <c r="DD74" s="270"/>
      <c r="DE74" s="270"/>
      <c r="DF74" s="272">
        <f t="shared" si="12"/>
        <v>100</v>
      </c>
      <c r="DG74" s="272">
        <f t="shared" si="12"/>
        <v>1200</v>
      </c>
      <c r="DH74" s="272">
        <f t="shared" si="14"/>
        <v>1200</v>
      </c>
      <c r="DI74" s="274"/>
    </row>
    <row r="75" spans="1:113" s="275" customFormat="1" ht="24.75" customHeight="1" x14ac:dyDescent="0.6">
      <c r="A75" s="268">
        <v>32</v>
      </c>
      <c r="B75" s="269" t="s">
        <v>363</v>
      </c>
      <c r="C75" s="104" t="s">
        <v>364</v>
      </c>
      <c r="D75" s="99" t="s">
        <v>365</v>
      </c>
      <c r="E75" s="99" t="s">
        <v>366</v>
      </c>
      <c r="F75" s="234" t="s">
        <v>733</v>
      </c>
      <c r="G75" s="234" t="s">
        <v>901</v>
      </c>
      <c r="H75" s="234" t="s">
        <v>902</v>
      </c>
      <c r="I75" s="234" t="s">
        <v>903</v>
      </c>
      <c r="J75" s="234" t="s">
        <v>288</v>
      </c>
      <c r="K75" s="259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  <c r="Z75" s="258"/>
      <c r="AA75" s="258"/>
      <c r="AB75" s="258"/>
      <c r="AC75" s="258"/>
      <c r="AD75" s="258"/>
      <c r="AE75" s="258"/>
      <c r="AF75" s="258"/>
      <c r="AG75" s="258"/>
      <c r="AH75" s="258"/>
      <c r="AI75" s="258"/>
      <c r="AJ75" s="258"/>
      <c r="AK75" s="258"/>
      <c r="AL75" s="258"/>
      <c r="AM75" s="258"/>
      <c r="AN75" s="258"/>
      <c r="AO75" s="272">
        <f t="shared" si="13"/>
        <v>0</v>
      </c>
      <c r="AP75" s="272">
        <f t="shared" ref="AP75:AP90" si="16">+AM75+AJ75+AG75+AD75+AA75+X75+U75+R75+O75+L75</f>
        <v>0</v>
      </c>
      <c r="AQ75" s="272">
        <f t="shared" si="15"/>
        <v>0</v>
      </c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  <c r="BE75" s="234"/>
      <c r="BF75" s="234"/>
      <c r="BG75" s="234"/>
      <c r="BH75" s="234"/>
      <c r="BI75" s="234"/>
      <c r="BJ75" s="234"/>
      <c r="BK75" s="234"/>
      <c r="BL75" s="234"/>
      <c r="BM75" s="234"/>
      <c r="BN75" s="234"/>
      <c r="BO75" s="234"/>
      <c r="BP75" s="234"/>
      <c r="BQ75" s="234"/>
      <c r="BR75" s="234"/>
      <c r="BS75" s="234"/>
      <c r="BT75" s="234"/>
      <c r="BU75" s="270"/>
      <c r="BV75" s="272">
        <f t="shared" ref="BV75:BX90" si="17">+BS75+BP75+BM75+BJ75+BG75+BD75+BA75+AX75+AU75+AR75+AO75</f>
        <v>0</v>
      </c>
      <c r="BW75" s="272">
        <f t="shared" si="17"/>
        <v>0</v>
      </c>
      <c r="BX75" s="272">
        <f t="shared" si="17"/>
        <v>0</v>
      </c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/>
      <c r="CK75" s="270"/>
      <c r="CL75" s="270"/>
      <c r="CM75" s="270"/>
      <c r="CN75" s="270"/>
      <c r="CO75" s="270"/>
      <c r="CP75" s="270"/>
      <c r="CQ75" s="270"/>
      <c r="CR75" s="270"/>
      <c r="CS75" s="270"/>
      <c r="CT75" s="270"/>
      <c r="CU75" s="270"/>
      <c r="CV75" s="270"/>
      <c r="CW75" s="270"/>
      <c r="CX75" s="270"/>
      <c r="CY75" s="270"/>
      <c r="CZ75" s="270"/>
      <c r="DA75" s="270"/>
      <c r="DB75" s="270"/>
      <c r="DC75" s="270"/>
      <c r="DD75" s="270"/>
      <c r="DE75" s="270"/>
      <c r="DF75" s="272">
        <f t="shared" ref="DF75:DG90" si="18">+DC75+CZ75+CW75+CT75+CQ75+CN75+CK75+CH75+CE75+CB75+BY75+BV75</f>
        <v>0</v>
      </c>
      <c r="DG75" s="272">
        <f t="shared" si="18"/>
        <v>0</v>
      </c>
      <c r="DH75" s="272">
        <f t="shared" si="14"/>
        <v>0</v>
      </c>
      <c r="DI75" s="274"/>
    </row>
    <row r="76" spans="1:113" s="275" customFormat="1" ht="24.75" customHeight="1" x14ac:dyDescent="0.6">
      <c r="A76" s="268">
        <v>33</v>
      </c>
      <c r="B76" s="302" t="s">
        <v>367</v>
      </c>
      <c r="C76" s="104" t="s">
        <v>368</v>
      </c>
      <c r="D76" s="99" t="s">
        <v>301</v>
      </c>
      <c r="E76" s="105" t="s">
        <v>87</v>
      </c>
      <c r="F76" s="234" t="s">
        <v>733</v>
      </c>
      <c r="G76" s="234" t="s">
        <v>904</v>
      </c>
      <c r="H76" s="234" t="s">
        <v>905</v>
      </c>
      <c r="I76" s="234" t="s">
        <v>906</v>
      </c>
      <c r="J76" s="234" t="s">
        <v>288</v>
      </c>
      <c r="K76" s="259"/>
      <c r="L76" s="258"/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>
        <v>20</v>
      </c>
      <c r="X76" s="258">
        <v>380</v>
      </c>
      <c r="Y76" s="258">
        <v>250</v>
      </c>
      <c r="Z76" s="258"/>
      <c r="AA76" s="258"/>
      <c r="AB76" s="258"/>
      <c r="AC76" s="258">
        <v>15</v>
      </c>
      <c r="AD76" s="258">
        <v>180</v>
      </c>
      <c r="AE76" s="258">
        <v>180</v>
      </c>
      <c r="AF76" s="258"/>
      <c r="AG76" s="258"/>
      <c r="AH76" s="258"/>
      <c r="AI76" s="258"/>
      <c r="AJ76" s="258"/>
      <c r="AK76" s="258"/>
      <c r="AL76" s="258"/>
      <c r="AM76" s="258"/>
      <c r="AN76" s="258"/>
      <c r="AO76" s="272">
        <f t="shared" si="13"/>
        <v>35</v>
      </c>
      <c r="AP76" s="272">
        <f t="shared" si="16"/>
        <v>560</v>
      </c>
      <c r="AQ76" s="272">
        <f t="shared" si="15"/>
        <v>430</v>
      </c>
      <c r="AR76" s="234"/>
      <c r="AS76" s="234"/>
      <c r="AT76" s="234"/>
      <c r="AU76" s="234"/>
      <c r="AV76" s="234"/>
      <c r="AW76" s="234"/>
      <c r="AX76" s="234"/>
      <c r="AY76" s="234"/>
      <c r="AZ76" s="234"/>
      <c r="BA76" s="234">
        <v>87</v>
      </c>
      <c r="BB76" s="234">
        <v>1340</v>
      </c>
      <c r="BC76" s="234">
        <v>906</v>
      </c>
      <c r="BD76" s="234"/>
      <c r="BE76" s="234"/>
      <c r="BF76" s="234"/>
      <c r="BG76" s="234"/>
      <c r="BH76" s="234"/>
      <c r="BI76" s="234"/>
      <c r="BJ76" s="234"/>
      <c r="BK76" s="234"/>
      <c r="BL76" s="234"/>
      <c r="BM76" s="234"/>
      <c r="BN76" s="234"/>
      <c r="BO76" s="234"/>
      <c r="BP76" s="234"/>
      <c r="BQ76" s="234"/>
      <c r="BR76" s="234"/>
      <c r="BS76" s="234">
        <v>65</v>
      </c>
      <c r="BT76" s="234">
        <v>1020</v>
      </c>
      <c r="BU76" s="270">
        <v>638</v>
      </c>
      <c r="BV76" s="272">
        <f t="shared" si="17"/>
        <v>187</v>
      </c>
      <c r="BW76" s="272">
        <f t="shared" si="17"/>
        <v>2920</v>
      </c>
      <c r="BX76" s="272">
        <f t="shared" si="17"/>
        <v>1974</v>
      </c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0"/>
      <c r="CO76" s="270"/>
      <c r="CP76" s="270"/>
      <c r="CQ76" s="270"/>
      <c r="CR76" s="270"/>
      <c r="CS76" s="270"/>
      <c r="CT76" s="270"/>
      <c r="CU76" s="270"/>
      <c r="CV76" s="270"/>
      <c r="CW76" s="270"/>
      <c r="CX76" s="270"/>
      <c r="CY76" s="270"/>
      <c r="CZ76" s="270"/>
      <c r="DA76" s="270"/>
      <c r="DB76" s="270"/>
      <c r="DC76" s="270"/>
      <c r="DD76" s="270"/>
      <c r="DE76" s="270"/>
      <c r="DF76" s="272">
        <f t="shared" si="18"/>
        <v>187</v>
      </c>
      <c r="DG76" s="272">
        <f t="shared" si="18"/>
        <v>2920</v>
      </c>
      <c r="DH76" s="272">
        <f t="shared" si="14"/>
        <v>1974</v>
      </c>
      <c r="DI76" s="274"/>
    </row>
    <row r="77" spans="1:113" s="275" customFormat="1" ht="24.75" customHeight="1" x14ac:dyDescent="0.6">
      <c r="A77" s="268">
        <v>34</v>
      </c>
      <c r="B77" s="269" t="s">
        <v>369</v>
      </c>
      <c r="C77" s="99" t="s">
        <v>369</v>
      </c>
      <c r="D77" s="99" t="s">
        <v>131</v>
      </c>
      <c r="E77" s="99" t="s">
        <v>132</v>
      </c>
      <c r="F77" s="234" t="s">
        <v>733</v>
      </c>
      <c r="G77" s="234" t="s">
        <v>907</v>
      </c>
      <c r="H77" s="234" t="s">
        <v>908</v>
      </c>
      <c r="I77" s="234" t="s">
        <v>909</v>
      </c>
      <c r="J77" s="234" t="s">
        <v>288</v>
      </c>
      <c r="K77" s="259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  <c r="Z77" s="258"/>
      <c r="AA77" s="258"/>
      <c r="AB77" s="258"/>
      <c r="AC77" s="258"/>
      <c r="AD77" s="258"/>
      <c r="AE77" s="258"/>
      <c r="AF77" s="258"/>
      <c r="AG77" s="258"/>
      <c r="AH77" s="258"/>
      <c r="AI77" s="258"/>
      <c r="AJ77" s="258"/>
      <c r="AK77" s="258"/>
      <c r="AL77" s="258"/>
      <c r="AM77" s="258"/>
      <c r="AN77" s="258"/>
      <c r="AO77" s="272">
        <f t="shared" si="13"/>
        <v>0</v>
      </c>
      <c r="AP77" s="272">
        <f t="shared" si="16"/>
        <v>0</v>
      </c>
      <c r="AQ77" s="272">
        <f t="shared" si="15"/>
        <v>0</v>
      </c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  <c r="BE77" s="234"/>
      <c r="BF77" s="234"/>
      <c r="BG77" s="234"/>
      <c r="BH77" s="234"/>
      <c r="BI77" s="234"/>
      <c r="BJ77" s="234"/>
      <c r="BK77" s="234"/>
      <c r="BL77" s="234"/>
      <c r="BM77" s="234"/>
      <c r="BN77" s="234"/>
      <c r="BO77" s="234"/>
      <c r="BP77" s="234"/>
      <c r="BQ77" s="234"/>
      <c r="BR77" s="234"/>
      <c r="BS77" s="234"/>
      <c r="BT77" s="234"/>
      <c r="BU77" s="270"/>
      <c r="BV77" s="272">
        <f t="shared" si="17"/>
        <v>0</v>
      </c>
      <c r="BW77" s="272">
        <f t="shared" si="17"/>
        <v>0</v>
      </c>
      <c r="BX77" s="272">
        <f t="shared" si="17"/>
        <v>0</v>
      </c>
      <c r="BY77" s="270"/>
      <c r="BZ77" s="270"/>
      <c r="CA77" s="270"/>
      <c r="CB77" s="270"/>
      <c r="CC77" s="270"/>
      <c r="CD77" s="270"/>
      <c r="CE77" s="270"/>
      <c r="CF77" s="270"/>
      <c r="CG77" s="270"/>
      <c r="CH77" s="270"/>
      <c r="CI77" s="270"/>
      <c r="CJ77" s="270"/>
      <c r="CK77" s="270"/>
      <c r="CL77" s="270"/>
      <c r="CM77" s="270"/>
      <c r="CN77" s="270"/>
      <c r="CO77" s="270"/>
      <c r="CP77" s="270"/>
      <c r="CQ77" s="270"/>
      <c r="CR77" s="270"/>
      <c r="CS77" s="270"/>
      <c r="CT77" s="270"/>
      <c r="CU77" s="270"/>
      <c r="CV77" s="270"/>
      <c r="CW77" s="270"/>
      <c r="CX77" s="270"/>
      <c r="CY77" s="270"/>
      <c r="CZ77" s="270"/>
      <c r="DA77" s="270"/>
      <c r="DB77" s="270"/>
      <c r="DC77" s="270"/>
      <c r="DD77" s="270"/>
      <c r="DE77" s="270"/>
      <c r="DF77" s="272">
        <f t="shared" si="18"/>
        <v>0</v>
      </c>
      <c r="DG77" s="272">
        <f t="shared" si="18"/>
        <v>0</v>
      </c>
      <c r="DH77" s="272">
        <f t="shared" si="14"/>
        <v>0</v>
      </c>
      <c r="DI77" s="274"/>
    </row>
    <row r="78" spans="1:113" s="275" customFormat="1" ht="24.75" customHeight="1" x14ac:dyDescent="0.6">
      <c r="A78" s="268">
        <v>35</v>
      </c>
      <c r="B78" s="269" t="s">
        <v>370</v>
      </c>
      <c r="C78" s="143" t="s">
        <v>371</v>
      </c>
      <c r="D78" s="99" t="s">
        <v>301</v>
      </c>
      <c r="E78" s="105" t="s">
        <v>87</v>
      </c>
      <c r="F78" s="234" t="s">
        <v>733</v>
      </c>
      <c r="G78" s="234" t="s">
        <v>910</v>
      </c>
      <c r="H78" s="234" t="s">
        <v>911</v>
      </c>
      <c r="I78" s="234" t="s">
        <v>912</v>
      </c>
      <c r="J78" s="234" t="s">
        <v>288</v>
      </c>
      <c r="K78" s="259"/>
      <c r="L78" s="258"/>
      <c r="M78" s="258"/>
      <c r="N78" s="258"/>
      <c r="O78" s="258"/>
      <c r="P78" s="258"/>
      <c r="Q78" s="258"/>
      <c r="R78" s="258"/>
      <c r="S78" s="258"/>
      <c r="T78" s="258"/>
      <c r="U78" s="258"/>
      <c r="V78" s="258"/>
      <c r="W78" s="258"/>
      <c r="X78" s="258"/>
      <c r="Y78" s="258"/>
      <c r="Z78" s="258"/>
      <c r="AA78" s="258"/>
      <c r="AB78" s="258"/>
      <c r="AC78" s="258"/>
      <c r="AD78" s="258"/>
      <c r="AE78" s="258"/>
      <c r="AF78" s="258"/>
      <c r="AG78" s="258"/>
      <c r="AH78" s="258"/>
      <c r="AI78" s="258"/>
      <c r="AJ78" s="258"/>
      <c r="AK78" s="258"/>
      <c r="AL78" s="258"/>
      <c r="AM78" s="258"/>
      <c r="AN78" s="258"/>
      <c r="AO78" s="272">
        <f t="shared" si="13"/>
        <v>0</v>
      </c>
      <c r="AP78" s="272">
        <f t="shared" si="16"/>
        <v>0</v>
      </c>
      <c r="AQ78" s="272">
        <f t="shared" si="15"/>
        <v>0</v>
      </c>
      <c r="AR78" s="234">
        <v>100</v>
      </c>
      <c r="AS78" s="234">
        <v>1350</v>
      </c>
      <c r="AT78" s="234">
        <v>972</v>
      </c>
      <c r="AU78" s="234"/>
      <c r="AV78" s="234"/>
      <c r="AW78" s="234"/>
      <c r="AX78" s="234"/>
      <c r="AY78" s="234"/>
      <c r="AZ78" s="234"/>
      <c r="BA78" s="234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  <c r="BM78" s="234"/>
      <c r="BN78" s="234"/>
      <c r="BO78" s="234"/>
      <c r="BP78" s="234"/>
      <c r="BQ78" s="234"/>
      <c r="BR78" s="234"/>
      <c r="BS78" s="234"/>
      <c r="BT78" s="234"/>
      <c r="BU78" s="270"/>
      <c r="BV78" s="272">
        <f t="shared" si="17"/>
        <v>100</v>
      </c>
      <c r="BW78" s="272">
        <f t="shared" si="17"/>
        <v>1350</v>
      </c>
      <c r="BX78" s="272">
        <f t="shared" si="17"/>
        <v>972</v>
      </c>
      <c r="BY78" s="270"/>
      <c r="BZ78" s="270"/>
      <c r="CA78" s="270"/>
      <c r="CB78" s="270"/>
      <c r="CC78" s="270"/>
      <c r="CD78" s="270"/>
      <c r="CE78" s="270"/>
      <c r="CF78" s="270"/>
      <c r="CG78" s="270"/>
      <c r="CH78" s="270"/>
      <c r="CI78" s="270"/>
      <c r="CJ78" s="270"/>
      <c r="CK78" s="270"/>
      <c r="CL78" s="270"/>
      <c r="CM78" s="270"/>
      <c r="CN78" s="270"/>
      <c r="CO78" s="270"/>
      <c r="CP78" s="270"/>
      <c r="CQ78" s="270"/>
      <c r="CR78" s="270"/>
      <c r="CS78" s="270"/>
      <c r="CT78" s="270"/>
      <c r="CU78" s="270"/>
      <c r="CV78" s="270"/>
      <c r="CW78" s="270"/>
      <c r="CX78" s="270"/>
      <c r="CY78" s="270"/>
      <c r="CZ78" s="270"/>
      <c r="DA78" s="270"/>
      <c r="DB78" s="270"/>
      <c r="DC78" s="270"/>
      <c r="DD78" s="270"/>
      <c r="DE78" s="270"/>
      <c r="DF78" s="272">
        <f t="shared" si="18"/>
        <v>100</v>
      </c>
      <c r="DG78" s="272">
        <f t="shared" si="18"/>
        <v>1350</v>
      </c>
      <c r="DH78" s="272">
        <f t="shared" si="14"/>
        <v>972</v>
      </c>
      <c r="DI78" s="274"/>
    </row>
    <row r="79" spans="1:113" s="275" customFormat="1" ht="24.75" customHeight="1" x14ac:dyDescent="0.6">
      <c r="A79" s="268">
        <v>36</v>
      </c>
      <c r="B79" s="269" t="s">
        <v>372</v>
      </c>
      <c r="C79" s="143" t="s">
        <v>373</v>
      </c>
      <c r="D79" s="99" t="s">
        <v>301</v>
      </c>
      <c r="E79" s="105" t="s">
        <v>87</v>
      </c>
      <c r="F79" s="234" t="s">
        <v>733</v>
      </c>
      <c r="G79" s="234" t="s">
        <v>354</v>
      </c>
      <c r="H79" s="234" t="s">
        <v>913</v>
      </c>
      <c r="I79" s="234" t="s">
        <v>914</v>
      </c>
      <c r="J79" s="234" t="s">
        <v>288</v>
      </c>
      <c r="K79" s="259"/>
      <c r="L79" s="258"/>
      <c r="M79" s="258"/>
      <c r="N79" s="258"/>
      <c r="O79" s="258"/>
      <c r="P79" s="258"/>
      <c r="Q79" s="258"/>
      <c r="R79" s="258"/>
      <c r="S79" s="258"/>
      <c r="T79" s="258">
        <v>50</v>
      </c>
      <c r="U79" s="258">
        <v>600</v>
      </c>
      <c r="V79" s="258">
        <v>600</v>
      </c>
      <c r="W79" s="258"/>
      <c r="X79" s="258"/>
      <c r="Y79" s="258"/>
      <c r="Z79" s="258"/>
      <c r="AA79" s="258"/>
      <c r="AB79" s="258"/>
      <c r="AC79" s="258"/>
      <c r="AD79" s="258"/>
      <c r="AE79" s="258"/>
      <c r="AF79" s="258"/>
      <c r="AG79" s="258"/>
      <c r="AH79" s="258"/>
      <c r="AI79" s="258"/>
      <c r="AJ79" s="258"/>
      <c r="AK79" s="258"/>
      <c r="AL79" s="258"/>
      <c r="AM79" s="258"/>
      <c r="AN79" s="258"/>
      <c r="AO79" s="272">
        <f t="shared" si="13"/>
        <v>50</v>
      </c>
      <c r="AP79" s="272">
        <f t="shared" si="16"/>
        <v>600</v>
      </c>
      <c r="AQ79" s="272">
        <f t="shared" si="15"/>
        <v>600</v>
      </c>
      <c r="AR79" s="234"/>
      <c r="AS79" s="234"/>
      <c r="AT79" s="234"/>
      <c r="AU79" s="234"/>
      <c r="AV79" s="234"/>
      <c r="AW79" s="234"/>
      <c r="AX79" s="234"/>
      <c r="AY79" s="234"/>
      <c r="AZ79" s="234"/>
      <c r="BA79" s="234">
        <v>70</v>
      </c>
      <c r="BB79" s="234">
        <v>880</v>
      </c>
      <c r="BC79" s="234">
        <v>779.2</v>
      </c>
      <c r="BD79" s="234"/>
      <c r="BE79" s="234"/>
      <c r="BF79" s="234"/>
      <c r="BG79" s="234"/>
      <c r="BH79" s="234"/>
      <c r="BI79" s="234"/>
      <c r="BJ79" s="234"/>
      <c r="BK79" s="234"/>
      <c r="BL79" s="234"/>
      <c r="BM79" s="234"/>
      <c r="BN79" s="234"/>
      <c r="BO79" s="234"/>
      <c r="BP79" s="234">
        <v>50</v>
      </c>
      <c r="BQ79" s="234">
        <v>700</v>
      </c>
      <c r="BR79" s="234">
        <v>448</v>
      </c>
      <c r="BS79" s="234">
        <v>50</v>
      </c>
      <c r="BT79" s="234">
        <v>600</v>
      </c>
      <c r="BU79" s="270">
        <v>600</v>
      </c>
      <c r="BV79" s="272">
        <f t="shared" si="17"/>
        <v>220</v>
      </c>
      <c r="BW79" s="272">
        <f t="shared" si="17"/>
        <v>2780</v>
      </c>
      <c r="BX79" s="272">
        <f t="shared" si="17"/>
        <v>2427.1999999999998</v>
      </c>
      <c r="BY79" s="270"/>
      <c r="BZ79" s="270"/>
      <c r="CA79" s="270"/>
      <c r="CB79" s="270"/>
      <c r="CC79" s="270"/>
      <c r="CD79" s="270"/>
      <c r="CE79" s="270"/>
      <c r="CF79" s="270"/>
      <c r="CG79" s="270"/>
      <c r="CH79" s="270"/>
      <c r="CI79" s="270"/>
      <c r="CJ79" s="270"/>
      <c r="CK79" s="270"/>
      <c r="CL79" s="270"/>
      <c r="CM79" s="270"/>
      <c r="CN79" s="270"/>
      <c r="CO79" s="270"/>
      <c r="CP79" s="270"/>
      <c r="CQ79" s="270"/>
      <c r="CR79" s="270"/>
      <c r="CS79" s="270"/>
      <c r="CT79" s="270"/>
      <c r="CU79" s="270"/>
      <c r="CV79" s="270"/>
      <c r="CW79" s="270"/>
      <c r="CX79" s="270"/>
      <c r="CY79" s="270"/>
      <c r="CZ79" s="270"/>
      <c r="DA79" s="270"/>
      <c r="DB79" s="270"/>
      <c r="DC79" s="270"/>
      <c r="DD79" s="270"/>
      <c r="DE79" s="270"/>
      <c r="DF79" s="272">
        <f t="shared" si="18"/>
        <v>220</v>
      </c>
      <c r="DG79" s="272">
        <f t="shared" si="18"/>
        <v>2780</v>
      </c>
      <c r="DH79" s="272">
        <f t="shared" si="14"/>
        <v>2427.1999999999998</v>
      </c>
      <c r="DI79" s="274"/>
    </row>
    <row r="80" spans="1:113" s="275" customFormat="1" ht="24.75" customHeight="1" x14ac:dyDescent="0.6">
      <c r="A80" s="268">
        <v>37</v>
      </c>
      <c r="B80" s="269" t="s">
        <v>374</v>
      </c>
      <c r="C80" s="143" t="s">
        <v>375</v>
      </c>
      <c r="D80" s="99" t="s">
        <v>301</v>
      </c>
      <c r="E80" s="105" t="s">
        <v>87</v>
      </c>
      <c r="F80" s="234" t="s">
        <v>733</v>
      </c>
      <c r="G80" s="234" t="s">
        <v>915</v>
      </c>
      <c r="H80" s="234" t="s">
        <v>916</v>
      </c>
      <c r="I80" s="234" t="s">
        <v>917</v>
      </c>
      <c r="J80" s="234" t="s">
        <v>288</v>
      </c>
      <c r="K80" s="259"/>
      <c r="L80" s="258"/>
      <c r="M80" s="258"/>
      <c r="N80" s="258"/>
      <c r="O80" s="258"/>
      <c r="P80" s="258"/>
      <c r="Q80" s="258"/>
      <c r="R80" s="258"/>
      <c r="S80" s="258"/>
      <c r="T80" s="258"/>
      <c r="U80" s="258"/>
      <c r="V80" s="258"/>
      <c r="W80" s="258"/>
      <c r="X80" s="258"/>
      <c r="Y80" s="258"/>
      <c r="Z80" s="258"/>
      <c r="AA80" s="258"/>
      <c r="AB80" s="258"/>
      <c r="AC80" s="258"/>
      <c r="AD80" s="258"/>
      <c r="AE80" s="258"/>
      <c r="AF80" s="258"/>
      <c r="AG80" s="258"/>
      <c r="AH80" s="258"/>
      <c r="AI80" s="258"/>
      <c r="AJ80" s="258"/>
      <c r="AK80" s="258"/>
      <c r="AL80" s="258"/>
      <c r="AM80" s="258"/>
      <c r="AN80" s="258"/>
      <c r="AO80" s="272">
        <f t="shared" si="13"/>
        <v>0</v>
      </c>
      <c r="AP80" s="272">
        <f t="shared" si="16"/>
        <v>0</v>
      </c>
      <c r="AQ80" s="272">
        <f t="shared" si="15"/>
        <v>0</v>
      </c>
      <c r="AR80" s="234"/>
      <c r="AS80" s="234"/>
      <c r="AT80" s="234"/>
      <c r="AU80" s="234"/>
      <c r="AV80" s="234"/>
      <c r="AW80" s="234"/>
      <c r="AX80" s="234"/>
      <c r="AY80" s="234"/>
      <c r="AZ80" s="234"/>
      <c r="BA80" s="234"/>
      <c r="BB80" s="234"/>
      <c r="BC80" s="234"/>
      <c r="BD80" s="234"/>
      <c r="BE80" s="234"/>
      <c r="BF80" s="234"/>
      <c r="BG80" s="234">
        <v>80</v>
      </c>
      <c r="BH80" s="234">
        <v>1040</v>
      </c>
      <c r="BI80" s="234">
        <v>838.40000000000009</v>
      </c>
      <c r="BJ80" s="234"/>
      <c r="BK80" s="234"/>
      <c r="BL80" s="234"/>
      <c r="BM80" s="234"/>
      <c r="BN80" s="234"/>
      <c r="BO80" s="234"/>
      <c r="BP80" s="234"/>
      <c r="BQ80" s="234"/>
      <c r="BR80" s="234"/>
      <c r="BS80" s="234"/>
      <c r="BT80" s="234"/>
      <c r="BU80" s="270"/>
      <c r="BV80" s="272">
        <f t="shared" si="17"/>
        <v>80</v>
      </c>
      <c r="BW80" s="272">
        <f t="shared" si="17"/>
        <v>1040</v>
      </c>
      <c r="BX80" s="272">
        <f t="shared" si="17"/>
        <v>838.40000000000009</v>
      </c>
      <c r="BY80" s="270"/>
      <c r="BZ80" s="270"/>
      <c r="CA80" s="270"/>
      <c r="CB80" s="270"/>
      <c r="CC80" s="270"/>
      <c r="CD80" s="270"/>
      <c r="CE80" s="270"/>
      <c r="CF80" s="270"/>
      <c r="CG80" s="270"/>
      <c r="CH80" s="270"/>
      <c r="CI80" s="270"/>
      <c r="CJ80" s="270"/>
      <c r="CK80" s="270"/>
      <c r="CL80" s="270"/>
      <c r="CM80" s="270"/>
      <c r="CN80" s="270"/>
      <c r="CO80" s="270"/>
      <c r="CP80" s="270"/>
      <c r="CQ80" s="270"/>
      <c r="CR80" s="270"/>
      <c r="CS80" s="270"/>
      <c r="CT80" s="270"/>
      <c r="CU80" s="270"/>
      <c r="CV80" s="270"/>
      <c r="CW80" s="270"/>
      <c r="CX80" s="270"/>
      <c r="CY80" s="270"/>
      <c r="CZ80" s="270"/>
      <c r="DA80" s="270"/>
      <c r="DB80" s="270"/>
      <c r="DC80" s="270"/>
      <c r="DD80" s="270"/>
      <c r="DE80" s="270"/>
      <c r="DF80" s="272">
        <f t="shared" si="18"/>
        <v>80</v>
      </c>
      <c r="DG80" s="272">
        <f t="shared" si="18"/>
        <v>1040</v>
      </c>
      <c r="DH80" s="272">
        <f t="shared" si="14"/>
        <v>838.40000000000009</v>
      </c>
      <c r="DI80" s="274"/>
    </row>
    <row r="81" spans="1:113" s="275" customFormat="1" ht="24.75" customHeight="1" x14ac:dyDescent="0.6">
      <c r="A81" s="268">
        <v>38</v>
      </c>
      <c r="B81" s="269" t="s">
        <v>376</v>
      </c>
      <c r="C81" s="143" t="s">
        <v>376</v>
      </c>
      <c r="D81" s="105" t="s">
        <v>377</v>
      </c>
      <c r="E81" s="105" t="s">
        <v>117</v>
      </c>
      <c r="F81" s="234" t="s">
        <v>733</v>
      </c>
      <c r="G81" s="234" t="s">
        <v>918</v>
      </c>
      <c r="H81" s="234" t="s">
        <v>919</v>
      </c>
      <c r="I81" s="234" t="s">
        <v>920</v>
      </c>
      <c r="J81" s="234" t="s">
        <v>288</v>
      </c>
      <c r="K81" s="259"/>
      <c r="L81" s="258"/>
      <c r="M81" s="258"/>
      <c r="N81" s="258"/>
      <c r="O81" s="258"/>
      <c r="P81" s="258"/>
      <c r="Q81" s="258"/>
      <c r="R81" s="258"/>
      <c r="S81" s="258"/>
      <c r="T81" s="258"/>
      <c r="U81" s="258"/>
      <c r="V81" s="258"/>
      <c r="W81" s="258">
        <v>255</v>
      </c>
      <c r="X81" s="258">
        <v>4200</v>
      </c>
      <c r="Y81" s="258">
        <v>3046</v>
      </c>
      <c r="Z81" s="258"/>
      <c r="AA81" s="258"/>
      <c r="AB81" s="258"/>
      <c r="AC81" s="258"/>
      <c r="AD81" s="258"/>
      <c r="AE81" s="258"/>
      <c r="AF81" s="258"/>
      <c r="AG81" s="258"/>
      <c r="AH81" s="258"/>
      <c r="AI81" s="258"/>
      <c r="AJ81" s="258"/>
      <c r="AK81" s="258"/>
      <c r="AL81" s="258"/>
      <c r="AM81" s="258"/>
      <c r="AN81" s="258"/>
      <c r="AO81" s="272">
        <f t="shared" si="13"/>
        <v>255</v>
      </c>
      <c r="AP81" s="272">
        <f t="shared" si="16"/>
        <v>4200</v>
      </c>
      <c r="AQ81" s="272">
        <f t="shared" si="15"/>
        <v>3046</v>
      </c>
      <c r="AR81" s="234"/>
      <c r="AS81" s="234"/>
      <c r="AT81" s="234"/>
      <c r="AU81" s="234"/>
      <c r="AV81" s="234"/>
      <c r="AW81" s="234"/>
      <c r="AX81" s="234">
        <v>210</v>
      </c>
      <c r="AY81" s="234">
        <v>3000</v>
      </c>
      <c r="AZ81" s="234">
        <v>2236</v>
      </c>
      <c r="BA81" s="234"/>
      <c r="BB81" s="234"/>
      <c r="BC81" s="234"/>
      <c r="BD81" s="234"/>
      <c r="BE81" s="234"/>
      <c r="BF81" s="234"/>
      <c r="BG81" s="234"/>
      <c r="BH81" s="234"/>
      <c r="BI81" s="234"/>
      <c r="BJ81" s="234"/>
      <c r="BK81" s="234"/>
      <c r="BL81" s="234"/>
      <c r="BM81" s="234"/>
      <c r="BN81" s="234"/>
      <c r="BO81" s="234"/>
      <c r="BP81" s="234">
        <v>100</v>
      </c>
      <c r="BQ81" s="234">
        <v>1400</v>
      </c>
      <c r="BR81" s="234">
        <v>896</v>
      </c>
      <c r="BS81" s="234"/>
      <c r="BT81" s="234"/>
      <c r="BU81" s="270"/>
      <c r="BV81" s="272">
        <f t="shared" si="17"/>
        <v>565</v>
      </c>
      <c r="BW81" s="272">
        <f t="shared" si="17"/>
        <v>8600</v>
      </c>
      <c r="BX81" s="272">
        <f t="shared" si="17"/>
        <v>6178</v>
      </c>
      <c r="BY81" s="270"/>
      <c r="BZ81" s="270"/>
      <c r="CA81" s="270"/>
      <c r="CB81" s="270"/>
      <c r="CC81" s="270"/>
      <c r="CD81" s="270"/>
      <c r="CE81" s="270"/>
      <c r="CF81" s="270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0"/>
      <c r="CR81" s="270"/>
      <c r="CS81" s="270"/>
      <c r="CT81" s="270"/>
      <c r="CU81" s="270"/>
      <c r="CV81" s="270"/>
      <c r="CW81" s="270"/>
      <c r="CX81" s="270"/>
      <c r="CY81" s="270"/>
      <c r="CZ81" s="270"/>
      <c r="DA81" s="270"/>
      <c r="DB81" s="270"/>
      <c r="DC81" s="270"/>
      <c r="DD81" s="270"/>
      <c r="DE81" s="270"/>
      <c r="DF81" s="272">
        <f t="shared" si="18"/>
        <v>565</v>
      </c>
      <c r="DG81" s="272">
        <f t="shared" si="18"/>
        <v>8600</v>
      </c>
      <c r="DH81" s="272">
        <f t="shared" si="14"/>
        <v>6178</v>
      </c>
      <c r="DI81" s="274"/>
    </row>
    <row r="82" spans="1:113" s="275" customFormat="1" ht="24.75" customHeight="1" x14ac:dyDescent="0.6">
      <c r="A82" s="268">
        <v>39</v>
      </c>
      <c r="B82" s="269" t="s">
        <v>378</v>
      </c>
      <c r="C82" s="99" t="s">
        <v>379</v>
      </c>
      <c r="D82" s="100" t="s">
        <v>323</v>
      </c>
      <c r="E82" s="105" t="s">
        <v>91</v>
      </c>
      <c r="F82" s="234" t="s">
        <v>733</v>
      </c>
      <c r="G82" s="234" t="s">
        <v>921</v>
      </c>
      <c r="H82" s="234" t="s">
        <v>922</v>
      </c>
      <c r="I82" s="234" t="s">
        <v>923</v>
      </c>
      <c r="J82" s="234" t="s">
        <v>288</v>
      </c>
      <c r="K82" s="259"/>
      <c r="L82" s="258"/>
      <c r="M82" s="258"/>
      <c r="N82" s="258"/>
      <c r="O82" s="258"/>
      <c r="P82" s="258"/>
      <c r="Q82" s="258"/>
      <c r="R82" s="258"/>
      <c r="S82" s="258"/>
      <c r="T82" s="258"/>
      <c r="U82" s="258"/>
      <c r="V82" s="258"/>
      <c r="W82" s="258"/>
      <c r="X82" s="258"/>
      <c r="Y82" s="258"/>
      <c r="Z82" s="258"/>
      <c r="AA82" s="258"/>
      <c r="AB82" s="258"/>
      <c r="AC82" s="258"/>
      <c r="AD82" s="258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O82" s="272">
        <f t="shared" si="13"/>
        <v>0</v>
      </c>
      <c r="AP82" s="272">
        <f t="shared" si="16"/>
        <v>0</v>
      </c>
      <c r="AQ82" s="272">
        <f t="shared" si="15"/>
        <v>0</v>
      </c>
      <c r="AR82" s="234"/>
      <c r="AS82" s="234"/>
      <c r="AT82" s="234"/>
      <c r="AU82" s="234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4"/>
      <c r="BG82" s="234"/>
      <c r="BH82" s="234"/>
      <c r="BI82" s="234"/>
      <c r="BJ82" s="234">
        <v>30</v>
      </c>
      <c r="BK82" s="234">
        <v>500</v>
      </c>
      <c r="BL82" s="234">
        <v>370</v>
      </c>
      <c r="BM82" s="234"/>
      <c r="BN82" s="234"/>
      <c r="BO82" s="234"/>
      <c r="BP82" s="234"/>
      <c r="BQ82" s="234"/>
      <c r="BR82" s="234"/>
      <c r="BS82" s="234"/>
      <c r="BT82" s="234"/>
      <c r="BU82" s="270"/>
      <c r="BV82" s="272">
        <f t="shared" si="17"/>
        <v>30</v>
      </c>
      <c r="BW82" s="272">
        <f t="shared" si="17"/>
        <v>500</v>
      </c>
      <c r="BX82" s="272">
        <f t="shared" si="17"/>
        <v>370</v>
      </c>
      <c r="BY82" s="270"/>
      <c r="BZ82" s="270"/>
      <c r="CA82" s="270"/>
      <c r="CB82" s="270"/>
      <c r="CC82" s="270"/>
      <c r="CD82" s="270"/>
      <c r="CE82" s="270"/>
      <c r="CF82" s="270"/>
      <c r="CG82" s="270"/>
      <c r="CH82" s="270"/>
      <c r="CI82" s="270"/>
      <c r="CJ82" s="270"/>
      <c r="CK82" s="270"/>
      <c r="CL82" s="270"/>
      <c r="CM82" s="270"/>
      <c r="CN82" s="270"/>
      <c r="CO82" s="270"/>
      <c r="CP82" s="270"/>
      <c r="CQ82" s="270"/>
      <c r="CR82" s="270"/>
      <c r="CS82" s="270"/>
      <c r="CT82" s="270"/>
      <c r="CU82" s="270"/>
      <c r="CV82" s="270"/>
      <c r="CW82" s="270"/>
      <c r="CX82" s="270"/>
      <c r="CY82" s="270"/>
      <c r="CZ82" s="270"/>
      <c r="DA82" s="270"/>
      <c r="DB82" s="270"/>
      <c r="DC82" s="270"/>
      <c r="DD82" s="270"/>
      <c r="DE82" s="270"/>
      <c r="DF82" s="272">
        <f t="shared" si="18"/>
        <v>30</v>
      </c>
      <c r="DG82" s="272">
        <f t="shared" si="18"/>
        <v>500</v>
      </c>
      <c r="DH82" s="272">
        <f t="shared" si="14"/>
        <v>370</v>
      </c>
      <c r="DI82" s="274"/>
    </row>
    <row r="83" spans="1:113" s="275" customFormat="1" ht="24.75" customHeight="1" x14ac:dyDescent="0.6">
      <c r="A83" s="268">
        <v>40</v>
      </c>
      <c r="B83" s="269" t="s">
        <v>380</v>
      </c>
      <c r="C83" s="99" t="s">
        <v>380</v>
      </c>
      <c r="D83" s="100" t="s">
        <v>123</v>
      </c>
      <c r="E83" s="149" t="s">
        <v>124</v>
      </c>
      <c r="F83" s="234" t="s">
        <v>733</v>
      </c>
      <c r="G83" s="234" t="s">
        <v>924</v>
      </c>
      <c r="H83" s="234" t="s">
        <v>925</v>
      </c>
      <c r="I83" s="234" t="s">
        <v>926</v>
      </c>
      <c r="J83" s="234" t="s">
        <v>288</v>
      </c>
      <c r="K83" s="259"/>
      <c r="L83" s="258"/>
      <c r="M83" s="258"/>
      <c r="N83" s="258"/>
      <c r="O83" s="258"/>
      <c r="P83" s="258"/>
      <c r="Q83" s="258"/>
      <c r="R83" s="258"/>
      <c r="S83" s="258"/>
      <c r="T83" s="258"/>
      <c r="U83" s="258"/>
      <c r="V83" s="258"/>
      <c r="W83" s="258">
        <v>70</v>
      </c>
      <c r="X83" s="258">
        <v>1120</v>
      </c>
      <c r="Y83" s="258">
        <v>860</v>
      </c>
      <c r="Z83" s="258"/>
      <c r="AA83" s="258"/>
      <c r="AB83" s="258"/>
      <c r="AC83" s="258"/>
      <c r="AD83" s="258"/>
      <c r="AE83" s="258"/>
      <c r="AF83" s="258"/>
      <c r="AG83" s="258"/>
      <c r="AH83" s="258"/>
      <c r="AI83" s="258">
        <v>95</v>
      </c>
      <c r="AJ83" s="258">
        <v>1450</v>
      </c>
      <c r="AK83" s="258">
        <v>1114.3999999999999</v>
      </c>
      <c r="AL83" s="258"/>
      <c r="AM83" s="258"/>
      <c r="AN83" s="258"/>
      <c r="AO83" s="272">
        <f t="shared" si="13"/>
        <v>165</v>
      </c>
      <c r="AP83" s="272">
        <f t="shared" si="16"/>
        <v>2570</v>
      </c>
      <c r="AQ83" s="272">
        <f t="shared" si="15"/>
        <v>1974.3999999999999</v>
      </c>
      <c r="AR83" s="234"/>
      <c r="AS83" s="234"/>
      <c r="AT83" s="234"/>
      <c r="AU83" s="234"/>
      <c r="AV83" s="234"/>
      <c r="AW83" s="234"/>
      <c r="AX83" s="234">
        <v>155</v>
      </c>
      <c r="AY83" s="234">
        <v>2470</v>
      </c>
      <c r="AZ83" s="234">
        <v>1824</v>
      </c>
      <c r="BA83" s="234"/>
      <c r="BB83" s="234"/>
      <c r="BC83" s="234"/>
      <c r="BD83" s="234"/>
      <c r="BE83" s="234"/>
      <c r="BF83" s="234"/>
      <c r="BG83" s="234"/>
      <c r="BH83" s="234"/>
      <c r="BI83" s="234"/>
      <c r="BJ83" s="234"/>
      <c r="BK83" s="234"/>
      <c r="BL83" s="234"/>
      <c r="BM83" s="234"/>
      <c r="BN83" s="234"/>
      <c r="BO83" s="234"/>
      <c r="BP83" s="234">
        <v>160</v>
      </c>
      <c r="BQ83" s="234">
        <v>2540</v>
      </c>
      <c r="BR83" s="234">
        <v>1868.8</v>
      </c>
      <c r="BS83" s="234"/>
      <c r="BT83" s="234"/>
      <c r="BU83" s="270"/>
      <c r="BV83" s="272">
        <f t="shared" si="17"/>
        <v>480</v>
      </c>
      <c r="BW83" s="272">
        <f t="shared" si="17"/>
        <v>7580</v>
      </c>
      <c r="BX83" s="272">
        <f t="shared" si="17"/>
        <v>5667.2</v>
      </c>
      <c r="BY83" s="270"/>
      <c r="BZ83" s="270"/>
      <c r="CA83" s="270"/>
      <c r="CB83" s="270"/>
      <c r="CC83" s="270"/>
      <c r="CD83" s="270"/>
      <c r="CE83" s="270"/>
      <c r="CF83" s="270"/>
      <c r="CG83" s="270"/>
      <c r="CH83" s="270"/>
      <c r="CI83" s="270"/>
      <c r="CJ83" s="270"/>
      <c r="CK83" s="270"/>
      <c r="CL83" s="270"/>
      <c r="CM83" s="270"/>
      <c r="CN83" s="270"/>
      <c r="CO83" s="270"/>
      <c r="CP83" s="270"/>
      <c r="CQ83" s="270"/>
      <c r="CR83" s="270"/>
      <c r="CS83" s="270"/>
      <c r="CT83" s="270"/>
      <c r="CU83" s="270"/>
      <c r="CV83" s="270"/>
      <c r="CW83" s="270"/>
      <c r="CX83" s="270"/>
      <c r="CY83" s="270"/>
      <c r="CZ83" s="270"/>
      <c r="DA83" s="270"/>
      <c r="DB83" s="270"/>
      <c r="DC83" s="270"/>
      <c r="DD83" s="270"/>
      <c r="DE83" s="270"/>
      <c r="DF83" s="272">
        <f t="shared" si="18"/>
        <v>480</v>
      </c>
      <c r="DG83" s="272">
        <f t="shared" si="18"/>
        <v>7580</v>
      </c>
      <c r="DH83" s="272">
        <f t="shared" si="14"/>
        <v>5667.2</v>
      </c>
      <c r="DI83" s="274"/>
    </row>
    <row r="84" spans="1:113" s="275" customFormat="1" ht="24.75" customHeight="1" x14ac:dyDescent="0.6">
      <c r="A84" s="268">
        <v>41</v>
      </c>
      <c r="B84" s="269" t="s">
        <v>381</v>
      </c>
      <c r="C84" s="99" t="s">
        <v>381</v>
      </c>
      <c r="D84" s="100" t="s">
        <v>123</v>
      </c>
      <c r="E84" s="149" t="s">
        <v>124</v>
      </c>
      <c r="F84" s="234" t="s">
        <v>733</v>
      </c>
      <c r="G84" s="234" t="s">
        <v>927</v>
      </c>
      <c r="H84" s="234" t="s">
        <v>928</v>
      </c>
      <c r="I84" s="234" t="s">
        <v>929</v>
      </c>
      <c r="J84" s="234" t="s">
        <v>288</v>
      </c>
      <c r="K84" s="259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>
        <v>59</v>
      </c>
      <c r="X84" s="258">
        <v>708</v>
      </c>
      <c r="Y84" s="258">
        <v>453.12</v>
      </c>
      <c r="Z84" s="258"/>
      <c r="AA84" s="258"/>
      <c r="AB84" s="258"/>
      <c r="AC84" s="258"/>
      <c r="AD84" s="258"/>
      <c r="AE84" s="258"/>
      <c r="AF84" s="258"/>
      <c r="AG84" s="258"/>
      <c r="AH84" s="258"/>
      <c r="AI84" s="258"/>
      <c r="AJ84" s="258"/>
      <c r="AK84" s="258"/>
      <c r="AL84" s="258"/>
      <c r="AM84" s="258"/>
      <c r="AN84" s="258"/>
      <c r="AO84" s="272">
        <f t="shared" si="13"/>
        <v>59</v>
      </c>
      <c r="AP84" s="272">
        <f t="shared" si="16"/>
        <v>708</v>
      </c>
      <c r="AQ84" s="272">
        <f t="shared" si="15"/>
        <v>453.12</v>
      </c>
      <c r="AR84" s="234"/>
      <c r="AS84" s="234"/>
      <c r="AT84" s="234"/>
      <c r="AU84" s="234"/>
      <c r="AV84" s="234"/>
      <c r="AW84" s="234"/>
      <c r="AX84" s="234"/>
      <c r="AY84" s="234"/>
      <c r="AZ84" s="234"/>
      <c r="BA84" s="234"/>
      <c r="BB84" s="234"/>
      <c r="BC84" s="234"/>
      <c r="BD84" s="234"/>
      <c r="BE84" s="234"/>
      <c r="BF84" s="234"/>
      <c r="BG84" s="234"/>
      <c r="BH84" s="234"/>
      <c r="BI84" s="234"/>
      <c r="BJ84" s="234"/>
      <c r="BK84" s="234"/>
      <c r="BL84" s="234"/>
      <c r="BM84" s="234">
        <v>59</v>
      </c>
      <c r="BN84" s="234">
        <v>708</v>
      </c>
      <c r="BO84" s="234">
        <v>453.12</v>
      </c>
      <c r="BP84" s="234"/>
      <c r="BQ84" s="234"/>
      <c r="BR84" s="234"/>
      <c r="BS84" s="234"/>
      <c r="BT84" s="234"/>
      <c r="BU84" s="270"/>
      <c r="BV84" s="272">
        <f t="shared" si="17"/>
        <v>118</v>
      </c>
      <c r="BW84" s="272">
        <f t="shared" si="17"/>
        <v>1416</v>
      </c>
      <c r="BX84" s="272">
        <f t="shared" si="17"/>
        <v>906.24</v>
      </c>
      <c r="BY84" s="270"/>
      <c r="BZ84" s="270"/>
      <c r="CA84" s="270"/>
      <c r="CB84" s="270"/>
      <c r="CC84" s="270"/>
      <c r="CD84" s="270"/>
      <c r="CE84" s="270"/>
      <c r="CF84" s="270"/>
      <c r="CG84" s="270"/>
      <c r="CH84" s="270"/>
      <c r="CI84" s="270"/>
      <c r="CJ84" s="270"/>
      <c r="CK84" s="270"/>
      <c r="CL84" s="270"/>
      <c r="CM84" s="270"/>
      <c r="CN84" s="270"/>
      <c r="CO84" s="270"/>
      <c r="CP84" s="270"/>
      <c r="CQ84" s="270"/>
      <c r="CR84" s="270"/>
      <c r="CS84" s="270"/>
      <c r="CT84" s="270"/>
      <c r="CU84" s="270"/>
      <c r="CV84" s="270"/>
      <c r="CW84" s="270"/>
      <c r="CX84" s="270"/>
      <c r="CY84" s="270"/>
      <c r="CZ84" s="270"/>
      <c r="DA84" s="270"/>
      <c r="DB84" s="270"/>
      <c r="DC84" s="270"/>
      <c r="DD84" s="270"/>
      <c r="DE84" s="270"/>
      <c r="DF84" s="272">
        <f t="shared" si="18"/>
        <v>118</v>
      </c>
      <c r="DG84" s="272">
        <f t="shared" si="18"/>
        <v>1416</v>
      </c>
      <c r="DH84" s="272">
        <f t="shared" si="14"/>
        <v>906.24</v>
      </c>
      <c r="DI84" s="274"/>
    </row>
    <row r="85" spans="1:113" s="275" customFormat="1" ht="24.75" customHeight="1" x14ac:dyDescent="0.6">
      <c r="A85" s="268">
        <v>42</v>
      </c>
      <c r="B85" s="269" t="s">
        <v>382</v>
      </c>
      <c r="C85" s="143" t="s">
        <v>383</v>
      </c>
      <c r="D85" s="105" t="s">
        <v>82</v>
      </c>
      <c r="E85" s="148" t="s">
        <v>83</v>
      </c>
      <c r="F85" s="234" t="s">
        <v>733</v>
      </c>
      <c r="G85" s="301"/>
      <c r="H85" s="301"/>
      <c r="I85" s="234"/>
      <c r="J85" s="234" t="s">
        <v>288</v>
      </c>
      <c r="K85" s="259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8"/>
      <c r="W85" s="258">
        <v>200</v>
      </c>
      <c r="X85" s="258">
        <v>2600</v>
      </c>
      <c r="Y85" s="258">
        <v>2096</v>
      </c>
      <c r="Z85" s="258"/>
      <c r="AA85" s="258"/>
      <c r="AB85" s="258"/>
      <c r="AC85" s="258"/>
      <c r="AD85" s="258"/>
      <c r="AE85" s="258"/>
      <c r="AF85" s="258"/>
      <c r="AG85" s="258"/>
      <c r="AH85" s="258"/>
      <c r="AI85" s="258"/>
      <c r="AJ85" s="258"/>
      <c r="AK85" s="258"/>
      <c r="AL85" s="258"/>
      <c r="AM85" s="258"/>
      <c r="AN85" s="258"/>
      <c r="AO85" s="272">
        <f t="shared" si="13"/>
        <v>200</v>
      </c>
      <c r="AP85" s="272">
        <f t="shared" si="16"/>
        <v>2600</v>
      </c>
      <c r="AQ85" s="272">
        <f t="shared" si="15"/>
        <v>2096</v>
      </c>
      <c r="AR85" s="234"/>
      <c r="AS85" s="234"/>
      <c r="AT85" s="234"/>
      <c r="AU85" s="234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4"/>
      <c r="BG85" s="234"/>
      <c r="BH85" s="234"/>
      <c r="BI85" s="234"/>
      <c r="BJ85" s="234"/>
      <c r="BK85" s="234"/>
      <c r="BL85" s="234"/>
      <c r="BM85" s="234"/>
      <c r="BN85" s="234"/>
      <c r="BO85" s="234"/>
      <c r="BP85" s="234"/>
      <c r="BQ85" s="234"/>
      <c r="BR85" s="234"/>
      <c r="BS85" s="234"/>
      <c r="BT85" s="234"/>
      <c r="BU85" s="270"/>
      <c r="BV85" s="272">
        <f t="shared" si="17"/>
        <v>200</v>
      </c>
      <c r="BW85" s="272">
        <f t="shared" si="17"/>
        <v>2600</v>
      </c>
      <c r="BX85" s="272">
        <f t="shared" si="17"/>
        <v>2096</v>
      </c>
      <c r="BY85" s="270"/>
      <c r="BZ85" s="270"/>
      <c r="CA85" s="270"/>
      <c r="CB85" s="270"/>
      <c r="CC85" s="270"/>
      <c r="CD85" s="270"/>
      <c r="CE85" s="270"/>
      <c r="CF85" s="270"/>
      <c r="CG85" s="270"/>
      <c r="CH85" s="270"/>
      <c r="CI85" s="270"/>
      <c r="CJ85" s="270"/>
      <c r="CK85" s="270"/>
      <c r="CL85" s="270"/>
      <c r="CM85" s="270"/>
      <c r="CN85" s="270"/>
      <c r="CO85" s="270"/>
      <c r="CP85" s="270"/>
      <c r="CQ85" s="270"/>
      <c r="CR85" s="270"/>
      <c r="CS85" s="270"/>
      <c r="CT85" s="270"/>
      <c r="CU85" s="270"/>
      <c r="CV85" s="270"/>
      <c r="CW85" s="270"/>
      <c r="CX85" s="270"/>
      <c r="CY85" s="270"/>
      <c r="CZ85" s="270"/>
      <c r="DA85" s="270"/>
      <c r="DB85" s="270"/>
      <c r="DC85" s="270"/>
      <c r="DD85" s="270"/>
      <c r="DE85" s="270"/>
      <c r="DF85" s="272">
        <f t="shared" si="18"/>
        <v>200</v>
      </c>
      <c r="DG85" s="272">
        <f t="shared" si="18"/>
        <v>2600</v>
      </c>
      <c r="DH85" s="272">
        <f t="shared" si="14"/>
        <v>2096</v>
      </c>
      <c r="DI85" s="274"/>
    </row>
    <row r="86" spans="1:113" s="275" customFormat="1" ht="24.75" customHeight="1" x14ac:dyDescent="0.6">
      <c r="A86" s="268">
        <v>43</v>
      </c>
      <c r="B86" s="269" t="s">
        <v>384</v>
      </c>
      <c r="C86" s="143" t="s">
        <v>385</v>
      </c>
      <c r="D86" s="105" t="s">
        <v>123</v>
      </c>
      <c r="E86" s="148" t="s">
        <v>124</v>
      </c>
      <c r="F86" s="234" t="s">
        <v>733</v>
      </c>
      <c r="G86" s="301" t="s">
        <v>930</v>
      </c>
      <c r="H86" s="301"/>
      <c r="I86" s="234" t="s">
        <v>931</v>
      </c>
      <c r="J86" s="234" t="s">
        <v>288</v>
      </c>
      <c r="K86" s="259"/>
      <c r="L86" s="258"/>
      <c r="M86" s="258"/>
      <c r="N86" s="258"/>
      <c r="O86" s="258"/>
      <c r="P86" s="258"/>
      <c r="Q86" s="258"/>
      <c r="R86" s="258"/>
      <c r="S86" s="258"/>
      <c r="T86" s="258"/>
      <c r="U86" s="258"/>
      <c r="V86" s="258"/>
      <c r="W86" s="258">
        <v>125</v>
      </c>
      <c r="X86" s="258">
        <v>2340</v>
      </c>
      <c r="Y86" s="258">
        <v>1560</v>
      </c>
      <c r="Z86" s="258"/>
      <c r="AA86" s="258"/>
      <c r="AB86" s="258"/>
      <c r="AC86" s="258"/>
      <c r="AD86" s="258"/>
      <c r="AE86" s="258"/>
      <c r="AF86" s="258"/>
      <c r="AG86" s="258"/>
      <c r="AH86" s="258"/>
      <c r="AI86" s="258"/>
      <c r="AJ86" s="258"/>
      <c r="AK86" s="258"/>
      <c r="AL86" s="258"/>
      <c r="AM86" s="258"/>
      <c r="AN86" s="258"/>
      <c r="AO86" s="272">
        <f t="shared" si="13"/>
        <v>125</v>
      </c>
      <c r="AP86" s="272">
        <f t="shared" si="16"/>
        <v>2340</v>
      </c>
      <c r="AQ86" s="272">
        <f t="shared" si="15"/>
        <v>1560</v>
      </c>
      <c r="AR86" s="234"/>
      <c r="AS86" s="234"/>
      <c r="AT86" s="234"/>
      <c r="AU86" s="234">
        <v>100</v>
      </c>
      <c r="AV86" s="234">
        <v>1240</v>
      </c>
      <c r="AW86" s="234">
        <v>1139.2</v>
      </c>
      <c r="AX86" s="234"/>
      <c r="AY86" s="234"/>
      <c r="AZ86" s="234"/>
      <c r="BA86" s="234"/>
      <c r="BB86" s="234"/>
      <c r="BC86" s="234"/>
      <c r="BD86" s="234"/>
      <c r="BE86" s="234"/>
      <c r="BF86" s="234"/>
      <c r="BG86" s="234"/>
      <c r="BH86" s="234"/>
      <c r="BI86" s="234"/>
      <c r="BJ86" s="234"/>
      <c r="BK86" s="234"/>
      <c r="BL86" s="234"/>
      <c r="BM86" s="234"/>
      <c r="BN86" s="234"/>
      <c r="BO86" s="234"/>
      <c r="BP86" s="234">
        <v>130</v>
      </c>
      <c r="BQ86" s="234">
        <v>2570</v>
      </c>
      <c r="BR86" s="234">
        <v>1584.4</v>
      </c>
      <c r="BS86" s="234"/>
      <c r="BT86" s="234"/>
      <c r="BU86" s="270"/>
      <c r="BV86" s="272">
        <f t="shared" si="17"/>
        <v>355</v>
      </c>
      <c r="BW86" s="272">
        <f t="shared" si="17"/>
        <v>6150</v>
      </c>
      <c r="BX86" s="272">
        <f t="shared" si="17"/>
        <v>4283.6000000000004</v>
      </c>
      <c r="BY86" s="270"/>
      <c r="BZ86" s="270"/>
      <c r="CA86" s="270"/>
      <c r="CB86" s="270"/>
      <c r="CC86" s="270"/>
      <c r="CD86" s="270"/>
      <c r="CE86" s="270"/>
      <c r="CF86" s="270"/>
      <c r="CG86" s="270"/>
      <c r="CH86" s="270"/>
      <c r="CI86" s="270"/>
      <c r="CJ86" s="270"/>
      <c r="CK86" s="270"/>
      <c r="CL86" s="270"/>
      <c r="CM86" s="270"/>
      <c r="CN86" s="270"/>
      <c r="CO86" s="270"/>
      <c r="CP86" s="270"/>
      <c r="CQ86" s="270"/>
      <c r="CR86" s="270"/>
      <c r="CS86" s="270"/>
      <c r="CT86" s="270"/>
      <c r="CU86" s="270"/>
      <c r="CV86" s="270"/>
      <c r="CW86" s="270"/>
      <c r="CX86" s="270"/>
      <c r="CY86" s="270"/>
      <c r="CZ86" s="270"/>
      <c r="DA86" s="270"/>
      <c r="DB86" s="270"/>
      <c r="DC86" s="270"/>
      <c r="DD86" s="270"/>
      <c r="DE86" s="270"/>
      <c r="DF86" s="272">
        <f t="shared" si="18"/>
        <v>355</v>
      </c>
      <c r="DG86" s="272">
        <f t="shared" si="18"/>
        <v>6150</v>
      </c>
      <c r="DH86" s="272">
        <f t="shared" si="14"/>
        <v>4283.6000000000004</v>
      </c>
      <c r="DI86" s="274"/>
    </row>
    <row r="87" spans="1:113" s="275" customFormat="1" ht="24.75" customHeight="1" x14ac:dyDescent="0.6">
      <c r="A87" s="268">
        <v>44</v>
      </c>
      <c r="B87" s="269" t="s">
        <v>386</v>
      </c>
      <c r="C87" s="143" t="s">
        <v>387</v>
      </c>
      <c r="D87" s="105" t="s">
        <v>123</v>
      </c>
      <c r="E87" s="148" t="s">
        <v>124</v>
      </c>
      <c r="F87" s="234" t="s">
        <v>733</v>
      </c>
      <c r="G87" s="301" t="s">
        <v>932</v>
      </c>
      <c r="H87" s="301"/>
      <c r="I87" s="234" t="s">
        <v>933</v>
      </c>
      <c r="J87" s="234" t="s">
        <v>288</v>
      </c>
      <c r="K87" s="259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  <c r="Z87" s="258"/>
      <c r="AA87" s="258"/>
      <c r="AB87" s="258"/>
      <c r="AC87" s="258">
        <v>95</v>
      </c>
      <c r="AD87" s="258">
        <v>1980</v>
      </c>
      <c r="AE87" s="258">
        <v>1200</v>
      </c>
      <c r="AF87" s="258"/>
      <c r="AG87" s="258"/>
      <c r="AH87" s="258"/>
      <c r="AI87" s="258"/>
      <c r="AJ87" s="258"/>
      <c r="AK87" s="258"/>
      <c r="AL87" s="258"/>
      <c r="AM87" s="258"/>
      <c r="AN87" s="258"/>
      <c r="AO87" s="272">
        <f t="shared" si="13"/>
        <v>95</v>
      </c>
      <c r="AP87" s="272">
        <f t="shared" si="16"/>
        <v>1980</v>
      </c>
      <c r="AQ87" s="272">
        <f t="shared" si="15"/>
        <v>1200</v>
      </c>
      <c r="AR87" s="234"/>
      <c r="AS87" s="234"/>
      <c r="AT87" s="234"/>
      <c r="AU87" s="234"/>
      <c r="AV87" s="234"/>
      <c r="AW87" s="234"/>
      <c r="AX87" s="234"/>
      <c r="AY87" s="234"/>
      <c r="AZ87" s="234"/>
      <c r="BA87" s="234"/>
      <c r="BB87" s="234"/>
      <c r="BC87" s="234"/>
      <c r="BD87" s="234"/>
      <c r="BE87" s="234"/>
      <c r="BF87" s="234"/>
      <c r="BG87" s="234"/>
      <c r="BH87" s="234"/>
      <c r="BI87" s="234"/>
      <c r="BJ87" s="234"/>
      <c r="BK87" s="234"/>
      <c r="BL87" s="234"/>
      <c r="BM87" s="234"/>
      <c r="BN87" s="234"/>
      <c r="BO87" s="234"/>
      <c r="BP87" s="234"/>
      <c r="BQ87" s="234"/>
      <c r="BR87" s="234"/>
      <c r="BS87" s="234"/>
      <c r="BT87" s="234"/>
      <c r="BU87" s="270"/>
      <c r="BV87" s="272">
        <f t="shared" si="17"/>
        <v>95</v>
      </c>
      <c r="BW87" s="272">
        <f t="shared" si="17"/>
        <v>1980</v>
      </c>
      <c r="BX87" s="272">
        <f t="shared" si="17"/>
        <v>1200</v>
      </c>
      <c r="BY87" s="270"/>
      <c r="BZ87" s="270"/>
      <c r="CA87" s="270"/>
      <c r="CB87" s="270"/>
      <c r="CC87" s="270"/>
      <c r="CD87" s="270"/>
      <c r="CE87" s="270"/>
      <c r="CF87" s="270"/>
      <c r="CG87" s="270"/>
      <c r="CH87" s="270"/>
      <c r="CI87" s="270"/>
      <c r="CJ87" s="270"/>
      <c r="CK87" s="270"/>
      <c r="CL87" s="270"/>
      <c r="CM87" s="270"/>
      <c r="CN87" s="270"/>
      <c r="CO87" s="270"/>
      <c r="CP87" s="270"/>
      <c r="CQ87" s="270"/>
      <c r="CR87" s="270"/>
      <c r="CS87" s="270"/>
      <c r="CT87" s="270"/>
      <c r="CU87" s="270"/>
      <c r="CV87" s="270"/>
      <c r="CW87" s="270"/>
      <c r="CX87" s="270"/>
      <c r="CY87" s="270"/>
      <c r="CZ87" s="270"/>
      <c r="DA87" s="270"/>
      <c r="DB87" s="270"/>
      <c r="DC87" s="270"/>
      <c r="DD87" s="270"/>
      <c r="DE87" s="270"/>
      <c r="DF87" s="272">
        <f t="shared" si="18"/>
        <v>95</v>
      </c>
      <c r="DG87" s="272">
        <f t="shared" si="18"/>
        <v>1980</v>
      </c>
      <c r="DH87" s="272">
        <f t="shared" si="14"/>
        <v>1200</v>
      </c>
      <c r="DI87" s="274"/>
    </row>
    <row r="88" spans="1:113" s="275" customFormat="1" ht="24.75" customHeight="1" x14ac:dyDescent="0.6">
      <c r="A88" s="268">
        <v>45</v>
      </c>
      <c r="B88" s="269" t="s">
        <v>388</v>
      </c>
      <c r="C88" s="143" t="s">
        <v>389</v>
      </c>
      <c r="D88" s="105" t="s">
        <v>297</v>
      </c>
      <c r="E88" s="148" t="s">
        <v>298</v>
      </c>
      <c r="F88" s="234" t="s">
        <v>733</v>
      </c>
      <c r="G88" s="301" t="s">
        <v>934</v>
      </c>
      <c r="H88" s="301"/>
      <c r="I88" s="234" t="s">
        <v>935</v>
      </c>
      <c r="J88" s="234" t="s">
        <v>288</v>
      </c>
      <c r="K88" s="259"/>
      <c r="L88" s="258"/>
      <c r="M88" s="258"/>
      <c r="N88" s="258"/>
      <c r="O88" s="258"/>
      <c r="P88" s="258"/>
      <c r="Q88" s="258"/>
      <c r="R88" s="258"/>
      <c r="S88" s="258"/>
      <c r="T88" s="258"/>
      <c r="U88" s="258"/>
      <c r="V88" s="258"/>
      <c r="W88" s="258">
        <v>58</v>
      </c>
      <c r="X88" s="258">
        <v>840</v>
      </c>
      <c r="Y88" s="258">
        <v>592.79999999999995</v>
      </c>
      <c r="Z88" s="258"/>
      <c r="AA88" s="258"/>
      <c r="AB88" s="258"/>
      <c r="AC88" s="258"/>
      <c r="AD88" s="258"/>
      <c r="AE88" s="258"/>
      <c r="AF88" s="258"/>
      <c r="AG88" s="258"/>
      <c r="AH88" s="258"/>
      <c r="AI88" s="258"/>
      <c r="AJ88" s="258"/>
      <c r="AK88" s="258"/>
      <c r="AL88" s="258">
        <v>26</v>
      </c>
      <c r="AM88" s="258">
        <v>352</v>
      </c>
      <c r="AN88" s="258">
        <v>247.60000000000002</v>
      </c>
      <c r="AO88" s="272">
        <f t="shared" si="13"/>
        <v>84</v>
      </c>
      <c r="AP88" s="272">
        <f t="shared" si="16"/>
        <v>1192</v>
      </c>
      <c r="AQ88" s="272">
        <f t="shared" si="15"/>
        <v>840.4</v>
      </c>
      <c r="AR88" s="234"/>
      <c r="AS88" s="234"/>
      <c r="AT88" s="234"/>
      <c r="AU88" s="234"/>
      <c r="AV88" s="234"/>
      <c r="AW88" s="234"/>
      <c r="AX88" s="234"/>
      <c r="AY88" s="234"/>
      <c r="AZ88" s="234"/>
      <c r="BA88" s="234"/>
      <c r="BB88" s="234"/>
      <c r="BC88" s="234"/>
      <c r="BD88" s="234"/>
      <c r="BE88" s="234"/>
      <c r="BF88" s="234"/>
      <c r="BG88" s="234"/>
      <c r="BH88" s="234"/>
      <c r="BI88" s="234"/>
      <c r="BJ88" s="234">
        <v>88</v>
      </c>
      <c r="BK88" s="234">
        <v>1220</v>
      </c>
      <c r="BL88" s="234">
        <v>922.40000000000009</v>
      </c>
      <c r="BM88" s="234"/>
      <c r="BN88" s="234"/>
      <c r="BO88" s="234"/>
      <c r="BP88" s="234"/>
      <c r="BQ88" s="234"/>
      <c r="BR88" s="234"/>
      <c r="BS88" s="234"/>
      <c r="BT88" s="234"/>
      <c r="BU88" s="270"/>
      <c r="BV88" s="272">
        <f t="shared" si="17"/>
        <v>172</v>
      </c>
      <c r="BW88" s="272">
        <f t="shared" si="17"/>
        <v>2412</v>
      </c>
      <c r="BX88" s="272">
        <f t="shared" si="17"/>
        <v>1762.8000000000002</v>
      </c>
      <c r="BY88" s="270"/>
      <c r="BZ88" s="270"/>
      <c r="CA88" s="270"/>
      <c r="CB88" s="270"/>
      <c r="CC88" s="270"/>
      <c r="CD88" s="270"/>
      <c r="CE88" s="270"/>
      <c r="CF88" s="270"/>
      <c r="CG88" s="270"/>
      <c r="CH88" s="270"/>
      <c r="CI88" s="270"/>
      <c r="CJ88" s="270"/>
      <c r="CK88" s="270"/>
      <c r="CL88" s="270"/>
      <c r="CM88" s="270"/>
      <c r="CN88" s="270"/>
      <c r="CO88" s="270"/>
      <c r="CP88" s="270"/>
      <c r="CQ88" s="270"/>
      <c r="CR88" s="270"/>
      <c r="CS88" s="270"/>
      <c r="CT88" s="270"/>
      <c r="CU88" s="270"/>
      <c r="CV88" s="270"/>
      <c r="CW88" s="270"/>
      <c r="CX88" s="270"/>
      <c r="CY88" s="270"/>
      <c r="CZ88" s="270"/>
      <c r="DA88" s="270"/>
      <c r="DB88" s="270"/>
      <c r="DC88" s="270"/>
      <c r="DD88" s="270"/>
      <c r="DE88" s="270"/>
      <c r="DF88" s="272">
        <f t="shared" si="18"/>
        <v>172</v>
      </c>
      <c r="DG88" s="272">
        <f t="shared" si="18"/>
        <v>2412</v>
      </c>
      <c r="DH88" s="272">
        <f t="shared" si="14"/>
        <v>1762.8000000000002</v>
      </c>
      <c r="DI88" s="274"/>
    </row>
    <row r="89" spans="1:113" s="275" customFormat="1" ht="24.75" customHeight="1" x14ac:dyDescent="0.6">
      <c r="A89" s="268">
        <v>46</v>
      </c>
      <c r="B89" s="269" t="s">
        <v>390</v>
      </c>
      <c r="C89" s="143" t="s">
        <v>391</v>
      </c>
      <c r="D89" s="105" t="s">
        <v>392</v>
      </c>
      <c r="E89" s="148" t="s">
        <v>393</v>
      </c>
      <c r="F89" s="234" t="s">
        <v>733</v>
      </c>
      <c r="G89" s="301" t="s">
        <v>936</v>
      </c>
      <c r="H89" s="301"/>
      <c r="I89" s="234" t="s">
        <v>937</v>
      </c>
      <c r="J89" s="234" t="s">
        <v>288</v>
      </c>
      <c r="K89" s="259"/>
      <c r="L89" s="258"/>
      <c r="M89" s="258"/>
      <c r="N89" s="258"/>
      <c r="O89" s="258"/>
      <c r="P89" s="258"/>
      <c r="Q89" s="258"/>
      <c r="R89" s="258"/>
      <c r="S89" s="258"/>
      <c r="T89" s="258"/>
      <c r="U89" s="258"/>
      <c r="V89" s="258"/>
      <c r="W89" s="258"/>
      <c r="X89" s="258"/>
      <c r="Y89" s="258"/>
      <c r="Z89" s="258"/>
      <c r="AA89" s="258"/>
      <c r="AB89" s="258"/>
      <c r="AC89" s="258"/>
      <c r="AD89" s="258"/>
      <c r="AE89" s="258"/>
      <c r="AF89" s="258"/>
      <c r="AG89" s="258"/>
      <c r="AH89" s="258"/>
      <c r="AI89" s="258"/>
      <c r="AJ89" s="258"/>
      <c r="AK89" s="258"/>
      <c r="AL89" s="258"/>
      <c r="AM89" s="258"/>
      <c r="AN89" s="258"/>
      <c r="AO89" s="272">
        <f t="shared" si="13"/>
        <v>0</v>
      </c>
      <c r="AP89" s="272">
        <f t="shared" si="16"/>
        <v>0</v>
      </c>
      <c r="AQ89" s="272">
        <f t="shared" si="15"/>
        <v>0</v>
      </c>
      <c r="AR89" s="234"/>
      <c r="AS89" s="234"/>
      <c r="AT89" s="234"/>
      <c r="AU89" s="234">
        <v>300</v>
      </c>
      <c r="AV89" s="234">
        <v>3600</v>
      </c>
      <c r="AW89" s="234">
        <v>3600</v>
      </c>
      <c r="AX89" s="234"/>
      <c r="AY89" s="234"/>
      <c r="AZ89" s="234"/>
      <c r="BA89" s="234"/>
      <c r="BB89" s="234"/>
      <c r="BC89" s="234"/>
      <c r="BD89" s="234"/>
      <c r="BE89" s="234"/>
      <c r="BF89" s="234"/>
      <c r="BG89" s="234"/>
      <c r="BH89" s="234"/>
      <c r="BI89" s="234"/>
      <c r="BJ89" s="234"/>
      <c r="BK89" s="234"/>
      <c r="BL89" s="234"/>
      <c r="BM89" s="234">
        <v>400</v>
      </c>
      <c r="BN89" s="234">
        <v>4800</v>
      </c>
      <c r="BO89" s="234">
        <v>4800</v>
      </c>
      <c r="BP89" s="234"/>
      <c r="BQ89" s="234"/>
      <c r="BR89" s="234"/>
      <c r="BS89" s="234"/>
      <c r="BT89" s="234"/>
      <c r="BU89" s="270"/>
      <c r="BV89" s="272">
        <f t="shared" si="17"/>
        <v>700</v>
      </c>
      <c r="BW89" s="272">
        <f t="shared" si="17"/>
        <v>8400</v>
      </c>
      <c r="BX89" s="272">
        <f t="shared" si="17"/>
        <v>8400</v>
      </c>
      <c r="BY89" s="270"/>
      <c r="BZ89" s="270"/>
      <c r="CA89" s="270"/>
      <c r="CB89" s="270"/>
      <c r="CC89" s="270"/>
      <c r="CD89" s="270"/>
      <c r="CE89" s="270"/>
      <c r="CF89" s="270"/>
      <c r="CG89" s="270"/>
      <c r="CH89" s="270"/>
      <c r="CI89" s="270"/>
      <c r="CJ89" s="270"/>
      <c r="CK89" s="270"/>
      <c r="CL89" s="270"/>
      <c r="CM89" s="270"/>
      <c r="CN89" s="270"/>
      <c r="CO89" s="270"/>
      <c r="CP89" s="270"/>
      <c r="CQ89" s="270"/>
      <c r="CR89" s="270"/>
      <c r="CS89" s="270"/>
      <c r="CT89" s="270"/>
      <c r="CU89" s="270"/>
      <c r="CV89" s="270"/>
      <c r="CW89" s="270"/>
      <c r="CX89" s="270"/>
      <c r="CY89" s="270"/>
      <c r="CZ89" s="270"/>
      <c r="DA89" s="270"/>
      <c r="DB89" s="270"/>
      <c r="DC89" s="270"/>
      <c r="DD89" s="270"/>
      <c r="DE89" s="270"/>
      <c r="DF89" s="272">
        <f t="shared" si="18"/>
        <v>700</v>
      </c>
      <c r="DG89" s="272">
        <f t="shared" si="18"/>
        <v>8400</v>
      </c>
      <c r="DH89" s="272">
        <f t="shared" si="14"/>
        <v>8400</v>
      </c>
      <c r="DI89" s="274"/>
    </row>
    <row r="90" spans="1:113" s="275" customFormat="1" ht="24.75" customHeight="1" x14ac:dyDescent="0.6">
      <c r="A90" s="268">
        <v>47</v>
      </c>
      <c r="B90" s="269" t="s">
        <v>394</v>
      </c>
      <c r="C90" s="143" t="s">
        <v>394</v>
      </c>
      <c r="D90" s="105" t="s">
        <v>377</v>
      </c>
      <c r="E90" s="148" t="s">
        <v>117</v>
      </c>
      <c r="F90" s="234" t="s">
        <v>733</v>
      </c>
      <c r="G90" s="301" t="s">
        <v>938</v>
      </c>
      <c r="H90" s="301"/>
      <c r="I90" s="234" t="s">
        <v>939</v>
      </c>
      <c r="J90" s="234" t="s">
        <v>288</v>
      </c>
      <c r="K90" s="259"/>
      <c r="L90" s="258"/>
      <c r="M90" s="258"/>
      <c r="N90" s="258"/>
      <c r="O90" s="258"/>
      <c r="P90" s="258"/>
      <c r="Q90" s="258"/>
      <c r="R90" s="258"/>
      <c r="S90" s="258"/>
      <c r="T90" s="258"/>
      <c r="U90" s="258"/>
      <c r="V90" s="258"/>
      <c r="W90" s="258"/>
      <c r="X90" s="258"/>
      <c r="Y90" s="258"/>
      <c r="Z90" s="258"/>
      <c r="AA90" s="258"/>
      <c r="AB90" s="258"/>
      <c r="AC90" s="258"/>
      <c r="AD90" s="258"/>
      <c r="AE90" s="258"/>
      <c r="AF90" s="258"/>
      <c r="AG90" s="258"/>
      <c r="AH90" s="258"/>
      <c r="AI90" s="258"/>
      <c r="AJ90" s="258"/>
      <c r="AK90" s="258"/>
      <c r="AL90" s="258"/>
      <c r="AM90" s="258"/>
      <c r="AN90" s="258"/>
      <c r="AO90" s="272">
        <f t="shared" si="13"/>
        <v>0</v>
      </c>
      <c r="AP90" s="272">
        <f t="shared" si="16"/>
        <v>0</v>
      </c>
      <c r="AQ90" s="272">
        <f t="shared" si="15"/>
        <v>0</v>
      </c>
      <c r="AR90" s="234"/>
      <c r="AS90" s="234"/>
      <c r="AT90" s="234"/>
      <c r="AU90" s="234"/>
      <c r="AV90" s="234"/>
      <c r="AW90" s="234"/>
      <c r="AX90" s="234"/>
      <c r="AY90" s="234"/>
      <c r="AZ90" s="234"/>
      <c r="BA90" s="234"/>
      <c r="BB90" s="234"/>
      <c r="BC90" s="234"/>
      <c r="BD90" s="234"/>
      <c r="BE90" s="234"/>
      <c r="BF90" s="234"/>
      <c r="BG90" s="234"/>
      <c r="BH90" s="234"/>
      <c r="BI90" s="234"/>
      <c r="BJ90" s="234"/>
      <c r="BK90" s="234"/>
      <c r="BL90" s="234"/>
      <c r="BM90" s="234"/>
      <c r="BN90" s="234"/>
      <c r="BO90" s="234"/>
      <c r="BP90" s="234"/>
      <c r="BQ90" s="234"/>
      <c r="BR90" s="234"/>
      <c r="BS90" s="234"/>
      <c r="BT90" s="234"/>
      <c r="BU90" s="270"/>
      <c r="BV90" s="272">
        <f t="shared" si="17"/>
        <v>0</v>
      </c>
      <c r="BW90" s="272">
        <f t="shared" si="17"/>
        <v>0</v>
      </c>
      <c r="BX90" s="272">
        <f t="shared" si="17"/>
        <v>0</v>
      </c>
      <c r="BY90" s="270"/>
      <c r="BZ90" s="270"/>
      <c r="CA90" s="270"/>
      <c r="CB90" s="270"/>
      <c r="CC90" s="270"/>
      <c r="CD90" s="270"/>
      <c r="CE90" s="270"/>
      <c r="CF90" s="270"/>
      <c r="CG90" s="270"/>
      <c r="CH90" s="270"/>
      <c r="CI90" s="270"/>
      <c r="CJ90" s="270"/>
      <c r="CK90" s="270"/>
      <c r="CL90" s="270"/>
      <c r="CM90" s="270"/>
      <c r="CN90" s="270"/>
      <c r="CO90" s="270"/>
      <c r="CP90" s="270"/>
      <c r="CQ90" s="270"/>
      <c r="CR90" s="270"/>
      <c r="CS90" s="270"/>
      <c r="CT90" s="270"/>
      <c r="CU90" s="270"/>
      <c r="CV90" s="270"/>
      <c r="CW90" s="270"/>
      <c r="CX90" s="270"/>
      <c r="CY90" s="270"/>
      <c r="CZ90" s="270"/>
      <c r="DA90" s="270"/>
      <c r="DB90" s="270"/>
      <c r="DC90" s="270"/>
      <c r="DD90" s="270"/>
      <c r="DE90" s="270"/>
      <c r="DF90" s="272">
        <f t="shared" si="18"/>
        <v>0</v>
      </c>
      <c r="DG90" s="272">
        <f t="shared" si="18"/>
        <v>0</v>
      </c>
      <c r="DH90" s="272">
        <f t="shared" si="14"/>
        <v>0</v>
      </c>
    </row>
    <row r="91" spans="1:113" s="275" customFormat="1" ht="20.100000000000001" customHeight="1" thickBot="1" x14ac:dyDescent="0.65">
      <c r="A91" s="286"/>
      <c r="B91" s="303"/>
      <c r="C91" s="304"/>
      <c r="D91" s="304"/>
      <c r="E91" s="304"/>
      <c r="F91" s="283"/>
      <c r="G91" s="305"/>
      <c r="H91" s="305"/>
      <c r="I91" s="283"/>
      <c r="J91" s="283"/>
      <c r="K91" s="306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07"/>
      <c r="AH91" s="307"/>
      <c r="AI91" s="307"/>
      <c r="AJ91" s="307"/>
      <c r="AK91" s="307"/>
      <c r="AL91" s="307"/>
      <c r="AM91" s="307"/>
      <c r="AN91" s="307"/>
      <c r="AO91" s="272"/>
      <c r="AP91" s="272"/>
      <c r="AQ91" s="308"/>
      <c r="AR91" s="283"/>
      <c r="AS91" s="283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  <c r="BD91" s="283"/>
      <c r="BE91" s="283"/>
      <c r="BF91" s="283"/>
      <c r="BG91" s="283"/>
      <c r="BH91" s="283"/>
      <c r="BI91" s="283"/>
      <c r="BJ91" s="283"/>
      <c r="BK91" s="283"/>
      <c r="BL91" s="283"/>
      <c r="BM91" s="283"/>
      <c r="BN91" s="283"/>
      <c r="BO91" s="283"/>
      <c r="BP91" s="283"/>
      <c r="BQ91" s="283"/>
      <c r="BR91" s="283"/>
      <c r="BS91" s="283"/>
      <c r="BT91" s="283"/>
      <c r="BU91" s="285"/>
      <c r="BV91" s="272"/>
      <c r="BW91" s="272"/>
      <c r="BX91" s="272"/>
      <c r="BY91" s="285"/>
      <c r="BZ91" s="285"/>
      <c r="CA91" s="285"/>
      <c r="CB91" s="285"/>
      <c r="CC91" s="285"/>
      <c r="CD91" s="285"/>
      <c r="CE91" s="285"/>
      <c r="CF91" s="285"/>
      <c r="CG91" s="285"/>
      <c r="CH91" s="285"/>
      <c r="CI91" s="285"/>
      <c r="CJ91" s="285"/>
      <c r="CK91" s="285"/>
      <c r="CL91" s="285"/>
      <c r="CM91" s="285"/>
      <c r="CN91" s="285"/>
      <c r="CO91" s="285"/>
      <c r="CP91" s="285"/>
      <c r="CQ91" s="285"/>
      <c r="CR91" s="285"/>
      <c r="CS91" s="285"/>
      <c r="CT91" s="285"/>
      <c r="CU91" s="285"/>
      <c r="CV91" s="285"/>
      <c r="CW91" s="285"/>
      <c r="CX91" s="285"/>
      <c r="CY91" s="285"/>
      <c r="CZ91" s="285"/>
      <c r="DA91" s="285"/>
      <c r="DB91" s="285"/>
      <c r="DC91" s="285"/>
      <c r="DD91" s="285"/>
      <c r="DE91" s="285"/>
      <c r="DF91" s="308"/>
      <c r="DG91" s="308"/>
      <c r="DH91" s="272"/>
    </row>
    <row r="92" spans="1:113" s="275" customFormat="1" ht="20.100000000000001" customHeight="1" thickBot="1" x14ac:dyDescent="0.65">
      <c r="A92" s="287"/>
      <c r="B92" s="288"/>
      <c r="C92" s="289"/>
      <c r="D92" s="290"/>
      <c r="E92" s="289"/>
      <c r="F92" s="289"/>
      <c r="G92" s="291"/>
      <c r="H92" s="291"/>
      <c r="I92" s="289"/>
      <c r="J92" s="309"/>
      <c r="K92" s="293">
        <f t="shared" ref="K92:AN92" si="19">SUM(K44:K91)</f>
        <v>0</v>
      </c>
      <c r="L92" s="293">
        <f t="shared" si="19"/>
        <v>0</v>
      </c>
      <c r="M92" s="293">
        <f t="shared" si="19"/>
        <v>0</v>
      </c>
      <c r="N92" s="293">
        <f t="shared" si="19"/>
        <v>0</v>
      </c>
      <c r="O92" s="293">
        <f t="shared" si="19"/>
        <v>0</v>
      </c>
      <c r="P92" s="293">
        <f t="shared" si="19"/>
        <v>0</v>
      </c>
      <c r="Q92" s="293">
        <f t="shared" si="19"/>
        <v>207</v>
      </c>
      <c r="R92" s="293">
        <f t="shared" si="19"/>
        <v>3020</v>
      </c>
      <c r="S92" s="293">
        <f t="shared" si="19"/>
        <v>1981.2</v>
      </c>
      <c r="T92" s="293">
        <f t="shared" si="19"/>
        <v>288</v>
      </c>
      <c r="U92" s="293">
        <f t="shared" si="19"/>
        <v>3822</v>
      </c>
      <c r="V92" s="293">
        <f t="shared" si="19"/>
        <v>3345.2799999999997</v>
      </c>
      <c r="W92" s="293">
        <f t="shared" si="19"/>
        <v>1006</v>
      </c>
      <c r="X92" s="293">
        <f t="shared" si="19"/>
        <v>15328</v>
      </c>
      <c r="Y92" s="293">
        <f t="shared" si="19"/>
        <v>11235.52</v>
      </c>
      <c r="Z92" s="293">
        <f t="shared" si="19"/>
        <v>503</v>
      </c>
      <c r="AA92" s="293">
        <f t="shared" si="19"/>
        <v>7296</v>
      </c>
      <c r="AB92" s="293">
        <f t="shared" si="19"/>
        <v>5398.8</v>
      </c>
      <c r="AC92" s="293">
        <f t="shared" si="19"/>
        <v>744</v>
      </c>
      <c r="AD92" s="293">
        <f t="shared" si="19"/>
        <v>12140</v>
      </c>
      <c r="AE92" s="293">
        <f t="shared" si="19"/>
        <v>8457.2000000000007</v>
      </c>
      <c r="AF92" s="293">
        <f t="shared" si="19"/>
        <v>0</v>
      </c>
      <c r="AG92" s="293">
        <f t="shared" si="19"/>
        <v>0</v>
      </c>
      <c r="AH92" s="293">
        <f t="shared" si="19"/>
        <v>0</v>
      </c>
      <c r="AI92" s="293">
        <f t="shared" si="19"/>
        <v>512</v>
      </c>
      <c r="AJ92" s="293">
        <f t="shared" si="19"/>
        <v>7460</v>
      </c>
      <c r="AK92" s="293">
        <f t="shared" si="19"/>
        <v>5792.4</v>
      </c>
      <c r="AL92" s="293">
        <f t="shared" si="19"/>
        <v>256</v>
      </c>
      <c r="AM92" s="293">
        <f t="shared" si="19"/>
        <v>3452</v>
      </c>
      <c r="AN92" s="293">
        <f t="shared" si="19"/>
        <v>2713.6</v>
      </c>
      <c r="AO92" s="293">
        <f t="shared" ref="AO92:CZ92" si="20">SUM(AO43:AO91)</f>
        <v>3516</v>
      </c>
      <c r="AP92" s="293">
        <f t="shared" si="20"/>
        <v>52518</v>
      </c>
      <c r="AQ92" s="293">
        <f t="shared" si="20"/>
        <v>38924</v>
      </c>
      <c r="AR92" s="293">
        <f t="shared" si="20"/>
        <v>453</v>
      </c>
      <c r="AS92" s="293">
        <f t="shared" si="20"/>
        <v>6352</v>
      </c>
      <c r="AT92" s="293">
        <f t="shared" si="20"/>
        <v>4862.88</v>
      </c>
      <c r="AU92" s="293">
        <f t="shared" si="20"/>
        <v>1295</v>
      </c>
      <c r="AV92" s="293">
        <f t="shared" si="20"/>
        <v>18250</v>
      </c>
      <c r="AW92" s="293">
        <f t="shared" si="20"/>
        <v>14221.2</v>
      </c>
      <c r="AX92" s="293">
        <f t="shared" si="20"/>
        <v>720</v>
      </c>
      <c r="AY92" s="293">
        <f t="shared" si="20"/>
        <v>9960</v>
      </c>
      <c r="AZ92" s="293">
        <f t="shared" si="20"/>
        <v>7970.4</v>
      </c>
      <c r="BA92" s="293">
        <f t="shared" si="20"/>
        <v>554</v>
      </c>
      <c r="BB92" s="293">
        <f t="shared" si="20"/>
        <v>7620</v>
      </c>
      <c r="BC92" s="293">
        <f t="shared" si="20"/>
        <v>5993.2</v>
      </c>
      <c r="BD92" s="293">
        <f t="shared" si="20"/>
        <v>0</v>
      </c>
      <c r="BE92" s="293">
        <f t="shared" si="20"/>
        <v>0</v>
      </c>
      <c r="BF92" s="293">
        <f t="shared" si="20"/>
        <v>0</v>
      </c>
      <c r="BG92" s="293">
        <f t="shared" si="20"/>
        <v>507</v>
      </c>
      <c r="BH92" s="293">
        <f t="shared" si="20"/>
        <v>7340</v>
      </c>
      <c r="BI92" s="293">
        <f t="shared" si="20"/>
        <v>5528.8000000000011</v>
      </c>
      <c r="BJ92" s="293">
        <f t="shared" si="20"/>
        <v>508</v>
      </c>
      <c r="BK92" s="293">
        <f t="shared" si="20"/>
        <v>8270</v>
      </c>
      <c r="BL92" s="293">
        <f t="shared" si="20"/>
        <v>5755.6</v>
      </c>
      <c r="BM92" s="293">
        <f t="shared" si="20"/>
        <v>762</v>
      </c>
      <c r="BN92" s="293">
        <f t="shared" si="20"/>
        <v>10548</v>
      </c>
      <c r="BO92" s="293">
        <f t="shared" si="20"/>
        <v>8352.32</v>
      </c>
      <c r="BP92" s="293">
        <f t="shared" si="20"/>
        <v>752</v>
      </c>
      <c r="BQ92" s="293">
        <f t="shared" si="20"/>
        <v>11600</v>
      </c>
      <c r="BR92" s="293">
        <f t="shared" si="20"/>
        <v>8280.8000000000011</v>
      </c>
      <c r="BS92" s="293">
        <f t="shared" si="20"/>
        <v>270</v>
      </c>
      <c r="BT92" s="293">
        <f t="shared" si="20"/>
        <v>3980</v>
      </c>
      <c r="BU92" s="293">
        <f t="shared" si="20"/>
        <v>2982.4</v>
      </c>
      <c r="BV92" s="293">
        <f t="shared" si="20"/>
        <v>9337</v>
      </c>
      <c r="BW92" s="293">
        <f t="shared" si="20"/>
        <v>136438</v>
      </c>
      <c r="BX92" s="293">
        <f t="shared" si="20"/>
        <v>102871.6</v>
      </c>
      <c r="BY92" s="293">
        <f t="shared" si="20"/>
        <v>0</v>
      </c>
      <c r="BZ92" s="293">
        <f t="shared" si="20"/>
        <v>0</v>
      </c>
      <c r="CA92" s="293">
        <f t="shared" si="20"/>
        <v>0</v>
      </c>
      <c r="CB92" s="293">
        <f t="shared" si="20"/>
        <v>0</v>
      </c>
      <c r="CC92" s="293">
        <f t="shared" si="20"/>
        <v>0</v>
      </c>
      <c r="CD92" s="293">
        <f t="shared" si="20"/>
        <v>0</v>
      </c>
      <c r="CE92" s="293">
        <f t="shared" si="20"/>
        <v>0</v>
      </c>
      <c r="CF92" s="293">
        <f t="shared" si="20"/>
        <v>0</v>
      </c>
      <c r="CG92" s="293">
        <f t="shared" si="20"/>
        <v>0</v>
      </c>
      <c r="CH92" s="293">
        <f t="shared" si="20"/>
        <v>0</v>
      </c>
      <c r="CI92" s="293">
        <f t="shared" si="20"/>
        <v>0</v>
      </c>
      <c r="CJ92" s="293">
        <f t="shared" si="20"/>
        <v>0</v>
      </c>
      <c r="CK92" s="293">
        <f t="shared" si="20"/>
        <v>0</v>
      </c>
      <c r="CL92" s="293">
        <f t="shared" si="20"/>
        <v>0</v>
      </c>
      <c r="CM92" s="293">
        <f t="shared" si="20"/>
        <v>0</v>
      </c>
      <c r="CN92" s="293">
        <f t="shared" si="20"/>
        <v>0</v>
      </c>
      <c r="CO92" s="293">
        <f t="shared" si="20"/>
        <v>0</v>
      </c>
      <c r="CP92" s="293">
        <f t="shared" si="20"/>
        <v>0</v>
      </c>
      <c r="CQ92" s="293">
        <f t="shared" si="20"/>
        <v>0</v>
      </c>
      <c r="CR92" s="293">
        <f t="shared" si="20"/>
        <v>0</v>
      </c>
      <c r="CS92" s="293">
        <f t="shared" si="20"/>
        <v>0</v>
      </c>
      <c r="CT92" s="293">
        <f t="shared" si="20"/>
        <v>0</v>
      </c>
      <c r="CU92" s="293">
        <f t="shared" si="20"/>
        <v>0</v>
      </c>
      <c r="CV92" s="293">
        <f t="shared" si="20"/>
        <v>0</v>
      </c>
      <c r="CW92" s="293">
        <f t="shared" si="20"/>
        <v>0</v>
      </c>
      <c r="CX92" s="293">
        <f t="shared" si="20"/>
        <v>0</v>
      </c>
      <c r="CY92" s="293">
        <f t="shared" si="20"/>
        <v>0</v>
      </c>
      <c r="CZ92" s="293">
        <f t="shared" si="20"/>
        <v>0</v>
      </c>
      <c r="DA92" s="293">
        <f t="shared" ref="DA92:DH92" si="21">SUM(DA43:DA91)</f>
        <v>0</v>
      </c>
      <c r="DB92" s="293">
        <f t="shared" si="21"/>
        <v>0</v>
      </c>
      <c r="DC92" s="293">
        <f t="shared" si="21"/>
        <v>0</v>
      </c>
      <c r="DD92" s="293">
        <f t="shared" si="21"/>
        <v>0</v>
      </c>
      <c r="DE92" s="293">
        <f t="shared" si="21"/>
        <v>0</v>
      </c>
      <c r="DF92" s="293">
        <f t="shared" si="21"/>
        <v>9337</v>
      </c>
      <c r="DG92" s="293">
        <f t="shared" si="21"/>
        <v>136438</v>
      </c>
      <c r="DH92" s="293">
        <f t="shared" si="21"/>
        <v>102871.6</v>
      </c>
    </row>
    <row r="93" spans="1:113" s="275" customFormat="1" ht="20.100000000000001" customHeight="1" x14ac:dyDescent="0.6">
      <c r="A93" s="310">
        <f>A40+A90</f>
        <v>83</v>
      </c>
      <c r="B93" s="236"/>
      <c r="C93" s="236"/>
      <c r="D93" s="296"/>
      <c r="E93" s="236"/>
      <c r="F93" s="236"/>
      <c r="G93" s="311"/>
      <c r="H93" s="311"/>
      <c r="I93" s="311"/>
      <c r="J93" s="236"/>
      <c r="K93" s="312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1"/>
      <c r="AM93" s="311"/>
      <c r="AN93" s="311"/>
      <c r="AO93" s="311"/>
      <c r="AP93" s="311"/>
      <c r="AQ93" s="311"/>
      <c r="AR93" s="311"/>
      <c r="AS93" s="311"/>
      <c r="AT93" s="311"/>
      <c r="AU93" s="311"/>
      <c r="AV93" s="311"/>
      <c r="AW93" s="311"/>
      <c r="AX93" s="311"/>
      <c r="AY93" s="311"/>
      <c r="AZ93" s="311"/>
      <c r="BA93" s="311"/>
      <c r="BB93" s="311"/>
      <c r="BC93" s="311"/>
      <c r="BD93" s="236"/>
      <c r="BE93" s="236"/>
      <c r="BF93" s="236"/>
      <c r="BG93" s="311"/>
      <c r="BH93" s="311"/>
      <c r="BI93" s="311"/>
      <c r="BJ93" s="311"/>
      <c r="BK93" s="311"/>
      <c r="BL93" s="311"/>
      <c r="BM93" s="311"/>
      <c r="BN93" s="311"/>
      <c r="BO93" s="311"/>
      <c r="BP93" s="311"/>
      <c r="BQ93" s="311"/>
      <c r="BR93" s="311"/>
      <c r="BS93" s="311"/>
      <c r="BT93" s="311"/>
      <c r="BU93" s="311"/>
      <c r="BV93" s="311"/>
      <c r="BW93" s="311"/>
      <c r="BX93" s="311"/>
      <c r="BY93" s="311"/>
      <c r="BZ93" s="311"/>
      <c r="CA93" s="311"/>
      <c r="CB93" s="311"/>
      <c r="CC93" s="311"/>
      <c r="CD93" s="311"/>
      <c r="CE93" s="311"/>
      <c r="CF93" s="311"/>
      <c r="CG93" s="311"/>
      <c r="CH93" s="311"/>
      <c r="CI93" s="311"/>
      <c r="CJ93" s="311"/>
      <c r="CK93" s="311"/>
      <c r="CL93" s="311"/>
      <c r="CM93" s="311"/>
      <c r="CN93" s="311"/>
      <c r="CO93" s="311"/>
      <c r="CP93" s="311"/>
      <c r="CQ93" s="311"/>
      <c r="CR93" s="311"/>
      <c r="CS93" s="311"/>
      <c r="CT93" s="311"/>
      <c r="CU93" s="311"/>
      <c r="CV93" s="311"/>
      <c r="CW93" s="311"/>
      <c r="CX93" s="311"/>
      <c r="CY93" s="311"/>
      <c r="CZ93" s="311"/>
      <c r="DA93" s="311"/>
      <c r="DB93" s="311"/>
      <c r="DC93" s="311"/>
      <c r="DD93" s="311"/>
      <c r="DE93" s="311"/>
      <c r="DF93" s="311"/>
      <c r="DG93" s="311"/>
      <c r="DH93" s="311"/>
    </row>
    <row r="94" spans="1:113" s="275" customFormat="1" ht="20.100000000000001" customHeight="1" thickBot="1" x14ac:dyDescent="0.65">
      <c r="A94" s="313"/>
      <c r="B94" s="314"/>
      <c r="C94" s="314"/>
      <c r="D94" s="314"/>
      <c r="E94" s="314"/>
      <c r="F94" s="314"/>
      <c r="G94" s="314"/>
      <c r="H94" s="314"/>
      <c r="I94" s="314" t="s">
        <v>940</v>
      </c>
      <c r="J94" s="315"/>
      <c r="K94" s="316">
        <f t="shared" ref="K94:BV94" si="22">SUM(K92,K42)</f>
        <v>0</v>
      </c>
      <c r="L94" s="316">
        <f t="shared" si="22"/>
        <v>0</v>
      </c>
      <c r="M94" s="316">
        <f t="shared" si="22"/>
        <v>0</v>
      </c>
      <c r="N94" s="316">
        <f t="shared" si="22"/>
        <v>0</v>
      </c>
      <c r="O94" s="316">
        <f t="shared" si="22"/>
        <v>0</v>
      </c>
      <c r="P94" s="316">
        <f t="shared" si="22"/>
        <v>0</v>
      </c>
      <c r="Q94" s="316">
        <f t="shared" si="22"/>
        <v>699</v>
      </c>
      <c r="R94" s="316">
        <f t="shared" si="22"/>
        <v>9868</v>
      </c>
      <c r="S94" s="316">
        <f t="shared" si="22"/>
        <v>7564.32</v>
      </c>
      <c r="T94" s="316">
        <f t="shared" si="22"/>
        <v>612</v>
      </c>
      <c r="U94" s="316">
        <f t="shared" si="22"/>
        <v>8296</v>
      </c>
      <c r="V94" s="316">
        <f t="shared" si="22"/>
        <v>6798.08</v>
      </c>
      <c r="W94" s="316">
        <f t="shared" si="22"/>
        <v>2048</v>
      </c>
      <c r="X94" s="316">
        <f t="shared" si="22"/>
        <v>28606</v>
      </c>
      <c r="Y94" s="316">
        <f t="shared" si="22"/>
        <v>22563.040000000001</v>
      </c>
      <c r="Z94" s="316">
        <f t="shared" si="22"/>
        <v>923</v>
      </c>
      <c r="AA94" s="316">
        <f t="shared" si="22"/>
        <v>12656</v>
      </c>
      <c r="AB94" s="316">
        <f t="shared" si="22"/>
        <v>9952.4000000000015</v>
      </c>
      <c r="AC94" s="316">
        <f t="shared" si="22"/>
        <v>1100</v>
      </c>
      <c r="AD94" s="316">
        <f t="shared" si="22"/>
        <v>17272</v>
      </c>
      <c r="AE94" s="316">
        <f t="shared" si="22"/>
        <v>12758.800000000001</v>
      </c>
      <c r="AF94" s="316">
        <f t="shared" si="22"/>
        <v>0</v>
      </c>
      <c r="AG94" s="316">
        <f t="shared" si="22"/>
        <v>0</v>
      </c>
      <c r="AH94" s="316">
        <f t="shared" si="22"/>
        <v>0</v>
      </c>
      <c r="AI94" s="316">
        <f t="shared" si="22"/>
        <v>1474</v>
      </c>
      <c r="AJ94" s="316">
        <f t="shared" si="22"/>
        <v>19450</v>
      </c>
      <c r="AK94" s="316">
        <f t="shared" si="22"/>
        <v>16532.400000000001</v>
      </c>
      <c r="AL94" s="316">
        <f t="shared" si="22"/>
        <v>379</v>
      </c>
      <c r="AM94" s="316">
        <f t="shared" si="22"/>
        <v>5072</v>
      </c>
      <c r="AN94" s="316">
        <f t="shared" si="22"/>
        <v>4104.3999999999996</v>
      </c>
      <c r="AO94" s="316">
        <f t="shared" si="22"/>
        <v>7254</v>
      </c>
      <c r="AP94" s="316">
        <f t="shared" si="22"/>
        <v>101478</v>
      </c>
      <c r="AQ94" s="316">
        <f t="shared" si="22"/>
        <v>80455.839999999997</v>
      </c>
      <c r="AR94" s="316">
        <f t="shared" si="22"/>
        <v>903</v>
      </c>
      <c r="AS94" s="316">
        <f t="shared" si="22"/>
        <v>12582</v>
      </c>
      <c r="AT94" s="316">
        <f t="shared" si="22"/>
        <v>9645.68</v>
      </c>
      <c r="AU94" s="316">
        <f t="shared" si="22"/>
        <v>1942</v>
      </c>
      <c r="AV94" s="316">
        <f t="shared" si="22"/>
        <v>27158</v>
      </c>
      <c r="AW94" s="316">
        <f t="shared" si="22"/>
        <v>21336.32</v>
      </c>
      <c r="AX94" s="316">
        <f t="shared" si="22"/>
        <v>1019</v>
      </c>
      <c r="AY94" s="316">
        <f t="shared" si="22"/>
        <v>14126</v>
      </c>
      <c r="AZ94" s="316">
        <f t="shared" si="22"/>
        <v>11296.48</v>
      </c>
      <c r="BA94" s="316">
        <f t="shared" si="22"/>
        <v>927</v>
      </c>
      <c r="BB94" s="316">
        <f t="shared" si="22"/>
        <v>12594</v>
      </c>
      <c r="BC94" s="316">
        <f t="shared" si="22"/>
        <v>10253.599999999999</v>
      </c>
      <c r="BD94" s="316">
        <f t="shared" si="22"/>
        <v>0</v>
      </c>
      <c r="BE94" s="316">
        <f t="shared" si="22"/>
        <v>0</v>
      </c>
      <c r="BF94" s="316">
        <f t="shared" si="22"/>
        <v>0</v>
      </c>
      <c r="BG94" s="316">
        <f t="shared" si="22"/>
        <v>927</v>
      </c>
      <c r="BH94" s="316">
        <f t="shared" si="22"/>
        <v>12920</v>
      </c>
      <c r="BI94" s="316">
        <f t="shared" si="22"/>
        <v>10416.400000000001</v>
      </c>
      <c r="BJ94" s="316">
        <f t="shared" si="22"/>
        <v>907</v>
      </c>
      <c r="BK94" s="316">
        <f t="shared" si="22"/>
        <v>13182</v>
      </c>
      <c r="BL94" s="316">
        <f t="shared" si="22"/>
        <v>10401.200000000001</v>
      </c>
      <c r="BM94" s="316">
        <f t="shared" si="22"/>
        <v>1167</v>
      </c>
      <c r="BN94" s="316">
        <f t="shared" si="22"/>
        <v>15468</v>
      </c>
      <c r="BO94" s="316">
        <f t="shared" si="22"/>
        <v>13121.119999999999</v>
      </c>
      <c r="BP94" s="316">
        <f t="shared" si="22"/>
        <v>807</v>
      </c>
      <c r="BQ94" s="316">
        <f t="shared" si="22"/>
        <v>12260</v>
      </c>
      <c r="BR94" s="316">
        <f t="shared" si="22"/>
        <v>8940.8000000000011</v>
      </c>
      <c r="BS94" s="317">
        <f t="shared" si="22"/>
        <v>716</v>
      </c>
      <c r="BT94" s="316">
        <f t="shared" si="22"/>
        <v>9914</v>
      </c>
      <c r="BU94" s="316">
        <f t="shared" si="22"/>
        <v>7895.3600000000006</v>
      </c>
      <c r="BV94" s="316">
        <f t="shared" si="22"/>
        <v>16569</v>
      </c>
      <c r="BW94" s="316">
        <f t="shared" ref="BW94:DH94" si="23">SUM(BW92,BW42)</f>
        <v>231682</v>
      </c>
      <c r="BX94" s="316">
        <f t="shared" si="23"/>
        <v>183762.8</v>
      </c>
      <c r="BY94" s="316">
        <f t="shared" si="23"/>
        <v>0</v>
      </c>
      <c r="BZ94" s="316">
        <f t="shared" si="23"/>
        <v>0</v>
      </c>
      <c r="CA94" s="316">
        <f t="shared" si="23"/>
        <v>0</v>
      </c>
      <c r="CB94" s="316">
        <f t="shared" si="23"/>
        <v>0</v>
      </c>
      <c r="CC94" s="316">
        <f t="shared" si="23"/>
        <v>0</v>
      </c>
      <c r="CD94" s="316">
        <f t="shared" si="23"/>
        <v>0</v>
      </c>
      <c r="CE94" s="316">
        <f t="shared" si="23"/>
        <v>0</v>
      </c>
      <c r="CF94" s="316">
        <f t="shared" si="23"/>
        <v>0</v>
      </c>
      <c r="CG94" s="316">
        <f t="shared" si="23"/>
        <v>0</v>
      </c>
      <c r="CH94" s="316">
        <f t="shared" si="23"/>
        <v>0</v>
      </c>
      <c r="CI94" s="316">
        <f t="shared" si="23"/>
        <v>0</v>
      </c>
      <c r="CJ94" s="316">
        <f t="shared" si="23"/>
        <v>0</v>
      </c>
      <c r="CK94" s="316">
        <f t="shared" si="23"/>
        <v>0</v>
      </c>
      <c r="CL94" s="316">
        <f t="shared" si="23"/>
        <v>0</v>
      </c>
      <c r="CM94" s="316">
        <f t="shared" si="23"/>
        <v>0</v>
      </c>
      <c r="CN94" s="316">
        <f t="shared" si="23"/>
        <v>0</v>
      </c>
      <c r="CO94" s="316">
        <f t="shared" si="23"/>
        <v>0</v>
      </c>
      <c r="CP94" s="316">
        <f t="shared" si="23"/>
        <v>0</v>
      </c>
      <c r="CQ94" s="316">
        <f t="shared" si="23"/>
        <v>0</v>
      </c>
      <c r="CR94" s="316">
        <f t="shared" si="23"/>
        <v>0</v>
      </c>
      <c r="CS94" s="316">
        <f t="shared" si="23"/>
        <v>0</v>
      </c>
      <c r="CT94" s="316">
        <f t="shared" si="23"/>
        <v>0</v>
      </c>
      <c r="CU94" s="316">
        <f t="shared" si="23"/>
        <v>0</v>
      </c>
      <c r="CV94" s="316">
        <f t="shared" si="23"/>
        <v>0</v>
      </c>
      <c r="CW94" s="316">
        <f t="shared" si="23"/>
        <v>0</v>
      </c>
      <c r="CX94" s="316">
        <f t="shared" si="23"/>
        <v>0</v>
      </c>
      <c r="CY94" s="316">
        <f t="shared" si="23"/>
        <v>0</v>
      </c>
      <c r="CZ94" s="316">
        <f t="shared" si="23"/>
        <v>0</v>
      </c>
      <c r="DA94" s="316">
        <f t="shared" si="23"/>
        <v>0</v>
      </c>
      <c r="DB94" s="316">
        <f t="shared" si="23"/>
        <v>0</v>
      </c>
      <c r="DC94" s="316">
        <f t="shared" si="23"/>
        <v>0</v>
      </c>
      <c r="DD94" s="316">
        <f t="shared" si="23"/>
        <v>0</v>
      </c>
      <c r="DE94" s="316">
        <f t="shared" si="23"/>
        <v>0</v>
      </c>
      <c r="DF94" s="316">
        <f t="shared" si="23"/>
        <v>16569</v>
      </c>
      <c r="DG94" s="316">
        <f t="shared" si="23"/>
        <v>231682</v>
      </c>
      <c r="DH94" s="316">
        <f t="shared" si="23"/>
        <v>183762.8</v>
      </c>
    </row>
    <row r="96" spans="1:113" x14ac:dyDescent="0.6">
      <c r="BX96" s="243"/>
    </row>
    <row r="97" spans="12:12" x14ac:dyDescent="0.6">
      <c r="L97" s="228"/>
    </row>
  </sheetData>
  <mergeCells count="43">
    <mergeCell ref="AL2:AN2"/>
    <mergeCell ref="B1:D1"/>
    <mergeCell ref="A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BV2:BX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DF2:DH2"/>
    <mergeCell ref="BY2:CA2"/>
    <mergeCell ref="CB2:CD2"/>
    <mergeCell ref="CE2:CG2"/>
    <mergeCell ref="CH2:CJ2"/>
    <mergeCell ref="CK2:CM2"/>
    <mergeCell ref="CN2:CP2"/>
    <mergeCell ref="CQ2:CS2"/>
    <mergeCell ref="CT2:CV2"/>
    <mergeCell ref="CW2:CY2"/>
    <mergeCell ref="CZ2:DB2"/>
    <mergeCell ref="DC2:DE2"/>
    <mergeCell ref="J3:J4"/>
    <mergeCell ref="A3:A4"/>
    <mergeCell ref="B3:C4"/>
    <mergeCell ref="D3:E4"/>
    <mergeCell ref="F3:F4"/>
    <mergeCell ref="G3:H4"/>
    <mergeCell ref="I3:I4"/>
  </mergeCells>
  <conditionalFormatting sqref="C21:C40">
    <cfRule type="duplicateValues" dxfId="22" priority="3"/>
    <cfRule type="duplicateValues" dxfId="21" priority="4"/>
  </conditionalFormatting>
  <conditionalFormatting sqref="C44:C90">
    <cfRule type="duplicateValues" dxfId="20" priority="1"/>
    <cfRule type="duplicateValues" dxfId="19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BD0F-C62A-4A51-B5C9-C3EBF55C5B6D}">
  <dimension ref="A1:DL152"/>
  <sheetViews>
    <sheetView topLeftCell="CD1" workbookViewId="0">
      <selection activeCell="DI4" sqref="DI4:DJ146"/>
    </sheetView>
  </sheetViews>
  <sheetFormatPr defaultColWidth="10.28515625" defaultRowHeight="21" x14ac:dyDescent="0.6"/>
  <cols>
    <col min="1" max="1" width="7" style="227" customWidth="1"/>
    <col min="2" max="2" width="14.42578125" style="227" customWidth="1"/>
    <col min="3" max="3" width="14.5703125" style="227" customWidth="1"/>
    <col min="4" max="4" width="10.28515625" style="227" customWidth="1"/>
    <col min="5" max="5" width="17" style="227" customWidth="1"/>
    <col min="6" max="6" width="12.85546875" style="227" customWidth="1"/>
    <col min="7" max="9" width="10.28515625" style="227" hidden="1" customWidth="1"/>
    <col min="10" max="10" width="15" style="227" hidden="1" customWidth="1"/>
    <col min="11" max="11" width="10.28515625" style="227" hidden="1" customWidth="1"/>
    <col min="12" max="12" width="13.42578125" style="227" hidden="1" customWidth="1"/>
    <col min="13" max="13" width="6.85546875" style="227" customWidth="1"/>
    <col min="14" max="15" width="6.28515625" style="227" customWidth="1"/>
    <col min="16" max="16" width="5" style="227" customWidth="1"/>
    <col min="17" max="18" width="6.28515625" style="227" customWidth="1"/>
    <col min="19" max="19" width="5" style="227" customWidth="1"/>
    <col min="20" max="21" width="6.28515625" style="227" customWidth="1"/>
    <col min="22" max="22" width="5" style="227" customWidth="1"/>
    <col min="23" max="24" width="6.28515625" style="227" customWidth="1"/>
    <col min="25" max="25" width="5" style="227" customWidth="1"/>
    <col min="26" max="27" width="6.28515625" style="227" customWidth="1"/>
    <col min="28" max="28" width="5" style="227" customWidth="1"/>
    <col min="29" max="29" width="6" style="227" customWidth="1"/>
    <col min="30" max="30" width="6.140625" style="227" customWidth="1"/>
    <col min="31" max="31" width="5" style="227" customWidth="1"/>
    <col min="32" max="33" width="6.28515625" style="227" customWidth="1"/>
    <col min="34" max="34" width="5" style="227" customWidth="1"/>
    <col min="35" max="36" width="6.28515625" style="227" customWidth="1"/>
    <col min="37" max="37" width="5" style="227" customWidth="1"/>
    <col min="38" max="39" width="6.28515625" style="227" customWidth="1"/>
    <col min="40" max="40" width="5" style="227" customWidth="1"/>
    <col min="41" max="43" width="6.28515625" style="227" customWidth="1"/>
    <col min="44" max="44" width="7.140625" style="227" customWidth="1"/>
    <col min="45" max="45" width="8.42578125" style="227" customWidth="1"/>
    <col min="46" max="46" width="6.5703125" style="227" customWidth="1"/>
    <col min="47" max="47" width="9" style="227" customWidth="1"/>
    <col min="48" max="48" width="7.42578125" style="227" customWidth="1"/>
    <col min="49" max="102" width="10.28515625" style="227" customWidth="1"/>
    <col min="103" max="111" width="10.28515625" style="227" hidden="1" customWidth="1"/>
    <col min="112" max="112" width="7.5703125" style="227" customWidth="1"/>
    <col min="113" max="113" width="9" style="227" customWidth="1"/>
    <col min="114" max="114" width="12.140625" style="227" customWidth="1"/>
    <col min="115" max="116" width="10.28515625" style="229"/>
    <col min="117" max="16384" width="10.28515625" style="227"/>
  </cols>
  <sheetData>
    <row r="1" spans="1:116" ht="30" customHeight="1" x14ac:dyDescent="0.6">
      <c r="A1" s="440" t="s">
        <v>397</v>
      </c>
      <c r="B1" s="441"/>
      <c r="C1" s="441"/>
      <c r="D1" s="441"/>
    </row>
    <row r="2" spans="1:116" ht="30" customHeight="1" x14ac:dyDescent="0.6">
      <c r="A2" s="318" t="s">
        <v>43</v>
      </c>
      <c r="B2" s="438" t="s">
        <v>44</v>
      </c>
      <c r="C2" s="439"/>
      <c r="D2" s="438" t="s">
        <v>45</v>
      </c>
      <c r="E2" s="439"/>
      <c r="F2" s="318" t="s">
        <v>46</v>
      </c>
      <c r="G2" s="438" t="s">
        <v>730</v>
      </c>
      <c r="H2" s="439"/>
      <c r="I2" s="319" t="s">
        <v>941</v>
      </c>
      <c r="J2" s="319" t="s">
        <v>942</v>
      </c>
      <c r="K2" s="442" t="s">
        <v>943</v>
      </c>
      <c r="L2" s="443"/>
      <c r="M2" s="409">
        <v>8798</v>
      </c>
      <c r="N2" s="409"/>
      <c r="O2" s="410"/>
      <c r="P2" s="409">
        <v>45690</v>
      </c>
      <c r="Q2" s="409"/>
      <c r="R2" s="410"/>
      <c r="S2" s="409">
        <v>45691</v>
      </c>
      <c r="T2" s="409"/>
      <c r="U2" s="410"/>
      <c r="V2" s="409">
        <v>45692</v>
      </c>
      <c r="W2" s="409"/>
      <c r="X2" s="410"/>
      <c r="Y2" s="409">
        <v>45693</v>
      </c>
      <c r="Z2" s="409"/>
      <c r="AA2" s="410"/>
      <c r="AB2" s="409">
        <v>45694</v>
      </c>
      <c r="AC2" s="409"/>
      <c r="AD2" s="410"/>
      <c r="AE2" s="409">
        <v>45695</v>
      </c>
      <c r="AF2" s="409"/>
      <c r="AG2" s="410"/>
      <c r="AH2" s="409">
        <v>45696</v>
      </c>
      <c r="AI2" s="409"/>
      <c r="AJ2" s="410"/>
      <c r="AK2" s="409">
        <v>45697</v>
      </c>
      <c r="AL2" s="409"/>
      <c r="AM2" s="410"/>
      <c r="AN2" s="409">
        <v>45698</v>
      </c>
      <c r="AO2" s="409"/>
      <c r="AP2" s="410"/>
      <c r="AQ2" s="435" t="s">
        <v>717</v>
      </c>
      <c r="AR2" s="436"/>
      <c r="AS2" s="437"/>
      <c r="AT2" s="409">
        <v>46064</v>
      </c>
      <c r="AU2" s="409"/>
      <c r="AV2" s="410"/>
      <c r="AW2" s="409">
        <v>46065</v>
      </c>
      <c r="AX2" s="409"/>
      <c r="AY2" s="410"/>
      <c r="AZ2" s="409">
        <v>46066</v>
      </c>
      <c r="BA2" s="409"/>
      <c r="BB2" s="410"/>
      <c r="BC2" s="409">
        <v>46067</v>
      </c>
      <c r="BD2" s="409"/>
      <c r="BE2" s="410"/>
      <c r="BF2" s="409">
        <v>46068</v>
      </c>
      <c r="BG2" s="409"/>
      <c r="BH2" s="410"/>
      <c r="BI2" s="409">
        <v>46069</v>
      </c>
      <c r="BJ2" s="409"/>
      <c r="BK2" s="410"/>
      <c r="BL2" s="409">
        <v>46070</v>
      </c>
      <c r="BM2" s="409"/>
      <c r="BN2" s="410"/>
      <c r="BO2" s="409">
        <v>46071</v>
      </c>
      <c r="BP2" s="409"/>
      <c r="BQ2" s="410"/>
      <c r="BR2" s="409">
        <v>46072</v>
      </c>
      <c r="BS2" s="409"/>
      <c r="BT2" s="410"/>
      <c r="BU2" s="409">
        <v>46073</v>
      </c>
      <c r="BV2" s="409"/>
      <c r="BW2" s="410"/>
      <c r="BX2" s="435" t="s">
        <v>718</v>
      </c>
      <c r="BY2" s="436"/>
      <c r="BZ2" s="437"/>
      <c r="CA2" s="409">
        <v>46074</v>
      </c>
      <c r="CB2" s="409"/>
      <c r="CC2" s="410"/>
      <c r="CD2" s="409">
        <v>46075</v>
      </c>
      <c r="CE2" s="409"/>
      <c r="CF2" s="410"/>
      <c r="CG2" s="409">
        <v>46076</v>
      </c>
      <c r="CH2" s="409"/>
      <c r="CI2" s="410"/>
      <c r="CJ2" s="409">
        <v>46077</v>
      </c>
      <c r="CK2" s="409"/>
      <c r="CL2" s="410"/>
      <c r="CM2" s="409">
        <v>46078</v>
      </c>
      <c r="CN2" s="409"/>
      <c r="CO2" s="410"/>
      <c r="CP2" s="409">
        <v>46079</v>
      </c>
      <c r="CQ2" s="409"/>
      <c r="CR2" s="410"/>
      <c r="CS2" s="409">
        <v>46080</v>
      </c>
      <c r="CT2" s="409"/>
      <c r="CU2" s="410"/>
      <c r="CV2" s="409">
        <v>46081</v>
      </c>
      <c r="CW2" s="409"/>
      <c r="CX2" s="410"/>
      <c r="CY2" s="409">
        <v>46051</v>
      </c>
      <c r="CZ2" s="409"/>
      <c r="DA2" s="410"/>
      <c r="DB2" s="409">
        <v>46052</v>
      </c>
      <c r="DC2" s="409"/>
      <c r="DD2" s="410"/>
      <c r="DE2" s="409">
        <v>46053</v>
      </c>
      <c r="DF2" s="409"/>
      <c r="DG2" s="410"/>
      <c r="DH2" s="435" t="s">
        <v>719</v>
      </c>
      <c r="DI2" s="436"/>
      <c r="DJ2" s="437"/>
    </row>
    <row r="3" spans="1:116" ht="30" customHeight="1" x14ac:dyDescent="0.6">
      <c r="A3" s="318"/>
      <c r="B3" s="438"/>
      <c r="C3" s="439"/>
      <c r="D3" s="438"/>
      <c r="E3" s="439"/>
      <c r="F3" s="318"/>
      <c r="G3" s="319"/>
      <c r="H3" s="319"/>
      <c r="I3" s="319"/>
      <c r="J3" s="319"/>
      <c r="K3" s="319" t="s">
        <v>720</v>
      </c>
      <c r="L3" s="318" t="s">
        <v>721</v>
      </c>
      <c r="M3" s="233" t="s">
        <v>720</v>
      </c>
      <c r="N3" s="230" t="s">
        <v>721</v>
      </c>
      <c r="O3" s="230" t="s">
        <v>722</v>
      </c>
      <c r="P3" s="233" t="s">
        <v>720</v>
      </c>
      <c r="Q3" s="230" t="s">
        <v>721</v>
      </c>
      <c r="R3" s="230" t="s">
        <v>722</v>
      </c>
      <c r="S3" s="233" t="s">
        <v>720</v>
      </c>
      <c r="T3" s="230" t="s">
        <v>721</v>
      </c>
      <c r="U3" s="230" t="s">
        <v>722</v>
      </c>
      <c r="V3" s="233" t="s">
        <v>720</v>
      </c>
      <c r="W3" s="230" t="s">
        <v>721</v>
      </c>
      <c r="X3" s="230" t="s">
        <v>722</v>
      </c>
      <c r="Y3" s="233" t="s">
        <v>720</v>
      </c>
      <c r="Z3" s="230" t="s">
        <v>721</v>
      </c>
      <c r="AA3" s="230" t="s">
        <v>722</v>
      </c>
      <c r="AB3" s="233" t="s">
        <v>720</v>
      </c>
      <c r="AC3" s="230" t="s">
        <v>721</v>
      </c>
      <c r="AD3" s="230" t="s">
        <v>722</v>
      </c>
      <c r="AE3" s="233" t="s">
        <v>720</v>
      </c>
      <c r="AF3" s="230" t="s">
        <v>721</v>
      </c>
      <c r="AG3" s="230" t="s">
        <v>722</v>
      </c>
      <c r="AH3" s="233" t="s">
        <v>720</v>
      </c>
      <c r="AI3" s="230" t="s">
        <v>721</v>
      </c>
      <c r="AJ3" s="230" t="s">
        <v>722</v>
      </c>
      <c r="AK3" s="233" t="s">
        <v>720</v>
      </c>
      <c r="AL3" s="230" t="s">
        <v>721</v>
      </c>
      <c r="AM3" s="230" t="s">
        <v>722</v>
      </c>
      <c r="AN3" s="233" t="s">
        <v>720</v>
      </c>
      <c r="AO3" s="230" t="s">
        <v>721</v>
      </c>
      <c r="AP3" s="230" t="s">
        <v>722</v>
      </c>
      <c r="AQ3" s="320" t="s">
        <v>720</v>
      </c>
      <c r="AR3" s="321" t="s">
        <v>721</v>
      </c>
      <c r="AS3" s="321" t="s">
        <v>722</v>
      </c>
      <c r="AT3" s="233" t="s">
        <v>720</v>
      </c>
      <c r="AU3" s="230" t="s">
        <v>721</v>
      </c>
      <c r="AV3" s="230" t="s">
        <v>723</v>
      </c>
      <c r="AW3" s="233" t="s">
        <v>720</v>
      </c>
      <c r="AX3" s="230" t="s">
        <v>721</v>
      </c>
      <c r="AY3" s="230" t="s">
        <v>723</v>
      </c>
      <c r="AZ3" s="233" t="s">
        <v>720</v>
      </c>
      <c r="BA3" s="230" t="s">
        <v>721</v>
      </c>
      <c r="BB3" s="230" t="s">
        <v>723</v>
      </c>
      <c r="BC3" s="233" t="s">
        <v>720</v>
      </c>
      <c r="BD3" s="230" t="s">
        <v>721</v>
      </c>
      <c r="BE3" s="230" t="s">
        <v>723</v>
      </c>
      <c r="BF3" s="233" t="s">
        <v>720</v>
      </c>
      <c r="BG3" s="230" t="s">
        <v>721</v>
      </c>
      <c r="BH3" s="230" t="s">
        <v>723</v>
      </c>
      <c r="BI3" s="233" t="s">
        <v>720</v>
      </c>
      <c r="BJ3" s="230" t="s">
        <v>721</v>
      </c>
      <c r="BK3" s="230" t="s">
        <v>723</v>
      </c>
      <c r="BL3" s="233" t="s">
        <v>720</v>
      </c>
      <c r="BM3" s="230" t="s">
        <v>721</v>
      </c>
      <c r="BN3" s="230" t="s">
        <v>723</v>
      </c>
      <c r="BO3" s="233" t="s">
        <v>720</v>
      </c>
      <c r="BP3" s="230" t="s">
        <v>721</v>
      </c>
      <c r="BQ3" s="230" t="s">
        <v>723</v>
      </c>
      <c r="BR3" s="233" t="s">
        <v>720</v>
      </c>
      <c r="BS3" s="230" t="s">
        <v>721</v>
      </c>
      <c r="BT3" s="230" t="s">
        <v>723</v>
      </c>
      <c r="BU3" s="233" t="s">
        <v>720</v>
      </c>
      <c r="BV3" s="230" t="s">
        <v>721</v>
      </c>
      <c r="BW3" s="230" t="s">
        <v>723</v>
      </c>
      <c r="BX3" s="320" t="s">
        <v>720</v>
      </c>
      <c r="BY3" s="321" t="s">
        <v>721</v>
      </c>
      <c r="BZ3" s="321" t="s">
        <v>722</v>
      </c>
      <c r="CA3" s="233" t="s">
        <v>720</v>
      </c>
      <c r="CB3" s="230" t="s">
        <v>721</v>
      </c>
      <c r="CC3" s="230" t="s">
        <v>723</v>
      </c>
      <c r="CD3" s="233" t="s">
        <v>720</v>
      </c>
      <c r="CE3" s="230" t="s">
        <v>721</v>
      </c>
      <c r="CF3" s="230" t="s">
        <v>723</v>
      </c>
      <c r="CG3" s="233" t="s">
        <v>720</v>
      </c>
      <c r="CH3" s="230" t="s">
        <v>721</v>
      </c>
      <c r="CI3" s="230" t="s">
        <v>723</v>
      </c>
      <c r="CJ3" s="233" t="s">
        <v>720</v>
      </c>
      <c r="CK3" s="230" t="s">
        <v>721</v>
      </c>
      <c r="CL3" s="230" t="s">
        <v>723</v>
      </c>
      <c r="CM3" s="233" t="s">
        <v>720</v>
      </c>
      <c r="CN3" s="230" t="s">
        <v>721</v>
      </c>
      <c r="CO3" s="230" t="s">
        <v>723</v>
      </c>
      <c r="CP3" s="233" t="s">
        <v>720</v>
      </c>
      <c r="CQ3" s="230" t="s">
        <v>721</v>
      </c>
      <c r="CR3" s="230" t="s">
        <v>723</v>
      </c>
      <c r="CS3" s="233" t="s">
        <v>720</v>
      </c>
      <c r="CT3" s="230" t="s">
        <v>721</v>
      </c>
      <c r="CU3" s="230" t="s">
        <v>723</v>
      </c>
      <c r="CV3" s="233" t="s">
        <v>720</v>
      </c>
      <c r="CW3" s="230" t="s">
        <v>721</v>
      </c>
      <c r="CX3" s="230" t="s">
        <v>723</v>
      </c>
      <c r="CY3" s="233" t="s">
        <v>720</v>
      </c>
      <c r="CZ3" s="230" t="s">
        <v>721</v>
      </c>
      <c r="DA3" s="230" t="s">
        <v>723</v>
      </c>
      <c r="DB3" s="233" t="s">
        <v>720</v>
      </c>
      <c r="DC3" s="230" t="s">
        <v>721</v>
      </c>
      <c r="DD3" s="230" t="s">
        <v>723</v>
      </c>
      <c r="DE3" s="233" t="s">
        <v>720</v>
      </c>
      <c r="DF3" s="230" t="s">
        <v>721</v>
      </c>
      <c r="DG3" s="230" t="s">
        <v>723</v>
      </c>
      <c r="DH3" s="320" t="s">
        <v>720</v>
      </c>
      <c r="DI3" s="321" t="s">
        <v>721</v>
      </c>
      <c r="DJ3" s="321" t="s">
        <v>722</v>
      </c>
    </row>
    <row r="4" spans="1:116" s="275" customFormat="1" ht="20.100000000000001" customHeight="1" x14ac:dyDescent="0.6">
      <c r="A4" s="234">
        <v>1</v>
      </c>
      <c r="B4" s="103" t="s">
        <v>398</v>
      </c>
      <c r="C4" s="103" t="s">
        <v>399</v>
      </c>
      <c r="D4" s="103" t="s">
        <v>90</v>
      </c>
      <c r="E4" s="148" t="s">
        <v>91</v>
      </c>
      <c r="F4" s="179" t="s">
        <v>400</v>
      </c>
      <c r="G4" s="322"/>
      <c r="H4" s="323"/>
      <c r="I4" s="322" t="s">
        <v>944</v>
      </c>
      <c r="J4" s="322" t="s">
        <v>945</v>
      </c>
      <c r="K4" s="241"/>
      <c r="L4" s="241"/>
      <c r="M4" s="271"/>
      <c r="N4" s="271"/>
      <c r="O4" s="271"/>
      <c r="P4" s="271">
        <v>15</v>
      </c>
      <c r="Q4" s="271">
        <v>180</v>
      </c>
      <c r="R4" s="271">
        <v>180</v>
      </c>
      <c r="S4" s="271"/>
      <c r="T4" s="271"/>
      <c r="U4" s="271"/>
      <c r="V4" s="271"/>
      <c r="W4" s="271"/>
      <c r="X4" s="271"/>
      <c r="Y4" s="271">
        <v>15</v>
      </c>
      <c r="Z4" s="271">
        <v>180</v>
      </c>
      <c r="AA4" s="271">
        <v>180</v>
      </c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1"/>
      <c r="AP4" s="271"/>
      <c r="AQ4" s="272">
        <f t="shared" ref="AQ4:AS19" si="0">+AN4+AK4+AH4+AE4+AB4+Y4+V4+S4+P4+M4</f>
        <v>30</v>
      </c>
      <c r="AR4" s="272">
        <f t="shared" si="0"/>
        <v>360</v>
      </c>
      <c r="AS4" s="272">
        <f t="shared" si="0"/>
        <v>360</v>
      </c>
      <c r="AT4" s="357">
        <v>15</v>
      </c>
      <c r="AU4" s="357">
        <v>180</v>
      </c>
      <c r="AV4" s="357">
        <v>180</v>
      </c>
      <c r="AW4" s="357"/>
      <c r="AX4" s="357"/>
      <c r="AY4" s="357"/>
      <c r="AZ4" s="357"/>
      <c r="BA4" s="357"/>
      <c r="BB4" s="357"/>
      <c r="BC4" s="357"/>
      <c r="BD4" s="357"/>
      <c r="BE4" s="357"/>
      <c r="BF4" s="357"/>
      <c r="BG4" s="357"/>
      <c r="BH4" s="357"/>
      <c r="BI4" s="357"/>
      <c r="BJ4" s="357"/>
      <c r="BK4" s="357"/>
      <c r="BL4" s="357"/>
      <c r="BM4" s="357"/>
      <c r="BN4" s="357"/>
      <c r="BO4" s="357"/>
      <c r="BP4" s="357"/>
      <c r="BQ4" s="357"/>
      <c r="BR4" s="357"/>
      <c r="BS4" s="357"/>
      <c r="BT4" s="357"/>
      <c r="BU4" s="357"/>
      <c r="BV4" s="357"/>
      <c r="BW4" s="357"/>
      <c r="BX4" s="272">
        <f>+BU4+BR4+BO4+BL4+BI4+BF4+BC4+AZ4+AW4+AT4+AQ4</f>
        <v>45</v>
      </c>
      <c r="BY4" s="272">
        <f t="shared" ref="BX4:BY37" si="1">+BV4+BS4+BP4+BM4+BJ4+BG4+BD4+BA4+AX4+AU4+AR4</f>
        <v>540</v>
      </c>
      <c r="BZ4" s="272">
        <f t="shared" ref="BZ4:BZ69" si="2">AS4+AV4+AY4+BB4+BE4+BH4+BK4+BN4+BQ4+BT4+BW4</f>
        <v>540</v>
      </c>
      <c r="CA4" s="273"/>
      <c r="CB4" s="273"/>
      <c r="CC4" s="273"/>
      <c r="CD4" s="273"/>
      <c r="CE4" s="273"/>
      <c r="CF4" s="273"/>
      <c r="CG4" s="273"/>
      <c r="CH4" s="273"/>
      <c r="CI4" s="273"/>
      <c r="CJ4" s="273"/>
      <c r="CK4" s="273"/>
      <c r="CL4" s="273"/>
      <c r="CM4" s="273">
        <v>15</v>
      </c>
      <c r="CN4" s="273">
        <v>180</v>
      </c>
      <c r="CO4" s="273">
        <v>180</v>
      </c>
      <c r="CP4" s="273"/>
      <c r="CQ4" s="273"/>
      <c r="CR4" s="273"/>
      <c r="CS4" s="273"/>
      <c r="CT4" s="273"/>
      <c r="CU4" s="273"/>
      <c r="CV4" s="273"/>
      <c r="CW4" s="273"/>
      <c r="CX4" s="273"/>
      <c r="CY4" s="273"/>
      <c r="CZ4" s="273"/>
      <c r="DA4" s="273"/>
      <c r="DB4" s="273"/>
      <c r="DC4" s="273"/>
      <c r="DD4" s="273"/>
      <c r="DE4" s="273"/>
      <c r="DF4" s="271"/>
      <c r="DG4" s="271"/>
      <c r="DH4" s="272">
        <f>BX4+CA4+CD4+CG4+CJ4+CM4+CP4+CS4+CV4+CY4+DB4+DE4</f>
        <v>60</v>
      </c>
      <c r="DI4" s="272">
        <f>BY4+CB4+CE4+CH4+CK4+CN4+CQ4+CT4+CW4+CZ4+DC4+DF4</f>
        <v>720</v>
      </c>
      <c r="DJ4" s="324">
        <f>BZ4+CC4+CF4+CI4+CL4+CO4+CR4+CU4+CX4+DA4+DD4+DG4</f>
        <v>720</v>
      </c>
      <c r="DK4" s="325"/>
      <c r="DL4" s="325"/>
    </row>
    <row r="5" spans="1:116" s="275" customFormat="1" ht="20.100000000000001" customHeight="1" x14ac:dyDescent="0.6">
      <c r="A5" s="234">
        <v>2</v>
      </c>
      <c r="B5" s="103" t="s">
        <v>401</v>
      </c>
      <c r="C5" s="103" t="s">
        <v>402</v>
      </c>
      <c r="D5" s="103" t="s">
        <v>90</v>
      </c>
      <c r="E5" s="148" t="s">
        <v>91</v>
      </c>
      <c r="F5" s="179" t="s">
        <v>400</v>
      </c>
      <c r="G5" s="322"/>
      <c r="H5" s="323"/>
      <c r="I5" s="322" t="s">
        <v>946</v>
      </c>
      <c r="J5" s="322" t="s">
        <v>945</v>
      </c>
      <c r="K5" s="241"/>
      <c r="L5" s="241"/>
      <c r="M5" s="271"/>
      <c r="N5" s="271"/>
      <c r="O5" s="271"/>
      <c r="P5" s="271">
        <v>15</v>
      </c>
      <c r="Q5" s="271">
        <v>180</v>
      </c>
      <c r="R5" s="271">
        <v>180</v>
      </c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2">
        <f t="shared" si="0"/>
        <v>15</v>
      </c>
      <c r="AR5" s="272">
        <f t="shared" si="0"/>
        <v>180</v>
      </c>
      <c r="AS5" s="272">
        <f t="shared" si="0"/>
        <v>180</v>
      </c>
      <c r="AT5" s="357"/>
      <c r="AU5" s="357"/>
      <c r="AV5" s="357"/>
      <c r="AW5" s="357">
        <v>15</v>
      </c>
      <c r="AX5" s="357">
        <v>180</v>
      </c>
      <c r="AY5" s="357">
        <v>180</v>
      </c>
      <c r="AZ5" s="357"/>
      <c r="BA5" s="357"/>
      <c r="BB5" s="357"/>
      <c r="BC5" s="357"/>
      <c r="BD5" s="357"/>
      <c r="BE5" s="357"/>
      <c r="BF5" s="357"/>
      <c r="BG5" s="357"/>
      <c r="BH5" s="357"/>
      <c r="BI5" s="357">
        <v>15</v>
      </c>
      <c r="BJ5" s="357">
        <v>180</v>
      </c>
      <c r="BK5" s="357">
        <v>180</v>
      </c>
      <c r="BL5" s="357"/>
      <c r="BM5" s="357"/>
      <c r="BN5" s="357"/>
      <c r="BO5" s="357"/>
      <c r="BP5" s="357"/>
      <c r="BQ5" s="357"/>
      <c r="BR5" s="357">
        <v>15</v>
      </c>
      <c r="BS5" s="357">
        <v>180</v>
      </c>
      <c r="BT5" s="357">
        <v>180</v>
      </c>
      <c r="BU5" s="357"/>
      <c r="BV5" s="357"/>
      <c r="BW5" s="357"/>
      <c r="BX5" s="272">
        <f t="shared" si="1"/>
        <v>60</v>
      </c>
      <c r="BY5" s="272">
        <f t="shared" si="1"/>
        <v>720</v>
      </c>
      <c r="BZ5" s="272">
        <f t="shared" si="2"/>
        <v>720</v>
      </c>
      <c r="CA5" s="273"/>
      <c r="CB5" s="273"/>
      <c r="CC5" s="273"/>
      <c r="CD5" s="273"/>
      <c r="CE5" s="273"/>
      <c r="CF5" s="273"/>
      <c r="CG5" s="273"/>
      <c r="CH5" s="273"/>
      <c r="CI5" s="273"/>
      <c r="CJ5" s="273">
        <v>15</v>
      </c>
      <c r="CK5" s="273">
        <v>180</v>
      </c>
      <c r="CL5" s="273">
        <v>180</v>
      </c>
      <c r="CM5" s="273"/>
      <c r="CN5" s="273"/>
      <c r="CO5" s="273"/>
      <c r="CP5" s="273"/>
      <c r="CQ5" s="273"/>
      <c r="CR5" s="273"/>
      <c r="CS5" s="273"/>
      <c r="CT5" s="273"/>
      <c r="CU5" s="273"/>
      <c r="CV5" s="273">
        <v>20</v>
      </c>
      <c r="CW5" s="273">
        <v>250</v>
      </c>
      <c r="CX5" s="273">
        <v>224.8</v>
      </c>
      <c r="CY5" s="273"/>
      <c r="CZ5" s="273"/>
      <c r="DA5" s="273"/>
      <c r="DB5" s="273"/>
      <c r="DC5" s="273"/>
      <c r="DD5" s="273"/>
      <c r="DE5" s="273"/>
      <c r="DF5" s="271"/>
      <c r="DG5" s="271"/>
      <c r="DH5" s="272">
        <f t="shared" ref="DH5:DJ68" si="3">BX5+CA5+CD5+CG5+CJ5+CM5+CP5+CS5+CV5+CY5+DB5+DE5</f>
        <v>95</v>
      </c>
      <c r="DI5" s="272">
        <f t="shared" si="3"/>
        <v>1150</v>
      </c>
      <c r="DJ5" s="324">
        <f t="shared" si="3"/>
        <v>1124.8</v>
      </c>
      <c r="DK5" s="325"/>
      <c r="DL5" s="325"/>
    </row>
    <row r="6" spans="1:116" s="275" customFormat="1" ht="20.100000000000001" customHeight="1" x14ac:dyDescent="0.6">
      <c r="A6" s="234">
        <v>3</v>
      </c>
      <c r="B6" s="103" t="s">
        <v>403</v>
      </c>
      <c r="C6" s="103" t="s">
        <v>404</v>
      </c>
      <c r="D6" s="103" t="s">
        <v>405</v>
      </c>
      <c r="E6" s="148" t="s">
        <v>406</v>
      </c>
      <c r="F6" s="179" t="s">
        <v>400</v>
      </c>
      <c r="G6" s="322"/>
      <c r="H6" s="323"/>
      <c r="I6" s="322" t="s">
        <v>947</v>
      </c>
      <c r="J6" s="322" t="s">
        <v>945</v>
      </c>
      <c r="K6" s="241"/>
      <c r="L6" s="241"/>
      <c r="M6" s="271"/>
      <c r="N6" s="271"/>
      <c r="O6" s="271"/>
      <c r="P6" s="271"/>
      <c r="Q6" s="271"/>
      <c r="R6" s="271"/>
      <c r="S6" s="271">
        <v>15</v>
      </c>
      <c r="T6" s="271">
        <v>180</v>
      </c>
      <c r="U6" s="271">
        <v>180</v>
      </c>
      <c r="V6" s="271"/>
      <c r="W6" s="271"/>
      <c r="X6" s="271"/>
      <c r="Y6" s="271"/>
      <c r="Z6" s="271"/>
      <c r="AA6" s="271"/>
      <c r="AB6" s="271"/>
      <c r="AC6" s="271"/>
      <c r="AD6" s="271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2">
        <f t="shared" si="0"/>
        <v>15</v>
      </c>
      <c r="AR6" s="272">
        <f t="shared" si="0"/>
        <v>180</v>
      </c>
      <c r="AS6" s="272">
        <f t="shared" si="0"/>
        <v>180</v>
      </c>
      <c r="AT6" s="357"/>
      <c r="AU6" s="357"/>
      <c r="AV6" s="357"/>
      <c r="AW6" s="357"/>
      <c r="AX6" s="357"/>
      <c r="AY6" s="357"/>
      <c r="AZ6" s="357">
        <v>15</v>
      </c>
      <c r="BA6" s="357">
        <v>180</v>
      </c>
      <c r="BB6" s="357">
        <v>180</v>
      </c>
      <c r="BC6" s="357"/>
      <c r="BD6" s="357"/>
      <c r="BE6" s="357"/>
      <c r="BF6" s="357"/>
      <c r="BG6" s="357"/>
      <c r="BH6" s="357"/>
      <c r="BI6" s="357"/>
      <c r="BJ6" s="357"/>
      <c r="BK6" s="357"/>
      <c r="BL6" s="357"/>
      <c r="BM6" s="357"/>
      <c r="BN6" s="357"/>
      <c r="BO6" s="357"/>
      <c r="BP6" s="357"/>
      <c r="BQ6" s="357"/>
      <c r="BR6" s="357"/>
      <c r="BS6" s="357"/>
      <c r="BT6" s="357"/>
      <c r="BU6" s="357"/>
      <c r="BV6" s="357"/>
      <c r="BW6" s="357"/>
      <c r="BX6" s="272">
        <f t="shared" si="1"/>
        <v>30</v>
      </c>
      <c r="BY6" s="272">
        <f t="shared" si="1"/>
        <v>360</v>
      </c>
      <c r="BZ6" s="272">
        <f t="shared" si="2"/>
        <v>360</v>
      </c>
      <c r="CA6" s="273"/>
      <c r="CB6" s="273"/>
      <c r="CC6" s="273"/>
      <c r="CD6" s="273"/>
      <c r="CE6" s="273"/>
      <c r="CF6" s="273"/>
      <c r="CG6" s="273">
        <v>15</v>
      </c>
      <c r="CH6" s="273">
        <v>180</v>
      </c>
      <c r="CI6" s="273">
        <v>180</v>
      </c>
      <c r="CJ6" s="273"/>
      <c r="CK6" s="273"/>
      <c r="CL6" s="273"/>
      <c r="CM6" s="273"/>
      <c r="CN6" s="273"/>
      <c r="CO6" s="273"/>
      <c r="CP6" s="273"/>
      <c r="CQ6" s="273"/>
      <c r="CR6" s="273"/>
      <c r="CS6" s="273">
        <v>15</v>
      </c>
      <c r="CT6" s="273">
        <v>180</v>
      </c>
      <c r="CU6" s="273">
        <v>180</v>
      </c>
      <c r="CV6" s="273">
        <v>40</v>
      </c>
      <c r="CW6" s="273">
        <v>500</v>
      </c>
      <c r="CX6" s="273">
        <v>449.6</v>
      </c>
      <c r="CY6" s="273"/>
      <c r="CZ6" s="273"/>
      <c r="DA6" s="273"/>
      <c r="DB6" s="273"/>
      <c r="DC6" s="273"/>
      <c r="DD6" s="273"/>
      <c r="DE6" s="273"/>
      <c r="DF6" s="271"/>
      <c r="DG6" s="271"/>
      <c r="DH6" s="272">
        <f t="shared" si="3"/>
        <v>100</v>
      </c>
      <c r="DI6" s="272">
        <f t="shared" si="3"/>
        <v>1220</v>
      </c>
      <c r="DJ6" s="324">
        <f t="shared" si="3"/>
        <v>1169.5999999999999</v>
      </c>
      <c r="DK6" s="325"/>
      <c r="DL6" s="325"/>
    </row>
    <row r="7" spans="1:116" s="275" customFormat="1" ht="20.100000000000001" customHeight="1" x14ac:dyDescent="0.6">
      <c r="A7" s="234">
        <v>4</v>
      </c>
      <c r="B7" s="103" t="s">
        <v>407</v>
      </c>
      <c r="C7" s="103" t="s">
        <v>408</v>
      </c>
      <c r="D7" s="103" t="s">
        <v>90</v>
      </c>
      <c r="E7" s="148" t="s">
        <v>91</v>
      </c>
      <c r="F7" s="179" t="s">
        <v>400</v>
      </c>
      <c r="G7" s="322"/>
      <c r="H7" s="323"/>
      <c r="I7" s="322" t="s">
        <v>948</v>
      </c>
      <c r="J7" s="322" t="s">
        <v>945</v>
      </c>
      <c r="K7" s="241"/>
      <c r="L7" s="241"/>
      <c r="M7" s="271"/>
      <c r="N7" s="271"/>
      <c r="O7" s="271"/>
      <c r="P7" s="271"/>
      <c r="Q7" s="271"/>
      <c r="R7" s="271"/>
      <c r="S7" s="271"/>
      <c r="T7" s="271"/>
      <c r="U7" s="271"/>
      <c r="V7" s="271">
        <v>15</v>
      </c>
      <c r="W7" s="271">
        <v>180</v>
      </c>
      <c r="X7" s="271">
        <v>180</v>
      </c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>
        <v>15</v>
      </c>
      <c r="AL7" s="271">
        <v>180</v>
      </c>
      <c r="AM7" s="271">
        <v>180</v>
      </c>
      <c r="AN7" s="271"/>
      <c r="AO7" s="271"/>
      <c r="AP7" s="271"/>
      <c r="AQ7" s="272">
        <f t="shared" si="0"/>
        <v>30</v>
      </c>
      <c r="AR7" s="272">
        <f t="shared" si="0"/>
        <v>360</v>
      </c>
      <c r="AS7" s="272">
        <f t="shared" si="0"/>
        <v>360</v>
      </c>
      <c r="AT7" s="357"/>
      <c r="AU7" s="357"/>
      <c r="AV7" s="357"/>
      <c r="AW7" s="357"/>
      <c r="AX7" s="357"/>
      <c r="AY7" s="357"/>
      <c r="AZ7" s="357"/>
      <c r="BA7" s="357"/>
      <c r="BB7" s="357"/>
      <c r="BC7" s="357"/>
      <c r="BD7" s="357"/>
      <c r="BE7" s="357"/>
      <c r="BF7" s="357"/>
      <c r="BG7" s="357"/>
      <c r="BH7" s="357"/>
      <c r="BI7" s="357">
        <v>15</v>
      </c>
      <c r="BJ7" s="357">
        <v>180</v>
      </c>
      <c r="BK7" s="357">
        <v>180</v>
      </c>
      <c r="BL7" s="357"/>
      <c r="BM7" s="357"/>
      <c r="BN7" s="357"/>
      <c r="BO7" s="357">
        <v>15</v>
      </c>
      <c r="BP7" s="357">
        <v>180</v>
      </c>
      <c r="BQ7" s="357">
        <v>180</v>
      </c>
      <c r="BR7" s="357"/>
      <c r="BS7" s="357"/>
      <c r="BT7" s="357"/>
      <c r="BU7" s="357"/>
      <c r="BV7" s="357"/>
      <c r="BW7" s="357"/>
      <c r="BX7" s="272">
        <f t="shared" si="1"/>
        <v>60</v>
      </c>
      <c r="BY7" s="272">
        <f t="shared" si="1"/>
        <v>720</v>
      </c>
      <c r="BZ7" s="272">
        <f t="shared" si="2"/>
        <v>720</v>
      </c>
      <c r="CA7" s="273"/>
      <c r="CB7" s="273"/>
      <c r="CC7" s="273"/>
      <c r="CD7" s="273"/>
      <c r="CE7" s="273"/>
      <c r="CF7" s="273"/>
      <c r="CG7" s="273"/>
      <c r="CH7" s="273"/>
      <c r="CI7" s="273"/>
      <c r="CJ7" s="273"/>
      <c r="CK7" s="273"/>
      <c r="CL7" s="273"/>
      <c r="CM7" s="273"/>
      <c r="CN7" s="273"/>
      <c r="CO7" s="273"/>
      <c r="CP7" s="273"/>
      <c r="CQ7" s="273"/>
      <c r="CR7" s="273"/>
      <c r="CS7" s="273"/>
      <c r="CT7" s="273"/>
      <c r="CU7" s="273"/>
      <c r="CV7" s="273">
        <v>25</v>
      </c>
      <c r="CW7" s="273">
        <v>300</v>
      </c>
      <c r="CX7" s="273">
        <v>300</v>
      </c>
      <c r="CY7" s="273"/>
      <c r="CZ7" s="273"/>
      <c r="DA7" s="273"/>
      <c r="DB7" s="273"/>
      <c r="DC7" s="273"/>
      <c r="DD7" s="273"/>
      <c r="DE7" s="273"/>
      <c r="DF7" s="271"/>
      <c r="DG7" s="271"/>
      <c r="DH7" s="272">
        <f t="shared" si="3"/>
        <v>85</v>
      </c>
      <c r="DI7" s="272">
        <f t="shared" si="3"/>
        <v>1020</v>
      </c>
      <c r="DJ7" s="324">
        <f t="shared" si="3"/>
        <v>1020</v>
      </c>
      <c r="DK7" s="325"/>
      <c r="DL7" s="325"/>
    </row>
    <row r="8" spans="1:116" s="275" customFormat="1" ht="20.100000000000001" customHeight="1" x14ac:dyDescent="0.6">
      <c r="A8" s="234">
        <v>5</v>
      </c>
      <c r="B8" s="103" t="s">
        <v>409</v>
      </c>
      <c r="C8" s="103" t="s">
        <v>410</v>
      </c>
      <c r="D8" s="103" t="s">
        <v>90</v>
      </c>
      <c r="E8" s="148" t="s">
        <v>91</v>
      </c>
      <c r="F8" s="179" t="s">
        <v>400</v>
      </c>
      <c r="G8" s="322"/>
      <c r="H8" s="323"/>
      <c r="I8" s="322" t="s">
        <v>949</v>
      </c>
      <c r="J8" s="322" t="s">
        <v>945</v>
      </c>
      <c r="K8" s="241"/>
      <c r="L8" s="241"/>
      <c r="M8" s="271"/>
      <c r="N8" s="271"/>
      <c r="O8" s="271"/>
      <c r="P8" s="271"/>
      <c r="Q8" s="271"/>
      <c r="R8" s="271"/>
      <c r="S8" s="271"/>
      <c r="T8" s="271"/>
      <c r="U8" s="271"/>
      <c r="V8" s="271">
        <v>15</v>
      </c>
      <c r="W8" s="271">
        <v>180</v>
      </c>
      <c r="X8" s="271">
        <v>180</v>
      </c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2">
        <f t="shared" si="0"/>
        <v>15</v>
      </c>
      <c r="AR8" s="272">
        <f t="shared" si="0"/>
        <v>180</v>
      </c>
      <c r="AS8" s="272">
        <f t="shared" si="0"/>
        <v>180</v>
      </c>
      <c r="AT8" s="357"/>
      <c r="AU8" s="357"/>
      <c r="AV8" s="357"/>
      <c r="AW8" s="357"/>
      <c r="AX8" s="357"/>
      <c r="AY8" s="357"/>
      <c r="AZ8" s="357"/>
      <c r="BA8" s="357"/>
      <c r="BB8" s="357"/>
      <c r="BC8" s="357"/>
      <c r="BD8" s="357"/>
      <c r="BE8" s="357"/>
      <c r="BF8" s="357"/>
      <c r="BG8" s="357"/>
      <c r="BH8" s="357"/>
      <c r="BI8" s="357"/>
      <c r="BJ8" s="357"/>
      <c r="BK8" s="357"/>
      <c r="BL8" s="357"/>
      <c r="BM8" s="357"/>
      <c r="BN8" s="357"/>
      <c r="BO8" s="357">
        <v>15</v>
      </c>
      <c r="BP8" s="357">
        <v>180</v>
      </c>
      <c r="BQ8" s="357">
        <v>180</v>
      </c>
      <c r="BR8" s="357"/>
      <c r="BS8" s="357"/>
      <c r="BT8" s="357"/>
      <c r="BU8" s="357"/>
      <c r="BV8" s="357"/>
      <c r="BW8" s="357"/>
      <c r="BX8" s="272">
        <f t="shared" si="1"/>
        <v>30</v>
      </c>
      <c r="BY8" s="272">
        <f t="shared" si="1"/>
        <v>360</v>
      </c>
      <c r="BZ8" s="272">
        <f t="shared" si="2"/>
        <v>360</v>
      </c>
      <c r="CA8" s="273"/>
      <c r="CB8" s="273"/>
      <c r="CC8" s="273"/>
      <c r="CD8" s="273"/>
      <c r="CE8" s="273"/>
      <c r="CF8" s="273"/>
      <c r="CG8" s="273"/>
      <c r="CH8" s="273"/>
      <c r="CI8" s="273"/>
      <c r="CJ8" s="273">
        <v>15</v>
      </c>
      <c r="CK8" s="273">
        <v>180</v>
      </c>
      <c r="CL8" s="273">
        <v>180</v>
      </c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  <c r="CX8" s="273"/>
      <c r="CY8" s="273"/>
      <c r="CZ8" s="273"/>
      <c r="DA8" s="273"/>
      <c r="DB8" s="273"/>
      <c r="DC8" s="273"/>
      <c r="DD8" s="273"/>
      <c r="DE8" s="273"/>
      <c r="DF8" s="271"/>
      <c r="DG8" s="271"/>
      <c r="DH8" s="272">
        <f t="shared" si="3"/>
        <v>45</v>
      </c>
      <c r="DI8" s="272">
        <f t="shared" si="3"/>
        <v>540</v>
      </c>
      <c r="DJ8" s="324">
        <f t="shared" si="3"/>
        <v>540</v>
      </c>
      <c r="DK8" s="325"/>
      <c r="DL8" s="325"/>
    </row>
    <row r="9" spans="1:116" s="275" customFormat="1" ht="20.100000000000001" customHeight="1" x14ac:dyDescent="0.6">
      <c r="A9" s="234">
        <v>6</v>
      </c>
      <c r="B9" s="103" t="s">
        <v>411</v>
      </c>
      <c r="C9" s="103" t="s">
        <v>412</v>
      </c>
      <c r="D9" s="103" t="s">
        <v>90</v>
      </c>
      <c r="E9" s="148" t="s">
        <v>91</v>
      </c>
      <c r="F9" s="179" t="s">
        <v>400</v>
      </c>
      <c r="G9" s="322"/>
      <c r="H9" s="323"/>
      <c r="I9" s="326" t="s">
        <v>950</v>
      </c>
      <c r="J9" s="322" t="s">
        <v>945</v>
      </c>
      <c r="K9" s="241"/>
      <c r="L9" s="241"/>
      <c r="M9" s="271"/>
      <c r="N9" s="271"/>
      <c r="O9" s="271"/>
      <c r="P9" s="271"/>
      <c r="Q9" s="271"/>
      <c r="R9" s="271"/>
      <c r="S9" s="271"/>
      <c r="T9" s="271"/>
      <c r="U9" s="271"/>
      <c r="V9" s="271">
        <v>15</v>
      </c>
      <c r="W9" s="271">
        <v>180</v>
      </c>
      <c r="X9" s="271">
        <v>180</v>
      </c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2">
        <f t="shared" si="0"/>
        <v>15</v>
      </c>
      <c r="AR9" s="272">
        <f t="shared" si="0"/>
        <v>180</v>
      </c>
      <c r="AS9" s="272">
        <f t="shared" si="0"/>
        <v>180</v>
      </c>
      <c r="AT9" s="357"/>
      <c r="AU9" s="357"/>
      <c r="AV9" s="357"/>
      <c r="AW9" s="357"/>
      <c r="AX9" s="357"/>
      <c r="AY9" s="357"/>
      <c r="AZ9" s="357"/>
      <c r="BA9" s="357"/>
      <c r="BB9" s="357"/>
      <c r="BC9" s="357"/>
      <c r="BD9" s="357"/>
      <c r="BE9" s="357"/>
      <c r="BF9" s="357"/>
      <c r="BG9" s="357"/>
      <c r="BH9" s="357"/>
      <c r="BI9" s="357"/>
      <c r="BJ9" s="357"/>
      <c r="BK9" s="357"/>
      <c r="BL9" s="357"/>
      <c r="BM9" s="357"/>
      <c r="BN9" s="357"/>
      <c r="BO9" s="357">
        <v>15</v>
      </c>
      <c r="BP9" s="357">
        <v>180</v>
      </c>
      <c r="BQ9" s="357">
        <v>180</v>
      </c>
      <c r="BR9" s="357"/>
      <c r="BS9" s="357"/>
      <c r="BT9" s="357"/>
      <c r="BU9" s="357"/>
      <c r="BV9" s="357"/>
      <c r="BW9" s="357"/>
      <c r="BX9" s="272">
        <f t="shared" si="1"/>
        <v>30</v>
      </c>
      <c r="BY9" s="272">
        <f t="shared" si="1"/>
        <v>360</v>
      </c>
      <c r="BZ9" s="272">
        <f t="shared" si="2"/>
        <v>360</v>
      </c>
      <c r="CA9" s="273"/>
      <c r="CB9" s="273"/>
      <c r="CC9" s="273"/>
      <c r="CD9" s="273"/>
      <c r="CE9" s="273"/>
      <c r="CF9" s="273"/>
      <c r="CG9" s="273"/>
      <c r="CH9" s="273"/>
      <c r="CI9" s="273"/>
      <c r="CJ9" s="273"/>
      <c r="CK9" s="273"/>
      <c r="CL9" s="273"/>
      <c r="CM9" s="273">
        <v>15</v>
      </c>
      <c r="CN9" s="273">
        <v>180</v>
      </c>
      <c r="CO9" s="273">
        <v>180</v>
      </c>
      <c r="CP9" s="273">
        <v>15</v>
      </c>
      <c r="CQ9" s="273">
        <v>180</v>
      </c>
      <c r="CR9" s="273">
        <v>180</v>
      </c>
      <c r="CS9" s="273"/>
      <c r="CT9" s="273"/>
      <c r="CU9" s="273"/>
      <c r="CV9" s="273">
        <v>15</v>
      </c>
      <c r="CW9" s="273">
        <v>180</v>
      </c>
      <c r="CX9" s="273">
        <v>180</v>
      </c>
      <c r="CY9" s="273"/>
      <c r="CZ9" s="273"/>
      <c r="DA9" s="273"/>
      <c r="DB9" s="273"/>
      <c r="DC9" s="273"/>
      <c r="DD9" s="273"/>
      <c r="DE9" s="273"/>
      <c r="DF9" s="271"/>
      <c r="DG9" s="271"/>
      <c r="DH9" s="272">
        <f t="shared" si="3"/>
        <v>75</v>
      </c>
      <c r="DI9" s="272">
        <f t="shared" si="3"/>
        <v>900</v>
      </c>
      <c r="DJ9" s="324">
        <f t="shared" si="3"/>
        <v>900</v>
      </c>
      <c r="DK9" s="325"/>
      <c r="DL9" s="325"/>
    </row>
    <row r="10" spans="1:116" s="275" customFormat="1" ht="20.100000000000001" customHeight="1" x14ac:dyDescent="0.6">
      <c r="A10" s="234">
        <v>7</v>
      </c>
      <c r="B10" s="103" t="s">
        <v>413</v>
      </c>
      <c r="C10" s="103" t="s">
        <v>414</v>
      </c>
      <c r="D10" s="103" t="s">
        <v>90</v>
      </c>
      <c r="E10" s="148" t="s">
        <v>91</v>
      </c>
      <c r="F10" s="179" t="s">
        <v>400</v>
      </c>
      <c r="G10" s="322"/>
      <c r="H10" s="323"/>
      <c r="I10" s="326" t="s">
        <v>951</v>
      </c>
      <c r="J10" s="322" t="s">
        <v>945</v>
      </c>
      <c r="K10" s="241"/>
      <c r="L10" s="24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2">
        <f t="shared" si="0"/>
        <v>0</v>
      </c>
      <c r="AR10" s="272">
        <f t="shared" si="0"/>
        <v>0</v>
      </c>
      <c r="AS10" s="272">
        <f t="shared" si="0"/>
        <v>0</v>
      </c>
      <c r="AT10" s="357"/>
      <c r="AU10" s="357"/>
      <c r="AV10" s="357"/>
      <c r="AW10" s="357"/>
      <c r="AX10" s="357"/>
      <c r="AY10" s="357"/>
      <c r="AZ10" s="357"/>
      <c r="BA10" s="357"/>
      <c r="BB10" s="357"/>
      <c r="BC10" s="357"/>
      <c r="BD10" s="357"/>
      <c r="BE10" s="357"/>
      <c r="BF10" s="357"/>
      <c r="BG10" s="357"/>
      <c r="BH10" s="357"/>
      <c r="BI10" s="357"/>
      <c r="BJ10" s="357"/>
      <c r="BK10" s="357"/>
      <c r="BL10" s="357"/>
      <c r="BM10" s="357"/>
      <c r="BN10" s="357"/>
      <c r="BO10" s="357"/>
      <c r="BP10" s="357"/>
      <c r="BQ10" s="357"/>
      <c r="BR10" s="357"/>
      <c r="BS10" s="357"/>
      <c r="BT10" s="357"/>
      <c r="BU10" s="357"/>
      <c r="BV10" s="357"/>
      <c r="BW10" s="357"/>
      <c r="BX10" s="272">
        <f t="shared" si="1"/>
        <v>0</v>
      </c>
      <c r="BY10" s="272">
        <f t="shared" si="1"/>
        <v>0</v>
      </c>
      <c r="BZ10" s="272">
        <f t="shared" si="2"/>
        <v>0</v>
      </c>
      <c r="CA10" s="273"/>
      <c r="CB10" s="273"/>
      <c r="CC10" s="273"/>
      <c r="CD10" s="273"/>
      <c r="CE10" s="273"/>
      <c r="CF10" s="273"/>
      <c r="CG10" s="273"/>
      <c r="CH10" s="273"/>
      <c r="CI10" s="273"/>
      <c r="CJ10" s="273"/>
      <c r="CK10" s="273"/>
      <c r="CL10" s="273"/>
      <c r="CM10" s="273"/>
      <c r="CN10" s="273"/>
      <c r="CO10" s="273"/>
      <c r="CP10" s="273"/>
      <c r="CQ10" s="273"/>
      <c r="CR10" s="273"/>
      <c r="CS10" s="273"/>
      <c r="CT10" s="273"/>
      <c r="CU10" s="273"/>
      <c r="CV10" s="273"/>
      <c r="CW10" s="273"/>
      <c r="CX10" s="273"/>
      <c r="CY10" s="273"/>
      <c r="CZ10" s="273"/>
      <c r="DA10" s="273"/>
      <c r="DB10" s="273"/>
      <c r="DC10" s="273"/>
      <c r="DD10" s="273"/>
      <c r="DE10" s="273"/>
      <c r="DF10" s="271"/>
      <c r="DG10" s="271"/>
      <c r="DH10" s="272">
        <f t="shared" si="3"/>
        <v>0</v>
      </c>
      <c r="DI10" s="272">
        <f t="shared" si="3"/>
        <v>0</v>
      </c>
      <c r="DJ10" s="324">
        <f t="shared" si="3"/>
        <v>0</v>
      </c>
      <c r="DK10" s="325"/>
      <c r="DL10" s="325"/>
    </row>
    <row r="11" spans="1:116" s="275" customFormat="1" ht="20.100000000000001" customHeight="1" x14ac:dyDescent="0.6">
      <c r="A11" s="234">
        <v>8</v>
      </c>
      <c r="B11" s="103" t="s">
        <v>415</v>
      </c>
      <c r="C11" s="103" t="s">
        <v>416</v>
      </c>
      <c r="D11" s="103" t="s">
        <v>90</v>
      </c>
      <c r="E11" s="148" t="s">
        <v>91</v>
      </c>
      <c r="F11" s="179" t="s">
        <v>400</v>
      </c>
      <c r="G11" s="322" t="s">
        <v>415</v>
      </c>
      <c r="H11" s="322" t="s">
        <v>416</v>
      </c>
      <c r="I11" s="322" t="s">
        <v>952</v>
      </c>
      <c r="J11" s="322" t="s">
        <v>945</v>
      </c>
      <c r="K11" s="241"/>
      <c r="L11" s="24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>
        <v>15</v>
      </c>
      <c r="AC11" s="271">
        <v>180</v>
      </c>
      <c r="AD11" s="271">
        <v>180</v>
      </c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2">
        <f t="shared" si="0"/>
        <v>15</v>
      </c>
      <c r="AR11" s="272">
        <f t="shared" si="0"/>
        <v>180</v>
      </c>
      <c r="AS11" s="272">
        <f t="shared" si="0"/>
        <v>180</v>
      </c>
      <c r="AT11" s="356"/>
      <c r="AU11" s="356"/>
      <c r="AV11" s="356"/>
      <c r="AW11" s="356"/>
      <c r="AX11" s="356"/>
      <c r="AY11" s="356"/>
      <c r="AZ11" s="356"/>
      <c r="BA11" s="356"/>
      <c r="BB11" s="356"/>
      <c r="BC11" s="356">
        <v>15</v>
      </c>
      <c r="BD11" s="356">
        <v>180</v>
      </c>
      <c r="BE11" s="356">
        <v>180</v>
      </c>
      <c r="BF11" s="356"/>
      <c r="BG11" s="356"/>
      <c r="BH11" s="356"/>
      <c r="BI11" s="356"/>
      <c r="BJ11" s="356"/>
      <c r="BK11" s="356"/>
      <c r="BL11" s="356"/>
      <c r="BM11" s="356"/>
      <c r="BN11" s="356"/>
      <c r="BO11" s="356"/>
      <c r="BP11" s="356"/>
      <c r="BQ11" s="356"/>
      <c r="BR11" s="356"/>
      <c r="BS11" s="356"/>
      <c r="BT11" s="356"/>
      <c r="BU11" s="356">
        <v>15</v>
      </c>
      <c r="BV11" s="356">
        <v>180</v>
      </c>
      <c r="BW11" s="356">
        <v>180</v>
      </c>
      <c r="BX11" s="272">
        <f t="shared" si="1"/>
        <v>45</v>
      </c>
      <c r="BY11" s="272">
        <f t="shared" si="1"/>
        <v>540</v>
      </c>
      <c r="BZ11" s="272">
        <f t="shared" si="2"/>
        <v>540</v>
      </c>
      <c r="CA11" s="273"/>
      <c r="CB11" s="273"/>
      <c r="CC11" s="273"/>
      <c r="CD11" s="273"/>
      <c r="CE11" s="273"/>
      <c r="CF11" s="273"/>
      <c r="CG11" s="273"/>
      <c r="CH11" s="273"/>
      <c r="CI11" s="273"/>
      <c r="CJ11" s="273"/>
      <c r="CK11" s="273"/>
      <c r="CL11" s="273"/>
      <c r="CM11" s="273"/>
      <c r="CN11" s="273"/>
      <c r="CO11" s="273"/>
      <c r="CP11" s="273"/>
      <c r="CQ11" s="273"/>
      <c r="CR11" s="273"/>
      <c r="CS11" s="273">
        <v>30</v>
      </c>
      <c r="CT11" s="273">
        <v>360</v>
      </c>
      <c r="CU11" s="273">
        <v>360</v>
      </c>
      <c r="CV11" s="273"/>
      <c r="CW11" s="273"/>
      <c r="CX11" s="273"/>
      <c r="CY11" s="273"/>
      <c r="CZ11" s="273"/>
      <c r="DA11" s="273"/>
      <c r="DB11" s="273"/>
      <c r="DC11" s="273"/>
      <c r="DD11" s="273"/>
      <c r="DE11" s="273"/>
      <c r="DF11" s="271"/>
      <c r="DG11" s="271"/>
      <c r="DH11" s="272">
        <f t="shared" si="3"/>
        <v>75</v>
      </c>
      <c r="DI11" s="272">
        <f t="shared" si="3"/>
        <v>900</v>
      </c>
      <c r="DJ11" s="324">
        <f t="shared" si="3"/>
        <v>900</v>
      </c>
      <c r="DK11" s="325"/>
      <c r="DL11" s="325"/>
    </row>
    <row r="12" spans="1:116" s="275" customFormat="1" ht="20.100000000000001" customHeight="1" x14ac:dyDescent="0.6">
      <c r="A12" s="234">
        <v>9</v>
      </c>
      <c r="B12" s="103" t="s">
        <v>417</v>
      </c>
      <c r="C12" s="103" t="s">
        <v>418</v>
      </c>
      <c r="D12" s="103" t="s">
        <v>90</v>
      </c>
      <c r="E12" s="148" t="s">
        <v>91</v>
      </c>
      <c r="F12" s="179" t="s">
        <v>400</v>
      </c>
      <c r="G12" s="322"/>
      <c r="H12" s="323"/>
      <c r="I12" s="327" t="s">
        <v>953</v>
      </c>
      <c r="J12" s="322" t="s">
        <v>945</v>
      </c>
      <c r="K12" s="241"/>
      <c r="L12" s="24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>
        <v>15</v>
      </c>
      <c r="AC12" s="271">
        <v>180</v>
      </c>
      <c r="AD12" s="271">
        <v>180</v>
      </c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2">
        <f t="shared" si="0"/>
        <v>15</v>
      </c>
      <c r="AR12" s="272">
        <f t="shared" si="0"/>
        <v>180</v>
      </c>
      <c r="AS12" s="272">
        <f t="shared" si="0"/>
        <v>180</v>
      </c>
      <c r="AT12" s="357"/>
      <c r="AU12" s="357"/>
      <c r="AV12" s="357"/>
      <c r="AW12" s="357"/>
      <c r="AX12" s="357"/>
      <c r="AY12" s="357"/>
      <c r="AZ12" s="357"/>
      <c r="BA12" s="357"/>
      <c r="BB12" s="357"/>
      <c r="BC12" s="357">
        <v>15</v>
      </c>
      <c r="BD12" s="357">
        <v>180</v>
      </c>
      <c r="BE12" s="357">
        <v>180</v>
      </c>
      <c r="BF12" s="357"/>
      <c r="BG12" s="357"/>
      <c r="BH12" s="357"/>
      <c r="BI12" s="357"/>
      <c r="BJ12" s="357"/>
      <c r="BK12" s="357"/>
      <c r="BL12" s="357"/>
      <c r="BM12" s="357"/>
      <c r="BN12" s="357"/>
      <c r="BO12" s="357"/>
      <c r="BP12" s="357"/>
      <c r="BQ12" s="357"/>
      <c r="BR12" s="357"/>
      <c r="BS12" s="357"/>
      <c r="BT12" s="357"/>
      <c r="BU12" s="357">
        <v>15</v>
      </c>
      <c r="BV12" s="357">
        <v>180</v>
      </c>
      <c r="BW12" s="357">
        <v>180</v>
      </c>
      <c r="BX12" s="272">
        <f t="shared" si="1"/>
        <v>45</v>
      </c>
      <c r="BY12" s="272">
        <f t="shared" si="1"/>
        <v>540</v>
      </c>
      <c r="BZ12" s="272">
        <f t="shared" si="2"/>
        <v>540</v>
      </c>
      <c r="CA12" s="273"/>
      <c r="CB12" s="273"/>
      <c r="CC12" s="273"/>
      <c r="CD12" s="273"/>
      <c r="CE12" s="273"/>
      <c r="CF12" s="273"/>
      <c r="CG12" s="273"/>
      <c r="CH12" s="273"/>
      <c r="CI12" s="273"/>
      <c r="CJ12" s="273"/>
      <c r="CK12" s="273"/>
      <c r="CL12" s="273"/>
      <c r="CM12" s="273"/>
      <c r="CN12" s="273"/>
      <c r="CO12" s="273"/>
      <c r="CP12" s="273"/>
      <c r="CQ12" s="273"/>
      <c r="CR12" s="273"/>
      <c r="CS12" s="273">
        <v>30</v>
      </c>
      <c r="CT12" s="273">
        <v>360</v>
      </c>
      <c r="CU12" s="273">
        <v>360</v>
      </c>
      <c r="CV12" s="273"/>
      <c r="CW12" s="273"/>
      <c r="CX12" s="273"/>
      <c r="CY12" s="273"/>
      <c r="CZ12" s="273"/>
      <c r="DA12" s="273"/>
      <c r="DB12" s="273"/>
      <c r="DC12" s="273"/>
      <c r="DD12" s="273"/>
      <c r="DE12" s="273"/>
      <c r="DF12" s="271"/>
      <c r="DG12" s="271"/>
      <c r="DH12" s="272">
        <f t="shared" si="3"/>
        <v>75</v>
      </c>
      <c r="DI12" s="272">
        <f t="shared" si="3"/>
        <v>900</v>
      </c>
      <c r="DJ12" s="324">
        <f t="shared" si="3"/>
        <v>900</v>
      </c>
      <c r="DK12" s="325"/>
      <c r="DL12" s="325"/>
    </row>
    <row r="13" spans="1:116" s="275" customFormat="1" ht="20.100000000000001" customHeight="1" x14ac:dyDescent="0.6">
      <c r="A13" s="234">
        <v>10</v>
      </c>
      <c r="B13" s="103" t="s">
        <v>419</v>
      </c>
      <c r="C13" s="103" t="s">
        <v>420</v>
      </c>
      <c r="D13" s="103" t="s">
        <v>90</v>
      </c>
      <c r="E13" s="148" t="s">
        <v>91</v>
      </c>
      <c r="F13" s="179" t="s">
        <v>400</v>
      </c>
      <c r="G13" s="322"/>
      <c r="H13" s="323"/>
      <c r="I13" s="323" t="s">
        <v>954</v>
      </c>
      <c r="J13" s="322" t="s">
        <v>945</v>
      </c>
      <c r="K13" s="241"/>
      <c r="L13" s="24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>
        <v>15</v>
      </c>
      <c r="AC13" s="271">
        <v>180</v>
      </c>
      <c r="AD13" s="271">
        <v>180</v>
      </c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2">
        <f t="shared" si="0"/>
        <v>15</v>
      </c>
      <c r="AR13" s="272">
        <f t="shared" si="0"/>
        <v>180</v>
      </c>
      <c r="AS13" s="272">
        <f t="shared" si="0"/>
        <v>180</v>
      </c>
      <c r="AT13" s="357"/>
      <c r="AU13" s="357"/>
      <c r="AV13" s="357"/>
      <c r="AW13" s="357"/>
      <c r="AX13" s="357"/>
      <c r="AY13" s="357"/>
      <c r="AZ13" s="357"/>
      <c r="BA13" s="357"/>
      <c r="BB13" s="357"/>
      <c r="BC13" s="357"/>
      <c r="BD13" s="357"/>
      <c r="BE13" s="357"/>
      <c r="BF13" s="357"/>
      <c r="BG13" s="357"/>
      <c r="BH13" s="357"/>
      <c r="BI13" s="357"/>
      <c r="BJ13" s="357"/>
      <c r="BK13" s="357"/>
      <c r="BL13" s="357"/>
      <c r="BM13" s="357"/>
      <c r="BN13" s="357"/>
      <c r="BO13" s="357"/>
      <c r="BP13" s="357"/>
      <c r="BQ13" s="357"/>
      <c r="BR13" s="357"/>
      <c r="BS13" s="357"/>
      <c r="BT13" s="357"/>
      <c r="BU13" s="357"/>
      <c r="BV13" s="357"/>
      <c r="BW13" s="357"/>
      <c r="BX13" s="272">
        <f t="shared" si="1"/>
        <v>15</v>
      </c>
      <c r="BY13" s="272">
        <f t="shared" si="1"/>
        <v>180</v>
      </c>
      <c r="BZ13" s="272">
        <f t="shared" si="2"/>
        <v>180</v>
      </c>
      <c r="CA13" s="273">
        <v>15</v>
      </c>
      <c r="CB13" s="273">
        <v>180</v>
      </c>
      <c r="CC13" s="273">
        <v>180</v>
      </c>
      <c r="CD13" s="273"/>
      <c r="CE13" s="273"/>
      <c r="CF13" s="273"/>
      <c r="CG13" s="273"/>
      <c r="CH13" s="273"/>
      <c r="CI13" s="273"/>
      <c r="CJ13" s="273"/>
      <c r="CK13" s="273"/>
      <c r="CL13" s="273"/>
      <c r="CM13" s="273"/>
      <c r="CN13" s="273"/>
      <c r="CO13" s="273"/>
      <c r="CP13" s="273"/>
      <c r="CQ13" s="273"/>
      <c r="CR13" s="273"/>
      <c r="CS13" s="273"/>
      <c r="CT13" s="273"/>
      <c r="CU13" s="273"/>
      <c r="CV13" s="273"/>
      <c r="CW13" s="273"/>
      <c r="CX13" s="273"/>
      <c r="CY13" s="273"/>
      <c r="CZ13" s="273"/>
      <c r="DA13" s="273"/>
      <c r="DB13" s="273"/>
      <c r="DC13" s="273"/>
      <c r="DD13" s="273"/>
      <c r="DE13" s="273"/>
      <c r="DF13" s="271"/>
      <c r="DG13" s="271"/>
      <c r="DH13" s="272">
        <f t="shared" si="3"/>
        <v>30</v>
      </c>
      <c r="DI13" s="272">
        <f t="shared" si="3"/>
        <v>360</v>
      </c>
      <c r="DJ13" s="324">
        <f t="shared" si="3"/>
        <v>360</v>
      </c>
      <c r="DK13" s="325"/>
      <c r="DL13" s="325"/>
    </row>
    <row r="14" spans="1:116" s="275" customFormat="1" ht="20.100000000000001" customHeight="1" x14ac:dyDescent="0.6">
      <c r="A14" s="234">
        <v>11</v>
      </c>
      <c r="B14" s="103" t="s">
        <v>421</v>
      </c>
      <c r="C14" s="103" t="s">
        <v>422</v>
      </c>
      <c r="D14" s="103" t="s">
        <v>90</v>
      </c>
      <c r="E14" s="148" t="s">
        <v>91</v>
      </c>
      <c r="F14" s="179" t="s">
        <v>400</v>
      </c>
      <c r="G14" s="322"/>
      <c r="H14" s="323"/>
      <c r="I14" s="322" t="s">
        <v>955</v>
      </c>
      <c r="J14" s="322" t="s">
        <v>945</v>
      </c>
      <c r="K14" s="241"/>
      <c r="L14" s="24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>
        <v>15</v>
      </c>
      <c r="AL14" s="271">
        <v>180</v>
      </c>
      <c r="AM14" s="271">
        <v>180</v>
      </c>
      <c r="AN14" s="271"/>
      <c r="AO14" s="271"/>
      <c r="AP14" s="271"/>
      <c r="AQ14" s="272">
        <f t="shared" si="0"/>
        <v>15</v>
      </c>
      <c r="AR14" s="272">
        <f t="shared" si="0"/>
        <v>180</v>
      </c>
      <c r="AS14" s="272">
        <f t="shared" si="0"/>
        <v>180</v>
      </c>
      <c r="AT14" s="357"/>
      <c r="AU14" s="357"/>
      <c r="AV14" s="357"/>
      <c r="AW14" s="357"/>
      <c r="AX14" s="357"/>
      <c r="AY14" s="357"/>
      <c r="AZ14" s="357"/>
      <c r="BA14" s="357"/>
      <c r="BB14" s="357"/>
      <c r="BC14" s="357"/>
      <c r="BD14" s="357"/>
      <c r="BE14" s="357"/>
      <c r="BF14" s="357"/>
      <c r="BG14" s="357"/>
      <c r="BH14" s="357"/>
      <c r="BI14" s="357"/>
      <c r="BJ14" s="357"/>
      <c r="BK14" s="357"/>
      <c r="BL14" s="357">
        <v>15</v>
      </c>
      <c r="BM14" s="357">
        <v>180</v>
      </c>
      <c r="BN14" s="357">
        <v>180</v>
      </c>
      <c r="BO14" s="357"/>
      <c r="BP14" s="357"/>
      <c r="BQ14" s="357"/>
      <c r="BR14" s="357"/>
      <c r="BS14" s="357"/>
      <c r="BT14" s="357"/>
      <c r="BU14" s="357"/>
      <c r="BV14" s="357"/>
      <c r="BW14" s="357"/>
      <c r="BX14" s="272">
        <f t="shared" si="1"/>
        <v>30</v>
      </c>
      <c r="BY14" s="272">
        <f t="shared" si="1"/>
        <v>360</v>
      </c>
      <c r="BZ14" s="272">
        <f t="shared" si="2"/>
        <v>360</v>
      </c>
      <c r="CA14" s="273"/>
      <c r="CB14" s="273"/>
      <c r="CC14" s="273"/>
      <c r="CD14" s="273"/>
      <c r="CE14" s="273"/>
      <c r="CF14" s="273"/>
      <c r="CG14" s="273">
        <v>15</v>
      </c>
      <c r="CH14" s="273">
        <v>180</v>
      </c>
      <c r="CI14" s="273">
        <v>180</v>
      </c>
      <c r="CJ14" s="273"/>
      <c r="CK14" s="273"/>
      <c r="CL14" s="273"/>
      <c r="CM14" s="273"/>
      <c r="CN14" s="273"/>
      <c r="CO14" s="273"/>
      <c r="CP14" s="273">
        <v>15</v>
      </c>
      <c r="CQ14" s="273">
        <v>180</v>
      </c>
      <c r="CR14" s="273">
        <v>180</v>
      </c>
      <c r="CS14" s="273"/>
      <c r="CT14" s="273"/>
      <c r="CU14" s="273"/>
      <c r="CV14" s="273"/>
      <c r="CW14" s="273"/>
      <c r="CX14" s="273"/>
      <c r="CY14" s="273"/>
      <c r="CZ14" s="273"/>
      <c r="DA14" s="273"/>
      <c r="DB14" s="273"/>
      <c r="DC14" s="273"/>
      <c r="DD14" s="273"/>
      <c r="DE14" s="273"/>
      <c r="DF14" s="271"/>
      <c r="DG14" s="271"/>
      <c r="DH14" s="272">
        <f t="shared" si="3"/>
        <v>60</v>
      </c>
      <c r="DI14" s="272">
        <f t="shared" si="3"/>
        <v>720</v>
      </c>
      <c r="DJ14" s="324">
        <f t="shared" si="3"/>
        <v>720</v>
      </c>
      <c r="DK14" s="325"/>
      <c r="DL14" s="325"/>
    </row>
    <row r="15" spans="1:116" s="275" customFormat="1" ht="20.100000000000001" customHeight="1" x14ac:dyDescent="0.6">
      <c r="A15" s="234">
        <v>12</v>
      </c>
      <c r="B15" s="103" t="s">
        <v>423</v>
      </c>
      <c r="C15" s="185" t="s">
        <v>424</v>
      </c>
      <c r="D15" s="103" t="s">
        <v>90</v>
      </c>
      <c r="E15" s="148" t="s">
        <v>91</v>
      </c>
      <c r="F15" s="328" t="s">
        <v>400</v>
      </c>
      <c r="G15" s="322"/>
      <c r="H15" s="323"/>
      <c r="I15" s="322" t="s">
        <v>956</v>
      </c>
      <c r="J15" s="322" t="s">
        <v>945</v>
      </c>
      <c r="K15" s="241"/>
      <c r="L15" s="241"/>
      <c r="M15" s="271"/>
      <c r="N15" s="271"/>
      <c r="O15" s="271"/>
      <c r="P15" s="271"/>
      <c r="Q15" s="271"/>
      <c r="R15" s="271"/>
      <c r="S15" s="271">
        <v>15</v>
      </c>
      <c r="T15" s="271">
        <v>180</v>
      </c>
      <c r="U15" s="271">
        <v>180</v>
      </c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2">
        <f t="shared" si="0"/>
        <v>15</v>
      </c>
      <c r="AR15" s="272">
        <f t="shared" si="0"/>
        <v>180</v>
      </c>
      <c r="AS15" s="272">
        <f t="shared" si="0"/>
        <v>180</v>
      </c>
      <c r="AT15" s="357"/>
      <c r="AU15" s="357"/>
      <c r="AV15" s="357"/>
      <c r="AW15" s="357"/>
      <c r="AX15" s="357"/>
      <c r="AY15" s="357"/>
      <c r="AZ15" s="357">
        <v>15</v>
      </c>
      <c r="BA15" s="357">
        <v>180</v>
      </c>
      <c r="BB15" s="357">
        <v>180</v>
      </c>
      <c r="BC15" s="357"/>
      <c r="BD15" s="357"/>
      <c r="BE15" s="357"/>
      <c r="BF15" s="357"/>
      <c r="BG15" s="357"/>
      <c r="BH15" s="357"/>
      <c r="BI15" s="357"/>
      <c r="BJ15" s="357"/>
      <c r="BK15" s="357"/>
      <c r="BL15" s="357"/>
      <c r="BM15" s="357"/>
      <c r="BN15" s="357"/>
      <c r="BO15" s="357"/>
      <c r="BP15" s="357"/>
      <c r="BQ15" s="357"/>
      <c r="BR15" s="357"/>
      <c r="BS15" s="357"/>
      <c r="BT15" s="357"/>
      <c r="BU15" s="357"/>
      <c r="BV15" s="357"/>
      <c r="BW15" s="357"/>
      <c r="BX15" s="272">
        <f>+BU15+BR15+BO15+BL15+BI15+BF15+BC15+AZ15+AW15+AT15+AQ15</f>
        <v>30</v>
      </c>
      <c r="BY15" s="272">
        <f>+BV15+BS15+BP15+BM15+BJ15+BG15+BD15+BA15+AX15+AU15+AR15</f>
        <v>360</v>
      </c>
      <c r="BZ15" s="272">
        <f>AS15+AV15+AY15+BB15+BE15+BH15+BK15+BN15+BQ15+BT15+BW15</f>
        <v>360</v>
      </c>
      <c r="CA15" s="273">
        <v>15</v>
      </c>
      <c r="CB15" s="273">
        <v>180</v>
      </c>
      <c r="CC15" s="273">
        <v>180</v>
      </c>
      <c r="CD15" s="273"/>
      <c r="CE15" s="273"/>
      <c r="CF15" s="273"/>
      <c r="CG15" s="273"/>
      <c r="CH15" s="273"/>
      <c r="CI15" s="273"/>
      <c r="CJ15" s="273"/>
      <c r="CK15" s="273"/>
      <c r="CL15" s="273"/>
      <c r="CM15" s="273"/>
      <c r="CN15" s="273"/>
      <c r="CO15" s="273"/>
      <c r="CP15" s="273"/>
      <c r="CQ15" s="273"/>
      <c r="CR15" s="273"/>
      <c r="CS15" s="273">
        <v>15</v>
      </c>
      <c r="CT15" s="273">
        <v>600</v>
      </c>
      <c r="CU15" s="273">
        <v>210</v>
      </c>
      <c r="CV15" s="273"/>
      <c r="CW15" s="273"/>
      <c r="CX15" s="273"/>
      <c r="CY15" s="273"/>
      <c r="CZ15" s="273"/>
      <c r="DA15" s="273"/>
      <c r="DB15" s="273"/>
      <c r="DC15" s="273"/>
      <c r="DD15" s="273"/>
      <c r="DE15" s="273"/>
      <c r="DF15" s="271"/>
      <c r="DG15" s="271"/>
      <c r="DH15" s="272">
        <f t="shared" si="3"/>
        <v>60</v>
      </c>
      <c r="DI15" s="272">
        <f t="shared" si="3"/>
        <v>1140</v>
      </c>
      <c r="DJ15" s="324">
        <f t="shared" si="3"/>
        <v>750</v>
      </c>
      <c r="DK15" s="325"/>
      <c r="DL15" s="325"/>
    </row>
    <row r="16" spans="1:116" s="275" customFormat="1" ht="20.100000000000001" customHeight="1" x14ac:dyDescent="0.6">
      <c r="A16" s="234">
        <v>13</v>
      </c>
      <c r="B16" s="103" t="s">
        <v>425</v>
      </c>
      <c r="C16" s="185" t="s">
        <v>425</v>
      </c>
      <c r="D16" s="103" t="s">
        <v>90</v>
      </c>
      <c r="E16" s="148" t="s">
        <v>91</v>
      </c>
      <c r="F16" s="328" t="s">
        <v>400</v>
      </c>
      <c r="G16" s="322"/>
      <c r="H16" s="323"/>
      <c r="I16" s="322" t="s">
        <v>957</v>
      </c>
      <c r="J16" s="322" t="s">
        <v>945</v>
      </c>
      <c r="K16" s="241"/>
      <c r="L16" s="24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>
        <v>15</v>
      </c>
      <c r="AL16" s="271">
        <v>180</v>
      </c>
      <c r="AM16" s="271">
        <v>180</v>
      </c>
      <c r="AN16" s="271"/>
      <c r="AO16" s="271"/>
      <c r="AP16" s="271"/>
      <c r="AQ16" s="272">
        <f t="shared" si="0"/>
        <v>15</v>
      </c>
      <c r="AR16" s="272">
        <f t="shared" si="0"/>
        <v>180</v>
      </c>
      <c r="AS16" s="272">
        <f t="shared" si="0"/>
        <v>180</v>
      </c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>
        <v>15</v>
      </c>
      <c r="BM16" s="357">
        <v>180</v>
      </c>
      <c r="BN16" s="357">
        <v>180</v>
      </c>
      <c r="BO16" s="357"/>
      <c r="BP16" s="357"/>
      <c r="BQ16" s="357"/>
      <c r="BR16" s="357"/>
      <c r="BS16" s="357"/>
      <c r="BT16" s="357"/>
      <c r="BU16" s="357"/>
      <c r="BV16" s="357"/>
      <c r="BW16" s="357"/>
      <c r="BX16" s="272">
        <f>+BU16+BR16+BO16+BL16+BI16+BF16+BC16+AZ16+AW16+AT16+AQ16</f>
        <v>30</v>
      </c>
      <c r="BY16" s="272">
        <f>+BV16+BS16+BP16+BM16+BJ16+BG16+BD16+BA16+AX16+AU16+AR16</f>
        <v>360</v>
      </c>
      <c r="BZ16" s="272">
        <f>AS16+AV16+AY16+BB16+BE16+BH16+BK16+BN16+BQ16+BT16+BW16</f>
        <v>360</v>
      </c>
      <c r="CA16" s="273"/>
      <c r="CB16" s="273"/>
      <c r="CC16" s="273"/>
      <c r="CD16" s="273"/>
      <c r="CE16" s="273"/>
      <c r="CF16" s="273"/>
      <c r="CG16" s="273">
        <v>15</v>
      </c>
      <c r="CH16" s="273">
        <v>180</v>
      </c>
      <c r="CI16" s="273">
        <v>180</v>
      </c>
      <c r="CJ16" s="273"/>
      <c r="CK16" s="273"/>
      <c r="CL16" s="273"/>
      <c r="CM16" s="273"/>
      <c r="CN16" s="273"/>
      <c r="CO16" s="273"/>
      <c r="CP16" s="273"/>
      <c r="CQ16" s="273"/>
      <c r="CR16" s="273"/>
      <c r="CS16" s="273"/>
      <c r="CT16" s="273"/>
      <c r="CU16" s="273"/>
      <c r="CV16" s="273"/>
      <c r="CW16" s="273"/>
      <c r="CX16" s="273"/>
      <c r="CY16" s="273"/>
      <c r="CZ16" s="273"/>
      <c r="DA16" s="273"/>
      <c r="DB16" s="273"/>
      <c r="DC16" s="273"/>
      <c r="DD16" s="273"/>
      <c r="DE16" s="273"/>
      <c r="DF16" s="271"/>
      <c r="DG16" s="271"/>
      <c r="DH16" s="272">
        <f t="shared" si="3"/>
        <v>45</v>
      </c>
      <c r="DI16" s="272">
        <f t="shared" si="3"/>
        <v>540</v>
      </c>
      <c r="DJ16" s="324">
        <f t="shared" si="3"/>
        <v>540</v>
      </c>
      <c r="DK16" s="325"/>
      <c r="DL16" s="325"/>
    </row>
    <row r="17" spans="1:116" s="275" customFormat="1" ht="20.100000000000001" customHeight="1" x14ac:dyDescent="0.6">
      <c r="A17" s="234">
        <v>14</v>
      </c>
      <c r="B17" s="103" t="s">
        <v>426</v>
      </c>
      <c r="C17" s="185" t="s">
        <v>427</v>
      </c>
      <c r="D17" s="103" t="s">
        <v>90</v>
      </c>
      <c r="E17" s="148" t="s">
        <v>91</v>
      </c>
      <c r="F17" s="328" t="s">
        <v>400</v>
      </c>
      <c r="G17" s="322"/>
      <c r="H17" s="323"/>
      <c r="I17" s="322" t="s">
        <v>958</v>
      </c>
      <c r="J17" s="322" t="s">
        <v>959</v>
      </c>
      <c r="K17" s="241"/>
      <c r="L17" s="24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2">
        <f t="shared" si="0"/>
        <v>0</v>
      </c>
      <c r="AR17" s="272">
        <f t="shared" si="0"/>
        <v>0</v>
      </c>
      <c r="AS17" s="272">
        <f t="shared" si="0"/>
        <v>0</v>
      </c>
      <c r="AT17" s="357"/>
      <c r="AU17" s="357"/>
      <c r="AV17" s="357"/>
      <c r="AW17" s="357"/>
      <c r="AX17" s="357"/>
      <c r="AY17" s="357"/>
      <c r="AZ17" s="357"/>
      <c r="BA17" s="357"/>
      <c r="BB17" s="357"/>
      <c r="BC17" s="357"/>
      <c r="BD17" s="357"/>
      <c r="BE17" s="357"/>
      <c r="BF17" s="357"/>
      <c r="BG17" s="357"/>
      <c r="BH17" s="357"/>
      <c r="BI17" s="357"/>
      <c r="BJ17" s="357"/>
      <c r="BK17" s="357"/>
      <c r="BL17" s="357"/>
      <c r="BM17" s="357"/>
      <c r="BN17" s="357"/>
      <c r="BO17" s="357"/>
      <c r="BP17" s="357"/>
      <c r="BQ17" s="357"/>
      <c r="BR17" s="357"/>
      <c r="BS17" s="357"/>
      <c r="BT17" s="357"/>
      <c r="BU17" s="357"/>
      <c r="BV17" s="357"/>
      <c r="BW17" s="357"/>
      <c r="BX17" s="272">
        <f t="shared" si="1"/>
        <v>0</v>
      </c>
      <c r="BY17" s="272">
        <f t="shared" si="1"/>
        <v>0</v>
      </c>
      <c r="BZ17" s="272">
        <f t="shared" si="2"/>
        <v>0</v>
      </c>
      <c r="CA17" s="273"/>
      <c r="CB17" s="273"/>
      <c r="CC17" s="273"/>
      <c r="CD17" s="273"/>
      <c r="CE17" s="273"/>
      <c r="CF17" s="273"/>
      <c r="CG17" s="273"/>
      <c r="CH17" s="273"/>
      <c r="CI17" s="273"/>
      <c r="CJ17" s="273"/>
      <c r="CK17" s="273"/>
      <c r="CL17" s="273"/>
      <c r="CM17" s="273"/>
      <c r="CN17" s="273"/>
      <c r="CO17" s="273"/>
      <c r="CP17" s="273"/>
      <c r="CQ17" s="273"/>
      <c r="CR17" s="273"/>
      <c r="CS17" s="273"/>
      <c r="CT17" s="273"/>
      <c r="CU17" s="273"/>
      <c r="CV17" s="273"/>
      <c r="CW17" s="273"/>
      <c r="CX17" s="273"/>
      <c r="CY17" s="273"/>
      <c r="CZ17" s="273"/>
      <c r="DA17" s="273"/>
      <c r="DB17" s="273"/>
      <c r="DC17" s="273"/>
      <c r="DD17" s="273"/>
      <c r="DE17" s="273"/>
      <c r="DF17" s="271"/>
      <c r="DG17" s="271"/>
      <c r="DH17" s="272">
        <f t="shared" si="3"/>
        <v>0</v>
      </c>
      <c r="DI17" s="272">
        <f t="shared" si="3"/>
        <v>0</v>
      </c>
      <c r="DJ17" s="324">
        <f t="shared" si="3"/>
        <v>0</v>
      </c>
      <c r="DK17" s="325"/>
      <c r="DL17" s="325"/>
    </row>
    <row r="18" spans="1:116" s="275" customFormat="1" ht="20.100000000000001" customHeight="1" x14ac:dyDescent="0.6">
      <c r="A18" s="234">
        <v>15</v>
      </c>
      <c r="B18" s="103" t="s">
        <v>428</v>
      </c>
      <c r="C18" s="103" t="s">
        <v>429</v>
      </c>
      <c r="D18" s="103" t="s">
        <v>430</v>
      </c>
      <c r="E18" s="148" t="s">
        <v>120</v>
      </c>
      <c r="F18" s="179" t="s">
        <v>431</v>
      </c>
      <c r="G18" s="322"/>
      <c r="H18" s="323"/>
      <c r="I18" s="323" t="s">
        <v>960</v>
      </c>
      <c r="J18" s="322" t="s">
        <v>959</v>
      </c>
      <c r="K18" s="241"/>
      <c r="L18" s="241"/>
      <c r="M18" s="271"/>
      <c r="N18" s="271"/>
      <c r="O18" s="271"/>
      <c r="P18" s="271"/>
      <c r="Q18" s="271"/>
      <c r="R18" s="271"/>
      <c r="S18" s="271"/>
      <c r="T18" s="271"/>
      <c r="U18" s="271"/>
      <c r="V18" s="271">
        <v>12</v>
      </c>
      <c r="W18" s="271">
        <v>168</v>
      </c>
      <c r="X18" s="271">
        <v>107.52</v>
      </c>
      <c r="Y18" s="271"/>
      <c r="Z18" s="271"/>
      <c r="AA18" s="271"/>
      <c r="AB18" s="271"/>
      <c r="AC18" s="271"/>
      <c r="AD18" s="271"/>
      <c r="AE18" s="271">
        <v>23</v>
      </c>
      <c r="AF18" s="271">
        <v>380</v>
      </c>
      <c r="AG18" s="271">
        <v>251.6</v>
      </c>
      <c r="AH18" s="271"/>
      <c r="AI18" s="271"/>
      <c r="AJ18" s="271"/>
      <c r="AK18" s="271"/>
      <c r="AL18" s="271"/>
      <c r="AM18" s="271"/>
      <c r="AN18" s="271"/>
      <c r="AO18" s="271"/>
      <c r="AP18" s="271"/>
      <c r="AQ18" s="272">
        <f t="shared" si="0"/>
        <v>35</v>
      </c>
      <c r="AR18" s="272">
        <f t="shared" si="0"/>
        <v>548</v>
      </c>
      <c r="AS18" s="272">
        <f t="shared" si="0"/>
        <v>359.12</v>
      </c>
      <c r="AT18" s="357"/>
      <c r="AU18" s="357"/>
      <c r="AV18" s="357"/>
      <c r="AW18" s="357"/>
      <c r="AX18" s="357"/>
      <c r="AY18" s="357"/>
      <c r="AZ18" s="357"/>
      <c r="BA18" s="357"/>
      <c r="BB18" s="357"/>
      <c r="BC18" s="357"/>
      <c r="BD18" s="357"/>
      <c r="BE18" s="357"/>
      <c r="BF18" s="357"/>
      <c r="BG18" s="357"/>
      <c r="BH18" s="357"/>
      <c r="BI18" s="357"/>
      <c r="BJ18" s="357"/>
      <c r="BK18" s="357"/>
      <c r="BL18" s="357"/>
      <c r="BM18" s="357"/>
      <c r="BN18" s="357"/>
      <c r="BO18" s="357">
        <v>67</v>
      </c>
      <c r="BP18" s="357">
        <v>1128</v>
      </c>
      <c r="BQ18" s="357">
        <v>685.12</v>
      </c>
      <c r="BR18" s="357"/>
      <c r="BS18" s="357"/>
      <c r="BT18" s="357"/>
      <c r="BU18" s="357"/>
      <c r="BV18" s="357"/>
      <c r="BW18" s="357"/>
      <c r="BX18" s="272">
        <f t="shared" si="1"/>
        <v>102</v>
      </c>
      <c r="BY18" s="272">
        <f t="shared" si="1"/>
        <v>1676</v>
      </c>
      <c r="BZ18" s="272">
        <f t="shared" si="2"/>
        <v>1044.24</v>
      </c>
      <c r="CA18" s="273"/>
      <c r="CB18" s="273"/>
      <c r="CC18" s="273"/>
      <c r="CD18" s="273"/>
      <c r="CE18" s="273"/>
      <c r="CF18" s="273"/>
      <c r="CG18" s="273">
        <v>30</v>
      </c>
      <c r="CH18" s="273">
        <v>380</v>
      </c>
      <c r="CI18" s="273">
        <v>329.6</v>
      </c>
      <c r="CJ18" s="273"/>
      <c r="CK18" s="273"/>
      <c r="CL18" s="273"/>
      <c r="CM18" s="273"/>
      <c r="CN18" s="273"/>
      <c r="CO18" s="273"/>
      <c r="CP18" s="273"/>
      <c r="CQ18" s="273"/>
      <c r="CR18" s="273"/>
      <c r="CS18" s="273"/>
      <c r="CT18" s="273"/>
      <c r="CU18" s="273"/>
      <c r="CV18" s="273"/>
      <c r="CW18" s="273"/>
      <c r="CX18" s="273"/>
      <c r="CY18" s="273"/>
      <c r="CZ18" s="273"/>
      <c r="DA18" s="273"/>
      <c r="DB18" s="273"/>
      <c r="DC18" s="273"/>
      <c r="DD18" s="273"/>
      <c r="DE18" s="273"/>
      <c r="DF18" s="271"/>
      <c r="DG18" s="271"/>
      <c r="DH18" s="272">
        <f t="shared" si="3"/>
        <v>132</v>
      </c>
      <c r="DI18" s="272">
        <f t="shared" si="3"/>
        <v>2056</v>
      </c>
      <c r="DJ18" s="324">
        <f t="shared" si="3"/>
        <v>1373.8400000000001</v>
      </c>
      <c r="DK18" s="325"/>
      <c r="DL18" s="325"/>
    </row>
    <row r="19" spans="1:116" s="275" customFormat="1" ht="20.100000000000001" customHeight="1" x14ac:dyDescent="0.6">
      <c r="A19" s="234">
        <v>16</v>
      </c>
      <c r="B19" s="103" t="s">
        <v>432</v>
      </c>
      <c r="C19" s="103" t="s">
        <v>433</v>
      </c>
      <c r="D19" s="103" t="s">
        <v>430</v>
      </c>
      <c r="E19" s="148" t="s">
        <v>120</v>
      </c>
      <c r="F19" s="179" t="s">
        <v>431</v>
      </c>
      <c r="G19" s="322"/>
      <c r="H19" s="323"/>
      <c r="I19" s="323" t="s">
        <v>961</v>
      </c>
      <c r="J19" s="322" t="s">
        <v>959</v>
      </c>
      <c r="K19" s="241"/>
      <c r="L19" s="241"/>
      <c r="M19" s="271"/>
      <c r="N19" s="271"/>
      <c r="O19" s="271"/>
      <c r="P19" s="271">
        <v>21</v>
      </c>
      <c r="Q19" s="271">
        <v>274</v>
      </c>
      <c r="R19" s="271">
        <v>218.56</v>
      </c>
      <c r="S19" s="271"/>
      <c r="T19" s="271"/>
      <c r="U19" s="271"/>
      <c r="V19" s="271"/>
      <c r="W19" s="271"/>
      <c r="X19" s="271"/>
      <c r="Y19" s="271"/>
      <c r="Z19" s="271"/>
      <c r="AA19" s="271"/>
      <c r="AB19" s="271">
        <v>10</v>
      </c>
      <c r="AC19" s="271">
        <v>120</v>
      </c>
      <c r="AD19" s="271">
        <v>120</v>
      </c>
      <c r="AE19" s="271"/>
      <c r="AF19" s="271"/>
      <c r="AG19" s="271"/>
      <c r="AH19" s="271"/>
      <c r="AI19" s="271"/>
      <c r="AJ19" s="271"/>
      <c r="AK19" s="271">
        <v>15</v>
      </c>
      <c r="AL19" s="271">
        <v>210</v>
      </c>
      <c r="AM19" s="271">
        <v>134.4</v>
      </c>
      <c r="AN19" s="271"/>
      <c r="AO19" s="271"/>
      <c r="AP19" s="271"/>
      <c r="AQ19" s="272">
        <f t="shared" si="0"/>
        <v>46</v>
      </c>
      <c r="AR19" s="272">
        <f t="shared" si="0"/>
        <v>604</v>
      </c>
      <c r="AS19" s="272">
        <f t="shared" si="0"/>
        <v>472.96000000000004</v>
      </c>
      <c r="AT19" s="357"/>
      <c r="AU19" s="357"/>
      <c r="AV19" s="357"/>
      <c r="AW19" s="357"/>
      <c r="AX19" s="357"/>
      <c r="AY19" s="357"/>
      <c r="AZ19" s="357">
        <v>25</v>
      </c>
      <c r="BA19" s="357">
        <v>310</v>
      </c>
      <c r="BB19" s="357">
        <v>284.8</v>
      </c>
      <c r="BC19" s="357"/>
      <c r="BD19" s="357"/>
      <c r="BE19" s="357"/>
      <c r="BF19" s="357"/>
      <c r="BG19" s="357"/>
      <c r="BH19" s="357"/>
      <c r="BI19" s="357">
        <v>23</v>
      </c>
      <c r="BJ19" s="357">
        <v>344</v>
      </c>
      <c r="BK19" s="357">
        <v>237.76</v>
      </c>
      <c r="BL19" s="357"/>
      <c r="BM19" s="357"/>
      <c r="BN19" s="357"/>
      <c r="BO19" s="357"/>
      <c r="BP19" s="357"/>
      <c r="BQ19" s="357"/>
      <c r="BR19" s="357"/>
      <c r="BS19" s="357"/>
      <c r="BT19" s="357"/>
      <c r="BU19" s="357">
        <v>25</v>
      </c>
      <c r="BV19" s="357">
        <v>450</v>
      </c>
      <c r="BW19" s="357">
        <v>294.8</v>
      </c>
      <c r="BX19" s="272">
        <f t="shared" si="1"/>
        <v>119</v>
      </c>
      <c r="BY19" s="272">
        <f t="shared" si="1"/>
        <v>1708</v>
      </c>
      <c r="BZ19" s="272">
        <f t="shared" si="2"/>
        <v>1290.32</v>
      </c>
      <c r="CA19" s="273"/>
      <c r="CB19" s="273"/>
      <c r="CC19" s="273"/>
      <c r="CD19" s="273"/>
      <c r="CE19" s="273"/>
      <c r="CF19" s="273"/>
      <c r="CG19" s="273">
        <v>10</v>
      </c>
      <c r="CH19" s="273">
        <v>120</v>
      </c>
      <c r="CI19" s="273">
        <v>120</v>
      </c>
      <c r="CJ19" s="273"/>
      <c r="CK19" s="273"/>
      <c r="CL19" s="273"/>
      <c r="CM19" s="273"/>
      <c r="CN19" s="273"/>
      <c r="CO19" s="273"/>
      <c r="CP19" s="273"/>
      <c r="CQ19" s="273"/>
      <c r="CR19" s="273"/>
      <c r="CS19" s="273">
        <v>15</v>
      </c>
      <c r="CT19" s="273">
        <v>330</v>
      </c>
      <c r="CU19" s="273">
        <v>174.8</v>
      </c>
      <c r="CV19" s="273"/>
      <c r="CW19" s="273"/>
      <c r="CX19" s="273"/>
      <c r="CY19" s="273"/>
      <c r="CZ19" s="273"/>
      <c r="DA19" s="273"/>
      <c r="DB19" s="273"/>
      <c r="DC19" s="273"/>
      <c r="DD19" s="273"/>
      <c r="DE19" s="273"/>
      <c r="DF19" s="271"/>
      <c r="DG19" s="271"/>
      <c r="DH19" s="272">
        <f t="shared" si="3"/>
        <v>144</v>
      </c>
      <c r="DI19" s="272">
        <f t="shared" si="3"/>
        <v>2158</v>
      </c>
      <c r="DJ19" s="324">
        <f t="shared" si="3"/>
        <v>1585.12</v>
      </c>
      <c r="DK19" s="325"/>
      <c r="DL19" s="325"/>
    </row>
    <row r="20" spans="1:116" s="275" customFormat="1" ht="20.100000000000001" customHeight="1" x14ac:dyDescent="0.6">
      <c r="A20" s="234">
        <v>17</v>
      </c>
      <c r="B20" s="103" t="s">
        <v>434</v>
      </c>
      <c r="C20" s="103" t="s">
        <v>435</v>
      </c>
      <c r="D20" s="103" t="s">
        <v>430</v>
      </c>
      <c r="E20" s="148" t="s">
        <v>120</v>
      </c>
      <c r="F20" s="179" t="s">
        <v>431</v>
      </c>
      <c r="G20" s="322"/>
      <c r="H20" s="323"/>
      <c r="I20" s="322" t="s">
        <v>962</v>
      </c>
      <c r="J20" s="322" t="s">
        <v>959</v>
      </c>
      <c r="K20" s="241"/>
      <c r="L20" s="24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2">
        <f t="shared" ref="AQ20:AS83" si="4">+AN20+AK20+AH20+AE20+AB20+Y20+V20+S20+P20+M20</f>
        <v>0</v>
      </c>
      <c r="AR20" s="272">
        <f t="shared" si="4"/>
        <v>0</v>
      </c>
      <c r="AS20" s="272">
        <f t="shared" si="4"/>
        <v>0</v>
      </c>
      <c r="AT20" s="357">
        <v>8</v>
      </c>
      <c r="AU20" s="357">
        <v>96</v>
      </c>
      <c r="AV20" s="357">
        <v>96</v>
      </c>
      <c r="AW20" s="357"/>
      <c r="AX20" s="357"/>
      <c r="AY20" s="357"/>
      <c r="AZ20" s="357"/>
      <c r="BA20" s="357"/>
      <c r="BB20" s="357"/>
      <c r="BC20" s="357"/>
      <c r="BD20" s="357"/>
      <c r="BE20" s="357"/>
      <c r="BF20" s="357"/>
      <c r="BG20" s="357"/>
      <c r="BH20" s="357"/>
      <c r="BI20" s="357"/>
      <c r="BJ20" s="357"/>
      <c r="BK20" s="357"/>
      <c r="BL20" s="357"/>
      <c r="BM20" s="357"/>
      <c r="BN20" s="357"/>
      <c r="BO20" s="357"/>
      <c r="BP20" s="357"/>
      <c r="BQ20" s="357"/>
      <c r="BR20" s="357"/>
      <c r="BS20" s="357"/>
      <c r="BT20" s="357"/>
      <c r="BU20" s="357"/>
      <c r="BV20" s="357"/>
      <c r="BW20" s="357"/>
      <c r="BX20" s="272">
        <f t="shared" si="1"/>
        <v>8</v>
      </c>
      <c r="BY20" s="272">
        <f t="shared" si="1"/>
        <v>96</v>
      </c>
      <c r="BZ20" s="272">
        <f t="shared" si="2"/>
        <v>96</v>
      </c>
      <c r="CA20" s="273"/>
      <c r="CB20" s="273"/>
      <c r="CC20" s="273"/>
      <c r="CD20" s="273"/>
      <c r="CE20" s="273"/>
      <c r="CF20" s="273"/>
      <c r="CG20" s="273"/>
      <c r="CH20" s="273"/>
      <c r="CI20" s="273"/>
      <c r="CJ20" s="273"/>
      <c r="CK20" s="273"/>
      <c r="CL20" s="273"/>
      <c r="CM20" s="273"/>
      <c r="CN20" s="273"/>
      <c r="CO20" s="273"/>
      <c r="CP20" s="273"/>
      <c r="CQ20" s="273"/>
      <c r="CR20" s="273"/>
      <c r="CS20" s="273"/>
      <c r="CT20" s="273"/>
      <c r="CU20" s="273"/>
      <c r="CV20" s="273"/>
      <c r="CW20" s="273"/>
      <c r="CX20" s="273"/>
      <c r="CY20" s="273"/>
      <c r="CZ20" s="273"/>
      <c r="DA20" s="273"/>
      <c r="DB20" s="273"/>
      <c r="DC20" s="273"/>
      <c r="DD20" s="273"/>
      <c r="DE20" s="273"/>
      <c r="DF20" s="271"/>
      <c r="DG20" s="271"/>
      <c r="DH20" s="272">
        <f t="shared" si="3"/>
        <v>8</v>
      </c>
      <c r="DI20" s="272">
        <f t="shared" si="3"/>
        <v>96</v>
      </c>
      <c r="DJ20" s="324">
        <f t="shared" si="3"/>
        <v>96</v>
      </c>
      <c r="DK20" s="325"/>
      <c r="DL20" s="325"/>
    </row>
    <row r="21" spans="1:116" s="275" customFormat="1" ht="20.100000000000001" customHeight="1" x14ac:dyDescent="0.6">
      <c r="A21" s="234">
        <v>18</v>
      </c>
      <c r="B21" s="103" t="s">
        <v>436</v>
      </c>
      <c r="C21" s="103" t="s">
        <v>437</v>
      </c>
      <c r="D21" s="103" t="s">
        <v>123</v>
      </c>
      <c r="E21" s="148" t="s">
        <v>438</v>
      </c>
      <c r="F21" s="179" t="s">
        <v>431</v>
      </c>
      <c r="G21" s="322"/>
      <c r="H21" s="323"/>
      <c r="I21" s="322" t="s">
        <v>963</v>
      </c>
      <c r="J21" s="322" t="s">
        <v>959</v>
      </c>
      <c r="K21" s="241"/>
      <c r="L21" s="24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2">
        <f t="shared" si="4"/>
        <v>0</v>
      </c>
      <c r="AR21" s="272">
        <f t="shared" si="4"/>
        <v>0</v>
      </c>
      <c r="AS21" s="272">
        <f t="shared" si="4"/>
        <v>0</v>
      </c>
      <c r="AT21" s="357"/>
      <c r="AU21" s="357"/>
      <c r="AV21" s="357"/>
      <c r="AW21" s="357"/>
      <c r="AX21" s="357"/>
      <c r="AY21" s="357"/>
      <c r="AZ21" s="357"/>
      <c r="BA21" s="357"/>
      <c r="BB21" s="357"/>
      <c r="BC21" s="357"/>
      <c r="BD21" s="357"/>
      <c r="BE21" s="357"/>
      <c r="BF21" s="357"/>
      <c r="BG21" s="357"/>
      <c r="BH21" s="357"/>
      <c r="BI21" s="357"/>
      <c r="BJ21" s="357"/>
      <c r="BK21" s="357"/>
      <c r="BL21" s="357"/>
      <c r="BM21" s="357"/>
      <c r="BN21" s="357"/>
      <c r="BO21" s="357"/>
      <c r="BP21" s="357"/>
      <c r="BQ21" s="357"/>
      <c r="BR21" s="357"/>
      <c r="BS21" s="357"/>
      <c r="BT21" s="357"/>
      <c r="BU21" s="357"/>
      <c r="BV21" s="357"/>
      <c r="BW21" s="357"/>
      <c r="BX21" s="272">
        <f t="shared" si="1"/>
        <v>0</v>
      </c>
      <c r="BY21" s="272">
        <f t="shared" si="1"/>
        <v>0</v>
      </c>
      <c r="BZ21" s="272">
        <f t="shared" si="2"/>
        <v>0</v>
      </c>
      <c r="CA21" s="273"/>
      <c r="CB21" s="273"/>
      <c r="CC21" s="273"/>
      <c r="CD21" s="273"/>
      <c r="CE21" s="273"/>
      <c r="CF21" s="273"/>
      <c r="CG21" s="273"/>
      <c r="CH21" s="273"/>
      <c r="CI21" s="273"/>
      <c r="CJ21" s="273"/>
      <c r="CK21" s="273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  <c r="CX21" s="273"/>
      <c r="CY21" s="273"/>
      <c r="CZ21" s="273"/>
      <c r="DA21" s="273"/>
      <c r="DB21" s="273"/>
      <c r="DC21" s="273"/>
      <c r="DD21" s="273"/>
      <c r="DE21" s="273"/>
      <c r="DF21" s="271"/>
      <c r="DG21" s="271"/>
      <c r="DH21" s="272">
        <f t="shared" si="3"/>
        <v>0</v>
      </c>
      <c r="DI21" s="272">
        <f t="shared" si="3"/>
        <v>0</v>
      </c>
      <c r="DJ21" s="324">
        <f t="shared" si="3"/>
        <v>0</v>
      </c>
      <c r="DK21" s="325"/>
      <c r="DL21" s="325"/>
    </row>
    <row r="22" spans="1:116" s="275" customFormat="1" ht="20.100000000000001" customHeight="1" x14ac:dyDescent="0.6">
      <c r="A22" s="234">
        <v>19</v>
      </c>
      <c r="B22" s="103" t="s">
        <v>439</v>
      </c>
      <c r="C22" s="103" t="s">
        <v>440</v>
      </c>
      <c r="D22" s="103" t="s">
        <v>123</v>
      </c>
      <c r="E22" s="148" t="s">
        <v>438</v>
      </c>
      <c r="F22" s="179" t="s">
        <v>431</v>
      </c>
      <c r="G22" s="322"/>
      <c r="H22" s="323"/>
      <c r="I22" s="322" t="s">
        <v>964</v>
      </c>
      <c r="J22" s="322" t="s">
        <v>959</v>
      </c>
      <c r="K22" s="241"/>
      <c r="L22" s="24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>
        <v>15</v>
      </c>
      <c r="Z22" s="271">
        <v>180</v>
      </c>
      <c r="AA22" s="271">
        <v>180</v>
      </c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2">
        <f t="shared" si="4"/>
        <v>15</v>
      </c>
      <c r="AR22" s="272">
        <f t="shared" si="4"/>
        <v>180</v>
      </c>
      <c r="AS22" s="272">
        <f t="shared" si="4"/>
        <v>180</v>
      </c>
      <c r="AT22" s="357"/>
      <c r="AU22" s="357"/>
      <c r="AV22" s="357"/>
      <c r="AW22" s="357"/>
      <c r="AX22" s="357"/>
      <c r="AY22" s="357"/>
      <c r="AZ22" s="357"/>
      <c r="BA22" s="357"/>
      <c r="BB22" s="357"/>
      <c r="BC22" s="357"/>
      <c r="BD22" s="357"/>
      <c r="BE22" s="357"/>
      <c r="BF22" s="357"/>
      <c r="BG22" s="357"/>
      <c r="BH22" s="357"/>
      <c r="BI22" s="357">
        <v>15</v>
      </c>
      <c r="BJ22" s="357">
        <v>180</v>
      </c>
      <c r="BK22" s="357">
        <v>180</v>
      </c>
      <c r="BL22" s="357"/>
      <c r="BM22" s="357"/>
      <c r="BN22" s="357"/>
      <c r="BO22" s="357"/>
      <c r="BP22" s="357"/>
      <c r="BQ22" s="357"/>
      <c r="BR22" s="357">
        <v>20</v>
      </c>
      <c r="BS22" s="357">
        <v>380</v>
      </c>
      <c r="BT22" s="357">
        <v>250</v>
      </c>
      <c r="BU22" s="357"/>
      <c r="BV22" s="357"/>
      <c r="BW22" s="357"/>
      <c r="BX22" s="272">
        <f t="shared" si="1"/>
        <v>50</v>
      </c>
      <c r="BY22" s="272">
        <f t="shared" si="1"/>
        <v>740</v>
      </c>
      <c r="BZ22" s="272">
        <f t="shared" si="2"/>
        <v>610</v>
      </c>
      <c r="CA22" s="273"/>
      <c r="CB22" s="273"/>
      <c r="CC22" s="273"/>
      <c r="CD22" s="273"/>
      <c r="CE22" s="273"/>
      <c r="CF22" s="273"/>
      <c r="CG22" s="273"/>
      <c r="CH22" s="273"/>
      <c r="CI22" s="273"/>
      <c r="CJ22" s="273"/>
      <c r="CK22" s="273"/>
      <c r="CL22" s="273"/>
      <c r="CM22" s="273"/>
      <c r="CN22" s="273"/>
      <c r="CO22" s="273"/>
      <c r="CP22" s="273"/>
      <c r="CQ22" s="273"/>
      <c r="CR22" s="273"/>
      <c r="CS22" s="273"/>
      <c r="CT22" s="273"/>
      <c r="CU22" s="273"/>
      <c r="CV22" s="273"/>
      <c r="CW22" s="273"/>
      <c r="CX22" s="273"/>
      <c r="CY22" s="273"/>
      <c r="CZ22" s="273"/>
      <c r="DA22" s="273"/>
      <c r="DB22" s="273"/>
      <c r="DC22" s="273"/>
      <c r="DD22" s="273"/>
      <c r="DE22" s="273"/>
      <c r="DF22" s="271"/>
      <c r="DG22" s="271"/>
      <c r="DH22" s="272">
        <f t="shared" si="3"/>
        <v>50</v>
      </c>
      <c r="DI22" s="272">
        <f t="shared" si="3"/>
        <v>740</v>
      </c>
      <c r="DJ22" s="324">
        <f t="shared" si="3"/>
        <v>610</v>
      </c>
      <c r="DK22" s="325"/>
      <c r="DL22" s="325"/>
    </row>
    <row r="23" spans="1:116" s="275" customFormat="1" ht="20.100000000000001" customHeight="1" x14ac:dyDescent="0.6">
      <c r="A23" s="234">
        <v>20</v>
      </c>
      <c r="B23" s="103" t="s">
        <v>441</v>
      </c>
      <c r="C23" s="103" t="s">
        <v>442</v>
      </c>
      <c r="D23" s="103" t="s">
        <v>123</v>
      </c>
      <c r="E23" s="148" t="s">
        <v>438</v>
      </c>
      <c r="F23" s="179" t="s">
        <v>431</v>
      </c>
      <c r="G23" s="322"/>
      <c r="H23" s="323"/>
      <c r="I23" s="322" t="s">
        <v>965</v>
      </c>
      <c r="J23" s="322" t="s">
        <v>959</v>
      </c>
      <c r="K23" s="241"/>
      <c r="L23" s="241"/>
      <c r="M23" s="271"/>
      <c r="N23" s="271"/>
      <c r="O23" s="271"/>
      <c r="P23" s="271"/>
      <c r="Q23" s="271"/>
      <c r="R23" s="271"/>
      <c r="S23" s="271">
        <v>20</v>
      </c>
      <c r="T23" s="271">
        <v>250</v>
      </c>
      <c r="U23" s="271">
        <v>200.8</v>
      </c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2">
        <f t="shared" si="4"/>
        <v>20</v>
      </c>
      <c r="AR23" s="272">
        <f t="shared" si="4"/>
        <v>250</v>
      </c>
      <c r="AS23" s="272">
        <f t="shared" si="4"/>
        <v>200.8</v>
      </c>
      <c r="AT23" s="357"/>
      <c r="AU23" s="357"/>
      <c r="AV23" s="357"/>
      <c r="AW23" s="357"/>
      <c r="AX23" s="357"/>
      <c r="AY23" s="357"/>
      <c r="AZ23" s="357"/>
      <c r="BA23" s="357"/>
      <c r="BB23" s="357"/>
      <c r="BC23" s="357"/>
      <c r="BD23" s="357"/>
      <c r="BE23" s="357"/>
      <c r="BF23" s="357"/>
      <c r="BG23" s="357"/>
      <c r="BH23" s="357"/>
      <c r="BI23" s="357"/>
      <c r="BJ23" s="357"/>
      <c r="BK23" s="357"/>
      <c r="BL23" s="357"/>
      <c r="BM23" s="357"/>
      <c r="BN23" s="357"/>
      <c r="BO23" s="357">
        <v>10</v>
      </c>
      <c r="BP23" s="357">
        <v>130</v>
      </c>
      <c r="BQ23" s="357">
        <v>104.8</v>
      </c>
      <c r="BR23" s="357"/>
      <c r="BS23" s="357"/>
      <c r="BT23" s="357"/>
      <c r="BU23" s="357">
        <v>15</v>
      </c>
      <c r="BV23" s="357">
        <v>180</v>
      </c>
      <c r="BW23" s="357">
        <v>180</v>
      </c>
      <c r="BX23" s="272">
        <f t="shared" si="1"/>
        <v>45</v>
      </c>
      <c r="BY23" s="272">
        <f t="shared" si="1"/>
        <v>560</v>
      </c>
      <c r="BZ23" s="272">
        <f t="shared" si="2"/>
        <v>485.6</v>
      </c>
      <c r="CA23" s="273">
        <v>20</v>
      </c>
      <c r="CB23" s="273">
        <v>260</v>
      </c>
      <c r="CC23" s="273">
        <v>209.6</v>
      </c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1"/>
      <c r="DG23" s="271"/>
      <c r="DH23" s="272">
        <f t="shared" si="3"/>
        <v>65</v>
      </c>
      <c r="DI23" s="272">
        <f t="shared" si="3"/>
        <v>820</v>
      </c>
      <c r="DJ23" s="324">
        <f t="shared" si="3"/>
        <v>695.2</v>
      </c>
      <c r="DK23" s="325"/>
      <c r="DL23" s="325"/>
    </row>
    <row r="24" spans="1:116" s="275" customFormat="1" ht="20.100000000000001" customHeight="1" x14ac:dyDescent="0.6">
      <c r="A24" s="234">
        <v>21</v>
      </c>
      <c r="B24" s="103" t="s">
        <v>443</v>
      </c>
      <c r="C24" s="103" t="s">
        <v>444</v>
      </c>
      <c r="D24" s="103" t="s">
        <v>123</v>
      </c>
      <c r="E24" s="148" t="s">
        <v>438</v>
      </c>
      <c r="F24" s="179" t="s">
        <v>431</v>
      </c>
      <c r="G24" s="322"/>
      <c r="H24" s="323"/>
      <c r="I24" s="322" t="s">
        <v>966</v>
      </c>
      <c r="J24" s="322" t="s">
        <v>959</v>
      </c>
      <c r="K24" s="241"/>
      <c r="L24" s="241"/>
      <c r="M24" s="271"/>
      <c r="N24" s="271"/>
      <c r="O24" s="271"/>
      <c r="P24" s="271"/>
      <c r="Q24" s="271"/>
      <c r="R24" s="271"/>
      <c r="S24" s="271">
        <v>15</v>
      </c>
      <c r="T24" s="271">
        <v>180</v>
      </c>
      <c r="U24" s="271">
        <v>180</v>
      </c>
      <c r="V24" s="271"/>
      <c r="W24" s="271"/>
      <c r="X24" s="271"/>
      <c r="Y24" s="271"/>
      <c r="Z24" s="271"/>
      <c r="AA24" s="271"/>
      <c r="AB24" s="271">
        <v>15</v>
      </c>
      <c r="AC24" s="271">
        <v>180</v>
      </c>
      <c r="AD24" s="271">
        <v>180</v>
      </c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2">
        <f t="shared" si="4"/>
        <v>30</v>
      </c>
      <c r="AR24" s="272">
        <f t="shared" si="4"/>
        <v>360</v>
      </c>
      <c r="AS24" s="272">
        <f t="shared" si="4"/>
        <v>360</v>
      </c>
      <c r="AT24" s="357"/>
      <c r="AU24" s="357"/>
      <c r="AV24" s="357"/>
      <c r="AW24" s="357"/>
      <c r="AX24" s="357"/>
      <c r="AY24" s="357"/>
      <c r="AZ24" s="357"/>
      <c r="BA24" s="357"/>
      <c r="BB24" s="357"/>
      <c r="BC24" s="357"/>
      <c r="BD24" s="357"/>
      <c r="BE24" s="357"/>
      <c r="BF24" s="357"/>
      <c r="BG24" s="357"/>
      <c r="BH24" s="357"/>
      <c r="BI24" s="357"/>
      <c r="BJ24" s="357"/>
      <c r="BK24" s="357"/>
      <c r="BL24" s="357"/>
      <c r="BM24" s="357"/>
      <c r="BN24" s="357"/>
      <c r="BO24" s="357"/>
      <c r="BP24" s="357"/>
      <c r="BQ24" s="357"/>
      <c r="BR24" s="357"/>
      <c r="BS24" s="357"/>
      <c r="BT24" s="357"/>
      <c r="BU24" s="357"/>
      <c r="BV24" s="357"/>
      <c r="BW24" s="357"/>
      <c r="BX24" s="272">
        <f t="shared" si="1"/>
        <v>30</v>
      </c>
      <c r="BY24" s="272">
        <f t="shared" si="1"/>
        <v>360</v>
      </c>
      <c r="BZ24" s="272">
        <f t="shared" si="2"/>
        <v>360</v>
      </c>
      <c r="CA24" s="273">
        <v>15</v>
      </c>
      <c r="CB24" s="273">
        <v>180</v>
      </c>
      <c r="CC24" s="273">
        <v>180</v>
      </c>
      <c r="CD24" s="273"/>
      <c r="CE24" s="273"/>
      <c r="CF24" s="273"/>
      <c r="CG24" s="273"/>
      <c r="CH24" s="273"/>
      <c r="CI24" s="273"/>
      <c r="CJ24" s="273">
        <v>15</v>
      </c>
      <c r="CK24" s="273">
        <v>180</v>
      </c>
      <c r="CL24" s="273">
        <v>180</v>
      </c>
      <c r="CM24" s="273"/>
      <c r="CN24" s="273"/>
      <c r="CO24" s="273"/>
      <c r="CP24" s="273"/>
      <c r="CQ24" s="273"/>
      <c r="CR24" s="273"/>
      <c r="CS24" s="273"/>
      <c r="CT24" s="273"/>
      <c r="CU24" s="273"/>
      <c r="CV24" s="273"/>
      <c r="CW24" s="273"/>
      <c r="CX24" s="273"/>
      <c r="CY24" s="273"/>
      <c r="CZ24" s="273"/>
      <c r="DA24" s="273"/>
      <c r="DB24" s="273"/>
      <c r="DC24" s="273"/>
      <c r="DD24" s="273"/>
      <c r="DE24" s="273"/>
      <c r="DF24" s="271"/>
      <c r="DG24" s="271"/>
      <c r="DH24" s="272">
        <f t="shared" si="3"/>
        <v>60</v>
      </c>
      <c r="DI24" s="272">
        <f t="shared" si="3"/>
        <v>720</v>
      </c>
      <c r="DJ24" s="324">
        <f t="shared" si="3"/>
        <v>720</v>
      </c>
      <c r="DK24" s="325"/>
      <c r="DL24" s="325"/>
    </row>
    <row r="25" spans="1:116" s="275" customFormat="1" ht="20.100000000000001" customHeight="1" x14ac:dyDescent="0.6">
      <c r="A25" s="234">
        <v>22</v>
      </c>
      <c r="B25" s="103" t="s">
        <v>445</v>
      </c>
      <c r="C25" s="103" t="s">
        <v>446</v>
      </c>
      <c r="D25" s="103" t="s">
        <v>123</v>
      </c>
      <c r="E25" s="148" t="s">
        <v>438</v>
      </c>
      <c r="F25" s="179" t="s">
        <v>431</v>
      </c>
      <c r="G25" s="322"/>
      <c r="H25" s="323"/>
      <c r="I25" s="322" t="s">
        <v>967</v>
      </c>
      <c r="J25" s="322" t="s">
        <v>959</v>
      </c>
      <c r="K25" s="241"/>
      <c r="L25" s="24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2">
        <f t="shared" si="4"/>
        <v>0</v>
      </c>
      <c r="AR25" s="272">
        <f t="shared" si="4"/>
        <v>0</v>
      </c>
      <c r="AS25" s="272">
        <f t="shared" si="4"/>
        <v>0</v>
      </c>
      <c r="AT25" s="357"/>
      <c r="AU25" s="357"/>
      <c r="AV25" s="357"/>
      <c r="AW25" s="357"/>
      <c r="AX25" s="357"/>
      <c r="AY25" s="357"/>
      <c r="AZ25" s="357"/>
      <c r="BA25" s="357"/>
      <c r="BB25" s="357"/>
      <c r="BC25" s="357"/>
      <c r="BD25" s="357"/>
      <c r="BE25" s="357"/>
      <c r="BF25" s="357"/>
      <c r="BG25" s="357"/>
      <c r="BH25" s="357"/>
      <c r="BI25" s="357"/>
      <c r="BJ25" s="357"/>
      <c r="BK25" s="357"/>
      <c r="BL25" s="357"/>
      <c r="BM25" s="357"/>
      <c r="BN25" s="357"/>
      <c r="BO25" s="357"/>
      <c r="BP25" s="357"/>
      <c r="BQ25" s="357"/>
      <c r="BR25" s="357"/>
      <c r="BS25" s="357"/>
      <c r="BT25" s="357"/>
      <c r="BU25" s="357"/>
      <c r="BV25" s="357"/>
      <c r="BW25" s="357"/>
      <c r="BX25" s="272">
        <f t="shared" si="1"/>
        <v>0</v>
      </c>
      <c r="BY25" s="272">
        <f t="shared" si="1"/>
        <v>0</v>
      </c>
      <c r="BZ25" s="272">
        <f t="shared" si="2"/>
        <v>0</v>
      </c>
      <c r="CA25" s="273"/>
      <c r="CB25" s="273"/>
      <c r="CC25" s="273"/>
      <c r="CD25" s="273"/>
      <c r="CE25" s="273"/>
      <c r="CF25" s="273"/>
      <c r="CG25" s="273"/>
      <c r="CH25" s="273"/>
      <c r="CI25" s="273"/>
      <c r="CJ25" s="273">
        <v>15</v>
      </c>
      <c r="CK25" s="273">
        <v>180</v>
      </c>
      <c r="CL25" s="273">
        <v>180</v>
      </c>
      <c r="CM25" s="273"/>
      <c r="CN25" s="273"/>
      <c r="CO25" s="273"/>
      <c r="CP25" s="273">
        <v>15</v>
      </c>
      <c r="CQ25" s="273">
        <v>180</v>
      </c>
      <c r="CR25" s="273">
        <v>180</v>
      </c>
      <c r="CS25" s="273"/>
      <c r="CT25" s="273"/>
      <c r="CU25" s="273"/>
      <c r="CV25" s="273"/>
      <c r="CW25" s="273"/>
      <c r="CX25" s="273"/>
      <c r="CY25" s="273"/>
      <c r="CZ25" s="273"/>
      <c r="DA25" s="273"/>
      <c r="DB25" s="273"/>
      <c r="DC25" s="273"/>
      <c r="DD25" s="273"/>
      <c r="DE25" s="273"/>
      <c r="DF25" s="271"/>
      <c r="DG25" s="271"/>
      <c r="DH25" s="272">
        <f t="shared" si="3"/>
        <v>30</v>
      </c>
      <c r="DI25" s="272">
        <f t="shared" si="3"/>
        <v>360</v>
      </c>
      <c r="DJ25" s="324">
        <f t="shared" si="3"/>
        <v>360</v>
      </c>
      <c r="DK25" s="325"/>
      <c r="DL25" s="325"/>
    </row>
    <row r="26" spans="1:116" s="275" customFormat="1" ht="20.100000000000001" customHeight="1" x14ac:dyDescent="0.6">
      <c r="A26" s="234">
        <v>23</v>
      </c>
      <c r="B26" s="103" t="s">
        <v>447</v>
      </c>
      <c r="C26" s="103" t="s">
        <v>448</v>
      </c>
      <c r="D26" s="103" t="s">
        <v>123</v>
      </c>
      <c r="E26" s="148" t="s">
        <v>438</v>
      </c>
      <c r="F26" s="179" t="s">
        <v>431</v>
      </c>
      <c r="G26" s="322"/>
      <c r="H26" s="323"/>
      <c r="I26" s="322" t="s">
        <v>968</v>
      </c>
      <c r="J26" s="322" t="s">
        <v>959</v>
      </c>
      <c r="K26" s="241"/>
      <c r="L26" s="241"/>
      <c r="M26" s="271"/>
      <c r="N26" s="271"/>
      <c r="O26" s="271"/>
      <c r="P26" s="271"/>
      <c r="Q26" s="271"/>
      <c r="R26" s="271"/>
      <c r="S26" s="271"/>
      <c r="T26" s="271"/>
      <c r="U26" s="271"/>
      <c r="V26" s="271">
        <v>37</v>
      </c>
      <c r="W26" s="271">
        <v>920</v>
      </c>
      <c r="X26" s="271">
        <v>478</v>
      </c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>
        <v>2</v>
      </c>
      <c r="AO26" s="271">
        <v>80</v>
      </c>
      <c r="AP26" s="271">
        <v>28</v>
      </c>
      <c r="AQ26" s="272">
        <f t="shared" si="4"/>
        <v>39</v>
      </c>
      <c r="AR26" s="272">
        <f t="shared" si="4"/>
        <v>1000</v>
      </c>
      <c r="AS26" s="272">
        <f t="shared" si="4"/>
        <v>506</v>
      </c>
      <c r="AT26" s="357"/>
      <c r="AU26" s="357"/>
      <c r="AV26" s="357"/>
      <c r="AW26" s="357"/>
      <c r="AX26" s="357"/>
      <c r="AY26" s="357"/>
      <c r="AZ26" s="357"/>
      <c r="BA26" s="357"/>
      <c r="BB26" s="357"/>
      <c r="BC26" s="357"/>
      <c r="BD26" s="357"/>
      <c r="BE26" s="357"/>
      <c r="BF26" s="357"/>
      <c r="BG26" s="357"/>
      <c r="BH26" s="357"/>
      <c r="BI26" s="357"/>
      <c r="BJ26" s="357"/>
      <c r="BK26" s="357"/>
      <c r="BL26" s="357"/>
      <c r="BM26" s="357"/>
      <c r="BN26" s="357"/>
      <c r="BO26" s="357"/>
      <c r="BP26" s="357"/>
      <c r="BQ26" s="357"/>
      <c r="BR26" s="357">
        <v>22</v>
      </c>
      <c r="BS26" s="357">
        <v>320</v>
      </c>
      <c r="BT26" s="357">
        <v>268</v>
      </c>
      <c r="BU26" s="357"/>
      <c r="BV26" s="357"/>
      <c r="BW26" s="357"/>
      <c r="BX26" s="272">
        <f t="shared" si="1"/>
        <v>61</v>
      </c>
      <c r="BY26" s="272">
        <f t="shared" si="1"/>
        <v>1320</v>
      </c>
      <c r="BZ26" s="272">
        <f t="shared" si="2"/>
        <v>774</v>
      </c>
      <c r="CA26" s="273"/>
      <c r="CB26" s="273"/>
      <c r="CC26" s="273"/>
      <c r="CD26" s="273"/>
      <c r="CE26" s="273"/>
      <c r="CF26" s="273"/>
      <c r="CG26" s="273"/>
      <c r="CH26" s="273"/>
      <c r="CI26" s="273"/>
      <c r="CJ26" s="273"/>
      <c r="CK26" s="273"/>
      <c r="CL26" s="273"/>
      <c r="CM26" s="273"/>
      <c r="CN26" s="273"/>
      <c r="CO26" s="273"/>
      <c r="CP26" s="273"/>
      <c r="CQ26" s="273"/>
      <c r="CR26" s="273"/>
      <c r="CS26" s="273"/>
      <c r="CT26" s="273"/>
      <c r="CU26" s="273"/>
      <c r="CV26" s="273"/>
      <c r="CW26" s="273"/>
      <c r="CX26" s="273"/>
      <c r="CY26" s="273"/>
      <c r="CZ26" s="273"/>
      <c r="DA26" s="273"/>
      <c r="DB26" s="273"/>
      <c r="DC26" s="273"/>
      <c r="DD26" s="273"/>
      <c r="DE26" s="273"/>
      <c r="DF26" s="271"/>
      <c r="DG26" s="271"/>
      <c r="DH26" s="272">
        <f t="shared" si="3"/>
        <v>61</v>
      </c>
      <c r="DI26" s="272">
        <f t="shared" si="3"/>
        <v>1320</v>
      </c>
      <c r="DJ26" s="324">
        <f t="shared" si="3"/>
        <v>774</v>
      </c>
      <c r="DK26" s="325"/>
      <c r="DL26" s="325"/>
    </row>
    <row r="27" spans="1:116" s="275" customFormat="1" ht="20.100000000000001" customHeight="1" x14ac:dyDescent="0.6">
      <c r="A27" s="234">
        <v>24</v>
      </c>
      <c r="B27" s="103" t="s">
        <v>449</v>
      </c>
      <c r="C27" s="103" t="s">
        <v>450</v>
      </c>
      <c r="D27" s="103" t="s">
        <v>123</v>
      </c>
      <c r="E27" s="148" t="s">
        <v>438</v>
      </c>
      <c r="F27" s="179" t="s">
        <v>431</v>
      </c>
      <c r="G27" s="322"/>
      <c r="H27" s="323"/>
      <c r="I27" s="322" t="s">
        <v>969</v>
      </c>
      <c r="J27" s="322" t="s">
        <v>959</v>
      </c>
      <c r="K27" s="241"/>
      <c r="L27" s="24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>
        <v>1</v>
      </c>
      <c r="AO27" s="271">
        <v>14</v>
      </c>
      <c r="AP27" s="271">
        <v>8.9600000000000009</v>
      </c>
      <c r="AQ27" s="272">
        <f t="shared" si="4"/>
        <v>1</v>
      </c>
      <c r="AR27" s="272">
        <f t="shared" si="4"/>
        <v>14</v>
      </c>
      <c r="AS27" s="272">
        <f t="shared" si="4"/>
        <v>8.9600000000000009</v>
      </c>
      <c r="AT27" s="357"/>
      <c r="AU27" s="357"/>
      <c r="AV27" s="357"/>
      <c r="AW27" s="357"/>
      <c r="AX27" s="357"/>
      <c r="AY27" s="357"/>
      <c r="AZ27" s="357"/>
      <c r="BA27" s="357"/>
      <c r="BB27" s="357"/>
      <c r="BC27" s="357"/>
      <c r="BD27" s="357"/>
      <c r="BE27" s="357"/>
      <c r="BF27" s="357"/>
      <c r="BG27" s="357"/>
      <c r="BH27" s="357"/>
      <c r="BI27" s="357"/>
      <c r="BJ27" s="357"/>
      <c r="BK27" s="357"/>
      <c r="BL27" s="357"/>
      <c r="BM27" s="357"/>
      <c r="BN27" s="357"/>
      <c r="BO27" s="357"/>
      <c r="BP27" s="357"/>
      <c r="BQ27" s="357"/>
      <c r="BR27" s="357"/>
      <c r="BS27" s="357"/>
      <c r="BT27" s="357"/>
      <c r="BU27" s="357"/>
      <c r="BV27" s="357"/>
      <c r="BW27" s="357"/>
      <c r="BX27" s="272">
        <f t="shared" si="1"/>
        <v>1</v>
      </c>
      <c r="BY27" s="272">
        <f t="shared" si="1"/>
        <v>14</v>
      </c>
      <c r="BZ27" s="272">
        <f t="shared" si="2"/>
        <v>8.9600000000000009</v>
      </c>
      <c r="CA27" s="273"/>
      <c r="CB27" s="273"/>
      <c r="CC27" s="273"/>
      <c r="CD27" s="273"/>
      <c r="CE27" s="273"/>
      <c r="CF27" s="273"/>
      <c r="CG27" s="273"/>
      <c r="CH27" s="273"/>
      <c r="CI27" s="273"/>
      <c r="CJ27" s="273">
        <v>20</v>
      </c>
      <c r="CK27" s="273">
        <v>520</v>
      </c>
      <c r="CL27" s="273">
        <v>260</v>
      </c>
      <c r="CM27" s="273"/>
      <c r="CN27" s="273"/>
      <c r="CO27" s="273"/>
      <c r="CP27" s="273"/>
      <c r="CQ27" s="273"/>
      <c r="CR27" s="273"/>
      <c r="CS27" s="273"/>
      <c r="CT27" s="273"/>
      <c r="CU27" s="273"/>
      <c r="CV27" s="273"/>
      <c r="CW27" s="273"/>
      <c r="CX27" s="273"/>
      <c r="CY27" s="273"/>
      <c r="CZ27" s="273"/>
      <c r="DA27" s="273"/>
      <c r="DB27" s="273"/>
      <c r="DC27" s="273"/>
      <c r="DD27" s="273"/>
      <c r="DE27" s="273"/>
      <c r="DF27" s="271"/>
      <c r="DG27" s="271"/>
      <c r="DH27" s="272">
        <f t="shared" si="3"/>
        <v>21</v>
      </c>
      <c r="DI27" s="272">
        <f t="shared" si="3"/>
        <v>534</v>
      </c>
      <c r="DJ27" s="324">
        <f t="shared" si="3"/>
        <v>268.95999999999998</v>
      </c>
      <c r="DK27" s="325"/>
      <c r="DL27" s="325"/>
    </row>
    <row r="28" spans="1:116" s="275" customFormat="1" ht="20.100000000000001" customHeight="1" x14ac:dyDescent="0.6">
      <c r="A28" s="234">
        <v>25</v>
      </c>
      <c r="B28" s="103">
        <v>494</v>
      </c>
      <c r="C28" s="103">
        <v>494</v>
      </c>
      <c r="D28" s="103" t="s">
        <v>123</v>
      </c>
      <c r="E28" s="148" t="s">
        <v>438</v>
      </c>
      <c r="F28" s="179" t="s">
        <v>431</v>
      </c>
      <c r="G28" s="322"/>
      <c r="H28" s="323"/>
      <c r="I28" s="322" t="s">
        <v>970</v>
      </c>
      <c r="J28" s="322" t="s">
        <v>959</v>
      </c>
      <c r="K28" s="241"/>
      <c r="L28" s="241"/>
      <c r="M28" s="271"/>
      <c r="N28" s="271"/>
      <c r="O28" s="271"/>
      <c r="P28" s="271">
        <v>17</v>
      </c>
      <c r="Q28" s="271">
        <v>260</v>
      </c>
      <c r="R28" s="271">
        <v>208</v>
      </c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2">
        <f t="shared" si="4"/>
        <v>17</v>
      </c>
      <c r="AR28" s="272">
        <f t="shared" si="4"/>
        <v>260</v>
      </c>
      <c r="AS28" s="272">
        <f t="shared" si="4"/>
        <v>208</v>
      </c>
      <c r="AT28" s="357"/>
      <c r="AU28" s="357"/>
      <c r="AV28" s="357"/>
      <c r="AW28" s="357">
        <v>17</v>
      </c>
      <c r="AX28" s="357">
        <v>680</v>
      </c>
      <c r="AY28" s="357">
        <v>238</v>
      </c>
      <c r="AZ28" s="357"/>
      <c r="BA28" s="357"/>
      <c r="BB28" s="357"/>
      <c r="BC28" s="357"/>
      <c r="BD28" s="357"/>
      <c r="BE28" s="357"/>
      <c r="BF28" s="357"/>
      <c r="BG28" s="357"/>
      <c r="BH28" s="357"/>
      <c r="BI28" s="357"/>
      <c r="BJ28" s="357"/>
      <c r="BK28" s="357"/>
      <c r="BL28" s="357"/>
      <c r="BM28" s="357"/>
      <c r="BN28" s="357"/>
      <c r="BO28" s="357"/>
      <c r="BP28" s="357"/>
      <c r="BQ28" s="357"/>
      <c r="BR28" s="357"/>
      <c r="BS28" s="357"/>
      <c r="BT28" s="357"/>
      <c r="BU28" s="357"/>
      <c r="BV28" s="357"/>
      <c r="BW28" s="357"/>
      <c r="BX28" s="272">
        <f t="shared" si="1"/>
        <v>34</v>
      </c>
      <c r="BY28" s="272">
        <f t="shared" si="1"/>
        <v>940</v>
      </c>
      <c r="BZ28" s="272">
        <f t="shared" si="2"/>
        <v>446</v>
      </c>
      <c r="CA28" s="273"/>
      <c r="CB28" s="273"/>
      <c r="CC28" s="273"/>
      <c r="CD28" s="273"/>
      <c r="CE28" s="273"/>
      <c r="CF28" s="273"/>
      <c r="CG28" s="273"/>
      <c r="CH28" s="273"/>
      <c r="CI28" s="273"/>
      <c r="CJ28" s="273"/>
      <c r="CK28" s="273"/>
      <c r="CL28" s="273"/>
      <c r="CM28" s="273"/>
      <c r="CN28" s="273"/>
      <c r="CO28" s="273"/>
      <c r="CP28" s="273">
        <v>18</v>
      </c>
      <c r="CQ28" s="273">
        <v>222</v>
      </c>
      <c r="CR28" s="273">
        <v>206.88</v>
      </c>
      <c r="CS28" s="273"/>
      <c r="CT28" s="273"/>
      <c r="CU28" s="273"/>
      <c r="CV28" s="273"/>
      <c r="CW28" s="273"/>
      <c r="CX28" s="273"/>
      <c r="CY28" s="273"/>
      <c r="CZ28" s="273"/>
      <c r="DA28" s="273"/>
      <c r="DB28" s="273"/>
      <c r="DC28" s="273"/>
      <c r="DD28" s="273"/>
      <c r="DE28" s="273"/>
      <c r="DF28" s="271"/>
      <c r="DG28" s="271"/>
      <c r="DH28" s="272">
        <f t="shared" si="3"/>
        <v>52</v>
      </c>
      <c r="DI28" s="272">
        <f t="shared" si="3"/>
        <v>1162</v>
      </c>
      <c r="DJ28" s="324">
        <f t="shared" si="3"/>
        <v>652.88</v>
      </c>
      <c r="DK28" s="325"/>
      <c r="DL28" s="325"/>
    </row>
    <row r="29" spans="1:116" s="275" customFormat="1" ht="20.100000000000001" customHeight="1" x14ac:dyDescent="0.6">
      <c r="A29" s="234">
        <v>26</v>
      </c>
      <c r="B29" s="103" t="s">
        <v>451</v>
      </c>
      <c r="C29" s="103" t="s">
        <v>451</v>
      </c>
      <c r="D29" s="103" t="s">
        <v>108</v>
      </c>
      <c r="E29" s="148" t="s">
        <v>109</v>
      </c>
      <c r="F29" s="179" t="s">
        <v>431</v>
      </c>
      <c r="G29" s="322"/>
      <c r="H29" s="323"/>
      <c r="I29" s="322" t="s">
        <v>971</v>
      </c>
      <c r="J29" s="322" t="s">
        <v>959</v>
      </c>
      <c r="K29" s="241"/>
      <c r="L29" s="24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>
        <v>15</v>
      </c>
      <c r="AF29" s="271">
        <v>600</v>
      </c>
      <c r="AG29" s="271">
        <v>210</v>
      </c>
      <c r="AH29" s="271"/>
      <c r="AI29" s="271"/>
      <c r="AJ29" s="271"/>
      <c r="AK29" s="271"/>
      <c r="AL29" s="271"/>
      <c r="AM29" s="271"/>
      <c r="AN29" s="271"/>
      <c r="AO29" s="271"/>
      <c r="AP29" s="271"/>
      <c r="AQ29" s="272">
        <f t="shared" si="4"/>
        <v>15</v>
      </c>
      <c r="AR29" s="272">
        <f t="shared" si="4"/>
        <v>600</v>
      </c>
      <c r="AS29" s="272">
        <f t="shared" si="4"/>
        <v>210</v>
      </c>
      <c r="AT29" s="356"/>
      <c r="AU29" s="356"/>
      <c r="AV29" s="356"/>
      <c r="AW29" s="356"/>
      <c r="AX29" s="356"/>
      <c r="AY29" s="356"/>
      <c r="AZ29" s="356"/>
      <c r="BA29" s="356"/>
      <c r="BB29" s="356"/>
      <c r="BC29" s="356">
        <v>45</v>
      </c>
      <c r="BD29" s="356">
        <v>550</v>
      </c>
      <c r="BE29" s="356">
        <v>524.79999999999995</v>
      </c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272">
        <f t="shared" si="1"/>
        <v>60</v>
      </c>
      <c r="BY29" s="272">
        <f t="shared" si="1"/>
        <v>1150</v>
      </c>
      <c r="BZ29" s="272">
        <f t="shared" si="2"/>
        <v>734.8</v>
      </c>
      <c r="CA29" s="273">
        <v>30</v>
      </c>
      <c r="CB29" s="273">
        <v>360</v>
      </c>
      <c r="CC29" s="273">
        <v>360</v>
      </c>
      <c r="CD29" s="273"/>
      <c r="CE29" s="273"/>
      <c r="CF29" s="273"/>
      <c r="CG29" s="273"/>
      <c r="CH29" s="273"/>
      <c r="CI29" s="273"/>
      <c r="CJ29" s="273"/>
      <c r="CK29" s="273"/>
      <c r="CL29" s="273"/>
      <c r="CM29" s="273"/>
      <c r="CN29" s="273"/>
      <c r="CO29" s="273"/>
      <c r="CP29" s="273"/>
      <c r="CQ29" s="273"/>
      <c r="CR29" s="273"/>
      <c r="CS29" s="273"/>
      <c r="CT29" s="273"/>
      <c r="CU29" s="273"/>
      <c r="CV29" s="273"/>
      <c r="CW29" s="273"/>
      <c r="CX29" s="273"/>
      <c r="CY29" s="273"/>
      <c r="CZ29" s="273"/>
      <c r="DA29" s="273"/>
      <c r="DB29" s="273"/>
      <c r="DC29" s="273"/>
      <c r="DD29" s="273"/>
      <c r="DE29" s="273"/>
      <c r="DF29" s="271"/>
      <c r="DG29" s="271"/>
      <c r="DH29" s="272">
        <f t="shared" si="3"/>
        <v>90</v>
      </c>
      <c r="DI29" s="272">
        <f t="shared" si="3"/>
        <v>1510</v>
      </c>
      <c r="DJ29" s="324">
        <f t="shared" si="3"/>
        <v>1094.8</v>
      </c>
      <c r="DK29" s="325"/>
      <c r="DL29" s="325"/>
    </row>
    <row r="30" spans="1:116" s="275" customFormat="1" ht="20.100000000000001" customHeight="1" x14ac:dyDescent="0.6">
      <c r="A30" s="234">
        <v>27</v>
      </c>
      <c r="B30" s="103" t="s">
        <v>452</v>
      </c>
      <c r="C30" s="103" t="s">
        <v>452</v>
      </c>
      <c r="D30" s="103" t="s">
        <v>123</v>
      </c>
      <c r="E30" s="148" t="s">
        <v>438</v>
      </c>
      <c r="F30" s="179" t="s">
        <v>431</v>
      </c>
      <c r="G30" s="322"/>
      <c r="H30" s="323"/>
      <c r="I30" s="322" t="s">
        <v>972</v>
      </c>
      <c r="J30" s="322" t="s">
        <v>959</v>
      </c>
      <c r="K30" s="241"/>
      <c r="L30" s="241"/>
      <c r="M30" s="271"/>
      <c r="N30" s="271"/>
      <c r="O30" s="271"/>
      <c r="P30" s="271"/>
      <c r="Q30" s="271"/>
      <c r="R30" s="271"/>
      <c r="S30" s="271"/>
      <c r="T30" s="271"/>
      <c r="U30" s="271"/>
      <c r="V30" s="271">
        <v>10</v>
      </c>
      <c r="W30" s="271">
        <v>176</v>
      </c>
      <c r="X30" s="271">
        <v>109.6</v>
      </c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2">
        <f t="shared" si="4"/>
        <v>10</v>
      </c>
      <c r="AR30" s="272">
        <f t="shared" si="4"/>
        <v>176</v>
      </c>
      <c r="AS30" s="272">
        <f t="shared" si="4"/>
        <v>109.6</v>
      </c>
      <c r="AT30" s="357"/>
      <c r="AU30" s="357"/>
      <c r="AV30" s="357"/>
      <c r="AW30" s="357"/>
      <c r="AX30" s="357"/>
      <c r="AY30" s="357"/>
      <c r="AZ30" s="357"/>
      <c r="BA30" s="357"/>
      <c r="BB30" s="357"/>
      <c r="BC30" s="357"/>
      <c r="BD30" s="357"/>
      <c r="BE30" s="357"/>
      <c r="BF30" s="357"/>
      <c r="BG30" s="357"/>
      <c r="BH30" s="357"/>
      <c r="BI30" s="357"/>
      <c r="BJ30" s="357"/>
      <c r="BK30" s="357"/>
      <c r="BL30" s="357"/>
      <c r="BM30" s="357"/>
      <c r="BN30" s="357"/>
      <c r="BO30" s="357"/>
      <c r="BP30" s="357"/>
      <c r="BQ30" s="357"/>
      <c r="BR30" s="357">
        <v>15</v>
      </c>
      <c r="BS30" s="357">
        <v>180</v>
      </c>
      <c r="BT30" s="357">
        <v>180</v>
      </c>
      <c r="BU30" s="357"/>
      <c r="BV30" s="357"/>
      <c r="BW30" s="357"/>
      <c r="BX30" s="272">
        <f t="shared" si="1"/>
        <v>25</v>
      </c>
      <c r="BY30" s="272">
        <f t="shared" si="1"/>
        <v>356</v>
      </c>
      <c r="BZ30" s="272">
        <f t="shared" si="2"/>
        <v>289.60000000000002</v>
      </c>
      <c r="CA30" s="273"/>
      <c r="CB30" s="273"/>
      <c r="CC30" s="273"/>
      <c r="CD30" s="273"/>
      <c r="CE30" s="273"/>
      <c r="CF30" s="273"/>
      <c r="CG30" s="273">
        <v>9</v>
      </c>
      <c r="CH30" s="273">
        <v>164</v>
      </c>
      <c r="CI30" s="273">
        <v>102.4</v>
      </c>
      <c r="CJ30" s="273"/>
      <c r="CK30" s="273"/>
      <c r="CL30" s="273"/>
      <c r="CM30" s="273"/>
      <c r="CN30" s="273"/>
      <c r="CO30" s="273"/>
      <c r="CP30" s="273">
        <v>15</v>
      </c>
      <c r="CQ30" s="273">
        <v>460</v>
      </c>
      <c r="CR30" s="273">
        <v>200</v>
      </c>
      <c r="CS30" s="273"/>
      <c r="CT30" s="273"/>
      <c r="CU30" s="273"/>
      <c r="CV30" s="273"/>
      <c r="CW30" s="273"/>
      <c r="CX30" s="273"/>
      <c r="CY30" s="273"/>
      <c r="CZ30" s="273"/>
      <c r="DA30" s="273"/>
      <c r="DB30" s="273"/>
      <c r="DC30" s="273"/>
      <c r="DD30" s="273"/>
      <c r="DE30" s="273"/>
      <c r="DF30" s="271"/>
      <c r="DG30" s="271"/>
      <c r="DH30" s="272">
        <f t="shared" si="3"/>
        <v>49</v>
      </c>
      <c r="DI30" s="272">
        <f t="shared" si="3"/>
        <v>980</v>
      </c>
      <c r="DJ30" s="324">
        <f t="shared" si="3"/>
        <v>592</v>
      </c>
      <c r="DK30" s="325"/>
      <c r="DL30" s="325"/>
    </row>
    <row r="31" spans="1:116" s="275" customFormat="1" ht="20.100000000000001" customHeight="1" x14ac:dyDescent="0.6">
      <c r="A31" s="234">
        <v>28</v>
      </c>
      <c r="B31" s="103" t="s">
        <v>453</v>
      </c>
      <c r="C31" s="103" t="s">
        <v>454</v>
      </c>
      <c r="D31" s="103" t="s">
        <v>430</v>
      </c>
      <c r="E31" s="148" t="s">
        <v>120</v>
      </c>
      <c r="F31" s="179" t="s">
        <v>431</v>
      </c>
      <c r="G31" s="322"/>
      <c r="H31" s="323"/>
      <c r="I31" s="322"/>
      <c r="J31" s="322" t="s">
        <v>959</v>
      </c>
      <c r="K31" s="241"/>
      <c r="L31" s="24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2">
        <f t="shared" si="4"/>
        <v>0</v>
      </c>
      <c r="AR31" s="272">
        <f t="shared" si="4"/>
        <v>0</v>
      </c>
      <c r="AS31" s="272">
        <f t="shared" si="4"/>
        <v>0</v>
      </c>
      <c r="AT31" s="356">
        <v>105</v>
      </c>
      <c r="AU31" s="356">
        <v>1400</v>
      </c>
      <c r="AV31" s="356">
        <v>1270</v>
      </c>
      <c r="AW31" s="356"/>
      <c r="AX31" s="356"/>
      <c r="AY31" s="356"/>
      <c r="AZ31" s="356"/>
      <c r="BA31" s="356"/>
      <c r="BB31" s="356"/>
      <c r="BC31" s="356"/>
      <c r="BD31" s="356"/>
      <c r="BE31" s="356"/>
      <c r="BF31" s="356"/>
      <c r="BG31" s="356"/>
      <c r="BH31" s="356"/>
      <c r="BI31" s="356"/>
      <c r="BJ31" s="356"/>
      <c r="BK31" s="356"/>
      <c r="BL31" s="356">
        <v>10</v>
      </c>
      <c r="BM31" s="356">
        <v>120</v>
      </c>
      <c r="BN31" s="356">
        <v>72</v>
      </c>
      <c r="BO31" s="356"/>
      <c r="BP31" s="356"/>
      <c r="BQ31" s="356"/>
      <c r="BR31" s="356">
        <v>40</v>
      </c>
      <c r="BS31" s="356">
        <v>1040</v>
      </c>
      <c r="BT31" s="356">
        <v>424</v>
      </c>
      <c r="BU31" s="356"/>
      <c r="BV31" s="356"/>
      <c r="BW31" s="356"/>
      <c r="BX31" s="272">
        <f t="shared" si="1"/>
        <v>155</v>
      </c>
      <c r="BY31" s="272">
        <f t="shared" si="1"/>
        <v>2560</v>
      </c>
      <c r="BZ31" s="272">
        <f t="shared" si="2"/>
        <v>1766</v>
      </c>
      <c r="CA31" s="273"/>
      <c r="CB31" s="273"/>
      <c r="CC31" s="273"/>
      <c r="CD31" s="273"/>
      <c r="CE31" s="273"/>
      <c r="CF31" s="273"/>
      <c r="CG31" s="273"/>
      <c r="CH31" s="273"/>
      <c r="CI31" s="273"/>
      <c r="CJ31" s="273"/>
      <c r="CK31" s="273"/>
      <c r="CL31" s="273"/>
      <c r="CM31" s="273"/>
      <c r="CN31" s="273"/>
      <c r="CO31" s="273"/>
      <c r="CP31" s="273"/>
      <c r="CQ31" s="273"/>
      <c r="CR31" s="273"/>
      <c r="CS31" s="273"/>
      <c r="CT31" s="273"/>
      <c r="CU31" s="273"/>
      <c r="CV31" s="273"/>
      <c r="CW31" s="273"/>
      <c r="CX31" s="273"/>
      <c r="CY31" s="273"/>
      <c r="CZ31" s="273"/>
      <c r="DA31" s="273"/>
      <c r="DB31" s="273"/>
      <c r="DC31" s="273"/>
      <c r="DD31" s="273"/>
      <c r="DE31" s="273"/>
      <c r="DF31" s="271"/>
      <c r="DG31" s="271"/>
      <c r="DH31" s="272">
        <f t="shared" si="3"/>
        <v>155</v>
      </c>
      <c r="DI31" s="272">
        <f t="shared" si="3"/>
        <v>2560</v>
      </c>
      <c r="DJ31" s="324">
        <f t="shared" si="3"/>
        <v>1766</v>
      </c>
      <c r="DK31" s="325"/>
      <c r="DL31" s="325"/>
    </row>
    <row r="32" spans="1:116" s="275" customFormat="1" ht="20.100000000000001" customHeight="1" x14ac:dyDescent="0.6">
      <c r="A32" s="234">
        <v>29</v>
      </c>
      <c r="B32" s="103" t="s">
        <v>455</v>
      </c>
      <c r="C32" s="103" t="s">
        <v>456</v>
      </c>
      <c r="D32" s="103" t="s">
        <v>430</v>
      </c>
      <c r="E32" s="148" t="s">
        <v>120</v>
      </c>
      <c r="F32" s="179" t="s">
        <v>431</v>
      </c>
      <c r="G32" s="322"/>
      <c r="H32" s="323"/>
      <c r="I32" s="322" t="s">
        <v>973</v>
      </c>
      <c r="J32" s="322" t="s">
        <v>974</v>
      </c>
      <c r="K32" s="241"/>
      <c r="L32" s="24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2">
        <f t="shared" si="4"/>
        <v>0</v>
      </c>
      <c r="AR32" s="272">
        <f t="shared" si="4"/>
        <v>0</v>
      </c>
      <c r="AS32" s="272">
        <f t="shared" si="4"/>
        <v>0</v>
      </c>
      <c r="AT32" s="356"/>
      <c r="AU32" s="356"/>
      <c r="AV32" s="356"/>
      <c r="AW32" s="356"/>
      <c r="AX32" s="356"/>
      <c r="AY32" s="356"/>
      <c r="AZ32" s="356">
        <v>10</v>
      </c>
      <c r="BA32" s="356">
        <v>120</v>
      </c>
      <c r="BB32" s="356">
        <v>96</v>
      </c>
      <c r="BC32" s="356"/>
      <c r="BD32" s="356"/>
      <c r="BE32" s="356"/>
      <c r="BF32" s="356"/>
      <c r="BG32" s="356"/>
      <c r="BH32" s="356"/>
      <c r="BI32" s="356"/>
      <c r="BJ32" s="356"/>
      <c r="BK32" s="356"/>
      <c r="BL32" s="356"/>
      <c r="BM32" s="356"/>
      <c r="BN32" s="356"/>
      <c r="BO32" s="356"/>
      <c r="BP32" s="356"/>
      <c r="BQ32" s="356"/>
      <c r="BR32" s="356"/>
      <c r="BS32" s="356"/>
      <c r="BT32" s="356"/>
      <c r="BU32" s="356"/>
      <c r="BV32" s="356"/>
      <c r="BW32" s="356"/>
      <c r="BX32" s="272">
        <f t="shared" si="1"/>
        <v>10</v>
      </c>
      <c r="BY32" s="272">
        <f t="shared" si="1"/>
        <v>120</v>
      </c>
      <c r="BZ32" s="272">
        <f t="shared" si="2"/>
        <v>96</v>
      </c>
      <c r="CA32" s="273"/>
      <c r="CB32" s="273"/>
      <c r="CC32" s="273"/>
      <c r="CD32" s="273"/>
      <c r="CE32" s="273"/>
      <c r="CF32" s="273"/>
      <c r="CG32" s="273"/>
      <c r="CH32" s="273"/>
      <c r="CI32" s="273"/>
      <c r="CJ32" s="273"/>
      <c r="CK32" s="273"/>
      <c r="CL32" s="273"/>
      <c r="CM32" s="273"/>
      <c r="CN32" s="273"/>
      <c r="CO32" s="273"/>
      <c r="CP32" s="273"/>
      <c r="CQ32" s="273"/>
      <c r="CR32" s="273"/>
      <c r="CS32" s="273"/>
      <c r="CT32" s="273"/>
      <c r="CU32" s="273"/>
      <c r="CV32" s="273"/>
      <c r="CW32" s="273"/>
      <c r="CX32" s="273"/>
      <c r="CY32" s="273"/>
      <c r="CZ32" s="273"/>
      <c r="DA32" s="273"/>
      <c r="DB32" s="273"/>
      <c r="DC32" s="273"/>
      <c r="DD32" s="273"/>
      <c r="DE32" s="273"/>
      <c r="DF32" s="271"/>
      <c r="DG32" s="271"/>
      <c r="DH32" s="272">
        <f t="shared" si="3"/>
        <v>10</v>
      </c>
      <c r="DI32" s="272">
        <f t="shared" si="3"/>
        <v>120</v>
      </c>
      <c r="DJ32" s="324">
        <f t="shared" si="3"/>
        <v>96</v>
      </c>
      <c r="DK32" s="325"/>
      <c r="DL32" s="325"/>
    </row>
    <row r="33" spans="1:116" s="275" customFormat="1" ht="20.100000000000001" customHeight="1" x14ac:dyDescent="0.6">
      <c r="A33" s="234">
        <v>30</v>
      </c>
      <c r="B33" s="103" t="s">
        <v>457</v>
      </c>
      <c r="C33" s="103" t="s">
        <v>458</v>
      </c>
      <c r="D33" s="103" t="s">
        <v>123</v>
      </c>
      <c r="E33" s="148" t="s">
        <v>438</v>
      </c>
      <c r="F33" s="179" t="s">
        <v>431</v>
      </c>
      <c r="G33" s="322"/>
      <c r="H33" s="323"/>
      <c r="I33" s="322" t="s">
        <v>975</v>
      </c>
      <c r="J33" s="322" t="s">
        <v>974</v>
      </c>
      <c r="K33" s="241"/>
      <c r="L33" s="24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2">
        <f t="shared" si="4"/>
        <v>0</v>
      </c>
      <c r="AR33" s="272">
        <f t="shared" si="4"/>
        <v>0</v>
      </c>
      <c r="AS33" s="272">
        <f t="shared" si="4"/>
        <v>0</v>
      </c>
      <c r="AT33" s="356"/>
      <c r="AU33" s="356"/>
      <c r="AV33" s="356"/>
      <c r="AW33" s="356">
        <v>25</v>
      </c>
      <c r="AX33" s="356">
        <v>350</v>
      </c>
      <c r="AY33" s="356">
        <v>224</v>
      </c>
      <c r="AZ33" s="356"/>
      <c r="BA33" s="356"/>
      <c r="BB33" s="356"/>
      <c r="BC33" s="356"/>
      <c r="BD33" s="356"/>
      <c r="BE33" s="356"/>
      <c r="BF33" s="356"/>
      <c r="BG33" s="356"/>
      <c r="BH33" s="356"/>
      <c r="BI33" s="356"/>
      <c r="BJ33" s="356"/>
      <c r="BK33" s="356"/>
      <c r="BL33" s="356"/>
      <c r="BM33" s="356"/>
      <c r="BN33" s="356"/>
      <c r="BO33" s="356"/>
      <c r="BP33" s="356"/>
      <c r="BQ33" s="356"/>
      <c r="BR33" s="356"/>
      <c r="BS33" s="356"/>
      <c r="BT33" s="356"/>
      <c r="BU33" s="356"/>
      <c r="BV33" s="356"/>
      <c r="BW33" s="356"/>
      <c r="BX33" s="272">
        <f t="shared" si="1"/>
        <v>25</v>
      </c>
      <c r="BY33" s="272">
        <f t="shared" si="1"/>
        <v>350</v>
      </c>
      <c r="BZ33" s="272">
        <f t="shared" si="2"/>
        <v>224</v>
      </c>
      <c r="CA33" s="273"/>
      <c r="CB33" s="273"/>
      <c r="CC33" s="273"/>
      <c r="CD33" s="273"/>
      <c r="CE33" s="273"/>
      <c r="CF33" s="273"/>
      <c r="CG33" s="273"/>
      <c r="CH33" s="273"/>
      <c r="CI33" s="273"/>
      <c r="CJ33" s="273"/>
      <c r="CK33" s="273"/>
      <c r="CL33" s="273"/>
      <c r="CM33" s="273"/>
      <c r="CN33" s="273"/>
      <c r="CO33" s="273"/>
      <c r="CP33" s="273"/>
      <c r="CQ33" s="273"/>
      <c r="CR33" s="273"/>
      <c r="CS33" s="273"/>
      <c r="CT33" s="273"/>
      <c r="CU33" s="273"/>
      <c r="CV33" s="273"/>
      <c r="CW33" s="273"/>
      <c r="CX33" s="273"/>
      <c r="CY33" s="273"/>
      <c r="CZ33" s="273"/>
      <c r="DA33" s="273"/>
      <c r="DB33" s="273"/>
      <c r="DC33" s="273"/>
      <c r="DD33" s="273"/>
      <c r="DE33" s="273"/>
      <c r="DF33" s="271"/>
      <c r="DG33" s="271"/>
      <c r="DH33" s="272">
        <f t="shared" si="3"/>
        <v>25</v>
      </c>
      <c r="DI33" s="272">
        <f t="shared" si="3"/>
        <v>350</v>
      </c>
      <c r="DJ33" s="324">
        <f t="shared" si="3"/>
        <v>224</v>
      </c>
      <c r="DK33" s="325"/>
      <c r="DL33" s="325"/>
    </row>
    <row r="34" spans="1:116" s="275" customFormat="1" ht="20.100000000000001" customHeight="1" x14ac:dyDescent="0.6">
      <c r="A34" s="234">
        <v>31</v>
      </c>
      <c r="B34" s="103" t="s">
        <v>459</v>
      </c>
      <c r="C34" s="103" t="s">
        <v>73</v>
      </c>
      <c r="D34" s="103" t="s">
        <v>430</v>
      </c>
      <c r="E34" s="148" t="s">
        <v>120</v>
      </c>
      <c r="F34" s="179" t="s">
        <v>431</v>
      </c>
      <c r="G34" s="322"/>
      <c r="H34" s="323"/>
      <c r="I34" s="322" t="s">
        <v>976</v>
      </c>
      <c r="J34" s="322" t="s">
        <v>974</v>
      </c>
      <c r="K34" s="241"/>
      <c r="L34" s="241"/>
      <c r="M34" s="271"/>
      <c r="N34" s="271"/>
      <c r="O34" s="271"/>
      <c r="P34" s="271"/>
      <c r="Q34" s="271"/>
      <c r="R34" s="271"/>
      <c r="S34" s="271">
        <v>22</v>
      </c>
      <c r="T34" s="271">
        <v>308</v>
      </c>
      <c r="U34" s="271">
        <v>227.28</v>
      </c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2">
        <f t="shared" si="4"/>
        <v>22</v>
      </c>
      <c r="AR34" s="272">
        <f t="shared" si="4"/>
        <v>308</v>
      </c>
      <c r="AS34" s="272">
        <f t="shared" si="4"/>
        <v>227.28</v>
      </c>
      <c r="AT34" s="356"/>
      <c r="AU34" s="356"/>
      <c r="AV34" s="356"/>
      <c r="AW34" s="356"/>
      <c r="AX34" s="356"/>
      <c r="AY34" s="356"/>
      <c r="AZ34" s="356"/>
      <c r="BA34" s="356"/>
      <c r="BB34" s="356"/>
      <c r="BC34" s="356"/>
      <c r="BD34" s="356"/>
      <c r="BE34" s="356"/>
      <c r="BF34" s="356"/>
      <c r="BG34" s="356"/>
      <c r="BH34" s="356"/>
      <c r="BI34" s="356"/>
      <c r="BJ34" s="356"/>
      <c r="BK34" s="356"/>
      <c r="BL34" s="356"/>
      <c r="BM34" s="356"/>
      <c r="BN34" s="356"/>
      <c r="BO34" s="356">
        <v>16</v>
      </c>
      <c r="BP34" s="356">
        <v>256</v>
      </c>
      <c r="BQ34" s="356">
        <v>174.24</v>
      </c>
      <c r="BR34" s="356"/>
      <c r="BS34" s="356"/>
      <c r="BT34" s="356"/>
      <c r="BU34" s="356"/>
      <c r="BV34" s="356"/>
      <c r="BW34" s="356"/>
      <c r="BX34" s="272">
        <f t="shared" si="1"/>
        <v>38</v>
      </c>
      <c r="BY34" s="272">
        <f t="shared" si="1"/>
        <v>564</v>
      </c>
      <c r="BZ34" s="272">
        <f t="shared" si="2"/>
        <v>401.52</v>
      </c>
      <c r="CA34" s="273"/>
      <c r="CB34" s="273"/>
      <c r="CC34" s="273"/>
      <c r="CD34" s="273"/>
      <c r="CE34" s="273"/>
      <c r="CF34" s="273"/>
      <c r="CG34" s="273"/>
      <c r="CH34" s="273"/>
      <c r="CI34" s="273"/>
      <c r="CJ34" s="273"/>
      <c r="CK34" s="273"/>
      <c r="CL34" s="273"/>
      <c r="CM34" s="273"/>
      <c r="CN34" s="273"/>
      <c r="CO34" s="273"/>
      <c r="CP34" s="273"/>
      <c r="CQ34" s="273"/>
      <c r="CR34" s="273"/>
      <c r="CS34" s="273"/>
      <c r="CT34" s="273"/>
      <c r="CU34" s="273"/>
      <c r="CV34" s="273"/>
      <c r="CW34" s="273"/>
      <c r="CX34" s="273"/>
      <c r="CY34" s="273"/>
      <c r="CZ34" s="273"/>
      <c r="DA34" s="273"/>
      <c r="DB34" s="273"/>
      <c r="DC34" s="273"/>
      <c r="DD34" s="273"/>
      <c r="DE34" s="273"/>
      <c r="DF34" s="271"/>
      <c r="DG34" s="271"/>
      <c r="DH34" s="272">
        <f t="shared" si="3"/>
        <v>38</v>
      </c>
      <c r="DI34" s="272">
        <f t="shared" si="3"/>
        <v>564</v>
      </c>
      <c r="DJ34" s="324">
        <f t="shared" si="3"/>
        <v>401.52</v>
      </c>
      <c r="DK34" s="325"/>
      <c r="DL34" s="325"/>
    </row>
    <row r="35" spans="1:116" s="275" customFormat="1" ht="20.100000000000001" customHeight="1" x14ac:dyDescent="0.6">
      <c r="A35" s="234">
        <v>32</v>
      </c>
      <c r="B35" s="103" t="s">
        <v>460</v>
      </c>
      <c r="C35" s="103" t="s">
        <v>461</v>
      </c>
      <c r="D35" s="103" t="s">
        <v>304</v>
      </c>
      <c r="E35" s="148" t="s">
        <v>305</v>
      </c>
      <c r="F35" s="179" t="s">
        <v>462</v>
      </c>
      <c r="G35" s="322"/>
      <c r="H35" s="323"/>
      <c r="I35" s="322" t="s">
        <v>977</v>
      </c>
      <c r="J35" s="322" t="s">
        <v>974</v>
      </c>
      <c r="K35" s="241"/>
      <c r="L35" s="241"/>
      <c r="M35" s="271"/>
      <c r="N35" s="271"/>
      <c r="O35" s="271"/>
      <c r="P35" s="271"/>
      <c r="Q35" s="271"/>
      <c r="R35" s="271"/>
      <c r="S35" s="271">
        <v>15</v>
      </c>
      <c r="T35" s="271">
        <v>180</v>
      </c>
      <c r="U35" s="271">
        <v>180</v>
      </c>
      <c r="V35" s="271">
        <v>15</v>
      </c>
      <c r="W35" s="271">
        <v>180</v>
      </c>
      <c r="X35" s="271">
        <v>180</v>
      </c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2">
        <f t="shared" si="4"/>
        <v>30</v>
      </c>
      <c r="AR35" s="272">
        <f t="shared" si="4"/>
        <v>360</v>
      </c>
      <c r="AS35" s="272">
        <f t="shared" si="4"/>
        <v>360</v>
      </c>
      <c r="AT35" s="357"/>
      <c r="AU35" s="357"/>
      <c r="AV35" s="357"/>
      <c r="AW35" s="357"/>
      <c r="AX35" s="357"/>
      <c r="AY35" s="357"/>
      <c r="AZ35" s="357"/>
      <c r="BA35" s="357"/>
      <c r="BB35" s="357"/>
      <c r="BC35" s="357">
        <v>10</v>
      </c>
      <c r="BD35" s="357">
        <v>120</v>
      </c>
      <c r="BE35" s="357">
        <v>120</v>
      </c>
      <c r="BF35" s="357"/>
      <c r="BG35" s="357"/>
      <c r="BH35" s="357"/>
      <c r="BI35" s="357"/>
      <c r="BJ35" s="357"/>
      <c r="BK35" s="357"/>
      <c r="BL35" s="357"/>
      <c r="BM35" s="357"/>
      <c r="BN35" s="357"/>
      <c r="BO35" s="357"/>
      <c r="BP35" s="357"/>
      <c r="BQ35" s="357"/>
      <c r="BR35" s="357"/>
      <c r="BS35" s="357"/>
      <c r="BT35" s="357"/>
      <c r="BU35" s="357"/>
      <c r="BV35" s="357"/>
      <c r="BW35" s="357"/>
      <c r="BX35" s="272">
        <f t="shared" si="1"/>
        <v>40</v>
      </c>
      <c r="BY35" s="272">
        <f t="shared" si="1"/>
        <v>480</v>
      </c>
      <c r="BZ35" s="272">
        <f t="shared" si="2"/>
        <v>480</v>
      </c>
      <c r="CA35" s="273"/>
      <c r="CB35" s="273"/>
      <c r="CC35" s="273"/>
      <c r="CD35" s="273"/>
      <c r="CE35" s="273"/>
      <c r="CF35" s="273"/>
      <c r="CG35" s="273"/>
      <c r="CH35" s="273"/>
      <c r="CI35" s="273"/>
      <c r="CJ35" s="273"/>
      <c r="CK35" s="273"/>
      <c r="CL35" s="273"/>
      <c r="CM35" s="273">
        <v>10</v>
      </c>
      <c r="CN35" s="273">
        <v>120</v>
      </c>
      <c r="CO35" s="273">
        <v>120</v>
      </c>
      <c r="CP35" s="273"/>
      <c r="CQ35" s="273"/>
      <c r="CR35" s="273"/>
      <c r="CS35" s="273"/>
      <c r="CT35" s="273"/>
      <c r="CU35" s="273"/>
      <c r="CV35" s="273"/>
      <c r="CW35" s="273"/>
      <c r="CX35" s="273"/>
      <c r="CY35" s="273"/>
      <c r="CZ35" s="273"/>
      <c r="DA35" s="273"/>
      <c r="DB35" s="273"/>
      <c r="DC35" s="273"/>
      <c r="DD35" s="273"/>
      <c r="DE35" s="273"/>
      <c r="DF35" s="271"/>
      <c r="DG35" s="271"/>
      <c r="DH35" s="272">
        <f t="shared" si="3"/>
        <v>50</v>
      </c>
      <c r="DI35" s="272">
        <f t="shared" si="3"/>
        <v>600</v>
      </c>
      <c r="DJ35" s="324">
        <f t="shared" si="3"/>
        <v>600</v>
      </c>
      <c r="DK35" s="325"/>
      <c r="DL35" s="325"/>
    </row>
    <row r="36" spans="1:116" s="275" customFormat="1" ht="20.100000000000001" customHeight="1" x14ac:dyDescent="0.6">
      <c r="A36" s="234">
        <v>33</v>
      </c>
      <c r="B36" s="103" t="s">
        <v>463</v>
      </c>
      <c r="C36" s="103" t="s">
        <v>464</v>
      </c>
      <c r="D36" s="103" t="s">
        <v>304</v>
      </c>
      <c r="E36" s="148" t="s">
        <v>305</v>
      </c>
      <c r="F36" s="179" t="s">
        <v>462</v>
      </c>
      <c r="G36" s="322"/>
      <c r="H36" s="323"/>
      <c r="I36" s="322" t="s">
        <v>978</v>
      </c>
      <c r="J36" s="322" t="s">
        <v>974</v>
      </c>
      <c r="K36" s="241"/>
      <c r="L36" s="241"/>
      <c r="M36" s="271"/>
      <c r="N36" s="271"/>
      <c r="O36" s="271"/>
      <c r="P36" s="271"/>
      <c r="Q36" s="271"/>
      <c r="R36" s="271"/>
      <c r="S36" s="271">
        <v>1</v>
      </c>
      <c r="T36" s="271">
        <v>24</v>
      </c>
      <c r="U36" s="271">
        <v>8.4</v>
      </c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2">
        <f t="shared" si="4"/>
        <v>1</v>
      </c>
      <c r="AR36" s="272">
        <f t="shared" si="4"/>
        <v>24</v>
      </c>
      <c r="AS36" s="272">
        <f t="shared" si="4"/>
        <v>8.4</v>
      </c>
      <c r="AT36" s="357"/>
      <c r="AU36" s="357"/>
      <c r="AV36" s="357"/>
      <c r="AW36" s="357"/>
      <c r="AX36" s="357"/>
      <c r="AY36" s="357"/>
      <c r="AZ36" s="357"/>
      <c r="BA36" s="357"/>
      <c r="BB36" s="357"/>
      <c r="BC36" s="357"/>
      <c r="BD36" s="357"/>
      <c r="BE36" s="357"/>
      <c r="BF36" s="357"/>
      <c r="BG36" s="357"/>
      <c r="BH36" s="357"/>
      <c r="BI36" s="357"/>
      <c r="BJ36" s="357"/>
      <c r="BK36" s="357"/>
      <c r="BL36" s="357">
        <v>30</v>
      </c>
      <c r="BM36" s="357">
        <v>360</v>
      </c>
      <c r="BN36" s="357">
        <v>360</v>
      </c>
      <c r="BO36" s="357"/>
      <c r="BP36" s="357"/>
      <c r="BQ36" s="357"/>
      <c r="BR36" s="357"/>
      <c r="BS36" s="357"/>
      <c r="BT36" s="357"/>
      <c r="BU36" s="357">
        <v>15</v>
      </c>
      <c r="BV36" s="357">
        <v>180</v>
      </c>
      <c r="BW36" s="357">
        <v>180</v>
      </c>
      <c r="BX36" s="272">
        <f t="shared" si="1"/>
        <v>46</v>
      </c>
      <c r="BY36" s="272">
        <f t="shared" si="1"/>
        <v>564</v>
      </c>
      <c r="BZ36" s="272">
        <f t="shared" si="2"/>
        <v>548.4</v>
      </c>
      <c r="CA36" s="273"/>
      <c r="CB36" s="273"/>
      <c r="CC36" s="273"/>
      <c r="CD36" s="273"/>
      <c r="CE36" s="273"/>
      <c r="CF36" s="273"/>
      <c r="CG36" s="273"/>
      <c r="CH36" s="273"/>
      <c r="CI36" s="273"/>
      <c r="CJ36" s="273"/>
      <c r="CK36" s="273"/>
      <c r="CL36" s="273"/>
      <c r="CM36" s="273">
        <v>1</v>
      </c>
      <c r="CN36" s="273">
        <v>12</v>
      </c>
      <c r="CO36" s="273">
        <v>12</v>
      </c>
      <c r="CP36" s="273"/>
      <c r="CQ36" s="273"/>
      <c r="CR36" s="273"/>
      <c r="CS36" s="273">
        <v>11</v>
      </c>
      <c r="CT36" s="273">
        <v>424</v>
      </c>
      <c r="CU36" s="273">
        <v>148.4</v>
      </c>
      <c r="CV36" s="273"/>
      <c r="CW36" s="273"/>
      <c r="CX36" s="273"/>
      <c r="CY36" s="273"/>
      <c r="CZ36" s="273"/>
      <c r="DA36" s="273"/>
      <c r="DB36" s="273"/>
      <c r="DC36" s="273"/>
      <c r="DD36" s="273"/>
      <c r="DE36" s="273"/>
      <c r="DF36" s="271"/>
      <c r="DG36" s="271"/>
      <c r="DH36" s="272">
        <f t="shared" si="3"/>
        <v>58</v>
      </c>
      <c r="DI36" s="272">
        <f t="shared" si="3"/>
        <v>1000</v>
      </c>
      <c r="DJ36" s="324">
        <f t="shared" si="3"/>
        <v>708.8</v>
      </c>
      <c r="DK36" s="325"/>
      <c r="DL36" s="325"/>
    </row>
    <row r="37" spans="1:116" s="275" customFormat="1" ht="20.100000000000001" customHeight="1" x14ac:dyDescent="0.6">
      <c r="A37" s="234">
        <v>34</v>
      </c>
      <c r="B37" s="103" t="s">
        <v>465</v>
      </c>
      <c r="C37" s="103" t="s">
        <v>465</v>
      </c>
      <c r="D37" s="103" t="s">
        <v>304</v>
      </c>
      <c r="E37" s="148" t="s">
        <v>305</v>
      </c>
      <c r="F37" s="179" t="s">
        <v>462</v>
      </c>
      <c r="G37" s="322"/>
      <c r="H37" s="323"/>
      <c r="I37" s="322" t="s">
        <v>956</v>
      </c>
      <c r="J37" s="322" t="s">
        <v>974</v>
      </c>
      <c r="K37" s="241"/>
      <c r="L37" s="24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2">
        <f t="shared" si="4"/>
        <v>0</v>
      </c>
      <c r="AR37" s="272">
        <f t="shared" si="4"/>
        <v>0</v>
      </c>
      <c r="AS37" s="272">
        <f t="shared" si="4"/>
        <v>0</v>
      </c>
      <c r="AT37" s="357"/>
      <c r="AU37" s="357"/>
      <c r="AV37" s="357"/>
      <c r="AW37" s="357"/>
      <c r="AX37" s="357"/>
      <c r="AY37" s="357"/>
      <c r="AZ37" s="357"/>
      <c r="BA37" s="357"/>
      <c r="BB37" s="357"/>
      <c r="BC37" s="357"/>
      <c r="BD37" s="357"/>
      <c r="BE37" s="357"/>
      <c r="BF37" s="357"/>
      <c r="BG37" s="357"/>
      <c r="BH37" s="357"/>
      <c r="BI37" s="357"/>
      <c r="BJ37" s="357"/>
      <c r="BK37" s="357"/>
      <c r="BL37" s="357">
        <v>15</v>
      </c>
      <c r="BM37" s="357">
        <v>180</v>
      </c>
      <c r="BN37" s="357">
        <v>180</v>
      </c>
      <c r="BO37" s="357"/>
      <c r="BP37" s="357"/>
      <c r="BQ37" s="357"/>
      <c r="BR37" s="357"/>
      <c r="BS37" s="357"/>
      <c r="BT37" s="357"/>
      <c r="BU37" s="357"/>
      <c r="BV37" s="357"/>
      <c r="BW37" s="357"/>
      <c r="BX37" s="272">
        <f t="shared" si="1"/>
        <v>15</v>
      </c>
      <c r="BY37" s="272">
        <f t="shared" si="1"/>
        <v>180</v>
      </c>
      <c r="BZ37" s="272">
        <f t="shared" si="2"/>
        <v>180</v>
      </c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>
        <v>15</v>
      </c>
      <c r="CN37" s="273">
        <v>180</v>
      </c>
      <c r="CO37" s="273">
        <v>180</v>
      </c>
      <c r="CP37" s="273"/>
      <c r="CQ37" s="273"/>
      <c r="CR37" s="273"/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1"/>
      <c r="DG37" s="271"/>
      <c r="DH37" s="272">
        <f t="shared" si="3"/>
        <v>30</v>
      </c>
      <c r="DI37" s="272">
        <f t="shared" si="3"/>
        <v>360</v>
      </c>
      <c r="DJ37" s="324">
        <f t="shared" si="3"/>
        <v>360</v>
      </c>
      <c r="DK37" s="325"/>
      <c r="DL37" s="325"/>
    </row>
    <row r="38" spans="1:116" s="275" customFormat="1" ht="20.100000000000001" customHeight="1" x14ac:dyDescent="0.6">
      <c r="A38" s="234">
        <v>35</v>
      </c>
      <c r="B38" s="103" t="s">
        <v>466</v>
      </c>
      <c r="C38" s="103" t="s">
        <v>467</v>
      </c>
      <c r="D38" s="103" t="s">
        <v>304</v>
      </c>
      <c r="E38" s="148" t="s">
        <v>305</v>
      </c>
      <c r="F38" s="179" t="s">
        <v>462</v>
      </c>
      <c r="G38" s="322"/>
      <c r="H38" s="323"/>
      <c r="I38" s="322" t="s">
        <v>979</v>
      </c>
      <c r="J38" s="322" t="s">
        <v>974</v>
      </c>
      <c r="K38" s="241"/>
      <c r="L38" s="24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2">
        <f t="shared" si="4"/>
        <v>0</v>
      </c>
      <c r="AR38" s="272">
        <f t="shared" si="4"/>
        <v>0</v>
      </c>
      <c r="AS38" s="272">
        <f t="shared" si="4"/>
        <v>0</v>
      </c>
      <c r="AT38" s="357"/>
      <c r="AU38" s="357"/>
      <c r="AV38" s="357"/>
      <c r="AW38" s="357"/>
      <c r="AX38" s="357"/>
      <c r="AY38" s="357"/>
      <c r="AZ38" s="357"/>
      <c r="BA38" s="357"/>
      <c r="BB38" s="357"/>
      <c r="BC38" s="357">
        <v>20</v>
      </c>
      <c r="BD38" s="357">
        <v>240</v>
      </c>
      <c r="BE38" s="357">
        <v>240</v>
      </c>
      <c r="BF38" s="357"/>
      <c r="BG38" s="357"/>
      <c r="BH38" s="357"/>
      <c r="BI38" s="357"/>
      <c r="BJ38" s="357"/>
      <c r="BK38" s="357"/>
      <c r="BL38" s="357"/>
      <c r="BM38" s="357"/>
      <c r="BN38" s="357"/>
      <c r="BO38" s="357"/>
      <c r="BP38" s="357"/>
      <c r="BQ38" s="357"/>
      <c r="BR38" s="357"/>
      <c r="BS38" s="357"/>
      <c r="BT38" s="357"/>
      <c r="BU38" s="357"/>
      <c r="BV38" s="357"/>
      <c r="BW38" s="357"/>
      <c r="BX38" s="272">
        <f t="shared" ref="BX38:BY69" si="5">+BU38+BR38+BO38+BL38+BI38+BF38+BC38+AZ38+AW38+AT38+AQ38</f>
        <v>20</v>
      </c>
      <c r="BY38" s="272">
        <f t="shared" si="5"/>
        <v>240</v>
      </c>
      <c r="BZ38" s="272">
        <f t="shared" si="2"/>
        <v>240</v>
      </c>
      <c r="CA38" s="273">
        <v>35</v>
      </c>
      <c r="CB38" s="273">
        <v>700</v>
      </c>
      <c r="CC38" s="273">
        <v>440</v>
      </c>
      <c r="CD38" s="273"/>
      <c r="CE38" s="273"/>
      <c r="CF38" s="273"/>
      <c r="CG38" s="273">
        <v>16</v>
      </c>
      <c r="CH38" s="273">
        <v>220</v>
      </c>
      <c r="CI38" s="273">
        <v>194</v>
      </c>
      <c r="CJ38" s="273"/>
      <c r="CK38" s="273"/>
      <c r="CL38" s="273"/>
      <c r="CM38" s="273"/>
      <c r="CN38" s="273"/>
      <c r="CO38" s="273"/>
      <c r="CP38" s="273"/>
      <c r="CQ38" s="273"/>
      <c r="CR38" s="273"/>
      <c r="CS38" s="273"/>
      <c r="CT38" s="273"/>
      <c r="CU38" s="273"/>
      <c r="CV38" s="273"/>
      <c r="CW38" s="273"/>
      <c r="CX38" s="273"/>
      <c r="CY38" s="273"/>
      <c r="CZ38" s="273"/>
      <c r="DA38" s="273"/>
      <c r="DB38" s="273"/>
      <c r="DC38" s="273"/>
      <c r="DD38" s="273"/>
      <c r="DE38" s="273"/>
      <c r="DF38" s="271"/>
      <c r="DG38" s="271"/>
      <c r="DH38" s="272">
        <f t="shared" si="3"/>
        <v>71</v>
      </c>
      <c r="DI38" s="272">
        <f t="shared" si="3"/>
        <v>1160</v>
      </c>
      <c r="DJ38" s="324">
        <f t="shared" si="3"/>
        <v>874</v>
      </c>
      <c r="DK38" s="325"/>
      <c r="DL38" s="325"/>
    </row>
    <row r="39" spans="1:116" s="275" customFormat="1" ht="20.100000000000001" customHeight="1" x14ac:dyDescent="0.6">
      <c r="A39" s="234">
        <v>36</v>
      </c>
      <c r="B39" s="103" t="s">
        <v>423</v>
      </c>
      <c r="C39" s="103" t="s">
        <v>424</v>
      </c>
      <c r="D39" s="103" t="s">
        <v>468</v>
      </c>
      <c r="E39" s="148" t="s">
        <v>469</v>
      </c>
      <c r="F39" s="179" t="s">
        <v>462</v>
      </c>
      <c r="G39" s="322"/>
      <c r="H39" s="323"/>
      <c r="I39" s="322" t="s">
        <v>980</v>
      </c>
      <c r="J39" s="322" t="s">
        <v>974</v>
      </c>
      <c r="K39" s="241"/>
      <c r="L39" s="24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>
        <v>34</v>
      </c>
      <c r="Z39" s="271">
        <v>660</v>
      </c>
      <c r="AA39" s="271">
        <v>426</v>
      </c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2">
        <f t="shared" si="4"/>
        <v>34</v>
      </c>
      <c r="AR39" s="272">
        <f t="shared" si="4"/>
        <v>660</v>
      </c>
      <c r="AS39" s="272">
        <f t="shared" si="4"/>
        <v>426</v>
      </c>
      <c r="AT39" s="357"/>
      <c r="AU39" s="357"/>
      <c r="AV39" s="357"/>
      <c r="AW39" s="357"/>
      <c r="AX39" s="357"/>
      <c r="AY39" s="357"/>
      <c r="AZ39" s="357"/>
      <c r="BA39" s="357"/>
      <c r="BB39" s="357"/>
      <c r="BC39" s="357"/>
      <c r="BD39" s="357"/>
      <c r="BE39" s="357"/>
      <c r="BF39" s="357"/>
      <c r="BG39" s="357"/>
      <c r="BH39" s="357"/>
      <c r="BI39" s="357"/>
      <c r="BJ39" s="357"/>
      <c r="BK39" s="357"/>
      <c r="BL39" s="357"/>
      <c r="BM39" s="357"/>
      <c r="BN39" s="357"/>
      <c r="BO39" s="357"/>
      <c r="BP39" s="357"/>
      <c r="BQ39" s="357"/>
      <c r="BR39" s="357">
        <v>1</v>
      </c>
      <c r="BS39" s="357">
        <v>24</v>
      </c>
      <c r="BT39" s="357">
        <v>8.4</v>
      </c>
      <c r="BU39" s="357"/>
      <c r="BV39" s="357"/>
      <c r="BW39" s="357"/>
      <c r="BX39" s="272">
        <f t="shared" si="5"/>
        <v>35</v>
      </c>
      <c r="BY39" s="272">
        <f t="shared" si="5"/>
        <v>684</v>
      </c>
      <c r="BZ39" s="272">
        <f t="shared" si="2"/>
        <v>434.4</v>
      </c>
      <c r="CA39" s="273"/>
      <c r="CB39" s="273"/>
      <c r="CC39" s="273"/>
      <c r="CD39" s="273"/>
      <c r="CE39" s="273"/>
      <c r="CF39" s="273"/>
      <c r="CG39" s="273"/>
      <c r="CH39" s="273"/>
      <c r="CI39" s="273"/>
      <c r="CJ39" s="273"/>
      <c r="CK39" s="273"/>
      <c r="CL39" s="273"/>
      <c r="CM39" s="273"/>
      <c r="CN39" s="273"/>
      <c r="CO39" s="273"/>
      <c r="CP39" s="273"/>
      <c r="CQ39" s="273"/>
      <c r="CR39" s="273"/>
      <c r="CS39" s="273"/>
      <c r="CT39" s="273"/>
      <c r="CU39" s="273"/>
      <c r="CV39" s="273"/>
      <c r="CW39" s="273"/>
      <c r="CX39" s="273"/>
      <c r="CY39" s="273"/>
      <c r="CZ39" s="273"/>
      <c r="DA39" s="273"/>
      <c r="DB39" s="273"/>
      <c r="DC39" s="273"/>
      <c r="DD39" s="273"/>
      <c r="DE39" s="273"/>
      <c r="DF39" s="271"/>
      <c r="DG39" s="271"/>
      <c r="DH39" s="272">
        <f t="shared" si="3"/>
        <v>35</v>
      </c>
      <c r="DI39" s="272">
        <f t="shared" si="3"/>
        <v>684</v>
      </c>
      <c r="DJ39" s="324">
        <f t="shared" si="3"/>
        <v>434.4</v>
      </c>
      <c r="DK39" s="325"/>
      <c r="DL39" s="325"/>
    </row>
    <row r="40" spans="1:116" s="275" customFormat="1" ht="20.100000000000001" customHeight="1" x14ac:dyDescent="0.6">
      <c r="A40" s="234">
        <v>37</v>
      </c>
      <c r="B40" s="103" t="s">
        <v>470</v>
      </c>
      <c r="C40" s="103" t="s">
        <v>470</v>
      </c>
      <c r="D40" s="103" t="s">
        <v>468</v>
      </c>
      <c r="E40" s="148" t="s">
        <v>469</v>
      </c>
      <c r="F40" s="179" t="s">
        <v>462</v>
      </c>
      <c r="G40" s="322"/>
      <c r="H40" s="323"/>
      <c r="I40" s="322" t="s">
        <v>981</v>
      </c>
      <c r="J40" s="322" t="s">
        <v>974</v>
      </c>
      <c r="K40" s="241"/>
      <c r="L40" s="241"/>
      <c r="M40" s="271"/>
      <c r="N40" s="271"/>
      <c r="O40" s="271"/>
      <c r="P40" s="271">
        <v>16</v>
      </c>
      <c r="Q40" s="271">
        <v>192</v>
      </c>
      <c r="R40" s="271">
        <v>188.16</v>
      </c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2">
        <f t="shared" si="4"/>
        <v>16</v>
      </c>
      <c r="AR40" s="272">
        <f t="shared" si="4"/>
        <v>192</v>
      </c>
      <c r="AS40" s="272">
        <f t="shared" si="4"/>
        <v>188.16</v>
      </c>
      <c r="AT40" s="357"/>
      <c r="AU40" s="357"/>
      <c r="AV40" s="357"/>
      <c r="AW40" s="357"/>
      <c r="AX40" s="357"/>
      <c r="AY40" s="357"/>
      <c r="AZ40" s="357"/>
      <c r="BA40" s="357"/>
      <c r="BB40" s="357"/>
      <c r="BC40" s="357"/>
      <c r="BD40" s="357"/>
      <c r="BE40" s="357"/>
      <c r="BF40" s="357"/>
      <c r="BG40" s="357"/>
      <c r="BH40" s="357"/>
      <c r="BI40" s="357">
        <v>16</v>
      </c>
      <c r="BJ40" s="357">
        <v>220</v>
      </c>
      <c r="BK40" s="357">
        <v>194</v>
      </c>
      <c r="BL40" s="357"/>
      <c r="BM40" s="357"/>
      <c r="BN40" s="357"/>
      <c r="BO40" s="357"/>
      <c r="BP40" s="357"/>
      <c r="BQ40" s="357"/>
      <c r="BR40" s="357">
        <v>15</v>
      </c>
      <c r="BS40" s="357">
        <v>180</v>
      </c>
      <c r="BT40" s="357">
        <v>180</v>
      </c>
      <c r="BU40" s="357"/>
      <c r="BV40" s="357"/>
      <c r="BW40" s="357"/>
      <c r="BX40" s="272">
        <f t="shared" si="5"/>
        <v>47</v>
      </c>
      <c r="BY40" s="272">
        <f t="shared" si="5"/>
        <v>592</v>
      </c>
      <c r="BZ40" s="272">
        <f t="shared" si="2"/>
        <v>562.16</v>
      </c>
      <c r="CA40" s="273"/>
      <c r="CB40" s="273"/>
      <c r="CC40" s="273"/>
      <c r="CD40" s="273"/>
      <c r="CE40" s="273"/>
      <c r="CF40" s="273"/>
      <c r="CG40" s="273"/>
      <c r="CH40" s="273"/>
      <c r="CI40" s="273"/>
      <c r="CJ40" s="273"/>
      <c r="CK40" s="273"/>
      <c r="CL40" s="273"/>
      <c r="CM40" s="273"/>
      <c r="CN40" s="273"/>
      <c r="CO40" s="273"/>
      <c r="CP40" s="273"/>
      <c r="CQ40" s="273"/>
      <c r="CR40" s="273"/>
      <c r="CS40" s="273">
        <v>15</v>
      </c>
      <c r="CT40" s="273">
        <v>180</v>
      </c>
      <c r="CU40" s="273">
        <v>180</v>
      </c>
      <c r="CV40" s="273"/>
      <c r="CW40" s="273"/>
      <c r="CX40" s="273"/>
      <c r="CY40" s="273"/>
      <c r="CZ40" s="273"/>
      <c r="DA40" s="273"/>
      <c r="DB40" s="273"/>
      <c r="DC40" s="273"/>
      <c r="DD40" s="273"/>
      <c r="DE40" s="273"/>
      <c r="DF40" s="271"/>
      <c r="DG40" s="271"/>
      <c r="DH40" s="272">
        <f t="shared" si="3"/>
        <v>62</v>
      </c>
      <c r="DI40" s="272">
        <f t="shared" si="3"/>
        <v>772</v>
      </c>
      <c r="DJ40" s="324">
        <f t="shared" si="3"/>
        <v>742.16</v>
      </c>
      <c r="DK40" s="325"/>
      <c r="DL40" s="325"/>
    </row>
    <row r="41" spans="1:116" s="275" customFormat="1" ht="20.100000000000001" customHeight="1" x14ac:dyDescent="0.6">
      <c r="A41" s="234">
        <v>38</v>
      </c>
      <c r="B41" s="103" t="s">
        <v>471</v>
      </c>
      <c r="C41" s="103" t="s">
        <v>472</v>
      </c>
      <c r="D41" s="103" t="s">
        <v>473</v>
      </c>
      <c r="E41" s="148" t="s">
        <v>474</v>
      </c>
      <c r="F41" s="179" t="s">
        <v>462</v>
      </c>
      <c r="G41" s="322"/>
      <c r="H41" s="323"/>
      <c r="I41" s="322" t="s">
        <v>982</v>
      </c>
      <c r="J41" s="322" t="s">
        <v>974</v>
      </c>
      <c r="K41" s="241"/>
      <c r="L41" s="24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>
        <v>15</v>
      </c>
      <c r="AF41" s="271">
        <v>180</v>
      </c>
      <c r="AG41" s="271">
        <v>180</v>
      </c>
      <c r="AH41" s="271"/>
      <c r="AI41" s="271"/>
      <c r="AJ41" s="271"/>
      <c r="AK41" s="271"/>
      <c r="AL41" s="271"/>
      <c r="AM41" s="271"/>
      <c r="AN41" s="271"/>
      <c r="AO41" s="271"/>
      <c r="AP41" s="271"/>
      <c r="AQ41" s="272">
        <f t="shared" si="4"/>
        <v>15</v>
      </c>
      <c r="AR41" s="272">
        <f t="shared" si="4"/>
        <v>180</v>
      </c>
      <c r="AS41" s="272">
        <f t="shared" si="4"/>
        <v>180</v>
      </c>
      <c r="AT41" s="357"/>
      <c r="AU41" s="357"/>
      <c r="AV41" s="357"/>
      <c r="AW41" s="357"/>
      <c r="AX41" s="357"/>
      <c r="AY41" s="357"/>
      <c r="AZ41" s="357"/>
      <c r="BA41" s="357"/>
      <c r="BB41" s="357"/>
      <c r="BC41" s="357"/>
      <c r="BD41" s="357"/>
      <c r="BE41" s="357"/>
      <c r="BF41" s="357"/>
      <c r="BG41" s="357"/>
      <c r="BH41" s="357"/>
      <c r="BI41" s="357"/>
      <c r="BJ41" s="357"/>
      <c r="BK41" s="357"/>
      <c r="BL41" s="357"/>
      <c r="BM41" s="357"/>
      <c r="BN41" s="357"/>
      <c r="BO41" s="357"/>
      <c r="BP41" s="357"/>
      <c r="BQ41" s="357"/>
      <c r="BR41" s="357"/>
      <c r="BS41" s="357"/>
      <c r="BT41" s="357"/>
      <c r="BU41" s="357"/>
      <c r="BV41" s="357"/>
      <c r="BW41" s="357"/>
      <c r="BX41" s="272">
        <f t="shared" si="5"/>
        <v>15</v>
      </c>
      <c r="BY41" s="272">
        <f t="shared" si="5"/>
        <v>180</v>
      </c>
      <c r="BZ41" s="272">
        <f t="shared" si="2"/>
        <v>180</v>
      </c>
      <c r="CA41" s="273">
        <v>20</v>
      </c>
      <c r="CB41" s="273">
        <v>240</v>
      </c>
      <c r="CC41" s="273">
        <v>240</v>
      </c>
      <c r="CD41" s="273"/>
      <c r="CE41" s="273"/>
      <c r="CF41" s="273"/>
      <c r="CG41" s="273"/>
      <c r="CH41" s="273"/>
      <c r="CI41" s="273"/>
      <c r="CJ41" s="273"/>
      <c r="CK41" s="273"/>
      <c r="CL41" s="273"/>
      <c r="CM41" s="273"/>
      <c r="CN41" s="273"/>
      <c r="CO41" s="273"/>
      <c r="CP41" s="273"/>
      <c r="CQ41" s="273"/>
      <c r="CR41" s="273"/>
      <c r="CS41" s="273"/>
      <c r="CT41" s="273"/>
      <c r="CU41" s="273"/>
      <c r="CV41" s="273">
        <v>30</v>
      </c>
      <c r="CW41" s="273">
        <v>500</v>
      </c>
      <c r="CX41" s="273">
        <v>370</v>
      </c>
      <c r="CY41" s="273"/>
      <c r="CZ41" s="273"/>
      <c r="DA41" s="273"/>
      <c r="DB41" s="273"/>
      <c r="DC41" s="273"/>
      <c r="DD41" s="273"/>
      <c r="DE41" s="273"/>
      <c r="DF41" s="271"/>
      <c r="DG41" s="271"/>
      <c r="DH41" s="272">
        <f t="shared" si="3"/>
        <v>65</v>
      </c>
      <c r="DI41" s="272">
        <f t="shared" si="3"/>
        <v>920</v>
      </c>
      <c r="DJ41" s="324">
        <f t="shared" si="3"/>
        <v>790</v>
      </c>
      <c r="DK41" s="325"/>
      <c r="DL41" s="325"/>
    </row>
    <row r="42" spans="1:116" s="275" customFormat="1" ht="20.100000000000001" customHeight="1" x14ac:dyDescent="0.6">
      <c r="A42" s="234">
        <v>39</v>
      </c>
      <c r="B42" s="103" t="s">
        <v>475</v>
      </c>
      <c r="C42" s="103" t="s">
        <v>476</v>
      </c>
      <c r="D42" s="103" t="s">
        <v>473</v>
      </c>
      <c r="E42" s="148" t="s">
        <v>474</v>
      </c>
      <c r="F42" s="179" t="s">
        <v>462</v>
      </c>
      <c r="G42" s="322"/>
      <c r="H42" s="323"/>
      <c r="I42" s="322" t="s">
        <v>983</v>
      </c>
      <c r="J42" s="322" t="s">
        <v>974</v>
      </c>
      <c r="K42" s="241"/>
      <c r="L42" s="24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>
        <v>5</v>
      </c>
      <c r="AF42" s="271">
        <v>60</v>
      </c>
      <c r="AG42" s="271">
        <v>60</v>
      </c>
      <c r="AH42" s="271"/>
      <c r="AI42" s="271"/>
      <c r="AJ42" s="271"/>
      <c r="AK42" s="271"/>
      <c r="AL42" s="271"/>
      <c r="AM42" s="271"/>
      <c r="AN42" s="271"/>
      <c r="AO42" s="271"/>
      <c r="AP42" s="271"/>
      <c r="AQ42" s="272">
        <f t="shared" si="4"/>
        <v>5</v>
      </c>
      <c r="AR42" s="272">
        <f t="shared" si="4"/>
        <v>60</v>
      </c>
      <c r="AS42" s="272">
        <f t="shared" si="4"/>
        <v>60</v>
      </c>
      <c r="AT42" s="357"/>
      <c r="AU42" s="357"/>
      <c r="AV42" s="357"/>
      <c r="AW42" s="357"/>
      <c r="AX42" s="357"/>
      <c r="AY42" s="357"/>
      <c r="AZ42" s="357"/>
      <c r="BA42" s="357"/>
      <c r="BB42" s="357"/>
      <c r="BC42" s="357">
        <v>5</v>
      </c>
      <c r="BD42" s="357">
        <v>60</v>
      </c>
      <c r="BE42" s="357">
        <v>60</v>
      </c>
      <c r="BF42" s="357"/>
      <c r="BG42" s="357"/>
      <c r="BH42" s="357"/>
      <c r="BI42" s="357"/>
      <c r="BJ42" s="357"/>
      <c r="BK42" s="357"/>
      <c r="BL42" s="357"/>
      <c r="BM42" s="357"/>
      <c r="BN42" s="357"/>
      <c r="BO42" s="357"/>
      <c r="BP42" s="357"/>
      <c r="BQ42" s="357"/>
      <c r="BR42" s="357"/>
      <c r="BS42" s="357"/>
      <c r="BT42" s="357"/>
      <c r="BU42" s="357"/>
      <c r="BV42" s="357"/>
      <c r="BW42" s="357"/>
      <c r="BX42" s="272">
        <f t="shared" si="5"/>
        <v>10</v>
      </c>
      <c r="BY42" s="272">
        <f t="shared" si="5"/>
        <v>120</v>
      </c>
      <c r="BZ42" s="272">
        <f t="shared" si="2"/>
        <v>120</v>
      </c>
      <c r="CA42" s="273">
        <v>5</v>
      </c>
      <c r="CB42" s="273">
        <v>60</v>
      </c>
      <c r="CC42" s="273">
        <v>60</v>
      </c>
      <c r="CD42" s="273"/>
      <c r="CE42" s="273"/>
      <c r="CF42" s="273"/>
      <c r="CG42" s="273"/>
      <c r="CH42" s="273"/>
      <c r="CI42" s="273"/>
      <c r="CJ42" s="273"/>
      <c r="CK42" s="273"/>
      <c r="CL42" s="273"/>
      <c r="CM42" s="273"/>
      <c r="CN42" s="273"/>
      <c r="CO42" s="273"/>
      <c r="CP42" s="273"/>
      <c r="CQ42" s="273"/>
      <c r="CR42" s="273"/>
      <c r="CS42" s="273"/>
      <c r="CT42" s="273"/>
      <c r="CU42" s="273"/>
      <c r="CV42" s="273">
        <v>5</v>
      </c>
      <c r="CW42" s="273">
        <v>60</v>
      </c>
      <c r="CX42" s="273">
        <v>60</v>
      </c>
      <c r="CY42" s="273"/>
      <c r="CZ42" s="273"/>
      <c r="DA42" s="273"/>
      <c r="DB42" s="273"/>
      <c r="DC42" s="273"/>
      <c r="DD42" s="273"/>
      <c r="DE42" s="273"/>
      <c r="DF42" s="271"/>
      <c r="DG42" s="271"/>
      <c r="DH42" s="272">
        <f t="shared" si="3"/>
        <v>20</v>
      </c>
      <c r="DI42" s="272">
        <f t="shared" si="3"/>
        <v>240</v>
      </c>
      <c r="DJ42" s="324">
        <f t="shared" si="3"/>
        <v>240</v>
      </c>
      <c r="DK42" s="325"/>
      <c r="DL42" s="325"/>
    </row>
    <row r="43" spans="1:116" s="275" customFormat="1" ht="20.100000000000001" customHeight="1" x14ac:dyDescent="0.6">
      <c r="A43" s="234">
        <v>40</v>
      </c>
      <c r="B43" s="103" t="s">
        <v>477</v>
      </c>
      <c r="C43" s="103" t="s">
        <v>477</v>
      </c>
      <c r="D43" s="103" t="s">
        <v>473</v>
      </c>
      <c r="E43" s="148" t="s">
        <v>474</v>
      </c>
      <c r="F43" s="179" t="s">
        <v>462</v>
      </c>
      <c r="G43" s="322"/>
      <c r="H43" s="323"/>
      <c r="I43" s="322" t="s">
        <v>984</v>
      </c>
      <c r="J43" s="322" t="s">
        <v>974</v>
      </c>
      <c r="K43" s="241"/>
      <c r="L43" s="24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>
        <v>20</v>
      </c>
      <c r="AF43" s="271">
        <v>380</v>
      </c>
      <c r="AG43" s="271">
        <v>250</v>
      </c>
      <c r="AH43" s="271"/>
      <c r="AI43" s="271"/>
      <c r="AJ43" s="271"/>
      <c r="AK43" s="271"/>
      <c r="AL43" s="271"/>
      <c r="AM43" s="271"/>
      <c r="AN43" s="271"/>
      <c r="AO43" s="271"/>
      <c r="AP43" s="271"/>
      <c r="AQ43" s="272">
        <f t="shared" si="4"/>
        <v>20</v>
      </c>
      <c r="AR43" s="272">
        <f t="shared" si="4"/>
        <v>380</v>
      </c>
      <c r="AS43" s="272">
        <f t="shared" si="4"/>
        <v>250</v>
      </c>
      <c r="AT43" s="357">
        <v>20</v>
      </c>
      <c r="AU43" s="357">
        <v>240</v>
      </c>
      <c r="AV43" s="357">
        <v>240</v>
      </c>
      <c r="AW43" s="357"/>
      <c r="AX43" s="357"/>
      <c r="AY43" s="357"/>
      <c r="AZ43" s="357"/>
      <c r="BA43" s="357"/>
      <c r="BB43" s="357"/>
      <c r="BC43" s="357">
        <v>35</v>
      </c>
      <c r="BD43" s="357">
        <v>420</v>
      </c>
      <c r="BE43" s="357">
        <v>420</v>
      </c>
      <c r="BF43" s="357"/>
      <c r="BG43" s="357"/>
      <c r="BH43" s="357"/>
      <c r="BI43" s="357"/>
      <c r="BJ43" s="357"/>
      <c r="BK43" s="357"/>
      <c r="BL43" s="357"/>
      <c r="BM43" s="357"/>
      <c r="BN43" s="357"/>
      <c r="BO43" s="357"/>
      <c r="BP43" s="357"/>
      <c r="BQ43" s="357"/>
      <c r="BR43" s="357"/>
      <c r="BS43" s="357"/>
      <c r="BT43" s="357"/>
      <c r="BU43" s="357"/>
      <c r="BV43" s="357"/>
      <c r="BW43" s="357"/>
      <c r="BX43" s="272">
        <f t="shared" si="5"/>
        <v>75</v>
      </c>
      <c r="BY43" s="272">
        <f t="shared" si="5"/>
        <v>1040</v>
      </c>
      <c r="BZ43" s="272">
        <f t="shared" si="2"/>
        <v>910</v>
      </c>
      <c r="CA43" s="273">
        <v>21</v>
      </c>
      <c r="CB43" s="273">
        <v>280</v>
      </c>
      <c r="CC43" s="273">
        <v>254</v>
      </c>
      <c r="CD43" s="273"/>
      <c r="CE43" s="273"/>
      <c r="CF43" s="273"/>
      <c r="CG43" s="273"/>
      <c r="CH43" s="273"/>
      <c r="CI43" s="273"/>
      <c r="CJ43" s="273"/>
      <c r="CK43" s="273"/>
      <c r="CL43" s="273"/>
      <c r="CM43" s="273"/>
      <c r="CN43" s="273"/>
      <c r="CO43" s="273"/>
      <c r="CP43" s="273"/>
      <c r="CQ43" s="273"/>
      <c r="CR43" s="273"/>
      <c r="CS43" s="273"/>
      <c r="CT43" s="273"/>
      <c r="CU43" s="273"/>
      <c r="CV43" s="273">
        <v>31</v>
      </c>
      <c r="CW43" s="273">
        <v>540</v>
      </c>
      <c r="CX43" s="273">
        <v>384</v>
      </c>
      <c r="CY43" s="273"/>
      <c r="CZ43" s="273"/>
      <c r="DA43" s="273"/>
      <c r="DB43" s="273"/>
      <c r="DC43" s="273"/>
      <c r="DD43" s="273"/>
      <c r="DE43" s="273"/>
      <c r="DF43" s="271"/>
      <c r="DG43" s="271"/>
      <c r="DH43" s="272">
        <f t="shared" si="3"/>
        <v>127</v>
      </c>
      <c r="DI43" s="272">
        <f t="shared" si="3"/>
        <v>1860</v>
      </c>
      <c r="DJ43" s="324">
        <f t="shared" si="3"/>
        <v>1548</v>
      </c>
      <c r="DK43" s="325"/>
      <c r="DL43" s="325"/>
    </row>
    <row r="44" spans="1:116" s="275" customFormat="1" ht="20.100000000000001" customHeight="1" x14ac:dyDescent="0.6">
      <c r="A44" s="234">
        <v>41</v>
      </c>
      <c r="B44" s="103" t="s">
        <v>478</v>
      </c>
      <c r="C44" s="103" t="s">
        <v>478</v>
      </c>
      <c r="D44" s="103" t="s">
        <v>365</v>
      </c>
      <c r="E44" s="148" t="s">
        <v>479</v>
      </c>
      <c r="F44" s="179" t="s">
        <v>462</v>
      </c>
      <c r="G44" s="322"/>
      <c r="H44" s="323"/>
      <c r="I44" s="322" t="s">
        <v>985</v>
      </c>
      <c r="J44" s="322" t="s">
        <v>974</v>
      </c>
      <c r="K44" s="241"/>
      <c r="L44" s="24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>
        <v>15</v>
      </c>
      <c r="AO44" s="271">
        <v>320</v>
      </c>
      <c r="AP44" s="271">
        <v>190</v>
      </c>
      <c r="AQ44" s="272">
        <f t="shared" si="4"/>
        <v>15</v>
      </c>
      <c r="AR44" s="272">
        <f t="shared" si="4"/>
        <v>320</v>
      </c>
      <c r="AS44" s="272">
        <f t="shared" si="4"/>
        <v>190</v>
      </c>
      <c r="AT44" s="357"/>
      <c r="AU44" s="357"/>
      <c r="AV44" s="357"/>
      <c r="AW44" s="357"/>
      <c r="AX44" s="357"/>
      <c r="AY44" s="357"/>
      <c r="AZ44" s="357"/>
      <c r="BA44" s="357"/>
      <c r="BB44" s="357"/>
      <c r="BC44" s="357"/>
      <c r="BD44" s="357"/>
      <c r="BE44" s="357"/>
      <c r="BF44" s="357"/>
      <c r="BG44" s="357"/>
      <c r="BH44" s="357"/>
      <c r="BI44" s="357"/>
      <c r="BJ44" s="357"/>
      <c r="BK44" s="357"/>
      <c r="BL44" s="357"/>
      <c r="BM44" s="357"/>
      <c r="BN44" s="357"/>
      <c r="BO44" s="357"/>
      <c r="BP44" s="357"/>
      <c r="BQ44" s="357"/>
      <c r="BR44" s="357"/>
      <c r="BS44" s="357"/>
      <c r="BT44" s="357"/>
      <c r="BU44" s="357"/>
      <c r="BV44" s="357"/>
      <c r="BW44" s="357"/>
      <c r="BX44" s="272">
        <f t="shared" si="5"/>
        <v>15</v>
      </c>
      <c r="BY44" s="272">
        <f t="shared" si="5"/>
        <v>320</v>
      </c>
      <c r="BZ44" s="272">
        <f t="shared" si="2"/>
        <v>190</v>
      </c>
      <c r="CA44" s="273"/>
      <c r="CB44" s="273"/>
      <c r="CC44" s="273"/>
      <c r="CD44" s="273"/>
      <c r="CE44" s="273"/>
      <c r="CF44" s="273"/>
      <c r="CG44" s="273">
        <v>15</v>
      </c>
      <c r="CH44" s="273">
        <v>180</v>
      </c>
      <c r="CI44" s="273">
        <v>180</v>
      </c>
      <c r="CJ44" s="273">
        <v>30</v>
      </c>
      <c r="CK44" s="273">
        <v>500</v>
      </c>
      <c r="CL44" s="273">
        <v>370</v>
      </c>
      <c r="CM44" s="273"/>
      <c r="CN44" s="273"/>
      <c r="CO44" s="273"/>
      <c r="CP44" s="273"/>
      <c r="CQ44" s="273"/>
      <c r="CR44" s="273"/>
      <c r="CS44" s="273"/>
      <c r="CT44" s="273"/>
      <c r="CU44" s="273"/>
      <c r="CV44" s="273"/>
      <c r="CW44" s="273"/>
      <c r="CX44" s="273"/>
      <c r="CY44" s="273"/>
      <c r="CZ44" s="273"/>
      <c r="DA44" s="273"/>
      <c r="DB44" s="273"/>
      <c r="DC44" s="273"/>
      <c r="DD44" s="273"/>
      <c r="DE44" s="273"/>
      <c r="DF44" s="271"/>
      <c r="DG44" s="271"/>
      <c r="DH44" s="272">
        <f t="shared" si="3"/>
        <v>60</v>
      </c>
      <c r="DI44" s="272">
        <f t="shared" si="3"/>
        <v>1000</v>
      </c>
      <c r="DJ44" s="324">
        <f t="shared" si="3"/>
        <v>740</v>
      </c>
      <c r="DK44" s="325"/>
      <c r="DL44" s="325"/>
    </row>
    <row r="45" spans="1:116" s="275" customFormat="1" ht="20.100000000000001" customHeight="1" x14ac:dyDescent="0.6">
      <c r="A45" s="234">
        <v>42</v>
      </c>
      <c r="B45" s="103" t="s">
        <v>480</v>
      </c>
      <c r="C45" s="103" t="s">
        <v>480</v>
      </c>
      <c r="D45" s="103" t="s">
        <v>365</v>
      </c>
      <c r="E45" s="148" t="s">
        <v>479</v>
      </c>
      <c r="F45" s="179" t="s">
        <v>462</v>
      </c>
      <c r="G45" s="322"/>
      <c r="H45" s="323"/>
      <c r="I45" s="322" t="s">
        <v>986</v>
      </c>
      <c r="J45" s="322" t="s">
        <v>974</v>
      </c>
      <c r="K45" s="241"/>
      <c r="L45" s="24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2">
        <f t="shared" si="4"/>
        <v>0</v>
      </c>
      <c r="AR45" s="272">
        <f t="shared" si="4"/>
        <v>0</v>
      </c>
      <c r="AS45" s="272">
        <f t="shared" si="4"/>
        <v>0</v>
      </c>
      <c r="AT45" s="357"/>
      <c r="AU45" s="357"/>
      <c r="AV45" s="357"/>
      <c r="AW45" s="357"/>
      <c r="AX45" s="357"/>
      <c r="AY45" s="357"/>
      <c r="AZ45" s="357"/>
      <c r="BA45" s="357"/>
      <c r="BB45" s="357"/>
      <c r="BC45" s="357"/>
      <c r="BD45" s="357"/>
      <c r="BE45" s="357"/>
      <c r="BF45" s="357"/>
      <c r="BG45" s="357"/>
      <c r="BH45" s="357"/>
      <c r="BI45" s="357"/>
      <c r="BJ45" s="357"/>
      <c r="BK45" s="357"/>
      <c r="BL45" s="357"/>
      <c r="BM45" s="357"/>
      <c r="BN45" s="357"/>
      <c r="BO45" s="357"/>
      <c r="BP45" s="357"/>
      <c r="BQ45" s="357"/>
      <c r="BR45" s="357"/>
      <c r="BS45" s="357"/>
      <c r="BT45" s="357"/>
      <c r="BU45" s="357"/>
      <c r="BV45" s="357"/>
      <c r="BW45" s="357"/>
      <c r="BX45" s="272">
        <f t="shared" si="5"/>
        <v>0</v>
      </c>
      <c r="BY45" s="272">
        <f t="shared" si="5"/>
        <v>0</v>
      </c>
      <c r="BZ45" s="272">
        <f t="shared" si="2"/>
        <v>0</v>
      </c>
      <c r="CA45" s="273"/>
      <c r="CB45" s="273"/>
      <c r="CC45" s="273"/>
      <c r="CD45" s="273"/>
      <c r="CE45" s="273"/>
      <c r="CF45" s="273"/>
      <c r="CG45" s="273"/>
      <c r="CH45" s="273"/>
      <c r="CI45" s="273"/>
      <c r="CJ45" s="273"/>
      <c r="CK45" s="273"/>
      <c r="CL45" s="273"/>
      <c r="CM45" s="273"/>
      <c r="CN45" s="273"/>
      <c r="CO45" s="273"/>
      <c r="CP45" s="273"/>
      <c r="CQ45" s="273"/>
      <c r="CR45" s="273"/>
      <c r="CS45" s="273"/>
      <c r="CT45" s="273"/>
      <c r="CU45" s="273"/>
      <c r="CV45" s="273"/>
      <c r="CW45" s="273"/>
      <c r="CX45" s="273"/>
      <c r="CY45" s="273"/>
      <c r="CZ45" s="273"/>
      <c r="DA45" s="273"/>
      <c r="DB45" s="273"/>
      <c r="DC45" s="273"/>
      <c r="DD45" s="273"/>
      <c r="DE45" s="273"/>
      <c r="DF45" s="271"/>
      <c r="DG45" s="271"/>
      <c r="DH45" s="272">
        <f t="shared" si="3"/>
        <v>0</v>
      </c>
      <c r="DI45" s="272">
        <f t="shared" si="3"/>
        <v>0</v>
      </c>
      <c r="DJ45" s="324">
        <f t="shared" si="3"/>
        <v>0</v>
      </c>
      <c r="DK45" s="325"/>
      <c r="DL45" s="325"/>
    </row>
    <row r="46" spans="1:116" s="275" customFormat="1" ht="20.100000000000001" customHeight="1" x14ac:dyDescent="0.6">
      <c r="A46" s="234">
        <v>43</v>
      </c>
      <c r="B46" s="103" t="s">
        <v>481</v>
      </c>
      <c r="C46" s="103" t="s">
        <v>481</v>
      </c>
      <c r="D46" s="103" t="s">
        <v>365</v>
      </c>
      <c r="E46" s="148" t="s">
        <v>479</v>
      </c>
      <c r="F46" s="179" t="s">
        <v>462</v>
      </c>
      <c r="G46" s="322"/>
      <c r="H46" s="323"/>
      <c r="I46" s="322" t="s">
        <v>987</v>
      </c>
      <c r="J46" s="322" t="s">
        <v>974</v>
      </c>
      <c r="K46" s="241"/>
      <c r="L46" s="24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>
        <v>15</v>
      </c>
      <c r="AL46" s="271">
        <v>180</v>
      </c>
      <c r="AM46" s="271">
        <v>180</v>
      </c>
      <c r="AN46" s="271"/>
      <c r="AO46" s="271"/>
      <c r="AP46" s="271"/>
      <c r="AQ46" s="272">
        <f t="shared" si="4"/>
        <v>15</v>
      </c>
      <c r="AR46" s="272">
        <f t="shared" si="4"/>
        <v>180</v>
      </c>
      <c r="AS46" s="272">
        <f t="shared" si="4"/>
        <v>180</v>
      </c>
      <c r="AT46" s="357"/>
      <c r="AU46" s="357"/>
      <c r="AV46" s="357"/>
      <c r="AW46" s="357"/>
      <c r="AX46" s="357"/>
      <c r="AY46" s="357"/>
      <c r="AZ46" s="357"/>
      <c r="BA46" s="357"/>
      <c r="BB46" s="357"/>
      <c r="BC46" s="357"/>
      <c r="BD46" s="357"/>
      <c r="BE46" s="357"/>
      <c r="BF46" s="357"/>
      <c r="BG46" s="357"/>
      <c r="BH46" s="357"/>
      <c r="BI46" s="357"/>
      <c r="BJ46" s="357"/>
      <c r="BK46" s="357"/>
      <c r="BL46" s="357"/>
      <c r="BM46" s="357"/>
      <c r="BN46" s="357"/>
      <c r="BO46" s="357"/>
      <c r="BP46" s="357"/>
      <c r="BQ46" s="357"/>
      <c r="BR46" s="357"/>
      <c r="BS46" s="357"/>
      <c r="BT46" s="357"/>
      <c r="BU46" s="357"/>
      <c r="BV46" s="357"/>
      <c r="BW46" s="357"/>
      <c r="BX46" s="272">
        <f t="shared" si="5"/>
        <v>15</v>
      </c>
      <c r="BY46" s="272">
        <f t="shared" si="5"/>
        <v>180</v>
      </c>
      <c r="BZ46" s="272">
        <f t="shared" si="2"/>
        <v>180</v>
      </c>
      <c r="CA46" s="273"/>
      <c r="CB46" s="273"/>
      <c r="CC46" s="273"/>
      <c r="CD46" s="273"/>
      <c r="CE46" s="273"/>
      <c r="CF46" s="273"/>
      <c r="CG46" s="273"/>
      <c r="CH46" s="273"/>
      <c r="CI46" s="273"/>
      <c r="CJ46" s="273"/>
      <c r="CK46" s="273"/>
      <c r="CL46" s="273"/>
      <c r="CM46" s="273"/>
      <c r="CN46" s="273"/>
      <c r="CO46" s="273"/>
      <c r="CP46" s="273">
        <v>15</v>
      </c>
      <c r="CQ46" s="273">
        <v>180</v>
      </c>
      <c r="CR46" s="273">
        <v>180</v>
      </c>
      <c r="CS46" s="273"/>
      <c r="CT46" s="273"/>
      <c r="CU46" s="273"/>
      <c r="CV46" s="273"/>
      <c r="CW46" s="273"/>
      <c r="CX46" s="273"/>
      <c r="CY46" s="273"/>
      <c r="CZ46" s="273"/>
      <c r="DA46" s="273"/>
      <c r="DB46" s="273"/>
      <c r="DC46" s="273"/>
      <c r="DD46" s="273"/>
      <c r="DE46" s="273"/>
      <c r="DF46" s="271"/>
      <c r="DG46" s="271"/>
      <c r="DH46" s="272">
        <f t="shared" si="3"/>
        <v>30</v>
      </c>
      <c r="DI46" s="272">
        <f t="shared" si="3"/>
        <v>360</v>
      </c>
      <c r="DJ46" s="324">
        <f t="shared" si="3"/>
        <v>360</v>
      </c>
      <c r="DK46" s="325"/>
      <c r="DL46" s="325"/>
    </row>
    <row r="47" spans="1:116" s="275" customFormat="1" ht="20.100000000000001" customHeight="1" x14ac:dyDescent="0.25">
      <c r="A47" s="234">
        <v>44</v>
      </c>
      <c r="B47" s="103" t="s">
        <v>482</v>
      </c>
      <c r="C47" s="103" t="s">
        <v>309</v>
      </c>
      <c r="D47" s="103" t="s">
        <v>365</v>
      </c>
      <c r="E47" s="148" t="s">
        <v>479</v>
      </c>
      <c r="F47" s="179" t="s">
        <v>462</v>
      </c>
      <c r="G47" s="322"/>
      <c r="H47" s="323"/>
      <c r="I47" s="322" t="s">
        <v>988</v>
      </c>
      <c r="J47" s="322" t="s">
        <v>974</v>
      </c>
      <c r="K47" s="241"/>
      <c r="L47" s="24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2">
        <f t="shared" si="4"/>
        <v>0</v>
      </c>
      <c r="AR47" s="272">
        <f t="shared" si="4"/>
        <v>0</v>
      </c>
      <c r="AS47" s="272">
        <f t="shared" si="4"/>
        <v>0</v>
      </c>
      <c r="AT47" s="357"/>
      <c r="AU47" s="357"/>
      <c r="AV47" s="357"/>
      <c r="AW47" s="357">
        <v>15</v>
      </c>
      <c r="AX47" s="357">
        <v>180</v>
      </c>
      <c r="AY47" s="357">
        <v>180</v>
      </c>
      <c r="AZ47" s="357"/>
      <c r="BA47" s="357"/>
      <c r="BB47" s="357"/>
      <c r="BC47" s="357"/>
      <c r="BD47" s="357"/>
      <c r="BE47" s="357"/>
      <c r="BF47" s="357"/>
      <c r="BG47" s="357"/>
      <c r="BH47" s="357"/>
      <c r="BI47" s="357"/>
      <c r="BJ47" s="357"/>
      <c r="BK47" s="357"/>
      <c r="BL47" s="357"/>
      <c r="BM47" s="357"/>
      <c r="BN47" s="357"/>
      <c r="BO47" s="357"/>
      <c r="BP47" s="357"/>
      <c r="BQ47" s="357"/>
      <c r="BR47" s="355"/>
      <c r="BS47" s="357"/>
      <c r="BT47" s="357"/>
      <c r="BU47" s="357"/>
      <c r="BV47" s="357"/>
      <c r="BW47" s="357"/>
      <c r="BX47" s="272">
        <f t="shared" si="5"/>
        <v>15</v>
      </c>
      <c r="BY47" s="272">
        <f t="shared" si="5"/>
        <v>180</v>
      </c>
      <c r="BZ47" s="272">
        <f t="shared" si="2"/>
        <v>180</v>
      </c>
      <c r="CA47" s="273"/>
      <c r="CB47" s="273"/>
      <c r="CC47" s="273"/>
      <c r="CD47" s="273"/>
      <c r="CE47" s="273"/>
      <c r="CF47" s="273"/>
      <c r="CG47" s="273"/>
      <c r="CH47" s="273"/>
      <c r="CI47" s="273"/>
      <c r="CJ47" s="273"/>
      <c r="CK47" s="273"/>
      <c r="CL47" s="273"/>
      <c r="CM47" s="273"/>
      <c r="CN47" s="273"/>
      <c r="CO47" s="273"/>
      <c r="CP47" s="273"/>
      <c r="CQ47" s="273"/>
      <c r="CR47" s="273"/>
      <c r="CS47" s="273"/>
      <c r="CT47" s="273"/>
      <c r="CU47" s="273"/>
      <c r="CV47" s="273"/>
      <c r="CW47" s="273"/>
      <c r="CX47" s="273"/>
      <c r="CY47" s="273"/>
      <c r="CZ47" s="273"/>
      <c r="DA47" s="273"/>
      <c r="DB47" s="273"/>
      <c r="DC47" s="273"/>
      <c r="DD47" s="273"/>
      <c r="DE47" s="273"/>
      <c r="DF47" s="271"/>
      <c r="DG47" s="271"/>
      <c r="DH47" s="272">
        <f t="shared" si="3"/>
        <v>15</v>
      </c>
      <c r="DI47" s="272">
        <f t="shared" si="3"/>
        <v>180</v>
      </c>
      <c r="DJ47" s="324">
        <f t="shared" si="3"/>
        <v>180</v>
      </c>
      <c r="DK47" s="325"/>
      <c r="DL47" s="325"/>
    </row>
    <row r="48" spans="1:116" s="275" customFormat="1" ht="20.100000000000001" customHeight="1" x14ac:dyDescent="0.6">
      <c r="A48" s="234">
        <v>45</v>
      </c>
      <c r="B48" s="103" t="s">
        <v>483</v>
      </c>
      <c r="C48" s="103" t="s">
        <v>484</v>
      </c>
      <c r="D48" s="103" t="s">
        <v>485</v>
      </c>
      <c r="E48" s="148" t="s">
        <v>132</v>
      </c>
      <c r="F48" s="179" t="s">
        <v>462</v>
      </c>
      <c r="G48" s="322"/>
      <c r="H48" s="323"/>
      <c r="I48" s="322" t="s">
        <v>989</v>
      </c>
      <c r="J48" s="322" t="s">
        <v>974</v>
      </c>
      <c r="K48" s="241"/>
      <c r="L48" s="24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2">
        <f t="shared" si="4"/>
        <v>0</v>
      </c>
      <c r="AR48" s="272">
        <f t="shared" si="4"/>
        <v>0</v>
      </c>
      <c r="AS48" s="272">
        <f t="shared" si="4"/>
        <v>0</v>
      </c>
      <c r="AT48" s="357"/>
      <c r="AU48" s="357"/>
      <c r="AV48" s="357"/>
      <c r="AW48" s="357"/>
      <c r="AX48" s="357"/>
      <c r="AY48" s="357"/>
      <c r="AZ48" s="357"/>
      <c r="BA48" s="357"/>
      <c r="BB48" s="357"/>
      <c r="BC48" s="357"/>
      <c r="BD48" s="357"/>
      <c r="BE48" s="357"/>
      <c r="BF48" s="357"/>
      <c r="BG48" s="357"/>
      <c r="BH48" s="357"/>
      <c r="BI48" s="357"/>
      <c r="BJ48" s="357"/>
      <c r="BK48" s="357"/>
      <c r="BL48" s="357"/>
      <c r="BM48" s="357"/>
      <c r="BN48" s="357"/>
      <c r="BO48" s="357"/>
      <c r="BP48" s="357"/>
      <c r="BQ48" s="357"/>
      <c r="BR48" s="357"/>
      <c r="BS48" s="357"/>
      <c r="BT48" s="357"/>
      <c r="BU48" s="357"/>
      <c r="BV48" s="357"/>
      <c r="BW48" s="357"/>
      <c r="BX48" s="272">
        <f t="shared" si="5"/>
        <v>0</v>
      </c>
      <c r="BY48" s="272">
        <f t="shared" si="5"/>
        <v>0</v>
      </c>
      <c r="BZ48" s="272">
        <f t="shared" si="2"/>
        <v>0</v>
      </c>
      <c r="CA48" s="273"/>
      <c r="CB48" s="273"/>
      <c r="CC48" s="273"/>
      <c r="CD48" s="273"/>
      <c r="CE48" s="273"/>
      <c r="CF48" s="273"/>
      <c r="CG48" s="273"/>
      <c r="CH48" s="273"/>
      <c r="CI48" s="273"/>
      <c r="CJ48" s="273"/>
      <c r="CK48" s="273"/>
      <c r="CL48" s="273"/>
      <c r="CM48" s="273"/>
      <c r="CN48" s="273"/>
      <c r="CO48" s="273"/>
      <c r="CP48" s="273"/>
      <c r="CQ48" s="273"/>
      <c r="CR48" s="273"/>
      <c r="CS48" s="273"/>
      <c r="CT48" s="273"/>
      <c r="CU48" s="273"/>
      <c r="CV48" s="273"/>
      <c r="CW48" s="273"/>
      <c r="CX48" s="273"/>
      <c r="CY48" s="273"/>
      <c r="CZ48" s="273"/>
      <c r="DA48" s="273"/>
      <c r="DB48" s="273"/>
      <c r="DC48" s="273"/>
      <c r="DD48" s="273"/>
      <c r="DE48" s="273"/>
      <c r="DF48" s="271"/>
      <c r="DG48" s="271"/>
      <c r="DH48" s="272">
        <f t="shared" si="3"/>
        <v>0</v>
      </c>
      <c r="DI48" s="272">
        <f t="shared" si="3"/>
        <v>0</v>
      </c>
      <c r="DJ48" s="324">
        <f t="shared" si="3"/>
        <v>0</v>
      </c>
      <c r="DK48" s="325"/>
      <c r="DL48" s="325"/>
    </row>
    <row r="49" spans="1:116" s="275" customFormat="1" ht="20.100000000000001" customHeight="1" x14ac:dyDescent="0.6">
      <c r="A49" s="234">
        <v>46</v>
      </c>
      <c r="B49" s="103" t="s">
        <v>486</v>
      </c>
      <c r="C49" s="103" t="s">
        <v>487</v>
      </c>
      <c r="D49" s="103" t="s">
        <v>485</v>
      </c>
      <c r="E49" s="148" t="s">
        <v>132</v>
      </c>
      <c r="F49" s="179" t="s">
        <v>462</v>
      </c>
      <c r="G49" s="322"/>
      <c r="H49" s="323"/>
      <c r="I49" s="322" t="s">
        <v>990</v>
      </c>
      <c r="J49" s="322" t="s">
        <v>974</v>
      </c>
      <c r="K49" s="241"/>
      <c r="L49" s="24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>
        <v>15</v>
      </c>
      <c r="AC49" s="271">
        <v>180</v>
      </c>
      <c r="AD49" s="271">
        <v>180</v>
      </c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2">
        <f t="shared" si="4"/>
        <v>15</v>
      </c>
      <c r="AR49" s="272">
        <f t="shared" si="4"/>
        <v>180</v>
      </c>
      <c r="AS49" s="272">
        <f t="shared" si="4"/>
        <v>180</v>
      </c>
      <c r="AT49" s="357"/>
      <c r="AU49" s="357"/>
      <c r="AV49" s="357"/>
      <c r="AW49" s="357"/>
      <c r="AX49" s="357"/>
      <c r="AY49" s="357"/>
      <c r="AZ49" s="357"/>
      <c r="BA49" s="357"/>
      <c r="BB49" s="357"/>
      <c r="BC49" s="357"/>
      <c r="BD49" s="357"/>
      <c r="BE49" s="357"/>
      <c r="BF49" s="357"/>
      <c r="BG49" s="357"/>
      <c r="BH49" s="357"/>
      <c r="BI49" s="357"/>
      <c r="BJ49" s="357"/>
      <c r="BK49" s="357"/>
      <c r="BL49" s="357"/>
      <c r="BM49" s="357"/>
      <c r="BN49" s="357"/>
      <c r="BO49" s="357"/>
      <c r="BP49" s="357"/>
      <c r="BQ49" s="357"/>
      <c r="BR49" s="357"/>
      <c r="BS49" s="357"/>
      <c r="BT49" s="357"/>
      <c r="BU49" s="357">
        <v>42</v>
      </c>
      <c r="BV49" s="357">
        <v>560</v>
      </c>
      <c r="BW49" s="357">
        <v>508</v>
      </c>
      <c r="BX49" s="272">
        <f t="shared" si="5"/>
        <v>57</v>
      </c>
      <c r="BY49" s="272">
        <f t="shared" si="5"/>
        <v>740</v>
      </c>
      <c r="BZ49" s="272">
        <f t="shared" si="2"/>
        <v>688</v>
      </c>
      <c r="CA49" s="273"/>
      <c r="CB49" s="273"/>
      <c r="CC49" s="273"/>
      <c r="CD49" s="273"/>
      <c r="CE49" s="273"/>
      <c r="CF49" s="273"/>
      <c r="CG49" s="273"/>
      <c r="CH49" s="273"/>
      <c r="CI49" s="273"/>
      <c r="CJ49" s="273">
        <v>2</v>
      </c>
      <c r="CK49" s="273">
        <v>28</v>
      </c>
      <c r="CL49" s="273">
        <v>17.920000000000002</v>
      </c>
      <c r="CM49" s="273"/>
      <c r="CN49" s="273"/>
      <c r="CO49" s="273"/>
      <c r="CP49" s="273"/>
      <c r="CQ49" s="273"/>
      <c r="CR49" s="273"/>
      <c r="CS49" s="273"/>
      <c r="CT49" s="273"/>
      <c r="CU49" s="273"/>
      <c r="CV49" s="273"/>
      <c r="CW49" s="273"/>
      <c r="CX49" s="273"/>
      <c r="CY49" s="273"/>
      <c r="CZ49" s="273"/>
      <c r="DA49" s="273"/>
      <c r="DB49" s="273"/>
      <c r="DC49" s="273"/>
      <c r="DD49" s="273"/>
      <c r="DE49" s="273"/>
      <c r="DF49" s="271"/>
      <c r="DG49" s="271"/>
      <c r="DH49" s="272">
        <f t="shared" si="3"/>
        <v>59</v>
      </c>
      <c r="DI49" s="272">
        <f t="shared" si="3"/>
        <v>768</v>
      </c>
      <c r="DJ49" s="324">
        <f t="shared" si="3"/>
        <v>705.92</v>
      </c>
      <c r="DK49" s="325"/>
      <c r="DL49" s="325"/>
    </row>
    <row r="50" spans="1:116" s="275" customFormat="1" ht="20.100000000000001" customHeight="1" x14ac:dyDescent="0.6">
      <c r="A50" s="234">
        <v>47</v>
      </c>
      <c r="B50" s="103" t="s">
        <v>488</v>
      </c>
      <c r="C50" s="103" t="s">
        <v>489</v>
      </c>
      <c r="D50" s="103" t="s">
        <v>490</v>
      </c>
      <c r="E50" s="148" t="s">
        <v>491</v>
      </c>
      <c r="F50" s="179" t="s">
        <v>462</v>
      </c>
      <c r="G50" s="322"/>
      <c r="H50" s="323"/>
      <c r="I50" s="322" t="s">
        <v>991</v>
      </c>
      <c r="J50" s="322" t="s">
        <v>974</v>
      </c>
      <c r="K50" s="241"/>
      <c r="L50" s="241"/>
      <c r="M50" s="271"/>
      <c r="N50" s="271"/>
      <c r="O50" s="271"/>
      <c r="P50" s="271">
        <v>19</v>
      </c>
      <c r="Q50" s="271">
        <v>480</v>
      </c>
      <c r="R50" s="271">
        <v>246</v>
      </c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2">
        <f t="shared" si="4"/>
        <v>19</v>
      </c>
      <c r="AR50" s="272">
        <f t="shared" si="4"/>
        <v>480</v>
      </c>
      <c r="AS50" s="272">
        <f t="shared" si="4"/>
        <v>246</v>
      </c>
      <c r="AT50" s="357">
        <v>20</v>
      </c>
      <c r="AU50" s="357">
        <v>240</v>
      </c>
      <c r="AV50" s="357">
        <v>240</v>
      </c>
      <c r="AW50" s="357"/>
      <c r="AX50" s="357"/>
      <c r="AY50" s="357"/>
      <c r="AZ50" s="357"/>
      <c r="BA50" s="357"/>
      <c r="BB50" s="357"/>
      <c r="BC50" s="357"/>
      <c r="BD50" s="357"/>
      <c r="BE50" s="357"/>
      <c r="BF50" s="357"/>
      <c r="BG50" s="357"/>
      <c r="BH50" s="357"/>
      <c r="BI50" s="357"/>
      <c r="BJ50" s="357"/>
      <c r="BK50" s="357"/>
      <c r="BL50" s="357"/>
      <c r="BM50" s="357"/>
      <c r="BN50" s="357"/>
      <c r="BO50" s="357"/>
      <c r="BP50" s="357"/>
      <c r="BQ50" s="357"/>
      <c r="BR50" s="357"/>
      <c r="BS50" s="357"/>
      <c r="BT50" s="357"/>
      <c r="BU50" s="357"/>
      <c r="BV50" s="357"/>
      <c r="BW50" s="357"/>
      <c r="BX50" s="272">
        <f t="shared" si="5"/>
        <v>39</v>
      </c>
      <c r="BY50" s="272">
        <f t="shared" si="5"/>
        <v>720</v>
      </c>
      <c r="BZ50" s="272">
        <f t="shared" si="2"/>
        <v>486</v>
      </c>
      <c r="CA50" s="273"/>
      <c r="CB50" s="273"/>
      <c r="CC50" s="273"/>
      <c r="CD50" s="273"/>
      <c r="CE50" s="273"/>
      <c r="CF50" s="273"/>
      <c r="CG50" s="273"/>
      <c r="CH50" s="273"/>
      <c r="CI50" s="273"/>
      <c r="CJ50" s="273"/>
      <c r="CK50" s="273"/>
      <c r="CL50" s="273"/>
      <c r="CM50" s="273">
        <v>20</v>
      </c>
      <c r="CN50" s="273">
        <v>240</v>
      </c>
      <c r="CO50" s="273">
        <v>240</v>
      </c>
      <c r="CP50" s="273"/>
      <c r="CQ50" s="273"/>
      <c r="CR50" s="273"/>
      <c r="CS50" s="273"/>
      <c r="CT50" s="273"/>
      <c r="CU50" s="273"/>
      <c r="CV50" s="273"/>
      <c r="CW50" s="273"/>
      <c r="CX50" s="273"/>
      <c r="CY50" s="273"/>
      <c r="CZ50" s="273"/>
      <c r="DA50" s="273"/>
      <c r="DB50" s="273"/>
      <c r="DC50" s="273"/>
      <c r="DD50" s="273"/>
      <c r="DE50" s="273"/>
      <c r="DF50" s="271"/>
      <c r="DG50" s="271"/>
      <c r="DH50" s="272">
        <f t="shared" si="3"/>
        <v>59</v>
      </c>
      <c r="DI50" s="272">
        <f t="shared" si="3"/>
        <v>960</v>
      </c>
      <c r="DJ50" s="324">
        <f t="shared" si="3"/>
        <v>726</v>
      </c>
      <c r="DK50" s="325"/>
      <c r="DL50" s="325"/>
    </row>
    <row r="51" spans="1:116" s="275" customFormat="1" ht="20.100000000000001" customHeight="1" x14ac:dyDescent="0.5">
      <c r="A51" s="234">
        <v>48</v>
      </c>
      <c r="B51" s="103" t="s">
        <v>492</v>
      </c>
      <c r="C51" s="187" t="s">
        <v>493</v>
      </c>
      <c r="D51" s="103" t="s">
        <v>494</v>
      </c>
      <c r="E51" s="148" t="s">
        <v>495</v>
      </c>
      <c r="F51" s="179" t="s">
        <v>462</v>
      </c>
      <c r="G51" s="322"/>
      <c r="H51" s="323"/>
      <c r="I51" s="322" t="s">
        <v>992</v>
      </c>
      <c r="J51" s="322" t="s">
        <v>974</v>
      </c>
      <c r="K51" s="241"/>
      <c r="L51" s="241"/>
      <c r="M51" s="271"/>
      <c r="N51" s="271"/>
      <c r="O51" s="271"/>
      <c r="P51" s="271">
        <v>15</v>
      </c>
      <c r="Q51" s="271">
        <v>180</v>
      </c>
      <c r="R51" s="271">
        <v>180</v>
      </c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2">
        <f t="shared" si="4"/>
        <v>15</v>
      </c>
      <c r="AR51" s="272">
        <f t="shared" si="4"/>
        <v>180</v>
      </c>
      <c r="AS51" s="272">
        <f t="shared" si="4"/>
        <v>180</v>
      </c>
      <c r="AT51" s="357"/>
      <c r="AU51" s="357"/>
      <c r="AV51" s="357"/>
      <c r="AW51" s="357"/>
      <c r="AX51" s="357"/>
      <c r="AY51" s="357"/>
      <c r="AZ51" s="357">
        <v>35</v>
      </c>
      <c r="BA51" s="357">
        <v>700</v>
      </c>
      <c r="BB51" s="357">
        <v>440</v>
      </c>
      <c r="BC51" s="357"/>
      <c r="BD51" s="357"/>
      <c r="BE51" s="357"/>
      <c r="BF51" s="357"/>
      <c r="BG51" s="357"/>
      <c r="BH51" s="357"/>
      <c r="BI51" s="357"/>
      <c r="BJ51" s="357"/>
      <c r="BK51" s="357"/>
      <c r="BL51" s="357"/>
      <c r="BM51" s="357"/>
      <c r="BN51" s="357"/>
      <c r="BO51" s="357"/>
      <c r="BP51" s="357"/>
      <c r="BQ51" s="357"/>
      <c r="BR51" s="357"/>
      <c r="BS51" s="357"/>
      <c r="BT51" s="357"/>
      <c r="BU51" s="357"/>
      <c r="BV51" s="357"/>
      <c r="BW51" s="357"/>
      <c r="BX51" s="272">
        <f t="shared" si="5"/>
        <v>50</v>
      </c>
      <c r="BY51" s="272">
        <f t="shared" si="5"/>
        <v>880</v>
      </c>
      <c r="BZ51" s="272">
        <f t="shared" si="2"/>
        <v>620</v>
      </c>
      <c r="CA51" s="273"/>
      <c r="CB51" s="273"/>
      <c r="CC51" s="273"/>
      <c r="CD51" s="273"/>
      <c r="CE51" s="273"/>
      <c r="CF51" s="273"/>
      <c r="CG51" s="273"/>
      <c r="CH51" s="273"/>
      <c r="CI51" s="273"/>
      <c r="CJ51" s="273"/>
      <c r="CK51" s="273"/>
      <c r="CL51" s="273"/>
      <c r="CM51" s="273"/>
      <c r="CN51" s="273"/>
      <c r="CO51" s="273"/>
      <c r="CP51" s="273"/>
      <c r="CQ51" s="273"/>
      <c r="CR51" s="273"/>
      <c r="CS51" s="273">
        <v>15</v>
      </c>
      <c r="CT51" s="273">
        <v>180</v>
      </c>
      <c r="CU51" s="273">
        <v>180</v>
      </c>
      <c r="CV51" s="273"/>
      <c r="CW51" s="273"/>
      <c r="CX51" s="273"/>
      <c r="CY51" s="273"/>
      <c r="CZ51" s="273"/>
      <c r="DA51" s="273"/>
      <c r="DB51" s="273"/>
      <c r="DC51" s="273"/>
      <c r="DD51" s="273"/>
      <c r="DE51" s="273"/>
      <c r="DF51" s="271"/>
      <c r="DG51" s="271"/>
      <c r="DH51" s="272">
        <f t="shared" si="3"/>
        <v>65</v>
      </c>
      <c r="DI51" s="272">
        <f t="shared" si="3"/>
        <v>1060</v>
      </c>
      <c r="DJ51" s="324">
        <f t="shared" si="3"/>
        <v>800</v>
      </c>
      <c r="DK51" s="325"/>
      <c r="DL51" s="325"/>
    </row>
    <row r="52" spans="1:116" s="275" customFormat="1" ht="20.100000000000001" customHeight="1" x14ac:dyDescent="0.5">
      <c r="A52" s="234">
        <v>49</v>
      </c>
      <c r="B52" s="103" t="s">
        <v>496</v>
      </c>
      <c r="C52" s="187" t="s">
        <v>497</v>
      </c>
      <c r="D52" s="103" t="s">
        <v>490</v>
      </c>
      <c r="E52" s="148" t="s">
        <v>491</v>
      </c>
      <c r="F52" s="179" t="s">
        <v>462</v>
      </c>
      <c r="G52" s="322"/>
      <c r="H52" s="323"/>
      <c r="I52" s="322" t="s">
        <v>993</v>
      </c>
      <c r="J52" s="322" t="s">
        <v>994</v>
      </c>
      <c r="K52" s="241"/>
      <c r="L52" s="24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2">
        <f t="shared" si="4"/>
        <v>0</v>
      </c>
      <c r="AR52" s="272">
        <f t="shared" si="4"/>
        <v>0</v>
      </c>
      <c r="AS52" s="272">
        <f t="shared" si="4"/>
        <v>0</v>
      </c>
      <c r="AT52" s="357"/>
      <c r="AU52" s="357"/>
      <c r="AV52" s="357"/>
      <c r="AW52" s="357"/>
      <c r="AX52" s="357"/>
      <c r="AY52" s="357"/>
      <c r="AZ52" s="357"/>
      <c r="BA52" s="357"/>
      <c r="BB52" s="357"/>
      <c r="BC52" s="357"/>
      <c r="BD52" s="357"/>
      <c r="BE52" s="357"/>
      <c r="BF52" s="357"/>
      <c r="BG52" s="357"/>
      <c r="BH52" s="357"/>
      <c r="BI52" s="357"/>
      <c r="BJ52" s="357"/>
      <c r="BK52" s="357"/>
      <c r="BL52" s="357"/>
      <c r="BM52" s="357"/>
      <c r="BN52" s="357"/>
      <c r="BO52" s="357"/>
      <c r="BP52" s="357"/>
      <c r="BQ52" s="357"/>
      <c r="BR52" s="357"/>
      <c r="BS52" s="357"/>
      <c r="BT52" s="357"/>
      <c r="BU52" s="357"/>
      <c r="BV52" s="357"/>
      <c r="BW52" s="357"/>
      <c r="BX52" s="272">
        <f t="shared" si="5"/>
        <v>0</v>
      </c>
      <c r="BY52" s="272">
        <f t="shared" si="5"/>
        <v>0</v>
      </c>
      <c r="BZ52" s="272">
        <f t="shared" si="2"/>
        <v>0</v>
      </c>
      <c r="CA52" s="273"/>
      <c r="CB52" s="273"/>
      <c r="CC52" s="273"/>
      <c r="CD52" s="273"/>
      <c r="CE52" s="273"/>
      <c r="CF52" s="273"/>
      <c r="CG52" s="273"/>
      <c r="CH52" s="273"/>
      <c r="CI52" s="273"/>
      <c r="CJ52" s="273"/>
      <c r="CK52" s="273"/>
      <c r="CL52" s="273"/>
      <c r="CM52" s="273"/>
      <c r="CN52" s="273"/>
      <c r="CO52" s="273"/>
      <c r="CP52" s="273"/>
      <c r="CQ52" s="273"/>
      <c r="CR52" s="273"/>
      <c r="CS52" s="273"/>
      <c r="CT52" s="273"/>
      <c r="CU52" s="273"/>
      <c r="CV52" s="273"/>
      <c r="CW52" s="273"/>
      <c r="CX52" s="273"/>
      <c r="CY52" s="273"/>
      <c r="CZ52" s="273"/>
      <c r="DA52" s="273"/>
      <c r="DB52" s="273"/>
      <c r="DC52" s="273"/>
      <c r="DD52" s="273"/>
      <c r="DE52" s="273"/>
      <c r="DF52" s="271"/>
      <c r="DG52" s="271"/>
      <c r="DH52" s="272">
        <f t="shared" si="3"/>
        <v>0</v>
      </c>
      <c r="DI52" s="272">
        <f t="shared" si="3"/>
        <v>0</v>
      </c>
      <c r="DJ52" s="324">
        <f t="shared" si="3"/>
        <v>0</v>
      </c>
      <c r="DK52" s="325"/>
      <c r="DL52" s="325"/>
    </row>
    <row r="53" spans="1:116" s="275" customFormat="1" ht="20.100000000000001" customHeight="1" x14ac:dyDescent="0.5">
      <c r="A53" s="234">
        <v>50</v>
      </c>
      <c r="B53" s="103" t="s">
        <v>498</v>
      </c>
      <c r="C53" s="187" t="s">
        <v>499</v>
      </c>
      <c r="D53" s="103" t="s">
        <v>500</v>
      </c>
      <c r="E53" s="148" t="s">
        <v>501</v>
      </c>
      <c r="F53" s="179" t="s">
        <v>462</v>
      </c>
      <c r="G53" s="322"/>
      <c r="H53" s="323"/>
      <c r="I53" s="322" t="s">
        <v>995</v>
      </c>
      <c r="J53" s="322" t="s">
        <v>994</v>
      </c>
      <c r="K53" s="241"/>
      <c r="L53" s="24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2">
        <f t="shared" si="4"/>
        <v>0</v>
      </c>
      <c r="AR53" s="272">
        <f t="shared" si="4"/>
        <v>0</v>
      </c>
      <c r="AS53" s="272">
        <f t="shared" si="4"/>
        <v>0</v>
      </c>
      <c r="AT53" s="357"/>
      <c r="AU53" s="357"/>
      <c r="AV53" s="357"/>
      <c r="AW53" s="357"/>
      <c r="AX53" s="357"/>
      <c r="AY53" s="357"/>
      <c r="AZ53" s="357"/>
      <c r="BA53" s="357"/>
      <c r="BB53" s="357"/>
      <c r="BC53" s="357"/>
      <c r="BD53" s="357"/>
      <c r="BE53" s="357"/>
      <c r="BF53" s="357"/>
      <c r="BG53" s="357"/>
      <c r="BH53" s="357"/>
      <c r="BI53" s="357"/>
      <c r="BJ53" s="357"/>
      <c r="BK53" s="357"/>
      <c r="BL53" s="357"/>
      <c r="BM53" s="357"/>
      <c r="BN53" s="357"/>
      <c r="BO53" s="357"/>
      <c r="BP53" s="357"/>
      <c r="BQ53" s="357"/>
      <c r="BR53" s="357"/>
      <c r="BS53" s="357"/>
      <c r="BT53" s="357"/>
      <c r="BU53" s="357"/>
      <c r="BV53" s="357"/>
      <c r="BW53" s="357"/>
      <c r="BX53" s="272">
        <f t="shared" si="5"/>
        <v>0</v>
      </c>
      <c r="BY53" s="272">
        <f t="shared" si="5"/>
        <v>0</v>
      </c>
      <c r="BZ53" s="272">
        <f t="shared" si="2"/>
        <v>0</v>
      </c>
      <c r="CA53" s="273"/>
      <c r="CB53" s="273"/>
      <c r="CC53" s="273"/>
      <c r="CD53" s="273"/>
      <c r="CE53" s="273"/>
      <c r="CF53" s="273"/>
      <c r="CG53" s="273"/>
      <c r="CH53" s="273"/>
      <c r="CI53" s="273"/>
      <c r="CJ53" s="273"/>
      <c r="CK53" s="273"/>
      <c r="CL53" s="273"/>
      <c r="CM53" s="273"/>
      <c r="CN53" s="273"/>
      <c r="CO53" s="273"/>
      <c r="CP53" s="273"/>
      <c r="CQ53" s="273"/>
      <c r="CR53" s="273"/>
      <c r="CS53" s="273"/>
      <c r="CT53" s="273"/>
      <c r="CU53" s="273"/>
      <c r="CV53" s="273"/>
      <c r="CW53" s="273"/>
      <c r="CX53" s="273"/>
      <c r="CY53" s="273"/>
      <c r="CZ53" s="273"/>
      <c r="DA53" s="273"/>
      <c r="DB53" s="273"/>
      <c r="DC53" s="273"/>
      <c r="DD53" s="273"/>
      <c r="DE53" s="273"/>
      <c r="DF53" s="271"/>
      <c r="DG53" s="271"/>
      <c r="DH53" s="272">
        <f t="shared" si="3"/>
        <v>0</v>
      </c>
      <c r="DI53" s="272">
        <f t="shared" si="3"/>
        <v>0</v>
      </c>
      <c r="DJ53" s="324">
        <f t="shared" si="3"/>
        <v>0</v>
      </c>
      <c r="DK53" s="325"/>
      <c r="DL53" s="325"/>
    </row>
    <row r="54" spans="1:116" s="275" customFormat="1" ht="20.100000000000001" customHeight="1" x14ac:dyDescent="0.5">
      <c r="A54" s="234">
        <v>51</v>
      </c>
      <c r="B54" s="103" t="s">
        <v>502</v>
      </c>
      <c r="C54" s="187" t="s">
        <v>503</v>
      </c>
      <c r="D54" s="103" t="s">
        <v>500</v>
      </c>
      <c r="E54" s="148" t="s">
        <v>501</v>
      </c>
      <c r="F54" s="179" t="s">
        <v>462</v>
      </c>
      <c r="G54" s="322"/>
      <c r="H54" s="323"/>
      <c r="I54" s="322" t="s">
        <v>996</v>
      </c>
      <c r="J54" s="322" t="s">
        <v>994</v>
      </c>
      <c r="K54" s="241"/>
      <c r="L54" s="24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2">
        <f t="shared" si="4"/>
        <v>0</v>
      </c>
      <c r="AR54" s="272">
        <f t="shared" si="4"/>
        <v>0</v>
      </c>
      <c r="AS54" s="272">
        <f t="shared" si="4"/>
        <v>0</v>
      </c>
      <c r="AT54" s="357"/>
      <c r="AU54" s="357"/>
      <c r="AV54" s="357"/>
      <c r="AW54" s="357"/>
      <c r="AX54" s="357"/>
      <c r="AY54" s="357"/>
      <c r="AZ54" s="357"/>
      <c r="BA54" s="357"/>
      <c r="BB54" s="357"/>
      <c r="BC54" s="357"/>
      <c r="BD54" s="357"/>
      <c r="BE54" s="357"/>
      <c r="BF54" s="357"/>
      <c r="BG54" s="357"/>
      <c r="BH54" s="357"/>
      <c r="BI54" s="357"/>
      <c r="BJ54" s="357"/>
      <c r="BK54" s="357"/>
      <c r="BL54" s="357"/>
      <c r="BM54" s="357"/>
      <c r="BN54" s="357"/>
      <c r="BO54" s="357"/>
      <c r="BP54" s="357"/>
      <c r="BQ54" s="357"/>
      <c r="BR54" s="357"/>
      <c r="BS54" s="357"/>
      <c r="BT54" s="357"/>
      <c r="BU54" s="357"/>
      <c r="BV54" s="357"/>
      <c r="BW54" s="357"/>
      <c r="BX54" s="272">
        <f t="shared" si="5"/>
        <v>0</v>
      </c>
      <c r="BY54" s="272">
        <f t="shared" si="5"/>
        <v>0</v>
      </c>
      <c r="BZ54" s="272">
        <f t="shared" si="2"/>
        <v>0</v>
      </c>
      <c r="CA54" s="273"/>
      <c r="CB54" s="273"/>
      <c r="CC54" s="273"/>
      <c r="CD54" s="273"/>
      <c r="CE54" s="273"/>
      <c r="CF54" s="273"/>
      <c r="CG54" s="273"/>
      <c r="CH54" s="273"/>
      <c r="CI54" s="273"/>
      <c r="CJ54" s="273"/>
      <c r="CK54" s="273"/>
      <c r="CL54" s="273"/>
      <c r="CM54" s="273"/>
      <c r="CN54" s="273"/>
      <c r="CO54" s="273"/>
      <c r="CP54" s="273"/>
      <c r="CQ54" s="273"/>
      <c r="CR54" s="273"/>
      <c r="CS54" s="273"/>
      <c r="CT54" s="273"/>
      <c r="CU54" s="273"/>
      <c r="CV54" s="273"/>
      <c r="CW54" s="273"/>
      <c r="CX54" s="273"/>
      <c r="CY54" s="273"/>
      <c r="CZ54" s="273"/>
      <c r="DA54" s="273"/>
      <c r="DB54" s="273"/>
      <c r="DC54" s="273"/>
      <c r="DD54" s="273"/>
      <c r="DE54" s="273"/>
      <c r="DF54" s="271"/>
      <c r="DG54" s="271"/>
      <c r="DH54" s="272">
        <f t="shared" si="3"/>
        <v>0</v>
      </c>
      <c r="DI54" s="272">
        <f t="shared" si="3"/>
        <v>0</v>
      </c>
      <c r="DJ54" s="324">
        <f t="shared" si="3"/>
        <v>0</v>
      </c>
      <c r="DK54" s="325"/>
      <c r="DL54" s="325"/>
    </row>
    <row r="55" spans="1:116" s="275" customFormat="1" ht="20.100000000000001" customHeight="1" x14ac:dyDescent="0.5">
      <c r="A55" s="234">
        <v>52</v>
      </c>
      <c r="B55" s="103" t="s">
        <v>504</v>
      </c>
      <c r="C55" s="187" t="s">
        <v>505</v>
      </c>
      <c r="D55" s="103" t="s">
        <v>500</v>
      </c>
      <c r="E55" s="148" t="s">
        <v>501</v>
      </c>
      <c r="F55" s="179" t="s">
        <v>462</v>
      </c>
      <c r="G55" s="322"/>
      <c r="H55" s="323"/>
      <c r="I55" s="322" t="s">
        <v>997</v>
      </c>
      <c r="J55" s="322" t="s">
        <v>994</v>
      </c>
      <c r="K55" s="241"/>
      <c r="L55" s="24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2">
        <f t="shared" si="4"/>
        <v>0</v>
      </c>
      <c r="AR55" s="272">
        <f t="shared" si="4"/>
        <v>0</v>
      </c>
      <c r="AS55" s="272">
        <f t="shared" si="4"/>
        <v>0</v>
      </c>
      <c r="AT55" s="357"/>
      <c r="AU55" s="357"/>
      <c r="AV55" s="357"/>
      <c r="AW55" s="357"/>
      <c r="AX55" s="357"/>
      <c r="AY55" s="357"/>
      <c r="AZ55" s="357"/>
      <c r="BA55" s="357"/>
      <c r="BB55" s="357"/>
      <c r="BC55" s="357"/>
      <c r="BD55" s="357"/>
      <c r="BE55" s="357"/>
      <c r="BF55" s="357"/>
      <c r="BG55" s="357"/>
      <c r="BH55" s="357"/>
      <c r="BI55" s="357"/>
      <c r="BJ55" s="357"/>
      <c r="BK55" s="357"/>
      <c r="BL55" s="357"/>
      <c r="BM55" s="357"/>
      <c r="BN55" s="357"/>
      <c r="BO55" s="357"/>
      <c r="BP55" s="357"/>
      <c r="BQ55" s="357"/>
      <c r="BR55" s="357"/>
      <c r="BS55" s="357"/>
      <c r="BT55" s="357"/>
      <c r="BU55" s="357"/>
      <c r="BV55" s="357"/>
      <c r="BW55" s="357"/>
      <c r="BX55" s="272">
        <f t="shared" si="5"/>
        <v>0</v>
      </c>
      <c r="BY55" s="272">
        <f t="shared" si="5"/>
        <v>0</v>
      </c>
      <c r="BZ55" s="272">
        <f t="shared" si="2"/>
        <v>0</v>
      </c>
      <c r="CA55" s="273"/>
      <c r="CB55" s="273"/>
      <c r="CC55" s="273"/>
      <c r="CD55" s="273"/>
      <c r="CE55" s="273"/>
      <c r="CF55" s="273"/>
      <c r="CG55" s="273"/>
      <c r="CH55" s="273"/>
      <c r="CI55" s="273"/>
      <c r="CJ55" s="273"/>
      <c r="CK55" s="273"/>
      <c r="CL55" s="273"/>
      <c r="CM55" s="273"/>
      <c r="CN55" s="273"/>
      <c r="CO55" s="273"/>
      <c r="CP55" s="273"/>
      <c r="CQ55" s="273"/>
      <c r="CR55" s="273"/>
      <c r="CS55" s="273">
        <v>50</v>
      </c>
      <c r="CT55" s="273">
        <v>700</v>
      </c>
      <c r="CU55" s="273">
        <v>448</v>
      </c>
      <c r="CV55" s="273"/>
      <c r="CW55" s="273"/>
      <c r="CX55" s="273"/>
      <c r="CY55" s="273"/>
      <c r="CZ55" s="273"/>
      <c r="DA55" s="273"/>
      <c r="DB55" s="273"/>
      <c r="DC55" s="273"/>
      <c r="DD55" s="273"/>
      <c r="DE55" s="273"/>
      <c r="DF55" s="271"/>
      <c r="DG55" s="271"/>
      <c r="DH55" s="272">
        <f t="shared" si="3"/>
        <v>50</v>
      </c>
      <c r="DI55" s="272">
        <f t="shared" si="3"/>
        <v>700</v>
      </c>
      <c r="DJ55" s="324">
        <f t="shared" si="3"/>
        <v>448</v>
      </c>
      <c r="DK55" s="325"/>
      <c r="DL55" s="325"/>
    </row>
    <row r="56" spans="1:116" s="275" customFormat="1" ht="20.100000000000001" customHeight="1" x14ac:dyDescent="0.5">
      <c r="A56" s="234">
        <v>53</v>
      </c>
      <c r="B56" s="103" t="s">
        <v>506</v>
      </c>
      <c r="C56" s="187" t="s">
        <v>507</v>
      </c>
      <c r="D56" s="103" t="s">
        <v>304</v>
      </c>
      <c r="E56" s="148" t="s">
        <v>305</v>
      </c>
      <c r="F56" s="179" t="s">
        <v>462</v>
      </c>
      <c r="G56" s="322"/>
      <c r="H56" s="323"/>
      <c r="I56" s="322" t="s">
        <v>998</v>
      </c>
      <c r="J56" s="322" t="s">
        <v>994</v>
      </c>
      <c r="K56" s="241"/>
      <c r="L56" s="24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2">
        <f t="shared" si="4"/>
        <v>0</v>
      </c>
      <c r="AR56" s="272">
        <f t="shared" si="4"/>
        <v>0</v>
      </c>
      <c r="AS56" s="272">
        <f t="shared" si="4"/>
        <v>0</v>
      </c>
      <c r="AT56" s="357"/>
      <c r="AU56" s="357"/>
      <c r="AV56" s="357"/>
      <c r="AW56" s="357"/>
      <c r="AX56" s="357"/>
      <c r="AY56" s="357"/>
      <c r="AZ56" s="357"/>
      <c r="BA56" s="357"/>
      <c r="BB56" s="357"/>
      <c r="BC56" s="357"/>
      <c r="BD56" s="357"/>
      <c r="BE56" s="357"/>
      <c r="BF56" s="357"/>
      <c r="BG56" s="357"/>
      <c r="BH56" s="357"/>
      <c r="BI56" s="357"/>
      <c r="BJ56" s="357"/>
      <c r="BK56" s="357"/>
      <c r="BL56" s="357"/>
      <c r="BM56" s="357"/>
      <c r="BN56" s="357"/>
      <c r="BO56" s="357">
        <v>25</v>
      </c>
      <c r="BP56" s="357">
        <v>310</v>
      </c>
      <c r="BQ56" s="357">
        <v>284.8</v>
      </c>
      <c r="BR56" s="357"/>
      <c r="BS56" s="357"/>
      <c r="BT56" s="357"/>
      <c r="BU56" s="357"/>
      <c r="BV56" s="357"/>
      <c r="BW56" s="357"/>
      <c r="BX56" s="272">
        <f t="shared" si="5"/>
        <v>25</v>
      </c>
      <c r="BY56" s="272">
        <f t="shared" si="5"/>
        <v>310</v>
      </c>
      <c r="BZ56" s="272">
        <f t="shared" si="2"/>
        <v>284.8</v>
      </c>
      <c r="CA56" s="273"/>
      <c r="CB56" s="273"/>
      <c r="CC56" s="273"/>
      <c r="CD56" s="273"/>
      <c r="CE56" s="273"/>
      <c r="CF56" s="273"/>
      <c r="CG56" s="273"/>
      <c r="CH56" s="273"/>
      <c r="CI56" s="273"/>
      <c r="CJ56" s="273"/>
      <c r="CK56" s="273"/>
      <c r="CL56" s="273"/>
      <c r="CM56" s="273"/>
      <c r="CN56" s="273"/>
      <c r="CO56" s="273"/>
      <c r="CP56" s="273"/>
      <c r="CQ56" s="273"/>
      <c r="CR56" s="273"/>
      <c r="CS56" s="273"/>
      <c r="CT56" s="273"/>
      <c r="CU56" s="273"/>
      <c r="CV56" s="273"/>
      <c r="CW56" s="273"/>
      <c r="CX56" s="273"/>
      <c r="CY56" s="273"/>
      <c r="CZ56" s="273"/>
      <c r="DA56" s="273"/>
      <c r="DB56" s="273"/>
      <c r="DC56" s="273"/>
      <c r="DD56" s="273"/>
      <c r="DE56" s="273"/>
      <c r="DF56" s="271"/>
      <c r="DG56" s="271"/>
      <c r="DH56" s="272">
        <f t="shared" si="3"/>
        <v>25</v>
      </c>
      <c r="DI56" s="272">
        <f t="shared" si="3"/>
        <v>310</v>
      </c>
      <c r="DJ56" s="324">
        <f t="shared" si="3"/>
        <v>284.8</v>
      </c>
      <c r="DK56" s="325"/>
      <c r="DL56" s="325"/>
    </row>
    <row r="57" spans="1:116" s="275" customFormat="1" ht="20.100000000000001" customHeight="1" x14ac:dyDescent="0.5">
      <c r="A57" s="234">
        <v>54</v>
      </c>
      <c r="B57" s="103" t="s">
        <v>508</v>
      </c>
      <c r="C57" s="187" t="s">
        <v>508</v>
      </c>
      <c r="D57" s="103" t="s">
        <v>509</v>
      </c>
      <c r="E57" s="148" t="s">
        <v>510</v>
      </c>
      <c r="F57" s="179" t="s">
        <v>511</v>
      </c>
      <c r="G57" s="322"/>
      <c r="H57" s="323"/>
      <c r="I57" s="322" t="s">
        <v>999</v>
      </c>
      <c r="J57" s="322" t="s">
        <v>994</v>
      </c>
      <c r="K57" s="241"/>
      <c r="L57" s="24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2">
        <f t="shared" si="4"/>
        <v>0</v>
      </c>
      <c r="AR57" s="272">
        <f t="shared" si="4"/>
        <v>0</v>
      </c>
      <c r="AS57" s="272">
        <f t="shared" si="4"/>
        <v>0</v>
      </c>
      <c r="AT57" s="357"/>
      <c r="AU57" s="357"/>
      <c r="AV57" s="357"/>
      <c r="AW57" s="357"/>
      <c r="AX57" s="357"/>
      <c r="AY57" s="357"/>
      <c r="AZ57" s="357"/>
      <c r="BA57" s="357"/>
      <c r="BB57" s="357"/>
      <c r="BC57" s="357"/>
      <c r="BD57" s="357"/>
      <c r="BE57" s="357"/>
      <c r="BF57" s="357"/>
      <c r="BG57" s="357"/>
      <c r="BH57" s="357"/>
      <c r="BI57" s="357"/>
      <c r="BJ57" s="357"/>
      <c r="BK57" s="357"/>
      <c r="BL57" s="357"/>
      <c r="BM57" s="357"/>
      <c r="BN57" s="357"/>
      <c r="BO57" s="357"/>
      <c r="BP57" s="357"/>
      <c r="BQ57" s="357"/>
      <c r="BR57" s="357"/>
      <c r="BS57" s="357"/>
      <c r="BT57" s="357"/>
      <c r="BU57" s="357"/>
      <c r="BV57" s="357"/>
      <c r="BW57" s="357"/>
      <c r="BX57" s="272">
        <f t="shared" si="5"/>
        <v>0</v>
      </c>
      <c r="BY57" s="272">
        <f t="shared" si="5"/>
        <v>0</v>
      </c>
      <c r="BZ57" s="272">
        <f t="shared" si="2"/>
        <v>0</v>
      </c>
      <c r="CA57" s="273"/>
      <c r="CB57" s="273"/>
      <c r="CC57" s="273"/>
      <c r="CD57" s="273"/>
      <c r="CE57" s="273"/>
      <c r="CF57" s="273"/>
      <c r="CG57" s="273"/>
      <c r="CH57" s="273"/>
      <c r="CI57" s="273"/>
      <c r="CJ57" s="273">
        <v>15</v>
      </c>
      <c r="CK57" s="273">
        <v>180</v>
      </c>
      <c r="CL57" s="273">
        <v>180</v>
      </c>
      <c r="CM57" s="273"/>
      <c r="CN57" s="273"/>
      <c r="CO57" s="273"/>
      <c r="CP57" s="273"/>
      <c r="CQ57" s="273"/>
      <c r="CR57" s="273"/>
      <c r="CS57" s="273"/>
      <c r="CT57" s="273"/>
      <c r="CU57" s="273"/>
      <c r="CV57" s="273"/>
      <c r="CW57" s="273"/>
      <c r="CX57" s="273"/>
      <c r="CY57" s="273"/>
      <c r="CZ57" s="273"/>
      <c r="DA57" s="273"/>
      <c r="DB57" s="273"/>
      <c r="DC57" s="273"/>
      <c r="DD57" s="273"/>
      <c r="DE57" s="273"/>
      <c r="DF57" s="271"/>
      <c r="DG57" s="271"/>
      <c r="DH57" s="272">
        <f t="shared" si="3"/>
        <v>15</v>
      </c>
      <c r="DI57" s="272">
        <f t="shared" si="3"/>
        <v>180</v>
      </c>
      <c r="DJ57" s="324">
        <f t="shared" si="3"/>
        <v>180</v>
      </c>
      <c r="DK57" s="325"/>
      <c r="DL57" s="325"/>
    </row>
    <row r="58" spans="1:116" s="275" customFormat="1" ht="20.100000000000001" customHeight="1" x14ac:dyDescent="0.6">
      <c r="A58" s="234">
        <v>55</v>
      </c>
      <c r="B58" s="103" t="s">
        <v>512</v>
      </c>
      <c r="C58" s="103" t="s">
        <v>513</v>
      </c>
      <c r="D58" s="103" t="s">
        <v>514</v>
      </c>
      <c r="E58" s="148" t="s">
        <v>515</v>
      </c>
      <c r="F58" s="179" t="s">
        <v>516</v>
      </c>
      <c r="G58" s="322"/>
      <c r="H58" s="323"/>
      <c r="I58" s="322" t="s">
        <v>1000</v>
      </c>
      <c r="J58" s="322" t="s">
        <v>994</v>
      </c>
      <c r="K58" s="241"/>
      <c r="L58" s="241"/>
      <c r="M58" s="271"/>
      <c r="N58" s="271"/>
      <c r="O58" s="271"/>
      <c r="P58" s="271">
        <v>15</v>
      </c>
      <c r="Q58" s="271">
        <v>180</v>
      </c>
      <c r="R58" s="271">
        <v>180</v>
      </c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>
        <v>2</v>
      </c>
      <c r="AL58" s="271">
        <v>80</v>
      </c>
      <c r="AM58" s="271">
        <v>28</v>
      </c>
      <c r="AN58" s="271"/>
      <c r="AO58" s="271"/>
      <c r="AP58" s="271"/>
      <c r="AQ58" s="272">
        <f t="shared" si="4"/>
        <v>17</v>
      </c>
      <c r="AR58" s="272">
        <f t="shared" si="4"/>
        <v>260</v>
      </c>
      <c r="AS58" s="272">
        <f t="shared" si="4"/>
        <v>208</v>
      </c>
      <c r="AT58" s="357"/>
      <c r="AU58" s="357"/>
      <c r="AV58" s="357"/>
      <c r="AW58" s="357"/>
      <c r="AX58" s="357"/>
      <c r="AY58" s="357"/>
      <c r="AZ58" s="357">
        <v>15</v>
      </c>
      <c r="BA58" s="357">
        <v>180</v>
      </c>
      <c r="BB58" s="357">
        <v>180</v>
      </c>
      <c r="BC58" s="357"/>
      <c r="BD58" s="357"/>
      <c r="BE58" s="357"/>
      <c r="BF58" s="357"/>
      <c r="BG58" s="357"/>
      <c r="BH58" s="357"/>
      <c r="BI58" s="357"/>
      <c r="BJ58" s="357"/>
      <c r="BK58" s="357"/>
      <c r="BL58" s="357"/>
      <c r="BM58" s="357"/>
      <c r="BN58" s="357"/>
      <c r="BO58" s="357"/>
      <c r="BP58" s="357"/>
      <c r="BQ58" s="357"/>
      <c r="BR58" s="357"/>
      <c r="BS58" s="357"/>
      <c r="BT58" s="357"/>
      <c r="BU58" s="357"/>
      <c r="BV58" s="357"/>
      <c r="BW58" s="357"/>
      <c r="BX58" s="272">
        <f t="shared" si="5"/>
        <v>32</v>
      </c>
      <c r="BY58" s="272">
        <f t="shared" si="5"/>
        <v>440</v>
      </c>
      <c r="BZ58" s="272">
        <f t="shared" si="2"/>
        <v>388</v>
      </c>
      <c r="CA58" s="273"/>
      <c r="CB58" s="273"/>
      <c r="CC58" s="273"/>
      <c r="CD58" s="273"/>
      <c r="CE58" s="273"/>
      <c r="CF58" s="273"/>
      <c r="CG58" s="273">
        <v>25</v>
      </c>
      <c r="CH58" s="273">
        <v>300</v>
      </c>
      <c r="CI58" s="273">
        <v>300</v>
      </c>
      <c r="CJ58" s="273"/>
      <c r="CK58" s="273"/>
      <c r="CL58" s="273"/>
      <c r="CM58" s="273"/>
      <c r="CN58" s="273"/>
      <c r="CO58" s="273"/>
      <c r="CP58" s="273"/>
      <c r="CQ58" s="273"/>
      <c r="CR58" s="273"/>
      <c r="CS58" s="273"/>
      <c r="CT58" s="273"/>
      <c r="CU58" s="273"/>
      <c r="CV58" s="273"/>
      <c r="CW58" s="273"/>
      <c r="CX58" s="273"/>
      <c r="CY58" s="273"/>
      <c r="CZ58" s="273"/>
      <c r="DA58" s="273"/>
      <c r="DB58" s="273"/>
      <c r="DC58" s="273"/>
      <c r="DD58" s="273"/>
      <c r="DE58" s="273"/>
      <c r="DF58" s="271"/>
      <c r="DG58" s="271"/>
      <c r="DH58" s="272">
        <f t="shared" si="3"/>
        <v>57</v>
      </c>
      <c r="DI58" s="272">
        <f t="shared" si="3"/>
        <v>740</v>
      </c>
      <c r="DJ58" s="324">
        <f t="shared" si="3"/>
        <v>688</v>
      </c>
      <c r="DK58" s="325"/>
      <c r="DL58" s="325"/>
    </row>
    <row r="59" spans="1:116" s="275" customFormat="1" ht="20.100000000000001" customHeight="1" x14ac:dyDescent="0.6">
      <c r="A59" s="234">
        <v>56</v>
      </c>
      <c r="B59" s="103" t="s">
        <v>517</v>
      </c>
      <c r="C59" s="103" t="s">
        <v>518</v>
      </c>
      <c r="D59" s="103" t="s">
        <v>168</v>
      </c>
      <c r="E59" s="148" t="s">
        <v>169</v>
      </c>
      <c r="F59" s="179" t="s">
        <v>516</v>
      </c>
      <c r="G59" s="322"/>
      <c r="H59" s="323"/>
      <c r="I59" s="322" t="s">
        <v>1001</v>
      </c>
      <c r="J59" s="322" t="s">
        <v>994</v>
      </c>
      <c r="K59" s="241"/>
      <c r="L59" s="241"/>
      <c r="M59" s="271"/>
      <c r="N59" s="271"/>
      <c r="O59" s="271"/>
      <c r="P59" s="271">
        <v>11</v>
      </c>
      <c r="Q59" s="271">
        <v>300</v>
      </c>
      <c r="R59" s="271">
        <v>120</v>
      </c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2">
        <f t="shared" si="4"/>
        <v>11</v>
      </c>
      <c r="AR59" s="272">
        <f t="shared" si="4"/>
        <v>300</v>
      </c>
      <c r="AS59" s="272">
        <f t="shared" si="4"/>
        <v>120</v>
      </c>
      <c r="AT59" s="357">
        <v>18</v>
      </c>
      <c r="AU59" s="357">
        <v>328</v>
      </c>
      <c r="AV59" s="357">
        <v>190.4</v>
      </c>
      <c r="AW59" s="357"/>
      <c r="AX59" s="357"/>
      <c r="AY59" s="357"/>
      <c r="AZ59" s="357"/>
      <c r="BA59" s="357"/>
      <c r="BB59" s="357"/>
      <c r="BC59" s="357"/>
      <c r="BD59" s="357"/>
      <c r="BE59" s="357"/>
      <c r="BF59" s="357"/>
      <c r="BG59" s="357"/>
      <c r="BH59" s="357"/>
      <c r="BI59" s="357">
        <v>15</v>
      </c>
      <c r="BJ59" s="357">
        <v>180</v>
      </c>
      <c r="BK59" s="357">
        <v>180</v>
      </c>
      <c r="BL59" s="357"/>
      <c r="BM59" s="357"/>
      <c r="BN59" s="357"/>
      <c r="BO59" s="357"/>
      <c r="BP59" s="357"/>
      <c r="BQ59" s="357"/>
      <c r="BR59" s="357"/>
      <c r="BS59" s="357"/>
      <c r="BT59" s="357"/>
      <c r="BU59" s="357">
        <v>28</v>
      </c>
      <c r="BV59" s="357">
        <v>420</v>
      </c>
      <c r="BW59" s="357">
        <v>318</v>
      </c>
      <c r="BX59" s="272">
        <f t="shared" si="5"/>
        <v>72</v>
      </c>
      <c r="BY59" s="272">
        <f t="shared" si="5"/>
        <v>1228</v>
      </c>
      <c r="BZ59" s="272">
        <f t="shared" si="2"/>
        <v>808.4</v>
      </c>
      <c r="CA59" s="273"/>
      <c r="CB59" s="273"/>
      <c r="CC59" s="273"/>
      <c r="CD59" s="273"/>
      <c r="CE59" s="273"/>
      <c r="CF59" s="273"/>
      <c r="CG59" s="273"/>
      <c r="CH59" s="273"/>
      <c r="CI59" s="273"/>
      <c r="CJ59" s="273"/>
      <c r="CK59" s="273"/>
      <c r="CL59" s="273"/>
      <c r="CM59" s="273"/>
      <c r="CN59" s="273"/>
      <c r="CO59" s="273"/>
      <c r="CP59" s="273"/>
      <c r="CQ59" s="273"/>
      <c r="CR59" s="273"/>
      <c r="CS59" s="273"/>
      <c r="CT59" s="273"/>
      <c r="CU59" s="273"/>
      <c r="CV59" s="273"/>
      <c r="CW59" s="273"/>
      <c r="CX59" s="273"/>
      <c r="CY59" s="273"/>
      <c r="CZ59" s="273"/>
      <c r="DA59" s="273"/>
      <c r="DB59" s="273"/>
      <c r="DC59" s="273"/>
      <c r="DD59" s="273"/>
      <c r="DE59" s="273"/>
      <c r="DF59" s="271"/>
      <c r="DG59" s="271"/>
      <c r="DH59" s="272">
        <f t="shared" si="3"/>
        <v>72</v>
      </c>
      <c r="DI59" s="272">
        <f t="shared" si="3"/>
        <v>1228</v>
      </c>
      <c r="DJ59" s="324">
        <f t="shared" si="3"/>
        <v>808.4</v>
      </c>
      <c r="DK59" s="325"/>
      <c r="DL59" s="325"/>
    </row>
    <row r="60" spans="1:116" s="275" customFormat="1" ht="20.100000000000001" customHeight="1" x14ac:dyDescent="0.6">
      <c r="A60" s="234">
        <v>57</v>
      </c>
      <c r="B60" s="103" t="s">
        <v>519</v>
      </c>
      <c r="C60" s="103" t="s">
        <v>520</v>
      </c>
      <c r="D60" s="103" t="s">
        <v>168</v>
      </c>
      <c r="E60" s="148" t="s">
        <v>169</v>
      </c>
      <c r="F60" s="179" t="s">
        <v>516</v>
      </c>
      <c r="G60" s="322"/>
      <c r="H60" s="323"/>
      <c r="I60" s="322" t="s">
        <v>1002</v>
      </c>
      <c r="J60" s="322" t="s">
        <v>994</v>
      </c>
      <c r="K60" s="241"/>
      <c r="L60" s="24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>
        <v>3</v>
      </c>
      <c r="AC60" s="271">
        <v>36</v>
      </c>
      <c r="AD60" s="271">
        <v>36</v>
      </c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2">
        <f t="shared" si="4"/>
        <v>3</v>
      </c>
      <c r="AR60" s="272">
        <f t="shared" si="4"/>
        <v>36</v>
      </c>
      <c r="AS60" s="272">
        <f t="shared" si="4"/>
        <v>36</v>
      </c>
      <c r="AT60" s="357"/>
      <c r="AU60" s="357"/>
      <c r="AV60" s="357"/>
      <c r="AW60" s="357"/>
      <c r="AX60" s="357"/>
      <c r="AY60" s="357"/>
      <c r="AZ60" s="357"/>
      <c r="BA60" s="357"/>
      <c r="BB60" s="357"/>
      <c r="BC60" s="357"/>
      <c r="BD60" s="357"/>
      <c r="BE60" s="357"/>
      <c r="BF60" s="357"/>
      <c r="BG60" s="357"/>
      <c r="BH60" s="357"/>
      <c r="BI60" s="357">
        <v>15</v>
      </c>
      <c r="BJ60" s="357">
        <v>180</v>
      </c>
      <c r="BK60" s="357">
        <v>180</v>
      </c>
      <c r="BL60" s="357"/>
      <c r="BM60" s="357"/>
      <c r="BN60" s="357"/>
      <c r="BO60" s="357"/>
      <c r="BP60" s="357"/>
      <c r="BQ60" s="357"/>
      <c r="BR60" s="357"/>
      <c r="BS60" s="357"/>
      <c r="BT60" s="357"/>
      <c r="BU60" s="357">
        <v>10</v>
      </c>
      <c r="BV60" s="357">
        <v>120</v>
      </c>
      <c r="BW60" s="357">
        <v>120</v>
      </c>
      <c r="BX60" s="272">
        <f t="shared" si="5"/>
        <v>28</v>
      </c>
      <c r="BY60" s="272">
        <f t="shared" si="5"/>
        <v>336</v>
      </c>
      <c r="BZ60" s="272">
        <f t="shared" si="2"/>
        <v>336</v>
      </c>
      <c r="CA60" s="273"/>
      <c r="CB60" s="273"/>
      <c r="CC60" s="273"/>
      <c r="CD60" s="273"/>
      <c r="CE60" s="273"/>
      <c r="CF60" s="273"/>
      <c r="CG60" s="273"/>
      <c r="CH60" s="273"/>
      <c r="CI60" s="273"/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1"/>
      <c r="DG60" s="271"/>
      <c r="DH60" s="272">
        <f t="shared" si="3"/>
        <v>28</v>
      </c>
      <c r="DI60" s="272">
        <f t="shared" si="3"/>
        <v>336</v>
      </c>
      <c r="DJ60" s="324">
        <f t="shared" si="3"/>
        <v>336</v>
      </c>
      <c r="DK60" s="325"/>
      <c r="DL60" s="325"/>
    </row>
    <row r="61" spans="1:116" s="275" customFormat="1" ht="20.100000000000001" customHeight="1" x14ac:dyDescent="0.6">
      <c r="A61" s="234">
        <v>58</v>
      </c>
      <c r="B61" s="103" t="s">
        <v>521</v>
      </c>
      <c r="C61" s="103" t="s">
        <v>522</v>
      </c>
      <c r="D61" s="103" t="s">
        <v>168</v>
      </c>
      <c r="E61" s="148" t="s">
        <v>169</v>
      </c>
      <c r="F61" s="179" t="s">
        <v>516</v>
      </c>
      <c r="G61" s="322"/>
      <c r="H61" s="323"/>
      <c r="I61" s="322" t="s">
        <v>1003</v>
      </c>
      <c r="J61" s="322" t="s">
        <v>994</v>
      </c>
      <c r="K61" s="241"/>
      <c r="L61" s="24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>
        <v>16</v>
      </c>
      <c r="AC61" s="271">
        <v>276</v>
      </c>
      <c r="AD61" s="271">
        <v>198</v>
      </c>
      <c r="AE61" s="271"/>
      <c r="AF61" s="271"/>
      <c r="AG61" s="271"/>
      <c r="AH61" s="271"/>
      <c r="AI61" s="271"/>
      <c r="AJ61" s="271"/>
      <c r="AK61" s="271"/>
      <c r="AL61" s="271"/>
      <c r="AM61" s="271"/>
      <c r="AN61" s="271"/>
      <c r="AO61" s="271"/>
      <c r="AP61" s="271"/>
      <c r="AQ61" s="272">
        <f t="shared" si="4"/>
        <v>16</v>
      </c>
      <c r="AR61" s="272">
        <f t="shared" si="4"/>
        <v>276</v>
      </c>
      <c r="AS61" s="272">
        <f t="shared" si="4"/>
        <v>198</v>
      </c>
      <c r="AT61" s="357"/>
      <c r="AU61" s="357"/>
      <c r="AV61" s="357"/>
      <c r="AW61" s="357"/>
      <c r="AX61" s="357"/>
      <c r="AY61" s="357"/>
      <c r="AZ61" s="357"/>
      <c r="BA61" s="357"/>
      <c r="BB61" s="357"/>
      <c r="BC61" s="357"/>
      <c r="BD61" s="357"/>
      <c r="BE61" s="357"/>
      <c r="BF61" s="357"/>
      <c r="BG61" s="357"/>
      <c r="BH61" s="357"/>
      <c r="BI61" s="357"/>
      <c r="BJ61" s="357"/>
      <c r="BK61" s="357"/>
      <c r="BL61" s="357"/>
      <c r="BM61" s="357"/>
      <c r="BN61" s="357"/>
      <c r="BO61" s="357"/>
      <c r="BP61" s="357"/>
      <c r="BQ61" s="357"/>
      <c r="BR61" s="357"/>
      <c r="BS61" s="357"/>
      <c r="BT61" s="357"/>
      <c r="BU61" s="357">
        <v>10</v>
      </c>
      <c r="BV61" s="357">
        <v>120</v>
      </c>
      <c r="BW61" s="357">
        <v>120</v>
      </c>
      <c r="BX61" s="272">
        <f t="shared" si="5"/>
        <v>26</v>
      </c>
      <c r="BY61" s="272">
        <f t="shared" si="5"/>
        <v>396</v>
      </c>
      <c r="BZ61" s="272">
        <f t="shared" si="2"/>
        <v>318</v>
      </c>
      <c r="CA61" s="273"/>
      <c r="CB61" s="273"/>
      <c r="CC61" s="273"/>
      <c r="CD61" s="273"/>
      <c r="CE61" s="273"/>
      <c r="CF61" s="273"/>
      <c r="CG61" s="273"/>
      <c r="CH61" s="273"/>
      <c r="CI61" s="273"/>
      <c r="CJ61" s="273"/>
      <c r="CK61" s="273"/>
      <c r="CL61" s="273"/>
      <c r="CM61" s="273"/>
      <c r="CN61" s="273"/>
      <c r="CO61" s="273"/>
      <c r="CP61" s="273"/>
      <c r="CQ61" s="273"/>
      <c r="CR61" s="273"/>
      <c r="CS61" s="273"/>
      <c r="CT61" s="273"/>
      <c r="CU61" s="273"/>
      <c r="CV61" s="273">
        <v>22</v>
      </c>
      <c r="CW61" s="273">
        <v>404</v>
      </c>
      <c r="CX61" s="273">
        <v>274</v>
      </c>
      <c r="CY61" s="273"/>
      <c r="CZ61" s="273"/>
      <c r="DA61" s="273"/>
      <c r="DB61" s="273"/>
      <c r="DC61" s="273"/>
      <c r="DD61" s="273"/>
      <c r="DE61" s="273"/>
      <c r="DF61" s="271"/>
      <c r="DG61" s="271"/>
      <c r="DH61" s="272">
        <f t="shared" si="3"/>
        <v>48</v>
      </c>
      <c r="DI61" s="272">
        <f t="shared" si="3"/>
        <v>800</v>
      </c>
      <c r="DJ61" s="324">
        <f t="shared" si="3"/>
        <v>592</v>
      </c>
      <c r="DK61" s="325"/>
      <c r="DL61" s="325"/>
    </row>
    <row r="62" spans="1:116" s="275" customFormat="1" ht="20.100000000000001" customHeight="1" x14ac:dyDescent="0.6">
      <c r="A62" s="234">
        <v>59</v>
      </c>
      <c r="B62" s="103" t="s">
        <v>523</v>
      </c>
      <c r="C62" s="103" t="s">
        <v>524</v>
      </c>
      <c r="D62" s="103" t="s">
        <v>168</v>
      </c>
      <c r="E62" s="148" t="s">
        <v>169</v>
      </c>
      <c r="F62" s="179" t="s">
        <v>516</v>
      </c>
      <c r="G62" s="322"/>
      <c r="H62" s="323"/>
      <c r="I62" s="322" t="s">
        <v>1004</v>
      </c>
      <c r="J62" s="322" t="s">
        <v>994</v>
      </c>
      <c r="K62" s="241"/>
      <c r="L62" s="241"/>
      <c r="M62" s="271"/>
      <c r="N62" s="271"/>
      <c r="O62" s="271"/>
      <c r="P62" s="271">
        <v>70</v>
      </c>
      <c r="Q62" s="271">
        <v>1400</v>
      </c>
      <c r="R62" s="271">
        <v>784</v>
      </c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2">
        <f t="shared" si="4"/>
        <v>70</v>
      </c>
      <c r="AR62" s="272">
        <f t="shared" si="4"/>
        <v>1400</v>
      </c>
      <c r="AS62" s="272">
        <f t="shared" si="4"/>
        <v>784</v>
      </c>
      <c r="AT62" s="357"/>
      <c r="AU62" s="357"/>
      <c r="AV62" s="357"/>
      <c r="AW62" s="357"/>
      <c r="AX62" s="357"/>
      <c r="AY62" s="357"/>
      <c r="AZ62" s="357"/>
      <c r="BA62" s="357"/>
      <c r="BB62" s="357"/>
      <c r="BC62" s="357"/>
      <c r="BD62" s="357"/>
      <c r="BE62" s="357"/>
      <c r="BF62" s="357"/>
      <c r="BG62" s="357"/>
      <c r="BH62" s="357"/>
      <c r="BI62" s="357"/>
      <c r="BJ62" s="357"/>
      <c r="BK62" s="357"/>
      <c r="BL62" s="357"/>
      <c r="BM62" s="357"/>
      <c r="BN62" s="357"/>
      <c r="BO62" s="357"/>
      <c r="BP62" s="357"/>
      <c r="BQ62" s="357"/>
      <c r="BR62" s="357"/>
      <c r="BS62" s="357"/>
      <c r="BT62" s="357"/>
      <c r="BU62" s="357"/>
      <c r="BV62" s="357"/>
      <c r="BW62" s="357"/>
      <c r="BX62" s="272">
        <f t="shared" si="5"/>
        <v>70</v>
      </c>
      <c r="BY62" s="272">
        <f t="shared" si="5"/>
        <v>1400</v>
      </c>
      <c r="BZ62" s="272">
        <f t="shared" si="2"/>
        <v>784</v>
      </c>
      <c r="CA62" s="273"/>
      <c r="CB62" s="273"/>
      <c r="CC62" s="273"/>
      <c r="CD62" s="273"/>
      <c r="CE62" s="273"/>
      <c r="CF62" s="273"/>
      <c r="CG62" s="273"/>
      <c r="CH62" s="273"/>
      <c r="CI62" s="273"/>
      <c r="CJ62" s="273"/>
      <c r="CK62" s="273"/>
      <c r="CL62" s="273"/>
      <c r="CM62" s="273"/>
      <c r="CN62" s="273"/>
      <c r="CO62" s="273"/>
      <c r="CP62" s="273"/>
      <c r="CQ62" s="273"/>
      <c r="CR62" s="273"/>
      <c r="CS62" s="273"/>
      <c r="CT62" s="273"/>
      <c r="CU62" s="273"/>
      <c r="CV62" s="273"/>
      <c r="CW62" s="273"/>
      <c r="CX62" s="273"/>
      <c r="CY62" s="273"/>
      <c r="CZ62" s="273"/>
      <c r="DA62" s="273"/>
      <c r="DB62" s="273"/>
      <c r="DC62" s="273"/>
      <c r="DD62" s="273"/>
      <c r="DE62" s="273"/>
      <c r="DF62" s="271"/>
      <c r="DG62" s="271"/>
      <c r="DH62" s="272">
        <f t="shared" si="3"/>
        <v>70</v>
      </c>
      <c r="DI62" s="272">
        <f t="shared" si="3"/>
        <v>1400</v>
      </c>
      <c r="DJ62" s="324">
        <f t="shared" si="3"/>
        <v>784</v>
      </c>
      <c r="DK62" s="325"/>
      <c r="DL62" s="325"/>
    </row>
    <row r="63" spans="1:116" s="275" customFormat="1" ht="20.100000000000001" customHeight="1" x14ac:dyDescent="0.6">
      <c r="A63" s="234">
        <v>60</v>
      </c>
      <c r="B63" s="103" t="s">
        <v>525</v>
      </c>
      <c r="C63" s="103" t="s">
        <v>526</v>
      </c>
      <c r="D63" s="103" t="s">
        <v>168</v>
      </c>
      <c r="E63" s="148" t="s">
        <v>169</v>
      </c>
      <c r="F63" s="179" t="s">
        <v>516</v>
      </c>
      <c r="G63" s="322"/>
      <c r="H63" s="323"/>
      <c r="I63" s="322" t="s">
        <v>1005</v>
      </c>
      <c r="J63" s="322" t="s">
        <v>994</v>
      </c>
      <c r="K63" s="241"/>
      <c r="L63" s="24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2">
        <f t="shared" si="4"/>
        <v>0</v>
      </c>
      <c r="AR63" s="272">
        <f t="shared" si="4"/>
        <v>0</v>
      </c>
      <c r="AS63" s="272">
        <f t="shared" si="4"/>
        <v>0</v>
      </c>
      <c r="AT63" s="357"/>
      <c r="AU63" s="357"/>
      <c r="AV63" s="357"/>
      <c r="AW63" s="357"/>
      <c r="AX63" s="357"/>
      <c r="AY63" s="357"/>
      <c r="AZ63" s="357"/>
      <c r="BA63" s="357"/>
      <c r="BB63" s="357"/>
      <c r="BC63" s="357"/>
      <c r="BD63" s="357"/>
      <c r="BE63" s="357"/>
      <c r="BF63" s="357"/>
      <c r="BG63" s="357"/>
      <c r="BH63" s="357"/>
      <c r="BI63" s="357"/>
      <c r="BJ63" s="357"/>
      <c r="BK63" s="357"/>
      <c r="BL63" s="357"/>
      <c r="BM63" s="357"/>
      <c r="BN63" s="357"/>
      <c r="BO63" s="357">
        <v>26</v>
      </c>
      <c r="BP63" s="357">
        <v>340</v>
      </c>
      <c r="BQ63" s="357">
        <v>314</v>
      </c>
      <c r="BR63" s="357"/>
      <c r="BS63" s="357"/>
      <c r="BT63" s="357"/>
      <c r="BU63" s="357"/>
      <c r="BV63" s="357"/>
      <c r="BW63" s="357"/>
      <c r="BX63" s="272">
        <f t="shared" si="5"/>
        <v>26</v>
      </c>
      <c r="BY63" s="272">
        <f t="shared" si="5"/>
        <v>340</v>
      </c>
      <c r="BZ63" s="272">
        <f t="shared" si="2"/>
        <v>314</v>
      </c>
      <c r="CA63" s="273"/>
      <c r="CB63" s="273"/>
      <c r="CC63" s="273"/>
      <c r="CD63" s="273"/>
      <c r="CE63" s="273"/>
      <c r="CF63" s="273"/>
      <c r="CG63" s="273"/>
      <c r="CH63" s="273"/>
      <c r="CI63" s="273"/>
      <c r="CJ63" s="273"/>
      <c r="CK63" s="273"/>
      <c r="CL63" s="273"/>
      <c r="CM63" s="273"/>
      <c r="CN63" s="273"/>
      <c r="CO63" s="273"/>
      <c r="CP63" s="273"/>
      <c r="CQ63" s="273"/>
      <c r="CR63" s="273"/>
      <c r="CS63" s="273"/>
      <c r="CT63" s="273"/>
      <c r="CU63" s="273"/>
      <c r="CV63" s="273"/>
      <c r="CW63" s="273"/>
      <c r="CX63" s="273"/>
      <c r="CY63" s="273"/>
      <c r="CZ63" s="273"/>
      <c r="DA63" s="273"/>
      <c r="DB63" s="273"/>
      <c r="DC63" s="273"/>
      <c r="DD63" s="273"/>
      <c r="DE63" s="273"/>
      <c r="DF63" s="271"/>
      <c r="DG63" s="271"/>
      <c r="DH63" s="272">
        <f t="shared" si="3"/>
        <v>26</v>
      </c>
      <c r="DI63" s="272">
        <f t="shared" si="3"/>
        <v>340</v>
      </c>
      <c r="DJ63" s="324">
        <f t="shared" si="3"/>
        <v>314</v>
      </c>
      <c r="DK63" s="325"/>
      <c r="DL63" s="325"/>
    </row>
    <row r="64" spans="1:116" s="275" customFormat="1" ht="20.100000000000001" customHeight="1" x14ac:dyDescent="0.6">
      <c r="A64" s="234">
        <v>61</v>
      </c>
      <c r="B64" s="103" t="s">
        <v>527</v>
      </c>
      <c r="C64" s="103" t="s">
        <v>528</v>
      </c>
      <c r="D64" s="103" t="s">
        <v>168</v>
      </c>
      <c r="E64" s="148" t="s">
        <v>169</v>
      </c>
      <c r="F64" s="179" t="s">
        <v>516</v>
      </c>
      <c r="G64" s="322"/>
      <c r="H64" s="323"/>
      <c r="I64" s="322" t="s">
        <v>1006</v>
      </c>
      <c r="J64" s="322" t="s">
        <v>994</v>
      </c>
      <c r="K64" s="241"/>
      <c r="L64" s="24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>
        <v>2</v>
      </c>
      <c r="AC64" s="271">
        <v>80</v>
      </c>
      <c r="AD64" s="271">
        <v>28</v>
      </c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2">
        <f t="shared" si="4"/>
        <v>2</v>
      </c>
      <c r="AR64" s="272">
        <f t="shared" si="4"/>
        <v>80</v>
      </c>
      <c r="AS64" s="272">
        <f t="shared" si="4"/>
        <v>28</v>
      </c>
      <c r="AT64" s="357"/>
      <c r="AU64" s="357"/>
      <c r="AV64" s="357"/>
      <c r="AW64" s="357"/>
      <c r="AX64" s="357"/>
      <c r="AY64" s="357"/>
      <c r="AZ64" s="357"/>
      <c r="BA64" s="357"/>
      <c r="BB64" s="357"/>
      <c r="BC64" s="357"/>
      <c r="BD64" s="357"/>
      <c r="BE64" s="357"/>
      <c r="BF64" s="357"/>
      <c r="BG64" s="357"/>
      <c r="BH64" s="357"/>
      <c r="BI64" s="357"/>
      <c r="BJ64" s="357"/>
      <c r="BK64" s="357"/>
      <c r="BL64" s="357"/>
      <c r="BM64" s="357"/>
      <c r="BN64" s="357"/>
      <c r="BO64" s="357"/>
      <c r="BP64" s="357"/>
      <c r="BQ64" s="357"/>
      <c r="BR64" s="357"/>
      <c r="BS64" s="357"/>
      <c r="BT64" s="357"/>
      <c r="BU64" s="357">
        <v>10</v>
      </c>
      <c r="BV64" s="357">
        <v>400</v>
      </c>
      <c r="BW64" s="357">
        <v>140</v>
      </c>
      <c r="BX64" s="272">
        <f t="shared" si="5"/>
        <v>12</v>
      </c>
      <c r="BY64" s="272">
        <f t="shared" si="5"/>
        <v>480</v>
      </c>
      <c r="BZ64" s="272">
        <f t="shared" si="2"/>
        <v>168</v>
      </c>
      <c r="CA64" s="273"/>
      <c r="CB64" s="273"/>
      <c r="CC64" s="273"/>
      <c r="CD64" s="273"/>
      <c r="CE64" s="273"/>
      <c r="CF64" s="273"/>
      <c r="CG64" s="273"/>
      <c r="CH64" s="273"/>
      <c r="CI64" s="273"/>
      <c r="CJ64" s="273"/>
      <c r="CK64" s="273"/>
      <c r="CL64" s="273"/>
      <c r="CM64" s="273"/>
      <c r="CN64" s="273"/>
      <c r="CO64" s="273"/>
      <c r="CP64" s="273"/>
      <c r="CQ64" s="273"/>
      <c r="CR64" s="273"/>
      <c r="CS64" s="273"/>
      <c r="CT64" s="273"/>
      <c r="CU64" s="273"/>
      <c r="CV64" s="273"/>
      <c r="CW64" s="273"/>
      <c r="CX64" s="273"/>
      <c r="CY64" s="273"/>
      <c r="CZ64" s="273"/>
      <c r="DA64" s="273"/>
      <c r="DB64" s="273"/>
      <c r="DC64" s="273"/>
      <c r="DD64" s="273"/>
      <c r="DE64" s="273"/>
      <c r="DF64" s="271"/>
      <c r="DG64" s="271"/>
      <c r="DH64" s="272">
        <f t="shared" si="3"/>
        <v>12</v>
      </c>
      <c r="DI64" s="272">
        <f t="shared" si="3"/>
        <v>480</v>
      </c>
      <c r="DJ64" s="324">
        <f t="shared" si="3"/>
        <v>168</v>
      </c>
      <c r="DK64" s="325"/>
      <c r="DL64" s="325"/>
    </row>
    <row r="65" spans="1:116" s="275" customFormat="1" ht="20.100000000000001" customHeight="1" x14ac:dyDescent="0.6">
      <c r="A65" s="234">
        <v>62</v>
      </c>
      <c r="B65" s="103" t="s">
        <v>529</v>
      </c>
      <c r="C65" s="103" t="s">
        <v>529</v>
      </c>
      <c r="D65" s="103" t="s">
        <v>168</v>
      </c>
      <c r="E65" s="148" t="s">
        <v>169</v>
      </c>
      <c r="F65" s="179" t="s">
        <v>516</v>
      </c>
      <c r="G65" s="322"/>
      <c r="H65" s="323"/>
      <c r="I65" s="322" t="s">
        <v>1007</v>
      </c>
      <c r="J65" s="322" t="s">
        <v>994</v>
      </c>
      <c r="K65" s="241"/>
      <c r="L65" s="24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>
        <v>1</v>
      </c>
      <c r="AC65" s="271">
        <v>12</v>
      </c>
      <c r="AD65" s="271">
        <v>12</v>
      </c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2">
        <f t="shared" si="4"/>
        <v>1</v>
      </c>
      <c r="AR65" s="272">
        <f t="shared" si="4"/>
        <v>12</v>
      </c>
      <c r="AS65" s="272">
        <f t="shared" si="4"/>
        <v>12</v>
      </c>
      <c r="AT65" s="357"/>
      <c r="AU65" s="357"/>
      <c r="AV65" s="357"/>
      <c r="AW65" s="357"/>
      <c r="AX65" s="357"/>
      <c r="AY65" s="357"/>
      <c r="AZ65" s="357"/>
      <c r="BA65" s="357"/>
      <c r="BB65" s="357"/>
      <c r="BC65" s="357"/>
      <c r="BD65" s="357"/>
      <c r="BE65" s="357"/>
      <c r="BF65" s="357"/>
      <c r="BG65" s="357"/>
      <c r="BH65" s="357"/>
      <c r="BI65" s="357">
        <v>61</v>
      </c>
      <c r="BJ65" s="357">
        <v>734</v>
      </c>
      <c r="BK65" s="357">
        <v>680.96</v>
      </c>
      <c r="BL65" s="357"/>
      <c r="BM65" s="357"/>
      <c r="BN65" s="357"/>
      <c r="BO65" s="357"/>
      <c r="BP65" s="357"/>
      <c r="BQ65" s="357"/>
      <c r="BR65" s="357"/>
      <c r="BS65" s="357"/>
      <c r="BT65" s="357"/>
      <c r="BU65" s="357"/>
      <c r="BV65" s="357"/>
      <c r="BW65" s="357"/>
      <c r="BX65" s="272">
        <f t="shared" si="5"/>
        <v>62</v>
      </c>
      <c r="BY65" s="272">
        <f t="shared" si="5"/>
        <v>746</v>
      </c>
      <c r="BZ65" s="272">
        <f t="shared" si="2"/>
        <v>692.96</v>
      </c>
      <c r="CA65" s="273"/>
      <c r="CB65" s="273"/>
      <c r="CC65" s="273"/>
      <c r="CD65" s="273"/>
      <c r="CE65" s="273"/>
      <c r="CF65" s="273"/>
      <c r="CG65" s="273"/>
      <c r="CH65" s="273"/>
      <c r="CI65" s="273"/>
      <c r="CJ65" s="273"/>
      <c r="CK65" s="273"/>
      <c r="CL65" s="273"/>
      <c r="CM65" s="273"/>
      <c r="CN65" s="273"/>
      <c r="CO65" s="273"/>
      <c r="CP65" s="273"/>
      <c r="CQ65" s="273"/>
      <c r="CR65" s="273"/>
      <c r="CS65" s="273"/>
      <c r="CT65" s="273"/>
      <c r="CU65" s="273"/>
      <c r="CV65" s="273"/>
      <c r="CW65" s="273"/>
      <c r="CX65" s="273"/>
      <c r="CY65" s="273"/>
      <c r="CZ65" s="273"/>
      <c r="DA65" s="273"/>
      <c r="DB65" s="273"/>
      <c r="DC65" s="273"/>
      <c r="DD65" s="273"/>
      <c r="DE65" s="273"/>
      <c r="DF65" s="271"/>
      <c r="DG65" s="271"/>
      <c r="DH65" s="272">
        <f t="shared" si="3"/>
        <v>62</v>
      </c>
      <c r="DI65" s="272">
        <f t="shared" si="3"/>
        <v>746</v>
      </c>
      <c r="DJ65" s="324">
        <f t="shared" si="3"/>
        <v>692.96</v>
      </c>
      <c r="DK65" s="325"/>
      <c r="DL65" s="325"/>
    </row>
    <row r="66" spans="1:116" s="275" customFormat="1" ht="20.100000000000001" customHeight="1" x14ac:dyDescent="0.6">
      <c r="A66" s="234">
        <v>63</v>
      </c>
      <c r="B66" s="103" t="s">
        <v>530</v>
      </c>
      <c r="C66" s="103" t="s">
        <v>530</v>
      </c>
      <c r="D66" s="103" t="s">
        <v>141</v>
      </c>
      <c r="E66" s="148"/>
      <c r="F66" s="179" t="s">
        <v>516</v>
      </c>
      <c r="G66" s="322"/>
      <c r="H66" s="323"/>
      <c r="I66" s="322" t="s">
        <v>1008</v>
      </c>
      <c r="J66" s="322" t="s">
        <v>994</v>
      </c>
      <c r="K66" s="241"/>
      <c r="L66" s="24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>
        <v>20</v>
      </c>
      <c r="AF66" s="271">
        <v>240</v>
      </c>
      <c r="AG66" s="271">
        <v>240</v>
      </c>
      <c r="AH66" s="271"/>
      <c r="AI66" s="271"/>
      <c r="AJ66" s="271"/>
      <c r="AK66" s="271"/>
      <c r="AL66" s="271"/>
      <c r="AM66" s="271"/>
      <c r="AN66" s="271"/>
      <c r="AO66" s="271"/>
      <c r="AP66" s="271"/>
      <c r="AQ66" s="272">
        <f t="shared" si="4"/>
        <v>20</v>
      </c>
      <c r="AR66" s="272">
        <f t="shared" si="4"/>
        <v>240</v>
      </c>
      <c r="AS66" s="272">
        <f t="shared" si="4"/>
        <v>240</v>
      </c>
      <c r="AT66" s="357"/>
      <c r="AU66" s="357"/>
      <c r="AV66" s="357"/>
      <c r="AW66" s="357">
        <v>20</v>
      </c>
      <c r="AX66" s="357">
        <v>240</v>
      </c>
      <c r="AY66" s="357">
        <v>240</v>
      </c>
      <c r="AZ66" s="357"/>
      <c r="BA66" s="357"/>
      <c r="BB66" s="357"/>
      <c r="BC66" s="357"/>
      <c r="BD66" s="357"/>
      <c r="BE66" s="357"/>
      <c r="BF66" s="357"/>
      <c r="BG66" s="357"/>
      <c r="BH66" s="357"/>
      <c r="BI66" s="357"/>
      <c r="BJ66" s="357"/>
      <c r="BK66" s="357"/>
      <c r="BL66" s="357"/>
      <c r="BM66" s="357"/>
      <c r="BN66" s="357"/>
      <c r="BO66" s="357"/>
      <c r="BP66" s="357"/>
      <c r="BQ66" s="357"/>
      <c r="BR66" s="357">
        <v>10</v>
      </c>
      <c r="BS66" s="357">
        <v>140</v>
      </c>
      <c r="BT66" s="357">
        <v>89.6</v>
      </c>
      <c r="BU66" s="357">
        <v>30</v>
      </c>
      <c r="BV66" s="357">
        <v>360</v>
      </c>
      <c r="BW66" s="357">
        <v>360</v>
      </c>
      <c r="BX66" s="272">
        <f t="shared" si="5"/>
        <v>80</v>
      </c>
      <c r="BY66" s="272">
        <f t="shared" si="5"/>
        <v>980</v>
      </c>
      <c r="BZ66" s="272">
        <f t="shared" si="2"/>
        <v>929.6</v>
      </c>
      <c r="CA66" s="273"/>
      <c r="CB66" s="273"/>
      <c r="CC66" s="273"/>
      <c r="CD66" s="273"/>
      <c r="CE66" s="273"/>
      <c r="CF66" s="273"/>
      <c r="CG66" s="273"/>
      <c r="CH66" s="273"/>
      <c r="CI66" s="273"/>
      <c r="CJ66" s="273"/>
      <c r="CK66" s="273"/>
      <c r="CL66" s="273"/>
      <c r="CM66" s="273"/>
      <c r="CN66" s="273"/>
      <c r="CO66" s="273"/>
      <c r="CP66" s="273"/>
      <c r="CQ66" s="273"/>
      <c r="CR66" s="273"/>
      <c r="CS66" s="273"/>
      <c r="CT66" s="273"/>
      <c r="CU66" s="273"/>
      <c r="CV66" s="273"/>
      <c r="CW66" s="273"/>
      <c r="CX66" s="273"/>
      <c r="CY66" s="273"/>
      <c r="CZ66" s="273"/>
      <c r="DA66" s="273"/>
      <c r="DB66" s="273"/>
      <c r="DC66" s="273"/>
      <c r="DD66" s="273"/>
      <c r="DE66" s="273"/>
      <c r="DF66" s="271"/>
      <c r="DG66" s="271"/>
      <c r="DH66" s="272">
        <f t="shared" si="3"/>
        <v>80</v>
      </c>
      <c r="DI66" s="272">
        <f t="shared" si="3"/>
        <v>980</v>
      </c>
      <c r="DJ66" s="324">
        <f t="shared" si="3"/>
        <v>929.6</v>
      </c>
      <c r="DK66" s="325"/>
      <c r="DL66" s="325"/>
    </row>
    <row r="67" spans="1:116" s="275" customFormat="1" ht="20.100000000000001" customHeight="1" x14ac:dyDescent="0.6">
      <c r="A67" s="234">
        <v>64</v>
      </c>
      <c r="B67" s="103" t="s">
        <v>465</v>
      </c>
      <c r="C67" s="103" t="s">
        <v>465</v>
      </c>
      <c r="D67" s="103" t="s">
        <v>531</v>
      </c>
      <c r="E67" s="148" t="s">
        <v>532</v>
      </c>
      <c r="F67" s="179" t="s">
        <v>516</v>
      </c>
      <c r="G67" s="322"/>
      <c r="H67" s="323"/>
      <c r="I67" s="322" t="s">
        <v>1009</v>
      </c>
      <c r="J67" s="322" t="s">
        <v>994</v>
      </c>
      <c r="K67" s="241"/>
      <c r="L67" s="24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2">
        <f t="shared" si="4"/>
        <v>0</v>
      </c>
      <c r="AR67" s="272">
        <f t="shared" si="4"/>
        <v>0</v>
      </c>
      <c r="AS67" s="272">
        <f t="shared" si="4"/>
        <v>0</v>
      </c>
      <c r="AT67" s="357">
        <v>21</v>
      </c>
      <c r="AU67" s="357">
        <v>320</v>
      </c>
      <c r="AV67" s="357">
        <v>241.6</v>
      </c>
      <c r="AW67" s="357"/>
      <c r="AX67" s="357"/>
      <c r="AY67" s="357"/>
      <c r="AZ67" s="357"/>
      <c r="BA67" s="357"/>
      <c r="BB67" s="357"/>
      <c r="BC67" s="357"/>
      <c r="BD67" s="357"/>
      <c r="BE67" s="357"/>
      <c r="BF67" s="357"/>
      <c r="BG67" s="357"/>
      <c r="BH67" s="357"/>
      <c r="BI67" s="357"/>
      <c r="BJ67" s="357"/>
      <c r="BK67" s="357"/>
      <c r="BL67" s="357"/>
      <c r="BM67" s="357"/>
      <c r="BN67" s="357"/>
      <c r="BO67" s="357"/>
      <c r="BP67" s="357"/>
      <c r="BQ67" s="357"/>
      <c r="BR67" s="357"/>
      <c r="BS67" s="357"/>
      <c r="BT67" s="357"/>
      <c r="BU67" s="357"/>
      <c r="BV67" s="357"/>
      <c r="BW67" s="357"/>
      <c r="BX67" s="272">
        <f t="shared" si="5"/>
        <v>21</v>
      </c>
      <c r="BY67" s="272">
        <f t="shared" si="5"/>
        <v>320</v>
      </c>
      <c r="BZ67" s="272">
        <f t="shared" si="2"/>
        <v>241.6</v>
      </c>
      <c r="CA67" s="273"/>
      <c r="CB67" s="273"/>
      <c r="CC67" s="273"/>
      <c r="CD67" s="273"/>
      <c r="CE67" s="273"/>
      <c r="CF67" s="273"/>
      <c r="CG67" s="273"/>
      <c r="CH67" s="273"/>
      <c r="CI67" s="273"/>
      <c r="CJ67" s="273"/>
      <c r="CK67" s="273"/>
      <c r="CL67" s="273"/>
      <c r="CM67" s="273"/>
      <c r="CN67" s="273"/>
      <c r="CO67" s="273"/>
      <c r="CP67" s="273"/>
      <c r="CQ67" s="273"/>
      <c r="CR67" s="273"/>
      <c r="CS67" s="273"/>
      <c r="CT67" s="273"/>
      <c r="CU67" s="273"/>
      <c r="CV67" s="273"/>
      <c r="CW67" s="273"/>
      <c r="CX67" s="273"/>
      <c r="CY67" s="273"/>
      <c r="CZ67" s="273"/>
      <c r="DA67" s="273"/>
      <c r="DB67" s="273"/>
      <c r="DC67" s="273"/>
      <c r="DD67" s="273"/>
      <c r="DE67" s="273"/>
      <c r="DF67" s="271"/>
      <c r="DG67" s="271"/>
      <c r="DH67" s="272">
        <f t="shared" si="3"/>
        <v>21</v>
      </c>
      <c r="DI67" s="272">
        <f t="shared" si="3"/>
        <v>320</v>
      </c>
      <c r="DJ67" s="324">
        <f t="shared" si="3"/>
        <v>241.6</v>
      </c>
      <c r="DK67" s="325"/>
      <c r="DL67" s="325"/>
    </row>
    <row r="68" spans="1:116" s="275" customFormat="1" ht="20.100000000000001" customHeight="1" x14ac:dyDescent="0.25">
      <c r="A68" s="234">
        <v>65</v>
      </c>
      <c r="B68" s="103" t="s">
        <v>533</v>
      </c>
      <c r="C68" s="103" t="s">
        <v>533</v>
      </c>
      <c r="D68" s="103" t="s">
        <v>531</v>
      </c>
      <c r="E68" s="148" t="s">
        <v>532</v>
      </c>
      <c r="F68" s="179" t="s">
        <v>516</v>
      </c>
      <c r="G68" s="322"/>
      <c r="H68" s="323"/>
      <c r="I68" s="322" t="s">
        <v>1010</v>
      </c>
      <c r="J68" s="322" t="s">
        <v>994</v>
      </c>
      <c r="K68" s="241"/>
      <c r="L68" s="24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2">
        <f t="shared" si="4"/>
        <v>0</v>
      </c>
      <c r="AR68" s="272">
        <f t="shared" si="4"/>
        <v>0</v>
      </c>
      <c r="AS68" s="272">
        <f t="shared" si="4"/>
        <v>0</v>
      </c>
      <c r="AT68" s="358"/>
      <c r="AU68" s="357"/>
      <c r="AV68" s="357"/>
      <c r="AW68" s="357"/>
      <c r="AX68" s="357"/>
      <c r="AY68" s="357"/>
      <c r="AZ68" s="357"/>
      <c r="BA68" s="357"/>
      <c r="BB68" s="357"/>
      <c r="BC68" s="357"/>
      <c r="BD68" s="357"/>
      <c r="BE68" s="357"/>
      <c r="BF68" s="357"/>
      <c r="BG68" s="357"/>
      <c r="BH68" s="357"/>
      <c r="BI68" s="357"/>
      <c r="BJ68" s="357"/>
      <c r="BK68" s="357"/>
      <c r="BL68" s="357"/>
      <c r="BM68" s="357"/>
      <c r="BN68" s="357"/>
      <c r="BO68" s="357"/>
      <c r="BP68" s="357"/>
      <c r="BQ68" s="357"/>
      <c r="BR68" s="357"/>
      <c r="BS68" s="357"/>
      <c r="BT68" s="357"/>
      <c r="BU68" s="357"/>
      <c r="BV68" s="357"/>
      <c r="BW68" s="357"/>
      <c r="BX68" s="272">
        <f t="shared" si="5"/>
        <v>0</v>
      </c>
      <c r="BY68" s="272">
        <f t="shared" si="5"/>
        <v>0</v>
      </c>
      <c r="BZ68" s="272">
        <f t="shared" si="2"/>
        <v>0</v>
      </c>
      <c r="CA68" s="273"/>
      <c r="CB68" s="273"/>
      <c r="CC68" s="273"/>
      <c r="CD68" s="273"/>
      <c r="CE68" s="273"/>
      <c r="CF68" s="273"/>
      <c r="CG68" s="273"/>
      <c r="CH68" s="273"/>
      <c r="CI68" s="273"/>
      <c r="CJ68" s="273"/>
      <c r="CK68" s="273"/>
      <c r="CL68" s="273"/>
      <c r="CM68" s="273"/>
      <c r="CN68" s="273"/>
      <c r="CO68" s="273"/>
      <c r="CP68" s="273"/>
      <c r="CQ68" s="273"/>
      <c r="CR68" s="273"/>
      <c r="CS68" s="273"/>
      <c r="CT68" s="273"/>
      <c r="CU68" s="273"/>
      <c r="CV68" s="273"/>
      <c r="CW68" s="273"/>
      <c r="CX68" s="273"/>
      <c r="CY68" s="273"/>
      <c r="CZ68" s="273"/>
      <c r="DA68" s="273"/>
      <c r="DB68" s="273"/>
      <c r="DC68" s="273"/>
      <c r="DD68" s="273"/>
      <c r="DE68" s="273"/>
      <c r="DF68" s="271"/>
      <c r="DG68" s="271"/>
      <c r="DH68" s="272">
        <f t="shared" si="3"/>
        <v>0</v>
      </c>
      <c r="DI68" s="272">
        <f t="shared" si="3"/>
        <v>0</v>
      </c>
      <c r="DJ68" s="324">
        <f t="shared" si="3"/>
        <v>0</v>
      </c>
      <c r="DK68" s="325"/>
      <c r="DL68" s="325"/>
    </row>
    <row r="69" spans="1:116" s="275" customFormat="1" ht="20.100000000000001" customHeight="1" x14ac:dyDescent="0.6">
      <c r="A69" s="234">
        <v>66</v>
      </c>
      <c r="B69" s="103" t="s">
        <v>534</v>
      </c>
      <c r="C69" s="103" t="s">
        <v>535</v>
      </c>
      <c r="D69" s="103" t="s">
        <v>531</v>
      </c>
      <c r="E69" s="148" t="s">
        <v>532</v>
      </c>
      <c r="F69" s="179" t="s">
        <v>516</v>
      </c>
      <c r="G69" s="322"/>
      <c r="H69" s="323"/>
      <c r="I69" s="322" t="s">
        <v>1011</v>
      </c>
      <c r="J69" s="322" t="s">
        <v>994</v>
      </c>
      <c r="K69" s="241"/>
      <c r="L69" s="24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>
        <v>22</v>
      </c>
      <c r="AL69" s="271">
        <v>320</v>
      </c>
      <c r="AM69" s="271">
        <v>268</v>
      </c>
      <c r="AN69" s="271"/>
      <c r="AO69" s="271"/>
      <c r="AP69" s="271"/>
      <c r="AQ69" s="272">
        <f t="shared" si="4"/>
        <v>22</v>
      </c>
      <c r="AR69" s="272">
        <f t="shared" si="4"/>
        <v>320</v>
      </c>
      <c r="AS69" s="272">
        <f t="shared" si="4"/>
        <v>268</v>
      </c>
      <c r="AT69" s="357">
        <v>10</v>
      </c>
      <c r="AU69" s="357">
        <v>120</v>
      </c>
      <c r="AV69" s="357">
        <v>120</v>
      </c>
      <c r="AW69" s="357"/>
      <c r="AX69" s="357"/>
      <c r="AY69" s="357"/>
      <c r="AZ69" s="357"/>
      <c r="BA69" s="357"/>
      <c r="BB69" s="357"/>
      <c r="BC69" s="357"/>
      <c r="BD69" s="357"/>
      <c r="BE69" s="357"/>
      <c r="BF69" s="357"/>
      <c r="BG69" s="357"/>
      <c r="BH69" s="357"/>
      <c r="BI69" s="357"/>
      <c r="BJ69" s="357"/>
      <c r="BK69" s="357"/>
      <c r="BL69" s="357"/>
      <c r="BM69" s="357"/>
      <c r="BN69" s="357"/>
      <c r="BO69" s="357"/>
      <c r="BP69" s="357"/>
      <c r="BQ69" s="357"/>
      <c r="BR69" s="357"/>
      <c r="BS69" s="357"/>
      <c r="BT69" s="357"/>
      <c r="BU69" s="357">
        <v>22</v>
      </c>
      <c r="BV69" s="357">
        <v>292</v>
      </c>
      <c r="BW69" s="357">
        <v>261.2</v>
      </c>
      <c r="BX69" s="272">
        <f t="shared" si="5"/>
        <v>54</v>
      </c>
      <c r="BY69" s="272">
        <f t="shared" si="5"/>
        <v>732</v>
      </c>
      <c r="BZ69" s="272">
        <f t="shared" si="2"/>
        <v>649.20000000000005</v>
      </c>
      <c r="CA69" s="273"/>
      <c r="CB69" s="273"/>
      <c r="CC69" s="273"/>
      <c r="CD69" s="273"/>
      <c r="CE69" s="273"/>
      <c r="CF69" s="273"/>
      <c r="CG69" s="273"/>
      <c r="CH69" s="273"/>
      <c r="CI69" s="273"/>
      <c r="CJ69" s="273"/>
      <c r="CK69" s="273"/>
      <c r="CL69" s="273"/>
      <c r="CM69" s="273"/>
      <c r="CN69" s="273"/>
      <c r="CO69" s="273"/>
      <c r="CP69" s="273">
        <v>10</v>
      </c>
      <c r="CQ69" s="273">
        <v>120</v>
      </c>
      <c r="CR69" s="273">
        <v>120</v>
      </c>
      <c r="CS69" s="273">
        <v>21</v>
      </c>
      <c r="CT69" s="273">
        <v>280</v>
      </c>
      <c r="CU69" s="273">
        <v>254</v>
      </c>
      <c r="CV69" s="273"/>
      <c r="CW69" s="273"/>
      <c r="CX69" s="273"/>
      <c r="CY69" s="273"/>
      <c r="CZ69" s="273"/>
      <c r="DA69" s="273"/>
      <c r="DB69" s="273"/>
      <c r="DC69" s="273"/>
      <c r="DD69" s="273"/>
      <c r="DE69" s="273"/>
      <c r="DF69" s="271"/>
      <c r="DG69" s="271"/>
      <c r="DH69" s="272">
        <f t="shared" ref="DH69:DJ132" si="6">BX69+CA69+CD69+CG69+CJ69+CM69+CP69+CS69+CV69+CY69+DB69+DE69</f>
        <v>85</v>
      </c>
      <c r="DI69" s="272">
        <f t="shared" si="6"/>
        <v>1132</v>
      </c>
      <c r="DJ69" s="324">
        <f t="shared" si="6"/>
        <v>1023.2</v>
      </c>
      <c r="DK69" s="325"/>
      <c r="DL69" s="325"/>
    </row>
    <row r="70" spans="1:116" s="275" customFormat="1" ht="20.100000000000001" customHeight="1" x14ac:dyDescent="0.6">
      <c r="A70" s="234">
        <v>67</v>
      </c>
      <c r="B70" s="103" t="s">
        <v>483</v>
      </c>
      <c r="C70" s="103" t="s">
        <v>484</v>
      </c>
      <c r="D70" s="103" t="s">
        <v>531</v>
      </c>
      <c r="E70" s="148" t="s">
        <v>532</v>
      </c>
      <c r="F70" s="179" t="s">
        <v>516</v>
      </c>
      <c r="G70" s="322"/>
      <c r="H70" s="323"/>
      <c r="I70" s="322" t="s">
        <v>1012</v>
      </c>
      <c r="J70" s="322" t="s">
        <v>994</v>
      </c>
      <c r="K70" s="241"/>
      <c r="L70" s="24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2">
        <f t="shared" si="4"/>
        <v>0</v>
      </c>
      <c r="AR70" s="272">
        <f t="shared" si="4"/>
        <v>0</v>
      </c>
      <c r="AS70" s="272">
        <f t="shared" si="4"/>
        <v>0</v>
      </c>
      <c r="AT70" s="357">
        <v>10</v>
      </c>
      <c r="AU70" s="357">
        <v>120</v>
      </c>
      <c r="AV70" s="357">
        <v>120</v>
      </c>
      <c r="AW70" s="357">
        <v>15</v>
      </c>
      <c r="AX70" s="357">
        <v>180</v>
      </c>
      <c r="AY70" s="357">
        <v>180</v>
      </c>
      <c r="AZ70" s="357"/>
      <c r="BA70" s="357"/>
      <c r="BB70" s="357"/>
      <c r="BC70" s="357"/>
      <c r="BD70" s="357"/>
      <c r="BE70" s="357"/>
      <c r="BF70" s="357"/>
      <c r="BG70" s="357"/>
      <c r="BH70" s="357"/>
      <c r="BI70" s="357"/>
      <c r="BJ70" s="357"/>
      <c r="BK70" s="357"/>
      <c r="BL70" s="357"/>
      <c r="BM70" s="357"/>
      <c r="BN70" s="357"/>
      <c r="BO70" s="357"/>
      <c r="BP70" s="357"/>
      <c r="BQ70" s="357"/>
      <c r="BR70" s="357"/>
      <c r="BS70" s="357"/>
      <c r="BT70" s="357"/>
      <c r="BU70" s="357"/>
      <c r="BV70" s="357"/>
      <c r="BW70" s="357"/>
      <c r="BX70" s="272">
        <f t="shared" ref="BX70:BY109" si="7">+BU70+BR70+BO70+BL70+BI70+BF70+BC70+AZ70+AW70+AT70+AQ70</f>
        <v>25</v>
      </c>
      <c r="BY70" s="272">
        <f t="shared" si="7"/>
        <v>300</v>
      </c>
      <c r="BZ70" s="272">
        <f t="shared" ref="BZ70:BZ133" si="8">AS70+AV70+AY70+BB70+BE70+BH70+BK70+BN70+BQ70+BT70+BW70</f>
        <v>300</v>
      </c>
      <c r="CA70" s="273"/>
      <c r="CB70" s="273"/>
      <c r="CC70" s="273"/>
      <c r="CD70" s="273"/>
      <c r="CE70" s="273"/>
      <c r="CF70" s="273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3"/>
      <c r="CR70" s="273"/>
      <c r="CS70" s="273"/>
      <c r="CT70" s="273"/>
      <c r="CU70" s="273"/>
      <c r="CV70" s="273">
        <v>15</v>
      </c>
      <c r="CW70" s="273">
        <v>180</v>
      </c>
      <c r="CX70" s="273">
        <v>180</v>
      </c>
      <c r="CY70" s="273"/>
      <c r="CZ70" s="273"/>
      <c r="DA70" s="273"/>
      <c r="DB70" s="273"/>
      <c r="DC70" s="273"/>
      <c r="DD70" s="273"/>
      <c r="DE70" s="273"/>
      <c r="DF70" s="271"/>
      <c r="DG70" s="271"/>
      <c r="DH70" s="272">
        <f t="shared" si="6"/>
        <v>40</v>
      </c>
      <c r="DI70" s="272">
        <f t="shared" si="6"/>
        <v>480</v>
      </c>
      <c r="DJ70" s="324">
        <f t="shared" si="6"/>
        <v>480</v>
      </c>
      <c r="DK70" s="325"/>
      <c r="DL70" s="325"/>
    </row>
    <row r="71" spans="1:116" s="275" customFormat="1" ht="20.100000000000001" customHeight="1" x14ac:dyDescent="0.6">
      <c r="A71" s="234">
        <v>68</v>
      </c>
      <c r="B71" s="103" t="s">
        <v>536</v>
      </c>
      <c r="C71" s="103" t="s">
        <v>537</v>
      </c>
      <c r="D71" s="103" t="s">
        <v>531</v>
      </c>
      <c r="E71" s="148" t="s">
        <v>532</v>
      </c>
      <c r="F71" s="179" t="s">
        <v>516</v>
      </c>
      <c r="G71" s="322"/>
      <c r="H71" s="323"/>
      <c r="I71" s="322" t="s">
        <v>1013</v>
      </c>
      <c r="J71" s="322" t="s">
        <v>994</v>
      </c>
      <c r="K71" s="241"/>
      <c r="L71" s="24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2">
        <f t="shared" si="4"/>
        <v>0</v>
      </c>
      <c r="AR71" s="272">
        <f t="shared" si="4"/>
        <v>0</v>
      </c>
      <c r="AS71" s="272">
        <f t="shared" si="4"/>
        <v>0</v>
      </c>
      <c r="AT71" s="357"/>
      <c r="AU71" s="357"/>
      <c r="AV71" s="357"/>
      <c r="AW71" s="357"/>
      <c r="AX71" s="357"/>
      <c r="AY71" s="357"/>
      <c r="AZ71" s="357"/>
      <c r="BA71" s="357"/>
      <c r="BB71" s="357"/>
      <c r="BC71" s="357"/>
      <c r="BD71" s="357"/>
      <c r="BE71" s="357"/>
      <c r="BF71" s="357"/>
      <c r="BG71" s="357"/>
      <c r="BH71" s="357"/>
      <c r="BI71" s="357"/>
      <c r="BJ71" s="357"/>
      <c r="BK71" s="357"/>
      <c r="BL71" s="357"/>
      <c r="BM71" s="357"/>
      <c r="BN71" s="357"/>
      <c r="BO71" s="357"/>
      <c r="BP71" s="357"/>
      <c r="BQ71" s="357"/>
      <c r="BR71" s="357"/>
      <c r="BS71" s="357"/>
      <c r="BT71" s="357"/>
      <c r="BU71" s="357"/>
      <c r="BV71" s="357"/>
      <c r="BW71" s="357"/>
      <c r="BX71" s="272">
        <f t="shared" si="7"/>
        <v>0</v>
      </c>
      <c r="BY71" s="272">
        <f t="shared" si="7"/>
        <v>0</v>
      </c>
      <c r="BZ71" s="272">
        <f t="shared" si="8"/>
        <v>0</v>
      </c>
      <c r="CA71" s="273"/>
      <c r="CB71" s="273"/>
      <c r="CC71" s="273"/>
      <c r="CD71" s="273"/>
      <c r="CE71" s="273"/>
      <c r="CF71" s="273"/>
      <c r="CG71" s="273"/>
      <c r="CH71" s="273"/>
      <c r="CI71" s="273"/>
      <c r="CJ71" s="273"/>
      <c r="CK71" s="273"/>
      <c r="CL71" s="273"/>
      <c r="CM71" s="273"/>
      <c r="CN71" s="273"/>
      <c r="CO71" s="273"/>
      <c r="CP71" s="273"/>
      <c r="CQ71" s="273"/>
      <c r="CR71" s="273"/>
      <c r="CS71" s="273"/>
      <c r="CT71" s="273"/>
      <c r="CU71" s="273"/>
      <c r="CV71" s="273"/>
      <c r="CW71" s="273"/>
      <c r="CX71" s="273"/>
      <c r="CY71" s="273"/>
      <c r="CZ71" s="273"/>
      <c r="DA71" s="273"/>
      <c r="DB71" s="273"/>
      <c r="DC71" s="273"/>
      <c r="DD71" s="273"/>
      <c r="DE71" s="273"/>
      <c r="DF71" s="271"/>
      <c r="DG71" s="271"/>
      <c r="DH71" s="272">
        <f t="shared" si="6"/>
        <v>0</v>
      </c>
      <c r="DI71" s="272">
        <f t="shared" si="6"/>
        <v>0</v>
      </c>
      <c r="DJ71" s="324">
        <f t="shared" si="6"/>
        <v>0</v>
      </c>
      <c r="DK71" s="325"/>
      <c r="DL71" s="325"/>
    </row>
    <row r="72" spans="1:116" s="275" customFormat="1" ht="20.100000000000001" customHeight="1" x14ac:dyDescent="0.6">
      <c r="A72" s="234">
        <v>69</v>
      </c>
      <c r="B72" s="103" t="s">
        <v>538</v>
      </c>
      <c r="C72" s="103" t="s">
        <v>538</v>
      </c>
      <c r="D72" s="103" t="s">
        <v>284</v>
      </c>
      <c r="E72" s="148" t="s">
        <v>285</v>
      </c>
      <c r="F72" s="179" t="s">
        <v>516</v>
      </c>
      <c r="G72" s="322"/>
      <c r="H72" s="323"/>
      <c r="I72" s="322" t="s">
        <v>1014</v>
      </c>
      <c r="J72" s="322" t="s">
        <v>994</v>
      </c>
      <c r="K72" s="241"/>
      <c r="L72" s="241"/>
      <c r="M72" s="271"/>
      <c r="N72" s="271"/>
      <c r="O72" s="271"/>
      <c r="P72" s="271"/>
      <c r="Q72" s="271"/>
      <c r="R72" s="271"/>
      <c r="S72" s="271">
        <v>16</v>
      </c>
      <c r="T72" s="271">
        <v>220</v>
      </c>
      <c r="U72" s="271">
        <v>194</v>
      </c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>
        <v>15</v>
      </c>
      <c r="AO72" s="271">
        <v>180</v>
      </c>
      <c r="AP72" s="271">
        <v>180</v>
      </c>
      <c r="AQ72" s="272">
        <f t="shared" si="4"/>
        <v>31</v>
      </c>
      <c r="AR72" s="272">
        <f t="shared" si="4"/>
        <v>400</v>
      </c>
      <c r="AS72" s="272">
        <f t="shared" si="4"/>
        <v>374</v>
      </c>
      <c r="AT72" s="357"/>
      <c r="AU72" s="357"/>
      <c r="AV72" s="357"/>
      <c r="AW72" s="357"/>
      <c r="AX72" s="357"/>
      <c r="AY72" s="357"/>
      <c r="AZ72" s="357">
        <v>15</v>
      </c>
      <c r="BA72" s="357">
        <v>180</v>
      </c>
      <c r="BB72" s="357">
        <v>180</v>
      </c>
      <c r="BC72" s="357"/>
      <c r="BD72" s="357"/>
      <c r="BE72" s="357"/>
      <c r="BF72" s="357"/>
      <c r="BG72" s="357"/>
      <c r="BH72" s="357"/>
      <c r="BI72" s="357"/>
      <c r="BJ72" s="357"/>
      <c r="BK72" s="357"/>
      <c r="BL72" s="357">
        <v>15</v>
      </c>
      <c r="BM72" s="357">
        <v>180</v>
      </c>
      <c r="BN72" s="357">
        <v>180</v>
      </c>
      <c r="BO72" s="357"/>
      <c r="BP72" s="357"/>
      <c r="BQ72" s="357"/>
      <c r="BR72" s="357"/>
      <c r="BS72" s="357"/>
      <c r="BT72" s="357"/>
      <c r="BU72" s="357"/>
      <c r="BV72" s="357"/>
      <c r="BW72" s="357"/>
      <c r="BX72" s="272">
        <f t="shared" si="7"/>
        <v>61</v>
      </c>
      <c r="BY72" s="272">
        <f t="shared" si="7"/>
        <v>760</v>
      </c>
      <c r="BZ72" s="272">
        <f t="shared" si="8"/>
        <v>734</v>
      </c>
      <c r="CA72" s="273"/>
      <c r="CB72" s="273"/>
      <c r="CC72" s="273"/>
      <c r="CD72" s="273"/>
      <c r="CE72" s="273"/>
      <c r="CF72" s="273"/>
      <c r="CG72" s="273">
        <v>15</v>
      </c>
      <c r="CH72" s="273">
        <v>180</v>
      </c>
      <c r="CI72" s="273">
        <v>180</v>
      </c>
      <c r="CJ72" s="273"/>
      <c r="CK72" s="273"/>
      <c r="CL72" s="273"/>
      <c r="CM72" s="273"/>
      <c r="CN72" s="273"/>
      <c r="CO72" s="273"/>
      <c r="CP72" s="273"/>
      <c r="CQ72" s="273"/>
      <c r="CR72" s="273"/>
      <c r="CS72" s="273"/>
      <c r="CT72" s="273"/>
      <c r="CU72" s="273"/>
      <c r="CV72" s="273"/>
      <c r="CW72" s="273"/>
      <c r="CX72" s="273"/>
      <c r="CY72" s="273"/>
      <c r="CZ72" s="273"/>
      <c r="DA72" s="273"/>
      <c r="DB72" s="273"/>
      <c r="DC72" s="273"/>
      <c r="DD72" s="273"/>
      <c r="DE72" s="273"/>
      <c r="DF72" s="271"/>
      <c r="DG72" s="271"/>
      <c r="DH72" s="272">
        <f t="shared" si="6"/>
        <v>76</v>
      </c>
      <c r="DI72" s="272">
        <f t="shared" si="6"/>
        <v>940</v>
      </c>
      <c r="DJ72" s="324">
        <f t="shared" si="6"/>
        <v>914</v>
      </c>
      <c r="DK72" s="325"/>
      <c r="DL72" s="325"/>
    </row>
    <row r="73" spans="1:116" s="275" customFormat="1" ht="20.100000000000001" customHeight="1" x14ac:dyDescent="0.6">
      <c r="A73" s="234">
        <v>70</v>
      </c>
      <c r="B73" s="103" t="s">
        <v>539</v>
      </c>
      <c r="C73" s="103" t="s">
        <v>540</v>
      </c>
      <c r="D73" s="103" t="s">
        <v>541</v>
      </c>
      <c r="E73" s="148" t="s">
        <v>542</v>
      </c>
      <c r="F73" s="179" t="s">
        <v>516</v>
      </c>
      <c r="G73" s="322"/>
      <c r="H73" s="323"/>
      <c r="I73" s="322" t="s">
        <v>1015</v>
      </c>
      <c r="J73" s="322" t="s">
        <v>994</v>
      </c>
      <c r="K73" s="241"/>
      <c r="L73" s="241"/>
      <c r="M73" s="271"/>
      <c r="N73" s="271"/>
      <c r="O73" s="271"/>
      <c r="P73" s="271"/>
      <c r="Q73" s="271"/>
      <c r="R73" s="271"/>
      <c r="S73" s="271">
        <v>4</v>
      </c>
      <c r="T73" s="271">
        <v>76</v>
      </c>
      <c r="U73" s="271">
        <v>50</v>
      </c>
      <c r="V73" s="271"/>
      <c r="W73" s="271"/>
      <c r="X73" s="271"/>
      <c r="Y73" s="271">
        <v>1</v>
      </c>
      <c r="Z73" s="271">
        <v>40</v>
      </c>
      <c r="AA73" s="271">
        <v>14</v>
      </c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  <c r="AO73" s="271"/>
      <c r="AP73" s="271"/>
      <c r="AQ73" s="272">
        <f t="shared" si="4"/>
        <v>5</v>
      </c>
      <c r="AR73" s="272">
        <f t="shared" si="4"/>
        <v>116</v>
      </c>
      <c r="AS73" s="272">
        <f t="shared" si="4"/>
        <v>64</v>
      </c>
      <c r="AT73" s="357"/>
      <c r="AU73" s="357"/>
      <c r="AV73" s="357"/>
      <c r="AW73" s="357"/>
      <c r="AX73" s="357"/>
      <c r="AY73" s="357"/>
      <c r="AZ73" s="357"/>
      <c r="BA73" s="357"/>
      <c r="BB73" s="357"/>
      <c r="BC73" s="357"/>
      <c r="BD73" s="357"/>
      <c r="BE73" s="357"/>
      <c r="BF73" s="357"/>
      <c r="BG73" s="357"/>
      <c r="BH73" s="357"/>
      <c r="BI73" s="357"/>
      <c r="BJ73" s="357"/>
      <c r="BK73" s="357"/>
      <c r="BL73" s="357"/>
      <c r="BM73" s="357"/>
      <c r="BN73" s="357"/>
      <c r="BO73" s="357"/>
      <c r="BP73" s="357"/>
      <c r="BQ73" s="357"/>
      <c r="BR73" s="357">
        <v>3</v>
      </c>
      <c r="BS73" s="357">
        <v>64</v>
      </c>
      <c r="BT73" s="357">
        <v>38</v>
      </c>
      <c r="BU73" s="357"/>
      <c r="BV73" s="357"/>
      <c r="BW73" s="357"/>
      <c r="BX73" s="272">
        <f t="shared" si="7"/>
        <v>8</v>
      </c>
      <c r="BY73" s="272">
        <f t="shared" si="7"/>
        <v>180</v>
      </c>
      <c r="BZ73" s="272">
        <f t="shared" si="8"/>
        <v>102</v>
      </c>
      <c r="CA73" s="273"/>
      <c r="CB73" s="273"/>
      <c r="CC73" s="273"/>
      <c r="CD73" s="273"/>
      <c r="CE73" s="273"/>
      <c r="CF73" s="273"/>
      <c r="CG73" s="273"/>
      <c r="CH73" s="273"/>
      <c r="CI73" s="273"/>
      <c r="CJ73" s="273">
        <v>8</v>
      </c>
      <c r="CK73" s="273">
        <v>124</v>
      </c>
      <c r="CL73" s="273">
        <v>98</v>
      </c>
      <c r="CM73" s="273"/>
      <c r="CN73" s="273"/>
      <c r="CO73" s="273"/>
      <c r="CP73" s="273"/>
      <c r="CQ73" s="273"/>
      <c r="CR73" s="273"/>
      <c r="CS73" s="273"/>
      <c r="CT73" s="273"/>
      <c r="CU73" s="273"/>
      <c r="CV73" s="273"/>
      <c r="CW73" s="273"/>
      <c r="CX73" s="273"/>
      <c r="CY73" s="273"/>
      <c r="CZ73" s="273"/>
      <c r="DA73" s="273"/>
      <c r="DB73" s="273"/>
      <c r="DC73" s="273"/>
      <c r="DD73" s="273"/>
      <c r="DE73" s="273"/>
      <c r="DF73" s="271"/>
      <c r="DG73" s="271"/>
      <c r="DH73" s="272">
        <f t="shared" si="6"/>
        <v>16</v>
      </c>
      <c r="DI73" s="272">
        <f t="shared" si="6"/>
        <v>304</v>
      </c>
      <c r="DJ73" s="324">
        <f t="shared" si="6"/>
        <v>200</v>
      </c>
      <c r="DK73" s="325"/>
      <c r="DL73" s="325"/>
    </row>
    <row r="74" spans="1:116" s="275" customFormat="1" ht="20.100000000000001" customHeight="1" x14ac:dyDescent="0.6">
      <c r="A74" s="234">
        <v>71</v>
      </c>
      <c r="B74" s="103" t="s">
        <v>543</v>
      </c>
      <c r="C74" s="103" t="s">
        <v>543</v>
      </c>
      <c r="D74" s="103" t="s">
        <v>541</v>
      </c>
      <c r="E74" s="148" t="s">
        <v>542</v>
      </c>
      <c r="F74" s="179" t="s">
        <v>516</v>
      </c>
      <c r="G74" s="322"/>
      <c r="H74" s="323"/>
      <c r="I74" s="322" t="s">
        <v>1016</v>
      </c>
      <c r="J74" s="322" t="s">
        <v>994</v>
      </c>
      <c r="K74" s="241"/>
      <c r="L74" s="24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2">
        <f t="shared" si="4"/>
        <v>0</v>
      </c>
      <c r="AR74" s="272">
        <f t="shared" si="4"/>
        <v>0</v>
      </c>
      <c r="AS74" s="272">
        <f t="shared" si="4"/>
        <v>0</v>
      </c>
      <c r="AT74" s="357"/>
      <c r="AU74" s="357"/>
      <c r="AV74" s="357"/>
      <c r="AW74" s="357"/>
      <c r="AX74" s="357"/>
      <c r="AY74" s="357"/>
      <c r="AZ74" s="357"/>
      <c r="BA74" s="357"/>
      <c r="BB74" s="357"/>
      <c r="BC74" s="357"/>
      <c r="BD74" s="357"/>
      <c r="BE74" s="357"/>
      <c r="BF74" s="357"/>
      <c r="BG74" s="357"/>
      <c r="BH74" s="357"/>
      <c r="BI74" s="357"/>
      <c r="BJ74" s="357"/>
      <c r="BK74" s="357"/>
      <c r="BL74" s="357"/>
      <c r="BM74" s="357"/>
      <c r="BN74" s="357"/>
      <c r="BO74" s="357"/>
      <c r="BP74" s="357"/>
      <c r="BQ74" s="357"/>
      <c r="BR74" s="357">
        <v>15</v>
      </c>
      <c r="BS74" s="357">
        <v>180</v>
      </c>
      <c r="BT74" s="357">
        <v>180</v>
      </c>
      <c r="BU74" s="357"/>
      <c r="BV74" s="357"/>
      <c r="BW74" s="357"/>
      <c r="BX74" s="272">
        <f t="shared" si="7"/>
        <v>15</v>
      </c>
      <c r="BY74" s="272">
        <f t="shared" si="7"/>
        <v>180</v>
      </c>
      <c r="BZ74" s="272">
        <f t="shared" si="8"/>
        <v>180</v>
      </c>
      <c r="CA74" s="273"/>
      <c r="CB74" s="273"/>
      <c r="CC74" s="273"/>
      <c r="CD74" s="273"/>
      <c r="CE74" s="273"/>
      <c r="CF74" s="273"/>
      <c r="CG74" s="273"/>
      <c r="CH74" s="273"/>
      <c r="CI74" s="273"/>
      <c r="CJ74" s="273">
        <v>15</v>
      </c>
      <c r="CK74" s="273">
        <v>180</v>
      </c>
      <c r="CL74" s="273">
        <v>180</v>
      </c>
      <c r="CM74" s="273"/>
      <c r="CN74" s="273"/>
      <c r="CO74" s="273"/>
      <c r="CP74" s="273"/>
      <c r="CQ74" s="273"/>
      <c r="CR74" s="273"/>
      <c r="CS74" s="273"/>
      <c r="CT74" s="273"/>
      <c r="CU74" s="273"/>
      <c r="CV74" s="273"/>
      <c r="CW74" s="273"/>
      <c r="CX74" s="273"/>
      <c r="CY74" s="273"/>
      <c r="CZ74" s="273"/>
      <c r="DA74" s="273"/>
      <c r="DB74" s="273"/>
      <c r="DC74" s="273"/>
      <c r="DD74" s="273"/>
      <c r="DE74" s="273"/>
      <c r="DF74" s="271"/>
      <c r="DG74" s="271"/>
      <c r="DH74" s="272">
        <f t="shared" si="6"/>
        <v>30</v>
      </c>
      <c r="DI74" s="272">
        <f t="shared" si="6"/>
        <v>360</v>
      </c>
      <c r="DJ74" s="324">
        <f t="shared" si="6"/>
        <v>360</v>
      </c>
      <c r="DK74" s="325"/>
      <c r="DL74" s="325"/>
    </row>
    <row r="75" spans="1:116" s="275" customFormat="1" ht="20.100000000000001" customHeight="1" x14ac:dyDescent="0.6">
      <c r="A75" s="234">
        <v>72</v>
      </c>
      <c r="B75" s="103" t="s">
        <v>544</v>
      </c>
      <c r="C75" s="103" t="s">
        <v>544</v>
      </c>
      <c r="D75" s="103" t="s">
        <v>541</v>
      </c>
      <c r="E75" s="148" t="s">
        <v>542</v>
      </c>
      <c r="F75" s="179" t="s">
        <v>516</v>
      </c>
      <c r="G75" s="322"/>
      <c r="H75" s="323"/>
      <c r="I75" s="322" t="s">
        <v>1017</v>
      </c>
      <c r="J75" s="322" t="s">
        <v>994</v>
      </c>
      <c r="K75" s="241"/>
      <c r="L75" s="24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>
        <v>15</v>
      </c>
      <c r="Z75" s="271">
        <v>180</v>
      </c>
      <c r="AA75" s="271">
        <v>180</v>
      </c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2">
        <f t="shared" si="4"/>
        <v>15</v>
      </c>
      <c r="AR75" s="272">
        <f t="shared" si="4"/>
        <v>180</v>
      </c>
      <c r="AS75" s="272">
        <f t="shared" si="4"/>
        <v>180</v>
      </c>
      <c r="AT75" s="357"/>
      <c r="AU75" s="357"/>
      <c r="AV75" s="357"/>
      <c r="AW75" s="357"/>
      <c r="AX75" s="357"/>
      <c r="AY75" s="357"/>
      <c r="AZ75" s="357"/>
      <c r="BA75" s="357"/>
      <c r="BB75" s="357"/>
      <c r="BC75" s="357"/>
      <c r="BD75" s="357"/>
      <c r="BE75" s="357"/>
      <c r="BF75" s="357"/>
      <c r="BG75" s="357"/>
      <c r="BH75" s="357"/>
      <c r="BI75" s="357"/>
      <c r="BJ75" s="357"/>
      <c r="BK75" s="357"/>
      <c r="BL75" s="357"/>
      <c r="BM75" s="357"/>
      <c r="BN75" s="357"/>
      <c r="BO75" s="357"/>
      <c r="BP75" s="357"/>
      <c r="BQ75" s="357"/>
      <c r="BR75" s="357">
        <v>10</v>
      </c>
      <c r="BS75" s="357">
        <v>120</v>
      </c>
      <c r="BT75" s="357">
        <v>120</v>
      </c>
      <c r="BU75" s="357"/>
      <c r="BV75" s="357"/>
      <c r="BW75" s="357"/>
      <c r="BX75" s="272">
        <f t="shared" si="7"/>
        <v>25</v>
      </c>
      <c r="BY75" s="272">
        <f t="shared" si="7"/>
        <v>300</v>
      </c>
      <c r="BZ75" s="272">
        <f t="shared" si="8"/>
        <v>300</v>
      </c>
      <c r="CA75" s="273"/>
      <c r="CB75" s="273"/>
      <c r="CC75" s="273"/>
      <c r="CD75" s="273"/>
      <c r="CE75" s="273"/>
      <c r="CF75" s="273"/>
      <c r="CG75" s="273"/>
      <c r="CH75" s="273"/>
      <c r="CI75" s="273"/>
      <c r="CJ75" s="273"/>
      <c r="CK75" s="273"/>
      <c r="CL75" s="273"/>
      <c r="CM75" s="273"/>
      <c r="CN75" s="273"/>
      <c r="CO75" s="273"/>
      <c r="CP75" s="273"/>
      <c r="CQ75" s="273"/>
      <c r="CR75" s="273"/>
      <c r="CS75" s="273">
        <v>15</v>
      </c>
      <c r="CT75" s="273">
        <v>180</v>
      </c>
      <c r="CU75" s="273">
        <v>180</v>
      </c>
      <c r="CV75" s="273"/>
      <c r="CW75" s="273"/>
      <c r="CX75" s="273"/>
      <c r="CY75" s="273"/>
      <c r="CZ75" s="273"/>
      <c r="DA75" s="273"/>
      <c r="DB75" s="273"/>
      <c r="DC75" s="273"/>
      <c r="DD75" s="273"/>
      <c r="DE75" s="273"/>
      <c r="DF75" s="271"/>
      <c r="DG75" s="271"/>
      <c r="DH75" s="272">
        <f t="shared" si="6"/>
        <v>40</v>
      </c>
      <c r="DI75" s="272">
        <f t="shared" si="6"/>
        <v>480</v>
      </c>
      <c r="DJ75" s="324">
        <f t="shared" si="6"/>
        <v>480</v>
      </c>
      <c r="DK75" s="325"/>
      <c r="DL75" s="325"/>
    </row>
    <row r="76" spans="1:116" s="275" customFormat="1" ht="20.100000000000001" customHeight="1" x14ac:dyDescent="0.6">
      <c r="A76" s="234">
        <v>73</v>
      </c>
      <c r="B76" s="103" t="s">
        <v>545</v>
      </c>
      <c r="C76" s="103" t="s">
        <v>546</v>
      </c>
      <c r="D76" s="103" t="s">
        <v>230</v>
      </c>
      <c r="E76" s="148" t="s">
        <v>227</v>
      </c>
      <c r="F76" s="179" t="s">
        <v>516</v>
      </c>
      <c r="G76" s="322"/>
      <c r="H76" s="323"/>
      <c r="I76" s="322" t="s">
        <v>1018</v>
      </c>
      <c r="J76" s="322" t="s">
        <v>994</v>
      </c>
      <c r="K76" s="241"/>
      <c r="L76" s="241"/>
      <c r="M76" s="271"/>
      <c r="N76" s="271"/>
      <c r="O76" s="271"/>
      <c r="P76" s="271"/>
      <c r="Q76" s="271"/>
      <c r="R76" s="271"/>
      <c r="S76" s="271"/>
      <c r="T76" s="271"/>
      <c r="U76" s="271"/>
      <c r="V76" s="271">
        <v>15</v>
      </c>
      <c r="W76" s="271">
        <v>180</v>
      </c>
      <c r="X76" s="271">
        <v>180</v>
      </c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>
        <v>15</v>
      </c>
      <c r="AO76" s="271">
        <v>180</v>
      </c>
      <c r="AP76" s="271">
        <v>180</v>
      </c>
      <c r="AQ76" s="272">
        <f t="shared" si="4"/>
        <v>30</v>
      </c>
      <c r="AR76" s="272">
        <f t="shared" si="4"/>
        <v>360</v>
      </c>
      <c r="AS76" s="272">
        <f t="shared" si="4"/>
        <v>360</v>
      </c>
      <c r="AT76" s="357"/>
      <c r="AU76" s="357"/>
      <c r="AV76" s="357"/>
      <c r="AW76" s="357"/>
      <c r="AX76" s="357"/>
      <c r="AY76" s="357"/>
      <c r="AZ76" s="357"/>
      <c r="BA76" s="357"/>
      <c r="BB76" s="357"/>
      <c r="BC76" s="357">
        <v>20</v>
      </c>
      <c r="BD76" s="357">
        <v>352</v>
      </c>
      <c r="BE76" s="357">
        <v>244.4</v>
      </c>
      <c r="BF76" s="357"/>
      <c r="BG76" s="357"/>
      <c r="BH76" s="357"/>
      <c r="BI76" s="357"/>
      <c r="BJ76" s="357"/>
      <c r="BK76" s="357"/>
      <c r="BL76" s="357"/>
      <c r="BM76" s="357"/>
      <c r="BN76" s="357"/>
      <c r="BO76" s="357"/>
      <c r="BP76" s="357"/>
      <c r="BQ76" s="357"/>
      <c r="BR76" s="357"/>
      <c r="BS76" s="357"/>
      <c r="BT76" s="357"/>
      <c r="BU76" s="357"/>
      <c r="BV76" s="357"/>
      <c r="BW76" s="357"/>
      <c r="BX76" s="272">
        <f t="shared" si="7"/>
        <v>50</v>
      </c>
      <c r="BY76" s="272">
        <f t="shared" si="7"/>
        <v>712</v>
      </c>
      <c r="BZ76" s="272">
        <f t="shared" si="8"/>
        <v>604.4</v>
      </c>
      <c r="CA76" s="273"/>
      <c r="CB76" s="273"/>
      <c r="CC76" s="273"/>
      <c r="CD76" s="273"/>
      <c r="CE76" s="273"/>
      <c r="CF76" s="273"/>
      <c r="CG76" s="273"/>
      <c r="CH76" s="273"/>
      <c r="CI76" s="273"/>
      <c r="CJ76" s="273">
        <v>15</v>
      </c>
      <c r="CK76" s="273">
        <v>180</v>
      </c>
      <c r="CL76" s="273">
        <v>180</v>
      </c>
      <c r="CM76" s="273"/>
      <c r="CN76" s="273"/>
      <c r="CO76" s="273"/>
      <c r="CP76" s="273"/>
      <c r="CQ76" s="273"/>
      <c r="CR76" s="273"/>
      <c r="CS76" s="273"/>
      <c r="CT76" s="273"/>
      <c r="CU76" s="273"/>
      <c r="CV76" s="273"/>
      <c r="CW76" s="273"/>
      <c r="CX76" s="273"/>
      <c r="CY76" s="273"/>
      <c r="CZ76" s="273"/>
      <c r="DA76" s="273"/>
      <c r="DB76" s="273"/>
      <c r="DC76" s="273"/>
      <c r="DD76" s="273"/>
      <c r="DE76" s="273"/>
      <c r="DF76" s="271"/>
      <c r="DG76" s="271"/>
      <c r="DH76" s="272">
        <f t="shared" si="6"/>
        <v>65</v>
      </c>
      <c r="DI76" s="272">
        <f t="shared" si="6"/>
        <v>892</v>
      </c>
      <c r="DJ76" s="324">
        <f t="shared" si="6"/>
        <v>784.4</v>
      </c>
      <c r="DK76" s="325"/>
      <c r="DL76" s="325"/>
    </row>
    <row r="77" spans="1:116" s="275" customFormat="1" ht="20.100000000000001" customHeight="1" x14ac:dyDescent="0.6">
      <c r="A77" s="234">
        <v>74</v>
      </c>
      <c r="B77" s="103" t="s">
        <v>547</v>
      </c>
      <c r="C77" s="103" t="s">
        <v>548</v>
      </c>
      <c r="D77" s="103" t="s">
        <v>230</v>
      </c>
      <c r="E77" s="148" t="s">
        <v>227</v>
      </c>
      <c r="F77" s="179" t="s">
        <v>516</v>
      </c>
      <c r="G77" s="322"/>
      <c r="H77" s="323"/>
      <c r="I77" s="329" t="s">
        <v>1019</v>
      </c>
      <c r="J77" s="322" t="s">
        <v>994</v>
      </c>
      <c r="K77" s="241"/>
      <c r="L77" s="24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>
        <v>10</v>
      </c>
      <c r="AO77" s="271">
        <v>120</v>
      </c>
      <c r="AP77" s="271">
        <v>120</v>
      </c>
      <c r="AQ77" s="272">
        <f t="shared" si="4"/>
        <v>10</v>
      </c>
      <c r="AR77" s="272">
        <f t="shared" si="4"/>
        <v>120</v>
      </c>
      <c r="AS77" s="272">
        <f t="shared" si="4"/>
        <v>120</v>
      </c>
      <c r="AT77" s="357"/>
      <c r="AU77" s="357"/>
      <c r="AV77" s="357"/>
      <c r="AW77" s="357"/>
      <c r="AX77" s="357"/>
      <c r="AY77" s="357"/>
      <c r="AZ77" s="357"/>
      <c r="BA77" s="357"/>
      <c r="BB77" s="357"/>
      <c r="BC77" s="357"/>
      <c r="BD77" s="357"/>
      <c r="BE77" s="357"/>
      <c r="BF77" s="357"/>
      <c r="BG77" s="357"/>
      <c r="BH77" s="357"/>
      <c r="BI77" s="357"/>
      <c r="BJ77" s="357"/>
      <c r="BK77" s="357"/>
      <c r="BL77" s="357"/>
      <c r="BM77" s="357"/>
      <c r="BN77" s="357"/>
      <c r="BO77" s="357"/>
      <c r="BP77" s="357"/>
      <c r="BQ77" s="357"/>
      <c r="BR77" s="357"/>
      <c r="BS77" s="357"/>
      <c r="BT77" s="357"/>
      <c r="BU77" s="357"/>
      <c r="BV77" s="357"/>
      <c r="BW77" s="357"/>
      <c r="BX77" s="272">
        <f t="shared" si="7"/>
        <v>10</v>
      </c>
      <c r="BY77" s="272">
        <f t="shared" si="7"/>
        <v>120</v>
      </c>
      <c r="BZ77" s="272">
        <f t="shared" si="8"/>
        <v>120</v>
      </c>
      <c r="CA77" s="273"/>
      <c r="CB77" s="273"/>
      <c r="CC77" s="273"/>
      <c r="CD77" s="273"/>
      <c r="CE77" s="273"/>
      <c r="CF77" s="273"/>
      <c r="CG77" s="273"/>
      <c r="CH77" s="273"/>
      <c r="CI77" s="273"/>
      <c r="CJ77" s="273">
        <v>15</v>
      </c>
      <c r="CK77" s="273">
        <v>180</v>
      </c>
      <c r="CL77" s="273">
        <v>180</v>
      </c>
      <c r="CM77" s="273"/>
      <c r="CN77" s="273"/>
      <c r="CO77" s="273"/>
      <c r="CP77" s="273"/>
      <c r="CQ77" s="273"/>
      <c r="CR77" s="273"/>
      <c r="CS77" s="273"/>
      <c r="CT77" s="273"/>
      <c r="CU77" s="273"/>
      <c r="CV77" s="273"/>
      <c r="CW77" s="273"/>
      <c r="CX77" s="273"/>
      <c r="CY77" s="273"/>
      <c r="CZ77" s="273"/>
      <c r="DA77" s="273"/>
      <c r="DB77" s="273"/>
      <c r="DC77" s="273"/>
      <c r="DD77" s="273"/>
      <c r="DE77" s="273"/>
      <c r="DF77" s="271"/>
      <c r="DG77" s="271"/>
      <c r="DH77" s="272">
        <f t="shared" si="6"/>
        <v>25</v>
      </c>
      <c r="DI77" s="272">
        <f t="shared" si="6"/>
        <v>300</v>
      </c>
      <c r="DJ77" s="324">
        <f t="shared" si="6"/>
        <v>300</v>
      </c>
      <c r="DK77" s="325"/>
      <c r="DL77" s="325"/>
    </row>
    <row r="78" spans="1:116" s="275" customFormat="1" ht="20.100000000000001" customHeight="1" x14ac:dyDescent="0.6">
      <c r="A78" s="234">
        <v>75</v>
      </c>
      <c r="B78" s="103" t="s">
        <v>549</v>
      </c>
      <c r="C78" s="103" t="s">
        <v>550</v>
      </c>
      <c r="D78" s="103" t="s">
        <v>230</v>
      </c>
      <c r="E78" s="148" t="s">
        <v>227</v>
      </c>
      <c r="F78" s="179" t="s">
        <v>516</v>
      </c>
      <c r="G78" s="322"/>
      <c r="H78" s="323"/>
      <c r="I78" s="322"/>
      <c r="J78" s="322" t="s">
        <v>994</v>
      </c>
      <c r="K78" s="241"/>
      <c r="L78" s="24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2">
        <f t="shared" si="4"/>
        <v>0</v>
      </c>
      <c r="AR78" s="272">
        <f t="shared" si="4"/>
        <v>0</v>
      </c>
      <c r="AS78" s="272">
        <f t="shared" si="4"/>
        <v>0</v>
      </c>
      <c r="AT78" s="357">
        <v>32.082999999999998</v>
      </c>
      <c r="AU78" s="357">
        <v>441</v>
      </c>
      <c r="AV78" s="357">
        <v>374.6</v>
      </c>
      <c r="AW78" s="357"/>
      <c r="AX78" s="357"/>
      <c r="AY78" s="357"/>
      <c r="AZ78" s="357"/>
      <c r="BA78" s="357"/>
      <c r="BB78" s="357"/>
      <c r="BC78" s="357"/>
      <c r="BD78" s="357"/>
      <c r="BE78" s="357"/>
      <c r="BF78" s="357"/>
      <c r="BG78" s="357"/>
      <c r="BH78" s="357"/>
      <c r="BI78" s="357"/>
      <c r="BJ78" s="357"/>
      <c r="BK78" s="357"/>
      <c r="BL78" s="357"/>
      <c r="BM78" s="357"/>
      <c r="BN78" s="357"/>
      <c r="BO78" s="357"/>
      <c r="BP78" s="357"/>
      <c r="BQ78" s="357"/>
      <c r="BR78" s="357"/>
      <c r="BS78" s="357"/>
      <c r="BT78" s="357"/>
      <c r="BU78" s="357"/>
      <c r="BV78" s="357"/>
      <c r="BW78" s="357"/>
      <c r="BX78" s="272">
        <f t="shared" si="7"/>
        <v>32.082999999999998</v>
      </c>
      <c r="BY78" s="272">
        <f t="shared" si="7"/>
        <v>441</v>
      </c>
      <c r="BZ78" s="272">
        <f t="shared" si="8"/>
        <v>374.6</v>
      </c>
      <c r="CA78" s="273"/>
      <c r="CB78" s="273"/>
      <c r="CC78" s="273"/>
      <c r="CD78" s="273"/>
      <c r="CE78" s="273"/>
      <c r="CF78" s="273"/>
      <c r="CG78" s="273"/>
      <c r="CH78" s="273"/>
      <c r="CI78" s="273"/>
      <c r="CJ78" s="273"/>
      <c r="CK78" s="273"/>
      <c r="CL78" s="273"/>
      <c r="CM78" s="273"/>
      <c r="CN78" s="273"/>
      <c r="CO78" s="273"/>
      <c r="CP78" s="273">
        <v>10</v>
      </c>
      <c r="CQ78" s="273">
        <v>120</v>
      </c>
      <c r="CR78" s="273">
        <v>120</v>
      </c>
      <c r="CS78" s="273"/>
      <c r="CT78" s="273"/>
      <c r="CU78" s="273"/>
      <c r="CV78" s="273"/>
      <c r="CW78" s="273"/>
      <c r="CX78" s="273"/>
      <c r="CY78" s="273"/>
      <c r="CZ78" s="273"/>
      <c r="DA78" s="273"/>
      <c r="DB78" s="273"/>
      <c r="DC78" s="273"/>
      <c r="DD78" s="273"/>
      <c r="DE78" s="273"/>
      <c r="DF78" s="271"/>
      <c r="DG78" s="271"/>
      <c r="DH78" s="272">
        <f t="shared" si="6"/>
        <v>42.082999999999998</v>
      </c>
      <c r="DI78" s="272">
        <f t="shared" si="6"/>
        <v>561</v>
      </c>
      <c r="DJ78" s="324">
        <f t="shared" si="6"/>
        <v>494.6</v>
      </c>
      <c r="DK78" s="325"/>
      <c r="DL78" s="325"/>
    </row>
    <row r="79" spans="1:116" s="275" customFormat="1" ht="20.100000000000001" customHeight="1" x14ac:dyDescent="0.6">
      <c r="A79" s="234">
        <v>76</v>
      </c>
      <c r="B79" s="103" t="s">
        <v>551</v>
      </c>
      <c r="C79" s="103" t="s">
        <v>552</v>
      </c>
      <c r="D79" s="103" t="s">
        <v>230</v>
      </c>
      <c r="E79" s="148" t="s">
        <v>227</v>
      </c>
      <c r="F79" s="179" t="s">
        <v>516</v>
      </c>
      <c r="G79" s="322"/>
      <c r="H79" s="323"/>
      <c r="I79" s="322"/>
      <c r="J79" s="322" t="s">
        <v>1020</v>
      </c>
      <c r="K79" s="241"/>
      <c r="L79" s="24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  <c r="AO79" s="271"/>
      <c r="AP79" s="271"/>
      <c r="AQ79" s="272">
        <f t="shared" si="4"/>
        <v>0</v>
      </c>
      <c r="AR79" s="272">
        <f t="shared" si="4"/>
        <v>0</v>
      </c>
      <c r="AS79" s="272">
        <f t="shared" si="4"/>
        <v>0</v>
      </c>
      <c r="AT79" s="357"/>
      <c r="AU79" s="357"/>
      <c r="AV79" s="357"/>
      <c r="AW79" s="357"/>
      <c r="AX79" s="357"/>
      <c r="AY79" s="357"/>
      <c r="AZ79" s="357">
        <v>4</v>
      </c>
      <c r="BA79" s="357">
        <v>76</v>
      </c>
      <c r="BB79" s="357">
        <v>40.4</v>
      </c>
      <c r="BC79" s="357"/>
      <c r="BD79" s="357"/>
      <c r="BE79" s="357"/>
      <c r="BF79" s="357"/>
      <c r="BG79" s="357"/>
      <c r="BH79" s="357"/>
      <c r="BI79" s="357"/>
      <c r="BJ79" s="357"/>
      <c r="BK79" s="357"/>
      <c r="BL79" s="357"/>
      <c r="BM79" s="357"/>
      <c r="BN79" s="357"/>
      <c r="BO79" s="357"/>
      <c r="BP79" s="357"/>
      <c r="BQ79" s="357"/>
      <c r="BR79" s="357"/>
      <c r="BS79" s="357"/>
      <c r="BT79" s="357"/>
      <c r="BU79" s="357"/>
      <c r="BV79" s="357"/>
      <c r="BW79" s="357"/>
      <c r="BX79" s="272">
        <f t="shared" si="7"/>
        <v>4</v>
      </c>
      <c r="BY79" s="272">
        <f t="shared" si="7"/>
        <v>76</v>
      </c>
      <c r="BZ79" s="272">
        <f t="shared" si="8"/>
        <v>40.4</v>
      </c>
      <c r="CA79" s="273"/>
      <c r="CB79" s="273"/>
      <c r="CC79" s="273"/>
      <c r="CD79" s="273"/>
      <c r="CE79" s="273"/>
      <c r="CF79" s="273"/>
      <c r="CG79" s="273"/>
      <c r="CH79" s="273"/>
      <c r="CI79" s="273"/>
      <c r="CJ79" s="273"/>
      <c r="CK79" s="273"/>
      <c r="CL79" s="273"/>
      <c r="CM79" s="273"/>
      <c r="CN79" s="273"/>
      <c r="CO79" s="273"/>
      <c r="CP79" s="273">
        <v>15</v>
      </c>
      <c r="CQ79" s="273">
        <v>180</v>
      </c>
      <c r="CR79" s="273">
        <v>180</v>
      </c>
      <c r="CS79" s="273"/>
      <c r="CT79" s="273"/>
      <c r="CU79" s="273"/>
      <c r="CV79" s="273"/>
      <c r="CW79" s="273"/>
      <c r="CX79" s="273"/>
      <c r="CY79" s="273"/>
      <c r="CZ79" s="273"/>
      <c r="DA79" s="273"/>
      <c r="DB79" s="273"/>
      <c r="DC79" s="273"/>
      <c r="DD79" s="273"/>
      <c r="DE79" s="273"/>
      <c r="DF79" s="271"/>
      <c r="DG79" s="271"/>
      <c r="DH79" s="272">
        <f t="shared" si="6"/>
        <v>19</v>
      </c>
      <c r="DI79" s="272">
        <f t="shared" si="6"/>
        <v>256</v>
      </c>
      <c r="DJ79" s="324">
        <f t="shared" si="6"/>
        <v>220.4</v>
      </c>
      <c r="DK79" s="325"/>
      <c r="DL79" s="325"/>
    </row>
    <row r="80" spans="1:116" s="275" customFormat="1" ht="20.100000000000001" customHeight="1" x14ac:dyDescent="0.6">
      <c r="A80" s="234">
        <v>77</v>
      </c>
      <c r="B80" s="103">
        <v>185</v>
      </c>
      <c r="C80" s="103">
        <v>185</v>
      </c>
      <c r="D80" s="103" t="s">
        <v>553</v>
      </c>
      <c r="E80" s="148" t="s">
        <v>554</v>
      </c>
      <c r="F80" s="179" t="s">
        <v>516</v>
      </c>
      <c r="G80" s="322"/>
      <c r="H80" s="323"/>
      <c r="I80" s="322"/>
      <c r="J80" s="322" t="s">
        <v>1020</v>
      </c>
      <c r="K80" s="241"/>
      <c r="L80" s="24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2">
        <f t="shared" si="4"/>
        <v>0</v>
      </c>
      <c r="AR80" s="272">
        <f t="shared" si="4"/>
        <v>0</v>
      </c>
      <c r="AS80" s="272">
        <f t="shared" si="4"/>
        <v>0</v>
      </c>
      <c r="AT80" s="356"/>
      <c r="AU80" s="356"/>
      <c r="AV80" s="356"/>
      <c r="AW80" s="356"/>
      <c r="AX80" s="356"/>
      <c r="AY80" s="356"/>
      <c r="AZ80" s="356"/>
      <c r="BA80" s="356"/>
      <c r="BB80" s="356"/>
      <c r="BC80" s="356">
        <v>5</v>
      </c>
      <c r="BD80" s="356">
        <v>60</v>
      </c>
      <c r="BE80" s="356">
        <v>60</v>
      </c>
      <c r="BF80" s="356"/>
      <c r="BG80" s="356"/>
      <c r="BH80" s="356"/>
      <c r="BI80" s="356"/>
      <c r="BJ80" s="356"/>
      <c r="BK80" s="356"/>
      <c r="BL80" s="356"/>
      <c r="BM80" s="356"/>
      <c r="BN80" s="356"/>
      <c r="BO80" s="356"/>
      <c r="BP80" s="356"/>
      <c r="BQ80" s="356"/>
      <c r="BR80" s="356"/>
      <c r="BS80" s="356"/>
      <c r="BT80" s="356"/>
      <c r="BU80" s="356"/>
      <c r="BV80" s="356"/>
      <c r="BW80" s="356"/>
      <c r="BX80" s="272">
        <f t="shared" si="7"/>
        <v>5</v>
      </c>
      <c r="BY80" s="272">
        <f t="shared" si="7"/>
        <v>60</v>
      </c>
      <c r="BZ80" s="272">
        <f t="shared" si="8"/>
        <v>60</v>
      </c>
      <c r="CA80" s="273"/>
      <c r="CB80" s="273"/>
      <c r="CC80" s="273"/>
      <c r="CD80" s="273"/>
      <c r="CE80" s="273"/>
      <c r="CF80" s="273"/>
      <c r="CG80" s="273"/>
      <c r="CH80" s="273"/>
      <c r="CI80" s="273"/>
      <c r="CJ80" s="273"/>
      <c r="CK80" s="273"/>
      <c r="CL80" s="273"/>
      <c r="CM80" s="273"/>
      <c r="CN80" s="273"/>
      <c r="CO80" s="273"/>
      <c r="CP80" s="273">
        <v>4</v>
      </c>
      <c r="CQ80" s="273">
        <v>76</v>
      </c>
      <c r="CR80" s="273">
        <v>50</v>
      </c>
      <c r="CS80" s="273"/>
      <c r="CT80" s="273"/>
      <c r="CU80" s="273"/>
      <c r="CV80" s="273">
        <v>4</v>
      </c>
      <c r="CW80" s="273">
        <v>48</v>
      </c>
      <c r="CX80" s="273">
        <v>48</v>
      </c>
      <c r="CY80" s="273"/>
      <c r="CZ80" s="273"/>
      <c r="DA80" s="273"/>
      <c r="DB80" s="273"/>
      <c r="DC80" s="273"/>
      <c r="DD80" s="273"/>
      <c r="DE80" s="273"/>
      <c r="DF80" s="271"/>
      <c r="DG80" s="271"/>
      <c r="DH80" s="272">
        <f t="shared" si="6"/>
        <v>13</v>
      </c>
      <c r="DI80" s="272">
        <f t="shared" si="6"/>
        <v>184</v>
      </c>
      <c r="DJ80" s="324">
        <f t="shared" si="6"/>
        <v>158</v>
      </c>
      <c r="DK80" s="325"/>
      <c r="DL80" s="325"/>
    </row>
    <row r="81" spans="1:116" s="275" customFormat="1" ht="20.100000000000001" customHeight="1" x14ac:dyDescent="0.6">
      <c r="A81" s="234">
        <v>78</v>
      </c>
      <c r="B81" s="103" t="s">
        <v>555</v>
      </c>
      <c r="C81" s="185" t="s">
        <v>556</v>
      </c>
      <c r="D81" s="103" t="s">
        <v>230</v>
      </c>
      <c r="E81" s="148" t="s">
        <v>532</v>
      </c>
      <c r="F81" s="328" t="s">
        <v>516</v>
      </c>
      <c r="G81" s="322"/>
      <c r="H81" s="323"/>
      <c r="I81" s="322" t="s">
        <v>1021</v>
      </c>
      <c r="J81" s="322" t="s">
        <v>1020</v>
      </c>
      <c r="K81" s="241"/>
      <c r="L81" s="24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>
        <v>10</v>
      </c>
      <c r="AO81" s="271">
        <v>120</v>
      </c>
      <c r="AP81" s="271">
        <v>120</v>
      </c>
      <c r="AQ81" s="272">
        <f t="shared" si="4"/>
        <v>10</v>
      </c>
      <c r="AR81" s="272">
        <f t="shared" si="4"/>
        <v>120</v>
      </c>
      <c r="AS81" s="272">
        <f t="shared" si="4"/>
        <v>120</v>
      </c>
      <c r="AT81" s="357"/>
      <c r="AU81" s="357"/>
      <c r="AV81" s="357"/>
      <c r="AW81" s="357"/>
      <c r="AX81" s="357"/>
      <c r="AY81" s="357"/>
      <c r="AZ81" s="357"/>
      <c r="BA81" s="357"/>
      <c r="BB81" s="357"/>
      <c r="BC81" s="357"/>
      <c r="BD81" s="357"/>
      <c r="BE81" s="357"/>
      <c r="BF81" s="357"/>
      <c r="BG81" s="357"/>
      <c r="BH81" s="357"/>
      <c r="BI81" s="357"/>
      <c r="BJ81" s="357"/>
      <c r="BK81" s="357"/>
      <c r="BL81" s="357"/>
      <c r="BM81" s="357"/>
      <c r="BN81" s="357"/>
      <c r="BO81" s="357"/>
      <c r="BP81" s="357"/>
      <c r="BQ81" s="357"/>
      <c r="BR81" s="357"/>
      <c r="BS81" s="357"/>
      <c r="BT81" s="357"/>
      <c r="BU81" s="357"/>
      <c r="BV81" s="357"/>
      <c r="BW81" s="357"/>
      <c r="BX81" s="272">
        <f t="shared" si="7"/>
        <v>10</v>
      </c>
      <c r="BY81" s="272">
        <f t="shared" si="7"/>
        <v>120</v>
      </c>
      <c r="BZ81" s="272">
        <f t="shared" si="8"/>
        <v>120</v>
      </c>
      <c r="CA81" s="273"/>
      <c r="CB81" s="273"/>
      <c r="CC81" s="273"/>
      <c r="CD81" s="273"/>
      <c r="CE81" s="273"/>
      <c r="CF81" s="273"/>
      <c r="CG81" s="273"/>
      <c r="CH81" s="273"/>
      <c r="CI81" s="273"/>
      <c r="CJ81" s="273">
        <v>10</v>
      </c>
      <c r="CK81" s="273">
        <v>120</v>
      </c>
      <c r="CL81" s="273">
        <v>120</v>
      </c>
      <c r="CM81" s="273"/>
      <c r="CN81" s="273"/>
      <c r="CO81" s="273"/>
      <c r="CP81" s="273"/>
      <c r="CQ81" s="273"/>
      <c r="CR81" s="273"/>
      <c r="CS81" s="273"/>
      <c r="CT81" s="273"/>
      <c r="CU81" s="273"/>
      <c r="CV81" s="273"/>
      <c r="CW81" s="273"/>
      <c r="CX81" s="273"/>
      <c r="CY81" s="273"/>
      <c r="CZ81" s="273"/>
      <c r="DA81" s="273"/>
      <c r="DB81" s="273"/>
      <c r="DC81" s="273"/>
      <c r="DD81" s="273"/>
      <c r="DE81" s="273"/>
      <c r="DF81" s="271"/>
      <c r="DG81" s="271"/>
      <c r="DH81" s="272">
        <f t="shared" si="6"/>
        <v>20</v>
      </c>
      <c r="DI81" s="272">
        <f t="shared" si="6"/>
        <v>240</v>
      </c>
      <c r="DJ81" s="324">
        <f t="shared" si="6"/>
        <v>240</v>
      </c>
      <c r="DK81" s="325"/>
      <c r="DL81" s="325"/>
    </row>
    <row r="82" spans="1:116" s="275" customFormat="1" ht="20.100000000000001" customHeight="1" x14ac:dyDescent="0.6">
      <c r="A82" s="234">
        <v>79</v>
      </c>
      <c r="B82" s="103" t="s">
        <v>557</v>
      </c>
      <c r="C82" s="185" t="s">
        <v>558</v>
      </c>
      <c r="D82" s="103" t="s">
        <v>141</v>
      </c>
      <c r="E82" s="148" t="s">
        <v>532</v>
      </c>
      <c r="F82" s="328" t="s">
        <v>516</v>
      </c>
      <c r="G82" s="322"/>
      <c r="H82" s="323"/>
      <c r="I82" s="322"/>
      <c r="J82" s="322" t="s">
        <v>1020</v>
      </c>
      <c r="K82" s="241"/>
      <c r="L82" s="241"/>
      <c r="M82" s="271"/>
      <c r="N82" s="271"/>
      <c r="O82" s="271"/>
      <c r="P82" s="271"/>
      <c r="Q82" s="271"/>
      <c r="R82" s="271"/>
      <c r="S82" s="271">
        <v>30</v>
      </c>
      <c r="T82" s="271">
        <v>360</v>
      </c>
      <c r="U82" s="271">
        <v>360</v>
      </c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>
        <v>60</v>
      </c>
      <c r="AL82" s="271">
        <v>740</v>
      </c>
      <c r="AM82" s="271">
        <v>689.6</v>
      </c>
      <c r="AN82" s="271"/>
      <c r="AO82" s="271"/>
      <c r="AP82" s="271"/>
      <c r="AQ82" s="272">
        <f t="shared" si="4"/>
        <v>90</v>
      </c>
      <c r="AR82" s="272">
        <f t="shared" si="4"/>
        <v>1100</v>
      </c>
      <c r="AS82" s="272">
        <f t="shared" si="4"/>
        <v>1049.5999999999999</v>
      </c>
      <c r="AT82" s="357"/>
      <c r="AU82" s="357"/>
      <c r="AV82" s="357"/>
      <c r="AW82" s="357"/>
      <c r="AX82" s="357"/>
      <c r="AY82" s="357"/>
      <c r="AZ82" s="357"/>
      <c r="BA82" s="357"/>
      <c r="BB82" s="357"/>
      <c r="BC82" s="357"/>
      <c r="BD82" s="357"/>
      <c r="BE82" s="357"/>
      <c r="BF82" s="357"/>
      <c r="BG82" s="357"/>
      <c r="BH82" s="357"/>
      <c r="BI82" s="357"/>
      <c r="BJ82" s="357"/>
      <c r="BK82" s="357"/>
      <c r="BL82" s="357">
        <v>10</v>
      </c>
      <c r="BM82" s="357">
        <v>120</v>
      </c>
      <c r="BN82" s="357">
        <v>120</v>
      </c>
      <c r="BO82" s="357">
        <v>15</v>
      </c>
      <c r="BP82" s="357">
        <v>180</v>
      </c>
      <c r="BQ82" s="357">
        <v>180</v>
      </c>
      <c r="BR82" s="357">
        <v>30</v>
      </c>
      <c r="BS82" s="357">
        <v>360</v>
      </c>
      <c r="BT82" s="357">
        <v>360</v>
      </c>
      <c r="BU82" s="357"/>
      <c r="BV82" s="357"/>
      <c r="BW82" s="357"/>
      <c r="BX82" s="272">
        <f t="shared" si="7"/>
        <v>145</v>
      </c>
      <c r="BY82" s="272">
        <f t="shared" si="7"/>
        <v>1760</v>
      </c>
      <c r="BZ82" s="272">
        <f t="shared" si="8"/>
        <v>1709.6</v>
      </c>
      <c r="CA82" s="273"/>
      <c r="CB82" s="273"/>
      <c r="CC82" s="273"/>
      <c r="CD82" s="273"/>
      <c r="CE82" s="273"/>
      <c r="CF82" s="273"/>
      <c r="CG82" s="273"/>
      <c r="CH82" s="273"/>
      <c r="CI82" s="273"/>
      <c r="CJ82" s="273"/>
      <c r="CK82" s="273"/>
      <c r="CL82" s="273"/>
      <c r="CM82" s="273">
        <v>55</v>
      </c>
      <c r="CN82" s="273">
        <v>670</v>
      </c>
      <c r="CO82" s="273">
        <v>644.79999999999995</v>
      </c>
      <c r="CP82" s="273"/>
      <c r="CQ82" s="273"/>
      <c r="CR82" s="273"/>
      <c r="CS82" s="273"/>
      <c r="CT82" s="273"/>
      <c r="CU82" s="273"/>
      <c r="CV82" s="273"/>
      <c r="CW82" s="273"/>
      <c r="CX82" s="273"/>
      <c r="CY82" s="273"/>
      <c r="CZ82" s="273"/>
      <c r="DA82" s="273"/>
      <c r="DB82" s="273"/>
      <c r="DC82" s="273"/>
      <c r="DD82" s="273"/>
      <c r="DE82" s="273"/>
      <c r="DF82" s="271"/>
      <c r="DG82" s="271"/>
      <c r="DH82" s="272">
        <f t="shared" si="6"/>
        <v>200</v>
      </c>
      <c r="DI82" s="272">
        <f t="shared" si="6"/>
        <v>2430</v>
      </c>
      <c r="DJ82" s="324">
        <f t="shared" si="6"/>
        <v>2354.3999999999996</v>
      </c>
      <c r="DK82" s="325"/>
      <c r="DL82" s="325"/>
    </row>
    <row r="83" spans="1:116" s="275" customFormat="1" ht="20.100000000000001" customHeight="1" x14ac:dyDescent="0.6">
      <c r="A83" s="234">
        <v>80</v>
      </c>
      <c r="B83" s="103" t="s">
        <v>559</v>
      </c>
      <c r="C83" s="185" t="s">
        <v>560</v>
      </c>
      <c r="D83" s="103" t="s">
        <v>192</v>
      </c>
      <c r="E83" s="148" t="s">
        <v>561</v>
      </c>
      <c r="F83" s="328" t="s">
        <v>516</v>
      </c>
      <c r="G83" s="322"/>
      <c r="H83" s="323"/>
      <c r="I83" s="322"/>
      <c r="J83" s="322" t="s">
        <v>1020</v>
      </c>
      <c r="K83" s="241"/>
      <c r="L83" s="24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2">
        <f t="shared" si="4"/>
        <v>0</v>
      </c>
      <c r="AR83" s="272">
        <f t="shared" si="4"/>
        <v>0</v>
      </c>
      <c r="AS83" s="272">
        <f t="shared" si="4"/>
        <v>0</v>
      </c>
      <c r="AT83" s="357"/>
      <c r="AU83" s="357"/>
      <c r="AV83" s="357"/>
      <c r="AW83" s="357"/>
      <c r="AX83" s="357"/>
      <c r="AY83" s="357"/>
      <c r="AZ83" s="357"/>
      <c r="BA83" s="357"/>
      <c r="BB83" s="357"/>
      <c r="BC83" s="357"/>
      <c r="BD83" s="357"/>
      <c r="BE83" s="357"/>
      <c r="BF83" s="357"/>
      <c r="BG83" s="357"/>
      <c r="BH83" s="357"/>
      <c r="BI83" s="357"/>
      <c r="BJ83" s="357"/>
      <c r="BK83" s="357"/>
      <c r="BL83" s="357"/>
      <c r="BM83" s="357"/>
      <c r="BN83" s="357"/>
      <c r="BO83" s="357"/>
      <c r="BP83" s="357"/>
      <c r="BQ83" s="357"/>
      <c r="BR83" s="357"/>
      <c r="BS83" s="357"/>
      <c r="BT83" s="357"/>
      <c r="BU83" s="357"/>
      <c r="BV83" s="357"/>
      <c r="BW83" s="357"/>
      <c r="BX83" s="272">
        <f t="shared" si="7"/>
        <v>0</v>
      </c>
      <c r="BY83" s="272">
        <f t="shared" si="7"/>
        <v>0</v>
      </c>
      <c r="BZ83" s="272">
        <f t="shared" si="8"/>
        <v>0</v>
      </c>
      <c r="CA83" s="273"/>
      <c r="CB83" s="273"/>
      <c r="CC83" s="273"/>
      <c r="CD83" s="273"/>
      <c r="CE83" s="273"/>
      <c r="CF83" s="273"/>
      <c r="CG83" s="273"/>
      <c r="CH83" s="273"/>
      <c r="CI83" s="273"/>
      <c r="CJ83" s="273"/>
      <c r="CK83" s="273"/>
      <c r="CL83" s="273"/>
      <c r="CM83" s="273"/>
      <c r="CN83" s="273"/>
      <c r="CO83" s="273"/>
      <c r="CP83" s="273"/>
      <c r="CQ83" s="273"/>
      <c r="CR83" s="273"/>
      <c r="CS83" s="273"/>
      <c r="CT83" s="273"/>
      <c r="CU83" s="273"/>
      <c r="CV83" s="273"/>
      <c r="CW83" s="273"/>
      <c r="CX83" s="273"/>
      <c r="CY83" s="273"/>
      <c r="CZ83" s="273"/>
      <c r="DA83" s="273"/>
      <c r="DB83" s="273"/>
      <c r="DC83" s="273"/>
      <c r="DD83" s="273"/>
      <c r="DE83" s="273"/>
      <c r="DF83" s="271"/>
      <c r="DG83" s="271"/>
      <c r="DH83" s="272">
        <f t="shared" si="6"/>
        <v>0</v>
      </c>
      <c r="DI83" s="272">
        <f t="shared" si="6"/>
        <v>0</v>
      </c>
      <c r="DJ83" s="324">
        <f t="shared" si="6"/>
        <v>0</v>
      </c>
      <c r="DK83" s="325"/>
      <c r="DL83" s="325"/>
    </row>
    <row r="84" spans="1:116" s="275" customFormat="1" ht="20.100000000000001" customHeight="1" x14ac:dyDescent="0.6">
      <c r="A84" s="234">
        <v>81</v>
      </c>
      <c r="B84" s="103" t="s">
        <v>562</v>
      </c>
      <c r="C84" s="185" t="s">
        <v>563</v>
      </c>
      <c r="D84" s="103" t="s">
        <v>168</v>
      </c>
      <c r="E84" s="148" t="s">
        <v>169</v>
      </c>
      <c r="F84" s="328" t="s">
        <v>516</v>
      </c>
      <c r="G84" s="322"/>
      <c r="H84" s="323"/>
      <c r="I84" s="322"/>
      <c r="J84" s="322" t="s">
        <v>1020</v>
      </c>
      <c r="K84" s="241"/>
      <c r="L84" s="24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>
        <v>15</v>
      </c>
      <c r="AL84" s="271">
        <v>210</v>
      </c>
      <c r="AM84" s="271">
        <v>134.4</v>
      </c>
      <c r="AN84" s="271">
        <v>15</v>
      </c>
      <c r="AO84" s="271">
        <v>320</v>
      </c>
      <c r="AP84" s="271">
        <v>190</v>
      </c>
      <c r="AQ84" s="272">
        <f t="shared" ref="AQ84:AS136" si="9">+AN84+AK84+AH84+AE84+AB84+Y84+V84+S84+P84+M84</f>
        <v>30</v>
      </c>
      <c r="AR84" s="272">
        <f t="shared" si="9"/>
        <v>530</v>
      </c>
      <c r="AS84" s="272">
        <f t="shared" si="9"/>
        <v>324.39999999999998</v>
      </c>
      <c r="AT84" s="357"/>
      <c r="AU84" s="357"/>
      <c r="AV84" s="357"/>
      <c r="AW84" s="357"/>
      <c r="AX84" s="357"/>
      <c r="AY84" s="357"/>
      <c r="AZ84" s="357"/>
      <c r="BA84" s="357"/>
      <c r="BB84" s="357"/>
      <c r="BC84" s="357"/>
      <c r="BD84" s="357"/>
      <c r="BE84" s="357"/>
      <c r="BF84" s="357"/>
      <c r="BG84" s="357"/>
      <c r="BH84" s="357"/>
      <c r="BI84" s="357"/>
      <c r="BJ84" s="357"/>
      <c r="BK84" s="357"/>
      <c r="BL84" s="357"/>
      <c r="BM84" s="357"/>
      <c r="BN84" s="357"/>
      <c r="BO84" s="357"/>
      <c r="BP84" s="357"/>
      <c r="BQ84" s="357"/>
      <c r="BR84" s="357"/>
      <c r="BS84" s="357"/>
      <c r="BT84" s="357"/>
      <c r="BU84" s="357"/>
      <c r="BV84" s="357"/>
      <c r="BW84" s="357"/>
      <c r="BX84" s="272">
        <f t="shared" si="7"/>
        <v>30</v>
      </c>
      <c r="BY84" s="272">
        <f t="shared" si="7"/>
        <v>530</v>
      </c>
      <c r="BZ84" s="272">
        <f t="shared" si="8"/>
        <v>324.39999999999998</v>
      </c>
      <c r="CA84" s="273">
        <v>15</v>
      </c>
      <c r="CB84" s="273">
        <v>180</v>
      </c>
      <c r="CC84" s="273">
        <v>180</v>
      </c>
      <c r="CD84" s="273"/>
      <c r="CE84" s="273"/>
      <c r="CF84" s="273"/>
      <c r="CG84" s="273">
        <v>10</v>
      </c>
      <c r="CH84" s="273">
        <v>120</v>
      </c>
      <c r="CI84" s="273">
        <v>120</v>
      </c>
      <c r="CJ84" s="273"/>
      <c r="CK84" s="273"/>
      <c r="CL84" s="273"/>
      <c r="CM84" s="273"/>
      <c r="CN84" s="273"/>
      <c r="CO84" s="273"/>
      <c r="CP84" s="273"/>
      <c r="CQ84" s="273"/>
      <c r="CR84" s="273"/>
      <c r="CS84" s="273"/>
      <c r="CT84" s="273"/>
      <c r="CU84" s="273"/>
      <c r="CV84" s="273"/>
      <c r="CW84" s="273"/>
      <c r="CX84" s="273"/>
      <c r="CY84" s="273"/>
      <c r="CZ84" s="273"/>
      <c r="DA84" s="273"/>
      <c r="DB84" s="273"/>
      <c r="DC84" s="273"/>
      <c r="DD84" s="273"/>
      <c r="DE84" s="273"/>
      <c r="DF84" s="271"/>
      <c r="DG84" s="271"/>
      <c r="DH84" s="272">
        <f t="shared" si="6"/>
        <v>55</v>
      </c>
      <c r="DI84" s="272">
        <f t="shared" si="6"/>
        <v>830</v>
      </c>
      <c r="DJ84" s="324">
        <f t="shared" si="6"/>
        <v>624.4</v>
      </c>
      <c r="DK84" s="325"/>
      <c r="DL84" s="325"/>
    </row>
    <row r="85" spans="1:116" s="275" customFormat="1" ht="20.100000000000001" customHeight="1" x14ac:dyDescent="0.6">
      <c r="A85" s="234">
        <v>82</v>
      </c>
      <c r="B85" s="103" t="s">
        <v>564</v>
      </c>
      <c r="C85" s="185" t="s">
        <v>565</v>
      </c>
      <c r="D85" s="103" t="s">
        <v>141</v>
      </c>
      <c r="E85" s="148" t="s">
        <v>566</v>
      </c>
      <c r="F85" s="328" t="s">
        <v>516</v>
      </c>
      <c r="G85" s="322"/>
      <c r="H85" s="323"/>
      <c r="I85" s="322" t="s">
        <v>1022</v>
      </c>
      <c r="J85" s="322" t="s">
        <v>1023</v>
      </c>
      <c r="K85" s="241"/>
      <c r="L85" s="24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>
        <v>6</v>
      </c>
      <c r="AF85" s="271">
        <v>72</v>
      </c>
      <c r="AG85" s="271">
        <v>72</v>
      </c>
      <c r="AH85" s="271"/>
      <c r="AI85" s="271"/>
      <c r="AJ85" s="271"/>
      <c r="AK85" s="271"/>
      <c r="AL85" s="271"/>
      <c r="AM85" s="271"/>
      <c r="AN85" s="271"/>
      <c r="AO85" s="271"/>
      <c r="AP85" s="271"/>
      <c r="AQ85" s="272">
        <f t="shared" si="9"/>
        <v>6</v>
      </c>
      <c r="AR85" s="272">
        <f t="shared" si="9"/>
        <v>72</v>
      </c>
      <c r="AS85" s="272">
        <f t="shared" si="9"/>
        <v>72</v>
      </c>
      <c r="AT85" s="357">
        <v>5</v>
      </c>
      <c r="AU85" s="357">
        <v>60</v>
      </c>
      <c r="AV85" s="357">
        <v>60</v>
      </c>
      <c r="AW85" s="357"/>
      <c r="AX85" s="357"/>
      <c r="AY85" s="357"/>
      <c r="AZ85" s="357">
        <v>9</v>
      </c>
      <c r="BA85" s="357">
        <v>118</v>
      </c>
      <c r="BB85" s="357">
        <v>92.8</v>
      </c>
      <c r="BC85" s="357"/>
      <c r="BD85" s="357"/>
      <c r="BE85" s="357"/>
      <c r="BF85" s="357"/>
      <c r="BG85" s="357"/>
      <c r="BH85" s="357"/>
      <c r="BI85" s="357"/>
      <c r="BJ85" s="357"/>
      <c r="BK85" s="357"/>
      <c r="BL85" s="357"/>
      <c r="BM85" s="357"/>
      <c r="BN85" s="357"/>
      <c r="BO85" s="357"/>
      <c r="BP85" s="357"/>
      <c r="BQ85" s="357"/>
      <c r="BR85" s="357"/>
      <c r="BS85" s="357"/>
      <c r="BT85" s="357"/>
      <c r="BU85" s="357"/>
      <c r="BV85" s="357"/>
      <c r="BW85" s="357"/>
      <c r="BX85" s="272">
        <f t="shared" si="7"/>
        <v>20</v>
      </c>
      <c r="BY85" s="272">
        <f t="shared" si="7"/>
        <v>250</v>
      </c>
      <c r="BZ85" s="272">
        <f t="shared" si="8"/>
        <v>224.8</v>
      </c>
      <c r="CA85" s="273"/>
      <c r="CB85" s="273"/>
      <c r="CC85" s="273"/>
      <c r="CD85" s="273"/>
      <c r="CE85" s="273"/>
      <c r="CF85" s="273"/>
      <c r="CG85" s="273"/>
      <c r="CH85" s="273"/>
      <c r="CI85" s="273"/>
      <c r="CJ85" s="273"/>
      <c r="CK85" s="273"/>
      <c r="CL85" s="273"/>
      <c r="CM85" s="273"/>
      <c r="CN85" s="273"/>
      <c r="CO85" s="273"/>
      <c r="CP85" s="273">
        <v>8</v>
      </c>
      <c r="CQ85" s="273">
        <v>106</v>
      </c>
      <c r="CR85" s="273">
        <v>80.8</v>
      </c>
      <c r="CS85" s="273"/>
      <c r="CT85" s="273"/>
      <c r="CU85" s="273"/>
      <c r="CV85" s="273"/>
      <c r="CW85" s="273"/>
      <c r="CX85" s="273"/>
      <c r="CY85" s="273"/>
      <c r="CZ85" s="273"/>
      <c r="DA85" s="273"/>
      <c r="DB85" s="273"/>
      <c r="DC85" s="273"/>
      <c r="DD85" s="273"/>
      <c r="DE85" s="273"/>
      <c r="DF85" s="271"/>
      <c r="DG85" s="271"/>
      <c r="DH85" s="272">
        <f t="shared" si="6"/>
        <v>28</v>
      </c>
      <c r="DI85" s="272">
        <f t="shared" si="6"/>
        <v>356</v>
      </c>
      <c r="DJ85" s="324">
        <f t="shared" si="6"/>
        <v>305.60000000000002</v>
      </c>
      <c r="DK85" s="325"/>
      <c r="DL85" s="325"/>
    </row>
    <row r="86" spans="1:116" s="275" customFormat="1" ht="20.100000000000001" customHeight="1" x14ac:dyDescent="0.6">
      <c r="A86" s="234">
        <v>83</v>
      </c>
      <c r="B86" s="103" t="s">
        <v>567</v>
      </c>
      <c r="C86" s="185" t="s">
        <v>568</v>
      </c>
      <c r="D86" s="103" t="s">
        <v>168</v>
      </c>
      <c r="E86" s="148" t="s">
        <v>169</v>
      </c>
      <c r="F86" s="328" t="s">
        <v>516</v>
      </c>
      <c r="G86" s="322"/>
      <c r="H86" s="323"/>
      <c r="I86" s="322" t="s">
        <v>1024</v>
      </c>
      <c r="J86" s="322" t="s">
        <v>1023</v>
      </c>
      <c r="K86" s="241"/>
      <c r="L86" s="24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2">
        <f t="shared" si="9"/>
        <v>0</v>
      </c>
      <c r="AR86" s="272">
        <f t="shared" si="9"/>
        <v>0</v>
      </c>
      <c r="AS86" s="272">
        <f t="shared" si="9"/>
        <v>0</v>
      </c>
      <c r="AT86" s="357"/>
      <c r="AU86" s="357"/>
      <c r="AV86" s="357"/>
      <c r="AW86" s="357"/>
      <c r="AX86" s="357"/>
      <c r="AY86" s="357"/>
      <c r="AZ86" s="357"/>
      <c r="BA86" s="357"/>
      <c r="BB86" s="357"/>
      <c r="BC86" s="357"/>
      <c r="BD86" s="357"/>
      <c r="BE86" s="357"/>
      <c r="BF86" s="357"/>
      <c r="BG86" s="357"/>
      <c r="BH86" s="357"/>
      <c r="BI86" s="357"/>
      <c r="BJ86" s="357"/>
      <c r="BK86" s="357"/>
      <c r="BL86" s="357"/>
      <c r="BM86" s="357"/>
      <c r="BN86" s="357"/>
      <c r="BO86" s="357"/>
      <c r="BP86" s="357"/>
      <c r="BQ86" s="357"/>
      <c r="BR86" s="357"/>
      <c r="BS86" s="357"/>
      <c r="BT86" s="357"/>
      <c r="BU86" s="357"/>
      <c r="BV86" s="357"/>
      <c r="BW86" s="357"/>
      <c r="BX86" s="272">
        <f t="shared" si="7"/>
        <v>0</v>
      </c>
      <c r="BY86" s="272">
        <f t="shared" si="7"/>
        <v>0</v>
      </c>
      <c r="BZ86" s="272">
        <f t="shared" si="8"/>
        <v>0</v>
      </c>
      <c r="CA86" s="273"/>
      <c r="CB86" s="273"/>
      <c r="CC86" s="273"/>
      <c r="CD86" s="273"/>
      <c r="CE86" s="273"/>
      <c r="CF86" s="273"/>
      <c r="CG86" s="273"/>
      <c r="CH86" s="273"/>
      <c r="CI86" s="273"/>
      <c r="CJ86" s="273"/>
      <c r="CK86" s="273"/>
      <c r="CL86" s="273"/>
      <c r="CM86" s="273"/>
      <c r="CN86" s="273"/>
      <c r="CO86" s="273"/>
      <c r="CP86" s="273"/>
      <c r="CQ86" s="273"/>
      <c r="CR86" s="273"/>
      <c r="CS86" s="273"/>
      <c r="CT86" s="273"/>
      <c r="CU86" s="273"/>
      <c r="CV86" s="273"/>
      <c r="CW86" s="273"/>
      <c r="CX86" s="273"/>
      <c r="CY86" s="273"/>
      <c r="CZ86" s="273"/>
      <c r="DA86" s="273"/>
      <c r="DB86" s="273"/>
      <c r="DC86" s="273"/>
      <c r="DD86" s="273"/>
      <c r="DE86" s="273"/>
      <c r="DF86" s="271"/>
      <c r="DG86" s="271"/>
      <c r="DH86" s="272">
        <f t="shared" si="6"/>
        <v>0</v>
      </c>
      <c r="DI86" s="272">
        <f t="shared" si="6"/>
        <v>0</v>
      </c>
      <c r="DJ86" s="324">
        <f t="shared" si="6"/>
        <v>0</v>
      </c>
      <c r="DK86" s="325"/>
      <c r="DL86" s="325"/>
    </row>
    <row r="87" spans="1:116" s="275" customFormat="1" ht="20.100000000000001" customHeight="1" x14ac:dyDescent="0.6">
      <c r="A87" s="234">
        <v>84</v>
      </c>
      <c r="B87" s="103" t="s">
        <v>569</v>
      </c>
      <c r="C87" s="185" t="s">
        <v>570</v>
      </c>
      <c r="D87" s="103" t="s">
        <v>571</v>
      </c>
      <c r="E87" s="148" t="s">
        <v>532</v>
      </c>
      <c r="F87" s="328" t="s">
        <v>572</v>
      </c>
      <c r="G87" s="322"/>
      <c r="H87" s="323"/>
      <c r="I87" s="322" t="s">
        <v>1025</v>
      </c>
      <c r="J87" s="322" t="s">
        <v>1023</v>
      </c>
      <c r="K87" s="241"/>
      <c r="L87" s="241"/>
      <c r="M87" s="271"/>
      <c r="N87" s="271"/>
      <c r="O87" s="271"/>
      <c r="P87" s="271">
        <v>20</v>
      </c>
      <c r="Q87" s="271">
        <v>240</v>
      </c>
      <c r="R87" s="271">
        <v>240</v>
      </c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>
        <v>10</v>
      </c>
      <c r="AF87" s="271">
        <v>120</v>
      </c>
      <c r="AG87" s="271">
        <v>120</v>
      </c>
      <c r="AH87" s="271"/>
      <c r="AI87" s="271"/>
      <c r="AJ87" s="271"/>
      <c r="AK87" s="271"/>
      <c r="AL87" s="271"/>
      <c r="AM87" s="271"/>
      <c r="AN87" s="271">
        <v>10</v>
      </c>
      <c r="AO87" s="271">
        <v>140</v>
      </c>
      <c r="AP87" s="271">
        <v>89.6</v>
      </c>
      <c r="AQ87" s="272">
        <f t="shared" si="9"/>
        <v>40</v>
      </c>
      <c r="AR87" s="272">
        <f t="shared" si="9"/>
        <v>500</v>
      </c>
      <c r="AS87" s="272">
        <f t="shared" si="9"/>
        <v>449.6</v>
      </c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>
        <v>30</v>
      </c>
      <c r="BJ87" s="357">
        <v>360</v>
      </c>
      <c r="BK87" s="357">
        <v>360</v>
      </c>
      <c r="BL87" s="357"/>
      <c r="BM87" s="357"/>
      <c r="BN87" s="357"/>
      <c r="BO87" s="357"/>
      <c r="BP87" s="357"/>
      <c r="BQ87" s="357"/>
      <c r="BR87" s="357">
        <v>10</v>
      </c>
      <c r="BS87" s="357">
        <v>120</v>
      </c>
      <c r="BT87" s="357">
        <v>120</v>
      </c>
      <c r="BU87" s="357"/>
      <c r="BV87" s="357"/>
      <c r="BW87" s="357"/>
      <c r="BX87" s="272">
        <f t="shared" si="7"/>
        <v>80</v>
      </c>
      <c r="BY87" s="272">
        <f t="shared" si="7"/>
        <v>980</v>
      </c>
      <c r="BZ87" s="272">
        <f t="shared" si="8"/>
        <v>929.6</v>
      </c>
      <c r="CA87" s="273"/>
      <c r="CB87" s="273"/>
      <c r="CC87" s="273"/>
      <c r="CD87" s="273"/>
      <c r="CE87" s="273"/>
      <c r="CF87" s="273"/>
      <c r="CG87" s="273"/>
      <c r="CH87" s="273"/>
      <c r="CI87" s="273"/>
      <c r="CJ87" s="273">
        <v>10</v>
      </c>
      <c r="CK87" s="273">
        <v>120</v>
      </c>
      <c r="CL87" s="273">
        <v>120</v>
      </c>
      <c r="CM87" s="273"/>
      <c r="CN87" s="273"/>
      <c r="CO87" s="273"/>
      <c r="CP87" s="273"/>
      <c r="CQ87" s="273"/>
      <c r="CR87" s="273"/>
      <c r="CS87" s="273">
        <v>20</v>
      </c>
      <c r="CT87" s="273">
        <v>240</v>
      </c>
      <c r="CU87" s="273">
        <v>240</v>
      </c>
      <c r="CV87" s="273"/>
      <c r="CW87" s="273"/>
      <c r="CX87" s="273"/>
      <c r="CY87" s="273"/>
      <c r="CZ87" s="273"/>
      <c r="DA87" s="273"/>
      <c r="DB87" s="273"/>
      <c r="DC87" s="273"/>
      <c r="DD87" s="273"/>
      <c r="DE87" s="273"/>
      <c r="DF87" s="271"/>
      <c r="DG87" s="271"/>
      <c r="DH87" s="272">
        <f t="shared" si="6"/>
        <v>110</v>
      </c>
      <c r="DI87" s="272">
        <f t="shared" si="6"/>
        <v>1340</v>
      </c>
      <c r="DJ87" s="324">
        <f t="shared" si="6"/>
        <v>1289.5999999999999</v>
      </c>
      <c r="DK87" s="325"/>
      <c r="DL87" s="325"/>
    </row>
    <row r="88" spans="1:116" s="275" customFormat="1" ht="20.100000000000001" customHeight="1" x14ac:dyDescent="0.6">
      <c r="A88" s="234">
        <v>85</v>
      </c>
      <c r="B88" s="103" t="s">
        <v>573</v>
      </c>
      <c r="C88" s="185" t="s">
        <v>574</v>
      </c>
      <c r="D88" s="103" t="s">
        <v>571</v>
      </c>
      <c r="E88" s="148" t="s">
        <v>532</v>
      </c>
      <c r="F88" s="328" t="s">
        <v>572</v>
      </c>
      <c r="G88" s="322"/>
      <c r="H88" s="323"/>
      <c r="I88" s="322" t="s">
        <v>1026</v>
      </c>
      <c r="J88" s="322" t="s">
        <v>1023</v>
      </c>
      <c r="K88" s="241"/>
      <c r="L88" s="241"/>
      <c r="M88" s="271"/>
      <c r="N88" s="271"/>
      <c r="O88" s="271"/>
      <c r="P88" s="271">
        <v>20</v>
      </c>
      <c r="Q88" s="271">
        <v>240</v>
      </c>
      <c r="R88" s="271">
        <v>240</v>
      </c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271">
        <v>10</v>
      </c>
      <c r="AO88" s="271">
        <v>140</v>
      </c>
      <c r="AP88" s="271">
        <v>89.6</v>
      </c>
      <c r="AQ88" s="272">
        <f t="shared" si="9"/>
        <v>30</v>
      </c>
      <c r="AR88" s="272">
        <f t="shared" si="9"/>
        <v>380</v>
      </c>
      <c r="AS88" s="272">
        <f t="shared" si="9"/>
        <v>329.6</v>
      </c>
      <c r="AT88" s="357"/>
      <c r="AU88" s="357"/>
      <c r="AV88" s="357"/>
      <c r="AW88" s="357"/>
      <c r="AX88" s="357"/>
      <c r="AY88" s="357"/>
      <c r="AZ88" s="357"/>
      <c r="BA88" s="357"/>
      <c r="BB88" s="357"/>
      <c r="BC88" s="357"/>
      <c r="BD88" s="357"/>
      <c r="BE88" s="357"/>
      <c r="BF88" s="357"/>
      <c r="BG88" s="357"/>
      <c r="BH88" s="357"/>
      <c r="BI88" s="357">
        <v>35</v>
      </c>
      <c r="BJ88" s="357">
        <v>420</v>
      </c>
      <c r="BK88" s="357">
        <v>420</v>
      </c>
      <c r="BL88" s="357"/>
      <c r="BM88" s="357"/>
      <c r="BN88" s="357"/>
      <c r="BO88" s="357"/>
      <c r="BP88" s="357"/>
      <c r="BQ88" s="357"/>
      <c r="BR88" s="357"/>
      <c r="BS88" s="357"/>
      <c r="BT88" s="357"/>
      <c r="BU88" s="357"/>
      <c r="BV88" s="357"/>
      <c r="BW88" s="357"/>
      <c r="BX88" s="272">
        <f t="shared" si="7"/>
        <v>65</v>
      </c>
      <c r="BY88" s="272">
        <f t="shared" si="7"/>
        <v>800</v>
      </c>
      <c r="BZ88" s="272">
        <f t="shared" si="8"/>
        <v>749.6</v>
      </c>
      <c r="CA88" s="273">
        <v>10</v>
      </c>
      <c r="CB88" s="273">
        <v>120</v>
      </c>
      <c r="CC88" s="273">
        <v>120</v>
      </c>
      <c r="CD88" s="273"/>
      <c r="CE88" s="273"/>
      <c r="CF88" s="273"/>
      <c r="CG88" s="273"/>
      <c r="CH88" s="273"/>
      <c r="CI88" s="273"/>
      <c r="CJ88" s="273"/>
      <c r="CK88" s="273"/>
      <c r="CL88" s="273"/>
      <c r="CM88" s="273">
        <v>15</v>
      </c>
      <c r="CN88" s="273">
        <v>180</v>
      </c>
      <c r="CO88" s="273">
        <v>180</v>
      </c>
      <c r="CP88" s="273"/>
      <c r="CQ88" s="273"/>
      <c r="CR88" s="273"/>
      <c r="CS88" s="273">
        <v>20</v>
      </c>
      <c r="CT88" s="273">
        <v>240</v>
      </c>
      <c r="CU88" s="273">
        <v>240</v>
      </c>
      <c r="CV88" s="273">
        <v>5</v>
      </c>
      <c r="CW88" s="273">
        <v>60</v>
      </c>
      <c r="CX88" s="273">
        <v>60</v>
      </c>
      <c r="CY88" s="273"/>
      <c r="CZ88" s="273"/>
      <c r="DA88" s="273"/>
      <c r="DB88" s="273"/>
      <c r="DC88" s="273"/>
      <c r="DD88" s="273"/>
      <c r="DE88" s="273"/>
      <c r="DF88" s="271"/>
      <c r="DG88" s="271"/>
      <c r="DH88" s="272">
        <f t="shared" si="6"/>
        <v>115</v>
      </c>
      <c r="DI88" s="272">
        <f t="shared" si="6"/>
        <v>1400</v>
      </c>
      <c r="DJ88" s="324">
        <f t="shared" si="6"/>
        <v>1349.6</v>
      </c>
      <c r="DK88" s="325"/>
      <c r="DL88" s="325"/>
    </row>
    <row r="89" spans="1:116" s="275" customFormat="1" ht="20.100000000000001" customHeight="1" x14ac:dyDescent="0.6">
      <c r="A89" s="234">
        <v>86</v>
      </c>
      <c r="B89" s="103" t="s">
        <v>575</v>
      </c>
      <c r="C89" s="185" t="s">
        <v>576</v>
      </c>
      <c r="D89" s="103" t="s">
        <v>571</v>
      </c>
      <c r="E89" s="148" t="s">
        <v>532</v>
      </c>
      <c r="F89" s="328" t="s">
        <v>572</v>
      </c>
      <c r="G89" s="322"/>
      <c r="H89" s="323"/>
      <c r="I89" s="322" t="s">
        <v>1027</v>
      </c>
      <c r="J89" s="322" t="s">
        <v>1023</v>
      </c>
      <c r="K89" s="241"/>
      <c r="L89" s="241"/>
      <c r="M89" s="271"/>
      <c r="N89" s="271"/>
      <c r="O89" s="271"/>
      <c r="P89" s="271">
        <v>20</v>
      </c>
      <c r="Q89" s="271">
        <v>240</v>
      </c>
      <c r="R89" s="271">
        <v>240</v>
      </c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271">
        <v>10</v>
      </c>
      <c r="AO89" s="271">
        <v>140</v>
      </c>
      <c r="AP89" s="271">
        <v>89.6</v>
      </c>
      <c r="AQ89" s="272">
        <f t="shared" si="9"/>
        <v>30</v>
      </c>
      <c r="AR89" s="272">
        <f t="shared" si="9"/>
        <v>380</v>
      </c>
      <c r="AS89" s="272">
        <f t="shared" si="9"/>
        <v>329.6</v>
      </c>
      <c r="AT89" s="357"/>
      <c r="AU89" s="357"/>
      <c r="AV89" s="357"/>
      <c r="AW89" s="357">
        <v>10</v>
      </c>
      <c r="AX89" s="357">
        <v>120</v>
      </c>
      <c r="AY89" s="357">
        <v>120</v>
      </c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>
        <v>20</v>
      </c>
      <c r="BM89" s="357">
        <v>240</v>
      </c>
      <c r="BN89" s="357">
        <v>240</v>
      </c>
      <c r="BO89" s="357"/>
      <c r="BP89" s="357"/>
      <c r="BQ89" s="357"/>
      <c r="BR89" s="357"/>
      <c r="BS89" s="357"/>
      <c r="BT89" s="357"/>
      <c r="BU89" s="357"/>
      <c r="BV89" s="357"/>
      <c r="BW89" s="357"/>
      <c r="BX89" s="272">
        <f t="shared" si="7"/>
        <v>60</v>
      </c>
      <c r="BY89" s="272">
        <f t="shared" si="7"/>
        <v>740</v>
      </c>
      <c r="BZ89" s="272">
        <f t="shared" si="8"/>
        <v>689.6</v>
      </c>
      <c r="CA89" s="273"/>
      <c r="CB89" s="273"/>
      <c r="CC89" s="273"/>
      <c r="CD89" s="273"/>
      <c r="CE89" s="273"/>
      <c r="CF89" s="273"/>
      <c r="CG89" s="273"/>
      <c r="CH89" s="273"/>
      <c r="CI89" s="273"/>
      <c r="CJ89" s="273"/>
      <c r="CK89" s="273"/>
      <c r="CL89" s="273"/>
      <c r="CM89" s="273"/>
      <c r="CN89" s="273"/>
      <c r="CO89" s="273"/>
      <c r="CP89" s="273"/>
      <c r="CQ89" s="273"/>
      <c r="CR89" s="273"/>
      <c r="CS89" s="273"/>
      <c r="CT89" s="273"/>
      <c r="CU89" s="273"/>
      <c r="CV89" s="273">
        <v>3</v>
      </c>
      <c r="CW89" s="273">
        <v>120</v>
      </c>
      <c r="CX89" s="273">
        <v>42</v>
      </c>
      <c r="CY89" s="273"/>
      <c r="CZ89" s="273"/>
      <c r="DA89" s="273"/>
      <c r="DB89" s="273"/>
      <c r="DC89" s="273"/>
      <c r="DD89" s="273"/>
      <c r="DE89" s="273"/>
      <c r="DF89" s="271"/>
      <c r="DG89" s="271"/>
      <c r="DH89" s="272">
        <f t="shared" si="6"/>
        <v>63</v>
      </c>
      <c r="DI89" s="272">
        <f t="shared" si="6"/>
        <v>860</v>
      </c>
      <c r="DJ89" s="324">
        <f t="shared" si="6"/>
        <v>731.6</v>
      </c>
      <c r="DK89" s="325"/>
      <c r="DL89" s="325"/>
    </row>
    <row r="90" spans="1:116" s="275" customFormat="1" ht="20.100000000000001" customHeight="1" x14ac:dyDescent="0.6">
      <c r="A90" s="234">
        <v>87</v>
      </c>
      <c r="B90" s="103" t="s">
        <v>577</v>
      </c>
      <c r="C90" s="185" t="s">
        <v>577</v>
      </c>
      <c r="D90" s="103" t="s">
        <v>571</v>
      </c>
      <c r="E90" s="148" t="s">
        <v>532</v>
      </c>
      <c r="F90" s="328" t="s">
        <v>572</v>
      </c>
      <c r="G90" s="322"/>
      <c r="H90" s="323"/>
      <c r="I90" s="322" t="s">
        <v>1028</v>
      </c>
      <c r="J90" s="322" t="s">
        <v>1023</v>
      </c>
      <c r="K90" s="241"/>
      <c r="L90" s="241"/>
      <c r="M90" s="271"/>
      <c r="N90" s="271"/>
      <c r="O90" s="271"/>
      <c r="P90" s="271">
        <v>30</v>
      </c>
      <c r="Q90" s="271">
        <v>380</v>
      </c>
      <c r="R90" s="271">
        <v>329.6</v>
      </c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72">
        <f t="shared" si="9"/>
        <v>30</v>
      </c>
      <c r="AR90" s="272">
        <f t="shared" si="9"/>
        <v>380</v>
      </c>
      <c r="AS90" s="272">
        <f t="shared" si="9"/>
        <v>329.6</v>
      </c>
      <c r="AT90" s="357"/>
      <c r="AU90" s="357"/>
      <c r="AV90" s="357"/>
      <c r="AW90" s="357"/>
      <c r="AX90" s="357"/>
      <c r="AY90" s="357"/>
      <c r="AZ90" s="357"/>
      <c r="BA90" s="357"/>
      <c r="BB90" s="357"/>
      <c r="BC90" s="357"/>
      <c r="BD90" s="357"/>
      <c r="BE90" s="357"/>
      <c r="BF90" s="357"/>
      <c r="BG90" s="357"/>
      <c r="BH90" s="357"/>
      <c r="BI90" s="357">
        <v>42</v>
      </c>
      <c r="BJ90" s="357">
        <v>600</v>
      </c>
      <c r="BK90" s="357">
        <v>447.2</v>
      </c>
      <c r="BL90" s="357"/>
      <c r="BM90" s="357"/>
      <c r="BN90" s="357"/>
      <c r="BO90" s="357"/>
      <c r="BP90" s="357"/>
      <c r="BQ90" s="357"/>
      <c r="BR90" s="357"/>
      <c r="BS90" s="357"/>
      <c r="BT90" s="357"/>
      <c r="BU90" s="357"/>
      <c r="BV90" s="357"/>
      <c r="BW90" s="357"/>
      <c r="BX90" s="272">
        <f t="shared" si="7"/>
        <v>72</v>
      </c>
      <c r="BY90" s="272">
        <f t="shared" si="7"/>
        <v>980</v>
      </c>
      <c r="BZ90" s="272">
        <f t="shared" si="8"/>
        <v>776.8</v>
      </c>
      <c r="CA90" s="273"/>
      <c r="CB90" s="273"/>
      <c r="CC90" s="273"/>
      <c r="CD90" s="273"/>
      <c r="CE90" s="273"/>
      <c r="CF90" s="273"/>
      <c r="CG90" s="273"/>
      <c r="CH90" s="273"/>
      <c r="CI90" s="273"/>
      <c r="CJ90" s="273"/>
      <c r="CK90" s="273"/>
      <c r="CL90" s="273"/>
      <c r="CM90" s="273"/>
      <c r="CN90" s="273"/>
      <c r="CO90" s="273"/>
      <c r="CP90" s="273"/>
      <c r="CQ90" s="273"/>
      <c r="CR90" s="273"/>
      <c r="CS90" s="273">
        <v>20</v>
      </c>
      <c r="CT90" s="273">
        <v>240</v>
      </c>
      <c r="CU90" s="273">
        <v>240</v>
      </c>
      <c r="CV90" s="273"/>
      <c r="CW90" s="273"/>
      <c r="CX90" s="273"/>
      <c r="CY90" s="273"/>
      <c r="CZ90" s="273"/>
      <c r="DA90" s="273"/>
      <c r="DB90" s="273"/>
      <c r="DC90" s="273"/>
      <c r="DD90" s="273"/>
      <c r="DE90" s="273"/>
      <c r="DF90" s="271"/>
      <c r="DG90" s="271"/>
      <c r="DH90" s="272">
        <f t="shared" si="6"/>
        <v>92</v>
      </c>
      <c r="DI90" s="272">
        <f t="shared" si="6"/>
        <v>1220</v>
      </c>
      <c r="DJ90" s="324">
        <f t="shared" si="6"/>
        <v>1016.8</v>
      </c>
      <c r="DK90" s="325"/>
      <c r="DL90" s="325"/>
    </row>
    <row r="91" spans="1:116" s="275" customFormat="1" ht="20.100000000000001" customHeight="1" x14ac:dyDescent="0.6">
      <c r="A91" s="234">
        <v>88</v>
      </c>
      <c r="B91" s="103" t="s">
        <v>578</v>
      </c>
      <c r="C91" s="185" t="s">
        <v>579</v>
      </c>
      <c r="D91" s="103" t="s">
        <v>580</v>
      </c>
      <c r="E91" s="148" t="s">
        <v>532</v>
      </c>
      <c r="F91" s="328" t="s">
        <v>572</v>
      </c>
      <c r="G91" s="322"/>
      <c r="H91" s="323"/>
      <c r="I91" s="322" t="s">
        <v>1029</v>
      </c>
      <c r="J91" s="322" t="s">
        <v>1023</v>
      </c>
      <c r="K91" s="241"/>
      <c r="L91" s="241"/>
      <c r="M91" s="271"/>
      <c r="N91" s="271"/>
      <c r="O91" s="271"/>
      <c r="P91" s="271">
        <v>20</v>
      </c>
      <c r="Q91" s="271">
        <v>240</v>
      </c>
      <c r="R91" s="271">
        <v>240</v>
      </c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>
        <v>20</v>
      </c>
      <c r="AO91" s="271">
        <v>240</v>
      </c>
      <c r="AP91" s="271">
        <v>240</v>
      </c>
      <c r="AQ91" s="272">
        <f t="shared" si="9"/>
        <v>40</v>
      </c>
      <c r="AR91" s="272">
        <f t="shared" si="9"/>
        <v>480</v>
      </c>
      <c r="AS91" s="272">
        <f t="shared" si="9"/>
        <v>480</v>
      </c>
      <c r="AT91" s="357"/>
      <c r="AU91" s="357"/>
      <c r="AV91" s="357"/>
      <c r="AW91" s="357"/>
      <c r="AX91" s="357"/>
      <c r="AY91" s="357"/>
      <c r="AZ91" s="357"/>
      <c r="BA91" s="357"/>
      <c r="BB91" s="357"/>
      <c r="BC91" s="357"/>
      <c r="BD91" s="357"/>
      <c r="BE91" s="357"/>
      <c r="BF91" s="357"/>
      <c r="BG91" s="357"/>
      <c r="BH91" s="357"/>
      <c r="BI91" s="357"/>
      <c r="BJ91" s="357"/>
      <c r="BK91" s="357"/>
      <c r="BL91" s="357">
        <v>20</v>
      </c>
      <c r="BM91" s="357">
        <v>260</v>
      </c>
      <c r="BN91" s="357">
        <v>209.6</v>
      </c>
      <c r="BO91" s="357"/>
      <c r="BP91" s="357"/>
      <c r="BQ91" s="357"/>
      <c r="BR91" s="357"/>
      <c r="BS91" s="357"/>
      <c r="BT91" s="357"/>
      <c r="BU91" s="357"/>
      <c r="BV91" s="357"/>
      <c r="BW91" s="357"/>
      <c r="BX91" s="272">
        <f t="shared" si="7"/>
        <v>60</v>
      </c>
      <c r="BY91" s="272">
        <f t="shared" si="7"/>
        <v>740</v>
      </c>
      <c r="BZ91" s="272">
        <f t="shared" si="8"/>
        <v>689.6</v>
      </c>
      <c r="CA91" s="273"/>
      <c r="CB91" s="273"/>
      <c r="CC91" s="273"/>
      <c r="CD91" s="273"/>
      <c r="CE91" s="273"/>
      <c r="CF91" s="273"/>
      <c r="CG91" s="273"/>
      <c r="CH91" s="273"/>
      <c r="CI91" s="273"/>
      <c r="CJ91" s="273"/>
      <c r="CK91" s="273"/>
      <c r="CL91" s="273"/>
      <c r="CM91" s="273"/>
      <c r="CN91" s="273"/>
      <c r="CO91" s="273"/>
      <c r="CP91" s="273"/>
      <c r="CQ91" s="273"/>
      <c r="CR91" s="273"/>
      <c r="CS91" s="273"/>
      <c r="CT91" s="273"/>
      <c r="CU91" s="273"/>
      <c r="CV91" s="273">
        <v>13</v>
      </c>
      <c r="CW91" s="273">
        <v>156</v>
      </c>
      <c r="CX91" s="273">
        <v>156</v>
      </c>
      <c r="CY91" s="273"/>
      <c r="CZ91" s="273"/>
      <c r="DA91" s="273"/>
      <c r="DB91" s="273"/>
      <c r="DC91" s="273"/>
      <c r="DD91" s="273"/>
      <c r="DE91" s="273"/>
      <c r="DF91" s="271"/>
      <c r="DG91" s="271"/>
      <c r="DH91" s="272">
        <f t="shared" si="6"/>
        <v>73</v>
      </c>
      <c r="DI91" s="272">
        <f t="shared" si="6"/>
        <v>896</v>
      </c>
      <c r="DJ91" s="324">
        <f t="shared" si="6"/>
        <v>845.6</v>
      </c>
      <c r="DK91" s="325"/>
      <c r="DL91" s="325"/>
    </row>
    <row r="92" spans="1:116" s="275" customFormat="1" ht="20.100000000000001" customHeight="1" x14ac:dyDescent="0.6">
      <c r="A92" s="234">
        <v>89</v>
      </c>
      <c r="B92" s="103" t="s">
        <v>153</v>
      </c>
      <c r="C92" s="185" t="s">
        <v>154</v>
      </c>
      <c r="D92" s="103" t="s">
        <v>581</v>
      </c>
      <c r="E92" s="148" t="s">
        <v>532</v>
      </c>
      <c r="F92" s="328" t="s">
        <v>572</v>
      </c>
      <c r="G92" s="322"/>
      <c r="H92" s="323"/>
      <c r="I92" s="322" t="s">
        <v>1030</v>
      </c>
      <c r="J92" s="322" t="s">
        <v>1023</v>
      </c>
      <c r="K92" s="241"/>
      <c r="L92" s="241"/>
      <c r="M92" s="271"/>
      <c r="N92" s="271"/>
      <c r="O92" s="271"/>
      <c r="P92" s="271">
        <v>25</v>
      </c>
      <c r="Q92" s="271">
        <v>580</v>
      </c>
      <c r="R92" s="271">
        <v>320</v>
      </c>
      <c r="S92" s="271">
        <v>4</v>
      </c>
      <c r="T92" s="271">
        <v>104</v>
      </c>
      <c r="U92" s="271">
        <v>52</v>
      </c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>
        <v>20</v>
      </c>
      <c r="AO92" s="271">
        <v>240</v>
      </c>
      <c r="AP92" s="271">
        <v>240</v>
      </c>
      <c r="AQ92" s="272">
        <f t="shared" si="9"/>
        <v>49</v>
      </c>
      <c r="AR92" s="272">
        <f t="shared" si="9"/>
        <v>924</v>
      </c>
      <c r="AS92" s="272">
        <f t="shared" si="9"/>
        <v>612</v>
      </c>
      <c r="AT92" s="356">
        <v>0.5</v>
      </c>
      <c r="AU92" s="356">
        <v>6</v>
      </c>
      <c r="AV92" s="356">
        <v>4.2</v>
      </c>
      <c r="AW92" s="356"/>
      <c r="AX92" s="356"/>
      <c r="AY92" s="356"/>
      <c r="AZ92" s="356">
        <v>0.749</v>
      </c>
      <c r="BA92" s="356">
        <v>12</v>
      </c>
      <c r="BB92" s="356">
        <v>6.3</v>
      </c>
      <c r="BC92" s="356">
        <v>4.6660000000000004</v>
      </c>
      <c r="BD92" s="356">
        <v>68</v>
      </c>
      <c r="BE92" s="356">
        <v>46.16</v>
      </c>
      <c r="BF92" s="356"/>
      <c r="BG92" s="356"/>
      <c r="BH92" s="356"/>
      <c r="BI92" s="356"/>
      <c r="BJ92" s="356"/>
      <c r="BK92" s="356"/>
      <c r="BL92" s="356">
        <v>17</v>
      </c>
      <c r="BM92" s="356">
        <v>204</v>
      </c>
      <c r="BN92" s="356">
        <v>200.16</v>
      </c>
      <c r="BO92" s="356"/>
      <c r="BP92" s="356"/>
      <c r="BQ92" s="356"/>
      <c r="BR92" s="356">
        <v>1.167</v>
      </c>
      <c r="BS92" s="356">
        <v>14</v>
      </c>
      <c r="BT92" s="356">
        <v>13.4</v>
      </c>
      <c r="BU92" s="356"/>
      <c r="BV92" s="356"/>
      <c r="BW92" s="356"/>
      <c r="BX92" s="272">
        <f t="shared" si="7"/>
        <v>73.081999999999994</v>
      </c>
      <c r="BY92" s="272">
        <f t="shared" si="7"/>
        <v>1228</v>
      </c>
      <c r="BZ92" s="272">
        <f t="shared" si="8"/>
        <v>882.21999999999991</v>
      </c>
      <c r="CA92" s="273"/>
      <c r="CB92" s="273"/>
      <c r="CC92" s="273"/>
      <c r="CD92" s="273"/>
      <c r="CE92" s="273"/>
      <c r="CF92" s="273"/>
      <c r="CG92" s="273"/>
      <c r="CH92" s="273"/>
      <c r="CI92" s="273"/>
      <c r="CJ92" s="273"/>
      <c r="CK92" s="273"/>
      <c r="CL92" s="273"/>
      <c r="CM92" s="273"/>
      <c r="CN92" s="273"/>
      <c r="CO92" s="273"/>
      <c r="CP92" s="273">
        <v>10</v>
      </c>
      <c r="CQ92" s="273">
        <v>140</v>
      </c>
      <c r="CR92" s="273">
        <v>89.6</v>
      </c>
      <c r="CS92" s="273"/>
      <c r="CT92" s="273"/>
      <c r="CU92" s="273"/>
      <c r="CV92" s="273"/>
      <c r="CW92" s="273"/>
      <c r="CX92" s="273"/>
      <c r="CY92" s="273"/>
      <c r="CZ92" s="273"/>
      <c r="DA92" s="273"/>
      <c r="DB92" s="273"/>
      <c r="DC92" s="273"/>
      <c r="DD92" s="273"/>
      <c r="DE92" s="273"/>
      <c r="DF92" s="271"/>
      <c r="DG92" s="271"/>
      <c r="DH92" s="272">
        <f t="shared" si="6"/>
        <v>83.081999999999994</v>
      </c>
      <c r="DI92" s="272">
        <f t="shared" si="6"/>
        <v>1368</v>
      </c>
      <c r="DJ92" s="324">
        <f t="shared" si="6"/>
        <v>971.81999999999994</v>
      </c>
      <c r="DK92" s="325"/>
      <c r="DL92" s="325"/>
    </row>
    <row r="93" spans="1:116" s="275" customFormat="1" ht="20.100000000000001" customHeight="1" x14ac:dyDescent="0.6">
      <c r="A93" s="234">
        <v>90</v>
      </c>
      <c r="B93" s="103" t="s">
        <v>582</v>
      </c>
      <c r="C93" s="185" t="s">
        <v>583</v>
      </c>
      <c r="D93" s="103" t="s">
        <v>161</v>
      </c>
      <c r="E93" s="148" t="s">
        <v>61</v>
      </c>
      <c r="F93" s="328" t="s">
        <v>572</v>
      </c>
      <c r="G93" s="322"/>
      <c r="H93" s="323"/>
      <c r="I93" s="322" t="s">
        <v>1031</v>
      </c>
      <c r="J93" s="322" t="s">
        <v>1023</v>
      </c>
      <c r="K93" s="241"/>
      <c r="L93" s="241"/>
      <c r="M93" s="271"/>
      <c r="N93" s="271"/>
      <c r="O93" s="271"/>
      <c r="P93" s="271">
        <v>30</v>
      </c>
      <c r="Q93" s="271">
        <v>380</v>
      </c>
      <c r="R93" s="271">
        <v>329.6</v>
      </c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>
        <v>40</v>
      </c>
      <c r="AO93" s="271">
        <v>520</v>
      </c>
      <c r="AP93" s="271">
        <v>419.2</v>
      </c>
      <c r="AQ93" s="272">
        <f t="shared" si="9"/>
        <v>70</v>
      </c>
      <c r="AR93" s="272">
        <f t="shared" si="9"/>
        <v>900</v>
      </c>
      <c r="AS93" s="272">
        <f t="shared" si="9"/>
        <v>748.8</v>
      </c>
      <c r="AT93" s="357">
        <v>1</v>
      </c>
      <c r="AU93" s="357">
        <v>12</v>
      </c>
      <c r="AV93" s="357">
        <v>12</v>
      </c>
      <c r="AW93" s="357"/>
      <c r="AX93" s="357"/>
      <c r="AY93" s="357"/>
      <c r="AZ93" s="357"/>
      <c r="BA93" s="357"/>
      <c r="BB93" s="357"/>
      <c r="BC93" s="357"/>
      <c r="BD93" s="357"/>
      <c r="BE93" s="357"/>
      <c r="BF93" s="357"/>
      <c r="BG93" s="357"/>
      <c r="BH93" s="357"/>
      <c r="BI93" s="357"/>
      <c r="BJ93" s="357"/>
      <c r="BK93" s="357"/>
      <c r="BL93" s="357">
        <v>50</v>
      </c>
      <c r="BM93" s="357">
        <v>600</v>
      </c>
      <c r="BN93" s="357">
        <v>600</v>
      </c>
      <c r="BO93" s="357"/>
      <c r="BP93" s="357"/>
      <c r="BQ93" s="357"/>
      <c r="BR93" s="357"/>
      <c r="BS93" s="357"/>
      <c r="BT93" s="357"/>
      <c r="BU93" s="357"/>
      <c r="BV93" s="357"/>
      <c r="BW93" s="357"/>
      <c r="BX93" s="272">
        <f t="shared" si="7"/>
        <v>121</v>
      </c>
      <c r="BY93" s="272">
        <f t="shared" si="7"/>
        <v>1512</v>
      </c>
      <c r="BZ93" s="272">
        <f t="shared" si="8"/>
        <v>1360.8</v>
      </c>
      <c r="CA93" s="273"/>
      <c r="CB93" s="273"/>
      <c r="CC93" s="273"/>
      <c r="CD93" s="273"/>
      <c r="CE93" s="273"/>
      <c r="CF93" s="273"/>
      <c r="CG93" s="273"/>
      <c r="CH93" s="273"/>
      <c r="CI93" s="273"/>
      <c r="CJ93" s="273"/>
      <c r="CK93" s="273"/>
      <c r="CL93" s="273"/>
      <c r="CM93" s="273"/>
      <c r="CN93" s="273"/>
      <c r="CO93" s="273"/>
      <c r="CP93" s="273"/>
      <c r="CQ93" s="273"/>
      <c r="CR93" s="273"/>
      <c r="CS93" s="273"/>
      <c r="CT93" s="273"/>
      <c r="CU93" s="273"/>
      <c r="CV93" s="273"/>
      <c r="CW93" s="273"/>
      <c r="CX93" s="273"/>
      <c r="CY93" s="273"/>
      <c r="CZ93" s="273"/>
      <c r="DA93" s="273"/>
      <c r="DB93" s="273"/>
      <c r="DC93" s="273"/>
      <c r="DD93" s="273"/>
      <c r="DE93" s="273"/>
      <c r="DF93" s="271"/>
      <c r="DG93" s="271"/>
      <c r="DH93" s="272">
        <f t="shared" si="6"/>
        <v>121</v>
      </c>
      <c r="DI93" s="272">
        <f t="shared" si="6"/>
        <v>1512</v>
      </c>
      <c r="DJ93" s="324">
        <f t="shared" si="6"/>
        <v>1360.8</v>
      </c>
      <c r="DK93" s="325"/>
      <c r="DL93" s="325"/>
    </row>
    <row r="94" spans="1:116" s="275" customFormat="1" ht="20.100000000000001" customHeight="1" x14ac:dyDescent="0.6">
      <c r="A94" s="234">
        <v>91</v>
      </c>
      <c r="B94" s="103" t="s">
        <v>584</v>
      </c>
      <c r="C94" s="185" t="s">
        <v>585</v>
      </c>
      <c r="D94" s="103" t="s">
        <v>571</v>
      </c>
      <c r="E94" s="148" t="s">
        <v>586</v>
      </c>
      <c r="F94" s="328" t="s">
        <v>572</v>
      </c>
      <c r="G94" s="322"/>
      <c r="H94" s="323"/>
      <c r="I94" s="322" t="s">
        <v>1032</v>
      </c>
      <c r="J94" s="322" t="s">
        <v>1023</v>
      </c>
      <c r="K94" s="241"/>
      <c r="L94" s="241"/>
      <c r="M94" s="271"/>
      <c r="N94" s="271"/>
      <c r="O94" s="271"/>
      <c r="P94" s="271">
        <v>40</v>
      </c>
      <c r="Q94" s="271">
        <v>480</v>
      </c>
      <c r="R94" s="271">
        <v>480</v>
      </c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>
        <v>1</v>
      </c>
      <c r="AF94" s="271">
        <v>40</v>
      </c>
      <c r="AG94" s="271">
        <v>14</v>
      </c>
      <c r="AH94" s="271"/>
      <c r="AI94" s="271"/>
      <c r="AJ94" s="271"/>
      <c r="AK94" s="271"/>
      <c r="AL94" s="271"/>
      <c r="AM94" s="271"/>
      <c r="AN94" s="271">
        <v>40</v>
      </c>
      <c r="AO94" s="271">
        <v>480</v>
      </c>
      <c r="AP94" s="271">
        <v>480</v>
      </c>
      <c r="AQ94" s="272">
        <f t="shared" si="9"/>
        <v>81</v>
      </c>
      <c r="AR94" s="272">
        <f t="shared" si="9"/>
        <v>1000</v>
      </c>
      <c r="AS94" s="272">
        <f t="shared" si="9"/>
        <v>974</v>
      </c>
      <c r="AT94" s="356"/>
      <c r="AU94" s="356"/>
      <c r="AV94" s="356"/>
      <c r="AW94" s="356"/>
      <c r="AX94" s="356"/>
      <c r="AY94" s="356"/>
      <c r="AZ94" s="356"/>
      <c r="BA94" s="356"/>
      <c r="BB94" s="356"/>
      <c r="BC94" s="356"/>
      <c r="BD94" s="356"/>
      <c r="BE94" s="356"/>
      <c r="BF94" s="356"/>
      <c r="BG94" s="356"/>
      <c r="BH94" s="356"/>
      <c r="BI94" s="356">
        <v>60</v>
      </c>
      <c r="BJ94" s="356">
        <v>720</v>
      </c>
      <c r="BK94" s="356">
        <v>720</v>
      </c>
      <c r="BL94" s="356"/>
      <c r="BM94" s="356"/>
      <c r="BN94" s="356"/>
      <c r="BO94" s="356"/>
      <c r="BP94" s="356"/>
      <c r="BQ94" s="356"/>
      <c r="BR94" s="356"/>
      <c r="BS94" s="356"/>
      <c r="BT94" s="356"/>
      <c r="BU94" s="356"/>
      <c r="BV94" s="356"/>
      <c r="BW94" s="356"/>
      <c r="BX94" s="272">
        <f t="shared" si="7"/>
        <v>141</v>
      </c>
      <c r="BY94" s="272">
        <f t="shared" si="7"/>
        <v>1720</v>
      </c>
      <c r="BZ94" s="272">
        <f t="shared" si="8"/>
        <v>1694</v>
      </c>
      <c r="CA94" s="273"/>
      <c r="CB94" s="273"/>
      <c r="CC94" s="273"/>
      <c r="CD94" s="273"/>
      <c r="CE94" s="273"/>
      <c r="CF94" s="273"/>
      <c r="CG94" s="273"/>
      <c r="CH94" s="273"/>
      <c r="CI94" s="273"/>
      <c r="CJ94" s="273"/>
      <c r="CK94" s="273"/>
      <c r="CL94" s="273"/>
      <c r="CM94" s="273"/>
      <c r="CN94" s="273"/>
      <c r="CO94" s="273"/>
      <c r="CP94" s="273"/>
      <c r="CQ94" s="273"/>
      <c r="CR94" s="273"/>
      <c r="CS94" s="273">
        <v>40</v>
      </c>
      <c r="CT94" s="273">
        <v>480</v>
      </c>
      <c r="CU94" s="273">
        <v>480</v>
      </c>
      <c r="CV94" s="273"/>
      <c r="CW94" s="273"/>
      <c r="CX94" s="273"/>
      <c r="CY94" s="273"/>
      <c r="CZ94" s="273"/>
      <c r="DA94" s="273"/>
      <c r="DB94" s="273"/>
      <c r="DC94" s="273"/>
      <c r="DD94" s="273"/>
      <c r="DE94" s="273"/>
      <c r="DF94" s="271"/>
      <c r="DG94" s="271"/>
      <c r="DH94" s="272">
        <f t="shared" si="6"/>
        <v>181</v>
      </c>
      <c r="DI94" s="272">
        <f t="shared" si="6"/>
        <v>2200</v>
      </c>
      <c r="DJ94" s="324">
        <f t="shared" si="6"/>
        <v>2174</v>
      </c>
      <c r="DK94" s="325"/>
      <c r="DL94" s="325"/>
    </row>
    <row r="95" spans="1:116" s="275" customFormat="1" ht="20.100000000000001" customHeight="1" x14ac:dyDescent="0.6">
      <c r="A95" s="234">
        <v>92</v>
      </c>
      <c r="B95" s="330" t="s">
        <v>587</v>
      </c>
      <c r="C95" s="330" t="s">
        <v>588</v>
      </c>
      <c r="D95" s="330" t="s">
        <v>589</v>
      </c>
      <c r="E95" s="330" t="s">
        <v>590</v>
      </c>
      <c r="F95" s="328" t="s">
        <v>591</v>
      </c>
      <c r="G95" s="322"/>
      <c r="H95" s="323"/>
      <c r="I95" s="322" t="s">
        <v>1033</v>
      </c>
      <c r="J95" s="322" t="s">
        <v>1023</v>
      </c>
      <c r="K95" s="241"/>
      <c r="L95" s="241"/>
      <c r="M95" s="271"/>
      <c r="N95" s="271"/>
      <c r="O95" s="271"/>
      <c r="P95" s="271">
        <v>2</v>
      </c>
      <c r="Q95" s="271">
        <v>80</v>
      </c>
      <c r="R95" s="271">
        <v>28</v>
      </c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>
        <v>5</v>
      </c>
      <c r="AL95" s="271">
        <v>60</v>
      </c>
      <c r="AM95" s="271">
        <v>60</v>
      </c>
      <c r="AN95" s="271"/>
      <c r="AO95" s="271"/>
      <c r="AP95" s="271"/>
      <c r="AQ95" s="272">
        <f t="shared" si="9"/>
        <v>7</v>
      </c>
      <c r="AR95" s="272">
        <f t="shared" si="9"/>
        <v>140</v>
      </c>
      <c r="AS95" s="272">
        <f t="shared" si="9"/>
        <v>88</v>
      </c>
      <c r="AT95" s="357"/>
      <c r="AU95" s="357"/>
      <c r="AV95" s="357"/>
      <c r="AW95" s="357"/>
      <c r="AX95" s="357"/>
      <c r="AY95" s="357"/>
      <c r="AZ95" s="357"/>
      <c r="BA95" s="357"/>
      <c r="BB95" s="357"/>
      <c r="BC95" s="357"/>
      <c r="BD95" s="357"/>
      <c r="BE95" s="357"/>
      <c r="BF95" s="357"/>
      <c r="BG95" s="357"/>
      <c r="BH95" s="357"/>
      <c r="BI95" s="357">
        <v>8</v>
      </c>
      <c r="BJ95" s="357">
        <v>124</v>
      </c>
      <c r="BK95" s="357">
        <v>88.4</v>
      </c>
      <c r="BL95" s="357"/>
      <c r="BM95" s="357"/>
      <c r="BN95" s="357"/>
      <c r="BO95" s="357"/>
      <c r="BP95" s="357"/>
      <c r="BQ95" s="357"/>
      <c r="BR95" s="357"/>
      <c r="BS95" s="357"/>
      <c r="BT95" s="357"/>
      <c r="BU95" s="357"/>
      <c r="BV95" s="357"/>
      <c r="BW95" s="357"/>
      <c r="BX95" s="272">
        <f t="shared" si="7"/>
        <v>15</v>
      </c>
      <c r="BY95" s="272">
        <f t="shared" si="7"/>
        <v>264</v>
      </c>
      <c r="BZ95" s="272">
        <f t="shared" si="8"/>
        <v>176.4</v>
      </c>
      <c r="CA95" s="273"/>
      <c r="CB95" s="273"/>
      <c r="CC95" s="273"/>
      <c r="CD95" s="273"/>
      <c r="CE95" s="273"/>
      <c r="CF95" s="273"/>
      <c r="CG95" s="273">
        <v>5</v>
      </c>
      <c r="CH95" s="273">
        <v>60</v>
      </c>
      <c r="CI95" s="273">
        <v>60</v>
      </c>
      <c r="CJ95" s="273"/>
      <c r="CK95" s="273"/>
      <c r="CL95" s="273"/>
      <c r="CM95" s="273"/>
      <c r="CN95" s="273"/>
      <c r="CO95" s="273"/>
      <c r="CP95" s="273"/>
      <c r="CQ95" s="273"/>
      <c r="CR95" s="273"/>
      <c r="CS95" s="273">
        <v>5</v>
      </c>
      <c r="CT95" s="273">
        <v>60</v>
      </c>
      <c r="CU95" s="273">
        <v>60</v>
      </c>
      <c r="CV95" s="273"/>
      <c r="CW95" s="273"/>
      <c r="CX95" s="273"/>
      <c r="CY95" s="273"/>
      <c r="CZ95" s="273"/>
      <c r="DA95" s="273"/>
      <c r="DB95" s="273"/>
      <c r="DC95" s="273"/>
      <c r="DD95" s="273"/>
      <c r="DE95" s="273"/>
      <c r="DF95" s="271"/>
      <c r="DG95" s="271"/>
      <c r="DH95" s="272">
        <f t="shared" si="6"/>
        <v>25</v>
      </c>
      <c r="DI95" s="272">
        <f t="shared" si="6"/>
        <v>384</v>
      </c>
      <c r="DJ95" s="324">
        <f t="shared" si="6"/>
        <v>296.39999999999998</v>
      </c>
      <c r="DK95" s="325"/>
      <c r="DL95" s="325"/>
    </row>
    <row r="96" spans="1:116" s="275" customFormat="1" ht="20.100000000000001" customHeight="1" x14ac:dyDescent="0.6">
      <c r="A96" s="234">
        <v>93</v>
      </c>
      <c r="B96" s="103" t="s">
        <v>592</v>
      </c>
      <c r="C96" s="185" t="s">
        <v>593</v>
      </c>
      <c r="D96" s="103" t="s">
        <v>589</v>
      </c>
      <c r="E96" s="148" t="s">
        <v>590</v>
      </c>
      <c r="F96" s="328" t="s">
        <v>591</v>
      </c>
      <c r="G96" s="322"/>
      <c r="H96" s="323"/>
      <c r="I96" s="322" t="s">
        <v>1034</v>
      </c>
      <c r="J96" s="322" t="s">
        <v>1023</v>
      </c>
      <c r="K96" s="241"/>
      <c r="L96" s="241"/>
      <c r="M96" s="271"/>
      <c r="N96" s="271"/>
      <c r="O96" s="271"/>
      <c r="P96" s="271">
        <v>2</v>
      </c>
      <c r="Q96" s="271">
        <v>80</v>
      </c>
      <c r="R96" s="271">
        <v>28</v>
      </c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>
        <v>5</v>
      </c>
      <c r="AL96" s="271">
        <v>60</v>
      </c>
      <c r="AM96" s="271">
        <v>60</v>
      </c>
      <c r="AN96" s="271"/>
      <c r="AO96" s="271"/>
      <c r="AP96" s="271"/>
      <c r="AQ96" s="272">
        <f t="shared" si="9"/>
        <v>7</v>
      </c>
      <c r="AR96" s="272">
        <f t="shared" si="9"/>
        <v>140</v>
      </c>
      <c r="AS96" s="272">
        <f t="shared" si="9"/>
        <v>88</v>
      </c>
      <c r="AT96" s="357"/>
      <c r="AU96" s="357"/>
      <c r="AV96" s="357"/>
      <c r="AW96" s="357"/>
      <c r="AX96" s="357"/>
      <c r="AY96" s="357"/>
      <c r="AZ96" s="357"/>
      <c r="BA96" s="357"/>
      <c r="BB96" s="357"/>
      <c r="BC96" s="357">
        <v>10</v>
      </c>
      <c r="BD96" s="357">
        <v>120</v>
      </c>
      <c r="BE96" s="357">
        <v>120</v>
      </c>
      <c r="BF96" s="357"/>
      <c r="BG96" s="357"/>
      <c r="BH96" s="357"/>
      <c r="BI96" s="357">
        <v>2</v>
      </c>
      <c r="BJ96" s="357">
        <v>80</v>
      </c>
      <c r="BK96" s="357">
        <v>28</v>
      </c>
      <c r="BL96" s="357"/>
      <c r="BM96" s="357"/>
      <c r="BN96" s="357"/>
      <c r="BO96" s="357"/>
      <c r="BP96" s="357"/>
      <c r="BQ96" s="357"/>
      <c r="BR96" s="357"/>
      <c r="BS96" s="357"/>
      <c r="BT96" s="357"/>
      <c r="BU96" s="357"/>
      <c r="BV96" s="357"/>
      <c r="BW96" s="357"/>
      <c r="BX96" s="272">
        <f t="shared" si="7"/>
        <v>19</v>
      </c>
      <c r="BY96" s="272">
        <f t="shared" si="7"/>
        <v>340</v>
      </c>
      <c r="BZ96" s="272">
        <f t="shared" si="8"/>
        <v>236</v>
      </c>
      <c r="CA96" s="273"/>
      <c r="CB96" s="273"/>
      <c r="CC96" s="273"/>
      <c r="CD96" s="273"/>
      <c r="CE96" s="273"/>
      <c r="CF96" s="273"/>
      <c r="CG96" s="273">
        <v>5</v>
      </c>
      <c r="CH96" s="273">
        <v>60</v>
      </c>
      <c r="CI96" s="273">
        <v>60</v>
      </c>
      <c r="CJ96" s="273"/>
      <c r="CK96" s="273"/>
      <c r="CL96" s="273"/>
      <c r="CM96" s="273"/>
      <c r="CN96" s="273"/>
      <c r="CO96" s="273"/>
      <c r="CP96" s="273"/>
      <c r="CQ96" s="273"/>
      <c r="CR96" s="273"/>
      <c r="CS96" s="273">
        <v>6</v>
      </c>
      <c r="CT96" s="273">
        <v>100</v>
      </c>
      <c r="CU96" s="273">
        <v>74</v>
      </c>
      <c r="CV96" s="273"/>
      <c r="CW96" s="273"/>
      <c r="CX96" s="273"/>
      <c r="CY96" s="273"/>
      <c r="CZ96" s="273"/>
      <c r="DA96" s="273"/>
      <c r="DB96" s="273"/>
      <c r="DC96" s="273"/>
      <c r="DD96" s="273"/>
      <c r="DE96" s="273"/>
      <c r="DF96" s="271"/>
      <c r="DG96" s="271"/>
      <c r="DH96" s="272">
        <f t="shared" si="6"/>
        <v>30</v>
      </c>
      <c r="DI96" s="272">
        <f t="shared" si="6"/>
        <v>500</v>
      </c>
      <c r="DJ96" s="324">
        <f t="shared" si="6"/>
        <v>370</v>
      </c>
      <c r="DK96" s="325"/>
      <c r="DL96" s="325"/>
    </row>
    <row r="97" spans="1:116" s="275" customFormat="1" ht="20.100000000000001" customHeight="1" x14ac:dyDescent="0.6">
      <c r="A97" s="234">
        <v>94</v>
      </c>
      <c r="B97" s="103" t="s">
        <v>594</v>
      </c>
      <c r="C97" s="103" t="s">
        <v>595</v>
      </c>
      <c r="D97" s="103" t="s">
        <v>589</v>
      </c>
      <c r="E97" s="148" t="s">
        <v>590</v>
      </c>
      <c r="F97" s="179" t="s">
        <v>591</v>
      </c>
      <c r="G97" s="322"/>
      <c r="H97" s="323"/>
      <c r="I97" s="322" t="s">
        <v>1035</v>
      </c>
      <c r="J97" s="322" t="s">
        <v>1023</v>
      </c>
      <c r="K97" s="241"/>
      <c r="L97" s="24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>
        <v>6</v>
      </c>
      <c r="AL97" s="271">
        <v>84</v>
      </c>
      <c r="AM97" s="271">
        <v>53.76</v>
      </c>
      <c r="AN97" s="271"/>
      <c r="AO97" s="271"/>
      <c r="AP97" s="271"/>
      <c r="AQ97" s="272">
        <f t="shared" si="9"/>
        <v>6</v>
      </c>
      <c r="AR97" s="272">
        <f t="shared" si="9"/>
        <v>84</v>
      </c>
      <c r="AS97" s="272">
        <f t="shared" si="9"/>
        <v>53.76</v>
      </c>
      <c r="AT97" s="357"/>
      <c r="AU97" s="357"/>
      <c r="AV97" s="357"/>
      <c r="AW97" s="357"/>
      <c r="AX97" s="357"/>
      <c r="AY97" s="357"/>
      <c r="AZ97" s="357"/>
      <c r="BA97" s="357"/>
      <c r="BB97" s="357"/>
      <c r="BC97" s="357"/>
      <c r="BD97" s="357"/>
      <c r="BE97" s="357"/>
      <c r="BF97" s="357"/>
      <c r="BG97" s="357"/>
      <c r="BH97" s="357"/>
      <c r="BI97" s="357">
        <v>7</v>
      </c>
      <c r="BJ97" s="357">
        <v>98</v>
      </c>
      <c r="BK97" s="357">
        <v>62.72</v>
      </c>
      <c r="BL97" s="357"/>
      <c r="BM97" s="357"/>
      <c r="BN97" s="357"/>
      <c r="BO97" s="357"/>
      <c r="BP97" s="357"/>
      <c r="BQ97" s="357"/>
      <c r="BR97" s="357"/>
      <c r="BS97" s="357"/>
      <c r="BT97" s="357"/>
      <c r="BU97" s="357"/>
      <c r="BV97" s="357"/>
      <c r="BW97" s="357"/>
      <c r="BX97" s="272">
        <f t="shared" si="7"/>
        <v>13</v>
      </c>
      <c r="BY97" s="272">
        <f t="shared" si="7"/>
        <v>182</v>
      </c>
      <c r="BZ97" s="272">
        <f t="shared" si="8"/>
        <v>116.47999999999999</v>
      </c>
      <c r="CA97" s="273"/>
      <c r="CB97" s="273"/>
      <c r="CC97" s="273"/>
      <c r="CD97" s="273"/>
      <c r="CE97" s="273"/>
      <c r="CF97" s="273"/>
      <c r="CG97" s="273">
        <v>6</v>
      </c>
      <c r="CH97" s="273">
        <v>84</v>
      </c>
      <c r="CI97" s="273">
        <v>53.76</v>
      </c>
      <c r="CJ97" s="273"/>
      <c r="CK97" s="273"/>
      <c r="CL97" s="273"/>
      <c r="CM97" s="273"/>
      <c r="CN97" s="273"/>
      <c r="CO97" s="273"/>
      <c r="CP97" s="273"/>
      <c r="CQ97" s="273"/>
      <c r="CR97" s="273"/>
      <c r="CS97" s="273"/>
      <c r="CT97" s="273"/>
      <c r="CU97" s="273"/>
      <c r="CV97" s="273"/>
      <c r="CW97" s="273"/>
      <c r="CX97" s="273"/>
      <c r="CY97" s="273"/>
      <c r="CZ97" s="273"/>
      <c r="DA97" s="273"/>
      <c r="DB97" s="273"/>
      <c r="DC97" s="273"/>
      <c r="DD97" s="273"/>
      <c r="DE97" s="273"/>
      <c r="DF97" s="271"/>
      <c r="DG97" s="271"/>
      <c r="DH97" s="272">
        <f t="shared" si="6"/>
        <v>19</v>
      </c>
      <c r="DI97" s="272">
        <f t="shared" si="6"/>
        <v>266</v>
      </c>
      <c r="DJ97" s="324">
        <f t="shared" si="6"/>
        <v>170.23999999999998</v>
      </c>
      <c r="DK97" s="325"/>
      <c r="DL97" s="325"/>
    </row>
    <row r="98" spans="1:116" s="275" customFormat="1" ht="20.100000000000001" customHeight="1" x14ac:dyDescent="0.6">
      <c r="A98" s="234">
        <v>95</v>
      </c>
      <c r="B98" s="103" t="s">
        <v>596</v>
      </c>
      <c r="C98" s="103" t="s">
        <v>597</v>
      </c>
      <c r="D98" s="103" t="s">
        <v>589</v>
      </c>
      <c r="E98" s="148" t="s">
        <v>590</v>
      </c>
      <c r="F98" s="179" t="s">
        <v>591</v>
      </c>
      <c r="G98" s="322"/>
      <c r="H98" s="323"/>
      <c r="I98" s="322" t="s">
        <v>1036</v>
      </c>
      <c r="J98" s="322" t="s">
        <v>1023</v>
      </c>
      <c r="K98" s="241"/>
      <c r="L98" s="241"/>
      <c r="M98" s="271"/>
      <c r="N98" s="271"/>
      <c r="O98" s="271"/>
      <c r="P98" s="271">
        <v>3</v>
      </c>
      <c r="Q98" s="271">
        <v>36</v>
      </c>
      <c r="R98" s="271">
        <v>21.6</v>
      </c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>
        <v>34</v>
      </c>
      <c r="AL98" s="271">
        <v>554</v>
      </c>
      <c r="AM98" s="271">
        <v>467.2</v>
      </c>
      <c r="AN98" s="271"/>
      <c r="AO98" s="271"/>
      <c r="AP98" s="271"/>
      <c r="AQ98" s="272">
        <f t="shared" si="9"/>
        <v>37</v>
      </c>
      <c r="AR98" s="272">
        <f t="shared" si="9"/>
        <v>590</v>
      </c>
      <c r="AS98" s="272">
        <f t="shared" si="9"/>
        <v>488.8</v>
      </c>
      <c r="AT98" s="357"/>
      <c r="AU98" s="357"/>
      <c r="AV98" s="357"/>
      <c r="AW98" s="357"/>
      <c r="AX98" s="357"/>
      <c r="AY98" s="357"/>
      <c r="AZ98" s="357"/>
      <c r="BA98" s="357"/>
      <c r="BB98" s="357"/>
      <c r="BC98" s="357">
        <v>5</v>
      </c>
      <c r="BD98" s="357">
        <v>100</v>
      </c>
      <c r="BE98" s="357">
        <v>100</v>
      </c>
      <c r="BF98" s="357"/>
      <c r="BG98" s="357"/>
      <c r="BH98" s="357"/>
      <c r="BI98" s="357">
        <v>29</v>
      </c>
      <c r="BJ98" s="357">
        <v>484</v>
      </c>
      <c r="BK98" s="357">
        <v>422.4</v>
      </c>
      <c r="BL98" s="357"/>
      <c r="BM98" s="357"/>
      <c r="BN98" s="357"/>
      <c r="BO98" s="357"/>
      <c r="BP98" s="357"/>
      <c r="BQ98" s="357"/>
      <c r="BR98" s="357"/>
      <c r="BS98" s="357"/>
      <c r="BT98" s="357"/>
      <c r="BU98" s="357"/>
      <c r="BV98" s="357"/>
      <c r="BW98" s="357"/>
      <c r="BX98" s="272">
        <f t="shared" si="7"/>
        <v>71</v>
      </c>
      <c r="BY98" s="272">
        <f t="shared" si="7"/>
        <v>1174</v>
      </c>
      <c r="BZ98" s="272">
        <f t="shared" si="8"/>
        <v>1011.1999999999999</v>
      </c>
      <c r="CA98" s="273"/>
      <c r="CB98" s="273"/>
      <c r="CC98" s="273"/>
      <c r="CD98" s="273"/>
      <c r="CE98" s="273"/>
      <c r="CF98" s="273"/>
      <c r="CG98" s="273">
        <v>35</v>
      </c>
      <c r="CH98" s="273">
        <v>584</v>
      </c>
      <c r="CI98" s="273">
        <v>496.4</v>
      </c>
      <c r="CJ98" s="273"/>
      <c r="CK98" s="273"/>
      <c r="CL98" s="273"/>
      <c r="CM98" s="273"/>
      <c r="CN98" s="273"/>
      <c r="CO98" s="273"/>
      <c r="CP98" s="273"/>
      <c r="CQ98" s="273"/>
      <c r="CR98" s="273"/>
      <c r="CS98" s="273"/>
      <c r="CT98" s="273"/>
      <c r="CU98" s="273"/>
      <c r="CV98" s="273"/>
      <c r="CW98" s="273"/>
      <c r="CX98" s="273"/>
      <c r="CY98" s="273"/>
      <c r="CZ98" s="273"/>
      <c r="DA98" s="273"/>
      <c r="DB98" s="273"/>
      <c r="DC98" s="273"/>
      <c r="DD98" s="273"/>
      <c r="DE98" s="273"/>
      <c r="DF98" s="271"/>
      <c r="DG98" s="271"/>
      <c r="DH98" s="272">
        <f t="shared" si="6"/>
        <v>106</v>
      </c>
      <c r="DI98" s="272">
        <f t="shared" si="6"/>
        <v>1758</v>
      </c>
      <c r="DJ98" s="324">
        <f t="shared" si="6"/>
        <v>1507.6</v>
      </c>
      <c r="DK98" s="325"/>
      <c r="DL98" s="325"/>
    </row>
    <row r="99" spans="1:116" s="275" customFormat="1" ht="20.100000000000001" customHeight="1" x14ac:dyDescent="0.6">
      <c r="A99" s="234">
        <v>96</v>
      </c>
      <c r="B99" s="103" t="s">
        <v>486</v>
      </c>
      <c r="C99" s="103" t="s">
        <v>487</v>
      </c>
      <c r="D99" s="103" t="s">
        <v>589</v>
      </c>
      <c r="E99" s="148" t="s">
        <v>590</v>
      </c>
      <c r="F99" s="179" t="s">
        <v>591</v>
      </c>
      <c r="G99" s="322"/>
      <c r="H99" s="323"/>
      <c r="I99" s="322" t="s">
        <v>1037</v>
      </c>
      <c r="J99" s="322" t="s">
        <v>1023</v>
      </c>
      <c r="K99" s="241"/>
      <c r="L99" s="241"/>
      <c r="M99" s="271"/>
      <c r="N99" s="271"/>
      <c r="O99" s="271"/>
      <c r="P99" s="271">
        <v>15</v>
      </c>
      <c r="Q99" s="271">
        <v>274</v>
      </c>
      <c r="R99" s="271">
        <v>156.4</v>
      </c>
      <c r="S99" s="271"/>
      <c r="T99" s="271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>
        <v>25</v>
      </c>
      <c r="AL99" s="271">
        <v>382</v>
      </c>
      <c r="AM99" s="271">
        <v>290.39999999999998</v>
      </c>
      <c r="AN99" s="271"/>
      <c r="AO99" s="271"/>
      <c r="AP99" s="271"/>
      <c r="AQ99" s="272">
        <f t="shared" si="9"/>
        <v>40</v>
      </c>
      <c r="AR99" s="272">
        <f t="shared" si="9"/>
        <v>656</v>
      </c>
      <c r="AS99" s="272">
        <f t="shared" si="9"/>
        <v>446.79999999999995</v>
      </c>
      <c r="AT99" s="357"/>
      <c r="AU99" s="357"/>
      <c r="AV99" s="357"/>
      <c r="AW99" s="357"/>
      <c r="AX99" s="357"/>
      <c r="AY99" s="357"/>
      <c r="AZ99" s="357"/>
      <c r="BA99" s="357"/>
      <c r="BB99" s="357"/>
      <c r="BC99" s="357"/>
      <c r="BD99" s="357"/>
      <c r="BE99" s="357"/>
      <c r="BF99" s="357"/>
      <c r="BG99" s="357"/>
      <c r="BH99" s="357"/>
      <c r="BI99" s="357">
        <v>28</v>
      </c>
      <c r="BJ99" s="357">
        <v>432</v>
      </c>
      <c r="BK99" s="357">
        <v>370.4</v>
      </c>
      <c r="BL99" s="357"/>
      <c r="BM99" s="357"/>
      <c r="BN99" s="357"/>
      <c r="BO99" s="357"/>
      <c r="BP99" s="357"/>
      <c r="BQ99" s="357"/>
      <c r="BR99" s="357"/>
      <c r="BS99" s="357"/>
      <c r="BT99" s="357"/>
      <c r="BU99" s="357"/>
      <c r="BV99" s="357"/>
      <c r="BW99" s="357"/>
      <c r="BX99" s="272">
        <f t="shared" si="7"/>
        <v>68</v>
      </c>
      <c r="BY99" s="272">
        <f t="shared" si="7"/>
        <v>1088</v>
      </c>
      <c r="BZ99" s="272">
        <f t="shared" si="8"/>
        <v>817.19999999999993</v>
      </c>
      <c r="CA99" s="273"/>
      <c r="CB99" s="273"/>
      <c r="CC99" s="273"/>
      <c r="CD99" s="273"/>
      <c r="CE99" s="273"/>
      <c r="CF99" s="273"/>
      <c r="CG99" s="273">
        <v>26</v>
      </c>
      <c r="CH99" s="273">
        <v>430</v>
      </c>
      <c r="CI99" s="273">
        <v>326.8</v>
      </c>
      <c r="CJ99" s="273">
        <v>5</v>
      </c>
      <c r="CK99" s="273">
        <v>100</v>
      </c>
      <c r="CL99" s="273">
        <v>100</v>
      </c>
      <c r="CM99" s="273"/>
      <c r="CN99" s="273"/>
      <c r="CO99" s="273"/>
      <c r="CP99" s="273"/>
      <c r="CQ99" s="273"/>
      <c r="CR99" s="273"/>
      <c r="CS99" s="273"/>
      <c r="CT99" s="273"/>
      <c r="CU99" s="273"/>
      <c r="CV99" s="273"/>
      <c r="CW99" s="273"/>
      <c r="CX99" s="273"/>
      <c r="CY99" s="273"/>
      <c r="CZ99" s="273"/>
      <c r="DA99" s="273"/>
      <c r="DB99" s="273"/>
      <c r="DC99" s="273"/>
      <c r="DD99" s="273"/>
      <c r="DE99" s="273"/>
      <c r="DF99" s="271"/>
      <c r="DG99" s="271"/>
      <c r="DH99" s="272">
        <f t="shared" si="6"/>
        <v>99</v>
      </c>
      <c r="DI99" s="272">
        <f t="shared" si="6"/>
        <v>1618</v>
      </c>
      <c r="DJ99" s="324">
        <f t="shared" si="6"/>
        <v>1244</v>
      </c>
      <c r="DK99" s="325"/>
      <c r="DL99" s="325"/>
    </row>
    <row r="100" spans="1:116" s="275" customFormat="1" ht="20.100000000000001" customHeight="1" x14ac:dyDescent="0.6">
      <c r="A100" s="234">
        <v>97</v>
      </c>
      <c r="B100" s="103" t="s">
        <v>598</v>
      </c>
      <c r="C100" s="103" t="s">
        <v>599</v>
      </c>
      <c r="D100" s="103" t="s">
        <v>589</v>
      </c>
      <c r="E100" s="148" t="s">
        <v>590</v>
      </c>
      <c r="F100" s="179" t="s">
        <v>591</v>
      </c>
      <c r="G100" s="322"/>
      <c r="H100" s="323"/>
      <c r="I100" s="322" t="s">
        <v>1038</v>
      </c>
      <c r="J100" s="322" t="s">
        <v>1023</v>
      </c>
      <c r="K100" s="241"/>
      <c r="L100" s="241"/>
      <c r="M100" s="271"/>
      <c r="N100" s="271"/>
      <c r="O100" s="271"/>
      <c r="P100" s="271">
        <v>20</v>
      </c>
      <c r="Q100" s="271">
        <v>280</v>
      </c>
      <c r="R100" s="271">
        <v>179.2</v>
      </c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>
        <v>10</v>
      </c>
      <c r="AL100" s="271">
        <v>140</v>
      </c>
      <c r="AM100" s="271">
        <v>89.6</v>
      </c>
      <c r="AN100" s="271"/>
      <c r="AO100" s="271"/>
      <c r="AP100" s="271"/>
      <c r="AQ100" s="272">
        <f t="shared" si="9"/>
        <v>30</v>
      </c>
      <c r="AR100" s="272">
        <f t="shared" si="9"/>
        <v>420</v>
      </c>
      <c r="AS100" s="272">
        <f t="shared" si="9"/>
        <v>268.79999999999995</v>
      </c>
      <c r="AT100" s="357">
        <v>15</v>
      </c>
      <c r="AU100" s="357">
        <v>210</v>
      </c>
      <c r="AV100" s="357">
        <v>134.4</v>
      </c>
      <c r="AW100" s="357"/>
      <c r="AX100" s="357"/>
      <c r="AY100" s="357"/>
      <c r="AZ100" s="357"/>
      <c r="BA100" s="357"/>
      <c r="BB100" s="357"/>
      <c r="BC100" s="357"/>
      <c r="BD100" s="357"/>
      <c r="BE100" s="357"/>
      <c r="BF100" s="357"/>
      <c r="BG100" s="357"/>
      <c r="BH100" s="357"/>
      <c r="BI100" s="357">
        <v>20</v>
      </c>
      <c r="BJ100" s="357">
        <v>280</v>
      </c>
      <c r="BK100" s="357">
        <v>179.2</v>
      </c>
      <c r="BL100" s="357"/>
      <c r="BM100" s="357"/>
      <c r="BN100" s="357"/>
      <c r="BO100" s="357"/>
      <c r="BP100" s="357"/>
      <c r="BQ100" s="357"/>
      <c r="BR100" s="357"/>
      <c r="BS100" s="357"/>
      <c r="BT100" s="357"/>
      <c r="BU100" s="357"/>
      <c r="BV100" s="357"/>
      <c r="BW100" s="357"/>
      <c r="BX100" s="272">
        <f t="shared" si="7"/>
        <v>65</v>
      </c>
      <c r="BY100" s="272">
        <f t="shared" si="7"/>
        <v>910</v>
      </c>
      <c r="BZ100" s="272">
        <f t="shared" si="8"/>
        <v>582.39999999999986</v>
      </c>
      <c r="CA100" s="273"/>
      <c r="CB100" s="273"/>
      <c r="CC100" s="273"/>
      <c r="CD100" s="273"/>
      <c r="CE100" s="273"/>
      <c r="CF100" s="273"/>
      <c r="CG100" s="273">
        <v>20</v>
      </c>
      <c r="CH100" s="273">
        <v>280</v>
      </c>
      <c r="CI100" s="273">
        <v>179.2</v>
      </c>
      <c r="CJ100" s="273"/>
      <c r="CK100" s="273"/>
      <c r="CL100" s="273"/>
      <c r="CM100" s="273"/>
      <c r="CN100" s="273"/>
      <c r="CO100" s="273"/>
      <c r="CP100" s="273"/>
      <c r="CQ100" s="273"/>
      <c r="CR100" s="273"/>
      <c r="CS100" s="273"/>
      <c r="CT100" s="273"/>
      <c r="CU100" s="273"/>
      <c r="CV100" s="273"/>
      <c r="CW100" s="273"/>
      <c r="CX100" s="273"/>
      <c r="CY100" s="273"/>
      <c r="CZ100" s="273"/>
      <c r="DA100" s="273"/>
      <c r="DB100" s="273"/>
      <c r="DC100" s="273"/>
      <c r="DD100" s="273"/>
      <c r="DE100" s="273"/>
      <c r="DF100" s="271"/>
      <c r="DG100" s="271"/>
      <c r="DH100" s="272">
        <f t="shared" si="6"/>
        <v>85</v>
      </c>
      <c r="DI100" s="272">
        <f t="shared" si="6"/>
        <v>1190</v>
      </c>
      <c r="DJ100" s="324">
        <f t="shared" si="6"/>
        <v>761.59999999999991</v>
      </c>
      <c r="DK100" s="325"/>
      <c r="DL100" s="325"/>
    </row>
    <row r="101" spans="1:116" s="275" customFormat="1" ht="20.100000000000001" customHeight="1" x14ac:dyDescent="0.6">
      <c r="A101" s="234">
        <v>98</v>
      </c>
      <c r="B101" s="103" t="s">
        <v>600</v>
      </c>
      <c r="C101" s="103" t="s">
        <v>601</v>
      </c>
      <c r="D101" s="103" t="s">
        <v>589</v>
      </c>
      <c r="E101" s="148" t="s">
        <v>590</v>
      </c>
      <c r="F101" s="179" t="s">
        <v>591</v>
      </c>
      <c r="G101" s="322"/>
      <c r="H101" s="323"/>
      <c r="I101" s="322" t="s">
        <v>1039</v>
      </c>
      <c r="J101" s="322" t="s">
        <v>1023</v>
      </c>
      <c r="K101" s="241"/>
      <c r="L101" s="24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  <c r="AA101" s="271"/>
      <c r="AB101" s="271"/>
      <c r="AC101" s="271"/>
      <c r="AD101" s="271"/>
      <c r="AE101" s="271">
        <v>15</v>
      </c>
      <c r="AF101" s="271">
        <v>240</v>
      </c>
      <c r="AG101" s="271">
        <v>189.6</v>
      </c>
      <c r="AH101" s="271"/>
      <c r="AI101" s="271"/>
      <c r="AJ101" s="271"/>
      <c r="AK101" s="271">
        <v>36</v>
      </c>
      <c r="AL101" s="271">
        <v>432</v>
      </c>
      <c r="AM101" s="271">
        <v>432</v>
      </c>
      <c r="AN101" s="271"/>
      <c r="AO101" s="271"/>
      <c r="AP101" s="271"/>
      <c r="AQ101" s="272">
        <f t="shared" si="9"/>
        <v>51</v>
      </c>
      <c r="AR101" s="272">
        <f t="shared" si="9"/>
        <v>672</v>
      </c>
      <c r="AS101" s="272">
        <f t="shared" si="9"/>
        <v>621.6</v>
      </c>
      <c r="AT101" s="357"/>
      <c r="AU101" s="357"/>
      <c r="AV101" s="357"/>
      <c r="AW101" s="357"/>
      <c r="AX101" s="357"/>
      <c r="AY101" s="357"/>
      <c r="AZ101" s="357"/>
      <c r="BA101" s="357"/>
      <c r="BB101" s="357"/>
      <c r="BC101" s="357">
        <v>30</v>
      </c>
      <c r="BD101" s="357">
        <v>640</v>
      </c>
      <c r="BE101" s="357">
        <v>380</v>
      </c>
      <c r="BF101" s="357"/>
      <c r="BG101" s="357"/>
      <c r="BH101" s="357"/>
      <c r="BI101" s="357"/>
      <c r="BJ101" s="357"/>
      <c r="BK101" s="357"/>
      <c r="BL101" s="357"/>
      <c r="BM101" s="357"/>
      <c r="BN101" s="357"/>
      <c r="BO101" s="357"/>
      <c r="BP101" s="357"/>
      <c r="BQ101" s="357"/>
      <c r="BR101" s="357"/>
      <c r="BS101" s="357"/>
      <c r="BT101" s="357"/>
      <c r="BU101" s="357"/>
      <c r="BV101" s="357"/>
      <c r="BW101" s="357"/>
      <c r="BX101" s="272">
        <f t="shared" si="7"/>
        <v>81</v>
      </c>
      <c r="BY101" s="272">
        <f t="shared" si="7"/>
        <v>1312</v>
      </c>
      <c r="BZ101" s="272">
        <f t="shared" si="8"/>
        <v>1001.6</v>
      </c>
      <c r="CA101" s="273"/>
      <c r="CB101" s="273"/>
      <c r="CC101" s="273"/>
      <c r="CD101" s="273"/>
      <c r="CE101" s="273"/>
      <c r="CF101" s="273"/>
      <c r="CG101" s="273">
        <v>10</v>
      </c>
      <c r="CH101" s="273">
        <v>140</v>
      </c>
      <c r="CI101" s="273">
        <v>89.6</v>
      </c>
      <c r="CJ101" s="273">
        <v>20</v>
      </c>
      <c r="CK101" s="273">
        <v>280</v>
      </c>
      <c r="CL101" s="273">
        <v>179.2</v>
      </c>
      <c r="CM101" s="273"/>
      <c r="CN101" s="273"/>
      <c r="CO101" s="273"/>
      <c r="CP101" s="273"/>
      <c r="CQ101" s="273"/>
      <c r="CR101" s="273"/>
      <c r="CS101" s="273"/>
      <c r="CT101" s="273"/>
      <c r="CU101" s="273"/>
      <c r="CV101" s="273">
        <v>20</v>
      </c>
      <c r="CW101" s="273">
        <v>240</v>
      </c>
      <c r="CX101" s="273">
        <v>240</v>
      </c>
      <c r="CY101" s="273"/>
      <c r="CZ101" s="273"/>
      <c r="DA101" s="273"/>
      <c r="DB101" s="273"/>
      <c r="DC101" s="273"/>
      <c r="DD101" s="273"/>
      <c r="DE101" s="273"/>
      <c r="DF101" s="271"/>
      <c r="DG101" s="271"/>
      <c r="DH101" s="272">
        <f t="shared" si="6"/>
        <v>131</v>
      </c>
      <c r="DI101" s="272">
        <f t="shared" si="6"/>
        <v>1972</v>
      </c>
      <c r="DJ101" s="324">
        <f t="shared" si="6"/>
        <v>1510.4</v>
      </c>
      <c r="DK101" s="325"/>
      <c r="DL101" s="325"/>
    </row>
    <row r="102" spans="1:116" s="275" customFormat="1" ht="20.100000000000001" customHeight="1" x14ac:dyDescent="0.6">
      <c r="A102" s="234">
        <v>99</v>
      </c>
      <c r="B102" s="103" t="s">
        <v>602</v>
      </c>
      <c r="C102" s="103" t="s">
        <v>603</v>
      </c>
      <c r="D102" s="103" t="s">
        <v>337</v>
      </c>
      <c r="E102" s="148" t="s">
        <v>338</v>
      </c>
      <c r="F102" s="179" t="s">
        <v>591</v>
      </c>
      <c r="G102" s="322"/>
      <c r="H102" s="323"/>
      <c r="I102" s="322" t="s">
        <v>1040</v>
      </c>
      <c r="J102" s="322" t="s">
        <v>1023</v>
      </c>
      <c r="K102" s="241"/>
      <c r="L102" s="24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>
        <v>11</v>
      </c>
      <c r="AC102" s="271">
        <v>160</v>
      </c>
      <c r="AD102" s="271">
        <v>134</v>
      </c>
      <c r="AE102" s="271"/>
      <c r="AF102" s="271"/>
      <c r="AG102" s="271"/>
      <c r="AH102" s="271"/>
      <c r="AI102" s="271"/>
      <c r="AJ102" s="271"/>
      <c r="AK102" s="271"/>
      <c r="AL102" s="271"/>
      <c r="AM102" s="271"/>
      <c r="AN102" s="271">
        <v>2</v>
      </c>
      <c r="AO102" s="271">
        <v>28</v>
      </c>
      <c r="AP102" s="271">
        <v>17.920000000000002</v>
      </c>
      <c r="AQ102" s="272">
        <f t="shared" si="9"/>
        <v>13</v>
      </c>
      <c r="AR102" s="272">
        <f t="shared" si="9"/>
        <v>188</v>
      </c>
      <c r="AS102" s="272">
        <f t="shared" si="9"/>
        <v>151.92000000000002</v>
      </c>
      <c r="AT102" s="357"/>
      <c r="AU102" s="357"/>
      <c r="AV102" s="357"/>
      <c r="AW102" s="357"/>
      <c r="AX102" s="357"/>
      <c r="AY102" s="357"/>
      <c r="AZ102" s="357"/>
      <c r="BA102" s="357"/>
      <c r="BB102" s="357"/>
      <c r="BC102" s="357"/>
      <c r="BD102" s="357"/>
      <c r="BE102" s="357"/>
      <c r="BF102" s="357"/>
      <c r="BG102" s="357"/>
      <c r="BH102" s="357"/>
      <c r="BI102" s="357"/>
      <c r="BJ102" s="357"/>
      <c r="BK102" s="357"/>
      <c r="BL102" s="357">
        <v>15</v>
      </c>
      <c r="BM102" s="357">
        <v>216</v>
      </c>
      <c r="BN102" s="357">
        <v>169.84</v>
      </c>
      <c r="BO102" s="357"/>
      <c r="BP102" s="357"/>
      <c r="BQ102" s="357"/>
      <c r="BR102" s="357"/>
      <c r="BS102" s="357"/>
      <c r="BT102" s="357"/>
      <c r="BU102" s="357"/>
      <c r="BV102" s="357"/>
      <c r="BW102" s="357"/>
      <c r="BX102" s="272">
        <f t="shared" si="7"/>
        <v>28</v>
      </c>
      <c r="BY102" s="272">
        <f t="shared" si="7"/>
        <v>404</v>
      </c>
      <c r="BZ102" s="272">
        <f t="shared" si="8"/>
        <v>321.76</v>
      </c>
      <c r="CA102" s="273"/>
      <c r="CB102" s="273"/>
      <c r="CC102" s="273"/>
      <c r="CD102" s="273"/>
      <c r="CE102" s="273"/>
      <c r="CF102" s="273"/>
      <c r="CG102" s="273"/>
      <c r="CH102" s="273"/>
      <c r="CI102" s="273"/>
      <c r="CJ102" s="273">
        <v>10</v>
      </c>
      <c r="CK102" s="273">
        <v>120</v>
      </c>
      <c r="CL102" s="273">
        <v>120</v>
      </c>
      <c r="CM102" s="273">
        <v>11</v>
      </c>
      <c r="CN102" s="273">
        <v>170</v>
      </c>
      <c r="CO102" s="273">
        <v>114</v>
      </c>
      <c r="CP102" s="273"/>
      <c r="CQ102" s="273"/>
      <c r="CR102" s="273"/>
      <c r="CS102" s="273"/>
      <c r="CT102" s="273"/>
      <c r="CU102" s="273"/>
      <c r="CV102" s="273"/>
      <c r="CW102" s="273"/>
      <c r="CX102" s="273"/>
      <c r="CY102" s="273"/>
      <c r="CZ102" s="273"/>
      <c r="DA102" s="273"/>
      <c r="DB102" s="273"/>
      <c r="DC102" s="273"/>
      <c r="DD102" s="273"/>
      <c r="DE102" s="273"/>
      <c r="DF102" s="271"/>
      <c r="DG102" s="271"/>
      <c r="DH102" s="272">
        <f t="shared" si="6"/>
        <v>49</v>
      </c>
      <c r="DI102" s="272">
        <f t="shared" si="6"/>
        <v>694</v>
      </c>
      <c r="DJ102" s="324">
        <f t="shared" si="6"/>
        <v>555.76</v>
      </c>
      <c r="DK102" s="325"/>
      <c r="DL102" s="325"/>
    </row>
    <row r="103" spans="1:116" s="275" customFormat="1" ht="20.100000000000001" customHeight="1" x14ac:dyDescent="0.6">
      <c r="A103" s="234">
        <v>100</v>
      </c>
      <c r="B103" s="103" t="s">
        <v>604</v>
      </c>
      <c r="C103" s="103" t="s">
        <v>605</v>
      </c>
      <c r="D103" s="103" t="s">
        <v>337</v>
      </c>
      <c r="E103" s="148" t="s">
        <v>338</v>
      </c>
      <c r="F103" s="179" t="s">
        <v>591</v>
      </c>
      <c r="G103" s="322"/>
      <c r="H103" s="323"/>
      <c r="I103" s="322" t="s">
        <v>1041</v>
      </c>
      <c r="J103" s="322" t="s">
        <v>1023</v>
      </c>
      <c r="K103" s="241"/>
      <c r="L103" s="241"/>
      <c r="M103" s="271"/>
      <c r="N103" s="271"/>
      <c r="O103" s="271"/>
      <c r="P103" s="271"/>
      <c r="Q103" s="271"/>
      <c r="R103" s="271"/>
      <c r="S103" s="271">
        <v>3</v>
      </c>
      <c r="T103" s="271">
        <v>42</v>
      </c>
      <c r="U103" s="271">
        <v>26.88</v>
      </c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>
        <v>1</v>
      </c>
      <c r="AO103" s="271">
        <v>12</v>
      </c>
      <c r="AP103" s="271">
        <v>12</v>
      </c>
      <c r="AQ103" s="272">
        <f t="shared" si="9"/>
        <v>4</v>
      </c>
      <c r="AR103" s="272">
        <f t="shared" si="9"/>
        <v>54</v>
      </c>
      <c r="AS103" s="272">
        <f t="shared" si="9"/>
        <v>38.879999999999995</v>
      </c>
      <c r="AT103" s="357"/>
      <c r="AU103" s="357"/>
      <c r="AV103" s="357"/>
      <c r="AW103" s="357"/>
      <c r="AX103" s="357"/>
      <c r="AY103" s="357"/>
      <c r="AZ103" s="357"/>
      <c r="BA103" s="357"/>
      <c r="BB103" s="357"/>
      <c r="BC103" s="357"/>
      <c r="BD103" s="357"/>
      <c r="BE103" s="357"/>
      <c r="BF103" s="357"/>
      <c r="BG103" s="357"/>
      <c r="BH103" s="357"/>
      <c r="BI103" s="357"/>
      <c r="BJ103" s="357"/>
      <c r="BK103" s="357"/>
      <c r="BL103" s="357">
        <v>1</v>
      </c>
      <c r="BM103" s="357">
        <v>40</v>
      </c>
      <c r="BN103" s="357">
        <v>14</v>
      </c>
      <c r="BO103" s="357"/>
      <c r="BP103" s="357"/>
      <c r="BQ103" s="357"/>
      <c r="BR103" s="357"/>
      <c r="BS103" s="357"/>
      <c r="BT103" s="357"/>
      <c r="BU103" s="357"/>
      <c r="BV103" s="357"/>
      <c r="BW103" s="357"/>
      <c r="BX103" s="272">
        <f t="shared" si="7"/>
        <v>5</v>
      </c>
      <c r="BY103" s="272">
        <f t="shared" si="7"/>
        <v>94</v>
      </c>
      <c r="BZ103" s="272">
        <f t="shared" si="8"/>
        <v>52.879999999999995</v>
      </c>
      <c r="CA103" s="273"/>
      <c r="CB103" s="273"/>
      <c r="CC103" s="273"/>
      <c r="CD103" s="273"/>
      <c r="CE103" s="273"/>
      <c r="CF103" s="273"/>
      <c r="CG103" s="273"/>
      <c r="CH103" s="273"/>
      <c r="CI103" s="273"/>
      <c r="CJ103" s="273">
        <v>5</v>
      </c>
      <c r="CK103" s="273">
        <v>60</v>
      </c>
      <c r="CL103" s="273">
        <v>60</v>
      </c>
      <c r="CM103" s="273"/>
      <c r="CN103" s="273"/>
      <c r="CO103" s="273"/>
      <c r="CP103" s="273"/>
      <c r="CQ103" s="273"/>
      <c r="CR103" s="273"/>
      <c r="CS103" s="273"/>
      <c r="CT103" s="273"/>
      <c r="CU103" s="273"/>
      <c r="CV103" s="273"/>
      <c r="CW103" s="273"/>
      <c r="CX103" s="273"/>
      <c r="CY103" s="273"/>
      <c r="CZ103" s="273"/>
      <c r="DA103" s="273"/>
      <c r="DB103" s="273"/>
      <c r="DC103" s="273"/>
      <c r="DD103" s="273"/>
      <c r="DE103" s="273"/>
      <c r="DF103" s="271"/>
      <c r="DG103" s="271"/>
      <c r="DH103" s="272">
        <f t="shared" si="6"/>
        <v>10</v>
      </c>
      <c r="DI103" s="272">
        <f t="shared" si="6"/>
        <v>154</v>
      </c>
      <c r="DJ103" s="324">
        <f t="shared" si="6"/>
        <v>112.88</v>
      </c>
      <c r="DK103" s="325"/>
      <c r="DL103" s="325"/>
    </row>
    <row r="104" spans="1:116" s="275" customFormat="1" ht="20.100000000000001" customHeight="1" x14ac:dyDescent="0.6">
      <c r="A104" s="234">
        <v>101</v>
      </c>
      <c r="B104" s="103" t="s">
        <v>606</v>
      </c>
      <c r="C104" s="103" t="s">
        <v>607</v>
      </c>
      <c r="D104" s="103" t="s">
        <v>337</v>
      </c>
      <c r="E104" s="148" t="s">
        <v>338</v>
      </c>
      <c r="F104" s="179" t="s">
        <v>591</v>
      </c>
      <c r="G104" s="322"/>
      <c r="H104" s="323"/>
      <c r="I104" s="322" t="s">
        <v>1042</v>
      </c>
      <c r="J104" s="322" t="s">
        <v>1023</v>
      </c>
      <c r="K104" s="241"/>
      <c r="L104" s="241"/>
      <c r="M104" s="271"/>
      <c r="N104" s="271"/>
      <c r="O104" s="271"/>
      <c r="P104" s="271"/>
      <c r="Q104" s="271"/>
      <c r="R104" s="271"/>
      <c r="S104" s="271">
        <v>5</v>
      </c>
      <c r="T104" s="271">
        <v>60</v>
      </c>
      <c r="U104" s="271">
        <v>60</v>
      </c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>
        <v>4</v>
      </c>
      <c r="AO104" s="271">
        <v>76</v>
      </c>
      <c r="AP104" s="271">
        <v>40.4</v>
      </c>
      <c r="AQ104" s="272">
        <f t="shared" si="9"/>
        <v>9</v>
      </c>
      <c r="AR104" s="272">
        <f t="shared" si="9"/>
        <v>136</v>
      </c>
      <c r="AS104" s="272">
        <f t="shared" si="9"/>
        <v>100.4</v>
      </c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>
        <v>4</v>
      </c>
      <c r="BM104" s="357">
        <v>76</v>
      </c>
      <c r="BN104" s="357">
        <v>50</v>
      </c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272">
        <f t="shared" si="7"/>
        <v>13</v>
      </c>
      <c r="BY104" s="272">
        <f t="shared" si="7"/>
        <v>212</v>
      </c>
      <c r="BZ104" s="272">
        <f t="shared" si="8"/>
        <v>150.4</v>
      </c>
      <c r="CA104" s="273"/>
      <c r="CB104" s="273"/>
      <c r="CC104" s="273"/>
      <c r="CD104" s="273"/>
      <c r="CE104" s="273"/>
      <c r="CF104" s="273"/>
      <c r="CG104" s="273"/>
      <c r="CH104" s="273"/>
      <c r="CI104" s="273"/>
      <c r="CJ104" s="273">
        <v>10</v>
      </c>
      <c r="CK104" s="273">
        <v>120</v>
      </c>
      <c r="CL104" s="273">
        <v>120</v>
      </c>
      <c r="CM104" s="273"/>
      <c r="CN104" s="273"/>
      <c r="CO104" s="273"/>
      <c r="CP104" s="273"/>
      <c r="CQ104" s="273"/>
      <c r="CR104" s="273"/>
      <c r="CS104" s="273"/>
      <c r="CT104" s="273"/>
      <c r="CU104" s="273"/>
      <c r="CV104" s="273"/>
      <c r="CW104" s="273"/>
      <c r="CX104" s="273"/>
      <c r="CY104" s="273"/>
      <c r="CZ104" s="273"/>
      <c r="DA104" s="273"/>
      <c r="DB104" s="273"/>
      <c r="DC104" s="273"/>
      <c r="DD104" s="273"/>
      <c r="DE104" s="273"/>
      <c r="DF104" s="271"/>
      <c r="DG104" s="271"/>
      <c r="DH104" s="272">
        <f t="shared" si="6"/>
        <v>23</v>
      </c>
      <c r="DI104" s="272">
        <f t="shared" si="6"/>
        <v>332</v>
      </c>
      <c r="DJ104" s="324">
        <f t="shared" si="6"/>
        <v>270.39999999999998</v>
      </c>
      <c r="DK104" s="325"/>
      <c r="DL104" s="325"/>
    </row>
    <row r="105" spans="1:116" s="275" customFormat="1" ht="20.100000000000001" customHeight="1" x14ac:dyDescent="0.6">
      <c r="A105" s="234">
        <v>102</v>
      </c>
      <c r="B105" s="103" t="s">
        <v>608</v>
      </c>
      <c r="C105" s="103" t="s">
        <v>609</v>
      </c>
      <c r="D105" s="103" t="s">
        <v>337</v>
      </c>
      <c r="E105" s="148" t="s">
        <v>338</v>
      </c>
      <c r="F105" s="179" t="s">
        <v>591</v>
      </c>
      <c r="G105" s="322"/>
      <c r="H105" s="323"/>
      <c r="I105" s="322" t="s">
        <v>1043</v>
      </c>
      <c r="J105" s="322" t="s">
        <v>1023</v>
      </c>
      <c r="K105" s="241"/>
      <c r="L105" s="241"/>
      <c r="M105" s="271"/>
      <c r="N105" s="271"/>
      <c r="O105" s="271"/>
      <c r="P105" s="271"/>
      <c r="Q105" s="271"/>
      <c r="R105" s="271"/>
      <c r="S105" s="271">
        <v>3</v>
      </c>
      <c r="T105" s="271">
        <v>64</v>
      </c>
      <c r="U105" s="271">
        <v>38</v>
      </c>
      <c r="V105" s="271"/>
      <c r="W105" s="271"/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  <c r="AM105" s="271"/>
      <c r="AN105" s="271">
        <v>4</v>
      </c>
      <c r="AO105" s="271">
        <v>104</v>
      </c>
      <c r="AP105" s="271">
        <v>52</v>
      </c>
      <c r="AQ105" s="272">
        <f t="shared" si="9"/>
        <v>7</v>
      </c>
      <c r="AR105" s="272">
        <f t="shared" si="9"/>
        <v>168</v>
      </c>
      <c r="AS105" s="272">
        <f t="shared" si="9"/>
        <v>90</v>
      </c>
      <c r="AT105" s="357"/>
      <c r="AU105" s="357"/>
      <c r="AV105" s="357"/>
      <c r="AW105" s="357"/>
      <c r="AX105" s="357"/>
      <c r="AY105" s="357"/>
      <c r="AZ105" s="357"/>
      <c r="BA105" s="357"/>
      <c r="BB105" s="357"/>
      <c r="BC105" s="357"/>
      <c r="BD105" s="357"/>
      <c r="BE105" s="357"/>
      <c r="BF105" s="357"/>
      <c r="BG105" s="357"/>
      <c r="BH105" s="357"/>
      <c r="BI105" s="357"/>
      <c r="BJ105" s="357"/>
      <c r="BK105" s="357"/>
      <c r="BL105" s="357">
        <v>2</v>
      </c>
      <c r="BM105" s="357">
        <v>24</v>
      </c>
      <c r="BN105" s="357">
        <v>24</v>
      </c>
      <c r="BO105" s="357"/>
      <c r="BP105" s="357"/>
      <c r="BQ105" s="357"/>
      <c r="BR105" s="357"/>
      <c r="BS105" s="357"/>
      <c r="BT105" s="357"/>
      <c r="BU105" s="357"/>
      <c r="BV105" s="357"/>
      <c r="BW105" s="357"/>
      <c r="BX105" s="272">
        <f t="shared" si="7"/>
        <v>9</v>
      </c>
      <c r="BY105" s="272">
        <f t="shared" si="7"/>
        <v>192</v>
      </c>
      <c r="BZ105" s="272">
        <f t="shared" si="8"/>
        <v>114</v>
      </c>
      <c r="CA105" s="273"/>
      <c r="CB105" s="273"/>
      <c r="CC105" s="273"/>
      <c r="CD105" s="273"/>
      <c r="CE105" s="273"/>
      <c r="CF105" s="273"/>
      <c r="CG105" s="273"/>
      <c r="CH105" s="273"/>
      <c r="CI105" s="273"/>
      <c r="CJ105" s="273">
        <v>1</v>
      </c>
      <c r="CK105" s="273">
        <v>14</v>
      </c>
      <c r="CL105" s="273">
        <v>8.9600000000000009</v>
      </c>
      <c r="CM105" s="273"/>
      <c r="CN105" s="273"/>
      <c r="CO105" s="273"/>
      <c r="CP105" s="273"/>
      <c r="CQ105" s="273"/>
      <c r="CR105" s="273"/>
      <c r="CS105" s="273"/>
      <c r="CT105" s="273"/>
      <c r="CU105" s="273"/>
      <c r="CV105" s="273"/>
      <c r="CW105" s="273"/>
      <c r="CX105" s="273"/>
      <c r="CY105" s="273"/>
      <c r="CZ105" s="273"/>
      <c r="DA105" s="273"/>
      <c r="DB105" s="273"/>
      <c r="DC105" s="273"/>
      <c r="DD105" s="273"/>
      <c r="DE105" s="273"/>
      <c r="DF105" s="271"/>
      <c r="DG105" s="271"/>
      <c r="DH105" s="272">
        <f t="shared" si="6"/>
        <v>10</v>
      </c>
      <c r="DI105" s="272">
        <f t="shared" si="6"/>
        <v>206</v>
      </c>
      <c r="DJ105" s="324">
        <f t="shared" si="6"/>
        <v>122.96000000000001</v>
      </c>
      <c r="DK105" s="325"/>
      <c r="DL105" s="325"/>
    </row>
    <row r="106" spans="1:116" s="275" customFormat="1" ht="20.100000000000001" customHeight="1" x14ac:dyDescent="0.6">
      <c r="A106" s="234">
        <v>103</v>
      </c>
      <c r="B106" s="103" t="s">
        <v>610</v>
      </c>
      <c r="C106" s="103" t="s">
        <v>611</v>
      </c>
      <c r="D106" s="103" t="s">
        <v>337</v>
      </c>
      <c r="E106" s="148" t="s">
        <v>338</v>
      </c>
      <c r="F106" s="179" t="s">
        <v>591</v>
      </c>
      <c r="G106" s="322"/>
      <c r="H106" s="323"/>
      <c r="I106" s="322" t="s">
        <v>1044</v>
      </c>
      <c r="J106" s="322" t="s">
        <v>1023</v>
      </c>
      <c r="K106" s="241"/>
      <c r="L106" s="241"/>
      <c r="M106" s="271"/>
      <c r="N106" s="271"/>
      <c r="O106" s="271"/>
      <c r="P106" s="271"/>
      <c r="Q106" s="271"/>
      <c r="R106" s="271"/>
      <c r="S106" s="271">
        <v>5</v>
      </c>
      <c r="T106" s="271">
        <v>94</v>
      </c>
      <c r="U106" s="271">
        <v>52.88</v>
      </c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1"/>
      <c r="AM106" s="271"/>
      <c r="AN106" s="271">
        <v>5</v>
      </c>
      <c r="AO106" s="271">
        <v>94</v>
      </c>
      <c r="AP106" s="271">
        <v>52.88</v>
      </c>
      <c r="AQ106" s="272">
        <f t="shared" si="9"/>
        <v>10</v>
      </c>
      <c r="AR106" s="272">
        <f t="shared" si="9"/>
        <v>188</v>
      </c>
      <c r="AS106" s="272">
        <f t="shared" si="9"/>
        <v>105.76</v>
      </c>
      <c r="AT106" s="357"/>
      <c r="AU106" s="357"/>
      <c r="AV106" s="356"/>
      <c r="AW106" s="357"/>
      <c r="AX106" s="357"/>
      <c r="AY106" s="357"/>
      <c r="AZ106" s="357">
        <v>2</v>
      </c>
      <c r="BA106" s="357">
        <v>26</v>
      </c>
      <c r="BB106" s="357">
        <v>20.96</v>
      </c>
      <c r="BC106" s="357"/>
      <c r="BD106" s="357"/>
      <c r="BE106" s="357"/>
      <c r="BF106" s="357"/>
      <c r="BG106" s="357"/>
      <c r="BH106" s="357"/>
      <c r="BI106" s="357"/>
      <c r="BJ106" s="357"/>
      <c r="BK106" s="357"/>
      <c r="BL106" s="357">
        <v>5</v>
      </c>
      <c r="BM106" s="357">
        <v>96</v>
      </c>
      <c r="BN106" s="357">
        <v>49.84</v>
      </c>
      <c r="BO106" s="357"/>
      <c r="BP106" s="357"/>
      <c r="BQ106" s="357"/>
      <c r="BR106" s="357"/>
      <c r="BS106" s="357"/>
      <c r="BT106" s="357"/>
      <c r="BU106" s="357">
        <v>3</v>
      </c>
      <c r="BV106" s="357">
        <v>42</v>
      </c>
      <c r="BW106" s="357">
        <v>26.88</v>
      </c>
      <c r="BX106" s="272">
        <f t="shared" si="7"/>
        <v>20</v>
      </c>
      <c r="BY106" s="272">
        <f t="shared" si="7"/>
        <v>352</v>
      </c>
      <c r="BZ106" s="272">
        <f t="shared" si="8"/>
        <v>203.44</v>
      </c>
      <c r="CA106" s="273"/>
      <c r="CB106" s="273"/>
      <c r="CC106" s="273"/>
      <c r="CD106" s="273"/>
      <c r="CE106" s="273"/>
      <c r="CF106" s="273"/>
      <c r="CG106" s="273"/>
      <c r="CH106" s="273"/>
      <c r="CI106" s="273"/>
      <c r="CJ106" s="273">
        <v>3</v>
      </c>
      <c r="CK106" s="273">
        <v>42</v>
      </c>
      <c r="CL106" s="273">
        <v>26.88</v>
      </c>
      <c r="CM106" s="273"/>
      <c r="CN106" s="273"/>
      <c r="CO106" s="273"/>
      <c r="CP106" s="273">
        <v>5</v>
      </c>
      <c r="CQ106" s="273">
        <v>60</v>
      </c>
      <c r="CR106" s="273">
        <v>60</v>
      </c>
      <c r="CS106" s="273">
        <v>4</v>
      </c>
      <c r="CT106" s="273">
        <v>82</v>
      </c>
      <c r="CU106" s="273">
        <v>40.880000000000003</v>
      </c>
      <c r="CV106" s="273"/>
      <c r="CW106" s="273"/>
      <c r="CX106" s="273"/>
      <c r="CY106" s="273"/>
      <c r="CZ106" s="273"/>
      <c r="DA106" s="273"/>
      <c r="DB106" s="273"/>
      <c r="DC106" s="273"/>
      <c r="DD106" s="273"/>
      <c r="DE106" s="273"/>
      <c r="DF106" s="271"/>
      <c r="DG106" s="271"/>
      <c r="DH106" s="272">
        <f t="shared" si="6"/>
        <v>32</v>
      </c>
      <c r="DI106" s="272">
        <f t="shared" si="6"/>
        <v>536</v>
      </c>
      <c r="DJ106" s="324">
        <f t="shared" si="6"/>
        <v>331.2</v>
      </c>
      <c r="DK106" s="325"/>
      <c r="DL106" s="325"/>
    </row>
    <row r="107" spans="1:116" s="275" customFormat="1" ht="20.100000000000001" customHeight="1" x14ac:dyDescent="0.6">
      <c r="A107" s="234">
        <v>104</v>
      </c>
      <c r="B107" s="103" t="s">
        <v>612</v>
      </c>
      <c r="C107" s="103" t="s">
        <v>613</v>
      </c>
      <c r="D107" s="103" t="s">
        <v>337</v>
      </c>
      <c r="E107" s="148" t="s">
        <v>338</v>
      </c>
      <c r="F107" s="179" t="s">
        <v>591</v>
      </c>
      <c r="G107" s="322"/>
      <c r="H107" s="323"/>
      <c r="I107" s="322" t="s">
        <v>1045</v>
      </c>
      <c r="J107" s="322" t="s">
        <v>1023</v>
      </c>
      <c r="K107" s="241"/>
      <c r="L107" s="241"/>
      <c r="M107" s="271"/>
      <c r="N107" s="271"/>
      <c r="O107" s="271"/>
      <c r="P107" s="271"/>
      <c r="Q107" s="271"/>
      <c r="R107" s="271"/>
      <c r="S107" s="271">
        <v>3</v>
      </c>
      <c r="T107" s="271">
        <v>36</v>
      </c>
      <c r="U107" s="271">
        <v>36</v>
      </c>
      <c r="V107" s="271"/>
      <c r="W107" s="271"/>
      <c r="X107" s="271"/>
      <c r="Y107" s="271">
        <v>5</v>
      </c>
      <c r="Z107" s="271">
        <v>60</v>
      </c>
      <c r="AA107" s="271">
        <v>36</v>
      </c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>
        <v>4</v>
      </c>
      <c r="AO107" s="271">
        <v>48</v>
      </c>
      <c r="AP107" s="271">
        <v>48</v>
      </c>
      <c r="AQ107" s="272">
        <f t="shared" si="9"/>
        <v>12</v>
      </c>
      <c r="AR107" s="272">
        <f t="shared" si="9"/>
        <v>144</v>
      </c>
      <c r="AS107" s="272">
        <f t="shared" si="9"/>
        <v>120</v>
      </c>
      <c r="AT107" s="357"/>
      <c r="AU107" s="357"/>
      <c r="AV107" s="357"/>
      <c r="AW107" s="357"/>
      <c r="AX107" s="357"/>
      <c r="AY107" s="357"/>
      <c r="AZ107" s="357"/>
      <c r="BA107" s="357"/>
      <c r="BB107" s="357"/>
      <c r="BC107" s="357"/>
      <c r="BD107" s="357"/>
      <c r="BE107" s="357"/>
      <c r="BF107" s="357"/>
      <c r="BG107" s="357"/>
      <c r="BH107" s="357"/>
      <c r="BI107" s="357"/>
      <c r="BJ107" s="357"/>
      <c r="BK107" s="357"/>
      <c r="BL107" s="357">
        <v>3</v>
      </c>
      <c r="BM107" s="357">
        <v>36</v>
      </c>
      <c r="BN107" s="357">
        <v>36</v>
      </c>
      <c r="BO107" s="357"/>
      <c r="BP107" s="357"/>
      <c r="BQ107" s="357"/>
      <c r="BR107" s="357"/>
      <c r="BS107" s="357"/>
      <c r="BT107" s="357"/>
      <c r="BU107" s="357"/>
      <c r="BV107" s="357"/>
      <c r="BW107" s="357"/>
      <c r="BX107" s="272">
        <f t="shared" si="7"/>
        <v>15</v>
      </c>
      <c r="BY107" s="272">
        <f t="shared" si="7"/>
        <v>180</v>
      </c>
      <c r="BZ107" s="272">
        <f t="shared" si="8"/>
        <v>156</v>
      </c>
      <c r="CA107" s="273"/>
      <c r="CB107" s="273"/>
      <c r="CC107" s="273"/>
      <c r="CD107" s="273"/>
      <c r="CE107" s="273"/>
      <c r="CF107" s="273"/>
      <c r="CG107" s="273"/>
      <c r="CH107" s="273"/>
      <c r="CI107" s="273"/>
      <c r="CJ107" s="273">
        <v>4</v>
      </c>
      <c r="CK107" s="273">
        <v>48</v>
      </c>
      <c r="CL107" s="273">
        <v>48</v>
      </c>
      <c r="CM107" s="273"/>
      <c r="CN107" s="273"/>
      <c r="CO107" s="273"/>
      <c r="CP107" s="273">
        <v>10</v>
      </c>
      <c r="CQ107" s="273">
        <v>120</v>
      </c>
      <c r="CR107" s="273">
        <v>120</v>
      </c>
      <c r="CS107" s="273"/>
      <c r="CT107" s="273"/>
      <c r="CU107" s="273"/>
      <c r="CV107" s="273"/>
      <c r="CW107" s="273"/>
      <c r="CX107" s="273"/>
      <c r="CY107" s="273"/>
      <c r="CZ107" s="273"/>
      <c r="DA107" s="273"/>
      <c r="DB107" s="273"/>
      <c r="DC107" s="273"/>
      <c r="DD107" s="273"/>
      <c r="DE107" s="273"/>
      <c r="DF107" s="271"/>
      <c r="DG107" s="271"/>
      <c r="DH107" s="272">
        <f t="shared" si="6"/>
        <v>29</v>
      </c>
      <c r="DI107" s="272">
        <f t="shared" si="6"/>
        <v>348</v>
      </c>
      <c r="DJ107" s="324">
        <f t="shared" si="6"/>
        <v>324</v>
      </c>
      <c r="DK107" s="325"/>
      <c r="DL107" s="325"/>
    </row>
    <row r="108" spans="1:116" s="275" customFormat="1" ht="20.100000000000001" customHeight="1" x14ac:dyDescent="0.6">
      <c r="A108" s="234">
        <v>105</v>
      </c>
      <c r="B108" s="103" t="s">
        <v>614</v>
      </c>
      <c r="C108" s="103" t="s">
        <v>614</v>
      </c>
      <c r="D108" s="103" t="s">
        <v>337</v>
      </c>
      <c r="E108" s="148" t="s">
        <v>338</v>
      </c>
      <c r="F108" s="179" t="s">
        <v>591</v>
      </c>
      <c r="G108" s="322"/>
      <c r="H108" s="323"/>
      <c r="I108" s="322" t="s">
        <v>1046</v>
      </c>
      <c r="J108" s="322" t="s">
        <v>1023</v>
      </c>
      <c r="K108" s="241"/>
      <c r="L108" s="241"/>
      <c r="M108" s="271"/>
      <c r="N108" s="271"/>
      <c r="O108" s="271"/>
      <c r="P108" s="271"/>
      <c r="Q108" s="271"/>
      <c r="R108" s="271"/>
      <c r="S108" s="271">
        <v>7</v>
      </c>
      <c r="T108" s="271">
        <v>90</v>
      </c>
      <c r="U108" s="271">
        <v>74.88</v>
      </c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>
        <v>2</v>
      </c>
      <c r="AO108" s="271">
        <v>26</v>
      </c>
      <c r="AP108" s="271">
        <v>20.96</v>
      </c>
      <c r="AQ108" s="272">
        <f t="shared" si="9"/>
        <v>9</v>
      </c>
      <c r="AR108" s="272">
        <f t="shared" si="9"/>
        <v>116</v>
      </c>
      <c r="AS108" s="272">
        <f t="shared" si="9"/>
        <v>95.84</v>
      </c>
      <c r="AT108" s="357"/>
      <c r="AU108" s="357"/>
      <c r="AV108" s="357"/>
      <c r="AW108" s="357"/>
      <c r="AX108" s="357"/>
      <c r="AY108" s="357"/>
      <c r="AZ108" s="357"/>
      <c r="BA108" s="357"/>
      <c r="BB108" s="357"/>
      <c r="BC108" s="357"/>
      <c r="BD108" s="357"/>
      <c r="BE108" s="357"/>
      <c r="BF108" s="357"/>
      <c r="BG108" s="357"/>
      <c r="BH108" s="357"/>
      <c r="BI108" s="357"/>
      <c r="BJ108" s="357"/>
      <c r="BK108" s="357"/>
      <c r="BL108" s="357">
        <v>6</v>
      </c>
      <c r="BM108" s="357">
        <v>72</v>
      </c>
      <c r="BN108" s="357">
        <v>72</v>
      </c>
      <c r="BO108" s="357"/>
      <c r="BP108" s="357"/>
      <c r="BQ108" s="357"/>
      <c r="BR108" s="357"/>
      <c r="BS108" s="357"/>
      <c r="BT108" s="357"/>
      <c r="BU108" s="357"/>
      <c r="BV108" s="357"/>
      <c r="BW108" s="357"/>
      <c r="BX108" s="272">
        <f t="shared" si="7"/>
        <v>15</v>
      </c>
      <c r="BY108" s="272">
        <f t="shared" si="7"/>
        <v>188</v>
      </c>
      <c r="BZ108" s="272">
        <f t="shared" si="8"/>
        <v>167.84</v>
      </c>
      <c r="CA108" s="273"/>
      <c r="CB108" s="273"/>
      <c r="CC108" s="273"/>
      <c r="CD108" s="273"/>
      <c r="CE108" s="273"/>
      <c r="CF108" s="273"/>
      <c r="CG108" s="273"/>
      <c r="CH108" s="273"/>
      <c r="CI108" s="273"/>
      <c r="CJ108" s="273">
        <v>10</v>
      </c>
      <c r="CK108" s="273">
        <v>120</v>
      </c>
      <c r="CL108" s="273">
        <v>120</v>
      </c>
      <c r="CM108" s="273"/>
      <c r="CN108" s="273"/>
      <c r="CO108" s="273"/>
      <c r="CP108" s="273"/>
      <c r="CQ108" s="273"/>
      <c r="CR108" s="273"/>
      <c r="CS108" s="273"/>
      <c r="CT108" s="273"/>
      <c r="CU108" s="273"/>
      <c r="CV108" s="273"/>
      <c r="CW108" s="273"/>
      <c r="CX108" s="273"/>
      <c r="CY108" s="273"/>
      <c r="CZ108" s="273"/>
      <c r="DA108" s="273"/>
      <c r="DB108" s="273"/>
      <c r="DC108" s="273"/>
      <c r="DD108" s="273"/>
      <c r="DE108" s="273"/>
      <c r="DF108" s="271"/>
      <c r="DG108" s="271"/>
      <c r="DH108" s="272">
        <f t="shared" si="6"/>
        <v>25</v>
      </c>
      <c r="DI108" s="272">
        <f t="shared" si="6"/>
        <v>308</v>
      </c>
      <c r="DJ108" s="324">
        <f t="shared" si="6"/>
        <v>287.84000000000003</v>
      </c>
      <c r="DK108" s="325"/>
      <c r="DL108" s="325"/>
    </row>
    <row r="109" spans="1:116" s="275" customFormat="1" ht="20.100000000000001" customHeight="1" x14ac:dyDescent="0.6">
      <c r="A109" s="234">
        <v>106</v>
      </c>
      <c r="B109" s="103" t="s">
        <v>615</v>
      </c>
      <c r="C109" s="103" t="s">
        <v>616</v>
      </c>
      <c r="D109" s="103" t="s">
        <v>297</v>
      </c>
      <c r="E109" s="148" t="s">
        <v>298</v>
      </c>
      <c r="F109" s="179" t="s">
        <v>591</v>
      </c>
      <c r="G109" s="322"/>
      <c r="H109" s="323"/>
      <c r="I109" s="322" t="s">
        <v>1047</v>
      </c>
      <c r="J109" s="322" t="s">
        <v>1023</v>
      </c>
      <c r="K109" s="241"/>
      <c r="L109" s="24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>
        <v>10</v>
      </c>
      <c r="W109" s="271">
        <v>120</v>
      </c>
      <c r="X109" s="271">
        <v>120</v>
      </c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  <c r="AM109" s="271"/>
      <c r="AN109" s="271"/>
      <c r="AO109" s="271"/>
      <c r="AP109" s="271"/>
      <c r="AQ109" s="272">
        <f t="shared" si="9"/>
        <v>10</v>
      </c>
      <c r="AR109" s="272">
        <f t="shared" si="9"/>
        <v>120</v>
      </c>
      <c r="AS109" s="272">
        <f t="shared" si="9"/>
        <v>120</v>
      </c>
      <c r="AT109" s="357"/>
      <c r="AU109" s="357"/>
      <c r="AV109" s="357"/>
      <c r="AW109" s="357"/>
      <c r="AX109" s="357"/>
      <c r="AY109" s="357"/>
      <c r="AZ109" s="357"/>
      <c r="BA109" s="357"/>
      <c r="BB109" s="357"/>
      <c r="BC109" s="357">
        <v>10</v>
      </c>
      <c r="BD109" s="357">
        <v>120</v>
      </c>
      <c r="BE109" s="357">
        <v>120</v>
      </c>
      <c r="BF109" s="357"/>
      <c r="BG109" s="357"/>
      <c r="BH109" s="357"/>
      <c r="BI109" s="357"/>
      <c r="BJ109" s="357"/>
      <c r="BK109" s="357"/>
      <c r="BL109" s="357"/>
      <c r="BM109" s="357"/>
      <c r="BN109" s="357"/>
      <c r="BO109" s="357">
        <v>3</v>
      </c>
      <c r="BP109" s="357">
        <v>42</v>
      </c>
      <c r="BQ109" s="357">
        <v>26.88</v>
      </c>
      <c r="BR109" s="357"/>
      <c r="BS109" s="357"/>
      <c r="BT109" s="357"/>
      <c r="BU109" s="357"/>
      <c r="BV109" s="357"/>
      <c r="BW109" s="357"/>
      <c r="BX109" s="272">
        <f t="shared" si="7"/>
        <v>23</v>
      </c>
      <c r="BY109" s="272">
        <f t="shared" si="7"/>
        <v>282</v>
      </c>
      <c r="BZ109" s="272">
        <f t="shared" si="8"/>
        <v>266.88</v>
      </c>
      <c r="CA109" s="273">
        <v>10</v>
      </c>
      <c r="CB109" s="273">
        <v>120</v>
      </c>
      <c r="CC109" s="273">
        <v>120</v>
      </c>
      <c r="CD109" s="273"/>
      <c r="CE109" s="273"/>
      <c r="CF109" s="273"/>
      <c r="CG109" s="273">
        <v>5</v>
      </c>
      <c r="CH109" s="273">
        <v>60</v>
      </c>
      <c r="CI109" s="273">
        <v>60</v>
      </c>
      <c r="CJ109" s="273"/>
      <c r="CK109" s="273"/>
      <c r="CL109" s="273"/>
      <c r="CM109" s="273">
        <v>20</v>
      </c>
      <c r="CN109" s="273">
        <v>306</v>
      </c>
      <c r="CO109" s="273">
        <v>214.4</v>
      </c>
      <c r="CP109" s="273"/>
      <c r="CQ109" s="273"/>
      <c r="CR109" s="273"/>
      <c r="CS109" s="273"/>
      <c r="CT109" s="273"/>
      <c r="CU109" s="273"/>
      <c r="CV109" s="273"/>
      <c r="CW109" s="273"/>
      <c r="CX109" s="273"/>
      <c r="CY109" s="273"/>
      <c r="CZ109" s="273"/>
      <c r="DA109" s="273"/>
      <c r="DB109" s="273"/>
      <c r="DC109" s="273"/>
      <c r="DD109" s="273"/>
      <c r="DE109" s="273"/>
      <c r="DF109" s="271"/>
      <c r="DG109" s="271"/>
      <c r="DH109" s="272">
        <f t="shared" si="6"/>
        <v>58</v>
      </c>
      <c r="DI109" s="272">
        <f t="shared" si="6"/>
        <v>768</v>
      </c>
      <c r="DJ109" s="324">
        <f t="shared" si="6"/>
        <v>661.28</v>
      </c>
      <c r="DK109" s="325"/>
      <c r="DL109" s="325"/>
    </row>
    <row r="110" spans="1:116" s="275" customFormat="1" ht="20.100000000000001" customHeight="1" x14ac:dyDescent="0.6">
      <c r="A110" s="234">
        <v>107</v>
      </c>
      <c r="B110" s="103" t="s">
        <v>617</v>
      </c>
      <c r="C110" s="103" t="s">
        <v>618</v>
      </c>
      <c r="D110" s="103" t="s">
        <v>297</v>
      </c>
      <c r="E110" s="148" t="s">
        <v>298</v>
      </c>
      <c r="F110" s="179" t="s">
        <v>591</v>
      </c>
      <c r="G110" s="322"/>
      <c r="H110" s="323"/>
      <c r="I110" s="322" t="s">
        <v>1048</v>
      </c>
      <c r="J110" s="322" t="s">
        <v>1023</v>
      </c>
      <c r="K110" s="241"/>
      <c r="L110" s="24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2">
        <f t="shared" si="9"/>
        <v>0</v>
      </c>
      <c r="AR110" s="272">
        <f t="shared" si="9"/>
        <v>0</v>
      </c>
      <c r="AS110" s="272">
        <f t="shared" si="9"/>
        <v>0</v>
      </c>
      <c r="AT110" s="357">
        <v>19</v>
      </c>
      <c r="AU110" s="357">
        <v>318</v>
      </c>
      <c r="AV110" s="357">
        <v>198.48</v>
      </c>
      <c r="AW110" s="357"/>
      <c r="AX110" s="357"/>
      <c r="AY110" s="357"/>
      <c r="AZ110" s="357"/>
      <c r="BA110" s="357"/>
      <c r="BB110" s="357"/>
      <c r="BC110" s="357"/>
      <c r="BD110" s="357"/>
      <c r="BE110" s="357"/>
      <c r="BF110" s="357"/>
      <c r="BG110" s="357"/>
      <c r="BH110" s="357"/>
      <c r="BI110" s="357"/>
      <c r="BJ110" s="357"/>
      <c r="BK110" s="357"/>
      <c r="BL110" s="357"/>
      <c r="BM110" s="357"/>
      <c r="BN110" s="357"/>
      <c r="BO110" s="357">
        <v>6</v>
      </c>
      <c r="BP110" s="357">
        <v>72</v>
      </c>
      <c r="BQ110" s="357">
        <v>72</v>
      </c>
      <c r="BR110" s="357"/>
      <c r="BS110" s="357"/>
      <c r="BT110" s="357"/>
      <c r="BU110" s="357"/>
      <c r="BV110" s="357"/>
      <c r="BW110" s="357"/>
      <c r="BX110" s="272">
        <f t="shared" ref="BX110:BY136" si="10">+BU110+BR110+BO110+BL110+BI110+BF110+BC110+AZ110+AW110+AT110+AQ110</f>
        <v>25</v>
      </c>
      <c r="BY110" s="272">
        <f t="shared" si="10"/>
        <v>390</v>
      </c>
      <c r="BZ110" s="272">
        <f t="shared" si="8"/>
        <v>270.48</v>
      </c>
      <c r="CA110" s="273">
        <v>10</v>
      </c>
      <c r="CB110" s="273">
        <v>120</v>
      </c>
      <c r="CC110" s="273">
        <v>120</v>
      </c>
      <c r="CD110" s="273"/>
      <c r="CE110" s="273"/>
      <c r="CF110" s="273"/>
      <c r="CG110" s="273"/>
      <c r="CH110" s="273"/>
      <c r="CI110" s="273"/>
      <c r="CJ110" s="273"/>
      <c r="CK110" s="273"/>
      <c r="CL110" s="273"/>
      <c r="CM110" s="273">
        <v>10</v>
      </c>
      <c r="CN110" s="273">
        <v>120</v>
      </c>
      <c r="CO110" s="273">
        <v>120</v>
      </c>
      <c r="CP110" s="273"/>
      <c r="CQ110" s="273"/>
      <c r="CR110" s="273"/>
      <c r="CS110" s="273"/>
      <c r="CT110" s="273"/>
      <c r="CU110" s="273"/>
      <c r="CV110" s="273"/>
      <c r="CW110" s="273"/>
      <c r="CX110" s="273"/>
      <c r="CY110" s="273"/>
      <c r="CZ110" s="273"/>
      <c r="DA110" s="273"/>
      <c r="DB110" s="273"/>
      <c r="DC110" s="273"/>
      <c r="DD110" s="273"/>
      <c r="DE110" s="273"/>
      <c r="DF110" s="271"/>
      <c r="DG110" s="271"/>
      <c r="DH110" s="272">
        <f t="shared" si="6"/>
        <v>45</v>
      </c>
      <c r="DI110" s="272">
        <f t="shared" si="6"/>
        <v>630</v>
      </c>
      <c r="DJ110" s="324">
        <f t="shared" si="6"/>
        <v>510.48</v>
      </c>
      <c r="DK110" s="325"/>
      <c r="DL110" s="325"/>
    </row>
    <row r="111" spans="1:116" s="275" customFormat="1" ht="20.100000000000001" customHeight="1" x14ac:dyDescent="0.6">
      <c r="A111" s="234">
        <v>108</v>
      </c>
      <c r="B111" s="103" t="s">
        <v>619</v>
      </c>
      <c r="C111" s="103" t="s">
        <v>620</v>
      </c>
      <c r="D111" s="103" t="s">
        <v>297</v>
      </c>
      <c r="E111" s="148" t="s">
        <v>298</v>
      </c>
      <c r="F111" s="179" t="s">
        <v>591</v>
      </c>
      <c r="G111" s="322"/>
      <c r="H111" s="323"/>
      <c r="I111" s="322" t="s">
        <v>1049</v>
      </c>
      <c r="J111" s="322" t="s">
        <v>1023</v>
      </c>
      <c r="K111" s="241"/>
      <c r="L111" s="24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>
        <v>1</v>
      </c>
      <c r="W111" s="271">
        <v>40</v>
      </c>
      <c r="X111" s="271">
        <v>14</v>
      </c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  <c r="AM111" s="271"/>
      <c r="AN111" s="271"/>
      <c r="AO111" s="271"/>
      <c r="AP111" s="271"/>
      <c r="AQ111" s="272">
        <f t="shared" si="9"/>
        <v>1</v>
      </c>
      <c r="AR111" s="272">
        <f t="shared" si="9"/>
        <v>40</v>
      </c>
      <c r="AS111" s="272">
        <f t="shared" si="9"/>
        <v>14</v>
      </c>
      <c r="AT111" s="357">
        <v>4</v>
      </c>
      <c r="AU111" s="357">
        <v>48</v>
      </c>
      <c r="AV111" s="357">
        <v>43.2</v>
      </c>
      <c r="AW111" s="357"/>
      <c r="AX111" s="357"/>
      <c r="AY111" s="357"/>
      <c r="AZ111" s="357"/>
      <c r="BA111" s="357"/>
      <c r="BB111" s="357"/>
      <c r="BC111" s="357"/>
      <c r="BD111" s="357"/>
      <c r="BE111" s="357"/>
      <c r="BF111" s="357"/>
      <c r="BG111" s="357"/>
      <c r="BH111" s="357"/>
      <c r="BI111" s="357"/>
      <c r="BJ111" s="357"/>
      <c r="BK111" s="357"/>
      <c r="BL111" s="357"/>
      <c r="BM111" s="357"/>
      <c r="BN111" s="357"/>
      <c r="BO111" s="357">
        <v>7</v>
      </c>
      <c r="BP111" s="357">
        <v>84</v>
      </c>
      <c r="BQ111" s="357">
        <v>74.400000000000006</v>
      </c>
      <c r="BR111" s="357"/>
      <c r="BS111" s="357"/>
      <c r="BT111" s="357"/>
      <c r="BU111" s="357"/>
      <c r="BV111" s="357"/>
      <c r="BW111" s="357"/>
      <c r="BX111" s="272">
        <f t="shared" si="10"/>
        <v>12</v>
      </c>
      <c r="BY111" s="272">
        <f t="shared" si="10"/>
        <v>172</v>
      </c>
      <c r="BZ111" s="272">
        <f t="shared" si="8"/>
        <v>131.60000000000002</v>
      </c>
      <c r="CA111" s="273"/>
      <c r="CB111" s="273"/>
      <c r="CC111" s="273"/>
      <c r="CD111" s="273"/>
      <c r="CE111" s="273"/>
      <c r="CF111" s="273"/>
      <c r="CG111" s="273"/>
      <c r="CH111" s="273"/>
      <c r="CI111" s="273"/>
      <c r="CJ111" s="273"/>
      <c r="CK111" s="273"/>
      <c r="CL111" s="273"/>
      <c r="CM111" s="273"/>
      <c r="CN111" s="273"/>
      <c r="CO111" s="273"/>
      <c r="CP111" s="273"/>
      <c r="CQ111" s="273"/>
      <c r="CR111" s="273"/>
      <c r="CS111" s="273"/>
      <c r="CT111" s="273"/>
      <c r="CU111" s="273"/>
      <c r="CV111" s="273"/>
      <c r="CW111" s="273"/>
      <c r="CX111" s="273"/>
      <c r="CY111" s="273"/>
      <c r="CZ111" s="273"/>
      <c r="DA111" s="273"/>
      <c r="DB111" s="273"/>
      <c r="DC111" s="273"/>
      <c r="DD111" s="273"/>
      <c r="DE111" s="273"/>
      <c r="DF111" s="271"/>
      <c r="DG111" s="271"/>
      <c r="DH111" s="272">
        <f t="shared" si="6"/>
        <v>12</v>
      </c>
      <c r="DI111" s="272">
        <f t="shared" si="6"/>
        <v>172</v>
      </c>
      <c r="DJ111" s="324">
        <f t="shared" si="6"/>
        <v>131.60000000000002</v>
      </c>
      <c r="DK111" s="325"/>
      <c r="DL111" s="325"/>
    </row>
    <row r="112" spans="1:116" s="275" customFormat="1" ht="20.100000000000001" customHeight="1" x14ac:dyDescent="0.6">
      <c r="A112" s="234">
        <v>109</v>
      </c>
      <c r="B112" s="103" t="s">
        <v>621</v>
      </c>
      <c r="C112" s="103" t="s">
        <v>622</v>
      </c>
      <c r="D112" s="103" t="s">
        <v>297</v>
      </c>
      <c r="E112" s="148" t="s">
        <v>298</v>
      </c>
      <c r="F112" s="179" t="s">
        <v>591</v>
      </c>
      <c r="G112" s="322"/>
      <c r="H112" s="323"/>
      <c r="I112" s="322" t="s">
        <v>1050</v>
      </c>
      <c r="J112" s="322" t="s">
        <v>1051</v>
      </c>
      <c r="K112" s="241"/>
      <c r="L112" s="241"/>
      <c r="M112" s="271"/>
      <c r="N112" s="271"/>
      <c r="O112" s="271"/>
      <c r="P112" s="271">
        <v>30</v>
      </c>
      <c r="Q112" s="271">
        <v>360</v>
      </c>
      <c r="R112" s="271">
        <v>360</v>
      </c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  <c r="AO112" s="271"/>
      <c r="AP112" s="271"/>
      <c r="AQ112" s="272">
        <f t="shared" si="9"/>
        <v>30</v>
      </c>
      <c r="AR112" s="272">
        <f t="shared" si="9"/>
        <v>360</v>
      </c>
      <c r="AS112" s="272">
        <f t="shared" si="9"/>
        <v>360</v>
      </c>
      <c r="AT112" s="357"/>
      <c r="AU112" s="357"/>
      <c r="AV112" s="357"/>
      <c r="AW112" s="357"/>
      <c r="AX112" s="357"/>
      <c r="AY112" s="357"/>
      <c r="AZ112" s="357"/>
      <c r="BA112" s="357"/>
      <c r="BB112" s="357"/>
      <c r="BC112" s="357"/>
      <c r="BD112" s="357"/>
      <c r="BE112" s="357"/>
      <c r="BF112" s="357"/>
      <c r="BG112" s="357"/>
      <c r="BH112" s="357"/>
      <c r="BI112" s="357"/>
      <c r="BJ112" s="357"/>
      <c r="BK112" s="357"/>
      <c r="BL112" s="357"/>
      <c r="BM112" s="357"/>
      <c r="BN112" s="357"/>
      <c r="BO112" s="357"/>
      <c r="BP112" s="357"/>
      <c r="BQ112" s="357"/>
      <c r="BR112" s="357"/>
      <c r="BS112" s="357"/>
      <c r="BT112" s="357"/>
      <c r="BU112" s="357"/>
      <c r="BV112" s="357"/>
      <c r="BW112" s="357"/>
      <c r="BX112" s="272">
        <f t="shared" si="10"/>
        <v>30</v>
      </c>
      <c r="BY112" s="272">
        <f t="shared" si="10"/>
        <v>360</v>
      </c>
      <c r="BZ112" s="272">
        <f t="shared" si="8"/>
        <v>360</v>
      </c>
      <c r="CA112" s="273"/>
      <c r="CB112" s="273"/>
      <c r="CC112" s="273"/>
      <c r="CD112" s="273"/>
      <c r="CE112" s="273"/>
      <c r="CF112" s="273"/>
      <c r="CG112" s="273"/>
      <c r="CH112" s="273"/>
      <c r="CI112" s="273"/>
      <c r="CJ112" s="273"/>
      <c r="CK112" s="273"/>
      <c r="CL112" s="273"/>
      <c r="CM112" s="273"/>
      <c r="CN112" s="273"/>
      <c r="CO112" s="273"/>
      <c r="CP112" s="273"/>
      <c r="CQ112" s="273"/>
      <c r="CR112" s="273"/>
      <c r="CS112" s="273">
        <v>100</v>
      </c>
      <c r="CT112" s="273">
        <v>1200</v>
      </c>
      <c r="CU112" s="273">
        <v>1200</v>
      </c>
      <c r="CV112" s="273"/>
      <c r="CW112" s="273"/>
      <c r="CX112" s="273"/>
      <c r="CY112" s="273"/>
      <c r="CZ112" s="273"/>
      <c r="DA112" s="273"/>
      <c r="DB112" s="273"/>
      <c r="DC112" s="273"/>
      <c r="DD112" s="273"/>
      <c r="DE112" s="273"/>
      <c r="DF112" s="271"/>
      <c r="DG112" s="271"/>
      <c r="DH112" s="272">
        <f t="shared" si="6"/>
        <v>130</v>
      </c>
      <c r="DI112" s="272">
        <f t="shared" si="6"/>
        <v>1560</v>
      </c>
      <c r="DJ112" s="324">
        <f t="shared" si="6"/>
        <v>1560</v>
      </c>
      <c r="DK112" s="325"/>
      <c r="DL112" s="325"/>
    </row>
    <row r="113" spans="1:116" s="275" customFormat="1" ht="20.100000000000001" customHeight="1" x14ac:dyDescent="0.6">
      <c r="A113" s="234">
        <v>110</v>
      </c>
      <c r="B113" s="103">
        <v>99</v>
      </c>
      <c r="C113" s="103">
        <v>99</v>
      </c>
      <c r="D113" s="103" t="s">
        <v>297</v>
      </c>
      <c r="E113" s="148" t="s">
        <v>298</v>
      </c>
      <c r="F113" s="179" t="s">
        <v>591</v>
      </c>
      <c r="G113" s="322"/>
      <c r="H113" s="323"/>
      <c r="I113" s="322" t="s">
        <v>1052</v>
      </c>
      <c r="J113" s="322" t="s">
        <v>1051</v>
      </c>
      <c r="K113" s="241"/>
      <c r="L113" s="24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>
        <v>11</v>
      </c>
      <c r="W113" s="271">
        <v>134</v>
      </c>
      <c r="X113" s="271">
        <v>125.36</v>
      </c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2">
        <f t="shared" si="9"/>
        <v>11</v>
      </c>
      <c r="AR113" s="272">
        <f t="shared" si="9"/>
        <v>134</v>
      </c>
      <c r="AS113" s="272">
        <f t="shared" si="9"/>
        <v>125.36</v>
      </c>
      <c r="AT113" s="357">
        <v>5</v>
      </c>
      <c r="AU113" s="357">
        <v>60</v>
      </c>
      <c r="AV113" s="357">
        <v>60</v>
      </c>
      <c r="AW113" s="357">
        <v>14</v>
      </c>
      <c r="AX113" s="357">
        <v>232</v>
      </c>
      <c r="AY113" s="357">
        <v>146.63999999999999</v>
      </c>
      <c r="AZ113" s="357"/>
      <c r="BA113" s="357"/>
      <c r="BB113" s="357"/>
      <c r="BC113" s="357"/>
      <c r="BD113" s="357"/>
      <c r="BE113" s="357"/>
      <c r="BF113" s="357"/>
      <c r="BG113" s="357"/>
      <c r="BH113" s="357"/>
      <c r="BI113" s="357"/>
      <c r="BJ113" s="357"/>
      <c r="BK113" s="357"/>
      <c r="BL113" s="357"/>
      <c r="BM113" s="357"/>
      <c r="BN113" s="357"/>
      <c r="BO113" s="357">
        <v>9</v>
      </c>
      <c r="BP113" s="357">
        <v>116</v>
      </c>
      <c r="BQ113" s="357">
        <v>95.84</v>
      </c>
      <c r="BR113" s="357"/>
      <c r="BS113" s="357"/>
      <c r="BT113" s="357"/>
      <c r="BU113" s="357"/>
      <c r="BV113" s="357"/>
      <c r="BW113" s="357"/>
      <c r="BX113" s="272">
        <f t="shared" si="10"/>
        <v>39</v>
      </c>
      <c r="BY113" s="272">
        <f t="shared" si="10"/>
        <v>542</v>
      </c>
      <c r="BZ113" s="272">
        <f t="shared" si="8"/>
        <v>427.84000000000003</v>
      </c>
      <c r="CA113" s="273"/>
      <c r="CB113" s="273"/>
      <c r="CC113" s="273"/>
      <c r="CD113" s="273"/>
      <c r="CE113" s="273"/>
      <c r="CF113" s="273"/>
      <c r="CG113" s="273"/>
      <c r="CH113" s="273"/>
      <c r="CI113" s="273"/>
      <c r="CJ113" s="273"/>
      <c r="CK113" s="273"/>
      <c r="CL113" s="273"/>
      <c r="CM113" s="273">
        <v>11</v>
      </c>
      <c r="CN113" s="273">
        <v>140</v>
      </c>
      <c r="CO113" s="273">
        <v>111.44</v>
      </c>
      <c r="CP113" s="273"/>
      <c r="CQ113" s="273"/>
      <c r="CR113" s="273"/>
      <c r="CS113" s="273"/>
      <c r="CT113" s="273"/>
      <c r="CU113" s="273"/>
      <c r="CV113" s="273"/>
      <c r="CW113" s="273"/>
      <c r="CX113" s="273"/>
      <c r="CY113" s="273"/>
      <c r="CZ113" s="273"/>
      <c r="DA113" s="273"/>
      <c r="DB113" s="273"/>
      <c r="DC113" s="273"/>
      <c r="DD113" s="273"/>
      <c r="DE113" s="273"/>
      <c r="DF113" s="271"/>
      <c r="DG113" s="271"/>
      <c r="DH113" s="272">
        <f t="shared" si="6"/>
        <v>50</v>
      </c>
      <c r="DI113" s="272">
        <f t="shared" si="6"/>
        <v>682</v>
      </c>
      <c r="DJ113" s="324">
        <f t="shared" si="6"/>
        <v>539.28</v>
      </c>
      <c r="DK113" s="325"/>
      <c r="DL113" s="325"/>
    </row>
    <row r="114" spans="1:116" s="275" customFormat="1" ht="20.100000000000001" customHeight="1" x14ac:dyDescent="0.6">
      <c r="A114" s="234">
        <v>111</v>
      </c>
      <c r="B114" s="103" t="s">
        <v>623</v>
      </c>
      <c r="C114" s="103" t="s">
        <v>624</v>
      </c>
      <c r="D114" s="103" t="s">
        <v>625</v>
      </c>
      <c r="E114" s="148" t="s">
        <v>313</v>
      </c>
      <c r="F114" s="179" t="s">
        <v>591</v>
      </c>
      <c r="G114" s="322"/>
      <c r="H114" s="323"/>
      <c r="I114" s="322" t="s">
        <v>1053</v>
      </c>
      <c r="J114" s="322" t="s">
        <v>1051</v>
      </c>
      <c r="K114" s="241"/>
      <c r="L114" s="24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>
        <v>10</v>
      </c>
      <c r="Z114" s="271">
        <v>260</v>
      </c>
      <c r="AA114" s="271">
        <v>130</v>
      </c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2">
        <f t="shared" si="9"/>
        <v>10</v>
      </c>
      <c r="AR114" s="272">
        <f t="shared" si="9"/>
        <v>260</v>
      </c>
      <c r="AS114" s="272">
        <f t="shared" si="9"/>
        <v>130</v>
      </c>
      <c r="AT114" s="357"/>
      <c r="AU114" s="357"/>
      <c r="AV114" s="357"/>
      <c r="AW114" s="357">
        <v>1</v>
      </c>
      <c r="AX114" s="357">
        <v>12</v>
      </c>
      <c r="AY114" s="357">
        <v>8.4</v>
      </c>
      <c r="AZ114" s="357"/>
      <c r="BA114" s="357"/>
      <c r="BB114" s="357"/>
      <c r="BC114" s="357"/>
      <c r="BD114" s="357"/>
      <c r="BE114" s="357"/>
      <c r="BF114" s="357"/>
      <c r="BG114" s="357"/>
      <c r="BH114" s="357"/>
      <c r="BI114" s="357"/>
      <c r="BJ114" s="357"/>
      <c r="BK114" s="357"/>
      <c r="BL114" s="357"/>
      <c r="BM114" s="357"/>
      <c r="BN114" s="357"/>
      <c r="BO114" s="357"/>
      <c r="BP114" s="357"/>
      <c r="BQ114" s="357"/>
      <c r="BR114" s="357"/>
      <c r="BS114" s="357"/>
      <c r="BT114" s="357"/>
      <c r="BU114" s="357"/>
      <c r="BV114" s="357"/>
      <c r="BW114" s="357"/>
      <c r="BX114" s="272">
        <f t="shared" si="10"/>
        <v>11</v>
      </c>
      <c r="BY114" s="272">
        <f t="shared" si="10"/>
        <v>272</v>
      </c>
      <c r="BZ114" s="272">
        <f t="shared" si="8"/>
        <v>138.4</v>
      </c>
      <c r="CA114" s="273">
        <v>10</v>
      </c>
      <c r="CB114" s="273">
        <v>120</v>
      </c>
      <c r="CC114" s="273">
        <v>120</v>
      </c>
      <c r="CD114" s="273"/>
      <c r="CE114" s="273"/>
      <c r="CF114" s="273"/>
      <c r="CG114" s="273"/>
      <c r="CH114" s="273"/>
      <c r="CI114" s="273"/>
      <c r="CJ114" s="273"/>
      <c r="CK114" s="273"/>
      <c r="CL114" s="273"/>
      <c r="CM114" s="273"/>
      <c r="CN114" s="273"/>
      <c r="CO114" s="273"/>
      <c r="CP114" s="273">
        <v>10</v>
      </c>
      <c r="CQ114" s="273">
        <v>126</v>
      </c>
      <c r="CR114" s="273">
        <v>110.88</v>
      </c>
      <c r="CS114" s="273"/>
      <c r="CT114" s="273"/>
      <c r="CU114" s="273"/>
      <c r="CV114" s="273"/>
      <c r="CW114" s="273"/>
      <c r="CX114" s="273"/>
      <c r="CY114" s="273"/>
      <c r="CZ114" s="273"/>
      <c r="DA114" s="273"/>
      <c r="DB114" s="273"/>
      <c r="DC114" s="273"/>
      <c r="DD114" s="273"/>
      <c r="DE114" s="273"/>
      <c r="DF114" s="271"/>
      <c r="DG114" s="271"/>
      <c r="DH114" s="272">
        <f t="shared" si="6"/>
        <v>31</v>
      </c>
      <c r="DI114" s="272">
        <f t="shared" si="6"/>
        <v>518</v>
      </c>
      <c r="DJ114" s="324">
        <f t="shared" si="6"/>
        <v>369.28</v>
      </c>
      <c r="DK114" s="325"/>
      <c r="DL114" s="325"/>
    </row>
    <row r="115" spans="1:116" s="275" customFormat="1" ht="20.100000000000001" customHeight="1" x14ac:dyDescent="0.6">
      <c r="A115" s="234">
        <v>112</v>
      </c>
      <c r="B115" s="103" t="s">
        <v>626</v>
      </c>
      <c r="C115" s="103" t="s">
        <v>627</v>
      </c>
      <c r="D115" s="103" t="s">
        <v>625</v>
      </c>
      <c r="E115" s="148" t="s">
        <v>313</v>
      </c>
      <c r="F115" s="179" t="s">
        <v>591</v>
      </c>
      <c r="G115" s="322"/>
      <c r="H115" s="323"/>
      <c r="I115" s="322" t="s">
        <v>1054</v>
      </c>
      <c r="J115" s="322" t="s">
        <v>1051</v>
      </c>
      <c r="K115" s="241"/>
      <c r="L115" s="24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>
        <v>10</v>
      </c>
      <c r="Z115" s="271">
        <v>120</v>
      </c>
      <c r="AA115" s="271">
        <v>96</v>
      </c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2">
        <f t="shared" si="9"/>
        <v>10</v>
      </c>
      <c r="AR115" s="272">
        <f t="shared" si="9"/>
        <v>120</v>
      </c>
      <c r="AS115" s="272">
        <f t="shared" si="9"/>
        <v>96</v>
      </c>
      <c r="AT115" s="357"/>
      <c r="AU115" s="357"/>
      <c r="AV115" s="357"/>
      <c r="AW115" s="357">
        <v>1</v>
      </c>
      <c r="AX115" s="357">
        <v>40</v>
      </c>
      <c r="AY115" s="357">
        <v>14</v>
      </c>
      <c r="AZ115" s="357"/>
      <c r="BA115" s="357"/>
      <c r="BB115" s="357"/>
      <c r="BC115" s="357"/>
      <c r="BD115" s="357"/>
      <c r="BE115" s="357"/>
      <c r="BF115" s="357"/>
      <c r="BG115" s="357"/>
      <c r="BH115" s="357"/>
      <c r="BI115" s="357"/>
      <c r="BJ115" s="357"/>
      <c r="BK115" s="357"/>
      <c r="BL115" s="357"/>
      <c r="BM115" s="357"/>
      <c r="BN115" s="357"/>
      <c r="BO115" s="357"/>
      <c r="BP115" s="357"/>
      <c r="BQ115" s="357"/>
      <c r="BR115" s="357">
        <v>6</v>
      </c>
      <c r="BS115" s="357">
        <v>72</v>
      </c>
      <c r="BT115" s="357">
        <v>62.4</v>
      </c>
      <c r="BU115" s="357"/>
      <c r="BV115" s="357"/>
      <c r="BW115" s="357"/>
      <c r="BX115" s="272">
        <f t="shared" si="10"/>
        <v>17</v>
      </c>
      <c r="BY115" s="272">
        <f t="shared" si="10"/>
        <v>232</v>
      </c>
      <c r="BZ115" s="272">
        <f t="shared" si="8"/>
        <v>172.4</v>
      </c>
      <c r="CA115" s="273"/>
      <c r="CB115" s="273"/>
      <c r="CC115" s="273"/>
      <c r="CD115" s="273"/>
      <c r="CE115" s="273"/>
      <c r="CF115" s="273"/>
      <c r="CG115" s="273"/>
      <c r="CH115" s="273"/>
      <c r="CI115" s="273"/>
      <c r="CJ115" s="273"/>
      <c r="CK115" s="273"/>
      <c r="CL115" s="273"/>
      <c r="CM115" s="273"/>
      <c r="CN115" s="273"/>
      <c r="CO115" s="273"/>
      <c r="CP115" s="273">
        <v>11</v>
      </c>
      <c r="CQ115" s="273">
        <v>216</v>
      </c>
      <c r="CR115" s="273">
        <v>138</v>
      </c>
      <c r="CS115" s="273"/>
      <c r="CT115" s="273"/>
      <c r="CU115" s="273"/>
      <c r="CV115" s="273"/>
      <c r="CW115" s="273"/>
      <c r="CX115" s="273"/>
      <c r="CY115" s="273"/>
      <c r="CZ115" s="273"/>
      <c r="DA115" s="273"/>
      <c r="DB115" s="273"/>
      <c r="DC115" s="273"/>
      <c r="DD115" s="273"/>
      <c r="DE115" s="273"/>
      <c r="DF115" s="271"/>
      <c r="DG115" s="271"/>
      <c r="DH115" s="272">
        <f t="shared" si="6"/>
        <v>28</v>
      </c>
      <c r="DI115" s="272">
        <f t="shared" si="6"/>
        <v>448</v>
      </c>
      <c r="DJ115" s="324">
        <f t="shared" si="6"/>
        <v>310.39999999999998</v>
      </c>
      <c r="DK115" s="325"/>
      <c r="DL115" s="325"/>
    </row>
    <row r="116" spans="1:116" s="275" customFormat="1" ht="20.100000000000001" customHeight="1" x14ac:dyDescent="0.6">
      <c r="A116" s="234">
        <v>113</v>
      </c>
      <c r="B116" s="103" t="s">
        <v>628</v>
      </c>
      <c r="C116" s="103" t="s">
        <v>629</v>
      </c>
      <c r="D116" s="103" t="s">
        <v>625</v>
      </c>
      <c r="E116" s="148" t="s">
        <v>313</v>
      </c>
      <c r="F116" s="179" t="s">
        <v>591</v>
      </c>
      <c r="G116" s="322"/>
      <c r="H116" s="323"/>
      <c r="I116" s="322" t="s">
        <v>1055</v>
      </c>
      <c r="J116" s="322" t="s">
        <v>1051</v>
      </c>
      <c r="K116" s="241"/>
      <c r="L116" s="241"/>
      <c r="M116" s="271"/>
      <c r="N116" s="271"/>
      <c r="O116" s="271"/>
      <c r="P116" s="271"/>
      <c r="Q116" s="271"/>
      <c r="R116" s="271"/>
      <c r="S116" s="271">
        <v>3</v>
      </c>
      <c r="T116" s="271">
        <v>36</v>
      </c>
      <c r="U116" s="271">
        <v>36</v>
      </c>
      <c r="V116" s="271"/>
      <c r="W116" s="271"/>
      <c r="X116" s="271"/>
      <c r="Y116" s="271">
        <v>20</v>
      </c>
      <c r="Z116" s="271">
        <v>380</v>
      </c>
      <c r="AA116" s="271">
        <v>202</v>
      </c>
      <c r="AB116" s="271">
        <v>3</v>
      </c>
      <c r="AC116" s="271">
        <v>40</v>
      </c>
      <c r="AD116" s="271">
        <v>29.92</v>
      </c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>
        <v>5</v>
      </c>
      <c r="AO116" s="271">
        <v>64</v>
      </c>
      <c r="AP116" s="271">
        <v>53.92</v>
      </c>
      <c r="AQ116" s="272">
        <f t="shared" si="9"/>
        <v>31</v>
      </c>
      <c r="AR116" s="272">
        <f t="shared" si="9"/>
        <v>520</v>
      </c>
      <c r="AS116" s="272">
        <f t="shared" si="9"/>
        <v>321.84000000000003</v>
      </c>
      <c r="AT116" s="357"/>
      <c r="AU116" s="357"/>
      <c r="AV116" s="357"/>
      <c r="AW116" s="357"/>
      <c r="AX116" s="357"/>
      <c r="AY116" s="357"/>
      <c r="AZ116" s="357">
        <v>2</v>
      </c>
      <c r="BA116" s="357">
        <v>28</v>
      </c>
      <c r="BB116" s="357">
        <v>17.920000000000002</v>
      </c>
      <c r="BC116" s="357"/>
      <c r="BD116" s="357"/>
      <c r="BE116" s="357"/>
      <c r="BF116" s="357"/>
      <c r="BG116" s="357"/>
      <c r="BH116" s="357"/>
      <c r="BI116" s="357"/>
      <c r="BJ116" s="357"/>
      <c r="BK116" s="357"/>
      <c r="BL116" s="357">
        <v>6</v>
      </c>
      <c r="BM116" s="357">
        <v>132</v>
      </c>
      <c r="BN116" s="357">
        <v>69.92</v>
      </c>
      <c r="BO116" s="357"/>
      <c r="BP116" s="357"/>
      <c r="BQ116" s="357"/>
      <c r="BR116" s="357"/>
      <c r="BS116" s="357"/>
      <c r="BT116" s="357"/>
      <c r="BU116" s="357"/>
      <c r="BV116" s="357"/>
      <c r="BW116" s="357"/>
      <c r="BX116" s="272">
        <f t="shared" si="10"/>
        <v>39</v>
      </c>
      <c r="BY116" s="272">
        <f t="shared" si="10"/>
        <v>680</v>
      </c>
      <c r="BZ116" s="272">
        <f t="shared" si="8"/>
        <v>409.68000000000006</v>
      </c>
      <c r="CA116" s="273"/>
      <c r="CB116" s="273"/>
      <c r="CC116" s="273"/>
      <c r="CD116" s="273"/>
      <c r="CE116" s="273"/>
      <c r="CF116" s="273"/>
      <c r="CG116" s="273"/>
      <c r="CH116" s="273"/>
      <c r="CI116" s="273"/>
      <c r="CJ116" s="273"/>
      <c r="CK116" s="273"/>
      <c r="CL116" s="273"/>
      <c r="CM116" s="273"/>
      <c r="CN116" s="273"/>
      <c r="CO116" s="273"/>
      <c r="CP116" s="273"/>
      <c r="CQ116" s="273"/>
      <c r="CR116" s="273"/>
      <c r="CS116" s="273">
        <v>3</v>
      </c>
      <c r="CT116" s="273">
        <v>36</v>
      </c>
      <c r="CU116" s="273">
        <v>36</v>
      </c>
      <c r="CV116" s="273"/>
      <c r="CW116" s="273"/>
      <c r="CX116" s="273"/>
      <c r="CY116" s="273"/>
      <c r="CZ116" s="273"/>
      <c r="DA116" s="273"/>
      <c r="DB116" s="273"/>
      <c r="DC116" s="273"/>
      <c r="DD116" s="273"/>
      <c r="DE116" s="273"/>
      <c r="DF116" s="271"/>
      <c r="DG116" s="271"/>
      <c r="DH116" s="272">
        <f t="shared" si="6"/>
        <v>42</v>
      </c>
      <c r="DI116" s="272">
        <f t="shared" si="6"/>
        <v>716</v>
      </c>
      <c r="DJ116" s="324">
        <f t="shared" si="6"/>
        <v>445.68000000000006</v>
      </c>
      <c r="DK116" s="325"/>
      <c r="DL116" s="325"/>
    </row>
    <row r="117" spans="1:116" s="275" customFormat="1" ht="20.100000000000001" customHeight="1" x14ac:dyDescent="0.6">
      <c r="A117" s="234">
        <v>114</v>
      </c>
      <c r="B117" s="103" t="s">
        <v>630</v>
      </c>
      <c r="C117" s="103" t="s">
        <v>631</v>
      </c>
      <c r="D117" s="103" t="s">
        <v>625</v>
      </c>
      <c r="E117" s="148" t="s">
        <v>313</v>
      </c>
      <c r="F117" s="179" t="s">
        <v>591</v>
      </c>
      <c r="G117" s="322"/>
      <c r="H117" s="323"/>
      <c r="I117" s="322" t="s">
        <v>1056</v>
      </c>
      <c r="J117" s="322" t="s">
        <v>1051</v>
      </c>
      <c r="K117" s="241"/>
      <c r="L117" s="24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>
        <v>1</v>
      </c>
      <c r="AC117" s="271">
        <v>14</v>
      </c>
      <c r="AD117" s="271">
        <v>8.9600000000000009</v>
      </c>
      <c r="AE117" s="271"/>
      <c r="AF117" s="271"/>
      <c r="AG117" s="271"/>
      <c r="AH117" s="271"/>
      <c r="AI117" s="271"/>
      <c r="AJ117" s="271"/>
      <c r="AK117" s="271"/>
      <c r="AL117" s="271"/>
      <c r="AM117" s="271"/>
      <c r="AN117" s="271"/>
      <c r="AO117" s="271"/>
      <c r="AP117" s="271"/>
      <c r="AQ117" s="272">
        <f t="shared" si="9"/>
        <v>1</v>
      </c>
      <c r="AR117" s="272">
        <f t="shared" si="9"/>
        <v>14</v>
      </c>
      <c r="AS117" s="272">
        <f t="shared" si="9"/>
        <v>8.9600000000000009</v>
      </c>
      <c r="AT117" s="357"/>
      <c r="AU117" s="357"/>
      <c r="AV117" s="357"/>
      <c r="AW117" s="357"/>
      <c r="AX117" s="357"/>
      <c r="AY117" s="357"/>
      <c r="AZ117" s="357"/>
      <c r="BA117" s="357"/>
      <c r="BB117" s="357"/>
      <c r="BC117" s="357"/>
      <c r="BD117" s="357"/>
      <c r="BE117" s="357"/>
      <c r="BF117" s="357"/>
      <c r="BG117" s="357"/>
      <c r="BH117" s="357"/>
      <c r="BI117" s="357"/>
      <c r="BJ117" s="357"/>
      <c r="BK117" s="357"/>
      <c r="BL117" s="357"/>
      <c r="BM117" s="357"/>
      <c r="BN117" s="357"/>
      <c r="BO117" s="357"/>
      <c r="BP117" s="357"/>
      <c r="BQ117" s="357"/>
      <c r="BR117" s="357"/>
      <c r="BS117" s="357"/>
      <c r="BT117" s="357"/>
      <c r="BU117" s="357"/>
      <c r="BV117" s="357"/>
      <c r="BW117" s="357"/>
      <c r="BX117" s="272">
        <f t="shared" si="10"/>
        <v>1</v>
      </c>
      <c r="BY117" s="272">
        <f t="shared" si="10"/>
        <v>14</v>
      </c>
      <c r="BZ117" s="272">
        <f t="shared" si="8"/>
        <v>8.9600000000000009</v>
      </c>
      <c r="CA117" s="273"/>
      <c r="CB117" s="273"/>
      <c r="CC117" s="273"/>
      <c r="CD117" s="273"/>
      <c r="CE117" s="273"/>
      <c r="CF117" s="273"/>
      <c r="CG117" s="273"/>
      <c r="CH117" s="273"/>
      <c r="CI117" s="273"/>
      <c r="CJ117" s="273"/>
      <c r="CK117" s="273"/>
      <c r="CL117" s="273"/>
      <c r="CM117" s="273"/>
      <c r="CN117" s="273"/>
      <c r="CO117" s="273"/>
      <c r="CP117" s="273">
        <v>10</v>
      </c>
      <c r="CQ117" s="273">
        <v>120</v>
      </c>
      <c r="CR117" s="273">
        <v>120</v>
      </c>
      <c r="CS117" s="273"/>
      <c r="CT117" s="273"/>
      <c r="CU117" s="273"/>
      <c r="CV117" s="273"/>
      <c r="CW117" s="273"/>
      <c r="CX117" s="273"/>
      <c r="CY117" s="273"/>
      <c r="CZ117" s="273"/>
      <c r="DA117" s="273"/>
      <c r="DB117" s="273"/>
      <c r="DC117" s="273"/>
      <c r="DD117" s="273"/>
      <c r="DE117" s="273"/>
      <c r="DF117" s="271"/>
      <c r="DG117" s="271"/>
      <c r="DH117" s="272">
        <f t="shared" si="6"/>
        <v>11</v>
      </c>
      <c r="DI117" s="272">
        <f t="shared" si="6"/>
        <v>134</v>
      </c>
      <c r="DJ117" s="324">
        <f t="shared" si="6"/>
        <v>128.96</v>
      </c>
      <c r="DK117" s="325"/>
      <c r="DL117" s="325"/>
    </row>
    <row r="118" spans="1:116" s="275" customFormat="1" ht="20.100000000000001" customHeight="1" x14ac:dyDescent="0.6">
      <c r="A118" s="234">
        <v>115</v>
      </c>
      <c r="B118" s="103" t="s">
        <v>632</v>
      </c>
      <c r="C118" s="103" t="s">
        <v>633</v>
      </c>
      <c r="D118" s="103" t="s">
        <v>625</v>
      </c>
      <c r="E118" s="148" t="s">
        <v>313</v>
      </c>
      <c r="F118" s="179" t="s">
        <v>591</v>
      </c>
      <c r="G118" s="322"/>
      <c r="H118" s="323"/>
      <c r="I118" s="322" t="s">
        <v>1057</v>
      </c>
      <c r="J118" s="322" t="s">
        <v>1051</v>
      </c>
      <c r="K118" s="241"/>
      <c r="L118" s="24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>
        <v>3</v>
      </c>
      <c r="AC118" s="271">
        <v>36</v>
      </c>
      <c r="AD118" s="271">
        <v>36</v>
      </c>
      <c r="AE118" s="271"/>
      <c r="AF118" s="271"/>
      <c r="AG118" s="271"/>
      <c r="AH118" s="271"/>
      <c r="AI118" s="271"/>
      <c r="AJ118" s="271"/>
      <c r="AK118" s="271"/>
      <c r="AL118" s="271"/>
      <c r="AM118" s="271"/>
      <c r="AN118" s="271"/>
      <c r="AO118" s="271"/>
      <c r="AP118" s="271"/>
      <c r="AQ118" s="272">
        <f t="shared" si="9"/>
        <v>3</v>
      </c>
      <c r="AR118" s="272">
        <f t="shared" si="9"/>
        <v>36</v>
      </c>
      <c r="AS118" s="272">
        <f t="shared" si="9"/>
        <v>36</v>
      </c>
      <c r="AT118" s="357"/>
      <c r="AU118" s="357"/>
      <c r="AV118" s="357"/>
      <c r="AW118" s="357"/>
      <c r="AX118" s="357"/>
      <c r="AY118" s="357"/>
      <c r="AZ118" s="357">
        <v>2</v>
      </c>
      <c r="BA118" s="357">
        <v>24</v>
      </c>
      <c r="BB118" s="357">
        <v>24</v>
      </c>
      <c r="BC118" s="357">
        <v>2</v>
      </c>
      <c r="BD118" s="357">
        <v>80</v>
      </c>
      <c r="BE118" s="357">
        <v>28</v>
      </c>
      <c r="BF118" s="357"/>
      <c r="BG118" s="357"/>
      <c r="BH118" s="357"/>
      <c r="BI118" s="357"/>
      <c r="BJ118" s="357"/>
      <c r="BK118" s="357"/>
      <c r="BL118" s="357"/>
      <c r="BM118" s="357"/>
      <c r="BN118" s="357"/>
      <c r="BO118" s="357"/>
      <c r="BP118" s="357"/>
      <c r="BQ118" s="357"/>
      <c r="BR118" s="359"/>
      <c r="BS118" s="357"/>
      <c r="BT118" s="357"/>
      <c r="BU118" s="357">
        <v>3</v>
      </c>
      <c r="BV118" s="357">
        <v>36</v>
      </c>
      <c r="BW118" s="357">
        <v>36</v>
      </c>
      <c r="BX118" s="272">
        <f t="shared" si="10"/>
        <v>10</v>
      </c>
      <c r="BY118" s="272">
        <f t="shared" si="10"/>
        <v>176</v>
      </c>
      <c r="BZ118" s="272">
        <f t="shared" si="8"/>
        <v>124</v>
      </c>
      <c r="CA118" s="273"/>
      <c r="CB118" s="273"/>
      <c r="CC118" s="273"/>
      <c r="CD118" s="273"/>
      <c r="CE118" s="273"/>
      <c r="CF118" s="273"/>
      <c r="CG118" s="273"/>
      <c r="CH118" s="273"/>
      <c r="CI118" s="273"/>
      <c r="CJ118" s="273"/>
      <c r="CK118" s="273"/>
      <c r="CL118" s="273"/>
      <c r="CM118" s="273"/>
      <c r="CN118" s="273"/>
      <c r="CO118" s="273"/>
      <c r="CP118" s="273"/>
      <c r="CQ118" s="273"/>
      <c r="CR118" s="273"/>
      <c r="CS118" s="273">
        <v>2</v>
      </c>
      <c r="CT118" s="273">
        <v>24</v>
      </c>
      <c r="CU118" s="273">
        <v>24</v>
      </c>
      <c r="CV118" s="273"/>
      <c r="CW118" s="273"/>
      <c r="CX118" s="273"/>
      <c r="CY118" s="273"/>
      <c r="CZ118" s="273"/>
      <c r="DA118" s="273"/>
      <c r="DB118" s="273"/>
      <c r="DC118" s="273"/>
      <c r="DD118" s="273"/>
      <c r="DE118" s="273"/>
      <c r="DF118" s="271"/>
      <c r="DG118" s="271"/>
      <c r="DH118" s="272">
        <f t="shared" si="6"/>
        <v>12</v>
      </c>
      <c r="DI118" s="272">
        <f t="shared" si="6"/>
        <v>200</v>
      </c>
      <c r="DJ118" s="324">
        <f t="shared" si="6"/>
        <v>148</v>
      </c>
      <c r="DK118" s="325"/>
      <c r="DL118" s="325"/>
    </row>
    <row r="119" spans="1:116" s="275" customFormat="1" ht="20.100000000000001" customHeight="1" x14ac:dyDescent="0.6">
      <c r="A119" s="234">
        <v>116</v>
      </c>
      <c r="B119" s="103" t="s">
        <v>634</v>
      </c>
      <c r="C119" s="103" t="s">
        <v>635</v>
      </c>
      <c r="D119" s="103" t="s">
        <v>625</v>
      </c>
      <c r="E119" s="148" t="s">
        <v>313</v>
      </c>
      <c r="F119" s="179" t="s">
        <v>591</v>
      </c>
      <c r="G119" s="322"/>
      <c r="H119" s="323"/>
      <c r="I119" s="322" t="s">
        <v>1058</v>
      </c>
      <c r="J119" s="322" t="s">
        <v>1051</v>
      </c>
      <c r="K119" s="241"/>
      <c r="L119" s="24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2">
        <f t="shared" si="9"/>
        <v>0</v>
      </c>
      <c r="AR119" s="272">
        <f t="shared" si="9"/>
        <v>0</v>
      </c>
      <c r="AS119" s="272">
        <f t="shared" si="9"/>
        <v>0</v>
      </c>
      <c r="AT119" s="357"/>
      <c r="AU119" s="357"/>
      <c r="AV119" s="357"/>
      <c r="AW119" s="357"/>
      <c r="AX119" s="357"/>
      <c r="AY119" s="357"/>
      <c r="AZ119" s="357"/>
      <c r="BA119" s="357"/>
      <c r="BB119" s="357"/>
      <c r="BC119" s="357">
        <v>10</v>
      </c>
      <c r="BD119" s="357">
        <v>120</v>
      </c>
      <c r="BE119" s="357">
        <v>120</v>
      </c>
      <c r="BF119" s="357"/>
      <c r="BG119" s="357"/>
      <c r="BH119" s="357"/>
      <c r="BI119" s="357"/>
      <c r="BJ119" s="357"/>
      <c r="BK119" s="357"/>
      <c r="BL119" s="357"/>
      <c r="BM119" s="357"/>
      <c r="BN119" s="357"/>
      <c r="BO119" s="357"/>
      <c r="BP119" s="357"/>
      <c r="BQ119" s="357"/>
      <c r="BR119" s="357"/>
      <c r="BS119" s="357"/>
      <c r="BT119" s="357"/>
      <c r="BU119" s="357"/>
      <c r="BV119" s="357"/>
      <c r="BW119" s="357"/>
      <c r="BX119" s="272">
        <f t="shared" si="10"/>
        <v>10</v>
      </c>
      <c r="BY119" s="272">
        <f t="shared" si="10"/>
        <v>120</v>
      </c>
      <c r="BZ119" s="272">
        <f t="shared" si="8"/>
        <v>120</v>
      </c>
      <c r="CA119" s="273">
        <v>10</v>
      </c>
      <c r="CB119" s="273">
        <v>120</v>
      </c>
      <c r="CC119" s="273">
        <v>120</v>
      </c>
      <c r="CD119" s="273"/>
      <c r="CE119" s="273"/>
      <c r="CF119" s="273"/>
      <c r="CG119" s="273"/>
      <c r="CH119" s="273"/>
      <c r="CI119" s="273"/>
      <c r="CJ119" s="273"/>
      <c r="CK119" s="273"/>
      <c r="CL119" s="273"/>
      <c r="CM119" s="273"/>
      <c r="CN119" s="273"/>
      <c r="CO119" s="273"/>
      <c r="CP119" s="273"/>
      <c r="CQ119" s="273"/>
      <c r="CR119" s="273"/>
      <c r="CS119" s="273"/>
      <c r="CT119" s="273"/>
      <c r="CU119" s="273"/>
      <c r="CV119" s="273">
        <v>5</v>
      </c>
      <c r="CW119" s="273">
        <v>60</v>
      </c>
      <c r="CX119" s="273">
        <v>60</v>
      </c>
      <c r="CY119" s="273"/>
      <c r="CZ119" s="273"/>
      <c r="DA119" s="273"/>
      <c r="DB119" s="273"/>
      <c r="DC119" s="273"/>
      <c r="DD119" s="273"/>
      <c r="DE119" s="273"/>
      <c r="DF119" s="271"/>
      <c r="DG119" s="271"/>
      <c r="DH119" s="272">
        <f t="shared" si="6"/>
        <v>25</v>
      </c>
      <c r="DI119" s="272">
        <f t="shared" si="6"/>
        <v>300</v>
      </c>
      <c r="DJ119" s="324">
        <f t="shared" si="6"/>
        <v>300</v>
      </c>
      <c r="DK119" s="325"/>
      <c r="DL119" s="325"/>
    </row>
    <row r="120" spans="1:116" s="275" customFormat="1" ht="20.100000000000001" customHeight="1" x14ac:dyDescent="0.6">
      <c r="A120" s="234">
        <v>117</v>
      </c>
      <c r="B120" s="103" t="s">
        <v>636</v>
      </c>
      <c r="C120" s="103" t="s">
        <v>636</v>
      </c>
      <c r="D120" s="103" t="s">
        <v>625</v>
      </c>
      <c r="E120" s="148" t="s">
        <v>313</v>
      </c>
      <c r="F120" s="179" t="s">
        <v>591</v>
      </c>
      <c r="G120" s="322"/>
      <c r="H120" s="323"/>
      <c r="I120" s="322" t="s">
        <v>1059</v>
      </c>
      <c r="J120" s="322" t="s">
        <v>1051</v>
      </c>
      <c r="K120" s="241"/>
      <c r="L120" s="24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>
        <v>5</v>
      </c>
      <c r="Z120" s="271">
        <v>60</v>
      </c>
      <c r="AA120" s="271">
        <v>60</v>
      </c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  <c r="AO120" s="271"/>
      <c r="AP120" s="271"/>
      <c r="AQ120" s="272">
        <f t="shared" si="9"/>
        <v>5</v>
      </c>
      <c r="AR120" s="272">
        <f t="shared" si="9"/>
        <v>60</v>
      </c>
      <c r="AS120" s="272">
        <f t="shared" si="9"/>
        <v>60</v>
      </c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272">
        <f t="shared" si="10"/>
        <v>5</v>
      </c>
      <c r="BY120" s="272">
        <f t="shared" si="10"/>
        <v>60</v>
      </c>
      <c r="BZ120" s="272">
        <f t="shared" si="8"/>
        <v>60</v>
      </c>
      <c r="CA120" s="273">
        <v>10</v>
      </c>
      <c r="CB120" s="273">
        <v>120</v>
      </c>
      <c r="CC120" s="273">
        <v>120</v>
      </c>
      <c r="CD120" s="273"/>
      <c r="CE120" s="273"/>
      <c r="CF120" s="273"/>
      <c r="CG120" s="273"/>
      <c r="CH120" s="273"/>
      <c r="CI120" s="273"/>
      <c r="CJ120" s="273"/>
      <c r="CK120" s="273"/>
      <c r="CL120" s="273"/>
      <c r="CM120" s="273"/>
      <c r="CN120" s="273"/>
      <c r="CO120" s="273"/>
      <c r="CP120" s="273"/>
      <c r="CQ120" s="273"/>
      <c r="CR120" s="273"/>
      <c r="CS120" s="273"/>
      <c r="CT120" s="273"/>
      <c r="CU120" s="273"/>
      <c r="CV120" s="273">
        <v>5</v>
      </c>
      <c r="CW120" s="273">
        <v>60</v>
      </c>
      <c r="CX120" s="273">
        <v>60</v>
      </c>
      <c r="CY120" s="273"/>
      <c r="CZ120" s="273"/>
      <c r="DA120" s="273"/>
      <c r="DB120" s="273"/>
      <c r="DC120" s="273"/>
      <c r="DD120" s="273"/>
      <c r="DE120" s="273"/>
      <c r="DF120" s="271"/>
      <c r="DG120" s="271"/>
      <c r="DH120" s="272">
        <f t="shared" si="6"/>
        <v>20</v>
      </c>
      <c r="DI120" s="272">
        <f t="shared" si="6"/>
        <v>240</v>
      </c>
      <c r="DJ120" s="324">
        <f t="shared" si="6"/>
        <v>240</v>
      </c>
      <c r="DK120" s="325"/>
      <c r="DL120" s="325"/>
    </row>
    <row r="121" spans="1:116" s="275" customFormat="1" ht="20.100000000000001" customHeight="1" x14ac:dyDescent="0.6">
      <c r="A121" s="234">
        <v>118</v>
      </c>
      <c r="B121" s="103" t="s">
        <v>637</v>
      </c>
      <c r="C121" s="103" t="s">
        <v>638</v>
      </c>
      <c r="D121" s="103" t="s">
        <v>337</v>
      </c>
      <c r="E121" s="148" t="s">
        <v>338</v>
      </c>
      <c r="F121" s="179" t="s">
        <v>591</v>
      </c>
      <c r="G121" s="322"/>
      <c r="H121" s="323"/>
      <c r="I121" s="322" t="s">
        <v>1060</v>
      </c>
      <c r="J121" s="322" t="s">
        <v>1051</v>
      </c>
      <c r="K121" s="241"/>
      <c r="L121" s="24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  <c r="AO121" s="271"/>
      <c r="AP121" s="271"/>
      <c r="AQ121" s="272">
        <f t="shared" si="9"/>
        <v>0</v>
      </c>
      <c r="AR121" s="272">
        <f t="shared" si="9"/>
        <v>0</v>
      </c>
      <c r="AS121" s="272">
        <f t="shared" si="9"/>
        <v>0</v>
      </c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272">
        <f t="shared" si="10"/>
        <v>0</v>
      </c>
      <c r="BY121" s="272">
        <f t="shared" si="10"/>
        <v>0</v>
      </c>
      <c r="BZ121" s="272">
        <f t="shared" si="8"/>
        <v>0</v>
      </c>
      <c r="CA121" s="273"/>
      <c r="CB121" s="273"/>
      <c r="CC121" s="273"/>
      <c r="CD121" s="273"/>
      <c r="CE121" s="273"/>
      <c r="CF121" s="273"/>
      <c r="CG121" s="273"/>
      <c r="CH121" s="273"/>
      <c r="CI121" s="273"/>
      <c r="CJ121" s="273"/>
      <c r="CK121" s="273"/>
      <c r="CL121" s="273"/>
      <c r="CM121" s="273"/>
      <c r="CN121" s="273"/>
      <c r="CO121" s="273"/>
      <c r="CP121" s="273"/>
      <c r="CQ121" s="273"/>
      <c r="CR121" s="273"/>
      <c r="CS121" s="273"/>
      <c r="CT121" s="273"/>
      <c r="CU121" s="273"/>
      <c r="CV121" s="273"/>
      <c r="CW121" s="273"/>
      <c r="CX121" s="273"/>
      <c r="CY121" s="273"/>
      <c r="CZ121" s="273"/>
      <c r="DA121" s="273"/>
      <c r="DB121" s="273"/>
      <c r="DC121" s="273"/>
      <c r="DD121" s="273"/>
      <c r="DE121" s="273"/>
      <c r="DF121" s="271"/>
      <c r="DG121" s="271"/>
      <c r="DH121" s="272">
        <f t="shared" si="6"/>
        <v>0</v>
      </c>
      <c r="DI121" s="272">
        <f t="shared" si="6"/>
        <v>0</v>
      </c>
      <c r="DJ121" s="324">
        <f t="shared" si="6"/>
        <v>0</v>
      </c>
      <c r="DK121" s="325"/>
      <c r="DL121" s="325"/>
    </row>
    <row r="122" spans="1:116" s="275" customFormat="1" ht="20.100000000000001" customHeight="1" x14ac:dyDescent="0.6">
      <c r="A122" s="234">
        <v>119</v>
      </c>
      <c r="B122" s="103" t="s">
        <v>639</v>
      </c>
      <c r="C122" s="103" t="s">
        <v>640</v>
      </c>
      <c r="D122" s="103" t="s">
        <v>337</v>
      </c>
      <c r="E122" s="148" t="s">
        <v>338</v>
      </c>
      <c r="F122" s="179" t="s">
        <v>591</v>
      </c>
      <c r="G122" s="322"/>
      <c r="H122" s="323"/>
      <c r="I122" s="322" t="s">
        <v>1061</v>
      </c>
      <c r="J122" s="322" t="s">
        <v>1051</v>
      </c>
      <c r="K122" s="241"/>
      <c r="L122" s="24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  <c r="AM122" s="271"/>
      <c r="AN122" s="271"/>
      <c r="AO122" s="271"/>
      <c r="AP122" s="271"/>
      <c r="AQ122" s="272">
        <f t="shared" si="9"/>
        <v>0</v>
      </c>
      <c r="AR122" s="272">
        <f t="shared" si="9"/>
        <v>0</v>
      </c>
      <c r="AS122" s="272">
        <f t="shared" si="9"/>
        <v>0</v>
      </c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272">
        <f t="shared" si="10"/>
        <v>0</v>
      </c>
      <c r="BY122" s="272">
        <f t="shared" si="10"/>
        <v>0</v>
      </c>
      <c r="BZ122" s="272">
        <f t="shared" si="8"/>
        <v>0</v>
      </c>
      <c r="CA122" s="273"/>
      <c r="CB122" s="273"/>
      <c r="CC122" s="273"/>
      <c r="CD122" s="273"/>
      <c r="CE122" s="273"/>
      <c r="CF122" s="273"/>
      <c r="CG122" s="273"/>
      <c r="CH122" s="273"/>
      <c r="CI122" s="273"/>
      <c r="CJ122" s="273"/>
      <c r="CK122" s="273"/>
      <c r="CL122" s="273"/>
      <c r="CM122" s="273"/>
      <c r="CN122" s="273"/>
      <c r="CO122" s="273"/>
      <c r="CP122" s="273"/>
      <c r="CQ122" s="273"/>
      <c r="CR122" s="273"/>
      <c r="CS122" s="273"/>
      <c r="CT122" s="273"/>
      <c r="CU122" s="273"/>
      <c r="CV122" s="273"/>
      <c r="CW122" s="273"/>
      <c r="CX122" s="273"/>
      <c r="CY122" s="273"/>
      <c r="CZ122" s="273"/>
      <c r="DA122" s="273"/>
      <c r="DB122" s="273"/>
      <c r="DC122" s="273"/>
      <c r="DD122" s="273"/>
      <c r="DE122" s="273"/>
      <c r="DF122" s="271"/>
      <c r="DG122" s="271"/>
      <c r="DH122" s="272">
        <f t="shared" si="6"/>
        <v>0</v>
      </c>
      <c r="DI122" s="272">
        <f t="shared" si="6"/>
        <v>0</v>
      </c>
      <c r="DJ122" s="324">
        <f t="shared" si="6"/>
        <v>0</v>
      </c>
      <c r="DK122" s="325"/>
      <c r="DL122" s="325"/>
    </row>
    <row r="123" spans="1:116" s="275" customFormat="1" ht="20.100000000000001" customHeight="1" x14ac:dyDescent="0.6">
      <c r="A123" s="234">
        <v>120</v>
      </c>
      <c r="B123" s="103" t="s">
        <v>641</v>
      </c>
      <c r="C123" s="103" t="s">
        <v>641</v>
      </c>
      <c r="D123" s="103" t="s">
        <v>301</v>
      </c>
      <c r="E123" s="148" t="s">
        <v>87</v>
      </c>
      <c r="F123" s="179" t="s">
        <v>642</v>
      </c>
      <c r="G123" s="322"/>
      <c r="H123" s="323"/>
      <c r="I123" s="322" t="s">
        <v>1062</v>
      </c>
      <c r="J123" s="322" t="s">
        <v>1051</v>
      </c>
      <c r="K123" s="241"/>
      <c r="L123" s="24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  <c r="AM123" s="271"/>
      <c r="AN123" s="271"/>
      <c r="AO123" s="271"/>
      <c r="AP123" s="271"/>
      <c r="AQ123" s="272">
        <f t="shared" si="9"/>
        <v>0</v>
      </c>
      <c r="AR123" s="272">
        <f t="shared" si="9"/>
        <v>0</v>
      </c>
      <c r="AS123" s="272">
        <f t="shared" si="9"/>
        <v>0</v>
      </c>
      <c r="AT123" s="357"/>
      <c r="AU123" s="357"/>
      <c r="AV123" s="357"/>
      <c r="AW123" s="357"/>
      <c r="AX123" s="357"/>
      <c r="AY123" s="357"/>
      <c r="AZ123" s="357"/>
      <c r="BA123" s="357"/>
      <c r="BB123" s="357"/>
      <c r="BC123" s="357"/>
      <c r="BD123" s="357"/>
      <c r="BE123" s="357"/>
      <c r="BF123" s="357"/>
      <c r="BG123" s="357"/>
      <c r="BH123" s="357"/>
      <c r="BI123" s="357"/>
      <c r="BJ123" s="357"/>
      <c r="BK123" s="357"/>
      <c r="BL123" s="357"/>
      <c r="BM123" s="357"/>
      <c r="BN123" s="357"/>
      <c r="BO123" s="357"/>
      <c r="BP123" s="357"/>
      <c r="BQ123" s="357"/>
      <c r="BR123" s="357"/>
      <c r="BS123" s="357"/>
      <c r="BT123" s="357"/>
      <c r="BU123" s="357"/>
      <c r="BV123" s="357"/>
      <c r="BW123" s="357"/>
      <c r="BX123" s="272">
        <f t="shared" si="10"/>
        <v>0</v>
      </c>
      <c r="BY123" s="272">
        <f t="shared" si="10"/>
        <v>0</v>
      </c>
      <c r="BZ123" s="272">
        <f t="shared" si="8"/>
        <v>0</v>
      </c>
      <c r="CA123" s="273">
        <v>4.9160000000000004</v>
      </c>
      <c r="CB123" s="273">
        <v>68</v>
      </c>
      <c r="CC123" s="273">
        <v>51.86</v>
      </c>
      <c r="CD123" s="273"/>
      <c r="CE123" s="273"/>
      <c r="CF123" s="273"/>
      <c r="CG123" s="273"/>
      <c r="CH123" s="273"/>
      <c r="CI123" s="273"/>
      <c r="CJ123" s="273"/>
      <c r="CK123" s="273"/>
      <c r="CL123" s="273"/>
      <c r="CM123" s="273"/>
      <c r="CN123" s="273"/>
      <c r="CO123" s="273"/>
      <c r="CP123" s="273">
        <v>0.25</v>
      </c>
      <c r="CQ123" s="273">
        <v>6</v>
      </c>
      <c r="CR123" s="273">
        <v>2.1</v>
      </c>
      <c r="CS123" s="273"/>
      <c r="CT123" s="273"/>
      <c r="CU123" s="273"/>
      <c r="CV123" s="273"/>
      <c r="CW123" s="273"/>
      <c r="CX123" s="273"/>
      <c r="CY123" s="273"/>
      <c r="CZ123" s="273"/>
      <c r="DA123" s="273"/>
      <c r="DB123" s="273"/>
      <c r="DC123" s="273"/>
      <c r="DD123" s="273"/>
      <c r="DE123" s="273"/>
      <c r="DF123" s="271"/>
      <c r="DG123" s="271"/>
      <c r="DH123" s="272">
        <f t="shared" si="6"/>
        <v>5.1660000000000004</v>
      </c>
      <c r="DI123" s="272">
        <f t="shared" si="6"/>
        <v>74</v>
      </c>
      <c r="DJ123" s="324">
        <f t="shared" si="6"/>
        <v>53.96</v>
      </c>
      <c r="DK123" s="325"/>
      <c r="DL123" s="325"/>
    </row>
    <row r="124" spans="1:116" s="275" customFormat="1" ht="20.100000000000001" customHeight="1" x14ac:dyDescent="0.6">
      <c r="A124" s="234">
        <v>121</v>
      </c>
      <c r="B124" s="103" t="s">
        <v>533</v>
      </c>
      <c r="C124" s="103" t="s">
        <v>533</v>
      </c>
      <c r="D124" s="103" t="s">
        <v>301</v>
      </c>
      <c r="E124" s="148" t="s">
        <v>87</v>
      </c>
      <c r="F124" s="179" t="s">
        <v>642</v>
      </c>
      <c r="G124" s="322"/>
      <c r="H124" s="323"/>
      <c r="I124" s="322" t="s">
        <v>1063</v>
      </c>
      <c r="J124" s="322" t="s">
        <v>1051</v>
      </c>
      <c r="K124" s="241"/>
      <c r="L124" s="24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1"/>
      <c r="AL124" s="271"/>
      <c r="AM124" s="271"/>
      <c r="AN124" s="271"/>
      <c r="AO124" s="271"/>
      <c r="AP124" s="271"/>
      <c r="AQ124" s="272">
        <f t="shared" si="9"/>
        <v>0</v>
      </c>
      <c r="AR124" s="272">
        <f t="shared" si="9"/>
        <v>0</v>
      </c>
      <c r="AS124" s="272">
        <f t="shared" si="9"/>
        <v>0</v>
      </c>
      <c r="AT124" s="357"/>
      <c r="AU124" s="357"/>
      <c r="AV124" s="357"/>
      <c r="AW124" s="357"/>
      <c r="AX124" s="357"/>
      <c r="AY124" s="357"/>
      <c r="AZ124" s="357"/>
      <c r="BA124" s="357"/>
      <c r="BB124" s="357"/>
      <c r="BC124" s="357"/>
      <c r="BD124" s="357"/>
      <c r="BE124" s="357"/>
      <c r="BF124" s="357"/>
      <c r="BG124" s="357"/>
      <c r="BH124" s="357"/>
      <c r="BI124" s="357"/>
      <c r="BJ124" s="357"/>
      <c r="BK124" s="357"/>
      <c r="BL124" s="357"/>
      <c r="BM124" s="357"/>
      <c r="BN124" s="357"/>
      <c r="BO124" s="357"/>
      <c r="BP124" s="357"/>
      <c r="BQ124" s="357"/>
      <c r="BR124" s="357"/>
      <c r="BS124" s="357"/>
      <c r="BT124" s="357"/>
      <c r="BU124" s="357"/>
      <c r="BV124" s="357"/>
      <c r="BW124" s="357"/>
      <c r="BX124" s="272">
        <f t="shared" si="10"/>
        <v>0</v>
      </c>
      <c r="BY124" s="272">
        <f t="shared" si="10"/>
        <v>0</v>
      </c>
      <c r="BZ124" s="272">
        <f t="shared" si="8"/>
        <v>0</v>
      </c>
      <c r="CA124" s="273"/>
      <c r="CB124" s="273"/>
      <c r="CC124" s="273"/>
      <c r="CD124" s="273"/>
      <c r="CE124" s="273"/>
      <c r="CF124" s="273"/>
      <c r="CG124" s="273"/>
      <c r="CH124" s="273"/>
      <c r="CI124" s="273"/>
      <c r="CJ124" s="273"/>
      <c r="CK124" s="273"/>
      <c r="CL124" s="273"/>
      <c r="CM124" s="273"/>
      <c r="CN124" s="273"/>
      <c r="CO124" s="273"/>
      <c r="CP124" s="273">
        <v>0.66700000000000004</v>
      </c>
      <c r="CQ124" s="273">
        <v>14</v>
      </c>
      <c r="CR124" s="273">
        <v>5.6</v>
      </c>
      <c r="CS124" s="273">
        <v>0.75</v>
      </c>
      <c r="CT124" s="273">
        <v>15</v>
      </c>
      <c r="CU124" s="273">
        <v>6.3</v>
      </c>
      <c r="CV124" s="273">
        <v>1</v>
      </c>
      <c r="CW124" s="273">
        <v>12</v>
      </c>
      <c r="CX124" s="273">
        <v>12</v>
      </c>
      <c r="CY124" s="273"/>
      <c r="CZ124" s="273"/>
      <c r="DA124" s="273"/>
      <c r="DB124" s="273"/>
      <c r="DC124" s="273"/>
      <c r="DD124" s="273"/>
      <c r="DE124" s="273"/>
      <c r="DF124" s="271"/>
      <c r="DG124" s="271"/>
      <c r="DH124" s="272">
        <f t="shared" si="6"/>
        <v>2.4169999999999998</v>
      </c>
      <c r="DI124" s="272">
        <f t="shared" si="6"/>
        <v>41</v>
      </c>
      <c r="DJ124" s="324">
        <f t="shared" si="6"/>
        <v>23.9</v>
      </c>
      <c r="DK124" s="325"/>
      <c r="DL124" s="325"/>
    </row>
    <row r="125" spans="1:116" s="275" customFormat="1" ht="20.100000000000001" customHeight="1" x14ac:dyDescent="0.6">
      <c r="A125" s="234">
        <v>122</v>
      </c>
      <c r="B125" s="103" t="s">
        <v>643</v>
      </c>
      <c r="C125" s="103" t="s">
        <v>644</v>
      </c>
      <c r="D125" s="103" t="s">
        <v>301</v>
      </c>
      <c r="E125" s="148" t="s">
        <v>87</v>
      </c>
      <c r="F125" s="179" t="s">
        <v>642</v>
      </c>
      <c r="G125" s="322"/>
      <c r="H125" s="323"/>
      <c r="I125" s="322" t="s">
        <v>1064</v>
      </c>
      <c r="J125" s="322" t="s">
        <v>1051</v>
      </c>
      <c r="K125" s="241"/>
      <c r="L125" s="24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  <c r="AM125" s="271"/>
      <c r="AN125" s="271"/>
      <c r="AO125" s="271"/>
      <c r="AP125" s="271"/>
      <c r="AQ125" s="272">
        <f t="shared" si="9"/>
        <v>0</v>
      </c>
      <c r="AR125" s="272">
        <f t="shared" si="9"/>
        <v>0</v>
      </c>
      <c r="AS125" s="272">
        <f t="shared" si="9"/>
        <v>0</v>
      </c>
      <c r="AT125" s="357"/>
      <c r="AU125" s="357"/>
      <c r="AV125" s="357"/>
      <c r="AW125" s="357"/>
      <c r="AX125" s="357"/>
      <c r="AY125" s="357"/>
      <c r="AZ125" s="357"/>
      <c r="BA125" s="357"/>
      <c r="BB125" s="357"/>
      <c r="BC125" s="357">
        <v>15</v>
      </c>
      <c r="BD125" s="357">
        <v>180</v>
      </c>
      <c r="BE125" s="357">
        <v>180</v>
      </c>
      <c r="BF125" s="357"/>
      <c r="BG125" s="357"/>
      <c r="BH125" s="357"/>
      <c r="BI125" s="357"/>
      <c r="BJ125" s="357"/>
      <c r="BK125" s="357"/>
      <c r="BL125" s="357"/>
      <c r="BM125" s="357"/>
      <c r="BN125" s="357"/>
      <c r="BO125" s="357"/>
      <c r="BP125" s="357"/>
      <c r="BQ125" s="357"/>
      <c r="BR125" s="357"/>
      <c r="BS125" s="357"/>
      <c r="BT125" s="357"/>
      <c r="BU125" s="357"/>
      <c r="BV125" s="357"/>
      <c r="BW125" s="357"/>
      <c r="BX125" s="272">
        <f t="shared" si="10"/>
        <v>15</v>
      </c>
      <c r="BY125" s="272">
        <f t="shared" si="10"/>
        <v>180</v>
      </c>
      <c r="BZ125" s="272">
        <f t="shared" si="8"/>
        <v>180</v>
      </c>
      <c r="CA125" s="273">
        <v>15</v>
      </c>
      <c r="CB125" s="273">
        <v>180</v>
      </c>
      <c r="CC125" s="273">
        <v>180</v>
      </c>
      <c r="CD125" s="273"/>
      <c r="CE125" s="273"/>
      <c r="CF125" s="273"/>
      <c r="CG125" s="273"/>
      <c r="CH125" s="273"/>
      <c r="CI125" s="273"/>
      <c r="CJ125" s="273"/>
      <c r="CK125" s="273"/>
      <c r="CL125" s="273"/>
      <c r="CM125" s="273"/>
      <c r="CN125" s="273"/>
      <c r="CO125" s="273"/>
      <c r="CP125" s="273"/>
      <c r="CQ125" s="273"/>
      <c r="CR125" s="273"/>
      <c r="CS125" s="273"/>
      <c r="CT125" s="273"/>
      <c r="CU125" s="273"/>
      <c r="CV125" s="273"/>
      <c r="CW125" s="273"/>
      <c r="CX125" s="273"/>
      <c r="CY125" s="273"/>
      <c r="CZ125" s="273"/>
      <c r="DA125" s="273"/>
      <c r="DB125" s="273"/>
      <c r="DC125" s="273"/>
      <c r="DD125" s="273"/>
      <c r="DE125" s="273"/>
      <c r="DF125" s="271"/>
      <c r="DG125" s="271"/>
      <c r="DH125" s="272">
        <f t="shared" si="6"/>
        <v>30</v>
      </c>
      <c r="DI125" s="272">
        <f t="shared" si="6"/>
        <v>360</v>
      </c>
      <c r="DJ125" s="324">
        <f t="shared" si="6"/>
        <v>360</v>
      </c>
      <c r="DK125" s="325"/>
      <c r="DL125" s="325"/>
    </row>
    <row r="126" spans="1:116" s="275" customFormat="1" ht="20.100000000000001" customHeight="1" x14ac:dyDescent="0.6">
      <c r="A126" s="234">
        <v>123</v>
      </c>
      <c r="B126" s="103" t="s">
        <v>645</v>
      </c>
      <c r="C126" s="103" t="s">
        <v>646</v>
      </c>
      <c r="D126" s="103" t="s">
        <v>301</v>
      </c>
      <c r="E126" s="148" t="s">
        <v>87</v>
      </c>
      <c r="F126" s="179" t="s">
        <v>642</v>
      </c>
      <c r="G126" s="322"/>
      <c r="H126" s="323"/>
      <c r="I126" s="322" t="s">
        <v>1065</v>
      </c>
      <c r="J126" s="322" t="s">
        <v>1051</v>
      </c>
      <c r="K126" s="241"/>
      <c r="L126" s="24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  <c r="AM126" s="271"/>
      <c r="AN126" s="271"/>
      <c r="AO126" s="271"/>
      <c r="AP126" s="271"/>
      <c r="AQ126" s="272">
        <f t="shared" si="9"/>
        <v>0</v>
      </c>
      <c r="AR126" s="272">
        <f t="shared" si="9"/>
        <v>0</v>
      </c>
      <c r="AS126" s="272">
        <f t="shared" si="9"/>
        <v>0</v>
      </c>
      <c r="AT126" s="357"/>
      <c r="AU126" s="357"/>
      <c r="AV126" s="357"/>
      <c r="AW126" s="357"/>
      <c r="AX126" s="357"/>
      <c r="AY126" s="357"/>
      <c r="AZ126" s="357"/>
      <c r="BA126" s="357"/>
      <c r="BB126" s="357"/>
      <c r="BC126" s="357"/>
      <c r="BD126" s="357"/>
      <c r="BE126" s="357"/>
      <c r="BF126" s="357"/>
      <c r="BG126" s="357"/>
      <c r="BH126" s="357"/>
      <c r="BI126" s="357"/>
      <c r="BJ126" s="357"/>
      <c r="BK126" s="357"/>
      <c r="BL126" s="357"/>
      <c r="BM126" s="357"/>
      <c r="BN126" s="357"/>
      <c r="BO126" s="357"/>
      <c r="BP126" s="357"/>
      <c r="BQ126" s="357"/>
      <c r="BR126" s="357"/>
      <c r="BS126" s="357"/>
      <c r="BT126" s="357"/>
      <c r="BU126" s="357"/>
      <c r="BV126" s="357"/>
      <c r="BW126" s="357"/>
      <c r="BX126" s="272">
        <f t="shared" si="10"/>
        <v>0</v>
      </c>
      <c r="BY126" s="272">
        <f t="shared" si="10"/>
        <v>0</v>
      </c>
      <c r="BZ126" s="272">
        <f t="shared" si="8"/>
        <v>0</v>
      </c>
      <c r="CA126" s="273"/>
      <c r="CB126" s="273"/>
      <c r="CC126" s="273"/>
      <c r="CD126" s="273"/>
      <c r="CE126" s="273"/>
      <c r="CF126" s="273"/>
      <c r="CG126" s="273"/>
      <c r="CH126" s="273"/>
      <c r="CI126" s="273"/>
      <c r="CJ126" s="273">
        <v>1</v>
      </c>
      <c r="CK126" s="273">
        <v>12</v>
      </c>
      <c r="CL126" s="273">
        <v>12</v>
      </c>
      <c r="CM126" s="273"/>
      <c r="CN126" s="273"/>
      <c r="CO126" s="273"/>
      <c r="CP126" s="273"/>
      <c r="CQ126" s="273"/>
      <c r="CR126" s="273"/>
      <c r="CS126" s="273"/>
      <c r="CT126" s="273"/>
      <c r="CU126" s="273"/>
      <c r="CV126" s="273"/>
      <c r="CW126" s="273"/>
      <c r="CX126" s="273"/>
      <c r="CY126" s="273"/>
      <c r="CZ126" s="273"/>
      <c r="DA126" s="273"/>
      <c r="DB126" s="273"/>
      <c r="DC126" s="273"/>
      <c r="DD126" s="273"/>
      <c r="DE126" s="273"/>
      <c r="DF126" s="271"/>
      <c r="DG126" s="271"/>
      <c r="DH126" s="272">
        <f t="shared" si="6"/>
        <v>1</v>
      </c>
      <c r="DI126" s="272">
        <f t="shared" si="6"/>
        <v>12</v>
      </c>
      <c r="DJ126" s="324">
        <f t="shared" si="6"/>
        <v>12</v>
      </c>
      <c r="DK126" s="325"/>
      <c r="DL126" s="325"/>
    </row>
    <row r="127" spans="1:116" s="275" customFormat="1" ht="20.100000000000001" customHeight="1" x14ac:dyDescent="0.6">
      <c r="A127" s="234">
        <v>124</v>
      </c>
      <c r="B127" s="103" t="s">
        <v>647</v>
      </c>
      <c r="C127" s="103" t="s">
        <v>648</v>
      </c>
      <c r="D127" s="103" t="s">
        <v>301</v>
      </c>
      <c r="E127" s="148" t="s">
        <v>87</v>
      </c>
      <c r="F127" s="179" t="s">
        <v>642</v>
      </c>
      <c r="G127" s="322"/>
      <c r="H127" s="323"/>
      <c r="I127" s="322" t="s">
        <v>1066</v>
      </c>
      <c r="J127" s="322" t="s">
        <v>1051</v>
      </c>
      <c r="K127" s="241"/>
      <c r="L127" s="24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>
        <v>1.5</v>
      </c>
      <c r="AL127" s="271">
        <v>30</v>
      </c>
      <c r="AM127" s="271">
        <v>12.6</v>
      </c>
      <c r="AN127" s="271"/>
      <c r="AO127" s="271"/>
      <c r="AP127" s="271"/>
      <c r="AQ127" s="272">
        <f t="shared" si="9"/>
        <v>1.5</v>
      </c>
      <c r="AR127" s="272">
        <f t="shared" si="9"/>
        <v>30</v>
      </c>
      <c r="AS127" s="272">
        <f t="shared" si="9"/>
        <v>12.6</v>
      </c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>
        <v>6</v>
      </c>
      <c r="BD127" s="356">
        <v>156</v>
      </c>
      <c r="BE127" s="356">
        <v>78</v>
      </c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  <c r="BS127" s="356"/>
      <c r="BT127" s="356"/>
      <c r="BU127" s="356"/>
      <c r="BV127" s="356"/>
      <c r="BW127" s="356"/>
      <c r="BX127" s="272">
        <f t="shared" si="10"/>
        <v>7.5</v>
      </c>
      <c r="BY127" s="272">
        <f t="shared" si="10"/>
        <v>186</v>
      </c>
      <c r="BZ127" s="272">
        <f t="shared" si="8"/>
        <v>90.6</v>
      </c>
      <c r="CA127" s="273">
        <v>11.75</v>
      </c>
      <c r="CB127" s="273">
        <v>234</v>
      </c>
      <c r="CC127" s="273">
        <v>135.18</v>
      </c>
      <c r="CD127" s="273"/>
      <c r="CE127" s="273"/>
      <c r="CF127" s="273"/>
      <c r="CG127" s="273"/>
      <c r="CH127" s="273"/>
      <c r="CI127" s="273"/>
      <c r="CJ127" s="273"/>
      <c r="CK127" s="273"/>
      <c r="CL127" s="273"/>
      <c r="CM127" s="273"/>
      <c r="CN127" s="273"/>
      <c r="CO127" s="273"/>
      <c r="CP127" s="273">
        <v>0.25</v>
      </c>
      <c r="CQ127" s="273">
        <v>6</v>
      </c>
      <c r="CR127" s="273">
        <v>2.1</v>
      </c>
      <c r="CS127" s="273">
        <v>0.5</v>
      </c>
      <c r="CT127" s="273">
        <v>6</v>
      </c>
      <c r="CU127" s="273">
        <v>4.2</v>
      </c>
      <c r="CV127" s="273">
        <v>3</v>
      </c>
      <c r="CW127" s="273">
        <v>92</v>
      </c>
      <c r="CX127" s="273">
        <v>40</v>
      </c>
      <c r="CY127" s="273"/>
      <c r="CZ127" s="273"/>
      <c r="DA127" s="273"/>
      <c r="DB127" s="273"/>
      <c r="DC127" s="273"/>
      <c r="DD127" s="273"/>
      <c r="DE127" s="273"/>
      <c r="DF127" s="271"/>
      <c r="DG127" s="271"/>
      <c r="DH127" s="272">
        <f t="shared" si="6"/>
        <v>23</v>
      </c>
      <c r="DI127" s="272">
        <f t="shared" si="6"/>
        <v>524</v>
      </c>
      <c r="DJ127" s="324">
        <f t="shared" si="6"/>
        <v>272.08</v>
      </c>
      <c r="DK127" s="325"/>
      <c r="DL127" s="325"/>
    </row>
    <row r="128" spans="1:116" s="275" customFormat="1" ht="20.100000000000001" customHeight="1" x14ac:dyDescent="0.6">
      <c r="A128" s="234">
        <v>125</v>
      </c>
      <c r="B128" s="103" t="s">
        <v>649</v>
      </c>
      <c r="C128" s="103" t="s">
        <v>649</v>
      </c>
      <c r="D128" s="103" t="s">
        <v>116</v>
      </c>
      <c r="E128" s="148" t="s">
        <v>117</v>
      </c>
      <c r="F128" s="179" t="s">
        <v>642</v>
      </c>
      <c r="G128" s="322"/>
      <c r="H128" s="323"/>
      <c r="I128" s="322" t="s">
        <v>1067</v>
      </c>
      <c r="J128" s="322" t="s">
        <v>1051</v>
      </c>
      <c r="K128" s="241"/>
      <c r="L128" s="24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>
        <v>6</v>
      </c>
      <c r="AC128" s="271">
        <v>136</v>
      </c>
      <c r="AD128" s="271">
        <v>84</v>
      </c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  <c r="AO128" s="271"/>
      <c r="AP128" s="271"/>
      <c r="AQ128" s="272">
        <f t="shared" si="9"/>
        <v>6</v>
      </c>
      <c r="AR128" s="272">
        <f t="shared" si="9"/>
        <v>136</v>
      </c>
      <c r="AS128" s="272">
        <f t="shared" si="9"/>
        <v>84</v>
      </c>
      <c r="AT128" s="357"/>
      <c r="AU128" s="357"/>
      <c r="AV128" s="357"/>
      <c r="AW128" s="357"/>
      <c r="AX128" s="357"/>
      <c r="AY128" s="357"/>
      <c r="AZ128" s="357">
        <v>5</v>
      </c>
      <c r="BA128" s="357">
        <v>60</v>
      </c>
      <c r="BB128" s="357">
        <v>60</v>
      </c>
      <c r="BC128" s="357"/>
      <c r="BD128" s="357"/>
      <c r="BE128" s="357"/>
      <c r="BF128" s="357"/>
      <c r="BG128" s="357"/>
      <c r="BH128" s="357"/>
      <c r="BI128" s="357"/>
      <c r="BJ128" s="357"/>
      <c r="BK128" s="357"/>
      <c r="BL128" s="357"/>
      <c r="BM128" s="357"/>
      <c r="BN128" s="357"/>
      <c r="BO128" s="357"/>
      <c r="BP128" s="357"/>
      <c r="BQ128" s="357"/>
      <c r="BR128" s="357"/>
      <c r="BS128" s="357"/>
      <c r="BT128" s="357"/>
      <c r="BU128" s="357">
        <v>6</v>
      </c>
      <c r="BV128" s="357">
        <v>80</v>
      </c>
      <c r="BW128" s="357">
        <v>80</v>
      </c>
      <c r="BX128" s="272">
        <f t="shared" si="10"/>
        <v>17</v>
      </c>
      <c r="BY128" s="272">
        <f t="shared" si="10"/>
        <v>276</v>
      </c>
      <c r="BZ128" s="272">
        <f t="shared" si="8"/>
        <v>224</v>
      </c>
      <c r="CA128" s="273"/>
      <c r="CB128" s="273"/>
      <c r="CC128" s="273"/>
      <c r="CD128" s="273"/>
      <c r="CE128" s="273"/>
      <c r="CF128" s="273"/>
      <c r="CG128" s="273"/>
      <c r="CH128" s="273"/>
      <c r="CI128" s="273"/>
      <c r="CJ128" s="273"/>
      <c r="CK128" s="273"/>
      <c r="CL128" s="273"/>
      <c r="CM128" s="273"/>
      <c r="CN128" s="273"/>
      <c r="CO128" s="273"/>
      <c r="CP128" s="273"/>
      <c r="CQ128" s="273"/>
      <c r="CR128" s="273"/>
      <c r="CS128" s="273"/>
      <c r="CT128" s="273"/>
      <c r="CU128" s="273"/>
      <c r="CV128" s="273"/>
      <c r="CW128" s="273"/>
      <c r="CX128" s="273"/>
      <c r="CY128" s="273"/>
      <c r="CZ128" s="273"/>
      <c r="DA128" s="273"/>
      <c r="DB128" s="273"/>
      <c r="DC128" s="273"/>
      <c r="DD128" s="273"/>
      <c r="DE128" s="273"/>
      <c r="DF128" s="271"/>
      <c r="DG128" s="271"/>
      <c r="DH128" s="272">
        <f t="shared" si="6"/>
        <v>17</v>
      </c>
      <c r="DI128" s="272">
        <f t="shared" si="6"/>
        <v>276</v>
      </c>
      <c r="DJ128" s="324">
        <f t="shared" si="6"/>
        <v>224</v>
      </c>
      <c r="DK128" s="325"/>
      <c r="DL128" s="325"/>
    </row>
    <row r="129" spans="1:116" s="275" customFormat="1" ht="20.100000000000001" customHeight="1" x14ac:dyDescent="0.6">
      <c r="A129" s="234">
        <v>126</v>
      </c>
      <c r="B129" s="103" t="s">
        <v>650</v>
      </c>
      <c r="C129" s="103" t="s">
        <v>650</v>
      </c>
      <c r="D129" s="103" t="s">
        <v>116</v>
      </c>
      <c r="E129" s="148" t="s">
        <v>117</v>
      </c>
      <c r="F129" s="179" t="s">
        <v>642</v>
      </c>
      <c r="G129" s="322"/>
      <c r="H129" s="323"/>
      <c r="I129" s="322" t="s">
        <v>1068</v>
      </c>
      <c r="J129" s="322" t="s">
        <v>1051</v>
      </c>
      <c r="K129" s="241"/>
      <c r="L129" s="24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>
        <v>10</v>
      </c>
      <c r="AC129" s="271">
        <v>130</v>
      </c>
      <c r="AD129" s="271">
        <v>104.8</v>
      </c>
      <c r="AE129" s="271"/>
      <c r="AF129" s="271"/>
      <c r="AG129" s="271"/>
      <c r="AH129" s="271"/>
      <c r="AI129" s="271"/>
      <c r="AJ129" s="271"/>
      <c r="AK129" s="271"/>
      <c r="AL129" s="271"/>
      <c r="AM129" s="271"/>
      <c r="AN129" s="271"/>
      <c r="AO129" s="271"/>
      <c r="AP129" s="271"/>
      <c r="AQ129" s="272">
        <f t="shared" si="9"/>
        <v>10</v>
      </c>
      <c r="AR129" s="272">
        <f t="shared" si="9"/>
        <v>130</v>
      </c>
      <c r="AS129" s="272">
        <f t="shared" si="9"/>
        <v>104.8</v>
      </c>
      <c r="AT129" s="357"/>
      <c r="AU129" s="357"/>
      <c r="AV129" s="357"/>
      <c r="AW129" s="357"/>
      <c r="AX129" s="357"/>
      <c r="AY129" s="357"/>
      <c r="AZ129" s="357">
        <v>11</v>
      </c>
      <c r="BA129" s="357">
        <v>150</v>
      </c>
      <c r="BB129" s="357">
        <v>124.8</v>
      </c>
      <c r="BC129" s="357"/>
      <c r="BD129" s="357"/>
      <c r="BE129" s="357"/>
      <c r="BF129" s="357"/>
      <c r="BG129" s="357"/>
      <c r="BH129" s="357"/>
      <c r="BI129" s="357"/>
      <c r="BJ129" s="357"/>
      <c r="BK129" s="357"/>
      <c r="BL129" s="357"/>
      <c r="BM129" s="357"/>
      <c r="BN129" s="357"/>
      <c r="BO129" s="357"/>
      <c r="BP129" s="357"/>
      <c r="BQ129" s="357"/>
      <c r="BR129" s="357"/>
      <c r="BS129" s="357"/>
      <c r="BT129" s="357"/>
      <c r="BU129" s="357">
        <v>6</v>
      </c>
      <c r="BV129" s="357">
        <v>110</v>
      </c>
      <c r="BW129" s="357">
        <v>58.8</v>
      </c>
      <c r="BX129" s="272">
        <f t="shared" si="10"/>
        <v>27</v>
      </c>
      <c r="BY129" s="272">
        <f t="shared" si="10"/>
        <v>390</v>
      </c>
      <c r="BZ129" s="272">
        <f t="shared" si="8"/>
        <v>288.39999999999998</v>
      </c>
      <c r="CA129" s="273"/>
      <c r="CB129" s="273"/>
      <c r="CC129" s="273"/>
      <c r="CD129" s="273"/>
      <c r="CE129" s="273"/>
      <c r="CF129" s="273"/>
      <c r="CG129" s="273"/>
      <c r="CH129" s="273"/>
      <c r="CI129" s="273"/>
      <c r="CJ129" s="273"/>
      <c r="CK129" s="273"/>
      <c r="CL129" s="273"/>
      <c r="CM129" s="273"/>
      <c r="CN129" s="273"/>
      <c r="CO129" s="273"/>
      <c r="CP129" s="273"/>
      <c r="CQ129" s="273"/>
      <c r="CR129" s="273"/>
      <c r="CS129" s="273">
        <v>15</v>
      </c>
      <c r="CT129" s="273">
        <v>190</v>
      </c>
      <c r="CU129" s="273">
        <v>164.8</v>
      </c>
      <c r="CV129" s="273"/>
      <c r="CW129" s="273"/>
      <c r="CX129" s="273"/>
      <c r="CY129" s="273"/>
      <c r="CZ129" s="273"/>
      <c r="DA129" s="273"/>
      <c r="DB129" s="273"/>
      <c r="DC129" s="273"/>
      <c r="DD129" s="273"/>
      <c r="DE129" s="273"/>
      <c r="DF129" s="271"/>
      <c r="DG129" s="271"/>
      <c r="DH129" s="272">
        <f t="shared" si="6"/>
        <v>42</v>
      </c>
      <c r="DI129" s="272">
        <f t="shared" si="6"/>
        <v>580</v>
      </c>
      <c r="DJ129" s="324">
        <f t="shared" si="6"/>
        <v>453.2</v>
      </c>
      <c r="DK129" s="325"/>
      <c r="DL129" s="325"/>
    </row>
    <row r="130" spans="1:116" s="275" customFormat="1" ht="20.100000000000001" customHeight="1" x14ac:dyDescent="0.6">
      <c r="A130" s="234">
        <v>127</v>
      </c>
      <c r="B130" s="103" t="s">
        <v>651</v>
      </c>
      <c r="C130" s="103" t="s">
        <v>652</v>
      </c>
      <c r="D130" s="103" t="s">
        <v>116</v>
      </c>
      <c r="E130" s="148" t="s">
        <v>117</v>
      </c>
      <c r="F130" s="179" t="s">
        <v>642</v>
      </c>
      <c r="G130" s="322"/>
      <c r="H130" s="323"/>
      <c r="I130" s="322" t="s">
        <v>1069</v>
      </c>
      <c r="J130" s="322" t="s">
        <v>1051</v>
      </c>
      <c r="K130" s="241"/>
      <c r="L130" s="24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>
        <v>3</v>
      </c>
      <c r="AC130" s="271">
        <v>80</v>
      </c>
      <c r="AD130" s="271">
        <v>54</v>
      </c>
      <c r="AE130" s="271"/>
      <c r="AF130" s="271"/>
      <c r="AG130" s="271"/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2">
        <f t="shared" si="9"/>
        <v>3</v>
      </c>
      <c r="AR130" s="272">
        <f t="shared" si="9"/>
        <v>80</v>
      </c>
      <c r="AS130" s="272">
        <f t="shared" si="9"/>
        <v>54</v>
      </c>
      <c r="AT130" s="357"/>
      <c r="AU130" s="357"/>
      <c r="AV130" s="357"/>
      <c r="AW130" s="357"/>
      <c r="AX130" s="357"/>
      <c r="AY130" s="357"/>
      <c r="AZ130" s="357">
        <v>7</v>
      </c>
      <c r="BA130" s="357">
        <v>106</v>
      </c>
      <c r="BB130" s="357">
        <v>90.88</v>
      </c>
      <c r="BC130" s="357"/>
      <c r="BD130" s="357"/>
      <c r="BE130" s="357"/>
      <c r="BF130" s="357"/>
      <c r="BG130" s="357"/>
      <c r="BH130" s="357"/>
      <c r="BI130" s="357"/>
      <c r="BJ130" s="357"/>
      <c r="BK130" s="357"/>
      <c r="BL130" s="357"/>
      <c r="BM130" s="357"/>
      <c r="BN130" s="357"/>
      <c r="BO130" s="357">
        <v>39</v>
      </c>
      <c r="BP130" s="357">
        <v>468</v>
      </c>
      <c r="BQ130" s="357">
        <v>468</v>
      </c>
      <c r="BR130" s="357"/>
      <c r="BS130" s="357"/>
      <c r="BT130" s="357"/>
      <c r="BU130" s="357">
        <v>7</v>
      </c>
      <c r="BV130" s="357">
        <v>116</v>
      </c>
      <c r="BW130" s="357">
        <v>116</v>
      </c>
      <c r="BX130" s="272">
        <f t="shared" si="10"/>
        <v>56</v>
      </c>
      <c r="BY130" s="272">
        <f t="shared" si="10"/>
        <v>770</v>
      </c>
      <c r="BZ130" s="272">
        <f t="shared" si="8"/>
        <v>728.88</v>
      </c>
      <c r="CA130" s="273"/>
      <c r="CB130" s="273"/>
      <c r="CC130" s="273"/>
      <c r="CD130" s="273"/>
      <c r="CE130" s="273"/>
      <c r="CF130" s="273"/>
      <c r="CG130" s="273"/>
      <c r="CH130" s="273"/>
      <c r="CI130" s="273"/>
      <c r="CJ130" s="273"/>
      <c r="CK130" s="273"/>
      <c r="CL130" s="273"/>
      <c r="CM130" s="273"/>
      <c r="CN130" s="273"/>
      <c r="CO130" s="273"/>
      <c r="CP130" s="273"/>
      <c r="CQ130" s="273"/>
      <c r="CR130" s="273"/>
      <c r="CS130" s="273">
        <v>9</v>
      </c>
      <c r="CT130" s="273">
        <v>190</v>
      </c>
      <c r="CU130" s="273">
        <v>112.8</v>
      </c>
      <c r="CV130" s="273"/>
      <c r="CW130" s="273"/>
      <c r="CX130" s="273"/>
      <c r="CY130" s="273"/>
      <c r="CZ130" s="273"/>
      <c r="DA130" s="273"/>
      <c r="DB130" s="273"/>
      <c r="DC130" s="273"/>
      <c r="DD130" s="273"/>
      <c r="DE130" s="273"/>
      <c r="DF130" s="271"/>
      <c r="DG130" s="271"/>
      <c r="DH130" s="272">
        <f t="shared" si="6"/>
        <v>65</v>
      </c>
      <c r="DI130" s="272">
        <f t="shared" si="6"/>
        <v>960</v>
      </c>
      <c r="DJ130" s="324">
        <f t="shared" si="6"/>
        <v>841.68</v>
      </c>
      <c r="DK130" s="325"/>
      <c r="DL130" s="325"/>
    </row>
    <row r="131" spans="1:116" s="275" customFormat="1" ht="20.100000000000001" customHeight="1" x14ac:dyDescent="0.6">
      <c r="A131" s="234">
        <v>128</v>
      </c>
      <c r="B131" s="103" t="s">
        <v>653</v>
      </c>
      <c r="C131" s="103" t="s">
        <v>654</v>
      </c>
      <c r="D131" s="103" t="s">
        <v>116</v>
      </c>
      <c r="E131" s="148" t="s">
        <v>117</v>
      </c>
      <c r="F131" s="179" t="s">
        <v>642</v>
      </c>
      <c r="G131" s="322"/>
      <c r="H131" s="323"/>
      <c r="I131" s="322" t="s">
        <v>1070</v>
      </c>
      <c r="J131" s="322" t="s">
        <v>1051</v>
      </c>
      <c r="K131" s="241"/>
      <c r="L131" s="24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>
        <v>13</v>
      </c>
      <c r="AC131" s="271">
        <v>212</v>
      </c>
      <c r="AD131" s="271">
        <v>160</v>
      </c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  <c r="AO131" s="271"/>
      <c r="AP131" s="271"/>
      <c r="AQ131" s="272">
        <f t="shared" si="9"/>
        <v>13</v>
      </c>
      <c r="AR131" s="272">
        <f t="shared" si="9"/>
        <v>212</v>
      </c>
      <c r="AS131" s="272">
        <f t="shared" si="9"/>
        <v>160</v>
      </c>
      <c r="AT131" s="357"/>
      <c r="AU131" s="357"/>
      <c r="AV131" s="357"/>
      <c r="AW131" s="357"/>
      <c r="AX131" s="357"/>
      <c r="AY131" s="357"/>
      <c r="AZ131" s="357">
        <v>10</v>
      </c>
      <c r="BA131" s="357">
        <v>140</v>
      </c>
      <c r="BB131" s="357">
        <v>89.6</v>
      </c>
      <c r="BC131" s="357"/>
      <c r="BD131" s="357"/>
      <c r="BE131" s="357"/>
      <c r="BF131" s="357"/>
      <c r="BG131" s="357"/>
      <c r="BH131" s="357"/>
      <c r="BI131" s="357"/>
      <c r="BJ131" s="357"/>
      <c r="BK131" s="357"/>
      <c r="BL131" s="357"/>
      <c r="BM131" s="357"/>
      <c r="BN131" s="357"/>
      <c r="BO131" s="357"/>
      <c r="BP131" s="357"/>
      <c r="BQ131" s="357"/>
      <c r="BR131" s="357"/>
      <c r="BS131" s="357"/>
      <c r="BT131" s="357"/>
      <c r="BU131" s="357">
        <v>11</v>
      </c>
      <c r="BV131" s="357">
        <v>142</v>
      </c>
      <c r="BW131" s="357">
        <v>116.8</v>
      </c>
      <c r="BX131" s="272">
        <f t="shared" si="10"/>
        <v>34</v>
      </c>
      <c r="BY131" s="272">
        <f t="shared" si="10"/>
        <v>494</v>
      </c>
      <c r="BZ131" s="272">
        <f t="shared" si="8"/>
        <v>366.4</v>
      </c>
      <c r="CA131" s="273"/>
      <c r="CB131" s="273"/>
      <c r="CC131" s="273"/>
      <c r="CD131" s="273"/>
      <c r="CE131" s="273"/>
      <c r="CF131" s="273"/>
      <c r="CG131" s="273"/>
      <c r="CH131" s="273"/>
      <c r="CI131" s="273"/>
      <c r="CJ131" s="273"/>
      <c r="CK131" s="273"/>
      <c r="CL131" s="273"/>
      <c r="CM131" s="273"/>
      <c r="CN131" s="273"/>
      <c r="CO131" s="273"/>
      <c r="CP131" s="273"/>
      <c r="CQ131" s="273"/>
      <c r="CR131" s="273"/>
      <c r="CS131" s="273">
        <v>8</v>
      </c>
      <c r="CT131" s="273">
        <v>124</v>
      </c>
      <c r="CU131" s="273">
        <v>98</v>
      </c>
      <c r="CV131" s="273"/>
      <c r="CW131" s="273"/>
      <c r="CX131" s="273"/>
      <c r="CY131" s="273"/>
      <c r="CZ131" s="273"/>
      <c r="DA131" s="273"/>
      <c r="DB131" s="273"/>
      <c r="DC131" s="273"/>
      <c r="DD131" s="273"/>
      <c r="DE131" s="273"/>
      <c r="DF131" s="271"/>
      <c r="DG131" s="271"/>
      <c r="DH131" s="272">
        <f t="shared" si="6"/>
        <v>42</v>
      </c>
      <c r="DI131" s="272">
        <f t="shared" si="6"/>
        <v>618</v>
      </c>
      <c r="DJ131" s="324">
        <f t="shared" si="6"/>
        <v>464.4</v>
      </c>
      <c r="DK131" s="325"/>
      <c r="DL131" s="325"/>
    </row>
    <row r="132" spans="1:116" s="275" customFormat="1" ht="20.100000000000001" customHeight="1" x14ac:dyDescent="0.6">
      <c r="A132" s="234">
        <v>129</v>
      </c>
      <c r="B132" s="103" t="s">
        <v>655</v>
      </c>
      <c r="C132" s="103" t="s">
        <v>656</v>
      </c>
      <c r="D132" s="103" t="s">
        <v>657</v>
      </c>
      <c r="E132" s="148" t="s">
        <v>658</v>
      </c>
      <c r="F132" s="179" t="s">
        <v>642</v>
      </c>
      <c r="G132" s="322"/>
      <c r="H132" s="323"/>
      <c r="I132" s="322" t="s">
        <v>1071</v>
      </c>
      <c r="J132" s="322" t="s">
        <v>1051</v>
      </c>
      <c r="K132" s="241"/>
      <c r="L132" s="24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  <c r="AM132" s="271"/>
      <c r="AN132" s="271"/>
      <c r="AO132" s="271"/>
      <c r="AP132" s="271"/>
      <c r="AQ132" s="272">
        <f t="shared" si="9"/>
        <v>0</v>
      </c>
      <c r="AR132" s="272">
        <f t="shared" si="9"/>
        <v>0</v>
      </c>
      <c r="AS132" s="272">
        <f t="shared" si="9"/>
        <v>0</v>
      </c>
      <c r="AT132" s="357"/>
      <c r="AU132" s="357"/>
      <c r="AV132" s="357"/>
      <c r="AW132" s="357">
        <v>4</v>
      </c>
      <c r="AX132" s="357">
        <v>48</v>
      </c>
      <c r="AY132" s="357">
        <v>48</v>
      </c>
      <c r="AZ132" s="357"/>
      <c r="BA132" s="357"/>
      <c r="BB132" s="357"/>
      <c r="BC132" s="357"/>
      <c r="BD132" s="357"/>
      <c r="BE132" s="357"/>
      <c r="BF132" s="357"/>
      <c r="BG132" s="357"/>
      <c r="BH132" s="357"/>
      <c r="BI132" s="357"/>
      <c r="BJ132" s="357"/>
      <c r="BK132" s="357"/>
      <c r="BL132" s="357"/>
      <c r="BM132" s="357"/>
      <c r="BN132" s="357"/>
      <c r="BO132" s="357"/>
      <c r="BP132" s="357"/>
      <c r="BQ132" s="357"/>
      <c r="BR132" s="357"/>
      <c r="BS132" s="357"/>
      <c r="BT132" s="357"/>
      <c r="BU132" s="357"/>
      <c r="BV132" s="357"/>
      <c r="BW132" s="357"/>
      <c r="BX132" s="272">
        <f t="shared" si="10"/>
        <v>4</v>
      </c>
      <c r="BY132" s="272">
        <f t="shared" si="10"/>
        <v>48</v>
      </c>
      <c r="BZ132" s="272">
        <f t="shared" si="8"/>
        <v>48</v>
      </c>
      <c r="CA132" s="273"/>
      <c r="CB132" s="273"/>
      <c r="CC132" s="273"/>
      <c r="CD132" s="273"/>
      <c r="CE132" s="273"/>
      <c r="CF132" s="273"/>
      <c r="CG132" s="273"/>
      <c r="CH132" s="273"/>
      <c r="CI132" s="273"/>
      <c r="CJ132" s="273"/>
      <c r="CK132" s="273"/>
      <c r="CL132" s="273"/>
      <c r="CM132" s="273"/>
      <c r="CN132" s="273"/>
      <c r="CO132" s="273"/>
      <c r="CP132" s="273">
        <v>5</v>
      </c>
      <c r="CQ132" s="273">
        <v>60</v>
      </c>
      <c r="CR132" s="273">
        <v>60</v>
      </c>
      <c r="CS132" s="273"/>
      <c r="CT132" s="273"/>
      <c r="CU132" s="273"/>
      <c r="CV132" s="273"/>
      <c r="CW132" s="273"/>
      <c r="CX132" s="273"/>
      <c r="CY132" s="273"/>
      <c r="CZ132" s="273"/>
      <c r="DA132" s="273"/>
      <c r="DB132" s="273"/>
      <c r="DC132" s="273"/>
      <c r="DD132" s="273"/>
      <c r="DE132" s="273"/>
      <c r="DF132" s="271"/>
      <c r="DG132" s="271"/>
      <c r="DH132" s="272">
        <f t="shared" si="6"/>
        <v>9</v>
      </c>
      <c r="DI132" s="272">
        <f t="shared" si="6"/>
        <v>108</v>
      </c>
      <c r="DJ132" s="324">
        <f t="shared" si="6"/>
        <v>108</v>
      </c>
      <c r="DK132" s="325"/>
      <c r="DL132" s="325"/>
    </row>
    <row r="133" spans="1:116" s="275" customFormat="1" ht="20.100000000000001" customHeight="1" x14ac:dyDescent="0.6">
      <c r="A133" s="234">
        <v>130</v>
      </c>
      <c r="B133" s="103" t="s">
        <v>659</v>
      </c>
      <c r="C133" s="103" t="s">
        <v>660</v>
      </c>
      <c r="D133" s="103" t="s">
        <v>657</v>
      </c>
      <c r="E133" s="148" t="s">
        <v>658</v>
      </c>
      <c r="F133" s="179" t="s">
        <v>642</v>
      </c>
      <c r="G133" s="331"/>
      <c r="H133" s="331"/>
      <c r="I133" s="331"/>
      <c r="J133" s="331"/>
      <c r="K133" s="332"/>
      <c r="L133" s="24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>
        <v>32</v>
      </c>
      <c r="Z133" s="271">
        <v>444</v>
      </c>
      <c r="AA133" s="271">
        <v>292.8</v>
      </c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  <c r="AM133" s="271"/>
      <c r="AN133" s="271"/>
      <c r="AO133" s="271"/>
      <c r="AP133" s="271"/>
      <c r="AQ133" s="272">
        <f t="shared" si="9"/>
        <v>32</v>
      </c>
      <c r="AR133" s="272">
        <f t="shared" si="9"/>
        <v>444</v>
      </c>
      <c r="AS133" s="272">
        <f t="shared" si="9"/>
        <v>292.8</v>
      </c>
      <c r="AT133" s="357"/>
      <c r="AU133" s="357"/>
      <c r="AV133" s="357"/>
      <c r="AW133" s="357">
        <v>33</v>
      </c>
      <c r="AX133" s="357">
        <v>456</v>
      </c>
      <c r="AY133" s="357">
        <v>304.8</v>
      </c>
      <c r="AZ133" s="357"/>
      <c r="BA133" s="357"/>
      <c r="BB133" s="357"/>
      <c r="BC133" s="357"/>
      <c r="BD133" s="357"/>
      <c r="BE133" s="357"/>
      <c r="BF133" s="357"/>
      <c r="BG133" s="357"/>
      <c r="BH133" s="357"/>
      <c r="BI133" s="357"/>
      <c r="BJ133" s="357"/>
      <c r="BK133" s="357"/>
      <c r="BL133" s="357"/>
      <c r="BM133" s="357"/>
      <c r="BN133" s="357"/>
      <c r="BO133" s="357"/>
      <c r="BP133" s="357"/>
      <c r="BQ133" s="357"/>
      <c r="BR133" s="357">
        <v>33</v>
      </c>
      <c r="BS133" s="357">
        <v>456</v>
      </c>
      <c r="BT133" s="357">
        <v>304.8</v>
      </c>
      <c r="BU133" s="357"/>
      <c r="BV133" s="357"/>
      <c r="BW133" s="357"/>
      <c r="BX133" s="272">
        <f t="shared" si="10"/>
        <v>98</v>
      </c>
      <c r="BY133" s="272">
        <f t="shared" si="10"/>
        <v>1356</v>
      </c>
      <c r="BZ133" s="272">
        <f t="shared" si="8"/>
        <v>902.40000000000009</v>
      </c>
      <c r="CA133" s="273"/>
      <c r="CB133" s="273"/>
      <c r="CC133" s="273"/>
      <c r="CD133" s="273"/>
      <c r="CE133" s="273"/>
      <c r="CF133" s="273"/>
      <c r="CG133" s="273"/>
      <c r="CH133" s="273"/>
      <c r="CI133" s="273"/>
      <c r="CJ133" s="273"/>
      <c r="CK133" s="273"/>
      <c r="CL133" s="273"/>
      <c r="CM133" s="273"/>
      <c r="CN133" s="273"/>
      <c r="CO133" s="273"/>
      <c r="CP133" s="273">
        <v>30</v>
      </c>
      <c r="CQ133" s="273">
        <v>410</v>
      </c>
      <c r="CR133" s="273">
        <v>284</v>
      </c>
      <c r="CS133" s="273"/>
      <c r="CT133" s="273"/>
      <c r="CU133" s="273"/>
      <c r="CV133" s="273"/>
      <c r="CW133" s="273"/>
      <c r="CX133" s="273"/>
      <c r="CY133" s="273"/>
      <c r="CZ133" s="273"/>
      <c r="DA133" s="273"/>
      <c r="DB133" s="273"/>
      <c r="DC133" s="273"/>
      <c r="DD133" s="273"/>
      <c r="DE133" s="273"/>
      <c r="DF133" s="271"/>
      <c r="DG133" s="271"/>
      <c r="DH133" s="272">
        <f t="shared" ref="DH133:DJ146" si="11">BX133+CA133+CD133+CG133+CJ133+CM133+CP133+CS133+CV133+CY133+DB133+DE133</f>
        <v>128</v>
      </c>
      <c r="DI133" s="272">
        <f t="shared" si="11"/>
        <v>1766</v>
      </c>
      <c r="DJ133" s="324">
        <f t="shared" si="11"/>
        <v>1186.4000000000001</v>
      </c>
      <c r="DK133" s="325"/>
      <c r="DL133" s="325"/>
    </row>
    <row r="134" spans="1:116" s="275" customFormat="1" ht="20.100000000000001" customHeight="1" x14ac:dyDescent="0.6">
      <c r="A134" s="234">
        <v>131</v>
      </c>
      <c r="B134" s="103" t="s">
        <v>661</v>
      </c>
      <c r="C134" s="103" t="s">
        <v>662</v>
      </c>
      <c r="D134" s="103" t="s">
        <v>330</v>
      </c>
      <c r="E134" s="148" t="s">
        <v>331</v>
      </c>
      <c r="F134" s="179" t="s">
        <v>642</v>
      </c>
      <c r="G134" s="331"/>
      <c r="H134" s="331"/>
      <c r="I134" s="331"/>
      <c r="J134" s="331"/>
      <c r="K134" s="332"/>
      <c r="L134" s="24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  <c r="AM134" s="271"/>
      <c r="AN134" s="271"/>
      <c r="AO134" s="271"/>
      <c r="AP134" s="271"/>
      <c r="AQ134" s="272">
        <f t="shared" si="9"/>
        <v>0</v>
      </c>
      <c r="AR134" s="272">
        <f t="shared" si="9"/>
        <v>0</v>
      </c>
      <c r="AS134" s="272">
        <f t="shared" si="9"/>
        <v>0</v>
      </c>
      <c r="AT134" s="357"/>
      <c r="AU134" s="357"/>
      <c r="AV134" s="357"/>
      <c r="AW134" s="357"/>
      <c r="AX134" s="357"/>
      <c r="AY134" s="357"/>
      <c r="AZ134" s="357"/>
      <c r="BA134" s="357"/>
      <c r="BB134" s="357"/>
      <c r="BC134" s="357"/>
      <c r="BD134" s="357"/>
      <c r="BE134" s="357"/>
      <c r="BF134" s="357"/>
      <c r="BG134" s="357"/>
      <c r="BH134" s="357"/>
      <c r="BI134" s="357"/>
      <c r="BJ134" s="357"/>
      <c r="BK134" s="357"/>
      <c r="BL134" s="357"/>
      <c r="BM134" s="357"/>
      <c r="BN134" s="357"/>
      <c r="BO134" s="357"/>
      <c r="BP134" s="357"/>
      <c r="BQ134" s="357"/>
      <c r="BR134" s="357"/>
      <c r="BS134" s="357"/>
      <c r="BT134" s="357"/>
      <c r="BU134" s="357"/>
      <c r="BV134" s="357"/>
      <c r="BW134" s="357"/>
      <c r="BX134" s="272">
        <f t="shared" si="10"/>
        <v>0</v>
      </c>
      <c r="BY134" s="272">
        <f t="shared" si="10"/>
        <v>0</v>
      </c>
      <c r="BZ134" s="272">
        <f t="shared" ref="BZ134:BZ146" si="12">AS134+AV134+AY134+BB134+BE134+BH134+BK134+BN134+BQ134+BT134+BW134</f>
        <v>0</v>
      </c>
      <c r="CA134" s="273"/>
      <c r="CB134" s="273"/>
      <c r="CC134" s="273"/>
      <c r="CD134" s="273"/>
      <c r="CE134" s="273"/>
      <c r="CF134" s="273"/>
      <c r="CG134" s="273"/>
      <c r="CH134" s="273"/>
      <c r="CI134" s="273"/>
      <c r="CJ134" s="273"/>
      <c r="CK134" s="273"/>
      <c r="CL134" s="273"/>
      <c r="CM134" s="273">
        <v>10</v>
      </c>
      <c r="CN134" s="273">
        <v>120</v>
      </c>
      <c r="CO134" s="273">
        <v>120</v>
      </c>
      <c r="CP134" s="273"/>
      <c r="CQ134" s="273"/>
      <c r="CR134" s="273"/>
      <c r="CS134" s="273"/>
      <c r="CT134" s="273"/>
      <c r="CU134" s="273"/>
      <c r="CV134" s="273"/>
      <c r="CW134" s="273"/>
      <c r="CX134" s="273"/>
      <c r="CY134" s="273"/>
      <c r="CZ134" s="273"/>
      <c r="DA134" s="273"/>
      <c r="DB134" s="273"/>
      <c r="DC134" s="273"/>
      <c r="DD134" s="273"/>
      <c r="DE134" s="273"/>
      <c r="DF134" s="271"/>
      <c r="DG134" s="271"/>
      <c r="DH134" s="272">
        <f t="shared" si="11"/>
        <v>10</v>
      </c>
      <c r="DI134" s="272">
        <f t="shared" si="11"/>
        <v>120</v>
      </c>
      <c r="DJ134" s="324">
        <f t="shared" si="11"/>
        <v>120</v>
      </c>
      <c r="DK134" s="325"/>
      <c r="DL134" s="325"/>
    </row>
    <row r="135" spans="1:116" s="275" customFormat="1" ht="20.100000000000001" customHeight="1" x14ac:dyDescent="0.6">
      <c r="A135" s="234">
        <v>132</v>
      </c>
      <c r="B135" s="103" t="s">
        <v>663</v>
      </c>
      <c r="C135" s="103" t="s">
        <v>663</v>
      </c>
      <c r="D135" s="103" t="s">
        <v>664</v>
      </c>
      <c r="E135" s="148" t="s">
        <v>665</v>
      </c>
      <c r="F135" s="179" t="s">
        <v>642</v>
      </c>
      <c r="G135" s="331"/>
      <c r="H135" s="331"/>
      <c r="I135" s="331"/>
      <c r="J135" s="331"/>
      <c r="K135" s="332"/>
      <c r="L135" s="332"/>
      <c r="M135" s="271"/>
      <c r="N135" s="271"/>
      <c r="O135" s="271"/>
      <c r="P135" s="271"/>
      <c r="Q135" s="271"/>
      <c r="R135" s="271"/>
      <c r="S135" s="271">
        <v>15</v>
      </c>
      <c r="T135" s="271">
        <v>190</v>
      </c>
      <c r="U135" s="271">
        <v>164.8</v>
      </c>
      <c r="V135" s="271">
        <v>3</v>
      </c>
      <c r="W135" s="271">
        <v>36</v>
      </c>
      <c r="X135" s="271">
        <v>36</v>
      </c>
      <c r="Y135" s="271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>
        <v>23</v>
      </c>
      <c r="AL135" s="271">
        <v>380</v>
      </c>
      <c r="AM135" s="271">
        <v>251.6</v>
      </c>
      <c r="AN135" s="271"/>
      <c r="AO135" s="271"/>
      <c r="AP135" s="271"/>
      <c r="AQ135" s="272">
        <f t="shared" si="9"/>
        <v>41</v>
      </c>
      <c r="AR135" s="272">
        <f t="shared" si="9"/>
        <v>606</v>
      </c>
      <c r="AS135" s="272">
        <f t="shared" si="9"/>
        <v>452.40000000000003</v>
      </c>
      <c r="AT135" s="356">
        <v>20</v>
      </c>
      <c r="AU135" s="356">
        <v>240</v>
      </c>
      <c r="AV135" s="356">
        <v>240</v>
      </c>
      <c r="AW135" s="356">
        <v>10</v>
      </c>
      <c r="AX135" s="356">
        <v>130</v>
      </c>
      <c r="AY135" s="356">
        <v>104.8</v>
      </c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>
        <v>10</v>
      </c>
      <c r="BM135" s="356">
        <v>120</v>
      </c>
      <c r="BN135" s="356">
        <v>120</v>
      </c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272">
        <f t="shared" si="10"/>
        <v>81</v>
      </c>
      <c r="BY135" s="272">
        <f t="shared" si="10"/>
        <v>1096</v>
      </c>
      <c r="BZ135" s="272">
        <f t="shared" si="12"/>
        <v>917.2</v>
      </c>
      <c r="CA135" s="273"/>
      <c r="CB135" s="273"/>
      <c r="CC135" s="273"/>
      <c r="CD135" s="273"/>
      <c r="CE135" s="273"/>
      <c r="CF135" s="273"/>
      <c r="CG135" s="273">
        <v>5</v>
      </c>
      <c r="CH135" s="273">
        <v>60</v>
      </c>
      <c r="CI135" s="273">
        <v>60</v>
      </c>
      <c r="CJ135" s="273"/>
      <c r="CK135" s="273"/>
      <c r="CL135" s="273"/>
      <c r="CM135" s="273"/>
      <c r="CN135" s="273"/>
      <c r="CO135" s="273"/>
      <c r="CP135" s="273">
        <v>15</v>
      </c>
      <c r="CQ135" s="273">
        <v>190</v>
      </c>
      <c r="CR135" s="273">
        <v>164.8</v>
      </c>
      <c r="CS135" s="273"/>
      <c r="CT135" s="273"/>
      <c r="CU135" s="273"/>
      <c r="CV135" s="273">
        <v>38</v>
      </c>
      <c r="CW135" s="273">
        <v>462</v>
      </c>
      <c r="CX135" s="273">
        <v>446.88</v>
      </c>
      <c r="CY135" s="273"/>
      <c r="CZ135" s="273"/>
      <c r="DA135" s="273"/>
      <c r="DB135" s="273"/>
      <c r="DC135" s="273"/>
      <c r="DD135" s="273"/>
      <c r="DE135" s="273"/>
      <c r="DF135" s="271"/>
      <c r="DG135" s="271"/>
      <c r="DH135" s="272">
        <f t="shared" si="11"/>
        <v>139</v>
      </c>
      <c r="DI135" s="272">
        <f t="shared" si="11"/>
        <v>1808</v>
      </c>
      <c r="DJ135" s="324">
        <f t="shared" si="11"/>
        <v>1588.88</v>
      </c>
      <c r="DK135" s="325"/>
      <c r="DL135" s="325"/>
    </row>
    <row r="136" spans="1:116" s="275" customFormat="1" ht="20.100000000000001" customHeight="1" x14ac:dyDescent="0.6">
      <c r="A136" s="234">
        <v>133</v>
      </c>
      <c r="B136" s="103" t="s">
        <v>666</v>
      </c>
      <c r="C136" s="103" t="s">
        <v>667</v>
      </c>
      <c r="D136" s="103" t="s">
        <v>664</v>
      </c>
      <c r="E136" s="148" t="s">
        <v>665</v>
      </c>
      <c r="F136" s="179" t="s">
        <v>642</v>
      </c>
      <c r="G136" s="331"/>
      <c r="H136" s="331"/>
      <c r="I136" s="331"/>
      <c r="J136" s="331"/>
      <c r="K136" s="332"/>
      <c r="L136" s="332"/>
      <c r="M136" s="271"/>
      <c r="N136" s="271"/>
      <c r="O136" s="271"/>
      <c r="P136" s="271"/>
      <c r="Q136" s="271"/>
      <c r="R136" s="271"/>
      <c r="S136" s="271">
        <v>5</v>
      </c>
      <c r="T136" s="271">
        <v>60</v>
      </c>
      <c r="U136" s="271">
        <v>60</v>
      </c>
      <c r="V136" s="271"/>
      <c r="W136" s="271"/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>
        <v>10</v>
      </c>
      <c r="AL136" s="271">
        <v>120</v>
      </c>
      <c r="AM136" s="271">
        <v>120</v>
      </c>
      <c r="AN136" s="271"/>
      <c r="AO136" s="271"/>
      <c r="AP136" s="271"/>
      <c r="AQ136" s="272">
        <f t="shared" si="9"/>
        <v>15</v>
      </c>
      <c r="AR136" s="272">
        <f t="shared" si="9"/>
        <v>180</v>
      </c>
      <c r="AS136" s="272">
        <f t="shared" si="9"/>
        <v>180</v>
      </c>
      <c r="AT136" s="357"/>
      <c r="AU136" s="357"/>
      <c r="AV136" s="357"/>
      <c r="AW136" s="357"/>
      <c r="AX136" s="357"/>
      <c r="AY136" s="357"/>
      <c r="AZ136" s="357"/>
      <c r="BA136" s="357"/>
      <c r="BB136" s="357"/>
      <c r="BC136" s="357"/>
      <c r="BD136" s="357"/>
      <c r="BE136" s="357"/>
      <c r="BF136" s="357"/>
      <c r="BG136" s="357"/>
      <c r="BH136" s="357"/>
      <c r="BI136" s="357">
        <v>17</v>
      </c>
      <c r="BJ136" s="357">
        <v>260</v>
      </c>
      <c r="BK136" s="357">
        <v>208</v>
      </c>
      <c r="BL136" s="357"/>
      <c r="BM136" s="357"/>
      <c r="BN136" s="357"/>
      <c r="BO136" s="357"/>
      <c r="BP136" s="357"/>
      <c r="BQ136" s="357"/>
      <c r="BR136" s="357"/>
      <c r="BS136" s="357"/>
      <c r="BT136" s="357"/>
      <c r="BU136" s="357"/>
      <c r="BV136" s="357"/>
      <c r="BW136" s="357"/>
      <c r="BX136" s="272">
        <f t="shared" si="10"/>
        <v>32</v>
      </c>
      <c r="BY136" s="272">
        <f t="shared" si="10"/>
        <v>440</v>
      </c>
      <c r="BZ136" s="272">
        <f t="shared" si="12"/>
        <v>388</v>
      </c>
      <c r="CA136" s="273"/>
      <c r="CB136" s="273"/>
      <c r="CC136" s="273"/>
      <c r="CD136" s="273"/>
      <c r="CE136" s="273"/>
      <c r="CF136" s="273"/>
      <c r="CG136" s="273">
        <v>10</v>
      </c>
      <c r="CH136" s="273">
        <v>120</v>
      </c>
      <c r="CI136" s="273">
        <v>120</v>
      </c>
      <c r="CJ136" s="273"/>
      <c r="CK136" s="273"/>
      <c r="CL136" s="273"/>
      <c r="CM136" s="273"/>
      <c r="CN136" s="273"/>
      <c r="CO136" s="273"/>
      <c r="CP136" s="273"/>
      <c r="CQ136" s="273"/>
      <c r="CR136" s="273"/>
      <c r="CS136" s="273"/>
      <c r="CT136" s="273"/>
      <c r="CU136" s="273"/>
      <c r="CV136" s="273"/>
      <c r="CW136" s="273"/>
      <c r="CX136" s="273"/>
      <c r="CY136" s="273"/>
      <c r="CZ136" s="273"/>
      <c r="DA136" s="273"/>
      <c r="DB136" s="273"/>
      <c r="DC136" s="273"/>
      <c r="DD136" s="273"/>
      <c r="DE136" s="273"/>
      <c r="DF136" s="271"/>
      <c r="DG136" s="271"/>
      <c r="DH136" s="272">
        <f>BX136+CA136+CD136+CG136+CJ136+CM136+CP136+CS136+CV136+CY136+DB136+DE136</f>
        <v>42</v>
      </c>
      <c r="DI136" s="272">
        <f t="shared" si="11"/>
        <v>560</v>
      </c>
      <c r="DJ136" s="324">
        <f t="shared" si="11"/>
        <v>508</v>
      </c>
      <c r="DK136" s="325"/>
      <c r="DL136" s="325"/>
    </row>
    <row r="137" spans="1:116" s="275" customFormat="1" ht="20.100000000000001" customHeight="1" x14ac:dyDescent="0.6">
      <c r="A137" s="234">
        <v>134</v>
      </c>
      <c r="B137" s="103" t="s">
        <v>668</v>
      </c>
      <c r="C137" s="103" t="s">
        <v>669</v>
      </c>
      <c r="D137" s="103" t="s">
        <v>664</v>
      </c>
      <c r="E137" s="148" t="s">
        <v>665</v>
      </c>
      <c r="F137" s="179" t="s">
        <v>642</v>
      </c>
      <c r="G137" s="331"/>
      <c r="H137" s="331"/>
      <c r="I137" s="331"/>
      <c r="J137" s="331"/>
      <c r="K137" s="332"/>
      <c r="L137" s="332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>
        <v>73</v>
      </c>
      <c r="W137" s="271">
        <v>1060</v>
      </c>
      <c r="X137" s="271">
        <v>730</v>
      </c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>
        <v>5</v>
      </c>
      <c r="AL137" s="271">
        <v>60</v>
      </c>
      <c r="AM137" s="271">
        <v>60</v>
      </c>
      <c r="AN137" s="271"/>
      <c r="AO137" s="271"/>
      <c r="AP137" s="271"/>
      <c r="AQ137" s="272">
        <f t="shared" ref="AQ137:AS146" si="13">+AN137+AK137+AH137+AE137+AB137+Y137+V137+S137+P137+M137</f>
        <v>78</v>
      </c>
      <c r="AR137" s="272">
        <f t="shared" si="13"/>
        <v>1120</v>
      </c>
      <c r="AS137" s="272">
        <f t="shared" si="13"/>
        <v>790</v>
      </c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>
        <v>10</v>
      </c>
      <c r="BJ137" s="356">
        <v>120</v>
      </c>
      <c r="BK137" s="356">
        <v>120</v>
      </c>
      <c r="BL137" s="356">
        <v>55</v>
      </c>
      <c r="BM137" s="356">
        <v>760</v>
      </c>
      <c r="BN137" s="356">
        <v>508</v>
      </c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272">
        <f t="shared" ref="BX137:BY146" si="14">+BU137+BR137+BO137+BL137+BI137+BF137+BC137+AZ137+AW137+AT137+AQ137</f>
        <v>143</v>
      </c>
      <c r="BY137" s="272">
        <f t="shared" si="14"/>
        <v>2000</v>
      </c>
      <c r="BZ137" s="272">
        <f t="shared" si="12"/>
        <v>1418</v>
      </c>
      <c r="CA137" s="273"/>
      <c r="CB137" s="273"/>
      <c r="CC137" s="273"/>
      <c r="CD137" s="273"/>
      <c r="CE137" s="273"/>
      <c r="CF137" s="273"/>
      <c r="CG137" s="273">
        <v>1</v>
      </c>
      <c r="CH137" s="273">
        <v>12</v>
      </c>
      <c r="CI137" s="273">
        <v>12</v>
      </c>
      <c r="CJ137" s="273"/>
      <c r="CK137" s="273"/>
      <c r="CL137" s="273"/>
      <c r="CM137" s="273">
        <v>15</v>
      </c>
      <c r="CN137" s="273">
        <v>180</v>
      </c>
      <c r="CO137" s="273">
        <v>180</v>
      </c>
      <c r="CP137" s="273"/>
      <c r="CQ137" s="273"/>
      <c r="CR137" s="273"/>
      <c r="CS137" s="273"/>
      <c r="CT137" s="273"/>
      <c r="CU137" s="273"/>
      <c r="CV137" s="273"/>
      <c r="CW137" s="273"/>
      <c r="CX137" s="273"/>
      <c r="CY137" s="273"/>
      <c r="CZ137" s="273"/>
      <c r="DA137" s="273"/>
      <c r="DB137" s="273"/>
      <c r="DC137" s="273"/>
      <c r="DD137" s="273"/>
      <c r="DE137" s="273"/>
      <c r="DF137" s="271"/>
      <c r="DG137" s="271"/>
      <c r="DH137" s="272">
        <f t="shared" si="11"/>
        <v>159</v>
      </c>
      <c r="DI137" s="272">
        <f t="shared" si="11"/>
        <v>2192</v>
      </c>
      <c r="DJ137" s="324">
        <f t="shared" si="11"/>
        <v>1610</v>
      </c>
      <c r="DK137" s="325"/>
      <c r="DL137" s="325"/>
    </row>
    <row r="138" spans="1:116" s="275" customFormat="1" ht="20.100000000000001" customHeight="1" x14ac:dyDescent="0.6">
      <c r="A138" s="234">
        <v>135</v>
      </c>
      <c r="B138" s="103" t="s">
        <v>670</v>
      </c>
      <c r="C138" s="103" t="s">
        <v>671</v>
      </c>
      <c r="D138" s="103" t="s">
        <v>664</v>
      </c>
      <c r="E138" s="148" t="s">
        <v>665</v>
      </c>
      <c r="F138" s="179" t="s">
        <v>642</v>
      </c>
      <c r="G138" s="331"/>
      <c r="H138" s="331"/>
      <c r="I138" s="331"/>
      <c r="J138" s="331"/>
      <c r="K138" s="332"/>
      <c r="L138" s="332"/>
      <c r="M138" s="271"/>
      <c r="N138" s="271"/>
      <c r="O138" s="271"/>
      <c r="P138" s="271"/>
      <c r="Q138" s="271"/>
      <c r="R138" s="271"/>
      <c r="S138" s="271">
        <v>2</v>
      </c>
      <c r="T138" s="271">
        <v>80</v>
      </c>
      <c r="U138" s="271">
        <v>28</v>
      </c>
      <c r="V138" s="271"/>
      <c r="W138" s="271"/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>
        <v>18</v>
      </c>
      <c r="AL138" s="271">
        <v>264</v>
      </c>
      <c r="AM138" s="271">
        <v>187.6</v>
      </c>
      <c r="AN138" s="271"/>
      <c r="AO138" s="271"/>
      <c r="AP138" s="271"/>
      <c r="AQ138" s="272">
        <f t="shared" si="13"/>
        <v>20</v>
      </c>
      <c r="AR138" s="272">
        <f t="shared" si="13"/>
        <v>344</v>
      </c>
      <c r="AS138" s="272">
        <f t="shared" si="13"/>
        <v>215.6</v>
      </c>
      <c r="AT138" s="357"/>
      <c r="AU138" s="357"/>
      <c r="AV138" s="357"/>
      <c r="AW138" s="357"/>
      <c r="AX138" s="357"/>
      <c r="AY138" s="357"/>
      <c r="AZ138" s="357"/>
      <c r="BA138" s="357"/>
      <c r="BB138" s="357"/>
      <c r="BC138" s="357"/>
      <c r="BD138" s="357"/>
      <c r="BE138" s="357"/>
      <c r="BF138" s="357"/>
      <c r="BG138" s="357"/>
      <c r="BH138" s="357"/>
      <c r="BI138" s="357">
        <v>20</v>
      </c>
      <c r="BJ138" s="357">
        <v>260</v>
      </c>
      <c r="BK138" s="357">
        <v>209.6</v>
      </c>
      <c r="BL138" s="357"/>
      <c r="BM138" s="357"/>
      <c r="BN138" s="357"/>
      <c r="BO138" s="357"/>
      <c r="BP138" s="357"/>
      <c r="BQ138" s="357"/>
      <c r="BR138" s="357"/>
      <c r="BS138" s="357"/>
      <c r="BT138" s="357"/>
      <c r="BU138" s="357"/>
      <c r="BV138" s="357"/>
      <c r="BW138" s="357"/>
      <c r="BX138" s="272">
        <f t="shared" si="14"/>
        <v>40</v>
      </c>
      <c r="BY138" s="272">
        <f t="shared" si="14"/>
        <v>604</v>
      </c>
      <c r="BZ138" s="272">
        <f t="shared" si="12"/>
        <v>425.2</v>
      </c>
      <c r="CA138" s="273"/>
      <c r="CB138" s="273"/>
      <c r="CC138" s="273"/>
      <c r="CD138" s="273"/>
      <c r="CE138" s="273"/>
      <c r="CF138" s="273"/>
      <c r="CG138" s="273">
        <v>10</v>
      </c>
      <c r="CH138" s="273">
        <v>120</v>
      </c>
      <c r="CI138" s="273">
        <v>120</v>
      </c>
      <c r="CJ138" s="273"/>
      <c r="CK138" s="273"/>
      <c r="CL138" s="273"/>
      <c r="CM138" s="273"/>
      <c r="CN138" s="273"/>
      <c r="CO138" s="273"/>
      <c r="CP138" s="273"/>
      <c r="CQ138" s="273"/>
      <c r="CR138" s="273"/>
      <c r="CS138" s="273"/>
      <c r="CT138" s="273"/>
      <c r="CU138" s="273"/>
      <c r="CV138" s="273"/>
      <c r="CW138" s="273"/>
      <c r="CX138" s="273"/>
      <c r="CY138" s="273"/>
      <c r="CZ138" s="273"/>
      <c r="DA138" s="273"/>
      <c r="DB138" s="273"/>
      <c r="DC138" s="273"/>
      <c r="DD138" s="273"/>
      <c r="DE138" s="273"/>
      <c r="DF138" s="271"/>
      <c r="DG138" s="271"/>
      <c r="DH138" s="272">
        <f t="shared" si="11"/>
        <v>50</v>
      </c>
      <c r="DI138" s="272">
        <f t="shared" si="11"/>
        <v>724</v>
      </c>
      <c r="DJ138" s="324">
        <f t="shared" si="11"/>
        <v>545.20000000000005</v>
      </c>
      <c r="DK138" s="325"/>
      <c r="DL138" s="325"/>
    </row>
    <row r="139" spans="1:116" s="275" customFormat="1" ht="20.100000000000001" customHeight="1" x14ac:dyDescent="0.6">
      <c r="A139" s="234">
        <v>136</v>
      </c>
      <c r="B139" s="103" t="s">
        <v>672</v>
      </c>
      <c r="C139" s="103" t="s">
        <v>673</v>
      </c>
      <c r="D139" s="103" t="s">
        <v>330</v>
      </c>
      <c r="E139" s="148" t="s">
        <v>331</v>
      </c>
      <c r="F139" s="179" t="s">
        <v>642</v>
      </c>
      <c r="G139" s="331"/>
      <c r="H139" s="331"/>
      <c r="I139" s="331"/>
      <c r="J139" s="331"/>
      <c r="K139" s="332"/>
      <c r="L139" s="332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>
        <v>11</v>
      </c>
      <c r="W139" s="271">
        <v>166</v>
      </c>
      <c r="X139" s="271">
        <v>124.88</v>
      </c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  <c r="AM139" s="271"/>
      <c r="AN139" s="271"/>
      <c r="AO139" s="271"/>
      <c r="AP139" s="271"/>
      <c r="AQ139" s="272">
        <f t="shared" si="13"/>
        <v>11</v>
      </c>
      <c r="AR139" s="272">
        <f t="shared" si="13"/>
        <v>166</v>
      </c>
      <c r="AS139" s="272">
        <f t="shared" si="13"/>
        <v>124.88</v>
      </c>
      <c r="AT139" s="357">
        <v>11</v>
      </c>
      <c r="AU139" s="357">
        <v>138</v>
      </c>
      <c r="AV139" s="357">
        <v>119.28</v>
      </c>
      <c r="AW139" s="357"/>
      <c r="AX139" s="357"/>
      <c r="AY139" s="357"/>
      <c r="AZ139" s="357"/>
      <c r="BA139" s="357"/>
      <c r="BB139" s="357"/>
      <c r="BC139" s="357"/>
      <c r="BD139" s="357"/>
      <c r="BE139" s="357"/>
      <c r="BF139" s="357"/>
      <c r="BG139" s="357"/>
      <c r="BH139" s="357"/>
      <c r="BI139" s="357"/>
      <c r="BJ139" s="357"/>
      <c r="BK139" s="357"/>
      <c r="BL139" s="357"/>
      <c r="BM139" s="357"/>
      <c r="BN139" s="357"/>
      <c r="BO139" s="357">
        <v>11</v>
      </c>
      <c r="BP139" s="357">
        <v>166</v>
      </c>
      <c r="BQ139" s="357">
        <v>124.88</v>
      </c>
      <c r="BR139" s="357"/>
      <c r="BS139" s="357"/>
      <c r="BT139" s="357"/>
      <c r="BU139" s="357"/>
      <c r="BV139" s="357"/>
      <c r="BW139" s="357"/>
      <c r="BX139" s="272">
        <f t="shared" si="14"/>
        <v>33</v>
      </c>
      <c r="BY139" s="272">
        <f t="shared" si="14"/>
        <v>470</v>
      </c>
      <c r="BZ139" s="272">
        <f t="shared" si="12"/>
        <v>369.03999999999996</v>
      </c>
      <c r="CA139" s="273"/>
      <c r="CB139" s="273"/>
      <c r="CC139" s="273"/>
      <c r="CD139" s="273"/>
      <c r="CE139" s="273"/>
      <c r="CF139" s="273"/>
      <c r="CG139" s="273"/>
      <c r="CH139" s="273"/>
      <c r="CI139" s="273"/>
      <c r="CJ139" s="273"/>
      <c r="CK139" s="273"/>
      <c r="CL139" s="273"/>
      <c r="CM139" s="273">
        <v>11</v>
      </c>
      <c r="CN139" s="273">
        <v>166</v>
      </c>
      <c r="CO139" s="273">
        <v>124.88</v>
      </c>
      <c r="CP139" s="273"/>
      <c r="CQ139" s="273"/>
      <c r="CR139" s="273"/>
      <c r="CS139" s="273"/>
      <c r="CT139" s="273"/>
      <c r="CU139" s="273"/>
      <c r="CV139" s="273"/>
      <c r="CW139" s="273"/>
      <c r="CX139" s="273"/>
      <c r="CY139" s="273"/>
      <c r="CZ139" s="273"/>
      <c r="DA139" s="273"/>
      <c r="DB139" s="273"/>
      <c r="DC139" s="273"/>
      <c r="DD139" s="273"/>
      <c r="DE139" s="273"/>
      <c r="DF139" s="271"/>
      <c r="DG139" s="271"/>
      <c r="DH139" s="272">
        <f t="shared" si="11"/>
        <v>44</v>
      </c>
      <c r="DI139" s="272">
        <f t="shared" si="11"/>
        <v>636</v>
      </c>
      <c r="DJ139" s="324">
        <f t="shared" si="11"/>
        <v>493.91999999999996</v>
      </c>
      <c r="DK139" s="325"/>
      <c r="DL139" s="325"/>
    </row>
    <row r="140" spans="1:116" s="275" customFormat="1" ht="20.100000000000001" customHeight="1" x14ac:dyDescent="0.6">
      <c r="A140" s="234">
        <v>137</v>
      </c>
      <c r="B140" s="103" t="s">
        <v>674</v>
      </c>
      <c r="C140" s="103" t="s">
        <v>675</v>
      </c>
      <c r="D140" s="103" t="s">
        <v>330</v>
      </c>
      <c r="E140" s="148" t="s">
        <v>331</v>
      </c>
      <c r="F140" s="179" t="s">
        <v>642</v>
      </c>
      <c r="G140" s="331"/>
      <c r="H140" s="331"/>
      <c r="I140" s="331"/>
      <c r="J140" s="331"/>
      <c r="K140" s="332"/>
      <c r="L140" s="332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>
        <v>16</v>
      </c>
      <c r="W140" s="271">
        <v>248</v>
      </c>
      <c r="X140" s="271">
        <v>196</v>
      </c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/>
      <c r="AO140" s="271"/>
      <c r="AP140" s="271"/>
      <c r="AQ140" s="272">
        <f t="shared" si="13"/>
        <v>16</v>
      </c>
      <c r="AR140" s="272">
        <f t="shared" si="13"/>
        <v>248</v>
      </c>
      <c r="AS140" s="272">
        <f t="shared" si="13"/>
        <v>196</v>
      </c>
      <c r="AT140" s="357">
        <v>14</v>
      </c>
      <c r="AU140" s="357">
        <v>224</v>
      </c>
      <c r="AV140" s="357">
        <v>172</v>
      </c>
      <c r="AW140" s="357"/>
      <c r="AX140" s="357"/>
      <c r="AY140" s="357"/>
      <c r="AZ140" s="357"/>
      <c r="BA140" s="357"/>
      <c r="BB140" s="357"/>
      <c r="BC140" s="357"/>
      <c r="BD140" s="357"/>
      <c r="BE140" s="357"/>
      <c r="BF140" s="357"/>
      <c r="BG140" s="357"/>
      <c r="BH140" s="357"/>
      <c r="BI140" s="357"/>
      <c r="BJ140" s="357"/>
      <c r="BK140" s="357"/>
      <c r="BL140" s="357"/>
      <c r="BM140" s="357"/>
      <c r="BN140" s="357"/>
      <c r="BO140" s="357">
        <v>15</v>
      </c>
      <c r="BP140" s="357">
        <v>264</v>
      </c>
      <c r="BQ140" s="357">
        <v>186</v>
      </c>
      <c r="BR140" s="356"/>
      <c r="BS140" s="356"/>
      <c r="BT140" s="356"/>
      <c r="BU140" s="357"/>
      <c r="BV140" s="357"/>
      <c r="BW140" s="357"/>
      <c r="BX140" s="272">
        <f t="shared" si="14"/>
        <v>45</v>
      </c>
      <c r="BY140" s="272">
        <f t="shared" si="14"/>
        <v>736</v>
      </c>
      <c r="BZ140" s="272">
        <f t="shared" si="12"/>
        <v>554</v>
      </c>
      <c r="CA140" s="273"/>
      <c r="CB140" s="273"/>
      <c r="CC140" s="273"/>
      <c r="CD140" s="273"/>
      <c r="CE140" s="273"/>
      <c r="CF140" s="273"/>
      <c r="CG140" s="273"/>
      <c r="CH140" s="273"/>
      <c r="CI140" s="273"/>
      <c r="CJ140" s="273"/>
      <c r="CK140" s="273"/>
      <c r="CL140" s="273"/>
      <c r="CM140" s="273">
        <v>13</v>
      </c>
      <c r="CN140" s="273">
        <v>240</v>
      </c>
      <c r="CO140" s="273">
        <v>162</v>
      </c>
      <c r="CP140" s="273"/>
      <c r="CQ140" s="273"/>
      <c r="CR140" s="273"/>
      <c r="CS140" s="273"/>
      <c r="CT140" s="273"/>
      <c r="CU140" s="273"/>
      <c r="CV140" s="273"/>
      <c r="CW140" s="273"/>
      <c r="CX140" s="273"/>
      <c r="CY140" s="273"/>
      <c r="CZ140" s="273"/>
      <c r="DA140" s="273"/>
      <c r="DB140" s="273"/>
      <c r="DC140" s="273"/>
      <c r="DD140" s="273"/>
      <c r="DE140" s="273"/>
      <c r="DF140" s="271"/>
      <c r="DG140" s="271"/>
      <c r="DH140" s="272">
        <f t="shared" si="11"/>
        <v>58</v>
      </c>
      <c r="DI140" s="272">
        <f t="shared" si="11"/>
        <v>976</v>
      </c>
      <c r="DJ140" s="324">
        <f t="shared" si="11"/>
        <v>716</v>
      </c>
      <c r="DK140" s="325"/>
      <c r="DL140" s="325"/>
    </row>
    <row r="141" spans="1:116" s="275" customFormat="1" ht="20.100000000000001" customHeight="1" x14ac:dyDescent="0.6">
      <c r="A141" s="234">
        <v>138</v>
      </c>
      <c r="B141" s="103" t="s">
        <v>676</v>
      </c>
      <c r="C141" s="103" t="s">
        <v>677</v>
      </c>
      <c r="D141" s="103" t="s">
        <v>664</v>
      </c>
      <c r="E141" s="148" t="s">
        <v>665</v>
      </c>
      <c r="F141" s="179" t="s">
        <v>642</v>
      </c>
      <c r="G141" s="331"/>
      <c r="H141" s="331"/>
      <c r="I141" s="331"/>
      <c r="J141" s="331"/>
      <c r="K141" s="332"/>
      <c r="L141" s="332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>
        <v>20</v>
      </c>
      <c r="AC141" s="271">
        <v>250</v>
      </c>
      <c r="AD141" s="271">
        <v>224.8</v>
      </c>
      <c r="AE141" s="271"/>
      <c r="AF141" s="271"/>
      <c r="AG141" s="271"/>
      <c r="AH141" s="271"/>
      <c r="AI141" s="271"/>
      <c r="AJ141" s="271"/>
      <c r="AK141" s="271"/>
      <c r="AL141" s="271"/>
      <c r="AM141" s="271"/>
      <c r="AN141" s="271"/>
      <c r="AO141" s="271"/>
      <c r="AP141" s="271"/>
      <c r="AQ141" s="272">
        <f t="shared" si="13"/>
        <v>20</v>
      </c>
      <c r="AR141" s="272">
        <f t="shared" si="13"/>
        <v>250</v>
      </c>
      <c r="AS141" s="272">
        <f t="shared" si="13"/>
        <v>224.8</v>
      </c>
      <c r="AT141" s="357"/>
      <c r="AU141" s="357"/>
      <c r="AV141" s="357"/>
      <c r="AW141" s="357"/>
      <c r="AX141" s="357"/>
      <c r="AY141" s="357"/>
      <c r="AZ141" s="357">
        <v>16</v>
      </c>
      <c r="BA141" s="357">
        <v>288</v>
      </c>
      <c r="BB141" s="357">
        <v>179.76</v>
      </c>
      <c r="BC141" s="357"/>
      <c r="BD141" s="357"/>
      <c r="BE141" s="357"/>
      <c r="BF141" s="357"/>
      <c r="BG141" s="357"/>
      <c r="BH141" s="357"/>
      <c r="BI141" s="357"/>
      <c r="BJ141" s="357"/>
      <c r="BK141" s="357"/>
      <c r="BL141" s="357"/>
      <c r="BM141" s="357"/>
      <c r="BN141" s="357"/>
      <c r="BO141" s="357">
        <v>60</v>
      </c>
      <c r="BP141" s="357">
        <v>720</v>
      </c>
      <c r="BQ141" s="357">
        <v>720</v>
      </c>
      <c r="BR141" s="357"/>
      <c r="BS141" s="357"/>
      <c r="BT141" s="357"/>
      <c r="BU141" s="357">
        <v>12</v>
      </c>
      <c r="BV141" s="357">
        <v>154</v>
      </c>
      <c r="BW141" s="357">
        <v>128.80000000000001</v>
      </c>
      <c r="BX141" s="272">
        <f t="shared" si="14"/>
        <v>108</v>
      </c>
      <c r="BY141" s="272">
        <f t="shared" si="14"/>
        <v>1412</v>
      </c>
      <c r="BZ141" s="272">
        <f t="shared" si="12"/>
        <v>1253.3599999999999</v>
      </c>
      <c r="CA141" s="273"/>
      <c r="CB141" s="273"/>
      <c r="CC141" s="273"/>
      <c r="CD141" s="273"/>
      <c r="CE141" s="273"/>
      <c r="CF141" s="273"/>
      <c r="CG141" s="273"/>
      <c r="CH141" s="273"/>
      <c r="CI141" s="273"/>
      <c r="CJ141" s="273"/>
      <c r="CK141" s="273"/>
      <c r="CL141" s="273"/>
      <c r="CM141" s="273"/>
      <c r="CN141" s="273"/>
      <c r="CO141" s="273"/>
      <c r="CP141" s="273"/>
      <c r="CQ141" s="273"/>
      <c r="CR141" s="273"/>
      <c r="CS141" s="273">
        <v>16</v>
      </c>
      <c r="CT141" s="273">
        <v>230</v>
      </c>
      <c r="CU141" s="273">
        <v>178.8</v>
      </c>
      <c r="CV141" s="273"/>
      <c r="CW141" s="273"/>
      <c r="CX141" s="273"/>
      <c r="CY141" s="273"/>
      <c r="CZ141" s="273"/>
      <c r="DA141" s="273"/>
      <c r="DB141" s="273"/>
      <c r="DC141" s="273"/>
      <c r="DD141" s="273"/>
      <c r="DE141" s="273"/>
      <c r="DF141" s="271"/>
      <c r="DG141" s="271"/>
      <c r="DH141" s="272">
        <f t="shared" si="11"/>
        <v>124</v>
      </c>
      <c r="DI141" s="272">
        <f t="shared" si="11"/>
        <v>1642</v>
      </c>
      <c r="DJ141" s="324">
        <f t="shared" si="11"/>
        <v>1432.1599999999999</v>
      </c>
      <c r="DK141" s="325"/>
      <c r="DL141" s="325"/>
    </row>
    <row r="142" spans="1:116" s="275" customFormat="1" ht="20.100000000000001" customHeight="1" x14ac:dyDescent="0.6">
      <c r="A142" s="234">
        <v>139</v>
      </c>
      <c r="B142" s="103" t="s">
        <v>678</v>
      </c>
      <c r="C142" s="103" t="s">
        <v>678</v>
      </c>
      <c r="D142" s="103" t="s">
        <v>664</v>
      </c>
      <c r="E142" s="148" t="s">
        <v>665</v>
      </c>
      <c r="F142" s="179" t="s">
        <v>642</v>
      </c>
      <c r="G142" s="331"/>
      <c r="H142" s="331"/>
      <c r="I142" s="331"/>
      <c r="J142" s="331"/>
      <c r="K142" s="332"/>
      <c r="L142" s="332"/>
      <c r="M142" s="271"/>
      <c r="N142" s="271"/>
      <c r="O142" s="271"/>
      <c r="P142" s="271"/>
      <c r="Q142" s="271"/>
      <c r="R142" s="271"/>
      <c r="S142" s="271">
        <v>11.5</v>
      </c>
      <c r="T142" s="271">
        <v>138</v>
      </c>
      <c r="U142" s="271">
        <v>136.08000000000001</v>
      </c>
      <c r="V142" s="271">
        <v>5</v>
      </c>
      <c r="W142" s="271">
        <v>60</v>
      </c>
      <c r="X142" s="271">
        <v>60</v>
      </c>
      <c r="Y142" s="271"/>
      <c r="Z142" s="271"/>
      <c r="AA142" s="271"/>
      <c r="AB142" s="271"/>
      <c r="AC142" s="271"/>
      <c r="AD142" s="271"/>
      <c r="AE142" s="271"/>
      <c r="AF142" s="271"/>
      <c r="AG142" s="271"/>
      <c r="AH142" s="271"/>
      <c r="AI142" s="271"/>
      <c r="AJ142" s="271"/>
      <c r="AK142" s="271">
        <v>10</v>
      </c>
      <c r="AL142" s="271">
        <v>176</v>
      </c>
      <c r="AM142" s="271">
        <v>124</v>
      </c>
      <c r="AN142" s="271"/>
      <c r="AO142" s="271"/>
      <c r="AP142" s="271"/>
      <c r="AQ142" s="272">
        <f t="shared" si="13"/>
        <v>26.5</v>
      </c>
      <c r="AR142" s="272">
        <f t="shared" si="13"/>
        <v>374</v>
      </c>
      <c r="AS142" s="272">
        <f t="shared" si="13"/>
        <v>320.08000000000004</v>
      </c>
      <c r="AT142" s="357"/>
      <c r="AU142" s="357"/>
      <c r="AV142" s="357"/>
      <c r="AW142" s="357"/>
      <c r="AX142" s="357"/>
      <c r="AY142" s="357"/>
      <c r="AZ142" s="357"/>
      <c r="BA142" s="357"/>
      <c r="BB142" s="357"/>
      <c r="BC142" s="357"/>
      <c r="BD142" s="357"/>
      <c r="BE142" s="357"/>
      <c r="BF142" s="357"/>
      <c r="BG142" s="357"/>
      <c r="BH142" s="357"/>
      <c r="BI142" s="357">
        <v>13</v>
      </c>
      <c r="BJ142" s="357">
        <v>162</v>
      </c>
      <c r="BK142" s="357">
        <v>146.88</v>
      </c>
      <c r="BL142" s="357"/>
      <c r="BM142" s="357"/>
      <c r="BN142" s="357"/>
      <c r="BO142" s="357">
        <v>10</v>
      </c>
      <c r="BP142" s="357">
        <v>120</v>
      </c>
      <c r="BQ142" s="357">
        <v>120</v>
      </c>
      <c r="BR142" s="357"/>
      <c r="BS142" s="357"/>
      <c r="BT142" s="357"/>
      <c r="BU142" s="357"/>
      <c r="BV142" s="357"/>
      <c r="BW142" s="357"/>
      <c r="BX142" s="272">
        <f t="shared" si="14"/>
        <v>49.5</v>
      </c>
      <c r="BY142" s="272">
        <f t="shared" si="14"/>
        <v>656</v>
      </c>
      <c r="BZ142" s="272">
        <f t="shared" si="12"/>
        <v>586.96</v>
      </c>
      <c r="CA142" s="273"/>
      <c r="CB142" s="273"/>
      <c r="CC142" s="273"/>
      <c r="CD142" s="273"/>
      <c r="CE142" s="273"/>
      <c r="CF142" s="273"/>
      <c r="CG142" s="273">
        <v>9</v>
      </c>
      <c r="CH142" s="273">
        <v>164</v>
      </c>
      <c r="CI142" s="273">
        <v>112</v>
      </c>
      <c r="CJ142" s="273"/>
      <c r="CK142" s="273"/>
      <c r="CL142" s="273"/>
      <c r="CM142" s="273"/>
      <c r="CN142" s="273"/>
      <c r="CO142" s="273"/>
      <c r="CP142" s="273"/>
      <c r="CQ142" s="273"/>
      <c r="CR142" s="273"/>
      <c r="CS142" s="273"/>
      <c r="CT142" s="273"/>
      <c r="CU142" s="273"/>
      <c r="CV142" s="273"/>
      <c r="CW142" s="273"/>
      <c r="CX142" s="273"/>
      <c r="CY142" s="273"/>
      <c r="CZ142" s="273"/>
      <c r="DA142" s="273"/>
      <c r="DB142" s="273"/>
      <c r="DC142" s="273"/>
      <c r="DD142" s="273"/>
      <c r="DE142" s="273"/>
      <c r="DF142" s="271"/>
      <c r="DG142" s="271"/>
      <c r="DH142" s="272">
        <f t="shared" si="11"/>
        <v>58.5</v>
      </c>
      <c r="DI142" s="272">
        <f t="shared" si="11"/>
        <v>820</v>
      </c>
      <c r="DJ142" s="324">
        <f t="shared" si="11"/>
        <v>698.96</v>
      </c>
      <c r="DK142" s="325"/>
      <c r="DL142" s="325"/>
    </row>
    <row r="143" spans="1:116" s="275" customFormat="1" ht="20.100000000000001" customHeight="1" x14ac:dyDescent="0.6">
      <c r="A143" s="234">
        <v>140</v>
      </c>
      <c r="B143" s="103" t="s">
        <v>679</v>
      </c>
      <c r="C143" s="103" t="s">
        <v>680</v>
      </c>
      <c r="D143" s="103" t="s">
        <v>301</v>
      </c>
      <c r="E143" s="148" t="s">
        <v>87</v>
      </c>
      <c r="F143" s="179" t="s">
        <v>642</v>
      </c>
      <c r="G143" s="331"/>
      <c r="H143" s="331"/>
      <c r="I143" s="331"/>
      <c r="J143" s="331"/>
      <c r="K143" s="332"/>
      <c r="L143" s="332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1"/>
      <c r="AL143" s="271"/>
      <c r="AM143" s="271"/>
      <c r="AN143" s="271"/>
      <c r="AO143" s="271"/>
      <c r="AP143" s="271"/>
      <c r="AQ143" s="272">
        <f t="shared" si="13"/>
        <v>0</v>
      </c>
      <c r="AR143" s="272">
        <f t="shared" si="13"/>
        <v>0</v>
      </c>
      <c r="AS143" s="272">
        <f t="shared" si="13"/>
        <v>0</v>
      </c>
      <c r="AT143" s="357"/>
      <c r="AU143" s="357"/>
      <c r="AV143" s="357"/>
      <c r="AW143" s="357"/>
      <c r="AX143" s="357"/>
      <c r="AY143" s="357"/>
      <c r="AZ143" s="357"/>
      <c r="BA143" s="357"/>
      <c r="BB143" s="357"/>
      <c r="BC143" s="357"/>
      <c r="BD143" s="357"/>
      <c r="BE143" s="357"/>
      <c r="BF143" s="357"/>
      <c r="BG143" s="357"/>
      <c r="BH143" s="357"/>
      <c r="BI143" s="357"/>
      <c r="BJ143" s="357"/>
      <c r="BK143" s="357"/>
      <c r="BL143" s="357"/>
      <c r="BM143" s="357"/>
      <c r="BN143" s="357"/>
      <c r="BO143" s="357"/>
      <c r="BP143" s="357"/>
      <c r="BQ143" s="357"/>
      <c r="BR143" s="357"/>
      <c r="BS143" s="357"/>
      <c r="BT143" s="357"/>
      <c r="BU143" s="357"/>
      <c r="BV143" s="357"/>
      <c r="BW143" s="357"/>
      <c r="BX143" s="272">
        <f t="shared" si="14"/>
        <v>0</v>
      </c>
      <c r="BY143" s="272">
        <f t="shared" si="14"/>
        <v>0</v>
      </c>
      <c r="BZ143" s="272">
        <f t="shared" si="12"/>
        <v>0</v>
      </c>
      <c r="CA143" s="273"/>
      <c r="CB143" s="273"/>
      <c r="CC143" s="273"/>
      <c r="CD143" s="273"/>
      <c r="CE143" s="273"/>
      <c r="CF143" s="273"/>
      <c r="CG143" s="273"/>
      <c r="CH143" s="273"/>
      <c r="CI143" s="273"/>
      <c r="CJ143" s="273"/>
      <c r="CK143" s="273"/>
      <c r="CL143" s="273"/>
      <c r="CM143" s="273"/>
      <c r="CN143" s="273"/>
      <c r="CO143" s="273"/>
      <c r="CP143" s="273"/>
      <c r="CQ143" s="273"/>
      <c r="CR143" s="273"/>
      <c r="CS143" s="273"/>
      <c r="CT143" s="273"/>
      <c r="CU143" s="273"/>
      <c r="CV143" s="273"/>
      <c r="CW143" s="273"/>
      <c r="CX143" s="273"/>
      <c r="CY143" s="273"/>
      <c r="CZ143" s="273"/>
      <c r="DA143" s="273"/>
      <c r="DB143" s="273"/>
      <c r="DC143" s="273"/>
      <c r="DD143" s="273"/>
      <c r="DE143" s="273"/>
      <c r="DF143" s="271"/>
      <c r="DG143" s="271"/>
      <c r="DH143" s="272">
        <f t="shared" si="11"/>
        <v>0</v>
      </c>
      <c r="DI143" s="272">
        <f t="shared" si="11"/>
        <v>0</v>
      </c>
      <c r="DJ143" s="324">
        <f t="shared" si="11"/>
        <v>0</v>
      </c>
      <c r="DK143" s="325"/>
      <c r="DL143" s="325"/>
    </row>
    <row r="144" spans="1:116" s="275" customFormat="1" ht="20.100000000000001" customHeight="1" x14ac:dyDescent="0.6">
      <c r="A144" s="234">
        <v>141</v>
      </c>
      <c r="B144" s="150" t="s">
        <v>681</v>
      </c>
      <c r="C144" s="330" t="s">
        <v>682</v>
      </c>
      <c r="D144" s="142" t="s">
        <v>301</v>
      </c>
      <c r="E144" s="149" t="s">
        <v>87</v>
      </c>
      <c r="F144" s="333" t="s">
        <v>642</v>
      </c>
      <c r="G144" s="331"/>
      <c r="H144" s="331"/>
      <c r="I144" s="331"/>
      <c r="J144" s="331"/>
      <c r="K144" s="332"/>
      <c r="L144" s="332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1"/>
      <c r="AL144" s="271"/>
      <c r="AM144" s="271"/>
      <c r="AN144" s="271"/>
      <c r="AO144" s="271"/>
      <c r="AP144" s="271"/>
      <c r="AQ144" s="272">
        <f t="shared" si="13"/>
        <v>0</v>
      </c>
      <c r="AR144" s="272">
        <f t="shared" si="13"/>
        <v>0</v>
      </c>
      <c r="AS144" s="272">
        <f t="shared" si="13"/>
        <v>0</v>
      </c>
      <c r="AT144" s="357"/>
      <c r="AU144" s="357"/>
      <c r="AV144" s="357"/>
      <c r="AW144" s="357"/>
      <c r="AX144" s="357"/>
      <c r="AY144" s="357"/>
      <c r="AZ144" s="357"/>
      <c r="BA144" s="357"/>
      <c r="BB144" s="357"/>
      <c r="BC144" s="357"/>
      <c r="BD144" s="357"/>
      <c r="BE144" s="357"/>
      <c r="BF144" s="357"/>
      <c r="BG144" s="357"/>
      <c r="BH144" s="357"/>
      <c r="BI144" s="357"/>
      <c r="BJ144" s="357"/>
      <c r="BK144" s="357"/>
      <c r="BL144" s="357"/>
      <c r="BM144" s="357"/>
      <c r="BN144" s="357"/>
      <c r="BO144" s="357"/>
      <c r="BP144" s="357"/>
      <c r="BQ144" s="357"/>
      <c r="BR144" s="357"/>
      <c r="BS144" s="357"/>
      <c r="BT144" s="357"/>
      <c r="BU144" s="357"/>
      <c r="BV144" s="357"/>
      <c r="BW144" s="357"/>
      <c r="BX144" s="272">
        <f t="shared" si="14"/>
        <v>0</v>
      </c>
      <c r="BY144" s="272">
        <f t="shared" si="14"/>
        <v>0</v>
      </c>
      <c r="BZ144" s="272">
        <f t="shared" si="12"/>
        <v>0</v>
      </c>
      <c r="CA144" s="273"/>
      <c r="CB144" s="273"/>
      <c r="CC144" s="273"/>
      <c r="CD144" s="273"/>
      <c r="CE144" s="273"/>
      <c r="CF144" s="273"/>
      <c r="CG144" s="273"/>
      <c r="CH144" s="273"/>
      <c r="CI144" s="273"/>
      <c r="CJ144" s="273"/>
      <c r="CK144" s="273"/>
      <c r="CL144" s="273"/>
      <c r="CM144" s="273"/>
      <c r="CN144" s="273"/>
      <c r="CO144" s="273"/>
      <c r="CP144" s="273"/>
      <c r="CQ144" s="273"/>
      <c r="CR144" s="273"/>
      <c r="CS144" s="273"/>
      <c r="CT144" s="273"/>
      <c r="CU144" s="273"/>
      <c r="CV144" s="273"/>
      <c r="CW144" s="273"/>
      <c r="CX144" s="273"/>
      <c r="CY144" s="273"/>
      <c r="CZ144" s="273"/>
      <c r="DA144" s="273"/>
      <c r="DB144" s="273"/>
      <c r="DC144" s="273"/>
      <c r="DD144" s="273"/>
      <c r="DE144" s="273"/>
      <c r="DF144" s="271"/>
      <c r="DG144" s="271"/>
      <c r="DH144" s="272">
        <f t="shared" si="11"/>
        <v>0</v>
      </c>
      <c r="DI144" s="272">
        <f t="shared" si="11"/>
        <v>0</v>
      </c>
      <c r="DJ144" s="324">
        <f t="shared" si="11"/>
        <v>0</v>
      </c>
      <c r="DK144" s="325"/>
      <c r="DL144" s="325"/>
    </row>
    <row r="145" spans="1:116" s="275" customFormat="1" ht="20.100000000000001" customHeight="1" x14ac:dyDescent="0.6">
      <c r="A145" s="234">
        <v>142</v>
      </c>
      <c r="B145" s="330" t="s">
        <v>683</v>
      </c>
      <c r="C145" s="330" t="s">
        <v>684</v>
      </c>
      <c r="D145" s="142" t="s">
        <v>94</v>
      </c>
      <c r="E145" s="149" t="s">
        <v>95</v>
      </c>
      <c r="F145" s="333" t="s">
        <v>685</v>
      </c>
      <c r="G145" s="331"/>
      <c r="H145" s="331"/>
      <c r="I145" s="331"/>
      <c r="J145" s="331"/>
      <c r="K145" s="332"/>
      <c r="L145" s="332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1"/>
      <c r="AL145" s="271"/>
      <c r="AM145" s="271"/>
      <c r="AN145" s="271"/>
      <c r="AO145" s="271"/>
      <c r="AP145" s="271"/>
      <c r="AQ145" s="272">
        <f t="shared" si="13"/>
        <v>0</v>
      </c>
      <c r="AR145" s="272">
        <f t="shared" si="13"/>
        <v>0</v>
      </c>
      <c r="AS145" s="272">
        <f t="shared" si="13"/>
        <v>0</v>
      </c>
      <c r="AT145" s="357"/>
      <c r="AU145" s="357"/>
      <c r="AV145" s="357"/>
      <c r="AW145" s="357"/>
      <c r="AX145" s="357"/>
      <c r="AY145" s="357"/>
      <c r="AZ145" s="357"/>
      <c r="BA145" s="357"/>
      <c r="BB145" s="357"/>
      <c r="BC145" s="357"/>
      <c r="BD145" s="357"/>
      <c r="BE145" s="357"/>
      <c r="BF145" s="357"/>
      <c r="BG145" s="357"/>
      <c r="BH145" s="357"/>
      <c r="BI145" s="357"/>
      <c r="BJ145" s="357"/>
      <c r="BK145" s="357"/>
      <c r="BL145" s="357"/>
      <c r="BM145" s="357"/>
      <c r="BN145" s="357"/>
      <c r="BO145" s="357"/>
      <c r="BP145" s="357"/>
      <c r="BQ145" s="357"/>
      <c r="BR145" s="357"/>
      <c r="BS145" s="357"/>
      <c r="BT145" s="357"/>
      <c r="BU145" s="357"/>
      <c r="BV145" s="357"/>
      <c r="BW145" s="357"/>
      <c r="BX145" s="272">
        <f t="shared" si="14"/>
        <v>0</v>
      </c>
      <c r="BY145" s="272">
        <f t="shared" si="14"/>
        <v>0</v>
      </c>
      <c r="BZ145" s="272">
        <f t="shared" si="12"/>
        <v>0</v>
      </c>
      <c r="CA145" s="273"/>
      <c r="CB145" s="273"/>
      <c r="CC145" s="273"/>
      <c r="CD145" s="273"/>
      <c r="CE145" s="273"/>
      <c r="CF145" s="273"/>
      <c r="CG145" s="273"/>
      <c r="CH145" s="273"/>
      <c r="CI145" s="273"/>
      <c r="CJ145" s="273"/>
      <c r="CK145" s="273"/>
      <c r="CL145" s="273"/>
      <c r="CM145" s="273"/>
      <c r="CN145" s="273"/>
      <c r="CO145" s="273"/>
      <c r="CP145" s="273"/>
      <c r="CQ145" s="273"/>
      <c r="CR145" s="273"/>
      <c r="CS145" s="273"/>
      <c r="CT145" s="273"/>
      <c r="CU145" s="273"/>
      <c r="CV145" s="273"/>
      <c r="CW145" s="273"/>
      <c r="CX145" s="273"/>
      <c r="CY145" s="273"/>
      <c r="CZ145" s="273"/>
      <c r="DA145" s="273"/>
      <c r="DB145" s="273"/>
      <c r="DC145" s="273"/>
      <c r="DD145" s="273"/>
      <c r="DE145" s="273"/>
      <c r="DF145" s="271"/>
      <c r="DG145" s="271"/>
      <c r="DH145" s="272">
        <f t="shared" si="11"/>
        <v>0</v>
      </c>
      <c r="DI145" s="272">
        <f t="shared" si="11"/>
        <v>0</v>
      </c>
      <c r="DJ145" s="324">
        <f t="shared" si="11"/>
        <v>0</v>
      </c>
      <c r="DK145" s="325"/>
      <c r="DL145" s="325"/>
    </row>
    <row r="146" spans="1:116" s="275" customFormat="1" ht="20.100000000000001" customHeight="1" x14ac:dyDescent="0.6">
      <c r="A146" s="234">
        <v>143</v>
      </c>
      <c r="B146" s="330" t="s">
        <v>686</v>
      </c>
      <c r="C146" s="334" t="s">
        <v>687</v>
      </c>
      <c r="D146" s="103" t="s">
        <v>74</v>
      </c>
      <c r="E146" s="148" t="s">
        <v>75</v>
      </c>
      <c r="F146" s="179" t="s">
        <v>685</v>
      </c>
      <c r="G146" s="331"/>
      <c r="H146" s="331"/>
      <c r="I146" s="331"/>
      <c r="J146" s="331"/>
      <c r="K146" s="332"/>
      <c r="L146" s="332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  <c r="AA146" s="271"/>
      <c r="AB146" s="271"/>
      <c r="AC146" s="271"/>
      <c r="AD146" s="271"/>
      <c r="AE146" s="271"/>
      <c r="AF146" s="271"/>
      <c r="AG146" s="271"/>
      <c r="AH146" s="271"/>
      <c r="AI146" s="271"/>
      <c r="AJ146" s="271"/>
      <c r="AK146" s="271"/>
      <c r="AL146" s="271"/>
      <c r="AM146" s="271"/>
      <c r="AN146" s="271"/>
      <c r="AO146" s="271"/>
      <c r="AP146" s="271"/>
      <c r="AQ146" s="272">
        <f t="shared" si="13"/>
        <v>0</v>
      </c>
      <c r="AR146" s="272">
        <f t="shared" si="13"/>
        <v>0</v>
      </c>
      <c r="AS146" s="272">
        <f t="shared" si="13"/>
        <v>0</v>
      </c>
      <c r="AT146" s="357"/>
      <c r="AU146" s="357"/>
      <c r="AV146" s="357"/>
      <c r="AW146" s="357"/>
      <c r="AX146" s="357"/>
      <c r="AY146" s="357"/>
      <c r="AZ146" s="357"/>
      <c r="BA146" s="357"/>
      <c r="BB146" s="357"/>
      <c r="BC146" s="357"/>
      <c r="BD146" s="357"/>
      <c r="BE146" s="357"/>
      <c r="BF146" s="357"/>
      <c r="BG146" s="357"/>
      <c r="BH146" s="357"/>
      <c r="BI146" s="357"/>
      <c r="BJ146" s="357"/>
      <c r="BK146" s="357"/>
      <c r="BL146" s="357"/>
      <c r="BM146" s="357"/>
      <c r="BN146" s="357"/>
      <c r="BO146" s="357"/>
      <c r="BP146" s="357"/>
      <c r="BQ146" s="357"/>
      <c r="BR146" s="357"/>
      <c r="BS146" s="357"/>
      <c r="BT146" s="357"/>
      <c r="BU146" s="357"/>
      <c r="BV146" s="357"/>
      <c r="BW146" s="357"/>
      <c r="BX146" s="272">
        <f t="shared" si="14"/>
        <v>0</v>
      </c>
      <c r="BY146" s="272">
        <f t="shared" si="14"/>
        <v>0</v>
      </c>
      <c r="BZ146" s="272">
        <f t="shared" si="12"/>
        <v>0</v>
      </c>
      <c r="CA146" s="273"/>
      <c r="CB146" s="273"/>
      <c r="CC146" s="273"/>
      <c r="CD146" s="273"/>
      <c r="CE146" s="273"/>
      <c r="CF146" s="273"/>
      <c r="CG146" s="273"/>
      <c r="CH146" s="273"/>
      <c r="CI146" s="273"/>
      <c r="CJ146" s="273"/>
      <c r="CK146" s="273"/>
      <c r="CL146" s="273"/>
      <c r="CM146" s="273"/>
      <c r="CN146" s="273"/>
      <c r="CO146" s="273"/>
      <c r="CP146" s="273"/>
      <c r="CQ146" s="273"/>
      <c r="CR146" s="273"/>
      <c r="CS146" s="273"/>
      <c r="CT146" s="273"/>
      <c r="CU146" s="273"/>
      <c r="CV146" s="273"/>
      <c r="CW146" s="273"/>
      <c r="CX146" s="273"/>
      <c r="CY146" s="273"/>
      <c r="CZ146" s="273"/>
      <c r="DA146" s="273"/>
      <c r="DB146" s="273"/>
      <c r="DC146" s="273"/>
      <c r="DD146" s="273"/>
      <c r="DE146" s="273"/>
      <c r="DF146" s="271"/>
      <c r="DG146" s="271"/>
      <c r="DH146" s="272">
        <f t="shared" si="11"/>
        <v>0</v>
      </c>
      <c r="DI146" s="272">
        <f t="shared" si="11"/>
        <v>0</v>
      </c>
      <c r="DJ146" s="324">
        <f t="shared" si="11"/>
        <v>0</v>
      </c>
      <c r="DK146" s="325"/>
      <c r="DL146" s="325"/>
    </row>
    <row r="147" spans="1:116" s="275" customFormat="1" ht="20.100000000000001" customHeight="1" x14ac:dyDescent="0.6">
      <c r="A147" s="234"/>
      <c r="B147" s="330"/>
      <c r="C147" s="330"/>
      <c r="D147" s="330"/>
      <c r="E147" s="330"/>
      <c r="F147" s="333"/>
      <c r="G147" s="331"/>
      <c r="H147" s="331"/>
      <c r="I147" s="331"/>
      <c r="J147" s="331"/>
      <c r="K147" s="332"/>
      <c r="L147" s="332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1"/>
      <c r="AL147" s="271"/>
      <c r="AM147" s="271"/>
      <c r="AN147" s="271"/>
      <c r="AO147" s="271"/>
      <c r="AP147" s="271"/>
      <c r="AQ147" s="272"/>
      <c r="AR147" s="272"/>
      <c r="AS147" s="272"/>
      <c r="AT147" s="273"/>
      <c r="AU147" s="273"/>
      <c r="AV147" s="273"/>
      <c r="AW147" s="273"/>
      <c r="AX147" s="273"/>
      <c r="AY147" s="273"/>
      <c r="AZ147" s="273"/>
      <c r="BA147" s="273"/>
      <c r="BB147" s="273"/>
      <c r="BC147" s="273"/>
      <c r="BD147" s="273"/>
      <c r="BE147" s="273"/>
      <c r="BF147" s="273"/>
      <c r="BG147" s="273"/>
      <c r="BH147" s="273"/>
      <c r="BI147" s="273"/>
      <c r="BJ147" s="273"/>
      <c r="BK147" s="273"/>
      <c r="BL147" s="273"/>
      <c r="BM147" s="273"/>
      <c r="BN147" s="273"/>
      <c r="BO147" s="273"/>
      <c r="BP147" s="273"/>
      <c r="BQ147" s="273"/>
      <c r="BR147" s="273"/>
      <c r="BS147" s="273"/>
      <c r="BT147" s="273"/>
      <c r="BU147" s="273"/>
      <c r="BV147" s="273"/>
      <c r="BW147" s="273"/>
      <c r="BX147" s="272"/>
      <c r="BY147" s="272"/>
      <c r="BZ147" s="272"/>
      <c r="CA147" s="273"/>
      <c r="CB147" s="273"/>
      <c r="CC147" s="273"/>
      <c r="CD147" s="273"/>
      <c r="CE147" s="273"/>
      <c r="CF147" s="273"/>
      <c r="CG147" s="273"/>
      <c r="CH147" s="273"/>
      <c r="CI147" s="273"/>
      <c r="CJ147" s="273"/>
      <c r="CK147" s="273"/>
      <c r="CL147" s="273"/>
      <c r="CM147" s="273"/>
      <c r="CN147" s="273"/>
      <c r="CO147" s="273"/>
      <c r="CP147" s="273"/>
      <c r="CQ147" s="273"/>
      <c r="CR147" s="273"/>
      <c r="CS147" s="273"/>
      <c r="CT147" s="273"/>
      <c r="CU147" s="273"/>
      <c r="CV147" s="273"/>
      <c r="CW147" s="273"/>
      <c r="CX147" s="273"/>
      <c r="CY147" s="273"/>
      <c r="CZ147" s="273"/>
      <c r="DA147" s="273"/>
      <c r="DB147" s="273"/>
      <c r="DC147" s="273"/>
      <c r="DD147" s="273"/>
      <c r="DE147" s="273"/>
      <c r="DF147" s="271"/>
      <c r="DG147" s="271"/>
      <c r="DH147" s="272"/>
      <c r="DI147" s="272"/>
      <c r="DJ147" s="324"/>
      <c r="DK147" s="325"/>
      <c r="DL147" s="325"/>
    </row>
    <row r="148" spans="1:116" s="275" customFormat="1" ht="20.100000000000001" customHeight="1" x14ac:dyDescent="0.6">
      <c r="A148" s="335"/>
      <c r="B148" s="335" t="s">
        <v>1072</v>
      </c>
      <c r="C148" s="335"/>
      <c r="D148" s="335"/>
      <c r="E148" s="335"/>
      <c r="F148" s="335"/>
      <c r="G148" s="335"/>
      <c r="H148" s="335"/>
      <c r="I148" s="335"/>
      <c r="J148" s="335"/>
      <c r="K148" s="336">
        <f t="shared" ref="K148:AP148" si="15">SUM(K4:K135)</f>
        <v>0</v>
      </c>
      <c r="L148" s="336">
        <f t="shared" si="15"/>
        <v>0</v>
      </c>
      <c r="M148" s="272">
        <f t="shared" si="15"/>
        <v>0</v>
      </c>
      <c r="N148" s="272">
        <f t="shared" si="15"/>
        <v>0</v>
      </c>
      <c r="O148" s="272">
        <f t="shared" si="15"/>
        <v>0</v>
      </c>
      <c r="P148" s="272">
        <f t="shared" si="15"/>
        <v>491</v>
      </c>
      <c r="Q148" s="272">
        <f t="shared" si="15"/>
        <v>7516</v>
      </c>
      <c r="R148" s="272">
        <f t="shared" si="15"/>
        <v>5677.12</v>
      </c>
      <c r="S148" s="272">
        <f t="shared" si="15"/>
        <v>201</v>
      </c>
      <c r="T148" s="272">
        <f t="shared" si="15"/>
        <v>2674</v>
      </c>
      <c r="U148" s="272">
        <f t="shared" si="15"/>
        <v>2301.9200000000005</v>
      </c>
      <c r="V148" s="272">
        <f t="shared" si="15"/>
        <v>159</v>
      </c>
      <c r="W148" s="272">
        <f t="shared" si="15"/>
        <v>2494</v>
      </c>
      <c r="X148" s="272">
        <f t="shared" si="15"/>
        <v>1890.4799999999998</v>
      </c>
      <c r="Y148" s="272">
        <f t="shared" si="15"/>
        <v>162</v>
      </c>
      <c r="Z148" s="272">
        <f t="shared" si="15"/>
        <v>2564</v>
      </c>
      <c r="AA148" s="272">
        <f t="shared" si="15"/>
        <v>1796.8</v>
      </c>
      <c r="AB148" s="272">
        <f t="shared" si="15"/>
        <v>157</v>
      </c>
      <c r="AC148" s="272">
        <f t="shared" si="15"/>
        <v>2232</v>
      </c>
      <c r="AD148" s="272">
        <f t="shared" si="15"/>
        <v>1905.68</v>
      </c>
      <c r="AE148" s="272">
        <f t="shared" si="15"/>
        <v>130</v>
      </c>
      <c r="AF148" s="272">
        <f t="shared" si="15"/>
        <v>2312</v>
      </c>
      <c r="AG148" s="272">
        <f t="shared" si="15"/>
        <v>1587.1999999999998</v>
      </c>
      <c r="AH148" s="272">
        <f t="shared" si="15"/>
        <v>0</v>
      </c>
      <c r="AI148" s="272">
        <f t="shared" si="15"/>
        <v>0</v>
      </c>
      <c r="AJ148" s="272">
        <f t="shared" si="15"/>
        <v>0</v>
      </c>
      <c r="AK148" s="272">
        <f t="shared" si="15"/>
        <v>319.5</v>
      </c>
      <c r="AL148" s="272">
        <f t="shared" si="15"/>
        <v>4402</v>
      </c>
      <c r="AM148" s="272">
        <f t="shared" si="15"/>
        <v>3691.56</v>
      </c>
      <c r="AN148" s="272">
        <f t="shared" si="15"/>
        <v>260</v>
      </c>
      <c r="AO148" s="272">
        <f t="shared" si="15"/>
        <v>3686</v>
      </c>
      <c r="AP148" s="272">
        <f t="shared" si="15"/>
        <v>2963.04</v>
      </c>
      <c r="AQ148" s="272">
        <f>SUM(AQ4:AQ147)</f>
        <v>2066</v>
      </c>
      <c r="AR148" s="272">
        <f t="shared" ref="AR148:DC148" si="16">SUM(AR4:AR147)</f>
        <v>30562</v>
      </c>
      <c r="AS148" s="272">
        <f t="shared" si="16"/>
        <v>23865.159999999993</v>
      </c>
      <c r="AT148" s="272">
        <f t="shared" si="16"/>
        <v>353.58299999999997</v>
      </c>
      <c r="AU148" s="272">
        <f t="shared" si="16"/>
        <v>4801</v>
      </c>
      <c r="AV148" s="272">
        <f t="shared" si="16"/>
        <v>4116.16</v>
      </c>
      <c r="AW148" s="272">
        <f t="shared" si="16"/>
        <v>180</v>
      </c>
      <c r="AX148" s="272">
        <f t="shared" si="16"/>
        <v>2848</v>
      </c>
      <c r="AY148" s="272">
        <f t="shared" si="16"/>
        <v>1988.6399999999999</v>
      </c>
      <c r="AZ148" s="272">
        <f t="shared" si="16"/>
        <v>198.749</v>
      </c>
      <c r="BA148" s="272">
        <f t="shared" si="16"/>
        <v>2878</v>
      </c>
      <c r="BB148" s="272">
        <f t="shared" si="16"/>
        <v>2288.2200000000003</v>
      </c>
      <c r="BC148" s="272">
        <f t="shared" si="16"/>
        <v>262.666</v>
      </c>
      <c r="BD148" s="272">
        <f t="shared" si="16"/>
        <v>3746</v>
      </c>
      <c r="BE148" s="272">
        <f t="shared" si="16"/>
        <v>3201.36</v>
      </c>
      <c r="BF148" s="272">
        <f t="shared" si="16"/>
        <v>0</v>
      </c>
      <c r="BG148" s="272">
        <f t="shared" si="16"/>
        <v>0</v>
      </c>
      <c r="BH148" s="272">
        <f t="shared" si="16"/>
        <v>0</v>
      </c>
      <c r="BI148" s="272">
        <f t="shared" si="16"/>
        <v>496</v>
      </c>
      <c r="BJ148" s="272">
        <f t="shared" si="16"/>
        <v>6598</v>
      </c>
      <c r="BK148" s="272">
        <f t="shared" si="16"/>
        <v>5795.5199999999995</v>
      </c>
      <c r="BL148" s="272">
        <f t="shared" si="16"/>
        <v>324</v>
      </c>
      <c r="BM148" s="272">
        <f t="shared" si="16"/>
        <v>4196</v>
      </c>
      <c r="BN148" s="272">
        <f t="shared" si="16"/>
        <v>3635.3600000000006</v>
      </c>
      <c r="BO148" s="272">
        <f t="shared" si="16"/>
        <v>364</v>
      </c>
      <c r="BP148" s="272">
        <f t="shared" si="16"/>
        <v>4936</v>
      </c>
      <c r="BQ148" s="272">
        <f t="shared" si="16"/>
        <v>4170.9600000000009</v>
      </c>
      <c r="BR148" s="272">
        <f t="shared" si="16"/>
        <v>246.167</v>
      </c>
      <c r="BS148" s="272">
        <f t="shared" si="16"/>
        <v>3830</v>
      </c>
      <c r="BT148" s="272">
        <f t="shared" si="16"/>
        <v>2778.6000000000004</v>
      </c>
      <c r="BU148" s="272">
        <f t="shared" si="16"/>
        <v>285</v>
      </c>
      <c r="BV148" s="272">
        <f t="shared" si="16"/>
        <v>4122</v>
      </c>
      <c r="BW148" s="272">
        <f t="shared" si="16"/>
        <v>3405.2800000000007</v>
      </c>
      <c r="BX148" s="272">
        <f t="shared" si="16"/>
        <v>4776.165</v>
      </c>
      <c r="BY148" s="272">
        <f t="shared" si="16"/>
        <v>68517</v>
      </c>
      <c r="BZ148" s="272">
        <f t="shared" si="16"/>
        <v>55245.259999999995</v>
      </c>
      <c r="CA148" s="272">
        <f t="shared" si="16"/>
        <v>282.666</v>
      </c>
      <c r="CB148" s="272">
        <f t="shared" si="16"/>
        <v>3822</v>
      </c>
      <c r="CC148" s="272">
        <f t="shared" si="16"/>
        <v>3370.64</v>
      </c>
      <c r="CD148" s="272">
        <f t="shared" si="16"/>
        <v>0</v>
      </c>
      <c r="CE148" s="272">
        <f t="shared" si="16"/>
        <v>0</v>
      </c>
      <c r="CF148" s="272">
        <f t="shared" si="16"/>
        <v>0</v>
      </c>
      <c r="CG148" s="272">
        <f t="shared" si="16"/>
        <v>322</v>
      </c>
      <c r="CH148" s="272">
        <f t="shared" si="16"/>
        <v>4378</v>
      </c>
      <c r="CI148" s="272">
        <f t="shared" si="16"/>
        <v>3815.76</v>
      </c>
      <c r="CJ148" s="272">
        <f t="shared" si="16"/>
        <v>269</v>
      </c>
      <c r="CK148" s="272">
        <f t="shared" si="16"/>
        <v>3768</v>
      </c>
      <c r="CL148" s="272">
        <f t="shared" si="16"/>
        <v>3220.96</v>
      </c>
      <c r="CM148" s="272">
        <f t="shared" si="16"/>
        <v>247</v>
      </c>
      <c r="CN148" s="272">
        <f t="shared" si="16"/>
        <v>3204</v>
      </c>
      <c r="CO148" s="272">
        <f t="shared" si="16"/>
        <v>2883.52</v>
      </c>
      <c r="CP148" s="272">
        <f t="shared" si="16"/>
        <v>247.167</v>
      </c>
      <c r="CQ148" s="272">
        <f t="shared" si="16"/>
        <v>3472</v>
      </c>
      <c r="CR148" s="272">
        <f t="shared" si="16"/>
        <v>2834.7599999999998</v>
      </c>
      <c r="CS148" s="272">
        <f t="shared" si="16"/>
        <v>501.25</v>
      </c>
      <c r="CT148" s="272">
        <f t="shared" si="16"/>
        <v>7231</v>
      </c>
      <c r="CU148" s="272">
        <f t="shared" si="16"/>
        <v>5874.9800000000005</v>
      </c>
      <c r="CV148" s="272">
        <f t="shared" si="16"/>
        <v>300</v>
      </c>
      <c r="CW148" s="272">
        <f t="shared" si="16"/>
        <v>4224</v>
      </c>
      <c r="CX148" s="272">
        <f t="shared" si="16"/>
        <v>3587.28</v>
      </c>
      <c r="CY148" s="272">
        <f t="shared" si="16"/>
        <v>0</v>
      </c>
      <c r="CZ148" s="272">
        <f t="shared" si="16"/>
        <v>0</v>
      </c>
      <c r="DA148" s="272">
        <f t="shared" si="16"/>
        <v>0</v>
      </c>
      <c r="DB148" s="272">
        <f t="shared" si="16"/>
        <v>0</v>
      </c>
      <c r="DC148" s="272">
        <f t="shared" si="16"/>
        <v>0</v>
      </c>
      <c r="DD148" s="272">
        <f t="shared" ref="DD148:DJ148" si="17">SUM(DD4:DD147)</f>
        <v>0</v>
      </c>
      <c r="DE148" s="272">
        <f t="shared" si="17"/>
        <v>0</v>
      </c>
      <c r="DF148" s="272">
        <f t="shared" si="17"/>
        <v>0</v>
      </c>
      <c r="DG148" s="272">
        <f t="shared" si="17"/>
        <v>0</v>
      </c>
      <c r="DH148" s="272">
        <f t="shared" si="17"/>
        <v>6945.2480000000014</v>
      </c>
      <c r="DI148" s="272">
        <f t="shared" si="17"/>
        <v>98616</v>
      </c>
      <c r="DJ148" s="272">
        <f t="shared" si="17"/>
        <v>80833.15999999996</v>
      </c>
      <c r="DK148" s="325"/>
      <c r="DL148" s="325"/>
    </row>
    <row r="149" spans="1:116" x14ac:dyDescent="0.6">
      <c r="BX149" s="243"/>
      <c r="BY149" s="243"/>
      <c r="BZ149" s="243"/>
    </row>
    <row r="152" spans="1:116" x14ac:dyDescent="0.6">
      <c r="DH152" s="228"/>
    </row>
  </sheetData>
  <mergeCells count="41">
    <mergeCell ref="DB2:DD2"/>
    <mergeCell ref="DE2:DG2"/>
    <mergeCell ref="DH2:DJ2"/>
    <mergeCell ref="B3:C3"/>
    <mergeCell ref="D3:E3"/>
    <mergeCell ref="CJ2:CL2"/>
    <mergeCell ref="CM2:CO2"/>
    <mergeCell ref="CP2:CR2"/>
    <mergeCell ref="CS2:CU2"/>
    <mergeCell ref="CV2:CX2"/>
    <mergeCell ref="CY2:DA2"/>
    <mergeCell ref="BR2:BT2"/>
    <mergeCell ref="BU2:BW2"/>
    <mergeCell ref="BX2:BZ2"/>
    <mergeCell ref="CA2:CC2"/>
    <mergeCell ref="CD2:CF2"/>
    <mergeCell ref="CG2:CI2"/>
    <mergeCell ref="AZ2:BB2"/>
    <mergeCell ref="BC2:BE2"/>
    <mergeCell ref="BF2:BH2"/>
    <mergeCell ref="BI2:BK2"/>
    <mergeCell ref="BL2:BN2"/>
    <mergeCell ref="BO2:BQ2"/>
    <mergeCell ref="AW2:AY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M2:O2"/>
    <mergeCell ref="A1:D1"/>
    <mergeCell ref="B2:C2"/>
    <mergeCell ref="D2:E2"/>
    <mergeCell ref="G2:H2"/>
    <mergeCell ref="K2:L2"/>
  </mergeCells>
  <conditionalFormatting sqref="B148:C148">
    <cfRule type="duplicateValues" dxfId="18" priority="1"/>
    <cfRule type="duplicateValues" dxfId="17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8516-3A3E-4BE8-B685-08E1B559A113}">
  <dimension ref="A1:DQ18"/>
  <sheetViews>
    <sheetView workbookViewId="0">
      <selection activeCell="DE20" sqref="DE20"/>
    </sheetView>
  </sheetViews>
  <sheetFormatPr defaultColWidth="10.28515625" defaultRowHeight="21" x14ac:dyDescent="0.6"/>
  <cols>
    <col min="1" max="2" width="10.28515625" style="227"/>
    <col min="3" max="3" width="28.5703125" style="227" customWidth="1"/>
    <col min="4" max="4" width="36.140625" style="227" customWidth="1"/>
    <col min="5" max="5" width="11.42578125" style="227" hidden="1" customWidth="1"/>
    <col min="6" max="6" width="9" style="227" customWidth="1"/>
    <col min="7" max="10" width="10.28515625" style="227" hidden="1" customWidth="1"/>
    <col min="11" max="11" width="7.85546875" style="227" hidden="1" customWidth="1"/>
    <col min="12" max="12" width="8" style="227" hidden="1" customWidth="1"/>
    <col min="13" max="13" width="5" style="227" hidden="1" customWidth="1"/>
    <col min="14" max="15" width="6.28515625" style="227" hidden="1" customWidth="1"/>
    <col min="16" max="16" width="5" style="227" hidden="1" customWidth="1"/>
    <col min="17" max="18" width="6.28515625" style="227" hidden="1" customWidth="1"/>
    <col min="19" max="19" width="5" style="227" hidden="1" customWidth="1"/>
    <col min="20" max="21" width="6.28515625" style="227" hidden="1" customWidth="1"/>
    <col min="22" max="22" width="5" style="227" hidden="1" customWidth="1"/>
    <col min="23" max="24" width="6.28515625" style="227" hidden="1" customWidth="1"/>
    <col min="25" max="25" width="5" style="227" hidden="1" customWidth="1"/>
    <col min="26" max="26" width="7.5703125" style="227" hidden="1" customWidth="1"/>
    <col min="27" max="27" width="6.28515625" style="227" hidden="1" customWidth="1"/>
    <col min="28" max="28" width="7" style="227" hidden="1" customWidth="1"/>
    <col min="29" max="29" width="7.140625" style="227" hidden="1" customWidth="1"/>
    <col min="30" max="30" width="7.28515625" style="227" hidden="1" customWidth="1"/>
    <col min="31" max="31" width="6" style="227" hidden="1" customWidth="1"/>
    <col min="32" max="32" width="8.42578125" style="227" hidden="1" customWidth="1"/>
    <col min="33" max="33" width="6.28515625" style="227" hidden="1" customWidth="1"/>
    <col min="34" max="34" width="5" style="227" hidden="1" customWidth="1"/>
    <col min="35" max="35" width="8" style="227" hidden="1" customWidth="1"/>
    <col min="36" max="36" width="7.5703125" style="227" hidden="1" customWidth="1"/>
    <col min="37" max="37" width="5" style="227" hidden="1" customWidth="1"/>
    <col min="38" max="38" width="8.42578125" style="227" hidden="1" customWidth="1"/>
    <col min="39" max="39" width="6.28515625" style="227" hidden="1" customWidth="1"/>
    <col min="40" max="40" width="5" style="227" hidden="1" customWidth="1"/>
    <col min="41" max="43" width="6.28515625" style="227" hidden="1" customWidth="1"/>
    <col min="44" max="45" width="7.140625" style="227" hidden="1" customWidth="1"/>
    <col min="46" max="46" width="7" style="227" customWidth="1"/>
    <col min="47" max="111" width="10.28515625" style="227" customWidth="1"/>
    <col min="112" max="112" width="8.7109375" style="227" customWidth="1"/>
    <col min="113" max="113" width="10.28515625" style="227" customWidth="1"/>
    <col min="114" max="114" width="10.7109375" style="227" customWidth="1"/>
    <col min="115" max="16384" width="10.28515625" style="227"/>
  </cols>
  <sheetData>
    <row r="1" spans="1:121" ht="30" customHeight="1" x14ac:dyDescent="0.6">
      <c r="A1" s="337"/>
      <c r="B1" s="447" t="s">
        <v>1073</v>
      </c>
      <c r="C1" s="447"/>
      <c r="D1" s="447"/>
      <c r="E1" s="337"/>
      <c r="F1" s="337"/>
      <c r="G1" s="337"/>
      <c r="H1" s="337"/>
      <c r="I1" s="337"/>
      <c r="J1" s="337"/>
      <c r="K1" s="337"/>
      <c r="L1" s="337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  <c r="AK1" s="338"/>
      <c r="AL1" s="338"/>
      <c r="AM1" s="338"/>
      <c r="AN1" s="338"/>
      <c r="AO1" s="338"/>
      <c r="AP1" s="338"/>
      <c r="AQ1" s="338"/>
      <c r="AR1" s="338"/>
      <c r="AS1" s="338"/>
      <c r="AT1" s="339"/>
      <c r="AU1" s="339"/>
      <c r="AV1" s="338"/>
      <c r="AW1" s="339"/>
      <c r="AX1" s="339"/>
      <c r="AY1" s="338"/>
      <c r="AZ1" s="339"/>
      <c r="BA1" s="339"/>
      <c r="BB1" s="338"/>
      <c r="BC1" s="339"/>
      <c r="BD1" s="339"/>
      <c r="BE1" s="338"/>
      <c r="BF1" s="339"/>
      <c r="BG1" s="339"/>
      <c r="BH1" s="338"/>
      <c r="BI1" s="339"/>
      <c r="BJ1" s="339"/>
      <c r="BK1" s="338"/>
      <c r="BL1" s="339"/>
      <c r="BM1" s="339"/>
      <c r="BN1" s="338"/>
      <c r="BO1" s="339"/>
      <c r="BP1" s="339"/>
      <c r="BQ1" s="338"/>
      <c r="BR1" s="339"/>
      <c r="BS1" s="339"/>
      <c r="BT1" s="338"/>
      <c r="BU1" s="339"/>
      <c r="BV1" s="339"/>
      <c r="BW1" s="338"/>
      <c r="BX1" s="338"/>
      <c r="BY1" s="338"/>
      <c r="BZ1" s="338"/>
      <c r="CA1" s="339"/>
      <c r="CB1" s="339"/>
      <c r="CC1" s="338"/>
      <c r="CD1" s="339"/>
      <c r="CE1" s="339"/>
      <c r="CF1" s="338"/>
      <c r="CG1" s="339"/>
      <c r="CH1" s="339"/>
      <c r="CI1" s="338"/>
      <c r="CJ1" s="339"/>
      <c r="CK1" s="339"/>
      <c r="CL1" s="338"/>
      <c r="CM1" s="339"/>
      <c r="CN1" s="339"/>
      <c r="CO1" s="338"/>
      <c r="CP1" s="339"/>
      <c r="CQ1" s="339"/>
      <c r="CR1" s="338"/>
      <c r="CS1" s="339"/>
      <c r="CT1" s="339"/>
      <c r="CU1" s="338"/>
      <c r="CV1" s="339"/>
      <c r="CW1" s="339"/>
      <c r="CX1" s="338"/>
      <c r="CY1" s="339"/>
      <c r="CZ1" s="339"/>
      <c r="DA1" s="338"/>
      <c r="DB1" s="339"/>
      <c r="DC1" s="339"/>
      <c r="DD1" s="338"/>
      <c r="DE1" s="339"/>
      <c r="DF1" s="338"/>
      <c r="DG1" s="338"/>
      <c r="DH1" s="338"/>
      <c r="DI1" s="338"/>
      <c r="DJ1" s="338"/>
    </row>
    <row r="2" spans="1:121" ht="30" customHeight="1" x14ac:dyDescent="0.6">
      <c r="A2" s="337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8"/>
      <c r="AJ2" s="338"/>
      <c r="AK2" s="338"/>
      <c r="AL2" s="338"/>
      <c r="AM2" s="338"/>
      <c r="AN2" s="338"/>
      <c r="AO2" s="338"/>
      <c r="AP2" s="338"/>
      <c r="AQ2" s="338"/>
      <c r="AR2" s="338"/>
      <c r="AS2" s="338"/>
      <c r="AT2" s="339"/>
      <c r="AU2" s="339"/>
      <c r="AV2" s="338"/>
      <c r="AW2" s="339"/>
      <c r="AX2" s="339"/>
      <c r="AY2" s="338"/>
      <c r="AZ2" s="339"/>
      <c r="BA2" s="339"/>
      <c r="BB2" s="338"/>
      <c r="BC2" s="339"/>
      <c r="BD2" s="339"/>
      <c r="BE2" s="338"/>
      <c r="BF2" s="339"/>
      <c r="BG2" s="339"/>
      <c r="BH2" s="338"/>
      <c r="BI2" s="339"/>
      <c r="BJ2" s="339"/>
      <c r="BK2" s="338"/>
      <c r="BL2" s="339"/>
      <c r="BM2" s="339"/>
      <c r="BN2" s="338"/>
      <c r="BO2" s="339"/>
      <c r="BP2" s="339"/>
      <c r="BQ2" s="338"/>
      <c r="BR2" s="339"/>
      <c r="BS2" s="339"/>
      <c r="BT2" s="338"/>
      <c r="BU2" s="339"/>
      <c r="BV2" s="339"/>
      <c r="BW2" s="338"/>
      <c r="BX2" s="338"/>
      <c r="BY2" s="338"/>
      <c r="BZ2" s="338"/>
      <c r="CA2" s="339"/>
      <c r="CB2" s="339"/>
      <c r="CC2" s="338"/>
      <c r="CD2" s="339"/>
      <c r="CE2" s="339"/>
      <c r="CF2" s="338"/>
      <c r="CG2" s="339"/>
      <c r="CH2" s="339"/>
      <c r="CI2" s="338"/>
      <c r="CJ2" s="339"/>
      <c r="CK2" s="339"/>
      <c r="CL2" s="338"/>
      <c r="CM2" s="339"/>
      <c r="CN2" s="339"/>
      <c r="CO2" s="338"/>
      <c r="CP2" s="339"/>
      <c r="CQ2" s="339"/>
      <c r="CR2" s="338"/>
      <c r="CS2" s="339"/>
      <c r="CT2" s="339"/>
      <c r="CU2" s="338"/>
      <c r="CV2" s="339"/>
      <c r="CW2" s="339"/>
      <c r="CX2" s="338"/>
      <c r="CY2" s="339"/>
      <c r="CZ2" s="339"/>
      <c r="DA2" s="338"/>
      <c r="DB2" s="339"/>
      <c r="DC2" s="339"/>
      <c r="DD2" s="338"/>
      <c r="DE2" s="339"/>
      <c r="DF2" s="338"/>
      <c r="DG2" s="338"/>
      <c r="DH2" s="338"/>
      <c r="DI2" s="338"/>
      <c r="DJ2" s="338"/>
    </row>
    <row r="3" spans="1:121" ht="39" customHeight="1" x14ac:dyDescent="0.6">
      <c r="A3" s="318" t="s">
        <v>43</v>
      </c>
      <c r="B3" s="318" t="s">
        <v>689</v>
      </c>
      <c r="C3" s="318" t="s">
        <v>690</v>
      </c>
      <c r="D3" s="318" t="s">
        <v>691</v>
      </c>
      <c r="E3" s="340" t="s">
        <v>692</v>
      </c>
      <c r="F3" s="340" t="s">
        <v>693</v>
      </c>
      <c r="G3" s="318"/>
      <c r="H3" s="318"/>
      <c r="I3" s="318"/>
      <c r="J3" s="318"/>
      <c r="K3" s="341" t="s">
        <v>943</v>
      </c>
      <c r="L3" s="342"/>
      <c r="M3" s="409">
        <v>8767</v>
      </c>
      <c r="N3" s="409"/>
      <c r="O3" s="410"/>
      <c r="P3" s="409">
        <v>45659</v>
      </c>
      <c r="Q3" s="409"/>
      <c r="R3" s="410"/>
      <c r="S3" s="409">
        <v>45660</v>
      </c>
      <c r="T3" s="409"/>
      <c r="U3" s="410"/>
      <c r="V3" s="409">
        <v>45661</v>
      </c>
      <c r="W3" s="409"/>
      <c r="X3" s="410"/>
      <c r="Y3" s="409">
        <v>45662</v>
      </c>
      <c r="Z3" s="409"/>
      <c r="AA3" s="410"/>
      <c r="AB3" s="409">
        <v>45663</v>
      </c>
      <c r="AC3" s="409"/>
      <c r="AD3" s="410"/>
      <c r="AE3" s="409">
        <v>45664</v>
      </c>
      <c r="AF3" s="409"/>
      <c r="AG3" s="410"/>
      <c r="AH3" s="409">
        <v>45665</v>
      </c>
      <c r="AI3" s="409"/>
      <c r="AJ3" s="410"/>
      <c r="AK3" s="409">
        <v>45666</v>
      </c>
      <c r="AL3" s="409"/>
      <c r="AM3" s="410"/>
      <c r="AN3" s="409">
        <v>45667</v>
      </c>
      <c r="AO3" s="409"/>
      <c r="AP3" s="410"/>
      <c r="AQ3" s="435" t="s">
        <v>717</v>
      </c>
      <c r="AR3" s="436"/>
      <c r="AS3" s="437"/>
      <c r="AT3" s="409">
        <v>46033</v>
      </c>
      <c r="AU3" s="409"/>
      <c r="AV3" s="410"/>
      <c r="AW3" s="409">
        <v>46034</v>
      </c>
      <c r="AX3" s="409"/>
      <c r="AY3" s="410"/>
      <c r="AZ3" s="409">
        <v>46035</v>
      </c>
      <c r="BA3" s="409"/>
      <c r="BB3" s="410"/>
      <c r="BC3" s="409">
        <v>46036</v>
      </c>
      <c r="BD3" s="409"/>
      <c r="BE3" s="410"/>
      <c r="BF3" s="409">
        <v>46037</v>
      </c>
      <c r="BG3" s="409"/>
      <c r="BH3" s="410"/>
      <c r="BI3" s="409">
        <v>46038</v>
      </c>
      <c r="BJ3" s="409"/>
      <c r="BK3" s="410"/>
      <c r="BL3" s="409">
        <v>46039</v>
      </c>
      <c r="BM3" s="409"/>
      <c r="BN3" s="410"/>
      <c r="BO3" s="409">
        <v>46040</v>
      </c>
      <c r="BP3" s="409"/>
      <c r="BQ3" s="410"/>
      <c r="BR3" s="409">
        <v>46041</v>
      </c>
      <c r="BS3" s="409"/>
      <c r="BT3" s="410"/>
      <c r="BU3" s="409">
        <v>46042</v>
      </c>
      <c r="BV3" s="409"/>
      <c r="BW3" s="410"/>
      <c r="BX3" s="435" t="s">
        <v>718</v>
      </c>
      <c r="BY3" s="436"/>
      <c r="BZ3" s="437"/>
      <c r="CA3" s="409">
        <v>46043</v>
      </c>
      <c r="CB3" s="409"/>
      <c r="CC3" s="410"/>
      <c r="CD3" s="409">
        <v>46044</v>
      </c>
      <c r="CE3" s="409"/>
      <c r="CF3" s="410"/>
      <c r="CG3" s="409">
        <v>46045</v>
      </c>
      <c r="CH3" s="409"/>
      <c r="CI3" s="410"/>
      <c r="CJ3" s="409">
        <v>46046</v>
      </c>
      <c r="CK3" s="409"/>
      <c r="CL3" s="410"/>
      <c r="CM3" s="409">
        <v>46047</v>
      </c>
      <c r="CN3" s="409"/>
      <c r="CO3" s="410"/>
      <c r="CP3" s="409">
        <v>46048</v>
      </c>
      <c r="CQ3" s="409"/>
      <c r="CR3" s="410"/>
      <c r="CS3" s="409">
        <v>46049</v>
      </c>
      <c r="CT3" s="409"/>
      <c r="CU3" s="410"/>
      <c r="CV3" s="409">
        <v>46050</v>
      </c>
      <c r="CW3" s="409"/>
      <c r="CX3" s="410"/>
      <c r="CY3" s="409">
        <v>46051</v>
      </c>
      <c r="CZ3" s="409"/>
      <c r="DA3" s="410"/>
      <c r="DB3" s="409">
        <v>46052</v>
      </c>
      <c r="DC3" s="409"/>
      <c r="DD3" s="410"/>
      <c r="DE3" s="409">
        <v>46053</v>
      </c>
      <c r="DF3" s="409"/>
      <c r="DG3" s="410"/>
      <c r="DH3" s="435" t="s">
        <v>719</v>
      </c>
      <c r="DI3" s="436"/>
      <c r="DJ3" s="437"/>
    </row>
    <row r="4" spans="1:121" ht="30" customHeight="1" x14ac:dyDescent="0.6">
      <c r="A4" s="318"/>
      <c r="B4" s="318"/>
      <c r="C4" s="318"/>
      <c r="D4" s="318"/>
      <c r="E4" s="318"/>
      <c r="F4" s="318"/>
      <c r="G4" s="318"/>
      <c r="H4" s="318"/>
      <c r="I4" s="318"/>
      <c r="J4" s="318"/>
      <c r="K4" s="318" t="s">
        <v>720</v>
      </c>
      <c r="L4" s="318" t="s">
        <v>721</v>
      </c>
      <c r="M4" s="233" t="s">
        <v>720</v>
      </c>
      <c r="N4" s="230" t="s">
        <v>721</v>
      </c>
      <c r="O4" s="230" t="s">
        <v>722</v>
      </c>
      <c r="P4" s="233" t="s">
        <v>720</v>
      </c>
      <c r="Q4" s="230" t="s">
        <v>721</v>
      </c>
      <c r="R4" s="230" t="s">
        <v>722</v>
      </c>
      <c r="S4" s="233" t="s">
        <v>720</v>
      </c>
      <c r="T4" s="230" t="s">
        <v>721</v>
      </c>
      <c r="U4" s="230" t="s">
        <v>722</v>
      </c>
      <c r="V4" s="233" t="s">
        <v>720</v>
      </c>
      <c r="W4" s="230" t="s">
        <v>721</v>
      </c>
      <c r="X4" s="230" t="s">
        <v>722</v>
      </c>
      <c r="Y4" s="233" t="s">
        <v>720</v>
      </c>
      <c r="Z4" s="230" t="s">
        <v>721</v>
      </c>
      <c r="AA4" s="230" t="s">
        <v>722</v>
      </c>
      <c r="AB4" s="233" t="s">
        <v>720</v>
      </c>
      <c r="AC4" s="230" t="s">
        <v>721</v>
      </c>
      <c r="AD4" s="230" t="s">
        <v>722</v>
      </c>
      <c r="AE4" s="233" t="s">
        <v>720</v>
      </c>
      <c r="AF4" s="230" t="s">
        <v>721</v>
      </c>
      <c r="AG4" s="230" t="s">
        <v>722</v>
      </c>
      <c r="AH4" s="233" t="s">
        <v>720</v>
      </c>
      <c r="AI4" s="230" t="s">
        <v>721</v>
      </c>
      <c r="AJ4" s="230" t="s">
        <v>722</v>
      </c>
      <c r="AK4" s="233" t="s">
        <v>720</v>
      </c>
      <c r="AL4" s="230" t="s">
        <v>721</v>
      </c>
      <c r="AM4" s="230" t="s">
        <v>722</v>
      </c>
      <c r="AN4" s="233" t="s">
        <v>720</v>
      </c>
      <c r="AO4" s="230" t="s">
        <v>721</v>
      </c>
      <c r="AP4" s="230" t="s">
        <v>722</v>
      </c>
      <c r="AQ4" s="320" t="s">
        <v>720</v>
      </c>
      <c r="AR4" s="321" t="s">
        <v>721</v>
      </c>
      <c r="AS4" s="321" t="s">
        <v>722</v>
      </c>
      <c r="AT4" s="233" t="s">
        <v>720</v>
      </c>
      <c r="AU4" s="230" t="s">
        <v>721</v>
      </c>
      <c r="AV4" s="230" t="s">
        <v>722</v>
      </c>
      <c r="AW4" s="233" t="s">
        <v>720</v>
      </c>
      <c r="AX4" s="230" t="s">
        <v>721</v>
      </c>
      <c r="AY4" s="230" t="s">
        <v>722</v>
      </c>
      <c r="AZ4" s="233" t="s">
        <v>720</v>
      </c>
      <c r="BA4" s="230" t="s">
        <v>721</v>
      </c>
      <c r="BB4" s="230" t="s">
        <v>722</v>
      </c>
      <c r="BC4" s="233" t="s">
        <v>720</v>
      </c>
      <c r="BD4" s="230" t="s">
        <v>721</v>
      </c>
      <c r="BE4" s="230" t="s">
        <v>722</v>
      </c>
      <c r="BF4" s="233" t="s">
        <v>720</v>
      </c>
      <c r="BG4" s="230" t="s">
        <v>721</v>
      </c>
      <c r="BH4" s="230" t="s">
        <v>722</v>
      </c>
      <c r="BI4" s="233" t="s">
        <v>720</v>
      </c>
      <c r="BJ4" s="230" t="s">
        <v>721</v>
      </c>
      <c r="BK4" s="230" t="s">
        <v>722</v>
      </c>
      <c r="BL4" s="233" t="s">
        <v>720</v>
      </c>
      <c r="BM4" s="230" t="s">
        <v>721</v>
      </c>
      <c r="BN4" s="230" t="s">
        <v>722</v>
      </c>
      <c r="BO4" s="233" t="s">
        <v>720</v>
      </c>
      <c r="BP4" s="230" t="s">
        <v>721</v>
      </c>
      <c r="BQ4" s="230" t="s">
        <v>722</v>
      </c>
      <c r="BR4" s="233" t="s">
        <v>720</v>
      </c>
      <c r="BS4" s="230" t="s">
        <v>721</v>
      </c>
      <c r="BT4" s="230" t="s">
        <v>722</v>
      </c>
      <c r="BU4" s="233" t="s">
        <v>720</v>
      </c>
      <c r="BV4" s="230" t="s">
        <v>721</v>
      </c>
      <c r="BW4" s="230" t="s">
        <v>722</v>
      </c>
      <c r="BX4" s="320" t="s">
        <v>720</v>
      </c>
      <c r="BY4" s="321" t="s">
        <v>721</v>
      </c>
      <c r="BZ4" s="321" t="s">
        <v>722</v>
      </c>
      <c r="CA4" s="233" t="s">
        <v>720</v>
      </c>
      <c r="CB4" s="230" t="s">
        <v>721</v>
      </c>
      <c r="CC4" s="230" t="s">
        <v>723</v>
      </c>
      <c r="CD4" s="233" t="s">
        <v>720</v>
      </c>
      <c r="CE4" s="230" t="s">
        <v>721</v>
      </c>
      <c r="CF4" s="230" t="s">
        <v>723</v>
      </c>
      <c r="CG4" s="233" t="s">
        <v>720</v>
      </c>
      <c r="CH4" s="230" t="s">
        <v>721</v>
      </c>
      <c r="CI4" s="230" t="s">
        <v>723</v>
      </c>
      <c r="CJ4" s="233" t="s">
        <v>720</v>
      </c>
      <c r="CK4" s="230" t="s">
        <v>721</v>
      </c>
      <c r="CL4" s="230" t="s">
        <v>723</v>
      </c>
      <c r="CM4" s="233" t="s">
        <v>720</v>
      </c>
      <c r="CN4" s="230" t="s">
        <v>721</v>
      </c>
      <c r="CO4" s="230" t="s">
        <v>723</v>
      </c>
      <c r="CP4" s="233" t="s">
        <v>720</v>
      </c>
      <c r="CQ4" s="230" t="s">
        <v>721</v>
      </c>
      <c r="CR4" s="230" t="s">
        <v>723</v>
      </c>
      <c r="CS4" s="233" t="s">
        <v>720</v>
      </c>
      <c r="CT4" s="230" t="s">
        <v>721</v>
      </c>
      <c r="CU4" s="230" t="s">
        <v>723</v>
      </c>
      <c r="CV4" s="233" t="s">
        <v>720</v>
      </c>
      <c r="CW4" s="230" t="s">
        <v>721</v>
      </c>
      <c r="CX4" s="230" t="s">
        <v>723</v>
      </c>
      <c r="CY4" s="233" t="s">
        <v>720</v>
      </c>
      <c r="CZ4" s="230" t="s">
        <v>721</v>
      </c>
      <c r="DA4" s="230" t="s">
        <v>723</v>
      </c>
      <c r="DB4" s="233" t="s">
        <v>720</v>
      </c>
      <c r="DC4" s="230" t="s">
        <v>721</v>
      </c>
      <c r="DD4" s="230" t="s">
        <v>723</v>
      </c>
      <c r="DE4" s="233" t="s">
        <v>720</v>
      </c>
      <c r="DF4" s="230" t="s">
        <v>721</v>
      </c>
      <c r="DG4" s="230" t="s">
        <v>723</v>
      </c>
      <c r="DH4" s="320" t="s">
        <v>720</v>
      </c>
      <c r="DI4" s="321" t="s">
        <v>721</v>
      </c>
      <c r="DJ4" s="321" t="s">
        <v>722</v>
      </c>
      <c r="DO4" s="229"/>
      <c r="DP4" s="229"/>
      <c r="DQ4" s="229"/>
    </row>
    <row r="5" spans="1:121" s="345" customFormat="1" ht="20.100000000000001" customHeight="1" x14ac:dyDescent="0.6">
      <c r="A5" s="343">
        <v>1</v>
      </c>
      <c r="B5" s="343" t="s">
        <v>694</v>
      </c>
      <c r="C5" s="444" t="s">
        <v>1074</v>
      </c>
      <c r="D5" s="343" t="s">
        <v>696</v>
      </c>
      <c r="E5" s="343"/>
      <c r="F5" s="343">
        <v>2</v>
      </c>
      <c r="G5" s="343"/>
      <c r="H5" s="343"/>
      <c r="I5" s="343"/>
      <c r="J5" s="343"/>
      <c r="K5" s="344"/>
      <c r="L5" s="241"/>
      <c r="M5" s="271"/>
      <c r="N5" s="271"/>
      <c r="O5" s="271"/>
      <c r="P5" s="271">
        <v>11</v>
      </c>
      <c r="Q5" s="271">
        <v>162</v>
      </c>
      <c r="R5" s="271">
        <v>121.36</v>
      </c>
      <c r="S5" s="271">
        <v>17</v>
      </c>
      <c r="T5" s="253">
        <v>204</v>
      </c>
      <c r="U5" s="271">
        <v>204</v>
      </c>
      <c r="V5" s="271"/>
      <c r="W5" s="253"/>
      <c r="X5" s="271"/>
      <c r="Y5" s="271">
        <v>14</v>
      </c>
      <c r="Z5" s="271">
        <v>280</v>
      </c>
      <c r="AA5" s="271">
        <v>176</v>
      </c>
      <c r="AB5" s="271">
        <v>29.666666666666668</v>
      </c>
      <c r="AC5" s="253">
        <v>598</v>
      </c>
      <c r="AD5" s="271">
        <v>330.08000000000021</v>
      </c>
      <c r="AE5" s="271">
        <v>32.5</v>
      </c>
      <c r="AF5" s="253">
        <v>749</v>
      </c>
      <c r="AG5" s="271">
        <v>383.72</v>
      </c>
      <c r="AH5" s="271">
        <v>25.666666666666668</v>
      </c>
      <c r="AI5" s="271">
        <v>638</v>
      </c>
      <c r="AJ5" s="271">
        <v>317.92</v>
      </c>
      <c r="AK5" s="271">
        <v>38</v>
      </c>
      <c r="AL5" s="271">
        <v>808</v>
      </c>
      <c r="AM5" s="271">
        <v>448.47999999999996</v>
      </c>
      <c r="AN5" s="271">
        <v>22.957999999999998</v>
      </c>
      <c r="AO5" s="271">
        <v>466</v>
      </c>
      <c r="AP5" s="271">
        <v>277.73</v>
      </c>
      <c r="AQ5" s="272">
        <f t="shared" ref="AQ5:AR15" si="0">+AN5+AK5+AH5+AE5+AB5+Y5+V5+S5+P5+M5</f>
        <v>190.79133333333334</v>
      </c>
      <c r="AR5" s="272">
        <f t="shared" si="0"/>
        <v>3905</v>
      </c>
      <c r="AS5" s="272">
        <f>O5+R5+U5+X5+AA5+AD5+AG5+AJ5+AM5+AP5</f>
        <v>2259.2900000000004</v>
      </c>
      <c r="AT5" s="273"/>
      <c r="AU5" s="273"/>
      <c r="AV5" s="271"/>
      <c r="AW5" s="273">
        <v>28</v>
      </c>
      <c r="AX5" s="273">
        <v>592</v>
      </c>
      <c r="AY5" s="271">
        <v>347.92</v>
      </c>
      <c r="AZ5" s="273">
        <v>28.75</v>
      </c>
      <c r="BA5" s="273">
        <v>526</v>
      </c>
      <c r="BB5" s="271">
        <v>319.26000000000005</v>
      </c>
      <c r="BC5" s="273">
        <v>11.5</v>
      </c>
      <c r="BD5" s="273">
        <v>230</v>
      </c>
      <c r="BE5" s="271">
        <v>139.16</v>
      </c>
      <c r="BF5" s="273">
        <v>23</v>
      </c>
      <c r="BG5" s="273">
        <v>478</v>
      </c>
      <c r="BH5" s="271">
        <v>280.88</v>
      </c>
      <c r="BI5" s="273">
        <v>53</v>
      </c>
      <c r="BJ5" s="273">
        <v>810</v>
      </c>
      <c r="BK5" s="271">
        <v>625.68000000000006</v>
      </c>
      <c r="BL5" s="273">
        <v>32.125</v>
      </c>
      <c r="BM5" s="273">
        <v>621</v>
      </c>
      <c r="BN5" s="271">
        <v>376.91000000000014</v>
      </c>
      <c r="BO5" s="273"/>
      <c r="BP5" s="273"/>
      <c r="BQ5" s="271"/>
      <c r="BR5" s="273">
        <v>28.01</v>
      </c>
      <c r="BS5" s="273">
        <v>560</v>
      </c>
      <c r="BT5" s="271">
        <v>344.32000000000005</v>
      </c>
      <c r="BU5" s="273">
        <v>23</v>
      </c>
      <c r="BV5" s="273">
        <v>338</v>
      </c>
      <c r="BW5" s="271">
        <v>243.04</v>
      </c>
      <c r="BX5" s="272">
        <f t="shared" ref="BX5:BY15" si="1">+BU5+BR5+BO5+BL5+BI5+BF5+BC5+AZ5+AW5+AT5+AQ5</f>
        <v>418.17633333333333</v>
      </c>
      <c r="BY5" s="272">
        <f t="shared" si="1"/>
        <v>8060</v>
      </c>
      <c r="BZ5" s="272">
        <f>AS5+AV5+AY5+BB5+BE5+BH5+BK5+BN5+BQ5+BT5+BW5</f>
        <v>4936.46</v>
      </c>
      <c r="CA5" s="273">
        <v>22.414000000000001</v>
      </c>
      <c r="CB5" s="273">
        <v>508</v>
      </c>
      <c r="CC5" s="271">
        <v>260.7</v>
      </c>
      <c r="CD5" s="273">
        <v>45</v>
      </c>
      <c r="CE5" s="273">
        <v>606</v>
      </c>
      <c r="CF5" s="271">
        <v>514.4</v>
      </c>
      <c r="CG5" s="273">
        <v>10.25</v>
      </c>
      <c r="CH5" s="273">
        <v>238</v>
      </c>
      <c r="CI5" s="271">
        <v>130.1</v>
      </c>
      <c r="CJ5" s="273">
        <v>67.914000000000001</v>
      </c>
      <c r="CK5" s="273">
        <v>1192</v>
      </c>
      <c r="CL5" s="271">
        <v>810.9799999999999</v>
      </c>
      <c r="CM5" s="273"/>
      <c r="CN5" s="273"/>
      <c r="CO5" s="271"/>
      <c r="CP5" s="273">
        <v>51.164000000000001</v>
      </c>
      <c r="CQ5" s="273">
        <v>764</v>
      </c>
      <c r="CR5" s="271">
        <v>607.90000000000009</v>
      </c>
      <c r="CS5" s="273">
        <v>61</v>
      </c>
      <c r="CT5" s="273">
        <v>1124</v>
      </c>
      <c r="CU5" s="271">
        <v>736</v>
      </c>
      <c r="CV5" s="273">
        <v>22</v>
      </c>
      <c r="CW5" s="273">
        <v>326</v>
      </c>
      <c r="CX5" s="271">
        <v>244.48000000000002</v>
      </c>
      <c r="CY5" s="273">
        <v>32</v>
      </c>
      <c r="CZ5" s="273">
        <v>892</v>
      </c>
      <c r="DA5" s="271">
        <v>404.32000000000005</v>
      </c>
      <c r="DB5" s="273">
        <v>21</v>
      </c>
      <c r="DC5" s="273">
        <v>394</v>
      </c>
      <c r="DD5" s="271">
        <v>258.96000000000004</v>
      </c>
      <c r="DE5" s="273">
        <v>21</v>
      </c>
      <c r="DF5" s="271">
        <v>364</v>
      </c>
      <c r="DG5" s="271">
        <v>250.4</v>
      </c>
      <c r="DH5" s="272">
        <f>+DE5+DB5+CY5+CV5+CS5+CP5+CM5+CJ5+CG5+CD5+CA5+BX5</f>
        <v>771.91833333333329</v>
      </c>
      <c r="DI5" s="272">
        <f>+DF5+DC5+CZ5+CW5+CT5+CQ5+CN5+CK5+CH5+CE5+CB5+BY5</f>
        <v>14468</v>
      </c>
      <c r="DJ5" s="272">
        <f>BZ5+CC5+CF5+CI5+CL5+CO5+CR5+CU5+CX5+DA5+DD5+DG5</f>
        <v>9154.6999999999989</v>
      </c>
      <c r="DO5" s="346"/>
      <c r="DP5" s="346"/>
      <c r="DQ5" s="346"/>
    </row>
    <row r="6" spans="1:121" s="345" customFormat="1" ht="20.100000000000001" customHeight="1" x14ac:dyDescent="0.6">
      <c r="A6" s="343">
        <v>2</v>
      </c>
      <c r="B6" s="343" t="s">
        <v>697</v>
      </c>
      <c r="C6" s="444"/>
      <c r="D6" s="343" t="s">
        <v>698</v>
      </c>
      <c r="E6" s="343"/>
      <c r="F6" s="343">
        <v>2</v>
      </c>
      <c r="G6" s="343"/>
      <c r="H6" s="343"/>
      <c r="I6" s="343"/>
      <c r="J6" s="343"/>
      <c r="K6" s="344"/>
      <c r="L6" s="241"/>
      <c r="M6" s="271"/>
      <c r="N6" s="271"/>
      <c r="O6" s="271"/>
      <c r="P6" s="271">
        <v>40.5</v>
      </c>
      <c r="Q6" s="271">
        <v>720</v>
      </c>
      <c r="R6" s="271">
        <v>465.68</v>
      </c>
      <c r="S6" s="271">
        <v>69</v>
      </c>
      <c r="T6" s="253">
        <v>978</v>
      </c>
      <c r="U6" s="271">
        <v>755.44</v>
      </c>
      <c r="V6" s="271"/>
      <c r="W6" s="253"/>
      <c r="X6" s="271"/>
      <c r="Y6" s="271">
        <v>67</v>
      </c>
      <c r="Z6" s="271">
        <v>1004</v>
      </c>
      <c r="AA6" s="271">
        <v>728.96000000000015</v>
      </c>
      <c r="AB6" s="271">
        <v>56</v>
      </c>
      <c r="AC6" s="253">
        <v>990</v>
      </c>
      <c r="AD6" s="271">
        <v>664.4</v>
      </c>
      <c r="AE6" s="271">
        <v>113</v>
      </c>
      <c r="AF6" s="253">
        <v>1782</v>
      </c>
      <c r="AG6" s="271">
        <v>1282.8000000000002</v>
      </c>
      <c r="AH6" s="271">
        <v>37</v>
      </c>
      <c r="AI6" s="271">
        <v>756</v>
      </c>
      <c r="AJ6" s="271">
        <v>450.32000000000005</v>
      </c>
      <c r="AK6" s="271">
        <v>38</v>
      </c>
      <c r="AL6" s="271">
        <v>802</v>
      </c>
      <c r="AM6" s="271">
        <v>455.2</v>
      </c>
      <c r="AN6" s="271">
        <v>62</v>
      </c>
      <c r="AO6" s="271">
        <v>1030</v>
      </c>
      <c r="AP6" s="271">
        <v>667.12</v>
      </c>
      <c r="AQ6" s="272">
        <f t="shared" si="0"/>
        <v>482.5</v>
      </c>
      <c r="AR6" s="272">
        <f t="shared" si="0"/>
        <v>8062</v>
      </c>
      <c r="AS6" s="272">
        <f t="shared" ref="AS6:AS15" si="2">O6+R6+U6+X6+AA6+AD6+AG6+AJ6+AM6+AP6</f>
        <v>5469.92</v>
      </c>
      <c r="AT6" s="273"/>
      <c r="AU6" s="273"/>
      <c r="AV6" s="271"/>
      <c r="AW6" s="273">
        <v>50</v>
      </c>
      <c r="AX6" s="273">
        <v>954</v>
      </c>
      <c r="AY6" s="271">
        <v>563.04000000000008</v>
      </c>
      <c r="AZ6" s="273">
        <v>35</v>
      </c>
      <c r="BA6" s="273">
        <v>738</v>
      </c>
      <c r="BB6" s="271">
        <v>417.2</v>
      </c>
      <c r="BC6" s="273">
        <v>48.5</v>
      </c>
      <c r="BD6" s="273">
        <v>880</v>
      </c>
      <c r="BE6" s="271">
        <v>541.99999999999989</v>
      </c>
      <c r="BF6" s="273">
        <v>37</v>
      </c>
      <c r="BG6" s="273">
        <v>816</v>
      </c>
      <c r="BH6" s="271">
        <v>443.44000000000005</v>
      </c>
      <c r="BI6" s="273">
        <v>80</v>
      </c>
      <c r="BJ6" s="273">
        <v>1242</v>
      </c>
      <c r="BK6" s="271">
        <v>932.4</v>
      </c>
      <c r="BL6" s="273">
        <v>60</v>
      </c>
      <c r="BM6" s="273">
        <v>796</v>
      </c>
      <c r="BN6" s="271">
        <v>635.84</v>
      </c>
      <c r="BO6" s="273"/>
      <c r="BP6" s="273"/>
      <c r="BQ6" s="271"/>
      <c r="BR6" s="273">
        <v>47</v>
      </c>
      <c r="BS6" s="273">
        <v>736</v>
      </c>
      <c r="BT6" s="271">
        <v>526.72</v>
      </c>
      <c r="BU6" s="273">
        <v>55</v>
      </c>
      <c r="BV6" s="273">
        <v>936</v>
      </c>
      <c r="BW6" s="271">
        <v>603.12</v>
      </c>
      <c r="BX6" s="272">
        <f t="shared" si="1"/>
        <v>895</v>
      </c>
      <c r="BY6" s="272">
        <f t="shared" si="1"/>
        <v>15160</v>
      </c>
      <c r="BZ6" s="272">
        <f t="shared" ref="BZ6:BZ15" si="3">AS6+AV6+AY6+BB6+BE6+BH6+BK6+BN6+BQ6+BT6+BW6</f>
        <v>10133.68</v>
      </c>
      <c r="CA6" s="273">
        <v>69</v>
      </c>
      <c r="CB6" s="273">
        <v>1140</v>
      </c>
      <c r="CC6" s="271">
        <v>726.96</v>
      </c>
      <c r="CD6" s="273">
        <v>36</v>
      </c>
      <c r="CE6" s="273">
        <v>750</v>
      </c>
      <c r="CF6" s="271">
        <v>400.4</v>
      </c>
      <c r="CG6" s="273">
        <v>32</v>
      </c>
      <c r="CH6" s="273">
        <v>500</v>
      </c>
      <c r="CI6" s="271">
        <v>357.11999999999995</v>
      </c>
      <c r="CJ6" s="273">
        <v>26</v>
      </c>
      <c r="CK6" s="273">
        <v>622</v>
      </c>
      <c r="CL6" s="271">
        <v>330.96</v>
      </c>
      <c r="CM6" s="273"/>
      <c r="CN6" s="273"/>
      <c r="CO6" s="271"/>
      <c r="CP6" s="273">
        <v>48</v>
      </c>
      <c r="CQ6" s="273">
        <v>772</v>
      </c>
      <c r="CR6" s="271">
        <v>546.79999999999995</v>
      </c>
      <c r="CS6" s="273">
        <v>22</v>
      </c>
      <c r="CT6" s="273">
        <v>656</v>
      </c>
      <c r="CU6" s="271">
        <v>292</v>
      </c>
      <c r="CV6" s="273">
        <v>19</v>
      </c>
      <c r="CW6" s="273">
        <v>244</v>
      </c>
      <c r="CX6" s="271">
        <v>189.28</v>
      </c>
      <c r="CY6" s="273">
        <v>17</v>
      </c>
      <c r="CZ6" s="273">
        <v>344</v>
      </c>
      <c r="DA6" s="271">
        <v>214</v>
      </c>
      <c r="DB6" s="273">
        <v>21</v>
      </c>
      <c r="DC6" s="273">
        <v>280</v>
      </c>
      <c r="DD6" s="271">
        <v>244.39999999999998</v>
      </c>
      <c r="DE6" s="273">
        <v>32</v>
      </c>
      <c r="DF6" s="271">
        <v>384</v>
      </c>
      <c r="DG6" s="271">
        <v>350.4</v>
      </c>
      <c r="DH6" s="272">
        <f t="shared" ref="DH6:DI15" si="4">+DE6+DB6+CY6+CV6+CS6+CP6+CM6+CJ6+CG6+CD6+CA6+BX6</f>
        <v>1217</v>
      </c>
      <c r="DI6" s="272">
        <f t="shared" si="4"/>
        <v>20852</v>
      </c>
      <c r="DJ6" s="272">
        <f t="shared" ref="DJ6:DJ15" si="5">BZ6+CC6+CF6+CI6+CL6+CO6+CR6+CU6+CX6+DA6+DD6+DG6</f>
        <v>13785.999999999998</v>
      </c>
      <c r="DO6" s="346"/>
      <c r="DP6" s="346"/>
      <c r="DQ6" s="346"/>
    </row>
    <row r="7" spans="1:121" s="345" customFormat="1" ht="20.100000000000001" customHeight="1" x14ac:dyDescent="0.6">
      <c r="A7" s="343">
        <v>3</v>
      </c>
      <c r="B7" s="343" t="s">
        <v>699</v>
      </c>
      <c r="C7" s="444" t="s">
        <v>1075</v>
      </c>
      <c r="D7" s="343" t="s">
        <v>1076</v>
      </c>
      <c r="E7" s="343"/>
      <c r="F7" s="343">
        <v>2</v>
      </c>
      <c r="G7" s="343"/>
      <c r="H7" s="343"/>
      <c r="I7" s="343"/>
      <c r="J7" s="343"/>
      <c r="K7" s="344"/>
      <c r="L7" s="241"/>
      <c r="M7" s="271"/>
      <c r="N7" s="271"/>
      <c r="O7" s="271"/>
      <c r="P7" s="271">
        <v>48</v>
      </c>
      <c r="Q7" s="271">
        <v>1136</v>
      </c>
      <c r="R7" s="271">
        <v>597.7600000000001</v>
      </c>
      <c r="S7" s="271">
        <v>55</v>
      </c>
      <c r="T7" s="253">
        <v>806</v>
      </c>
      <c r="U7" s="271">
        <v>656.08</v>
      </c>
      <c r="V7" s="271"/>
      <c r="W7" s="253"/>
      <c r="X7" s="271"/>
      <c r="Y7" s="271">
        <v>46</v>
      </c>
      <c r="Z7" s="271">
        <v>786</v>
      </c>
      <c r="AA7" s="271">
        <v>538.40000000000009</v>
      </c>
      <c r="AB7" s="271">
        <v>57</v>
      </c>
      <c r="AC7" s="253">
        <v>1064</v>
      </c>
      <c r="AD7" s="271">
        <v>665.28000000000009</v>
      </c>
      <c r="AE7" s="271">
        <v>52</v>
      </c>
      <c r="AF7" s="253">
        <v>880</v>
      </c>
      <c r="AG7" s="271">
        <v>635.91999999999996</v>
      </c>
      <c r="AH7" s="271">
        <v>23</v>
      </c>
      <c r="AI7" s="271">
        <v>500</v>
      </c>
      <c r="AJ7" s="271">
        <v>288.15999999999997</v>
      </c>
      <c r="AK7" s="271">
        <v>33</v>
      </c>
      <c r="AL7" s="271">
        <v>452</v>
      </c>
      <c r="AM7" s="271">
        <v>400</v>
      </c>
      <c r="AN7" s="271">
        <v>59</v>
      </c>
      <c r="AO7" s="271">
        <v>1100</v>
      </c>
      <c r="AP7" s="271">
        <v>728.32</v>
      </c>
      <c r="AQ7" s="272">
        <f t="shared" si="0"/>
        <v>373</v>
      </c>
      <c r="AR7" s="272">
        <f t="shared" si="0"/>
        <v>6724</v>
      </c>
      <c r="AS7" s="272">
        <f t="shared" si="2"/>
        <v>4509.92</v>
      </c>
      <c r="AT7" s="273"/>
      <c r="AU7" s="273"/>
      <c r="AV7" s="271"/>
      <c r="AW7" s="273">
        <v>37</v>
      </c>
      <c r="AX7" s="273">
        <v>752</v>
      </c>
      <c r="AY7" s="271">
        <v>456.4</v>
      </c>
      <c r="AZ7" s="273">
        <v>19</v>
      </c>
      <c r="BA7" s="273">
        <v>368</v>
      </c>
      <c r="BB7" s="271">
        <v>219.52</v>
      </c>
      <c r="BC7" s="273">
        <v>54</v>
      </c>
      <c r="BD7" s="273">
        <v>788</v>
      </c>
      <c r="BE7" s="271">
        <v>638.79999999999995</v>
      </c>
      <c r="BF7" s="273">
        <v>45.5</v>
      </c>
      <c r="BG7" s="273">
        <v>806</v>
      </c>
      <c r="BH7" s="271">
        <v>542.24</v>
      </c>
      <c r="BI7" s="273">
        <v>50</v>
      </c>
      <c r="BJ7" s="273">
        <v>852</v>
      </c>
      <c r="BK7" s="271">
        <v>604.79999999999995</v>
      </c>
      <c r="BL7" s="273">
        <v>55</v>
      </c>
      <c r="BM7" s="273">
        <v>800</v>
      </c>
      <c r="BN7" s="271">
        <v>670</v>
      </c>
      <c r="BO7" s="273"/>
      <c r="BP7" s="273"/>
      <c r="BQ7" s="271"/>
      <c r="BR7" s="273">
        <v>66</v>
      </c>
      <c r="BS7" s="273">
        <v>998</v>
      </c>
      <c r="BT7" s="271">
        <v>781.2</v>
      </c>
      <c r="BU7" s="273">
        <v>43.5</v>
      </c>
      <c r="BV7" s="273">
        <v>638</v>
      </c>
      <c r="BW7" s="271">
        <v>513.12</v>
      </c>
      <c r="BX7" s="272">
        <f t="shared" si="1"/>
        <v>743</v>
      </c>
      <c r="BY7" s="272">
        <f t="shared" si="1"/>
        <v>12726</v>
      </c>
      <c r="BZ7" s="272">
        <f t="shared" si="3"/>
        <v>8936.0000000000018</v>
      </c>
      <c r="CA7" s="273">
        <v>46</v>
      </c>
      <c r="CB7" s="273">
        <v>916</v>
      </c>
      <c r="CC7" s="271">
        <v>578</v>
      </c>
      <c r="CD7" s="273">
        <v>57</v>
      </c>
      <c r="CE7" s="273">
        <v>1020</v>
      </c>
      <c r="CF7" s="271">
        <v>704.4</v>
      </c>
      <c r="CG7" s="273">
        <v>27</v>
      </c>
      <c r="CH7" s="273">
        <v>352</v>
      </c>
      <c r="CI7" s="271">
        <v>326</v>
      </c>
      <c r="CJ7" s="273">
        <v>63</v>
      </c>
      <c r="CK7" s="273">
        <v>1012</v>
      </c>
      <c r="CL7" s="271">
        <v>723.28000000000009</v>
      </c>
      <c r="CM7" s="273"/>
      <c r="CN7" s="273"/>
      <c r="CO7" s="271"/>
      <c r="CP7" s="273">
        <v>39</v>
      </c>
      <c r="CQ7" s="273">
        <v>638</v>
      </c>
      <c r="CR7" s="271">
        <v>457.76</v>
      </c>
      <c r="CS7" s="273">
        <v>32.5</v>
      </c>
      <c r="CT7" s="273">
        <v>586</v>
      </c>
      <c r="CU7" s="271">
        <v>404</v>
      </c>
      <c r="CV7" s="273">
        <v>54</v>
      </c>
      <c r="CW7" s="273">
        <v>1012</v>
      </c>
      <c r="CX7" s="271">
        <v>646.16</v>
      </c>
      <c r="CY7" s="273">
        <v>27</v>
      </c>
      <c r="CZ7" s="273">
        <v>520</v>
      </c>
      <c r="DA7" s="271">
        <v>338</v>
      </c>
      <c r="DB7" s="273">
        <v>48</v>
      </c>
      <c r="DC7" s="273">
        <v>802</v>
      </c>
      <c r="DD7" s="271">
        <v>588.96</v>
      </c>
      <c r="DE7" s="273">
        <v>59.5</v>
      </c>
      <c r="DF7" s="271">
        <v>854</v>
      </c>
      <c r="DG7" s="271">
        <v>724</v>
      </c>
      <c r="DH7" s="272">
        <f t="shared" si="4"/>
        <v>1196</v>
      </c>
      <c r="DI7" s="272">
        <f t="shared" si="4"/>
        <v>20438</v>
      </c>
      <c r="DJ7" s="272">
        <f t="shared" si="5"/>
        <v>14426.560000000001</v>
      </c>
      <c r="DO7" s="346"/>
      <c r="DP7" s="346"/>
      <c r="DQ7" s="346"/>
    </row>
    <row r="8" spans="1:121" s="345" customFormat="1" ht="20.100000000000001" customHeight="1" x14ac:dyDescent="0.6">
      <c r="A8" s="343">
        <v>4</v>
      </c>
      <c r="B8" s="343" t="s">
        <v>702</v>
      </c>
      <c r="C8" s="444"/>
      <c r="D8" s="343" t="s">
        <v>1077</v>
      </c>
      <c r="E8" s="343"/>
      <c r="F8" s="343">
        <v>2</v>
      </c>
      <c r="G8" s="343"/>
      <c r="H8" s="343"/>
      <c r="I8" s="343"/>
      <c r="J8" s="343"/>
      <c r="K8" s="344"/>
      <c r="L8" s="241"/>
      <c r="M8" s="271"/>
      <c r="N8" s="271"/>
      <c r="O8" s="271"/>
      <c r="P8" s="271">
        <v>13</v>
      </c>
      <c r="Q8" s="271">
        <v>240</v>
      </c>
      <c r="R8" s="271">
        <v>162</v>
      </c>
      <c r="S8" s="271">
        <v>39</v>
      </c>
      <c r="T8" s="253">
        <v>580</v>
      </c>
      <c r="U8" s="271">
        <v>447.2</v>
      </c>
      <c r="V8" s="271"/>
      <c r="W8" s="253"/>
      <c r="X8" s="271"/>
      <c r="Y8" s="271">
        <v>55</v>
      </c>
      <c r="Z8" s="271">
        <v>708</v>
      </c>
      <c r="AA8" s="271">
        <v>626.79999999999995</v>
      </c>
      <c r="AB8" s="271">
        <v>34</v>
      </c>
      <c r="AC8" s="253">
        <v>576</v>
      </c>
      <c r="AD8" s="271">
        <v>405.6</v>
      </c>
      <c r="AE8" s="271">
        <v>68</v>
      </c>
      <c r="AF8" s="253">
        <v>966</v>
      </c>
      <c r="AG8" s="271">
        <v>796.4</v>
      </c>
      <c r="AH8" s="271">
        <v>55</v>
      </c>
      <c r="AI8" s="271">
        <v>726</v>
      </c>
      <c r="AJ8" s="271">
        <v>644.96</v>
      </c>
      <c r="AK8" s="271">
        <v>25.75</v>
      </c>
      <c r="AL8" s="271">
        <v>365</v>
      </c>
      <c r="AM8" s="271">
        <v>303.39999999999998</v>
      </c>
      <c r="AN8" s="271">
        <v>77</v>
      </c>
      <c r="AO8" s="271">
        <v>1068</v>
      </c>
      <c r="AP8" s="271">
        <v>814.8</v>
      </c>
      <c r="AQ8" s="272">
        <f t="shared" si="0"/>
        <v>366.75</v>
      </c>
      <c r="AR8" s="272">
        <f t="shared" si="0"/>
        <v>5229</v>
      </c>
      <c r="AS8" s="272">
        <f t="shared" si="2"/>
        <v>4201.16</v>
      </c>
      <c r="AT8" s="273"/>
      <c r="AU8" s="273"/>
      <c r="AV8" s="271"/>
      <c r="AW8" s="273">
        <v>48</v>
      </c>
      <c r="AX8" s="273">
        <v>744</v>
      </c>
      <c r="AY8" s="271">
        <v>574.79999999999995</v>
      </c>
      <c r="AZ8" s="273">
        <v>20</v>
      </c>
      <c r="BA8" s="273">
        <v>324</v>
      </c>
      <c r="BB8" s="271">
        <v>241.2</v>
      </c>
      <c r="BC8" s="273">
        <v>49</v>
      </c>
      <c r="BD8" s="273">
        <v>684</v>
      </c>
      <c r="BE8" s="271">
        <v>531.20000000000005</v>
      </c>
      <c r="BF8" s="273">
        <v>40</v>
      </c>
      <c r="BG8" s="273">
        <v>682</v>
      </c>
      <c r="BH8" s="271">
        <v>484.88</v>
      </c>
      <c r="BI8" s="273">
        <v>33</v>
      </c>
      <c r="BJ8" s="273">
        <v>480</v>
      </c>
      <c r="BK8" s="271">
        <v>402</v>
      </c>
      <c r="BL8" s="273">
        <v>34</v>
      </c>
      <c r="BM8" s="273">
        <v>522</v>
      </c>
      <c r="BN8" s="271">
        <v>354.96000000000004</v>
      </c>
      <c r="BO8" s="273"/>
      <c r="BP8" s="273"/>
      <c r="BQ8" s="271"/>
      <c r="BR8" s="273">
        <v>39</v>
      </c>
      <c r="BS8" s="273">
        <v>692</v>
      </c>
      <c r="BT8" s="271">
        <v>484</v>
      </c>
      <c r="BU8" s="273">
        <v>37</v>
      </c>
      <c r="BV8" s="273">
        <v>474</v>
      </c>
      <c r="BW8" s="271">
        <v>398.4</v>
      </c>
      <c r="BX8" s="272">
        <f t="shared" si="1"/>
        <v>666.75</v>
      </c>
      <c r="BY8" s="272">
        <f t="shared" si="1"/>
        <v>9831</v>
      </c>
      <c r="BZ8" s="272">
        <f t="shared" si="3"/>
        <v>7672.5999999999995</v>
      </c>
      <c r="CA8" s="273">
        <v>39</v>
      </c>
      <c r="CB8" s="273">
        <v>580</v>
      </c>
      <c r="CC8" s="271">
        <v>466.4</v>
      </c>
      <c r="CD8" s="273">
        <v>54</v>
      </c>
      <c r="CE8" s="273">
        <v>760</v>
      </c>
      <c r="CF8" s="271">
        <v>636.80000000000007</v>
      </c>
      <c r="CG8" s="273">
        <v>33</v>
      </c>
      <c r="CH8" s="273">
        <v>472</v>
      </c>
      <c r="CI8" s="271">
        <v>369.6</v>
      </c>
      <c r="CJ8" s="273">
        <v>66</v>
      </c>
      <c r="CK8" s="273">
        <v>988</v>
      </c>
      <c r="CL8" s="271">
        <v>777.2</v>
      </c>
      <c r="CM8" s="273"/>
      <c r="CN8" s="273"/>
      <c r="CO8" s="271"/>
      <c r="CP8" s="273">
        <v>50</v>
      </c>
      <c r="CQ8" s="273">
        <v>800</v>
      </c>
      <c r="CR8" s="271">
        <v>603.12</v>
      </c>
      <c r="CS8" s="273">
        <v>51</v>
      </c>
      <c r="CT8" s="273">
        <v>726</v>
      </c>
      <c r="CU8" s="271">
        <v>562.79999999999995</v>
      </c>
      <c r="CV8" s="273">
        <v>34</v>
      </c>
      <c r="CW8" s="273">
        <v>632</v>
      </c>
      <c r="CX8" s="271">
        <v>400</v>
      </c>
      <c r="CY8" s="273">
        <v>18</v>
      </c>
      <c r="CZ8" s="273">
        <v>440</v>
      </c>
      <c r="DA8" s="271">
        <v>227.2</v>
      </c>
      <c r="DB8" s="273">
        <v>66</v>
      </c>
      <c r="DC8" s="273">
        <v>1016</v>
      </c>
      <c r="DD8" s="271">
        <v>803.2</v>
      </c>
      <c r="DE8" s="273">
        <v>181</v>
      </c>
      <c r="DF8" s="271">
        <v>2596</v>
      </c>
      <c r="DG8" s="271">
        <v>2127.36</v>
      </c>
      <c r="DH8" s="272">
        <f t="shared" si="4"/>
        <v>1258.75</v>
      </c>
      <c r="DI8" s="272">
        <f t="shared" si="4"/>
        <v>18841</v>
      </c>
      <c r="DJ8" s="272">
        <f t="shared" si="5"/>
        <v>14646.280000000002</v>
      </c>
      <c r="DO8" s="346"/>
      <c r="DP8" s="346"/>
      <c r="DQ8" s="346"/>
    </row>
    <row r="9" spans="1:121" s="345" customFormat="1" ht="20.100000000000001" customHeight="1" x14ac:dyDescent="0.6">
      <c r="A9" s="343">
        <v>5</v>
      </c>
      <c r="B9" s="343" t="s">
        <v>704</v>
      </c>
      <c r="C9" s="343" t="s">
        <v>1078</v>
      </c>
      <c r="D9" s="343" t="s">
        <v>706</v>
      </c>
      <c r="E9" s="343"/>
      <c r="F9" s="343">
        <v>4</v>
      </c>
      <c r="G9" s="343"/>
      <c r="H9" s="343"/>
      <c r="I9" s="343"/>
      <c r="J9" s="343"/>
      <c r="K9" s="344"/>
      <c r="L9" s="241"/>
      <c r="M9" s="271"/>
      <c r="N9" s="271"/>
      <c r="O9" s="271"/>
      <c r="P9" s="271"/>
      <c r="Q9" s="271"/>
      <c r="R9" s="271"/>
      <c r="S9" s="271"/>
      <c r="T9" s="253"/>
      <c r="U9" s="271"/>
      <c r="V9" s="271"/>
      <c r="W9" s="253"/>
      <c r="X9" s="271"/>
      <c r="Y9" s="271">
        <v>68</v>
      </c>
      <c r="Z9" s="271">
        <v>900</v>
      </c>
      <c r="AA9" s="271">
        <v>822</v>
      </c>
      <c r="AB9" s="271">
        <v>159</v>
      </c>
      <c r="AC9" s="253">
        <v>2050</v>
      </c>
      <c r="AD9" s="271">
        <v>1886.16</v>
      </c>
      <c r="AE9" s="271">
        <v>206</v>
      </c>
      <c r="AF9" s="253">
        <v>2660</v>
      </c>
      <c r="AG9" s="271">
        <v>2435.6</v>
      </c>
      <c r="AH9" s="271">
        <v>92</v>
      </c>
      <c r="AI9" s="271">
        <v>1508</v>
      </c>
      <c r="AJ9" s="271">
        <v>1133.92</v>
      </c>
      <c r="AK9" s="271">
        <v>173</v>
      </c>
      <c r="AL9" s="271">
        <v>2338</v>
      </c>
      <c r="AM9" s="271">
        <v>2156.48</v>
      </c>
      <c r="AN9" s="271"/>
      <c r="AO9" s="271"/>
      <c r="AP9" s="271"/>
      <c r="AQ9" s="272">
        <f t="shared" si="0"/>
        <v>698</v>
      </c>
      <c r="AR9" s="272">
        <f t="shared" si="0"/>
        <v>9456</v>
      </c>
      <c r="AS9" s="272">
        <f t="shared" si="2"/>
        <v>8434.16</v>
      </c>
      <c r="AT9" s="273"/>
      <c r="AU9" s="273"/>
      <c r="AV9" s="271"/>
      <c r="AW9" s="273"/>
      <c r="AX9" s="273"/>
      <c r="AY9" s="271"/>
      <c r="AZ9" s="273"/>
      <c r="BA9" s="273"/>
      <c r="BB9" s="271"/>
      <c r="BC9" s="273"/>
      <c r="BD9" s="273"/>
      <c r="BE9" s="271"/>
      <c r="BF9" s="273"/>
      <c r="BG9" s="273"/>
      <c r="BH9" s="271"/>
      <c r="BI9" s="273"/>
      <c r="BJ9" s="273"/>
      <c r="BK9" s="271"/>
      <c r="BL9" s="273"/>
      <c r="BM9" s="273"/>
      <c r="BN9" s="271"/>
      <c r="BO9" s="273"/>
      <c r="BP9" s="273"/>
      <c r="BQ9" s="271"/>
      <c r="BR9" s="273">
        <v>17</v>
      </c>
      <c r="BS9" s="273">
        <v>344</v>
      </c>
      <c r="BT9" s="271">
        <v>214</v>
      </c>
      <c r="BU9" s="273">
        <v>202.5</v>
      </c>
      <c r="BV9" s="273">
        <v>2570</v>
      </c>
      <c r="BW9" s="271">
        <v>2438.08</v>
      </c>
      <c r="BX9" s="272">
        <f t="shared" si="1"/>
        <v>917.5</v>
      </c>
      <c r="BY9" s="272">
        <f t="shared" si="1"/>
        <v>12370</v>
      </c>
      <c r="BZ9" s="272">
        <f t="shared" si="3"/>
        <v>11086.24</v>
      </c>
      <c r="CA9" s="273"/>
      <c r="CB9" s="273"/>
      <c r="CC9" s="271"/>
      <c r="CD9" s="273">
        <v>33</v>
      </c>
      <c r="CE9" s="273">
        <v>760</v>
      </c>
      <c r="CF9" s="271">
        <v>422</v>
      </c>
      <c r="CG9" s="273">
        <v>136</v>
      </c>
      <c r="CH9" s="273">
        <v>1892</v>
      </c>
      <c r="CI9" s="271">
        <v>1762</v>
      </c>
      <c r="CJ9" s="273"/>
      <c r="CK9" s="273"/>
      <c r="CL9" s="271"/>
      <c r="CM9" s="273"/>
      <c r="CN9" s="273"/>
      <c r="CO9" s="271"/>
      <c r="CP9" s="273">
        <v>10</v>
      </c>
      <c r="CQ9" s="273">
        <v>120</v>
      </c>
      <c r="CR9" s="271">
        <v>120</v>
      </c>
      <c r="CS9" s="273"/>
      <c r="CT9" s="273"/>
      <c r="CU9" s="271"/>
      <c r="CV9" s="273"/>
      <c r="CW9" s="273"/>
      <c r="CX9" s="271"/>
      <c r="CY9" s="273">
        <v>118</v>
      </c>
      <c r="CZ9" s="273">
        <v>1800</v>
      </c>
      <c r="DA9" s="271">
        <v>1411.6</v>
      </c>
      <c r="DB9" s="273"/>
      <c r="DC9" s="273"/>
      <c r="DD9" s="271"/>
      <c r="DE9" s="273"/>
      <c r="DF9" s="271"/>
      <c r="DG9" s="271"/>
      <c r="DH9" s="272">
        <f t="shared" si="4"/>
        <v>1214.5</v>
      </c>
      <c r="DI9" s="272">
        <f t="shared" si="4"/>
        <v>16942</v>
      </c>
      <c r="DJ9" s="272">
        <f t="shared" si="5"/>
        <v>14801.84</v>
      </c>
      <c r="DO9" s="346"/>
      <c r="DP9" s="346"/>
      <c r="DQ9" s="346"/>
    </row>
    <row r="10" spans="1:121" s="345" customFormat="1" ht="20.100000000000001" customHeight="1" x14ac:dyDescent="0.6">
      <c r="A10" s="343">
        <v>6</v>
      </c>
      <c r="B10" s="343" t="s">
        <v>707</v>
      </c>
      <c r="C10" s="343" t="s">
        <v>1075</v>
      </c>
      <c r="D10" s="347" t="s">
        <v>1079</v>
      </c>
      <c r="E10" s="343"/>
      <c r="F10" s="343">
        <v>2</v>
      </c>
      <c r="G10" s="343"/>
      <c r="H10" s="343"/>
      <c r="I10" s="343"/>
      <c r="J10" s="343"/>
      <c r="K10" s="344"/>
      <c r="L10" s="241"/>
      <c r="M10" s="271"/>
      <c r="N10" s="271"/>
      <c r="O10" s="271"/>
      <c r="P10" s="271">
        <v>26</v>
      </c>
      <c r="Q10" s="271">
        <v>352</v>
      </c>
      <c r="R10" s="271">
        <v>282.32</v>
      </c>
      <c r="S10" s="271">
        <v>20</v>
      </c>
      <c r="T10" s="253">
        <v>342</v>
      </c>
      <c r="U10" s="271">
        <v>204.24000000000007</v>
      </c>
      <c r="V10" s="271"/>
      <c r="W10" s="253"/>
      <c r="X10" s="271"/>
      <c r="Y10" s="271">
        <v>19</v>
      </c>
      <c r="Z10" s="271">
        <v>406</v>
      </c>
      <c r="AA10" s="271">
        <v>210.4</v>
      </c>
      <c r="AB10" s="271">
        <v>21</v>
      </c>
      <c r="AC10" s="253">
        <v>452</v>
      </c>
      <c r="AD10" s="271">
        <v>245.52</v>
      </c>
      <c r="AE10" s="271">
        <v>19</v>
      </c>
      <c r="AF10" s="253">
        <v>400</v>
      </c>
      <c r="AG10" s="271">
        <v>219.52</v>
      </c>
      <c r="AH10" s="271">
        <v>21</v>
      </c>
      <c r="AI10" s="271">
        <v>308</v>
      </c>
      <c r="AJ10" s="271">
        <v>256</v>
      </c>
      <c r="AK10" s="271">
        <v>5</v>
      </c>
      <c r="AL10" s="271">
        <v>88</v>
      </c>
      <c r="AM10" s="271">
        <v>62</v>
      </c>
      <c r="AN10" s="271">
        <v>14</v>
      </c>
      <c r="AO10" s="271">
        <v>200</v>
      </c>
      <c r="AP10" s="271">
        <v>159.12</v>
      </c>
      <c r="AQ10" s="272">
        <f t="shared" si="0"/>
        <v>145</v>
      </c>
      <c r="AR10" s="272">
        <f t="shared" si="0"/>
        <v>2548</v>
      </c>
      <c r="AS10" s="272">
        <f t="shared" si="2"/>
        <v>1639.12</v>
      </c>
      <c r="AT10" s="273"/>
      <c r="AU10" s="273"/>
      <c r="AV10" s="271"/>
      <c r="AW10" s="273">
        <v>17</v>
      </c>
      <c r="AX10" s="273">
        <v>304</v>
      </c>
      <c r="AY10" s="271">
        <v>200.32</v>
      </c>
      <c r="AZ10" s="273">
        <v>21</v>
      </c>
      <c r="BA10" s="273">
        <v>342</v>
      </c>
      <c r="BB10" s="271">
        <v>234.48</v>
      </c>
      <c r="BC10" s="273">
        <v>16</v>
      </c>
      <c r="BD10" s="273">
        <v>304</v>
      </c>
      <c r="BE10" s="271">
        <v>200</v>
      </c>
      <c r="BF10" s="273"/>
      <c r="BG10" s="273"/>
      <c r="BH10" s="271"/>
      <c r="BI10" s="273">
        <v>38</v>
      </c>
      <c r="BJ10" s="273">
        <v>628</v>
      </c>
      <c r="BK10" s="271">
        <v>437.92</v>
      </c>
      <c r="BL10" s="273">
        <v>43</v>
      </c>
      <c r="BM10" s="273">
        <v>686</v>
      </c>
      <c r="BN10" s="271">
        <v>404.96</v>
      </c>
      <c r="BO10" s="273"/>
      <c r="BP10" s="273"/>
      <c r="BQ10" s="271"/>
      <c r="BR10" s="273">
        <v>41</v>
      </c>
      <c r="BS10" s="273">
        <v>616</v>
      </c>
      <c r="BT10" s="271">
        <v>437.2000000000001</v>
      </c>
      <c r="BU10" s="273">
        <v>39</v>
      </c>
      <c r="BV10" s="273">
        <v>638</v>
      </c>
      <c r="BW10" s="271">
        <v>460.88</v>
      </c>
      <c r="BX10" s="272">
        <f t="shared" si="1"/>
        <v>360</v>
      </c>
      <c r="BY10" s="272">
        <f t="shared" si="1"/>
        <v>6066</v>
      </c>
      <c r="BZ10" s="272">
        <f t="shared" si="3"/>
        <v>4014.88</v>
      </c>
      <c r="CA10" s="273">
        <v>32.166666666666671</v>
      </c>
      <c r="CB10" s="273">
        <v>672</v>
      </c>
      <c r="CC10" s="271">
        <v>403.59999999999997</v>
      </c>
      <c r="CD10" s="273">
        <v>23</v>
      </c>
      <c r="CE10" s="273">
        <v>316</v>
      </c>
      <c r="CF10" s="271">
        <v>259.76000000000005</v>
      </c>
      <c r="CG10" s="273">
        <v>27</v>
      </c>
      <c r="CH10" s="273">
        <v>584</v>
      </c>
      <c r="CI10" s="271">
        <v>305.84000000000003</v>
      </c>
      <c r="CJ10" s="273">
        <v>28.5</v>
      </c>
      <c r="CK10" s="273">
        <v>586</v>
      </c>
      <c r="CL10" s="271">
        <v>326.84000000000003</v>
      </c>
      <c r="CM10" s="273"/>
      <c r="CN10" s="273"/>
      <c r="CO10" s="271"/>
      <c r="CP10" s="273">
        <v>29.75</v>
      </c>
      <c r="CQ10" s="273">
        <v>503</v>
      </c>
      <c r="CR10" s="271">
        <v>357.88</v>
      </c>
      <c r="CS10" s="273">
        <v>52.25</v>
      </c>
      <c r="CT10" s="273">
        <v>1214</v>
      </c>
      <c r="CU10" s="271">
        <v>644.50000000000011</v>
      </c>
      <c r="CV10" s="273">
        <v>29.25</v>
      </c>
      <c r="CW10" s="273">
        <v>522</v>
      </c>
      <c r="CX10" s="271">
        <v>358.5</v>
      </c>
      <c r="CY10" s="273">
        <v>11.75</v>
      </c>
      <c r="CZ10" s="273">
        <v>149</v>
      </c>
      <c r="DA10" s="271">
        <v>135.26</v>
      </c>
      <c r="DB10" s="273">
        <v>7</v>
      </c>
      <c r="DC10" s="273">
        <v>104</v>
      </c>
      <c r="DD10" s="271">
        <v>68.239999999999995</v>
      </c>
      <c r="DE10" s="273">
        <v>14.958</v>
      </c>
      <c r="DF10" s="271">
        <v>192</v>
      </c>
      <c r="DG10" s="271">
        <v>168.75</v>
      </c>
      <c r="DH10" s="272">
        <f t="shared" si="4"/>
        <v>615.6246666666666</v>
      </c>
      <c r="DI10" s="272">
        <f t="shared" si="4"/>
        <v>10908</v>
      </c>
      <c r="DJ10" s="272">
        <f t="shared" si="5"/>
        <v>7044.0500000000011</v>
      </c>
      <c r="DO10" s="346"/>
      <c r="DP10" s="346"/>
      <c r="DQ10" s="346"/>
    </row>
    <row r="11" spans="1:121" s="345" customFormat="1" ht="20.100000000000001" customHeight="1" x14ac:dyDescent="0.6">
      <c r="A11" s="343">
        <v>7</v>
      </c>
      <c r="B11" s="343" t="s">
        <v>709</v>
      </c>
      <c r="C11" s="445" t="s">
        <v>1080</v>
      </c>
      <c r="D11" s="348" t="s">
        <v>1081</v>
      </c>
      <c r="E11" s="343"/>
      <c r="F11" s="343">
        <v>4</v>
      </c>
      <c r="G11" s="343"/>
      <c r="H11" s="343"/>
      <c r="I11" s="343"/>
      <c r="J11" s="343"/>
      <c r="K11" s="344"/>
      <c r="L11" s="241"/>
      <c r="M11" s="271"/>
      <c r="N11" s="271"/>
      <c r="O11" s="271"/>
      <c r="P11" s="271">
        <v>58</v>
      </c>
      <c r="Q11" s="271">
        <v>846</v>
      </c>
      <c r="R11" s="271">
        <v>672.56</v>
      </c>
      <c r="S11" s="271">
        <v>15</v>
      </c>
      <c r="T11" s="253">
        <v>218</v>
      </c>
      <c r="U11" s="271">
        <v>146.88000000000002</v>
      </c>
      <c r="V11" s="271"/>
      <c r="W11" s="253"/>
      <c r="X11" s="271"/>
      <c r="Y11" s="271">
        <v>63</v>
      </c>
      <c r="Z11" s="271">
        <v>868</v>
      </c>
      <c r="AA11" s="271">
        <v>724.16</v>
      </c>
      <c r="AB11" s="271">
        <v>21</v>
      </c>
      <c r="AC11" s="253">
        <v>322</v>
      </c>
      <c r="AD11" s="271">
        <v>229.92000000000002</v>
      </c>
      <c r="AE11" s="271">
        <v>45</v>
      </c>
      <c r="AF11" s="253">
        <v>720</v>
      </c>
      <c r="AG11" s="271">
        <v>500.15999999999991</v>
      </c>
      <c r="AH11" s="271">
        <v>40</v>
      </c>
      <c r="AI11" s="271">
        <v>608</v>
      </c>
      <c r="AJ11" s="271">
        <v>434.88</v>
      </c>
      <c r="AK11" s="271">
        <v>53</v>
      </c>
      <c r="AL11" s="271">
        <v>814</v>
      </c>
      <c r="AM11" s="271">
        <v>571.36000000000013</v>
      </c>
      <c r="AN11" s="271"/>
      <c r="AO11" s="271"/>
      <c r="AP11" s="271"/>
      <c r="AQ11" s="272">
        <f t="shared" si="0"/>
        <v>295</v>
      </c>
      <c r="AR11" s="272">
        <f t="shared" si="0"/>
        <v>4396</v>
      </c>
      <c r="AS11" s="272">
        <f t="shared" si="2"/>
        <v>3279.92</v>
      </c>
      <c r="AT11" s="273"/>
      <c r="AU11" s="273"/>
      <c r="AV11" s="271"/>
      <c r="AW11" s="273">
        <v>67</v>
      </c>
      <c r="AX11" s="273">
        <v>916</v>
      </c>
      <c r="AY11" s="271">
        <v>756.79999999999984</v>
      </c>
      <c r="AZ11" s="273">
        <v>5</v>
      </c>
      <c r="BA11" s="273">
        <v>62</v>
      </c>
      <c r="BB11" s="271">
        <v>48.559999999999995</v>
      </c>
      <c r="BC11" s="273">
        <v>29</v>
      </c>
      <c r="BD11" s="273">
        <v>472</v>
      </c>
      <c r="BE11" s="271">
        <v>337.76</v>
      </c>
      <c r="BF11" s="273">
        <v>42</v>
      </c>
      <c r="BG11" s="273">
        <v>688</v>
      </c>
      <c r="BH11" s="271">
        <v>472.47999999999996</v>
      </c>
      <c r="BI11" s="273">
        <v>35</v>
      </c>
      <c r="BJ11" s="273">
        <v>622</v>
      </c>
      <c r="BK11" s="271">
        <v>405.67999999999995</v>
      </c>
      <c r="BL11" s="273">
        <v>4</v>
      </c>
      <c r="BM11" s="273">
        <v>78</v>
      </c>
      <c r="BN11" s="271">
        <v>42.16</v>
      </c>
      <c r="BO11" s="273"/>
      <c r="BP11" s="273"/>
      <c r="BQ11" s="271"/>
      <c r="BR11" s="273">
        <v>53</v>
      </c>
      <c r="BS11" s="273">
        <v>786</v>
      </c>
      <c r="BT11" s="271">
        <v>594.55999999999995</v>
      </c>
      <c r="BU11" s="273">
        <v>14</v>
      </c>
      <c r="BV11" s="273">
        <v>212</v>
      </c>
      <c r="BW11" s="271">
        <v>140.88</v>
      </c>
      <c r="BX11" s="272">
        <f t="shared" si="1"/>
        <v>544</v>
      </c>
      <c r="BY11" s="272">
        <f t="shared" si="1"/>
        <v>8232</v>
      </c>
      <c r="BZ11" s="272">
        <f t="shared" si="3"/>
        <v>6078.8</v>
      </c>
      <c r="CA11" s="273">
        <v>23</v>
      </c>
      <c r="CB11" s="273">
        <v>426</v>
      </c>
      <c r="CC11" s="271">
        <v>270.8</v>
      </c>
      <c r="CD11" s="273">
        <v>36</v>
      </c>
      <c r="CE11" s="273">
        <v>580</v>
      </c>
      <c r="CF11" s="271">
        <v>415.44</v>
      </c>
      <c r="CG11" s="273">
        <v>27</v>
      </c>
      <c r="CH11" s="273">
        <v>388</v>
      </c>
      <c r="CI11" s="271">
        <v>315.84000000000003</v>
      </c>
      <c r="CJ11" s="273">
        <v>9</v>
      </c>
      <c r="CK11" s="273">
        <v>166</v>
      </c>
      <c r="CL11" s="271">
        <v>108.96000000000001</v>
      </c>
      <c r="CM11" s="273"/>
      <c r="CN11" s="273"/>
      <c r="CO11" s="271"/>
      <c r="CP11" s="273">
        <v>84.8333333333333</v>
      </c>
      <c r="CQ11" s="273">
        <v>1254</v>
      </c>
      <c r="CR11" s="271">
        <v>952.16</v>
      </c>
      <c r="CS11" s="273">
        <v>18</v>
      </c>
      <c r="CT11" s="273">
        <v>312</v>
      </c>
      <c r="CU11" s="271">
        <v>198.96</v>
      </c>
      <c r="CV11" s="273">
        <v>28</v>
      </c>
      <c r="CW11" s="273">
        <v>508</v>
      </c>
      <c r="CX11" s="271">
        <v>327.52000000000004</v>
      </c>
      <c r="CY11" s="273">
        <v>40</v>
      </c>
      <c r="CZ11" s="273">
        <v>660</v>
      </c>
      <c r="DA11" s="271">
        <v>444.96</v>
      </c>
      <c r="DB11" s="273">
        <v>105</v>
      </c>
      <c r="DC11" s="273">
        <v>1334</v>
      </c>
      <c r="DD11" s="271">
        <v>1216</v>
      </c>
      <c r="DE11" s="273">
        <v>12</v>
      </c>
      <c r="DF11" s="271">
        <v>148</v>
      </c>
      <c r="DG11" s="271">
        <v>137.91999999999999</v>
      </c>
      <c r="DH11" s="272">
        <f t="shared" si="4"/>
        <v>926.83333333333326</v>
      </c>
      <c r="DI11" s="272">
        <f t="shared" si="4"/>
        <v>14008</v>
      </c>
      <c r="DJ11" s="272">
        <f t="shared" si="5"/>
        <v>10467.359999999999</v>
      </c>
      <c r="DO11" s="346"/>
      <c r="DP11" s="346"/>
      <c r="DQ11" s="346"/>
    </row>
    <row r="12" spans="1:121" s="345" customFormat="1" ht="20.100000000000001" customHeight="1" x14ac:dyDescent="0.6">
      <c r="A12" s="343">
        <v>8</v>
      </c>
      <c r="B12" s="343" t="s">
        <v>710</v>
      </c>
      <c r="C12" s="446"/>
      <c r="D12" s="348" t="s">
        <v>1082</v>
      </c>
      <c r="E12" s="343"/>
      <c r="F12" s="343">
        <v>2</v>
      </c>
      <c r="G12" s="343"/>
      <c r="H12" s="343"/>
      <c r="I12" s="343"/>
      <c r="J12" s="343"/>
      <c r="K12" s="344"/>
      <c r="L12" s="241"/>
      <c r="M12" s="271"/>
      <c r="N12" s="271"/>
      <c r="O12" s="271"/>
      <c r="P12" s="271">
        <v>58.583333333333336</v>
      </c>
      <c r="Q12" s="271">
        <v>950</v>
      </c>
      <c r="R12" s="271">
        <v>637.7399999999999</v>
      </c>
      <c r="S12" s="271">
        <v>72.375000000000014</v>
      </c>
      <c r="T12" s="253">
        <v>955</v>
      </c>
      <c r="U12" s="271">
        <v>755.79</v>
      </c>
      <c r="V12" s="271"/>
      <c r="W12" s="253"/>
      <c r="X12" s="271"/>
      <c r="Y12" s="271">
        <v>26</v>
      </c>
      <c r="Z12" s="271">
        <v>440</v>
      </c>
      <c r="AA12" s="271">
        <v>291.84000000000003</v>
      </c>
      <c r="AB12" s="271">
        <v>48</v>
      </c>
      <c r="AC12" s="253">
        <v>750</v>
      </c>
      <c r="AD12" s="271">
        <v>530.72</v>
      </c>
      <c r="AE12" s="271">
        <v>59</v>
      </c>
      <c r="AF12" s="253">
        <v>774</v>
      </c>
      <c r="AG12" s="271">
        <v>696.80000000000007</v>
      </c>
      <c r="AH12" s="271">
        <v>37</v>
      </c>
      <c r="AI12" s="271">
        <v>510</v>
      </c>
      <c r="AJ12" s="271">
        <v>432.8</v>
      </c>
      <c r="AK12" s="271">
        <v>21</v>
      </c>
      <c r="AL12" s="271">
        <v>296</v>
      </c>
      <c r="AM12" s="271">
        <v>245.60000000000002</v>
      </c>
      <c r="AN12" s="271">
        <v>36</v>
      </c>
      <c r="AO12" s="271">
        <v>462</v>
      </c>
      <c r="AP12" s="271">
        <v>367.2</v>
      </c>
      <c r="AQ12" s="272">
        <f t="shared" si="0"/>
        <v>357.95833333333331</v>
      </c>
      <c r="AR12" s="272">
        <f t="shared" si="0"/>
        <v>5137</v>
      </c>
      <c r="AS12" s="272">
        <f t="shared" si="2"/>
        <v>3958.4900000000002</v>
      </c>
      <c r="AT12" s="273"/>
      <c r="AU12" s="273"/>
      <c r="AV12" s="271"/>
      <c r="AW12" s="273">
        <v>19</v>
      </c>
      <c r="AX12" s="273">
        <v>284</v>
      </c>
      <c r="AY12" s="271">
        <v>228.16</v>
      </c>
      <c r="AZ12" s="273">
        <v>59</v>
      </c>
      <c r="BA12" s="273">
        <v>790</v>
      </c>
      <c r="BB12" s="271">
        <v>672.48</v>
      </c>
      <c r="BC12" s="273">
        <v>28</v>
      </c>
      <c r="BD12" s="273">
        <v>346</v>
      </c>
      <c r="BE12" s="271">
        <v>316</v>
      </c>
      <c r="BF12" s="273">
        <v>61</v>
      </c>
      <c r="BG12" s="273">
        <v>1014</v>
      </c>
      <c r="BH12" s="271">
        <v>736.24</v>
      </c>
      <c r="BI12" s="273">
        <v>26</v>
      </c>
      <c r="BJ12" s="273">
        <v>338</v>
      </c>
      <c r="BK12" s="271">
        <v>272.48</v>
      </c>
      <c r="BL12" s="273">
        <v>13</v>
      </c>
      <c r="BM12" s="273">
        <v>358</v>
      </c>
      <c r="BN12" s="271">
        <v>160.88</v>
      </c>
      <c r="BO12" s="273"/>
      <c r="BP12" s="273"/>
      <c r="BQ12" s="271"/>
      <c r="BR12" s="273">
        <v>47</v>
      </c>
      <c r="BS12" s="273">
        <v>740</v>
      </c>
      <c r="BT12" s="271">
        <v>553.04000000000008</v>
      </c>
      <c r="BU12" s="273">
        <v>52</v>
      </c>
      <c r="BV12" s="273">
        <v>654</v>
      </c>
      <c r="BW12" s="271">
        <v>571.20000000000005</v>
      </c>
      <c r="BX12" s="272">
        <f t="shared" si="1"/>
        <v>662.95833333333326</v>
      </c>
      <c r="BY12" s="272">
        <f t="shared" si="1"/>
        <v>9661</v>
      </c>
      <c r="BZ12" s="272">
        <f t="shared" si="3"/>
        <v>7468.97</v>
      </c>
      <c r="CA12" s="273">
        <v>40</v>
      </c>
      <c r="CB12" s="273">
        <v>586</v>
      </c>
      <c r="CC12" s="271">
        <v>440.56</v>
      </c>
      <c r="CD12" s="273">
        <v>49</v>
      </c>
      <c r="CE12" s="273">
        <v>658</v>
      </c>
      <c r="CF12" s="271">
        <v>570.71999999999991</v>
      </c>
      <c r="CG12" s="273">
        <v>17</v>
      </c>
      <c r="CH12" s="273">
        <v>222</v>
      </c>
      <c r="CI12" s="271">
        <v>196.8</v>
      </c>
      <c r="CJ12" s="273">
        <v>21</v>
      </c>
      <c r="CK12" s="273">
        <v>276</v>
      </c>
      <c r="CL12" s="271">
        <v>215.52</v>
      </c>
      <c r="CM12" s="273"/>
      <c r="CN12" s="273"/>
      <c r="CO12" s="271"/>
      <c r="CP12" s="273">
        <v>23.916666666666668</v>
      </c>
      <c r="CQ12" s="273">
        <v>349</v>
      </c>
      <c r="CR12" s="271">
        <v>274.2</v>
      </c>
      <c r="CS12" s="273">
        <v>45</v>
      </c>
      <c r="CT12" s="273">
        <v>678</v>
      </c>
      <c r="CU12" s="271">
        <v>508.48</v>
      </c>
      <c r="CV12" s="273">
        <v>34</v>
      </c>
      <c r="CW12" s="273">
        <v>426</v>
      </c>
      <c r="CX12" s="271">
        <v>373.44</v>
      </c>
      <c r="CY12" s="273">
        <v>49</v>
      </c>
      <c r="CZ12" s="273">
        <v>784</v>
      </c>
      <c r="DA12" s="271">
        <v>573.20000000000005</v>
      </c>
      <c r="DB12" s="273">
        <v>21</v>
      </c>
      <c r="DC12" s="273">
        <v>300</v>
      </c>
      <c r="DD12" s="271">
        <v>223.60000000000002</v>
      </c>
      <c r="DE12" s="273">
        <v>30</v>
      </c>
      <c r="DF12" s="271">
        <v>478</v>
      </c>
      <c r="DG12" s="271">
        <v>374.8</v>
      </c>
      <c r="DH12" s="272">
        <f t="shared" si="4"/>
        <v>992.87499999999989</v>
      </c>
      <c r="DI12" s="272">
        <f t="shared" si="4"/>
        <v>14418</v>
      </c>
      <c r="DJ12" s="272">
        <f t="shared" si="5"/>
        <v>11220.29</v>
      </c>
      <c r="DO12" s="346"/>
      <c r="DP12" s="346"/>
      <c r="DQ12" s="346"/>
    </row>
    <row r="13" spans="1:121" s="345" customFormat="1" ht="20.100000000000001" customHeight="1" x14ac:dyDescent="0.6">
      <c r="A13" s="343">
        <v>9</v>
      </c>
      <c r="B13" s="343" t="s">
        <v>712</v>
      </c>
      <c r="C13" s="343" t="s">
        <v>1083</v>
      </c>
      <c r="D13" s="347" t="s">
        <v>714</v>
      </c>
      <c r="E13" s="343"/>
      <c r="F13" s="343">
        <v>4</v>
      </c>
      <c r="G13" s="343"/>
      <c r="H13" s="343"/>
      <c r="I13" s="343"/>
      <c r="J13" s="343"/>
      <c r="K13" s="344"/>
      <c r="L13" s="241"/>
      <c r="M13" s="271"/>
      <c r="N13" s="271"/>
      <c r="O13" s="271"/>
      <c r="P13" s="271">
        <v>125</v>
      </c>
      <c r="Q13" s="271">
        <v>1920</v>
      </c>
      <c r="R13" s="271">
        <v>1486.0800000000002</v>
      </c>
      <c r="S13" s="271">
        <v>153</v>
      </c>
      <c r="T13" s="253">
        <v>2532</v>
      </c>
      <c r="U13" s="271">
        <v>1574.8</v>
      </c>
      <c r="V13" s="271"/>
      <c r="W13" s="253"/>
      <c r="X13" s="271"/>
      <c r="Y13" s="271"/>
      <c r="Z13" s="271"/>
      <c r="AA13" s="271"/>
      <c r="AB13" s="271"/>
      <c r="AC13" s="253"/>
      <c r="AD13" s="271"/>
      <c r="AE13" s="271"/>
      <c r="AF13" s="253"/>
      <c r="AG13" s="271"/>
      <c r="AH13" s="271">
        <v>3</v>
      </c>
      <c r="AI13" s="271">
        <v>36</v>
      </c>
      <c r="AJ13" s="271">
        <v>31.2</v>
      </c>
      <c r="AK13" s="271">
        <v>67</v>
      </c>
      <c r="AL13" s="271">
        <v>832</v>
      </c>
      <c r="AM13" s="271">
        <v>802.4</v>
      </c>
      <c r="AN13" s="271"/>
      <c r="AO13" s="271"/>
      <c r="AP13" s="271"/>
      <c r="AQ13" s="272">
        <f t="shared" si="0"/>
        <v>348</v>
      </c>
      <c r="AR13" s="272">
        <f t="shared" si="0"/>
        <v>5320</v>
      </c>
      <c r="AS13" s="272">
        <f t="shared" si="2"/>
        <v>3894.48</v>
      </c>
      <c r="AT13" s="273"/>
      <c r="AU13" s="273"/>
      <c r="AV13" s="271"/>
      <c r="AW13" s="273">
        <v>201</v>
      </c>
      <c r="AX13" s="273">
        <v>2722</v>
      </c>
      <c r="AY13" s="271">
        <v>2016.88</v>
      </c>
      <c r="AZ13" s="273">
        <v>132</v>
      </c>
      <c r="BA13" s="273">
        <v>1778</v>
      </c>
      <c r="BB13" s="271">
        <v>1457.92</v>
      </c>
      <c r="BC13" s="273">
        <v>76</v>
      </c>
      <c r="BD13" s="273">
        <v>940</v>
      </c>
      <c r="BE13" s="271">
        <v>896</v>
      </c>
      <c r="BF13" s="273">
        <v>52</v>
      </c>
      <c r="BG13" s="273">
        <v>624</v>
      </c>
      <c r="BH13" s="271">
        <v>616.31999999999994</v>
      </c>
      <c r="BI13" s="273">
        <v>41</v>
      </c>
      <c r="BJ13" s="273">
        <v>532</v>
      </c>
      <c r="BK13" s="271">
        <v>431.20000000000005</v>
      </c>
      <c r="BL13" s="273">
        <v>26</v>
      </c>
      <c r="BM13" s="273">
        <v>732</v>
      </c>
      <c r="BN13" s="271">
        <v>342</v>
      </c>
      <c r="BO13" s="273"/>
      <c r="BP13" s="273"/>
      <c r="BQ13" s="271"/>
      <c r="BR13" s="273"/>
      <c r="BS13" s="273"/>
      <c r="BT13" s="271"/>
      <c r="BU13" s="273"/>
      <c r="BV13" s="273"/>
      <c r="BW13" s="271"/>
      <c r="BX13" s="272">
        <f t="shared" si="1"/>
        <v>876</v>
      </c>
      <c r="BY13" s="272">
        <f t="shared" si="1"/>
        <v>12648</v>
      </c>
      <c r="BZ13" s="272">
        <f t="shared" si="3"/>
        <v>9654.8000000000011</v>
      </c>
      <c r="CA13" s="273">
        <v>122</v>
      </c>
      <c r="CB13" s="273">
        <v>1584</v>
      </c>
      <c r="CC13" s="271">
        <v>1252.8000000000002</v>
      </c>
      <c r="CD13" s="273"/>
      <c r="CE13" s="273"/>
      <c r="CF13" s="271"/>
      <c r="CG13" s="273"/>
      <c r="CH13" s="273"/>
      <c r="CI13" s="271"/>
      <c r="CJ13" s="273"/>
      <c r="CK13" s="273"/>
      <c r="CL13" s="271"/>
      <c r="CM13" s="273"/>
      <c r="CN13" s="273"/>
      <c r="CO13" s="271"/>
      <c r="CP13" s="273">
        <v>69</v>
      </c>
      <c r="CQ13" s="273">
        <v>934</v>
      </c>
      <c r="CR13" s="271">
        <v>717.6</v>
      </c>
      <c r="CS13" s="273">
        <v>139</v>
      </c>
      <c r="CT13" s="273">
        <v>1806</v>
      </c>
      <c r="CU13" s="271">
        <v>1458.2400000000002</v>
      </c>
      <c r="CV13" s="273">
        <v>158</v>
      </c>
      <c r="CW13" s="273">
        <v>2040</v>
      </c>
      <c r="CX13" s="271">
        <v>1768.3999999999999</v>
      </c>
      <c r="CY13" s="273"/>
      <c r="CZ13" s="273"/>
      <c r="DA13" s="271"/>
      <c r="DB13" s="273">
        <v>64</v>
      </c>
      <c r="DC13" s="273">
        <v>768</v>
      </c>
      <c r="DD13" s="271">
        <v>734.64</v>
      </c>
      <c r="DE13" s="273">
        <v>52</v>
      </c>
      <c r="DF13" s="271">
        <v>962</v>
      </c>
      <c r="DG13" s="271">
        <v>576</v>
      </c>
      <c r="DH13" s="272">
        <f t="shared" si="4"/>
        <v>1480</v>
      </c>
      <c r="DI13" s="272">
        <f t="shared" si="4"/>
        <v>20742</v>
      </c>
      <c r="DJ13" s="272">
        <f t="shared" si="5"/>
        <v>16162.480000000001</v>
      </c>
      <c r="DO13" s="346"/>
      <c r="DP13" s="346"/>
      <c r="DQ13" s="346"/>
    </row>
    <row r="14" spans="1:121" s="345" customFormat="1" ht="20.100000000000001" customHeight="1" x14ac:dyDescent="0.6">
      <c r="A14" s="343"/>
      <c r="B14" s="343"/>
      <c r="C14" s="343"/>
      <c r="D14" s="349"/>
      <c r="E14" s="350">
        <f>SUM(E5:E13)</f>
        <v>0</v>
      </c>
      <c r="F14" s="349"/>
      <c r="G14" s="350"/>
      <c r="H14" s="350"/>
      <c r="I14" s="350"/>
      <c r="J14" s="350"/>
      <c r="K14" s="350"/>
      <c r="L14" s="349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2">
        <f t="shared" si="0"/>
        <v>0</v>
      </c>
      <c r="AR14" s="272">
        <f t="shared" si="0"/>
        <v>0</v>
      </c>
      <c r="AS14" s="272">
        <f t="shared" si="2"/>
        <v>0</v>
      </c>
      <c r="AT14" s="273"/>
      <c r="AU14" s="273"/>
      <c r="AV14" s="271"/>
      <c r="AW14" s="273"/>
      <c r="AX14" s="273"/>
      <c r="AY14" s="271"/>
      <c r="AZ14" s="273"/>
      <c r="BA14" s="273"/>
      <c r="BB14" s="271"/>
      <c r="BC14" s="273"/>
      <c r="BD14" s="273"/>
      <c r="BE14" s="271"/>
      <c r="BF14" s="273"/>
      <c r="BG14" s="273"/>
      <c r="BH14" s="271"/>
      <c r="BI14" s="273"/>
      <c r="BJ14" s="273"/>
      <c r="BK14" s="271"/>
      <c r="BL14" s="273"/>
      <c r="BM14" s="273"/>
      <c r="BN14" s="271"/>
      <c r="BO14" s="273"/>
      <c r="BP14" s="273"/>
      <c r="BQ14" s="271"/>
      <c r="BR14" s="273"/>
      <c r="BS14" s="273"/>
      <c r="BT14" s="271"/>
      <c r="BU14" s="273"/>
      <c r="BV14" s="273"/>
      <c r="BW14" s="271"/>
      <c r="BX14" s="272">
        <f t="shared" si="1"/>
        <v>0</v>
      </c>
      <c r="BY14" s="272">
        <f t="shared" si="1"/>
        <v>0</v>
      </c>
      <c r="BZ14" s="272">
        <f t="shared" si="3"/>
        <v>0</v>
      </c>
      <c r="CA14" s="273"/>
      <c r="CB14" s="273"/>
      <c r="CC14" s="271"/>
      <c r="CD14" s="273"/>
      <c r="CE14" s="273"/>
      <c r="CF14" s="271"/>
      <c r="CG14" s="273"/>
      <c r="CH14" s="273"/>
      <c r="CI14" s="271"/>
      <c r="CJ14" s="273"/>
      <c r="CK14" s="273"/>
      <c r="CL14" s="271"/>
      <c r="CM14" s="273"/>
      <c r="CN14" s="273"/>
      <c r="CO14" s="271"/>
      <c r="CP14" s="273"/>
      <c r="CQ14" s="273"/>
      <c r="CR14" s="271"/>
      <c r="CS14" s="273"/>
      <c r="CT14" s="273"/>
      <c r="CU14" s="271"/>
      <c r="CV14" s="273"/>
      <c r="CW14" s="273"/>
      <c r="CX14" s="271"/>
      <c r="CY14" s="273"/>
      <c r="CZ14" s="273"/>
      <c r="DA14" s="271"/>
      <c r="DB14" s="273"/>
      <c r="DC14" s="273"/>
      <c r="DD14" s="271"/>
      <c r="DE14" s="273"/>
      <c r="DF14" s="271"/>
      <c r="DG14" s="271"/>
      <c r="DH14" s="272">
        <f t="shared" si="4"/>
        <v>0</v>
      </c>
      <c r="DI14" s="272">
        <f t="shared" si="4"/>
        <v>0</v>
      </c>
      <c r="DJ14" s="272">
        <f t="shared" si="5"/>
        <v>0</v>
      </c>
      <c r="DO14" s="351"/>
      <c r="DP14" s="351"/>
      <c r="DQ14" s="351"/>
    </row>
    <row r="15" spans="1:121" s="345" customFormat="1" ht="20.100000000000001" customHeight="1" x14ac:dyDescent="0.6">
      <c r="A15" s="349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2">
        <f t="shared" si="0"/>
        <v>0</v>
      </c>
      <c r="AR15" s="272">
        <f t="shared" si="0"/>
        <v>0</v>
      </c>
      <c r="AS15" s="272">
        <f t="shared" si="2"/>
        <v>0</v>
      </c>
      <c r="AT15" s="273"/>
      <c r="AU15" s="273"/>
      <c r="AV15" s="271"/>
      <c r="AW15" s="273"/>
      <c r="AX15" s="273"/>
      <c r="AY15" s="271"/>
      <c r="AZ15" s="273"/>
      <c r="BA15" s="273"/>
      <c r="BB15" s="271"/>
      <c r="BC15" s="273"/>
      <c r="BD15" s="273"/>
      <c r="BE15" s="271"/>
      <c r="BF15" s="273"/>
      <c r="BG15" s="273"/>
      <c r="BH15" s="271"/>
      <c r="BI15" s="273"/>
      <c r="BJ15" s="273"/>
      <c r="BK15" s="271"/>
      <c r="BL15" s="273"/>
      <c r="BM15" s="273"/>
      <c r="BN15" s="271"/>
      <c r="BO15" s="273"/>
      <c r="BP15" s="273"/>
      <c r="BQ15" s="271"/>
      <c r="BR15" s="273"/>
      <c r="BS15" s="273"/>
      <c r="BT15" s="271"/>
      <c r="BU15" s="273"/>
      <c r="BV15" s="273"/>
      <c r="BW15" s="271"/>
      <c r="BX15" s="272">
        <f t="shared" si="1"/>
        <v>0</v>
      </c>
      <c r="BY15" s="272">
        <f t="shared" si="1"/>
        <v>0</v>
      </c>
      <c r="BZ15" s="272">
        <f t="shared" si="3"/>
        <v>0</v>
      </c>
      <c r="CA15" s="273"/>
      <c r="CB15" s="273"/>
      <c r="CC15" s="271"/>
      <c r="CD15" s="273"/>
      <c r="CE15" s="273"/>
      <c r="CF15" s="271"/>
      <c r="CG15" s="273"/>
      <c r="CH15" s="273"/>
      <c r="CI15" s="271"/>
      <c r="CJ15" s="273"/>
      <c r="CK15" s="273"/>
      <c r="CL15" s="271"/>
      <c r="CM15" s="273"/>
      <c r="CN15" s="273"/>
      <c r="CO15" s="271"/>
      <c r="CP15" s="273"/>
      <c r="CQ15" s="273"/>
      <c r="CR15" s="271"/>
      <c r="CS15" s="273"/>
      <c r="CT15" s="273"/>
      <c r="CU15" s="271"/>
      <c r="CV15" s="273"/>
      <c r="CW15" s="273"/>
      <c r="CX15" s="271"/>
      <c r="CY15" s="273"/>
      <c r="CZ15" s="273"/>
      <c r="DA15" s="271"/>
      <c r="DB15" s="273"/>
      <c r="DC15" s="273"/>
      <c r="DD15" s="271"/>
      <c r="DE15" s="273"/>
      <c r="DF15" s="271"/>
      <c r="DG15" s="271"/>
      <c r="DH15" s="272">
        <f t="shared" si="4"/>
        <v>0</v>
      </c>
      <c r="DI15" s="272">
        <f t="shared" si="4"/>
        <v>0</v>
      </c>
      <c r="DJ15" s="272">
        <f t="shared" si="5"/>
        <v>0</v>
      </c>
      <c r="DO15" s="351"/>
      <c r="DP15" s="351"/>
      <c r="DQ15" s="351"/>
    </row>
    <row r="16" spans="1:121" s="345" customFormat="1" ht="20.100000000000001" customHeight="1" x14ac:dyDescent="0.6">
      <c r="A16" s="335"/>
      <c r="B16" s="335" t="s">
        <v>715</v>
      </c>
      <c r="C16" s="335"/>
      <c r="D16" s="335"/>
      <c r="E16" s="335"/>
      <c r="F16" s="335"/>
      <c r="G16" s="335"/>
      <c r="H16" s="335"/>
      <c r="I16" s="335"/>
      <c r="J16" s="335"/>
      <c r="K16" s="336">
        <f>SUM(K5:K15)</f>
        <v>0</v>
      </c>
      <c r="L16" s="336">
        <f>SUM(L5:L15)</f>
        <v>0</v>
      </c>
      <c r="M16" s="272">
        <f t="shared" ref="M16:BX16" si="6">SUM(M5:M13)</f>
        <v>0</v>
      </c>
      <c r="N16" s="272">
        <f t="shared" si="6"/>
        <v>0</v>
      </c>
      <c r="O16" s="272">
        <f t="shared" si="6"/>
        <v>0</v>
      </c>
      <c r="P16" s="272">
        <f t="shared" si="6"/>
        <v>380.08333333333337</v>
      </c>
      <c r="Q16" s="272">
        <f t="shared" si="6"/>
        <v>6326</v>
      </c>
      <c r="R16" s="272">
        <f t="shared" si="6"/>
        <v>4425.5</v>
      </c>
      <c r="S16" s="272">
        <f t="shared" si="6"/>
        <v>440.375</v>
      </c>
      <c r="T16" s="272">
        <f t="shared" si="6"/>
        <v>6615</v>
      </c>
      <c r="U16" s="272">
        <f t="shared" si="6"/>
        <v>4744.43</v>
      </c>
      <c r="V16" s="272">
        <f t="shared" si="6"/>
        <v>0</v>
      </c>
      <c r="W16" s="272">
        <f t="shared" si="6"/>
        <v>0</v>
      </c>
      <c r="X16" s="272">
        <f>SUM(X5:X13)</f>
        <v>0</v>
      </c>
      <c r="Y16" s="272">
        <f t="shared" si="6"/>
        <v>358</v>
      </c>
      <c r="Z16" s="272">
        <f t="shared" si="6"/>
        <v>5392</v>
      </c>
      <c r="AA16" s="272">
        <f>SUM(AA5:AA13)</f>
        <v>4118.5599999999995</v>
      </c>
      <c r="AB16" s="272">
        <f t="shared" si="6"/>
        <v>425.66666666666669</v>
      </c>
      <c r="AC16" s="272">
        <f t="shared" si="6"/>
        <v>6802</v>
      </c>
      <c r="AD16" s="272">
        <f>SUM(AD5:AD13)</f>
        <v>4957.6800000000012</v>
      </c>
      <c r="AE16" s="272">
        <f t="shared" si="6"/>
        <v>594.5</v>
      </c>
      <c r="AF16" s="272">
        <f t="shared" si="6"/>
        <v>8931</v>
      </c>
      <c r="AG16" s="272">
        <f>SUM(AG5:AG13)</f>
        <v>6950.920000000001</v>
      </c>
      <c r="AH16" s="272">
        <f t="shared" si="6"/>
        <v>333.66666666666669</v>
      </c>
      <c r="AI16" s="272">
        <f t="shared" si="6"/>
        <v>5590</v>
      </c>
      <c r="AJ16" s="272">
        <f>SUM(AJ5:AJ13)</f>
        <v>3990.1600000000003</v>
      </c>
      <c r="AK16" s="272">
        <f t="shared" si="6"/>
        <v>453.75</v>
      </c>
      <c r="AL16" s="272">
        <f t="shared" si="6"/>
        <v>6795</v>
      </c>
      <c r="AM16" s="272">
        <f>SUM(AM5:AM13)</f>
        <v>5444.92</v>
      </c>
      <c r="AN16" s="272">
        <f t="shared" si="6"/>
        <v>270.95799999999997</v>
      </c>
      <c r="AO16" s="272">
        <f t="shared" si="6"/>
        <v>4326</v>
      </c>
      <c r="AP16" s="272">
        <f t="shared" si="6"/>
        <v>3014.29</v>
      </c>
      <c r="AQ16" s="272">
        <f t="shared" si="6"/>
        <v>3256.9996666666671</v>
      </c>
      <c r="AR16" s="272">
        <f t="shared" si="6"/>
        <v>50777</v>
      </c>
      <c r="AS16" s="272">
        <f>SUM(AS5:AS13)</f>
        <v>37646.46</v>
      </c>
      <c r="AT16" s="272">
        <f t="shared" si="6"/>
        <v>0</v>
      </c>
      <c r="AU16" s="272">
        <f t="shared" si="6"/>
        <v>0</v>
      </c>
      <c r="AV16" s="272">
        <f>SUM(AV5:AV13)</f>
        <v>0</v>
      </c>
      <c r="AW16" s="272">
        <f t="shared" si="6"/>
        <v>467</v>
      </c>
      <c r="AX16" s="272">
        <f t="shared" si="6"/>
        <v>7268</v>
      </c>
      <c r="AY16" s="272">
        <f>SUM(AY5:AY13)</f>
        <v>5144.32</v>
      </c>
      <c r="AZ16" s="272">
        <f t="shared" si="6"/>
        <v>319.75</v>
      </c>
      <c r="BA16" s="272">
        <f t="shared" si="6"/>
        <v>4928</v>
      </c>
      <c r="BB16" s="272">
        <f>SUM(BB5:BB13)</f>
        <v>3610.62</v>
      </c>
      <c r="BC16" s="272">
        <f t="shared" si="6"/>
        <v>312</v>
      </c>
      <c r="BD16" s="272">
        <f t="shared" si="6"/>
        <v>4644</v>
      </c>
      <c r="BE16" s="272">
        <f>SUM(BE5:BE13)</f>
        <v>3600.92</v>
      </c>
      <c r="BF16" s="272">
        <f t="shared" si="6"/>
        <v>300.5</v>
      </c>
      <c r="BG16" s="272">
        <f t="shared" si="6"/>
        <v>5108</v>
      </c>
      <c r="BH16" s="272">
        <f>SUM(BH5:BH13)</f>
        <v>3576.4799999999996</v>
      </c>
      <c r="BI16" s="272">
        <f t="shared" si="6"/>
        <v>356</v>
      </c>
      <c r="BJ16" s="272">
        <f t="shared" si="6"/>
        <v>5504</v>
      </c>
      <c r="BK16" s="272">
        <f>SUM(BK5:BK13)</f>
        <v>4112.16</v>
      </c>
      <c r="BL16" s="272">
        <f t="shared" si="6"/>
        <v>267.125</v>
      </c>
      <c r="BM16" s="272">
        <f t="shared" si="6"/>
        <v>4593</v>
      </c>
      <c r="BN16" s="272">
        <f>SUM(BN5:BN13)</f>
        <v>2987.71</v>
      </c>
      <c r="BO16" s="272">
        <f t="shared" si="6"/>
        <v>0</v>
      </c>
      <c r="BP16" s="272">
        <f t="shared" si="6"/>
        <v>0</v>
      </c>
      <c r="BQ16" s="272">
        <f>SUM(BQ5:BQ13)</f>
        <v>0</v>
      </c>
      <c r="BR16" s="272">
        <f t="shared" si="6"/>
        <v>338.01</v>
      </c>
      <c r="BS16" s="272">
        <f t="shared" si="6"/>
        <v>5472</v>
      </c>
      <c r="BT16" s="272">
        <f>SUM(BT5:BT13)</f>
        <v>3935.0400000000004</v>
      </c>
      <c r="BU16" s="272">
        <f t="shared" si="6"/>
        <v>466</v>
      </c>
      <c r="BV16" s="272">
        <f t="shared" si="6"/>
        <v>6460</v>
      </c>
      <c r="BW16" s="272">
        <f>SUM(BW5:BW13)</f>
        <v>5368.72</v>
      </c>
      <c r="BX16" s="272">
        <f t="shared" si="6"/>
        <v>6083.3846666666659</v>
      </c>
      <c r="BY16" s="272">
        <f>SUM(BY5:BY13)</f>
        <v>94754</v>
      </c>
      <c r="BZ16" s="272">
        <f>SUM(BZ5:BZ13)</f>
        <v>69982.429999999993</v>
      </c>
      <c r="CA16" s="272">
        <f t="shared" ref="CA16:DI16" si="7">SUM(CA5:CA13)</f>
        <v>393.58066666666667</v>
      </c>
      <c r="CB16" s="272">
        <f t="shared" si="7"/>
        <v>6412</v>
      </c>
      <c r="CC16" s="272">
        <f>SUM(CC5:CC13)</f>
        <v>4399.82</v>
      </c>
      <c r="CD16" s="272">
        <f t="shared" si="7"/>
        <v>333</v>
      </c>
      <c r="CE16" s="272">
        <f t="shared" si="7"/>
        <v>5450</v>
      </c>
      <c r="CF16" s="272">
        <f t="shared" si="7"/>
        <v>3923.92</v>
      </c>
      <c r="CG16" s="272">
        <f t="shared" si="7"/>
        <v>309.25</v>
      </c>
      <c r="CH16" s="272">
        <f t="shared" si="7"/>
        <v>4648</v>
      </c>
      <c r="CI16" s="272">
        <f t="shared" si="7"/>
        <v>3763.3</v>
      </c>
      <c r="CJ16" s="272">
        <f t="shared" si="7"/>
        <v>281.41399999999999</v>
      </c>
      <c r="CK16" s="272">
        <f t="shared" si="7"/>
        <v>4842</v>
      </c>
      <c r="CL16" s="272">
        <f t="shared" si="7"/>
        <v>3293.7400000000002</v>
      </c>
      <c r="CM16" s="272">
        <f t="shared" si="7"/>
        <v>0</v>
      </c>
      <c r="CN16" s="272">
        <f t="shared" si="7"/>
        <v>0</v>
      </c>
      <c r="CO16" s="272">
        <f t="shared" si="7"/>
        <v>0</v>
      </c>
      <c r="CP16" s="272">
        <f t="shared" si="7"/>
        <v>405.66399999999999</v>
      </c>
      <c r="CQ16" s="272">
        <f t="shared" si="7"/>
        <v>6134</v>
      </c>
      <c r="CR16" s="272">
        <f t="shared" si="7"/>
        <v>4637.42</v>
      </c>
      <c r="CS16" s="272">
        <f t="shared" si="7"/>
        <v>420.75</v>
      </c>
      <c r="CT16" s="272">
        <f t="shared" si="7"/>
        <v>7102</v>
      </c>
      <c r="CU16" s="272">
        <f t="shared" si="7"/>
        <v>4804.9800000000005</v>
      </c>
      <c r="CV16" s="272">
        <f t="shared" si="7"/>
        <v>378.25</v>
      </c>
      <c r="CW16" s="272">
        <f t="shared" si="7"/>
        <v>5710</v>
      </c>
      <c r="CX16" s="272">
        <f t="shared" si="7"/>
        <v>4307.78</v>
      </c>
      <c r="CY16" s="272">
        <f t="shared" si="7"/>
        <v>312.75</v>
      </c>
      <c r="CZ16" s="272">
        <f t="shared" si="7"/>
        <v>5589</v>
      </c>
      <c r="DA16" s="272">
        <f t="shared" si="7"/>
        <v>3748.54</v>
      </c>
      <c r="DB16" s="272">
        <f t="shared" si="7"/>
        <v>353</v>
      </c>
      <c r="DC16" s="272">
        <f t="shared" si="7"/>
        <v>4998</v>
      </c>
      <c r="DD16" s="272">
        <f t="shared" si="7"/>
        <v>4138</v>
      </c>
      <c r="DE16" s="272">
        <f t="shared" si="7"/>
        <v>402.45800000000003</v>
      </c>
      <c r="DF16" s="272">
        <f t="shared" si="7"/>
        <v>5978</v>
      </c>
      <c r="DG16" s="272">
        <f t="shared" si="7"/>
        <v>4709.63</v>
      </c>
      <c r="DH16" s="272">
        <f>SUM(DH5:DH13)</f>
        <v>9673.5013333333318</v>
      </c>
      <c r="DI16" s="272">
        <f t="shared" si="7"/>
        <v>151617</v>
      </c>
      <c r="DJ16" s="272">
        <f>SUM(DJ5:DJ13)</f>
        <v>111709.55999999998</v>
      </c>
      <c r="DO16" s="346"/>
      <c r="DP16" s="346"/>
      <c r="DQ16" s="346"/>
    </row>
    <row r="17" spans="1:121" x14ac:dyDescent="0.6">
      <c r="A17" s="352"/>
      <c r="B17" s="352"/>
      <c r="C17" s="352"/>
      <c r="D17" s="352"/>
      <c r="E17" s="352"/>
      <c r="F17" s="352"/>
      <c r="G17" s="353"/>
      <c r="H17" s="353"/>
      <c r="I17" s="353"/>
      <c r="J17" s="353"/>
      <c r="K17" s="352"/>
      <c r="L17" s="352"/>
      <c r="DH17" s="243"/>
      <c r="DO17" s="229"/>
      <c r="DP17" s="229"/>
      <c r="DQ17" s="229"/>
    </row>
    <row r="18" spans="1:121" x14ac:dyDescent="0.6">
      <c r="CA18" s="243"/>
      <c r="CB18" s="243"/>
      <c r="CC18" s="243"/>
      <c r="CD18" s="243"/>
      <c r="CE18" s="243"/>
      <c r="CF18" s="243"/>
      <c r="CG18" s="243"/>
      <c r="CH18" s="243"/>
      <c r="CI18" s="243"/>
      <c r="CJ18" s="243"/>
      <c r="CK18" s="243"/>
      <c r="CL18" s="243"/>
      <c r="CM18" s="243"/>
      <c r="CN18" s="243"/>
      <c r="CO18" s="243"/>
      <c r="CP18" s="243"/>
      <c r="CQ18" s="243"/>
      <c r="CR18" s="243"/>
      <c r="CS18" s="243"/>
      <c r="CT18" s="243"/>
      <c r="CU18" s="243"/>
      <c r="CV18" s="243"/>
      <c r="CW18" s="243"/>
      <c r="CX18" s="243"/>
      <c r="CY18" s="243"/>
      <c r="CZ18" s="243"/>
      <c r="DA18" s="243"/>
      <c r="DB18" s="243"/>
      <c r="DC18" s="243"/>
      <c r="DD18" s="243"/>
      <c r="DE18" s="243"/>
      <c r="DF18" s="243"/>
      <c r="DG18" s="243"/>
      <c r="DH18" s="228"/>
      <c r="DI18" s="228"/>
      <c r="DJ18" s="228"/>
      <c r="DO18" s="229"/>
      <c r="DP18" s="229"/>
      <c r="DQ18" s="229"/>
    </row>
  </sheetData>
  <mergeCells count="38">
    <mergeCell ref="Y3:AA3"/>
    <mergeCell ref="B1:D1"/>
    <mergeCell ref="M3:O3"/>
    <mergeCell ref="P3:R3"/>
    <mergeCell ref="S3:U3"/>
    <mergeCell ref="V3:X3"/>
    <mergeCell ref="DE3:DG3"/>
    <mergeCell ref="DH3:DJ3"/>
    <mergeCell ref="C5:C6"/>
    <mergeCell ref="CD3:CF3"/>
    <mergeCell ref="CG3:CI3"/>
    <mergeCell ref="CJ3:CL3"/>
    <mergeCell ref="CM3:CO3"/>
    <mergeCell ref="CP3:CR3"/>
    <mergeCell ref="CS3:CU3"/>
    <mergeCell ref="BL3:BN3"/>
    <mergeCell ref="BO3:BQ3"/>
    <mergeCell ref="BR3:BT3"/>
    <mergeCell ref="BU3:BW3"/>
    <mergeCell ref="BX3:BZ3"/>
    <mergeCell ref="CA3:CC3"/>
    <mergeCell ref="AT3:AV3"/>
    <mergeCell ref="C7:C8"/>
    <mergeCell ref="C11:C12"/>
    <mergeCell ref="CV3:CX3"/>
    <mergeCell ref="CY3:DA3"/>
    <mergeCell ref="DB3:DD3"/>
    <mergeCell ref="AW3:AY3"/>
    <mergeCell ref="AZ3:BB3"/>
    <mergeCell ref="BC3:BE3"/>
    <mergeCell ref="BF3:BH3"/>
    <mergeCell ref="BI3:BK3"/>
    <mergeCell ref="AB3:AD3"/>
    <mergeCell ref="AE3:AG3"/>
    <mergeCell ref="AH3:AJ3"/>
    <mergeCell ref="AK3:AM3"/>
    <mergeCell ref="AN3:AP3"/>
    <mergeCell ref="AQ3:AS3"/>
  </mergeCells>
  <conditionalFormatting sqref="B15:C15 B5:C5 B6:B14">
    <cfRule type="duplicateValues" dxfId="16" priority="4"/>
  </conditionalFormatting>
  <conditionalFormatting sqref="B15:C16 B5:C5 B6:B14">
    <cfRule type="duplicateValues" dxfId="15" priority="5"/>
  </conditionalFormatting>
  <conditionalFormatting sqref="B16:C16">
    <cfRule type="duplicateValues" dxfId="14" priority="3"/>
  </conditionalFormatting>
  <conditionalFormatting sqref="D5">
    <cfRule type="duplicateValues" dxfId="13" priority="1"/>
    <cfRule type="duplicateValues" dxfId="12" priority="2"/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98A2-ECFD-4A23-8D62-625E5F37E42A}">
  <dimension ref="A1:DL152"/>
  <sheetViews>
    <sheetView topLeftCell="BO1" workbookViewId="0">
      <selection activeCell="BY4" sqref="BY4:BZ144"/>
    </sheetView>
  </sheetViews>
  <sheetFormatPr defaultColWidth="10.28515625" defaultRowHeight="21" x14ac:dyDescent="0.6"/>
  <cols>
    <col min="1" max="1" width="7" style="227" customWidth="1"/>
    <col min="2" max="2" width="14.42578125" style="227" customWidth="1"/>
    <col min="3" max="3" width="14.5703125" style="227" customWidth="1"/>
    <col min="4" max="4" width="10.28515625" style="227" customWidth="1"/>
    <col min="5" max="5" width="17" style="227" customWidth="1"/>
    <col min="6" max="6" width="12.85546875" style="227" customWidth="1"/>
    <col min="7" max="9" width="10.28515625" style="227" hidden="1" customWidth="1"/>
    <col min="10" max="10" width="15" style="227" hidden="1" customWidth="1"/>
    <col min="11" max="11" width="10.28515625" style="227" hidden="1" customWidth="1"/>
    <col min="12" max="12" width="13.42578125" style="227" hidden="1" customWidth="1"/>
    <col min="13" max="13" width="6.85546875" style="227" customWidth="1"/>
    <col min="14" max="15" width="6.28515625" style="227" customWidth="1"/>
    <col min="16" max="16" width="5" style="227" customWidth="1"/>
    <col min="17" max="18" width="6.28515625" style="227" customWidth="1"/>
    <col min="19" max="19" width="5" style="227" customWidth="1"/>
    <col min="20" max="21" width="6.28515625" style="227" customWidth="1"/>
    <col min="22" max="22" width="5" style="227" customWidth="1"/>
    <col min="23" max="24" width="6.28515625" style="227" customWidth="1"/>
    <col min="25" max="25" width="5" style="227" customWidth="1"/>
    <col min="26" max="27" width="6.28515625" style="227" customWidth="1"/>
    <col min="28" max="28" width="5" style="227" customWidth="1"/>
    <col min="29" max="29" width="6" style="227" customWidth="1"/>
    <col min="30" max="30" width="6.140625" style="227" customWidth="1"/>
    <col min="31" max="31" width="5" style="227" customWidth="1"/>
    <col min="32" max="33" width="6.28515625" style="227" customWidth="1"/>
    <col min="34" max="34" width="5" style="227" customWidth="1"/>
    <col min="35" max="36" width="6.28515625" style="227" customWidth="1"/>
    <col min="37" max="37" width="5" style="227" customWidth="1"/>
    <col min="38" max="39" width="6.28515625" style="227" customWidth="1"/>
    <col min="40" max="40" width="5" style="227" customWidth="1"/>
    <col min="41" max="43" width="6.28515625" style="227" customWidth="1"/>
    <col min="44" max="44" width="7.140625" style="227" customWidth="1"/>
    <col min="45" max="45" width="8.42578125" style="227" customWidth="1"/>
    <col min="46" max="46" width="6.5703125" style="227" customWidth="1"/>
    <col min="47" max="47" width="9" style="227" customWidth="1"/>
    <col min="48" max="48" width="7.42578125" style="227" customWidth="1"/>
    <col min="49" max="78" width="10.28515625" style="227" customWidth="1"/>
    <col min="79" max="111" width="10.28515625" style="227" hidden="1" customWidth="1"/>
    <col min="112" max="112" width="7.5703125" style="227" customWidth="1"/>
    <col min="113" max="113" width="9" style="227" customWidth="1"/>
    <col min="114" max="114" width="12.140625" style="227" customWidth="1"/>
    <col min="115" max="116" width="10.28515625" style="229"/>
    <col min="117" max="16384" width="10.28515625" style="227"/>
  </cols>
  <sheetData>
    <row r="1" spans="1:116" ht="30" customHeight="1" x14ac:dyDescent="0.6">
      <c r="A1" s="440" t="s">
        <v>397</v>
      </c>
      <c r="B1" s="441"/>
      <c r="C1" s="441"/>
      <c r="D1" s="441"/>
    </row>
    <row r="2" spans="1:116" ht="30" customHeight="1" x14ac:dyDescent="0.6">
      <c r="A2" s="318" t="s">
        <v>43</v>
      </c>
      <c r="B2" s="438" t="s">
        <v>44</v>
      </c>
      <c r="C2" s="439"/>
      <c r="D2" s="438" t="s">
        <v>45</v>
      </c>
      <c r="E2" s="439"/>
      <c r="F2" s="318" t="s">
        <v>46</v>
      </c>
      <c r="G2" s="438" t="s">
        <v>730</v>
      </c>
      <c r="H2" s="439"/>
      <c r="I2" s="319" t="s">
        <v>941</v>
      </c>
      <c r="J2" s="319" t="s">
        <v>942</v>
      </c>
      <c r="K2" s="442" t="s">
        <v>943</v>
      </c>
      <c r="L2" s="443"/>
      <c r="M2" s="409">
        <v>8827</v>
      </c>
      <c r="N2" s="409"/>
      <c r="O2" s="410"/>
      <c r="P2" s="409">
        <v>45718</v>
      </c>
      <c r="Q2" s="409"/>
      <c r="R2" s="410"/>
      <c r="S2" s="409">
        <v>45719</v>
      </c>
      <c r="T2" s="409"/>
      <c r="U2" s="410"/>
      <c r="V2" s="409">
        <v>45720</v>
      </c>
      <c r="W2" s="409"/>
      <c r="X2" s="410"/>
      <c r="Y2" s="409">
        <v>45721</v>
      </c>
      <c r="Z2" s="409"/>
      <c r="AA2" s="410"/>
      <c r="AB2" s="409">
        <v>45722</v>
      </c>
      <c r="AC2" s="409"/>
      <c r="AD2" s="410"/>
      <c r="AE2" s="409">
        <v>45723</v>
      </c>
      <c r="AF2" s="409"/>
      <c r="AG2" s="410"/>
      <c r="AH2" s="409">
        <v>45724</v>
      </c>
      <c r="AI2" s="409"/>
      <c r="AJ2" s="410"/>
      <c r="AK2" s="409">
        <v>45725</v>
      </c>
      <c r="AL2" s="409"/>
      <c r="AM2" s="410"/>
      <c r="AN2" s="409">
        <v>45726</v>
      </c>
      <c r="AO2" s="409"/>
      <c r="AP2" s="410"/>
      <c r="AQ2" s="435" t="s">
        <v>717</v>
      </c>
      <c r="AR2" s="436"/>
      <c r="AS2" s="437"/>
      <c r="AT2" s="409">
        <v>46092</v>
      </c>
      <c r="AU2" s="409"/>
      <c r="AV2" s="410"/>
      <c r="AW2" s="409">
        <v>46093</v>
      </c>
      <c r="AX2" s="409"/>
      <c r="AY2" s="410"/>
      <c r="AZ2" s="409">
        <v>46094</v>
      </c>
      <c r="BA2" s="409"/>
      <c r="BB2" s="410"/>
      <c r="BC2" s="409">
        <v>46095</v>
      </c>
      <c r="BD2" s="409"/>
      <c r="BE2" s="410"/>
      <c r="BF2" s="409">
        <v>46096</v>
      </c>
      <c r="BG2" s="409"/>
      <c r="BH2" s="410"/>
      <c r="BI2" s="409">
        <v>46097</v>
      </c>
      <c r="BJ2" s="409"/>
      <c r="BK2" s="410"/>
      <c r="BL2" s="409">
        <v>46098</v>
      </c>
      <c r="BM2" s="409"/>
      <c r="BN2" s="410"/>
      <c r="BO2" s="409">
        <v>46099</v>
      </c>
      <c r="BP2" s="409"/>
      <c r="BQ2" s="410"/>
      <c r="BR2" s="409">
        <v>46100</v>
      </c>
      <c r="BS2" s="409"/>
      <c r="BT2" s="410"/>
      <c r="BU2" s="409">
        <v>46101</v>
      </c>
      <c r="BV2" s="409"/>
      <c r="BW2" s="410"/>
      <c r="BX2" s="435" t="s">
        <v>718</v>
      </c>
      <c r="BY2" s="436"/>
      <c r="BZ2" s="437"/>
      <c r="CA2" s="409">
        <v>46074</v>
      </c>
      <c r="CB2" s="409"/>
      <c r="CC2" s="410"/>
      <c r="CD2" s="409">
        <v>46075</v>
      </c>
      <c r="CE2" s="409"/>
      <c r="CF2" s="410"/>
      <c r="CG2" s="409">
        <v>46076</v>
      </c>
      <c r="CH2" s="409"/>
      <c r="CI2" s="410"/>
      <c r="CJ2" s="409">
        <v>46077</v>
      </c>
      <c r="CK2" s="409"/>
      <c r="CL2" s="410"/>
      <c r="CM2" s="409">
        <v>46078</v>
      </c>
      <c r="CN2" s="409"/>
      <c r="CO2" s="410"/>
      <c r="CP2" s="409">
        <v>46079</v>
      </c>
      <c r="CQ2" s="409"/>
      <c r="CR2" s="410"/>
      <c r="CS2" s="409">
        <v>46080</v>
      </c>
      <c r="CT2" s="409"/>
      <c r="CU2" s="410"/>
      <c r="CV2" s="409">
        <v>46081</v>
      </c>
      <c r="CW2" s="409"/>
      <c r="CX2" s="410"/>
      <c r="CY2" s="409">
        <v>46051</v>
      </c>
      <c r="CZ2" s="409"/>
      <c r="DA2" s="410"/>
      <c r="DB2" s="409">
        <v>46052</v>
      </c>
      <c r="DC2" s="409"/>
      <c r="DD2" s="410"/>
      <c r="DE2" s="409">
        <v>46053</v>
      </c>
      <c r="DF2" s="409"/>
      <c r="DG2" s="410"/>
      <c r="DH2" s="435" t="s">
        <v>719</v>
      </c>
      <c r="DI2" s="436"/>
      <c r="DJ2" s="437"/>
    </row>
    <row r="3" spans="1:116" ht="30" customHeight="1" x14ac:dyDescent="0.6">
      <c r="A3" s="318"/>
      <c r="B3" s="438"/>
      <c r="C3" s="439"/>
      <c r="D3" s="438"/>
      <c r="E3" s="439"/>
      <c r="F3" s="318"/>
      <c r="G3" s="319"/>
      <c r="H3" s="319"/>
      <c r="I3" s="319"/>
      <c r="J3" s="319"/>
      <c r="K3" s="319" t="s">
        <v>720</v>
      </c>
      <c r="L3" s="318" t="s">
        <v>721</v>
      </c>
      <c r="M3" s="233" t="s">
        <v>720</v>
      </c>
      <c r="N3" s="230" t="s">
        <v>721</v>
      </c>
      <c r="O3" s="230" t="s">
        <v>722</v>
      </c>
      <c r="P3" s="233" t="s">
        <v>720</v>
      </c>
      <c r="Q3" s="230" t="s">
        <v>721</v>
      </c>
      <c r="R3" s="230" t="s">
        <v>722</v>
      </c>
      <c r="S3" s="233" t="s">
        <v>720</v>
      </c>
      <c r="T3" s="230" t="s">
        <v>721</v>
      </c>
      <c r="U3" s="230" t="s">
        <v>722</v>
      </c>
      <c r="V3" s="233" t="s">
        <v>720</v>
      </c>
      <c r="W3" s="230" t="s">
        <v>721</v>
      </c>
      <c r="X3" s="230" t="s">
        <v>722</v>
      </c>
      <c r="Y3" s="233" t="s">
        <v>720</v>
      </c>
      <c r="Z3" s="230" t="s">
        <v>721</v>
      </c>
      <c r="AA3" s="230" t="s">
        <v>722</v>
      </c>
      <c r="AB3" s="233" t="s">
        <v>720</v>
      </c>
      <c r="AC3" s="230" t="s">
        <v>721</v>
      </c>
      <c r="AD3" s="230" t="s">
        <v>722</v>
      </c>
      <c r="AE3" s="233" t="s">
        <v>720</v>
      </c>
      <c r="AF3" s="230" t="s">
        <v>721</v>
      </c>
      <c r="AG3" s="230" t="s">
        <v>722</v>
      </c>
      <c r="AH3" s="233" t="s">
        <v>720</v>
      </c>
      <c r="AI3" s="230" t="s">
        <v>721</v>
      </c>
      <c r="AJ3" s="230" t="s">
        <v>722</v>
      </c>
      <c r="AK3" s="233" t="s">
        <v>720</v>
      </c>
      <c r="AL3" s="230" t="s">
        <v>721</v>
      </c>
      <c r="AM3" s="230" t="s">
        <v>722</v>
      </c>
      <c r="AN3" s="233" t="s">
        <v>720</v>
      </c>
      <c r="AO3" s="230" t="s">
        <v>721</v>
      </c>
      <c r="AP3" s="230" t="s">
        <v>722</v>
      </c>
      <c r="AQ3" s="320" t="s">
        <v>720</v>
      </c>
      <c r="AR3" s="321" t="s">
        <v>721</v>
      </c>
      <c r="AS3" s="321" t="s">
        <v>722</v>
      </c>
      <c r="AT3" s="233" t="s">
        <v>720</v>
      </c>
      <c r="AU3" s="230" t="s">
        <v>721</v>
      </c>
      <c r="AV3" s="230" t="s">
        <v>722</v>
      </c>
      <c r="AW3" s="233" t="s">
        <v>720</v>
      </c>
      <c r="AX3" s="230" t="s">
        <v>721</v>
      </c>
      <c r="AY3" s="230" t="s">
        <v>722</v>
      </c>
      <c r="AZ3" s="233" t="s">
        <v>720</v>
      </c>
      <c r="BA3" s="230" t="s">
        <v>721</v>
      </c>
      <c r="BB3" s="230" t="s">
        <v>722</v>
      </c>
      <c r="BC3" s="233" t="s">
        <v>720</v>
      </c>
      <c r="BD3" s="230" t="s">
        <v>721</v>
      </c>
      <c r="BE3" s="230" t="s">
        <v>722</v>
      </c>
      <c r="BF3" s="233" t="s">
        <v>720</v>
      </c>
      <c r="BG3" s="230" t="s">
        <v>721</v>
      </c>
      <c r="BH3" s="230" t="s">
        <v>722</v>
      </c>
      <c r="BI3" s="233" t="s">
        <v>720</v>
      </c>
      <c r="BJ3" s="230" t="s">
        <v>721</v>
      </c>
      <c r="BK3" s="230" t="s">
        <v>722</v>
      </c>
      <c r="BL3" s="233" t="s">
        <v>720</v>
      </c>
      <c r="BM3" s="230" t="s">
        <v>721</v>
      </c>
      <c r="BN3" s="230" t="s">
        <v>722</v>
      </c>
      <c r="BO3" s="233" t="s">
        <v>720</v>
      </c>
      <c r="BP3" s="230" t="s">
        <v>721</v>
      </c>
      <c r="BQ3" s="230" t="s">
        <v>722</v>
      </c>
      <c r="BR3" s="233" t="s">
        <v>720</v>
      </c>
      <c r="BS3" s="230" t="s">
        <v>721</v>
      </c>
      <c r="BT3" s="230" t="s">
        <v>722</v>
      </c>
      <c r="BU3" s="233" t="s">
        <v>720</v>
      </c>
      <c r="BV3" s="230" t="s">
        <v>721</v>
      </c>
      <c r="BW3" s="230" t="s">
        <v>722</v>
      </c>
      <c r="BX3" s="320" t="s">
        <v>720</v>
      </c>
      <c r="BY3" s="321" t="s">
        <v>721</v>
      </c>
      <c r="BZ3" s="321" t="s">
        <v>722</v>
      </c>
      <c r="CA3" s="233" t="s">
        <v>720</v>
      </c>
      <c r="CB3" s="230" t="s">
        <v>721</v>
      </c>
      <c r="CC3" s="230" t="s">
        <v>723</v>
      </c>
      <c r="CD3" s="233" t="s">
        <v>720</v>
      </c>
      <c r="CE3" s="230" t="s">
        <v>721</v>
      </c>
      <c r="CF3" s="230" t="s">
        <v>723</v>
      </c>
      <c r="CG3" s="233" t="s">
        <v>720</v>
      </c>
      <c r="CH3" s="230" t="s">
        <v>721</v>
      </c>
      <c r="CI3" s="230" t="s">
        <v>723</v>
      </c>
      <c r="CJ3" s="233" t="s">
        <v>720</v>
      </c>
      <c r="CK3" s="230" t="s">
        <v>721</v>
      </c>
      <c r="CL3" s="230" t="s">
        <v>723</v>
      </c>
      <c r="CM3" s="233" t="s">
        <v>720</v>
      </c>
      <c r="CN3" s="230" t="s">
        <v>721</v>
      </c>
      <c r="CO3" s="230" t="s">
        <v>723</v>
      </c>
      <c r="CP3" s="233" t="s">
        <v>720</v>
      </c>
      <c r="CQ3" s="230" t="s">
        <v>721</v>
      </c>
      <c r="CR3" s="230" t="s">
        <v>723</v>
      </c>
      <c r="CS3" s="233" t="s">
        <v>720</v>
      </c>
      <c r="CT3" s="230" t="s">
        <v>721</v>
      </c>
      <c r="CU3" s="230" t="s">
        <v>723</v>
      </c>
      <c r="CV3" s="233" t="s">
        <v>720</v>
      </c>
      <c r="CW3" s="230" t="s">
        <v>721</v>
      </c>
      <c r="CX3" s="230" t="s">
        <v>723</v>
      </c>
      <c r="CY3" s="233" t="s">
        <v>720</v>
      </c>
      <c r="CZ3" s="230" t="s">
        <v>721</v>
      </c>
      <c r="DA3" s="230" t="s">
        <v>723</v>
      </c>
      <c r="DB3" s="233" t="s">
        <v>720</v>
      </c>
      <c r="DC3" s="230" t="s">
        <v>721</v>
      </c>
      <c r="DD3" s="230" t="s">
        <v>723</v>
      </c>
      <c r="DE3" s="233" t="s">
        <v>720</v>
      </c>
      <c r="DF3" s="230" t="s">
        <v>721</v>
      </c>
      <c r="DG3" s="230" t="s">
        <v>723</v>
      </c>
      <c r="DH3" s="320" t="s">
        <v>720</v>
      </c>
      <c r="DI3" s="321" t="s">
        <v>721</v>
      </c>
      <c r="DJ3" s="321" t="s">
        <v>722</v>
      </c>
    </row>
    <row r="4" spans="1:116" s="275" customFormat="1" ht="20.100000000000001" customHeight="1" x14ac:dyDescent="0.6">
      <c r="A4" s="234">
        <v>1</v>
      </c>
      <c r="B4" s="103" t="s">
        <v>398</v>
      </c>
      <c r="C4" s="103" t="s">
        <v>399</v>
      </c>
      <c r="D4" s="103" t="s">
        <v>90</v>
      </c>
      <c r="E4" s="148" t="s">
        <v>91</v>
      </c>
      <c r="F4" s="179" t="s">
        <v>400</v>
      </c>
      <c r="G4" s="322"/>
      <c r="H4" s="323"/>
      <c r="I4" s="322" t="s">
        <v>944</v>
      </c>
      <c r="J4" s="322" t="s">
        <v>945</v>
      </c>
      <c r="K4" s="241"/>
      <c r="L4" s="241"/>
      <c r="M4" s="271"/>
      <c r="N4" s="271"/>
      <c r="O4" s="271"/>
      <c r="P4" s="271"/>
      <c r="Q4" s="271"/>
      <c r="R4" s="271"/>
      <c r="S4" s="271"/>
      <c r="T4" s="271"/>
      <c r="U4" s="271"/>
      <c r="V4" s="271">
        <v>15.5</v>
      </c>
      <c r="W4" s="271">
        <v>186</v>
      </c>
      <c r="X4" s="271">
        <v>184.2</v>
      </c>
      <c r="Y4" s="271">
        <v>37</v>
      </c>
      <c r="Z4" s="271">
        <v>618</v>
      </c>
      <c r="AA4" s="271">
        <v>402.32</v>
      </c>
      <c r="AB4" s="271"/>
      <c r="AC4" s="271"/>
      <c r="AD4" s="271"/>
      <c r="AE4" s="271"/>
      <c r="AF4" s="271"/>
      <c r="AG4" s="271"/>
      <c r="AH4" s="271"/>
      <c r="AI4" s="271"/>
      <c r="AJ4" s="271"/>
      <c r="AK4" s="271">
        <v>15</v>
      </c>
      <c r="AL4" s="271">
        <v>180</v>
      </c>
      <c r="AM4" s="271">
        <v>180</v>
      </c>
      <c r="AN4" s="271">
        <v>15</v>
      </c>
      <c r="AO4" s="271">
        <v>180</v>
      </c>
      <c r="AP4" s="271">
        <v>180</v>
      </c>
      <c r="AQ4" s="272">
        <f t="shared" ref="AQ4:AS19" si="0">+AN4+AK4+AH4+AE4+AB4+Y4+V4+S4+P4+M4</f>
        <v>82.5</v>
      </c>
      <c r="AR4" s="272">
        <f t="shared" si="0"/>
        <v>1164</v>
      </c>
      <c r="AS4" s="272">
        <f t="shared" si="0"/>
        <v>946.52</v>
      </c>
      <c r="AT4" s="357"/>
      <c r="AU4" s="357"/>
      <c r="AV4" s="357"/>
      <c r="AW4" s="357"/>
      <c r="AX4" s="357"/>
      <c r="AY4" s="357"/>
      <c r="AZ4" s="357"/>
      <c r="BA4" s="357"/>
      <c r="BB4" s="357"/>
      <c r="BC4" s="357"/>
      <c r="BD4" s="357"/>
      <c r="BE4" s="357"/>
      <c r="BF4" s="357"/>
      <c r="BG4" s="357"/>
      <c r="BH4" s="357"/>
      <c r="BI4" s="357"/>
      <c r="BJ4" s="357"/>
      <c r="BK4" s="357"/>
      <c r="BL4" s="357"/>
      <c r="BM4" s="357"/>
      <c r="BN4" s="357"/>
      <c r="BO4" s="357">
        <v>30</v>
      </c>
      <c r="BP4" s="357">
        <v>360</v>
      </c>
      <c r="BQ4" s="357">
        <v>360</v>
      </c>
      <c r="BR4" s="357"/>
      <c r="BS4" s="357"/>
      <c r="BT4" s="357"/>
      <c r="BU4" s="357"/>
      <c r="BV4" s="357"/>
      <c r="BW4" s="357"/>
      <c r="BX4" s="272">
        <f>+BU4+BR4+BO4+BL4+BI4+BF4+BC4+AZ4+AW4+AT4+AQ4</f>
        <v>112.5</v>
      </c>
      <c r="BY4" s="272">
        <f t="shared" ref="BX4:BY37" si="1">+BV4+BS4+BP4+BM4+BJ4+BG4+BD4+BA4+AX4+AU4+AR4</f>
        <v>1524</v>
      </c>
      <c r="BZ4" s="272">
        <f t="shared" ref="BZ4:BZ69" si="2">AS4+AV4+AY4+BB4+BE4+BH4+BK4+BN4+BQ4+BT4+BW4</f>
        <v>1306.52</v>
      </c>
      <c r="CA4" s="273"/>
      <c r="CB4" s="273"/>
      <c r="CC4" s="273"/>
      <c r="CD4" s="273"/>
      <c r="CE4" s="273"/>
      <c r="CF4" s="273"/>
      <c r="CG4" s="273"/>
      <c r="CH4" s="273"/>
      <c r="CI4" s="273"/>
      <c r="CJ4" s="273"/>
      <c r="CK4" s="273"/>
      <c r="CL4" s="273"/>
      <c r="CM4" s="273"/>
      <c r="CN4" s="273"/>
      <c r="CO4" s="273"/>
      <c r="CP4" s="273"/>
      <c r="CQ4" s="273"/>
      <c r="CR4" s="273"/>
      <c r="CS4" s="273"/>
      <c r="CT4" s="273"/>
      <c r="CU4" s="273"/>
      <c r="CV4" s="273"/>
      <c r="CW4" s="273"/>
      <c r="CX4" s="273"/>
      <c r="CY4" s="273"/>
      <c r="CZ4" s="273"/>
      <c r="DA4" s="273"/>
      <c r="DB4" s="273"/>
      <c r="DC4" s="273"/>
      <c r="DD4" s="273"/>
      <c r="DE4" s="273"/>
      <c r="DF4" s="271"/>
      <c r="DG4" s="271"/>
      <c r="DH4" s="272">
        <f>BX4+CA4+CD4+CG4+CJ4+CM4+CP4+CS4+CV4+CY4+DB4+DE4</f>
        <v>112.5</v>
      </c>
      <c r="DI4" s="272">
        <f>BY4+CB4+CE4+CH4+CK4+CN4+CQ4+CT4+CW4+CZ4+DC4+DF4</f>
        <v>1524</v>
      </c>
      <c r="DJ4" s="324">
        <f>BZ4+CC4+CF4+CI4+CL4+CO4+CR4+CU4+CX4+DA4+DD4+DG4</f>
        <v>1306.52</v>
      </c>
      <c r="DK4" s="325"/>
      <c r="DL4" s="325"/>
    </row>
    <row r="5" spans="1:116" s="275" customFormat="1" ht="20.100000000000001" customHeight="1" x14ac:dyDescent="0.6">
      <c r="A5" s="234">
        <v>2</v>
      </c>
      <c r="B5" s="103" t="s">
        <v>401</v>
      </c>
      <c r="C5" s="103" t="s">
        <v>402</v>
      </c>
      <c r="D5" s="103" t="s">
        <v>90</v>
      </c>
      <c r="E5" s="148" t="s">
        <v>91</v>
      </c>
      <c r="F5" s="179" t="s">
        <v>400</v>
      </c>
      <c r="G5" s="322"/>
      <c r="H5" s="323"/>
      <c r="I5" s="322" t="s">
        <v>946</v>
      </c>
      <c r="J5" s="322" t="s">
        <v>945</v>
      </c>
      <c r="K5" s="241"/>
      <c r="L5" s="241"/>
      <c r="M5" s="271"/>
      <c r="N5" s="271"/>
      <c r="O5" s="271"/>
      <c r="P5" s="271"/>
      <c r="Q5" s="271"/>
      <c r="R5" s="271"/>
      <c r="S5" s="271">
        <v>15</v>
      </c>
      <c r="T5" s="271">
        <v>180</v>
      </c>
      <c r="U5" s="271">
        <v>180</v>
      </c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>
        <v>15</v>
      </c>
      <c r="AL5" s="271">
        <v>180</v>
      </c>
      <c r="AM5" s="271">
        <v>180</v>
      </c>
      <c r="AN5" s="271">
        <v>2</v>
      </c>
      <c r="AO5" s="271">
        <v>24</v>
      </c>
      <c r="AP5" s="271">
        <v>24</v>
      </c>
      <c r="AQ5" s="272">
        <f t="shared" si="0"/>
        <v>32</v>
      </c>
      <c r="AR5" s="272">
        <f t="shared" si="0"/>
        <v>384</v>
      </c>
      <c r="AS5" s="272">
        <f t="shared" si="0"/>
        <v>384</v>
      </c>
      <c r="AT5" s="357"/>
      <c r="AU5" s="357"/>
      <c r="AV5" s="357"/>
      <c r="AW5" s="357"/>
      <c r="AX5" s="357"/>
      <c r="AY5" s="357"/>
      <c r="AZ5" s="357"/>
      <c r="BA5" s="357"/>
      <c r="BB5" s="357"/>
      <c r="BC5" s="357"/>
      <c r="BD5" s="357"/>
      <c r="BE5" s="357"/>
      <c r="BF5" s="357"/>
      <c r="BG5" s="357"/>
      <c r="BH5" s="357"/>
      <c r="BI5" s="357"/>
      <c r="BJ5" s="357"/>
      <c r="BK5" s="357"/>
      <c r="BL5" s="357"/>
      <c r="BM5" s="357"/>
      <c r="BN5" s="357"/>
      <c r="BO5" s="357">
        <v>30</v>
      </c>
      <c r="BP5" s="357">
        <v>780</v>
      </c>
      <c r="BQ5" s="357">
        <v>390</v>
      </c>
      <c r="BR5" s="357"/>
      <c r="BS5" s="357"/>
      <c r="BT5" s="357"/>
      <c r="BU5" s="357"/>
      <c r="BV5" s="357"/>
      <c r="BW5" s="357"/>
      <c r="BX5" s="272">
        <f t="shared" si="1"/>
        <v>62</v>
      </c>
      <c r="BY5" s="272">
        <f t="shared" si="1"/>
        <v>1164</v>
      </c>
      <c r="BZ5" s="272">
        <f t="shared" si="2"/>
        <v>774</v>
      </c>
      <c r="CA5" s="273"/>
      <c r="CB5" s="273"/>
      <c r="CC5" s="273"/>
      <c r="CD5" s="273"/>
      <c r="CE5" s="273"/>
      <c r="CF5" s="273"/>
      <c r="CG5" s="273"/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  <c r="CT5" s="273"/>
      <c r="CU5" s="273"/>
      <c r="CV5" s="273"/>
      <c r="CW5" s="273"/>
      <c r="CX5" s="273"/>
      <c r="CY5" s="273"/>
      <c r="CZ5" s="273"/>
      <c r="DA5" s="273"/>
      <c r="DB5" s="273"/>
      <c r="DC5" s="273"/>
      <c r="DD5" s="273"/>
      <c r="DE5" s="273"/>
      <c r="DF5" s="271"/>
      <c r="DG5" s="271"/>
      <c r="DH5" s="272">
        <f t="shared" ref="DH5:DJ68" si="3">BX5+CA5+CD5+CG5+CJ5+CM5+CP5+CS5+CV5+CY5+DB5+DE5</f>
        <v>62</v>
      </c>
      <c r="DI5" s="272">
        <f t="shared" si="3"/>
        <v>1164</v>
      </c>
      <c r="DJ5" s="324">
        <f t="shared" si="3"/>
        <v>774</v>
      </c>
      <c r="DK5" s="325"/>
      <c r="DL5" s="325"/>
    </row>
    <row r="6" spans="1:116" s="275" customFormat="1" ht="20.100000000000001" customHeight="1" x14ac:dyDescent="0.6">
      <c r="A6" s="234">
        <v>3</v>
      </c>
      <c r="B6" s="103" t="s">
        <v>403</v>
      </c>
      <c r="C6" s="103" t="s">
        <v>404</v>
      </c>
      <c r="D6" s="103" t="s">
        <v>405</v>
      </c>
      <c r="E6" s="148" t="s">
        <v>406</v>
      </c>
      <c r="F6" s="179" t="s">
        <v>400</v>
      </c>
      <c r="G6" s="322"/>
      <c r="H6" s="323"/>
      <c r="I6" s="322" t="s">
        <v>947</v>
      </c>
      <c r="J6" s="322" t="s">
        <v>945</v>
      </c>
      <c r="K6" s="241"/>
      <c r="L6" s="24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1"/>
      <c r="AC6" s="271"/>
      <c r="AD6" s="271"/>
      <c r="AE6" s="271">
        <v>50</v>
      </c>
      <c r="AF6" s="271">
        <v>600</v>
      </c>
      <c r="AG6" s="271">
        <v>600</v>
      </c>
      <c r="AH6" s="271"/>
      <c r="AI6" s="271"/>
      <c r="AJ6" s="271"/>
      <c r="AK6" s="271"/>
      <c r="AL6" s="271"/>
      <c r="AM6" s="271"/>
      <c r="AN6" s="271">
        <v>30</v>
      </c>
      <c r="AO6" s="271">
        <v>360</v>
      </c>
      <c r="AP6" s="271">
        <v>360</v>
      </c>
      <c r="AQ6" s="272">
        <f t="shared" si="0"/>
        <v>80</v>
      </c>
      <c r="AR6" s="272">
        <f t="shared" si="0"/>
        <v>960</v>
      </c>
      <c r="AS6" s="272">
        <f t="shared" si="0"/>
        <v>960</v>
      </c>
      <c r="AT6" s="357"/>
      <c r="AU6" s="357"/>
      <c r="AV6" s="357"/>
      <c r="AW6" s="357"/>
      <c r="AX6" s="357"/>
      <c r="AY6" s="357"/>
      <c r="AZ6" s="357"/>
      <c r="BA6" s="357"/>
      <c r="BB6" s="357"/>
      <c r="BC6" s="357"/>
      <c r="BD6" s="357"/>
      <c r="BE6" s="357"/>
      <c r="BF6" s="357"/>
      <c r="BG6" s="357"/>
      <c r="BH6" s="357"/>
      <c r="BI6" s="357"/>
      <c r="BJ6" s="357"/>
      <c r="BK6" s="357"/>
      <c r="BL6" s="357">
        <v>50</v>
      </c>
      <c r="BM6" s="357">
        <v>740</v>
      </c>
      <c r="BN6" s="357">
        <v>610</v>
      </c>
      <c r="BO6" s="357"/>
      <c r="BP6" s="357"/>
      <c r="BQ6" s="357"/>
      <c r="BR6" s="357"/>
      <c r="BS6" s="357"/>
      <c r="BT6" s="357"/>
      <c r="BU6" s="357"/>
      <c r="BV6" s="357"/>
      <c r="BW6" s="357"/>
      <c r="BX6" s="272">
        <f t="shared" si="1"/>
        <v>130</v>
      </c>
      <c r="BY6" s="272">
        <f t="shared" si="1"/>
        <v>1700</v>
      </c>
      <c r="BZ6" s="272">
        <f t="shared" si="2"/>
        <v>1570</v>
      </c>
      <c r="CA6" s="273"/>
      <c r="CB6" s="273"/>
      <c r="CC6" s="273"/>
      <c r="CD6" s="273"/>
      <c r="CE6" s="273"/>
      <c r="CF6" s="273"/>
      <c r="CG6" s="273"/>
      <c r="CH6" s="273"/>
      <c r="CI6" s="273"/>
      <c r="CJ6" s="273"/>
      <c r="CK6" s="273"/>
      <c r="CL6" s="273"/>
      <c r="CM6" s="273"/>
      <c r="CN6" s="273"/>
      <c r="CO6" s="273"/>
      <c r="CP6" s="273"/>
      <c r="CQ6" s="273"/>
      <c r="CR6" s="273"/>
      <c r="CS6" s="273"/>
      <c r="CT6" s="273"/>
      <c r="CU6" s="273"/>
      <c r="CV6" s="273"/>
      <c r="CW6" s="273"/>
      <c r="CX6" s="273"/>
      <c r="CY6" s="273"/>
      <c r="CZ6" s="273"/>
      <c r="DA6" s="273"/>
      <c r="DB6" s="273"/>
      <c r="DC6" s="273"/>
      <c r="DD6" s="273"/>
      <c r="DE6" s="273"/>
      <c r="DF6" s="271"/>
      <c r="DG6" s="271"/>
      <c r="DH6" s="272">
        <f t="shared" si="3"/>
        <v>130</v>
      </c>
      <c r="DI6" s="272">
        <f t="shared" si="3"/>
        <v>1700</v>
      </c>
      <c r="DJ6" s="324">
        <f t="shared" si="3"/>
        <v>1570</v>
      </c>
      <c r="DK6" s="325"/>
      <c r="DL6" s="325"/>
    </row>
    <row r="7" spans="1:116" s="275" customFormat="1" ht="20.100000000000001" customHeight="1" x14ac:dyDescent="0.6">
      <c r="A7" s="234">
        <v>4</v>
      </c>
      <c r="B7" s="103" t="s">
        <v>407</v>
      </c>
      <c r="C7" s="103" t="s">
        <v>408</v>
      </c>
      <c r="D7" s="103" t="s">
        <v>90</v>
      </c>
      <c r="E7" s="148" t="s">
        <v>91</v>
      </c>
      <c r="F7" s="179" t="s">
        <v>400</v>
      </c>
      <c r="G7" s="322"/>
      <c r="H7" s="323"/>
      <c r="I7" s="322" t="s">
        <v>948</v>
      </c>
      <c r="J7" s="322" t="s">
        <v>945</v>
      </c>
      <c r="K7" s="241"/>
      <c r="L7" s="24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2">
        <f t="shared" si="0"/>
        <v>0</v>
      </c>
      <c r="AR7" s="272">
        <f t="shared" si="0"/>
        <v>0</v>
      </c>
      <c r="AS7" s="272">
        <f t="shared" si="0"/>
        <v>0</v>
      </c>
      <c r="AT7" s="357"/>
      <c r="AU7" s="357"/>
      <c r="AV7" s="357"/>
      <c r="AW7" s="357"/>
      <c r="AX7" s="357"/>
      <c r="AY7" s="357"/>
      <c r="AZ7" s="357"/>
      <c r="BA7" s="357"/>
      <c r="BB7" s="357"/>
      <c r="BC7" s="357"/>
      <c r="BD7" s="357"/>
      <c r="BE7" s="357"/>
      <c r="BF7" s="357"/>
      <c r="BG7" s="357"/>
      <c r="BH7" s="357"/>
      <c r="BI7" s="357"/>
      <c r="BJ7" s="357"/>
      <c r="BK7" s="357"/>
      <c r="BL7" s="357">
        <v>30</v>
      </c>
      <c r="BM7" s="357">
        <v>780</v>
      </c>
      <c r="BN7" s="357">
        <v>390</v>
      </c>
      <c r="BO7" s="357"/>
      <c r="BP7" s="357"/>
      <c r="BQ7" s="357"/>
      <c r="BR7" s="357"/>
      <c r="BS7" s="357"/>
      <c r="BT7" s="357"/>
      <c r="BU7" s="357"/>
      <c r="BV7" s="357"/>
      <c r="BW7" s="357"/>
      <c r="BX7" s="272">
        <f t="shared" si="1"/>
        <v>30</v>
      </c>
      <c r="BY7" s="272">
        <f t="shared" si="1"/>
        <v>780</v>
      </c>
      <c r="BZ7" s="272">
        <f t="shared" si="2"/>
        <v>390</v>
      </c>
      <c r="CA7" s="273"/>
      <c r="CB7" s="273"/>
      <c r="CC7" s="273"/>
      <c r="CD7" s="273"/>
      <c r="CE7" s="273"/>
      <c r="CF7" s="273"/>
      <c r="CG7" s="273"/>
      <c r="CH7" s="273"/>
      <c r="CI7" s="273"/>
      <c r="CJ7" s="273"/>
      <c r="CK7" s="273"/>
      <c r="CL7" s="273"/>
      <c r="CM7" s="273"/>
      <c r="CN7" s="273"/>
      <c r="CO7" s="273"/>
      <c r="CP7" s="273"/>
      <c r="CQ7" s="273"/>
      <c r="CR7" s="273"/>
      <c r="CS7" s="273"/>
      <c r="CT7" s="273"/>
      <c r="CU7" s="273"/>
      <c r="CV7" s="273"/>
      <c r="CW7" s="273"/>
      <c r="CX7" s="273"/>
      <c r="CY7" s="273"/>
      <c r="CZ7" s="273"/>
      <c r="DA7" s="273"/>
      <c r="DB7" s="273"/>
      <c r="DC7" s="273"/>
      <c r="DD7" s="273"/>
      <c r="DE7" s="273"/>
      <c r="DF7" s="271"/>
      <c r="DG7" s="271"/>
      <c r="DH7" s="272">
        <f t="shared" si="3"/>
        <v>30</v>
      </c>
      <c r="DI7" s="272">
        <f t="shared" si="3"/>
        <v>780</v>
      </c>
      <c r="DJ7" s="324">
        <f t="shared" si="3"/>
        <v>390</v>
      </c>
      <c r="DK7" s="325"/>
      <c r="DL7" s="325"/>
    </row>
    <row r="8" spans="1:116" s="275" customFormat="1" ht="20.100000000000001" customHeight="1" x14ac:dyDescent="0.6">
      <c r="A8" s="234">
        <v>5</v>
      </c>
      <c r="B8" s="103" t="s">
        <v>409</v>
      </c>
      <c r="C8" s="103" t="s">
        <v>410</v>
      </c>
      <c r="D8" s="103" t="s">
        <v>90</v>
      </c>
      <c r="E8" s="148" t="s">
        <v>91</v>
      </c>
      <c r="F8" s="179" t="s">
        <v>400</v>
      </c>
      <c r="G8" s="322"/>
      <c r="H8" s="323"/>
      <c r="I8" s="322" t="s">
        <v>949</v>
      </c>
      <c r="J8" s="322" t="s">
        <v>945</v>
      </c>
      <c r="K8" s="241"/>
      <c r="L8" s="24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>
        <v>65</v>
      </c>
      <c r="Z8" s="271">
        <v>866</v>
      </c>
      <c r="AA8" s="271">
        <v>724</v>
      </c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2">
        <f t="shared" si="0"/>
        <v>65</v>
      </c>
      <c r="AR8" s="272">
        <f t="shared" si="0"/>
        <v>866</v>
      </c>
      <c r="AS8" s="272">
        <f t="shared" si="0"/>
        <v>724</v>
      </c>
      <c r="AT8" s="357"/>
      <c r="AU8" s="357"/>
      <c r="AV8" s="357"/>
      <c r="AW8" s="357">
        <v>15</v>
      </c>
      <c r="AX8" s="357">
        <v>180</v>
      </c>
      <c r="AY8" s="357">
        <v>180</v>
      </c>
      <c r="AZ8" s="357"/>
      <c r="BA8" s="357"/>
      <c r="BB8" s="357"/>
      <c r="BC8" s="357"/>
      <c r="BD8" s="357"/>
      <c r="BE8" s="357"/>
      <c r="BF8" s="357"/>
      <c r="BG8" s="357"/>
      <c r="BH8" s="357"/>
      <c r="BI8" s="357"/>
      <c r="BJ8" s="357"/>
      <c r="BK8" s="357"/>
      <c r="BL8" s="357"/>
      <c r="BM8" s="357"/>
      <c r="BN8" s="357"/>
      <c r="BO8" s="357"/>
      <c r="BP8" s="357"/>
      <c r="BQ8" s="357"/>
      <c r="BR8" s="357"/>
      <c r="BS8" s="357"/>
      <c r="BT8" s="357"/>
      <c r="BU8" s="357"/>
      <c r="BV8" s="357"/>
      <c r="BW8" s="357"/>
      <c r="BX8" s="272">
        <f t="shared" si="1"/>
        <v>80</v>
      </c>
      <c r="BY8" s="272">
        <f t="shared" si="1"/>
        <v>1046</v>
      </c>
      <c r="BZ8" s="272">
        <f t="shared" si="2"/>
        <v>904</v>
      </c>
      <c r="CA8" s="273"/>
      <c r="CB8" s="273"/>
      <c r="CC8" s="273"/>
      <c r="CD8" s="273"/>
      <c r="CE8" s="273"/>
      <c r="CF8" s="273"/>
      <c r="CG8" s="273"/>
      <c r="CH8" s="273"/>
      <c r="CI8" s="273"/>
      <c r="CJ8" s="273"/>
      <c r="CK8" s="273"/>
      <c r="CL8" s="273"/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  <c r="CX8" s="273"/>
      <c r="CY8" s="273"/>
      <c r="CZ8" s="273"/>
      <c r="DA8" s="273"/>
      <c r="DB8" s="273"/>
      <c r="DC8" s="273"/>
      <c r="DD8" s="273"/>
      <c r="DE8" s="273"/>
      <c r="DF8" s="271"/>
      <c r="DG8" s="271"/>
      <c r="DH8" s="272">
        <f t="shared" si="3"/>
        <v>80</v>
      </c>
      <c r="DI8" s="272">
        <f t="shared" si="3"/>
        <v>1046</v>
      </c>
      <c r="DJ8" s="324">
        <f t="shared" si="3"/>
        <v>904</v>
      </c>
      <c r="DK8" s="325"/>
      <c r="DL8" s="325"/>
    </row>
    <row r="9" spans="1:116" s="275" customFormat="1" ht="20.100000000000001" customHeight="1" x14ac:dyDescent="0.6">
      <c r="A9" s="234">
        <v>6</v>
      </c>
      <c r="B9" s="103" t="s">
        <v>411</v>
      </c>
      <c r="C9" s="103" t="s">
        <v>412</v>
      </c>
      <c r="D9" s="103" t="s">
        <v>90</v>
      </c>
      <c r="E9" s="148" t="s">
        <v>91</v>
      </c>
      <c r="F9" s="179" t="s">
        <v>400</v>
      </c>
      <c r="G9" s="322"/>
      <c r="H9" s="323"/>
      <c r="I9" s="326" t="s">
        <v>950</v>
      </c>
      <c r="J9" s="322" t="s">
        <v>945</v>
      </c>
      <c r="K9" s="241"/>
      <c r="L9" s="24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2">
        <f t="shared" si="0"/>
        <v>0</v>
      </c>
      <c r="AR9" s="272">
        <f t="shared" si="0"/>
        <v>0</v>
      </c>
      <c r="AS9" s="272">
        <f t="shared" si="0"/>
        <v>0</v>
      </c>
      <c r="AT9" s="357"/>
      <c r="AU9" s="357"/>
      <c r="AV9" s="357"/>
      <c r="AW9" s="357"/>
      <c r="AX9" s="357"/>
      <c r="AY9" s="357"/>
      <c r="AZ9" s="357">
        <v>40</v>
      </c>
      <c r="BA9" s="357">
        <v>760</v>
      </c>
      <c r="BB9" s="357">
        <v>500</v>
      </c>
      <c r="BC9" s="357"/>
      <c r="BD9" s="357"/>
      <c r="BE9" s="357"/>
      <c r="BF9" s="357"/>
      <c r="BG9" s="357"/>
      <c r="BH9" s="357"/>
      <c r="BI9" s="357"/>
      <c r="BJ9" s="357"/>
      <c r="BK9" s="357"/>
      <c r="BL9" s="357"/>
      <c r="BM9" s="357"/>
      <c r="BN9" s="357"/>
      <c r="BO9" s="357"/>
      <c r="BP9" s="357"/>
      <c r="BQ9" s="357"/>
      <c r="BR9" s="357"/>
      <c r="BS9" s="357"/>
      <c r="BT9" s="357"/>
      <c r="BU9" s="357"/>
      <c r="BV9" s="357"/>
      <c r="BW9" s="357"/>
      <c r="BX9" s="272">
        <f t="shared" si="1"/>
        <v>40</v>
      </c>
      <c r="BY9" s="272">
        <f t="shared" si="1"/>
        <v>760</v>
      </c>
      <c r="BZ9" s="272">
        <f t="shared" si="2"/>
        <v>500</v>
      </c>
      <c r="CA9" s="273"/>
      <c r="CB9" s="273"/>
      <c r="CC9" s="273"/>
      <c r="CD9" s="273"/>
      <c r="CE9" s="273"/>
      <c r="CF9" s="273"/>
      <c r="CG9" s="273"/>
      <c r="CH9" s="273"/>
      <c r="CI9" s="273"/>
      <c r="CJ9" s="273"/>
      <c r="CK9" s="273"/>
      <c r="CL9" s="273"/>
      <c r="CM9" s="273"/>
      <c r="CN9" s="273"/>
      <c r="CO9" s="273"/>
      <c r="CP9" s="273"/>
      <c r="CQ9" s="273"/>
      <c r="CR9" s="273"/>
      <c r="CS9" s="273"/>
      <c r="CT9" s="273"/>
      <c r="CU9" s="273"/>
      <c r="CV9" s="273"/>
      <c r="CW9" s="273"/>
      <c r="CX9" s="273"/>
      <c r="CY9" s="273"/>
      <c r="CZ9" s="273"/>
      <c r="DA9" s="273"/>
      <c r="DB9" s="273"/>
      <c r="DC9" s="273"/>
      <c r="DD9" s="273"/>
      <c r="DE9" s="273"/>
      <c r="DF9" s="271"/>
      <c r="DG9" s="271"/>
      <c r="DH9" s="272">
        <f t="shared" si="3"/>
        <v>40</v>
      </c>
      <c r="DI9" s="272">
        <f t="shared" si="3"/>
        <v>760</v>
      </c>
      <c r="DJ9" s="324">
        <f t="shared" si="3"/>
        <v>500</v>
      </c>
      <c r="DK9" s="325"/>
      <c r="DL9" s="325"/>
    </row>
    <row r="10" spans="1:116" s="275" customFormat="1" ht="20.100000000000001" customHeight="1" x14ac:dyDescent="0.6">
      <c r="A10" s="234">
        <v>7</v>
      </c>
      <c r="B10" s="103" t="s">
        <v>413</v>
      </c>
      <c r="C10" s="103" t="s">
        <v>414</v>
      </c>
      <c r="D10" s="103" t="s">
        <v>90</v>
      </c>
      <c r="E10" s="148" t="s">
        <v>91</v>
      </c>
      <c r="F10" s="179" t="s">
        <v>400</v>
      </c>
      <c r="G10" s="322"/>
      <c r="H10" s="323"/>
      <c r="I10" s="326" t="s">
        <v>951</v>
      </c>
      <c r="J10" s="322" t="s">
        <v>945</v>
      </c>
      <c r="K10" s="241"/>
      <c r="L10" s="24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2">
        <f t="shared" si="0"/>
        <v>0</v>
      </c>
      <c r="AR10" s="272">
        <f t="shared" si="0"/>
        <v>0</v>
      </c>
      <c r="AS10" s="272">
        <f t="shared" si="0"/>
        <v>0</v>
      </c>
      <c r="AT10" s="357"/>
      <c r="AU10" s="357"/>
      <c r="AV10" s="357"/>
      <c r="AW10" s="357"/>
      <c r="AX10" s="357"/>
      <c r="AY10" s="357"/>
      <c r="AZ10" s="357"/>
      <c r="BA10" s="357"/>
      <c r="BB10" s="357"/>
      <c r="BC10" s="357"/>
      <c r="BD10" s="357"/>
      <c r="BE10" s="357"/>
      <c r="BF10" s="357"/>
      <c r="BG10" s="357"/>
      <c r="BH10" s="357"/>
      <c r="BI10" s="357"/>
      <c r="BJ10" s="357"/>
      <c r="BK10" s="357"/>
      <c r="BL10" s="357"/>
      <c r="BM10" s="357"/>
      <c r="BN10" s="357"/>
      <c r="BO10" s="357"/>
      <c r="BP10" s="357"/>
      <c r="BQ10" s="357"/>
      <c r="BR10" s="357"/>
      <c r="BS10" s="357"/>
      <c r="BT10" s="357"/>
      <c r="BU10" s="357"/>
      <c r="BV10" s="357"/>
      <c r="BW10" s="357"/>
      <c r="BX10" s="272">
        <f t="shared" si="1"/>
        <v>0</v>
      </c>
      <c r="BY10" s="272">
        <f t="shared" si="1"/>
        <v>0</v>
      </c>
      <c r="BZ10" s="272">
        <f t="shared" si="2"/>
        <v>0</v>
      </c>
      <c r="CA10" s="273"/>
      <c r="CB10" s="273"/>
      <c r="CC10" s="273"/>
      <c r="CD10" s="273"/>
      <c r="CE10" s="273"/>
      <c r="CF10" s="273"/>
      <c r="CG10" s="273"/>
      <c r="CH10" s="273"/>
      <c r="CI10" s="273"/>
      <c r="CJ10" s="273"/>
      <c r="CK10" s="273"/>
      <c r="CL10" s="273"/>
      <c r="CM10" s="273"/>
      <c r="CN10" s="273"/>
      <c r="CO10" s="273"/>
      <c r="CP10" s="273"/>
      <c r="CQ10" s="273"/>
      <c r="CR10" s="273"/>
      <c r="CS10" s="273"/>
      <c r="CT10" s="273"/>
      <c r="CU10" s="273"/>
      <c r="CV10" s="273"/>
      <c r="CW10" s="273"/>
      <c r="CX10" s="273"/>
      <c r="CY10" s="273"/>
      <c r="CZ10" s="273"/>
      <c r="DA10" s="273"/>
      <c r="DB10" s="273"/>
      <c r="DC10" s="273"/>
      <c r="DD10" s="273"/>
      <c r="DE10" s="273"/>
      <c r="DF10" s="271"/>
      <c r="DG10" s="271"/>
      <c r="DH10" s="272">
        <f t="shared" si="3"/>
        <v>0</v>
      </c>
      <c r="DI10" s="272">
        <f t="shared" si="3"/>
        <v>0</v>
      </c>
      <c r="DJ10" s="324">
        <f t="shared" si="3"/>
        <v>0</v>
      </c>
      <c r="DK10" s="325"/>
      <c r="DL10" s="325"/>
    </row>
    <row r="11" spans="1:116" s="275" customFormat="1" ht="20.100000000000001" customHeight="1" x14ac:dyDescent="0.6">
      <c r="A11" s="234">
        <v>8</v>
      </c>
      <c r="B11" s="103" t="s">
        <v>415</v>
      </c>
      <c r="C11" s="103" t="s">
        <v>416</v>
      </c>
      <c r="D11" s="103" t="s">
        <v>90</v>
      </c>
      <c r="E11" s="148" t="s">
        <v>91</v>
      </c>
      <c r="F11" s="179" t="s">
        <v>400</v>
      </c>
      <c r="G11" s="322" t="s">
        <v>415</v>
      </c>
      <c r="H11" s="322" t="s">
        <v>416</v>
      </c>
      <c r="I11" s="322" t="s">
        <v>952</v>
      </c>
      <c r="J11" s="322" t="s">
        <v>945</v>
      </c>
      <c r="K11" s="241"/>
      <c r="L11" s="24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>
        <v>30</v>
      </c>
      <c r="AC11" s="271">
        <v>360</v>
      </c>
      <c r="AD11" s="271">
        <v>360</v>
      </c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2">
        <f t="shared" si="0"/>
        <v>30</v>
      </c>
      <c r="AR11" s="272">
        <f t="shared" si="0"/>
        <v>360</v>
      </c>
      <c r="AS11" s="272">
        <f t="shared" si="0"/>
        <v>360</v>
      </c>
      <c r="AT11" s="356"/>
      <c r="AU11" s="356"/>
      <c r="AV11" s="356"/>
      <c r="AW11" s="356"/>
      <c r="AX11" s="356"/>
      <c r="AY11" s="356"/>
      <c r="AZ11" s="356"/>
      <c r="BA11" s="356"/>
      <c r="BB11" s="356"/>
      <c r="BC11" s="356">
        <v>15</v>
      </c>
      <c r="BD11" s="356">
        <v>180</v>
      </c>
      <c r="BE11" s="356">
        <v>180</v>
      </c>
      <c r="BF11" s="356"/>
      <c r="BG11" s="356"/>
      <c r="BH11" s="356"/>
      <c r="BI11" s="356"/>
      <c r="BJ11" s="356"/>
      <c r="BK11" s="356"/>
      <c r="BL11" s="356"/>
      <c r="BM11" s="356"/>
      <c r="BN11" s="356"/>
      <c r="BO11" s="356"/>
      <c r="BP11" s="356"/>
      <c r="BQ11" s="356"/>
      <c r="BR11" s="356"/>
      <c r="BS11" s="356"/>
      <c r="BT11" s="356"/>
      <c r="BU11" s="356"/>
      <c r="BV11" s="356"/>
      <c r="BW11" s="356"/>
      <c r="BX11" s="272">
        <f t="shared" si="1"/>
        <v>45</v>
      </c>
      <c r="BY11" s="272">
        <f t="shared" si="1"/>
        <v>540</v>
      </c>
      <c r="BZ11" s="272">
        <f t="shared" si="2"/>
        <v>540</v>
      </c>
      <c r="CA11" s="273"/>
      <c r="CB11" s="273"/>
      <c r="CC11" s="273"/>
      <c r="CD11" s="273"/>
      <c r="CE11" s="273"/>
      <c r="CF11" s="273"/>
      <c r="CG11" s="273"/>
      <c r="CH11" s="273"/>
      <c r="CI11" s="273"/>
      <c r="CJ11" s="273"/>
      <c r="CK11" s="273"/>
      <c r="CL11" s="273"/>
      <c r="CM11" s="273"/>
      <c r="CN11" s="273"/>
      <c r="CO11" s="273"/>
      <c r="CP11" s="273"/>
      <c r="CQ11" s="273"/>
      <c r="CR11" s="273"/>
      <c r="CS11" s="273"/>
      <c r="CT11" s="273"/>
      <c r="CU11" s="273"/>
      <c r="CV11" s="273"/>
      <c r="CW11" s="273"/>
      <c r="CX11" s="273"/>
      <c r="CY11" s="273"/>
      <c r="CZ11" s="273"/>
      <c r="DA11" s="273"/>
      <c r="DB11" s="273"/>
      <c r="DC11" s="273"/>
      <c r="DD11" s="273"/>
      <c r="DE11" s="273"/>
      <c r="DF11" s="271"/>
      <c r="DG11" s="271"/>
      <c r="DH11" s="272">
        <f t="shared" si="3"/>
        <v>45</v>
      </c>
      <c r="DI11" s="272">
        <f t="shared" si="3"/>
        <v>540</v>
      </c>
      <c r="DJ11" s="324">
        <f t="shared" si="3"/>
        <v>540</v>
      </c>
      <c r="DK11" s="325"/>
      <c r="DL11" s="325"/>
    </row>
    <row r="12" spans="1:116" s="275" customFormat="1" ht="20.100000000000001" customHeight="1" x14ac:dyDescent="0.6">
      <c r="A12" s="234">
        <v>9</v>
      </c>
      <c r="B12" s="103" t="s">
        <v>417</v>
      </c>
      <c r="C12" s="103" t="s">
        <v>418</v>
      </c>
      <c r="D12" s="103" t="s">
        <v>90</v>
      </c>
      <c r="E12" s="148" t="s">
        <v>91</v>
      </c>
      <c r="F12" s="179" t="s">
        <v>400</v>
      </c>
      <c r="G12" s="322"/>
      <c r="H12" s="323"/>
      <c r="I12" s="327" t="s">
        <v>953</v>
      </c>
      <c r="J12" s="322" t="s">
        <v>945</v>
      </c>
      <c r="K12" s="241"/>
      <c r="L12" s="241"/>
      <c r="M12" s="271"/>
      <c r="N12" s="271"/>
      <c r="O12" s="271"/>
      <c r="P12" s="271"/>
      <c r="Q12" s="271"/>
      <c r="R12" s="271"/>
      <c r="S12" s="271"/>
      <c r="T12" s="271"/>
      <c r="U12" s="271"/>
      <c r="V12" s="271">
        <v>15</v>
      </c>
      <c r="W12" s="271">
        <v>180</v>
      </c>
      <c r="X12" s="271">
        <v>180</v>
      </c>
      <c r="Y12" s="271"/>
      <c r="Z12" s="271"/>
      <c r="AA12" s="271"/>
      <c r="AB12" s="271">
        <v>15</v>
      </c>
      <c r="AC12" s="271">
        <v>180</v>
      </c>
      <c r="AD12" s="271">
        <v>180</v>
      </c>
      <c r="AE12" s="271">
        <v>35</v>
      </c>
      <c r="AF12" s="271">
        <v>570</v>
      </c>
      <c r="AG12" s="271">
        <v>390.8</v>
      </c>
      <c r="AH12" s="271"/>
      <c r="AI12" s="271"/>
      <c r="AJ12" s="271"/>
      <c r="AK12" s="271"/>
      <c r="AL12" s="271"/>
      <c r="AM12" s="271"/>
      <c r="AN12" s="271"/>
      <c r="AO12" s="271"/>
      <c r="AP12" s="271"/>
      <c r="AQ12" s="272">
        <f t="shared" si="0"/>
        <v>65</v>
      </c>
      <c r="AR12" s="272">
        <f t="shared" si="0"/>
        <v>930</v>
      </c>
      <c r="AS12" s="272">
        <f t="shared" si="0"/>
        <v>750.8</v>
      </c>
      <c r="AT12" s="357"/>
      <c r="AU12" s="357"/>
      <c r="AV12" s="357"/>
      <c r="AW12" s="357"/>
      <c r="AX12" s="357"/>
      <c r="AY12" s="357"/>
      <c r="AZ12" s="357"/>
      <c r="BA12" s="357"/>
      <c r="BB12" s="357"/>
      <c r="BC12" s="357"/>
      <c r="BD12" s="357"/>
      <c r="BE12" s="357"/>
      <c r="BF12" s="357"/>
      <c r="BG12" s="357"/>
      <c r="BH12" s="357"/>
      <c r="BI12" s="357"/>
      <c r="BJ12" s="357"/>
      <c r="BK12" s="357"/>
      <c r="BL12" s="357">
        <v>30</v>
      </c>
      <c r="BM12" s="357">
        <v>360</v>
      </c>
      <c r="BN12" s="357">
        <v>360</v>
      </c>
      <c r="BO12" s="357"/>
      <c r="BP12" s="357"/>
      <c r="BQ12" s="357"/>
      <c r="BR12" s="357"/>
      <c r="BS12" s="357"/>
      <c r="BT12" s="357"/>
      <c r="BU12" s="357"/>
      <c r="BV12" s="357"/>
      <c r="BW12" s="357"/>
      <c r="BX12" s="272">
        <f t="shared" si="1"/>
        <v>95</v>
      </c>
      <c r="BY12" s="272">
        <f t="shared" si="1"/>
        <v>1290</v>
      </c>
      <c r="BZ12" s="272">
        <f t="shared" si="2"/>
        <v>1110.8</v>
      </c>
      <c r="CA12" s="273"/>
      <c r="CB12" s="273"/>
      <c r="CC12" s="273"/>
      <c r="CD12" s="273"/>
      <c r="CE12" s="273"/>
      <c r="CF12" s="273"/>
      <c r="CG12" s="273"/>
      <c r="CH12" s="273"/>
      <c r="CI12" s="273"/>
      <c r="CJ12" s="273"/>
      <c r="CK12" s="273"/>
      <c r="CL12" s="273"/>
      <c r="CM12" s="273"/>
      <c r="CN12" s="273"/>
      <c r="CO12" s="273"/>
      <c r="CP12" s="273"/>
      <c r="CQ12" s="273"/>
      <c r="CR12" s="273"/>
      <c r="CS12" s="273"/>
      <c r="CT12" s="273"/>
      <c r="CU12" s="273"/>
      <c r="CV12" s="273"/>
      <c r="CW12" s="273"/>
      <c r="CX12" s="273"/>
      <c r="CY12" s="273"/>
      <c r="CZ12" s="273"/>
      <c r="DA12" s="273"/>
      <c r="DB12" s="273"/>
      <c r="DC12" s="273"/>
      <c r="DD12" s="273"/>
      <c r="DE12" s="273"/>
      <c r="DF12" s="271"/>
      <c r="DG12" s="271"/>
      <c r="DH12" s="272">
        <f t="shared" si="3"/>
        <v>95</v>
      </c>
      <c r="DI12" s="272">
        <f t="shared" si="3"/>
        <v>1290</v>
      </c>
      <c r="DJ12" s="324">
        <f t="shared" si="3"/>
        <v>1110.8</v>
      </c>
      <c r="DK12" s="325"/>
      <c r="DL12" s="325"/>
    </row>
    <row r="13" spans="1:116" s="275" customFormat="1" ht="20.100000000000001" customHeight="1" x14ac:dyDescent="0.6">
      <c r="A13" s="234">
        <v>10</v>
      </c>
      <c r="B13" s="103" t="s">
        <v>419</v>
      </c>
      <c r="C13" s="103" t="s">
        <v>420</v>
      </c>
      <c r="D13" s="103" t="s">
        <v>90</v>
      </c>
      <c r="E13" s="148" t="s">
        <v>91</v>
      </c>
      <c r="F13" s="179" t="s">
        <v>400</v>
      </c>
      <c r="G13" s="322"/>
      <c r="H13" s="323"/>
      <c r="I13" s="323" t="s">
        <v>954</v>
      </c>
      <c r="J13" s="322" t="s">
        <v>945</v>
      </c>
      <c r="K13" s="241"/>
      <c r="L13" s="24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>
        <v>15</v>
      </c>
      <c r="AC13" s="271">
        <v>180</v>
      </c>
      <c r="AD13" s="271">
        <v>180</v>
      </c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2">
        <f t="shared" si="0"/>
        <v>15</v>
      </c>
      <c r="AR13" s="272">
        <f t="shared" si="0"/>
        <v>180</v>
      </c>
      <c r="AS13" s="272">
        <f t="shared" si="0"/>
        <v>180</v>
      </c>
      <c r="AT13" s="357"/>
      <c r="AU13" s="357"/>
      <c r="AV13" s="357"/>
      <c r="AW13" s="357">
        <v>12</v>
      </c>
      <c r="AX13" s="357">
        <v>284</v>
      </c>
      <c r="AY13" s="357">
        <v>154</v>
      </c>
      <c r="AZ13" s="357"/>
      <c r="BA13" s="357"/>
      <c r="BB13" s="357"/>
      <c r="BC13" s="357">
        <v>15</v>
      </c>
      <c r="BD13" s="357">
        <v>180</v>
      </c>
      <c r="BE13" s="357">
        <v>180</v>
      </c>
      <c r="BF13" s="357"/>
      <c r="BG13" s="357"/>
      <c r="BH13" s="357"/>
      <c r="BI13" s="357"/>
      <c r="BJ13" s="357"/>
      <c r="BK13" s="357"/>
      <c r="BL13" s="357">
        <v>20</v>
      </c>
      <c r="BM13" s="357">
        <v>240</v>
      </c>
      <c r="BN13" s="357">
        <v>240</v>
      </c>
      <c r="BO13" s="357"/>
      <c r="BP13" s="357"/>
      <c r="BQ13" s="357"/>
      <c r="BR13" s="357"/>
      <c r="BS13" s="357"/>
      <c r="BT13" s="357"/>
      <c r="BU13" s="357"/>
      <c r="BV13" s="357"/>
      <c r="BW13" s="357"/>
      <c r="BX13" s="272">
        <f t="shared" si="1"/>
        <v>62</v>
      </c>
      <c r="BY13" s="272">
        <f t="shared" si="1"/>
        <v>884</v>
      </c>
      <c r="BZ13" s="272">
        <f t="shared" si="2"/>
        <v>754</v>
      </c>
      <c r="CA13" s="273"/>
      <c r="CB13" s="273"/>
      <c r="CC13" s="273"/>
      <c r="CD13" s="273"/>
      <c r="CE13" s="273"/>
      <c r="CF13" s="273"/>
      <c r="CG13" s="273"/>
      <c r="CH13" s="273"/>
      <c r="CI13" s="273"/>
      <c r="CJ13" s="273"/>
      <c r="CK13" s="273"/>
      <c r="CL13" s="273"/>
      <c r="CM13" s="273"/>
      <c r="CN13" s="273"/>
      <c r="CO13" s="273"/>
      <c r="CP13" s="273"/>
      <c r="CQ13" s="273"/>
      <c r="CR13" s="273"/>
      <c r="CS13" s="273"/>
      <c r="CT13" s="273"/>
      <c r="CU13" s="273"/>
      <c r="CV13" s="273"/>
      <c r="CW13" s="273"/>
      <c r="CX13" s="273"/>
      <c r="CY13" s="273"/>
      <c r="CZ13" s="273"/>
      <c r="DA13" s="273"/>
      <c r="DB13" s="273"/>
      <c r="DC13" s="273"/>
      <c r="DD13" s="273"/>
      <c r="DE13" s="273"/>
      <c r="DF13" s="271"/>
      <c r="DG13" s="271"/>
      <c r="DH13" s="272">
        <f t="shared" si="3"/>
        <v>62</v>
      </c>
      <c r="DI13" s="272">
        <f t="shared" si="3"/>
        <v>884</v>
      </c>
      <c r="DJ13" s="324">
        <f t="shared" si="3"/>
        <v>754</v>
      </c>
      <c r="DK13" s="325"/>
      <c r="DL13" s="325"/>
    </row>
    <row r="14" spans="1:116" s="275" customFormat="1" ht="20.100000000000001" customHeight="1" x14ac:dyDescent="0.6">
      <c r="A14" s="234">
        <v>11</v>
      </c>
      <c r="B14" s="103" t="s">
        <v>421</v>
      </c>
      <c r="C14" s="103" t="s">
        <v>422</v>
      </c>
      <c r="D14" s="103" t="s">
        <v>90</v>
      </c>
      <c r="E14" s="148" t="s">
        <v>91</v>
      </c>
      <c r="F14" s="179" t="s">
        <v>400</v>
      </c>
      <c r="G14" s="322"/>
      <c r="H14" s="323"/>
      <c r="I14" s="322" t="s">
        <v>955</v>
      </c>
      <c r="J14" s="322" t="s">
        <v>945</v>
      </c>
      <c r="K14" s="241"/>
      <c r="L14" s="24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2">
        <f t="shared" si="0"/>
        <v>0</v>
      </c>
      <c r="AR14" s="272">
        <f t="shared" si="0"/>
        <v>0</v>
      </c>
      <c r="AS14" s="272">
        <f t="shared" si="0"/>
        <v>0</v>
      </c>
      <c r="AT14" s="357"/>
      <c r="AU14" s="357"/>
      <c r="AV14" s="357"/>
      <c r="AW14" s="357"/>
      <c r="AX14" s="357"/>
      <c r="AY14" s="357"/>
      <c r="AZ14" s="357"/>
      <c r="BA14" s="357"/>
      <c r="BB14" s="357"/>
      <c r="BC14" s="357"/>
      <c r="BD14" s="357"/>
      <c r="BE14" s="357"/>
      <c r="BF14" s="357"/>
      <c r="BG14" s="357"/>
      <c r="BH14" s="357"/>
      <c r="BI14" s="357"/>
      <c r="BJ14" s="357"/>
      <c r="BK14" s="357"/>
      <c r="BL14" s="357"/>
      <c r="BM14" s="357"/>
      <c r="BN14" s="357"/>
      <c r="BO14" s="357"/>
      <c r="BP14" s="357"/>
      <c r="BQ14" s="357"/>
      <c r="BR14" s="357"/>
      <c r="BS14" s="357"/>
      <c r="BT14" s="357"/>
      <c r="BU14" s="357">
        <v>20</v>
      </c>
      <c r="BV14" s="357">
        <v>800</v>
      </c>
      <c r="BW14" s="357">
        <v>280</v>
      </c>
      <c r="BX14" s="272">
        <f t="shared" si="1"/>
        <v>20</v>
      </c>
      <c r="BY14" s="272">
        <f t="shared" si="1"/>
        <v>800</v>
      </c>
      <c r="BZ14" s="272">
        <f t="shared" si="2"/>
        <v>280</v>
      </c>
      <c r="CA14" s="273"/>
      <c r="CB14" s="273"/>
      <c r="CC14" s="273"/>
      <c r="CD14" s="273"/>
      <c r="CE14" s="273"/>
      <c r="CF14" s="273"/>
      <c r="CG14" s="273"/>
      <c r="CH14" s="273"/>
      <c r="CI14" s="273"/>
      <c r="CJ14" s="273"/>
      <c r="CK14" s="273"/>
      <c r="CL14" s="273"/>
      <c r="CM14" s="273"/>
      <c r="CN14" s="273"/>
      <c r="CO14" s="273"/>
      <c r="CP14" s="273"/>
      <c r="CQ14" s="273"/>
      <c r="CR14" s="273"/>
      <c r="CS14" s="273"/>
      <c r="CT14" s="273"/>
      <c r="CU14" s="273"/>
      <c r="CV14" s="273"/>
      <c r="CW14" s="273"/>
      <c r="CX14" s="273"/>
      <c r="CY14" s="273"/>
      <c r="CZ14" s="273"/>
      <c r="DA14" s="273"/>
      <c r="DB14" s="273"/>
      <c r="DC14" s="273"/>
      <c r="DD14" s="273"/>
      <c r="DE14" s="273"/>
      <c r="DF14" s="271"/>
      <c r="DG14" s="271"/>
      <c r="DH14" s="272">
        <f t="shared" si="3"/>
        <v>20</v>
      </c>
      <c r="DI14" s="272">
        <f t="shared" si="3"/>
        <v>800</v>
      </c>
      <c r="DJ14" s="324">
        <f t="shared" si="3"/>
        <v>280</v>
      </c>
      <c r="DK14" s="325"/>
      <c r="DL14" s="325"/>
    </row>
    <row r="15" spans="1:116" s="275" customFormat="1" ht="20.100000000000001" customHeight="1" x14ac:dyDescent="0.6">
      <c r="A15" s="234">
        <v>12</v>
      </c>
      <c r="B15" s="103" t="s">
        <v>423</v>
      </c>
      <c r="C15" s="185" t="s">
        <v>424</v>
      </c>
      <c r="D15" s="103" t="s">
        <v>90</v>
      </c>
      <c r="E15" s="148" t="s">
        <v>91</v>
      </c>
      <c r="F15" s="328" t="s">
        <v>400</v>
      </c>
      <c r="G15" s="322"/>
      <c r="H15" s="323"/>
      <c r="I15" s="322" t="s">
        <v>956</v>
      </c>
      <c r="J15" s="322" t="s">
        <v>945</v>
      </c>
      <c r="K15" s="241"/>
      <c r="L15" s="24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2">
        <f t="shared" si="0"/>
        <v>0</v>
      </c>
      <c r="AR15" s="272">
        <f t="shared" si="0"/>
        <v>0</v>
      </c>
      <c r="AS15" s="272">
        <f t="shared" si="0"/>
        <v>0</v>
      </c>
      <c r="AT15" s="357">
        <v>40</v>
      </c>
      <c r="AU15" s="357">
        <v>480</v>
      </c>
      <c r="AV15" s="357">
        <v>480</v>
      </c>
      <c r="AW15" s="357"/>
      <c r="AX15" s="357"/>
      <c r="AY15" s="357"/>
      <c r="AZ15" s="357"/>
      <c r="BA15" s="357"/>
      <c r="BB15" s="357"/>
      <c r="BC15" s="357"/>
      <c r="BD15" s="357"/>
      <c r="BE15" s="357"/>
      <c r="BF15" s="357"/>
      <c r="BG15" s="357"/>
      <c r="BH15" s="357"/>
      <c r="BI15" s="357"/>
      <c r="BJ15" s="357"/>
      <c r="BK15" s="357"/>
      <c r="BL15" s="357"/>
      <c r="BM15" s="357"/>
      <c r="BN15" s="357"/>
      <c r="BO15" s="357"/>
      <c r="BP15" s="357"/>
      <c r="BQ15" s="357"/>
      <c r="BR15" s="357"/>
      <c r="BS15" s="357"/>
      <c r="BT15" s="357"/>
      <c r="BU15" s="357"/>
      <c r="BV15" s="357"/>
      <c r="BW15" s="357"/>
      <c r="BX15" s="272">
        <f>+BU15+BR15+BO15+BL15+BI15+BF15+BC15+AZ15+AW15+AT15+AQ15</f>
        <v>40</v>
      </c>
      <c r="BY15" s="272">
        <f>+BV15+BS15+BP15+BM15+BJ15+BG15+BD15+BA15+AX15+AU15+AR15</f>
        <v>480</v>
      </c>
      <c r="BZ15" s="272">
        <f>AS15+AV15+AY15+BB15+BE15+BH15+BK15+BN15+BQ15+BT15+BW15</f>
        <v>480</v>
      </c>
      <c r="CA15" s="273"/>
      <c r="CB15" s="273"/>
      <c r="CC15" s="273"/>
      <c r="CD15" s="273"/>
      <c r="CE15" s="273"/>
      <c r="CF15" s="273"/>
      <c r="CG15" s="273"/>
      <c r="CH15" s="273"/>
      <c r="CI15" s="273"/>
      <c r="CJ15" s="273"/>
      <c r="CK15" s="273"/>
      <c r="CL15" s="273"/>
      <c r="CM15" s="273"/>
      <c r="CN15" s="273"/>
      <c r="CO15" s="273"/>
      <c r="CP15" s="273"/>
      <c r="CQ15" s="273"/>
      <c r="CR15" s="273"/>
      <c r="CS15" s="273"/>
      <c r="CT15" s="273"/>
      <c r="CU15" s="273"/>
      <c r="CV15" s="273"/>
      <c r="CW15" s="273"/>
      <c r="CX15" s="273"/>
      <c r="CY15" s="273"/>
      <c r="CZ15" s="273"/>
      <c r="DA15" s="273"/>
      <c r="DB15" s="273"/>
      <c r="DC15" s="273"/>
      <c r="DD15" s="273"/>
      <c r="DE15" s="273"/>
      <c r="DF15" s="271"/>
      <c r="DG15" s="271"/>
      <c r="DH15" s="272">
        <f t="shared" si="3"/>
        <v>40</v>
      </c>
      <c r="DI15" s="272">
        <f t="shared" si="3"/>
        <v>480</v>
      </c>
      <c r="DJ15" s="324">
        <f t="shared" si="3"/>
        <v>480</v>
      </c>
      <c r="DK15" s="325"/>
      <c r="DL15" s="325"/>
    </row>
    <row r="16" spans="1:116" s="275" customFormat="1" ht="20.100000000000001" customHeight="1" x14ac:dyDescent="0.6">
      <c r="A16" s="234">
        <v>13</v>
      </c>
      <c r="B16" s="103" t="s">
        <v>425</v>
      </c>
      <c r="C16" s="185" t="s">
        <v>425</v>
      </c>
      <c r="D16" s="103" t="s">
        <v>90</v>
      </c>
      <c r="E16" s="148" t="s">
        <v>91</v>
      </c>
      <c r="F16" s="328" t="s">
        <v>400</v>
      </c>
      <c r="G16" s="322"/>
      <c r="H16" s="323"/>
      <c r="I16" s="322" t="s">
        <v>957</v>
      </c>
      <c r="J16" s="322" t="s">
        <v>945</v>
      </c>
      <c r="K16" s="241"/>
      <c r="L16" s="24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2">
        <f t="shared" si="0"/>
        <v>0</v>
      </c>
      <c r="AR16" s="272">
        <f t="shared" si="0"/>
        <v>0</v>
      </c>
      <c r="AS16" s="272">
        <f t="shared" si="0"/>
        <v>0</v>
      </c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>
        <v>20</v>
      </c>
      <c r="BM16" s="357">
        <v>380</v>
      </c>
      <c r="BN16" s="357">
        <v>250</v>
      </c>
      <c r="BO16" s="357"/>
      <c r="BP16" s="357"/>
      <c r="BQ16" s="357"/>
      <c r="BR16" s="357"/>
      <c r="BS16" s="357"/>
      <c r="BT16" s="357"/>
      <c r="BU16" s="357"/>
      <c r="BV16" s="357"/>
      <c r="BW16" s="357"/>
      <c r="BX16" s="272">
        <f>+BU16+BR16+BO16+BL16+BI16+BF16+BC16+AZ16+AW16+AT16+AQ16</f>
        <v>20</v>
      </c>
      <c r="BY16" s="272">
        <f>+BV16+BS16+BP16+BM16+BJ16+BG16+BD16+BA16+AX16+AU16+AR16</f>
        <v>380</v>
      </c>
      <c r="BZ16" s="272">
        <f>AS16+AV16+AY16+BB16+BE16+BH16+BK16+BN16+BQ16+BT16+BW16</f>
        <v>250</v>
      </c>
      <c r="CA16" s="273"/>
      <c r="CB16" s="273"/>
      <c r="CC16" s="273"/>
      <c r="CD16" s="273"/>
      <c r="CE16" s="273"/>
      <c r="CF16" s="273"/>
      <c r="CG16" s="273"/>
      <c r="CH16" s="273"/>
      <c r="CI16" s="273"/>
      <c r="CJ16" s="273"/>
      <c r="CK16" s="273"/>
      <c r="CL16" s="273"/>
      <c r="CM16" s="273"/>
      <c r="CN16" s="273"/>
      <c r="CO16" s="273"/>
      <c r="CP16" s="273"/>
      <c r="CQ16" s="273"/>
      <c r="CR16" s="273"/>
      <c r="CS16" s="273"/>
      <c r="CT16" s="273"/>
      <c r="CU16" s="273"/>
      <c r="CV16" s="273"/>
      <c r="CW16" s="273"/>
      <c r="CX16" s="273"/>
      <c r="CY16" s="273"/>
      <c r="CZ16" s="273"/>
      <c r="DA16" s="273"/>
      <c r="DB16" s="273"/>
      <c r="DC16" s="273"/>
      <c r="DD16" s="273"/>
      <c r="DE16" s="273"/>
      <c r="DF16" s="271"/>
      <c r="DG16" s="271"/>
      <c r="DH16" s="272">
        <f t="shared" si="3"/>
        <v>20</v>
      </c>
      <c r="DI16" s="272">
        <f t="shared" si="3"/>
        <v>380</v>
      </c>
      <c r="DJ16" s="324">
        <f t="shared" si="3"/>
        <v>250</v>
      </c>
      <c r="DK16" s="325"/>
      <c r="DL16" s="325"/>
    </row>
    <row r="17" spans="1:116" s="275" customFormat="1" ht="20.100000000000001" customHeight="1" x14ac:dyDescent="0.6">
      <c r="A17" s="234">
        <v>14</v>
      </c>
      <c r="B17" s="103" t="s">
        <v>426</v>
      </c>
      <c r="C17" s="185" t="s">
        <v>427</v>
      </c>
      <c r="D17" s="103" t="s">
        <v>90</v>
      </c>
      <c r="E17" s="148" t="s">
        <v>91</v>
      </c>
      <c r="F17" s="328" t="s">
        <v>400</v>
      </c>
      <c r="G17" s="322"/>
      <c r="H17" s="323"/>
      <c r="I17" s="322" t="s">
        <v>958</v>
      </c>
      <c r="J17" s="322" t="s">
        <v>959</v>
      </c>
      <c r="K17" s="241"/>
      <c r="L17" s="24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>
        <v>30</v>
      </c>
      <c r="AF17" s="271">
        <v>360</v>
      </c>
      <c r="AG17" s="271">
        <v>360</v>
      </c>
      <c r="AH17" s="271"/>
      <c r="AI17" s="271"/>
      <c r="AJ17" s="271"/>
      <c r="AK17" s="271"/>
      <c r="AL17" s="271"/>
      <c r="AM17" s="271"/>
      <c r="AN17" s="271"/>
      <c r="AO17" s="271"/>
      <c r="AP17" s="271"/>
      <c r="AQ17" s="272">
        <f t="shared" si="0"/>
        <v>30</v>
      </c>
      <c r="AR17" s="272">
        <f t="shared" si="0"/>
        <v>360</v>
      </c>
      <c r="AS17" s="272">
        <f t="shared" si="0"/>
        <v>360</v>
      </c>
      <c r="AT17" s="357">
        <v>30</v>
      </c>
      <c r="AU17" s="357">
        <v>360</v>
      </c>
      <c r="AV17" s="357">
        <v>360</v>
      </c>
      <c r="AW17" s="357"/>
      <c r="AX17" s="357"/>
      <c r="AY17" s="357"/>
      <c r="AZ17" s="357"/>
      <c r="BA17" s="357"/>
      <c r="BB17" s="357"/>
      <c r="BC17" s="357"/>
      <c r="BD17" s="357"/>
      <c r="BE17" s="357"/>
      <c r="BF17" s="357"/>
      <c r="BG17" s="357"/>
      <c r="BH17" s="357"/>
      <c r="BI17" s="357"/>
      <c r="BJ17" s="357"/>
      <c r="BK17" s="357"/>
      <c r="BL17" s="357"/>
      <c r="BM17" s="357"/>
      <c r="BN17" s="357"/>
      <c r="BO17" s="357">
        <v>5</v>
      </c>
      <c r="BP17" s="357">
        <v>200</v>
      </c>
      <c r="BQ17" s="357">
        <v>70</v>
      </c>
      <c r="BR17" s="357"/>
      <c r="BS17" s="357"/>
      <c r="BT17" s="357"/>
      <c r="BU17" s="357"/>
      <c r="BV17" s="357"/>
      <c r="BW17" s="357"/>
      <c r="BX17" s="272">
        <f t="shared" si="1"/>
        <v>65</v>
      </c>
      <c r="BY17" s="272">
        <f t="shared" si="1"/>
        <v>920</v>
      </c>
      <c r="BZ17" s="272">
        <f t="shared" si="2"/>
        <v>790</v>
      </c>
      <c r="CA17" s="273"/>
      <c r="CB17" s="273"/>
      <c r="CC17" s="273"/>
      <c r="CD17" s="273"/>
      <c r="CE17" s="273"/>
      <c r="CF17" s="273"/>
      <c r="CG17" s="273"/>
      <c r="CH17" s="273"/>
      <c r="CI17" s="273"/>
      <c r="CJ17" s="273"/>
      <c r="CK17" s="273"/>
      <c r="CL17" s="273"/>
      <c r="CM17" s="273"/>
      <c r="CN17" s="273"/>
      <c r="CO17" s="273"/>
      <c r="CP17" s="273"/>
      <c r="CQ17" s="273"/>
      <c r="CR17" s="273"/>
      <c r="CS17" s="273"/>
      <c r="CT17" s="273"/>
      <c r="CU17" s="273"/>
      <c r="CV17" s="273"/>
      <c r="CW17" s="273"/>
      <c r="CX17" s="273"/>
      <c r="CY17" s="273"/>
      <c r="CZ17" s="273"/>
      <c r="DA17" s="273"/>
      <c r="DB17" s="273"/>
      <c r="DC17" s="273"/>
      <c r="DD17" s="273"/>
      <c r="DE17" s="273"/>
      <c r="DF17" s="271"/>
      <c r="DG17" s="271"/>
      <c r="DH17" s="272">
        <f t="shared" si="3"/>
        <v>65</v>
      </c>
      <c r="DI17" s="272">
        <f t="shared" si="3"/>
        <v>920</v>
      </c>
      <c r="DJ17" s="324">
        <f t="shared" si="3"/>
        <v>790</v>
      </c>
      <c r="DK17" s="325"/>
      <c r="DL17" s="325"/>
    </row>
    <row r="18" spans="1:116" s="275" customFormat="1" ht="20.100000000000001" customHeight="1" x14ac:dyDescent="0.6">
      <c r="A18" s="234">
        <v>15</v>
      </c>
      <c r="B18" s="103" t="s">
        <v>428</v>
      </c>
      <c r="C18" s="103" t="s">
        <v>429</v>
      </c>
      <c r="D18" s="103" t="s">
        <v>430</v>
      </c>
      <c r="E18" s="148" t="s">
        <v>120</v>
      </c>
      <c r="F18" s="179" t="s">
        <v>431</v>
      </c>
      <c r="G18" s="322"/>
      <c r="H18" s="323"/>
      <c r="I18" s="323" t="s">
        <v>960</v>
      </c>
      <c r="J18" s="322" t="s">
        <v>959</v>
      </c>
      <c r="K18" s="241"/>
      <c r="L18" s="241"/>
      <c r="M18" s="271"/>
      <c r="N18" s="271"/>
      <c r="O18" s="271"/>
      <c r="P18" s="271"/>
      <c r="Q18" s="271"/>
      <c r="R18" s="271"/>
      <c r="S18" s="271"/>
      <c r="T18" s="271"/>
      <c r="U18" s="271"/>
      <c r="V18" s="271">
        <v>25</v>
      </c>
      <c r="W18" s="271">
        <v>300</v>
      </c>
      <c r="X18" s="271">
        <v>300</v>
      </c>
      <c r="Y18" s="271">
        <v>20</v>
      </c>
      <c r="Z18" s="271">
        <v>260</v>
      </c>
      <c r="AA18" s="271">
        <v>209.6</v>
      </c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>
        <v>36</v>
      </c>
      <c r="AO18" s="271">
        <v>488</v>
      </c>
      <c r="AP18" s="271">
        <v>436</v>
      </c>
      <c r="AQ18" s="272">
        <f t="shared" si="0"/>
        <v>81</v>
      </c>
      <c r="AR18" s="272">
        <f t="shared" si="0"/>
        <v>1048</v>
      </c>
      <c r="AS18" s="272">
        <f t="shared" si="0"/>
        <v>945.6</v>
      </c>
      <c r="AT18" s="357"/>
      <c r="AU18" s="357"/>
      <c r="AV18" s="357"/>
      <c r="AW18" s="357"/>
      <c r="AX18" s="357"/>
      <c r="AY18" s="357"/>
      <c r="AZ18" s="357"/>
      <c r="BA18" s="357"/>
      <c r="BB18" s="357"/>
      <c r="BC18" s="357"/>
      <c r="BD18" s="357"/>
      <c r="BE18" s="357"/>
      <c r="BF18" s="357"/>
      <c r="BG18" s="357"/>
      <c r="BH18" s="357"/>
      <c r="BI18" s="357"/>
      <c r="BJ18" s="357"/>
      <c r="BK18" s="357"/>
      <c r="BL18" s="357"/>
      <c r="BM18" s="357"/>
      <c r="BN18" s="357"/>
      <c r="BO18" s="357">
        <v>25</v>
      </c>
      <c r="BP18" s="357">
        <v>330</v>
      </c>
      <c r="BQ18" s="357">
        <v>254.4</v>
      </c>
      <c r="BR18" s="357"/>
      <c r="BS18" s="357"/>
      <c r="BT18" s="357"/>
      <c r="BU18" s="357"/>
      <c r="BV18" s="357"/>
      <c r="BW18" s="357"/>
      <c r="BX18" s="272">
        <f t="shared" si="1"/>
        <v>106</v>
      </c>
      <c r="BY18" s="272">
        <f t="shared" si="1"/>
        <v>1378</v>
      </c>
      <c r="BZ18" s="272">
        <f t="shared" si="2"/>
        <v>1200</v>
      </c>
      <c r="CA18" s="273"/>
      <c r="CB18" s="273"/>
      <c r="CC18" s="273"/>
      <c r="CD18" s="273"/>
      <c r="CE18" s="273"/>
      <c r="CF18" s="273"/>
      <c r="CG18" s="273"/>
      <c r="CH18" s="273"/>
      <c r="CI18" s="273"/>
      <c r="CJ18" s="273"/>
      <c r="CK18" s="273"/>
      <c r="CL18" s="273"/>
      <c r="CM18" s="273"/>
      <c r="CN18" s="273"/>
      <c r="CO18" s="273"/>
      <c r="CP18" s="273"/>
      <c r="CQ18" s="273"/>
      <c r="CR18" s="273"/>
      <c r="CS18" s="273"/>
      <c r="CT18" s="273"/>
      <c r="CU18" s="273"/>
      <c r="CV18" s="273"/>
      <c r="CW18" s="273"/>
      <c r="CX18" s="273"/>
      <c r="CY18" s="273"/>
      <c r="CZ18" s="273"/>
      <c r="DA18" s="273"/>
      <c r="DB18" s="273"/>
      <c r="DC18" s="273"/>
      <c r="DD18" s="273"/>
      <c r="DE18" s="273"/>
      <c r="DF18" s="271"/>
      <c r="DG18" s="271"/>
      <c r="DH18" s="272">
        <f t="shared" si="3"/>
        <v>106</v>
      </c>
      <c r="DI18" s="272">
        <f t="shared" si="3"/>
        <v>1378</v>
      </c>
      <c r="DJ18" s="324">
        <f t="shared" si="3"/>
        <v>1200</v>
      </c>
      <c r="DK18" s="325"/>
      <c r="DL18" s="325"/>
    </row>
    <row r="19" spans="1:116" s="275" customFormat="1" ht="20.100000000000001" customHeight="1" x14ac:dyDescent="0.6">
      <c r="A19" s="234">
        <v>16</v>
      </c>
      <c r="B19" s="103" t="s">
        <v>432</v>
      </c>
      <c r="C19" s="103" t="s">
        <v>433</v>
      </c>
      <c r="D19" s="103" t="s">
        <v>430</v>
      </c>
      <c r="E19" s="148" t="s">
        <v>120</v>
      </c>
      <c r="F19" s="179" t="s">
        <v>431</v>
      </c>
      <c r="G19" s="322"/>
      <c r="H19" s="323"/>
      <c r="I19" s="323" t="s">
        <v>961</v>
      </c>
      <c r="J19" s="322" t="s">
        <v>959</v>
      </c>
      <c r="K19" s="241"/>
      <c r="L19" s="241"/>
      <c r="M19" s="271"/>
      <c r="N19" s="271"/>
      <c r="O19" s="271"/>
      <c r="P19" s="271"/>
      <c r="Q19" s="271"/>
      <c r="R19" s="271"/>
      <c r="S19" s="271"/>
      <c r="T19" s="271"/>
      <c r="U19" s="271"/>
      <c r="V19" s="271">
        <v>25</v>
      </c>
      <c r="W19" s="271">
        <v>350</v>
      </c>
      <c r="X19" s="271">
        <v>254.16</v>
      </c>
      <c r="Y19" s="271">
        <v>25</v>
      </c>
      <c r="Z19" s="271">
        <v>330</v>
      </c>
      <c r="AA19" s="271">
        <v>254.4</v>
      </c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2">
        <f t="shared" si="0"/>
        <v>50</v>
      </c>
      <c r="AR19" s="272">
        <f t="shared" si="0"/>
        <v>680</v>
      </c>
      <c r="AS19" s="272">
        <f t="shared" si="0"/>
        <v>508.56</v>
      </c>
      <c r="AT19" s="357"/>
      <c r="AU19" s="357"/>
      <c r="AV19" s="357"/>
      <c r="AW19" s="357"/>
      <c r="AX19" s="357"/>
      <c r="AY19" s="357"/>
      <c r="AZ19" s="357">
        <v>39</v>
      </c>
      <c r="BA19" s="357">
        <v>636</v>
      </c>
      <c r="BB19" s="357">
        <v>446.4</v>
      </c>
      <c r="BC19" s="357"/>
      <c r="BD19" s="357"/>
      <c r="BE19" s="357"/>
      <c r="BF19" s="357"/>
      <c r="BG19" s="357"/>
      <c r="BH19" s="357"/>
      <c r="BI19" s="357"/>
      <c r="BJ19" s="357"/>
      <c r="BK19" s="357"/>
      <c r="BL19" s="357">
        <v>20</v>
      </c>
      <c r="BM19" s="357">
        <v>800</v>
      </c>
      <c r="BN19" s="357">
        <v>280</v>
      </c>
      <c r="BO19" s="357"/>
      <c r="BP19" s="357"/>
      <c r="BQ19" s="357"/>
      <c r="BR19" s="357"/>
      <c r="BS19" s="357"/>
      <c r="BT19" s="357"/>
      <c r="BU19" s="357"/>
      <c r="BV19" s="357"/>
      <c r="BW19" s="357"/>
      <c r="BX19" s="272">
        <f t="shared" si="1"/>
        <v>109</v>
      </c>
      <c r="BY19" s="272">
        <f t="shared" si="1"/>
        <v>2116</v>
      </c>
      <c r="BZ19" s="272">
        <f t="shared" si="2"/>
        <v>1234.96</v>
      </c>
      <c r="CA19" s="273"/>
      <c r="CB19" s="273"/>
      <c r="CC19" s="273"/>
      <c r="CD19" s="273"/>
      <c r="CE19" s="273"/>
      <c r="CF19" s="273"/>
      <c r="CG19" s="273"/>
      <c r="CH19" s="273"/>
      <c r="CI19" s="273"/>
      <c r="CJ19" s="273"/>
      <c r="CK19" s="273"/>
      <c r="CL19" s="273"/>
      <c r="CM19" s="273"/>
      <c r="CN19" s="273"/>
      <c r="CO19" s="273"/>
      <c r="CP19" s="273"/>
      <c r="CQ19" s="273"/>
      <c r="CR19" s="273"/>
      <c r="CS19" s="273"/>
      <c r="CT19" s="273"/>
      <c r="CU19" s="273"/>
      <c r="CV19" s="273"/>
      <c r="CW19" s="273"/>
      <c r="CX19" s="273"/>
      <c r="CY19" s="273"/>
      <c r="CZ19" s="273"/>
      <c r="DA19" s="273"/>
      <c r="DB19" s="273"/>
      <c r="DC19" s="273"/>
      <c r="DD19" s="273"/>
      <c r="DE19" s="273"/>
      <c r="DF19" s="271"/>
      <c r="DG19" s="271"/>
      <c r="DH19" s="272">
        <f t="shared" si="3"/>
        <v>109</v>
      </c>
      <c r="DI19" s="272">
        <f t="shared" si="3"/>
        <v>2116</v>
      </c>
      <c r="DJ19" s="324">
        <f t="shared" si="3"/>
        <v>1234.96</v>
      </c>
      <c r="DK19" s="325"/>
      <c r="DL19" s="325"/>
    </row>
    <row r="20" spans="1:116" s="275" customFormat="1" ht="20.100000000000001" customHeight="1" x14ac:dyDescent="0.6">
      <c r="A20" s="234">
        <v>17</v>
      </c>
      <c r="B20" s="103" t="s">
        <v>434</v>
      </c>
      <c r="C20" s="103" t="s">
        <v>435</v>
      </c>
      <c r="D20" s="103" t="s">
        <v>430</v>
      </c>
      <c r="E20" s="148" t="s">
        <v>120</v>
      </c>
      <c r="F20" s="179" t="s">
        <v>431</v>
      </c>
      <c r="G20" s="322"/>
      <c r="H20" s="323"/>
      <c r="I20" s="322" t="s">
        <v>962</v>
      </c>
      <c r="J20" s="322" t="s">
        <v>959</v>
      </c>
      <c r="K20" s="241"/>
      <c r="L20" s="24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>
        <v>20</v>
      </c>
      <c r="AF20" s="271">
        <v>240</v>
      </c>
      <c r="AG20" s="271">
        <v>240</v>
      </c>
      <c r="AH20" s="271"/>
      <c r="AI20" s="271"/>
      <c r="AJ20" s="271"/>
      <c r="AK20" s="271"/>
      <c r="AL20" s="271"/>
      <c r="AM20" s="271"/>
      <c r="AN20" s="271"/>
      <c r="AO20" s="271"/>
      <c r="AP20" s="271"/>
      <c r="AQ20" s="272">
        <f t="shared" ref="AQ20:AS83" si="4">+AN20+AK20+AH20+AE20+AB20+Y20+V20+S20+P20+M20</f>
        <v>20</v>
      </c>
      <c r="AR20" s="272">
        <f t="shared" si="4"/>
        <v>240</v>
      </c>
      <c r="AS20" s="272">
        <f t="shared" si="4"/>
        <v>240</v>
      </c>
      <c r="AT20" s="357"/>
      <c r="AU20" s="357"/>
      <c r="AV20" s="357"/>
      <c r="AW20" s="357"/>
      <c r="AX20" s="357"/>
      <c r="AY20" s="357"/>
      <c r="AZ20" s="357"/>
      <c r="BA20" s="357"/>
      <c r="BB20" s="357"/>
      <c r="BC20" s="357"/>
      <c r="BD20" s="357"/>
      <c r="BE20" s="357"/>
      <c r="BF20" s="357"/>
      <c r="BG20" s="357"/>
      <c r="BH20" s="357"/>
      <c r="BI20" s="357"/>
      <c r="BJ20" s="357"/>
      <c r="BK20" s="357"/>
      <c r="BL20" s="357"/>
      <c r="BM20" s="357"/>
      <c r="BN20" s="357"/>
      <c r="BO20" s="357">
        <v>5</v>
      </c>
      <c r="BP20" s="357">
        <v>70</v>
      </c>
      <c r="BQ20" s="357">
        <v>44.8</v>
      </c>
      <c r="BR20" s="357"/>
      <c r="BS20" s="357"/>
      <c r="BT20" s="357"/>
      <c r="BU20" s="357"/>
      <c r="BV20" s="357"/>
      <c r="BW20" s="357"/>
      <c r="BX20" s="272">
        <f t="shared" si="1"/>
        <v>25</v>
      </c>
      <c r="BY20" s="272">
        <f t="shared" si="1"/>
        <v>310</v>
      </c>
      <c r="BZ20" s="272">
        <f t="shared" si="2"/>
        <v>284.8</v>
      </c>
      <c r="CA20" s="273"/>
      <c r="CB20" s="273"/>
      <c r="CC20" s="273"/>
      <c r="CD20" s="273"/>
      <c r="CE20" s="273"/>
      <c r="CF20" s="273"/>
      <c r="CG20" s="273"/>
      <c r="CH20" s="273"/>
      <c r="CI20" s="273"/>
      <c r="CJ20" s="273"/>
      <c r="CK20" s="273"/>
      <c r="CL20" s="273"/>
      <c r="CM20" s="273"/>
      <c r="CN20" s="273"/>
      <c r="CO20" s="273"/>
      <c r="CP20" s="273"/>
      <c r="CQ20" s="273"/>
      <c r="CR20" s="273"/>
      <c r="CS20" s="273"/>
      <c r="CT20" s="273"/>
      <c r="CU20" s="273"/>
      <c r="CV20" s="273"/>
      <c r="CW20" s="273"/>
      <c r="CX20" s="273"/>
      <c r="CY20" s="273"/>
      <c r="CZ20" s="273"/>
      <c r="DA20" s="273"/>
      <c r="DB20" s="273"/>
      <c r="DC20" s="273"/>
      <c r="DD20" s="273"/>
      <c r="DE20" s="273"/>
      <c r="DF20" s="271"/>
      <c r="DG20" s="271"/>
      <c r="DH20" s="272">
        <f t="shared" si="3"/>
        <v>25</v>
      </c>
      <c r="DI20" s="272">
        <f t="shared" si="3"/>
        <v>310</v>
      </c>
      <c r="DJ20" s="324">
        <f t="shared" si="3"/>
        <v>284.8</v>
      </c>
      <c r="DK20" s="325"/>
      <c r="DL20" s="325"/>
    </row>
    <row r="21" spans="1:116" s="275" customFormat="1" ht="20.100000000000001" customHeight="1" x14ac:dyDescent="0.6">
      <c r="A21" s="234">
        <v>18</v>
      </c>
      <c r="B21" s="103" t="s">
        <v>436</v>
      </c>
      <c r="C21" s="103" t="s">
        <v>437</v>
      </c>
      <c r="D21" s="103" t="s">
        <v>123</v>
      </c>
      <c r="E21" s="148" t="s">
        <v>438</v>
      </c>
      <c r="F21" s="179" t="s">
        <v>431</v>
      </c>
      <c r="G21" s="322"/>
      <c r="H21" s="323"/>
      <c r="I21" s="322" t="s">
        <v>963</v>
      </c>
      <c r="J21" s="322" t="s">
        <v>959</v>
      </c>
      <c r="K21" s="241"/>
      <c r="L21" s="24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2">
        <f t="shared" si="4"/>
        <v>0</v>
      </c>
      <c r="AR21" s="272">
        <f t="shared" si="4"/>
        <v>0</v>
      </c>
      <c r="AS21" s="272">
        <f t="shared" si="4"/>
        <v>0</v>
      </c>
      <c r="AT21" s="357"/>
      <c r="AU21" s="357"/>
      <c r="AV21" s="357"/>
      <c r="AW21" s="357"/>
      <c r="AX21" s="357"/>
      <c r="AY21" s="357"/>
      <c r="AZ21" s="357"/>
      <c r="BA21" s="357"/>
      <c r="BB21" s="357"/>
      <c r="BC21" s="357"/>
      <c r="BD21" s="357"/>
      <c r="BE21" s="357"/>
      <c r="BF21" s="357"/>
      <c r="BG21" s="357"/>
      <c r="BH21" s="357"/>
      <c r="BI21" s="357"/>
      <c r="BJ21" s="357"/>
      <c r="BK21" s="357"/>
      <c r="BL21" s="357"/>
      <c r="BM21" s="357"/>
      <c r="BN21" s="357"/>
      <c r="BO21" s="357"/>
      <c r="BP21" s="357"/>
      <c r="BQ21" s="357"/>
      <c r="BR21" s="357"/>
      <c r="BS21" s="357"/>
      <c r="BT21" s="357"/>
      <c r="BU21" s="357"/>
      <c r="BV21" s="357"/>
      <c r="BW21" s="357"/>
      <c r="BX21" s="272">
        <f t="shared" si="1"/>
        <v>0</v>
      </c>
      <c r="BY21" s="272">
        <f t="shared" si="1"/>
        <v>0</v>
      </c>
      <c r="BZ21" s="272">
        <f t="shared" si="2"/>
        <v>0</v>
      </c>
      <c r="CA21" s="273"/>
      <c r="CB21" s="273"/>
      <c r="CC21" s="273"/>
      <c r="CD21" s="273"/>
      <c r="CE21" s="273"/>
      <c r="CF21" s="273"/>
      <c r="CG21" s="273"/>
      <c r="CH21" s="273"/>
      <c r="CI21" s="273"/>
      <c r="CJ21" s="273"/>
      <c r="CK21" s="273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  <c r="CX21" s="273"/>
      <c r="CY21" s="273"/>
      <c r="CZ21" s="273"/>
      <c r="DA21" s="273"/>
      <c r="DB21" s="273"/>
      <c r="DC21" s="273"/>
      <c r="DD21" s="273"/>
      <c r="DE21" s="273"/>
      <c r="DF21" s="271"/>
      <c r="DG21" s="271"/>
      <c r="DH21" s="272">
        <f t="shared" si="3"/>
        <v>0</v>
      </c>
      <c r="DI21" s="272">
        <f t="shared" si="3"/>
        <v>0</v>
      </c>
      <c r="DJ21" s="324">
        <f t="shared" si="3"/>
        <v>0</v>
      </c>
      <c r="DK21" s="325"/>
      <c r="DL21" s="325"/>
    </row>
    <row r="22" spans="1:116" s="275" customFormat="1" ht="20.100000000000001" customHeight="1" x14ac:dyDescent="0.6">
      <c r="A22" s="234">
        <v>19</v>
      </c>
      <c r="B22" s="103" t="s">
        <v>439</v>
      </c>
      <c r="C22" s="103" t="s">
        <v>440</v>
      </c>
      <c r="D22" s="103" t="s">
        <v>123</v>
      </c>
      <c r="E22" s="148" t="s">
        <v>438</v>
      </c>
      <c r="F22" s="179" t="s">
        <v>431</v>
      </c>
      <c r="G22" s="322"/>
      <c r="H22" s="323"/>
      <c r="I22" s="322" t="s">
        <v>964</v>
      </c>
      <c r="J22" s="322" t="s">
        <v>959</v>
      </c>
      <c r="K22" s="241"/>
      <c r="L22" s="24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2">
        <f t="shared" si="4"/>
        <v>0</v>
      </c>
      <c r="AR22" s="272">
        <f t="shared" si="4"/>
        <v>0</v>
      </c>
      <c r="AS22" s="272">
        <f t="shared" si="4"/>
        <v>0</v>
      </c>
      <c r="AT22" s="357">
        <v>45</v>
      </c>
      <c r="AU22" s="357">
        <v>540</v>
      </c>
      <c r="AV22" s="357">
        <v>540</v>
      </c>
      <c r="AW22" s="357"/>
      <c r="AX22" s="357"/>
      <c r="AY22" s="357"/>
      <c r="AZ22" s="357"/>
      <c r="BA22" s="357"/>
      <c r="BB22" s="357"/>
      <c r="BC22" s="357"/>
      <c r="BD22" s="357"/>
      <c r="BE22" s="357"/>
      <c r="BF22" s="357"/>
      <c r="BG22" s="357"/>
      <c r="BH22" s="357"/>
      <c r="BI22" s="357"/>
      <c r="BJ22" s="357"/>
      <c r="BK22" s="357"/>
      <c r="BL22" s="357">
        <v>10</v>
      </c>
      <c r="BM22" s="357">
        <v>260</v>
      </c>
      <c r="BN22" s="357">
        <v>130</v>
      </c>
      <c r="BO22" s="357"/>
      <c r="BP22" s="357"/>
      <c r="BQ22" s="357"/>
      <c r="BR22" s="357"/>
      <c r="BS22" s="357"/>
      <c r="BT22" s="357"/>
      <c r="BU22" s="357"/>
      <c r="BV22" s="357"/>
      <c r="BW22" s="357"/>
      <c r="BX22" s="272">
        <f t="shared" si="1"/>
        <v>55</v>
      </c>
      <c r="BY22" s="272">
        <f t="shared" si="1"/>
        <v>800</v>
      </c>
      <c r="BZ22" s="272">
        <f t="shared" si="2"/>
        <v>670</v>
      </c>
      <c r="CA22" s="273"/>
      <c r="CB22" s="273"/>
      <c r="CC22" s="273"/>
      <c r="CD22" s="273"/>
      <c r="CE22" s="273"/>
      <c r="CF22" s="273"/>
      <c r="CG22" s="273"/>
      <c r="CH22" s="273"/>
      <c r="CI22" s="273"/>
      <c r="CJ22" s="273"/>
      <c r="CK22" s="273"/>
      <c r="CL22" s="273"/>
      <c r="CM22" s="273"/>
      <c r="CN22" s="273"/>
      <c r="CO22" s="273"/>
      <c r="CP22" s="273"/>
      <c r="CQ22" s="273"/>
      <c r="CR22" s="273"/>
      <c r="CS22" s="273"/>
      <c r="CT22" s="273"/>
      <c r="CU22" s="273"/>
      <c r="CV22" s="273"/>
      <c r="CW22" s="273"/>
      <c r="CX22" s="273"/>
      <c r="CY22" s="273"/>
      <c r="CZ22" s="273"/>
      <c r="DA22" s="273"/>
      <c r="DB22" s="273"/>
      <c r="DC22" s="273"/>
      <c r="DD22" s="273"/>
      <c r="DE22" s="273"/>
      <c r="DF22" s="271"/>
      <c r="DG22" s="271"/>
      <c r="DH22" s="272">
        <f t="shared" si="3"/>
        <v>55</v>
      </c>
      <c r="DI22" s="272">
        <f t="shared" si="3"/>
        <v>800</v>
      </c>
      <c r="DJ22" s="324">
        <f t="shared" si="3"/>
        <v>670</v>
      </c>
      <c r="DK22" s="325"/>
      <c r="DL22" s="325"/>
    </row>
    <row r="23" spans="1:116" s="275" customFormat="1" ht="20.100000000000001" customHeight="1" x14ac:dyDescent="0.6">
      <c r="A23" s="234">
        <v>20</v>
      </c>
      <c r="B23" s="103" t="s">
        <v>441</v>
      </c>
      <c r="C23" s="103" t="s">
        <v>442</v>
      </c>
      <c r="D23" s="103" t="s">
        <v>123</v>
      </c>
      <c r="E23" s="148" t="s">
        <v>438</v>
      </c>
      <c r="F23" s="179" t="s">
        <v>431</v>
      </c>
      <c r="G23" s="322"/>
      <c r="H23" s="323"/>
      <c r="I23" s="322" t="s">
        <v>965</v>
      </c>
      <c r="J23" s="322" t="s">
        <v>959</v>
      </c>
      <c r="K23" s="241"/>
      <c r="L23" s="24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>
        <v>15</v>
      </c>
      <c r="AF23" s="271">
        <v>180</v>
      </c>
      <c r="AG23" s="271">
        <v>180</v>
      </c>
      <c r="AH23" s="271"/>
      <c r="AI23" s="271"/>
      <c r="AJ23" s="271"/>
      <c r="AK23" s="271"/>
      <c r="AL23" s="271"/>
      <c r="AM23" s="271"/>
      <c r="AN23" s="271"/>
      <c r="AO23" s="271"/>
      <c r="AP23" s="271"/>
      <c r="AQ23" s="272">
        <f t="shared" si="4"/>
        <v>15</v>
      </c>
      <c r="AR23" s="272">
        <f t="shared" si="4"/>
        <v>180</v>
      </c>
      <c r="AS23" s="272">
        <f t="shared" si="4"/>
        <v>180</v>
      </c>
      <c r="AT23" s="357">
        <v>30</v>
      </c>
      <c r="AU23" s="357">
        <v>360</v>
      </c>
      <c r="AV23" s="357">
        <v>360</v>
      </c>
      <c r="AW23" s="357"/>
      <c r="AX23" s="357"/>
      <c r="AY23" s="357"/>
      <c r="AZ23" s="357">
        <v>25</v>
      </c>
      <c r="BA23" s="357">
        <v>300</v>
      </c>
      <c r="BB23" s="357">
        <v>300</v>
      </c>
      <c r="BC23" s="357"/>
      <c r="BD23" s="357"/>
      <c r="BE23" s="357"/>
      <c r="BF23" s="357"/>
      <c r="BG23" s="357"/>
      <c r="BH23" s="357"/>
      <c r="BI23" s="357"/>
      <c r="BJ23" s="357"/>
      <c r="BK23" s="357"/>
      <c r="BL23" s="357"/>
      <c r="BM23" s="357"/>
      <c r="BN23" s="357"/>
      <c r="BO23" s="357"/>
      <c r="BP23" s="357"/>
      <c r="BQ23" s="357"/>
      <c r="BR23" s="357">
        <v>15</v>
      </c>
      <c r="BS23" s="357">
        <v>180</v>
      </c>
      <c r="BT23" s="357">
        <v>180</v>
      </c>
      <c r="BU23" s="357"/>
      <c r="BV23" s="357"/>
      <c r="BW23" s="357"/>
      <c r="BX23" s="272">
        <f t="shared" si="1"/>
        <v>85</v>
      </c>
      <c r="BY23" s="272">
        <f t="shared" si="1"/>
        <v>1020</v>
      </c>
      <c r="BZ23" s="272">
        <f t="shared" si="2"/>
        <v>1020</v>
      </c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1"/>
      <c r="DG23" s="271"/>
      <c r="DH23" s="272">
        <f t="shared" si="3"/>
        <v>85</v>
      </c>
      <c r="DI23" s="272">
        <f t="shared" si="3"/>
        <v>1020</v>
      </c>
      <c r="DJ23" s="324">
        <f t="shared" si="3"/>
        <v>1020</v>
      </c>
      <c r="DK23" s="325"/>
      <c r="DL23" s="325"/>
    </row>
    <row r="24" spans="1:116" s="275" customFormat="1" ht="20.100000000000001" customHeight="1" x14ac:dyDescent="0.6">
      <c r="A24" s="234">
        <v>21</v>
      </c>
      <c r="B24" s="103" t="s">
        <v>443</v>
      </c>
      <c r="C24" s="103" t="s">
        <v>444</v>
      </c>
      <c r="D24" s="103" t="s">
        <v>123</v>
      </c>
      <c r="E24" s="148" t="s">
        <v>438</v>
      </c>
      <c r="F24" s="179" t="s">
        <v>431</v>
      </c>
      <c r="G24" s="322"/>
      <c r="H24" s="323"/>
      <c r="I24" s="322" t="s">
        <v>966</v>
      </c>
      <c r="J24" s="322" t="s">
        <v>959</v>
      </c>
      <c r="K24" s="241"/>
      <c r="L24" s="24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2">
        <f t="shared" si="4"/>
        <v>0</v>
      </c>
      <c r="AR24" s="272">
        <f t="shared" si="4"/>
        <v>0</v>
      </c>
      <c r="AS24" s="272">
        <f t="shared" si="4"/>
        <v>0</v>
      </c>
      <c r="AT24" s="357">
        <v>16</v>
      </c>
      <c r="AU24" s="357">
        <v>220</v>
      </c>
      <c r="AV24" s="357">
        <v>194</v>
      </c>
      <c r="AW24" s="357"/>
      <c r="AX24" s="357"/>
      <c r="AY24" s="357"/>
      <c r="AZ24" s="357"/>
      <c r="BA24" s="357"/>
      <c r="BB24" s="357"/>
      <c r="BC24" s="357"/>
      <c r="BD24" s="357"/>
      <c r="BE24" s="357"/>
      <c r="BF24" s="357"/>
      <c r="BG24" s="357"/>
      <c r="BH24" s="357"/>
      <c r="BI24" s="357"/>
      <c r="BJ24" s="357"/>
      <c r="BK24" s="357"/>
      <c r="BL24" s="357"/>
      <c r="BM24" s="357"/>
      <c r="BN24" s="357"/>
      <c r="BO24" s="357"/>
      <c r="BP24" s="357"/>
      <c r="BQ24" s="357"/>
      <c r="BR24" s="357">
        <v>10</v>
      </c>
      <c r="BS24" s="357">
        <v>120</v>
      </c>
      <c r="BT24" s="357">
        <v>120</v>
      </c>
      <c r="BU24" s="357"/>
      <c r="BV24" s="357"/>
      <c r="BW24" s="357"/>
      <c r="BX24" s="272">
        <f t="shared" si="1"/>
        <v>26</v>
      </c>
      <c r="BY24" s="272">
        <f t="shared" si="1"/>
        <v>340</v>
      </c>
      <c r="BZ24" s="272">
        <f t="shared" si="2"/>
        <v>314</v>
      </c>
      <c r="CA24" s="273"/>
      <c r="CB24" s="273"/>
      <c r="CC24" s="273"/>
      <c r="CD24" s="273"/>
      <c r="CE24" s="273"/>
      <c r="CF24" s="273"/>
      <c r="CG24" s="273"/>
      <c r="CH24" s="273"/>
      <c r="CI24" s="273"/>
      <c r="CJ24" s="273"/>
      <c r="CK24" s="273"/>
      <c r="CL24" s="273"/>
      <c r="CM24" s="273"/>
      <c r="CN24" s="273"/>
      <c r="CO24" s="273"/>
      <c r="CP24" s="273"/>
      <c r="CQ24" s="273"/>
      <c r="CR24" s="273"/>
      <c r="CS24" s="273"/>
      <c r="CT24" s="273"/>
      <c r="CU24" s="273"/>
      <c r="CV24" s="273"/>
      <c r="CW24" s="273"/>
      <c r="CX24" s="273"/>
      <c r="CY24" s="273"/>
      <c r="CZ24" s="273"/>
      <c r="DA24" s="273"/>
      <c r="DB24" s="273"/>
      <c r="DC24" s="273"/>
      <c r="DD24" s="273"/>
      <c r="DE24" s="273"/>
      <c r="DF24" s="271"/>
      <c r="DG24" s="271"/>
      <c r="DH24" s="272">
        <f t="shared" si="3"/>
        <v>26</v>
      </c>
      <c r="DI24" s="272">
        <f t="shared" si="3"/>
        <v>340</v>
      </c>
      <c r="DJ24" s="324">
        <f t="shared" si="3"/>
        <v>314</v>
      </c>
      <c r="DK24" s="325"/>
      <c r="DL24" s="325"/>
    </row>
    <row r="25" spans="1:116" s="275" customFormat="1" ht="20.100000000000001" customHeight="1" x14ac:dyDescent="0.6">
      <c r="A25" s="234">
        <v>22</v>
      </c>
      <c r="B25" s="103" t="s">
        <v>445</v>
      </c>
      <c r="C25" s="103" t="s">
        <v>446</v>
      </c>
      <c r="D25" s="103" t="s">
        <v>123</v>
      </c>
      <c r="E25" s="148" t="s">
        <v>438</v>
      </c>
      <c r="F25" s="179" t="s">
        <v>431</v>
      </c>
      <c r="G25" s="322"/>
      <c r="H25" s="323"/>
      <c r="I25" s="322" t="s">
        <v>967</v>
      </c>
      <c r="J25" s="322" t="s">
        <v>959</v>
      </c>
      <c r="K25" s="241"/>
      <c r="L25" s="24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>
        <v>4</v>
      </c>
      <c r="AO25" s="271">
        <v>160</v>
      </c>
      <c r="AP25" s="271">
        <v>56</v>
      </c>
      <c r="AQ25" s="272">
        <f t="shared" si="4"/>
        <v>4</v>
      </c>
      <c r="AR25" s="272">
        <f t="shared" si="4"/>
        <v>160</v>
      </c>
      <c r="AS25" s="272">
        <f t="shared" si="4"/>
        <v>56</v>
      </c>
      <c r="AT25" s="357"/>
      <c r="AU25" s="357"/>
      <c r="AV25" s="357"/>
      <c r="AW25" s="357"/>
      <c r="AX25" s="357"/>
      <c r="AY25" s="357"/>
      <c r="AZ25" s="357"/>
      <c r="BA25" s="357"/>
      <c r="BB25" s="357"/>
      <c r="BC25" s="357"/>
      <c r="BD25" s="357"/>
      <c r="BE25" s="357"/>
      <c r="BF25" s="357"/>
      <c r="BG25" s="357"/>
      <c r="BH25" s="357"/>
      <c r="BI25" s="357"/>
      <c r="BJ25" s="357"/>
      <c r="BK25" s="357"/>
      <c r="BL25" s="357"/>
      <c r="BM25" s="357"/>
      <c r="BN25" s="357"/>
      <c r="BO25" s="357"/>
      <c r="BP25" s="357"/>
      <c r="BQ25" s="357"/>
      <c r="BR25" s="357">
        <v>10</v>
      </c>
      <c r="BS25" s="357">
        <v>120</v>
      </c>
      <c r="BT25" s="357">
        <v>120</v>
      </c>
      <c r="BU25" s="357"/>
      <c r="BV25" s="357"/>
      <c r="BW25" s="357"/>
      <c r="BX25" s="272">
        <f t="shared" si="1"/>
        <v>14</v>
      </c>
      <c r="BY25" s="272">
        <f t="shared" si="1"/>
        <v>280</v>
      </c>
      <c r="BZ25" s="272">
        <f t="shared" si="2"/>
        <v>176</v>
      </c>
      <c r="CA25" s="273"/>
      <c r="CB25" s="273"/>
      <c r="CC25" s="273"/>
      <c r="CD25" s="273"/>
      <c r="CE25" s="273"/>
      <c r="CF25" s="273"/>
      <c r="CG25" s="273"/>
      <c r="CH25" s="273"/>
      <c r="CI25" s="273"/>
      <c r="CJ25" s="273"/>
      <c r="CK25" s="273"/>
      <c r="CL25" s="273"/>
      <c r="CM25" s="273"/>
      <c r="CN25" s="273"/>
      <c r="CO25" s="273"/>
      <c r="CP25" s="273"/>
      <c r="CQ25" s="273"/>
      <c r="CR25" s="273"/>
      <c r="CS25" s="273"/>
      <c r="CT25" s="273"/>
      <c r="CU25" s="273"/>
      <c r="CV25" s="273"/>
      <c r="CW25" s="273"/>
      <c r="CX25" s="273"/>
      <c r="CY25" s="273"/>
      <c r="CZ25" s="273"/>
      <c r="DA25" s="273"/>
      <c r="DB25" s="273"/>
      <c r="DC25" s="273"/>
      <c r="DD25" s="273"/>
      <c r="DE25" s="273"/>
      <c r="DF25" s="271"/>
      <c r="DG25" s="271"/>
      <c r="DH25" s="272">
        <f t="shared" si="3"/>
        <v>14</v>
      </c>
      <c r="DI25" s="272">
        <f t="shared" si="3"/>
        <v>280</v>
      </c>
      <c r="DJ25" s="324">
        <f t="shared" si="3"/>
        <v>176</v>
      </c>
      <c r="DK25" s="325"/>
      <c r="DL25" s="325"/>
    </row>
    <row r="26" spans="1:116" s="275" customFormat="1" ht="20.100000000000001" customHeight="1" x14ac:dyDescent="0.6">
      <c r="A26" s="234">
        <v>23</v>
      </c>
      <c r="B26" s="103" t="s">
        <v>447</v>
      </c>
      <c r="C26" s="103" t="s">
        <v>448</v>
      </c>
      <c r="D26" s="103" t="s">
        <v>123</v>
      </c>
      <c r="E26" s="148" t="s">
        <v>438</v>
      </c>
      <c r="F26" s="179" t="s">
        <v>431</v>
      </c>
      <c r="G26" s="322"/>
      <c r="H26" s="323"/>
      <c r="I26" s="322" t="s">
        <v>968</v>
      </c>
      <c r="J26" s="322" t="s">
        <v>959</v>
      </c>
      <c r="K26" s="241"/>
      <c r="L26" s="241"/>
      <c r="M26" s="271"/>
      <c r="N26" s="271"/>
      <c r="O26" s="271"/>
      <c r="P26" s="271"/>
      <c r="Q26" s="271"/>
      <c r="R26" s="271"/>
      <c r="S26" s="271">
        <v>17</v>
      </c>
      <c r="T26" s="271">
        <v>260</v>
      </c>
      <c r="U26" s="271">
        <v>208</v>
      </c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>
        <v>17</v>
      </c>
      <c r="AO26" s="271">
        <v>260</v>
      </c>
      <c r="AP26" s="271">
        <v>208</v>
      </c>
      <c r="AQ26" s="272">
        <f t="shared" si="4"/>
        <v>34</v>
      </c>
      <c r="AR26" s="272">
        <f t="shared" si="4"/>
        <v>520</v>
      </c>
      <c r="AS26" s="272">
        <f t="shared" si="4"/>
        <v>416</v>
      </c>
      <c r="AT26" s="357">
        <v>20</v>
      </c>
      <c r="AU26" s="357">
        <v>240</v>
      </c>
      <c r="AV26" s="357">
        <v>240</v>
      </c>
      <c r="AW26" s="357"/>
      <c r="AX26" s="357"/>
      <c r="AY26" s="357"/>
      <c r="AZ26" s="357"/>
      <c r="BA26" s="357"/>
      <c r="BB26" s="357"/>
      <c r="BC26" s="357"/>
      <c r="BD26" s="357"/>
      <c r="BE26" s="357"/>
      <c r="BF26" s="357"/>
      <c r="BG26" s="357"/>
      <c r="BH26" s="357"/>
      <c r="BI26" s="357"/>
      <c r="BJ26" s="357"/>
      <c r="BK26" s="357"/>
      <c r="BL26" s="357">
        <v>25</v>
      </c>
      <c r="BM26" s="357">
        <v>300</v>
      </c>
      <c r="BN26" s="357">
        <v>300</v>
      </c>
      <c r="BO26" s="357"/>
      <c r="BP26" s="357"/>
      <c r="BQ26" s="357"/>
      <c r="BR26" s="357"/>
      <c r="BS26" s="357"/>
      <c r="BT26" s="357"/>
      <c r="BU26" s="357"/>
      <c r="BV26" s="357"/>
      <c r="BW26" s="357"/>
      <c r="BX26" s="272">
        <f t="shared" si="1"/>
        <v>79</v>
      </c>
      <c r="BY26" s="272">
        <f t="shared" si="1"/>
        <v>1060</v>
      </c>
      <c r="BZ26" s="272">
        <f t="shared" si="2"/>
        <v>956</v>
      </c>
      <c r="CA26" s="273"/>
      <c r="CB26" s="273"/>
      <c r="CC26" s="273"/>
      <c r="CD26" s="273"/>
      <c r="CE26" s="273"/>
      <c r="CF26" s="273"/>
      <c r="CG26" s="273"/>
      <c r="CH26" s="273"/>
      <c r="CI26" s="273"/>
      <c r="CJ26" s="273"/>
      <c r="CK26" s="273"/>
      <c r="CL26" s="273"/>
      <c r="CM26" s="273"/>
      <c r="CN26" s="273"/>
      <c r="CO26" s="273"/>
      <c r="CP26" s="273"/>
      <c r="CQ26" s="273"/>
      <c r="CR26" s="273"/>
      <c r="CS26" s="273"/>
      <c r="CT26" s="273"/>
      <c r="CU26" s="273"/>
      <c r="CV26" s="273"/>
      <c r="CW26" s="273"/>
      <c r="CX26" s="273"/>
      <c r="CY26" s="273"/>
      <c r="CZ26" s="273"/>
      <c r="DA26" s="273"/>
      <c r="DB26" s="273"/>
      <c r="DC26" s="273"/>
      <c r="DD26" s="273"/>
      <c r="DE26" s="273"/>
      <c r="DF26" s="271"/>
      <c r="DG26" s="271"/>
      <c r="DH26" s="272">
        <f t="shared" si="3"/>
        <v>79</v>
      </c>
      <c r="DI26" s="272">
        <f t="shared" si="3"/>
        <v>1060</v>
      </c>
      <c r="DJ26" s="324">
        <f t="shared" si="3"/>
        <v>956</v>
      </c>
      <c r="DK26" s="325"/>
      <c r="DL26" s="325"/>
    </row>
    <row r="27" spans="1:116" s="275" customFormat="1" ht="20.100000000000001" customHeight="1" x14ac:dyDescent="0.6">
      <c r="A27" s="234">
        <v>24</v>
      </c>
      <c r="B27" s="103" t="s">
        <v>449</v>
      </c>
      <c r="C27" s="103" t="s">
        <v>450</v>
      </c>
      <c r="D27" s="103" t="s">
        <v>123</v>
      </c>
      <c r="E27" s="148" t="s">
        <v>438</v>
      </c>
      <c r="F27" s="179" t="s">
        <v>431</v>
      </c>
      <c r="G27" s="322"/>
      <c r="H27" s="323"/>
      <c r="I27" s="322" t="s">
        <v>969</v>
      </c>
      <c r="J27" s="322" t="s">
        <v>959</v>
      </c>
      <c r="K27" s="241"/>
      <c r="L27" s="24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>
        <v>13</v>
      </c>
      <c r="AO27" s="271">
        <v>240</v>
      </c>
      <c r="AP27" s="271">
        <v>162</v>
      </c>
      <c r="AQ27" s="272">
        <f t="shared" si="4"/>
        <v>13</v>
      </c>
      <c r="AR27" s="272">
        <f t="shared" si="4"/>
        <v>240</v>
      </c>
      <c r="AS27" s="272">
        <f t="shared" si="4"/>
        <v>162</v>
      </c>
      <c r="AT27" s="357"/>
      <c r="AU27" s="357"/>
      <c r="AV27" s="357"/>
      <c r="AW27" s="357"/>
      <c r="AX27" s="357"/>
      <c r="AY27" s="357"/>
      <c r="AZ27" s="357"/>
      <c r="BA27" s="357"/>
      <c r="BB27" s="357"/>
      <c r="BC27" s="357"/>
      <c r="BD27" s="357"/>
      <c r="BE27" s="357"/>
      <c r="BF27" s="357"/>
      <c r="BG27" s="357"/>
      <c r="BH27" s="357"/>
      <c r="BI27" s="357"/>
      <c r="BJ27" s="357"/>
      <c r="BK27" s="357"/>
      <c r="BL27" s="357"/>
      <c r="BM27" s="357"/>
      <c r="BN27" s="357"/>
      <c r="BO27" s="357">
        <v>5</v>
      </c>
      <c r="BP27" s="357">
        <v>70</v>
      </c>
      <c r="BQ27" s="357">
        <v>44.8</v>
      </c>
      <c r="BR27" s="357"/>
      <c r="BS27" s="357"/>
      <c r="BT27" s="357"/>
      <c r="BU27" s="357"/>
      <c r="BV27" s="357"/>
      <c r="BW27" s="357"/>
      <c r="BX27" s="272">
        <f t="shared" si="1"/>
        <v>18</v>
      </c>
      <c r="BY27" s="272">
        <f t="shared" si="1"/>
        <v>310</v>
      </c>
      <c r="BZ27" s="272">
        <f t="shared" si="2"/>
        <v>206.8</v>
      </c>
      <c r="CA27" s="273"/>
      <c r="CB27" s="273"/>
      <c r="CC27" s="273"/>
      <c r="CD27" s="273"/>
      <c r="CE27" s="273"/>
      <c r="CF27" s="273"/>
      <c r="CG27" s="273"/>
      <c r="CH27" s="273"/>
      <c r="CI27" s="273"/>
      <c r="CJ27" s="273"/>
      <c r="CK27" s="273"/>
      <c r="CL27" s="273"/>
      <c r="CM27" s="273"/>
      <c r="CN27" s="273"/>
      <c r="CO27" s="273"/>
      <c r="CP27" s="273"/>
      <c r="CQ27" s="273"/>
      <c r="CR27" s="273"/>
      <c r="CS27" s="273"/>
      <c r="CT27" s="273"/>
      <c r="CU27" s="273"/>
      <c r="CV27" s="273"/>
      <c r="CW27" s="273"/>
      <c r="CX27" s="273"/>
      <c r="CY27" s="273"/>
      <c r="CZ27" s="273"/>
      <c r="DA27" s="273"/>
      <c r="DB27" s="273"/>
      <c r="DC27" s="273"/>
      <c r="DD27" s="273"/>
      <c r="DE27" s="273"/>
      <c r="DF27" s="271"/>
      <c r="DG27" s="271"/>
      <c r="DH27" s="272">
        <f t="shared" si="3"/>
        <v>18</v>
      </c>
      <c r="DI27" s="272">
        <f t="shared" si="3"/>
        <v>310</v>
      </c>
      <c r="DJ27" s="324">
        <f t="shared" si="3"/>
        <v>206.8</v>
      </c>
      <c r="DK27" s="325"/>
      <c r="DL27" s="325"/>
    </row>
    <row r="28" spans="1:116" s="275" customFormat="1" ht="20.100000000000001" customHeight="1" x14ac:dyDescent="0.6">
      <c r="A28" s="234">
        <v>25</v>
      </c>
      <c r="B28" s="103">
        <v>494</v>
      </c>
      <c r="C28" s="103">
        <v>494</v>
      </c>
      <c r="D28" s="103" t="s">
        <v>123</v>
      </c>
      <c r="E28" s="148" t="s">
        <v>438</v>
      </c>
      <c r="F28" s="179" t="s">
        <v>431</v>
      </c>
      <c r="G28" s="322"/>
      <c r="H28" s="323"/>
      <c r="I28" s="322" t="s">
        <v>970</v>
      </c>
      <c r="J28" s="322" t="s">
        <v>959</v>
      </c>
      <c r="K28" s="241"/>
      <c r="L28" s="241"/>
      <c r="M28" s="271"/>
      <c r="N28" s="271"/>
      <c r="O28" s="271"/>
      <c r="P28" s="271"/>
      <c r="Q28" s="271"/>
      <c r="R28" s="271"/>
      <c r="S28" s="271">
        <v>3</v>
      </c>
      <c r="T28" s="271">
        <v>120</v>
      </c>
      <c r="U28" s="271">
        <v>42</v>
      </c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2">
        <f t="shared" si="4"/>
        <v>3</v>
      </c>
      <c r="AR28" s="272">
        <f t="shared" si="4"/>
        <v>120</v>
      </c>
      <c r="AS28" s="272">
        <f t="shared" si="4"/>
        <v>42</v>
      </c>
      <c r="AT28" s="357"/>
      <c r="AU28" s="357"/>
      <c r="AV28" s="357"/>
      <c r="AW28" s="357">
        <v>23</v>
      </c>
      <c r="AX28" s="357">
        <v>282</v>
      </c>
      <c r="AY28" s="357">
        <v>266.88</v>
      </c>
      <c r="AZ28" s="357"/>
      <c r="BA28" s="357"/>
      <c r="BB28" s="357"/>
      <c r="BC28" s="357"/>
      <c r="BD28" s="357"/>
      <c r="BE28" s="357"/>
      <c r="BF28" s="357"/>
      <c r="BG28" s="357"/>
      <c r="BH28" s="357"/>
      <c r="BI28" s="357"/>
      <c r="BJ28" s="357"/>
      <c r="BK28" s="357"/>
      <c r="BL28" s="357"/>
      <c r="BM28" s="357"/>
      <c r="BN28" s="357"/>
      <c r="BO28" s="357">
        <v>15</v>
      </c>
      <c r="BP28" s="357">
        <v>320</v>
      </c>
      <c r="BQ28" s="357">
        <v>190</v>
      </c>
      <c r="BR28" s="357"/>
      <c r="BS28" s="357"/>
      <c r="BT28" s="357"/>
      <c r="BU28" s="357"/>
      <c r="BV28" s="357"/>
      <c r="BW28" s="357"/>
      <c r="BX28" s="272">
        <f t="shared" si="1"/>
        <v>41</v>
      </c>
      <c r="BY28" s="272">
        <f t="shared" si="1"/>
        <v>722</v>
      </c>
      <c r="BZ28" s="272">
        <f t="shared" si="2"/>
        <v>498.88</v>
      </c>
      <c r="CA28" s="273"/>
      <c r="CB28" s="273"/>
      <c r="CC28" s="273"/>
      <c r="CD28" s="273"/>
      <c r="CE28" s="273"/>
      <c r="CF28" s="273"/>
      <c r="CG28" s="273"/>
      <c r="CH28" s="273"/>
      <c r="CI28" s="273"/>
      <c r="CJ28" s="273"/>
      <c r="CK28" s="273"/>
      <c r="CL28" s="273"/>
      <c r="CM28" s="273"/>
      <c r="CN28" s="273"/>
      <c r="CO28" s="273"/>
      <c r="CP28" s="273"/>
      <c r="CQ28" s="273"/>
      <c r="CR28" s="273"/>
      <c r="CS28" s="273"/>
      <c r="CT28" s="273"/>
      <c r="CU28" s="273"/>
      <c r="CV28" s="273"/>
      <c r="CW28" s="273"/>
      <c r="CX28" s="273"/>
      <c r="CY28" s="273"/>
      <c r="CZ28" s="273"/>
      <c r="DA28" s="273"/>
      <c r="DB28" s="273"/>
      <c r="DC28" s="273"/>
      <c r="DD28" s="273"/>
      <c r="DE28" s="273"/>
      <c r="DF28" s="271"/>
      <c r="DG28" s="271"/>
      <c r="DH28" s="272">
        <f t="shared" si="3"/>
        <v>41</v>
      </c>
      <c r="DI28" s="272">
        <f t="shared" si="3"/>
        <v>722</v>
      </c>
      <c r="DJ28" s="324">
        <f t="shared" si="3"/>
        <v>498.88</v>
      </c>
      <c r="DK28" s="325"/>
      <c r="DL28" s="325"/>
    </row>
    <row r="29" spans="1:116" s="275" customFormat="1" ht="20.100000000000001" customHeight="1" x14ac:dyDescent="0.6">
      <c r="A29" s="234">
        <v>26</v>
      </c>
      <c r="B29" s="103" t="s">
        <v>451</v>
      </c>
      <c r="C29" s="103" t="s">
        <v>451</v>
      </c>
      <c r="D29" s="103" t="s">
        <v>108</v>
      </c>
      <c r="E29" s="148" t="s">
        <v>109</v>
      </c>
      <c r="F29" s="179" t="s">
        <v>431</v>
      </c>
      <c r="G29" s="322"/>
      <c r="H29" s="323"/>
      <c r="I29" s="322" t="s">
        <v>971</v>
      </c>
      <c r="J29" s="322" t="s">
        <v>959</v>
      </c>
      <c r="K29" s="241"/>
      <c r="L29" s="24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>
        <v>110</v>
      </c>
      <c r="AF29" s="271">
        <v>1740</v>
      </c>
      <c r="AG29" s="271">
        <v>1350</v>
      </c>
      <c r="AH29" s="271"/>
      <c r="AI29" s="271"/>
      <c r="AJ29" s="271"/>
      <c r="AK29" s="271"/>
      <c r="AL29" s="271"/>
      <c r="AM29" s="271"/>
      <c r="AN29" s="271"/>
      <c r="AO29" s="271"/>
      <c r="AP29" s="271"/>
      <c r="AQ29" s="272">
        <f t="shared" si="4"/>
        <v>110</v>
      </c>
      <c r="AR29" s="272">
        <f t="shared" si="4"/>
        <v>1740</v>
      </c>
      <c r="AS29" s="272">
        <f t="shared" si="4"/>
        <v>1350</v>
      </c>
      <c r="AT29" s="356">
        <v>45</v>
      </c>
      <c r="AU29" s="356">
        <v>960</v>
      </c>
      <c r="AV29" s="356">
        <v>570</v>
      </c>
      <c r="AW29" s="356"/>
      <c r="AX29" s="356"/>
      <c r="AY29" s="356"/>
      <c r="AZ29" s="356"/>
      <c r="BA29" s="356"/>
      <c r="BB29" s="356"/>
      <c r="BC29" s="356">
        <v>15</v>
      </c>
      <c r="BD29" s="356">
        <v>180</v>
      </c>
      <c r="BE29" s="356">
        <v>180</v>
      </c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272">
        <f t="shared" si="1"/>
        <v>170</v>
      </c>
      <c r="BY29" s="272">
        <f t="shared" si="1"/>
        <v>2880</v>
      </c>
      <c r="BZ29" s="272">
        <f t="shared" si="2"/>
        <v>2100</v>
      </c>
      <c r="CA29" s="273"/>
      <c r="CB29" s="273"/>
      <c r="CC29" s="273"/>
      <c r="CD29" s="273"/>
      <c r="CE29" s="273"/>
      <c r="CF29" s="273"/>
      <c r="CG29" s="273"/>
      <c r="CH29" s="273"/>
      <c r="CI29" s="273"/>
      <c r="CJ29" s="273"/>
      <c r="CK29" s="273"/>
      <c r="CL29" s="273"/>
      <c r="CM29" s="273"/>
      <c r="CN29" s="273"/>
      <c r="CO29" s="273"/>
      <c r="CP29" s="273"/>
      <c r="CQ29" s="273"/>
      <c r="CR29" s="273"/>
      <c r="CS29" s="273"/>
      <c r="CT29" s="273"/>
      <c r="CU29" s="273"/>
      <c r="CV29" s="273"/>
      <c r="CW29" s="273"/>
      <c r="CX29" s="273"/>
      <c r="CY29" s="273"/>
      <c r="CZ29" s="273"/>
      <c r="DA29" s="273"/>
      <c r="DB29" s="273"/>
      <c r="DC29" s="273"/>
      <c r="DD29" s="273"/>
      <c r="DE29" s="273"/>
      <c r="DF29" s="271"/>
      <c r="DG29" s="271"/>
      <c r="DH29" s="272">
        <f t="shared" si="3"/>
        <v>170</v>
      </c>
      <c r="DI29" s="272">
        <f t="shared" si="3"/>
        <v>2880</v>
      </c>
      <c r="DJ29" s="324">
        <f t="shared" si="3"/>
        <v>2100</v>
      </c>
      <c r="DK29" s="325"/>
      <c r="DL29" s="325"/>
    </row>
    <row r="30" spans="1:116" s="275" customFormat="1" ht="20.100000000000001" customHeight="1" x14ac:dyDescent="0.6">
      <c r="A30" s="234">
        <v>27</v>
      </c>
      <c r="B30" s="103" t="s">
        <v>452</v>
      </c>
      <c r="C30" s="103" t="s">
        <v>452</v>
      </c>
      <c r="D30" s="103" t="s">
        <v>123</v>
      </c>
      <c r="E30" s="148" t="s">
        <v>438</v>
      </c>
      <c r="F30" s="179" t="s">
        <v>431</v>
      </c>
      <c r="G30" s="322"/>
      <c r="H30" s="323"/>
      <c r="I30" s="322" t="s">
        <v>972</v>
      </c>
      <c r="J30" s="322" t="s">
        <v>959</v>
      </c>
      <c r="K30" s="241"/>
      <c r="L30" s="24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>
        <v>41</v>
      </c>
      <c r="AC30" s="271">
        <v>820</v>
      </c>
      <c r="AD30" s="271">
        <v>459.6</v>
      </c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2">
        <f t="shared" si="4"/>
        <v>41</v>
      </c>
      <c r="AR30" s="272">
        <f t="shared" si="4"/>
        <v>820</v>
      </c>
      <c r="AS30" s="272">
        <f t="shared" si="4"/>
        <v>459.6</v>
      </c>
      <c r="AT30" s="357"/>
      <c r="AU30" s="357"/>
      <c r="AV30" s="357"/>
      <c r="AW30" s="357">
        <v>20</v>
      </c>
      <c r="AX30" s="357">
        <v>296</v>
      </c>
      <c r="AY30" s="357">
        <v>244</v>
      </c>
      <c r="AZ30" s="357"/>
      <c r="BA30" s="357"/>
      <c r="BB30" s="357"/>
      <c r="BC30" s="357"/>
      <c r="BD30" s="357"/>
      <c r="BE30" s="357"/>
      <c r="BF30" s="357"/>
      <c r="BG30" s="357"/>
      <c r="BH30" s="357"/>
      <c r="BI30" s="357"/>
      <c r="BJ30" s="357"/>
      <c r="BK30" s="357"/>
      <c r="BL30" s="357"/>
      <c r="BM30" s="357"/>
      <c r="BN30" s="357"/>
      <c r="BO30" s="357"/>
      <c r="BP30" s="357"/>
      <c r="BQ30" s="357"/>
      <c r="BR30" s="357"/>
      <c r="BS30" s="357"/>
      <c r="BT30" s="357"/>
      <c r="BU30" s="357"/>
      <c r="BV30" s="357"/>
      <c r="BW30" s="357"/>
      <c r="BX30" s="272">
        <f t="shared" si="1"/>
        <v>61</v>
      </c>
      <c r="BY30" s="272">
        <f t="shared" si="1"/>
        <v>1116</v>
      </c>
      <c r="BZ30" s="272">
        <f t="shared" si="2"/>
        <v>703.6</v>
      </c>
      <c r="CA30" s="273"/>
      <c r="CB30" s="273"/>
      <c r="CC30" s="273"/>
      <c r="CD30" s="273"/>
      <c r="CE30" s="273"/>
      <c r="CF30" s="273"/>
      <c r="CG30" s="273"/>
      <c r="CH30" s="273"/>
      <c r="CI30" s="273"/>
      <c r="CJ30" s="273"/>
      <c r="CK30" s="273"/>
      <c r="CL30" s="273"/>
      <c r="CM30" s="273"/>
      <c r="CN30" s="273"/>
      <c r="CO30" s="273"/>
      <c r="CP30" s="273"/>
      <c r="CQ30" s="273"/>
      <c r="CR30" s="273"/>
      <c r="CS30" s="273"/>
      <c r="CT30" s="273"/>
      <c r="CU30" s="273"/>
      <c r="CV30" s="273"/>
      <c r="CW30" s="273"/>
      <c r="CX30" s="273"/>
      <c r="CY30" s="273"/>
      <c r="CZ30" s="273"/>
      <c r="DA30" s="273"/>
      <c r="DB30" s="273"/>
      <c r="DC30" s="273"/>
      <c r="DD30" s="273"/>
      <c r="DE30" s="273"/>
      <c r="DF30" s="271"/>
      <c r="DG30" s="271"/>
      <c r="DH30" s="272">
        <f t="shared" si="3"/>
        <v>61</v>
      </c>
      <c r="DI30" s="272">
        <f t="shared" si="3"/>
        <v>1116</v>
      </c>
      <c r="DJ30" s="324">
        <f t="shared" si="3"/>
        <v>703.6</v>
      </c>
      <c r="DK30" s="325"/>
      <c r="DL30" s="325"/>
    </row>
    <row r="31" spans="1:116" s="275" customFormat="1" ht="20.100000000000001" customHeight="1" x14ac:dyDescent="0.6">
      <c r="A31" s="234">
        <v>28</v>
      </c>
      <c r="B31" s="103" t="s">
        <v>453</v>
      </c>
      <c r="C31" s="103" t="s">
        <v>454</v>
      </c>
      <c r="D31" s="103" t="s">
        <v>430</v>
      </c>
      <c r="E31" s="148" t="s">
        <v>120</v>
      </c>
      <c r="F31" s="179" t="s">
        <v>431</v>
      </c>
      <c r="G31" s="322"/>
      <c r="H31" s="323"/>
      <c r="I31" s="322"/>
      <c r="J31" s="322" t="s">
        <v>959</v>
      </c>
      <c r="K31" s="241"/>
      <c r="L31" s="24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>
        <v>20</v>
      </c>
      <c r="Z31" s="271">
        <v>280</v>
      </c>
      <c r="AA31" s="271">
        <v>179.2</v>
      </c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2">
        <f t="shared" si="4"/>
        <v>20</v>
      </c>
      <c r="AR31" s="272">
        <f t="shared" si="4"/>
        <v>280</v>
      </c>
      <c r="AS31" s="272">
        <f t="shared" si="4"/>
        <v>179.2</v>
      </c>
      <c r="AT31" s="356"/>
      <c r="AU31" s="356"/>
      <c r="AV31" s="356"/>
      <c r="AW31" s="356"/>
      <c r="AX31" s="356"/>
      <c r="AY31" s="356"/>
      <c r="AZ31" s="356"/>
      <c r="BA31" s="356"/>
      <c r="BB31" s="356"/>
      <c r="BC31" s="356"/>
      <c r="BD31" s="356"/>
      <c r="BE31" s="356"/>
      <c r="BF31" s="356"/>
      <c r="BG31" s="356"/>
      <c r="BH31" s="356"/>
      <c r="BI31" s="356"/>
      <c r="BJ31" s="356"/>
      <c r="BK31" s="356"/>
      <c r="BL31" s="356">
        <v>80</v>
      </c>
      <c r="BM31" s="356">
        <v>1060</v>
      </c>
      <c r="BN31" s="356">
        <v>808</v>
      </c>
      <c r="BO31" s="356"/>
      <c r="BP31" s="356"/>
      <c r="BQ31" s="356"/>
      <c r="BR31" s="356"/>
      <c r="BS31" s="356"/>
      <c r="BT31" s="356"/>
      <c r="BU31" s="356"/>
      <c r="BV31" s="356"/>
      <c r="BW31" s="356"/>
      <c r="BX31" s="272">
        <f t="shared" si="1"/>
        <v>100</v>
      </c>
      <c r="BY31" s="272">
        <f t="shared" si="1"/>
        <v>1340</v>
      </c>
      <c r="BZ31" s="272">
        <f t="shared" si="2"/>
        <v>987.2</v>
      </c>
      <c r="CA31" s="273"/>
      <c r="CB31" s="273"/>
      <c r="CC31" s="273"/>
      <c r="CD31" s="273"/>
      <c r="CE31" s="273"/>
      <c r="CF31" s="273"/>
      <c r="CG31" s="273"/>
      <c r="CH31" s="273"/>
      <c r="CI31" s="273"/>
      <c r="CJ31" s="273"/>
      <c r="CK31" s="273"/>
      <c r="CL31" s="273"/>
      <c r="CM31" s="273"/>
      <c r="CN31" s="273"/>
      <c r="CO31" s="273"/>
      <c r="CP31" s="273"/>
      <c r="CQ31" s="273"/>
      <c r="CR31" s="273"/>
      <c r="CS31" s="273"/>
      <c r="CT31" s="273"/>
      <c r="CU31" s="273"/>
      <c r="CV31" s="273"/>
      <c r="CW31" s="273"/>
      <c r="CX31" s="273"/>
      <c r="CY31" s="273"/>
      <c r="CZ31" s="273"/>
      <c r="DA31" s="273"/>
      <c r="DB31" s="273"/>
      <c r="DC31" s="273"/>
      <c r="DD31" s="273"/>
      <c r="DE31" s="273"/>
      <c r="DF31" s="271"/>
      <c r="DG31" s="271"/>
      <c r="DH31" s="272">
        <f t="shared" si="3"/>
        <v>100</v>
      </c>
      <c r="DI31" s="272">
        <f t="shared" si="3"/>
        <v>1340</v>
      </c>
      <c r="DJ31" s="324">
        <f t="shared" si="3"/>
        <v>987.2</v>
      </c>
      <c r="DK31" s="325"/>
      <c r="DL31" s="325"/>
    </row>
    <row r="32" spans="1:116" s="275" customFormat="1" ht="20.100000000000001" customHeight="1" x14ac:dyDescent="0.6">
      <c r="A32" s="234">
        <v>29</v>
      </c>
      <c r="B32" s="103" t="s">
        <v>455</v>
      </c>
      <c r="C32" s="103" t="s">
        <v>456</v>
      </c>
      <c r="D32" s="103" t="s">
        <v>430</v>
      </c>
      <c r="E32" s="148" t="s">
        <v>120</v>
      </c>
      <c r="F32" s="179" t="s">
        <v>431</v>
      </c>
      <c r="G32" s="322"/>
      <c r="H32" s="323"/>
      <c r="I32" s="322" t="s">
        <v>973</v>
      </c>
      <c r="J32" s="322" t="s">
        <v>974</v>
      </c>
      <c r="K32" s="241"/>
      <c r="L32" s="24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2">
        <f t="shared" si="4"/>
        <v>0</v>
      </c>
      <c r="AR32" s="272">
        <f t="shared" si="4"/>
        <v>0</v>
      </c>
      <c r="AS32" s="272">
        <f t="shared" si="4"/>
        <v>0</v>
      </c>
      <c r="AT32" s="356"/>
      <c r="AU32" s="356"/>
      <c r="AV32" s="356"/>
      <c r="AW32" s="356"/>
      <c r="AX32" s="356"/>
      <c r="AY32" s="356"/>
      <c r="AZ32" s="356"/>
      <c r="BA32" s="356"/>
      <c r="BB32" s="356"/>
      <c r="BC32" s="356"/>
      <c r="BD32" s="356"/>
      <c r="BE32" s="356"/>
      <c r="BF32" s="356"/>
      <c r="BG32" s="356"/>
      <c r="BH32" s="356"/>
      <c r="BI32" s="356"/>
      <c r="BJ32" s="356"/>
      <c r="BK32" s="356"/>
      <c r="BL32" s="356"/>
      <c r="BM32" s="356"/>
      <c r="BN32" s="356"/>
      <c r="BO32" s="356"/>
      <c r="BP32" s="356"/>
      <c r="BQ32" s="356"/>
      <c r="BR32" s="356"/>
      <c r="BS32" s="356"/>
      <c r="BT32" s="356"/>
      <c r="BU32" s="356"/>
      <c r="BV32" s="356"/>
      <c r="BW32" s="356"/>
      <c r="BX32" s="272">
        <f t="shared" si="1"/>
        <v>0</v>
      </c>
      <c r="BY32" s="272">
        <f t="shared" si="1"/>
        <v>0</v>
      </c>
      <c r="BZ32" s="272">
        <f t="shared" si="2"/>
        <v>0</v>
      </c>
      <c r="CA32" s="273"/>
      <c r="CB32" s="273"/>
      <c r="CC32" s="273"/>
      <c r="CD32" s="273"/>
      <c r="CE32" s="273"/>
      <c r="CF32" s="273"/>
      <c r="CG32" s="273"/>
      <c r="CH32" s="273"/>
      <c r="CI32" s="273"/>
      <c r="CJ32" s="273"/>
      <c r="CK32" s="273"/>
      <c r="CL32" s="273"/>
      <c r="CM32" s="273"/>
      <c r="CN32" s="273"/>
      <c r="CO32" s="273"/>
      <c r="CP32" s="273"/>
      <c r="CQ32" s="273"/>
      <c r="CR32" s="273"/>
      <c r="CS32" s="273"/>
      <c r="CT32" s="273"/>
      <c r="CU32" s="273"/>
      <c r="CV32" s="273"/>
      <c r="CW32" s="273"/>
      <c r="CX32" s="273"/>
      <c r="CY32" s="273"/>
      <c r="CZ32" s="273"/>
      <c r="DA32" s="273"/>
      <c r="DB32" s="273"/>
      <c r="DC32" s="273"/>
      <c r="DD32" s="273"/>
      <c r="DE32" s="273"/>
      <c r="DF32" s="271"/>
      <c r="DG32" s="271"/>
      <c r="DH32" s="272">
        <f t="shared" si="3"/>
        <v>0</v>
      </c>
      <c r="DI32" s="272">
        <f t="shared" si="3"/>
        <v>0</v>
      </c>
      <c r="DJ32" s="324">
        <f t="shared" si="3"/>
        <v>0</v>
      </c>
      <c r="DK32" s="325"/>
      <c r="DL32" s="325"/>
    </row>
    <row r="33" spans="1:116" s="275" customFormat="1" ht="20.100000000000001" customHeight="1" x14ac:dyDescent="0.6">
      <c r="A33" s="234">
        <v>30</v>
      </c>
      <c r="B33" s="103" t="s">
        <v>457</v>
      </c>
      <c r="C33" s="103" t="s">
        <v>458</v>
      </c>
      <c r="D33" s="103" t="s">
        <v>123</v>
      </c>
      <c r="E33" s="148" t="s">
        <v>438</v>
      </c>
      <c r="F33" s="179" t="s">
        <v>431</v>
      </c>
      <c r="G33" s="322"/>
      <c r="H33" s="323"/>
      <c r="I33" s="322" t="s">
        <v>975</v>
      </c>
      <c r="J33" s="322" t="s">
        <v>974</v>
      </c>
      <c r="K33" s="241"/>
      <c r="L33" s="241"/>
      <c r="M33" s="271"/>
      <c r="N33" s="271"/>
      <c r="O33" s="271"/>
      <c r="P33" s="271"/>
      <c r="Q33" s="271"/>
      <c r="R33" s="271"/>
      <c r="S33" s="271">
        <v>50</v>
      </c>
      <c r="T33" s="271">
        <v>700</v>
      </c>
      <c r="U33" s="271">
        <v>448</v>
      </c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2">
        <f t="shared" si="4"/>
        <v>50</v>
      </c>
      <c r="AR33" s="272">
        <f t="shared" si="4"/>
        <v>700</v>
      </c>
      <c r="AS33" s="272">
        <f t="shared" si="4"/>
        <v>448</v>
      </c>
      <c r="AT33" s="356"/>
      <c r="AU33" s="356"/>
      <c r="AV33" s="356"/>
      <c r="AW33" s="356"/>
      <c r="AX33" s="356"/>
      <c r="AY33" s="356"/>
      <c r="AZ33" s="356"/>
      <c r="BA33" s="356"/>
      <c r="BB33" s="356"/>
      <c r="BC33" s="356"/>
      <c r="BD33" s="356"/>
      <c r="BE33" s="356"/>
      <c r="BF33" s="356"/>
      <c r="BG33" s="356"/>
      <c r="BH33" s="356"/>
      <c r="BI33" s="356"/>
      <c r="BJ33" s="356"/>
      <c r="BK33" s="356"/>
      <c r="BL33" s="356"/>
      <c r="BM33" s="356"/>
      <c r="BN33" s="356"/>
      <c r="BO33" s="356"/>
      <c r="BP33" s="356"/>
      <c r="BQ33" s="356"/>
      <c r="BR33" s="356">
        <v>100</v>
      </c>
      <c r="BS33" s="356">
        <v>1400</v>
      </c>
      <c r="BT33" s="356">
        <v>896</v>
      </c>
      <c r="BU33" s="356"/>
      <c r="BV33" s="356"/>
      <c r="BW33" s="356"/>
      <c r="BX33" s="272">
        <f t="shared" si="1"/>
        <v>150</v>
      </c>
      <c r="BY33" s="272">
        <f t="shared" si="1"/>
        <v>2100</v>
      </c>
      <c r="BZ33" s="272">
        <f t="shared" si="2"/>
        <v>1344</v>
      </c>
      <c r="CA33" s="273"/>
      <c r="CB33" s="273"/>
      <c r="CC33" s="273"/>
      <c r="CD33" s="273"/>
      <c r="CE33" s="273"/>
      <c r="CF33" s="273"/>
      <c r="CG33" s="273"/>
      <c r="CH33" s="273"/>
      <c r="CI33" s="273"/>
      <c r="CJ33" s="273"/>
      <c r="CK33" s="273"/>
      <c r="CL33" s="273"/>
      <c r="CM33" s="273"/>
      <c r="CN33" s="273"/>
      <c r="CO33" s="273"/>
      <c r="CP33" s="273"/>
      <c r="CQ33" s="273"/>
      <c r="CR33" s="273"/>
      <c r="CS33" s="273"/>
      <c r="CT33" s="273"/>
      <c r="CU33" s="273"/>
      <c r="CV33" s="273"/>
      <c r="CW33" s="273"/>
      <c r="CX33" s="273"/>
      <c r="CY33" s="273"/>
      <c r="CZ33" s="273"/>
      <c r="DA33" s="273"/>
      <c r="DB33" s="273"/>
      <c r="DC33" s="273"/>
      <c r="DD33" s="273"/>
      <c r="DE33" s="273"/>
      <c r="DF33" s="271"/>
      <c r="DG33" s="271"/>
      <c r="DH33" s="272">
        <f t="shared" si="3"/>
        <v>150</v>
      </c>
      <c r="DI33" s="272">
        <f t="shared" si="3"/>
        <v>2100</v>
      </c>
      <c r="DJ33" s="324">
        <f t="shared" si="3"/>
        <v>1344</v>
      </c>
      <c r="DK33" s="325"/>
      <c r="DL33" s="325"/>
    </row>
    <row r="34" spans="1:116" s="275" customFormat="1" ht="20.100000000000001" customHeight="1" x14ac:dyDescent="0.6">
      <c r="A34" s="234">
        <v>31</v>
      </c>
      <c r="B34" s="103" t="s">
        <v>459</v>
      </c>
      <c r="C34" s="103" t="s">
        <v>73</v>
      </c>
      <c r="D34" s="103" t="s">
        <v>430</v>
      </c>
      <c r="E34" s="148" t="s">
        <v>120</v>
      </c>
      <c r="F34" s="179" t="s">
        <v>431</v>
      </c>
      <c r="G34" s="322"/>
      <c r="H34" s="323"/>
      <c r="I34" s="322" t="s">
        <v>976</v>
      </c>
      <c r="J34" s="322" t="s">
        <v>974</v>
      </c>
      <c r="K34" s="241"/>
      <c r="L34" s="24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>
        <v>67</v>
      </c>
      <c r="Z34" s="271">
        <v>1134</v>
      </c>
      <c r="AA34" s="271">
        <v>690.4</v>
      </c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2">
        <f t="shared" si="4"/>
        <v>67</v>
      </c>
      <c r="AR34" s="272">
        <f t="shared" si="4"/>
        <v>1134</v>
      </c>
      <c r="AS34" s="272">
        <f t="shared" si="4"/>
        <v>690.4</v>
      </c>
      <c r="AT34" s="356"/>
      <c r="AU34" s="356"/>
      <c r="AV34" s="356"/>
      <c r="AW34" s="356"/>
      <c r="AX34" s="356"/>
      <c r="AY34" s="356"/>
      <c r="AZ34" s="356"/>
      <c r="BA34" s="356"/>
      <c r="BB34" s="356"/>
      <c r="BC34" s="356"/>
      <c r="BD34" s="356"/>
      <c r="BE34" s="356"/>
      <c r="BF34" s="356"/>
      <c r="BG34" s="356"/>
      <c r="BH34" s="356"/>
      <c r="BI34" s="356"/>
      <c r="BJ34" s="356"/>
      <c r="BK34" s="356"/>
      <c r="BL34" s="356"/>
      <c r="BM34" s="356"/>
      <c r="BN34" s="356"/>
      <c r="BO34" s="356">
        <v>10</v>
      </c>
      <c r="BP34" s="356">
        <v>140</v>
      </c>
      <c r="BQ34" s="356">
        <v>89.6</v>
      </c>
      <c r="BR34" s="356"/>
      <c r="BS34" s="356"/>
      <c r="BT34" s="356"/>
      <c r="BU34" s="356"/>
      <c r="BV34" s="356"/>
      <c r="BW34" s="356"/>
      <c r="BX34" s="272">
        <f t="shared" si="1"/>
        <v>77</v>
      </c>
      <c r="BY34" s="272">
        <f t="shared" si="1"/>
        <v>1274</v>
      </c>
      <c r="BZ34" s="272">
        <f t="shared" si="2"/>
        <v>780</v>
      </c>
      <c r="CA34" s="273"/>
      <c r="CB34" s="273"/>
      <c r="CC34" s="273"/>
      <c r="CD34" s="273"/>
      <c r="CE34" s="273"/>
      <c r="CF34" s="273"/>
      <c r="CG34" s="273"/>
      <c r="CH34" s="273"/>
      <c r="CI34" s="273"/>
      <c r="CJ34" s="273"/>
      <c r="CK34" s="273"/>
      <c r="CL34" s="273"/>
      <c r="CM34" s="273"/>
      <c r="CN34" s="273"/>
      <c r="CO34" s="273"/>
      <c r="CP34" s="273"/>
      <c r="CQ34" s="273"/>
      <c r="CR34" s="273"/>
      <c r="CS34" s="273"/>
      <c r="CT34" s="273"/>
      <c r="CU34" s="273"/>
      <c r="CV34" s="273"/>
      <c r="CW34" s="273"/>
      <c r="CX34" s="273"/>
      <c r="CY34" s="273"/>
      <c r="CZ34" s="273"/>
      <c r="DA34" s="273"/>
      <c r="DB34" s="273"/>
      <c r="DC34" s="273"/>
      <c r="DD34" s="273"/>
      <c r="DE34" s="273"/>
      <c r="DF34" s="271"/>
      <c r="DG34" s="271"/>
      <c r="DH34" s="272">
        <f t="shared" si="3"/>
        <v>77</v>
      </c>
      <c r="DI34" s="272">
        <f t="shared" si="3"/>
        <v>1274</v>
      </c>
      <c r="DJ34" s="324">
        <f t="shared" si="3"/>
        <v>780</v>
      </c>
      <c r="DK34" s="325"/>
      <c r="DL34" s="325"/>
    </row>
    <row r="35" spans="1:116" s="275" customFormat="1" ht="20.100000000000001" customHeight="1" x14ac:dyDescent="0.6">
      <c r="A35" s="234">
        <v>32</v>
      </c>
      <c r="B35" s="103" t="s">
        <v>460</v>
      </c>
      <c r="C35" s="103" t="s">
        <v>461</v>
      </c>
      <c r="D35" s="103" t="s">
        <v>304</v>
      </c>
      <c r="E35" s="148" t="s">
        <v>305</v>
      </c>
      <c r="F35" s="179" t="s">
        <v>462</v>
      </c>
      <c r="G35" s="322"/>
      <c r="H35" s="323"/>
      <c r="I35" s="322" t="s">
        <v>977</v>
      </c>
      <c r="J35" s="322" t="s">
        <v>974</v>
      </c>
      <c r="K35" s="241"/>
      <c r="L35" s="241"/>
      <c r="M35" s="271"/>
      <c r="N35" s="271"/>
      <c r="O35" s="271"/>
      <c r="P35" s="271"/>
      <c r="Q35" s="271"/>
      <c r="R35" s="271"/>
      <c r="S35" s="271"/>
      <c r="T35" s="271"/>
      <c r="U35" s="271"/>
      <c r="V35" s="271">
        <v>21</v>
      </c>
      <c r="W35" s="271">
        <v>420</v>
      </c>
      <c r="X35" s="271">
        <v>264</v>
      </c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>
        <v>25</v>
      </c>
      <c r="AL35" s="271">
        <v>300</v>
      </c>
      <c r="AM35" s="271">
        <v>300</v>
      </c>
      <c r="AN35" s="271"/>
      <c r="AO35" s="271"/>
      <c r="AP35" s="271"/>
      <c r="AQ35" s="272">
        <f t="shared" si="4"/>
        <v>46</v>
      </c>
      <c r="AR35" s="272">
        <f t="shared" si="4"/>
        <v>720</v>
      </c>
      <c r="AS35" s="272">
        <f t="shared" si="4"/>
        <v>564</v>
      </c>
      <c r="AT35" s="357"/>
      <c r="AU35" s="357"/>
      <c r="AV35" s="357"/>
      <c r="AW35" s="357"/>
      <c r="AX35" s="357"/>
      <c r="AY35" s="357"/>
      <c r="AZ35" s="357"/>
      <c r="BA35" s="357"/>
      <c r="BB35" s="357"/>
      <c r="BC35" s="357"/>
      <c r="BD35" s="357"/>
      <c r="BE35" s="357"/>
      <c r="BF35" s="357"/>
      <c r="BG35" s="357"/>
      <c r="BH35" s="357"/>
      <c r="BI35" s="357"/>
      <c r="BJ35" s="357"/>
      <c r="BK35" s="357"/>
      <c r="BL35" s="357">
        <v>15</v>
      </c>
      <c r="BM35" s="357">
        <v>180</v>
      </c>
      <c r="BN35" s="357">
        <v>180</v>
      </c>
      <c r="BO35" s="357"/>
      <c r="BP35" s="357"/>
      <c r="BQ35" s="357"/>
      <c r="BR35" s="357"/>
      <c r="BS35" s="357"/>
      <c r="BT35" s="357"/>
      <c r="BU35" s="357"/>
      <c r="BV35" s="357"/>
      <c r="BW35" s="357"/>
      <c r="BX35" s="272">
        <f t="shared" si="1"/>
        <v>61</v>
      </c>
      <c r="BY35" s="272">
        <f t="shared" si="1"/>
        <v>900</v>
      </c>
      <c r="BZ35" s="272">
        <f t="shared" si="2"/>
        <v>744</v>
      </c>
      <c r="CA35" s="273"/>
      <c r="CB35" s="273"/>
      <c r="CC35" s="273"/>
      <c r="CD35" s="273"/>
      <c r="CE35" s="273"/>
      <c r="CF35" s="273"/>
      <c r="CG35" s="273"/>
      <c r="CH35" s="273"/>
      <c r="CI35" s="273"/>
      <c r="CJ35" s="273"/>
      <c r="CK35" s="273"/>
      <c r="CL35" s="273"/>
      <c r="CM35" s="273"/>
      <c r="CN35" s="273"/>
      <c r="CO35" s="273"/>
      <c r="CP35" s="273"/>
      <c r="CQ35" s="273"/>
      <c r="CR35" s="273"/>
      <c r="CS35" s="273"/>
      <c r="CT35" s="273"/>
      <c r="CU35" s="273"/>
      <c r="CV35" s="273"/>
      <c r="CW35" s="273"/>
      <c r="CX35" s="273"/>
      <c r="CY35" s="273"/>
      <c r="CZ35" s="273"/>
      <c r="DA35" s="273"/>
      <c r="DB35" s="273"/>
      <c r="DC35" s="273"/>
      <c r="DD35" s="273"/>
      <c r="DE35" s="273"/>
      <c r="DF35" s="271"/>
      <c r="DG35" s="271"/>
      <c r="DH35" s="272">
        <f t="shared" si="3"/>
        <v>61</v>
      </c>
      <c r="DI35" s="272">
        <f t="shared" si="3"/>
        <v>900</v>
      </c>
      <c r="DJ35" s="324">
        <f t="shared" si="3"/>
        <v>744</v>
      </c>
      <c r="DK35" s="325"/>
      <c r="DL35" s="325"/>
    </row>
    <row r="36" spans="1:116" s="275" customFormat="1" ht="20.100000000000001" customHeight="1" x14ac:dyDescent="0.6">
      <c r="A36" s="234">
        <v>33</v>
      </c>
      <c r="B36" s="103" t="s">
        <v>463</v>
      </c>
      <c r="C36" s="103" t="s">
        <v>464</v>
      </c>
      <c r="D36" s="103" t="s">
        <v>304</v>
      </c>
      <c r="E36" s="148" t="s">
        <v>305</v>
      </c>
      <c r="F36" s="179" t="s">
        <v>462</v>
      </c>
      <c r="G36" s="322"/>
      <c r="H36" s="323"/>
      <c r="I36" s="322" t="s">
        <v>978</v>
      </c>
      <c r="J36" s="322" t="s">
        <v>974</v>
      </c>
      <c r="K36" s="241"/>
      <c r="L36" s="241"/>
      <c r="M36" s="271"/>
      <c r="N36" s="271"/>
      <c r="O36" s="271"/>
      <c r="P36" s="271"/>
      <c r="Q36" s="271"/>
      <c r="R36" s="271"/>
      <c r="S36" s="271"/>
      <c r="T36" s="271"/>
      <c r="U36" s="271"/>
      <c r="V36" s="271">
        <v>44</v>
      </c>
      <c r="W36" s="271">
        <v>724</v>
      </c>
      <c r="X36" s="271">
        <v>542</v>
      </c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2">
        <f t="shared" si="4"/>
        <v>44</v>
      </c>
      <c r="AR36" s="272">
        <f t="shared" si="4"/>
        <v>724</v>
      </c>
      <c r="AS36" s="272">
        <f t="shared" si="4"/>
        <v>542</v>
      </c>
      <c r="AT36" s="357"/>
      <c r="AU36" s="357"/>
      <c r="AV36" s="357"/>
      <c r="AW36" s="357"/>
      <c r="AX36" s="357"/>
      <c r="AY36" s="357"/>
      <c r="AZ36" s="357"/>
      <c r="BA36" s="357"/>
      <c r="BB36" s="357"/>
      <c r="BC36" s="357"/>
      <c r="BD36" s="357"/>
      <c r="BE36" s="357"/>
      <c r="BF36" s="357"/>
      <c r="BG36" s="357"/>
      <c r="BH36" s="357"/>
      <c r="BI36" s="357"/>
      <c r="BJ36" s="357"/>
      <c r="BK36" s="357"/>
      <c r="BL36" s="357"/>
      <c r="BM36" s="357"/>
      <c r="BN36" s="357"/>
      <c r="BO36" s="357"/>
      <c r="BP36" s="357"/>
      <c r="BQ36" s="357"/>
      <c r="BR36" s="357"/>
      <c r="BS36" s="357"/>
      <c r="BT36" s="357"/>
      <c r="BU36" s="357"/>
      <c r="BV36" s="357"/>
      <c r="BW36" s="357"/>
      <c r="BX36" s="272">
        <f t="shared" si="1"/>
        <v>44</v>
      </c>
      <c r="BY36" s="272">
        <f t="shared" si="1"/>
        <v>724</v>
      </c>
      <c r="BZ36" s="272">
        <f t="shared" si="2"/>
        <v>542</v>
      </c>
      <c r="CA36" s="273"/>
      <c r="CB36" s="273"/>
      <c r="CC36" s="273"/>
      <c r="CD36" s="273"/>
      <c r="CE36" s="273"/>
      <c r="CF36" s="273"/>
      <c r="CG36" s="273"/>
      <c r="CH36" s="273"/>
      <c r="CI36" s="273"/>
      <c r="CJ36" s="273"/>
      <c r="CK36" s="273"/>
      <c r="CL36" s="273"/>
      <c r="CM36" s="273"/>
      <c r="CN36" s="273"/>
      <c r="CO36" s="273"/>
      <c r="CP36" s="273"/>
      <c r="CQ36" s="273"/>
      <c r="CR36" s="273"/>
      <c r="CS36" s="273"/>
      <c r="CT36" s="273"/>
      <c r="CU36" s="273"/>
      <c r="CV36" s="273"/>
      <c r="CW36" s="273"/>
      <c r="CX36" s="273"/>
      <c r="CY36" s="273"/>
      <c r="CZ36" s="273"/>
      <c r="DA36" s="273"/>
      <c r="DB36" s="273"/>
      <c r="DC36" s="273"/>
      <c r="DD36" s="273"/>
      <c r="DE36" s="273"/>
      <c r="DF36" s="271"/>
      <c r="DG36" s="271"/>
      <c r="DH36" s="272">
        <f t="shared" si="3"/>
        <v>44</v>
      </c>
      <c r="DI36" s="272">
        <f t="shared" si="3"/>
        <v>724</v>
      </c>
      <c r="DJ36" s="324">
        <f t="shared" si="3"/>
        <v>542</v>
      </c>
      <c r="DK36" s="325"/>
      <c r="DL36" s="325"/>
    </row>
    <row r="37" spans="1:116" s="275" customFormat="1" ht="20.100000000000001" customHeight="1" x14ac:dyDescent="0.6">
      <c r="A37" s="234">
        <v>34</v>
      </c>
      <c r="B37" s="103" t="s">
        <v>465</v>
      </c>
      <c r="C37" s="103" t="s">
        <v>465</v>
      </c>
      <c r="D37" s="103" t="s">
        <v>304</v>
      </c>
      <c r="E37" s="148" t="s">
        <v>305</v>
      </c>
      <c r="F37" s="179" t="s">
        <v>462</v>
      </c>
      <c r="G37" s="322"/>
      <c r="H37" s="323"/>
      <c r="I37" s="322" t="s">
        <v>956</v>
      </c>
      <c r="J37" s="322" t="s">
        <v>974</v>
      </c>
      <c r="K37" s="241"/>
      <c r="L37" s="24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2">
        <f t="shared" si="4"/>
        <v>0</v>
      </c>
      <c r="AR37" s="272">
        <f t="shared" si="4"/>
        <v>0</v>
      </c>
      <c r="AS37" s="272">
        <f t="shared" si="4"/>
        <v>0</v>
      </c>
      <c r="AT37" s="357"/>
      <c r="AU37" s="357"/>
      <c r="AV37" s="357"/>
      <c r="AW37" s="357"/>
      <c r="AX37" s="357"/>
      <c r="AY37" s="357"/>
      <c r="AZ37" s="357"/>
      <c r="BA37" s="357"/>
      <c r="BB37" s="357"/>
      <c r="BC37" s="357"/>
      <c r="BD37" s="357"/>
      <c r="BE37" s="357"/>
      <c r="BF37" s="357"/>
      <c r="BG37" s="357"/>
      <c r="BH37" s="357"/>
      <c r="BI37" s="357"/>
      <c r="BJ37" s="357"/>
      <c r="BK37" s="357"/>
      <c r="BL37" s="357">
        <v>15</v>
      </c>
      <c r="BM37" s="357">
        <v>180</v>
      </c>
      <c r="BN37" s="357">
        <v>180</v>
      </c>
      <c r="BO37" s="357"/>
      <c r="BP37" s="357"/>
      <c r="BQ37" s="357"/>
      <c r="BR37" s="357"/>
      <c r="BS37" s="357"/>
      <c r="BT37" s="357"/>
      <c r="BU37" s="357"/>
      <c r="BV37" s="357"/>
      <c r="BW37" s="357"/>
      <c r="BX37" s="272">
        <f t="shared" si="1"/>
        <v>15</v>
      </c>
      <c r="BY37" s="272">
        <f t="shared" si="1"/>
        <v>180</v>
      </c>
      <c r="BZ37" s="272">
        <f t="shared" si="2"/>
        <v>180</v>
      </c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/>
      <c r="CN37" s="273"/>
      <c r="CO37" s="273"/>
      <c r="CP37" s="273"/>
      <c r="CQ37" s="273"/>
      <c r="CR37" s="273"/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1"/>
      <c r="DG37" s="271"/>
      <c r="DH37" s="272">
        <f t="shared" si="3"/>
        <v>15</v>
      </c>
      <c r="DI37" s="272">
        <f t="shared" si="3"/>
        <v>180</v>
      </c>
      <c r="DJ37" s="324">
        <f t="shared" si="3"/>
        <v>180</v>
      </c>
      <c r="DK37" s="325"/>
      <c r="DL37" s="325"/>
    </row>
    <row r="38" spans="1:116" s="275" customFormat="1" ht="20.100000000000001" customHeight="1" x14ac:dyDescent="0.6">
      <c r="A38" s="234">
        <v>35</v>
      </c>
      <c r="B38" s="103" t="s">
        <v>466</v>
      </c>
      <c r="C38" s="103" t="s">
        <v>467</v>
      </c>
      <c r="D38" s="103" t="s">
        <v>304</v>
      </c>
      <c r="E38" s="148" t="s">
        <v>305</v>
      </c>
      <c r="F38" s="179" t="s">
        <v>462</v>
      </c>
      <c r="G38" s="322"/>
      <c r="H38" s="323"/>
      <c r="I38" s="322" t="s">
        <v>979</v>
      </c>
      <c r="J38" s="322" t="s">
        <v>974</v>
      </c>
      <c r="K38" s="241"/>
      <c r="L38" s="241"/>
      <c r="M38" s="271"/>
      <c r="N38" s="271"/>
      <c r="O38" s="271"/>
      <c r="P38" s="271"/>
      <c r="Q38" s="271"/>
      <c r="R38" s="271"/>
      <c r="S38" s="271">
        <v>20</v>
      </c>
      <c r="T38" s="271">
        <v>240</v>
      </c>
      <c r="U38" s="271">
        <v>240</v>
      </c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>
        <v>21</v>
      </c>
      <c r="AO38" s="271">
        <v>280</v>
      </c>
      <c r="AP38" s="271">
        <v>244.4</v>
      </c>
      <c r="AQ38" s="272">
        <f t="shared" si="4"/>
        <v>41</v>
      </c>
      <c r="AR38" s="272">
        <f t="shared" si="4"/>
        <v>520</v>
      </c>
      <c r="AS38" s="272">
        <f t="shared" si="4"/>
        <v>484.4</v>
      </c>
      <c r="AT38" s="357"/>
      <c r="AU38" s="357"/>
      <c r="AV38" s="357"/>
      <c r="AW38" s="357"/>
      <c r="AX38" s="357"/>
      <c r="AY38" s="357"/>
      <c r="AZ38" s="357"/>
      <c r="BA38" s="357"/>
      <c r="BB38" s="357"/>
      <c r="BC38" s="357"/>
      <c r="BD38" s="357"/>
      <c r="BE38" s="357"/>
      <c r="BF38" s="357"/>
      <c r="BG38" s="357"/>
      <c r="BH38" s="357"/>
      <c r="BI38" s="357"/>
      <c r="BJ38" s="357"/>
      <c r="BK38" s="357"/>
      <c r="BL38" s="357"/>
      <c r="BM38" s="357"/>
      <c r="BN38" s="357"/>
      <c r="BO38" s="357"/>
      <c r="BP38" s="357"/>
      <c r="BQ38" s="357"/>
      <c r="BR38" s="357"/>
      <c r="BS38" s="357"/>
      <c r="BT38" s="357"/>
      <c r="BU38" s="357"/>
      <c r="BV38" s="357"/>
      <c r="BW38" s="357"/>
      <c r="BX38" s="272">
        <f t="shared" ref="BX38:BY69" si="5">+BU38+BR38+BO38+BL38+BI38+BF38+BC38+AZ38+AW38+AT38+AQ38</f>
        <v>41</v>
      </c>
      <c r="BY38" s="272">
        <f t="shared" si="5"/>
        <v>520</v>
      </c>
      <c r="BZ38" s="272">
        <f t="shared" si="2"/>
        <v>484.4</v>
      </c>
      <c r="CA38" s="273"/>
      <c r="CB38" s="273"/>
      <c r="CC38" s="273"/>
      <c r="CD38" s="273"/>
      <c r="CE38" s="273"/>
      <c r="CF38" s="273"/>
      <c r="CG38" s="273"/>
      <c r="CH38" s="273"/>
      <c r="CI38" s="273"/>
      <c r="CJ38" s="273"/>
      <c r="CK38" s="273"/>
      <c r="CL38" s="273"/>
      <c r="CM38" s="273"/>
      <c r="CN38" s="273"/>
      <c r="CO38" s="273"/>
      <c r="CP38" s="273"/>
      <c r="CQ38" s="273"/>
      <c r="CR38" s="273"/>
      <c r="CS38" s="273"/>
      <c r="CT38" s="273"/>
      <c r="CU38" s="273"/>
      <c r="CV38" s="273"/>
      <c r="CW38" s="273"/>
      <c r="CX38" s="273"/>
      <c r="CY38" s="273"/>
      <c r="CZ38" s="273"/>
      <c r="DA38" s="273"/>
      <c r="DB38" s="273"/>
      <c r="DC38" s="273"/>
      <c r="DD38" s="273"/>
      <c r="DE38" s="273"/>
      <c r="DF38" s="271"/>
      <c r="DG38" s="271"/>
      <c r="DH38" s="272">
        <f t="shared" si="3"/>
        <v>41</v>
      </c>
      <c r="DI38" s="272">
        <f t="shared" si="3"/>
        <v>520</v>
      </c>
      <c r="DJ38" s="324">
        <f t="shared" si="3"/>
        <v>484.4</v>
      </c>
      <c r="DK38" s="325"/>
      <c r="DL38" s="325"/>
    </row>
    <row r="39" spans="1:116" s="275" customFormat="1" ht="20.100000000000001" customHeight="1" x14ac:dyDescent="0.6">
      <c r="A39" s="234">
        <v>36</v>
      </c>
      <c r="B39" s="103" t="s">
        <v>423</v>
      </c>
      <c r="C39" s="103" t="s">
        <v>424</v>
      </c>
      <c r="D39" s="103" t="s">
        <v>468</v>
      </c>
      <c r="E39" s="148" t="s">
        <v>469</v>
      </c>
      <c r="F39" s="179" t="s">
        <v>462</v>
      </c>
      <c r="G39" s="322"/>
      <c r="H39" s="323"/>
      <c r="I39" s="322" t="s">
        <v>980</v>
      </c>
      <c r="J39" s="322" t="s">
        <v>974</v>
      </c>
      <c r="K39" s="241"/>
      <c r="L39" s="24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>
        <v>16</v>
      </c>
      <c r="AC39" s="271">
        <v>204</v>
      </c>
      <c r="AD39" s="271">
        <v>188.4</v>
      </c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2">
        <f t="shared" si="4"/>
        <v>16</v>
      </c>
      <c r="AR39" s="272">
        <f t="shared" si="4"/>
        <v>204</v>
      </c>
      <c r="AS39" s="272">
        <f t="shared" si="4"/>
        <v>188.4</v>
      </c>
      <c r="AT39" s="357"/>
      <c r="AU39" s="357"/>
      <c r="AV39" s="357"/>
      <c r="AW39" s="357">
        <v>25</v>
      </c>
      <c r="AX39" s="357">
        <v>648</v>
      </c>
      <c r="AY39" s="357">
        <v>320.39999999999998</v>
      </c>
      <c r="AZ39" s="357"/>
      <c r="BA39" s="357"/>
      <c r="BB39" s="357"/>
      <c r="BC39" s="357"/>
      <c r="BD39" s="357"/>
      <c r="BE39" s="357"/>
      <c r="BF39" s="357"/>
      <c r="BG39" s="357"/>
      <c r="BH39" s="357"/>
      <c r="BI39" s="357"/>
      <c r="BJ39" s="357"/>
      <c r="BK39" s="357"/>
      <c r="BL39" s="357"/>
      <c r="BM39" s="357"/>
      <c r="BN39" s="357"/>
      <c r="BO39" s="357"/>
      <c r="BP39" s="357"/>
      <c r="BQ39" s="357"/>
      <c r="BR39" s="357">
        <v>10</v>
      </c>
      <c r="BS39" s="357">
        <v>260</v>
      </c>
      <c r="BT39" s="357">
        <v>130</v>
      </c>
      <c r="BU39" s="357"/>
      <c r="BV39" s="357"/>
      <c r="BW39" s="357"/>
      <c r="BX39" s="272">
        <f t="shared" si="5"/>
        <v>51</v>
      </c>
      <c r="BY39" s="272">
        <f t="shared" si="5"/>
        <v>1112</v>
      </c>
      <c r="BZ39" s="272">
        <f t="shared" si="2"/>
        <v>638.79999999999995</v>
      </c>
      <c r="CA39" s="273"/>
      <c r="CB39" s="273"/>
      <c r="CC39" s="273"/>
      <c r="CD39" s="273"/>
      <c r="CE39" s="273"/>
      <c r="CF39" s="273"/>
      <c r="CG39" s="273"/>
      <c r="CH39" s="273"/>
      <c r="CI39" s="273"/>
      <c r="CJ39" s="273"/>
      <c r="CK39" s="273"/>
      <c r="CL39" s="273"/>
      <c r="CM39" s="273"/>
      <c r="CN39" s="273"/>
      <c r="CO39" s="273"/>
      <c r="CP39" s="273"/>
      <c r="CQ39" s="273"/>
      <c r="CR39" s="273"/>
      <c r="CS39" s="273"/>
      <c r="CT39" s="273"/>
      <c r="CU39" s="273"/>
      <c r="CV39" s="273"/>
      <c r="CW39" s="273"/>
      <c r="CX39" s="273"/>
      <c r="CY39" s="273"/>
      <c r="CZ39" s="273"/>
      <c r="DA39" s="273"/>
      <c r="DB39" s="273"/>
      <c r="DC39" s="273"/>
      <c r="DD39" s="273"/>
      <c r="DE39" s="273"/>
      <c r="DF39" s="271"/>
      <c r="DG39" s="271"/>
      <c r="DH39" s="272">
        <f t="shared" si="3"/>
        <v>51</v>
      </c>
      <c r="DI39" s="272">
        <f t="shared" si="3"/>
        <v>1112</v>
      </c>
      <c r="DJ39" s="324">
        <f t="shared" si="3"/>
        <v>638.79999999999995</v>
      </c>
      <c r="DK39" s="325"/>
      <c r="DL39" s="325"/>
    </row>
    <row r="40" spans="1:116" s="275" customFormat="1" ht="20.100000000000001" customHeight="1" x14ac:dyDescent="0.6">
      <c r="A40" s="234">
        <v>37</v>
      </c>
      <c r="B40" s="103" t="s">
        <v>470</v>
      </c>
      <c r="C40" s="103" t="s">
        <v>470</v>
      </c>
      <c r="D40" s="103" t="s">
        <v>468</v>
      </c>
      <c r="E40" s="148" t="s">
        <v>469</v>
      </c>
      <c r="F40" s="179" t="s">
        <v>462</v>
      </c>
      <c r="G40" s="322"/>
      <c r="H40" s="323"/>
      <c r="I40" s="322" t="s">
        <v>981</v>
      </c>
      <c r="J40" s="322" t="s">
        <v>974</v>
      </c>
      <c r="K40" s="241"/>
      <c r="L40" s="24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2">
        <f t="shared" si="4"/>
        <v>0</v>
      </c>
      <c r="AR40" s="272">
        <f t="shared" si="4"/>
        <v>0</v>
      </c>
      <c r="AS40" s="272">
        <f t="shared" si="4"/>
        <v>0</v>
      </c>
      <c r="AT40" s="357"/>
      <c r="AU40" s="357"/>
      <c r="AV40" s="357"/>
      <c r="AW40" s="357"/>
      <c r="AX40" s="357"/>
      <c r="AY40" s="357"/>
      <c r="AZ40" s="357"/>
      <c r="BA40" s="357"/>
      <c r="BB40" s="357"/>
      <c r="BC40" s="357"/>
      <c r="BD40" s="357"/>
      <c r="BE40" s="357"/>
      <c r="BF40" s="357"/>
      <c r="BG40" s="357"/>
      <c r="BH40" s="357"/>
      <c r="BI40" s="357"/>
      <c r="BJ40" s="357"/>
      <c r="BK40" s="357"/>
      <c r="BL40" s="357"/>
      <c r="BM40" s="357"/>
      <c r="BN40" s="357"/>
      <c r="BO40" s="357">
        <v>30</v>
      </c>
      <c r="BP40" s="357">
        <v>640</v>
      </c>
      <c r="BQ40" s="357">
        <v>380</v>
      </c>
      <c r="BR40" s="357"/>
      <c r="BS40" s="357"/>
      <c r="BT40" s="357"/>
      <c r="BU40" s="357"/>
      <c r="BV40" s="357"/>
      <c r="BW40" s="357"/>
      <c r="BX40" s="272">
        <f t="shared" si="5"/>
        <v>30</v>
      </c>
      <c r="BY40" s="272">
        <f t="shared" si="5"/>
        <v>640</v>
      </c>
      <c r="BZ40" s="272">
        <f t="shared" si="2"/>
        <v>380</v>
      </c>
      <c r="CA40" s="273"/>
      <c r="CB40" s="273"/>
      <c r="CC40" s="273"/>
      <c r="CD40" s="273"/>
      <c r="CE40" s="273"/>
      <c r="CF40" s="273"/>
      <c r="CG40" s="273"/>
      <c r="CH40" s="273"/>
      <c r="CI40" s="273"/>
      <c r="CJ40" s="273"/>
      <c r="CK40" s="273"/>
      <c r="CL40" s="273"/>
      <c r="CM40" s="273"/>
      <c r="CN40" s="273"/>
      <c r="CO40" s="273"/>
      <c r="CP40" s="273"/>
      <c r="CQ40" s="273"/>
      <c r="CR40" s="273"/>
      <c r="CS40" s="273"/>
      <c r="CT40" s="273"/>
      <c r="CU40" s="273"/>
      <c r="CV40" s="273"/>
      <c r="CW40" s="273"/>
      <c r="CX40" s="273"/>
      <c r="CY40" s="273"/>
      <c r="CZ40" s="273"/>
      <c r="DA40" s="273"/>
      <c r="DB40" s="273"/>
      <c r="DC40" s="273"/>
      <c r="DD40" s="273"/>
      <c r="DE40" s="273"/>
      <c r="DF40" s="271"/>
      <c r="DG40" s="271"/>
      <c r="DH40" s="272">
        <f t="shared" si="3"/>
        <v>30</v>
      </c>
      <c r="DI40" s="272">
        <f t="shared" si="3"/>
        <v>640</v>
      </c>
      <c r="DJ40" s="324">
        <f t="shared" si="3"/>
        <v>380</v>
      </c>
      <c r="DK40" s="325"/>
      <c r="DL40" s="325"/>
    </row>
    <row r="41" spans="1:116" s="275" customFormat="1" ht="20.100000000000001" customHeight="1" x14ac:dyDescent="0.6">
      <c r="A41" s="234">
        <v>38</v>
      </c>
      <c r="B41" s="103" t="s">
        <v>471</v>
      </c>
      <c r="C41" s="103" t="s">
        <v>472</v>
      </c>
      <c r="D41" s="103" t="s">
        <v>473</v>
      </c>
      <c r="E41" s="148" t="s">
        <v>474</v>
      </c>
      <c r="F41" s="179" t="s">
        <v>462</v>
      </c>
      <c r="G41" s="322"/>
      <c r="H41" s="323"/>
      <c r="I41" s="322" t="s">
        <v>982</v>
      </c>
      <c r="J41" s="322" t="s">
        <v>974</v>
      </c>
      <c r="K41" s="241"/>
      <c r="L41" s="24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>
        <v>23</v>
      </c>
      <c r="AF41" s="271">
        <v>360</v>
      </c>
      <c r="AG41" s="271">
        <v>282</v>
      </c>
      <c r="AH41" s="271"/>
      <c r="AI41" s="271"/>
      <c r="AJ41" s="271"/>
      <c r="AK41" s="271"/>
      <c r="AL41" s="271"/>
      <c r="AM41" s="271"/>
      <c r="AN41" s="271"/>
      <c r="AO41" s="271"/>
      <c r="AP41" s="271"/>
      <c r="AQ41" s="272">
        <f t="shared" si="4"/>
        <v>23</v>
      </c>
      <c r="AR41" s="272">
        <f t="shared" si="4"/>
        <v>360</v>
      </c>
      <c r="AS41" s="272">
        <f t="shared" si="4"/>
        <v>282</v>
      </c>
      <c r="AT41" s="357"/>
      <c r="AU41" s="357"/>
      <c r="AV41" s="357"/>
      <c r="AW41" s="357">
        <v>49</v>
      </c>
      <c r="AX41" s="357">
        <v>700</v>
      </c>
      <c r="AY41" s="357">
        <v>596</v>
      </c>
      <c r="AZ41" s="357"/>
      <c r="BA41" s="357"/>
      <c r="BB41" s="357"/>
      <c r="BC41" s="357"/>
      <c r="BD41" s="357"/>
      <c r="BE41" s="357"/>
      <c r="BF41" s="357"/>
      <c r="BG41" s="357"/>
      <c r="BH41" s="357"/>
      <c r="BI41" s="357"/>
      <c r="BJ41" s="357"/>
      <c r="BK41" s="357"/>
      <c r="BL41" s="357"/>
      <c r="BM41" s="357"/>
      <c r="BN41" s="357"/>
      <c r="BO41" s="357"/>
      <c r="BP41" s="357"/>
      <c r="BQ41" s="357"/>
      <c r="BR41" s="357"/>
      <c r="BS41" s="357"/>
      <c r="BT41" s="357"/>
      <c r="BU41" s="357"/>
      <c r="BV41" s="357"/>
      <c r="BW41" s="357"/>
      <c r="BX41" s="272">
        <f t="shared" si="5"/>
        <v>72</v>
      </c>
      <c r="BY41" s="272">
        <f t="shared" si="5"/>
        <v>1060</v>
      </c>
      <c r="BZ41" s="272">
        <f t="shared" si="2"/>
        <v>878</v>
      </c>
      <c r="CA41" s="273"/>
      <c r="CB41" s="273"/>
      <c r="CC41" s="273"/>
      <c r="CD41" s="273"/>
      <c r="CE41" s="273"/>
      <c r="CF41" s="273"/>
      <c r="CG41" s="273"/>
      <c r="CH41" s="273"/>
      <c r="CI41" s="273"/>
      <c r="CJ41" s="273"/>
      <c r="CK41" s="273"/>
      <c r="CL41" s="273"/>
      <c r="CM41" s="273"/>
      <c r="CN41" s="273"/>
      <c r="CO41" s="273"/>
      <c r="CP41" s="273"/>
      <c r="CQ41" s="273"/>
      <c r="CR41" s="273"/>
      <c r="CS41" s="273"/>
      <c r="CT41" s="273"/>
      <c r="CU41" s="273"/>
      <c r="CV41" s="273"/>
      <c r="CW41" s="273"/>
      <c r="CX41" s="273"/>
      <c r="CY41" s="273"/>
      <c r="CZ41" s="273"/>
      <c r="DA41" s="273"/>
      <c r="DB41" s="273"/>
      <c r="DC41" s="273"/>
      <c r="DD41" s="273"/>
      <c r="DE41" s="273"/>
      <c r="DF41" s="271"/>
      <c r="DG41" s="271"/>
      <c r="DH41" s="272">
        <f t="shared" si="3"/>
        <v>72</v>
      </c>
      <c r="DI41" s="272">
        <f t="shared" si="3"/>
        <v>1060</v>
      </c>
      <c r="DJ41" s="324">
        <f t="shared" si="3"/>
        <v>878</v>
      </c>
      <c r="DK41" s="325"/>
      <c r="DL41" s="325"/>
    </row>
    <row r="42" spans="1:116" s="275" customFormat="1" ht="20.100000000000001" customHeight="1" x14ac:dyDescent="0.6">
      <c r="A42" s="234">
        <v>39</v>
      </c>
      <c r="B42" s="103" t="s">
        <v>475</v>
      </c>
      <c r="C42" s="103" t="s">
        <v>476</v>
      </c>
      <c r="D42" s="103" t="s">
        <v>473</v>
      </c>
      <c r="E42" s="148" t="s">
        <v>474</v>
      </c>
      <c r="F42" s="179" t="s">
        <v>462</v>
      </c>
      <c r="G42" s="322"/>
      <c r="H42" s="323"/>
      <c r="I42" s="322" t="s">
        <v>983</v>
      </c>
      <c r="J42" s="322" t="s">
        <v>974</v>
      </c>
      <c r="K42" s="241"/>
      <c r="L42" s="24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>
        <v>10</v>
      </c>
      <c r="AF42" s="271">
        <v>120</v>
      </c>
      <c r="AG42" s="271">
        <v>120</v>
      </c>
      <c r="AH42" s="271"/>
      <c r="AI42" s="271"/>
      <c r="AJ42" s="271"/>
      <c r="AK42" s="271"/>
      <c r="AL42" s="271"/>
      <c r="AM42" s="271"/>
      <c r="AN42" s="271"/>
      <c r="AO42" s="271"/>
      <c r="AP42" s="271"/>
      <c r="AQ42" s="272">
        <f t="shared" si="4"/>
        <v>10</v>
      </c>
      <c r="AR42" s="272">
        <f t="shared" si="4"/>
        <v>120</v>
      </c>
      <c r="AS42" s="272">
        <f t="shared" si="4"/>
        <v>120</v>
      </c>
      <c r="AT42" s="357"/>
      <c r="AU42" s="357"/>
      <c r="AV42" s="357"/>
      <c r="AW42" s="357"/>
      <c r="AX42" s="357"/>
      <c r="AY42" s="357"/>
      <c r="AZ42" s="357"/>
      <c r="BA42" s="357"/>
      <c r="BB42" s="357"/>
      <c r="BC42" s="357">
        <v>5</v>
      </c>
      <c r="BD42" s="357">
        <v>60</v>
      </c>
      <c r="BE42" s="357">
        <v>60</v>
      </c>
      <c r="BF42" s="357"/>
      <c r="BG42" s="357"/>
      <c r="BH42" s="357"/>
      <c r="BI42" s="357"/>
      <c r="BJ42" s="357"/>
      <c r="BK42" s="357"/>
      <c r="BL42" s="357"/>
      <c r="BM42" s="357"/>
      <c r="BN42" s="357"/>
      <c r="BO42" s="357"/>
      <c r="BP42" s="357"/>
      <c r="BQ42" s="357"/>
      <c r="BR42" s="357"/>
      <c r="BS42" s="357"/>
      <c r="BT42" s="357"/>
      <c r="BU42" s="357"/>
      <c r="BV42" s="357"/>
      <c r="BW42" s="357"/>
      <c r="BX42" s="272">
        <f t="shared" si="5"/>
        <v>15</v>
      </c>
      <c r="BY42" s="272">
        <f t="shared" si="5"/>
        <v>180</v>
      </c>
      <c r="BZ42" s="272">
        <f t="shared" si="2"/>
        <v>180</v>
      </c>
      <c r="CA42" s="273"/>
      <c r="CB42" s="273"/>
      <c r="CC42" s="273"/>
      <c r="CD42" s="273"/>
      <c r="CE42" s="273"/>
      <c r="CF42" s="273"/>
      <c r="CG42" s="273"/>
      <c r="CH42" s="273"/>
      <c r="CI42" s="273"/>
      <c r="CJ42" s="273"/>
      <c r="CK42" s="273"/>
      <c r="CL42" s="273"/>
      <c r="CM42" s="273"/>
      <c r="CN42" s="273"/>
      <c r="CO42" s="273"/>
      <c r="CP42" s="273"/>
      <c r="CQ42" s="273"/>
      <c r="CR42" s="273"/>
      <c r="CS42" s="273"/>
      <c r="CT42" s="273"/>
      <c r="CU42" s="273"/>
      <c r="CV42" s="273"/>
      <c r="CW42" s="273"/>
      <c r="CX42" s="273"/>
      <c r="CY42" s="273"/>
      <c r="CZ42" s="273"/>
      <c r="DA42" s="273"/>
      <c r="DB42" s="273"/>
      <c r="DC42" s="273"/>
      <c r="DD42" s="273"/>
      <c r="DE42" s="273"/>
      <c r="DF42" s="271"/>
      <c r="DG42" s="271"/>
      <c r="DH42" s="272">
        <f t="shared" si="3"/>
        <v>15</v>
      </c>
      <c r="DI42" s="272">
        <f t="shared" si="3"/>
        <v>180</v>
      </c>
      <c r="DJ42" s="324">
        <f t="shared" si="3"/>
        <v>180</v>
      </c>
      <c r="DK42" s="325"/>
      <c r="DL42" s="325"/>
    </row>
    <row r="43" spans="1:116" s="275" customFormat="1" ht="20.100000000000001" customHeight="1" x14ac:dyDescent="0.6">
      <c r="A43" s="234">
        <v>40</v>
      </c>
      <c r="B43" s="103" t="s">
        <v>477</v>
      </c>
      <c r="C43" s="103" t="s">
        <v>477</v>
      </c>
      <c r="D43" s="103" t="s">
        <v>473</v>
      </c>
      <c r="E43" s="148" t="s">
        <v>474</v>
      </c>
      <c r="F43" s="179" t="s">
        <v>462</v>
      </c>
      <c r="G43" s="322"/>
      <c r="H43" s="323"/>
      <c r="I43" s="322" t="s">
        <v>984</v>
      </c>
      <c r="J43" s="322" t="s">
        <v>974</v>
      </c>
      <c r="K43" s="241"/>
      <c r="L43" s="24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>
        <v>28</v>
      </c>
      <c r="AF43" s="271">
        <v>342</v>
      </c>
      <c r="AG43" s="271">
        <v>326.88</v>
      </c>
      <c r="AH43" s="271"/>
      <c r="AI43" s="271"/>
      <c r="AJ43" s="271"/>
      <c r="AK43" s="271"/>
      <c r="AL43" s="271"/>
      <c r="AM43" s="271"/>
      <c r="AN43" s="271"/>
      <c r="AO43" s="271"/>
      <c r="AP43" s="271"/>
      <c r="AQ43" s="272">
        <f t="shared" si="4"/>
        <v>28</v>
      </c>
      <c r="AR43" s="272">
        <f t="shared" si="4"/>
        <v>342</v>
      </c>
      <c r="AS43" s="272">
        <f t="shared" si="4"/>
        <v>326.88</v>
      </c>
      <c r="AT43" s="357"/>
      <c r="AU43" s="357"/>
      <c r="AV43" s="357"/>
      <c r="AW43" s="357"/>
      <c r="AX43" s="357"/>
      <c r="AY43" s="357"/>
      <c r="AZ43" s="357"/>
      <c r="BA43" s="357"/>
      <c r="BB43" s="357"/>
      <c r="BC43" s="357">
        <v>17</v>
      </c>
      <c r="BD43" s="357">
        <v>208</v>
      </c>
      <c r="BE43" s="357">
        <v>197.92</v>
      </c>
      <c r="BF43" s="357"/>
      <c r="BG43" s="357"/>
      <c r="BH43" s="357"/>
      <c r="BI43" s="357"/>
      <c r="BJ43" s="357"/>
      <c r="BK43" s="357"/>
      <c r="BL43" s="357"/>
      <c r="BM43" s="357"/>
      <c r="BN43" s="357"/>
      <c r="BO43" s="357">
        <v>50</v>
      </c>
      <c r="BP43" s="357">
        <v>600</v>
      </c>
      <c r="BQ43" s="357">
        <v>600</v>
      </c>
      <c r="BR43" s="357"/>
      <c r="BS43" s="357"/>
      <c r="BT43" s="357"/>
      <c r="BU43" s="357"/>
      <c r="BV43" s="357"/>
      <c r="BW43" s="357"/>
      <c r="BX43" s="272">
        <f t="shared" si="5"/>
        <v>95</v>
      </c>
      <c r="BY43" s="272">
        <f t="shared" si="5"/>
        <v>1150</v>
      </c>
      <c r="BZ43" s="272">
        <f t="shared" si="2"/>
        <v>1124.8</v>
      </c>
      <c r="CA43" s="273"/>
      <c r="CB43" s="273"/>
      <c r="CC43" s="273"/>
      <c r="CD43" s="273"/>
      <c r="CE43" s="273"/>
      <c r="CF43" s="273"/>
      <c r="CG43" s="273"/>
      <c r="CH43" s="273"/>
      <c r="CI43" s="273"/>
      <c r="CJ43" s="273"/>
      <c r="CK43" s="273"/>
      <c r="CL43" s="273"/>
      <c r="CM43" s="273"/>
      <c r="CN43" s="273"/>
      <c r="CO43" s="273"/>
      <c r="CP43" s="273"/>
      <c r="CQ43" s="273"/>
      <c r="CR43" s="273"/>
      <c r="CS43" s="273"/>
      <c r="CT43" s="273"/>
      <c r="CU43" s="273"/>
      <c r="CV43" s="273"/>
      <c r="CW43" s="273"/>
      <c r="CX43" s="273"/>
      <c r="CY43" s="273"/>
      <c r="CZ43" s="273"/>
      <c r="DA43" s="273"/>
      <c r="DB43" s="273"/>
      <c r="DC43" s="273"/>
      <c r="DD43" s="273"/>
      <c r="DE43" s="273"/>
      <c r="DF43" s="271"/>
      <c r="DG43" s="271"/>
      <c r="DH43" s="272">
        <f t="shared" si="3"/>
        <v>95</v>
      </c>
      <c r="DI43" s="272">
        <f t="shared" si="3"/>
        <v>1150</v>
      </c>
      <c r="DJ43" s="324">
        <f t="shared" si="3"/>
        <v>1124.8</v>
      </c>
      <c r="DK43" s="325"/>
      <c r="DL43" s="325"/>
    </row>
    <row r="44" spans="1:116" s="275" customFormat="1" ht="20.100000000000001" customHeight="1" x14ac:dyDescent="0.6">
      <c r="A44" s="234">
        <v>41</v>
      </c>
      <c r="B44" s="103" t="s">
        <v>478</v>
      </c>
      <c r="C44" s="103" t="s">
        <v>478</v>
      </c>
      <c r="D44" s="103" t="s">
        <v>365</v>
      </c>
      <c r="E44" s="148" t="s">
        <v>479</v>
      </c>
      <c r="F44" s="179" t="s">
        <v>462</v>
      </c>
      <c r="G44" s="322"/>
      <c r="H44" s="323"/>
      <c r="I44" s="322" t="s">
        <v>985</v>
      </c>
      <c r="J44" s="322" t="s">
        <v>974</v>
      </c>
      <c r="K44" s="241"/>
      <c r="L44" s="24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2">
        <f t="shared" si="4"/>
        <v>0</v>
      </c>
      <c r="AR44" s="272">
        <f t="shared" si="4"/>
        <v>0</v>
      </c>
      <c r="AS44" s="272">
        <f t="shared" si="4"/>
        <v>0</v>
      </c>
      <c r="AT44" s="357"/>
      <c r="AU44" s="357"/>
      <c r="AV44" s="357"/>
      <c r="AW44" s="357"/>
      <c r="AX44" s="357"/>
      <c r="AY44" s="357"/>
      <c r="AZ44" s="357">
        <v>25</v>
      </c>
      <c r="BA44" s="357">
        <v>300</v>
      </c>
      <c r="BB44" s="357">
        <v>300</v>
      </c>
      <c r="BC44" s="357"/>
      <c r="BD44" s="357"/>
      <c r="BE44" s="357"/>
      <c r="BF44" s="357"/>
      <c r="BG44" s="357"/>
      <c r="BH44" s="357"/>
      <c r="BI44" s="357"/>
      <c r="BJ44" s="357"/>
      <c r="BK44" s="357"/>
      <c r="BL44" s="357">
        <v>20</v>
      </c>
      <c r="BM44" s="357">
        <v>240</v>
      </c>
      <c r="BN44" s="357">
        <v>240</v>
      </c>
      <c r="BO44" s="357"/>
      <c r="BP44" s="357"/>
      <c r="BQ44" s="357"/>
      <c r="BR44" s="357"/>
      <c r="BS44" s="357"/>
      <c r="BT44" s="357"/>
      <c r="BU44" s="357"/>
      <c r="BV44" s="357"/>
      <c r="BW44" s="357"/>
      <c r="BX44" s="272">
        <f t="shared" si="5"/>
        <v>45</v>
      </c>
      <c r="BY44" s="272">
        <f t="shared" si="5"/>
        <v>540</v>
      </c>
      <c r="BZ44" s="272">
        <f t="shared" si="2"/>
        <v>540</v>
      </c>
      <c r="CA44" s="273"/>
      <c r="CB44" s="273"/>
      <c r="CC44" s="273"/>
      <c r="CD44" s="273"/>
      <c r="CE44" s="273"/>
      <c r="CF44" s="273"/>
      <c r="CG44" s="273"/>
      <c r="CH44" s="273"/>
      <c r="CI44" s="273"/>
      <c r="CJ44" s="273"/>
      <c r="CK44" s="273"/>
      <c r="CL44" s="273"/>
      <c r="CM44" s="273"/>
      <c r="CN44" s="273"/>
      <c r="CO44" s="273"/>
      <c r="CP44" s="273"/>
      <c r="CQ44" s="273"/>
      <c r="CR44" s="273"/>
      <c r="CS44" s="273"/>
      <c r="CT44" s="273"/>
      <c r="CU44" s="273"/>
      <c r="CV44" s="273"/>
      <c r="CW44" s="273"/>
      <c r="CX44" s="273"/>
      <c r="CY44" s="273"/>
      <c r="CZ44" s="273"/>
      <c r="DA44" s="273"/>
      <c r="DB44" s="273"/>
      <c r="DC44" s="273"/>
      <c r="DD44" s="273"/>
      <c r="DE44" s="273"/>
      <c r="DF44" s="271"/>
      <c r="DG44" s="271"/>
      <c r="DH44" s="272">
        <f t="shared" si="3"/>
        <v>45</v>
      </c>
      <c r="DI44" s="272">
        <f t="shared" si="3"/>
        <v>540</v>
      </c>
      <c r="DJ44" s="324">
        <f t="shared" si="3"/>
        <v>540</v>
      </c>
      <c r="DK44" s="325"/>
      <c r="DL44" s="325"/>
    </row>
    <row r="45" spans="1:116" s="275" customFormat="1" ht="20.100000000000001" customHeight="1" x14ac:dyDescent="0.6">
      <c r="A45" s="234">
        <v>42</v>
      </c>
      <c r="B45" s="103" t="s">
        <v>480</v>
      </c>
      <c r="C45" s="103" t="s">
        <v>480</v>
      </c>
      <c r="D45" s="103" t="s">
        <v>365</v>
      </c>
      <c r="E45" s="148" t="s">
        <v>479</v>
      </c>
      <c r="F45" s="179" t="s">
        <v>462</v>
      </c>
      <c r="G45" s="322"/>
      <c r="H45" s="323"/>
      <c r="I45" s="322" t="s">
        <v>986</v>
      </c>
      <c r="J45" s="322" t="s">
        <v>974</v>
      </c>
      <c r="K45" s="241"/>
      <c r="L45" s="24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>
        <v>10</v>
      </c>
      <c r="Z45" s="271">
        <v>120</v>
      </c>
      <c r="AA45" s="271">
        <v>110.4</v>
      </c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2">
        <f t="shared" si="4"/>
        <v>10</v>
      </c>
      <c r="AR45" s="272">
        <f t="shared" si="4"/>
        <v>120</v>
      </c>
      <c r="AS45" s="272">
        <f t="shared" si="4"/>
        <v>110.4</v>
      </c>
      <c r="AT45" s="357"/>
      <c r="AU45" s="357"/>
      <c r="AV45" s="357"/>
      <c r="AW45" s="357"/>
      <c r="AX45" s="357"/>
      <c r="AY45" s="357"/>
      <c r="AZ45" s="357"/>
      <c r="BA45" s="357"/>
      <c r="BB45" s="357"/>
      <c r="BC45" s="357"/>
      <c r="BD45" s="357"/>
      <c r="BE45" s="357"/>
      <c r="BF45" s="357"/>
      <c r="BG45" s="357"/>
      <c r="BH45" s="357"/>
      <c r="BI45" s="357"/>
      <c r="BJ45" s="357"/>
      <c r="BK45" s="357"/>
      <c r="BL45" s="357"/>
      <c r="BM45" s="357"/>
      <c r="BN45" s="357"/>
      <c r="BO45" s="357"/>
      <c r="BP45" s="357"/>
      <c r="BQ45" s="357"/>
      <c r="BR45" s="357"/>
      <c r="BS45" s="357"/>
      <c r="BT45" s="357"/>
      <c r="BU45" s="357"/>
      <c r="BV45" s="357"/>
      <c r="BW45" s="357"/>
      <c r="BX45" s="272">
        <f t="shared" si="5"/>
        <v>10</v>
      </c>
      <c r="BY45" s="272">
        <f t="shared" si="5"/>
        <v>120</v>
      </c>
      <c r="BZ45" s="272">
        <f t="shared" si="2"/>
        <v>110.4</v>
      </c>
      <c r="CA45" s="273"/>
      <c r="CB45" s="273"/>
      <c r="CC45" s="273"/>
      <c r="CD45" s="273"/>
      <c r="CE45" s="273"/>
      <c r="CF45" s="273"/>
      <c r="CG45" s="273"/>
      <c r="CH45" s="273"/>
      <c r="CI45" s="273"/>
      <c r="CJ45" s="273"/>
      <c r="CK45" s="273"/>
      <c r="CL45" s="273"/>
      <c r="CM45" s="273"/>
      <c r="CN45" s="273"/>
      <c r="CO45" s="273"/>
      <c r="CP45" s="273"/>
      <c r="CQ45" s="273"/>
      <c r="CR45" s="273"/>
      <c r="CS45" s="273"/>
      <c r="CT45" s="273"/>
      <c r="CU45" s="273"/>
      <c r="CV45" s="273"/>
      <c r="CW45" s="273"/>
      <c r="CX45" s="273"/>
      <c r="CY45" s="273"/>
      <c r="CZ45" s="273"/>
      <c r="DA45" s="273"/>
      <c r="DB45" s="273"/>
      <c r="DC45" s="273"/>
      <c r="DD45" s="273"/>
      <c r="DE45" s="273"/>
      <c r="DF45" s="271"/>
      <c r="DG45" s="271"/>
      <c r="DH45" s="272">
        <f t="shared" si="3"/>
        <v>10</v>
      </c>
      <c r="DI45" s="272">
        <f t="shared" si="3"/>
        <v>120</v>
      </c>
      <c r="DJ45" s="324">
        <f t="shared" si="3"/>
        <v>110.4</v>
      </c>
      <c r="DK45" s="325"/>
      <c r="DL45" s="325"/>
    </row>
    <row r="46" spans="1:116" s="275" customFormat="1" ht="20.100000000000001" customHeight="1" x14ac:dyDescent="0.6">
      <c r="A46" s="234">
        <v>43</v>
      </c>
      <c r="B46" s="103" t="s">
        <v>481</v>
      </c>
      <c r="C46" s="103" t="s">
        <v>481</v>
      </c>
      <c r="D46" s="103" t="s">
        <v>365</v>
      </c>
      <c r="E46" s="148" t="s">
        <v>479</v>
      </c>
      <c r="F46" s="179" t="s">
        <v>462</v>
      </c>
      <c r="G46" s="322"/>
      <c r="H46" s="323"/>
      <c r="I46" s="322" t="s">
        <v>987</v>
      </c>
      <c r="J46" s="322" t="s">
        <v>974</v>
      </c>
      <c r="K46" s="241"/>
      <c r="L46" s="24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>
        <v>20</v>
      </c>
      <c r="AO46" s="271">
        <v>380</v>
      </c>
      <c r="AP46" s="271">
        <v>250</v>
      </c>
      <c r="AQ46" s="272">
        <f t="shared" si="4"/>
        <v>20</v>
      </c>
      <c r="AR46" s="272">
        <f t="shared" si="4"/>
        <v>380</v>
      </c>
      <c r="AS46" s="272">
        <f t="shared" si="4"/>
        <v>250</v>
      </c>
      <c r="AT46" s="357"/>
      <c r="AU46" s="357"/>
      <c r="AV46" s="357"/>
      <c r="AW46" s="357"/>
      <c r="AX46" s="357"/>
      <c r="AY46" s="357"/>
      <c r="AZ46" s="357"/>
      <c r="BA46" s="357"/>
      <c r="BB46" s="357"/>
      <c r="BC46" s="357"/>
      <c r="BD46" s="357"/>
      <c r="BE46" s="357"/>
      <c r="BF46" s="357"/>
      <c r="BG46" s="357"/>
      <c r="BH46" s="357"/>
      <c r="BI46" s="357"/>
      <c r="BJ46" s="357"/>
      <c r="BK46" s="357"/>
      <c r="BL46" s="357"/>
      <c r="BM46" s="357"/>
      <c r="BN46" s="357"/>
      <c r="BO46" s="357"/>
      <c r="BP46" s="357"/>
      <c r="BQ46" s="357"/>
      <c r="BR46" s="357"/>
      <c r="BS46" s="357"/>
      <c r="BT46" s="357"/>
      <c r="BU46" s="357"/>
      <c r="BV46" s="357"/>
      <c r="BW46" s="357"/>
      <c r="BX46" s="272">
        <f t="shared" si="5"/>
        <v>20</v>
      </c>
      <c r="BY46" s="272">
        <f t="shared" si="5"/>
        <v>380</v>
      </c>
      <c r="BZ46" s="272">
        <f t="shared" si="2"/>
        <v>250</v>
      </c>
      <c r="CA46" s="273"/>
      <c r="CB46" s="273"/>
      <c r="CC46" s="273"/>
      <c r="CD46" s="273"/>
      <c r="CE46" s="273"/>
      <c r="CF46" s="273"/>
      <c r="CG46" s="273"/>
      <c r="CH46" s="273"/>
      <c r="CI46" s="273"/>
      <c r="CJ46" s="273"/>
      <c r="CK46" s="273"/>
      <c r="CL46" s="273"/>
      <c r="CM46" s="273"/>
      <c r="CN46" s="273"/>
      <c r="CO46" s="273"/>
      <c r="CP46" s="273"/>
      <c r="CQ46" s="273"/>
      <c r="CR46" s="273"/>
      <c r="CS46" s="273"/>
      <c r="CT46" s="273"/>
      <c r="CU46" s="273"/>
      <c r="CV46" s="273"/>
      <c r="CW46" s="273"/>
      <c r="CX46" s="273"/>
      <c r="CY46" s="273"/>
      <c r="CZ46" s="273"/>
      <c r="DA46" s="273"/>
      <c r="DB46" s="273"/>
      <c r="DC46" s="273"/>
      <c r="DD46" s="273"/>
      <c r="DE46" s="273"/>
      <c r="DF46" s="271"/>
      <c r="DG46" s="271"/>
      <c r="DH46" s="272">
        <f t="shared" si="3"/>
        <v>20</v>
      </c>
      <c r="DI46" s="272">
        <f t="shared" si="3"/>
        <v>380</v>
      </c>
      <c r="DJ46" s="324">
        <f t="shared" si="3"/>
        <v>250</v>
      </c>
      <c r="DK46" s="325"/>
      <c r="DL46" s="325"/>
    </row>
    <row r="47" spans="1:116" s="275" customFormat="1" ht="20.100000000000001" customHeight="1" x14ac:dyDescent="0.25">
      <c r="A47" s="234">
        <v>44</v>
      </c>
      <c r="B47" s="103" t="s">
        <v>482</v>
      </c>
      <c r="C47" s="103" t="s">
        <v>309</v>
      </c>
      <c r="D47" s="103" t="s">
        <v>365</v>
      </c>
      <c r="E47" s="148" t="s">
        <v>479</v>
      </c>
      <c r="F47" s="179" t="s">
        <v>462</v>
      </c>
      <c r="G47" s="322"/>
      <c r="H47" s="323"/>
      <c r="I47" s="322" t="s">
        <v>988</v>
      </c>
      <c r="J47" s="322" t="s">
        <v>974</v>
      </c>
      <c r="K47" s="241"/>
      <c r="L47" s="24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>
        <v>25</v>
      </c>
      <c r="AO47" s="271">
        <v>300</v>
      </c>
      <c r="AP47" s="271">
        <v>300</v>
      </c>
      <c r="AQ47" s="272">
        <f t="shared" si="4"/>
        <v>25</v>
      </c>
      <c r="AR47" s="272">
        <f t="shared" si="4"/>
        <v>300</v>
      </c>
      <c r="AS47" s="272">
        <f t="shared" si="4"/>
        <v>300</v>
      </c>
      <c r="AT47" s="357"/>
      <c r="AU47" s="357"/>
      <c r="AV47" s="357"/>
      <c r="AW47" s="357"/>
      <c r="AX47" s="357"/>
      <c r="AY47" s="357"/>
      <c r="AZ47" s="357"/>
      <c r="BA47" s="357"/>
      <c r="BB47" s="357"/>
      <c r="BC47" s="357"/>
      <c r="BD47" s="357"/>
      <c r="BE47" s="357"/>
      <c r="BF47" s="357"/>
      <c r="BG47" s="357"/>
      <c r="BH47" s="357"/>
      <c r="BI47" s="357"/>
      <c r="BJ47" s="357"/>
      <c r="BK47" s="357"/>
      <c r="BL47" s="357"/>
      <c r="BM47" s="357"/>
      <c r="BN47" s="357"/>
      <c r="BO47" s="357"/>
      <c r="BP47" s="357"/>
      <c r="BQ47" s="357"/>
      <c r="BR47" s="355"/>
      <c r="BS47" s="357"/>
      <c r="BT47" s="357"/>
      <c r="BU47" s="357"/>
      <c r="BV47" s="357"/>
      <c r="BW47" s="357"/>
      <c r="BX47" s="272">
        <f t="shared" si="5"/>
        <v>25</v>
      </c>
      <c r="BY47" s="272">
        <f t="shared" si="5"/>
        <v>300</v>
      </c>
      <c r="BZ47" s="272">
        <f t="shared" si="2"/>
        <v>300</v>
      </c>
      <c r="CA47" s="273"/>
      <c r="CB47" s="273"/>
      <c r="CC47" s="273"/>
      <c r="CD47" s="273"/>
      <c r="CE47" s="273"/>
      <c r="CF47" s="273"/>
      <c r="CG47" s="273"/>
      <c r="CH47" s="273"/>
      <c r="CI47" s="273"/>
      <c r="CJ47" s="273"/>
      <c r="CK47" s="273"/>
      <c r="CL47" s="273"/>
      <c r="CM47" s="273"/>
      <c r="CN47" s="273"/>
      <c r="CO47" s="273"/>
      <c r="CP47" s="273"/>
      <c r="CQ47" s="273"/>
      <c r="CR47" s="273"/>
      <c r="CS47" s="273"/>
      <c r="CT47" s="273"/>
      <c r="CU47" s="273"/>
      <c r="CV47" s="273"/>
      <c r="CW47" s="273"/>
      <c r="CX47" s="273"/>
      <c r="CY47" s="273"/>
      <c r="CZ47" s="273"/>
      <c r="DA47" s="273"/>
      <c r="DB47" s="273"/>
      <c r="DC47" s="273"/>
      <c r="DD47" s="273"/>
      <c r="DE47" s="273"/>
      <c r="DF47" s="271"/>
      <c r="DG47" s="271"/>
      <c r="DH47" s="272">
        <f t="shared" si="3"/>
        <v>25</v>
      </c>
      <c r="DI47" s="272">
        <f t="shared" si="3"/>
        <v>300</v>
      </c>
      <c r="DJ47" s="324">
        <f t="shared" si="3"/>
        <v>300</v>
      </c>
      <c r="DK47" s="325"/>
      <c r="DL47" s="325"/>
    </row>
    <row r="48" spans="1:116" s="275" customFormat="1" ht="20.100000000000001" customHeight="1" x14ac:dyDescent="0.6">
      <c r="A48" s="234">
        <v>45</v>
      </c>
      <c r="B48" s="103" t="s">
        <v>483</v>
      </c>
      <c r="C48" s="103" t="s">
        <v>484</v>
      </c>
      <c r="D48" s="103" t="s">
        <v>485</v>
      </c>
      <c r="E48" s="148" t="s">
        <v>132</v>
      </c>
      <c r="F48" s="179" t="s">
        <v>462</v>
      </c>
      <c r="G48" s="322"/>
      <c r="H48" s="323"/>
      <c r="I48" s="322" t="s">
        <v>989</v>
      </c>
      <c r="J48" s="322" t="s">
        <v>974</v>
      </c>
      <c r="K48" s="241"/>
      <c r="L48" s="24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2">
        <f t="shared" si="4"/>
        <v>0</v>
      </c>
      <c r="AR48" s="272">
        <f t="shared" si="4"/>
        <v>0</v>
      </c>
      <c r="AS48" s="272">
        <f t="shared" si="4"/>
        <v>0</v>
      </c>
      <c r="AT48" s="357"/>
      <c r="AU48" s="357"/>
      <c r="AV48" s="357"/>
      <c r="AW48" s="357"/>
      <c r="AX48" s="357"/>
      <c r="AY48" s="357"/>
      <c r="AZ48" s="357"/>
      <c r="BA48" s="357"/>
      <c r="BB48" s="357"/>
      <c r="BC48" s="357"/>
      <c r="BD48" s="357"/>
      <c r="BE48" s="357"/>
      <c r="BF48" s="357"/>
      <c r="BG48" s="357"/>
      <c r="BH48" s="357"/>
      <c r="BI48" s="357"/>
      <c r="BJ48" s="357"/>
      <c r="BK48" s="357"/>
      <c r="BL48" s="357"/>
      <c r="BM48" s="357"/>
      <c r="BN48" s="357"/>
      <c r="BO48" s="357"/>
      <c r="BP48" s="357"/>
      <c r="BQ48" s="357"/>
      <c r="BR48" s="357"/>
      <c r="BS48" s="357"/>
      <c r="BT48" s="357"/>
      <c r="BU48" s="357"/>
      <c r="BV48" s="357"/>
      <c r="BW48" s="357"/>
      <c r="BX48" s="272">
        <f t="shared" si="5"/>
        <v>0</v>
      </c>
      <c r="BY48" s="272">
        <f t="shared" si="5"/>
        <v>0</v>
      </c>
      <c r="BZ48" s="272">
        <f t="shared" si="2"/>
        <v>0</v>
      </c>
      <c r="CA48" s="273"/>
      <c r="CB48" s="273"/>
      <c r="CC48" s="273"/>
      <c r="CD48" s="273"/>
      <c r="CE48" s="273"/>
      <c r="CF48" s="273"/>
      <c r="CG48" s="273"/>
      <c r="CH48" s="273"/>
      <c r="CI48" s="273"/>
      <c r="CJ48" s="273"/>
      <c r="CK48" s="273"/>
      <c r="CL48" s="273"/>
      <c r="CM48" s="273"/>
      <c r="CN48" s="273"/>
      <c r="CO48" s="273"/>
      <c r="CP48" s="273"/>
      <c r="CQ48" s="273"/>
      <c r="CR48" s="273"/>
      <c r="CS48" s="273"/>
      <c r="CT48" s="273"/>
      <c r="CU48" s="273"/>
      <c r="CV48" s="273"/>
      <c r="CW48" s="273"/>
      <c r="CX48" s="273"/>
      <c r="CY48" s="273"/>
      <c r="CZ48" s="273"/>
      <c r="DA48" s="273"/>
      <c r="DB48" s="273"/>
      <c r="DC48" s="273"/>
      <c r="DD48" s="273"/>
      <c r="DE48" s="273"/>
      <c r="DF48" s="271"/>
      <c r="DG48" s="271"/>
      <c r="DH48" s="272">
        <f t="shared" si="3"/>
        <v>0</v>
      </c>
      <c r="DI48" s="272">
        <f t="shared" si="3"/>
        <v>0</v>
      </c>
      <c r="DJ48" s="324">
        <f t="shared" si="3"/>
        <v>0</v>
      </c>
      <c r="DK48" s="325"/>
      <c r="DL48" s="325"/>
    </row>
    <row r="49" spans="1:116" s="275" customFormat="1" ht="20.100000000000001" customHeight="1" x14ac:dyDescent="0.6">
      <c r="A49" s="234">
        <v>46</v>
      </c>
      <c r="B49" s="103" t="s">
        <v>486</v>
      </c>
      <c r="C49" s="103" t="s">
        <v>487</v>
      </c>
      <c r="D49" s="103" t="s">
        <v>485</v>
      </c>
      <c r="E49" s="148" t="s">
        <v>132</v>
      </c>
      <c r="F49" s="179" t="s">
        <v>462</v>
      </c>
      <c r="G49" s="322"/>
      <c r="H49" s="323"/>
      <c r="I49" s="322" t="s">
        <v>990</v>
      </c>
      <c r="J49" s="322" t="s">
        <v>974</v>
      </c>
      <c r="K49" s="241"/>
      <c r="L49" s="24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2">
        <f t="shared" si="4"/>
        <v>0</v>
      </c>
      <c r="AR49" s="272">
        <f t="shared" si="4"/>
        <v>0</v>
      </c>
      <c r="AS49" s="272">
        <f t="shared" si="4"/>
        <v>0</v>
      </c>
      <c r="AT49" s="357"/>
      <c r="AU49" s="357"/>
      <c r="AV49" s="357"/>
      <c r="AW49" s="357"/>
      <c r="AX49" s="357"/>
      <c r="AY49" s="357"/>
      <c r="AZ49" s="357">
        <v>36</v>
      </c>
      <c r="BA49" s="357">
        <v>470</v>
      </c>
      <c r="BB49" s="357">
        <v>418.8</v>
      </c>
      <c r="BC49" s="357"/>
      <c r="BD49" s="357"/>
      <c r="BE49" s="357"/>
      <c r="BF49" s="357"/>
      <c r="BG49" s="357"/>
      <c r="BH49" s="357"/>
      <c r="BI49" s="357"/>
      <c r="BJ49" s="357"/>
      <c r="BK49" s="357"/>
      <c r="BL49" s="357"/>
      <c r="BM49" s="357"/>
      <c r="BN49" s="357"/>
      <c r="BO49" s="357"/>
      <c r="BP49" s="357"/>
      <c r="BQ49" s="357"/>
      <c r="BR49" s="357"/>
      <c r="BS49" s="357"/>
      <c r="BT49" s="357"/>
      <c r="BU49" s="357">
        <v>20</v>
      </c>
      <c r="BV49" s="357">
        <v>280</v>
      </c>
      <c r="BW49" s="357">
        <v>179.2</v>
      </c>
      <c r="BX49" s="272">
        <f t="shared" si="5"/>
        <v>56</v>
      </c>
      <c r="BY49" s="272">
        <f t="shared" si="5"/>
        <v>750</v>
      </c>
      <c r="BZ49" s="272">
        <f t="shared" si="2"/>
        <v>598</v>
      </c>
      <c r="CA49" s="273"/>
      <c r="CB49" s="273"/>
      <c r="CC49" s="273"/>
      <c r="CD49" s="273"/>
      <c r="CE49" s="273"/>
      <c r="CF49" s="273"/>
      <c r="CG49" s="273"/>
      <c r="CH49" s="273"/>
      <c r="CI49" s="273"/>
      <c r="CJ49" s="273"/>
      <c r="CK49" s="273"/>
      <c r="CL49" s="273"/>
      <c r="CM49" s="273"/>
      <c r="CN49" s="273"/>
      <c r="CO49" s="273"/>
      <c r="CP49" s="273"/>
      <c r="CQ49" s="273"/>
      <c r="CR49" s="273"/>
      <c r="CS49" s="273"/>
      <c r="CT49" s="273"/>
      <c r="CU49" s="273"/>
      <c r="CV49" s="273"/>
      <c r="CW49" s="273"/>
      <c r="CX49" s="273"/>
      <c r="CY49" s="273"/>
      <c r="CZ49" s="273"/>
      <c r="DA49" s="273"/>
      <c r="DB49" s="273"/>
      <c r="DC49" s="273"/>
      <c r="DD49" s="273"/>
      <c r="DE49" s="273"/>
      <c r="DF49" s="271"/>
      <c r="DG49" s="271"/>
      <c r="DH49" s="272">
        <f t="shared" si="3"/>
        <v>56</v>
      </c>
      <c r="DI49" s="272">
        <f t="shared" si="3"/>
        <v>750</v>
      </c>
      <c r="DJ49" s="324">
        <f t="shared" si="3"/>
        <v>598</v>
      </c>
      <c r="DK49" s="325"/>
      <c r="DL49" s="325"/>
    </row>
    <row r="50" spans="1:116" s="275" customFormat="1" ht="20.100000000000001" customHeight="1" x14ac:dyDescent="0.6">
      <c r="A50" s="234">
        <v>47</v>
      </c>
      <c r="B50" s="103" t="s">
        <v>488</v>
      </c>
      <c r="C50" s="103" t="s">
        <v>489</v>
      </c>
      <c r="D50" s="103" t="s">
        <v>490</v>
      </c>
      <c r="E50" s="148" t="s">
        <v>491</v>
      </c>
      <c r="F50" s="179" t="s">
        <v>462</v>
      </c>
      <c r="G50" s="322"/>
      <c r="H50" s="323"/>
      <c r="I50" s="322" t="s">
        <v>991</v>
      </c>
      <c r="J50" s="322" t="s">
        <v>974</v>
      </c>
      <c r="K50" s="241"/>
      <c r="L50" s="24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>
        <v>18</v>
      </c>
      <c r="AL50" s="271">
        <v>440</v>
      </c>
      <c r="AM50" s="271">
        <v>232</v>
      </c>
      <c r="AN50" s="271"/>
      <c r="AO50" s="271"/>
      <c r="AP50" s="271"/>
      <c r="AQ50" s="272">
        <f t="shared" si="4"/>
        <v>18</v>
      </c>
      <c r="AR50" s="272">
        <f t="shared" si="4"/>
        <v>440</v>
      </c>
      <c r="AS50" s="272">
        <f t="shared" si="4"/>
        <v>232</v>
      </c>
      <c r="AT50" s="357"/>
      <c r="AU50" s="357"/>
      <c r="AV50" s="357"/>
      <c r="AW50" s="357"/>
      <c r="AX50" s="357"/>
      <c r="AY50" s="357"/>
      <c r="AZ50" s="357"/>
      <c r="BA50" s="357"/>
      <c r="BB50" s="357"/>
      <c r="BC50" s="357">
        <v>36</v>
      </c>
      <c r="BD50" s="357">
        <v>880</v>
      </c>
      <c r="BE50" s="357">
        <v>464</v>
      </c>
      <c r="BF50" s="357"/>
      <c r="BG50" s="357"/>
      <c r="BH50" s="357"/>
      <c r="BI50" s="357"/>
      <c r="BJ50" s="357"/>
      <c r="BK50" s="357"/>
      <c r="BL50" s="357"/>
      <c r="BM50" s="357"/>
      <c r="BN50" s="357"/>
      <c r="BO50" s="357"/>
      <c r="BP50" s="357"/>
      <c r="BQ50" s="357"/>
      <c r="BR50" s="357"/>
      <c r="BS50" s="357"/>
      <c r="BT50" s="357"/>
      <c r="BU50" s="357"/>
      <c r="BV50" s="357"/>
      <c r="BW50" s="357"/>
      <c r="BX50" s="272">
        <f t="shared" si="5"/>
        <v>54</v>
      </c>
      <c r="BY50" s="272">
        <f t="shared" si="5"/>
        <v>1320</v>
      </c>
      <c r="BZ50" s="272">
        <f t="shared" si="2"/>
        <v>696</v>
      </c>
      <c r="CA50" s="273"/>
      <c r="CB50" s="273"/>
      <c r="CC50" s="273"/>
      <c r="CD50" s="273"/>
      <c r="CE50" s="273"/>
      <c r="CF50" s="273"/>
      <c r="CG50" s="273"/>
      <c r="CH50" s="273"/>
      <c r="CI50" s="273"/>
      <c r="CJ50" s="273"/>
      <c r="CK50" s="273"/>
      <c r="CL50" s="273"/>
      <c r="CM50" s="273"/>
      <c r="CN50" s="273"/>
      <c r="CO50" s="273"/>
      <c r="CP50" s="273"/>
      <c r="CQ50" s="273"/>
      <c r="CR50" s="273"/>
      <c r="CS50" s="273"/>
      <c r="CT50" s="273"/>
      <c r="CU50" s="273"/>
      <c r="CV50" s="273"/>
      <c r="CW50" s="273"/>
      <c r="CX50" s="273"/>
      <c r="CY50" s="273"/>
      <c r="CZ50" s="273"/>
      <c r="DA50" s="273"/>
      <c r="DB50" s="273"/>
      <c r="DC50" s="273"/>
      <c r="DD50" s="273"/>
      <c r="DE50" s="273"/>
      <c r="DF50" s="271"/>
      <c r="DG50" s="271"/>
      <c r="DH50" s="272">
        <f t="shared" si="3"/>
        <v>54</v>
      </c>
      <c r="DI50" s="272">
        <f t="shared" si="3"/>
        <v>1320</v>
      </c>
      <c r="DJ50" s="324">
        <f t="shared" si="3"/>
        <v>696</v>
      </c>
      <c r="DK50" s="325"/>
      <c r="DL50" s="325"/>
    </row>
    <row r="51" spans="1:116" s="275" customFormat="1" ht="20.100000000000001" customHeight="1" x14ac:dyDescent="0.5">
      <c r="A51" s="234">
        <v>48</v>
      </c>
      <c r="B51" s="103" t="s">
        <v>492</v>
      </c>
      <c r="C51" s="187" t="s">
        <v>493</v>
      </c>
      <c r="D51" s="103" t="s">
        <v>494</v>
      </c>
      <c r="E51" s="148" t="s">
        <v>495</v>
      </c>
      <c r="F51" s="179" t="s">
        <v>462</v>
      </c>
      <c r="G51" s="322"/>
      <c r="H51" s="323"/>
      <c r="I51" s="322" t="s">
        <v>992</v>
      </c>
      <c r="J51" s="322" t="s">
        <v>974</v>
      </c>
      <c r="K51" s="241"/>
      <c r="L51" s="24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2">
        <f t="shared" si="4"/>
        <v>0</v>
      </c>
      <c r="AR51" s="272">
        <f t="shared" si="4"/>
        <v>0</v>
      </c>
      <c r="AS51" s="272">
        <f t="shared" si="4"/>
        <v>0</v>
      </c>
      <c r="AT51" s="357">
        <v>19</v>
      </c>
      <c r="AU51" s="357">
        <v>340</v>
      </c>
      <c r="AV51" s="357">
        <v>236</v>
      </c>
      <c r="AW51" s="357"/>
      <c r="AX51" s="357"/>
      <c r="AY51" s="357"/>
      <c r="AZ51" s="357"/>
      <c r="BA51" s="357"/>
      <c r="BB51" s="357"/>
      <c r="BC51" s="357"/>
      <c r="BD51" s="357"/>
      <c r="BE51" s="357"/>
      <c r="BF51" s="357"/>
      <c r="BG51" s="357"/>
      <c r="BH51" s="357"/>
      <c r="BI51" s="357"/>
      <c r="BJ51" s="357"/>
      <c r="BK51" s="357"/>
      <c r="BL51" s="357"/>
      <c r="BM51" s="357"/>
      <c r="BN51" s="357"/>
      <c r="BO51" s="357"/>
      <c r="BP51" s="357"/>
      <c r="BQ51" s="357"/>
      <c r="BR51" s="357"/>
      <c r="BS51" s="357"/>
      <c r="BT51" s="357"/>
      <c r="BU51" s="357"/>
      <c r="BV51" s="357"/>
      <c r="BW51" s="357"/>
      <c r="BX51" s="272">
        <f t="shared" si="5"/>
        <v>19</v>
      </c>
      <c r="BY51" s="272">
        <f t="shared" si="5"/>
        <v>340</v>
      </c>
      <c r="BZ51" s="272">
        <f t="shared" si="2"/>
        <v>236</v>
      </c>
      <c r="CA51" s="273"/>
      <c r="CB51" s="273"/>
      <c r="CC51" s="273"/>
      <c r="CD51" s="273"/>
      <c r="CE51" s="273"/>
      <c r="CF51" s="273"/>
      <c r="CG51" s="273"/>
      <c r="CH51" s="273"/>
      <c r="CI51" s="273"/>
      <c r="CJ51" s="273"/>
      <c r="CK51" s="273"/>
      <c r="CL51" s="273"/>
      <c r="CM51" s="273"/>
      <c r="CN51" s="273"/>
      <c r="CO51" s="273"/>
      <c r="CP51" s="273"/>
      <c r="CQ51" s="273"/>
      <c r="CR51" s="273"/>
      <c r="CS51" s="273"/>
      <c r="CT51" s="273"/>
      <c r="CU51" s="273"/>
      <c r="CV51" s="273"/>
      <c r="CW51" s="273"/>
      <c r="CX51" s="273"/>
      <c r="CY51" s="273"/>
      <c r="CZ51" s="273"/>
      <c r="DA51" s="273"/>
      <c r="DB51" s="273"/>
      <c r="DC51" s="273"/>
      <c r="DD51" s="273"/>
      <c r="DE51" s="273"/>
      <c r="DF51" s="271"/>
      <c r="DG51" s="271"/>
      <c r="DH51" s="272">
        <f t="shared" si="3"/>
        <v>19</v>
      </c>
      <c r="DI51" s="272">
        <f t="shared" si="3"/>
        <v>340</v>
      </c>
      <c r="DJ51" s="324">
        <f t="shared" si="3"/>
        <v>236</v>
      </c>
      <c r="DK51" s="325"/>
      <c r="DL51" s="325"/>
    </row>
    <row r="52" spans="1:116" s="275" customFormat="1" ht="20.100000000000001" customHeight="1" x14ac:dyDescent="0.5">
      <c r="A52" s="234">
        <v>49</v>
      </c>
      <c r="B52" s="103" t="s">
        <v>496</v>
      </c>
      <c r="C52" s="187" t="s">
        <v>497</v>
      </c>
      <c r="D52" s="103" t="s">
        <v>490</v>
      </c>
      <c r="E52" s="148" t="s">
        <v>491</v>
      </c>
      <c r="F52" s="179" t="s">
        <v>462</v>
      </c>
      <c r="G52" s="322"/>
      <c r="H52" s="323"/>
      <c r="I52" s="322" t="s">
        <v>993</v>
      </c>
      <c r="J52" s="322" t="s">
        <v>994</v>
      </c>
      <c r="K52" s="241"/>
      <c r="L52" s="24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2">
        <f t="shared" si="4"/>
        <v>0</v>
      </c>
      <c r="AR52" s="272">
        <f t="shared" si="4"/>
        <v>0</v>
      </c>
      <c r="AS52" s="272">
        <f t="shared" si="4"/>
        <v>0</v>
      </c>
      <c r="AT52" s="357"/>
      <c r="AU52" s="357"/>
      <c r="AV52" s="357"/>
      <c r="AW52" s="357"/>
      <c r="AX52" s="357"/>
      <c r="AY52" s="357"/>
      <c r="AZ52" s="357"/>
      <c r="BA52" s="357"/>
      <c r="BB52" s="357"/>
      <c r="BC52" s="357"/>
      <c r="BD52" s="357"/>
      <c r="BE52" s="357"/>
      <c r="BF52" s="357"/>
      <c r="BG52" s="357"/>
      <c r="BH52" s="357"/>
      <c r="BI52" s="357"/>
      <c r="BJ52" s="357"/>
      <c r="BK52" s="357"/>
      <c r="BL52" s="357"/>
      <c r="BM52" s="357"/>
      <c r="BN52" s="357"/>
      <c r="BO52" s="357"/>
      <c r="BP52" s="357"/>
      <c r="BQ52" s="357"/>
      <c r="BR52" s="357"/>
      <c r="BS52" s="357"/>
      <c r="BT52" s="357"/>
      <c r="BU52" s="357"/>
      <c r="BV52" s="357"/>
      <c r="BW52" s="357"/>
      <c r="BX52" s="272">
        <f t="shared" si="5"/>
        <v>0</v>
      </c>
      <c r="BY52" s="272">
        <f t="shared" si="5"/>
        <v>0</v>
      </c>
      <c r="BZ52" s="272">
        <f t="shared" si="2"/>
        <v>0</v>
      </c>
      <c r="CA52" s="273"/>
      <c r="CB52" s="273"/>
      <c r="CC52" s="273"/>
      <c r="CD52" s="273"/>
      <c r="CE52" s="273"/>
      <c r="CF52" s="273"/>
      <c r="CG52" s="273"/>
      <c r="CH52" s="273"/>
      <c r="CI52" s="273"/>
      <c r="CJ52" s="273"/>
      <c r="CK52" s="273"/>
      <c r="CL52" s="273"/>
      <c r="CM52" s="273"/>
      <c r="CN52" s="273"/>
      <c r="CO52" s="273"/>
      <c r="CP52" s="273"/>
      <c r="CQ52" s="273"/>
      <c r="CR52" s="273"/>
      <c r="CS52" s="273"/>
      <c r="CT52" s="273"/>
      <c r="CU52" s="273"/>
      <c r="CV52" s="273"/>
      <c r="CW52" s="273"/>
      <c r="CX52" s="273"/>
      <c r="CY52" s="273"/>
      <c r="CZ52" s="273"/>
      <c r="DA52" s="273"/>
      <c r="DB52" s="273"/>
      <c r="DC52" s="273"/>
      <c r="DD52" s="273"/>
      <c r="DE52" s="273"/>
      <c r="DF52" s="271"/>
      <c r="DG52" s="271"/>
      <c r="DH52" s="272">
        <f t="shared" si="3"/>
        <v>0</v>
      </c>
      <c r="DI52" s="272">
        <f t="shared" si="3"/>
        <v>0</v>
      </c>
      <c r="DJ52" s="324">
        <f t="shared" si="3"/>
        <v>0</v>
      </c>
      <c r="DK52" s="325"/>
      <c r="DL52" s="325"/>
    </row>
    <row r="53" spans="1:116" s="275" customFormat="1" ht="20.100000000000001" customHeight="1" x14ac:dyDescent="0.5">
      <c r="A53" s="234">
        <v>50</v>
      </c>
      <c r="B53" s="103" t="s">
        <v>498</v>
      </c>
      <c r="C53" s="187" t="s">
        <v>499</v>
      </c>
      <c r="D53" s="103" t="s">
        <v>500</v>
      </c>
      <c r="E53" s="148" t="s">
        <v>501</v>
      </c>
      <c r="F53" s="179" t="s">
        <v>462</v>
      </c>
      <c r="G53" s="322"/>
      <c r="H53" s="323"/>
      <c r="I53" s="322" t="s">
        <v>995</v>
      </c>
      <c r="J53" s="322" t="s">
        <v>994</v>
      </c>
      <c r="K53" s="241"/>
      <c r="L53" s="24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2">
        <f t="shared" si="4"/>
        <v>0</v>
      </c>
      <c r="AR53" s="272">
        <f t="shared" si="4"/>
        <v>0</v>
      </c>
      <c r="AS53" s="272">
        <f t="shared" si="4"/>
        <v>0</v>
      </c>
      <c r="AT53" s="357"/>
      <c r="AU53" s="357"/>
      <c r="AV53" s="357"/>
      <c r="AW53" s="357"/>
      <c r="AX53" s="357"/>
      <c r="AY53" s="357"/>
      <c r="AZ53" s="357"/>
      <c r="BA53" s="357"/>
      <c r="BB53" s="357"/>
      <c r="BC53" s="357"/>
      <c r="BD53" s="357"/>
      <c r="BE53" s="357"/>
      <c r="BF53" s="357"/>
      <c r="BG53" s="357"/>
      <c r="BH53" s="357"/>
      <c r="BI53" s="357"/>
      <c r="BJ53" s="357"/>
      <c r="BK53" s="357"/>
      <c r="BL53" s="357"/>
      <c r="BM53" s="357"/>
      <c r="BN53" s="357"/>
      <c r="BO53" s="357"/>
      <c r="BP53" s="357"/>
      <c r="BQ53" s="357"/>
      <c r="BR53" s="357"/>
      <c r="BS53" s="357"/>
      <c r="BT53" s="357"/>
      <c r="BU53" s="357"/>
      <c r="BV53" s="357"/>
      <c r="BW53" s="357"/>
      <c r="BX53" s="272">
        <f t="shared" si="5"/>
        <v>0</v>
      </c>
      <c r="BY53" s="272">
        <f t="shared" si="5"/>
        <v>0</v>
      </c>
      <c r="BZ53" s="272">
        <f t="shared" si="2"/>
        <v>0</v>
      </c>
      <c r="CA53" s="273"/>
      <c r="CB53" s="273"/>
      <c r="CC53" s="273"/>
      <c r="CD53" s="273"/>
      <c r="CE53" s="273"/>
      <c r="CF53" s="273"/>
      <c r="CG53" s="273"/>
      <c r="CH53" s="273"/>
      <c r="CI53" s="273"/>
      <c r="CJ53" s="273"/>
      <c r="CK53" s="273"/>
      <c r="CL53" s="273"/>
      <c r="CM53" s="273"/>
      <c r="CN53" s="273"/>
      <c r="CO53" s="273"/>
      <c r="CP53" s="273"/>
      <c r="CQ53" s="273"/>
      <c r="CR53" s="273"/>
      <c r="CS53" s="273"/>
      <c r="CT53" s="273"/>
      <c r="CU53" s="273"/>
      <c r="CV53" s="273"/>
      <c r="CW53" s="273"/>
      <c r="CX53" s="273"/>
      <c r="CY53" s="273"/>
      <c r="CZ53" s="273"/>
      <c r="DA53" s="273"/>
      <c r="DB53" s="273"/>
      <c r="DC53" s="273"/>
      <c r="DD53" s="273"/>
      <c r="DE53" s="273"/>
      <c r="DF53" s="271"/>
      <c r="DG53" s="271"/>
      <c r="DH53" s="272">
        <f t="shared" si="3"/>
        <v>0</v>
      </c>
      <c r="DI53" s="272">
        <f t="shared" si="3"/>
        <v>0</v>
      </c>
      <c r="DJ53" s="324">
        <f t="shared" si="3"/>
        <v>0</v>
      </c>
      <c r="DK53" s="325"/>
      <c r="DL53" s="325"/>
    </row>
    <row r="54" spans="1:116" s="275" customFormat="1" ht="20.100000000000001" customHeight="1" x14ac:dyDescent="0.5">
      <c r="A54" s="234">
        <v>51</v>
      </c>
      <c r="B54" s="103" t="s">
        <v>502</v>
      </c>
      <c r="C54" s="187" t="s">
        <v>503</v>
      </c>
      <c r="D54" s="103" t="s">
        <v>500</v>
      </c>
      <c r="E54" s="148" t="s">
        <v>501</v>
      </c>
      <c r="F54" s="179" t="s">
        <v>462</v>
      </c>
      <c r="G54" s="322"/>
      <c r="H54" s="323"/>
      <c r="I54" s="322" t="s">
        <v>996</v>
      </c>
      <c r="J54" s="322" t="s">
        <v>994</v>
      </c>
      <c r="K54" s="241"/>
      <c r="L54" s="24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>
        <v>18</v>
      </c>
      <c r="AF54" s="271">
        <v>300</v>
      </c>
      <c r="AG54" s="271">
        <v>222</v>
      </c>
      <c r="AH54" s="271"/>
      <c r="AI54" s="271"/>
      <c r="AJ54" s="271"/>
      <c r="AK54" s="271"/>
      <c r="AL54" s="271"/>
      <c r="AM54" s="271"/>
      <c r="AN54" s="271"/>
      <c r="AO54" s="271"/>
      <c r="AP54" s="271"/>
      <c r="AQ54" s="272">
        <f t="shared" si="4"/>
        <v>18</v>
      </c>
      <c r="AR54" s="272">
        <f t="shared" si="4"/>
        <v>300</v>
      </c>
      <c r="AS54" s="272">
        <f t="shared" si="4"/>
        <v>222</v>
      </c>
      <c r="AT54" s="357"/>
      <c r="AU54" s="357"/>
      <c r="AV54" s="357"/>
      <c r="AW54" s="357"/>
      <c r="AX54" s="357"/>
      <c r="AY54" s="357"/>
      <c r="AZ54" s="357"/>
      <c r="BA54" s="357"/>
      <c r="BB54" s="357"/>
      <c r="BC54" s="357"/>
      <c r="BD54" s="357"/>
      <c r="BE54" s="357"/>
      <c r="BF54" s="357"/>
      <c r="BG54" s="357"/>
      <c r="BH54" s="357"/>
      <c r="BI54" s="357"/>
      <c r="BJ54" s="357"/>
      <c r="BK54" s="357"/>
      <c r="BL54" s="357"/>
      <c r="BM54" s="357"/>
      <c r="BN54" s="357"/>
      <c r="BO54" s="357"/>
      <c r="BP54" s="357"/>
      <c r="BQ54" s="357"/>
      <c r="BR54" s="357"/>
      <c r="BS54" s="357"/>
      <c r="BT54" s="357"/>
      <c r="BU54" s="357"/>
      <c r="BV54" s="357"/>
      <c r="BW54" s="357"/>
      <c r="BX54" s="272">
        <f t="shared" si="5"/>
        <v>18</v>
      </c>
      <c r="BY54" s="272">
        <f t="shared" si="5"/>
        <v>300</v>
      </c>
      <c r="BZ54" s="272">
        <f t="shared" si="2"/>
        <v>222</v>
      </c>
      <c r="CA54" s="273"/>
      <c r="CB54" s="273"/>
      <c r="CC54" s="273"/>
      <c r="CD54" s="273"/>
      <c r="CE54" s="273"/>
      <c r="CF54" s="273"/>
      <c r="CG54" s="273"/>
      <c r="CH54" s="273"/>
      <c r="CI54" s="273"/>
      <c r="CJ54" s="273"/>
      <c r="CK54" s="273"/>
      <c r="CL54" s="273"/>
      <c r="CM54" s="273"/>
      <c r="CN54" s="273"/>
      <c r="CO54" s="273"/>
      <c r="CP54" s="273"/>
      <c r="CQ54" s="273"/>
      <c r="CR54" s="273"/>
      <c r="CS54" s="273"/>
      <c r="CT54" s="273"/>
      <c r="CU54" s="273"/>
      <c r="CV54" s="273"/>
      <c r="CW54" s="273"/>
      <c r="CX54" s="273"/>
      <c r="CY54" s="273"/>
      <c r="CZ54" s="273"/>
      <c r="DA54" s="273"/>
      <c r="DB54" s="273"/>
      <c r="DC54" s="273"/>
      <c r="DD54" s="273"/>
      <c r="DE54" s="273"/>
      <c r="DF54" s="271"/>
      <c r="DG54" s="271"/>
      <c r="DH54" s="272">
        <f t="shared" si="3"/>
        <v>18</v>
      </c>
      <c r="DI54" s="272">
        <f t="shared" si="3"/>
        <v>300</v>
      </c>
      <c r="DJ54" s="324">
        <f t="shared" si="3"/>
        <v>222</v>
      </c>
      <c r="DK54" s="325"/>
      <c r="DL54" s="325"/>
    </row>
    <row r="55" spans="1:116" s="275" customFormat="1" ht="20.100000000000001" customHeight="1" x14ac:dyDescent="0.5">
      <c r="A55" s="234">
        <v>52</v>
      </c>
      <c r="B55" s="103" t="s">
        <v>504</v>
      </c>
      <c r="C55" s="187" t="s">
        <v>505</v>
      </c>
      <c r="D55" s="103" t="s">
        <v>500</v>
      </c>
      <c r="E55" s="148" t="s">
        <v>501</v>
      </c>
      <c r="F55" s="179" t="s">
        <v>462</v>
      </c>
      <c r="G55" s="322"/>
      <c r="H55" s="323"/>
      <c r="I55" s="322" t="s">
        <v>997</v>
      </c>
      <c r="J55" s="322" t="s">
        <v>994</v>
      </c>
      <c r="K55" s="241"/>
      <c r="L55" s="24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2">
        <f t="shared" si="4"/>
        <v>0</v>
      </c>
      <c r="AR55" s="272">
        <f t="shared" si="4"/>
        <v>0</v>
      </c>
      <c r="AS55" s="272">
        <f t="shared" si="4"/>
        <v>0</v>
      </c>
      <c r="AT55" s="357"/>
      <c r="AU55" s="357"/>
      <c r="AV55" s="357"/>
      <c r="AW55" s="357"/>
      <c r="AX55" s="357"/>
      <c r="AY55" s="357"/>
      <c r="AZ55" s="357"/>
      <c r="BA55" s="357"/>
      <c r="BB55" s="357"/>
      <c r="BC55" s="357"/>
      <c r="BD55" s="357"/>
      <c r="BE55" s="357"/>
      <c r="BF55" s="357"/>
      <c r="BG55" s="357"/>
      <c r="BH55" s="357"/>
      <c r="BI55" s="357"/>
      <c r="BJ55" s="357"/>
      <c r="BK55" s="357"/>
      <c r="BL55" s="357"/>
      <c r="BM55" s="357"/>
      <c r="BN55" s="357"/>
      <c r="BO55" s="357"/>
      <c r="BP55" s="357"/>
      <c r="BQ55" s="357"/>
      <c r="BR55" s="357"/>
      <c r="BS55" s="357"/>
      <c r="BT55" s="357"/>
      <c r="BU55" s="357"/>
      <c r="BV55" s="357"/>
      <c r="BW55" s="357"/>
      <c r="BX55" s="272">
        <f t="shared" si="5"/>
        <v>0</v>
      </c>
      <c r="BY55" s="272">
        <f t="shared" si="5"/>
        <v>0</v>
      </c>
      <c r="BZ55" s="272">
        <f t="shared" si="2"/>
        <v>0</v>
      </c>
      <c r="CA55" s="273"/>
      <c r="CB55" s="273"/>
      <c r="CC55" s="273"/>
      <c r="CD55" s="273"/>
      <c r="CE55" s="273"/>
      <c r="CF55" s="273"/>
      <c r="CG55" s="273"/>
      <c r="CH55" s="273"/>
      <c r="CI55" s="273"/>
      <c r="CJ55" s="273"/>
      <c r="CK55" s="273"/>
      <c r="CL55" s="273"/>
      <c r="CM55" s="273"/>
      <c r="CN55" s="273"/>
      <c r="CO55" s="273"/>
      <c r="CP55" s="273"/>
      <c r="CQ55" s="273"/>
      <c r="CR55" s="273"/>
      <c r="CS55" s="273"/>
      <c r="CT55" s="273"/>
      <c r="CU55" s="273"/>
      <c r="CV55" s="273"/>
      <c r="CW55" s="273"/>
      <c r="CX55" s="273"/>
      <c r="CY55" s="273"/>
      <c r="CZ55" s="273"/>
      <c r="DA55" s="273"/>
      <c r="DB55" s="273"/>
      <c r="DC55" s="273"/>
      <c r="DD55" s="273"/>
      <c r="DE55" s="273"/>
      <c r="DF55" s="271"/>
      <c r="DG55" s="271"/>
      <c r="DH55" s="272">
        <f t="shared" si="3"/>
        <v>0</v>
      </c>
      <c r="DI55" s="272">
        <f t="shared" si="3"/>
        <v>0</v>
      </c>
      <c r="DJ55" s="324">
        <f t="shared" si="3"/>
        <v>0</v>
      </c>
      <c r="DK55" s="325"/>
      <c r="DL55" s="325"/>
    </row>
    <row r="56" spans="1:116" s="275" customFormat="1" ht="20.100000000000001" customHeight="1" x14ac:dyDescent="0.5">
      <c r="A56" s="234">
        <v>53</v>
      </c>
      <c r="B56" s="103" t="s">
        <v>506</v>
      </c>
      <c r="C56" s="187" t="s">
        <v>507</v>
      </c>
      <c r="D56" s="103" t="s">
        <v>304</v>
      </c>
      <c r="E56" s="148" t="s">
        <v>305</v>
      </c>
      <c r="F56" s="179" t="s">
        <v>462</v>
      </c>
      <c r="G56" s="322"/>
      <c r="H56" s="323"/>
      <c r="I56" s="322" t="s">
        <v>998</v>
      </c>
      <c r="J56" s="322" t="s">
        <v>994</v>
      </c>
      <c r="K56" s="241"/>
      <c r="L56" s="24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2">
        <f t="shared" si="4"/>
        <v>0</v>
      </c>
      <c r="AR56" s="272">
        <f t="shared" si="4"/>
        <v>0</v>
      </c>
      <c r="AS56" s="272">
        <f t="shared" si="4"/>
        <v>0</v>
      </c>
      <c r="AT56" s="357"/>
      <c r="AU56" s="357"/>
      <c r="AV56" s="357"/>
      <c r="AW56" s="357"/>
      <c r="AX56" s="357"/>
      <c r="AY56" s="357"/>
      <c r="AZ56" s="357"/>
      <c r="BA56" s="357"/>
      <c r="BB56" s="357"/>
      <c r="BC56" s="357"/>
      <c r="BD56" s="357"/>
      <c r="BE56" s="357"/>
      <c r="BF56" s="357"/>
      <c r="BG56" s="357"/>
      <c r="BH56" s="357"/>
      <c r="BI56" s="357"/>
      <c r="BJ56" s="357"/>
      <c r="BK56" s="357"/>
      <c r="BL56" s="357"/>
      <c r="BM56" s="357"/>
      <c r="BN56" s="357"/>
      <c r="BO56" s="357">
        <v>10</v>
      </c>
      <c r="BP56" s="357">
        <v>140</v>
      </c>
      <c r="BQ56" s="357">
        <v>89.6</v>
      </c>
      <c r="BR56" s="357"/>
      <c r="BS56" s="357"/>
      <c r="BT56" s="357"/>
      <c r="BU56" s="357"/>
      <c r="BV56" s="357"/>
      <c r="BW56" s="357"/>
      <c r="BX56" s="272">
        <f t="shared" si="5"/>
        <v>10</v>
      </c>
      <c r="BY56" s="272">
        <f t="shared" si="5"/>
        <v>140</v>
      </c>
      <c r="BZ56" s="272">
        <f t="shared" si="2"/>
        <v>89.6</v>
      </c>
      <c r="CA56" s="273"/>
      <c r="CB56" s="273"/>
      <c r="CC56" s="273"/>
      <c r="CD56" s="273"/>
      <c r="CE56" s="273"/>
      <c r="CF56" s="273"/>
      <c r="CG56" s="273"/>
      <c r="CH56" s="273"/>
      <c r="CI56" s="273"/>
      <c r="CJ56" s="273"/>
      <c r="CK56" s="273"/>
      <c r="CL56" s="273"/>
      <c r="CM56" s="273"/>
      <c r="CN56" s="273"/>
      <c r="CO56" s="273"/>
      <c r="CP56" s="273"/>
      <c r="CQ56" s="273"/>
      <c r="CR56" s="273"/>
      <c r="CS56" s="273"/>
      <c r="CT56" s="273"/>
      <c r="CU56" s="273"/>
      <c r="CV56" s="273"/>
      <c r="CW56" s="273"/>
      <c r="CX56" s="273"/>
      <c r="CY56" s="273"/>
      <c r="CZ56" s="273"/>
      <c r="DA56" s="273"/>
      <c r="DB56" s="273"/>
      <c r="DC56" s="273"/>
      <c r="DD56" s="273"/>
      <c r="DE56" s="273"/>
      <c r="DF56" s="271"/>
      <c r="DG56" s="271"/>
      <c r="DH56" s="272">
        <f t="shared" si="3"/>
        <v>10</v>
      </c>
      <c r="DI56" s="272">
        <f t="shared" si="3"/>
        <v>140</v>
      </c>
      <c r="DJ56" s="324">
        <f t="shared" si="3"/>
        <v>89.6</v>
      </c>
      <c r="DK56" s="325"/>
      <c r="DL56" s="325"/>
    </row>
    <row r="57" spans="1:116" s="275" customFormat="1" ht="20.100000000000001" customHeight="1" x14ac:dyDescent="0.5">
      <c r="A57" s="234">
        <v>54</v>
      </c>
      <c r="B57" s="103" t="s">
        <v>508</v>
      </c>
      <c r="C57" s="187" t="s">
        <v>508</v>
      </c>
      <c r="D57" s="103" t="s">
        <v>509</v>
      </c>
      <c r="E57" s="148" t="s">
        <v>510</v>
      </c>
      <c r="F57" s="179" t="s">
        <v>511</v>
      </c>
      <c r="G57" s="322"/>
      <c r="H57" s="323"/>
      <c r="I57" s="322" t="s">
        <v>999</v>
      </c>
      <c r="J57" s="322" t="s">
        <v>994</v>
      </c>
      <c r="K57" s="241"/>
      <c r="L57" s="24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2">
        <f t="shared" si="4"/>
        <v>0</v>
      </c>
      <c r="AR57" s="272">
        <f t="shared" si="4"/>
        <v>0</v>
      </c>
      <c r="AS57" s="272">
        <f t="shared" si="4"/>
        <v>0</v>
      </c>
      <c r="AT57" s="357"/>
      <c r="AU57" s="357"/>
      <c r="AV57" s="357"/>
      <c r="AW57" s="357"/>
      <c r="AX57" s="357"/>
      <c r="AY57" s="357"/>
      <c r="AZ57" s="357"/>
      <c r="BA57" s="357"/>
      <c r="BB57" s="357"/>
      <c r="BC57" s="357"/>
      <c r="BD57" s="357"/>
      <c r="BE57" s="357"/>
      <c r="BF57" s="357"/>
      <c r="BG57" s="357"/>
      <c r="BH57" s="357"/>
      <c r="BI57" s="357"/>
      <c r="BJ57" s="357"/>
      <c r="BK57" s="357"/>
      <c r="BL57" s="357"/>
      <c r="BM57" s="357"/>
      <c r="BN57" s="357"/>
      <c r="BO57" s="357"/>
      <c r="BP57" s="357"/>
      <c r="BQ57" s="357"/>
      <c r="BR57" s="357"/>
      <c r="BS57" s="357"/>
      <c r="BT57" s="357"/>
      <c r="BU57" s="357"/>
      <c r="BV57" s="357"/>
      <c r="BW57" s="357"/>
      <c r="BX57" s="272">
        <f t="shared" si="5"/>
        <v>0</v>
      </c>
      <c r="BY57" s="272">
        <f t="shared" si="5"/>
        <v>0</v>
      </c>
      <c r="BZ57" s="272">
        <f t="shared" si="2"/>
        <v>0</v>
      </c>
      <c r="CA57" s="273"/>
      <c r="CB57" s="273"/>
      <c r="CC57" s="273"/>
      <c r="CD57" s="273"/>
      <c r="CE57" s="273"/>
      <c r="CF57" s="273"/>
      <c r="CG57" s="273"/>
      <c r="CH57" s="273"/>
      <c r="CI57" s="273"/>
      <c r="CJ57" s="273"/>
      <c r="CK57" s="273"/>
      <c r="CL57" s="273"/>
      <c r="CM57" s="273"/>
      <c r="CN57" s="273"/>
      <c r="CO57" s="273"/>
      <c r="CP57" s="273"/>
      <c r="CQ57" s="273"/>
      <c r="CR57" s="273"/>
      <c r="CS57" s="273"/>
      <c r="CT57" s="273"/>
      <c r="CU57" s="273"/>
      <c r="CV57" s="273"/>
      <c r="CW57" s="273"/>
      <c r="CX57" s="273"/>
      <c r="CY57" s="273"/>
      <c r="CZ57" s="273"/>
      <c r="DA57" s="273"/>
      <c r="DB57" s="273"/>
      <c r="DC57" s="273"/>
      <c r="DD57" s="273"/>
      <c r="DE57" s="273"/>
      <c r="DF57" s="271"/>
      <c r="DG57" s="271"/>
      <c r="DH57" s="272">
        <f t="shared" si="3"/>
        <v>0</v>
      </c>
      <c r="DI57" s="272">
        <f t="shared" si="3"/>
        <v>0</v>
      </c>
      <c r="DJ57" s="324">
        <f t="shared" si="3"/>
        <v>0</v>
      </c>
      <c r="DK57" s="325"/>
      <c r="DL57" s="325"/>
    </row>
    <row r="58" spans="1:116" s="275" customFormat="1" ht="20.100000000000001" customHeight="1" x14ac:dyDescent="0.6">
      <c r="A58" s="234">
        <v>55</v>
      </c>
      <c r="B58" s="103" t="s">
        <v>512</v>
      </c>
      <c r="C58" s="103" t="s">
        <v>513</v>
      </c>
      <c r="D58" s="103" t="s">
        <v>514</v>
      </c>
      <c r="E58" s="148" t="s">
        <v>515</v>
      </c>
      <c r="F58" s="179" t="s">
        <v>516</v>
      </c>
      <c r="G58" s="322"/>
      <c r="H58" s="323"/>
      <c r="I58" s="322" t="s">
        <v>1000</v>
      </c>
      <c r="J58" s="322" t="s">
        <v>994</v>
      </c>
      <c r="K58" s="241"/>
      <c r="L58" s="24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2">
        <f t="shared" si="4"/>
        <v>0</v>
      </c>
      <c r="AR58" s="272">
        <f t="shared" si="4"/>
        <v>0</v>
      </c>
      <c r="AS58" s="272">
        <f t="shared" si="4"/>
        <v>0</v>
      </c>
      <c r="AT58" s="357"/>
      <c r="AU58" s="357"/>
      <c r="AV58" s="357"/>
      <c r="AW58" s="357"/>
      <c r="AX58" s="357"/>
      <c r="AY58" s="357"/>
      <c r="AZ58" s="357">
        <v>25</v>
      </c>
      <c r="BA58" s="357">
        <v>300</v>
      </c>
      <c r="BB58" s="357">
        <v>300</v>
      </c>
      <c r="BC58" s="357"/>
      <c r="BD58" s="357"/>
      <c r="BE58" s="357"/>
      <c r="BF58" s="357"/>
      <c r="BG58" s="357"/>
      <c r="BH58" s="357"/>
      <c r="BI58" s="357"/>
      <c r="BJ58" s="357"/>
      <c r="BK58" s="357"/>
      <c r="BL58" s="357"/>
      <c r="BM58" s="357"/>
      <c r="BN58" s="357"/>
      <c r="BO58" s="357"/>
      <c r="BP58" s="357"/>
      <c r="BQ58" s="357"/>
      <c r="BR58" s="357"/>
      <c r="BS58" s="357"/>
      <c r="BT58" s="357"/>
      <c r="BU58" s="357"/>
      <c r="BV58" s="357"/>
      <c r="BW58" s="357"/>
      <c r="BX58" s="272">
        <f t="shared" si="5"/>
        <v>25</v>
      </c>
      <c r="BY58" s="272">
        <f t="shared" si="5"/>
        <v>300</v>
      </c>
      <c r="BZ58" s="272">
        <f t="shared" si="2"/>
        <v>300</v>
      </c>
      <c r="CA58" s="273"/>
      <c r="CB58" s="273"/>
      <c r="CC58" s="273"/>
      <c r="CD58" s="273"/>
      <c r="CE58" s="273"/>
      <c r="CF58" s="273"/>
      <c r="CG58" s="273"/>
      <c r="CH58" s="273"/>
      <c r="CI58" s="273"/>
      <c r="CJ58" s="273"/>
      <c r="CK58" s="273"/>
      <c r="CL58" s="273"/>
      <c r="CM58" s="273"/>
      <c r="CN58" s="273"/>
      <c r="CO58" s="273"/>
      <c r="CP58" s="273"/>
      <c r="CQ58" s="273"/>
      <c r="CR58" s="273"/>
      <c r="CS58" s="273"/>
      <c r="CT58" s="273"/>
      <c r="CU58" s="273"/>
      <c r="CV58" s="273"/>
      <c r="CW58" s="273"/>
      <c r="CX58" s="273"/>
      <c r="CY58" s="273"/>
      <c r="CZ58" s="273"/>
      <c r="DA58" s="273"/>
      <c r="DB58" s="273"/>
      <c r="DC58" s="273"/>
      <c r="DD58" s="273"/>
      <c r="DE58" s="273"/>
      <c r="DF58" s="271"/>
      <c r="DG58" s="271"/>
      <c r="DH58" s="272">
        <f t="shared" si="3"/>
        <v>25</v>
      </c>
      <c r="DI58" s="272">
        <f t="shared" si="3"/>
        <v>300</v>
      </c>
      <c r="DJ58" s="324">
        <f t="shared" si="3"/>
        <v>300</v>
      </c>
      <c r="DK58" s="325"/>
      <c r="DL58" s="325"/>
    </row>
    <row r="59" spans="1:116" s="275" customFormat="1" ht="20.100000000000001" customHeight="1" x14ac:dyDescent="0.6">
      <c r="A59" s="234">
        <v>56</v>
      </c>
      <c r="B59" s="103" t="s">
        <v>517</v>
      </c>
      <c r="C59" s="103" t="s">
        <v>518</v>
      </c>
      <c r="D59" s="103" t="s">
        <v>168</v>
      </c>
      <c r="E59" s="148" t="s">
        <v>169</v>
      </c>
      <c r="F59" s="179" t="s">
        <v>516</v>
      </c>
      <c r="G59" s="322"/>
      <c r="H59" s="323"/>
      <c r="I59" s="322" t="s">
        <v>1001</v>
      </c>
      <c r="J59" s="322" t="s">
        <v>994</v>
      </c>
      <c r="K59" s="241"/>
      <c r="L59" s="241"/>
      <c r="M59" s="271"/>
      <c r="N59" s="271"/>
      <c r="O59" s="271"/>
      <c r="P59" s="271"/>
      <c r="Q59" s="271"/>
      <c r="R59" s="271"/>
      <c r="S59" s="271">
        <v>25</v>
      </c>
      <c r="T59" s="271">
        <v>440</v>
      </c>
      <c r="U59" s="271">
        <v>262</v>
      </c>
      <c r="V59" s="271"/>
      <c r="W59" s="271"/>
      <c r="X59" s="271"/>
      <c r="Y59" s="271"/>
      <c r="Z59" s="271"/>
      <c r="AA59" s="271"/>
      <c r="AB59" s="271">
        <v>15</v>
      </c>
      <c r="AC59" s="271">
        <v>180</v>
      </c>
      <c r="AD59" s="271">
        <v>180</v>
      </c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2">
        <f t="shared" si="4"/>
        <v>40</v>
      </c>
      <c r="AR59" s="272">
        <f t="shared" si="4"/>
        <v>620</v>
      </c>
      <c r="AS59" s="272">
        <f t="shared" si="4"/>
        <v>442</v>
      </c>
      <c r="AT59" s="357"/>
      <c r="AU59" s="357"/>
      <c r="AV59" s="357"/>
      <c r="AW59" s="357"/>
      <c r="AX59" s="357"/>
      <c r="AY59" s="357"/>
      <c r="AZ59" s="357"/>
      <c r="BA59" s="357"/>
      <c r="BB59" s="357"/>
      <c r="BC59" s="357"/>
      <c r="BD59" s="357"/>
      <c r="BE59" s="357"/>
      <c r="BF59" s="357"/>
      <c r="BG59" s="357"/>
      <c r="BH59" s="357"/>
      <c r="BI59" s="357">
        <v>25</v>
      </c>
      <c r="BJ59" s="357">
        <v>384</v>
      </c>
      <c r="BK59" s="357">
        <v>306</v>
      </c>
      <c r="BL59" s="357"/>
      <c r="BM59" s="357"/>
      <c r="BN59" s="357"/>
      <c r="BO59" s="357"/>
      <c r="BP59" s="357"/>
      <c r="BQ59" s="357"/>
      <c r="BR59" s="357"/>
      <c r="BS59" s="357"/>
      <c r="BT59" s="357"/>
      <c r="BU59" s="357"/>
      <c r="BV59" s="357"/>
      <c r="BW59" s="357"/>
      <c r="BX59" s="272">
        <f t="shared" si="5"/>
        <v>65</v>
      </c>
      <c r="BY59" s="272">
        <f t="shared" si="5"/>
        <v>1004</v>
      </c>
      <c r="BZ59" s="272">
        <f t="shared" si="2"/>
        <v>748</v>
      </c>
      <c r="CA59" s="273"/>
      <c r="CB59" s="273"/>
      <c r="CC59" s="273"/>
      <c r="CD59" s="273"/>
      <c r="CE59" s="273"/>
      <c r="CF59" s="273"/>
      <c r="CG59" s="273"/>
      <c r="CH59" s="273"/>
      <c r="CI59" s="273"/>
      <c r="CJ59" s="273"/>
      <c r="CK59" s="273"/>
      <c r="CL59" s="273"/>
      <c r="CM59" s="273"/>
      <c r="CN59" s="273"/>
      <c r="CO59" s="273"/>
      <c r="CP59" s="273"/>
      <c r="CQ59" s="273"/>
      <c r="CR59" s="273"/>
      <c r="CS59" s="273"/>
      <c r="CT59" s="273"/>
      <c r="CU59" s="273"/>
      <c r="CV59" s="273"/>
      <c r="CW59" s="273"/>
      <c r="CX59" s="273"/>
      <c r="CY59" s="273"/>
      <c r="CZ59" s="273"/>
      <c r="DA59" s="273"/>
      <c r="DB59" s="273"/>
      <c r="DC59" s="273"/>
      <c r="DD59" s="273"/>
      <c r="DE59" s="273"/>
      <c r="DF59" s="271"/>
      <c r="DG59" s="271"/>
      <c r="DH59" s="272">
        <f t="shared" si="3"/>
        <v>65</v>
      </c>
      <c r="DI59" s="272">
        <f t="shared" si="3"/>
        <v>1004</v>
      </c>
      <c r="DJ59" s="324">
        <f t="shared" si="3"/>
        <v>748</v>
      </c>
      <c r="DK59" s="325"/>
      <c r="DL59" s="325"/>
    </row>
    <row r="60" spans="1:116" s="275" customFormat="1" ht="20.100000000000001" customHeight="1" x14ac:dyDescent="0.6">
      <c r="A60" s="234">
        <v>57</v>
      </c>
      <c r="B60" s="103" t="s">
        <v>519</v>
      </c>
      <c r="C60" s="103" t="s">
        <v>520</v>
      </c>
      <c r="D60" s="103" t="s">
        <v>168</v>
      </c>
      <c r="E60" s="148" t="s">
        <v>169</v>
      </c>
      <c r="F60" s="179" t="s">
        <v>516</v>
      </c>
      <c r="G60" s="322"/>
      <c r="H60" s="323"/>
      <c r="I60" s="322" t="s">
        <v>1002</v>
      </c>
      <c r="J60" s="322" t="s">
        <v>994</v>
      </c>
      <c r="K60" s="241"/>
      <c r="L60" s="241"/>
      <c r="M60" s="271"/>
      <c r="N60" s="271"/>
      <c r="O60" s="271"/>
      <c r="P60" s="271"/>
      <c r="Q60" s="271"/>
      <c r="R60" s="271"/>
      <c r="S60" s="271">
        <v>15</v>
      </c>
      <c r="T60" s="271">
        <v>180</v>
      </c>
      <c r="U60" s="271">
        <v>180</v>
      </c>
      <c r="V60" s="271"/>
      <c r="W60" s="271"/>
      <c r="X60" s="271"/>
      <c r="Y60" s="271"/>
      <c r="Z60" s="271"/>
      <c r="AA60" s="271"/>
      <c r="AB60" s="271">
        <v>10</v>
      </c>
      <c r="AC60" s="271">
        <v>120</v>
      </c>
      <c r="AD60" s="271">
        <v>120</v>
      </c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2">
        <f t="shared" si="4"/>
        <v>25</v>
      </c>
      <c r="AR60" s="272">
        <f t="shared" si="4"/>
        <v>300</v>
      </c>
      <c r="AS60" s="272">
        <f t="shared" si="4"/>
        <v>300</v>
      </c>
      <c r="AT60" s="357"/>
      <c r="AU60" s="357"/>
      <c r="AV60" s="357"/>
      <c r="AW60" s="357"/>
      <c r="AX60" s="357"/>
      <c r="AY60" s="357"/>
      <c r="AZ60" s="357"/>
      <c r="BA60" s="357"/>
      <c r="BB60" s="357"/>
      <c r="BC60" s="357"/>
      <c r="BD60" s="357"/>
      <c r="BE60" s="357"/>
      <c r="BF60" s="357"/>
      <c r="BG60" s="357"/>
      <c r="BH60" s="357"/>
      <c r="BI60" s="357"/>
      <c r="BJ60" s="357"/>
      <c r="BK60" s="357"/>
      <c r="BL60" s="357"/>
      <c r="BM60" s="357"/>
      <c r="BN60" s="357"/>
      <c r="BO60" s="357"/>
      <c r="BP60" s="357"/>
      <c r="BQ60" s="357"/>
      <c r="BR60" s="357"/>
      <c r="BS60" s="357"/>
      <c r="BT60" s="357"/>
      <c r="BU60" s="357"/>
      <c r="BV60" s="357"/>
      <c r="BW60" s="357"/>
      <c r="BX60" s="272">
        <f t="shared" si="5"/>
        <v>25</v>
      </c>
      <c r="BY60" s="272">
        <f t="shared" si="5"/>
        <v>300</v>
      </c>
      <c r="BZ60" s="272">
        <f t="shared" si="2"/>
        <v>300</v>
      </c>
      <c r="CA60" s="273"/>
      <c r="CB60" s="273"/>
      <c r="CC60" s="273"/>
      <c r="CD60" s="273"/>
      <c r="CE60" s="273"/>
      <c r="CF60" s="273"/>
      <c r="CG60" s="273"/>
      <c r="CH60" s="273"/>
      <c r="CI60" s="273"/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1"/>
      <c r="DG60" s="271"/>
      <c r="DH60" s="272">
        <f t="shared" si="3"/>
        <v>25</v>
      </c>
      <c r="DI60" s="272">
        <f t="shared" si="3"/>
        <v>300</v>
      </c>
      <c r="DJ60" s="324">
        <f t="shared" si="3"/>
        <v>300</v>
      </c>
      <c r="DK60" s="325"/>
      <c r="DL60" s="325"/>
    </row>
    <row r="61" spans="1:116" s="275" customFormat="1" ht="20.100000000000001" customHeight="1" x14ac:dyDescent="0.6">
      <c r="A61" s="234">
        <v>58</v>
      </c>
      <c r="B61" s="103" t="s">
        <v>521</v>
      </c>
      <c r="C61" s="103" t="s">
        <v>522</v>
      </c>
      <c r="D61" s="103" t="s">
        <v>168</v>
      </c>
      <c r="E61" s="148" t="s">
        <v>169</v>
      </c>
      <c r="F61" s="179" t="s">
        <v>516</v>
      </c>
      <c r="G61" s="322"/>
      <c r="H61" s="323"/>
      <c r="I61" s="322" t="s">
        <v>1003</v>
      </c>
      <c r="J61" s="322" t="s">
        <v>994</v>
      </c>
      <c r="K61" s="241"/>
      <c r="L61" s="24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>
        <v>24</v>
      </c>
      <c r="AC61" s="271">
        <v>462</v>
      </c>
      <c r="AD61" s="271">
        <v>290.88</v>
      </c>
      <c r="AE61" s="271"/>
      <c r="AF61" s="271"/>
      <c r="AG61" s="271"/>
      <c r="AH61" s="271"/>
      <c r="AI61" s="271"/>
      <c r="AJ61" s="271"/>
      <c r="AK61" s="271"/>
      <c r="AL61" s="271"/>
      <c r="AM61" s="271"/>
      <c r="AN61" s="271"/>
      <c r="AO61" s="271"/>
      <c r="AP61" s="271"/>
      <c r="AQ61" s="272">
        <f t="shared" si="4"/>
        <v>24</v>
      </c>
      <c r="AR61" s="272">
        <f t="shared" si="4"/>
        <v>462</v>
      </c>
      <c r="AS61" s="272">
        <f t="shared" si="4"/>
        <v>290.88</v>
      </c>
      <c r="AT61" s="357"/>
      <c r="AU61" s="357"/>
      <c r="AV61" s="357"/>
      <c r="AW61" s="357"/>
      <c r="AX61" s="357"/>
      <c r="AY61" s="357"/>
      <c r="AZ61" s="357"/>
      <c r="BA61" s="357"/>
      <c r="BB61" s="357"/>
      <c r="BC61" s="357"/>
      <c r="BD61" s="357"/>
      <c r="BE61" s="357"/>
      <c r="BF61" s="357"/>
      <c r="BG61" s="357"/>
      <c r="BH61" s="357"/>
      <c r="BI61" s="357"/>
      <c r="BJ61" s="357"/>
      <c r="BK61" s="357"/>
      <c r="BL61" s="357"/>
      <c r="BM61" s="357"/>
      <c r="BN61" s="357"/>
      <c r="BO61" s="357"/>
      <c r="BP61" s="357"/>
      <c r="BQ61" s="357"/>
      <c r="BR61" s="357"/>
      <c r="BS61" s="357"/>
      <c r="BT61" s="357"/>
      <c r="BU61" s="357"/>
      <c r="BV61" s="357"/>
      <c r="BW61" s="357"/>
      <c r="BX61" s="272">
        <f t="shared" si="5"/>
        <v>24</v>
      </c>
      <c r="BY61" s="272">
        <f t="shared" si="5"/>
        <v>462</v>
      </c>
      <c r="BZ61" s="272">
        <f t="shared" si="2"/>
        <v>290.88</v>
      </c>
      <c r="CA61" s="273"/>
      <c r="CB61" s="273"/>
      <c r="CC61" s="273"/>
      <c r="CD61" s="273"/>
      <c r="CE61" s="273"/>
      <c r="CF61" s="273"/>
      <c r="CG61" s="273"/>
      <c r="CH61" s="273"/>
      <c r="CI61" s="273"/>
      <c r="CJ61" s="273"/>
      <c r="CK61" s="273"/>
      <c r="CL61" s="273"/>
      <c r="CM61" s="273"/>
      <c r="CN61" s="273"/>
      <c r="CO61" s="273"/>
      <c r="CP61" s="273"/>
      <c r="CQ61" s="273"/>
      <c r="CR61" s="273"/>
      <c r="CS61" s="273"/>
      <c r="CT61" s="273"/>
      <c r="CU61" s="273"/>
      <c r="CV61" s="273"/>
      <c r="CW61" s="273"/>
      <c r="CX61" s="273"/>
      <c r="CY61" s="273"/>
      <c r="CZ61" s="273"/>
      <c r="DA61" s="273"/>
      <c r="DB61" s="273"/>
      <c r="DC61" s="273"/>
      <c r="DD61" s="273"/>
      <c r="DE61" s="273"/>
      <c r="DF61" s="271"/>
      <c r="DG61" s="271"/>
      <c r="DH61" s="272">
        <f t="shared" si="3"/>
        <v>24</v>
      </c>
      <c r="DI61" s="272">
        <f t="shared" si="3"/>
        <v>462</v>
      </c>
      <c r="DJ61" s="324">
        <f t="shared" si="3"/>
        <v>290.88</v>
      </c>
      <c r="DK61" s="325"/>
      <c r="DL61" s="325"/>
    </row>
    <row r="62" spans="1:116" s="275" customFormat="1" ht="20.100000000000001" customHeight="1" x14ac:dyDescent="0.6">
      <c r="A62" s="234">
        <v>59</v>
      </c>
      <c r="B62" s="103" t="s">
        <v>523</v>
      </c>
      <c r="C62" s="103" t="s">
        <v>524</v>
      </c>
      <c r="D62" s="103" t="s">
        <v>168</v>
      </c>
      <c r="E62" s="148" t="s">
        <v>169</v>
      </c>
      <c r="F62" s="179" t="s">
        <v>516</v>
      </c>
      <c r="G62" s="322"/>
      <c r="H62" s="323"/>
      <c r="I62" s="322" t="s">
        <v>1004</v>
      </c>
      <c r="J62" s="322" t="s">
        <v>994</v>
      </c>
      <c r="K62" s="241"/>
      <c r="L62" s="24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>
        <v>58</v>
      </c>
      <c r="AL62" s="271">
        <v>920</v>
      </c>
      <c r="AM62" s="271">
        <v>712</v>
      </c>
      <c r="AN62" s="271"/>
      <c r="AO62" s="271"/>
      <c r="AP62" s="271"/>
      <c r="AQ62" s="272">
        <f t="shared" si="4"/>
        <v>58</v>
      </c>
      <c r="AR62" s="272">
        <f t="shared" si="4"/>
        <v>920</v>
      </c>
      <c r="AS62" s="272">
        <f t="shared" si="4"/>
        <v>712</v>
      </c>
      <c r="AT62" s="357"/>
      <c r="AU62" s="357"/>
      <c r="AV62" s="357"/>
      <c r="AW62" s="357"/>
      <c r="AX62" s="357"/>
      <c r="AY62" s="357"/>
      <c r="AZ62" s="357"/>
      <c r="BA62" s="357"/>
      <c r="BB62" s="357"/>
      <c r="BC62" s="357"/>
      <c r="BD62" s="357"/>
      <c r="BE62" s="357"/>
      <c r="BF62" s="357"/>
      <c r="BG62" s="357"/>
      <c r="BH62" s="357"/>
      <c r="BI62" s="357"/>
      <c r="BJ62" s="357"/>
      <c r="BK62" s="357"/>
      <c r="BL62" s="357"/>
      <c r="BM62" s="357"/>
      <c r="BN62" s="357"/>
      <c r="BO62" s="357"/>
      <c r="BP62" s="357"/>
      <c r="BQ62" s="357"/>
      <c r="BR62" s="357"/>
      <c r="BS62" s="357"/>
      <c r="BT62" s="357"/>
      <c r="BU62" s="357"/>
      <c r="BV62" s="357"/>
      <c r="BW62" s="357"/>
      <c r="BX62" s="272">
        <f t="shared" si="5"/>
        <v>58</v>
      </c>
      <c r="BY62" s="272">
        <f t="shared" si="5"/>
        <v>920</v>
      </c>
      <c r="BZ62" s="272">
        <f t="shared" si="2"/>
        <v>712</v>
      </c>
      <c r="CA62" s="273"/>
      <c r="CB62" s="273"/>
      <c r="CC62" s="273"/>
      <c r="CD62" s="273"/>
      <c r="CE62" s="273"/>
      <c r="CF62" s="273"/>
      <c r="CG62" s="273"/>
      <c r="CH62" s="273"/>
      <c r="CI62" s="273"/>
      <c r="CJ62" s="273"/>
      <c r="CK62" s="273"/>
      <c r="CL62" s="273"/>
      <c r="CM62" s="273"/>
      <c r="CN62" s="273"/>
      <c r="CO62" s="273"/>
      <c r="CP62" s="273"/>
      <c r="CQ62" s="273"/>
      <c r="CR62" s="273"/>
      <c r="CS62" s="273"/>
      <c r="CT62" s="273"/>
      <c r="CU62" s="273"/>
      <c r="CV62" s="273"/>
      <c r="CW62" s="273"/>
      <c r="CX62" s="273"/>
      <c r="CY62" s="273"/>
      <c r="CZ62" s="273"/>
      <c r="DA62" s="273"/>
      <c r="DB62" s="273"/>
      <c r="DC62" s="273"/>
      <c r="DD62" s="273"/>
      <c r="DE62" s="273"/>
      <c r="DF62" s="271"/>
      <c r="DG62" s="271"/>
      <c r="DH62" s="272">
        <f t="shared" si="3"/>
        <v>58</v>
      </c>
      <c r="DI62" s="272">
        <f t="shared" si="3"/>
        <v>920</v>
      </c>
      <c r="DJ62" s="324">
        <f t="shared" si="3"/>
        <v>712</v>
      </c>
      <c r="DK62" s="325"/>
      <c r="DL62" s="325"/>
    </row>
    <row r="63" spans="1:116" s="275" customFormat="1" ht="20.100000000000001" customHeight="1" x14ac:dyDescent="0.6">
      <c r="A63" s="234">
        <v>60</v>
      </c>
      <c r="B63" s="103" t="s">
        <v>525</v>
      </c>
      <c r="C63" s="103" t="s">
        <v>526</v>
      </c>
      <c r="D63" s="103" t="s">
        <v>168</v>
      </c>
      <c r="E63" s="148" t="s">
        <v>169</v>
      </c>
      <c r="F63" s="179" t="s">
        <v>516</v>
      </c>
      <c r="G63" s="322"/>
      <c r="H63" s="323"/>
      <c r="I63" s="322" t="s">
        <v>1005</v>
      </c>
      <c r="J63" s="322" t="s">
        <v>994</v>
      </c>
      <c r="K63" s="241"/>
      <c r="L63" s="24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2">
        <f t="shared" si="4"/>
        <v>0</v>
      </c>
      <c r="AR63" s="272">
        <f t="shared" si="4"/>
        <v>0</v>
      </c>
      <c r="AS63" s="272">
        <f t="shared" si="4"/>
        <v>0</v>
      </c>
      <c r="AT63" s="357"/>
      <c r="AU63" s="357"/>
      <c r="AV63" s="357"/>
      <c r="AW63" s="357"/>
      <c r="AX63" s="357"/>
      <c r="AY63" s="357"/>
      <c r="AZ63" s="357"/>
      <c r="BA63" s="357"/>
      <c r="BB63" s="357"/>
      <c r="BC63" s="357"/>
      <c r="BD63" s="357"/>
      <c r="BE63" s="357"/>
      <c r="BF63" s="357"/>
      <c r="BG63" s="357"/>
      <c r="BH63" s="357"/>
      <c r="BI63" s="357"/>
      <c r="BJ63" s="357"/>
      <c r="BK63" s="357"/>
      <c r="BL63" s="357">
        <v>15</v>
      </c>
      <c r="BM63" s="357">
        <v>180</v>
      </c>
      <c r="BN63" s="357">
        <v>180</v>
      </c>
      <c r="BO63" s="357"/>
      <c r="BP63" s="357"/>
      <c r="BQ63" s="357"/>
      <c r="BR63" s="357"/>
      <c r="BS63" s="357"/>
      <c r="BT63" s="357"/>
      <c r="BU63" s="357"/>
      <c r="BV63" s="357"/>
      <c r="BW63" s="357"/>
      <c r="BX63" s="272">
        <f t="shared" si="5"/>
        <v>15</v>
      </c>
      <c r="BY63" s="272">
        <f t="shared" si="5"/>
        <v>180</v>
      </c>
      <c r="BZ63" s="272">
        <f t="shared" si="2"/>
        <v>180</v>
      </c>
      <c r="CA63" s="273"/>
      <c r="CB63" s="273"/>
      <c r="CC63" s="273"/>
      <c r="CD63" s="273"/>
      <c r="CE63" s="273"/>
      <c r="CF63" s="273"/>
      <c r="CG63" s="273"/>
      <c r="CH63" s="273"/>
      <c r="CI63" s="273"/>
      <c r="CJ63" s="273"/>
      <c r="CK63" s="273"/>
      <c r="CL63" s="273"/>
      <c r="CM63" s="273"/>
      <c r="CN63" s="273"/>
      <c r="CO63" s="273"/>
      <c r="CP63" s="273"/>
      <c r="CQ63" s="273"/>
      <c r="CR63" s="273"/>
      <c r="CS63" s="273"/>
      <c r="CT63" s="273"/>
      <c r="CU63" s="273"/>
      <c r="CV63" s="273"/>
      <c r="CW63" s="273"/>
      <c r="CX63" s="273"/>
      <c r="CY63" s="273"/>
      <c r="CZ63" s="273"/>
      <c r="DA63" s="273"/>
      <c r="DB63" s="273"/>
      <c r="DC63" s="273"/>
      <c r="DD63" s="273"/>
      <c r="DE63" s="273"/>
      <c r="DF63" s="271"/>
      <c r="DG63" s="271"/>
      <c r="DH63" s="272">
        <f t="shared" si="3"/>
        <v>15</v>
      </c>
      <c r="DI63" s="272">
        <f t="shared" si="3"/>
        <v>180</v>
      </c>
      <c r="DJ63" s="324">
        <f t="shared" si="3"/>
        <v>180</v>
      </c>
      <c r="DK63" s="325"/>
      <c r="DL63" s="325"/>
    </row>
    <row r="64" spans="1:116" s="275" customFormat="1" ht="20.100000000000001" customHeight="1" x14ac:dyDescent="0.6">
      <c r="A64" s="234">
        <v>61</v>
      </c>
      <c r="B64" s="103" t="s">
        <v>527</v>
      </c>
      <c r="C64" s="103" t="s">
        <v>528</v>
      </c>
      <c r="D64" s="103" t="s">
        <v>168</v>
      </c>
      <c r="E64" s="148" t="s">
        <v>169</v>
      </c>
      <c r="F64" s="179" t="s">
        <v>516</v>
      </c>
      <c r="G64" s="322"/>
      <c r="H64" s="323"/>
      <c r="I64" s="322" t="s">
        <v>1006</v>
      </c>
      <c r="J64" s="322" t="s">
        <v>994</v>
      </c>
      <c r="K64" s="241"/>
      <c r="L64" s="24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>
        <v>27</v>
      </c>
      <c r="AC64" s="271">
        <v>324</v>
      </c>
      <c r="AD64" s="271">
        <v>316.8</v>
      </c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2">
        <f t="shared" si="4"/>
        <v>27</v>
      </c>
      <c r="AR64" s="272">
        <f t="shared" si="4"/>
        <v>324</v>
      </c>
      <c r="AS64" s="272">
        <f t="shared" si="4"/>
        <v>316.8</v>
      </c>
      <c r="AT64" s="357"/>
      <c r="AU64" s="357"/>
      <c r="AV64" s="357"/>
      <c r="AW64" s="357"/>
      <c r="AX64" s="357"/>
      <c r="AY64" s="357"/>
      <c r="AZ64" s="357"/>
      <c r="BA64" s="357"/>
      <c r="BB64" s="357"/>
      <c r="BC64" s="357"/>
      <c r="BD64" s="357"/>
      <c r="BE64" s="357"/>
      <c r="BF64" s="357"/>
      <c r="BG64" s="357"/>
      <c r="BH64" s="357"/>
      <c r="BI64" s="357"/>
      <c r="BJ64" s="357"/>
      <c r="BK64" s="357"/>
      <c r="BL64" s="357">
        <v>5</v>
      </c>
      <c r="BM64" s="357">
        <v>60</v>
      </c>
      <c r="BN64" s="357">
        <v>60</v>
      </c>
      <c r="BO64" s="357"/>
      <c r="BP64" s="357"/>
      <c r="BQ64" s="357"/>
      <c r="BR64" s="357"/>
      <c r="BS64" s="357"/>
      <c r="BT64" s="357"/>
      <c r="BU64" s="357"/>
      <c r="BV64" s="357"/>
      <c r="BW64" s="357"/>
      <c r="BX64" s="272">
        <f t="shared" si="5"/>
        <v>32</v>
      </c>
      <c r="BY64" s="272">
        <f t="shared" si="5"/>
        <v>384</v>
      </c>
      <c r="BZ64" s="272">
        <f t="shared" si="2"/>
        <v>376.8</v>
      </c>
      <c r="CA64" s="273"/>
      <c r="CB64" s="273"/>
      <c r="CC64" s="273"/>
      <c r="CD64" s="273"/>
      <c r="CE64" s="273"/>
      <c r="CF64" s="273"/>
      <c r="CG64" s="273"/>
      <c r="CH64" s="273"/>
      <c r="CI64" s="273"/>
      <c r="CJ64" s="273"/>
      <c r="CK64" s="273"/>
      <c r="CL64" s="273"/>
      <c r="CM64" s="273"/>
      <c r="CN64" s="273"/>
      <c r="CO64" s="273"/>
      <c r="CP64" s="273"/>
      <c r="CQ64" s="273"/>
      <c r="CR64" s="273"/>
      <c r="CS64" s="273"/>
      <c r="CT64" s="273"/>
      <c r="CU64" s="273"/>
      <c r="CV64" s="273"/>
      <c r="CW64" s="273"/>
      <c r="CX64" s="273"/>
      <c r="CY64" s="273"/>
      <c r="CZ64" s="273"/>
      <c r="DA64" s="273"/>
      <c r="DB64" s="273"/>
      <c r="DC64" s="273"/>
      <c r="DD64" s="273"/>
      <c r="DE64" s="273"/>
      <c r="DF64" s="271"/>
      <c r="DG64" s="271"/>
      <c r="DH64" s="272">
        <f t="shared" si="3"/>
        <v>32</v>
      </c>
      <c r="DI64" s="272">
        <f t="shared" si="3"/>
        <v>384</v>
      </c>
      <c r="DJ64" s="324">
        <f t="shared" si="3"/>
        <v>376.8</v>
      </c>
      <c r="DK64" s="325"/>
      <c r="DL64" s="325"/>
    </row>
    <row r="65" spans="1:116" s="275" customFormat="1" ht="20.100000000000001" customHeight="1" x14ac:dyDescent="0.6">
      <c r="A65" s="234">
        <v>62</v>
      </c>
      <c r="B65" s="103" t="s">
        <v>529</v>
      </c>
      <c r="C65" s="103" t="s">
        <v>529</v>
      </c>
      <c r="D65" s="103" t="s">
        <v>168</v>
      </c>
      <c r="E65" s="148" t="s">
        <v>169</v>
      </c>
      <c r="F65" s="179" t="s">
        <v>516</v>
      </c>
      <c r="G65" s="322"/>
      <c r="H65" s="323"/>
      <c r="I65" s="322" t="s">
        <v>1007</v>
      </c>
      <c r="J65" s="322" t="s">
        <v>994</v>
      </c>
      <c r="K65" s="241"/>
      <c r="L65" s="24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>
        <v>20</v>
      </c>
      <c r="AC65" s="271">
        <v>328</v>
      </c>
      <c r="AD65" s="271">
        <v>239.92</v>
      </c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2">
        <f t="shared" si="4"/>
        <v>20</v>
      </c>
      <c r="AR65" s="272">
        <f t="shared" si="4"/>
        <v>328</v>
      </c>
      <c r="AS65" s="272">
        <f t="shared" si="4"/>
        <v>239.92</v>
      </c>
      <c r="AT65" s="357"/>
      <c r="AU65" s="357"/>
      <c r="AV65" s="357"/>
      <c r="AW65" s="357"/>
      <c r="AX65" s="357"/>
      <c r="AY65" s="357"/>
      <c r="AZ65" s="357"/>
      <c r="BA65" s="357"/>
      <c r="BB65" s="357"/>
      <c r="BC65" s="357"/>
      <c r="BD65" s="357"/>
      <c r="BE65" s="357"/>
      <c r="BF65" s="357"/>
      <c r="BG65" s="357"/>
      <c r="BH65" s="357"/>
      <c r="BI65" s="357"/>
      <c r="BJ65" s="357"/>
      <c r="BK65" s="357"/>
      <c r="BL65" s="357">
        <v>30</v>
      </c>
      <c r="BM65" s="357">
        <v>360</v>
      </c>
      <c r="BN65" s="357">
        <v>360</v>
      </c>
      <c r="BO65" s="357"/>
      <c r="BP65" s="357"/>
      <c r="BQ65" s="357"/>
      <c r="BR65" s="357"/>
      <c r="BS65" s="357"/>
      <c r="BT65" s="357"/>
      <c r="BU65" s="357"/>
      <c r="BV65" s="357"/>
      <c r="BW65" s="357"/>
      <c r="BX65" s="272">
        <f t="shared" si="5"/>
        <v>50</v>
      </c>
      <c r="BY65" s="272">
        <f t="shared" si="5"/>
        <v>688</v>
      </c>
      <c r="BZ65" s="272">
        <f t="shared" si="2"/>
        <v>599.91999999999996</v>
      </c>
      <c r="CA65" s="273"/>
      <c r="CB65" s="273"/>
      <c r="CC65" s="273"/>
      <c r="CD65" s="273"/>
      <c r="CE65" s="273"/>
      <c r="CF65" s="273"/>
      <c r="CG65" s="273"/>
      <c r="CH65" s="273"/>
      <c r="CI65" s="273"/>
      <c r="CJ65" s="273"/>
      <c r="CK65" s="273"/>
      <c r="CL65" s="273"/>
      <c r="CM65" s="273"/>
      <c r="CN65" s="273"/>
      <c r="CO65" s="273"/>
      <c r="CP65" s="273"/>
      <c r="CQ65" s="273"/>
      <c r="CR65" s="273"/>
      <c r="CS65" s="273"/>
      <c r="CT65" s="273"/>
      <c r="CU65" s="273"/>
      <c r="CV65" s="273"/>
      <c r="CW65" s="273"/>
      <c r="CX65" s="273"/>
      <c r="CY65" s="273"/>
      <c r="CZ65" s="273"/>
      <c r="DA65" s="273"/>
      <c r="DB65" s="273"/>
      <c r="DC65" s="273"/>
      <c r="DD65" s="273"/>
      <c r="DE65" s="273"/>
      <c r="DF65" s="271"/>
      <c r="DG65" s="271"/>
      <c r="DH65" s="272">
        <f t="shared" si="3"/>
        <v>50</v>
      </c>
      <c r="DI65" s="272">
        <f t="shared" si="3"/>
        <v>688</v>
      </c>
      <c r="DJ65" s="324">
        <f t="shared" si="3"/>
        <v>599.91999999999996</v>
      </c>
      <c r="DK65" s="325"/>
      <c r="DL65" s="325"/>
    </row>
    <row r="66" spans="1:116" s="275" customFormat="1" ht="20.100000000000001" customHeight="1" x14ac:dyDescent="0.6">
      <c r="A66" s="234">
        <v>63</v>
      </c>
      <c r="B66" s="103" t="s">
        <v>530</v>
      </c>
      <c r="C66" s="103" t="s">
        <v>530</v>
      </c>
      <c r="D66" s="103" t="s">
        <v>141</v>
      </c>
      <c r="E66" s="148"/>
      <c r="F66" s="179" t="s">
        <v>516</v>
      </c>
      <c r="G66" s="322"/>
      <c r="H66" s="323"/>
      <c r="I66" s="322" t="s">
        <v>1008</v>
      </c>
      <c r="J66" s="322" t="s">
        <v>994</v>
      </c>
      <c r="K66" s="241"/>
      <c r="L66" s="24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>
        <v>40</v>
      </c>
      <c r="AF66" s="271">
        <v>480</v>
      </c>
      <c r="AG66" s="271">
        <v>480</v>
      </c>
      <c r="AH66" s="271"/>
      <c r="AI66" s="271"/>
      <c r="AJ66" s="271"/>
      <c r="AK66" s="271"/>
      <c r="AL66" s="271"/>
      <c r="AM66" s="271"/>
      <c r="AN66" s="271"/>
      <c r="AO66" s="271"/>
      <c r="AP66" s="271"/>
      <c r="AQ66" s="272">
        <f t="shared" si="4"/>
        <v>40</v>
      </c>
      <c r="AR66" s="272">
        <f t="shared" si="4"/>
        <v>480</v>
      </c>
      <c r="AS66" s="272">
        <f t="shared" si="4"/>
        <v>480</v>
      </c>
      <c r="AT66" s="357">
        <v>30</v>
      </c>
      <c r="AU66" s="357">
        <v>360</v>
      </c>
      <c r="AV66" s="357">
        <v>360</v>
      </c>
      <c r="AW66" s="357"/>
      <c r="AX66" s="357"/>
      <c r="AY66" s="357"/>
      <c r="AZ66" s="357"/>
      <c r="BA66" s="357"/>
      <c r="BB66" s="357"/>
      <c r="BC66" s="357"/>
      <c r="BD66" s="357"/>
      <c r="BE66" s="357"/>
      <c r="BF66" s="357"/>
      <c r="BG66" s="357"/>
      <c r="BH66" s="357"/>
      <c r="BI66" s="357"/>
      <c r="BJ66" s="357"/>
      <c r="BK66" s="357"/>
      <c r="BL66" s="357"/>
      <c r="BM66" s="357"/>
      <c r="BN66" s="357"/>
      <c r="BO66" s="357"/>
      <c r="BP66" s="357"/>
      <c r="BQ66" s="357"/>
      <c r="BR66" s="357"/>
      <c r="BS66" s="357"/>
      <c r="BT66" s="357"/>
      <c r="BU66" s="357"/>
      <c r="BV66" s="357"/>
      <c r="BW66" s="357"/>
      <c r="BX66" s="272">
        <f t="shared" si="5"/>
        <v>70</v>
      </c>
      <c r="BY66" s="272">
        <f t="shared" si="5"/>
        <v>840</v>
      </c>
      <c r="BZ66" s="272">
        <f t="shared" si="2"/>
        <v>840</v>
      </c>
      <c r="CA66" s="273"/>
      <c r="CB66" s="273"/>
      <c r="CC66" s="273"/>
      <c r="CD66" s="273"/>
      <c r="CE66" s="273"/>
      <c r="CF66" s="273"/>
      <c r="CG66" s="273"/>
      <c r="CH66" s="273"/>
      <c r="CI66" s="273"/>
      <c r="CJ66" s="273"/>
      <c r="CK66" s="273"/>
      <c r="CL66" s="273"/>
      <c r="CM66" s="273"/>
      <c r="CN66" s="273"/>
      <c r="CO66" s="273"/>
      <c r="CP66" s="273"/>
      <c r="CQ66" s="273"/>
      <c r="CR66" s="273"/>
      <c r="CS66" s="273"/>
      <c r="CT66" s="273"/>
      <c r="CU66" s="273"/>
      <c r="CV66" s="273"/>
      <c r="CW66" s="273"/>
      <c r="CX66" s="273"/>
      <c r="CY66" s="273"/>
      <c r="CZ66" s="273"/>
      <c r="DA66" s="273"/>
      <c r="DB66" s="273"/>
      <c r="DC66" s="273"/>
      <c r="DD66" s="273"/>
      <c r="DE66" s="273"/>
      <c r="DF66" s="271"/>
      <c r="DG66" s="271"/>
      <c r="DH66" s="272">
        <f t="shared" si="3"/>
        <v>70</v>
      </c>
      <c r="DI66" s="272">
        <f t="shared" si="3"/>
        <v>840</v>
      </c>
      <c r="DJ66" s="324">
        <f t="shared" si="3"/>
        <v>840</v>
      </c>
      <c r="DK66" s="325"/>
      <c r="DL66" s="325"/>
    </row>
    <row r="67" spans="1:116" s="275" customFormat="1" ht="20.100000000000001" customHeight="1" x14ac:dyDescent="0.6">
      <c r="A67" s="234">
        <v>64</v>
      </c>
      <c r="B67" s="103" t="s">
        <v>465</v>
      </c>
      <c r="C67" s="103" t="s">
        <v>465</v>
      </c>
      <c r="D67" s="103" t="s">
        <v>531</v>
      </c>
      <c r="E67" s="148" t="s">
        <v>532</v>
      </c>
      <c r="F67" s="179" t="s">
        <v>516</v>
      </c>
      <c r="G67" s="322"/>
      <c r="H67" s="323"/>
      <c r="I67" s="322" t="s">
        <v>1009</v>
      </c>
      <c r="J67" s="322" t="s">
        <v>994</v>
      </c>
      <c r="K67" s="241"/>
      <c r="L67" s="24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>
        <v>35</v>
      </c>
      <c r="Z67" s="271">
        <v>566</v>
      </c>
      <c r="AA67" s="271">
        <v>413.68</v>
      </c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2">
        <f t="shared" si="4"/>
        <v>35</v>
      </c>
      <c r="AR67" s="272">
        <f t="shared" si="4"/>
        <v>566</v>
      </c>
      <c r="AS67" s="272">
        <f t="shared" si="4"/>
        <v>413.68</v>
      </c>
      <c r="AT67" s="357"/>
      <c r="AU67" s="357"/>
      <c r="AV67" s="357"/>
      <c r="AW67" s="357">
        <v>25</v>
      </c>
      <c r="AX67" s="357">
        <v>300</v>
      </c>
      <c r="AY67" s="357">
        <v>276</v>
      </c>
      <c r="AZ67" s="357"/>
      <c r="BA67" s="357"/>
      <c r="BB67" s="357"/>
      <c r="BC67" s="357"/>
      <c r="BD67" s="357"/>
      <c r="BE67" s="357"/>
      <c r="BF67" s="357"/>
      <c r="BG67" s="357"/>
      <c r="BH67" s="357"/>
      <c r="BI67" s="357"/>
      <c r="BJ67" s="357"/>
      <c r="BK67" s="357"/>
      <c r="BL67" s="357"/>
      <c r="BM67" s="357"/>
      <c r="BN67" s="357"/>
      <c r="BO67" s="357"/>
      <c r="BP67" s="357"/>
      <c r="BQ67" s="357"/>
      <c r="BR67" s="357"/>
      <c r="BS67" s="357"/>
      <c r="BT67" s="357"/>
      <c r="BU67" s="357"/>
      <c r="BV67" s="357"/>
      <c r="BW67" s="357"/>
      <c r="BX67" s="272">
        <f t="shared" si="5"/>
        <v>60</v>
      </c>
      <c r="BY67" s="272">
        <f t="shared" si="5"/>
        <v>866</v>
      </c>
      <c r="BZ67" s="272">
        <f t="shared" si="2"/>
        <v>689.68000000000006</v>
      </c>
      <c r="CA67" s="273"/>
      <c r="CB67" s="273"/>
      <c r="CC67" s="273"/>
      <c r="CD67" s="273"/>
      <c r="CE67" s="273"/>
      <c r="CF67" s="273"/>
      <c r="CG67" s="273"/>
      <c r="CH67" s="273"/>
      <c r="CI67" s="273"/>
      <c r="CJ67" s="273"/>
      <c r="CK67" s="273"/>
      <c r="CL67" s="273"/>
      <c r="CM67" s="273"/>
      <c r="CN67" s="273"/>
      <c r="CO67" s="273"/>
      <c r="CP67" s="273"/>
      <c r="CQ67" s="273"/>
      <c r="CR67" s="273"/>
      <c r="CS67" s="273"/>
      <c r="CT67" s="273"/>
      <c r="CU67" s="273"/>
      <c r="CV67" s="273"/>
      <c r="CW67" s="273"/>
      <c r="CX67" s="273"/>
      <c r="CY67" s="273"/>
      <c r="CZ67" s="273"/>
      <c r="DA67" s="273"/>
      <c r="DB67" s="273"/>
      <c r="DC67" s="273"/>
      <c r="DD67" s="273"/>
      <c r="DE67" s="273"/>
      <c r="DF67" s="271"/>
      <c r="DG67" s="271"/>
      <c r="DH67" s="272">
        <f t="shared" si="3"/>
        <v>60</v>
      </c>
      <c r="DI67" s="272">
        <f t="shared" si="3"/>
        <v>866</v>
      </c>
      <c r="DJ67" s="324">
        <f t="shared" si="3"/>
        <v>689.68000000000006</v>
      </c>
      <c r="DK67" s="325"/>
      <c r="DL67" s="325"/>
    </row>
    <row r="68" spans="1:116" s="275" customFormat="1" ht="20.100000000000001" customHeight="1" x14ac:dyDescent="0.25">
      <c r="A68" s="234">
        <v>65</v>
      </c>
      <c r="B68" s="103" t="s">
        <v>533</v>
      </c>
      <c r="C68" s="103" t="s">
        <v>533</v>
      </c>
      <c r="D68" s="103" t="s">
        <v>531</v>
      </c>
      <c r="E68" s="148" t="s">
        <v>532</v>
      </c>
      <c r="F68" s="179" t="s">
        <v>516</v>
      </c>
      <c r="G68" s="322"/>
      <c r="H68" s="323"/>
      <c r="I68" s="322" t="s">
        <v>1010</v>
      </c>
      <c r="J68" s="322" t="s">
        <v>994</v>
      </c>
      <c r="K68" s="241"/>
      <c r="L68" s="24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2">
        <f t="shared" si="4"/>
        <v>0</v>
      </c>
      <c r="AR68" s="272">
        <f t="shared" si="4"/>
        <v>0</v>
      </c>
      <c r="AS68" s="272">
        <f t="shared" si="4"/>
        <v>0</v>
      </c>
      <c r="AT68" s="358"/>
      <c r="AU68" s="357"/>
      <c r="AV68" s="357"/>
      <c r="AW68" s="357"/>
      <c r="AX68" s="357"/>
      <c r="AY68" s="357"/>
      <c r="AZ68" s="357"/>
      <c r="BA68" s="357"/>
      <c r="BB68" s="357"/>
      <c r="BC68" s="357"/>
      <c r="BD68" s="357"/>
      <c r="BE68" s="357"/>
      <c r="BF68" s="357"/>
      <c r="BG68" s="357"/>
      <c r="BH68" s="357"/>
      <c r="BI68" s="357"/>
      <c r="BJ68" s="357"/>
      <c r="BK68" s="357"/>
      <c r="BL68" s="357"/>
      <c r="BM68" s="357"/>
      <c r="BN68" s="357"/>
      <c r="BO68" s="357"/>
      <c r="BP68" s="357"/>
      <c r="BQ68" s="357"/>
      <c r="BR68" s="357"/>
      <c r="BS68" s="357"/>
      <c r="BT68" s="357"/>
      <c r="BU68" s="357"/>
      <c r="BV68" s="357"/>
      <c r="BW68" s="357"/>
      <c r="BX68" s="272">
        <f t="shared" si="5"/>
        <v>0</v>
      </c>
      <c r="BY68" s="272">
        <f t="shared" si="5"/>
        <v>0</v>
      </c>
      <c r="BZ68" s="272">
        <f t="shared" si="2"/>
        <v>0</v>
      </c>
      <c r="CA68" s="273"/>
      <c r="CB68" s="273"/>
      <c r="CC68" s="273"/>
      <c r="CD68" s="273"/>
      <c r="CE68" s="273"/>
      <c r="CF68" s="273"/>
      <c r="CG68" s="273"/>
      <c r="CH68" s="273"/>
      <c r="CI68" s="273"/>
      <c r="CJ68" s="273"/>
      <c r="CK68" s="273"/>
      <c r="CL68" s="273"/>
      <c r="CM68" s="273"/>
      <c r="CN68" s="273"/>
      <c r="CO68" s="273"/>
      <c r="CP68" s="273"/>
      <c r="CQ68" s="273"/>
      <c r="CR68" s="273"/>
      <c r="CS68" s="273"/>
      <c r="CT68" s="273"/>
      <c r="CU68" s="273"/>
      <c r="CV68" s="273"/>
      <c r="CW68" s="273"/>
      <c r="CX68" s="273"/>
      <c r="CY68" s="273"/>
      <c r="CZ68" s="273"/>
      <c r="DA68" s="273"/>
      <c r="DB68" s="273"/>
      <c r="DC68" s="273"/>
      <c r="DD68" s="273"/>
      <c r="DE68" s="273"/>
      <c r="DF68" s="271"/>
      <c r="DG68" s="271"/>
      <c r="DH68" s="272">
        <f t="shared" si="3"/>
        <v>0</v>
      </c>
      <c r="DI68" s="272">
        <f t="shared" si="3"/>
        <v>0</v>
      </c>
      <c r="DJ68" s="324">
        <f t="shared" si="3"/>
        <v>0</v>
      </c>
      <c r="DK68" s="325"/>
      <c r="DL68" s="325"/>
    </row>
    <row r="69" spans="1:116" s="275" customFormat="1" ht="20.100000000000001" customHeight="1" x14ac:dyDescent="0.6">
      <c r="A69" s="234">
        <v>66</v>
      </c>
      <c r="B69" s="103" t="s">
        <v>534</v>
      </c>
      <c r="C69" s="103" t="s">
        <v>535</v>
      </c>
      <c r="D69" s="103" t="s">
        <v>531</v>
      </c>
      <c r="E69" s="148" t="s">
        <v>532</v>
      </c>
      <c r="F69" s="179" t="s">
        <v>516</v>
      </c>
      <c r="G69" s="322"/>
      <c r="H69" s="323"/>
      <c r="I69" s="322" t="s">
        <v>1011</v>
      </c>
      <c r="J69" s="322" t="s">
        <v>994</v>
      </c>
      <c r="K69" s="241"/>
      <c r="L69" s="24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  <c r="AO69" s="271"/>
      <c r="AP69" s="271"/>
      <c r="AQ69" s="272">
        <f t="shared" si="4"/>
        <v>0</v>
      </c>
      <c r="AR69" s="272">
        <f t="shared" si="4"/>
        <v>0</v>
      </c>
      <c r="AS69" s="272">
        <f t="shared" si="4"/>
        <v>0</v>
      </c>
      <c r="AT69" s="357">
        <v>20</v>
      </c>
      <c r="AU69" s="357">
        <v>240</v>
      </c>
      <c r="AV69" s="357">
        <v>240</v>
      </c>
      <c r="AW69" s="357"/>
      <c r="AX69" s="357"/>
      <c r="AY69" s="357"/>
      <c r="AZ69" s="357"/>
      <c r="BA69" s="357"/>
      <c r="BB69" s="357"/>
      <c r="BC69" s="357"/>
      <c r="BD69" s="357"/>
      <c r="BE69" s="357"/>
      <c r="BF69" s="357"/>
      <c r="BG69" s="357"/>
      <c r="BH69" s="357"/>
      <c r="BI69" s="357"/>
      <c r="BJ69" s="357"/>
      <c r="BK69" s="357"/>
      <c r="BL69" s="357"/>
      <c r="BM69" s="357"/>
      <c r="BN69" s="357"/>
      <c r="BO69" s="357"/>
      <c r="BP69" s="357"/>
      <c r="BQ69" s="357"/>
      <c r="BR69" s="357"/>
      <c r="BS69" s="357"/>
      <c r="BT69" s="357"/>
      <c r="BU69" s="357"/>
      <c r="BV69" s="357"/>
      <c r="BW69" s="357"/>
      <c r="BX69" s="272">
        <f t="shared" si="5"/>
        <v>20</v>
      </c>
      <c r="BY69" s="272">
        <f t="shared" si="5"/>
        <v>240</v>
      </c>
      <c r="BZ69" s="272">
        <f t="shared" si="2"/>
        <v>240</v>
      </c>
      <c r="CA69" s="273"/>
      <c r="CB69" s="273"/>
      <c r="CC69" s="273"/>
      <c r="CD69" s="273"/>
      <c r="CE69" s="273"/>
      <c r="CF69" s="273"/>
      <c r="CG69" s="273"/>
      <c r="CH69" s="273"/>
      <c r="CI69" s="273"/>
      <c r="CJ69" s="273"/>
      <c r="CK69" s="273"/>
      <c r="CL69" s="273"/>
      <c r="CM69" s="273"/>
      <c r="CN69" s="273"/>
      <c r="CO69" s="273"/>
      <c r="CP69" s="273"/>
      <c r="CQ69" s="273"/>
      <c r="CR69" s="273"/>
      <c r="CS69" s="273"/>
      <c r="CT69" s="273"/>
      <c r="CU69" s="273"/>
      <c r="CV69" s="273"/>
      <c r="CW69" s="273"/>
      <c r="CX69" s="273"/>
      <c r="CY69" s="273"/>
      <c r="CZ69" s="273"/>
      <c r="DA69" s="273"/>
      <c r="DB69" s="273"/>
      <c r="DC69" s="273"/>
      <c r="DD69" s="273"/>
      <c r="DE69" s="273"/>
      <c r="DF69" s="271"/>
      <c r="DG69" s="271"/>
      <c r="DH69" s="272">
        <f t="shared" ref="DH69:DJ132" si="6">BX69+CA69+CD69+CG69+CJ69+CM69+CP69+CS69+CV69+CY69+DB69+DE69</f>
        <v>20</v>
      </c>
      <c r="DI69" s="272">
        <f t="shared" si="6"/>
        <v>240</v>
      </c>
      <c r="DJ69" s="324">
        <f t="shared" si="6"/>
        <v>240</v>
      </c>
      <c r="DK69" s="325"/>
      <c r="DL69" s="325"/>
    </row>
    <row r="70" spans="1:116" s="275" customFormat="1" ht="20.100000000000001" customHeight="1" x14ac:dyDescent="0.6">
      <c r="A70" s="234">
        <v>67</v>
      </c>
      <c r="B70" s="103" t="s">
        <v>483</v>
      </c>
      <c r="C70" s="103" t="s">
        <v>484</v>
      </c>
      <c r="D70" s="103" t="s">
        <v>531</v>
      </c>
      <c r="E70" s="148" t="s">
        <v>532</v>
      </c>
      <c r="F70" s="179" t="s">
        <v>516</v>
      </c>
      <c r="G70" s="322"/>
      <c r="H70" s="323"/>
      <c r="I70" s="322" t="s">
        <v>1012</v>
      </c>
      <c r="J70" s="322" t="s">
        <v>994</v>
      </c>
      <c r="K70" s="241"/>
      <c r="L70" s="24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2">
        <f t="shared" si="4"/>
        <v>0</v>
      </c>
      <c r="AR70" s="272">
        <f t="shared" si="4"/>
        <v>0</v>
      </c>
      <c r="AS70" s="272">
        <f t="shared" si="4"/>
        <v>0</v>
      </c>
      <c r="AT70" s="357">
        <v>15</v>
      </c>
      <c r="AU70" s="357">
        <v>180</v>
      </c>
      <c r="AV70" s="357">
        <v>180</v>
      </c>
      <c r="AW70" s="357"/>
      <c r="AX70" s="357"/>
      <c r="AY70" s="357"/>
      <c r="AZ70" s="357"/>
      <c r="BA70" s="357"/>
      <c r="BB70" s="357"/>
      <c r="BC70" s="357"/>
      <c r="BD70" s="357"/>
      <c r="BE70" s="357"/>
      <c r="BF70" s="357"/>
      <c r="BG70" s="357"/>
      <c r="BH70" s="357"/>
      <c r="BI70" s="357"/>
      <c r="BJ70" s="357"/>
      <c r="BK70" s="357"/>
      <c r="BL70" s="357">
        <v>15</v>
      </c>
      <c r="BM70" s="357">
        <v>180</v>
      </c>
      <c r="BN70" s="357">
        <v>180</v>
      </c>
      <c r="BO70" s="357"/>
      <c r="BP70" s="357"/>
      <c r="BQ70" s="357"/>
      <c r="BR70" s="357"/>
      <c r="BS70" s="357"/>
      <c r="BT70" s="357"/>
      <c r="BU70" s="357"/>
      <c r="BV70" s="357"/>
      <c r="BW70" s="357"/>
      <c r="BX70" s="272">
        <f t="shared" ref="BX70:BY109" si="7">+BU70+BR70+BO70+BL70+BI70+BF70+BC70+AZ70+AW70+AT70+AQ70</f>
        <v>30</v>
      </c>
      <c r="BY70" s="272">
        <f t="shared" si="7"/>
        <v>360</v>
      </c>
      <c r="BZ70" s="272">
        <f t="shared" ref="BZ70:BZ133" si="8">AS70+AV70+AY70+BB70+BE70+BH70+BK70+BN70+BQ70+BT70+BW70</f>
        <v>360</v>
      </c>
      <c r="CA70" s="273"/>
      <c r="CB70" s="273"/>
      <c r="CC70" s="273"/>
      <c r="CD70" s="273"/>
      <c r="CE70" s="273"/>
      <c r="CF70" s="273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3"/>
      <c r="CR70" s="273"/>
      <c r="CS70" s="273"/>
      <c r="CT70" s="273"/>
      <c r="CU70" s="273"/>
      <c r="CV70" s="273"/>
      <c r="CW70" s="273"/>
      <c r="CX70" s="273"/>
      <c r="CY70" s="273"/>
      <c r="CZ70" s="273"/>
      <c r="DA70" s="273"/>
      <c r="DB70" s="273"/>
      <c r="DC70" s="273"/>
      <c r="DD70" s="273"/>
      <c r="DE70" s="273"/>
      <c r="DF70" s="271"/>
      <c r="DG70" s="271"/>
      <c r="DH70" s="272">
        <f t="shared" si="6"/>
        <v>30</v>
      </c>
      <c r="DI70" s="272">
        <f t="shared" si="6"/>
        <v>360</v>
      </c>
      <c r="DJ70" s="324">
        <f t="shared" si="6"/>
        <v>360</v>
      </c>
      <c r="DK70" s="325"/>
      <c r="DL70" s="325"/>
    </row>
    <row r="71" spans="1:116" s="275" customFormat="1" ht="20.100000000000001" customHeight="1" x14ac:dyDescent="0.6">
      <c r="A71" s="234">
        <v>68</v>
      </c>
      <c r="B71" s="103" t="s">
        <v>536</v>
      </c>
      <c r="C71" s="103" t="s">
        <v>537</v>
      </c>
      <c r="D71" s="103" t="s">
        <v>531</v>
      </c>
      <c r="E71" s="148" t="s">
        <v>532</v>
      </c>
      <c r="F71" s="179" t="s">
        <v>516</v>
      </c>
      <c r="G71" s="322"/>
      <c r="H71" s="323"/>
      <c r="I71" s="322" t="s">
        <v>1013</v>
      </c>
      <c r="J71" s="322" t="s">
        <v>994</v>
      </c>
      <c r="K71" s="241"/>
      <c r="L71" s="24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2">
        <f t="shared" si="4"/>
        <v>0</v>
      </c>
      <c r="AR71" s="272">
        <f t="shared" si="4"/>
        <v>0</v>
      </c>
      <c r="AS71" s="272">
        <f t="shared" si="4"/>
        <v>0</v>
      </c>
      <c r="AT71" s="357">
        <v>10</v>
      </c>
      <c r="AU71" s="357">
        <v>172</v>
      </c>
      <c r="AV71" s="357">
        <v>105.2</v>
      </c>
      <c r="AW71" s="357"/>
      <c r="AX71" s="357"/>
      <c r="AY71" s="357"/>
      <c r="AZ71" s="357"/>
      <c r="BA71" s="357"/>
      <c r="BB71" s="357"/>
      <c r="BC71" s="357"/>
      <c r="BD71" s="357"/>
      <c r="BE71" s="357"/>
      <c r="BF71" s="357"/>
      <c r="BG71" s="357"/>
      <c r="BH71" s="357"/>
      <c r="BI71" s="357"/>
      <c r="BJ71" s="357"/>
      <c r="BK71" s="357"/>
      <c r="BL71" s="357">
        <v>3</v>
      </c>
      <c r="BM71" s="357">
        <v>36</v>
      </c>
      <c r="BN71" s="357">
        <v>25.2</v>
      </c>
      <c r="BO71" s="357"/>
      <c r="BP71" s="357"/>
      <c r="BQ71" s="357"/>
      <c r="BR71" s="357"/>
      <c r="BS71" s="357"/>
      <c r="BT71" s="357"/>
      <c r="BU71" s="357"/>
      <c r="BV71" s="357"/>
      <c r="BW71" s="357"/>
      <c r="BX71" s="272">
        <f t="shared" si="7"/>
        <v>13</v>
      </c>
      <c r="BY71" s="272">
        <f t="shared" si="7"/>
        <v>208</v>
      </c>
      <c r="BZ71" s="272">
        <f t="shared" si="8"/>
        <v>130.4</v>
      </c>
      <c r="CA71" s="273"/>
      <c r="CB71" s="273"/>
      <c r="CC71" s="273"/>
      <c r="CD71" s="273"/>
      <c r="CE71" s="273"/>
      <c r="CF71" s="273"/>
      <c r="CG71" s="273"/>
      <c r="CH71" s="273"/>
      <c r="CI71" s="273"/>
      <c r="CJ71" s="273"/>
      <c r="CK71" s="273"/>
      <c r="CL71" s="273"/>
      <c r="CM71" s="273"/>
      <c r="CN71" s="273"/>
      <c r="CO71" s="273"/>
      <c r="CP71" s="273"/>
      <c r="CQ71" s="273"/>
      <c r="CR71" s="273"/>
      <c r="CS71" s="273"/>
      <c r="CT71" s="273"/>
      <c r="CU71" s="273"/>
      <c r="CV71" s="273"/>
      <c r="CW71" s="273"/>
      <c r="CX71" s="273"/>
      <c r="CY71" s="273"/>
      <c r="CZ71" s="273"/>
      <c r="DA71" s="273"/>
      <c r="DB71" s="273"/>
      <c r="DC71" s="273"/>
      <c r="DD71" s="273"/>
      <c r="DE71" s="273"/>
      <c r="DF71" s="271"/>
      <c r="DG71" s="271"/>
      <c r="DH71" s="272">
        <f t="shared" si="6"/>
        <v>13</v>
      </c>
      <c r="DI71" s="272">
        <f t="shared" si="6"/>
        <v>208</v>
      </c>
      <c r="DJ71" s="324">
        <f t="shared" si="6"/>
        <v>130.4</v>
      </c>
      <c r="DK71" s="325"/>
      <c r="DL71" s="325"/>
    </row>
    <row r="72" spans="1:116" s="275" customFormat="1" ht="20.100000000000001" customHeight="1" x14ac:dyDescent="0.6">
      <c r="A72" s="234">
        <v>69</v>
      </c>
      <c r="B72" s="103" t="s">
        <v>538</v>
      </c>
      <c r="C72" s="103" t="s">
        <v>538</v>
      </c>
      <c r="D72" s="103" t="s">
        <v>284</v>
      </c>
      <c r="E72" s="148" t="s">
        <v>285</v>
      </c>
      <c r="F72" s="179" t="s">
        <v>516</v>
      </c>
      <c r="G72" s="322"/>
      <c r="H72" s="323"/>
      <c r="I72" s="322" t="s">
        <v>1014</v>
      </c>
      <c r="J72" s="322" t="s">
        <v>994</v>
      </c>
      <c r="K72" s="241"/>
      <c r="L72" s="241"/>
      <c r="M72" s="271"/>
      <c r="N72" s="271"/>
      <c r="O72" s="271"/>
      <c r="P72" s="271"/>
      <c r="Q72" s="271"/>
      <c r="R72" s="271"/>
      <c r="S72" s="271">
        <v>15</v>
      </c>
      <c r="T72" s="271">
        <v>180</v>
      </c>
      <c r="U72" s="271">
        <v>180</v>
      </c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2">
        <f t="shared" si="4"/>
        <v>15</v>
      </c>
      <c r="AR72" s="272">
        <f t="shared" si="4"/>
        <v>180</v>
      </c>
      <c r="AS72" s="272">
        <f t="shared" si="4"/>
        <v>180</v>
      </c>
      <c r="AT72" s="357"/>
      <c r="AU72" s="357"/>
      <c r="AV72" s="357"/>
      <c r="AW72" s="357"/>
      <c r="AX72" s="357"/>
      <c r="AY72" s="357"/>
      <c r="AZ72" s="357"/>
      <c r="BA72" s="357"/>
      <c r="BB72" s="357"/>
      <c r="BC72" s="357"/>
      <c r="BD72" s="357"/>
      <c r="BE72" s="357"/>
      <c r="BF72" s="357"/>
      <c r="BG72" s="357"/>
      <c r="BH72" s="357"/>
      <c r="BI72" s="357"/>
      <c r="BJ72" s="357"/>
      <c r="BK72" s="357"/>
      <c r="BL72" s="357"/>
      <c r="BM72" s="357"/>
      <c r="BN72" s="357"/>
      <c r="BO72" s="357"/>
      <c r="BP72" s="357"/>
      <c r="BQ72" s="357"/>
      <c r="BR72" s="357"/>
      <c r="BS72" s="357"/>
      <c r="BT72" s="357"/>
      <c r="BU72" s="357"/>
      <c r="BV72" s="357"/>
      <c r="BW72" s="357"/>
      <c r="BX72" s="272">
        <f t="shared" si="7"/>
        <v>15</v>
      </c>
      <c r="BY72" s="272">
        <f t="shared" si="7"/>
        <v>180</v>
      </c>
      <c r="BZ72" s="272">
        <f t="shared" si="8"/>
        <v>180</v>
      </c>
      <c r="CA72" s="273"/>
      <c r="CB72" s="273"/>
      <c r="CC72" s="273"/>
      <c r="CD72" s="273"/>
      <c r="CE72" s="273"/>
      <c r="CF72" s="273"/>
      <c r="CG72" s="273"/>
      <c r="CH72" s="273"/>
      <c r="CI72" s="273"/>
      <c r="CJ72" s="273"/>
      <c r="CK72" s="273"/>
      <c r="CL72" s="273"/>
      <c r="CM72" s="273"/>
      <c r="CN72" s="273"/>
      <c r="CO72" s="273"/>
      <c r="CP72" s="273"/>
      <c r="CQ72" s="273"/>
      <c r="CR72" s="273"/>
      <c r="CS72" s="273"/>
      <c r="CT72" s="273"/>
      <c r="CU72" s="273"/>
      <c r="CV72" s="273"/>
      <c r="CW72" s="273"/>
      <c r="CX72" s="273"/>
      <c r="CY72" s="273"/>
      <c r="CZ72" s="273"/>
      <c r="DA72" s="273"/>
      <c r="DB72" s="273"/>
      <c r="DC72" s="273"/>
      <c r="DD72" s="273"/>
      <c r="DE72" s="273"/>
      <c r="DF72" s="271"/>
      <c r="DG72" s="271"/>
      <c r="DH72" s="272">
        <f t="shared" si="6"/>
        <v>15</v>
      </c>
      <c r="DI72" s="272">
        <f t="shared" si="6"/>
        <v>180</v>
      </c>
      <c r="DJ72" s="324">
        <f t="shared" si="6"/>
        <v>180</v>
      </c>
      <c r="DK72" s="325"/>
      <c r="DL72" s="325"/>
    </row>
    <row r="73" spans="1:116" s="275" customFormat="1" ht="20.100000000000001" customHeight="1" x14ac:dyDescent="0.6">
      <c r="A73" s="234">
        <v>70</v>
      </c>
      <c r="B73" s="103" t="s">
        <v>539</v>
      </c>
      <c r="C73" s="103" t="s">
        <v>540</v>
      </c>
      <c r="D73" s="103" t="s">
        <v>541</v>
      </c>
      <c r="E73" s="148" t="s">
        <v>542</v>
      </c>
      <c r="F73" s="179" t="s">
        <v>516</v>
      </c>
      <c r="G73" s="322"/>
      <c r="H73" s="323"/>
      <c r="I73" s="322" t="s">
        <v>1015</v>
      </c>
      <c r="J73" s="322" t="s">
        <v>994</v>
      </c>
      <c r="K73" s="241"/>
      <c r="L73" s="241"/>
      <c r="M73" s="271"/>
      <c r="N73" s="271"/>
      <c r="O73" s="271"/>
      <c r="P73" s="271"/>
      <c r="Q73" s="271"/>
      <c r="R73" s="271"/>
      <c r="S73" s="271">
        <v>1</v>
      </c>
      <c r="T73" s="271">
        <v>40</v>
      </c>
      <c r="U73" s="271">
        <v>14</v>
      </c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  <c r="AO73" s="271"/>
      <c r="AP73" s="271"/>
      <c r="AQ73" s="272">
        <f t="shared" si="4"/>
        <v>1</v>
      </c>
      <c r="AR73" s="272">
        <f t="shared" si="4"/>
        <v>40</v>
      </c>
      <c r="AS73" s="272">
        <f t="shared" si="4"/>
        <v>14</v>
      </c>
      <c r="AT73" s="357"/>
      <c r="AU73" s="357"/>
      <c r="AV73" s="357"/>
      <c r="AW73" s="357"/>
      <c r="AX73" s="357"/>
      <c r="AY73" s="357"/>
      <c r="AZ73" s="357"/>
      <c r="BA73" s="357"/>
      <c r="BB73" s="357"/>
      <c r="BC73" s="357"/>
      <c r="BD73" s="357"/>
      <c r="BE73" s="357"/>
      <c r="BF73" s="357"/>
      <c r="BG73" s="357"/>
      <c r="BH73" s="357"/>
      <c r="BI73" s="357"/>
      <c r="BJ73" s="357"/>
      <c r="BK73" s="357"/>
      <c r="BL73" s="357"/>
      <c r="BM73" s="357"/>
      <c r="BN73" s="357"/>
      <c r="BO73" s="357">
        <v>10</v>
      </c>
      <c r="BP73" s="357">
        <v>120</v>
      </c>
      <c r="BQ73" s="357">
        <v>120</v>
      </c>
      <c r="BR73" s="357"/>
      <c r="BS73" s="357"/>
      <c r="BT73" s="357"/>
      <c r="BU73" s="357"/>
      <c r="BV73" s="357"/>
      <c r="BW73" s="357"/>
      <c r="BX73" s="272">
        <f t="shared" si="7"/>
        <v>11</v>
      </c>
      <c r="BY73" s="272">
        <f t="shared" si="7"/>
        <v>160</v>
      </c>
      <c r="BZ73" s="272">
        <f t="shared" si="8"/>
        <v>134</v>
      </c>
      <c r="CA73" s="273"/>
      <c r="CB73" s="273"/>
      <c r="CC73" s="273"/>
      <c r="CD73" s="273"/>
      <c r="CE73" s="273"/>
      <c r="CF73" s="273"/>
      <c r="CG73" s="273"/>
      <c r="CH73" s="273"/>
      <c r="CI73" s="273"/>
      <c r="CJ73" s="273"/>
      <c r="CK73" s="273"/>
      <c r="CL73" s="273"/>
      <c r="CM73" s="273"/>
      <c r="CN73" s="273"/>
      <c r="CO73" s="273"/>
      <c r="CP73" s="273"/>
      <c r="CQ73" s="273"/>
      <c r="CR73" s="273"/>
      <c r="CS73" s="273"/>
      <c r="CT73" s="273"/>
      <c r="CU73" s="273"/>
      <c r="CV73" s="273"/>
      <c r="CW73" s="273"/>
      <c r="CX73" s="273"/>
      <c r="CY73" s="273"/>
      <c r="CZ73" s="273"/>
      <c r="DA73" s="273"/>
      <c r="DB73" s="273"/>
      <c r="DC73" s="273"/>
      <c r="DD73" s="273"/>
      <c r="DE73" s="273"/>
      <c r="DF73" s="271"/>
      <c r="DG73" s="271"/>
      <c r="DH73" s="272">
        <f t="shared" si="6"/>
        <v>11</v>
      </c>
      <c r="DI73" s="272">
        <f t="shared" si="6"/>
        <v>160</v>
      </c>
      <c r="DJ73" s="324">
        <f t="shared" si="6"/>
        <v>134</v>
      </c>
      <c r="DK73" s="325"/>
      <c r="DL73" s="325"/>
    </row>
    <row r="74" spans="1:116" s="275" customFormat="1" ht="20.100000000000001" customHeight="1" x14ac:dyDescent="0.6">
      <c r="A74" s="234">
        <v>71</v>
      </c>
      <c r="B74" s="103" t="s">
        <v>543</v>
      </c>
      <c r="C74" s="103" t="s">
        <v>543</v>
      </c>
      <c r="D74" s="103" t="s">
        <v>541</v>
      </c>
      <c r="E74" s="148" t="s">
        <v>542</v>
      </c>
      <c r="F74" s="179" t="s">
        <v>516</v>
      </c>
      <c r="G74" s="322"/>
      <c r="H74" s="323"/>
      <c r="I74" s="322" t="s">
        <v>1016</v>
      </c>
      <c r="J74" s="322" t="s">
        <v>994</v>
      </c>
      <c r="K74" s="241"/>
      <c r="L74" s="24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2">
        <f t="shared" si="4"/>
        <v>0</v>
      </c>
      <c r="AR74" s="272">
        <f t="shared" si="4"/>
        <v>0</v>
      </c>
      <c r="AS74" s="272">
        <f t="shared" si="4"/>
        <v>0</v>
      </c>
      <c r="AT74" s="357"/>
      <c r="AU74" s="357"/>
      <c r="AV74" s="357"/>
      <c r="AW74" s="357"/>
      <c r="AX74" s="357"/>
      <c r="AY74" s="357"/>
      <c r="AZ74" s="357"/>
      <c r="BA74" s="357"/>
      <c r="BB74" s="357"/>
      <c r="BC74" s="357"/>
      <c r="BD74" s="357"/>
      <c r="BE74" s="357"/>
      <c r="BF74" s="357"/>
      <c r="BG74" s="357"/>
      <c r="BH74" s="357"/>
      <c r="BI74" s="357"/>
      <c r="BJ74" s="357"/>
      <c r="BK74" s="357"/>
      <c r="BL74" s="357"/>
      <c r="BM74" s="357"/>
      <c r="BN74" s="357"/>
      <c r="BO74" s="357"/>
      <c r="BP74" s="357"/>
      <c r="BQ74" s="357"/>
      <c r="BR74" s="357"/>
      <c r="BS74" s="357"/>
      <c r="BT74" s="357"/>
      <c r="BU74" s="357"/>
      <c r="BV74" s="357"/>
      <c r="BW74" s="357"/>
      <c r="BX74" s="272">
        <f t="shared" si="7"/>
        <v>0</v>
      </c>
      <c r="BY74" s="272">
        <f t="shared" si="7"/>
        <v>0</v>
      </c>
      <c r="BZ74" s="272">
        <f t="shared" si="8"/>
        <v>0</v>
      </c>
      <c r="CA74" s="273"/>
      <c r="CB74" s="273"/>
      <c r="CC74" s="273"/>
      <c r="CD74" s="273"/>
      <c r="CE74" s="273"/>
      <c r="CF74" s="273"/>
      <c r="CG74" s="273"/>
      <c r="CH74" s="273"/>
      <c r="CI74" s="273"/>
      <c r="CJ74" s="273"/>
      <c r="CK74" s="273"/>
      <c r="CL74" s="273"/>
      <c r="CM74" s="273"/>
      <c r="CN74" s="273"/>
      <c r="CO74" s="273"/>
      <c r="CP74" s="273"/>
      <c r="CQ74" s="273"/>
      <c r="CR74" s="273"/>
      <c r="CS74" s="273"/>
      <c r="CT74" s="273"/>
      <c r="CU74" s="273"/>
      <c r="CV74" s="273"/>
      <c r="CW74" s="273"/>
      <c r="CX74" s="273"/>
      <c r="CY74" s="273"/>
      <c r="CZ74" s="273"/>
      <c r="DA74" s="273"/>
      <c r="DB74" s="273"/>
      <c r="DC74" s="273"/>
      <c r="DD74" s="273"/>
      <c r="DE74" s="273"/>
      <c r="DF74" s="271"/>
      <c r="DG74" s="271"/>
      <c r="DH74" s="272">
        <f t="shared" si="6"/>
        <v>0</v>
      </c>
      <c r="DI74" s="272">
        <f t="shared" si="6"/>
        <v>0</v>
      </c>
      <c r="DJ74" s="324">
        <f t="shared" si="6"/>
        <v>0</v>
      </c>
      <c r="DK74" s="325"/>
      <c r="DL74" s="325"/>
    </row>
    <row r="75" spans="1:116" s="275" customFormat="1" ht="20.100000000000001" customHeight="1" x14ac:dyDescent="0.6">
      <c r="A75" s="234">
        <v>72</v>
      </c>
      <c r="B75" s="103" t="s">
        <v>544</v>
      </c>
      <c r="C75" s="103" t="s">
        <v>544</v>
      </c>
      <c r="D75" s="103" t="s">
        <v>541</v>
      </c>
      <c r="E75" s="148" t="s">
        <v>542</v>
      </c>
      <c r="F75" s="179" t="s">
        <v>516</v>
      </c>
      <c r="G75" s="322"/>
      <c r="H75" s="323"/>
      <c r="I75" s="322" t="s">
        <v>1017</v>
      </c>
      <c r="J75" s="322" t="s">
        <v>994</v>
      </c>
      <c r="K75" s="241"/>
      <c r="L75" s="241"/>
      <c r="M75" s="271"/>
      <c r="N75" s="271"/>
      <c r="O75" s="271"/>
      <c r="P75" s="271"/>
      <c r="Q75" s="271"/>
      <c r="R75" s="271"/>
      <c r="S75" s="271"/>
      <c r="T75" s="271"/>
      <c r="U75" s="271"/>
      <c r="V75" s="271">
        <v>15</v>
      </c>
      <c r="W75" s="271">
        <v>180</v>
      </c>
      <c r="X75" s="271">
        <v>180</v>
      </c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2">
        <f t="shared" si="4"/>
        <v>15</v>
      </c>
      <c r="AR75" s="272">
        <f t="shared" si="4"/>
        <v>180</v>
      </c>
      <c r="AS75" s="272">
        <f t="shared" si="4"/>
        <v>180</v>
      </c>
      <c r="AT75" s="357"/>
      <c r="AU75" s="357"/>
      <c r="AV75" s="357"/>
      <c r="AW75" s="357"/>
      <c r="AX75" s="357"/>
      <c r="AY75" s="357"/>
      <c r="AZ75" s="357"/>
      <c r="BA75" s="357"/>
      <c r="BB75" s="357"/>
      <c r="BC75" s="357"/>
      <c r="BD75" s="357"/>
      <c r="BE75" s="357"/>
      <c r="BF75" s="357"/>
      <c r="BG75" s="357"/>
      <c r="BH75" s="357"/>
      <c r="BI75" s="357"/>
      <c r="BJ75" s="357"/>
      <c r="BK75" s="357"/>
      <c r="BL75" s="357"/>
      <c r="BM75" s="357"/>
      <c r="BN75" s="357"/>
      <c r="BO75" s="357"/>
      <c r="BP75" s="357"/>
      <c r="BQ75" s="357"/>
      <c r="BR75" s="357"/>
      <c r="BS75" s="357"/>
      <c r="BT75" s="357"/>
      <c r="BU75" s="357"/>
      <c r="BV75" s="357"/>
      <c r="BW75" s="357"/>
      <c r="BX75" s="272">
        <f t="shared" si="7"/>
        <v>15</v>
      </c>
      <c r="BY75" s="272">
        <f t="shared" si="7"/>
        <v>180</v>
      </c>
      <c r="BZ75" s="272">
        <f t="shared" si="8"/>
        <v>180</v>
      </c>
      <c r="CA75" s="273"/>
      <c r="CB75" s="273"/>
      <c r="CC75" s="273"/>
      <c r="CD75" s="273"/>
      <c r="CE75" s="273"/>
      <c r="CF75" s="273"/>
      <c r="CG75" s="273"/>
      <c r="CH75" s="273"/>
      <c r="CI75" s="273"/>
      <c r="CJ75" s="273"/>
      <c r="CK75" s="273"/>
      <c r="CL75" s="273"/>
      <c r="CM75" s="273"/>
      <c r="CN75" s="273"/>
      <c r="CO75" s="273"/>
      <c r="CP75" s="273"/>
      <c r="CQ75" s="273"/>
      <c r="CR75" s="273"/>
      <c r="CS75" s="273"/>
      <c r="CT75" s="273"/>
      <c r="CU75" s="273"/>
      <c r="CV75" s="273"/>
      <c r="CW75" s="273"/>
      <c r="CX75" s="273"/>
      <c r="CY75" s="273"/>
      <c r="CZ75" s="273"/>
      <c r="DA75" s="273"/>
      <c r="DB75" s="273"/>
      <c r="DC75" s="273"/>
      <c r="DD75" s="273"/>
      <c r="DE75" s="273"/>
      <c r="DF75" s="271"/>
      <c r="DG75" s="271"/>
      <c r="DH75" s="272">
        <f t="shared" si="6"/>
        <v>15</v>
      </c>
      <c r="DI75" s="272">
        <f t="shared" si="6"/>
        <v>180</v>
      </c>
      <c r="DJ75" s="324">
        <f t="shared" si="6"/>
        <v>180</v>
      </c>
      <c r="DK75" s="325"/>
      <c r="DL75" s="325"/>
    </row>
    <row r="76" spans="1:116" s="275" customFormat="1" ht="20.100000000000001" customHeight="1" x14ac:dyDescent="0.6">
      <c r="A76" s="234">
        <v>73</v>
      </c>
      <c r="B76" s="103" t="s">
        <v>545</v>
      </c>
      <c r="C76" s="103" t="s">
        <v>546</v>
      </c>
      <c r="D76" s="103" t="s">
        <v>230</v>
      </c>
      <c r="E76" s="148" t="s">
        <v>227</v>
      </c>
      <c r="F76" s="179" t="s">
        <v>516</v>
      </c>
      <c r="G76" s="322"/>
      <c r="H76" s="323"/>
      <c r="I76" s="322" t="s">
        <v>1018</v>
      </c>
      <c r="J76" s="322" t="s">
        <v>994</v>
      </c>
      <c r="K76" s="241"/>
      <c r="L76" s="24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>
        <v>19</v>
      </c>
      <c r="AF76" s="271">
        <v>284</v>
      </c>
      <c r="AG76" s="271">
        <v>232</v>
      </c>
      <c r="AH76" s="271"/>
      <c r="AI76" s="271"/>
      <c r="AJ76" s="271"/>
      <c r="AK76" s="271"/>
      <c r="AL76" s="271"/>
      <c r="AM76" s="271"/>
      <c r="AN76" s="271"/>
      <c r="AO76" s="271"/>
      <c r="AP76" s="271"/>
      <c r="AQ76" s="272">
        <f t="shared" si="4"/>
        <v>19</v>
      </c>
      <c r="AR76" s="272">
        <f t="shared" si="4"/>
        <v>284</v>
      </c>
      <c r="AS76" s="272">
        <f t="shared" si="4"/>
        <v>232</v>
      </c>
      <c r="AT76" s="357"/>
      <c r="AU76" s="357"/>
      <c r="AV76" s="357"/>
      <c r="AW76" s="357"/>
      <c r="AX76" s="357"/>
      <c r="AY76" s="357"/>
      <c r="AZ76" s="357"/>
      <c r="BA76" s="357"/>
      <c r="BB76" s="357"/>
      <c r="BC76" s="357"/>
      <c r="BD76" s="357"/>
      <c r="BE76" s="357"/>
      <c r="BF76" s="357"/>
      <c r="BG76" s="357"/>
      <c r="BH76" s="357"/>
      <c r="BI76" s="357"/>
      <c r="BJ76" s="357"/>
      <c r="BK76" s="357"/>
      <c r="BL76" s="357">
        <v>25</v>
      </c>
      <c r="BM76" s="357">
        <v>468</v>
      </c>
      <c r="BN76" s="357">
        <v>312</v>
      </c>
      <c r="BO76" s="357"/>
      <c r="BP76" s="357"/>
      <c r="BQ76" s="357"/>
      <c r="BR76" s="357"/>
      <c r="BS76" s="357"/>
      <c r="BT76" s="357"/>
      <c r="BU76" s="357"/>
      <c r="BV76" s="357"/>
      <c r="BW76" s="357"/>
      <c r="BX76" s="272">
        <f t="shared" si="7"/>
        <v>44</v>
      </c>
      <c r="BY76" s="272">
        <f t="shared" si="7"/>
        <v>752</v>
      </c>
      <c r="BZ76" s="272">
        <f t="shared" si="8"/>
        <v>544</v>
      </c>
      <c r="CA76" s="273"/>
      <c r="CB76" s="273"/>
      <c r="CC76" s="273"/>
      <c r="CD76" s="273"/>
      <c r="CE76" s="273"/>
      <c r="CF76" s="273"/>
      <c r="CG76" s="273"/>
      <c r="CH76" s="273"/>
      <c r="CI76" s="273"/>
      <c r="CJ76" s="273"/>
      <c r="CK76" s="273"/>
      <c r="CL76" s="273"/>
      <c r="CM76" s="273"/>
      <c r="CN76" s="273"/>
      <c r="CO76" s="273"/>
      <c r="CP76" s="273"/>
      <c r="CQ76" s="273"/>
      <c r="CR76" s="273"/>
      <c r="CS76" s="273"/>
      <c r="CT76" s="273"/>
      <c r="CU76" s="273"/>
      <c r="CV76" s="273"/>
      <c r="CW76" s="273"/>
      <c r="CX76" s="273"/>
      <c r="CY76" s="273"/>
      <c r="CZ76" s="273"/>
      <c r="DA76" s="273"/>
      <c r="DB76" s="273"/>
      <c r="DC76" s="273"/>
      <c r="DD76" s="273"/>
      <c r="DE76" s="273"/>
      <c r="DF76" s="271"/>
      <c r="DG76" s="271"/>
      <c r="DH76" s="272">
        <f t="shared" si="6"/>
        <v>44</v>
      </c>
      <c r="DI76" s="272">
        <f t="shared" si="6"/>
        <v>752</v>
      </c>
      <c r="DJ76" s="324">
        <f t="shared" si="6"/>
        <v>544</v>
      </c>
      <c r="DK76" s="325"/>
      <c r="DL76" s="325"/>
    </row>
    <row r="77" spans="1:116" s="275" customFormat="1" ht="20.100000000000001" customHeight="1" x14ac:dyDescent="0.6">
      <c r="A77" s="234">
        <v>74</v>
      </c>
      <c r="B77" s="103" t="s">
        <v>547</v>
      </c>
      <c r="C77" s="103" t="s">
        <v>548</v>
      </c>
      <c r="D77" s="103" t="s">
        <v>230</v>
      </c>
      <c r="E77" s="148" t="s">
        <v>227</v>
      </c>
      <c r="F77" s="179" t="s">
        <v>516</v>
      </c>
      <c r="G77" s="322"/>
      <c r="H77" s="323"/>
      <c r="I77" s="329" t="s">
        <v>1019</v>
      </c>
      <c r="J77" s="322" t="s">
        <v>994</v>
      </c>
      <c r="K77" s="241"/>
      <c r="L77" s="24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>
        <v>15</v>
      </c>
      <c r="AO77" s="271">
        <v>180</v>
      </c>
      <c r="AP77" s="271">
        <v>180</v>
      </c>
      <c r="AQ77" s="272">
        <f t="shared" si="4"/>
        <v>15</v>
      </c>
      <c r="AR77" s="272">
        <f t="shared" si="4"/>
        <v>180</v>
      </c>
      <c r="AS77" s="272">
        <f t="shared" si="4"/>
        <v>180</v>
      </c>
      <c r="AT77" s="357"/>
      <c r="AU77" s="357"/>
      <c r="AV77" s="357"/>
      <c r="AW77" s="357"/>
      <c r="AX77" s="357"/>
      <c r="AY77" s="357"/>
      <c r="AZ77" s="357"/>
      <c r="BA77" s="357"/>
      <c r="BB77" s="357"/>
      <c r="BC77" s="357"/>
      <c r="BD77" s="357"/>
      <c r="BE77" s="357"/>
      <c r="BF77" s="357"/>
      <c r="BG77" s="357"/>
      <c r="BH77" s="357"/>
      <c r="BI77" s="357"/>
      <c r="BJ77" s="357"/>
      <c r="BK77" s="357"/>
      <c r="BL77" s="357"/>
      <c r="BM77" s="357"/>
      <c r="BN77" s="357"/>
      <c r="BO77" s="357"/>
      <c r="BP77" s="357"/>
      <c r="BQ77" s="357"/>
      <c r="BR77" s="357"/>
      <c r="BS77" s="357"/>
      <c r="BT77" s="357"/>
      <c r="BU77" s="357"/>
      <c r="BV77" s="357"/>
      <c r="BW77" s="357"/>
      <c r="BX77" s="272">
        <f t="shared" si="7"/>
        <v>15</v>
      </c>
      <c r="BY77" s="272">
        <f t="shared" si="7"/>
        <v>180</v>
      </c>
      <c r="BZ77" s="272">
        <f t="shared" si="8"/>
        <v>180</v>
      </c>
      <c r="CA77" s="273"/>
      <c r="CB77" s="273"/>
      <c r="CC77" s="273"/>
      <c r="CD77" s="273"/>
      <c r="CE77" s="273"/>
      <c r="CF77" s="273"/>
      <c r="CG77" s="273"/>
      <c r="CH77" s="273"/>
      <c r="CI77" s="273"/>
      <c r="CJ77" s="273"/>
      <c r="CK77" s="273"/>
      <c r="CL77" s="273"/>
      <c r="CM77" s="273"/>
      <c r="CN77" s="273"/>
      <c r="CO77" s="273"/>
      <c r="CP77" s="273"/>
      <c r="CQ77" s="273"/>
      <c r="CR77" s="273"/>
      <c r="CS77" s="273"/>
      <c r="CT77" s="273"/>
      <c r="CU77" s="273"/>
      <c r="CV77" s="273"/>
      <c r="CW77" s="273"/>
      <c r="CX77" s="273"/>
      <c r="CY77" s="273"/>
      <c r="CZ77" s="273"/>
      <c r="DA77" s="273"/>
      <c r="DB77" s="273"/>
      <c r="DC77" s="273"/>
      <c r="DD77" s="273"/>
      <c r="DE77" s="273"/>
      <c r="DF77" s="271"/>
      <c r="DG77" s="271"/>
      <c r="DH77" s="272">
        <f t="shared" si="6"/>
        <v>15</v>
      </c>
      <c r="DI77" s="272">
        <f t="shared" si="6"/>
        <v>180</v>
      </c>
      <c r="DJ77" s="324">
        <f t="shared" si="6"/>
        <v>180</v>
      </c>
      <c r="DK77" s="325"/>
      <c r="DL77" s="325"/>
    </row>
    <row r="78" spans="1:116" s="275" customFormat="1" ht="20.100000000000001" customHeight="1" x14ac:dyDescent="0.6">
      <c r="A78" s="234">
        <v>75</v>
      </c>
      <c r="B78" s="103" t="s">
        <v>549</v>
      </c>
      <c r="C78" s="103" t="s">
        <v>550</v>
      </c>
      <c r="D78" s="103" t="s">
        <v>230</v>
      </c>
      <c r="E78" s="148" t="s">
        <v>227</v>
      </c>
      <c r="F78" s="179" t="s">
        <v>516</v>
      </c>
      <c r="G78" s="322"/>
      <c r="H78" s="323"/>
      <c r="I78" s="322"/>
      <c r="J78" s="322" t="s">
        <v>994</v>
      </c>
      <c r="K78" s="241"/>
      <c r="L78" s="24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>
        <v>32</v>
      </c>
      <c r="AF78" s="271">
        <v>468</v>
      </c>
      <c r="AG78" s="271">
        <v>370.8</v>
      </c>
      <c r="AH78" s="271"/>
      <c r="AI78" s="271"/>
      <c r="AJ78" s="271"/>
      <c r="AK78" s="271"/>
      <c r="AL78" s="271"/>
      <c r="AM78" s="271"/>
      <c r="AN78" s="271"/>
      <c r="AO78" s="271"/>
      <c r="AP78" s="271"/>
      <c r="AQ78" s="272">
        <f t="shared" si="4"/>
        <v>32</v>
      </c>
      <c r="AR78" s="272">
        <f t="shared" si="4"/>
        <v>468</v>
      </c>
      <c r="AS78" s="272">
        <f t="shared" si="4"/>
        <v>370.8</v>
      </c>
      <c r="AT78" s="357"/>
      <c r="AU78" s="357"/>
      <c r="AV78" s="357"/>
      <c r="AW78" s="357"/>
      <c r="AX78" s="357"/>
      <c r="AY78" s="357"/>
      <c r="AZ78" s="357"/>
      <c r="BA78" s="357"/>
      <c r="BB78" s="357"/>
      <c r="BC78" s="357"/>
      <c r="BD78" s="357"/>
      <c r="BE78" s="357"/>
      <c r="BF78" s="357"/>
      <c r="BG78" s="357"/>
      <c r="BH78" s="357"/>
      <c r="BI78" s="357"/>
      <c r="BJ78" s="357"/>
      <c r="BK78" s="357"/>
      <c r="BL78" s="357"/>
      <c r="BM78" s="357"/>
      <c r="BN78" s="357"/>
      <c r="BO78" s="357"/>
      <c r="BP78" s="357"/>
      <c r="BQ78" s="357"/>
      <c r="BR78" s="357"/>
      <c r="BS78" s="357"/>
      <c r="BT78" s="357"/>
      <c r="BU78" s="357"/>
      <c r="BV78" s="357"/>
      <c r="BW78" s="357"/>
      <c r="BX78" s="272">
        <f t="shared" si="7"/>
        <v>32</v>
      </c>
      <c r="BY78" s="272">
        <f t="shared" si="7"/>
        <v>468</v>
      </c>
      <c r="BZ78" s="272">
        <f t="shared" si="8"/>
        <v>370.8</v>
      </c>
      <c r="CA78" s="273"/>
      <c r="CB78" s="273"/>
      <c r="CC78" s="273"/>
      <c r="CD78" s="273"/>
      <c r="CE78" s="273"/>
      <c r="CF78" s="273"/>
      <c r="CG78" s="273"/>
      <c r="CH78" s="273"/>
      <c r="CI78" s="273"/>
      <c r="CJ78" s="273"/>
      <c r="CK78" s="273"/>
      <c r="CL78" s="273"/>
      <c r="CM78" s="273"/>
      <c r="CN78" s="273"/>
      <c r="CO78" s="273"/>
      <c r="CP78" s="273"/>
      <c r="CQ78" s="273"/>
      <c r="CR78" s="273"/>
      <c r="CS78" s="273"/>
      <c r="CT78" s="273"/>
      <c r="CU78" s="273"/>
      <c r="CV78" s="273"/>
      <c r="CW78" s="273"/>
      <c r="CX78" s="273"/>
      <c r="CY78" s="273"/>
      <c r="CZ78" s="273"/>
      <c r="DA78" s="273"/>
      <c r="DB78" s="273"/>
      <c r="DC78" s="273"/>
      <c r="DD78" s="273"/>
      <c r="DE78" s="273"/>
      <c r="DF78" s="271"/>
      <c r="DG78" s="271"/>
      <c r="DH78" s="272">
        <f t="shared" si="6"/>
        <v>32</v>
      </c>
      <c r="DI78" s="272">
        <f t="shared" si="6"/>
        <v>468</v>
      </c>
      <c r="DJ78" s="324">
        <f t="shared" si="6"/>
        <v>370.8</v>
      </c>
      <c r="DK78" s="325"/>
      <c r="DL78" s="325"/>
    </row>
    <row r="79" spans="1:116" s="275" customFormat="1" ht="20.100000000000001" customHeight="1" x14ac:dyDescent="0.6">
      <c r="A79" s="234">
        <v>76</v>
      </c>
      <c r="B79" s="103" t="s">
        <v>551</v>
      </c>
      <c r="C79" s="103" t="s">
        <v>552</v>
      </c>
      <c r="D79" s="103" t="s">
        <v>230</v>
      </c>
      <c r="E79" s="148" t="s">
        <v>227</v>
      </c>
      <c r="F79" s="179" t="s">
        <v>516</v>
      </c>
      <c r="G79" s="322"/>
      <c r="H79" s="323"/>
      <c r="I79" s="322"/>
      <c r="J79" s="322" t="s">
        <v>1020</v>
      </c>
      <c r="K79" s="241"/>
      <c r="L79" s="24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>
        <v>15</v>
      </c>
      <c r="AF79" s="271">
        <v>180</v>
      </c>
      <c r="AG79" s="271">
        <v>180</v>
      </c>
      <c r="AH79" s="271"/>
      <c r="AI79" s="271"/>
      <c r="AJ79" s="271"/>
      <c r="AK79" s="271"/>
      <c r="AL79" s="271"/>
      <c r="AM79" s="271"/>
      <c r="AN79" s="271"/>
      <c r="AO79" s="271"/>
      <c r="AP79" s="271"/>
      <c r="AQ79" s="272">
        <f t="shared" si="4"/>
        <v>15</v>
      </c>
      <c r="AR79" s="272">
        <f t="shared" si="4"/>
        <v>180</v>
      </c>
      <c r="AS79" s="272">
        <f t="shared" si="4"/>
        <v>180</v>
      </c>
      <c r="AT79" s="357"/>
      <c r="AU79" s="357"/>
      <c r="AV79" s="357"/>
      <c r="AW79" s="357"/>
      <c r="AX79" s="357"/>
      <c r="AY79" s="357"/>
      <c r="AZ79" s="357"/>
      <c r="BA79" s="357"/>
      <c r="BB79" s="357"/>
      <c r="BC79" s="357"/>
      <c r="BD79" s="357"/>
      <c r="BE79" s="357"/>
      <c r="BF79" s="357"/>
      <c r="BG79" s="357"/>
      <c r="BH79" s="357"/>
      <c r="BI79" s="357"/>
      <c r="BJ79" s="357"/>
      <c r="BK79" s="357"/>
      <c r="BL79" s="357"/>
      <c r="BM79" s="357"/>
      <c r="BN79" s="357"/>
      <c r="BO79" s="357"/>
      <c r="BP79" s="357"/>
      <c r="BQ79" s="357"/>
      <c r="BR79" s="357"/>
      <c r="BS79" s="357"/>
      <c r="BT79" s="357"/>
      <c r="BU79" s="357"/>
      <c r="BV79" s="357"/>
      <c r="BW79" s="357"/>
      <c r="BX79" s="272">
        <f t="shared" si="7"/>
        <v>15</v>
      </c>
      <c r="BY79" s="272">
        <f t="shared" si="7"/>
        <v>180</v>
      </c>
      <c r="BZ79" s="272">
        <f t="shared" si="8"/>
        <v>180</v>
      </c>
      <c r="CA79" s="273"/>
      <c r="CB79" s="273"/>
      <c r="CC79" s="273"/>
      <c r="CD79" s="273"/>
      <c r="CE79" s="273"/>
      <c r="CF79" s="273"/>
      <c r="CG79" s="273"/>
      <c r="CH79" s="273"/>
      <c r="CI79" s="273"/>
      <c r="CJ79" s="273"/>
      <c r="CK79" s="273"/>
      <c r="CL79" s="273"/>
      <c r="CM79" s="273"/>
      <c r="CN79" s="273"/>
      <c r="CO79" s="273"/>
      <c r="CP79" s="273"/>
      <c r="CQ79" s="273"/>
      <c r="CR79" s="273"/>
      <c r="CS79" s="273"/>
      <c r="CT79" s="273"/>
      <c r="CU79" s="273"/>
      <c r="CV79" s="273"/>
      <c r="CW79" s="273"/>
      <c r="CX79" s="273"/>
      <c r="CY79" s="273"/>
      <c r="CZ79" s="273"/>
      <c r="DA79" s="273"/>
      <c r="DB79" s="273"/>
      <c r="DC79" s="273"/>
      <c r="DD79" s="273"/>
      <c r="DE79" s="273"/>
      <c r="DF79" s="271"/>
      <c r="DG79" s="271"/>
      <c r="DH79" s="272">
        <f t="shared" si="6"/>
        <v>15</v>
      </c>
      <c r="DI79" s="272">
        <f t="shared" si="6"/>
        <v>180</v>
      </c>
      <c r="DJ79" s="324">
        <f t="shared" si="6"/>
        <v>180</v>
      </c>
      <c r="DK79" s="325"/>
      <c r="DL79" s="325"/>
    </row>
    <row r="80" spans="1:116" s="275" customFormat="1" ht="20.100000000000001" customHeight="1" x14ac:dyDescent="0.6">
      <c r="A80" s="234">
        <v>77</v>
      </c>
      <c r="B80" s="103">
        <v>185</v>
      </c>
      <c r="C80" s="103">
        <v>185</v>
      </c>
      <c r="D80" s="103" t="s">
        <v>553</v>
      </c>
      <c r="E80" s="148" t="s">
        <v>554</v>
      </c>
      <c r="F80" s="179" t="s">
        <v>516</v>
      </c>
      <c r="G80" s="322"/>
      <c r="H80" s="323"/>
      <c r="I80" s="322"/>
      <c r="J80" s="322" t="s">
        <v>1020</v>
      </c>
      <c r="K80" s="241"/>
      <c r="L80" s="24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2">
        <f t="shared" si="4"/>
        <v>0</v>
      </c>
      <c r="AR80" s="272">
        <f t="shared" si="4"/>
        <v>0</v>
      </c>
      <c r="AS80" s="272">
        <f t="shared" si="4"/>
        <v>0</v>
      </c>
      <c r="AT80" s="356"/>
      <c r="AU80" s="356"/>
      <c r="AV80" s="356"/>
      <c r="AW80" s="356"/>
      <c r="AX80" s="356"/>
      <c r="AY80" s="356"/>
      <c r="AZ80" s="356"/>
      <c r="BA80" s="356"/>
      <c r="BB80" s="356"/>
      <c r="BC80" s="356"/>
      <c r="BD80" s="356"/>
      <c r="BE80" s="356"/>
      <c r="BF80" s="356"/>
      <c r="BG80" s="356"/>
      <c r="BH80" s="356"/>
      <c r="BI80" s="356"/>
      <c r="BJ80" s="356"/>
      <c r="BK80" s="356"/>
      <c r="BL80" s="356"/>
      <c r="BM80" s="356"/>
      <c r="BN80" s="356"/>
      <c r="BO80" s="356">
        <v>5</v>
      </c>
      <c r="BP80" s="356">
        <v>60</v>
      </c>
      <c r="BQ80" s="356">
        <v>60</v>
      </c>
      <c r="BR80" s="356"/>
      <c r="BS80" s="356"/>
      <c r="BT80" s="356"/>
      <c r="BU80" s="356"/>
      <c r="BV80" s="356"/>
      <c r="BW80" s="356"/>
      <c r="BX80" s="272">
        <f t="shared" si="7"/>
        <v>5</v>
      </c>
      <c r="BY80" s="272">
        <f t="shared" si="7"/>
        <v>60</v>
      </c>
      <c r="BZ80" s="272">
        <f t="shared" si="8"/>
        <v>60</v>
      </c>
      <c r="CA80" s="273"/>
      <c r="CB80" s="273"/>
      <c r="CC80" s="273"/>
      <c r="CD80" s="273"/>
      <c r="CE80" s="273"/>
      <c r="CF80" s="273"/>
      <c r="CG80" s="273"/>
      <c r="CH80" s="273"/>
      <c r="CI80" s="273"/>
      <c r="CJ80" s="273"/>
      <c r="CK80" s="273"/>
      <c r="CL80" s="273"/>
      <c r="CM80" s="273"/>
      <c r="CN80" s="273"/>
      <c r="CO80" s="273"/>
      <c r="CP80" s="273"/>
      <c r="CQ80" s="273"/>
      <c r="CR80" s="273"/>
      <c r="CS80" s="273"/>
      <c r="CT80" s="273"/>
      <c r="CU80" s="273"/>
      <c r="CV80" s="273"/>
      <c r="CW80" s="273"/>
      <c r="CX80" s="273"/>
      <c r="CY80" s="273"/>
      <c r="CZ80" s="273"/>
      <c r="DA80" s="273"/>
      <c r="DB80" s="273"/>
      <c r="DC80" s="273"/>
      <c r="DD80" s="273"/>
      <c r="DE80" s="273"/>
      <c r="DF80" s="271"/>
      <c r="DG80" s="271"/>
      <c r="DH80" s="272">
        <f t="shared" si="6"/>
        <v>5</v>
      </c>
      <c r="DI80" s="272">
        <f t="shared" si="6"/>
        <v>60</v>
      </c>
      <c r="DJ80" s="324">
        <f t="shared" si="6"/>
        <v>60</v>
      </c>
      <c r="DK80" s="325"/>
      <c r="DL80" s="325"/>
    </row>
    <row r="81" spans="1:116" s="275" customFormat="1" ht="20.100000000000001" customHeight="1" x14ac:dyDescent="0.6">
      <c r="A81" s="234">
        <v>78</v>
      </c>
      <c r="B81" s="103" t="s">
        <v>555</v>
      </c>
      <c r="C81" s="185" t="s">
        <v>556</v>
      </c>
      <c r="D81" s="103" t="s">
        <v>230</v>
      </c>
      <c r="E81" s="148" t="s">
        <v>532</v>
      </c>
      <c r="F81" s="328" t="s">
        <v>516</v>
      </c>
      <c r="G81" s="322"/>
      <c r="H81" s="323"/>
      <c r="I81" s="322" t="s">
        <v>1021</v>
      </c>
      <c r="J81" s="322" t="s">
        <v>1020</v>
      </c>
      <c r="K81" s="241"/>
      <c r="L81" s="24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2">
        <f t="shared" si="4"/>
        <v>0</v>
      </c>
      <c r="AR81" s="272">
        <f t="shared" si="4"/>
        <v>0</v>
      </c>
      <c r="AS81" s="272">
        <f t="shared" si="4"/>
        <v>0</v>
      </c>
      <c r="AT81" s="357"/>
      <c r="AU81" s="357"/>
      <c r="AV81" s="357"/>
      <c r="AW81" s="357"/>
      <c r="AX81" s="357"/>
      <c r="AY81" s="357"/>
      <c r="AZ81" s="357"/>
      <c r="BA81" s="357"/>
      <c r="BB81" s="357"/>
      <c r="BC81" s="357"/>
      <c r="BD81" s="357"/>
      <c r="BE81" s="357"/>
      <c r="BF81" s="357"/>
      <c r="BG81" s="357"/>
      <c r="BH81" s="357"/>
      <c r="BI81" s="357"/>
      <c r="BJ81" s="357"/>
      <c r="BK81" s="357"/>
      <c r="BL81" s="357"/>
      <c r="BM81" s="357"/>
      <c r="BN81" s="357"/>
      <c r="BO81" s="357"/>
      <c r="BP81" s="357"/>
      <c r="BQ81" s="357"/>
      <c r="BR81" s="357"/>
      <c r="BS81" s="357"/>
      <c r="BT81" s="357"/>
      <c r="BU81" s="357"/>
      <c r="BV81" s="357"/>
      <c r="BW81" s="357"/>
      <c r="BX81" s="272">
        <f t="shared" si="7"/>
        <v>0</v>
      </c>
      <c r="BY81" s="272">
        <f t="shared" si="7"/>
        <v>0</v>
      </c>
      <c r="BZ81" s="272">
        <f t="shared" si="8"/>
        <v>0</v>
      </c>
      <c r="CA81" s="273"/>
      <c r="CB81" s="273"/>
      <c r="CC81" s="273"/>
      <c r="CD81" s="273"/>
      <c r="CE81" s="273"/>
      <c r="CF81" s="273"/>
      <c r="CG81" s="273"/>
      <c r="CH81" s="273"/>
      <c r="CI81" s="273"/>
      <c r="CJ81" s="273"/>
      <c r="CK81" s="273"/>
      <c r="CL81" s="273"/>
      <c r="CM81" s="273"/>
      <c r="CN81" s="273"/>
      <c r="CO81" s="273"/>
      <c r="CP81" s="273"/>
      <c r="CQ81" s="273"/>
      <c r="CR81" s="273"/>
      <c r="CS81" s="273"/>
      <c r="CT81" s="273"/>
      <c r="CU81" s="273"/>
      <c r="CV81" s="273"/>
      <c r="CW81" s="273"/>
      <c r="CX81" s="273"/>
      <c r="CY81" s="273"/>
      <c r="CZ81" s="273"/>
      <c r="DA81" s="273"/>
      <c r="DB81" s="273"/>
      <c r="DC81" s="273"/>
      <c r="DD81" s="273"/>
      <c r="DE81" s="273"/>
      <c r="DF81" s="271"/>
      <c r="DG81" s="271"/>
      <c r="DH81" s="272">
        <f t="shared" si="6"/>
        <v>0</v>
      </c>
      <c r="DI81" s="272">
        <f t="shared" si="6"/>
        <v>0</v>
      </c>
      <c r="DJ81" s="324">
        <f t="shared" si="6"/>
        <v>0</v>
      </c>
      <c r="DK81" s="325"/>
      <c r="DL81" s="325"/>
    </row>
    <row r="82" spans="1:116" s="275" customFormat="1" ht="20.100000000000001" customHeight="1" x14ac:dyDescent="0.6">
      <c r="A82" s="234">
        <v>79</v>
      </c>
      <c r="B82" s="103" t="s">
        <v>557</v>
      </c>
      <c r="C82" s="185" t="s">
        <v>558</v>
      </c>
      <c r="D82" s="103" t="s">
        <v>141</v>
      </c>
      <c r="E82" s="148" t="s">
        <v>532</v>
      </c>
      <c r="F82" s="328" t="s">
        <v>516</v>
      </c>
      <c r="G82" s="322"/>
      <c r="H82" s="323"/>
      <c r="I82" s="322"/>
      <c r="J82" s="322" t="s">
        <v>1020</v>
      </c>
      <c r="K82" s="241"/>
      <c r="L82" s="241"/>
      <c r="M82" s="271"/>
      <c r="N82" s="271"/>
      <c r="O82" s="271"/>
      <c r="P82" s="271"/>
      <c r="Q82" s="271"/>
      <c r="R82" s="271"/>
      <c r="S82" s="271"/>
      <c r="T82" s="271"/>
      <c r="U82" s="271"/>
      <c r="V82" s="271">
        <v>55</v>
      </c>
      <c r="W82" s="271">
        <v>670</v>
      </c>
      <c r="X82" s="271">
        <v>644.79999999999995</v>
      </c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  <c r="AO82" s="271"/>
      <c r="AP82" s="271"/>
      <c r="AQ82" s="272">
        <f t="shared" si="4"/>
        <v>55</v>
      </c>
      <c r="AR82" s="272">
        <f t="shared" si="4"/>
        <v>670</v>
      </c>
      <c r="AS82" s="272">
        <f t="shared" si="4"/>
        <v>644.79999999999995</v>
      </c>
      <c r="AT82" s="357"/>
      <c r="AU82" s="357"/>
      <c r="AV82" s="357"/>
      <c r="AW82" s="357"/>
      <c r="AX82" s="357"/>
      <c r="AY82" s="357"/>
      <c r="AZ82" s="357"/>
      <c r="BA82" s="357"/>
      <c r="BB82" s="357"/>
      <c r="BC82" s="357"/>
      <c r="BD82" s="357"/>
      <c r="BE82" s="357"/>
      <c r="BF82" s="357"/>
      <c r="BG82" s="357"/>
      <c r="BH82" s="357"/>
      <c r="BI82" s="357">
        <v>70</v>
      </c>
      <c r="BJ82" s="357">
        <v>880</v>
      </c>
      <c r="BK82" s="357">
        <v>779.2</v>
      </c>
      <c r="BL82" s="357"/>
      <c r="BM82" s="357"/>
      <c r="BN82" s="357"/>
      <c r="BO82" s="357"/>
      <c r="BP82" s="357"/>
      <c r="BQ82" s="357"/>
      <c r="BR82" s="357"/>
      <c r="BS82" s="357"/>
      <c r="BT82" s="357"/>
      <c r="BU82" s="357"/>
      <c r="BV82" s="357"/>
      <c r="BW82" s="357"/>
      <c r="BX82" s="272">
        <f t="shared" si="7"/>
        <v>125</v>
      </c>
      <c r="BY82" s="272">
        <f t="shared" si="7"/>
        <v>1550</v>
      </c>
      <c r="BZ82" s="272">
        <f t="shared" si="8"/>
        <v>1424</v>
      </c>
      <c r="CA82" s="273"/>
      <c r="CB82" s="273"/>
      <c r="CC82" s="273"/>
      <c r="CD82" s="273"/>
      <c r="CE82" s="273"/>
      <c r="CF82" s="273"/>
      <c r="CG82" s="273"/>
      <c r="CH82" s="273"/>
      <c r="CI82" s="273"/>
      <c r="CJ82" s="273"/>
      <c r="CK82" s="273"/>
      <c r="CL82" s="273"/>
      <c r="CM82" s="273"/>
      <c r="CN82" s="273"/>
      <c r="CO82" s="273"/>
      <c r="CP82" s="273"/>
      <c r="CQ82" s="273"/>
      <c r="CR82" s="273"/>
      <c r="CS82" s="273"/>
      <c r="CT82" s="273"/>
      <c r="CU82" s="273"/>
      <c r="CV82" s="273"/>
      <c r="CW82" s="273"/>
      <c r="CX82" s="273"/>
      <c r="CY82" s="273"/>
      <c r="CZ82" s="273"/>
      <c r="DA82" s="273"/>
      <c r="DB82" s="273"/>
      <c r="DC82" s="273"/>
      <c r="DD82" s="273"/>
      <c r="DE82" s="273"/>
      <c r="DF82" s="271"/>
      <c r="DG82" s="271"/>
      <c r="DH82" s="272">
        <f t="shared" si="6"/>
        <v>125</v>
      </c>
      <c r="DI82" s="272">
        <f t="shared" si="6"/>
        <v>1550</v>
      </c>
      <c r="DJ82" s="324">
        <f t="shared" si="6"/>
        <v>1424</v>
      </c>
      <c r="DK82" s="325"/>
      <c r="DL82" s="325"/>
    </row>
    <row r="83" spans="1:116" s="275" customFormat="1" ht="20.100000000000001" customHeight="1" x14ac:dyDescent="0.6">
      <c r="A83" s="234">
        <v>80</v>
      </c>
      <c r="B83" s="103" t="s">
        <v>559</v>
      </c>
      <c r="C83" s="185" t="s">
        <v>560</v>
      </c>
      <c r="D83" s="103" t="s">
        <v>192</v>
      </c>
      <c r="E83" s="148" t="s">
        <v>561</v>
      </c>
      <c r="F83" s="328" t="s">
        <v>516</v>
      </c>
      <c r="G83" s="322"/>
      <c r="H83" s="323"/>
      <c r="I83" s="322"/>
      <c r="J83" s="322" t="s">
        <v>1020</v>
      </c>
      <c r="K83" s="241"/>
      <c r="L83" s="24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2">
        <f t="shared" si="4"/>
        <v>0</v>
      </c>
      <c r="AR83" s="272">
        <f t="shared" si="4"/>
        <v>0</v>
      </c>
      <c r="AS83" s="272">
        <f t="shared" si="4"/>
        <v>0</v>
      </c>
      <c r="AT83" s="357"/>
      <c r="AU83" s="357"/>
      <c r="AV83" s="357"/>
      <c r="AW83" s="357"/>
      <c r="AX83" s="357"/>
      <c r="AY83" s="357"/>
      <c r="AZ83" s="357"/>
      <c r="BA83" s="357"/>
      <c r="BB83" s="357"/>
      <c r="BC83" s="357"/>
      <c r="BD83" s="357"/>
      <c r="BE83" s="357"/>
      <c r="BF83" s="357"/>
      <c r="BG83" s="357"/>
      <c r="BH83" s="357"/>
      <c r="BI83" s="357"/>
      <c r="BJ83" s="357"/>
      <c r="BK83" s="357"/>
      <c r="BL83" s="357"/>
      <c r="BM83" s="357"/>
      <c r="BN83" s="357"/>
      <c r="BO83" s="357"/>
      <c r="BP83" s="357"/>
      <c r="BQ83" s="357"/>
      <c r="BR83" s="357"/>
      <c r="BS83" s="357"/>
      <c r="BT83" s="357"/>
      <c r="BU83" s="357"/>
      <c r="BV83" s="357"/>
      <c r="BW83" s="357"/>
      <c r="BX83" s="272">
        <f t="shared" si="7"/>
        <v>0</v>
      </c>
      <c r="BY83" s="272">
        <f t="shared" si="7"/>
        <v>0</v>
      </c>
      <c r="BZ83" s="272">
        <f t="shared" si="8"/>
        <v>0</v>
      </c>
      <c r="CA83" s="273"/>
      <c r="CB83" s="273"/>
      <c r="CC83" s="273"/>
      <c r="CD83" s="273"/>
      <c r="CE83" s="273"/>
      <c r="CF83" s="273"/>
      <c r="CG83" s="273"/>
      <c r="CH83" s="273"/>
      <c r="CI83" s="273"/>
      <c r="CJ83" s="273"/>
      <c r="CK83" s="273"/>
      <c r="CL83" s="273"/>
      <c r="CM83" s="273"/>
      <c r="CN83" s="273"/>
      <c r="CO83" s="273"/>
      <c r="CP83" s="273"/>
      <c r="CQ83" s="273"/>
      <c r="CR83" s="273"/>
      <c r="CS83" s="273"/>
      <c r="CT83" s="273"/>
      <c r="CU83" s="273"/>
      <c r="CV83" s="273"/>
      <c r="CW83" s="273"/>
      <c r="CX83" s="273"/>
      <c r="CY83" s="273"/>
      <c r="CZ83" s="273"/>
      <c r="DA83" s="273"/>
      <c r="DB83" s="273"/>
      <c r="DC83" s="273"/>
      <c r="DD83" s="273"/>
      <c r="DE83" s="273"/>
      <c r="DF83" s="271"/>
      <c r="DG83" s="271"/>
      <c r="DH83" s="272">
        <f t="shared" si="6"/>
        <v>0</v>
      </c>
      <c r="DI83" s="272">
        <f t="shared" si="6"/>
        <v>0</v>
      </c>
      <c r="DJ83" s="324">
        <f t="shared" si="6"/>
        <v>0</v>
      </c>
      <c r="DK83" s="325"/>
      <c r="DL83" s="325"/>
    </row>
    <row r="84" spans="1:116" s="275" customFormat="1" ht="20.100000000000001" customHeight="1" x14ac:dyDescent="0.6">
      <c r="A84" s="234">
        <v>81</v>
      </c>
      <c r="B84" s="103" t="s">
        <v>562</v>
      </c>
      <c r="C84" s="185" t="s">
        <v>563</v>
      </c>
      <c r="D84" s="103" t="s">
        <v>168</v>
      </c>
      <c r="E84" s="148" t="s">
        <v>169</v>
      </c>
      <c r="F84" s="328" t="s">
        <v>516</v>
      </c>
      <c r="G84" s="322"/>
      <c r="H84" s="323"/>
      <c r="I84" s="322"/>
      <c r="J84" s="322" t="s">
        <v>1020</v>
      </c>
      <c r="K84" s="241"/>
      <c r="L84" s="24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>
        <v>15</v>
      </c>
      <c r="Z84" s="271">
        <v>320</v>
      </c>
      <c r="AA84" s="271">
        <v>190</v>
      </c>
      <c r="AB84" s="271"/>
      <c r="AC84" s="271"/>
      <c r="AD84" s="271"/>
      <c r="AE84" s="271">
        <v>15</v>
      </c>
      <c r="AF84" s="271">
        <v>210</v>
      </c>
      <c r="AG84" s="271">
        <v>134.4</v>
      </c>
      <c r="AH84" s="271"/>
      <c r="AI84" s="271"/>
      <c r="AJ84" s="271"/>
      <c r="AK84" s="271"/>
      <c r="AL84" s="271"/>
      <c r="AM84" s="271"/>
      <c r="AN84" s="271"/>
      <c r="AO84" s="271"/>
      <c r="AP84" s="271"/>
      <c r="AQ84" s="272">
        <f t="shared" ref="AQ84:AS136" si="9">+AN84+AK84+AH84+AE84+AB84+Y84+V84+S84+P84+M84</f>
        <v>30</v>
      </c>
      <c r="AR84" s="272">
        <f t="shared" si="9"/>
        <v>530</v>
      </c>
      <c r="AS84" s="272">
        <f t="shared" si="9"/>
        <v>324.39999999999998</v>
      </c>
      <c r="AT84" s="357"/>
      <c r="AU84" s="357"/>
      <c r="AV84" s="357"/>
      <c r="AW84" s="357"/>
      <c r="AX84" s="357"/>
      <c r="AY84" s="357"/>
      <c r="AZ84" s="357"/>
      <c r="BA84" s="357"/>
      <c r="BB84" s="357"/>
      <c r="BC84" s="357">
        <v>10</v>
      </c>
      <c r="BD84" s="357">
        <v>120</v>
      </c>
      <c r="BE84" s="357">
        <v>120</v>
      </c>
      <c r="BF84" s="357"/>
      <c r="BG84" s="357"/>
      <c r="BH84" s="357"/>
      <c r="BI84" s="357"/>
      <c r="BJ84" s="357"/>
      <c r="BK84" s="357"/>
      <c r="BL84" s="357"/>
      <c r="BM84" s="357"/>
      <c r="BN84" s="357"/>
      <c r="BO84" s="357"/>
      <c r="BP84" s="357"/>
      <c r="BQ84" s="357"/>
      <c r="BR84" s="357"/>
      <c r="BS84" s="357"/>
      <c r="BT84" s="357"/>
      <c r="BU84" s="357"/>
      <c r="BV84" s="357"/>
      <c r="BW84" s="357"/>
      <c r="BX84" s="272">
        <f t="shared" si="7"/>
        <v>40</v>
      </c>
      <c r="BY84" s="272">
        <f t="shared" si="7"/>
        <v>650</v>
      </c>
      <c r="BZ84" s="272">
        <f t="shared" si="8"/>
        <v>444.4</v>
      </c>
      <c r="CA84" s="273"/>
      <c r="CB84" s="273"/>
      <c r="CC84" s="273"/>
      <c r="CD84" s="273"/>
      <c r="CE84" s="273"/>
      <c r="CF84" s="273"/>
      <c r="CG84" s="273"/>
      <c r="CH84" s="273"/>
      <c r="CI84" s="273"/>
      <c r="CJ84" s="273"/>
      <c r="CK84" s="273"/>
      <c r="CL84" s="273"/>
      <c r="CM84" s="273"/>
      <c r="CN84" s="273"/>
      <c r="CO84" s="273"/>
      <c r="CP84" s="273"/>
      <c r="CQ84" s="273"/>
      <c r="CR84" s="273"/>
      <c r="CS84" s="273"/>
      <c r="CT84" s="273"/>
      <c r="CU84" s="273"/>
      <c r="CV84" s="273"/>
      <c r="CW84" s="273"/>
      <c r="CX84" s="273"/>
      <c r="CY84" s="273"/>
      <c r="CZ84" s="273"/>
      <c r="DA84" s="273"/>
      <c r="DB84" s="273"/>
      <c r="DC84" s="273"/>
      <c r="DD84" s="273"/>
      <c r="DE84" s="273"/>
      <c r="DF84" s="271"/>
      <c r="DG84" s="271"/>
      <c r="DH84" s="272">
        <f t="shared" si="6"/>
        <v>40</v>
      </c>
      <c r="DI84" s="272">
        <f t="shared" si="6"/>
        <v>650</v>
      </c>
      <c r="DJ84" s="324">
        <f t="shared" si="6"/>
        <v>444.4</v>
      </c>
      <c r="DK84" s="325"/>
      <c r="DL84" s="325"/>
    </row>
    <row r="85" spans="1:116" s="275" customFormat="1" ht="20.100000000000001" customHeight="1" x14ac:dyDescent="0.6">
      <c r="A85" s="234">
        <v>82</v>
      </c>
      <c r="B85" s="103" t="s">
        <v>564</v>
      </c>
      <c r="C85" s="185" t="s">
        <v>565</v>
      </c>
      <c r="D85" s="103" t="s">
        <v>141</v>
      </c>
      <c r="E85" s="148" t="s">
        <v>566</v>
      </c>
      <c r="F85" s="328" t="s">
        <v>516</v>
      </c>
      <c r="G85" s="322"/>
      <c r="H85" s="323"/>
      <c r="I85" s="322" t="s">
        <v>1022</v>
      </c>
      <c r="J85" s="322" t="s">
        <v>1023</v>
      </c>
      <c r="K85" s="241"/>
      <c r="L85" s="241"/>
      <c r="M85" s="271"/>
      <c r="N85" s="271"/>
      <c r="O85" s="271"/>
      <c r="P85" s="271"/>
      <c r="Q85" s="271"/>
      <c r="R85" s="271"/>
      <c r="S85" s="271"/>
      <c r="T85" s="271"/>
      <c r="U85" s="271"/>
      <c r="V85" s="271">
        <v>10</v>
      </c>
      <c r="W85" s="271">
        <v>130</v>
      </c>
      <c r="X85" s="271">
        <v>104.8</v>
      </c>
      <c r="Y85" s="271"/>
      <c r="Z85" s="271"/>
      <c r="AA85" s="271"/>
      <c r="AB85" s="271"/>
      <c r="AC85" s="271"/>
      <c r="AD85" s="271"/>
      <c r="AE85" s="271">
        <v>10</v>
      </c>
      <c r="AF85" s="271">
        <v>130</v>
      </c>
      <c r="AG85" s="271">
        <v>104.8</v>
      </c>
      <c r="AH85" s="271"/>
      <c r="AI85" s="271"/>
      <c r="AJ85" s="271"/>
      <c r="AK85" s="271"/>
      <c r="AL85" s="271"/>
      <c r="AM85" s="271"/>
      <c r="AN85" s="271"/>
      <c r="AO85" s="271"/>
      <c r="AP85" s="271"/>
      <c r="AQ85" s="272">
        <f t="shared" si="9"/>
        <v>20</v>
      </c>
      <c r="AR85" s="272">
        <f t="shared" si="9"/>
        <v>260</v>
      </c>
      <c r="AS85" s="272">
        <f t="shared" si="9"/>
        <v>209.6</v>
      </c>
      <c r="AT85" s="357"/>
      <c r="AU85" s="357"/>
      <c r="AV85" s="357"/>
      <c r="AW85" s="357">
        <v>7</v>
      </c>
      <c r="AX85" s="357">
        <v>140</v>
      </c>
      <c r="AY85" s="357">
        <v>88</v>
      </c>
      <c r="AZ85" s="357"/>
      <c r="BA85" s="357"/>
      <c r="BB85" s="357"/>
      <c r="BC85" s="357">
        <v>5</v>
      </c>
      <c r="BD85" s="357">
        <v>60</v>
      </c>
      <c r="BE85" s="357">
        <v>60</v>
      </c>
      <c r="BF85" s="357"/>
      <c r="BG85" s="357"/>
      <c r="BH85" s="357"/>
      <c r="BI85" s="357"/>
      <c r="BJ85" s="357"/>
      <c r="BK85" s="357"/>
      <c r="BL85" s="357"/>
      <c r="BM85" s="357"/>
      <c r="BN85" s="357"/>
      <c r="BO85" s="357">
        <v>5</v>
      </c>
      <c r="BP85" s="357">
        <v>70</v>
      </c>
      <c r="BQ85" s="357">
        <v>44.8</v>
      </c>
      <c r="BR85" s="357"/>
      <c r="BS85" s="357"/>
      <c r="BT85" s="357"/>
      <c r="BU85" s="357"/>
      <c r="BV85" s="357"/>
      <c r="BW85" s="357"/>
      <c r="BX85" s="272">
        <f t="shared" si="7"/>
        <v>37</v>
      </c>
      <c r="BY85" s="272">
        <f t="shared" si="7"/>
        <v>530</v>
      </c>
      <c r="BZ85" s="272">
        <f t="shared" si="8"/>
        <v>402.40000000000003</v>
      </c>
      <c r="CA85" s="273"/>
      <c r="CB85" s="273"/>
      <c r="CC85" s="273"/>
      <c r="CD85" s="273"/>
      <c r="CE85" s="273"/>
      <c r="CF85" s="273"/>
      <c r="CG85" s="273"/>
      <c r="CH85" s="273"/>
      <c r="CI85" s="273"/>
      <c r="CJ85" s="273"/>
      <c r="CK85" s="273"/>
      <c r="CL85" s="273"/>
      <c r="CM85" s="273"/>
      <c r="CN85" s="273"/>
      <c r="CO85" s="273"/>
      <c r="CP85" s="273"/>
      <c r="CQ85" s="273"/>
      <c r="CR85" s="273"/>
      <c r="CS85" s="273"/>
      <c r="CT85" s="273"/>
      <c r="CU85" s="273"/>
      <c r="CV85" s="273"/>
      <c r="CW85" s="273"/>
      <c r="CX85" s="273"/>
      <c r="CY85" s="273"/>
      <c r="CZ85" s="273"/>
      <c r="DA85" s="273"/>
      <c r="DB85" s="273"/>
      <c r="DC85" s="273"/>
      <c r="DD85" s="273"/>
      <c r="DE85" s="273"/>
      <c r="DF85" s="271"/>
      <c r="DG85" s="271"/>
      <c r="DH85" s="272">
        <f t="shared" si="6"/>
        <v>37</v>
      </c>
      <c r="DI85" s="272">
        <f t="shared" si="6"/>
        <v>530</v>
      </c>
      <c r="DJ85" s="324">
        <f t="shared" si="6"/>
        <v>402.40000000000003</v>
      </c>
      <c r="DK85" s="325"/>
      <c r="DL85" s="325"/>
    </row>
    <row r="86" spans="1:116" s="275" customFormat="1" ht="20.100000000000001" customHeight="1" x14ac:dyDescent="0.6">
      <c r="A86" s="234">
        <v>83</v>
      </c>
      <c r="B86" s="103" t="s">
        <v>567</v>
      </c>
      <c r="C86" s="185" t="s">
        <v>568</v>
      </c>
      <c r="D86" s="103" t="s">
        <v>168</v>
      </c>
      <c r="E86" s="148" t="s">
        <v>169</v>
      </c>
      <c r="F86" s="328" t="s">
        <v>516</v>
      </c>
      <c r="G86" s="322"/>
      <c r="H86" s="323"/>
      <c r="I86" s="322" t="s">
        <v>1024</v>
      </c>
      <c r="J86" s="322" t="s">
        <v>1023</v>
      </c>
      <c r="K86" s="241"/>
      <c r="L86" s="24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2">
        <f t="shared" si="9"/>
        <v>0</v>
      </c>
      <c r="AR86" s="272">
        <f t="shared" si="9"/>
        <v>0</v>
      </c>
      <c r="AS86" s="272">
        <f t="shared" si="9"/>
        <v>0</v>
      </c>
      <c r="AT86" s="357"/>
      <c r="AU86" s="357"/>
      <c r="AV86" s="357"/>
      <c r="AW86" s="357"/>
      <c r="AX86" s="357"/>
      <c r="AY86" s="357"/>
      <c r="AZ86" s="357"/>
      <c r="BA86" s="357"/>
      <c r="BB86" s="357"/>
      <c r="BC86" s="357"/>
      <c r="BD86" s="357"/>
      <c r="BE86" s="357"/>
      <c r="BF86" s="357"/>
      <c r="BG86" s="357"/>
      <c r="BH86" s="357"/>
      <c r="BI86" s="357"/>
      <c r="BJ86" s="357"/>
      <c r="BK86" s="357"/>
      <c r="BL86" s="357"/>
      <c r="BM86" s="357"/>
      <c r="BN86" s="357"/>
      <c r="BO86" s="357"/>
      <c r="BP86" s="357"/>
      <c r="BQ86" s="357"/>
      <c r="BR86" s="357"/>
      <c r="BS86" s="357"/>
      <c r="BT86" s="357"/>
      <c r="BU86" s="357"/>
      <c r="BV86" s="357"/>
      <c r="BW86" s="357"/>
      <c r="BX86" s="272">
        <f t="shared" si="7"/>
        <v>0</v>
      </c>
      <c r="BY86" s="272">
        <f t="shared" si="7"/>
        <v>0</v>
      </c>
      <c r="BZ86" s="272">
        <f t="shared" si="8"/>
        <v>0</v>
      </c>
      <c r="CA86" s="273"/>
      <c r="CB86" s="273"/>
      <c r="CC86" s="273"/>
      <c r="CD86" s="273"/>
      <c r="CE86" s="273"/>
      <c r="CF86" s="273"/>
      <c r="CG86" s="273"/>
      <c r="CH86" s="273"/>
      <c r="CI86" s="273"/>
      <c r="CJ86" s="273"/>
      <c r="CK86" s="273"/>
      <c r="CL86" s="273"/>
      <c r="CM86" s="273"/>
      <c r="CN86" s="273"/>
      <c r="CO86" s="273"/>
      <c r="CP86" s="273"/>
      <c r="CQ86" s="273"/>
      <c r="CR86" s="273"/>
      <c r="CS86" s="273"/>
      <c r="CT86" s="273"/>
      <c r="CU86" s="273"/>
      <c r="CV86" s="273"/>
      <c r="CW86" s="273"/>
      <c r="CX86" s="273"/>
      <c r="CY86" s="273"/>
      <c r="CZ86" s="273"/>
      <c r="DA86" s="273"/>
      <c r="DB86" s="273"/>
      <c r="DC86" s="273"/>
      <c r="DD86" s="273"/>
      <c r="DE86" s="273"/>
      <c r="DF86" s="271"/>
      <c r="DG86" s="271"/>
      <c r="DH86" s="272">
        <f t="shared" si="6"/>
        <v>0</v>
      </c>
      <c r="DI86" s="272">
        <f t="shared" si="6"/>
        <v>0</v>
      </c>
      <c r="DJ86" s="324">
        <f t="shared" si="6"/>
        <v>0</v>
      </c>
      <c r="DK86" s="325"/>
      <c r="DL86" s="325"/>
    </row>
    <row r="87" spans="1:116" s="275" customFormat="1" ht="20.100000000000001" customHeight="1" x14ac:dyDescent="0.6">
      <c r="A87" s="234">
        <v>84</v>
      </c>
      <c r="B87" s="103" t="s">
        <v>569</v>
      </c>
      <c r="C87" s="185" t="s">
        <v>570</v>
      </c>
      <c r="D87" s="103" t="s">
        <v>571</v>
      </c>
      <c r="E87" s="148" t="s">
        <v>532</v>
      </c>
      <c r="F87" s="328" t="s">
        <v>572</v>
      </c>
      <c r="G87" s="322"/>
      <c r="H87" s="323"/>
      <c r="I87" s="322" t="s">
        <v>1025</v>
      </c>
      <c r="J87" s="322" t="s">
        <v>1023</v>
      </c>
      <c r="K87" s="241"/>
      <c r="L87" s="241"/>
      <c r="M87" s="271"/>
      <c r="N87" s="271"/>
      <c r="O87" s="271"/>
      <c r="P87" s="271"/>
      <c r="Q87" s="271"/>
      <c r="R87" s="271"/>
      <c r="S87" s="271">
        <v>10</v>
      </c>
      <c r="T87" s="271">
        <v>120</v>
      </c>
      <c r="U87" s="271">
        <v>120</v>
      </c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  <c r="AO87" s="271"/>
      <c r="AP87" s="271"/>
      <c r="AQ87" s="272">
        <f t="shared" si="9"/>
        <v>10</v>
      </c>
      <c r="AR87" s="272">
        <f t="shared" si="9"/>
        <v>120</v>
      </c>
      <c r="AS87" s="272">
        <f t="shared" si="9"/>
        <v>120</v>
      </c>
      <c r="AT87" s="357">
        <v>10</v>
      </c>
      <c r="AU87" s="357">
        <v>120</v>
      </c>
      <c r="AV87" s="357">
        <v>120</v>
      </c>
      <c r="AW87" s="357"/>
      <c r="AX87" s="357"/>
      <c r="AY87" s="357"/>
      <c r="AZ87" s="357">
        <v>11</v>
      </c>
      <c r="BA87" s="357">
        <v>170</v>
      </c>
      <c r="BB87" s="357">
        <v>118.8</v>
      </c>
      <c r="BC87" s="357"/>
      <c r="BD87" s="357"/>
      <c r="BE87" s="357"/>
      <c r="BF87" s="357"/>
      <c r="BG87" s="357"/>
      <c r="BH87" s="357"/>
      <c r="BI87" s="357"/>
      <c r="BJ87" s="357"/>
      <c r="BK87" s="357"/>
      <c r="BL87" s="357">
        <v>35</v>
      </c>
      <c r="BM87" s="357">
        <v>420</v>
      </c>
      <c r="BN87" s="357">
        <v>420</v>
      </c>
      <c r="BO87" s="357"/>
      <c r="BP87" s="357"/>
      <c r="BQ87" s="357"/>
      <c r="BR87" s="357"/>
      <c r="BS87" s="357"/>
      <c r="BT87" s="357"/>
      <c r="BU87" s="357"/>
      <c r="BV87" s="357"/>
      <c r="BW87" s="357"/>
      <c r="BX87" s="272">
        <f t="shared" si="7"/>
        <v>66</v>
      </c>
      <c r="BY87" s="272">
        <f t="shared" si="7"/>
        <v>830</v>
      </c>
      <c r="BZ87" s="272">
        <f t="shared" si="8"/>
        <v>778.8</v>
      </c>
      <c r="CA87" s="273"/>
      <c r="CB87" s="273"/>
      <c r="CC87" s="273"/>
      <c r="CD87" s="273"/>
      <c r="CE87" s="273"/>
      <c r="CF87" s="273"/>
      <c r="CG87" s="273"/>
      <c r="CH87" s="273"/>
      <c r="CI87" s="273"/>
      <c r="CJ87" s="273"/>
      <c r="CK87" s="273"/>
      <c r="CL87" s="273"/>
      <c r="CM87" s="273"/>
      <c r="CN87" s="273"/>
      <c r="CO87" s="273"/>
      <c r="CP87" s="273"/>
      <c r="CQ87" s="273"/>
      <c r="CR87" s="273"/>
      <c r="CS87" s="273"/>
      <c r="CT87" s="273"/>
      <c r="CU87" s="273"/>
      <c r="CV87" s="273"/>
      <c r="CW87" s="273"/>
      <c r="CX87" s="273"/>
      <c r="CY87" s="273"/>
      <c r="CZ87" s="273"/>
      <c r="DA87" s="273"/>
      <c r="DB87" s="273"/>
      <c r="DC87" s="273"/>
      <c r="DD87" s="273"/>
      <c r="DE87" s="273"/>
      <c r="DF87" s="271"/>
      <c r="DG87" s="271"/>
      <c r="DH87" s="272">
        <f t="shared" si="6"/>
        <v>66</v>
      </c>
      <c r="DI87" s="272">
        <f t="shared" si="6"/>
        <v>830</v>
      </c>
      <c r="DJ87" s="324">
        <f t="shared" si="6"/>
        <v>778.8</v>
      </c>
      <c r="DK87" s="325"/>
      <c r="DL87" s="325"/>
    </row>
    <row r="88" spans="1:116" s="275" customFormat="1" ht="20.100000000000001" customHeight="1" x14ac:dyDescent="0.6">
      <c r="A88" s="234">
        <v>85</v>
      </c>
      <c r="B88" s="103" t="s">
        <v>573</v>
      </c>
      <c r="C88" s="185" t="s">
        <v>574</v>
      </c>
      <c r="D88" s="103" t="s">
        <v>571</v>
      </c>
      <c r="E88" s="148" t="s">
        <v>532</v>
      </c>
      <c r="F88" s="328" t="s">
        <v>572</v>
      </c>
      <c r="G88" s="322"/>
      <c r="H88" s="323"/>
      <c r="I88" s="322" t="s">
        <v>1026</v>
      </c>
      <c r="J88" s="322" t="s">
        <v>1023</v>
      </c>
      <c r="K88" s="241"/>
      <c r="L88" s="24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>
        <v>5</v>
      </c>
      <c r="AC88" s="271">
        <v>60</v>
      </c>
      <c r="AD88" s="271">
        <v>60</v>
      </c>
      <c r="AE88" s="271"/>
      <c r="AF88" s="271"/>
      <c r="AG88" s="271"/>
      <c r="AH88" s="271"/>
      <c r="AI88" s="271"/>
      <c r="AJ88" s="271"/>
      <c r="AK88" s="271"/>
      <c r="AL88" s="271"/>
      <c r="AM88" s="271"/>
      <c r="AN88" s="271">
        <v>19</v>
      </c>
      <c r="AO88" s="271">
        <v>262</v>
      </c>
      <c r="AP88" s="271">
        <v>220.88</v>
      </c>
      <c r="AQ88" s="272">
        <f t="shared" si="9"/>
        <v>24</v>
      </c>
      <c r="AR88" s="272">
        <f t="shared" si="9"/>
        <v>322</v>
      </c>
      <c r="AS88" s="272">
        <f t="shared" si="9"/>
        <v>280.88</v>
      </c>
      <c r="AT88" s="357"/>
      <c r="AU88" s="357"/>
      <c r="AV88" s="357"/>
      <c r="AW88" s="357"/>
      <c r="AX88" s="357"/>
      <c r="AY88" s="357"/>
      <c r="AZ88" s="357"/>
      <c r="BA88" s="357"/>
      <c r="BB88" s="357"/>
      <c r="BC88" s="357"/>
      <c r="BD88" s="357"/>
      <c r="BE88" s="357"/>
      <c r="BF88" s="357"/>
      <c r="BG88" s="357"/>
      <c r="BH88" s="357"/>
      <c r="BI88" s="357"/>
      <c r="BJ88" s="357"/>
      <c r="BK88" s="357"/>
      <c r="BL88" s="357"/>
      <c r="BM88" s="357"/>
      <c r="BN88" s="357"/>
      <c r="BO88" s="357"/>
      <c r="BP88" s="357"/>
      <c r="BQ88" s="357"/>
      <c r="BR88" s="357">
        <v>35</v>
      </c>
      <c r="BS88" s="357">
        <v>460</v>
      </c>
      <c r="BT88" s="357">
        <v>359.2</v>
      </c>
      <c r="BU88" s="357"/>
      <c r="BV88" s="357"/>
      <c r="BW88" s="357"/>
      <c r="BX88" s="272">
        <f t="shared" si="7"/>
        <v>59</v>
      </c>
      <c r="BY88" s="272">
        <f t="shared" si="7"/>
        <v>782</v>
      </c>
      <c r="BZ88" s="272">
        <f t="shared" si="8"/>
        <v>640.07999999999993</v>
      </c>
      <c r="CA88" s="273"/>
      <c r="CB88" s="273"/>
      <c r="CC88" s="273"/>
      <c r="CD88" s="273"/>
      <c r="CE88" s="273"/>
      <c r="CF88" s="273"/>
      <c r="CG88" s="273"/>
      <c r="CH88" s="273"/>
      <c r="CI88" s="273"/>
      <c r="CJ88" s="273"/>
      <c r="CK88" s="273"/>
      <c r="CL88" s="273"/>
      <c r="CM88" s="273"/>
      <c r="CN88" s="273"/>
      <c r="CO88" s="273"/>
      <c r="CP88" s="273"/>
      <c r="CQ88" s="273"/>
      <c r="CR88" s="273"/>
      <c r="CS88" s="273"/>
      <c r="CT88" s="273"/>
      <c r="CU88" s="273"/>
      <c r="CV88" s="273"/>
      <c r="CW88" s="273"/>
      <c r="CX88" s="273"/>
      <c r="CY88" s="273"/>
      <c r="CZ88" s="273"/>
      <c r="DA88" s="273"/>
      <c r="DB88" s="273"/>
      <c r="DC88" s="273"/>
      <c r="DD88" s="273"/>
      <c r="DE88" s="273"/>
      <c r="DF88" s="271"/>
      <c r="DG88" s="271"/>
      <c r="DH88" s="272">
        <f t="shared" si="6"/>
        <v>59</v>
      </c>
      <c r="DI88" s="272">
        <f t="shared" si="6"/>
        <v>782</v>
      </c>
      <c r="DJ88" s="324">
        <f t="shared" si="6"/>
        <v>640.07999999999993</v>
      </c>
      <c r="DK88" s="325"/>
      <c r="DL88" s="325"/>
    </row>
    <row r="89" spans="1:116" s="275" customFormat="1" ht="20.100000000000001" customHeight="1" x14ac:dyDescent="0.6">
      <c r="A89" s="234">
        <v>86</v>
      </c>
      <c r="B89" s="103" t="s">
        <v>575</v>
      </c>
      <c r="C89" s="185" t="s">
        <v>576</v>
      </c>
      <c r="D89" s="103" t="s">
        <v>571</v>
      </c>
      <c r="E89" s="148" t="s">
        <v>532</v>
      </c>
      <c r="F89" s="328" t="s">
        <v>572</v>
      </c>
      <c r="G89" s="322"/>
      <c r="H89" s="323"/>
      <c r="I89" s="322" t="s">
        <v>1027</v>
      </c>
      <c r="J89" s="322" t="s">
        <v>1023</v>
      </c>
      <c r="K89" s="241"/>
      <c r="L89" s="24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  <c r="AB89" s="271">
        <v>2</v>
      </c>
      <c r="AC89" s="271">
        <v>80</v>
      </c>
      <c r="AD89" s="271">
        <v>28</v>
      </c>
      <c r="AE89" s="271"/>
      <c r="AF89" s="271"/>
      <c r="AG89" s="271"/>
      <c r="AH89" s="271"/>
      <c r="AI89" s="271"/>
      <c r="AJ89" s="271"/>
      <c r="AK89" s="271"/>
      <c r="AL89" s="271"/>
      <c r="AM89" s="271"/>
      <c r="AN89" s="271">
        <v>2</v>
      </c>
      <c r="AO89" s="271">
        <v>80</v>
      </c>
      <c r="AP89" s="271">
        <v>28</v>
      </c>
      <c r="AQ89" s="272">
        <f t="shared" si="9"/>
        <v>4</v>
      </c>
      <c r="AR89" s="272">
        <f t="shared" si="9"/>
        <v>160</v>
      </c>
      <c r="AS89" s="272">
        <f t="shared" si="9"/>
        <v>56</v>
      </c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>
        <v>35</v>
      </c>
      <c r="BS89" s="357">
        <v>420</v>
      </c>
      <c r="BT89" s="357">
        <v>420</v>
      </c>
      <c r="BU89" s="357"/>
      <c r="BV89" s="357"/>
      <c r="BW89" s="357"/>
      <c r="BX89" s="272">
        <f t="shared" si="7"/>
        <v>39</v>
      </c>
      <c r="BY89" s="272">
        <f t="shared" si="7"/>
        <v>580</v>
      </c>
      <c r="BZ89" s="272">
        <f t="shared" si="8"/>
        <v>476</v>
      </c>
      <c r="CA89" s="273"/>
      <c r="CB89" s="273"/>
      <c r="CC89" s="273"/>
      <c r="CD89" s="273"/>
      <c r="CE89" s="273"/>
      <c r="CF89" s="273"/>
      <c r="CG89" s="273"/>
      <c r="CH89" s="273"/>
      <c r="CI89" s="273"/>
      <c r="CJ89" s="273"/>
      <c r="CK89" s="273"/>
      <c r="CL89" s="273"/>
      <c r="CM89" s="273"/>
      <c r="CN89" s="273"/>
      <c r="CO89" s="273"/>
      <c r="CP89" s="273"/>
      <c r="CQ89" s="273"/>
      <c r="CR89" s="273"/>
      <c r="CS89" s="273"/>
      <c r="CT89" s="273"/>
      <c r="CU89" s="273"/>
      <c r="CV89" s="273"/>
      <c r="CW89" s="273"/>
      <c r="CX89" s="273"/>
      <c r="CY89" s="273"/>
      <c r="CZ89" s="273"/>
      <c r="DA89" s="273"/>
      <c r="DB89" s="273"/>
      <c r="DC89" s="273"/>
      <c r="DD89" s="273"/>
      <c r="DE89" s="273"/>
      <c r="DF89" s="271"/>
      <c r="DG89" s="271"/>
      <c r="DH89" s="272">
        <f t="shared" si="6"/>
        <v>39</v>
      </c>
      <c r="DI89" s="272">
        <f t="shared" si="6"/>
        <v>580</v>
      </c>
      <c r="DJ89" s="324">
        <f t="shared" si="6"/>
        <v>476</v>
      </c>
      <c r="DK89" s="325"/>
      <c r="DL89" s="325"/>
    </row>
    <row r="90" spans="1:116" s="275" customFormat="1" ht="20.100000000000001" customHeight="1" x14ac:dyDescent="0.6">
      <c r="A90" s="234">
        <v>87</v>
      </c>
      <c r="B90" s="103" t="s">
        <v>577</v>
      </c>
      <c r="C90" s="185" t="s">
        <v>577</v>
      </c>
      <c r="D90" s="103" t="s">
        <v>571</v>
      </c>
      <c r="E90" s="148" t="s">
        <v>532</v>
      </c>
      <c r="F90" s="328" t="s">
        <v>572</v>
      </c>
      <c r="G90" s="322"/>
      <c r="H90" s="323"/>
      <c r="I90" s="322" t="s">
        <v>1028</v>
      </c>
      <c r="J90" s="322" t="s">
        <v>1023</v>
      </c>
      <c r="K90" s="241"/>
      <c r="L90" s="24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72">
        <f t="shared" si="9"/>
        <v>0</v>
      </c>
      <c r="AR90" s="272">
        <f t="shared" si="9"/>
        <v>0</v>
      </c>
      <c r="AS90" s="272">
        <f t="shared" si="9"/>
        <v>0</v>
      </c>
      <c r="AT90" s="357"/>
      <c r="AU90" s="357"/>
      <c r="AV90" s="357"/>
      <c r="AW90" s="357">
        <v>150</v>
      </c>
      <c r="AX90" s="357">
        <v>1860</v>
      </c>
      <c r="AY90" s="357">
        <v>1708.8</v>
      </c>
      <c r="AZ90" s="357"/>
      <c r="BA90" s="357"/>
      <c r="BB90" s="357"/>
      <c r="BC90" s="357"/>
      <c r="BD90" s="357"/>
      <c r="BE90" s="357"/>
      <c r="BF90" s="357"/>
      <c r="BG90" s="357"/>
      <c r="BH90" s="357"/>
      <c r="BI90" s="357"/>
      <c r="BJ90" s="357"/>
      <c r="BK90" s="357"/>
      <c r="BL90" s="357"/>
      <c r="BM90" s="357"/>
      <c r="BN90" s="357"/>
      <c r="BO90" s="357"/>
      <c r="BP90" s="357"/>
      <c r="BQ90" s="357"/>
      <c r="BR90" s="357"/>
      <c r="BS90" s="357"/>
      <c r="BT90" s="357"/>
      <c r="BU90" s="357"/>
      <c r="BV90" s="357"/>
      <c r="BW90" s="357"/>
      <c r="BX90" s="272">
        <f t="shared" si="7"/>
        <v>150</v>
      </c>
      <c r="BY90" s="272">
        <f t="shared" si="7"/>
        <v>1860</v>
      </c>
      <c r="BZ90" s="272">
        <f t="shared" si="8"/>
        <v>1708.8</v>
      </c>
      <c r="CA90" s="273"/>
      <c r="CB90" s="273"/>
      <c r="CC90" s="273"/>
      <c r="CD90" s="273"/>
      <c r="CE90" s="273"/>
      <c r="CF90" s="273"/>
      <c r="CG90" s="273"/>
      <c r="CH90" s="273"/>
      <c r="CI90" s="273"/>
      <c r="CJ90" s="273"/>
      <c r="CK90" s="273"/>
      <c r="CL90" s="273"/>
      <c r="CM90" s="273"/>
      <c r="CN90" s="273"/>
      <c r="CO90" s="273"/>
      <c r="CP90" s="273"/>
      <c r="CQ90" s="273"/>
      <c r="CR90" s="273"/>
      <c r="CS90" s="273"/>
      <c r="CT90" s="273"/>
      <c r="CU90" s="273"/>
      <c r="CV90" s="273"/>
      <c r="CW90" s="273"/>
      <c r="CX90" s="273"/>
      <c r="CY90" s="273"/>
      <c r="CZ90" s="273"/>
      <c r="DA90" s="273"/>
      <c r="DB90" s="273"/>
      <c r="DC90" s="273"/>
      <c r="DD90" s="273"/>
      <c r="DE90" s="273"/>
      <c r="DF90" s="271"/>
      <c r="DG90" s="271"/>
      <c r="DH90" s="272">
        <f t="shared" si="6"/>
        <v>150</v>
      </c>
      <c r="DI90" s="272">
        <f t="shared" si="6"/>
        <v>1860</v>
      </c>
      <c r="DJ90" s="324">
        <f t="shared" si="6"/>
        <v>1708.8</v>
      </c>
      <c r="DK90" s="325"/>
      <c r="DL90" s="325"/>
    </row>
    <row r="91" spans="1:116" s="275" customFormat="1" ht="20.100000000000001" customHeight="1" x14ac:dyDescent="0.6">
      <c r="A91" s="234">
        <v>88</v>
      </c>
      <c r="B91" s="103" t="s">
        <v>578</v>
      </c>
      <c r="C91" s="185" t="s">
        <v>579</v>
      </c>
      <c r="D91" s="103" t="s">
        <v>580</v>
      </c>
      <c r="E91" s="148" t="s">
        <v>532</v>
      </c>
      <c r="F91" s="328" t="s">
        <v>572</v>
      </c>
      <c r="G91" s="322"/>
      <c r="H91" s="323"/>
      <c r="I91" s="322" t="s">
        <v>1029</v>
      </c>
      <c r="J91" s="322" t="s">
        <v>1023</v>
      </c>
      <c r="K91" s="241"/>
      <c r="L91" s="241"/>
      <c r="M91" s="271"/>
      <c r="N91" s="271"/>
      <c r="O91" s="271"/>
      <c r="P91" s="271"/>
      <c r="Q91" s="271"/>
      <c r="R91" s="271"/>
      <c r="S91" s="271">
        <v>4</v>
      </c>
      <c r="T91" s="271">
        <v>48</v>
      </c>
      <c r="U91" s="271">
        <v>48</v>
      </c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/>
      <c r="AO91" s="271"/>
      <c r="AP91" s="271"/>
      <c r="AQ91" s="272">
        <f t="shared" si="9"/>
        <v>4</v>
      </c>
      <c r="AR91" s="272">
        <f t="shared" si="9"/>
        <v>48</v>
      </c>
      <c r="AS91" s="272">
        <f t="shared" si="9"/>
        <v>48</v>
      </c>
      <c r="AT91" s="357"/>
      <c r="AU91" s="357"/>
      <c r="AV91" s="357"/>
      <c r="AW91" s="357"/>
      <c r="AX91" s="357"/>
      <c r="AY91" s="357"/>
      <c r="AZ91" s="357">
        <v>27</v>
      </c>
      <c r="BA91" s="357">
        <v>428</v>
      </c>
      <c r="BB91" s="357">
        <v>299.60000000000002</v>
      </c>
      <c r="BC91" s="357"/>
      <c r="BD91" s="357"/>
      <c r="BE91" s="357"/>
      <c r="BF91" s="357"/>
      <c r="BG91" s="357"/>
      <c r="BH91" s="357"/>
      <c r="BI91" s="357"/>
      <c r="BJ91" s="357"/>
      <c r="BK91" s="357"/>
      <c r="BL91" s="357"/>
      <c r="BM91" s="357"/>
      <c r="BN91" s="357"/>
      <c r="BO91" s="357"/>
      <c r="BP91" s="357"/>
      <c r="BQ91" s="357"/>
      <c r="BR91" s="357">
        <v>30</v>
      </c>
      <c r="BS91" s="357">
        <v>420</v>
      </c>
      <c r="BT91" s="357">
        <v>268.8</v>
      </c>
      <c r="BU91" s="357"/>
      <c r="BV91" s="357"/>
      <c r="BW91" s="357"/>
      <c r="BX91" s="272">
        <f t="shared" si="7"/>
        <v>61</v>
      </c>
      <c r="BY91" s="272">
        <f t="shared" si="7"/>
        <v>896</v>
      </c>
      <c r="BZ91" s="272">
        <f t="shared" si="8"/>
        <v>616.40000000000009</v>
      </c>
      <c r="CA91" s="273"/>
      <c r="CB91" s="273"/>
      <c r="CC91" s="273"/>
      <c r="CD91" s="273"/>
      <c r="CE91" s="273"/>
      <c r="CF91" s="273"/>
      <c r="CG91" s="273"/>
      <c r="CH91" s="273"/>
      <c r="CI91" s="273"/>
      <c r="CJ91" s="273"/>
      <c r="CK91" s="273"/>
      <c r="CL91" s="273"/>
      <c r="CM91" s="273"/>
      <c r="CN91" s="273"/>
      <c r="CO91" s="273"/>
      <c r="CP91" s="273"/>
      <c r="CQ91" s="273"/>
      <c r="CR91" s="273"/>
      <c r="CS91" s="273"/>
      <c r="CT91" s="273"/>
      <c r="CU91" s="273"/>
      <c r="CV91" s="273"/>
      <c r="CW91" s="273"/>
      <c r="CX91" s="273"/>
      <c r="CY91" s="273"/>
      <c r="CZ91" s="273"/>
      <c r="DA91" s="273"/>
      <c r="DB91" s="273"/>
      <c r="DC91" s="273"/>
      <c r="DD91" s="273"/>
      <c r="DE91" s="273"/>
      <c r="DF91" s="271"/>
      <c r="DG91" s="271"/>
      <c r="DH91" s="272">
        <f t="shared" si="6"/>
        <v>61</v>
      </c>
      <c r="DI91" s="272">
        <f t="shared" si="6"/>
        <v>896</v>
      </c>
      <c r="DJ91" s="324">
        <f t="shared" si="6"/>
        <v>616.40000000000009</v>
      </c>
      <c r="DK91" s="325"/>
      <c r="DL91" s="325"/>
    </row>
    <row r="92" spans="1:116" s="275" customFormat="1" ht="20.100000000000001" customHeight="1" x14ac:dyDescent="0.6">
      <c r="A92" s="234">
        <v>89</v>
      </c>
      <c r="B92" s="103" t="s">
        <v>153</v>
      </c>
      <c r="C92" s="185" t="s">
        <v>154</v>
      </c>
      <c r="D92" s="103" t="s">
        <v>581</v>
      </c>
      <c r="E92" s="148" t="s">
        <v>532</v>
      </c>
      <c r="F92" s="328" t="s">
        <v>572</v>
      </c>
      <c r="G92" s="322"/>
      <c r="H92" s="323"/>
      <c r="I92" s="322" t="s">
        <v>1030</v>
      </c>
      <c r="J92" s="322" t="s">
        <v>1023</v>
      </c>
      <c r="K92" s="241"/>
      <c r="L92" s="241"/>
      <c r="M92" s="271"/>
      <c r="N92" s="271"/>
      <c r="O92" s="271"/>
      <c r="P92" s="271"/>
      <c r="Q92" s="271"/>
      <c r="R92" s="271"/>
      <c r="S92" s="271"/>
      <c r="T92" s="271"/>
      <c r="U92" s="271"/>
      <c r="V92" s="271">
        <v>60</v>
      </c>
      <c r="W92" s="271">
        <v>740</v>
      </c>
      <c r="X92" s="271">
        <v>689.6</v>
      </c>
      <c r="Y92" s="271"/>
      <c r="Z92" s="271"/>
      <c r="AA92" s="271"/>
      <c r="AB92" s="271"/>
      <c r="AC92" s="271"/>
      <c r="AD92" s="271"/>
      <c r="AE92" s="271">
        <v>6</v>
      </c>
      <c r="AF92" s="271">
        <v>156</v>
      </c>
      <c r="AG92" s="271">
        <v>78</v>
      </c>
      <c r="AH92" s="271"/>
      <c r="AI92" s="271"/>
      <c r="AJ92" s="271"/>
      <c r="AK92" s="271"/>
      <c r="AL92" s="271"/>
      <c r="AM92" s="271"/>
      <c r="AN92" s="271">
        <v>18</v>
      </c>
      <c r="AO92" s="271">
        <v>216</v>
      </c>
      <c r="AP92" s="271">
        <v>216</v>
      </c>
      <c r="AQ92" s="272">
        <f t="shared" si="9"/>
        <v>84</v>
      </c>
      <c r="AR92" s="272">
        <f t="shared" si="9"/>
        <v>1112</v>
      </c>
      <c r="AS92" s="272">
        <f t="shared" si="9"/>
        <v>983.6</v>
      </c>
      <c r="AT92" s="356"/>
      <c r="AU92" s="356"/>
      <c r="AV92" s="356"/>
      <c r="AW92" s="356"/>
      <c r="AX92" s="356"/>
      <c r="AY92" s="356"/>
      <c r="AZ92" s="356"/>
      <c r="BA92" s="356"/>
      <c r="BB92" s="356"/>
      <c r="BC92" s="356"/>
      <c r="BD92" s="356"/>
      <c r="BE92" s="356"/>
      <c r="BF92" s="356"/>
      <c r="BG92" s="356"/>
      <c r="BH92" s="356"/>
      <c r="BI92" s="356"/>
      <c r="BJ92" s="356"/>
      <c r="BK92" s="356"/>
      <c r="BL92" s="356">
        <v>30</v>
      </c>
      <c r="BM92" s="356">
        <v>360</v>
      </c>
      <c r="BN92" s="356">
        <v>360</v>
      </c>
      <c r="BO92" s="356"/>
      <c r="BP92" s="356"/>
      <c r="BQ92" s="356"/>
      <c r="BR92" s="356"/>
      <c r="BS92" s="356"/>
      <c r="BT92" s="356"/>
      <c r="BU92" s="356"/>
      <c r="BV92" s="356"/>
      <c r="BW92" s="356"/>
      <c r="BX92" s="272">
        <f t="shared" si="7"/>
        <v>114</v>
      </c>
      <c r="BY92" s="272">
        <f t="shared" si="7"/>
        <v>1472</v>
      </c>
      <c r="BZ92" s="272">
        <f t="shared" si="8"/>
        <v>1343.6</v>
      </c>
      <c r="CA92" s="273"/>
      <c r="CB92" s="273"/>
      <c r="CC92" s="273"/>
      <c r="CD92" s="273"/>
      <c r="CE92" s="273"/>
      <c r="CF92" s="273"/>
      <c r="CG92" s="273"/>
      <c r="CH92" s="273"/>
      <c r="CI92" s="273"/>
      <c r="CJ92" s="273"/>
      <c r="CK92" s="273"/>
      <c r="CL92" s="273"/>
      <c r="CM92" s="273"/>
      <c r="CN92" s="273"/>
      <c r="CO92" s="273"/>
      <c r="CP92" s="273"/>
      <c r="CQ92" s="273"/>
      <c r="CR92" s="273"/>
      <c r="CS92" s="273"/>
      <c r="CT92" s="273"/>
      <c r="CU92" s="273"/>
      <c r="CV92" s="273"/>
      <c r="CW92" s="273"/>
      <c r="CX92" s="273"/>
      <c r="CY92" s="273"/>
      <c r="CZ92" s="273"/>
      <c r="DA92" s="273"/>
      <c r="DB92" s="273"/>
      <c r="DC92" s="273"/>
      <c r="DD92" s="273"/>
      <c r="DE92" s="273"/>
      <c r="DF92" s="271"/>
      <c r="DG92" s="271"/>
      <c r="DH92" s="272">
        <f t="shared" si="6"/>
        <v>114</v>
      </c>
      <c r="DI92" s="272">
        <f t="shared" si="6"/>
        <v>1472</v>
      </c>
      <c r="DJ92" s="324">
        <f t="shared" si="6"/>
        <v>1343.6</v>
      </c>
      <c r="DK92" s="325"/>
      <c r="DL92" s="325"/>
    </row>
    <row r="93" spans="1:116" s="275" customFormat="1" ht="20.100000000000001" customHeight="1" x14ac:dyDescent="0.6">
      <c r="A93" s="234">
        <v>90</v>
      </c>
      <c r="B93" s="103" t="s">
        <v>582</v>
      </c>
      <c r="C93" s="185" t="s">
        <v>583</v>
      </c>
      <c r="D93" s="103" t="s">
        <v>161</v>
      </c>
      <c r="E93" s="148" t="s">
        <v>61</v>
      </c>
      <c r="F93" s="328" t="s">
        <v>572</v>
      </c>
      <c r="G93" s="322"/>
      <c r="H93" s="323"/>
      <c r="I93" s="322" t="s">
        <v>1031</v>
      </c>
      <c r="J93" s="322" t="s">
        <v>1023</v>
      </c>
      <c r="K93" s="241"/>
      <c r="L93" s="241"/>
      <c r="M93" s="271"/>
      <c r="N93" s="271"/>
      <c r="O93" s="271"/>
      <c r="P93" s="271"/>
      <c r="Q93" s="271"/>
      <c r="R93" s="271"/>
      <c r="S93" s="271"/>
      <c r="T93" s="271"/>
      <c r="U93" s="271"/>
      <c r="V93" s="271">
        <v>80</v>
      </c>
      <c r="W93" s="271">
        <v>1280</v>
      </c>
      <c r="X93" s="271">
        <v>919.2</v>
      </c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2">
        <f t="shared" si="9"/>
        <v>80</v>
      </c>
      <c r="AR93" s="272">
        <f t="shared" si="9"/>
        <v>1280</v>
      </c>
      <c r="AS93" s="272">
        <f t="shared" si="9"/>
        <v>919.2</v>
      </c>
      <c r="AT93" s="357">
        <v>150</v>
      </c>
      <c r="AU93" s="357">
        <v>2500</v>
      </c>
      <c r="AV93" s="357">
        <v>1730</v>
      </c>
      <c r="AW93" s="357"/>
      <c r="AX93" s="357"/>
      <c r="AY93" s="357"/>
      <c r="AZ93" s="357"/>
      <c r="BA93" s="357"/>
      <c r="BB93" s="357"/>
      <c r="BC93" s="357"/>
      <c r="BD93" s="357"/>
      <c r="BE93" s="357"/>
      <c r="BF93" s="357"/>
      <c r="BG93" s="357"/>
      <c r="BH93" s="357"/>
      <c r="BI93" s="357"/>
      <c r="BJ93" s="357"/>
      <c r="BK93" s="357"/>
      <c r="BL93" s="357"/>
      <c r="BM93" s="357"/>
      <c r="BN93" s="357"/>
      <c r="BO93" s="357"/>
      <c r="BP93" s="357"/>
      <c r="BQ93" s="357"/>
      <c r="BR93" s="357"/>
      <c r="BS93" s="357"/>
      <c r="BT93" s="357"/>
      <c r="BU93" s="357"/>
      <c r="BV93" s="357"/>
      <c r="BW93" s="357"/>
      <c r="BX93" s="272">
        <f t="shared" si="7"/>
        <v>230</v>
      </c>
      <c r="BY93" s="272">
        <f t="shared" si="7"/>
        <v>3780</v>
      </c>
      <c r="BZ93" s="272">
        <f t="shared" si="8"/>
        <v>2649.2</v>
      </c>
      <c r="CA93" s="273"/>
      <c r="CB93" s="273"/>
      <c r="CC93" s="273"/>
      <c r="CD93" s="273"/>
      <c r="CE93" s="273"/>
      <c r="CF93" s="273"/>
      <c r="CG93" s="273"/>
      <c r="CH93" s="273"/>
      <c r="CI93" s="273"/>
      <c r="CJ93" s="273"/>
      <c r="CK93" s="273"/>
      <c r="CL93" s="273"/>
      <c r="CM93" s="273"/>
      <c r="CN93" s="273"/>
      <c r="CO93" s="273"/>
      <c r="CP93" s="273"/>
      <c r="CQ93" s="273"/>
      <c r="CR93" s="273"/>
      <c r="CS93" s="273"/>
      <c r="CT93" s="273"/>
      <c r="CU93" s="273"/>
      <c r="CV93" s="273"/>
      <c r="CW93" s="273"/>
      <c r="CX93" s="273"/>
      <c r="CY93" s="273"/>
      <c r="CZ93" s="273"/>
      <c r="DA93" s="273"/>
      <c r="DB93" s="273"/>
      <c r="DC93" s="273"/>
      <c r="DD93" s="273"/>
      <c r="DE93" s="273"/>
      <c r="DF93" s="271"/>
      <c r="DG93" s="271"/>
      <c r="DH93" s="272">
        <f t="shared" si="6"/>
        <v>230</v>
      </c>
      <c r="DI93" s="272">
        <f t="shared" si="6"/>
        <v>3780</v>
      </c>
      <c r="DJ93" s="324">
        <f t="shared" si="6"/>
        <v>2649.2</v>
      </c>
      <c r="DK93" s="325"/>
      <c r="DL93" s="325"/>
    </row>
    <row r="94" spans="1:116" s="275" customFormat="1" ht="20.100000000000001" customHeight="1" x14ac:dyDescent="0.6">
      <c r="A94" s="234">
        <v>91</v>
      </c>
      <c r="B94" s="103" t="s">
        <v>584</v>
      </c>
      <c r="C94" s="185" t="s">
        <v>585</v>
      </c>
      <c r="D94" s="103" t="s">
        <v>571</v>
      </c>
      <c r="E94" s="148" t="s">
        <v>586</v>
      </c>
      <c r="F94" s="328" t="s">
        <v>572</v>
      </c>
      <c r="G94" s="322"/>
      <c r="H94" s="323"/>
      <c r="I94" s="322" t="s">
        <v>1032</v>
      </c>
      <c r="J94" s="322" t="s">
        <v>1023</v>
      </c>
      <c r="K94" s="241"/>
      <c r="L94" s="24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2">
        <f t="shared" si="9"/>
        <v>0</v>
      </c>
      <c r="AR94" s="272">
        <f t="shared" si="9"/>
        <v>0</v>
      </c>
      <c r="AS94" s="272">
        <f t="shared" si="9"/>
        <v>0</v>
      </c>
      <c r="AT94" s="356"/>
      <c r="AU94" s="356"/>
      <c r="AV94" s="356"/>
      <c r="AW94" s="356"/>
      <c r="AX94" s="356"/>
      <c r="AY94" s="356"/>
      <c r="AZ94" s="356"/>
      <c r="BA94" s="356"/>
      <c r="BB94" s="356"/>
      <c r="BC94" s="356"/>
      <c r="BD94" s="356"/>
      <c r="BE94" s="356"/>
      <c r="BF94" s="356"/>
      <c r="BG94" s="356"/>
      <c r="BH94" s="356"/>
      <c r="BI94" s="356"/>
      <c r="BJ94" s="356"/>
      <c r="BK94" s="356"/>
      <c r="BL94" s="356">
        <v>35</v>
      </c>
      <c r="BM94" s="356">
        <v>420</v>
      </c>
      <c r="BN94" s="356">
        <v>420</v>
      </c>
      <c r="BO94" s="356"/>
      <c r="BP94" s="356"/>
      <c r="BQ94" s="356"/>
      <c r="BR94" s="356"/>
      <c r="BS94" s="356"/>
      <c r="BT94" s="356"/>
      <c r="BU94" s="356"/>
      <c r="BV94" s="356"/>
      <c r="BW94" s="356"/>
      <c r="BX94" s="272">
        <f t="shared" si="7"/>
        <v>35</v>
      </c>
      <c r="BY94" s="272">
        <f t="shared" si="7"/>
        <v>420</v>
      </c>
      <c r="BZ94" s="272">
        <f t="shared" si="8"/>
        <v>420</v>
      </c>
      <c r="CA94" s="273"/>
      <c r="CB94" s="273"/>
      <c r="CC94" s="273"/>
      <c r="CD94" s="273"/>
      <c r="CE94" s="273"/>
      <c r="CF94" s="273"/>
      <c r="CG94" s="273"/>
      <c r="CH94" s="273"/>
      <c r="CI94" s="273"/>
      <c r="CJ94" s="273"/>
      <c r="CK94" s="273"/>
      <c r="CL94" s="273"/>
      <c r="CM94" s="273"/>
      <c r="CN94" s="273"/>
      <c r="CO94" s="273"/>
      <c r="CP94" s="273"/>
      <c r="CQ94" s="273"/>
      <c r="CR94" s="273"/>
      <c r="CS94" s="273"/>
      <c r="CT94" s="273"/>
      <c r="CU94" s="273"/>
      <c r="CV94" s="273"/>
      <c r="CW94" s="273"/>
      <c r="CX94" s="273"/>
      <c r="CY94" s="273"/>
      <c r="CZ94" s="273"/>
      <c r="DA94" s="273"/>
      <c r="DB94" s="273"/>
      <c r="DC94" s="273"/>
      <c r="DD94" s="273"/>
      <c r="DE94" s="273"/>
      <c r="DF94" s="271"/>
      <c r="DG94" s="271"/>
      <c r="DH94" s="272">
        <f t="shared" si="6"/>
        <v>35</v>
      </c>
      <c r="DI94" s="272">
        <f t="shared" si="6"/>
        <v>420</v>
      </c>
      <c r="DJ94" s="324">
        <f t="shared" si="6"/>
        <v>420</v>
      </c>
      <c r="DK94" s="325"/>
      <c r="DL94" s="325"/>
    </row>
    <row r="95" spans="1:116" s="275" customFormat="1" ht="20.100000000000001" customHeight="1" x14ac:dyDescent="0.6">
      <c r="A95" s="234">
        <v>92</v>
      </c>
      <c r="B95" s="330" t="s">
        <v>587</v>
      </c>
      <c r="C95" s="330" t="s">
        <v>588</v>
      </c>
      <c r="D95" s="330" t="s">
        <v>589</v>
      </c>
      <c r="E95" s="330" t="s">
        <v>590</v>
      </c>
      <c r="F95" s="328" t="s">
        <v>591</v>
      </c>
      <c r="G95" s="322"/>
      <c r="H95" s="323"/>
      <c r="I95" s="322" t="s">
        <v>1033</v>
      </c>
      <c r="J95" s="322" t="s">
        <v>1023</v>
      </c>
      <c r="K95" s="241"/>
      <c r="L95" s="24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>
        <v>10</v>
      </c>
      <c r="AL95" s="271">
        <v>120</v>
      </c>
      <c r="AM95" s="271">
        <v>120</v>
      </c>
      <c r="AN95" s="271"/>
      <c r="AO95" s="271"/>
      <c r="AP95" s="271"/>
      <c r="AQ95" s="272">
        <f t="shared" si="9"/>
        <v>10</v>
      </c>
      <c r="AR95" s="272">
        <f t="shared" si="9"/>
        <v>120</v>
      </c>
      <c r="AS95" s="272">
        <f t="shared" si="9"/>
        <v>120</v>
      </c>
      <c r="AT95" s="357"/>
      <c r="AU95" s="357"/>
      <c r="AV95" s="357"/>
      <c r="AW95" s="357"/>
      <c r="AX95" s="357"/>
      <c r="AY95" s="357"/>
      <c r="AZ95" s="357"/>
      <c r="BA95" s="357"/>
      <c r="BB95" s="357"/>
      <c r="BC95" s="357"/>
      <c r="BD95" s="357"/>
      <c r="BE95" s="357"/>
      <c r="BF95" s="357"/>
      <c r="BG95" s="357"/>
      <c r="BH95" s="357"/>
      <c r="BI95" s="357">
        <v>20</v>
      </c>
      <c r="BJ95" s="357">
        <v>296</v>
      </c>
      <c r="BK95" s="357">
        <v>229.6</v>
      </c>
      <c r="BL95" s="357"/>
      <c r="BM95" s="357"/>
      <c r="BN95" s="357"/>
      <c r="BO95" s="357"/>
      <c r="BP95" s="357"/>
      <c r="BQ95" s="357"/>
      <c r="BR95" s="357"/>
      <c r="BS95" s="357"/>
      <c r="BT95" s="357"/>
      <c r="BU95" s="357"/>
      <c r="BV95" s="357"/>
      <c r="BW95" s="357"/>
      <c r="BX95" s="272">
        <f t="shared" si="7"/>
        <v>30</v>
      </c>
      <c r="BY95" s="272">
        <f t="shared" si="7"/>
        <v>416</v>
      </c>
      <c r="BZ95" s="272">
        <f t="shared" si="8"/>
        <v>349.6</v>
      </c>
      <c r="CA95" s="273"/>
      <c r="CB95" s="273"/>
      <c r="CC95" s="273"/>
      <c r="CD95" s="273"/>
      <c r="CE95" s="273"/>
      <c r="CF95" s="273"/>
      <c r="CG95" s="273"/>
      <c r="CH95" s="273"/>
      <c r="CI95" s="273"/>
      <c r="CJ95" s="273"/>
      <c r="CK95" s="273"/>
      <c r="CL95" s="273"/>
      <c r="CM95" s="273"/>
      <c r="CN95" s="273"/>
      <c r="CO95" s="273"/>
      <c r="CP95" s="273"/>
      <c r="CQ95" s="273"/>
      <c r="CR95" s="273"/>
      <c r="CS95" s="273"/>
      <c r="CT95" s="273"/>
      <c r="CU95" s="273"/>
      <c r="CV95" s="273"/>
      <c r="CW95" s="273"/>
      <c r="CX95" s="273"/>
      <c r="CY95" s="273"/>
      <c r="CZ95" s="273"/>
      <c r="DA95" s="273"/>
      <c r="DB95" s="273"/>
      <c r="DC95" s="273"/>
      <c r="DD95" s="273"/>
      <c r="DE95" s="273"/>
      <c r="DF95" s="271"/>
      <c r="DG95" s="271"/>
      <c r="DH95" s="272">
        <f t="shared" si="6"/>
        <v>30</v>
      </c>
      <c r="DI95" s="272">
        <f t="shared" si="6"/>
        <v>416</v>
      </c>
      <c r="DJ95" s="324">
        <f t="shared" si="6"/>
        <v>349.6</v>
      </c>
      <c r="DK95" s="325"/>
      <c r="DL95" s="325"/>
    </row>
    <row r="96" spans="1:116" s="275" customFormat="1" ht="20.100000000000001" customHeight="1" x14ac:dyDescent="0.6">
      <c r="A96" s="234">
        <v>93</v>
      </c>
      <c r="B96" s="103" t="s">
        <v>592</v>
      </c>
      <c r="C96" s="185" t="s">
        <v>593</v>
      </c>
      <c r="D96" s="103" t="s">
        <v>589</v>
      </c>
      <c r="E96" s="148" t="s">
        <v>590</v>
      </c>
      <c r="F96" s="328" t="s">
        <v>591</v>
      </c>
      <c r="G96" s="322"/>
      <c r="H96" s="323"/>
      <c r="I96" s="322" t="s">
        <v>1034</v>
      </c>
      <c r="J96" s="322" t="s">
        <v>1023</v>
      </c>
      <c r="K96" s="241"/>
      <c r="L96" s="241"/>
      <c r="M96" s="271"/>
      <c r="N96" s="271"/>
      <c r="O96" s="271"/>
      <c r="P96" s="271"/>
      <c r="Q96" s="271"/>
      <c r="R96" s="271"/>
      <c r="S96" s="271">
        <v>7</v>
      </c>
      <c r="T96" s="271">
        <v>84</v>
      </c>
      <c r="U96" s="271">
        <v>74.400000000000006</v>
      </c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>
        <v>3</v>
      </c>
      <c r="AL96" s="271">
        <v>64</v>
      </c>
      <c r="AM96" s="271">
        <v>38</v>
      </c>
      <c r="AN96" s="271"/>
      <c r="AO96" s="271"/>
      <c r="AP96" s="271"/>
      <c r="AQ96" s="272">
        <f t="shared" si="9"/>
        <v>10</v>
      </c>
      <c r="AR96" s="272">
        <f t="shared" si="9"/>
        <v>148</v>
      </c>
      <c r="AS96" s="272">
        <f t="shared" si="9"/>
        <v>112.4</v>
      </c>
      <c r="AT96" s="357"/>
      <c r="AU96" s="357"/>
      <c r="AV96" s="357"/>
      <c r="AW96" s="357"/>
      <c r="AX96" s="357"/>
      <c r="AY96" s="357"/>
      <c r="AZ96" s="357"/>
      <c r="BA96" s="357"/>
      <c r="BB96" s="357"/>
      <c r="BC96" s="357"/>
      <c r="BD96" s="357"/>
      <c r="BE96" s="357"/>
      <c r="BF96" s="357"/>
      <c r="BG96" s="357"/>
      <c r="BH96" s="357"/>
      <c r="BI96" s="357">
        <v>20</v>
      </c>
      <c r="BJ96" s="357">
        <v>240</v>
      </c>
      <c r="BK96" s="357">
        <v>240</v>
      </c>
      <c r="BL96" s="357"/>
      <c r="BM96" s="357"/>
      <c r="BN96" s="357"/>
      <c r="BO96" s="357"/>
      <c r="BP96" s="357"/>
      <c r="BQ96" s="357"/>
      <c r="BR96" s="357"/>
      <c r="BS96" s="357"/>
      <c r="BT96" s="357"/>
      <c r="BU96" s="357"/>
      <c r="BV96" s="357"/>
      <c r="BW96" s="357"/>
      <c r="BX96" s="272">
        <f t="shared" si="7"/>
        <v>30</v>
      </c>
      <c r="BY96" s="272">
        <f t="shared" si="7"/>
        <v>388</v>
      </c>
      <c r="BZ96" s="272">
        <f t="shared" si="8"/>
        <v>352.4</v>
      </c>
      <c r="CA96" s="273"/>
      <c r="CB96" s="273"/>
      <c r="CC96" s="273"/>
      <c r="CD96" s="273"/>
      <c r="CE96" s="273"/>
      <c r="CF96" s="273"/>
      <c r="CG96" s="273"/>
      <c r="CH96" s="273"/>
      <c r="CI96" s="273"/>
      <c r="CJ96" s="273"/>
      <c r="CK96" s="273"/>
      <c r="CL96" s="273"/>
      <c r="CM96" s="273"/>
      <c r="CN96" s="273"/>
      <c r="CO96" s="273"/>
      <c r="CP96" s="273"/>
      <c r="CQ96" s="273"/>
      <c r="CR96" s="273"/>
      <c r="CS96" s="273"/>
      <c r="CT96" s="273"/>
      <c r="CU96" s="273"/>
      <c r="CV96" s="273"/>
      <c r="CW96" s="273"/>
      <c r="CX96" s="273"/>
      <c r="CY96" s="273"/>
      <c r="CZ96" s="273"/>
      <c r="DA96" s="273"/>
      <c r="DB96" s="273"/>
      <c r="DC96" s="273"/>
      <c r="DD96" s="273"/>
      <c r="DE96" s="273"/>
      <c r="DF96" s="271"/>
      <c r="DG96" s="271"/>
      <c r="DH96" s="272">
        <f t="shared" si="6"/>
        <v>30</v>
      </c>
      <c r="DI96" s="272">
        <f t="shared" si="6"/>
        <v>388</v>
      </c>
      <c r="DJ96" s="324">
        <f t="shared" si="6"/>
        <v>352.4</v>
      </c>
      <c r="DK96" s="325"/>
      <c r="DL96" s="325"/>
    </row>
    <row r="97" spans="1:116" s="275" customFormat="1" ht="20.100000000000001" customHeight="1" x14ac:dyDescent="0.6">
      <c r="A97" s="234">
        <v>94</v>
      </c>
      <c r="B97" s="103" t="s">
        <v>594</v>
      </c>
      <c r="C97" s="103" t="s">
        <v>595</v>
      </c>
      <c r="D97" s="103" t="s">
        <v>589</v>
      </c>
      <c r="E97" s="148" t="s">
        <v>590</v>
      </c>
      <c r="F97" s="179" t="s">
        <v>591</v>
      </c>
      <c r="G97" s="322"/>
      <c r="H97" s="323"/>
      <c r="I97" s="322" t="s">
        <v>1035</v>
      </c>
      <c r="J97" s="322" t="s">
        <v>1023</v>
      </c>
      <c r="K97" s="241"/>
      <c r="L97" s="241"/>
      <c r="M97" s="271"/>
      <c r="N97" s="271"/>
      <c r="O97" s="271"/>
      <c r="P97" s="271"/>
      <c r="Q97" s="271"/>
      <c r="R97" s="271"/>
      <c r="S97" s="271">
        <v>7</v>
      </c>
      <c r="T97" s="271">
        <v>98</v>
      </c>
      <c r="U97" s="271">
        <v>62.72</v>
      </c>
      <c r="V97" s="271"/>
      <c r="W97" s="271"/>
      <c r="X97" s="271"/>
      <c r="Y97" s="271"/>
      <c r="Z97" s="271"/>
      <c r="AA97" s="271"/>
      <c r="AB97" s="271"/>
      <c r="AC97" s="271"/>
      <c r="AD97" s="271"/>
      <c r="AE97" s="271">
        <v>5</v>
      </c>
      <c r="AF97" s="271">
        <v>70</v>
      </c>
      <c r="AG97" s="271">
        <v>44.8</v>
      </c>
      <c r="AH97" s="271"/>
      <c r="AI97" s="271"/>
      <c r="AJ97" s="271"/>
      <c r="AK97" s="271">
        <v>5</v>
      </c>
      <c r="AL97" s="271">
        <v>70</v>
      </c>
      <c r="AM97" s="271">
        <v>44.8</v>
      </c>
      <c r="AN97" s="271"/>
      <c r="AO97" s="271"/>
      <c r="AP97" s="271"/>
      <c r="AQ97" s="272">
        <f t="shared" si="9"/>
        <v>17</v>
      </c>
      <c r="AR97" s="272">
        <f t="shared" si="9"/>
        <v>238</v>
      </c>
      <c r="AS97" s="272">
        <f t="shared" si="9"/>
        <v>152.32</v>
      </c>
      <c r="AT97" s="357"/>
      <c r="AU97" s="357"/>
      <c r="AV97" s="357"/>
      <c r="AW97" s="357"/>
      <c r="AX97" s="357"/>
      <c r="AY97" s="357"/>
      <c r="AZ97" s="357"/>
      <c r="BA97" s="357"/>
      <c r="BB97" s="357"/>
      <c r="BC97" s="357"/>
      <c r="BD97" s="357"/>
      <c r="BE97" s="357"/>
      <c r="BF97" s="357"/>
      <c r="BG97" s="357"/>
      <c r="BH97" s="357"/>
      <c r="BI97" s="357">
        <v>15</v>
      </c>
      <c r="BJ97" s="357">
        <v>200</v>
      </c>
      <c r="BK97" s="357">
        <v>149.6</v>
      </c>
      <c r="BL97" s="357"/>
      <c r="BM97" s="357"/>
      <c r="BN97" s="357"/>
      <c r="BO97" s="357"/>
      <c r="BP97" s="357"/>
      <c r="BQ97" s="357"/>
      <c r="BR97" s="357"/>
      <c r="BS97" s="357"/>
      <c r="BT97" s="357"/>
      <c r="BU97" s="357"/>
      <c r="BV97" s="357"/>
      <c r="BW97" s="357"/>
      <c r="BX97" s="272">
        <f t="shared" si="7"/>
        <v>32</v>
      </c>
      <c r="BY97" s="272">
        <f t="shared" si="7"/>
        <v>438</v>
      </c>
      <c r="BZ97" s="272">
        <f t="shared" si="8"/>
        <v>301.91999999999996</v>
      </c>
      <c r="CA97" s="273"/>
      <c r="CB97" s="273"/>
      <c r="CC97" s="273"/>
      <c r="CD97" s="273"/>
      <c r="CE97" s="273"/>
      <c r="CF97" s="273"/>
      <c r="CG97" s="273"/>
      <c r="CH97" s="273"/>
      <c r="CI97" s="273"/>
      <c r="CJ97" s="273"/>
      <c r="CK97" s="273"/>
      <c r="CL97" s="273"/>
      <c r="CM97" s="273"/>
      <c r="CN97" s="273"/>
      <c r="CO97" s="273"/>
      <c r="CP97" s="273"/>
      <c r="CQ97" s="273"/>
      <c r="CR97" s="273"/>
      <c r="CS97" s="273"/>
      <c r="CT97" s="273"/>
      <c r="CU97" s="273"/>
      <c r="CV97" s="273"/>
      <c r="CW97" s="273"/>
      <c r="CX97" s="273"/>
      <c r="CY97" s="273"/>
      <c r="CZ97" s="273"/>
      <c r="DA97" s="273"/>
      <c r="DB97" s="273"/>
      <c r="DC97" s="273"/>
      <c r="DD97" s="273"/>
      <c r="DE97" s="273"/>
      <c r="DF97" s="271"/>
      <c r="DG97" s="271"/>
      <c r="DH97" s="272">
        <f t="shared" si="6"/>
        <v>32</v>
      </c>
      <c r="DI97" s="272">
        <f t="shared" si="6"/>
        <v>438</v>
      </c>
      <c r="DJ97" s="324">
        <f t="shared" si="6"/>
        <v>301.91999999999996</v>
      </c>
      <c r="DK97" s="325"/>
      <c r="DL97" s="325"/>
    </row>
    <row r="98" spans="1:116" s="275" customFormat="1" ht="20.100000000000001" customHeight="1" x14ac:dyDescent="0.6">
      <c r="A98" s="234">
        <v>95</v>
      </c>
      <c r="B98" s="103" t="s">
        <v>596</v>
      </c>
      <c r="C98" s="103" t="s">
        <v>597</v>
      </c>
      <c r="D98" s="103" t="s">
        <v>589</v>
      </c>
      <c r="E98" s="148" t="s">
        <v>590</v>
      </c>
      <c r="F98" s="179" t="s">
        <v>591</v>
      </c>
      <c r="G98" s="322"/>
      <c r="H98" s="323"/>
      <c r="I98" s="322" t="s">
        <v>1036</v>
      </c>
      <c r="J98" s="322" t="s">
        <v>1023</v>
      </c>
      <c r="K98" s="241"/>
      <c r="L98" s="241"/>
      <c r="M98" s="271"/>
      <c r="N98" s="271"/>
      <c r="O98" s="271"/>
      <c r="P98" s="271"/>
      <c r="Q98" s="271"/>
      <c r="R98" s="271"/>
      <c r="S98" s="271">
        <v>28</v>
      </c>
      <c r="T98" s="271">
        <v>506</v>
      </c>
      <c r="U98" s="271">
        <v>403.28</v>
      </c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>
        <v>32</v>
      </c>
      <c r="AL98" s="271">
        <v>520</v>
      </c>
      <c r="AM98" s="271">
        <v>468</v>
      </c>
      <c r="AN98" s="271"/>
      <c r="AO98" s="271"/>
      <c r="AP98" s="271"/>
      <c r="AQ98" s="272">
        <f t="shared" si="9"/>
        <v>60</v>
      </c>
      <c r="AR98" s="272">
        <f t="shared" si="9"/>
        <v>1026</v>
      </c>
      <c r="AS98" s="272">
        <f t="shared" si="9"/>
        <v>871.28</v>
      </c>
      <c r="AT98" s="357"/>
      <c r="AU98" s="357"/>
      <c r="AV98" s="357"/>
      <c r="AW98" s="357"/>
      <c r="AX98" s="357"/>
      <c r="AY98" s="357"/>
      <c r="AZ98" s="357">
        <v>20</v>
      </c>
      <c r="BA98" s="357">
        <v>240</v>
      </c>
      <c r="BB98" s="357">
        <v>240</v>
      </c>
      <c r="BC98" s="357"/>
      <c r="BD98" s="357"/>
      <c r="BE98" s="357"/>
      <c r="BF98" s="357"/>
      <c r="BG98" s="357"/>
      <c r="BH98" s="357"/>
      <c r="BI98" s="357">
        <v>50</v>
      </c>
      <c r="BJ98" s="357">
        <v>814</v>
      </c>
      <c r="BK98" s="357">
        <v>710.8</v>
      </c>
      <c r="BL98" s="357"/>
      <c r="BM98" s="357"/>
      <c r="BN98" s="357"/>
      <c r="BO98" s="357"/>
      <c r="BP98" s="357"/>
      <c r="BQ98" s="357"/>
      <c r="BR98" s="357"/>
      <c r="BS98" s="357"/>
      <c r="BT98" s="357"/>
      <c r="BU98" s="357"/>
      <c r="BV98" s="357"/>
      <c r="BW98" s="357"/>
      <c r="BX98" s="272">
        <f t="shared" si="7"/>
        <v>130</v>
      </c>
      <c r="BY98" s="272">
        <f t="shared" si="7"/>
        <v>2080</v>
      </c>
      <c r="BZ98" s="272">
        <f t="shared" si="8"/>
        <v>1822.08</v>
      </c>
      <c r="CA98" s="273"/>
      <c r="CB98" s="273"/>
      <c r="CC98" s="273"/>
      <c r="CD98" s="273"/>
      <c r="CE98" s="273"/>
      <c r="CF98" s="273"/>
      <c r="CG98" s="273"/>
      <c r="CH98" s="273"/>
      <c r="CI98" s="273"/>
      <c r="CJ98" s="273"/>
      <c r="CK98" s="273"/>
      <c r="CL98" s="273"/>
      <c r="CM98" s="273"/>
      <c r="CN98" s="273"/>
      <c r="CO98" s="273"/>
      <c r="CP98" s="273"/>
      <c r="CQ98" s="273"/>
      <c r="CR98" s="273"/>
      <c r="CS98" s="273"/>
      <c r="CT98" s="273"/>
      <c r="CU98" s="273"/>
      <c r="CV98" s="273"/>
      <c r="CW98" s="273"/>
      <c r="CX98" s="273"/>
      <c r="CY98" s="273"/>
      <c r="CZ98" s="273"/>
      <c r="DA98" s="273"/>
      <c r="DB98" s="273"/>
      <c r="DC98" s="273"/>
      <c r="DD98" s="273"/>
      <c r="DE98" s="273"/>
      <c r="DF98" s="271"/>
      <c r="DG98" s="271"/>
      <c r="DH98" s="272">
        <f t="shared" si="6"/>
        <v>130</v>
      </c>
      <c r="DI98" s="272">
        <f t="shared" si="6"/>
        <v>2080</v>
      </c>
      <c r="DJ98" s="324">
        <f t="shared" si="6"/>
        <v>1822.08</v>
      </c>
      <c r="DK98" s="325"/>
      <c r="DL98" s="325"/>
    </row>
    <row r="99" spans="1:116" s="275" customFormat="1" ht="20.100000000000001" customHeight="1" x14ac:dyDescent="0.6">
      <c r="A99" s="234">
        <v>96</v>
      </c>
      <c r="B99" s="103" t="s">
        <v>486</v>
      </c>
      <c r="C99" s="103" t="s">
        <v>487</v>
      </c>
      <c r="D99" s="103" t="s">
        <v>589</v>
      </c>
      <c r="E99" s="148" t="s">
        <v>590</v>
      </c>
      <c r="F99" s="179" t="s">
        <v>591</v>
      </c>
      <c r="G99" s="322"/>
      <c r="H99" s="323"/>
      <c r="I99" s="322" t="s">
        <v>1037</v>
      </c>
      <c r="J99" s="322" t="s">
        <v>1023</v>
      </c>
      <c r="K99" s="241"/>
      <c r="L99" s="241"/>
      <c r="M99" s="271"/>
      <c r="N99" s="271"/>
      <c r="O99" s="271"/>
      <c r="P99" s="271"/>
      <c r="Q99" s="271"/>
      <c r="R99" s="271"/>
      <c r="S99" s="271">
        <v>30</v>
      </c>
      <c r="T99" s="271">
        <v>450</v>
      </c>
      <c r="U99" s="271">
        <v>353.6</v>
      </c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>
        <v>21</v>
      </c>
      <c r="AL99" s="271">
        <v>338</v>
      </c>
      <c r="AM99" s="271">
        <v>256.48</v>
      </c>
      <c r="AN99" s="271"/>
      <c r="AO99" s="271"/>
      <c r="AP99" s="271"/>
      <c r="AQ99" s="272">
        <f t="shared" si="9"/>
        <v>51</v>
      </c>
      <c r="AR99" s="272">
        <f t="shared" si="9"/>
        <v>788</v>
      </c>
      <c r="AS99" s="272">
        <f t="shared" si="9"/>
        <v>610.08000000000004</v>
      </c>
      <c r="AT99" s="357"/>
      <c r="AU99" s="357"/>
      <c r="AV99" s="357"/>
      <c r="AW99" s="357"/>
      <c r="AX99" s="357"/>
      <c r="AY99" s="357"/>
      <c r="AZ99" s="357">
        <v>10</v>
      </c>
      <c r="BA99" s="357">
        <v>120</v>
      </c>
      <c r="BB99" s="357">
        <v>120</v>
      </c>
      <c r="BC99" s="357"/>
      <c r="BD99" s="357"/>
      <c r="BE99" s="357"/>
      <c r="BF99" s="357"/>
      <c r="BG99" s="357"/>
      <c r="BH99" s="357"/>
      <c r="BI99" s="357">
        <v>50</v>
      </c>
      <c r="BJ99" s="357">
        <v>750</v>
      </c>
      <c r="BK99" s="357">
        <v>620.08000000000004</v>
      </c>
      <c r="BL99" s="357"/>
      <c r="BM99" s="357"/>
      <c r="BN99" s="357"/>
      <c r="BO99" s="357"/>
      <c r="BP99" s="357"/>
      <c r="BQ99" s="357"/>
      <c r="BR99" s="357"/>
      <c r="BS99" s="357"/>
      <c r="BT99" s="357"/>
      <c r="BU99" s="357"/>
      <c r="BV99" s="357"/>
      <c r="BW99" s="357"/>
      <c r="BX99" s="272">
        <f t="shared" si="7"/>
        <v>111</v>
      </c>
      <c r="BY99" s="272">
        <f t="shared" si="7"/>
        <v>1658</v>
      </c>
      <c r="BZ99" s="272">
        <f t="shared" si="8"/>
        <v>1350.16</v>
      </c>
      <c r="CA99" s="273"/>
      <c r="CB99" s="273"/>
      <c r="CC99" s="273"/>
      <c r="CD99" s="273"/>
      <c r="CE99" s="273"/>
      <c r="CF99" s="273"/>
      <c r="CG99" s="273"/>
      <c r="CH99" s="273"/>
      <c r="CI99" s="273"/>
      <c r="CJ99" s="273"/>
      <c r="CK99" s="273"/>
      <c r="CL99" s="273"/>
      <c r="CM99" s="273"/>
      <c r="CN99" s="273"/>
      <c r="CO99" s="273"/>
      <c r="CP99" s="273"/>
      <c r="CQ99" s="273"/>
      <c r="CR99" s="273"/>
      <c r="CS99" s="273"/>
      <c r="CT99" s="273"/>
      <c r="CU99" s="273"/>
      <c r="CV99" s="273"/>
      <c r="CW99" s="273"/>
      <c r="CX99" s="273"/>
      <c r="CY99" s="273"/>
      <c r="CZ99" s="273"/>
      <c r="DA99" s="273"/>
      <c r="DB99" s="273"/>
      <c r="DC99" s="273"/>
      <c r="DD99" s="273"/>
      <c r="DE99" s="273"/>
      <c r="DF99" s="271"/>
      <c r="DG99" s="271"/>
      <c r="DH99" s="272">
        <f t="shared" si="6"/>
        <v>111</v>
      </c>
      <c r="DI99" s="272">
        <f t="shared" si="6"/>
        <v>1658</v>
      </c>
      <c r="DJ99" s="324">
        <f t="shared" si="6"/>
        <v>1350.16</v>
      </c>
      <c r="DK99" s="325"/>
      <c r="DL99" s="325"/>
    </row>
    <row r="100" spans="1:116" s="275" customFormat="1" ht="20.100000000000001" customHeight="1" x14ac:dyDescent="0.6">
      <c r="A100" s="234">
        <v>97</v>
      </c>
      <c r="B100" s="103" t="s">
        <v>598</v>
      </c>
      <c r="C100" s="103" t="s">
        <v>599</v>
      </c>
      <c r="D100" s="103" t="s">
        <v>589</v>
      </c>
      <c r="E100" s="148" t="s">
        <v>590</v>
      </c>
      <c r="F100" s="179" t="s">
        <v>591</v>
      </c>
      <c r="G100" s="322"/>
      <c r="H100" s="323"/>
      <c r="I100" s="322" t="s">
        <v>1038</v>
      </c>
      <c r="J100" s="322" t="s">
        <v>1023</v>
      </c>
      <c r="K100" s="241"/>
      <c r="L100" s="241"/>
      <c r="M100" s="271"/>
      <c r="N100" s="271"/>
      <c r="O100" s="271"/>
      <c r="P100" s="271"/>
      <c r="Q100" s="271"/>
      <c r="R100" s="271"/>
      <c r="S100" s="271">
        <v>20</v>
      </c>
      <c r="T100" s="271">
        <v>280</v>
      </c>
      <c r="U100" s="271">
        <v>179.2</v>
      </c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>
        <v>15</v>
      </c>
      <c r="AL100" s="271">
        <v>210</v>
      </c>
      <c r="AM100" s="271">
        <v>134.4</v>
      </c>
      <c r="AN100" s="271"/>
      <c r="AO100" s="271"/>
      <c r="AP100" s="271"/>
      <c r="AQ100" s="272">
        <f t="shared" si="9"/>
        <v>35</v>
      </c>
      <c r="AR100" s="272">
        <f t="shared" si="9"/>
        <v>490</v>
      </c>
      <c r="AS100" s="272">
        <f t="shared" si="9"/>
        <v>313.60000000000002</v>
      </c>
      <c r="AT100" s="357"/>
      <c r="AU100" s="357"/>
      <c r="AV100" s="357"/>
      <c r="AW100" s="357"/>
      <c r="AX100" s="357"/>
      <c r="AY100" s="357"/>
      <c r="AZ100" s="357"/>
      <c r="BA100" s="357"/>
      <c r="BB100" s="357"/>
      <c r="BC100" s="357"/>
      <c r="BD100" s="357"/>
      <c r="BE100" s="357"/>
      <c r="BF100" s="357"/>
      <c r="BG100" s="357"/>
      <c r="BH100" s="357"/>
      <c r="BI100" s="357">
        <v>35</v>
      </c>
      <c r="BJ100" s="357">
        <v>520</v>
      </c>
      <c r="BK100" s="357">
        <v>368.8</v>
      </c>
      <c r="BL100" s="357"/>
      <c r="BM100" s="357"/>
      <c r="BN100" s="357"/>
      <c r="BO100" s="357"/>
      <c r="BP100" s="357"/>
      <c r="BQ100" s="357"/>
      <c r="BR100" s="357"/>
      <c r="BS100" s="357"/>
      <c r="BT100" s="357"/>
      <c r="BU100" s="357"/>
      <c r="BV100" s="357"/>
      <c r="BW100" s="357"/>
      <c r="BX100" s="272">
        <f t="shared" si="7"/>
        <v>70</v>
      </c>
      <c r="BY100" s="272">
        <f t="shared" si="7"/>
        <v>1010</v>
      </c>
      <c r="BZ100" s="272">
        <f t="shared" si="8"/>
        <v>682.40000000000009</v>
      </c>
      <c r="CA100" s="273"/>
      <c r="CB100" s="273"/>
      <c r="CC100" s="273"/>
      <c r="CD100" s="273"/>
      <c r="CE100" s="273"/>
      <c r="CF100" s="273"/>
      <c r="CG100" s="273"/>
      <c r="CH100" s="273"/>
      <c r="CI100" s="273"/>
      <c r="CJ100" s="273"/>
      <c r="CK100" s="273"/>
      <c r="CL100" s="273"/>
      <c r="CM100" s="273"/>
      <c r="CN100" s="273"/>
      <c r="CO100" s="273"/>
      <c r="CP100" s="273"/>
      <c r="CQ100" s="273"/>
      <c r="CR100" s="273"/>
      <c r="CS100" s="273"/>
      <c r="CT100" s="273"/>
      <c r="CU100" s="273"/>
      <c r="CV100" s="273"/>
      <c r="CW100" s="273"/>
      <c r="CX100" s="273"/>
      <c r="CY100" s="273"/>
      <c r="CZ100" s="273"/>
      <c r="DA100" s="273"/>
      <c r="DB100" s="273"/>
      <c r="DC100" s="273"/>
      <c r="DD100" s="273"/>
      <c r="DE100" s="273"/>
      <c r="DF100" s="271"/>
      <c r="DG100" s="271"/>
      <c r="DH100" s="272">
        <f t="shared" si="6"/>
        <v>70</v>
      </c>
      <c r="DI100" s="272">
        <f t="shared" si="6"/>
        <v>1010</v>
      </c>
      <c r="DJ100" s="324">
        <f t="shared" si="6"/>
        <v>682.40000000000009</v>
      </c>
      <c r="DK100" s="325"/>
      <c r="DL100" s="325"/>
    </row>
    <row r="101" spans="1:116" s="275" customFormat="1" ht="20.100000000000001" customHeight="1" x14ac:dyDescent="0.6">
      <c r="A101" s="234">
        <v>98</v>
      </c>
      <c r="B101" s="103" t="s">
        <v>600</v>
      </c>
      <c r="C101" s="103" t="s">
        <v>601</v>
      </c>
      <c r="D101" s="103" t="s">
        <v>589</v>
      </c>
      <c r="E101" s="148" t="s">
        <v>590</v>
      </c>
      <c r="F101" s="179" t="s">
        <v>591</v>
      </c>
      <c r="G101" s="322"/>
      <c r="H101" s="323"/>
      <c r="I101" s="322" t="s">
        <v>1039</v>
      </c>
      <c r="J101" s="322" t="s">
        <v>1023</v>
      </c>
      <c r="K101" s="241"/>
      <c r="L101" s="241"/>
      <c r="M101" s="271"/>
      <c r="N101" s="271"/>
      <c r="O101" s="271"/>
      <c r="P101" s="271"/>
      <c r="Q101" s="271"/>
      <c r="R101" s="271"/>
      <c r="S101" s="271">
        <v>30</v>
      </c>
      <c r="T101" s="271">
        <v>360</v>
      </c>
      <c r="U101" s="271">
        <v>360</v>
      </c>
      <c r="V101" s="271"/>
      <c r="W101" s="271"/>
      <c r="X101" s="271"/>
      <c r="Y101" s="271"/>
      <c r="Z101" s="271"/>
      <c r="AA101" s="271"/>
      <c r="AB101" s="271"/>
      <c r="AC101" s="271"/>
      <c r="AD101" s="271"/>
      <c r="AE101" s="271">
        <v>30</v>
      </c>
      <c r="AF101" s="271">
        <v>380</v>
      </c>
      <c r="AG101" s="271">
        <v>329.6</v>
      </c>
      <c r="AH101" s="271"/>
      <c r="AI101" s="271"/>
      <c r="AJ101" s="271"/>
      <c r="AK101" s="271">
        <v>30</v>
      </c>
      <c r="AL101" s="271">
        <v>420</v>
      </c>
      <c r="AM101" s="271">
        <v>268.8</v>
      </c>
      <c r="AN101" s="271"/>
      <c r="AO101" s="271"/>
      <c r="AP101" s="271"/>
      <c r="AQ101" s="272">
        <f t="shared" si="9"/>
        <v>90</v>
      </c>
      <c r="AR101" s="272">
        <f t="shared" si="9"/>
        <v>1160</v>
      </c>
      <c r="AS101" s="272">
        <f t="shared" si="9"/>
        <v>958.40000000000009</v>
      </c>
      <c r="AT101" s="357"/>
      <c r="AU101" s="357"/>
      <c r="AV101" s="357"/>
      <c r="AW101" s="357"/>
      <c r="AX101" s="357"/>
      <c r="AY101" s="357"/>
      <c r="AZ101" s="357">
        <v>28</v>
      </c>
      <c r="BA101" s="357">
        <v>336</v>
      </c>
      <c r="BB101" s="357">
        <v>318</v>
      </c>
      <c r="BC101" s="357"/>
      <c r="BD101" s="357"/>
      <c r="BE101" s="357"/>
      <c r="BF101" s="357"/>
      <c r="BG101" s="357"/>
      <c r="BH101" s="357"/>
      <c r="BI101" s="357">
        <v>30</v>
      </c>
      <c r="BJ101" s="357">
        <v>360</v>
      </c>
      <c r="BK101" s="357">
        <v>360</v>
      </c>
      <c r="BL101" s="357"/>
      <c r="BM101" s="357"/>
      <c r="BN101" s="357"/>
      <c r="BO101" s="357"/>
      <c r="BP101" s="357"/>
      <c r="BQ101" s="357"/>
      <c r="BR101" s="357"/>
      <c r="BS101" s="357"/>
      <c r="BT101" s="357"/>
      <c r="BU101" s="357"/>
      <c r="BV101" s="357"/>
      <c r="BW101" s="357"/>
      <c r="BX101" s="272">
        <f t="shared" si="7"/>
        <v>148</v>
      </c>
      <c r="BY101" s="272">
        <f t="shared" si="7"/>
        <v>1856</v>
      </c>
      <c r="BZ101" s="272">
        <f t="shared" si="8"/>
        <v>1636.4</v>
      </c>
      <c r="CA101" s="273"/>
      <c r="CB101" s="273"/>
      <c r="CC101" s="273"/>
      <c r="CD101" s="273"/>
      <c r="CE101" s="273"/>
      <c r="CF101" s="273"/>
      <c r="CG101" s="273"/>
      <c r="CH101" s="273"/>
      <c r="CI101" s="273"/>
      <c r="CJ101" s="273"/>
      <c r="CK101" s="273"/>
      <c r="CL101" s="273"/>
      <c r="CM101" s="273"/>
      <c r="CN101" s="273"/>
      <c r="CO101" s="273"/>
      <c r="CP101" s="273"/>
      <c r="CQ101" s="273"/>
      <c r="CR101" s="273"/>
      <c r="CS101" s="273"/>
      <c r="CT101" s="273"/>
      <c r="CU101" s="273"/>
      <c r="CV101" s="273"/>
      <c r="CW101" s="273"/>
      <c r="CX101" s="273"/>
      <c r="CY101" s="273"/>
      <c r="CZ101" s="273"/>
      <c r="DA101" s="273"/>
      <c r="DB101" s="273"/>
      <c r="DC101" s="273"/>
      <c r="DD101" s="273"/>
      <c r="DE101" s="273"/>
      <c r="DF101" s="271"/>
      <c r="DG101" s="271"/>
      <c r="DH101" s="272">
        <f t="shared" si="6"/>
        <v>148</v>
      </c>
      <c r="DI101" s="272">
        <f t="shared" si="6"/>
        <v>1856</v>
      </c>
      <c r="DJ101" s="324">
        <f t="shared" si="6"/>
        <v>1636.4</v>
      </c>
      <c r="DK101" s="325"/>
      <c r="DL101" s="325"/>
    </row>
    <row r="102" spans="1:116" s="275" customFormat="1" ht="20.100000000000001" customHeight="1" x14ac:dyDescent="0.6">
      <c r="A102" s="234">
        <v>99</v>
      </c>
      <c r="B102" s="103" t="s">
        <v>602</v>
      </c>
      <c r="C102" s="103" t="s">
        <v>603</v>
      </c>
      <c r="D102" s="103" t="s">
        <v>337</v>
      </c>
      <c r="E102" s="148" t="s">
        <v>338</v>
      </c>
      <c r="F102" s="179" t="s">
        <v>591</v>
      </c>
      <c r="G102" s="322"/>
      <c r="H102" s="323"/>
      <c r="I102" s="322" t="s">
        <v>1040</v>
      </c>
      <c r="J102" s="322" t="s">
        <v>1023</v>
      </c>
      <c r="K102" s="241"/>
      <c r="L102" s="241"/>
      <c r="M102" s="271"/>
      <c r="N102" s="271"/>
      <c r="O102" s="271"/>
      <c r="P102" s="271"/>
      <c r="Q102" s="271"/>
      <c r="R102" s="271"/>
      <c r="S102" s="271">
        <v>10</v>
      </c>
      <c r="T102" s="271">
        <v>154</v>
      </c>
      <c r="U102" s="271">
        <v>112.88</v>
      </c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>
        <v>10</v>
      </c>
      <c r="AF102" s="271">
        <v>120</v>
      </c>
      <c r="AG102" s="271">
        <v>120</v>
      </c>
      <c r="AH102" s="271"/>
      <c r="AI102" s="271"/>
      <c r="AJ102" s="271"/>
      <c r="AK102" s="271"/>
      <c r="AL102" s="271"/>
      <c r="AM102" s="271"/>
      <c r="AN102" s="271">
        <v>18</v>
      </c>
      <c r="AO102" s="271">
        <v>278</v>
      </c>
      <c r="AP102" s="271">
        <v>210.88</v>
      </c>
      <c r="AQ102" s="272">
        <f t="shared" si="9"/>
        <v>38</v>
      </c>
      <c r="AR102" s="272">
        <f t="shared" si="9"/>
        <v>552</v>
      </c>
      <c r="AS102" s="272">
        <f t="shared" si="9"/>
        <v>443.76</v>
      </c>
      <c r="AT102" s="357"/>
      <c r="AU102" s="357"/>
      <c r="AV102" s="357"/>
      <c r="AW102" s="357"/>
      <c r="AX102" s="357"/>
      <c r="AY102" s="357"/>
      <c r="AZ102" s="357"/>
      <c r="BA102" s="357"/>
      <c r="BB102" s="357"/>
      <c r="BC102" s="357"/>
      <c r="BD102" s="357"/>
      <c r="BE102" s="357"/>
      <c r="BF102" s="357"/>
      <c r="BG102" s="357"/>
      <c r="BH102" s="357"/>
      <c r="BI102" s="357"/>
      <c r="BJ102" s="357"/>
      <c r="BK102" s="357"/>
      <c r="BL102" s="357">
        <v>15</v>
      </c>
      <c r="BM102" s="357">
        <v>180</v>
      </c>
      <c r="BN102" s="357">
        <v>180</v>
      </c>
      <c r="BO102" s="357"/>
      <c r="BP102" s="357"/>
      <c r="BQ102" s="357"/>
      <c r="BR102" s="357"/>
      <c r="BS102" s="357"/>
      <c r="BT102" s="357"/>
      <c r="BU102" s="357"/>
      <c r="BV102" s="357"/>
      <c r="BW102" s="357"/>
      <c r="BX102" s="272">
        <f t="shared" si="7"/>
        <v>53</v>
      </c>
      <c r="BY102" s="272">
        <f t="shared" si="7"/>
        <v>732</v>
      </c>
      <c r="BZ102" s="272">
        <f t="shared" si="8"/>
        <v>623.76</v>
      </c>
      <c r="CA102" s="273"/>
      <c r="CB102" s="273"/>
      <c r="CC102" s="273"/>
      <c r="CD102" s="273"/>
      <c r="CE102" s="273"/>
      <c r="CF102" s="273"/>
      <c r="CG102" s="273"/>
      <c r="CH102" s="273"/>
      <c r="CI102" s="273"/>
      <c r="CJ102" s="273"/>
      <c r="CK102" s="273"/>
      <c r="CL102" s="273"/>
      <c r="CM102" s="273"/>
      <c r="CN102" s="273"/>
      <c r="CO102" s="273"/>
      <c r="CP102" s="273"/>
      <c r="CQ102" s="273"/>
      <c r="CR102" s="273"/>
      <c r="CS102" s="273"/>
      <c r="CT102" s="273"/>
      <c r="CU102" s="273"/>
      <c r="CV102" s="273"/>
      <c r="CW102" s="273"/>
      <c r="CX102" s="273"/>
      <c r="CY102" s="273"/>
      <c r="CZ102" s="273"/>
      <c r="DA102" s="273"/>
      <c r="DB102" s="273"/>
      <c r="DC102" s="273"/>
      <c r="DD102" s="273"/>
      <c r="DE102" s="273"/>
      <c r="DF102" s="271"/>
      <c r="DG102" s="271"/>
      <c r="DH102" s="272">
        <f t="shared" si="6"/>
        <v>53</v>
      </c>
      <c r="DI102" s="272">
        <f t="shared" si="6"/>
        <v>732</v>
      </c>
      <c r="DJ102" s="324">
        <f t="shared" si="6"/>
        <v>623.76</v>
      </c>
      <c r="DK102" s="325"/>
      <c r="DL102" s="325"/>
    </row>
    <row r="103" spans="1:116" s="275" customFormat="1" ht="20.100000000000001" customHeight="1" x14ac:dyDescent="0.6">
      <c r="A103" s="234">
        <v>100</v>
      </c>
      <c r="B103" s="103" t="s">
        <v>604</v>
      </c>
      <c r="C103" s="103" t="s">
        <v>605</v>
      </c>
      <c r="D103" s="103" t="s">
        <v>337</v>
      </c>
      <c r="E103" s="148" t="s">
        <v>338</v>
      </c>
      <c r="F103" s="179" t="s">
        <v>591</v>
      </c>
      <c r="G103" s="322"/>
      <c r="H103" s="323"/>
      <c r="I103" s="322" t="s">
        <v>1041</v>
      </c>
      <c r="J103" s="322" t="s">
        <v>1023</v>
      </c>
      <c r="K103" s="241"/>
      <c r="L103" s="241"/>
      <c r="M103" s="271"/>
      <c r="N103" s="271"/>
      <c r="O103" s="271"/>
      <c r="P103" s="271"/>
      <c r="Q103" s="271"/>
      <c r="R103" s="271"/>
      <c r="S103" s="271">
        <v>2</v>
      </c>
      <c r="T103" s="271">
        <v>28</v>
      </c>
      <c r="U103" s="271">
        <v>17.920000000000002</v>
      </c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>
        <v>10</v>
      </c>
      <c r="AF103" s="271">
        <v>120</v>
      </c>
      <c r="AG103" s="271">
        <v>120</v>
      </c>
      <c r="AH103" s="271"/>
      <c r="AI103" s="271"/>
      <c r="AJ103" s="271"/>
      <c r="AK103" s="271"/>
      <c r="AL103" s="271"/>
      <c r="AM103" s="271"/>
      <c r="AN103" s="271">
        <v>1</v>
      </c>
      <c r="AO103" s="271">
        <v>40</v>
      </c>
      <c r="AP103" s="271">
        <v>14</v>
      </c>
      <c r="AQ103" s="272">
        <f t="shared" si="9"/>
        <v>13</v>
      </c>
      <c r="AR103" s="272">
        <f t="shared" si="9"/>
        <v>188</v>
      </c>
      <c r="AS103" s="272">
        <f t="shared" si="9"/>
        <v>151.92000000000002</v>
      </c>
      <c r="AT103" s="357"/>
      <c r="AU103" s="357"/>
      <c r="AV103" s="357"/>
      <c r="AW103" s="357"/>
      <c r="AX103" s="357"/>
      <c r="AY103" s="357"/>
      <c r="AZ103" s="357"/>
      <c r="BA103" s="357"/>
      <c r="BB103" s="357"/>
      <c r="BC103" s="357"/>
      <c r="BD103" s="357"/>
      <c r="BE103" s="357"/>
      <c r="BF103" s="357"/>
      <c r="BG103" s="357"/>
      <c r="BH103" s="357"/>
      <c r="BI103" s="357"/>
      <c r="BJ103" s="357"/>
      <c r="BK103" s="357"/>
      <c r="BL103" s="357"/>
      <c r="BM103" s="357"/>
      <c r="BN103" s="357"/>
      <c r="BO103" s="357">
        <v>5</v>
      </c>
      <c r="BP103" s="357">
        <v>96</v>
      </c>
      <c r="BQ103" s="357">
        <v>49.84</v>
      </c>
      <c r="BR103" s="357"/>
      <c r="BS103" s="357"/>
      <c r="BT103" s="357"/>
      <c r="BU103" s="357"/>
      <c r="BV103" s="357"/>
      <c r="BW103" s="357"/>
      <c r="BX103" s="272">
        <f t="shared" si="7"/>
        <v>18</v>
      </c>
      <c r="BY103" s="272">
        <f t="shared" si="7"/>
        <v>284</v>
      </c>
      <c r="BZ103" s="272">
        <f t="shared" si="8"/>
        <v>201.76000000000002</v>
      </c>
      <c r="CA103" s="273"/>
      <c r="CB103" s="273"/>
      <c r="CC103" s="273"/>
      <c r="CD103" s="273"/>
      <c r="CE103" s="273"/>
      <c r="CF103" s="273"/>
      <c r="CG103" s="273"/>
      <c r="CH103" s="273"/>
      <c r="CI103" s="273"/>
      <c r="CJ103" s="273"/>
      <c r="CK103" s="273"/>
      <c r="CL103" s="273"/>
      <c r="CM103" s="273"/>
      <c r="CN103" s="273"/>
      <c r="CO103" s="273"/>
      <c r="CP103" s="273"/>
      <c r="CQ103" s="273"/>
      <c r="CR103" s="273"/>
      <c r="CS103" s="273"/>
      <c r="CT103" s="273"/>
      <c r="CU103" s="273"/>
      <c r="CV103" s="273"/>
      <c r="CW103" s="273"/>
      <c r="CX103" s="273"/>
      <c r="CY103" s="273"/>
      <c r="CZ103" s="273"/>
      <c r="DA103" s="273"/>
      <c r="DB103" s="273"/>
      <c r="DC103" s="273"/>
      <c r="DD103" s="273"/>
      <c r="DE103" s="273"/>
      <c r="DF103" s="271"/>
      <c r="DG103" s="271"/>
      <c r="DH103" s="272">
        <f t="shared" si="6"/>
        <v>18</v>
      </c>
      <c r="DI103" s="272">
        <f t="shared" si="6"/>
        <v>284</v>
      </c>
      <c r="DJ103" s="324">
        <f t="shared" si="6"/>
        <v>201.76000000000002</v>
      </c>
      <c r="DK103" s="325"/>
      <c r="DL103" s="325"/>
    </row>
    <row r="104" spans="1:116" s="275" customFormat="1" ht="20.100000000000001" customHeight="1" x14ac:dyDescent="0.6">
      <c r="A104" s="234">
        <v>101</v>
      </c>
      <c r="B104" s="103" t="s">
        <v>606</v>
      </c>
      <c r="C104" s="103" t="s">
        <v>607</v>
      </c>
      <c r="D104" s="103" t="s">
        <v>337</v>
      </c>
      <c r="E104" s="148" t="s">
        <v>338</v>
      </c>
      <c r="F104" s="179" t="s">
        <v>591</v>
      </c>
      <c r="G104" s="322"/>
      <c r="H104" s="323"/>
      <c r="I104" s="322" t="s">
        <v>1042</v>
      </c>
      <c r="J104" s="322" t="s">
        <v>1023</v>
      </c>
      <c r="K104" s="241"/>
      <c r="L104" s="241"/>
      <c r="M104" s="271"/>
      <c r="N104" s="271"/>
      <c r="O104" s="271"/>
      <c r="P104" s="271"/>
      <c r="Q104" s="271"/>
      <c r="R104" s="271"/>
      <c r="S104" s="271">
        <v>5</v>
      </c>
      <c r="T104" s="271">
        <v>60</v>
      </c>
      <c r="U104" s="271">
        <v>60</v>
      </c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>
        <v>7</v>
      </c>
      <c r="AO104" s="271">
        <v>140</v>
      </c>
      <c r="AP104" s="271">
        <v>83.2</v>
      </c>
      <c r="AQ104" s="272">
        <f t="shared" si="9"/>
        <v>12</v>
      </c>
      <c r="AR104" s="272">
        <f t="shared" si="9"/>
        <v>200</v>
      </c>
      <c r="AS104" s="272">
        <f t="shared" si="9"/>
        <v>143.19999999999999</v>
      </c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>
        <v>10</v>
      </c>
      <c r="BM104" s="357">
        <v>344</v>
      </c>
      <c r="BN104" s="357">
        <v>126.4</v>
      </c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272">
        <f t="shared" si="7"/>
        <v>22</v>
      </c>
      <c r="BY104" s="272">
        <f t="shared" si="7"/>
        <v>544</v>
      </c>
      <c r="BZ104" s="272">
        <f t="shared" si="8"/>
        <v>269.60000000000002</v>
      </c>
      <c r="CA104" s="273"/>
      <c r="CB104" s="273"/>
      <c r="CC104" s="273"/>
      <c r="CD104" s="273"/>
      <c r="CE104" s="273"/>
      <c r="CF104" s="273"/>
      <c r="CG104" s="273"/>
      <c r="CH104" s="273"/>
      <c r="CI104" s="273"/>
      <c r="CJ104" s="273"/>
      <c r="CK104" s="273"/>
      <c r="CL104" s="273"/>
      <c r="CM104" s="273"/>
      <c r="CN104" s="273"/>
      <c r="CO104" s="273"/>
      <c r="CP104" s="273"/>
      <c r="CQ104" s="273"/>
      <c r="CR104" s="273"/>
      <c r="CS104" s="273"/>
      <c r="CT104" s="273"/>
      <c r="CU104" s="273"/>
      <c r="CV104" s="273"/>
      <c r="CW104" s="273"/>
      <c r="CX104" s="273"/>
      <c r="CY104" s="273"/>
      <c r="CZ104" s="273"/>
      <c r="DA104" s="273"/>
      <c r="DB104" s="273"/>
      <c r="DC104" s="273"/>
      <c r="DD104" s="273"/>
      <c r="DE104" s="273"/>
      <c r="DF104" s="271"/>
      <c r="DG104" s="271"/>
      <c r="DH104" s="272">
        <f t="shared" si="6"/>
        <v>22</v>
      </c>
      <c r="DI104" s="272">
        <f t="shared" si="6"/>
        <v>544</v>
      </c>
      <c r="DJ104" s="324">
        <f t="shared" si="6"/>
        <v>269.60000000000002</v>
      </c>
      <c r="DK104" s="325"/>
      <c r="DL104" s="325"/>
    </row>
    <row r="105" spans="1:116" s="275" customFormat="1" ht="20.100000000000001" customHeight="1" x14ac:dyDescent="0.6">
      <c r="A105" s="234">
        <v>102</v>
      </c>
      <c r="B105" s="103" t="s">
        <v>608</v>
      </c>
      <c r="C105" s="103" t="s">
        <v>609</v>
      </c>
      <c r="D105" s="103" t="s">
        <v>337</v>
      </c>
      <c r="E105" s="148" t="s">
        <v>338</v>
      </c>
      <c r="F105" s="179" t="s">
        <v>591</v>
      </c>
      <c r="G105" s="322"/>
      <c r="H105" s="323"/>
      <c r="I105" s="322" t="s">
        <v>1043</v>
      </c>
      <c r="J105" s="322" t="s">
        <v>1023</v>
      </c>
      <c r="K105" s="241"/>
      <c r="L105" s="241"/>
      <c r="M105" s="271"/>
      <c r="N105" s="271"/>
      <c r="O105" s="271"/>
      <c r="P105" s="271"/>
      <c r="Q105" s="271"/>
      <c r="R105" s="271"/>
      <c r="S105" s="271">
        <v>2</v>
      </c>
      <c r="T105" s="271">
        <v>26</v>
      </c>
      <c r="U105" s="271">
        <v>20.96</v>
      </c>
      <c r="V105" s="271"/>
      <c r="W105" s="271"/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  <c r="AM105" s="271"/>
      <c r="AN105" s="271"/>
      <c r="AO105" s="271"/>
      <c r="AP105" s="271"/>
      <c r="AQ105" s="272">
        <f t="shared" si="9"/>
        <v>2</v>
      </c>
      <c r="AR105" s="272">
        <f t="shared" si="9"/>
        <v>26</v>
      </c>
      <c r="AS105" s="272">
        <f t="shared" si="9"/>
        <v>20.96</v>
      </c>
      <c r="AT105" s="357"/>
      <c r="AU105" s="357"/>
      <c r="AV105" s="357"/>
      <c r="AW105" s="357"/>
      <c r="AX105" s="357"/>
      <c r="AY105" s="357"/>
      <c r="AZ105" s="357"/>
      <c r="BA105" s="357"/>
      <c r="BB105" s="357"/>
      <c r="BC105" s="357"/>
      <c r="BD105" s="357"/>
      <c r="BE105" s="357"/>
      <c r="BF105" s="357"/>
      <c r="BG105" s="357"/>
      <c r="BH105" s="357"/>
      <c r="BI105" s="357"/>
      <c r="BJ105" s="357"/>
      <c r="BK105" s="357"/>
      <c r="BL105" s="357"/>
      <c r="BM105" s="357"/>
      <c r="BN105" s="357"/>
      <c r="BO105" s="357"/>
      <c r="BP105" s="357"/>
      <c r="BQ105" s="357"/>
      <c r="BR105" s="357">
        <v>5</v>
      </c>
      <c r="BS105" s="357">
        <v>60</v>
      </c>
      <c r="BT105" s="357">
        <v>42</v>
      </c>
      <c r="BU105" s="357"/>
      <c r="BV105" s="357"/>
      <c r="BW105" s="357"/>
      <c r="BX105" s="272">
        <f t="shared" si="7"/>
        <v>7</v>
      </c>
      <c r="BY105" s="272">
        <f t="shared" si="7"/>
        <v>86</v>
      </c>
      <c r="BZ105" s="272">
        <f t="shared" si="8"/>
        <v>62.96</v>
      </c>
      <c r="CA105" s="273"/>
      <c r="CB105" s="273"/>
      <c r="CC105" s="273"/>
      <c r="CD105" s="273"/>
      <c r="CE105" s="273"/>
      <c r="CF105" s="273"/>
      <c r="CG105" s="273"/>
      <c r="CH105" s="273"/>
      <c r="CI105" s="273"/>
      <c r="CJ105" s="273"/>
      <c r="CK105" s="273"/>
      <c r="CL105" s="273"/>
      <c r="CM105" s="273"/>
      <c r="CN105" s="273"/>
      <c r="CO105" s="273"/>
      <c r="CP105" s="273"/>
      <c r="CQ105" s="273"/>
      <c r="CR105" s="273"/>
      <c r="CS105" s="273"/>
      <c r="CT105" s="273"/>
      <c r="CU105" s="273"/>
      <c r="CV105" s="273"/>
      <c r="CW105" s="273"/>
      <c r="CX105" s="273"/>
      <c r="CY105" s="273"/>
      <c r="CZ105" s="273"/>
      <c r="DA105" s="273"/>
      <c r="DB105" s="273"/>
      <c r="DC105" s="273"/>
      <c r="DD105" s="273"/>
      <c r="DE105" s="273"/>
      <c r="DF105" s="271"/>
      <c r="DG105" s="271"/>
      <c r="DH105" s="272">
        <f t="shared" si="6"/>
        <v>7</v>
      </c>
      <c r="DI105" s="272">
        <f t="shared" si="6"/>
        <v>86</v>
      </c>
      <c r="DJ105" s="324">
        <f t="shared" si="6"/>
        <v>62.96</v>
      </c>
      <c r="DK105" s="325"/>
      <c r="DL105" s="325"/>
    </row>
    <row r="106" spans="1:116" s="275" customFormat="1" ht="20.100000000000001" customHeight="1" x14ac:dyDescent="0.6">
      <c r="A106" s="234">
        <v>103</v>
      </c>
      <c r="B106" s="103" t="s">
        <v>610</v>
      </c>
      <c r="C106" s="103" t="s">
        <v>611</v>
      </c>
      <c r="D106" s="103" t="s">
        <v>337</v>
      </c>
      <c r="E106" s="148" t="s">
        <v>338</v>
      </c>
      <c r="F106" s="179" t="s">
        <v>591</v>
      </c>
      <c r="G106" s="322"/>
      <c r="H106" s="323"/>
      <c r="I106" s="322" t="s">
        <v>1044</v>
      </c>
      <c r="J106" s="322" t="s">
        <v>1023</v>
      </c>
      <c r="K106" s="241"/>
      <c r="L106" s="241"/>
      <c r="M106" s="271"/>
      <c r="N106" s="271"/>
      <c r="O106" s="271"/>
      <c r="P106" s="271"/>
      <c r="Q106" s="271"/>
      <c r="R106" s="271"/>
      <c r="S106" s="271">
        <v>4</v>
      </c>
      <c r="T106" s="271">
        <v>54</v>
      </c>
      <c r="U106" s="271">
        <v>38.880000000000003</v>
      </c>
      <c r="V106" s="271"/>
      <c r="W106" s="271"/>
      <c r="X106" s="271"/>
      <c r="Y106" s="271"/>
      <c r="Z106" s="271"/>
      <c r="AA106" s="271"/>
      <c r="AB106" s="271">
        <v>5</v>
      </c>
      <c r="AC106" s="271">
        <v>96</v>
      </c>
      <c r="AD106" s="271">
        <v>49.84</v>
      </c>
      <c r="AE106" s="271"/>
      <c r="AF106" s="271"/>
      <c r="AG106" s="271"/>
      <c r="AH106" s="271"/>
      <c r="AI106" s="271"/>
      <c r="AJ106" s="271"/>
      <c r="AK106" s="271"/>
      <c r="AL106" s="271"/>
      <c r="AM106" s="271"/>
      <c r="AN106" s="271">
        <v>4</v>
      </c>
      <c r="AO106" s="271">
        <v>54</v>
      </c>
      <c r="AP106" s="271">
        <v>38.880000000000003</v>
      </c>
      <c r="AQ106" s="272">
        <f t="shared" si="9"/>
        <v>13</v>
      </c>
      <c r="AR106" s="272">
        <f t="shared" si="9"/>
        <v>204</v>
      </c>
      <c r="AS106" s="272">
        <f t="shared" si="9"/>
        <v>127.6</v>
      </c>
      <c r="AT106" s="357"/>
      <c r="AU106" s="357"/>
      <c r="AV106" s="356"/>
      <c r="AW106" s="357"/>
      <c r="AX106" s="357"/>
      <c r="AY106" s="357"/>
      <c r="AZ106" s="357"/>
      <c r="BA106" s="357"/>
      <c r="BB106" s="357"/>
      <c r="BC106" s="357"/>
      <c r="BD106" s="357"/>
      <c r="BE106" s="357"/>
      <c r="BF106" s="357"/>
      <c r="BG106" s="357"/>
      <c r="BH106" s="357"/>
      <c r="BI106" s="357"/>
      <c r="BJ106" s="357"/>
      <c r="BK106" s="357"/>
      <c r="BL106" s="357">
        <v>10</v>
      </c>
      <c r="BM106" s="357">
        <v>160</v>
      </c>
      <c r="BN106" s="357">
        <v>103.76</v>
      </c>
      <c r="BO106" s="357"/>
      <c r="BP106" s="357"/>
      <c r="BQ106" s="357"/>
      <c r="BR106" s="357"/>
      <c r="BS106" s="357"/>
      <c r="BT106" s="357"/>
      <c r="BU106" s="357"/>
      <c r="BV106" s="357"/>
      <c r="BW106" s="357"/>
      <c r="BX106" s="272">
        <f t="shared" si="7"/>
        <v>23</v>
      </c>
      <c r="BY106" s="272">
        <f t="shared" si="7"/>
        <v>364</v>
      </c>
      <c r="BZ106" s="272">
        <f t="shared" si="8"/>
        <v>231.36</v>
      </c>
      <c r="CA106" s="273"/>
      <c r="CB106" s="273"/>
      <c r="CC106" s="273"/>
      <c r="CD106" s="273"/>
      <c r="CE106" s="273"/>
      <c r="CF106" s="273"/>
      <c r="CG106" s="273"/>
      <c r="CH106" s="273"/>
      <c r="CI106" s="273"/>
      <c r="CJ106" s="273"/>
      <c r="CK106" s="273"/>
      <c r="CL106" s="273"/>
      <c r="CM106" s="273"/>
      <c r="CN106" s="273"/>
      <c r="CO106" s="273"/>
      <c r="CP106" s="273"/>
      <c r="CQ106" s="273"/>
      <c r="CR106" s="273"/>
      <c r="CS106" s="273"/>
      <c r="CT106" s="273"/>
      <c r="CU106" s="273"/>
      <c r="CV106" s="273"/>
      <c r="CW106" s="273"/>
      <c r="CX106" s="273"/>
      <c r="CY106" s="273"/>
      <c r="CZ106" s="273"/>
      <c r="DA106" s="273"/>
      <c r="DB106" s="273"/>
      <c r="DC106" s="273"/>
      <c r="DD106" s="273"/>
      <c r="DE106" s="273"/>
      <c r="DF106" s="271"/>
      <c r="DG106" s="271"/>
      <c r="DH106" s="272">
        <f t="shared" si="6"/>
        <v>23</v>
      </c>
      <c r="DI106" s="272">
        <f t="shared" si="6"/>
        <v>364</v>
      </c>
      <c r="DJ106" s="324">
        <f t="shared" si="6"/>
        <v>231.36</v>
      </c>
      <c r="DK106" s="325"/>
      <c r="DL106" s="325"/>
    </row>
    <row r="107" spans="1:116" s="275" customFormat="1" ht="20.100000000000001" customHeight="1" x14ac:dyDescent="0.6">
      <c r="A107" s="234">
        <v>104</v>
      </c>
      <c r="B107" s="103" t="s">
        <v>612</v>
      </c>
      <c r="C107" s="103" t="s">
        <v>613</v>
      </c>
      <c r="D107" s="103" t="s">
        <v>337</v>
      </c>
      <c r="E107" s="148" t="s">
        <v>338</v>
      </c>
      <c r="F107" s="179" t="s">
        <v>591</v>
      </c>
      <c r="G107" s="322"/>
      <c r="H107" s="323"/>
      <c r="I107" s="322" t="s">
        <v>1045</v>
      </c>
      <c r="J107" s="322" t="s">
        <v>1023</v>
      </c>
      <c r="K107" s="241"/>
      <c r="L107" s="241"/>
      <c r="M107" s="271"/>
      <c r="N107" s="271"/>
      <c r="O107" s="271"/>
      <c r="P107" s="271"/>
      <c r="Q107" s="271"/>
      <c r="R107" s="271"/>
      <c r="S107" s="271">
        <v>3</v>
      </c>
      <c r="T107" s="271">
        <v>36</v>
      </c>
      <c r="U107" s="271">
        <v>36</v>
      </c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>
        <v>4</v>
      </c>
      <c r="AO107" s="271">
        <v>50</v>
      </c>
      <c r="AP107" s="271">
        <v>44.96</v>
      </c>
      <c r="AQ107" s="272">
        <f t="shared" si="9"/>
        <v>7</v>
      </c>
      <c r="AR107" s="272">
        <f t="shared" si="9"/>
        <v>86</v>
      </c>
      <c r="AS107" s="272">
        <f t="shared" si="9"/>
        <v>80.960000000000008</v>
      </c>
      <c r="AT107" s="357"/>
      <c r="AU107" s="357"/>
      <c r="AV107" s="357"/>
      <c r="AW107" s="357"/>
      <c r="AX107" s="357"/>
      <c r="AY107" s="357"/>
      <c r="AZ107" s="357"/>
      <c r="BA107" s="357"/>
      <c r="BB107" s="357"/>
      <c r="BC107" s="357"/>
      <c r="BD107" s="357"/>
      <c r="BE107" s="357"/>
      <c r="BF107" s="357"/>
      <c r="BG107" s="357"/>
      <c r="BH107" s="357"/>
      <c r="BI107" s="357"/>
      <c r="BJ107" s="357"/>
      <c r="BK107" s="357"/>
      <c r="BL107" s="357"/>
      <c r="BM107" s="357"/>
      <c r="BN107" s="357"/>
      <c r="BO107" s="357"/>
      <c r="BP107" s="357"/>
      <c r="BQ107" s="357"/>
      <c r="BR107" s="357"/>
      <c r="BS107" s="357"/>
      <c r="BT107" s="357"/>
      <c r="BU107" s="357"/>
      <c r="BV107" s="357"/>
      <c r="BW107" s="357"/>
      <c r="BX107" s="272">
        <f t="shared" si="7"/>
        <v>7</v>
      </c>
      <c r="BY107" s="272">
        <f t="shared" si="7"/>
        <v>86</v>
      </c>
      <c r="BZ107" s="272">
        <f t="shared" si="8"/>
        <v>80.960000000000008</v>
      </c>
      <c r="CA107" s="273"/>
      <c r="CB107" s="273"/>
      <c r="CC107" s="273"/>
      <c r="CD107" s="273"/>
      <c r="CE107" s="273"/>
      <c r="CF107" s="273"/>
      <c r="CG107" s="273"/>
      <c r="CH107" s="273"/>
      <c r="CI107" s="273"/>
      <c r="CJ107" s="273"/>
      <c r="CK107" s="273"/>
      <c r="CL107" s="273"/>
      <c r="CM107" s="273"/>
      <c r="CN107" s="273"/>
      <c r="CO107" s="273"/>
      <c r="CP107" s="273"/>
      <c r="CQ107" s="273"/>
      <c r="CR107" s="273"/>
      <c r="CS107" s="273"/>
      <c r="CT107" s="273"/>
      <c r="CU107" s="273"/>
      <c r="CV107" s="273"/>
      <c r="CW107" s="273"/>
      <c r="CX107" s="273"/>
      <c r="CY107" s="273"/>
      <c r="CZ107" s="273"/>
      <c r="DA107" s="273"/>
      <c r="DB107" s="273"/>
      <c r="DC107" s="273"/>
      <c r="DD107" s="273"/>
      <c r="DE107" s="273"/>
      <c r="DF107" s="271"/>
      <c r="DG107" s="271"/>
      <c r="DH107" s="272">
        <f t="shared" si="6"/>
        <v>7</v>
      </c>
      <c r="DI107" s="272">
        <f t="shared" si="6"/>
        <v>86</v>
      </c>
      <c r="DJ107" s="324">
        <f t="shared" si="6"/>
        <v>80.960000000000008</v>
      </c>
      <c r="DK107" s="325"/>
      <c r="DL107" s="325"/>
    </row>
    <row r="108" spans="1:116" s="275" customFormat="1" ht="20.100000000000001" customHeight="1" x14ac:dyDescent="0.6">
      <c r="A108" s="234">
        <v>105</v>
      </c>
      <c r="B108" s="103" t="s">
        <v>614</v>
      </c>
      <c r="C108" s="103" t="s">
        <v>614</v>
      </c>
      <c r="D108" s="103" t="s">
        <v>337</v>
      </c>
      <c r="E108" s="148" t="s">
        <v>338</v>
      </c>
      <c r="F108" s="179" t="s">
        <v>591</v>
      </c>
      <c r="G108" s="322"/>
      <c r="H108" s="323"/>
      <c r="I108" s="322" t="s">
        <v>1046</v>
      </c>
      <c r="J108" s="322" t="s">
        <v>1023</v>
      </c>
      <c r="K108" s="241"/>
      <c r="L108" s="241"/>
      <c r="M108" s="271"/>
      <c r="N108" s="271"/>
      <c r="O108" s="271"/>
      <c r="P108" s="271"/>
      <c r="Q108" s="271"/>
      <c r="R108" s="271"/>
      <c r="S108" s="271">
        <v>1</v>
      </c>
      <c r="T108" s="271">
        <v>40</v>
      </c>
      <c r="U108" s="271">
        <v>14</v>
      </c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>
        <v>9</v>
      </c>
      <c r="AO108" s="271">
        <v>140</v>
      </c>
      <c r="AP108" s="271">
        <v>103.92</v>
      </c>
      <c r="AQ108" s="272">
        <f t="shared" si="9"/>
        <v>10</v>
      </c>
      <c r="AR108" s="272">
        <f t="shared" si="9"/>
        <v>180</v>
      </c>
      <c r="AS108" s="272">
        <f t="shared" si="9"/>
        <v>117.92</v>
      </c>
      <c r="AT108" s="357"/>
      <c r="AU108" s="357"/>
      <c r="AV108" s="357"/>
      <c r="AW108" s="357"/>
      <c r="AX108" s="357"/>
      <c r="AY108" s="357"/>
      <c r="AZ108" s="357"/>
      <c r="BA108" s="357"/>
      <c r="BB108" s="357"/>
      <c r="BC108" s="357"/>
      <c r="BD108" s="357"/>
      <c r="BE108" s="357"/>
      <c r="BF108" s="357"/>
      <c r="BG108" s="357"/>
      <c r="BH108" s="357"/>
      <c r="BI108" s="357"/>
      <c r="BJ108" s="357"/>
      <c r="BK108" s="357"/>
      <c r="BL108" s="357"/>
      <c r="BM108" s="357"/>
      <c r="BN108" s="357"/>
      <c r="BO108" s="357"/>
      <c r="BP108" s="357"/>
      <c r="BQ108" s="357"/>
      <c r="BR108" s="357"/>
      <c r="BS108" s="357"/>
      <c r="BT108" s="357"/>
      <c r="BU108" s="357"/>
      <c r="BV108" s="357"/>
      <c r="BW108" s="357"/>
      <c r="BX108" s="272">
        <f t="shared" si="7"/>
        <v>10</v>
      </c>
      <c r="BY108" s="272">
        <f t="shared" si="7"/>
        <v>180</v>
      </c>
      <c r="BZ108" s="272">
        <f t="shared" si="8"/>
        <v>117.92</v>
      </c>
      <c r="CA108" s="273"/>
      <c r="CB108" s="273"/>
      <c r="CC108" s="273"/>
      <c r="CD108" s="273"/>
      <c r="CE108" s="273"/>
      <c r="CF108" s="273"/>
      <c r="CG108" s="273"/>
      <c r="CH108" s="273"/>
      <c r="CI108" s="273"/>
      <c r="CJ108" s="273"/>
      <c r="CK108" s="273"/>
      <c r="CL108" s="273"/>
      <c r="CM108" s="273"/>
      <c r="CN108" s="273"/>
      <c r="CO108" s="273"/>
      <c r="CP108" s="273"/>
      <c r="CQ108" s="273"/>
      <c r="CR108" s="273"/>
      <c r="CS108" s="273"/>
      <c r="CT108" s="273"/>
      <c r="CU108" s="273"/>
      <c r="CV108" s="273"/>
      <c r="CW108" s="273"/>
      <c r="CX108" s="273"/>
      <c r="CY108" s="273"/>
      <c r="CZ108" s="273"/>
      <c r="DA108" s="273"/>
      <c r="DB108" s="273"/>
      <c r="DC108" s="273"/>
      <c r="DD108" s="273"/>
      <c r="DE108" s="273"/>
      <c r="DF108" s="271"/>
      <c r="DG108" s="271"/>
      <c r="DH108" s="272">
        <f t="shared" si="6"/>
        <v>10</v>
      </c>
      <c r="DI108" s="272">
        <f t="shared" si="6"/>
        <v>180</v>
      </c>
      <c r="DJ108" s="324">
        <f t="shared" si="6"/>
        <v>117.92</v>
      </c>
      <c r="DK108" s="325"/>
      <c r="DL108" s="325"/>
    </row>
    <row r="109" spans="1:116" s="275" customFormat="1" ht="20.100000000000001" customHeight="1" x14ac:dyDescent="0.6">
      <c r="A109" s="234">
        <v>106</v>
      </c>
      <c r="B109" s="103" t="s">
        <v>615</v>
      </c>
      <c r="C109" s="103" t="s">
        <v>616</v>
      </c>
      <c r="D109" s="103" t="s">
        <v>297</v>
      </c>
      <c r="E109" s="148" t="s">
        <v>298</v>
      </c>
      <c r="F109" s="179" t="s">
        <v>591</v>
      </c>
      <c r="G109" s="322"/>
      <c r="H109" s="323"/>
      <c r="I109" s="322" t="s">
        <v>1047</v>
      </c>
      <c r="J109" s="322" t="s">
        <v>1023</v>
      </c>
      <c r="K109" s="241"/>
      <c r="L109" s="24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>
        <v>7</v>
      </c>
      <c r="W109" s="271">
        <v>84</v>
      </c>
      <c r="X109" s="271">
        <v>84</v>
      </c>
      <c r="Y109" s="271"/>
      <c r="Z109" s="271"/>
      <c r="AA109" s="271"/>
      <c r="AB109" s="271"/>
      <c r="AC109" s="271"/>
      <c r="AD109" s="271"/>
      <c r="AE109" s="271">
        <v>20</v>
      </c>
      <c r="AF109" s="271">
        <v>240</v>
      </c>
      <c r="AG109" s="271">
        <v>240</v>
      </c>
      <c r="AH109" s="271"/>
      <c r="AI109" s="271"/>
      <c r="AJ109" s="271"/>
      <c r="AK109" s="271"/>
      <c r="AL109" s="271"/>
      <c r="AM109" s="271"/>
      <c r="AN109" s="271"/>
      <c r="AO109" s="271"/>
      <c r="AP109" s="271"/>
      <c r="AQ109" s="272">
        <f t="shared" si="9"/>
        <v>27</v>
      </c>
      <c r="AR109" s="272">
        <f t="shared" si="9"/>
        <v>324</v>
      </c>
      <c r="AS109" s="272">
        <f t="shared" si="9"/>
        <v>324</v>
      </c>
      <c r="AT109" s="357">
        <v>11</v>
      </c>
      <c r="AU109" s="357">
        <v>160</v>
      </c>
      <c r="AV109" s="357">
        <v>134</v>
      </c>
      <c r="AW109" s="357"/>
      <c r="AX109" s="357"/>
      <c r="AY109" s="357"/>
      <c r="AZ109" s="357"/>
      <c r="BA109" s="357"/>
      <c r="BB109" s="357"/>
      <c r="BC109" s="357"/>
      <c r="BD109" s="357"/>
      <c r="BE109" s="357"/>
      <c r="BF109" s="357"/>
      <c r="BG109" s="357"/>
      <c r="BH109" s="357"/>
      <c r="BI109" s="357"/>
      <c r="BJ109" s="357"/>
      <c r="BK109" s="357"/>
      <c r="BL109" s="357"/>
      <c r="BM109" s="357"/>
      <c r="BN109" s="357"/>
      <c r="BO109" s="357"/>
      <c r="BP109" s="357"/>
      <c r="BQ109" s="357"/>
      <c r="BR109" s="357">
        <v>25</v>
      </c>
      <c r="BS109" s="357">
        <v>300</v>
      </c>
      <c r="BT109" s="357">
        <v>300</v>
      </c>
      <c r="BU109" s="357"/>
      <c r="BV109" s="357"/>
      <c r="BW109" s="357"/>
      <c r="BX109" s="272">
        <f t="shared" si="7"/>
        <v>63</v>
      </c>
      <c r="BY109" s="272">
        <f t="shared" si="7"/>
        <v>784</v>
      </c>
      <c r="BZ109" s="272">
        <f t="shared" si="8"/>
        <v>758</v>
      </c>
      <c r="CA109" s="273"/>
      <c r="CB109" s="273"/>
      <c r="CC109" s="273"/>
      <c r="CD109" s="273"/>
      <c r="CE109" s="273"/>
      <c r="CF109" s="273"/>
      <c r="CG109" s="273"/>
      <c r="CH109" s="273"/>
      <c r="CI109" s="273"/>
      <c r="CJ109" s="273"/>
      <c r="CK109" s="273"/>
      <c r="CL109" s="273"/>
      <c r="CM109" s="273"/>
      <c r="CN109" s="273"/>
      <c r="CO109" s="273"/>
      <c r="CP109" s="273"/>
      <c r="CQ109" s="273"/>
      <c r="CR109" s="273"/>
      <c r="CS109" s="273"/>
      <c r="CT109" s="273"/>
      <c r="CU109" s="273"/>
      <c r="CV109" s="273"/>
      <c r="CW109" s="273"/>
      <c r="CX109" s="273"/>
      <c r="CY109" s="273"/>
      <c r="CZ109" s="273"/>
      <c r="DA109" s="273"/>
      <c r="DB109" s="273"/>
      <c r="DC109" s="273"/>
      <c r="DD109" s="273"/>
      <c r="DE109" s="273"/>
      <c r="DF109" s="271"/>
      <c r="DG109" s="271"/>
      <c r="DH109" s="272">
        <f t="shared" si="6"/>
        <v>63</v>
      </c>
      <c r="DI109" s="272">
        <f t="shared" si="6"/>
        <v>784</v>
      </c>
      <c r="DJ109" s="324">
        <f t="shared" si="6"/>
        <v>758</v>
      </c>
      <c r="DK109" s="325"/>
      <c r="DL109" s="325"/>
    </row>
    <row r="110" spans="1:116" s="275" customFormat="1" ht="20.100000000000001" customHeight="1" x14ac:dyDescent="0.6">
      <c r="A110" s="234">
        <v>107</v>
      </c>
      <c r="B110" s="103" t="s">
        <v>617</v>
      </c>
      <c r="C110" s="103" t="s">
        <v>618</v>
      </c>
      <c r="D110" s="103" t="s">
        <v>297</v>
      </c>
      <c r="E110" s="148" t="s">
        <v>298</v>
      </c>
      <c r="F110" s="179" t="s">
        <v>591</v>
      </c>
      <c r="G110" s="322"/>
      <c r="H110" s="323"/>
      <c r="I110" s="322" t="s">
        <v>1048</v>
      </c>
      <c r="J110" s="322" t="s">
        <v>1023</v>
      </c>
      <c r="K110" s="241"/>
      <c r="L110" s="24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>
        <v>22</v>
      </c>
      <c r="W110" s="271">
        <v>330</v>
      </c>
      <c r="X110" s="271">
        <v>252.8</v>
      </c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2">
        <f t="shared" si="9"/>
        <v>22</v>
      </c>
      <c r="AR110" s="272">
        <f t="shared" si="9"/>
        <v>330</v>
      </c>
      <c r="AS110" s="272">
        <f t="shared" si="9"/>
        <v>252.8</v>
      </c>
      <c r="AT110" s="357">
        <v>12</v>
      </c>
      <c r="AU110" s="357">
        <v>152</v>
      </c>
      <c r="AV110" s="357">
        <v>124.64</v>
      </c>
      <c r="AW110" s="357"/>
      <c r="AX110" s="357"/>
      <c r="AY110" s="357"/>
      <c r="AZ110" s="357"/>
      <c r="BA110" s="357"/>
      <c r="BB110" s="357"/>
      <c r="BC110" s="357"/>
      <c r="BD110" s="357"/>
      <c r="BE110" s="357"/>
      <c r="BF110" s="357"/>
      <c r="BG110" s="357"/>
      <c r="BH110" s="357"/>
      <c r="BI110" s="357"/>
      <c r="BJ110" s="357"/>
      <c r="BK110" s="357"/>
      <c r="BL110" s="357"/>
      <c r="BM110" s="357"/>
      <c r="BN110" s="357"/>
      <c r="BO110" s="357"/>
      <c r="BP110" s="357"/>
      <c r="BQ110" s="357"/>
      <c r="BR110" s="357">
        <v>15</v>
      </c>
      <c r="BS110" s="357">
        <v>180</v>
      </c>
      <c r="BT110" s="357">
        <v>180</v>
      </c>
      <c r="BU110" s="357"/>
      <c r="BV110" s="357"/>
      <c r="BW110" s="357"/>
      <c r="BX110" s="272">
        <f t="shared" ref="BX110:BY136" si="10">+BU110+BR110+BO110+BL110+BI110+BF110+BC110+AZ110+AW110+AT110+AQ110</f>
        <v>49</v>
      </c>
      <c r="BY110" s="272">
        <f t="shared" si="10"/>
        <v>662</v>
      </c>
      <c r="BZ110" s="272">
        <f t="shared" si="8"/>
        <v>557.44000000000005</v>
      </c>
      <c r="CA110" s="273"/>
      <c r="CB110" s="273"/>
      <c r="CC110" s="273"/>
      <c r="CD110" s="273"/>
      <c r="CE110" s="273"/>
      <c r="CF110" s="273"/>
      <c r="CG110" s="273"/>
      <c r="CH110" s="273"/>
      <c r="CI110" s="273"/>
      <c r="CJ110" s="273"/>
      <c r="CK110" s="273"/>
      <c r="CL110" s="273"/>
      <c r="CM110" s="273"/>
      <c r="CN110" s="273"/>
      <c r="CO110" s="273"/>
      <c r="CP110" s="273"/>
      <c r="CQ110" s="273"/>
      <c r="CR110" s="273"/>
      <c r="CS110" s="273"/>
      <c r="CT110" s="273"/>
      <c r="CU110" s="273"/>
      <c r="CV110" s="273"/>
      <c r="CW110" s="273"/>
      <c r="CX110" s="273"/>
      <c r="CY110" s="273"/>
      <c r="CZ110" s="273"/>
      <c r="DA110" s="273"/>
      <c r="DB110" s="273"/>
      <c r="DC110" s="273"/>
      <c r="DD110" s="273"/>
      <c r="DE110" s="273"/>
      <c r="DF110" s="271"/>
      <c r="DG110" s="271"/>
      <c r="DH110" s="272">
        <f t="shared" si="6"/>
        <v>49</v>
      </c>
      <c r="DI110" s="272">
        <f t="shared" si="6"/>
        <v>662</v>
      </c>
      <c r="DJ110" s="324">
        <f t="shared" si="6"/>
        <v>557.44000000000005</v>
      </c>
      <c r="DK110" s="325"/>
      <c r="DL110" s="325"/>
    </row>
    <row r="111" spans="1:116" s="275" customFormat="1" ht="20.100000000000001" customHeight="1" x14ac:dyDescent="0.6">
      <c r="A111" s="234">
        <v>108</v>
      </c>
      <c r="B111" s="103" t="s">
        <v>619</v>
      </c>
      <c r="C111" s="103" t="s">
        <v>620</v>
      </c>
      <c r="D111" s="103" t="s">
        <v>297</v>
      </c>
      <c r="E111" s="148" t="s">
        <v>298</v>
      </c>
      <c r="F111" s="179" t="s">
        <v>591</v>
      </c>
      <c r="G111" s="322"/>
      <c r="H111" s="323"/>
      <c r="I111" s="322" t="s">
        <v>1049</v>
      </c>
      <c r="J111" s="322" t="s">
        <v>1023</v>
      </c>
      <c r="K111" s="241"/>
      <c r="L111" s="24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>
        <v>8</v>
      </c>
      <c r="W111" s="271">
        <v>96</v>
      </c>
      <c r="X111" s="271">
        <v>96</v>
      </c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  <c r="AM111" s="271"/>
      <c r="AN111" s="271"/>
      <c r="AO111" s="271"/>
      <c r="AP111" s="271"/>
      <c r="AQ111" s="272">
        <f t="shared" si="9"/>
        <v>8</v>
      </c>
      <c r="AR111" s="272">
        <f t="shared" si="9"/>
        <v>96</v>
      </c>
      <c r="AS111" s="272">
        <f t="shared" si="9"/>
        <v>96</v>
      </c>
      <c r="AT111" s="357">
        <v>5</v>
      </c>
      <c r="AU111" s="357">
        <v>60</v>
      </c>
      <c r="AV111" s="357">
        <v>60</v>
      </c>
      <c r="AW111" s="357"/>
      <c r="AX111" s="357"/>
      <c r="AY111" s="357"/>
      <c r="AZ111" s="357"/>
      <c r="BA111" s="357"/>
      <c r="BB111" s="357"/>
      <c r="BC111" s="357"/>
      <c r="BD111" s="357"/>
      <c r="BE111" s="357"/>
      <c r="BF111" s="357"/>
      <c r="BG111" s="357"/>
      <c r="BH111" s="357"/>
      <c r="BI111" s="357"/>
      <c r="BJ111" s="357"/>
      <c r="BK111" s="357"/>
      <c r="BL111" s="357"/>
      <c r="BM111" s="357"/>
      <c r="BN111" s="357"/>
      <c r="BO111" s="357">
        <v>10</v>
      </c>
      <c r="BP111" s="357">
        <v>120</v>
      </c>
      <c r="BQ111" s="357">
        <v>120</v>
      </c>
      <c r="BR111" s="357"/>
      <c r="BS111" s="357"/>
      <c r="BT111" s="357"/>
      <c r="BU111" s="357"/>
      <c r="BV111" s="357"/>
      <c r="BW111" s="357"/>
      <c r="BX111" s="272">
        <f t="shared" si="10"/>
        <v>23</v>
      </c>
      <c r="BY111" s="272">
        <f t="shared" si="10"/>
        <v>276</v>
      </c>
      <c r="BZ111" s="272">
        <f t="shared" si="8"/>
        <v>276</v>
      </c>
      <c r="CA111" s="273"/>
      <c r="CB111" s="273"/>
      <c r="CC111" s="273"/>
      <c r="CD111" s="273"/>
      <c r="CE111" s="273"/>
      <c r="CF111" s="273"/>
      <c r="CG111" s="273"/>
      <c r="CH111" s="273"/>
      <c r="CI111" s="273"/>
      <c r="CJ111" s="273"/>
      <c r="CK111" s="273"/>
      <c r="CL111" s="273"/>
      <c r="CM111" s="273"/>
      <c r="CN111" s="273"/>
      <c r="CO111" s="273"/>
      <c r="CP111" s="273"/>
      <c r="CQ111" s="273"/>
      <c r="CR111" s="273"/>
      <c r="CS111" s="273"/>
      <c r="CT111" s="273"/>
      <c r="CU111" s="273"/>
      <c r="CV111" s="273"/>
      <c r="CW111" s="273"/>
      <c r="CX111" s="273"/>
      <c r="CY111" s="273"/>
      <c r="CZ111" s="273"/>
      <c r="DA111" s="273"/>
      <c r="DB111" s="273"/>
      <c r="DC111" s="273"/>
      <c r="DD111" s="273"/>
      <c r="DE111" s="273"/>
      <c r="DF111" s="271"/>
      <c r="DG111" s="271"/>
      <c r="DH111" s="272">
        <f t="shared" si="6"/>
        <v>23</v>
      </c>
      <c r="DI111" s="272">
        <f t="shared" si="6"/>
        <v>276</v>
      </c>
      <c r="DJ111" s="324">
        <f t="shared" si="6"/>
        <v>276</v>
      </c>
      <c r="DK111" s="325"/>
      <c r="DL111" s="325"/>
    </row>
    <row r="112" spans="1:116" s="275" customFormat="1" ht="20.100000000000001" customHeight="1" x14ac:dyDescent="0.6">
      <c r="A112" s="234">
        <v>109</v>
      </c>
      <c r="B112" s="103" t="s">
        <v>621</v>
      </c>
      <c r="C112" s="103" t="s">
        <v>622</v>
      </c>
      <c r="D112" s="103" t="s">
        <v>297</v>
      </c>
      <c r="E112" s="148" t="s">
        <v>298</v>
      </c>
      <c r="F112" s="179" t="s">
        <v>591</v>
      </c>
      <c r="G112" s="322"/>
      <c r="H112" s="323"/>
      <c r="I112" s="322" t="s">
        <v>1050</v>
      </c>
      <c r="J112" s="322" t="s">
        <v>1051</v>
      </c>
      <c r="K112" s="241"/>
      <c r="L112" s="24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  <c r="AO112" s="271"/>
      <c r="AP112" s="271"/>
      <c r="AQ112" s="272">
        <f t="shared" si="9"/>
        <v>0</v>
      </c>
      <c r="AR112" s="272">
        <f t="shared" si="9"/>
        <v>0</v>
      </c>
      <c r="AS112" s="272">
        <f t="shared" si="9"/>
        <v>0</v>
      </c>
      <c r="AT112" s="357"/>
      <c r="AU112" s="357"/>
      <c r="AV112" s="357"/>
      <c r="AW112" s="357"/>
      <c r="AX112" s="357"/>
      <c r="AY112" s="357"/>
      <c r="AZ112" s="357"/>
      <c r="BA112" s="357"/>
      <c r="BB112" s="357"/>
      <c r="BC112" s="357"/>
      <c r="BD112" s="357"/>
      <c r="BE112" s="357"/>
      <c r="BF112" s="357"/>
      <c r="BG112" s="357"/>
      <c r="BH112" s="357"/>
      <c r="BI112" s="357"/>
      <c r="BJ112" s="357"/>
      <c r="BK112" s="357"/>
      <c r="BL112" s="357"/>
      <c r="BM112" s="357"/>
      <c r="BN112" s="357"/>
      <c r="BO112" s="357"/>
      <c r="BP112" s="357"/>
      <c r="BQ112" s="357"/>
      <c r="BR112" s="357"/>
      <c r="BS112" s="357"/>
      <c r="BT112" s="357"/>
      <c r="BU112" s="357"/>
      <c r="BV112" s="357"/>
      <c r="BW112" s="357"/>
      <c r="BX112" s="272">
        <f t="shared" si="10"/>
        <v>0</v>
      </c>
      <c r="BY112" s="272">
        <f t="shared" si="10"/>
        <v>0</v>
      </c>
      <c r="BZ112" s="272">
        <f t="shared" si="8"/>
        <v>0</v>
      </c>
      <c r="CA112" s="273"/>
      <c r="CB112" s="273"/>
      <c r="CC112" s="273"/>
      <c r="CD112" s="273"/>
      <c r="CE112" s="273"/>
      <c r="CF112" s="273"/>
      <c r="CG112" s="273"/>
      <c r="CH112" s="273"/>
      <c r="CI112" s="273"/>
      <c r="CJ112" s="273"/>
      <c r="CK112" s="273"/>
      <c r="CL112" s="273"/>
      <c r="CM112" s="273"/>
      <c r="CN112" s="273"/>
      <c r="CO112" s="273"/>
      <c r="CP112" s="273"/>
      <c r="CQ112" s="273"/>
      <c r="CR112" s="273"/>
      <c r="CS112" s="273"/>
      <c r="CT112" s="273"/>
      <c r="CU112" s="273"/>
      <c r="CV112" s="273"/>
      <c r="CW112" s="273"/>
      <c r="CX112" s="273"/>
      <c r="CY112" s="273"/>
      <c r="CZ112" s="273"/>
      <c r="DA112" s="273"/>
      <c r="DB112" s="273"/>
      <c r="DC112" s="273"/>
      <c r="DD112" s="273"/>
      <c r="DE112" s="273"/>
      <c r="DF112" s="271"/>
      <c r="DG112" s="271"/>
      <c r="DH112" s="272">
        <f t="shared" si="6"/>
        <v>0</v>
      </c>
      <c r="DI112" s="272">
        <f t="shared" si="6"/>
        <v>0</v>
      </c>
      <c r="DJ112" s="324">
        <f t="shared" si="6"/>
        <v>0</v>
      </c>
      <c r="DK112" s="325"/>
      <c r="DL112" s="325"/>
    </row>
    <row r="113" spans="1:116" s="275" customFormat="1" ht="20.100000000000001" customHeight="1" x14ac:dyDescent="0.6">
      <c r="A113" s="234">
        <v>110</v>
      </c>
      <c r="B113" s="103">
        <v>99</v>
      </c>
      <c r="C113" s="103">
        <v>99</v>
      </c>
      <c r="D113" s="103" t="s">
        <v>297</v>
      </c>
      <c r="E113" s="148" t="s">
        <v>298</v>
      </c>
      <c r="F113" s="179" t="s">
        <v>591</v>
      </c>
      <c r="G113" s="322"/>
      <c r="H113" s="323"/>
      <c r="I113" s="322" t="s">
        <v>1052</v>
      </c>
      <c r="J113" s="322" t="s">
        <v>1051</v>
      </c>
      <c r="K113" s="241"/>
      <c r="L113" s="24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>
        <v>13</v>
      </c>
      <c r="W113" s="271">
        <v>188</v>
      </c>
      <c r="X113" s="271">
        <v>151.91999999999999</v>
      </c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2">
        <f t="shared" si="9"/>
        <v>13</v>
      </c>
      <c r="AR113" s="272">
        <f t="shared" si="9"/>
        <v>188</v>
      </c>
      <c r="AS113" s="272">
        <f t="shared" si="9"/>
        <v>151.91999999999999</v>
      </c>
      <c r="AT113" s="357">
        <v>10</v>
      </c>
      <c r="AU113" s="357">
        <v>124</v>
      </c>
      <c r="AV113" s="357">
        <v>100.72</v>
      </c>
      <c r="AW113" s="357"/>
      <c r="AX113" s="357"/>
      <c r="AY113" s="357"/>
      <c r="AZ113" s="357"/>
      <c r="BA113" s="357"/>
      <c r="BB113" s="357"/>
      <c r="BC113" s="357"/>
      <c r="BD113" s="357"/>
      <c r="BE113" s="357"/>
      <c r="BF113" s="357"/>
      <c r="BG113" s="357"/>
      <c r="BH113" s="357"/>
      <c r="BI113" s="357"/>
      <c r="BJ113" s="357"/>
      <c r="BK113" s="357"/>
      <c r="BL113" s="357"/>
      <c r="BM113" s="357"/>
      <c r="BN113" s="357"/>
      <c r="BO113" s="357"/>
      <c r="BP113" s="357"/>
      <c r="BQ113" s="357"/>
      <c r="BR113" s="357">
        <v>16</v>
      </c>
      <c r="BS113" s="357">
        <v>194</v>
      </c>
      <c r="BT113" s="357">
        <v>188.96</v>
      </c>
      <c r="BU113" s="357"/>
      <c r="BV113" s="357"/>
      <c r="BW113" s="357"/>
      <c r="BX113" s="272">
        <f t="shared" si="10"/>
        <v>39</v>
      </c>
      <c r="BY113" s="272">
        <f t="shared" si="10"/>
        <v>506</v>
      </c>
      <c r="BZ113" s="272">
        <f t="shared" si="8"/>
        <v>441.6</v>
      </c>
      <c r="CA113" s="273"/>
      <c r="CB113" s="273"/>
      <c r="CC113" s="273"/>
      <c r="CD113" s="273"/>
      <c r="CE113" s="273"/>
      <c r="CF113" s="273"/>
      <c r="CG113" s="273"/>
      <c r="CH113" s="273"/>
      <c r="CI113" s="273"/>
      <c r="CJ113" s="273"/>
      <c r="CK113" s="273"/>
      <c r="CL113" s="273"/>
      <c r="CM113" s="273"/>
      <c r="CN113" s="273"/>
      <c r="CO113" s="273"/>
      <c r="CP113" s="273"/>
      <c r="CQ113" s="273"/>
      <c r="CR113" s="273"/>
      <c r="CS113" s="273"/>
      <c r="CT113" s="273"/>
      <c r="CU113" s="273"/>
      <c r="CV113" s="273"/>
      <c r="CW113" s="273"/>
      <c r="CX113" s="273"/>
      <c r="CY113" s="273"/>
      <c r="CZ113" s="273"/>
      <c r="DA113" s="273"/>
      <c r="DB113" s="273"/>
      <c r="DC113" s="273"/>
      <c r="DD113" s="273"/>
      <c r="DE113" s="273"/>
      <c r="DF113" s="271"/>
      <c r="DG113" s="271"/>
      <c r="DH113" s="272">
        <f t="shared" si="6"/>
        <v>39</v>
      </c>
      <c r="DI113" s="272">
        <f t="shared" si="6"/>
        <v>506</v>
      </c>
      <c r="DJ113" s="324">
        <f t="shared" si="6"/>
        <v>441.6</v>
      </c>
      <c r="DK113" s="325"/>
      <c r="DL113" s="325"/>
    </row>
    <row r="114" spans="1:116" s="275" customFormat="1" ht="20.100000000000001" customHeight="1" x14ac:dyDescent="0.6">
      <c r="A114" s="234">
        <v>111</v>
      </c>
      <c r="B114" s="103" t="s">
        <v>623</v>
      </c>
      <c r="C114" s="103" t="s">
        <v>624</v>
      </c>
      <c r="D114" s="103" t="s">
        <v>625</v>
      </c>
      <c r="E114" s="148" t="s">
        <v>313</v>
      </c>
      <c r="F114" s="179" t="s">
        <v>591</v>
      </c>
      <c r="G114" s="322"/>
      <c r="H114" s="323"/>
      <c r="I114" s="322" t="s">
        <v>1053</v>
      </c>
      <c r="J114" s="322" t="s">
        <v>1051</v>
      </c>
      <c r="K114" s="241"/>
      <c r="L114" s="24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>
        <v>10</v>
      </c>
      <c r="Z114" s="271">
        <v>140</v>
      </c>
      <c r="AA114" s="271">
        <v>89.6</v>
      </c>
      <c r="AB114" s="271"/>
      <c r="AC114" s="271"/>
      <c r="AD114" s="271"/>
      <c r="AE114" s="271">
        <v>10</v>
      </c>
      <c r="AF114" s="271">
        <v>120</v>
      </c>
      <c r="AG114" s="271">
        <v>120</v>
      </c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2">
        <f t="shared" si="9"/>
        <v>20</v>
      </c>
      <c r="AR114" s="272">
        <f t="shared" si="9"/>
        <v>260</v>
      </c>
      <c r="AS114" s="272">
        <f t="shared" si="9"/>
        <v>209.6</v>
      </c>
      <c r="AT114" s="357"/>
      <c r="AU114" s="357"/>
      <c r="AV114" s="357"/>
      <c r="AW114" s="357"/>
      <c r="AX114" s="357"/>
      <c r="AY114" s="357"/>
      <c r="AZ114" s="357"/>
      <c r="BA114" s="357"/>
      <c r="BB114" s="357"/>
      <c r="BC114" s="357">
        <v>15</v>
      </c>
      <c r="BD114" s="357">
        <v>180</v>
      </c>
      <c r="BE114" s="357">
        <v>180</v>
      </c>
      <c r="BF114" s="357"/>
      <c r="BG114" s="357"/>
      <c r="BH114" s="357"/>
      <c r="BI114" s="357"/>
      <c r="BJ114" s="357"/>
      <c r="BK114" s="357"/>
      <c r="BL114" s="357"/>
      <c r="BM114" s="357"/>
      <c r="BN114" s="357"/>
      <c r="BO114" s="357"/>
      <c r="BP114" s="357"/>
      <c r="BQ114" s="357"/>
      <c r="BR114" s="357"/>
      <c r="BS114" s="357"/>
      <c r="BT114" s="357"/>
      <c r="BU114" s="357"/>
      <c r="BV114" s="357"/>
      <c r="BW114" s="357"/>
      <c r="BX114" s="272">
        <f t="shared" si="10"/>
        <v>35</v>
      </c>
      <c r="BY114" s="272">
        <f t="shared" si="10"/>
        <v>440</v>
      </c>
      <c r="BZ114" s="272">
        <f t="shared" si="8"/>
        <v>389.6</v>
      </c>
      <c r="CA114" s="273"/>
      <c r="CB114" s="273"/>
      <c r="CC114" s="273"/>
      <c r="CD114" s="273"/>
      <c r="CE114" s="273"/>
      <c r="CF114" s="273"/>
      <c r="CG114" s="273"/>
      <c r="CH114" s="273"/>
      <c r="CI114" s="273"/>
      <c r="CJ114" s="273"/>
      <c r="CK114" s="273"/>
      <c r="CL114" s="273"/>
      <c r="CM114" s="273"/>
      <c r="CN114" s="273"/>
      <c r="CO114" s="273"/>
      <c r="CP114" s="273"/>
      <c r="CQ114" s="273"/>
      <c r="CR114" s="273"/>
      <c r="CS114" s="273"/>
      <c r="CT114" s="273"/>
      <c r="CU114" s="273"/>
      <c r="CV114" s="273"/>
      <c r="CW114" s="273"/>
      <c r="CX114" s="273"/>
      <c r="CY114" s="273"/>
      <c r="CZ114" s="273"/>
      <c r="DA114" s="273"/>
      <c r="DB114" s="273"/>
      <c r="DC114" s="273"/>
      <c r="DD114" s="273"/>
      <c r="DE114" s="273"/>
      <c r="DF114" s="271"/>
      <c r="DG114" s="271"/>
      <c r="DH114" s="272">
        <f t="shared" si="6"/>
        <v>35</v>
      </c>
      <c r="DI114" s="272">
        <f t="shared" si="6"/>
        <v>440</v>
      </c>
      <c r="DJ114" s="324">
        <f t="shared" si="6"/>
        <v>389.6</v>
      </c>
      <c r="DK114" s="325"/>
      <c r="DL114" s="325"/>
    </row>
    <row r="115" spans="1:116" s="275" customFormat="1" ht="20.100000000000001" customHeight="1" x14ac:dyDescent="0.6">
      <c r="A115" s="234">
        <v>112</v>
      </c>
      <c r="B115" s="103" t="s">
        <v>626</v>
      </c>
      <c r="C115" s="103" t="s">
        <v>627</v>
      </c>
      <c r="D115" s="103" t="s">
        <v>625</v>
      </c>
      <c r="E115" s="148" t="s">
        <v>313</v>
      </c>
      <c r="F115" s="179" t="s">
        <v>591</v>
      </c>
      <c r="G115" s="322"/>
      <c r="H115" s="323"/>
      <c r="I115" s="322" t="s">
        <v>1054</v>
      </c>
      <c r="J115" s="322" t="s">
        <v>1051</v>
      </c>
      <c r="K115" s="241"/>
      <c r="L115" s="24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>
        <v>20</v>
      </c>
      <c r="Z115" s="271">
        <v>260</v>
      </c>
      <c r="AA115" s="271">
        <v>209.6</v>
      </c>
      <c r="AB115" s="271"/>
      <c r="AC115" s="271"/>
      <c r="AD115" s="271"/>
      <c r="AE115" s="271">
        <v>20</v>
      </c>
      <c r="AF115" s="271">
        <v>240</v>
      </c>
      <c r="AG115" s="271">
        <v>240</v>
      </c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2">
        <f t="shared" si="9"/>
        <v>40</v>
      </c>
      <c r="AR115" s="272">
        <f t="shared" si="9"/>
        <v>500</v>
      </c>
      <c r="AS115" s="272">
        <f t="shared" si="9"/>
        <v>449.6</v>
      </c>
      <c r="AT115" s="357"/>
      <c r="AU115" s="357"/>
      <c r="AV115" s="357"/>
      <c r="AW115" s="357"/>
      <c r="AX115" s="357"/>
      <c r="AY115" s="357"/>
      <c r="AZ115" s="357"/>
      <c r="BA115" s="357"/>
      <c r="BB115" s="357"/>
      <c r="BC115" s="357">
        <v>27</v>
      </c>
      <c r="BD115" s="357">
        <v>348</v>
      </c>
      <c r="BE115" s="357">
        <v>287.52</v>
      </c>
      <c r="BF115" s="357"/>
      <c r="BG115" s="357"/>
      <c r="BH115" s="357"/>
      <c r="BI115" s="357"/>
      <c r="BJ115" s="357"/>
      <c r="BK115" s="357"/>
      <c r="BL115" s="357"/>
      <c r="BM115" s="357"/>
      <c r="BN115" s="357"/>
      <c r="BO115" s="357"/>
      <c r="BP115" s="357"/>
      <c r="BQ115" s="357"/>
      <c r="BR115" s="357"/>
      <c r="BS115" s="357"/>
      <c r="BT115" s="357"/>
      <c r="BU115" s="357">
        <v>15</v>
      </c>
      <c r="BV115" s="357">
        <v>600</v>
      </c>
      <c r="BW115" s="357">
        <v>210</v>
      </c>
      <c r="BX115" s="272">
        <f t="shared" si="10"/>
        <v>82</v>
      </c>
      <c r="BY115" s="272">
        <f t="shared" si="10"/>
        <v>1448</v>
      </c>
      <c r="BZ115" s="272">
        <f t="shared" si="8"/>
        <v>947.12</v>
      </c>
      <c r="CA115" s="273"/>
      <c r="CB115" s="273"/>
      <c r="CC115" s="273"/>
      <c r="CD115" s="273"/>
      <c r="CE115" s="273"/>
      <c r="CF115" s="273"/>
      <c r="CG115" s="273"/>
      <c r="CH115" s="273"/>
      <c r="CI115" s="273"/>
      <c r="CJ115" s="273"/>
      <c r="CK115" s="273"/>
      <c r="CL115" s="273"/>
      <c r="CM115" s="273"/>
      <c r="CN115" s="273"/>
      <c r="CO115" s="273"/>
      <c r="CP115" s="273"/>
      <c r="CQ115" s="273"/>
      <c r="CR115" s="273"/>
      <c r="CS115" s="273"/>
      <c r="CT115" s="273"/>
      <c r="CU115" s="273"/>
      <c r="CV115" s="273"/>
      <c r="CW115" s="273"/>
      <c r="CX115" s="273"/>
      <c r="CY115" s="273"/>
      <c r="CZ115" s="273"/>
      <c r="DA115" s="273"/>
      <c r="DB115" s="273"/>
      <c r="DC115" s="273"/>
      <c r="DD115" s="273"/>
      <c r="DE115" s="273"/>
      <c r="DF115" s="271"/>
      <c r="DG115" s="271"/>
      <c r="DH115" s="272">
        <f t="shared" si="6"/>
        <v>82</v>
      </c>
      <c r="DI115" s="272">
        <f t="shared" si="6"/>
        <v>1448</v>
      </c>
      <c r="DJ115" s="324">
        <f t="shared" si="6"/>
        <v>947.12</v>
      </c>
      <c r="DK115" s="325"/>
      <c r="DL115" s="325"/>
    </row>
    <row r="116" spans="1:116" s="275" customFormat="1" ht="20.100000000000001" customHeight="1" x14ac:dyDescent="0.6">
      <c r="A116" s="234">
        <v>113</v>
      </c>
      <c r="B116" s="103" t="s">
        <v>628</v>
      </c>
      <c r="C116" s="103" t="s">
        <v>629</v>
      </c>
      <c r="D116" s="103" t="s">
        <v>625</v>
      </c>
      <c r="E116" s="148" t="s">
        <v>313</v>
      </c>
      <c r="F116" s="179" t="s">
        <v>591</v>
      </c>
      <c r="G116" s="322"/>
      <c r="H116" s="323"/>
      <c r="I116" s="322" t="s">
        <v>1055</v>
      </c>
      <c r="J116" s="322" t="s">
        <v>1051</v>
      </c>
      <c r="K116" s="241"/>
      <c r="L116" s="24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>
        <v>10</v>
      </c>
      <c r="AF116" s="271">
        <v>260</v>
      </c>
      <c r="AG116" s="271">
        <v>106</v>
      </c>
      <c r="AH116" s="271"/>
      <c r="AI116" s="271"/>
      <c r="AJ116" s="271"/>
      <c r="AK116" s="271"/>
      <c r="AL116" s="271"/>
      <c r="AM116" s="271"/>
      <c r="AN116" s="271">
        <v>7</v>
      </c>
      <c r="AO116" s="271">
        <v>118</v>
      </c>
      <c r="AP116" s="271">
        <v>76.88</v>
      </c>
      <c r="AQ116" s="272">
        <f t="shared" si="9"/>
        <v>17</v>
      </c>
      <c r="AR116" s="272">
        <f t="shared" si="9"/>
        <v>378</v>
      </c>
      <c r="AS116" s="272">
        <f t="shared" si="9"/>
        <v>182.88</v>
      </c>
      <c r="AT116" s="357"/>
      <c r="AU116" s="357"/>
      <c r="AV116" s="357"/>
      <c r="AW116" s="357"/>
      <c r="AX116" s="357"/>
      <c r="AY116" s="357"/>
      <c r="AZ116" s="357"/>
      <c r="BA116" s="357"/>
      <c r="BB116" s="357"/>
      <c r="BC116" s="357"/>
      <c r="BD116" s="357"/>
      <c r="BE116" s="357"/>
      <c r="BF116" s="357"/>
      <c r="BG116" s="357"/>
      <c r="BH116" s="357"/>
      <c r="BI116" s="357"/>
      <c r="BJ116" s="357"/>
      <c r="BK116" s="357"/>
      <c r="BL116" s="357"/>
      <c r="BM116" s="357"/>
      <c r="BN116" s="357"/>
      <c r="BO116" s="357"/>
      <c r="BP116" s="357"/>
      <c r="BQ116" s="357"/>
      <c r="BR116" s="357"/>
      <c r="BS116" s="357"/>
      <c r="BT116" s="357"/>
      <c r="BU116" s="357">
        <v>10</v>
      </c>
      <c r="BV116" s="357">
        <v>184</v>
      </c>
      <c r="BW116" s="357">
        <v>111.84</v>
      </c>
      <c r="BX116" s="272">
        <f t="shared" si="10"/>
        <v>27</v>
      </c>
      <c r="BY116" s="272">
        <f t="shared" si="10"/>
        <v>562</v>
      </c>
      <c r="BZ116" s="272">
        <f t="shared" si="8"/>
        <v>294.72000000000003</v>
      </c>
      <c r="CA116" s="273"/>
      <c r="CB116" s="273"/>
      <c r="CC116" s="273"/>
      <c r="CD116" s="273"/>
      <c r="CE116" s="273"/>
      <c r="CF116" s="273"/>
      <c r="CG116" s="273"/>
      <c r="CH116" s="273"/>
      <c r="CI116" s="273"/>
      <c r="CJ116" s="273"/>
      <c r="CK116" s="273"/>
      <c r="CL116" s="273"/>
      <c r="CM116" s="273"/>
      <c r="CN116" s="273"/>
      <c r="CO116" s="273"/>
      <c r="CP116" s="273"/>
      <c r="CQ116" s="273"/>
      <c r="CR116" s="273"/>
      <c r="CS116" s="273"/>
      <c r="CT116" s="273"/>
      <c r="CU116" s="273"/>
      <c r="CV116" s="273"/>
      <c r="CW116" s="273"/>
      <c r="CX116" s="273"/>
      <c r="CY116" s="273"/>
      <c r="CZ116" s="273"/>
      <c r="DA116" s="273"/>
      <c r="DB116" s="273"/>
      <c r="DC116" s="273"/>
      <c r="DD116" s="273"/>
      <c r="DE116" s="273"/>
      <c r="DF116" s="271"/>
      <c r="DG116" s="271"/>
      <c r="DH116" s="272">
        <f t="shared" si="6"/>
        <v>27</v>
      </c>
      <c r="DI116" s="272">
        <f t="shared" si="6"/>
        <v>562</v>
      </c>
      <c r="DJ116" s="324">
        <f t="shared" si="6"/>
        <v>294.72000000000003</v>
      </c>
      <c r="DK116" s="325"/>
      <c r="DL116" s="325"/>
    </row>
    <row r="117" spans="1:116" s="275" customFormat="1" ht="20.100000000000001" customHeight="1" x14ac:dyDescent="0.6">
      <c r="A117" s="234">
        <v>114</v>
      </c>
      <c r="B117" s="103" t="s">
        <v>630</v>
      </c>
      <c r="C117" s="103" t="s">
        <v>631</v>
      </c>
      <c r="D117" s="103" t="s">
        <v>625</v>
      </c>
      <c r="E117" s="148" t="s">
        <v>313</v>
      </c>
      <c r="F117" s="179" t="s">
        <v>591</v>
      </c>
      <c r="G117" s="322"/>
      <c r="H117" s="323"/>
      <c r="I117" s="322" t="s">
        <v>1056</v>
      </c>
      <c r="J117" s="322" t="s">
        <v>1051</v>
      </c>
      <c r="K117" s="241"/>
      <c r="L117" s="24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>
        <v>1</v>
      </c>
      <c r="AC117" s="271">
        <v>14</v>
      </c>
      <c r="AD117" s="271">
        <v>8.9600000000000009</v>
      </c>
      <c r="AE117" s="271"/>
      <c r="AF117" s="271"/>
      <c r="AG117" s="271"/>
      <c r="AH117" s="271"/>
      <c r="AI117" s="271"/>
      <c r="AJ117" s="271"/>
      <c r="AK117" s="271"/>
      <c r="AL117" s="271"/>
      <c r="AM117" s="271"/>
      <c r="AN117" s="271"/>
      <c r="AO117" s="271"/>
      <c r="AP117" s="271"/>
      <c r="AQ117" s="272">
        <f t="shared" si="9"/>
        <v>1</v>
      </c>
      <c r="AR117" s="272">
        <f t="shared" si="9"/>
        <v>14</v>
      </c>
      <c r="AS117" s="272">
        <f t="shared" si="9"/>
        <v>8.9600000000000009</v>
      </c>
      <c r="AT117" s="357"/>
      <c r="AU117" s="357"/>
      <c r="AV117" s="357"/>
      <c r="AW117" s="357"/>
      <c r="AX117" s="357"/>
      <c r="AY117" s="357"/>
      <c r="AZ117" s="357"/>
      <c r="BA117" s="357"/>
      <c r="BB117" s="357"/>
      <c r="BC117" s="357"/>
      <c r="BD117" s="357"/>
      <c r="BE117" s="357"/>
      <c r="BF117" s="357"/>
      <c r="BG117" s="357"/>
      <c r="BH117" s="357"/>
      <c r="BI117" s="357"/>
      <c r="BJ117" s="357"/>
      <c r="BK117" s="357"/>
      <c r="BL117" s="357"/>
      <c r="BM117" s="357"/>
      <c r="BN117" s="357"/>
      <c r="BO117" s="357"/>
      <c r="BP117" s="357"/>
      <c r="BQ117" s="357"/>
      <c r="BR117" s="357"/>
      <c r="BS117" s="357"/>
      <c r="BT117" s="357"/>
      <c r="BU117" s="357"/>
      <c r="BV117" s="357"/>
      <c r="BW117" s="357"/>
      <c r="BX117" s="272">
        <f t="shared" si="10"/>
        <v>1</v>
      </c>
      <c r="BY117" s="272">
        <f t="shared" si="10"/>
        <v>14</v>
      </c>
      <c r="BZ117" s="272">
        <f t="shared" si="8"/>
        <v>8.9600000000000009</v>
      </c>
      <c r="CA117" s="273"/>
      <c r="CB117" s="273"/>
      <c r="CC117" s="273"/>
      <c r="CD117" s="273"/>
      <c r="CE117" s="273"/>
      <c r="CF117" s="273"/>
      <c r="CG117" s="273"/>
      <c r="CH117" s="273"/>
      <c r="CI117" s="273"/>
      <c r="CJ117" s="273"/>
      <c r="CK117" s="273"/>
      <c r="CL117" s="273"/>
      <c r="CM117" s="273"/>
      <c r="CN117" s="273"/>
      <c r="CO117" s="273"/>
      <c r="CP117" s="273"/>
      <c r="CQ117" s="273"/>
      <c r="CR117" s="273"/>
      <c r="CS117" s="273"/>
      <c r="CT117" s="273"/>
      <c r="CU117" s="273"/>
      <c r="CV117" s="273"/>
      <c r="CW117" s="273"/>
      <c r="CX117" s="273"/>
      <c r="CY117" s="273"/>
      <c r="CZ117" s="273"/>
      <c r="DA117" s="273"/>
      <c r="DB117" s="273"/>
      <c r="DC117" s="273"/>
      <c r="DD117" s="273"/>
      <c r="DE117" s="273"/>
      <c r="DF117" s="271"/>
      <c r="DG117" s="271"/>
      <c r="DH117" s="272">
        <f t="shared" si="6"/>
        <v>1</v>
      </c>
      <c r="DI117" s="272">
        <f t="shared" si="6"/>
        <v>14</v>
      </c>
      <c r="DJ117" s="324">
        <f t="shared" si="6"/>
        <v>8.9600000000000009</v>
      </c>
      <c r="DK117" s="325"/>
      <c r="DL117" s="325"/>
    </row>
    <row r="118" spans="1:116" s="275" customFormat="1" ht="20.100000000000001" customHeight="1" x14ac:dyDescent="0.6">
      <c r="A118" s="234">
        <v>115</v>
      </c>
      <c r="B118" s="103" t="s">
        <v>632</v>
      </c>
      <c r="C118" s="103" t="s">
        <v>633</v>
      </c>
      <c r="D118" s="103" t="s">
        <v>625</v>
      </c>
      <c r="E118" s="148" t="s">
        <v>313</v>
      </c>
      <c r="F118" s="179" t="s">
        <v>591</v>
      </c>
      <c r="G118" s="322"/>
      <c r="H118" s="323"/>
      <c r="I118" s="322" t="s">
        <v>1057</v>
      </c>
      <c r="J118" s="322" t="s">
        <v>1051</v>
      </c>
      <c r="K118" s="241"/>
      <c r="L118" s="24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>
        <v>2</v>
      </c>
      <c r="AC118" s="271">
        <v>24</v>
      </c>
      <c r="AD118" s="271">
        <v>24</v>
      </c>
      <c r="AE118" s="271"/>
      <c r="AF118" s="271"/>
      <c r="AG118" s="271"/>
      <c r="AH118" s="271"/>
      <c r="AI118" s="271"/>
      <c r="AJ118" s="271"/>
      <c r="AK118" s="271"/>
      <c r="AL118" s="271"/>
      <c r="AM118" s="271"/>
      <c r="AN118" s="271"/>
      <c r="AO118" s="271"/>
      <c r="AP118" s="271"/>
      <c r="AQ118" s="272">
        <f t="shared" si="9"/>
        <v>2</v>
      </c>
      <c r="AR118" s="272">
        <f t="shared" si="9"/>
        <v>24</v>
      </c>
      <c r="AS118" s="272">
        <f t="shared" si="9"/>
        <v>24</v>
      </c>
      <c r="AT118" s="357"/>
      <c r="AU118" s="357"/>
      <c r="AV118" s="357"/>
      <c r="AW118" s="357"/>
      <c r="AX118" s="357"/>
      <c r="AY118" s="357"/>
      <c r="AZ118" s="357"/>
      <c r="BA118" s="357"/>
      <c r="BB118" s="357"/>
      <c r="BC118" s="357">
        <v>20</v>
      </c>
      <c r="BD118" s="357">
        <v>240</v>
      </c>
      <c r="BE118" s="357">
        <v>240</v>
      </c>
      <c r="BF118" s="357"/>
      <c r="BG118" s="357"/>
      <c r="BH118" s="357"/>
      <c r="BI118" s="357">
        <v>5</v>
      </c>
      <c r="BJ118" s="357">
        <v>60</v>
      </c>
      <c r="BK118" s="357">
        <v>60</v>
      </c>
      <c r="BL118" s="357"/>
      <c r="BM118" s="357"/>
      <c r="BN118" s="357"/>
      <c r="BO118" s="357"/>
      <c r="BP118" s="357"/>
      <c r="BQ118" s="357"/>
      <c r="BR118" s="359"/>
      <c r="BS118" s="357"/>
      <c r="BT118" s="357"/>
      <c r="BU118" s="357"/>
      <c r="BV118" s="357"/>
      <c r="BW118" s="357"/>
      <c r="BX118" s="272">
        <f t="shared" si="10"/>
        <v>27</v>
      </c>
      <c r="BY118" s="272">
        <f t="shared" si="10"/>
        <v>324</v>
      </c>
      <c r="BZ118" s="272">
        <f t="shared" si="8"/>
        <v>324</v>
      </c>
      <c r="CA118" s="273"/>
      <c r="CB118" s="273"/>
      <c r="CC118" s="273"/>
      <c r="CD118" s="273"/>
      <c r="CE118" s="273"/>
      <c r="CF118" s="273"/>
      <c r="CG118" s="273"/>
      <c r="CH118" s="273"/>
      <c r="CI118" s="273"/>
      <c r="CJ118" s="273"/>
      <c r="CK118" s="273"/>
      <c r="CL118" s="273"/>
      <c r="CM118" s="273"/>
      <c r="CN118" s="273"/>
      <c r="CO118" s="273"/>
      <c r="CP118" s="273"/>
      <c r="CQ118" s="273"/>
      <c r="CR118" s="273"/>
      <c r="CS118" s="273"/>
      <c r="CT118" s="273"/>
      <c r="CU118" s="273"/>
      <c r="CV118" s="273"/>
      <c r="CW118" s="273"/>
      <c r="CX118" s="273"/>
      <c r="CY118" s="273"/>
      <c r="CZ118" s="273"/>
      <c r="DA118" s="273"/>
      <c r="DB118" s="273"/>
      <c r="DC118" s="273"/>
      <c r="DD118" s="273"/>
      <c r="DE118" s="273"/>
      <c r="DF118" s="271"/>
      <c r="DG118" s="271"/>
      <c r="DH118" s="272">
        <f t="shared" si="6"/>
        <v>27</v>
      </c>
      <c r="DI118" s="272">
        <f t="shared" si="6"/>
        <v>324</v>
      </c>
      <c r="DJ118" s="324">
        <f t="shared" si="6"/>
        <v>324</v>
      </c>
      <c r="DK118" s="325"/>
      <c r="DL118" s="325"/>
    </row>
    <row r="119" spans="1:116" s="275" customFormat="1" ht="20.100000000000001" customHeight="1" x14ac:dyDescent="0.6">
      <c r="A119" s="234">
        <v>116</v>
      </c>
      <c r="B119" s="103" t="s">
        <v>634</v>
      </c>
      <c r="C119" s="103" t="s">
        <v>635</v>
      </c>
      <c r="D119" s="103" t="s">
        <v>625</v>
      </c>
      <c r="E119" s="148" t="s">
        <v>313</v>
      </c>
      <c r="F119" s="179" t="s">
        <v>591</v>
      </c>
      <c r="G119" s="322"/>
      <c r="H119" s="323"/>
      <c r="I119" s="322" t="s">
        <v>1058</v>
      </c>
      <c r="J119" s="322" t="s">
        <v>1051</v>
      </c>
      <c r="K119" s="241"/>
      <c r="L119" s="24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>
        <v>15</v>
      </c>
      <c r="AF119" s="271">
        <v>180</v>
      </c>
      <c r="AG119" s="271">
        <v>180</v>
      </c>
      <c r="AH119" s="271"/>
      <c r="AI119" s="271"/>
      <c r="AJ119" s="271"/>
      <c r="AK119" s="271"/>
      <c r="AL119" s="271"/>
      <c r="AM119" s="271"/>
      <c r="AN119" s="271"/>
      <c r="AO119" s="271"/>
      <c r="AP119" s="271"/>
      <c r="AQ119" s="272">
        <f t="shared" si="9"/>
        <v>15</v>
      </c>
      <c r="AR119" s="272">
        <f t="shared" si="9"/>
        <v>180</v>
      </c>
      <c r="AS119" s="272">
        <f t="shared" si="9"/>
        <v>180</v>
      </c>
      <c r="AT119" s="357"/>
      <c r="AU119" s="357"/>
      <c r="AV119" s="357"/>
      <c r="AW119" s="357"/>
      <c r="AX119" s="357"/>
      <c r="AY119" s="357"/>
      <c r="AZ119" s="357"/>
      <c r="BA119" s="357"/>
      <c r="BB119" s="357"/>
      <c r="BC119" s="357">
        <v>20</v>
      </c>
      <c r="BD119" s="357">
        <v>240</v>
      </c>
      <c r="BE119" s="357">
        <v>240</v>
      </c>
      <c r="BF119" s="357"/>
      <c r="BG119" s="357"/>
      <c r="BH119" s="357"/>
      <c r="BI119" s="357">
        <v>5</v>
      </c>
      <c r="BJ119" s="357">
        <v>60</v>
      </c>
      <c r="BK119" s="357">
        <v>60</v>
      </c>
      <c r="BL119" s="357"/>
      <c r="BM119" s="357"/>
      <c r="BN119" s="357"/>
      <c r="BO119" s="357"/>
      <c r="BP119" s="357"/>
      <c r="BQ119" s="357"/>
      <c r="BR119" s="357"/>
      <c r="BS119" s="357"/>
      <c r="BT119" s="357"/>
      <c r="BU119" s="357"/>
      <c r="BV119" s="357"/>
      <c r="BW119" s="357"/>
      <c r="BX119" s="272">
        <f t="shared" si="10"/>
        <v>40</v>
      </c>
      <c r="BY119" s="272">
        <f t="shared" si="10"/>
        <v>480</v>
      </c>
      <c r="BZ119" s="272">
        <f t="shared" si="8"/>
        <v>480</v>
      </c>
      <c r="CA119" s="273"/>
      <c r="CB119" s="273"/>
      <c r="CC119" s="273"/>
      <c r="CD119" s="273"/>
      <c r="CE119" s="273"/>
      <c r="CF119" s="273"/>
      <c r="CG119" s="273"/>
      <c r="CH119" s="273"/>
      <c r="CI119" s="273"/>
      <c r="CJ119" s="273"/>
      <c r="CK119" s="273"/>
      <c r="CL119" s="273"/>
      <c r="CM119" s="273"/>
      <c r="CN119" s="273"/>
      <c r="CO119" s="273"/>
      <c r="CP119" s="273"/>
      <c r="CQ119" s="273"/>
      <c r="CR119" s="273"/>
      <c r="CS119" s="273"/>
      <c r="CT119" s="273"/>
      <c r="CU119" s="273"/>
      <c r="CV119" s="273"/>
      <c r="CW119" s="273"/>
      <c r="CX119" s="273"/>
      <c r="CY119" s="273"/>
      <c r="CZ119" s="273"/>
      <c r="DA119" s="273"/>
      <c r="DB119" s="273"/>
      <c r="DC119" s="273"/>
      <c r="DD119" s="273"/>
      <c r="DE119" s="273"/>
      <c r="DF119" s="271"/>
      <c r="DG119" s="271"/>
      <c r="DH119" s="272">
        <f t="shared" si="6"/>
        <v>40</v>
      </c>
      <c r="DI119" s="272">
        <f t="shared" si="6"/>
        <v>480</v>
      </c>
      <c r="DJ119" s="324">
        <f t="shared" si="6"/>
        <v>480</v>
      </c>
      <c r="DK119" s="325"/>
      <c r="DL119" s="325"/>
    </row>
    <row r="120" spans="1:116" s="275" customFormat="1" ht="20.100000000000001" customHeight="1" x14ac:dyDescent="0.6">
      <c r="A120" s="234">
        <v>117</v>
      </c>
      <c r="B120" s="103" t="s">
        <v>636</v>
      </c>
      <c r="C120" s="103" t="s">
        <v>636</v>
      </c>
      <c r="D120" s="103" t="s">
        <v>625</v>
      </c>
      <c r="E120" s="148" t="s">
        <v>313</v>
      </c>
      <c r="F120" s="179" t="s">
        <v>591</v>
      </c>
      <c r="G120" s="322"/>
      <c r="H120" s="323"/>
      <c r="I120" s="322" t="s">
        <v>1059</v>
      </c>
      <c r="J120" s="322" t="s">
        <v>1051</v>
      </c>
      <c r="K120" s="241"/>
      <c r="L120" s="24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>
        <v>6</v>
      </c>
      <c r="AF120" s="271">
        <v>72</v>
      </c>
      <c r="AG120" s="271">
        <v>67.2</v>
      </c>
      <c r="AH120" s="271"/>
      <c r="AI120" s="271"/>
      <c r="AJ120" s="271"/>
      <c r="AK120" s="271"/>
      <c r="AL120" s="271"/>
      <c r="AM120" s="271"/>
      <c r="AN120" s="271"/>
      <c r="AO120" s="271"/>
      <c r="AP120" s="271"/>
      <c r="AQ120" s="272">
        <f t="shared" si="9"/>
        <v>6</v>
      </c>
      <c r="AR120" s="272">
        <f t="shared" si="9"/>
        <v>72</v>
      </c>
      <c r="AS120" s="272">
        <f t="shared" si="9"/>
        <v>67.2</v>
      </c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>
        <v>10</v>
      </c>
      <c r="BD120" s="356">
        <v>120</v>
      </c>
      <c r="BE120" s="356">
        <v>120</v>
      </c>
      <c r="BF120" s="356"/>
      <c r="BG120" s="356"/>
      <c r="BH120" s="356"/>
      <c r="BI120" s="356">
        <v>10</v>
      </c>
      <c r="BJ120" s="356">
        <v>120</v>
      </c>
      <c r="BK120" s="356">
        <v>120</v>
      </c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272">
        <f t="shared" si="10"/>
        <v>26</v>
      </c>
      <c r="BY120" s="272">
        <f t="shared" si="10"/>
        <v>312</v>
      </c>
      <c r="BZ120" s="272">
        <f t="shared" si="8"/>
        <v>307.2</v>
      </c>
      <c r="CA120" s="273"/>
      <c r="CB120" s="273"/>
      <c r="CC120" s="273"/>
      <c r="CD120" s="273"/>
      <c r="CE120" s="273"/>
      <c r="CF120" s="273"/>
      <c r="CG120" s="273"/>
      <c r="CH120" s="273"/>
      <c r="CI120" s="273"/>
      <c r="CJ120" s="273"/>
      <c r="CK120" s="273"/>
      <c r="CL120" s="273"/>
      <c r="CM120" s="273"/>
      <c r="CN120" s="273"/>
      <c r="CO120" s="273"/>
      <c r="CP120" s="273"/>
      <c r="CQ120" s="273"/>
      <c r="CR120" s="273"/>
      <c r="CS120" s="273"/>
      <c r="CT120" s="273"/>
      <c r="CU120" s="273"/>
      <c r="CV120" s="273"/>
      <c r="CW120" s="273"/>
      <c r="CX120" s="273"/>
      <c r="CY120" s="273"/>
      <c r="CZ120" s="273"/>
      <c r="DA120" s="273"/>
      <c r="DB120" s="273"/>
      <c r="DC120" s="273"/>
      <c r="DD120" s="273"/>
      <c r="DE120" s="273"/>
      <c r="DF120" s="271"/>
      <c r="DG120" s="271"/>
      <c r="DH120" s="272">
        <f t="shared" si="6"/>
        <v>26</v>
      </c>
      <c r="DI120" s="272">
        <f t="shared" si="6"/>
        <v>312</v>
      </c>
      <c r="DJ120" s="324">
        <f t="shared" si="6"/>
        <v>307.2</v>
      </c>
      <c r="DK120" s="325"/>
      <c r="DL120" s="325"/>
    </row>
    <row r="121" spans="1:116" s="275" customFormat="1" ht="20.100000000000001" customHeight="1" x14ac:dyDescent="0.6">
      <c r="A121" s="234">
        <v>118</v>
      </c>
      <c r="B121" s="103" t="s">
        <v>637</v>
      </c>
      <c r="C121" s="103" t="s">
        <v>638</v>
      </c>
      <c r="D121" s="103" t="s">
        <v>337</v>
      </c>
      <c r="E121" s="148" t="s">
        <v>338</v>
      </c>
      <c r="F121" s="179" t="s">
        <v>591</v>
      </c>
      <c r="G121" s="322"/>
      <c r="H121" s="323"/>
      <c r="I121" s="322" t="s">
        <v>1060</v>
      </c>
      <c r="J121" s="322" t="s">
        <v>1051</v>
      </c>
      <c r="K121" s="241"/>
      <c r="L121" s="24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  <c r="AO121" s="271"/>
      <c r="AP121" s="271"/>
      <c r="AQ121" s="272">
        <f t="shared" si="9"/>
        <v>0</v>
      </c>
      <c r="AR121" s="272">
        <f t="shared" si="9"/>
        <v>0</v>
      </c>
      <c r="AS121" s="272">
        <f t="shared" si="9"/>
        <v>0</v>
      </c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272">
        <f t="shared" si="10"/>
        <v>0</v>
      </c>
      <c r="BY121" s="272">
        <f t="shared" si="10"/>
        <v>0</v>
      </c>
      <c r="BZ121" s="272">
        <f t="shared" si="8"/>
        <v>0</v>
      </c>
      <c r="CA121" s="273"/>
      <c r="CB121" s="273"/>
      <c r="CC121" s="273"/>
      <c r="CD121" s="273"/>
      <c r="CE121" s="273"/>
      <c r="CF121" s="273"/>
      <c r="CG121" s="273"/>
      <c r="CH121" s="273"/>
      <c r="CI121" s="273"/>
      <c r="CJ121" s="273"/>
      <c r="CK121" s="273"/>
      <c r="CL121" s="273"/>
      <c r="CM121" s="273"/>
      <c r="CN121" s="273"/>
      <c r="CO121" s="273"/>
      <c r="CP121" s="273"/>
      <c r="CQ121" s="273"/>
      <c r="CR121" s="273"/>
      <c r="CS121" s="273"/>
      <c r="CT121" s="273"/>
      <c r="CU121" s="273"/>
      <c r="CV121" s="273"/>
      <c r="CW121" s="273"/>
      <c r="CX121" s="273"/>
      <c r="CY121" s="273"/>
      <c r="CZ121" s="273"/>
      <c r="DA121" s="273"/>
      <c r="DB121" s="273"/>
      <c r="DC121" s="273"/>
      <c r="DD121" s="273"/>
      <c r="DE121" s="273"/>
      <c r="DF121" s="271"/>
      <c r="DG121" s="271"/>
      <c r="DH121" s="272">
        <f t="shared" si="6"/>
        <v>0</v>
      </c>
      <c r="DI121" s="272">
        <f t="shared" si="6"/>
        <v>0</v>
      </c>
      <c r="DJ121" s="324">
        <f t="shared" si="6"/>
        <v>0</v>
      </c>
      <c r="DK121" s="325"/>
      <c r="DL121" s="325"/>
    </row>
    <row r="122" spans="1:116" s="275" customFormat="1" ht="20.100000000000001" customHeight="1" x14ac:dyDescent="0.6">
      <c r="A122" s="234">
        <v>119</v>
      </c>
      <c r="B122" s="103" t="s">
        <v>639</v>
      </c>
      <c r="C122" s="103" t="s">
        <v>640</v>
      </c>
      <c r="D122" s="103" t="s">
        <v>337</v>
      </c>
      <c r="E122" s="148" t="s">
        <v>338</v>
      </c>
      <c r="F122" s="179" t="s">
        <v>591</v>
      </c>
      <c r="G122" s="322"/>
      <c r="H122" s="323"/>
      <c r="I122" s="322" t="s">
        <v>1061</v>
      </c>
      <c r="J122" s="322" t="s">
        <v>1051</v>
      </c>
      <c r="K122" s="241"/>
      <c r="L122" s="24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  <c r="AM122" s="271"/>
      <c r="AN122" s="271"/>
      <c r="AO122" s="271"/>
      <c r="AP122" s="271"/>
      <c r="AQ122" s="272">
        <f t="shared" si="9"/>
        <v>0</v>
      </c>
      <c r="AR122" s="272">
        <f t="shared" si="9"/>
        <v>0</v>
      </c>
      <c r="AS122" s="272">
        <f t="shared" si="9"/>
        <v>0</v>
      </c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272">
        <f t="shared" si="10"/>
        <v>0</v>
      </c>
      <c r="BY122" s="272">
        <f t="shared" si="10"/>
        <v>0</v>
      </c>
      <c r="BZ122" s="272">
        <f t="shared" si="8"/>
        <v>0</v>
      </c>
      <c r="CA122" s="273"/>
      <c r="CB122" s="273"/>
      <c r="CC122" s="273"/>
      <c r="CD122" s="273"/>
      <c r="CE122" s="273"/>
      <c r="CF122" s="273"/>
      <c r="CG122" s="273"/>
      <c r="CH122" s="273"/>
      <c r="CI122" s="273"/>
      <c r="CJ122" s="273"/>
      <c r="CK122" s="273"/>
      <c r="CL122" s="273"/>
      <c r="CM122" s="273"/>
      <c r="CN122" s="273"/>
      <c r="CO122" s="273"/>
      <c r="CP122" s="273"/>
      <c r="CQ122" s="273"/>
      <c r="CR122" s="273"/>
      <c r="CS122" s="273"/>
      <c r="CT122" s="273"/>
      <c r="CU122" s="273"/>
      <c r="CV122" s="273"/>
      <c r="CW122" s="273"/>
      <c r="CX122" s="273"/>
      <c r="CY122" s="273"/>
      <c r="CZ122" s="273"/>
      <c r="DA122" s="273"/>
      <c r="DB122" s="273"/>
      <c r="DC122" s="273"/>
      <c r="DD122" s="273"/>
      <c r="DE122" s="273"/>
      <c r="DF122" s="271"/>
      <c r="DG122" s="271"/>
      <c r="DH122" s="272">
        <f t="shared" si="6"/>
        <v>0</v>
      </c>
      <c r="DI122" s="272">
        <f t="shared" si="6"/>
        <v>0</v>
      </c>
      <c r="DJ122" s="324">
        <f t="shared" si="6"/>
        <v>0</v>
      </c>
      <c r="DK122" s="325"/>
      <c r="DL122" s="325"/>
    </row>
    <row r="123" spans="1:116" s="275" customFormat="1" ht="20.100000000000001" customHeight="1" x14ac:dyDescent="0.6">
      <c r="A123" s="234">
        <v>120</v>
      </c>
      <c r="B123" s="103" t="s">
        <v>641</v>
      </c>
      <c r="C123" s="103" t="s">
        <v>641</v>
      </c>
      <c r="D123" s="103" t="s">
        <v>301</v>
      </c>
      <c r="E123" s="148" t="s">
        <v>87</v>
      </c>
      <c r="F123" s="179" t="s">
        <v>642</v>
      </c>
      <c r="G123" s="322"/>
      <c r="H123" s="323"/>
      <c r="I123" s="322" t="s">
        <v>1062</v>
      </c>
      <c r="J123" s="322" t="s">
        <v>1051</v>
      </c>
      <c r="K123" s="241"/>
      <c r="L123" s="24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>
        <v>3.25</v>
      </c>
      <c r="W123" s="271">
        <v>42</v>
      </c>
      <c r="X123" s="271">
        <v>38.1</v>
      </c>
      <c r="Y123" s="271"/>
      <c r="Z123" s="271"/>
      <c r="AA123" s="271"/>
      <c r="AB123" s="271"/>
      <c r="AC123" s="271"/>
      <c r="AD123" s="271"/>
      <c r="AE123" s="271">
        <v>2.33</v>
      </c>
      <c r="AF123" s="271">
        <v>28</v>
      </c>
      <c r="AG123" s="271">
        <v>26.76</v>
      </c>
      <c r="AH123" s="271"/>
      <c r="AI123" s="271"/>
      <c r="AJ123" s="271"/>
      <c r="AK123" s="271"/>
      <c r="AL123" s="271"/>
      <c r="AM123" s="271"/>
      <c r="AN123" s="271"/>
      <c r="AO123" s="271"/>
      <c r="AP123" s="271"/>
      <c r="AQ123" s="272">
        <f t="shared" si="9"/>
        <v>5.58</v>
      </c>
      <c r="AR123" s="272">
        <f t="shared" si="9"/>
        <v>70</v>
      </c>
      <c r="AS123" s="272">
        <f t="shared" si="9"/>
        <v>64.86</v>
      </c>
      <c r="AT123" s="357"/>
      <c r="AU123" s="357"/>
      <c r="AV123" s="357"/>
      <c r="AW123" s="357"/>
      <c r="AX123" s="357"/>
      <c r="AY123" s="357"/>
      <c r="AZ123" s="357"/>
      <c r="BA123" s="357"/>
      <c r="BB123" s="357"/>
      <c r="BC123" s="357"/>
      <c r="BD123" s="357"/>
      <c r="BE123" s="357"/>
      <c r="BF123" s="357"/>
      <c r="BG123" s="357"/>
      <c r="BH123" s="357"/>
      <c r="BI123" s="357"/>
      <c r="BJ123" s="357"/>
      <c r="BK123" s="357"/>
      <c r="BL123" s="357"/>
      <c r="BM123" s="357"/>
      <c r="BN123" s="357"/>
      <c r="BO123" s="357"/>
      <c r="BP123" s="357"/>
      <c r="BQ123" s="357"/>
      <c r="BR123" s="357"/>
      <c r="BS123" s="357"/>
      <c r="BT123" s="357"/>
      <c r="BU123" s="357"/>
      <c r="BV123" s="357"/>
      <c r="BW123" s="357"/>
      <c r="BX123" s="272">
        <f t="shared" si="10"/>
        <v>5.58</v>
      </c>
      <c r="BY123" s="272">
        <f t="shared" si="10"/>
        <v>70</v>
      </c>
      <c r="BZ123" s="272">
        <f t="shared" si="8"/>
        <v>64.86</v>
      </c>
      <c r="CA123" s="273"/>
      <c r="CB123" s="273"/>
      <c r="CC123" s="273"/>
      <c r="CD123" s="273"/>
      <c r="CE123" s="273"/>
      <c r="CF123" s="273"/>
      <c r="CG123" s="273"/>
      <c r="CH123" s="273"/>
      <c r="CI123" s="273"/>
      <c r="CJ123" s="273"/>
      <c r="CK123" s="273"/>
      <c r="CL123" s="273"/>
      <c r="CM123" s="273"/>
      <c r="CN123" s="273"/>
      <c r="CO123" s="273"/>
      <c r="CP123" s="273"/>
      <c r="CQ123" s="273"/>
      <c r="CR123" s="273"/>
      <c r="CS123" s="273"/>
      <c r="CT123" s="273"/>
      <c r="CU123" s="273"/>
      <c r="CV123" s="273"/>
      <c r="CW123" s="273"/>
      <c r="CX123" s="273"/>
      <c r="CY123" s="273"/>
      <c r="CZ123" s="273"/>
      <c r="DA123" s="273"/>
      <c r="DB123" s="273"/>
      <c r="DC123" s="273"/>
      <c r="DD123" s="273"/>
      <c r="DE123" s="273"/>
      <c r="DF123" s="271"/>
      <c r="DG123" s="271"/>
      <c r="DH123" s="272">
        <f t="shared" si="6"/>
        <v>5.58</v>
      </c>
      <c r="DI123" s="272">
        <f t="shared" si="6"/>
        <v>70</v>
      </c>
      <c r="DJ123" s="324">
        <f t="shared" si="6"/>
        <v>64.86</v>
      </c>
      <c r="DK123" s="325"/>
      <c r="DL123" s="325"/>
    </row>
    <row r="124" spans="1:116" s="275" customFormat="1" ht="20.100000000000001" customHeight="1" x14ac:dyDescent="0.6">
      <c r="A124" s="234">
        <v>121</v>
      </c>
      <c r="B124" s="103" t="s">
        <v>533</v>
      </c>
      <c r="C124" s="103" t="s">
        <v>533</v>
      </c>
      <c r="D124" s="103" t="s">
        <v>301</v>
      </c>
      <c r="E124" s="148" t="s">
        <v>87</v>
      </c>
      <c r="F124" s="179" t="s">
        <v>642</v>
      </c>
      <c r="G124" s="322"/>
      <c r="H124" s="323"/>
      <c r="I124" s="322" t="s">
        <v>1063</v>
      </c>
      <c r="J124" s="322" t="s">
        <v>1051</v>
      </c>
      <c r="K124" s="241"/>
      <c r="L124" s="24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/>
      <c r="AC124" s="271"/>
      <c r="AD124" s="271"/>
      <c r="AE124" s="271">
        <v>2.5</v>
      </c>
      <c r="AF124" s="271">
        <v>36</v>
      </c>
      <c r="AG124" s="271">
        <v>28.2</v>
      </c>
      <c r="AH124" s="271"/>
      <c r="AI124" s="271"/>
      <c r="AJ124" s="271"/>
      <c r="AK124" s="271"/>
      <c r="AL124" s="271"/>
      <c r="AM124" s="271"/>
      <c r="AN124" s="271"/>
      <c r="AO124" s="271"/>
      <c r="AP124" s="271"/>
      <c r="AQ124" s="272">
        <f t="shared" si="9"/>
        <v>2.5</v>
      </c>
      <c r="AR124" s="272">
        <f t="shared" si="9"/>
        <v>36</v>
      </c>
      <c r="AS124" s="272">
        <f t="shared" si="9"/>
        <v>28.2</v>
      </c>
      <c r="AT124" s="357"/>
      <c r="AU124" s="357"/>
      <c r="AV124" s="357"/>
      <c r="AW124" s="357"/>
      <c r="AX124" s="357"/>
      <c r="AY124" s="357"/>
      <c r="AZ124" s="357"/>
      <c r="BA124" s="357"/>
      <c r="BB124" s="357"/>
      <c r="BC124" s="357"/>
      <c r="BD124" s="357"/>
      <c r="BE124" s="357"/>
      <c r="BF124" s="357"/>
      <c r="BG124" s="357"/>
      <c r="BH124" s="357"/>
      <c r="BI124" s="357"/>
      <c r="BJ124" s="357"/>
      <c r="BK124" s="357"/>
      <c r="BL124" s="357"/>
      <c r="BM124" s="357"/>
      <c r="BN124" s="357"/>
      <c r="BO124" s="357"/>
      <c r="BP124" s="357"/>
      <c r="BQ124" s="357"/>
      <c r="BR124" s="357"/>
      <c r="BS124" s="357"/>
      <c r="BT124" s="357"/>
      <c r="BU124" s="357"/>
      <c r="BV124" s="357"/>
      <c r="BW124" s="357"/>
      <c r="BX124" s="272">
        <f t="shared" si="10"/>
        <v>2.5</v>
      </c>
      <c r="BY124" s="272">
        <f t="shared" si="10"/>
        <v>36</v>
      </c>
      <c r="BZ124" s="272">
        <f t="shared" si="8"/>
        <v>28.2</v>
      </c>
      <c r="CA124" s="273"/>
      <c r="CB124" s="273"/>
      <c r="CC124" s="273"/>
      <c r="CD124" s="273"/>
      <c r="CE124" s="273"/>
      <c r="CF124" s="273"/>
      <c r="CG124" s="273"/>
      <c r="CH124" s="273"/>
      <c r="CI124" s="273"/>
      <c r="CJ124" s="273"/>
      <c r="CK124" s="273"/>
      <c r="CL124" s="273"/>
      <c r="CM124" s="273"/>
      <c r="CN124" s="273"/>
      <c r="CO124" s="273"/>
      <c r="CP124" s="273"/>
      <c r="CQ124" s="273"/>
      <c r="CR124" s="273"/>
      <c r="CS124" s="273"/>
      <c r="CT124" s="273"/>
      <c r="CU124" s="273"/>
      <c r="CV124" s="273"/>
      <c r="CW124" s="273"/>
      <c r="CX124" s="273"/>
      <c r="CY124" s="273"/>
      <c r="CZ124" s="273"/>
      <c r="DA124" s="273"/>
      <c r="DB124" s="273"/>
      <c r="DC124" s="273"/>
      <c r="DD124" s="273"/>
      <c r="DE124" s="273"/>
      <c r="DF124" s="271"/>
      <c r="DG124" s="271"/>
      <c r="DH124" s="272">
        <f t="shared" si="6"/>
        <v>2.5</v>
      </c>
      <c r="DI124" s="272">
        <f t="shared" si="6"/>
        <v>36</v>
      </c>
      <c r="DJ124" s="324">
        <f t="shared" si="6"/>
        <v>28.2</v>
      </c>
      <c r="DK124" s="325"/>
      <c r="DL124" s="325"/>
    </row>
    <row r="125" spans="1:116" s="275" customFormat="1" ht="20.100000000000001" customHeight="1" x14ac:dyDescent="0.6">
      <c r="A125" s="234">
        <v>122</v>
      </c>
      <c r="B125" s="103" t="s">
        <v>643</v>
      </c>
      <c r="C125" s="103" t="s">
        <v>644</v>
      </c>
      <c r="D125" s="103" t="s">
        <v>301</v>
      </c>
      <c r="E125" s="148" t="s">
        <v>87</v>
      </c>
      <c r="F125" s="179" t="s">
        <v>642</v>
      </c>
      <c r="G125" s="322"/>
      <c r="H125" s="323"/>
      <c r="I125" s="322" t="s">
        <v>1064</v>
      </c>
      <c r="J125" s="322" t="s">
        <v>1051</v>
      </c>
      <c r="K125" s="241"/>
      <c r="L125" s="24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>
        <v>15</v>
      </c>
      <c r="AF125" s="271">
        <v>180</v>
      </c>
      <c r="AG125" s="271">
        <v>180</v>
      </c>
      <c r="AH125" s="271"/>
      <c r="AI125" s="271"/>
      <c r="AJ125" s="271"/>
      <c r="AK125" s="271"/>
      <c r="AL125" s="271"/>
      <c r="AM125" s="271"/>
      <c r="AN125" s="271"/>
      <c r="AO125" s="271"/>
      <c r="AP125" s="271"/>
      <c r="AQ125" s="272">
        <f t="shared" si="9"/>
        <v>15</v>
      </c>
      <c r="AR125" s="272">
        <f t="shared" si="9"/>
        <v>180</v>
      </c>
      <c r="AS125" s="272">
        <f t="shared" si="9"/>
        <v>180</v>
      </c>
      <c r="AT125" s="357"/>
      <c r="AU125" s="357"/>
      <c r="AV125" s="357"/>
      <c r="AW125" s="357">
        <v>15</v>
      </c>
      <c r="AX125" s="357">
        <v>180</v>
      </c>
      <c r="AY125" s="357">
        <v>180</v>
      </c>
      <c r="AZ125" s="357"/>
      <c r="BA125" s="357"/>
      <c r="BB125" s="357"/>
      <c r="BC125" s="357"/>
      <c r="BD125" s="357"/>
      <c r="BE125" s="357"/>
      <c r="BF125" s="357"/>
      <c r="BG125" s="357"/>
      <c r="BH125" s="357"/>
      <c r="BI125" s="357"/>
      <c r="BJ125" s="357"/>
      <c r="BK125" s="357"/>
      <c r="BL125" s="357"/>
      <c r="BM125" s="357"/>
      <c r="BN125" s="357"/>
      <c r="BO125" s="357"/>
      <c r="BP125" s="357"/>
      <c r="BQ125" s="357"/>
      <c r="BR125" s="357"/>
      <c r="BS125" s="357"/>
      <c r="BT125" s="357"/>
      <c r="BU125" s="357"/>
      <c r="BV125" s="357"/>
      <c r="BW125" s="357"/>
      <c r="BX125" s="272">
        <f t="shared" si="10"/>
        <v>30</v>
      </c>
      <c r="BY125" s="272">
        <f t="shared" si="10"/>
        <v>360</v>
      </c>
      <c r="BZ125" s="272">
        <f t="shared" si="8"/>
        <v>360</v>
      </c>
      <c r="CA125" s="273"/>
      <c r="CB125" s="273"/>
      <c r="CC125" s="273"/>
      <c r="CD125" s="273"/>
      <c r="CE125" s="273"/>
      <c r="CF125" s="273"/>
      <c r="CG125" s="273"/>
      <c r="CH125" s="273"/>
      <c r="CI125" s="273"/>
      <c r="CJ125" s="273"/>
      <c r="CK125" s="273"/>
      <c r="CL125" s="273"/>
      <c r="CM125" s="273"/>
      <c r="CN125" s="273"/>
      <c r="CO125" s="273"/>
      <c r="CP125" s="273"/>
      <c r="CQ125" s="273"/>
      <c r="CR125" s="273"/>
      <c r="CS125" s="273"/>
      <c r="CT125" s="273"/>
      <c r="CU125" s="273"/>
      <c r="CV125" s="273"/>
      <c r="CW125" s="273"/>
      <c r="CX125" s="273"/>
      <c r="CY125" s="273"/>
      <c r="CZ125" s="273"/>
      <c r="DA125" s="273"/>
      <c r="DB125" s="273"/>
      <c r="DC125" s="273"/>
      <c r="DD125" s="273"/>
      <c r="DE125" s="273"/>
      <c r="DF125" s="271"/>
      <c r="DG125" s="271"/>
      <c r="DH125" s="272">
        <f t="shared" si="6"/>
        <v>30</v>
      </c>
      <c r="DI125" s="272">
        <f t="shared" si="6"/>
        <v>360</v>
      </c>
      <c r="DJ125" s="324">
        <f t="shared" si="6"/>
        <v>360</v>
      </c>
      <c r="DK125" s="325"/>
      <c r="DL125" s="325"/>
    </row>
    <row r="126" spans="1:116" s="275" customFormat="1" ht="20.100000000000001" customHeight="1" x14ac:dyDescent="0.6">
      <c r="A126" s="234">
        <v>123</v>
      </c>
      <c r="B126" s="103" t="s">
        <v>645</v>
      </c>
      <c r="C126" s="103" t="s">
        <v>646</v>
      </c>
      <c r="D126" s="103" t="s">
        <v>301</v>
      </c>
      <c r="E126" s="148" t="s">
        <v>87</v>
      </c>
      <c r="F126" s="179" t="s">
        <v>642</v>
      </c>
      <c r="G126" s="322"/>
      <c r="H126" s="323"/>
      <c r="I126" s="322" t="s">
        <v>1065</v>
      </c>
      <c r="J126" s="322" t="s">
        <v>1051</v>
      </c>
      <c r="K126" s="241"/>
      <c r="L126" s="24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  <c r="AM126" s="271"/>
      <c r="AN126" s="271"/>
      <c r="AO126" s="271"/>
      <c r="AP126" s="271"/>
      <c r="AQ126" s="272">
        <f t="shared" si="9"/>
        <v>0</v>
      </c>
      <c r="AR126" s="272">
        <f t="shared" si="9"/>
        <v>0</v>
      </c>
      <c r="AS126" s="272">
        <f t="shared" si="9"/>
        <v>0</v>
      </c>
      <c r="AT126" s="357"/>
      <c r="AU126" s="357"/>
      <c r="AV126" s="357"/>
      <c r="AW126" s="357"/>
      <c r="AX126" s="357"/>
      <c r="AY126" s="357"/>
      <c r="AZ126" s="357"/>
      <c r="BA126" s="357"/>
      <c r="BB126" s="357"/>
      <c r="BC126" s="357"/>
      <c r="BD126" s="357"/>
      <c r="BE126" s="357"/>
      <c r="BF126" s="357"/>
      <c r="BG126" s="357"/>
      <c r="BH126" s="357"/>
      <c r="BI126" s="357"/>
      <c r="BJ126" s="357"/>
      <c r="BK126" s="357"/>
      <c r="BL126" s="357"/>
      <c r="BM126" s="357"/>
      <c r="BN126" s="357"/>
      <c r="BO126" s="357"/>
      <c r="BP126" s="357"/>
      <c r="BQ126" s="357"/>
      <c r="BR126" s="357">
        <v>15</v>
      </c>
      <c r="BS126" s="357">
        <v>282</v>
      </c>
      <c r="BT126" s="357">
        <v>205.28</v>
      </c>
      <c r="BU126" s="357"/>
      <c r="BV126" s="357"/>
      <c r="BW126" s="357"/>
      <c r="BX126" s="272">
        <f t="shared" si="10"/>
        <v>15</v>
      </c>
      <c r="BY126" s="272">
        <f t="shared" si="10"/>
        <v>282</v>
      </c>
      <c r="BZ126" s="272">
        <f t="shared" si="8"/>
        <v>205.28</v>
      </c>
      <c r="CA126" s="273"/>
      <c r="CB126" s="273"/>
      <c r="CC126" s="273"/>
      <c r="CD126" s="273"/>
      <c r="CE126" s="273"/>
      <c r="CF126" s="273"/>
      <c r="CG126" s="273"/>
      <c r="CH126" s="273"/>
      <c r="CI126" s="273"/>
      <c r="CJ126" s="273"/>
      <c r="CK126" s="273"/>
      <c r="CL126" s="273"/>
      <c r="CM126" s="273"/>
      <c r="CN126" s="273"/>
      <c r="CO126" s="273"/>
      <c r="CP126" s="273"/>
      <c r="CQ126" s="273"/>
      <c r="CR126" s="273"/>
      <c r="CS126" s="273"/>
      <c r="CT126" s="273"/>
      <c r="CU126" s="273"/>
      <c r="CV126" s="273"/>
      <c r="CW126" s="273"/>
      <c r="CX126" s="273"/>
      <c r="CY126" s="273"/>
      <c r="CZ126" s="273"/>
      <c r="DA126" s="273"/>
      <c r="DB126" s="273"/>
      <c r="DC126" s="273"/>
      <c r="DD126" s="273"/>
      <c r="DE126" s="273"/>
      <c r="DF126" s="271"/>
      <c r="DG126" s="271"/>
      <c r="DH126" s="272">
        <f t="shared" si="6"/>
        <v>15</v>
      </c>
      <c r="DI126" s="272">
        <f t="shared" si="6"/>
        <v>282</v>
      </c>
      <c r="DJ126" s="324">
        <f t="shared" si="6"/>
        <v>205.28</v>
      </c>
      <c r="DK126" s="325"/>
      <c r="DL126" s="325"/>
    </row>
    <row r="127" spans="1:116" s="275" customFormat="1" ht="20.100000000000001" customHeight="1" x14ac:dyDescent="0.6">
      <c r="A127" s="234">
        <v>124</v>
      </c>
      <c r="B127" s="103" t="s">
        <v>647</v>
      </c>
      <c r="C127" s="103" t="s">
        <v>648</v>
      </c>
      <c r="D127" s="103" t="s">
        <v>301</v>
      </c>
      <c r="E127" s="148" t="s">
        <v>87</v>
      </c>
      <c r="F127" s="179" t="s">
        <v>642</v>
      </c>
      <c r="G127" s="322"/>
      <c r="H127" s="323"/>
      <c r="I127" s="322" t="s">
        <v>1066</v>
      </c>
      <c r="J127" s="322" t="s">
        <v>1051</v>
      </c>
      <c r="K127" s="241"/>
      <c r="L127" s="24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>
        <v>3</v>
      </c>
      <c r="AF127" s="271">
        <v>92</v>
      </c>
      <c r="AG127" s="271">
        <v>40</v>
      </c>
      <c r="AH127" s="271"/>
      <c r="AI127" s="271"/>
      <c r="AJ127" s="271"/>
      <c r="AK127" s="271"/>
      <c r="AL127" s="271"/>
      <c r="AM127" s="271"/>
      <c r="AN127" s="271"/>
      <c r="AO127" s="271"/>
      <c r="AP127" s="271"/>
      <c r="AQ127" s="272">
        <f t="shared" si="9"/>
        <v>3</v>
      </c>
      <c r="AR127" s="272">
        <f t="shared" si="9"/>
        <v>92</v>
      </c>
      <c r="AS127" s="272">
        <f t="shared" si="9"/>
        <v>40</v>
      </c>
      <c r="AT127" s="356"/>
      <c r="AU127" s="356"/>
      <c r="AV127" s="356"/>
      <c r="AW127" s="356">
        <v>3</v>
      </c>
      <c r="AX127" s="356">
        <v>120</v>
      </c>
      <c r="AY127" s="356">
        <v>42</v>
      </c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  <c r="BS127" s="356"/>
      <c r="BT127" s="356"/>
      <c r="BU127" s="356"/>
      <c r="BV127" s="356"/>
      <c r="BW127" s="356"/>
      <c r="BX127" s="272">
        <f t="shared" si="10"/>
        <v>6</v>
      </c>
      <c r="BY127" s="272">
        <f t="shared" si="10"/>
        <v>212</v>
      </c>
      <c r="BZ127" s="272">
        <f t="shared" si="8"/>
        <v>82</v>
      </c>
      <c r="CA127" s="273"/>
      <c r="CB127" s="273"/>
      <c r="CC127" s="273"/>
      <c r="CD127" s="273"/>
      <c r="CE127" s="273"/>
      <c r="CF127" s="273"/>
      <c r="CG127" s="273"/>
      <c r="CH127" s="273"/>
      <c r="CI127" s="273"/>
      <c r="CJ127" s="273"/>
      <c r="CK127" s="273"/>
      <c r="CL127" s="273"/>
      <c r="CM127" s="273"/>
      <c r="CN127" s="273"/>
      <c r="CO127" s="273"/>
      <c r="CP127" s="273"/>
      <c r="CQ127" s="273"/>
      <c r="CR127" s="273"/>
      <c r="CS127" s="273"/>
      <c r="CT127" s="273"/>
      <c r="CU127" s="273"/>
      <c r="CV127" s="273"/>
      <c r="CW127" s="273"/>
      <c r="CX127" s="273"/>
      <c r="CY127" s="273"/>
      <c r="CZ127" s="273"/>
      <c r="DA127" s="273"/>
      <c r="DB127" s="273"/>
      <c r="DC127" s="273"/>
      <c r="DD127" s="273"/>
      <c r="DE127" s="273"/>
      <c r="DF127" s="271"/>
      <c r="DG127" s="271"/>
      <c r="DH127" s="272">
        <f t="shared" si="6"/>
        <v>6</v>
      </c>
      <c r="DI127" s="272">
        <f t="shared" si="6"/>
        <v>212</v>
      </c>
      <c r="DJ127" s="324">
        <f t="shared" si="6"/>
        <v>82</v>
      </c>
      <c r="DK127" s="325"/>
      <c r="DL127" s="325"/>
    </row>
    <row r="128" spans="1:116" s="275" customFormat="1" ht="20.100000000000001" customHeight="1" x14ac:dyDescent="0.6">
      <c r="A128" s="234">
        <v>125</v>
      </c>
      <c r="B128" s="103" t="s">
        <v>649</v>
      </c>
      <c r="C128" s="103" t="s">
        <v>649</v>
      </c>
      <c r="D128" s="103" t="s">
        <v>116</v>
      </c>
      <c r="E128" s="148" t="s">
        <v>117</v>
      </c>
      <c r="F128" s="179" t="s">
        <v>642</v>
      </c>
      <c r="G128" s="322"/>
      <c r="H128" s="323"/>
      <c r="I128" s="322" t="s">
        <v>1067</v>
      </c>
      <c r="J128" s="322" t="s">
        <v>1051</v>
      </c>
      <c r="K128" s="241"/>
      <c r="L128" s="24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>
        <v>4</v>
      </c>
      <c r="AC128" s="271">
        <v>92</v>
      </c>
      <c r="AD128" s="271">
        <v>66</v>
      </c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  <c r="AO128" s="271"/>
      <c r="AP128" s="271"/>
      <c r="AQ128" s="272">
        <f t="shared" si="9"/>
        <v>4</v>
      </c>
      <c r="AR128" s="272">
        <f t="shared" si="9"/>
        <v>92</v>
      </c>
      <c r="AS128" s="272">
        <f t="shared" si="9"/>
        <v>66</v>
      </c>
      <c r="AT128" s="357"/>
      <c r="AU128" s="357"/>
      <c r="AV128" s="357"/>
      <c r="AW128" s="357">
        <v>2</v>
      </c>
      <c r="AX128" s="357">
        <v>32</v>
      </c>
      <c r="AY128" s="357">
        <v>32</v>
      </c>
      <c r="AZ128" s="357"/>
      <c r="BA128" s="357"/>
      <c r="BB128" s="357"/>
      <c r="BC128" s="357"/>
      <c r="BD128" s="357"/>
      <c r="BE128" s="357"/>
      <c r="BF128" s="357"/>
      <c r="BG128" s="357"/>
      <c r="BH128" s="357"/>
      <c r="BI128" s="357"/>
      <c r="BJ128" s="357"/>
      <c r="BK128" s="357"/>
      <c r="BL128" s="357"/>
      <c r="BM128" s="357"/>
      <c r="BN128" s="357"/>
      <c r="BO128" s="357"/>
      <c r="BP128" s="357"/>
      <c r="BQ128" s="357"/>
      <c r="BR128" s="357"/>
      <c r="BS128" s="357"/>
      <c r="BT128" s="357"/>
      <c r="BU128" s="357">
        <v>10</v>
      </c>
      <c r="BV128" s="357">
        <v>152</v>
      </c>
      <c r="BW128" s="357">
        <v>152</v>
      </c>
      <c r="BX128" s="272">
        <f t="shared" si="10"/>
        <v>16</v>
      </c>
      <c r="BY128" s="272">
        <f t="shared" si="10"/>
        <v>276</v>
      </c>
      <c r="BZ128" s="272">
        <f t="shared" si="8"/>
        <v>250</v>
      </c>
      <c r="CA128" s="273"/>
      <c r="CB128" s="273"/>
      <c r="CC128" s="273"/>
      <c r="CD128" s="273"/>
      <c r="CE128" s="273"/>
      <c r="CF128" s="273"/>
      <c r="CG128" s="273"/>
      <c r="CH128" s="273"/>
      <c r="CI128" s="273"/>
      <c r="CJ128" s="273"/>
      <c r="CK128" s="273"/>
      <c r="CL128" s="273"/>
      <c r="CM128" s="273"/>
      <c r="CN128" s="273"/>
      <c r="CO128" s="273"/>
      <c r="CP128" s="273"/>
      <c r="CQ128" s="273"/>
      <c r="CR128" s="273"/>
      <c r="CS128" s="273"/>
      <c r="CT128" s="273"/>
      <c r="CU128" s="273"/>
      <c r="CV128" s="273"/>
      <c r="CW128" s="273"/>
      <c r="CX128" s="273"/>
      <c r="CY128" s="273"/>
      <c r="CZ128" s="273"/>
      <c r="DA128" s="273"/>
      <c r="DB128" s="273"/>
      <c r="DC128" s="273"/>
      <c r="DD128" s="273"/>
      <c r="DE128" s="273"/>
      <c r="DF128" s="271"/>
      <c r="DG128" s="271"/>
      <c r="DH128" s="272">
        <f t="shared" si="6"/>
        <v>16</v>
      </c>
      <c r="DI128" s="272">
        <f t="shared" si="6"/>
        <v>276</v>
      </c>
      <c r="DJ128" s="324">
        <f t="shared" si="6"/>
        <v>250</v>
      </c>
      <c r="DK128" s="325"/>
      <c r="DL128" s="325"/>
    </row>
    <row r="129" spans="1:116" s="275" customFormat="1" ht="20.100000000000001" customHeight="1" x14ac:dyDescent="0.6">
      <c r="A129" s="234">
        <v>126</v>
      </c>
      <c r="B129" s="103" t="s">
        <v>650</v>
      </c>
      <c r="C129" s="103" t="s">
        <v>650</v>
      </c>
      <c r="D129" s="103" t="s">
        <v>116</v>
      </c>
      <c r="E129" s="148" t="s">
        <v>117</v>
      </c>
      <c r="F129" s="179" t="s">
        <v>642</v>
      </c>
      <c r="G129" s="322"/>
      <c r="H129" s="323"/>
      <c r="I129" s="322" t="s">
        <v>1068</v>
      </c>
      <c r="J129" s="322" t="s">
        <v>1051</v>
      </c>
      <c r="K129" s="241"/>
      <c r="L129" s="24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>
        <v>11</v>
      </c>
      <c r="AC129" s="271">
        <v>150</v>
      </c>
      <c r="AD129" s="271">
        <v>124.8</v>
      </c>
      <c r="AE129" s="271"/>
      <c r="AF129" s="271"/>
      <c r="AG129" s="271"/>
      <c r="AH129" s="271"/>
      <c r="AI129" s="271"/>
      <c r="AJ129" s="271"/>
      <c r="AK129" s="271"/>
      <c r="AL129" s="271"/>
      <c r="AM129" s="271"/>
      <c r="AN129" s="271"/>
      <c r="AO129" s="271"/>
      <c r="AP129" s="271"/>
      <c r="AQ129" s="272">
        <f t="shared" si="9"/>
        <v>11</v>
      </c>
      <c r="AR129" s="272">
        <f t="shared" si="9"/>
        <v>150</v>
      </c>
      <c r="AS129" s="272">
        <f t="shared" si="9"/>
        <v>124.8</v>
      </c>
      <c r="AT129" s="357"/>
      <c r="AU129" s="357"/>
      <c r="AV129" s="357"/>
      <c r="AW129" s="357">
        <v>5</v>
      </c>
      <c r="AX129" s="357">
        <v>60</v>
      </c>
      <c r="AY129" s="357">
        <v>60</v>
      </c>
      <c r="AZ129" s="357"/>
      <c r="BA129" s="357"/>
      <c r="BB129" s="357"/>
      <c r="BC129" s="357"/>
      <c r="BD129" s="357"/>
      <c r="BE129" s="357"/>
      <c r="BF129" s="357"/>
      <c r="BG129" s="357"/>
      <c r="BH129" s="357"/>
      <c r="BI129" s="357"/>
      <c r="BJ129" s="357"/>
      <c r="BK129" s="357"/>
      <c r="BL129" s="357"/>
      <c r="BM129" s="357"/>
      <c r="BN129" s="357"/>
      <c r="BO129" s="357"/>
      <c r="BP129" s="357"/>
      <c r="BQ129" s="357"/>
      <c r="BR129" s="357"/>
      <c r="BS129" s="357"/>
      <c r="BT129" s="357"/>
      <c r="BU129" s="357">
        <v>15</v>
      </c>
      <c r="BV129" s="357">
        <v>250</v>
      </c>
      <c r="BW129" s="357">
        <v>198.8</v>
      </c>
      <c r="BX129" s="272">
        <f t="shared" si="10"/>
        <v>31</v>
      </c>
      <c r="BY129" s="272">
        <f t="shared" si="10"/>
        <v>460</v>
      </c>
      <c r="BZ129" s="272">
        <f t="shared" si="8"/>
        <v>383.6</v>
      </c>
      <c r="CA129" s="273"/>
      <c r="CB129" s="273"/>
      <c r="CC129" s="273"/>
      <c r="CD129" s="273"/>
      <c r="CE129" s="273"/>
      <c r="CF129" s="273"/>
      <c r="CG129" s="273"/>
      <c r="CH129" s="273"/>
      <c r="CI129" s="273"/>
      <c r="CJ129" s="273"/>
      <c r="CK129" s="273"/>
      <c r="CL129" s="273"/>
      <c r="CM129" s="273"/>
      <c r="CN129" s="273"/>
      <c r="CO129" s="273"/>
      <c r="CP129" s="273"/>
      <c r="CQ129" s="273"/>
      <c r="CR129" s="273"/>
      <c r="CS129" s="273"/>
      <c r="CT129" s="273"/>
      <c r="CU129" s="273"/>
      <c r="CV129" s="273"/>
      <c r="CW129" s="273"/>
      <c r="CX129" s="273"/>
      <c r="CY129" s="273"/>
      <c r="CZ129" s="273"/>
      <c r="DA129" s="273"/>
      <c r="DB129" s="273"/>
      <c r="DC129" s="273"/>
      <c r="DD129" s="273"/>
      <c r="DE129" s="273"/>
      <c r="DF129" s="271"/>
      <c r="DG129" s="271"/>
      <c r="DH129" s="272">
        <f t="shared" si="6"/>
        <v>31</v>
      </c>
      <c r="DI129" s="272">
        <f t="shared" si="6"/>
        <v>460</v>
      </c>
      <c r="DJ129" s="324">
        <f t="shared" si="6"/>
        <v>383.6</v>
      </c>
      <c r="DK129" s="325"/>
      <c r="DL129" s="325"/>
    </row>
    <row r="130" spans="1:116" s="275" customFormat="1" ht="20.100000000000001" customHeight="1" x14ac:dyDescent="0.6">
      <c r="A130" s="234">
        <v>127</v>
      </c>
      <c r="B130" s="103" t="s">
        <v>651</v>
      </c>
      <c r="C130" s="103" t="s">
        <v>652</v>
      </c>
      <c r="D130" s="103" t="s">
        <v>116</v>
      </c>
      <c r="E130" s="148" t="s">
        <v>117</v>
      </c>
      <c r="F130" s="179" t="s">
        <v>642</v>
      </c>
      <c r="G130" s="322"/>
      <c r="H130" s="323"/>
      <c r="I130" s="322" t="s">
        <v>1069</v>
      </c>
      <c r="J130" s="322" t="s">
        <v>1051</v>
      </c>
      <c r="K130" s="241"/>
      <c r="L130" s="24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>
        <v>10</v>
      </c>
      <c r="AC130" s="271">
        <v>216</v>
      </c>
      <c r="AD130" s="271">
        <v>164</v>
      </c>
      <c r="AE130" s="271"/>
      <c r="AF130" s="271"/>
      <c r="AG130" s="271"/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2">
        <f t="shared" si="9"/>
        <v>10</v>
      </c>
      <c r="AR130" s="272">
        <f t="shared" si="9"/>
        <v>216</v>
      </c>
      <c r="AS130" s="272">
        <f t="shared" si="9"/>
        <v>164</v>
      </c>
      <c r="AT130" s="357"/>
      <c r="AU130" s="357"/>
      <c r="AV130" s="357"/>
      <c r="AW130" s="357">
        <v>4</v>
      </c>
      <c r="AX130" s="357">
        <v>68</v>
      </c>
      <c r="AY130" s="357">
        <v>57.92</v>
      </c>
      <c r="AZ130" s="357"/>
      <c r="BA130" s="357"/>
      <c r="BB130" s="357"/>
      <c r="BC130" s="357"/>
      <c r="BD130" s="357"/>
      <c r="BE130" s="357"/>
      <c r="BF130" s="357"/>
      <c r="BG130" s="357"/>
      <c r="BH130" s="357"/>
      <c r="BI130" s="357"/>
      <c r="BJ130" s="357"/>
      <c r="BK130" s="357"/>
      <c r="BL130" s="357"/>
      <c r="BM130" s="357"/>
      <c r="BN130" s="357"/>
      <c r="BO130" s="357"/>
      <c r="BP130" s="357"/>
      <c r="BQ130" s="357"/>
      <c r="BR130" s="357"/>
      <c r="BS130" s="357"/>
      <c r="BT130" s="357"/>
      <c r="BU130" s="357">
        <v>14</v>
      </c>
      <c r="BV130" s="357">
        <v>314</v>
      </c>
      <c r="BW130" s="357">
        <v>204.96</v>
      </c>
      <c r="BX130" s="272">
        <f t="shared" si="10"/>
        <v>28</v>
      </c>
      <c r="BY130" s="272">
        <f t="shared" si="10"/>
        <v>598</v>
      </c>
      <c r="BZ130" s="272">
        <f t="shared" si="8"/>
        <v>426.88</v>
      </c>
      <c r="CA130" s="273"/>
      <c r="CB130" s="273"/>
      <c r="CC130" s="273"/>
      <c r="CD130" s="273"/>
      <c r="CE130" s="273"/>
      <c r="CF130" s="273"/>
      <c r="CG130" s="273"/>
      <c r="CH130" s="273"/>
      <c r="CI130" s="273"/>
      <c r="CJ130" s="273"/>
      <c r="CK130" s="273"/>
      <c r="CL130" s="273"/>
      <c r="CM130" s="273"/>
      <c r="CN130" s="273"/>
      <c r="CO130" s="273"/>
      <c r="CP130" s="273"/>
      <c r="CQ130" s="273"/>
      <c r="CR130" s="273"/>
      <c r="CS130" s="273"/>
      <c r="CT130" s="273"/>
      <c r="CU130" s="273"/>
      <c r="CV130" s="273"/>
      <c r="CW130" s="273"/>
      <c r="CX130" s="273"/>
      <c r="CY130" s="273"/>
      <c r="CZ130" s="273"/>
      <c r="DA130" s="273"/>
      <c r="DB130" s="273"/>
      <c r="DC130" s="273"/>
      <c r="DD130" s="273"/>
      <c r="DE130" s="273"/>
      <c r="DF130" s="271"/>
      <c r="DG130" s="271"/>
      <c r="DH130" s="272">
        <f t="shared" si="6"/>
        <v>28</v>
      </c>
      <c r="DI130" s="272">
        <f t="shared" si="6"/>
        <v>598</v>
      </c>
      <c r="DJ130" s="324">
        <f t="shared" si="6"/>
        <v>426.88</v>
      </c>
      <c r="DK130" s="325"/>
      <c r="DL130" s="325"/>
    </row>
    <row r="131" spans="1:116" s="275" customFormat="1" ht="20.100000000000001" customHeight="1" x14ac:dyDescent="0.6">
      <c r="A131" s="234">
        <v>128</v>
      </c>
      <c r="B131" s="103" t="s">
        <v>653</v>
      </c>
      <c r="C131" s="103" t="s">
        <v>654</v>
      </c>
      <c r="D131" s="103" t="s">
        <v>116</v>
      </c>
      <c r="E131" s="148" t="s">
        <v>117</v>
      </c>
      <c r="F131" s="179" t="s">
        <v>642</v>
      </c>
      <c r="G131" s="322"/>
      <c r="H131" s="323"/>
      <c r="I131" s="322" t="s">
        <v>1070</v>
      </c>
      <c r="J131" s="322" t="s">
        <v>1051</v>
      </c>
      <c r="K131" s="241"/>
      <c r="L131" s="24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>
        <v>12</v>
      </c>
      <c r="AC131" s="271">
        <v>172</v>
      </c>
      <c r="AD131" s="271">
        <v>146</v>
      </c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  <c r="AO131" s="271"/>
      <c r="AP131" s="271"/>
      <c r="AQ131" s="272">
        <f t="shared" si="9"/>
        <v>12</v>
      </c>
      <c r="AR131" s="272">
        <f t="shared" si="9"/>
        <v>172</v>
      </c>
      <c r="AS131" s="272">
        <f t="shared" si="9"/>
        <v>146</v>
      </c>
      <c r="AT131" s="357"/>
      <c r="AU131" s="357"/>
      <c r="AV131" s="357"/>
      <c r="AW131" s="357">
        <v>15</v>
      </c>
      <c r="AX131" s="357">
        <v>190</v>
      </c>
      <c r="AY131" s="357">
        <v>164.8</v>
      </c>
      <c r="AZ131" s="357"/>
      <c r="BA131" s="357"/>
      <c r="BB131" s="357"/>
      <c r="BC131" s="357"/>
      <c r="BD131" s="357"/>
      <c r="BE131" s="357"/>
      <c r="BF131" s="357"/>
      <c r="BG131" s="357"/>
      <c r="BH131" s="357"/>
      <c r="BI131" s="357"/>
      <c r="BJ131" s="357"/>
      <c r="BK131" s="357"/>
      <c r="BL131" s="357"/>
      <c r="BM131" s="357"/>
      <c r="BN131" s="357"/>
      <c r="BO131" s="357"/>
      <c r="BP131" s="357"/>
      <c r="BQ131" s="357"/>
      <c r="BR131" s="357"/>
      <c r="BS131" s="357"/>
      <c r="BT131" s="357"/>
      <c r="BU131" s="357">
        <v>20</v>
      </c>
      <c r="BV131" s="357">
        <v>416</v>
      </c>
      <c r="BW131" s="357">
        <v>239.84</v>
      </c>
      <c r="BX131" s="272">
        <f t="shared" si="10"/>
        <v>47</v>
      </c>
      <c r="BY131" s="272">
        <f t="shared" si="10"/>
        <v>778</v>
      </c>
      <c r="BZ131" s="272">
        <f t="shared" si="8"/>
        <v>550.64</v>
      </c>
      <c r="CA131" s="273"/>
      <c r="CB131" s="273"/>
      <c r="CC131" s="273"/>
      <c r="CD131" s="273"/>
      <c r="CE131" s="273"/>
      <c r="CF131" s="273"/>
      <c r="CG131" s="273"/>
      <c r="CH131" s="273"/>
      <c r="CI131" s="273"/>
      <c r="CJ131" s="273"/>
      <c r="CK131" s="273"/>
      <c r="CL131" s="273"/>
      <c r="CM131" s="273"/>
      <c r="CN131" s="273"/>
      <c r="CO131" s="273"/>
      <c r="CP131" s="273"/>
      <c r="CQ131" s="273"/>
      <c r="CR131" s="273"/>
      <c r="CS131" s="273"/>
      <c r="CT131" s="273"/>
      <c r="CU131" s="273"/>
      <c r="CV131" s="273"/>
      <c r="CW131" s="273"/>
      <c r="CX131" s="273"/>
      <c r="CY131" s="273"/>
      <c r="CZ131" s="273"/>
      <c r="DA131" s="273"/>
      <c r="DB131" s="273"/>
      <c r="DC131" s="273"/>
      <c r="DD131" s="273"/>
      <c r="DE131" s="273"/>
      <c r="DF131" s="271"/>
      <c r="DG131" s="271"/>
      <c r="DH131" s="272">
        <f t="shared" si="6"/>
        <v>47</v>
      </c>
      <c r="DI131" s="272">
        <f t="shared" si="6"/>
        <v>778</v>
      </c>
      <c r="DJ131" s="324">
        <f t="shared" si="6"/>
        <v>550.64</v>
      </c>
      <c r="DK131" s="325"/>
      <c r="DL131" s="325"/>
    </row>
    <row r="132" spans="1:116" s="275" customFormat="1" ht="20.100000000000001" customHeight="1" x14ac:dyDescent="0.6">
      <c r="A132" s="234">
        <v>129</v>
      </c>
      <c r="B132" s="103" t="s">
        <v>655</v>
      </c>
      <c r="C132" s="103" t="s">
        <v>656</v>
      </c>
      <c r="D132" s="103" t="s">
        <v>657</v>
      </c>
      <c r="E132" s="148" t="s">
        <v>658</v>
      </c>
      <c r="F132" s="179" t="s">
        <v>642</v>
      </c>
      <c r="G132" s="322"/>
      <c r="H132" s="323"/>
      <c r="I132" s="322" t="s">
        <v>1071</v>
      </c>
      <c r="J132" s="322" t="s">
        <v>1051</v>
      </c>
      <c r="K132" s="241"/>
      <c r="L132" s="24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>
        <v>5</v>
      </c>
      <c r="Z132" s="271">
        <v>60</v>
      </c>
      <c r="AA132" s="271">
        <v>60</v>
      </c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  <c r="AM132" s="271"/>
      <c r="AN132" s="271"/>
      <c r="AO132" s="271"/>
      <c r="AP132" s="271"/>
      <c r="AQ132" s="272">
        <f t="shared" si="9"/>
        <v>5</v>
      </c>
      <c r="AR132" s="272">
        <f t="shared" si="9"/>
        <v>60</v>
      </c>
      <c r="AS132" s="272">
        <f t="shared" si="9"/>
        <v>60</v>
      </c>
      <c r="AT132" s="357"/>
      <c r="AU132" s="357"/>
      <c r="AV132" s="357"/>
      <c r="AW132" s="357"/>
      <c r="AX132" s="357"/>
      <c r="AY132" s="357"/>
      <c r="AZ132" s="357"/>
      <c r="BA132" s="357"/>
      <c r="BB132" s="357"/>
      <c r="BC132" s="357"/>
      <c r="BD132" s="357"/>
      <c r="BE132" s="357"/>
      <c r="BF132" s="357"/>
      <c r="BG132" s="357"/>
      <c r="BH132" s="357"/>
      <c r="BI132" s="357"/>
      <c r="BJ132" s="357"/>
      <c r="BK132" s="357"/>
      <c r="BL132" s="357"/>
      <c r="BM132" s="357"/>
      <c r="BN132" s="357"/>
      <c r="BO132" s="357"/>
      <c r="BP132" s="357"/>
      <c r="BQ132" s="357"/>
      <c r="BR132" s="357">
        <v>5</v>
      </c>
      <c r="BS132" s="357">
        <v>60</v>
      </c>
      <c r="BT132" s="357">
        <v>60</v>
      </c>
      <c r="BU132" s="357"/>
      <c r="BV132" s="357"/>
      <c r="BW132" s="357"/>
      <c r="BX132" s="272">
        <f t="shared" si="10"/>
        <v>10</v>
      </c>
      <c r="BY132" s="272">
        <f t="shared" si="10"/>
        <v>120</v>
      </c>
      <c r="BZ132" s="272">
        <f t="shared" si="8"/>
        <v>120</v>
      </c>
      <c r="CA132" s="273"/>
      <c r="CB132" s="273"/>
      <c r="CC132" s="273"/>
      <c r="CD132" s="273"/>
      <c r="CE132" s="273"/>
      <c r="CF132" s="273"/>
      <c r="CG132" s="273"/>
      <c r="CH132" s="273"/>
      <c r="CI132" s="273"/>
      <c r="CJ132" s="273"/>
      <c r="CK132" s="273"/>
      <c r="CL132" s="273"/>
      <c r="CM132" s="273"/>
      <c r="CN132" s="273"/>
      <c r="CO132" s="273"/>
      <c r="CP132" s="273"/>
      <c r="CQ132" s="273"/>
      <c r="CR132" s="273"/>
      <c r="CS132" s="273"/>
      <c r="CT132" s="273"/>
      <c r="CU132" s="273"/>
      <c r="CV132" s="273"/>
      <c r="CW132" s="273"/>
      <c r="CX132" s="273"/>
      <c r="CY132" s="273"/>
      <c r="CZ132" s="273"/>
      <c r="DA132" s="273"/>
      <c r="DB132" s="273"/>
      <c r="DC132" s="273"/>
      <c r="DD132" s="273"/>
      <c r="DE132" s="273"/>
      <c r="DF132" s="271"/>
      <c r="DG132" s="271"/>
      <c r="DH132" s="272">
        <f t="shared" si="6"/>
        <v>10</v>
      </c>
      <c r="DI132" s="272">
        <f t="shared" si="6"/>
        <v>120</v>
      </c>
      <c r="DJ132" s="324">
        <f t="shared" si="6"/>
        <v>120</v>
      </c>
      <c r="DK132" s="325"/>
      <c r="DL132" s="325"/>
    </row>
    <row r="133" spans="1:116" s="275" customFormat="1" ht="20.100000000000001" customHeight="1" x14ac:dyDescent="0.6">
      <c r="A133" s="234">
        <v>130</v>
      </c>
      <c r="B133" s="103" t="s">
        <v>659</v>
      </c>
      <c r="C133" s="103" t="s">
        <v>660</v>
      </c>
      <c r="D133" s="103" t="s">
        <v>657</v>
      </c>
      <c r="E133" s="148" t="s">
        <v>658</v>
      </c>
      <c r="F133" s="179" t="s">
        <v>642</v>
      </c>
      <c r="G133" s="331"/>
      <c r="H133" s="331"/>
      <c r="I133" s="331"/>
      <c r="J133" s="331"/>
      <c r="K133" s="332"/>
      <c r="L133" s="24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>
        <v>27</v>
      </c>
      <c r="Z133" s="271">
        <v>420</v>
      </c>
      <c r="AA133" s="271">
        <v>267.2</v>
      </c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  <c r="AM133" s="271"/>
      <c r="AN133" s="271"/>
      <c r="AO133" s="271"/>
      <c r="AP133" s="271"/>
      <c r="AQ133" s="272">
        <f t="shared" si="9"/>
        <v>27</v>
      </c>
      <c r="AR133" s="272">
        <f t="shared" si="9"/>
        <v>420</v>
      </c>
      <c r="AS133" s="272">
        <f t="shared" si="9"/>
        <v>267.2</v>
      </c>
      <c r="AT133" s="357">
        <v>20</v>
      </c>
      <c r="AU133" s="357">
        <v>280</v>
      </c>
      <c r="AV133" s="357">
        <v>179.2</v>
      </c>
      <c r="AW133" s="357"/>
      <c r="AX133" s="357"/>
      <c r="AY133" s="357"/>
      <c r="AZ133" s="357"/>
      <c r="BA133" s="357"/>
      <c r="BB133" s="357"/>
      <c r="BC133" s="357"/>
      <c r="BD133" s="357"/>
      <c r="BE133" s="357"/>
      <c r="BF133" s="357"/>
      <c r="BG133" s="357"/>
      <c r="BH133" s="357"/>
      <c r="BI133" s="357"/>
      <c r="BJ133" s="357"/>
      <c r="BK133" s="357"/>
      <c r="BL133" s="357"/>
      <c r="BM133" s="357"/>
      <c r="BN133" s="357"/>
      <c r="BO133" s="357"/>
      <c r="BP133" s="357"/>
      <c r="BQ133" s="357"/>
      <c r="BR133" s="357">
        <v>42</v>
      </c>
      <c r="BS133" s="357">
        <v>564</v>
      </c>
      <c r="BT133" s="357">
        <v>412.8</v>
      </c>
      <c r="BU133" s="357"/>
      <c r="BV133" s="357"/>
      <c r="BW133" s="357"/>
      <c r="BX133" s="272">
        <f t="shared" si="10"/>
        <v>89</v>
      </c>
      <c r="BY133" s="272">
        <f t="shared" si="10"/>
        <v>1264</v>
      </c>
      <c r="BZ133" s="272">
        <f t="shared" si="8"/>
        <v>859.2</v>
      </c>
      <c r="CA133" s="273"/>
      <c r="CB133" s="273"/>
      <c r="CC133" s="273"/>
      <c r="CD133" s="273"/>
      <c r="CE133" s="273"/>
      <c r="CF133" s="273"/>
      <c r="CG133" s="273"/>
      <c r="CH133" s="273"/>
      <c r="CI133" s="273"/>
      <c r="CJ133" s="273"/>
      <c r="CK133" s="273"/>
      <c r="CL133" s="273"/>
      <c r="CM133" s="273"/>
      <c r="CN133" s="273"/>
      <c r="CO133" s="273"/>
      <c r="CP133" s="273"/>
      <c r="CQ133" s="273"/>
      <c r="CR133" s="273"/>
      <c r="CS133" s="273"/>
      <c r="CT133" s="273"/>
      <c r="CU133" s="273"/>
      <c r="CV133" s="273"/>
      <c r="CW133" s="273"/>
      <c r="CX133" s="273"/>
      <c r="CY133" s="273"/>
      <c r="CZ133" s="273"/>
      <c r="DA133" s="273"/>
      <c r="DB133" s="273"/>
      <c r="DC133" s="273"/>
      <c r="DD133" s="273"/>
      <c r="DE133" s="273"/>
      <c r="DF133" s="271"/>
      <c r="DG133" s="271"/>
      <c r="DH133" s="272">
        <f t="shared" ref="DH133:DJ146" si="11">BX133+CA133+CD133+CG133+CJ133+CM133+CP133+CS133+CV133+CY133+DB133+DE133</f>
        <v>89</v>
      </c>
      <c r="DI133" s="272">
        <f t="shared" si="11"/>
        <v>1264</v>
      </c>
      <c r="DJ133" s="324">
        <f t="shared" si="11"/>
        <v>859.2</v>
      </c>
      <c r="DK133" s="325"/>
      <c r="DL133" s="325"/>
    </row>
    <row r="134" spans="1:116" s="275" customFormat="1" ht="20.100000000000001" customHeight="1" x14ac:dyDescent="0.6">
      <c r="A134" s="234">
        <v>131</v>
      </c>
      <c r="B134" s="103" t="s">
        <v>661</v>
      </c>
      <c r="C134" s="103" t="s">
        <v>662</v>
      </c>
      <c r="D134" s="103" t="s">
        <v>330</v>
      </c>
      <c r="E134" s="148" t="s">
        <v>331</v>
      </c>
      <c r="F134" s="179" t="s">
        <v>642</v>
      </c>
      <c r="G134" s="331"/>
      <c r="H134" s="331"/>
      <c r="I134" s="331"/>
      <c r="J134" s="331"/>
      <c r="K134" s="332"/>
      <c r="L134" s="24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  <c r="AM134" s="271"/>
      <c r="AN134" s="271"/>
      <c r="AO134" s="271"/>
      <c r="AP134" s="271"/>
      <c r="AQ134" s="272">
        <f t="shared" si="9"/>
        <v>0</v>
      </c>
      <c r="AR134" s="272">
        <f t="shared" si="9"/>
        <v>0</v>
      </c>
      <c r="AS134" s="272">
        <f t="shared" si="9"/>
        <v>0</v>
      </c>
      <c r="AT134" s="357"/>
      <c r="AU134" s="357"/>
      <c r="AV134" s="357"/>
      <c r="AW134" s="357"/>
      <c r="AX134" s="357"/>
      <c r="AY134" s="357"/>
      <c r="AZ134" s="357"/>
      <c r="BA134" s="357"/>
      <c r="BB134" s="357"/>
      <c r="BC134" s="357"/>
      <c r="BD134" s="357"/>
      <c r="BE134" s="357"/>
      <c r="BF134" s="357"/>
      <c r="BG134" s="357"/>
      <c r="BH134" s="357"/>
      <c r="BI134" s="357"/>
      <c r="BJ134" s="357"/>
      <c r="BK134" s="357"/>
      <c r="BL134" s="357"/>
      <c r="BM134" s="357"/>
      <c r="BN134" s="357"/>
      <c r="BO134" s="357"/>
      <c r="BP134" s="357"/>
      <c r="BQ134" s="357"/>
      <c r="BR134" s="357"/>
      <c r="BS134" s="357"/>
      <c r="BT134" s="357"/>
      <c r="BU134" s="357"/>
      <c r="BV134" s="357"/>
      <c r="BW134" s="357"/>
      <c r="BX134" s="272">
        <f t="shared" si="10"/>
        <v>0</v>
      </c>
      <c r="BY134" s="272">
        <f t="shared" si="10"/>
        <v>0</v>
      </c>
      <c r="BZ134" s="272">
        <f t="shared" ref="BZ134:BZ146" si="12">AS134+AV134+AY134+BB134+BE134+BH134+BK134+BN134+BQ134+BT134+BW134</f>
        <v>0</v>
      </c>
      <c r="CA134" s="273"/>
      <c r="CB134" s="273"/>
      <c r="CC134" s="273"/>
      <c r="CD134" s="273"/>
      <c r="CE134" s="273"/>
      <c r="CF134" s="273"/>
      <c r="CG134" s="273"/>
      <c r="CH134" s="273"/>
      <c r="CI134" s="273"/>
      <c r="CJ134" s="273"/>
      <c r="CK134" s="273"/>
      <c r="CL134" s="273"/>
      <c r="CM134" s="273"/>
      <c r="CN134" s="273"/>
      <c r="CO134" s="273"/>
      <c r="CP134" s="273"/>
      <c r="CQ134" s="273"/>
      <c r="CR134" s="273"/>
      <c r="CS134" s="273"/>
      <c r="CT134" s="273"/>
      <c r="CU134" s="273"/>
      <c r="CV134" s="273"/>
      <c r="CW134" s="273"/>
      <c r="CX134" s="273"/>
      <c r="CY134" s="273"/>
      <c r="CZ134" s="273"/>
      <c r="DA134" s="273"/>
      <c r="DB134" s="273"/>
      <c r="DC134" s="273"/>
      <c r="DD134" s="273"/>
      <c r="DE134" s="273"/>
      <c r="DF134" s="271"/>
      <c r="DG134" s="271"/>
      <c r="DH134" s="272">
        <f t="shared" si="11"/>
        <v>0</v>
      </c>
      <c r="DI134" s="272">
        <f t="shared" si="11"/>
        <v>0</v>
      </c>
      <c r="DJ134" s="324">
        <f t="shared" si="11"/>
        <v>0</v>
      </c>
      <c r="DK134" s="325"/>
      <c r="DL134" s="325"/>
    </row>
    <row r="135" spans="1:116" s="275" customFormat="1" ht="20.100000000000001" customHeight="1" x14ac:dyDescent="0.6">
      <c r="A135" s="234">
        <v>132</v>
      </c>
      <c r="B135" s="103" t="s">
        <v>663</v>
      </c>
      <c r="C135" s="103" t="s">
        <v>663</v>
      </c>
      <c r="D135" s="103" t="s">
        <v>664</v>
      </c>
      <c r="E135" s="148" t="s">
        <v>665</v>
      </c>
      <c r="F135" s="179" t="s">
        <v>642</v>
      </c>
      <c r="G135" s="331"/>
      <c r="H135" s="331"/>
      <c r="I135" s="331"/>
      <c r="J135" s="331"/>
      <c r="K135" s="332"/>
      <c r="L135" s="332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>
        <v>20</v>
      </c>
      <c r="Z135" s="271">
        <v>260</v>
      </c>
      <c r="AA135" s="271">
        <v>209.6</v>
      </c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>
        <v>27</v>
      </c>
      <c r="AL135" s="271">
        <v>380</v>
      </c>
      <c r="AM135" s="271">
        <v>328</v>
      </c>
      <c r="AN135" s="271"/>
      <c r="AO135" s="271"/>
      <c r="AP135" s="271"/>
      <c r="AQ135" s="272">
        <f t="shared" si="9"/>
        <v>47</v>
      </c>
      <c r="AR135" s="272">
        <f t="shared" si="9"/>
        <v>640</v>
      </c>
      <c r="AS135" s="272">
        <f t="shared" si="9"/>
        <v>537.6</v>
      </c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>
        <v>45</v>
      </c>
      <c r="BV135" s="356">
        <v>680</v>
      </c>
      <c r="BW135" s="356">
        <v>550</v>
      </c>
      <c r="BX135" s="272">
        <f t="shared" si="10"/>
        <v>92</v>
      </c>
      <c r="BY135" s="272">
        <f t="shared" si="10"/>
        <v>1320</v>
      </c>
      <c r="BZ135" s="272">
        <f t="shared" si="12"/>
        <v>1087.5999999999999</v>
      </c>
      <c r="CA135" s="273"/>
      <c r="CB135" s="273"/>
      <c r="CC135" s="273"/>
      <c r="CD135" s="273"/>
      <c r="CE135" s="273"/>
      <c r="CF135" s="273"/>
      <c r="CG135" s="273"/>
      <c r="CH135" s="273"/>
      <c r="CI135" s="273"/>
      <c r="CJ135" s="273"/>
      <c r="CK135" s="273"/>
      <c r="CL135" s="273"/>
      <c r="CM135" s="273"/>
      <c r="CN135" s="273"/>
      <c r="CO135" s="273"/>
      <c r="CP135" s="273"/>
      <c r="CQ135" s="273"/>
      <c r="CR135" s="273"/>
      <c r="CS135" s="273"/>
      <c r="CT135" s="273"/>
      <c r="CU135" s="273"/>
      <c r="CV135" s="273"/>
      <c r="CW135" s="273"/>
      <c r="CX135" s="273"/>
      <c r="CY135" s="273"/>
      <c r="CZ135" s="273"/>
      <c r="DA135" s="273"/>
      <c r="DB135" s="273"/>
      <c r="DC135" s="273"/>
      <c r="DD135" s="273"/>
      <c r="DE135" s="273"/>
      <c r="DF135" s="271"/>
      <c r="DG135" s="271"/>
      <c r="DH135" s="272">
        <f t="shared" si="11"/>
        <v>92</v>
      </c>
      <c r="DI135" s="272">
        <f t="shared" si="11"/>
        <v>1320</v>
      </c>
      <c r="DJ135" s="324">
        <f t="shared" si="11"/>
        <v>1087.5999999999999</v>
      </c>
      <c r="DK135" s="325"/>
      <c r="DL135" s="325"/>
    </row>
    <row r="136" spans="1:116" s="275" customFormat="1" ht="20.100000000000001" customHeight="1" x14ac:dyDescent="0.6">
      <c r="A136" s="234">
        <v>133</v>
      </c>
      <c r="B136" s="103" t="s">
        <v>666</v>
      </c>
      <c r="C136" s="103" t="s">
        <v>667</v>
      </c>
      <c r="D136" s="103" t="s">
        <v>664</v>
      </c>
      <c r="E136" s="148" t="s">
        <v>665</v>
      </c>
      <c r="F136" s="179" t="s">
        <v>642</v>
      </c>
      <c r="G136" s="331"/>
      <c r="H136" s="331"/>
      <c r="I136" s="331"/>
      <c r="J136" s="331"/>
      <c r="K136" s="332"/>
      <c r="L136" s="332"/>
      <c r="M136" s="271"/>
      <c r="N136" s="271"/>
      <c r="O136" s="271"/>
      <c r="P136" s="271"/>
      <c r="Q136" s="271"/>
      <c r="R136" s="271"/>
      <c r="S136" s="271">
        <v>17</v>
      </c>
      <c r="T136" s="271">
        <v>260</v>
      </c>
      <c r="U136" s="271">
        <v>208</v>
      </c>
      <c r="V136" s="271"/>
      <c r="W136" s="271"/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>
        <v>21</v>
      </c>
      <c r="AL136" s="271">
        <v>280</v>
      </c>
      <c r="AM136" s="271">
        <v>254</v>
      </c>
      <c r="AN136" s="271"/>
      <c r="AO136" s="271"/>
      <c r="AP136" s="271"/>
      <c r="AQ136" s="272">
        <f t="shared" si="9"/>
        <v>38</v>
      </c>
      <c r="AR136" s="272">
        <f t="shared" si="9"/>
        <v>540</v>
      </c>
      <c r="AS136" s="272">
        <f t="shared" si="9"/>
        <v>462</v>
      </c>
      <c r="AT136" s="357"/>
      <c r="AU136" s="357"/>
      <c r="AV136" s="357"/>
      <c r="AW136" s="357"/>
      <c r="AX136" s="357"/>
      <c r="AY136" s="357"/>
      <c r="AZ136" s="357"/>
      <c r="BA136" s="357"/>
      <c r="BB136" s="357"/>
      <c r="BC136" s="357"/>
      <c r="BD136" s="357"/>
      <c r="BE136" s="357"/>
      <c r="BF136" s="357"/>
      <c r="BG136" s="357"/>
      <c r="BH136" s="357"/>
      <c r="BI136" s="357">
        <v>15</v>
      </c>
      <c r="BJ136" s="357">
        <v>180</v>
      </c>
      <c r="BK136" s="357">
        <v>180</v>
      </c>
      <c r="BL136" s="357"/>
      <c r="BM136" s="357"/>
      <c r="BN136" s="357"/>
      <c r="BO136" s="357"/>
      <c r="BP136" s="357"/>
      <c r="BQ136" s="357"/>
      <c r="BR136" s="357"/>
      <c r="BS136" s="357"/>
      <c r="BT136" s="357"/>
      <c r="BU136" s="357"/>
      <c r="BV136" s="357"/>
      <c r="BW136" s="357"/>
      <c r="BX136" s="272">
        <f t="shared" si="10"/>
        <v>53</v>
      </c>
      <c r="BY136" s="272">
        <f t="shared" si="10"/>
        <v>720</v>
      </c>
      <c r="BZ136" s="272">
        <f t="shared" si="12"/>
        <v>642</v>
      </c>
      <c r="CA136" s="273"/>
      <c r="CB136" s="273"/>
      <c r="CC136" s="273"/>
      <c r="CD136" s="273"/>
      <c r="CE136" s="273"/>
      <c r="CF136" s="273"/>
      <c r="CG136" s="273"/>
      <c r="CH136" s="273"/>
      <c r="CI136" s="273"/>
      <c r="CJ136" s="273"/>
      <c r="CK136" s="273"/>
      <c r="CL136" s="273"/>
      <c r="CM136" s="273"/>
      <c r="CN136" s="273"/>
      <c r="CO136" s="273"/>
      <c r="CP136" s="273"/>
      <c r="CQ136" s="273"/>
      <c r="CR136" s="273"/>
      <c r="CS136" s="273"/>
      <c r="CT136" s="273"/>
      <c r="CU136" s="273"/>
      <c r="CV136" s="273"/>
      <c r="CW136" s="273"/>
      <c r="CX136" s="273"/>
      <c r="CY136" s="273"/>
      <c r="CZ136" s="273"/>
      <c r="DA136" s="273"/>
      <c r="DB136" s="273"/>
      <c r="DC136" s="273"/>
      <c r="DD136" s="273"/>
      <c r="DE136" s="273"/>
      <c r="DF136" s="271"/>
      <c r="DG136" s="271"/>
      <c r="DH136" s="272">
        <f>BX136+CA136+CD136+CG136+CJ136+CM136+CP136+CS136+CV136+CY136+DB136+DE136</f>
        <v>53</v>
      </c>
      <c r="DI136" s="272">
        <f t="shared" si="11"/>
        <v>720</v>
      </c>
      <c r="DJ136" s="324">
        <f t="shared" si="11"/>
        <v>642</v>
      </c>
      <c r="DK136" s="325"/>
      <c r="DL136" s="325"/>
    </row>
    <row r="137" spans="1:116" s="275" customFormat="1" ht="20.100000000000001" customHeight="1" x14ac:dyDescent="0.6">
      <c r="A137" s="234">
        <v>134</v>
      </c>
      <c r="B137" s="103" t="s">
        <v>668</v>
      </c>
      <c r="C137" s="103" t="s">
        <v>669</v>
      </c>
      <c r="D137" s="103" t="s">
        <v>664</v>
      </c>
      <c r="E137" s="148" t="s">
        <v>665</v>
      </c>
      <c r="F137" s="179" t="s">
        <v>642</v>
      </c>
      <c r="G137" s="331"/>
      <c r="H137" s="331"/>
      <c r="I137" s="331"/>
      <c r="J137" s="331"/>
      <c r="K137" s="332"/>
      <c r="L137" s="332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>
        <v>26</v>
      </c>
      <c r="W137" s="271">
        <v>312</v>
      </c>
      <c r="X137" s="271">
        <v>312</v>
      </c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>
        <v>2</v>
      </c>
      <c r="AL137" s="271">
        <v>80</v>
      </c>
      <c r="AM137" s="271">
        <v>28</v>
      </c>
      <c r="AN137" s="271"/>
      <c r="AO137" s="271"/>
      <c r="AP137" s="271"/>
      <c r="AQ137" s="272">
        <f t="shared" ref="AQ137:AS146" si="13">+AN137+AK137+AH137+AE137+AB137+Y137+V137+S137+P137+M137</f>
        <v>28</v>
      </c>
      <c r="AR137" s="272">
        <f t="shared" si="13"/>
        <v>392</v>
      </c>
      <c r="AS137" s="272">
        <f t="shared" si="13"/>
        <v>340</v>
      </c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>
        <v>25</v>
      </c>
      <c r="BM137" s="356">
        <v>340</v>
      </c>
      <c r="BN137" s="356">
        <v>239.2</v>
      </c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272">
        <f t="shared" ref="BX137:BY146" si="14">+BU137+BR137+BO137+BL137+BI137+BF137+BC137+AZ137+AW137+AT137+AQ137</f>
        <v>53</v>
      </c>
      <c r="BY137" s="272">
        <f t="shared" si="14"/>
        <v>732</v>
      </c>
      <c r="BZ137" s="272">
        <f t="shared" si="12"/>
        <v>579.20000000000005</v>
      </c>
      <c r="CA137" s="273"/>
      <c r="CB137" s="273"/>
      <c r="CC137" s="273"/>
      <c r="CD137" s="273"/>
      <c r="CE137" s="273"/>
      <c r="CF137" s="273"/>
      <c r="CG137" s="273"/>
      <c r="CH137" s="273"/>
      <c r="CI137" s="273"/>
      <c r="CJ137" s="273"/>
      <c r="CK137" s="273"/>
      <c r="CL137" s="273"/>
      <c r="CM137" s="273"/>
      <c r="CN137" s="273"/>
      <c r="CO137" s="273"/>
      <c r="CP137" s="273"/>
      <c r="CQ137" s="273"/>
      <c r="CR137" s="273"/>
      <c r="CS137" s="273"/>
      <c r="CT137" s="273"/>
      <c r="CU137" s="273"/>
      <c r="CV137" s="273"/>
      <c r="CW137" s="273"/>
      <c r="CX137" s="273"/>
      <c r="CY137" s="273"/>
      <c r="CZ137" s="273"/>
      <c r="DA137" s="273"/>
      <c r="DB137" s="273"/>
      <c r="DC137" s="273"/>
      <c r="DD137" s="273"/>
      <c r="DE137" s="273"/>
      <c r="DF137" s="271"/>
      <c r="DG137" s="271"/>
      <c r="DH137" s="272">
        <f t="shared" si="11"/>
        <v>53</v>
      </c>
      <c r="DI137" s="272">
        <f t="shared" si="11"/>
        <v>732</v>
      </c>
      <c r="DJ137" s="324">
        <f t="shared" si="11"/>
        <v>579.20000000000005</v>
      </c>
      <c r="DK137" s="325"/>
      <c r="DL137" s="325"/>
    </row>
    <row r="138" spans="1:116" s="275" customFormat="1" ht="20.100000000000001" customHeight="1" x14ac:dyDescent="0.6">
      <c r="A138" s="234">
        <v>135</v>
      </c>
      <c r="B138" s="103" t="s">
        <v>670</v>
      </c>
      <c r="C138" s="103" t="s">
        <v>671</v>
      </c>
      <c r="D138" s="103" t="s">
        <v>664</v>
      </c>
      <c r="E138" s="148" t="s">
        <v>665</v>
      </c>
      <c r="F138" s="179" t="s">
        <v>642</v>
      </c>
      <c r="G138" s="331"/>
      <c r="H138" s="331"/>
      <c r="I138" s="331"/>
      <c r="J138" s="331"/>
      <c r="K138" s="332"/>
      <c r="L138" s="332"/>
      <c r="M138" s="271"/>
      <c r="N138" s="271"/>
      <c r="O138" s="271"/>
      <c r="P138" s="271"/>
      <c r="Q138" s="271"/>
      <c r="R138" s="271"/>
      <c r="S138" s="271">
        <v>25</v>
      </c>
      <c r="T138" s="271">
        <v>350</v>
      </c>
      <c r="U138" s="271">
        <v>224</v>
      </c>
      <c r="V138" s="271"/>
      <c r="W138" s="271"/>
      <c r="X138" s="271"/>
      <c r="Y138" s="271">
        <v>20</v>
      </c>
      <c r="Z138" s="271">
        <v>240</v>
      </c>
      <c r="AA138" s="271">
        <v>240</v>
      </c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>
        <v>52</v>
      </c>
      <c r="AL138" s="271">
        <v>760</v>
      </c>
      <c r="AM138" s="271">
        <v>506.4</v>
      </c>
      <c r="AN138" s="271"/>
      <c r="AO138" s="271"/>
      <c r="AP138" s="271"/>
      <c r="AQ138" s="272">
        <f t="shared" si="13"/>
        <v>97</v>
      </c>
      <c r="AR138" s="272">
        <f t="shared" si="13"/>
        <v>1350</v>
      </c>
      <c r="AS138" s="272">
        <f t="shared" si="13"/>
        <v>970.4</v>
      </c>
      <c r="AT138" s="357"/>
      <c r="AU138" s="357"/>
      <c r="AV138" s="357"/>
      <c r="AW138" s="357"/>
      <c r="AX138" s="357"/>
      <c r="AY138" s="357"/>
      <c r="AZ138" s="357"/>
      <c r="BA138" s="357"/>
      <c r="BB138" s="357"/>
      <c r="BC138" s="357"/>
      <c r="BD138" s="357"/>
      <c r="BE138" s="357"/>
      <c r="BF138" s="357"/>
      <c r="BG138" s="357"/>
      <c r="BH138" s="357"/>
      <c r="BI138" s="357">
        <v>20</v>
      </c>
      <c r="BJ138" s="357">
        <v>280</v>
      </c>
      <c r="BK138" s="357">
        <v>179.2</v>
      </c>
      <c r="BL138" s="357"/>
      <c r="BM138" s="357"/>
      <c r="BN138" s="357"/>
      <c r="BO138" s="357"/>
      <c r="BP138" s="357"/>
      <c r="BQ138" s="357"/>
      <c r="BR138" s="357"/>
      <c r="BS138" s="357"/>
      <c r="BT138" s="357"/>
      <c r="BU138" s="357"/>
      <c r="BV138" s="357"/>
      <c r="BW138" s="357"/>
      <c r="BX138" s="272">
        <f t="shared" si="14"/>
        <v>117</v>
      </c>
      <c r="BY138" s="272">
        <f t="shared" si="14"/>
        <v>1630</v>
      </c>
      <c r="BZ138" s="272">
        <f t="shared" si="12"/>
        <v>1149.5999999999999</v>
      </c>
      <c r="CA138" s="273"/>
      <c r="CB138" s="273"/>
      <c r="CC138" s="273"/>
      <c r="CD138" s="273"/>
      <c r="CE138" s="273"/>
      <c r="CF138" s="273"/>
      <c r="CG138" s="273"/>
      <c r="CH138" s="273"/>
      <c r="CI138" s="273"/>
      <c r="CJ138" s="273"/>
      <c r="CK138" s="273"/>
      <c r="CL138" s="273"/>
      <c r="CM138" s="273"/>
      <c r="CN138" s="273"/>
      <c r="CO138" s="273"/>
      <c r="CP138" s="273"/>
      <c r="CQ138" s="273"/>
      <c r="CR138" s="273"/>
      <c r="CS138" s="273"/>
      <c r="CT138" s="273"/>
      <c r="CU138" s="273"/>
      <c r="CV138" s="273"/>
      <c r="CW138" s="273"/>
      <c r="CX138" s="273"/>
      <c r="CY138" s="273"/>
      <c r="CZ138" s="273"/>
      <c r="DA138" s="273"/>
      <c r="DB138" s="273"/>
      <c r="DC138" s="273"/>
      <c r="DD138" s="273"/>
      <c r="DE138" s="273"/>
      <c r="DF138" s="271"/>
      <c r="DG138" s="271"/>
      <c r="DH138" s="272">
        <f t="shared" si="11"/>
        <v>117</v>
      </c>
      <c r="DI138" s="272">
        <f t="shared" si="11"/>
        <v>1630</v>
      </c>
      <c r="DJ138" s="324">
        <f t="shared" si="11"/>
        <v>1149.5999999999999</v>
      </c>
      <c r="DK138" s="325"/>
      <c r="DL138" s="325"/>
    </row>
    <row r="139" spans="1:116" s="275" customFormat="1" ht="20.100000000000001" customHeight="1" x14ac:dyDescent="0.6">
      <c r="A139" s="234">
        <v>136</v>
      </c>
      <c r="B139" s="103" t="s">
        <v>672</v>
      </c>
      <c r="C139" s="103" t="s">
        <v>673</v>
      </c>
      <c r="D139" s="103" t="s">
        <v>330</v>
      </c>
      <c r="E139" s="148" t="s">
        <v>331</v>
      </c>
      <c r="F139" s="179" t="s">
        <v>642</v>
      </c>
      <c r="G139" s="331"/>
      <c r="H139" s="331"/>
      <c r="I139" s="331"/>
      <c r="J139" s="331"/>
      <c r="K139" s="332"/>
      <c r="L139" s="332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>
        <v>12</v>
      </c>
      <c r="W139" s="271">
        <v>178</v>
      </c>
      <c r="X139" s="271">
        <v>133.28</v>
      </c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  <c r="AM139" s="271"/>
      <c r="AN139" s="271">
        <v>11</v>
      </c>
      <c r="AO139" s="271">
        <v>166</v>
      </c>
      <c r="AP139" s="271">
        <v>124.88</v>
      </c>
      <c r="AQ139" s="272">
        <f t="shared" si="13"/>
        <v>23</v>
      </c>
      <c r="AR139" s="272">
        <f t="shared" si="13"/>
        <v>344</v>
      </c>
      <c r="AS139" s="272">
        <f t="shared" si="13"/>
        <v>258.15999999999997</v>
      </c>
      <c r="AT139" s="357"/>
      <c r="AU139" s="357"/>
      <c r="AV139" s="357"/>
      <c r="AW139" s="357"/>
      <c r="AX139" s="357"/>
      <c r="AY139" s="357"/>
      <c r="AZ139" s="357"/>
      <c r="BA139" s="357"/>
      <c r="BB139" s="357"/>
      <c r="BC139" s="357"/>
      <c r="BD139" s="357"/>
      <c r="BE139" s="357"/>
      <c r="BF139" s="357"/>
      <c r="BG139" s="357"/>
      <c r="BH139" s="357"/>
      <c r="BI139" s="357"/>
      <c r="BJ139" s="357"/>
      <c r="BK139" s="357"/>
      <c r="BL139" s="357"/>
      <c r="BM139" s="357"/>
      <c r="BN139" s="357"/>
      <c r="BO139" s="357">
        <v>15</v>
      </c>
      <c r="BP139" s="357">
        <v>214</v>
      </c>
      <c r="BQ139" s="357">
        <v>169.28</v>
      </c>
      <c r="BR139" s="357"/>
      <c r="BS139" s="357"/>
      <c r="BT139" s="357"/>
      <c r="BU139" s="357"/>
      <c r="BV139" s="357"/>
      <c r="BW139" s="357"/>
      <c r="BX139" s="272">
        <f t="shared" si="14"/>
        <v>38</v>
      </c>
      <c r="BY139" s="272">
        <f t="shared" si="14"/>
        <v>558</v>
      </c>
      <c r="BZ139" s="272">
        <f t="shared" si="12"/>
        <v>427.43999999999994</v>
      </c>
      <c r="CA139" s="273"/>
      <c r="CB139" s="273"/>
      <c r="CC139" s="273"/>
      <c r="CD139" s="273"/>
      <c r="CE139" s="273"/>
      <c r="CF139" s="273"/>
      <c r="CG139" s="273"/>
      <c r="CH139" s="273"/>
      <c r="CI139" s="273"/>
      <c r="CJ139" s="273"/>
      <c r="CK139" s="273"/>
      <c r="CL139" s="273"/>
      <c r="CM139" s="273"/>
      <c r="CN139" s="273"/>
      <c r="CO139" s="273"/>
      <c r="CP139" s="273"/>
      <c r="CQ139" s="273"/>
      <c r="CR139" s="273"/>
      <c r="CS139" s="273"/>
      <c r="CT139" s="273"/>
      <c r="CU139" s="273"/>
      <c r="CV139" s="273"/>
      <c r="CW139" s="273"/>
      <c r="CX139" s="273"/>
      <c r="CY139" s="273"/>
      <c r="CZ139" s="273"/>
      <c r="DA139" s="273"/>
      <c r="DB139" s="273"/>
      <c r="DC139" s="273"/>
      <c r="DD139" s="273"/>
      <c r="DE139" s="273"/>
      <c r="DF139" s="271"/>
      <c r="DG139" s="271"/>
      <c r="DH139" s="272">
        <f t="shared" si="11"/>
        <v>38</v>
      </c>
      <c r="DI139" s="272">
        <f t="shared" si="11"/>
        <v>558</v>
      </c>
      <c r="DJ139" s="324">
        <f t="shared" si="11"/>
        <v>427.43999999999994</v>
      </c>
      <c r="DK139" s="325"/>
      <c r="DL139" s="325"/>
    </row>
    <row r="140" spans="1:116" s="275" customFormat="1" ht="20.100000000000001" customHeight="1" x14ac:dyDescent="0.6">
      <c r="A140" s="234">
        <v>137</v>
      </c>
      <c r="B140" s="103" t="s">
        <v>674</v>
      </c>
      <c r="C140" s="103" t="s">
        <v>675</v>
      </c>
      <c r="D140" s="103" t="s">
        <v>330</v>
      </c>
      <c r="E140" s="148" t="s">
        <v>331</v>
      </c>
      <c r="F140" s="179" t="s">
        <v>642</v>
      </c>
      <c r="G140" s="331"/>
      <c r="H140" s="331"/>
      <c r="I140" s="331"/>
      <c r="J140" s="331"/>
      <c r="K140" s="332"/>
      <c r="L140" s="332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>
        <v>20</v>
      </c>
      <c r="W140" s="271">
        <v>300</v>
      </c>
      <c r="X140" s="271">
        <v>225.92</v>
      </c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>
        <v>9</v>
      </c>
      <c r="AO140" s="271">
        <v>164</v>
      </c>
      <c r="AP140" s="271">
        <v>107.2</v>
      </c>
      <c r="AQ140" s="272">
        <f t="shared" si="13"/>
        <v>29</v>
      </c>
      <c r="AR140" s="272">
        <f t="shared" si="13"/>
        <v>464</v>
      </c>
      <c r="AS140" s="272">
        <f t="shared" si="13"/>
        <v>333.12</v>
      </c>
      <c r="AT140" s="357"/>
      <c r="AU140" s="357"/>
      <c r="AV140" s="357"/>
      <c r="AW140" s="357"/>
      <c r="AX140" s="357"/>
      <c r="AY140" s="357"/>
      <c r="AZ140" s="357"/>
      <c r="BA140" s="357"/>
      <c r="BB140" s="357"/>
      <c r="BC140" s="357"/>
      <c r="BD140" s="357"/>
      <c r="BE140" s="357"/>
      <c r="BF140" s="357"/>
      <c r="BG140" s="357"/>
      <c r="BH140" s="357"/>
      <c r="BI140" s="357"/>
      <c r="BJ140" s="357"/>
      <c r="BK140" s="357"/>
      <c r="BL140" s="357"/>
      <c r="BM140" s="357"/>
      <c r="BN140" s="357"/>
      <c r="BO140" s="357">
        <v>27</v>
      </c>
      <c r="BP140" s="357">
        <v>380</v>
      </c>
      <c r="BQ140" s="357">
        <v>328</v>
      </c>
      <c r="BR140" s="356"/>
      <c r="BS140" s="356"/>
      <c r="BT140" s="356"/>
      <c r="BU140" s="357"/>
      <c r="BV140" s="357"/>
      <c r="BW140" s="357"/>
      <c r="BX140" s="272">
        <f t="shared" si="14"/>
        <v>56</v>
      </c>
      <c r="BY140" s="272">
        <f t="shared" si="14"/>
        <v>844</v>
      </c>
      <c r="BZ140" s="272">
        <f t="shared" si="12"/>
        <v>661.12</v>
      </c>
      <c r="CA140" s="273"/>
      <c r="CB140" s="273"/>
      <c r="CC140" s="273"/>
      <c r="CD140" s="273"/>
      <c r="CE140" s="273"/>
      <c r="CF140" s="273"/>
      <c r="CG140" s="273"/>
      <c r="CH140" s="273"/>
      <c r="CI140" s="273"/>
      <c r="CJ140" s="273"/>
      <c r="CK140" s="273"/>
      <c r="CL140" s="273"/>
      <c r="CM140" s="273"/>
      <c r="CN140" s="273"/>
      <c r="CO140" s="273"/>
      <c r="CP140" s="273"/>
      <c r="CQ140" s="273"/>
      <c r="CR140" s="273"/>
      <c r="CS140" s="273"/>
      <c r="CT140" s="273"/>
      <c r="CU140" s="273"/>
      <c r="CV140" s="273"/>
      <c r="CW140" s="273"/>
      <c r="CX140" s="273"/>
      <c r="CY140" s="273"/>
      <c r="CZ140" s="273"/>
      <c r="DA140" s="273"/>
      <c r="DB140" s="273"/>
      <c r="DC140" s="273"/>
      <c r="DD140" s="273"/>
      <c r="DE140" s="273"/>
      <c r="DF140" s="271"/>
      <c r="DG140" s="271"/>
      <c r="DH140" s="272">
        <f t="shared" si="11"/>
        <v>56</v>
      </c>
      <c r="DI140" s="272">
        <f t="shared" si="11"/>
        <v>844</v>
      </c>
      <c r="DJ140" s="324">
        <f t="shared" si="11"/>
        <v>661.12</v>
      </c>
      <c r="DK140" s="325"/>
      <c r="DL140" s="325"/>
    </row>
    <row r="141" spans="1:116" s="275" customFormat="1" ht="20.100000000000001" customHeight="1" x14ac:dyDescent="0.6">
      <c r="A141" s="234">
        <v>138</v>
      </c>
      <c r="B141" s="103" t="s">
        <v>676</v>
      </c>
      <c r="C141" s="103" t="s">
        <v>677</v>
      </c>
      <c r="D141" s="103" t="s">
        <v>664</v>
      </c>
      <c r="E141" s="148" t="s">
        <v>665</v>
      </c>
      <c r="F141" s="179" t="s">
        <v>642</v>
      </c>
      <c r="G141" s="331"/>
      <c r="H141" s="331"/>
      <c r="I141" s="331"/>
      <c r="J141" s="331"/>
      <c r="K141" s="332"/>
      <c r="L141" s="332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>
        <v>22</v>
      </c>
      <c r="AC141" s="271">
        <v>320</v>
      </c>
      <c r="AD141" s="271">
        <v>268</v>
      </c>
      <c r="AE141" s="271"/>
      <c r="AF141" s="271"/>
      <c r="AG141" s="271"/>
      <c r="AH141" s="271"/>
      <c r="AI141" s="271"/>
      <c r="AJ141" s="271"/>
      <c r="AK141" s="271"/>
      <c r="AL141" s="271"/>
      <c r="AM141" s="271"/>
      <c r="AN141" s="271"/>
      <c r="AO141" s="271"/>
      <c r="AP141" s="271"/>
      <c r="AQ141" s="272">
        <f t="shared" si="13"/>
        <v>22</v>
      </c>
      <c r="AR141" s="272">
        <f t="shared" si="13"/>
        <v>320</v>
      </c>
      <c r="AS141" s="272">
        <f t="shared" si="13"/>
        <v>268</v>
      </c>
      <c r="AT141" s="357"/>
      <c r="AU141" s="357"/>
      <c r="AV141" s="357"/>
      <c r="AW141" s="357">
        <v>10</v>
      </c>
      <c r="AX141" s="357">
        <v>130</v>
      </c>
      <c r="AY141" s="357">
        <v>104.8</v>
      </c>
      <c r="AZ141" s="357"/>
      <c r="BA141" s="357"/>
      <c r="BB141" s="357"/>
      <c r="BC141" s="357"/>
      <c r="BD141" s="357"/>
      <c r="BE141" s="357"/>
      <c r="BF141" s="357"/>
      <c r="BG141" s="357"/>
      <c r="BH141" s="357"/>
      <c r="BI141" s="357"/>
      <c r="BJ141" s="357"/>
      <c r="BK141" s="357"/>
      <c r="BL141" s="357"/>
      <c r="BM141" s="357"/>
      <c r="BN141" s="357"/>
      <c r="BO141" s="357"/>
      <c r="BP141" s="357"/>
      <c r="BQ141" s="357"/>
      <c r="BR141" s="357"/>
      <c r="BS141" s="357"/>
      <c r="BT141" s="357"/>
      <c r="BU141" s="357">
        <v>26</v>
      </c>
      <c r="BV141" s="357">
        <v>430</v>
      </c>
      <c r="BW141" s="357">
        <v>326.8</v>
      </c>
      <c r="BX141" s="272">
        <f t="shared" si="14"/>
        <v>58</v>
      </c>
      <c r="BY141" s="272">
        <f t="shared" si="14"/>
        <v>880</v>
      </c>
      <c r="BZ141" s="272">
        <f t="shared" si="12"/>
        <v>699.6</v>
      </c>
      <c r="CA141" s="273"/>
      <c r="CB141" s="273"/>
      <c r="CC141" s="273"/>
      <c r="CD141" s="273"/>
      <c r="CE141" s="273"/>
      <c r="CF141" s="273"/>
      <c r="CG141" s="273"/>
      <c r="CH141" s="273"/>
      <c r="CI141" s="273"/>
      <c r="CJ141" s="273"/>
      <c r="CK141" s="273"/>
      <c r="CL141" s="273"/>
      <c r="CM141" s="273"/>
      <c r="CN141" s="273"/>
      <c r="CO141" s="273"/>
      <c r="CP141" s="273"/>
      <c r="CQ141" s="273"/>
      <c r="CR141" s="273"/>
      <c r="CS141" s="273"/>
      <c r="CT141" s="273"/>
      <c r="CU141" s="273"/>
      <c r="CV141" s="273"/>
      <c r="CW141" s="273"/>
      <c r="CX141" s="273"/>
      <c r="CY141" s="273"/>
      <c r="CZ141" s="273"/>
      <c r="DA141" s="273"/>
      <c r="DB141" s="273"/>
      <c r="DC141" s="273"/>
      <c r="DD141" s="273"/>
      <c r="DE141" s="273"/>
      <c r="DF141" s="271"/>
      <c r="DG141" s="271"/>
      <c r="DH141" s="272">
        <f t="shared" si="11"/>
        <v>58</v>
      </c>
      <c r="DI141" s="272">
        <f t="shared" si="11"/>
        <v>880</v>
      </c>
      <c r="DJ141" s="324">
        <f t="shared" si="11"/>
        <v>699.6</v>
      </c>
      <c r="DK141" s="325"/>
      <c r="DL141" s="325"/>
    </row>
    <row r="142" spans="1:116" s="275" customFormat="1" ht="20.100000000000001" customHeight="1" x14ac:dyDescent="0.6">
      <c r="A142" s="234">
        <v>139</v>
      </c>
      <c r="B142" s="103" t="s">
        <v>678</v>
      </c>
      <c r="C142" s="103" t="s">
        <v>678</v>
      </c>
      <c r="D142" s="103" t="s">
        <v>664</v>
      </c>
      <c r="E142" s="148" t="s">
        <v>665</v>
      </c>
      <c r="F142" s="179" t="s">
        <v>642</v>
      </c>
      <c r="G142" s="331"/>
      <c r="H142" s="331"/>
      <c r="I142" s="331"/>
      <c r="J142" s="331"/>
      <c r="K142" s="332"/>
      <c r="L142" s="332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>
        <v>10</v>
      </c>
      <c r="W142" s="271">
        <v>120</v>
      </c>
      <c r="X142" s="271">
        <v>120</v>
      </c>
      <c r="Y142" s="271"/>
      <c r="Z142" s="271"/>
      <c r="AA142" s="271"/>
      <c r="AB142" s="271">
        <v>6</v>
      </c>
      <c r="AC142" s="271">
        <v>90</v>
      </c>
      <c r="AD142" s="271">
        <v>64.8</v>
      </c>
      <c r="AE142" s="271">
        <v>13</v>
      </c>
      <c r="AF142" s="271">
        <v>212</v>
      </c>
      <c r="AG142" s="271">
        <v>160</v>
      </c>
      <c r="AH142" s="271"/>
      <c r="AI142" s="271"/>
      <c r="AJ142" s="271"/>
      <c r="AK142" s="271"/>
      <c r="AL142" s="271"/>
      <c r="AM142" s="271"/>
      <c r="AN142" s="271"/>
      <c r="AO142" s="271"/>
      <c r="AP142" s="271"/>
      <c r="AQ142" s="272">
        <f t="shared" si="13"/>
        <v>29</v>
      </c>
      <c r="AR142" s="272">
        <f t="shared" si="13"/>
        <v>422</v>
      </c>
      <c r="AS142" s="272">
        <f t="shared" si="13"/>
        <v>344.8</v>
      </c>
      <c r="AT142" s="357"/>
      <c r="AU142" s="357"/>
      <c r="AV142" s="357"/>
      <c r="AW142" s="357"/>
      <c r="AX142" s="357"/>
      <c r="AY142" s="357"/>
      <c r="AZ142" s="357"/>
      <c r="BA142" s="357"/>
      <c r="BB142" s="357"/>
      <c r="BC142" s="357"/>
      <c r="BD142" s="357"/>
      <c r="BE142" s="357"/>
      <c r="BF142" s="357"/>
      <c r="BG142" s="357"/>
      <c r="BH142" s="357"/>
      <c r="BI142" s="357">
        <v>38</v>
      </c>
      <c r="BJ142" s="357">
        <v>612</v>
      </c>
      <c r="BK142" s="357">
        <v>441.68</v>
      </c>
      <c r="BL142" s="357"/>
      <c r="BM142" s="357"/>
      <c r="BN142" s="357"/>
      <c r="BO142" s="357"/>
      <c r="BP142" s="357"/>
      <c r="BQ142" s="357"/>
      <c r="BR142" s="357"/>
      <c r="BS142" s="357"/>
      <c r="BT142" s="357"/>
      <c r="BU142" s="357"/>
      <c r="BV142" s="357"/>
      <c r="BW142" s="357"/>
      <c r="BX142" s="272">
        <f t="shared" si="14"/>
        <v>67</v>
      </c>
      <c r="BY142" s="272">
        <f t="shared" si="14"/>
        <v>1034</v>
      </c>
      <c r="BZ142" s="272">
        <f t="shared" si="12"/>
        <v>786.48</v>
      </c>
      <c r="CA142" s="273"/>
      <c r="CB142" s="273"/>
      <c r="CC142" s="273"/>
      <c r="CD142" s="273"/>
      <c r="CE142" s="273"/>
      <c r="CF142" s="273"/>
      <c r="CG142" s="273"/>
      <c r="CH142" s="273"/>
      <c r="CI142" s="273"/>
      <c r="CJ142" s="273"/>
      <c r="CK142" s="273"/>
      <c r="CL142" s="273"/>
      <c r="CM142" s="273"/>
      <c r="CN142" s="273"/>
      <c r="CO142" s="273"/>
      <c r="CP142" s="273"/>
      <c r="CQ142" s="273"/>
      <c r="CR142" s="273"/>
      <c r="CS142" s="273"/>
      <c r="CT142" s="273"/>
      <c r="CU142" s="273"/>
      <c r="CV142" s="273"/>
      <c r="CW142" s="273"/>
      <c r="CX142" s="273"/>
      <c r="CY142" s="273"/>
      <c r="CZ142" s="273"/>
      <c r="DA142" s="273"/>
      <c r="DB142" s="273"/>
      <c r="DC142" s="273"/>
      <c r="DD142" s="273"/>
      <c r="DE142" s="273"/>
      <c r="DF142" s="271"/>
      <c r="DG142" s="271"/>
      <c r="DH142" s="272">
        <f t="shared" si="11"/>
        <v>67</v>
      </c>
      <c r="DI142" s="272">
        <f t="shared" si="11"/>
        <v>1034</v>
      </c>
      <c r="DJ142" s="324">
        <f t="shared" si="11"/>
        <v>786.48</v>
      </c>
      <c r="DK142" s="325"/>
      <c r="DL142" s="325"/>
    </row>
    <row r="143" spans="1:116" s="275" customFormat="1" ht="20.100000000000001" customHeight="1" x14ac:dyDescent="0.6">
      <c r="A143" s="234">
        <v>140</v>
      </c>
      <c r="B143" s="103" t="s">
        <v>679</v>
      </c>
      <c r="C143" s="103" t="s">
        <v>680</v>
      </c>
      <c r="D143" s="103" t="s">
        <v>301</v>
      </c>
      <c r="E143" s="148" t="s">
        <v>87</v>
      </c>
      <c r="F143" s="179" t="s">
        <v>642</v>
      </c>
      <c r="G143" s="331"/>
      <c r="H143" s="331"/>
      <c r="I143" s="331"/>
      <c r="J143" s="331"/>
      <c r="K143" s="332"/>
      <c r="L143" s="332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1"/>
      <c r="AL143" s="271"/>
      <c r="AM143" s="271"/>
      <c r="AN143" s="271"/>
      <c r="AO143" s="271"/>
      <c r="AP143" s="271"/>
      <c r="AQ143" s="272">
        <f t="shared" si="13"/>
        <v>0</v>
      </c>
      <c r="AR143" s="272">
        <f t="shared" si="13"/>
        <v>0</v>
      </c>
      <c r="AS143" s="272">
        <f t="shared" si="13"/>
        <v>0</v>
      </c>
      <c r="AT143" s="357"/>
      <c r="AU143" s="357"/>
      <c r="AV143" s="357"/>
      <c r="AW143" s="357"/>
      <c r="AX143" s="357"/>
      <c r="AY143" s="357"/>
      <c r="AZ143" s="357"/>
      <c r="BA143" s="357"/>
      <c r="BB143" s="357"/>
      <c r="BC143" s="357"/>
      <c r="BD143" s="357"/>
      <c r="BE143" s="357"/>
      <c r="BF143" s="357"/>
      <c r="BG143" s="357"/>
      <c r="BH143" s="357"/>
      <c r="BI143" s="357"/>
      <c r="BJ143" s="357"/>
      <c r="BK143" s="357"/>
      <c r="BL143" s="357"/>
      <c r="BM143" s="357"/>
      <c r="BN143" s="357"/>
      <c r="BO143" s="357"/>
      <c r="BP143" s="357"/>
      <c r="BQ143" s="357"/>
      <c r="BR143" s="357"/>
      <c r="BS143" s="357"/>
      <c r="BT143" s="357"/>
      <c r="BU143" s="357"/>
      <c r="BV143" s="357"/>
      <c r="BW143" s="357"/>
      <c r="BX143" s="272">
        <f t="shared" si="14"/>
        <v>0</v>
      </c>
      <c r="BY143" s="272">
        <f t="shared" si="14"/>
        <v>0</v>
      </c>
      <c r="BZ143" s="272">
        <f t="shared" si="12"/>
        <v>0</v>
      </c>
      <c r="CA143" s="273"/>
      <c r="CB143" s="273"/>
      <c r="CC143" s="273"/>
      <c r="CD143" s="273"/>
      <c r="CE143" s="273"/>
      <c r="CF143" s="273"/>
      <c r="CG143" s="273"/>
      <c r="CH143" s="273"/>
      <c r="CI143" s="273"/>
      <c r="CJ143" s="273"/>
      <c r="CK143" s="273"/>
      <c r="CL143" s="273"/>
      <c r="CM143" s="273"/>
      <c r="CN143" s="273"/>
      <c r="CO143" s="273"/>
      <c r="CP143" s="273"/>
      <c r="CQ143" s="273"/>
      <c r="CR143" s="273"/>
      <c r="CS143" s="273"/>
      <c r="CT143" s="273"/>
      <c r="CU143" s="273"/>
      <c r="CV143" s="273"/>
      <c r="CW143" s="273"/>
      <c r="CX143" s="273"/>
      <c r="CY143" s="273"/>
      <c r="CZ143" s="273"/>
      <c r="DA143" s="273"/>
      <c r="DB143" s="273"/>
      <c r="DC143" s="273"/>
      <c r="DD143" s="273"/>
      <c r="DE143" s="273"/>
      <c r="DF143" s="271"/>
      <c r="DG143" s="271"/>
      <c r="DH143" s="272">
        <f t="shared" si="11"/>
        <v>0</v>
      </c>
      <c r="DI143" s="272">
        <f t="shared" si="11"/>
        <v>0</v>
      </c>
      <c r="DJ143" s="324">
        <f t="shared" si="11"/>
        <v>0</v>
      </c>
      <c r="DK143" s="325"/>
      <c r="DL143" s="325"/>
    </row>
    <row r="144" spans="1:116" s="275" customFormat="1" ht="20.100000000000001" customHeight="1" x14ac:dyDescent="0.6">
      <c r="A144" s="234">
        <v>141</v>
      </c>
      <c r="B144" s="150" t="s">
        <v>681</v>
      </c>
      <c r="C144" s="330" t="s">
        <v>682</v>
      </c>
      <c r="D144" s="142" t="s">
        <v>301</v>
      </c>
      <c r="E144" s="149" t="s">
        <v>87</v>
      </c>
      <c r="F144" s="333" t="s">
        <v>642</v>
      </c>
      <c r="G144" s="331"/>
      <c r="H144" s="331"/>
      <c r="I144" s="331"/>
      <c r="J144" s="331"/>
      <c r="K144" s="332"/>
      <c r="L144" s="332"/>
      <c r="M144" s="271"/>
      <c r="N144" s="271"/>
      <c r="O144" s="271"/>
      <c r="P144" s="271"/>
      <c r="Q144" s="271"/>
      <c r="R144" s="271"/>
      <c r="S144" s="271">
        <v>50</v>
      </c>
      <c r="T144" s="271">
        <v>700</v>
      </c>
      <c r="U144" s="271">
        <v>448</v>
      </c>
      <c r="V144" s="271"/>
      <c r="W144" s="271"/>
      <c r="X144" s="271"/>
      <c r="Y144" s="271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1"/>
      <c r="AL144" s="271"/>
      <c r="AM144" s="271"/>
      <c r="AN144" s="271"/>
      <c r="AO144" s="271"/>
      <c r="AP144" s="271"/>
      <c r="AQ144" s="272">
        <f t="shared" si="13"/>
        <v>50</v>
      </c>
      <c r="AR144" s="272">
        <f t="shared" si="13"/>
        <v>700</v>
      </c>
      <c r="AS144" s="272">
        <f t="shared" si="13"/>
        <v>448</v>
      </c>
      <c r="AT144" s="357"/>
      <c r="AU144" s="357"/>
      <c r="AV144" s="357"/>
      <c r="AW144" s="357"/>
      <c r="AX144" s="357"/>
      <c r="AY144" s="357"/>
      <c r="AZ144" s="357"/>
      <c r="BA144" s="357"/>
      <c r="BB144" s="357"/>
      <c r="BC144" s="357"/>
      <c r="BD144" s="357"/>
      <c r="BE144" s="357"/>
      <c r="BF144" s="357"/>
      <c r="BG144" s="357"/>
      <c r="BH144" s="357"/>
      <c r="BI144" s="357"/>
      <c r="BJ144" s="357"/>
      <c r="BK144" s="357"/>
      <c r="BL144" s="357"/>
      <c r="BM144" s="357"/>
      <c r="BN144" s="357"/>
      <c r="BO144" s="357"/>
      <c r="BP144" s="357"/>
      <c r="BQ144" s="357"/>
      <c r="BR144" s="357"/>
      <c r="BS144" s="357"/>
      <c r="BT144" s="357"/>
      <c r="BU144" s="357"/>
      <c r="BV144" s="357"/>
      <c r="BW144" s="357"/>
      <c r="BX144" s="272">
        <f t="shared" si="14"/>
        <v>50</v>
      </c>
      <c r="BY144" s="272">
        <f t="shared" si="14"/>
        <v>700</v>
      </c>
      <c r="BZ144" s="272">
        <f t="shared" si="12"/>
        <v>448</v>
      </c>
      <c r="CA144" s="273"/>
      <c r="CB144" s="273"/>
      <c r="CC144" s="273"/>
      <c r="CD144" s="273"/>
      <c r="CE144" s="273"/>
      <c r="CF144" s="273"/>
      <c r="CG144" s="273"/>
      <c r="CH144" s="273"/>
      <c r="CI144" s="273"/>
      <c r="CJ144" s="273"/>
      <c r="CK144" s="273"/>
      <c r="CL144" s="273"/>
      <c r="CM144" s="273"/>
      <c r="CN144" s="273"/>
      <c r="CO144" s="273"/>
      <c r="CP144" s="273"/>
      <c r="CQ144" s="273"/>
      <c r="CR144" s="273"/>
      <c r="CS144" s="273"/>
      <c r="CT144" s="273"/>
      <c r="CU144" s="273"/>
      <c r="CV144" s="273"/>
      <c r="CW144" s="273"/>
      <c r="CX144" s="273"/>
      <c r="CY144" s="273"/>
      <c r="CZ144" s="273"/>
      <c r="DA144" s="273"/>
      <c r="DB144" s="273"/>
      <c r="DC144" s="273"/>
      <c r="DD144" s="273"/>
      <c r="DE144" s="273"/>
      <c r="DF144" s="271"/>
      <c r="DG144" s="271"/>
      <c r="DH144" s="272">
        <f t="shared" si="11"/>
        <v>50</v>
      </c>
      <c r="DI144" s="272">
        <f t="shared" si="11"/>
        <v>700</v>
      </c>
      <c r="DJ144" s="324">
        <f t="shared" si="11"/>
        <v>448</v>
      </c>
      <c r="DK144" s="325"/>
      <c r="DL144" s="325"/>
    </row>
    <row r="145" spans="1:116" s="275" customFormat="1" ht="20.100000000000001" customHeight="1" x14ac:dyDescent="0.6">
      <c r="A145" s="234">
        <v>142</v>
      </c>
      <c r="B145" s="330" t="s">
        <v>683</v>
      </c>
      <c r="C145" s="330" t="s">
        <v>684</v>
      </c>
      <c r="D145" s="142" t="s">
        <v>94</v>
      </c>
      <c r="E145" s="149" t="s">
        <v>95</v>
      </c>
      <c r="F145" s="333" t="s">
        <v>685</v>
      </c>
      <c r="G145" s="331"/>
      <c r="H145" s="331"/>
      <c r="I145" s="331"/>
      <c r="J145" s="331"/>
      <c r="K145" s="332"/>
      <c r="L145" s="332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1"/>
      <c r="AL145" s="271"/>
      <c r="AM145" s="271"/>
      <c r="AN145" s="271"/>
      <c r="AO145" s="271"/>
      <c r="AP145" s="271"/>
      <c r="AQ145" s="272">
        <f t="shared" si="13"/>
        <v>0</v>
      </c>
      <c r="AR145" s="272">
        <f t="shared" si="13"/>
        <v>0</v>
      </c>
      <c r="AS145" s="272">
        <f t="shared" si="13"/>
        <v>0</v>
      </c>
      <c r="AT145" s="357"/>
      <c r="AU145" s="357"/>
      <c r="AV145" s="357"/>
      <c r="AW145" s="357"/>
      <c r="AX145" s="357"/>
      <c r="AY145" s="357"/>
      <c r="AZ145" s="357"/>
      <c r="BA145" s="357"/>
      <c r="BB145" s="357"/>
      <c r="BC145" s="357"/>
      <c r="BD145" s="357"/>
      <c r="BE145" s="357"/>
      <c r="BF145" s="357"/>
      <c r="BG145" s="357"/>
      <c r="BH145" s="357"/>
      <c r="BI145" s="357"/>
      <c r="BJ145" s="357"/>
      <c r="BK145" s="357"/>
      <c r="BL145" s="357"/>
      <c r="BM145" s="357"/>
      <c r="BN145" s="357"/>
      <c r="BO145" s="357"/>
      <c r="BP145" s="357"/>
      <c r="BQ145" s="357"/>
      <c r="BR145" s="357"/>
      <c r="BS145" s="357"/>
      <c r="BT145" s="357"/>
      <c r="BU145" s="357"/>
      <c r="BV145" s="357"/>
      <c r="BW145" s="357"/>
      <c r="BX145" s="272">
        <f t="shared" si="14"/>
        <v>0</v>
      </c>
      <c r="BY145" s="272">
        <f t="shared" si="14"/>
        <v>0</v>
      </c>
      <c r="BZ145" s="272">
        <f t="shared" si="12"/>
        <v>0</v>
      </c>
      <c r="CA145" s="273"/>
      <c r="CB145" s="273"/>
      <c r="CC145" s="273"/>
      <c r="CD145" s="273"/>
      <c r="CE145" s="273"/>
      <c r="CF145" s="273"/>
      <c r="CG145" s="273"/>
      <c r="CH145" s="273"/>
      <c r="CI145" s="273"/>
      <c r="CJ145" s="273"/>
      <c r="CK145" s="273"/>
      <c r="CL145" s="273"/>
      <c r="CM145" s="273"/>
      <c r="CN145" s="273"/>
      <c r="CO145" s="273"/>
      <c r="CP145" s="273"/>
      <c r="CQ145" s="273"/>
      <c r="CR145" s="273"/>
      <c r="CS145" s="273"/>
      <c r="CT145" s="273"/>
      <c r="CU145" s="273"/>
      <c r="CV145" s="273"/>
      <c r="CW145" s="273"/>
      <c r="CX145" s="273"/>
      <c r="CY145" s="273"/>
      <c r="CZ145" s="273"/>
      <c r="DA145" s="273"/>
      <c r="DB145" s="273"/>
      <c r="DC145" s="273"/>
      <c r="DD145" s="273"/>
      <c r="DE145" s="273"/>
      <c r="DF145" s="271"/>
      <c r="DG145" s="271"/>
      <c r="DH145" s="272">
        <f t="shared" si="11"/>
        <v>0</v>
      </c>
      <c r="DI145" s="272">
        <f t="shared" si="11"/>
        <v>0</v>
      </c>
      <c r="DJ145" s="324">
        <f t="shared" si="11"/>
        <v>0</v>
      </c>
      <c r="DK145" s="325"/>
      <c r="DL145" s="325"/>
    </row>
    <row r="146" spans="1:116" s="275" customFormat="1" ht="20.100000000000001" customHeight="1" x14ac:dyDescent="0.6">
      <c r="A146" s="234">
        <v>143</v>
      </c>
      <c r="B146" s="330" t="s">
        <v>686</v>
      </c>
      <c r="C146" s="334" t="s">
        <v>687</v>
      </c>
      <c r="D146" s="103" t="s">
        <v>74</v>
      </c>
      <c r="E146" s="148" t="s">
        <v>75</v>
      </c>
      <c r="F146" s="179" t="s">
        <v>685</v>
      </c>
      <c r="G146" s="331"/>
      <c r="H146" s="331"/>
      <c r="I146" s="331"/>
      <c r="J146" s="331"/>
      <c r="K146" s="332"/>
      <c r="L146" s="332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  <c r="AA146" s="271"/>
      <c r="AB146" s="271"/>
      <c r="AC146" s="271"/>
      <c r="AD146" s="271"/>
      <c r="AE146" s="271"/>
      <c r="AF146" s="271"/>
      <c r="AG146" s="271"/>
      <c r="AH146" s="271"/>
      <c r="AI146" s="271"/>
      <c r="AJ146" s="271"/>
      <c r="AK146" s="271"/>
      <c r="AL146" s="271"/>
      <c r="AM146" s="271"/>
      <c r="AN146" s="271"/>
      <c r="AO146" s="271"/>
      <c r="AP146" s="271"/>
      <c r="AQ146" s="272">
        <f t="shared" si="13"/>
        <v>0</v>
      </c>
      <c r="AR146" s="272">
        <f t="shared" si="13"/>
        <v>0</v>
      </c>
      <c r="AS146" s="272">
        <f t="shared" si="13"/>
        <v>0</v>
      </c>
      <c r="AT146" s="357"/>
      <c r="AU146" s="357"/>
      <c r="AV146" s="357"/>
      <c r="AW146" s="357"/>
      <c r="AX146" s="357"/>
      <c r="AY146" s="357"/>
      <c r="AZ146" s="357"/>
      <c r="BA146" s="357"/>
      <c r="BB146" s="357"/>
      <c r="BC146" s="357"/>
      <c r="BD146" s="357"/>
      <c r="BE146" s="357"/>
      <c r="BF146" s="357"/>
      <c r="BG146" s="357"/>
      <c r="BH146" s="357"/>
      <c r="BI146" s="357"/>
      <c r="BJ146" s="357"/>
      <c r="BK146" s="357"/>
      <c r="BL146" s="357"/>
      <c r="BM146" s="357"/>
      <c r="BN146" s="357"/>
      <c r="BO146" s="357"/>
      <c r="BP146" s="357"/>
      <c r="BQ146" s="357"/>
      <c r="BR146" s="357"/>
      <c r="BS146" s="357"/>
      <c r="BT146" s="357"/>
      <c r="BU146" s="357"/>
      <c r="BV146" s="357"/>
      <c r="BW146" s="357"/>
      <c r="BX146" s="272">
        <f t="shared" si="14"/>
        <v>0</v>
      </c>
      <c r="BY146" s="272">
        <f t="shared" si="14"/>
        <v>0</v>
      </c>
      <c r="BZ146" s="272">
        <f t="shared" si="12"/>
        <v>0</v>
      </c>
      <c r="CA146" s="273"/>
      <c r="CB146" s="273"/>
      <c r="CC146" s="273"/>
      <c r="CD146" s="273"/>
      <c r="CE146" s="273"/>
      <c r="CF146" s="273"/>
      <c r="CG146" s="273"/>
      <c r="CH146" s="273"/>
      <c r="CI146" s="273"/>
      <c r="CJ146" s="273"/>
      <c r="CK146" s="273"/>
      <c r="CL146" s="273"/>
      <c r="CM146" s="273"/>
      <c r="CN146" s="273"/>
      <c r="CO146" s="273"/>
      <c r="CP146" s="273"/>
      <c r="CQ146" s="273"/>
      <c r="CR146" s="273"/>
      <c r="CS146" s="273"/>
      <c r="CT146" s="273"/>
      <c r="CU146" s="273"/>
      <c r="CV146" s="273"/>
      <c r="CW146" s="273"/>
      <c r="CX146" s="273"/>
      <c r="CY146" s="273"/>
      <c r="CZ146" s="273"/>
      <c r="DA146" s="273"/>
      <c r="DB146" s="273"/>
      <c r="DC146" s="273"/>
      <c r="DD146" s="273"/>
      <c r="DE146" s="273"/>
      <c r="DF146" s="271"/>
      <c r="DG146" s="271"/>
      <c r="DH146" s="272">
        <f t="shared" si="11"/>
        <v>0</v>
      </c>
      <c r="DI146" s="272">
        <f t="shared" si="11"/>
        <v>0</v>
      </c>
      <c r="DJ146" s="324">
        <f t="shared" si="11"/>
        <v>0</v>
      </c>
      <c r="DK146" s="325"/>
      <c r="DL146" s="325"/>
    </row>
    <row r="147" spans="1:116" s="275" customFormat="1" ht="20.100000000000001" customHeight="1" x14ac:dyDescent="0.6">
      <c r="A147" s="234"/>
      <c r="B147" s="330"/>
      <c r="C147" s="330"/>
      <c r="D147" s="330"/>
      <c r="E147" s="330"/>
      <c r="F147" s="333"/>
      <c r="G147" s="331"/>
      <c r="H147" s="331"/>
      <c r="I147" s="331"/>
      <c r="J147" s="331"/>
      <c r="K147" s="332"/>
      <c r="L147" s="332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1"/>
      <c r="AL147" s="271"/>
      <c r="AM147" s="271"/>
      <c r="AN147" s="271"/>
      <c r="AO147" s="271"/>
      <c r="AP147" s="271"/>
      <c r="AQ147" s="272"/>
      <c r="AR147" s="272"/>
      <c r="AS147" s="272"/>
      <c r="AT147" s="273"/>
      <c r="AU147" s="273"/>
      <c r="AV147" s="273"/>
      <c r="AW147" s="273"/>
      <c r="AX147" s="273"/>
      <c r="AY147" s="273"/>
      <c r="AZ147" s="273"/>
      <c r="BA147" s="273"/>
      <c r="BB147" s="273"/>
      <c r="BC147" s="273"/>
      <c r="BD147" s="273"/>
      <c r="BE147" s="273"/>
      <c r="BF147" s="273"/>
      <c r="BG147" s="273"/>
      <c r="BH147" s="273"/>
      <c r="BI147" s="273"/>
      <c r="BJ147" s="273"/>
      <c r="BK147" s="273"/>
      <c r="BL147" s="273"/>
      <c r="BM147" s="273"/>
      <c r="BN147" s="273"/>
      <c r="BO147" s="273"/>
      <c r="BP147" s="273"/>
      <c r="BQ147" s="273"/>
      <c r="BR147" s="273"/>
      <c r="BS147" s="273"/>
      <c r="BT147" s="273"/>
      <c r="BU147" s="273"/>
      <c r="BV147" s="273"/>
      <c r="BW147" s="273"/>
      <c r="BX147" s="272"/>
      <c r="BY147" s="272"/>
      <c r="BZ147" s="272"/>
      <c r="CA147" s="273"/>
      <c r="CB147" s="273"/>
      <c r="CC147" s="273"/>
      <c r="CD147" s="273"/>
      <c r="CE147" s="273"/>
      <c r="CF147" s="273"/>
      <c r="CG147" s="273"/>
      <c r="CH147" s="273"/>
      <c r="CI147" s="273"/>
      <c r="CJ147" s="273"/>
      <c r="CK147" s="273"/>
      <c r="CL147" s="273"/>
      <c r="CM147" s="273"/>
      <c r="CN147" s="273"/>
      <c r="CO147" s="273"/>
      <c r="CP147" s="273"/>
      <c r="CQ147" s="273"/>
      <c r="CR147" s="273"/>
      <c r="CS147" s="273"/>
      <c r="CT147" s="273"/>
      <c r="CU147" s="273"/>
      <c r="CV147" s="273"/>
      <c r="CW147" s="273"/>
      <c r="CX147" s="273"/>
      <c r="CY147" s="273"/>
      <c r="CZ147" s="273"/>
      <c r="DA147" s="273"/>
      <c r="DB147" s="273"/>
      <c r="DC147" s="273"/>
      <c r="DD147" s="273"/>
      <c r="DE147" s="273"/>
      <c r="DF147" s="271"/>
      <c r="DG147" s="271"/>
      <c r="DH147" s="272"/>
      <c r="DI147" s="272"/>
      <c r="DJ147" s="324"/>
      <c r="DK147" s="325"/>
      <c r="DL147" s="325"/>
    </row>
    <row r="148" spans="1:116" s="275" customFormat="1" ht="20.100000000000001" customHeight="1" x14ac:dyDescent="0.6">
      <c r="A148" s="335"/>
      <c r="B148" s="335" t="s">
        <v>1072</v>
      </c>
      <c r="C148" s="335"/>
      <c r="D148" s="335"/>
      <c r="E148" s="335"/>
      <c r="F148" s="335"/>
      <c r="G148" s="335"/>
      <c r="H148" s="335"/>
      <c r="I148" s="335"/>
      <c r="J148" s="335"/>
      <c r="K148" s="336">
        <f t="shared" ref="K148:AP148" si="15">SUM(K4:K135)</f>
        <v>0</v>
      </c>
      <c r="L148" s="336">
        <f t="shared" si="15"/>
        <v>0</v>
      </c>
      <c r="M148" s="272">
        <f t="shared" si="15"/>
        <v>0</v>
      </c>
      <c r="N148" s="272">
        <f t="shared" si="15"/>
        <v>0</v>
      </c>
      <c r="O148" s="272">
        <f t="shared" si="15"/>
        <v>0</v>
      </c>
      <c r="P148" s="272">
        <f t="shared" si="15"/>
        <v>0</v>
      </c>
      <c r="Q148" s="272">
        <f t="shared" si="15"/>
        <v>0</v>
      </c>
      <c r="R148" s="272">
        <f t="shared" si="15"/>
        <v>0</v>
      </c>
      <c r="S148" s="272">
        <f t="shared" si="15"/>
        <v>324</v>
      </c>
      <c r="T148" s="272">
        <f t="shared" si="15"/>
        <v>4684</v>
      </c>
      <c r="U148" s="272">
        <f t="shared" si="15"/>
        <v>3655.8399999999997</v>
      </c>
      <c r="V148" s="272">
        <f t="shared" si="15"/>
        <v>418.75</v>
      </c>
      <c r="W148" s="272">
        <f t="shared" si="15"/>
        <v>5900</v>
      </c>
      <c r="X148" s="272">
        <f t="shared" si="15"/>
        <v>4885.5800000000008</v>
      </c>
      <c r="Y148" s="272">
        <f t="shared" si="15"/>
        <v>376</v>
      </c>
      <c r="Z148" s="272">
        <f t="shared" si="15"/>
        <v>5634</v>
      </c>
      <c r="AA148" s="272">
        <f t="shared" si="15"/>
        <v>4009.9999999999995</v>
      </c>
      <c r="AB148" s="272">
        <f t="shared" si="15"/>
        <v>265</v>
      </c>
      <c r="AC148" s="272">
        <f t="shared" si="15"/>
        <v>4062</v>
      </c>
      <c r="AD148" s="272">
        <f t="shared" si="15"/>
        <v>3187.2000000000007</v>
      </c>
      <c r="AE148" s="272">
        <f t="shared" si="15"/>
        <v>634.83000000000004</v>
      </c>
      <c r="AF148" s="272">
        <f t="shared" si="15"/>
        <v>8858</v>
      </c>
      <c r="AG148" s="272">
        <f t="shared" si="15"/>
        <v>7494.2400000000007</v>
      </c>
      <c r="AH148" s="272">
        <f t="shared" si="15"/>
        <v>0</v>
      </c>
      <c r="AI148" s="272">
        <f t="shared" si="15"/>
        <v>0</v>
      </c>
      <c r="AJ148" s="272">
        <f t="shared" si="15"/>
        <v>0</v>
      </c>
      <c r="AK148" s="272">
        <f t="shared" si="15"/>
        <v>274</v>
      </c>
      <c r="AL148" s="272">
        <f t="shared" si="15"/>
        <v>4142</v>
      </c>
      <c r="AM148" s="272">
        <f t="shared" si="15"/>
        <v>3262.4800000000005</v>
      </c>
      <c r="AN148" s="272">
        <f t="shared" si="15"/>
        <v>287</v>
      </c>
      <c r="AO148" s="272">
        <f t="shared" si="15"/>
        <v>4230</v>
      </c>
      <c r="AP148" s="272">
        <f t="shared" si="15"/>
        <v>3438.0000000000005</v>
      </c>
      <c r="AQ148" s="272">
        <f>SUM(AQ4:AQ147)</f>
        <v>2895.58</v>
      </c>
      <c r="AR148" s="272">
        <f t="shared" ref="AR148:DC148" si="16">SUM(AR4:AR147)</f>
        <v>42042</v>
      </c>
      <c r="AS148" s="272">
        <f t="shared" si="16"/>
        <v>33357.819999999985</v>
      </c>
      <c r="AT148" s="272">
        <f t="shared" si="16"/>
        <v>538</v>
      </c>
      <c r="AU148" s="272">
        <f t="shared" si="16"/>
        <v>7848</v>
      </c>
      <c r="AV148" s="272">
        <f t="shared" si="16"/>
        <v>6313.76</v>
      </c>
      <c r="AW148" s="272">
        <f t="shared" si="16"/>
        <v>380</v>
      </c>
      <c r="AX148" s="272">
        <f t="shared" si="16"/>
        <v>5470</v>
      </c>
      <c r="AY148" s="272">
        <f t="shared" si="16"/>
        <v>4475.6000000000004</v>
      </c>
      <c r="AZ148" s="272">
        <f t="shared" si="16"/>
        <v>286</v>
      </c>
      <c r="BA148" s="272">
        <f t="shared" si="16"/>
        <v>4060</v>
      </c>
      <c r="BB148" s="272">
        <f t="shared" si="16"/>
        <v>3361.6</v>
      </c>
      <c r="BC148" s="272">
        <f t="shared" si="16"/>
        <v>210</v>
      </c>
      <c r="BD148" s="272">
        <f t="shared" si="16"/>
        <v>2996</v>
      </c>
      <c r="BE148" s="272">
        <f t="shared" si="16"/>
        <v>2509.44</v>
      </c>
      <c r="BF148" s="272">
        <f t="shared" si="16"/>
        <v>0</v>
      </c>
      <c r="BG148" s="272">
        <f t="shared" si="16"/>
        <v>0</v>
      </c>
      <c r="BH148" s="272">
        <f t="shared" si="16"/>
        <v>0</v>
      </c>
      <c r="BI148" s="272">
        <f t="shared" si="16"/>
        <v>408</v>
      </c>
      <c r="BJ148" s="272">
        <f t="shared" si="16"/>
        <v>5756</v>
      </c>
      <c r="BK148" s="272">
        <f t="shared" si="16"/>
        <v>4804.96</v>
      </c>
      <c r="BL148" s="272">
        <f t="shared" si="16"/>
        <v>588</v>
      </c>
      <c r="BM148" s="272">
        <f t="shared" si="16"/>
        <v>9028</v>
      </c>
      <c r="BN148" s="272">
        <f t="shared" si="16"/>
        <v>6934.5599999999995</v>
      </c>
      <c r="BO148" s="272">
        <f t="shared" si="16"/>
        <v>292</v>
      </c>
      <c r="BP148" s="272">
        <f t="shared" si="16"/>
        <v>4710</v>
      </c>
      <c r="BQ148" s="272">
        <f t="shared" si="16"/>
        <v>3405.1200000000003</v>
      </c>
      <c r="BR148" s="272">
        <f t="shared" si="16"/>
        <v>368</v>
      </c>
      <c r="BS148" s="272">
        <f t="shared" si="16"/>
        <v>5020</v>
      </c>
      <c r="BT148" s="272">
        <f t="shared" si="16"/>
        <v>3883.0400000000004</v>
      </c>
      <c r="BU148" s="272">
        <f t="shared" si="16"/>
        <v>195</v>
      </c>
      <c r="BV148" s="272">
        <f t="shared" si="16"/>
        <v>4106</v>
      </c>
      <c r="BW148" s="272">
        <f t="shared" si="16"/>
        <v>2453.4400000000005</v>
      </c>
      <c r="BX148" s="272">
        <f t="shared" si="16"/>
        <v>6160.58</v>
      </c>
      <c r="BY148" s="272">
        <f t="shared" si="16"/>
        <v>91036</v>
      </c>
      <c r="BZ148" s="272">
        <f t="shared" si="16"/>
        <v>71499.340000000011</v>
      </c>
      <c r="CA148" s="272">
        <f t="shared" si="16"/>
        <v>0</v>
      </c>
      <c r="CB148" s="272">
        <f t="shared" si="16"/>
        <v>0</v>
      </c>
      <c r="CC148" s="272">
        <f t="shared" si="16"/>
        <v>0</v>
      </c>
      <c r="CD148" s="272">
        <f t="shared" si="16"/>
        <v>0</v>
      </c>
      <c r="CE148" s="272">
        <f t="shared" si="16"/>
        <v>0</v>
      </c>
      <c r="CF148" s="272">
        <f t="shared" si="16"/>
        <v>0</v>
      </c>
      <c r="CG148" s="272">
        <f t="shared" si="16"/>
        <v>0</v>
      </c>
      <c r="CH148" s="272">
        <f t="shared" si="16"/>
        <v>0</v>
      </c>
      <c r="CI148" s="272">
        <f t="shared" si="16"/>
        <v>0</v>
      </c>
      <c r="CJ148" s="272">
        <f t="shared" si="16"/>
        <v>0</v>
      </c>
      <c r="CK148" s="272">
        <f t="shared" si="16"/>
        <v>0</v>
      </c>
      <c r="CL148" s="272">
        <f t="shared" si="16"/>
        <v>0</v>
      </c>
      <c r="CM148" s="272">
        <f t="shared" si="16"/>
        <v>0</v>
      </c>
      <c r="CN148" s="272">
        <f t="shared" si="16"/>
        <v>0</v>
      </c>
      <c r="CO148" s="272">
        <f t="shared" si="16"/>
        <v>0</v>
      </c>
      <c r="CP148" s="272">
        <f t="shared" si="16"/>
        <v>0</v>
      </c>
      <c r="CQ148" s="272">
        <f t="shared" si="16"/>
        <v>0</v>
      </c>
      <c r="CR148" s="272">
        <f t="shared" si="16"/>
        <v>0</v>
      </c>
      <c r="CS148" s="272">
        <f t="shared" si="16"/>
        <v>0</v>
      </c>
      <c r="CT148" s="272">
        <f t="shared" si="16"/>
        <v>0</v>
      </c>
      <c r="CU148" s="272">
        <f t="shared" si="16"/>
        <v>0</v>
      </c>
      <c r="CV148" s="272">
        <f t="shared" si="16"/>
        <v>0</v>
      </c>
      <c r="CW148" s="272">
        <f t="shared" si="16"/>
        <v>0</v>
      </c>
      <c r="CX148" s="272">
        <f t="shared" si="16"/>
        <v>0</v>
      </c>
      <c r="CY148" s="272">
        <f t="shared" si="16"/>
        <v>0</v>
      </c>
      <c r="CZ148" s="272">
        <f t="shared" si="16"/>
        <v>0</v>
      </c>
      <c r="DA148" s="272">
        <f t="shared" si="16"/>
        <v>0</v>
      </c>
      <c r="DB148" s="272">
        <f t="shared" si="16"/>
        <v>0</v>
      </c>
      <c r="DC148" s="272">
        <f t="shared" si="16"/>
        <v>0</v>
      </c>
      <c r="DD148" s="272">
        <f t="shared" ref="DD148:DJ148" si="17">SUM(DD4:DD147)</f>
        <v>0</v>
      </c>
      <c r="DE148" s="272">
        <f t="shared" si="17"/>
        <v>0</v>
      </c>
      <c r="DF148" s="272">
        <f t="shared" si="17"/>
        <v>0</v>
      </c>
      <c r="DG148" s="272">
        <f t="shared" si="17"/>
        <v>0</v>
      </c>
      <c r="DH148" s="272">
        <f t="shared" si="17"/>
        <v>6160.58</v>
      </c>
      <c r="DI148" s="272">
        <f t="shared" si="17"/>
        <v>91036</v>
      </c>
      <c r="DJ148" s="272">
        <f t="shared" si="17"/>
        <v>71499.340000000011</v>
      </c>
      <c r="DK148" s="325"/>
      <c r="DL148" s="325"/>
    </row>
    <row r="149" spans="1:116" x14ac:dyDescent="0.6">
      <c r="BX149" s="243"/>
      <c r="BY149" s="243"/>
      <c r="BZ149" s="243"/>
    </row>
    <row r="152" spans="1:116" x14ac:dyDescent="0.6">
      <c r="DH152" s="228"/>
    </row>
  </sheetData>
  <mergeCells count="41">
    <mergeCell ref="M2:O2"/>
    <mergeCell ref="A1:D1"/>
    <mergeCell ref="B2:C2"/>
    <mergeCell ref="D2:E2"/>
    <mergeCell ref="G2:H2"/>
    <mergeCell ref="K2:L2"/>
    <mergeCell ref="AW2:AY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CG2:CI2"/>
    <mergeCell ref="AZ2:BB2"/>
    <mergeCell ref="BC2:BE2"/>
    <mergeCell ref="BF2:BH2"/>
    <mergeCell ref="BI2:BK2"/>
    <mergeCell ref="BL2:BN2"/>
    <mergeCell ref="BO2:BQ2"/>
    <mergeCell ref="DB2:DD2"/>
    <mergeCell ref="DE2:DG2"/>
    <mergeCell ref="DH2:DJ2"/>
    <mergeCell ref="B3:C3"/>
    <mergeCell ref="D3:E3"/>
    <mergeCell ref="CJ2:CL2"/>
    <mergeCell ref="CM2:CO2"/>
    <mergeCell ref="CP2:CR2"/>
    <mergeCell ref="CS2:CU2"/>
    <mergeCell ref="CV2:CX2"/>
    <mergeCell ref="CY2:DA2"/>
    <mergeCell ref="BR2:BT2"/>
    <mergeCell ref="BU2:BW2"/>
    <mergeCell ref="BX2:BZ2"/>
    <mergeCell ref="CA2:CC2"/>
    <mergeCell ref="CD2:CF2"/>
  </mergeCells>
  <conditionalFormatting sqref="B148:C148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5CD4-FAC0-4678-83EE-B9CE3476F6BF}">
  <dimension ref="A1:DM18"/>
  <sheetViews>
    <sheetView topLeftCell="CE1" workbookViewId="0">
      <selection activeCell="DI4" sqref="DI4:DJ146"/>
    </sheetView>
  </sheetViews>
  <sheetFormatPr defaultColWidth="10.28515625" defaultRowHeight="21" x14ac:dyDescent="0.6"/>
  <cols>
    <col min="1" max="2" width="10.28515625" style="227"/>
    <col min="3" max="3" width="28.5703125" style="227" customWidth="1"/>
    <col min="4" max="4" width="31.140625" style="227" customWidth="1"/>
    <col min="5" max="5" width="11.42578125" style="227" hidden="1" customWidth="1"/>
    <col min="6" max="6" width="9" style="227" customWidth="1"/>
    <col min="7" max="7" width="7.85546875" style="227" hidden="1" customWidth="1"/>
    <col min="8" max="8" width="8" style="227" hidden="1" customWidth="1"/>
    <col min="9" max="9" width="5" style="227" customWidth="1"/>
    <col min="10" max="11" width="6.28515625" style="227" customWidth="1"/>
    <col min="12" max="12" width="5" style="227" customWidth="1"/>
    <col min="13" max="14" width="6.28515625" style="227" customWidth="1"/>
    <col min="15" max="15" width="5" style="227" customWidth="1"/>
    <col min="16" max="17" width="6.28515625" style="227" customWidth="1"/>
    <col min="18" max="18" width="5" style="227" customWidth="1"/>
    <col min="19" max="20" width="6.28515625" style="227" customWidth="1"/>
    <col min="21" max="21" width="5" style="227" customWidth="1"/>
    <col min="22" max="22" width="7.5703125" style="227" customWidth="1"/>
    <col min="23" max="23" width="6.28515625" style="227" customWidth="1"/>
    <col min="24" max="24" width="7" style="227" customWidth="1"/>
    <col min="25" max="25" width="7.140625" style="227" customWidth="1"/>
    <col min="26" max="26" width="7.28515625" style="227" customWidth="1"/>
    <col min="27" max="27" width="6" style="227" customWidth="1"/>
    <col min="28" max="28" width="8.42578125" style="227" customWidth="1"/>
    <col min="29" max="29" width="6.28515625" style="227" customWidth="1"/>
    <col min="30" max="30" width="5" style="227" customWidth="1"/>
    <col min="31" max="31" width="8" style="227" customWidth="1"/>
    <col min="32" max="32" width="7.5703125" style="227" customWidth="1"/>
    <col min="33" max="33" width="5" style="227" customWidth="1"/>
    <col min="34" max="34" width="8.42578125" style="227" customWidth="1"/>
    <col min="35" max="35" width="6.28515625" style="227" customWidth="1"/>
    <col min="36" max="36" width="5" style="227" customWidth="1"/>
    <col min="37" max="39" width="6.28515625" style="227" customWidth="1"/>
    <col min="40" max="41" width="7.140625" style="227" customWidth="1"/>
    <col min="42" max="42" width="7" style="227" customWidth="1"/>
    <col min="43" max="98" width="10.28515625" style="227" customWidth="1"/>
    <col min="99" max="107" width="10.28515625" style="227" hidden="1" customWidth="1"/>
    <col min="108" max="108" width="8.7109375" style="227" customWidth="1"/>
    <col min="109" max="109" width="10.28515625" style="227" customWidth="1"/>
    <col min="110" max="110" width="10.7109375" style="227" customWidth="1"/>
    <col min="111" max="16384" width="10.28515625" style="227"/>
  </cols>
  <sheetData>
    <row r="1" spans="1:117" ht="30" customHeight="1" x14ac:dyDescent="0.6">
      <c r="A1" s="337"/>
      <c r="B1" s="447" t="s">
        <v>1073</v>
      </c>
      <c r="C1" s="447"/>
      <c r="D1" s="447"/>
      <c r="E1" s="337"/>
      <c r="F1" s="337"/>
      <c r="G1" s="337"/>
      <c r="H1" s="337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  <c r="AK1" s="338"/>
      <c r="AL1" s="338"/>
      <c r="AM1" s="338"/>
      <c r="AN1" s="338"/>
      <c r="AO1" s="338"/>
      <c r="AP1" s="339"/>
      <c r="AQ1" s="339"/>
      <c r="AR1" s="338"/>
      <c r="AS1" s="339"/>
      <c r="AT1" s="339"/>
      <c r="AU1" s="338"/>
      <c r="AV1" s="339"/>
      <c r="AW1" s="339"/>
      <c r="AX1" s="338"/>
      <c r="AY1" s="339"/>
      <c r="AZ1" s="339"/>
      <c r="BA1" s="338"/>
      <c r="BB1" s="339"/>
      <c r="BC1" s="339"/>
      <c r="BD1" s="338"/>
      <c r="BE1" s="339"/>
      <c r="BF1" s="339"/>
      <c r="BG1" s="338"/>
      <c r="BH1" s="339"/>
      <c r="BI1" s="339"/>
      <c r="BJ1" s="338"/>
      <c r="BK1" s="339"/>
      <c r="BL1" s="339"/>
      <c r="BM1" s="338"/>
      <c r="BN1" s="339"/>
      <c r="BO1" s="339"/>
      <c r="BP1" s="338"/>
      <c r="BQ1" s="339"/>
      <c r="BR1" s="339"/>
      <c r="BS1" s="338"/>
      <c r="BT1" s="338"/>
      <c r="BU1" s="338"/>
      <c r="BV1" s="338"/>
      <c r="BW1" s="339"/>
      <c r="BX1" s="339"/>
      <c r="BY1" s="338"/>
      <c r="BZ1" s="339"/>
      <c r="CA1" s="339"/>
      <c r="CB1" s="338"/>
      <c r="CC1" s="339"/>
      <c r="CD1" s="339"/>
      <c r="CE1" s="338"/>
      <c r="CF1" s="339"/>
      <c r="CG1" s="339"/>
      <c r="CH1" s="338"/>
      <c r="CI1" s="339"/>
      <c r="CJ1" s="339"/>
      <c r="CK1" s="338"/>
      <c r="CL1" s="339"/>
      <c r="CM1" s="339"/>
      <c r="CN1" s="338"/>
      <c r="CO1" s="339"/>
      <c r="CP1" s="339"/>
      <c r="CQ1" s="338"/>
      <c r="CR1" s="339"/>
      <c r="CS1" s="339"/>
      <c r="CT1" s="338"/>
      <c r="CU1" s="339"/>
      <c r="CV1" s="339"/>
      <c r="CW1" s="338"/>
      <c r="CX1" s="339"/>
      <c r="CY1" s="339"/>
      <c r="CZ1" s="338"/>
      <c r="DA1" s="339"/>
      <c r="DB1" s="338"/>
      <c r="DC1" s="338"/>
      <c r="DD1" s="338"/>
      <c r="DE1" s="338"/>
      <c r="DF1" s="338"/>
    </row>
    <row r="2" spans="1:117" ht="30" customHeight="1" x14ac:dyDescent="0.6">
      <c r="A2" s="337"/>
      <c r="B2" s="337"/>
      <c r="C2" s="337"/>
      <c r="D2" s="337"/>
      <c r="E2" s="337"/>
      <c r="F2" s="337"/>
      <c r="G2" s="337"/>
      <c r="H2" s="337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8"/>
      <c r="AJ2" s="338"/>
      <c r="AK2" s="338"/>
      <c r="AL2" s="338"/>
      <c r="AM2" s="338"/>
      <c r="AN2" s="338"/>
      <c r="AO2" s="338"/>
      <c r="AP2" s="339"/>
      <c r="AQ2" s="339"/>
      <c r="AR2" s="338"/>
      <c r="AS2" s="339"/>
      <c r="AT2" s="339"/>
      <c r="AU2" s="338"/>
      <c r="AV2" s="339"/>
      <c r="AW2" s="339"/>
      <c r="AX2" s="338"/>
      <c r="AY2" s="339"/>
      <c r="AZ2" s="339"/>
      <c r="BA2" s="338"/>
      <c r="BB2" s="339"/>
      <c r="BC2" s="339"/>
      <c r="BD2" s="338"/>
      <c r="BE2" s="339"/>
      <c r="BF2" s="339"/>
      <c r="BG2" s="338"/>
      <c r="BH2" s="339"/>
      <c r="BI2" s="339"/>
      <c r="BJ2" s="338"/>
      <c r="BK2" s="339"/>
      <c r="BL2" s="339"/>
      <c r="BM2" s="338"/>
      <c r="BN2" s="339"/>
      <c r="BO2" s="339"/>
      <c r="BP2" s="338"/>
      <c r="BQ2" s="339"/>
      <c r="BR2" s="339"/>
      <c r="BS2" s="338"/>
      <c r="BT2" s="338"/>
      <c r="BU2" s="338"/>
      <c r="BV2" s="338"/>
      <c r="BW2" s="339"/>
      <c r="BX2" s="339"/>
      <c r="BY2" s="338"/>
      <c r="BZ2" s="339"/>
      <c r="CA2" s="339"/>
      <c r="CB2" s="338"/>
      <c r="CC2" s="339"/>
      <c r="CD2" s="339"/>
      <c r="CE2" s="338"/>
      <c r="CF2" s="339"/>
      <c r="CG2" s="339"/>
      <c r="CH2" s="338"/>
      <c r="CI2" s="339"/>
      <c r="CJ2" s="339"/>
      <c r="CK2" s="338"/>
      <c r="CL2" s="339"/>
      <c r="CM2" s="339"/>
      <c r="CN2" s="338"/>
      <c r="CO2" s="339"/>
      <c r="CP2" s="339"/>
      <c r="CQ2" s="338"/>
      <c r="CR2" s="339"/>
      <c r="CS2" s="339"/>
      <c r="CT2" s="338"/>
      <c r="CU2" s="339"/>
      <c r="CV2" s="339"/>
      <c r="CW2" s="338"/>
      <c r="CX2" s="339"/>
      <c r="CY2" s="339"/>
      <c r="CZ2" s="338"/>
      <c r="DA2" s="339"/>
      <c r="DB2" s="338"/>
      <c r="DC2" s="338"/>
      <c r="DD2" s="338"/>
      <c r="DE2" s="338"/>
      <c r="DF2" s="338"/>
    </row>
    <row r="3" spans="1:117" ht="39" customHeight="1" x14ac:dyDescent="0.6">
      <c r="A3" s="318" t="s">
        <v>43</v>
      </c>
      <c r="B3" s="318" t="s">
        <v>689</v>
      </c>
      <c r="C3" s="318" t="s">
        <v>690</v>
      </c>
      <c r="D3" s="318" t="s">
        <v>691</v>
      </c>
      <c r="E3" s="340" t="s">
        <v>692</v>
      </c>
      <c r="F3" s="340" t="s">
        <v>693</v>
      </c>
      <c r="G3" s="341" t="s">
        <v>943</v>
      </c>
      <c r="H3" s="342"/>
      <c r="I3" s="409">
        <v>8798</v>
      </c>
      <c r="J3" s="409"/>
      <c r="K3" s="410"/>
      <c r="L3" s="409">
        <v>45690</v>
      </c>
      <c r="M3" s="409"/>
      <c r="N3" s="410"/>
      <c r="O3" s="409">
        <v>45691</v>
      </c>
      <c r="P3" s="409"/>
      <c r="Q3" s="410"/>
      <c r="R3" s="409">
        <v>45692</v>
      </c>
      <c r="S3" s="409"/>
      <c r="T3" s="410"/>
      <c r="U3" s="409">
        <v>45693</v>
      </c>
      <c r="V3" s="409"/>
      <c r="W3" s="410"/>
      <c r="X3" s="409">
        <v>45694</v>
      </c>
      <c r="Y3" s="409"/>
      <c r="Z3" s="410"/>
      <c r="AA3" s="409">
        <v>45695</v>
      </c>
      <c r="AB3" s="409"/>
      <c r="AC3" s="410"/>
      <c r="AD3" s="409">
        <v>45696</v>
      </c>
      <c r="AE3" s="409"/>
      <c r="AF3" s="410"/>
      <c r="AG3" s="409">
        <v>45697</v>
      </c>
      <c r="AH3" s="409"/>
      <c r="AI3" s="410"/>
      <c r="AJ3" s="409">
        <v>45698</v>
      </c>
      <c r="AK3" s="409"/>
      <c r="AL3" s="410"/>
      <c r="AM3" s="435" t="s">
        <v>717</v>
      </c>
      <c r="AN3" s="436"/>
      <c r="AO3" s="437"/>
      <c r="AP3" s="409">
        <v>46064</v>
      </c>
      <c r="AQ3" s="409"/>
      <c r="AR3" s="410"/>
      <c r="AS3" s="409">
        <v>46065</v>
      </c>
      <c r="AT3" s="409"/>
      <c r="AU3" s="410"/>
      <c r="AV3" s="409">
        <v>46066</v>
      </c>
      <c r="AW3" s="409"/>
      <c r="AX3" s="410"/>
      <c r="AY3" s="409">
        <v>46067</v>
      </c>
      <c r="AZ3" s="409"/>
      <c r="BA3" s="410"/>
      <c r="BB3" s="409">
        <v>46068</v>
      </c>
      <c r="BC3" s="409"/>
      <c r="BD3" s="410"/>
      <c r="BE3" s="409">
        <v>46069</v>
      </c>
      <c r="BF3" s="409"/>
      <c r="BG3" s="410"/>
      <c r="BH3" s="409">
        <v>46070</v>
      </c>
      <c r="BI3" s="409"/>
      <c r="BJ3" s="410"/>
      <c r="BK3" s="409">
        <v>46071</v>
      </c>
      <c r="BL3" s="409"/>
      <c r="BM3" s="410"/>
      <c r="BN3" s="409">
        <v>46072</v>
      </c>
      <c r="BO3" s="409"/>
      <c r="BP3" s="410"/>
      <c r="BQ3" s="409">
        <v>46073</v>
      </c>
      <c r="BR3" s="409"/>
      <c r="BS3" s="410"/>
      <c r="BT3" s="435" t="s">
        <v>718</v>
      </c>
      <c r="BU3" s="436"/>
      <c r="BV3" s="437"/>
      <c r="BW3" s="409">
        <v>46074</v>
      </c>
      <c r="BX3" s="409"/>
      <c r="BY3" s="410"/>
      <c r="BZ3" s="409">
        <v>46075</v>
      </c>
      <c r="CA3" s="409"/>
      <c r="CB3" s="410"/>
      <c r="CC3" s="409">
        <v>46076</v>
      </c>
      <c r="CD3" s="409"/>
      <c r="CE3" s="410"/>
      <c r="CF3" s="409">
        <v>46077</v>
      </c>
      <c r="CG3" s="409"/>
      <c r="CH3" s="410"/>
      <c r="CI3" s="409">
        <v>46078</v>
      </c>
      <c r="CJ3" s="409"/>
      <c r="CK3" s="410"/>
      <c r="CL3" s="409">
        <v>46079</v>
      </c>
      <c r="CM3" s="409"/>
      <c r="CN3" s="410"/>
      <c r="CO3" s="409">
        <v>46080</v>
      </c>
      <c r="CP3" s="409"/>
      <c r="CQ3" s="410"/>
      <c r="CR3" s="409">
        <v>46081</v>
      </c>
      <c r="CS3" s="409"/>
      <c r="CT3" s="410"/>
      <c r="CU3" s="409">
        <v>46051</v>
      </c>
      <c r="CV3" s="409"/>
      <c r="CW3" s="410"/>
      <c r="CX3" s="409">
        <v>46052</v>
      </c>
      <c r="CY3" s="409"/>
      <c r="CZ3" s="410"/>
      <c r="DA3" s="409">
        <v>46053</v>
      </c>
      <c r="DB3" s="409"/>
      <c r="DC3" s="410"/>
      <c r="DD3" s="435" t="s">
        <v>719</v>
      </c>
      <c r="DE3" s="436"/>
      <c r="DF3" s="437"/>
    </row>
    <row r="4" spans="1:117" ht="30" customHeight="1" x14ac:dyDescent="0.6">
      <c r="A4" s="318"/>
      <c r="B4" s="318"/>
      <c r="C4" s="318"/>
      <c r="D4" s="318"/>
      <c r="E4" s="318"/>
      <c r="F4" s="318"/>
      <c r="G4" s="318" t="s">
        <v>720</v>
      </c>
      <c r="H4" s="318" t="s">
        <v>721</v>
      </c>
      <c r="I4" s="233" t="s">
        <v>720</v>
      </c>
      <c r="J4" s="230" t="s">
        <v>721</v>
      </c>
      <c r="K4" s="230" t="s">
        <v>722</v>
      </c>
      <c r="L4" s="233" t="s">
        <v>720</v>
      </c>
      <c r="M4" s="230" t="s">
        <v>721</v>
      </c>
      <c r="N4" s="230" t="s">
        <v>722</v>
      </c>
      <c r="O4" s="233" t="s">
        <v>720</v>
      </c>
      <c r="P4" s="230" t="s">
        <v>721</v>
      </c>
      <c r="Q4" s="230" t="s">
        <v>722</v>
      </c>
      <c r="R4" s="233" t="s">
        <v>720</v>
      </c>
      <c r="S4" s="230" t="s">
        <v>721</v>
      </c>
      <c r="T4" s="230" t="s">
        <v>722</v>
      </c>
      <c r="U4" s="233" t="s">
        <v>720</v>
      </c>
      <c r="V4" s="230" t="s">
        <v>721</v>
      </c>
      <c r="W4" s="230" t="s">
        <v>722</v>
      </c>
      <c r="X4" s="233" t="s">
        <v>720</v>
      </c>
      <c r="Y4" s="230" t="s">
        <v>721</v>
      </c>
      <c r="Z4" s="230" t="s">
        <v>722</v>
      </c>
      <c r="AA4" s="233" t="s">
        <v>720</v>
      </c>
      <c r="AB4" s="230" t="s">
        <v>721</v>
      </c>
      <c r="AC4" s="230" t="s">
        <v>722</v>
      </c>
      <c r="AD4" s="233" t="s">
        <v>720</v>
      </c>
      <c r="AE4" s="230" t="s">
        <v>721</v>
      </c>
      <c r="AF4" s="230" t="s">
        <v>722</v>
      </c>
      <c r="AG4" s="233" t="s">
        <v>720</v>
      </c>
      <c r="AH4" s="230" t="s">
        <v>721</v>
      </c>
      <c r="AI4" s="230" t="s">
        <v>722</v>
      </c>
      <c r="AJ4" s="233" t="s">
        <v>720</v>
      </c>
      <c r="AK4" s="230" t="s">
        <v>721</v>
      </c>
      <c r="AL4" s="230" t="s">
        <v>722</v>
      </c>
      <c r="AM4" s="320" t="s">
        <v>720</v>
      </c>
      <c r="AN4" s="321" t="s">
        <v>721</v>
      </c>
      <c r="AO4" s="321" t="s">
        <v>722</v>
      </c>
      <c r="AP4" s="233" t="s">
        <v>720</v>
      </c>
      <c r="AQ4" s="230" t="s">
        <v>721</v>
      </c>
      <c r="AR4" s="230" t="s">
        <v>723</v>
      </c>
      <c r="AS4" s="233" t="s">
        <v>720</v>
      </c>
      <c r="AT4" s="230" t="s">
        <v>721</v>
      </c>
      <c r="AU4" s="230" t="s">
        <v>723</v>
      </c>
      <c r="AV4" s="233" t="s">
        <v>720</v>
      </c>
      <c r="AW4" s="230" t="s">
        <v>721</v>
      </c>
      <c r="AX4" s="230" t="s">
        <v>723</v>
      </c>
      <c r="AY4" s="233" t="s">
        <v>720</v>
      </c>
      <c r="AZ4" s="230" t="s">
        <v>721</v>
      </c>
      <c r="BA4" s="230" t="s">
        <v>723</v>
      </c>
      <c r="BB4" s="233" t="s">
        <v>720</v>
      </c>
      <c r="BC4" s="230" t="s">
        <v>721</v>
      </c>
      <c r="BD4" s="230" t="s">
        <v>723</v>
      </c>
      <c r="BE4" s="233" t="s">
        <v>720</v>
      </c>
      <c r="BF4" s="230" t="s">
        <v>721</v>
      </c>
      <c r="BG4" s="230" t="s">
        <v>723</v>
      </c>
      <c r="BH4" s="233" t="s">
        <v>720</v>
      </c>
      <c r="BI4" s="230" t="s">
        <v>721</v>
      </c>
      <c r="BJ4" s="230" t="s">
        <v>723</v>
      </c>
      <c r="BK4" s="233" t="s">
        <v>720</v>
      </c>
      <c r="BL4" s="230" t="s">
        <v>721</v>
      </c>
      <c r="BM4" s="230" t="s">
        <v>723</v>
      </c>
      <c r="BN4" s="233" t="s">
        <v>720</v>
      </c>
      <c r="BO4" s="230" t="s">
        <v>721</v>
      </c>
      <c r="BP4" s="230" t="s">
        <v>723</v>
      </c>
      <c r="BQ4" s="233" t="s">
        <v>720</v>
      </c>
      <c r="BR4" s="230" t="s">
        <v>721</v>
      </c>
      <c r="BS4" s="230" t="s">
        <v>723</v>
      </c>
      <c r="BT4" s="320" t="s">
        <v>720</v>
      </c>
      <c r="BU4" s="321" t="s">
        <v>721</v>
      </c>
      <c r="BV4" s="321" t="s">
        <v>722</v>
      </c>
      <c r="BW4" s="233" t="s">
        <v>720</v>
      </c>
      <c r="BX4" s="230" t="s">
        <v>721</v>
      </c>
      <c r="BY4" s="230" t="s">
        <v>723</v>
      </c>
      <c r="BZ4" s="233" t="s">
        <v>720</v>
      </c>
      <c r="CA4" s="230" t="s">
        <v>721</v>
      </c>
      <c r="CB4" s="230" t="s">
        <v>723</v>
      </c>
      <c r="CC4" s="233" t="s">
        <v>720</v>
      </c>
      <c r="CD4" s="230" t="s">
        <v>721</v>
      </c>
      <c r="CE4" s="230" t="s">
        <v>723</v>
      </c>
      <c r="CF4" s="233" t="s">
        <v>720</v>
      </c>
      <c r="CG4" s="230" t="s">
        <v>721</v>
      </c>
      <c r="CH4" s="230" t="s">
        <v>723</v>
      </c>
      <c r="CI4" s="233" t="s">
        <v>720</v>
      </c>
      <c r="CJ4" s="230" t="s">
        <v>721</v>
      </c>
      <c r="CK4" s="230" t="s">
        <v>723</v>
      </c>
      <c r="CL4" s="233" t="s">
        <v>720</v>
      </c>
      <c r="CM4" s="230" t="s">
        <v>721</v>
      </c>
      <c r="CN4" s="230" t="s">
        <v>723</v>
      </c>
      <c r="CO4" s="233" t="s">
        <v>720</v>
      </c>
      <c r="CP4" s="230" t="s">
        <v>721</v>
      </c>
      <c r="CQ4" s="230" t="s">
        <v>723</v>
      </c>
      <c r="CR4" s="233" t="s">
        <v>720</v>
      </c>
      <c r="CS4" s="230" t="s">
        <v>721</v>
      </c>
      <c r="CT4" s="230" t="s">
        <v>723</v>
      </c>
      <c r="CU4" s="233" t="s">
        <v>720</v>
      </c>
      <c r="CV4" s="230" t="s">
        <v>721</v>
      </c>
      <c r="CW4" s="230" t="s">
        <v>723</v>
      </c>
      <c r="CX4" s="233" t="s">
        <v>720</v>
      </c>
      <c r="CY4" s="230" t="s">
        <v>721</v>
      </c>
      <c r="CZ4" s="230" t="s">
        <v>723</v>
      </c>
      <c r="DA4" s="233" t="s">
        <v>720</v>
      </c>
      <c r="DB4" s="230" t="s">
        <v>721</v>
      </c>
      <c r="DC4" s="230" t="s">
        <v>723</v>
      </c>
      <c r="DD4" s="320" t="s">
        <v>720</v>
      </c>
      <c r="DE4" s="321" t="s">
        <v>721</v>
      </c>
      <c r="DF4" s="321" t="s">
        <v>722</v>
      </c>
      <c r="DK4" s="229"/>
      <c r="DL4" s="229"/>
      <c r="DM4" s="229"/>
    </row>
    <row r="5" spans="1:117" s="345" customFormat="1" ht="20.100000000000001" customHeight="1" x14ac:dyDescent="0.6">
      <c r="A5" s="343">
        <v>1</v>
      </c>
      <c r="B5" s="343" t="s">
        <v>694</v>
      </c>
      <c r="C5" s="444" t="s">
        <v>1074</v>
      </c>
      <c r="D5" s="343" t="s">
        <v>696</v>
      </c>
      <c r="E5" s="343"/>
      <c r="F5" s="343">
        <v>2</v>
      </c>
      <c r="G5" s="344"/>
      <c r="H5" s="241"/>
      <c r="I5" s="271"/>
      <c r="J5" s="271"/>
      <c r="K5" s="271"/>
      <c r="L5" s="271">
        <v>5</v>
      </c>
      <c r="M5" s="271">
        <v>128</v>
      </c>
      <c r="N5" s="271">
        <v>60.4</v>
      </c>
      <c r="O5" s="271">
        <v>9</v>
      </c>
      <c r="P5" s="253">
        <v>196</v>
      </c>
      <c r="Q5" s="271">
        <v>107.92</v>
      </c>
      <c r="R5" s="271">
        <v>28</v>
      </c>
      <c r="S5" s="253">
        <v>396</v>
      </c>
      <c r="T5" s="271">
        <v>316.88</v>
      </c>
      <c r="U5" s="271">
        <v>21</v>
      </c>
      <c r="V5" s="271">
        <v>340</v>
      </c>
      <c r="W5" s="271">
        <v>251.92000000000002</v>
      </c>
      <c r="X5" s="271">
        <v>23</v>
      </c>
      <c r="Y5" s="253">
        <v>450</v>
      </c>
      <c r="Z5" s="271">
        <v>278.88</v>
      </c>
      <c r="AA5" s="271">
        <v>16.25</v>
      </c>
      <c r="AB5" s="253">
        <v>341</v>
      </c>
      <c r="AC5" s="271">
        <v>180.57999999999998</v>
      </c>
      <c r="AD5" s="271"/>
      <c r="AE5" s="271"/>
      <c r="AF5" s="271"/>
      <c r="AG5" s="271">
        <v>15</v>
      </c>
      <c r="AH5" s="271">
        <v>460</v>
      </c>
      <c r="AI5" s="271">
        <v>200</v>
      </c>
      <c r="AJ5" s="271">
        <v>15.666</v>
      </c>
      <c r="AK5" s="271">
        <v>244</v>
      </c>
      <c r="AL5" s="271">
        <v>189.44</v>
      </c>
      <c r="AM5" s="272">
        <f t="shared" ref="AM5:AN15" si="0">+AJ5+AG5+AD5+AA5+X5+U5+R5+O5+L5+I5</f>
        <v>132.916</v>
      </c>
      <c r="AN5" s="272">
        <f t="shared" si="0"/>
        <v>2555</v>
      </c>
      <c r="AO5" s="272">
        <f>K5+N5+Q5+T5+W5+Z5+AC5+AF5+AI5+AL5</f>
        <v>1586.02</v>
      </c>
      <c r="AP5" s="273">
        <v>19</v>
      </c>
      <c r="AQ5" s="273">
        <v>262</v>
      </c>
      <c r="AR5" s="271">
        <v>220.88</v>
      </c>
      <c r="AS5" s="273">
        <v>21</v>
      </c>
      <c r="AT5" s="273">
        <v>448</v>
      </c>
      <c r="AU5" s="271">
        <v>266</v>
      </c>
      <c r="AV5" s="273">
        <v>22</v>
      </c>
      <c r="AW5" s="273">
        <v>292</v>
      </c>
      <c r="AX5" s="271">
        <v>256.39999999999998</v>
      </c>
      <c r="AY5" s="273">
        <v>26</v>
      </c>
      <c r="AZ5" s="273">
        <v>564</v>
      </c>
      <c r="BA5" s="271">
        <v>322.32</v>
      </c>
      <c r="BB5" s="273"/>
      <c r="BC5" s="273"/>
      <c r="BD5" s="271"/>
      <c r="BE5" s="273">
        <v>30</v>
      </c>
      <c r="BF5" s="273">
        <v>556</v>
      </c>
      <c r="BG5" s="271">
        <v>359.6</v>
      </c>
      <c r="BH5" s="273">
        <v>26</v>
      </c>
      <c r="BI5" s="273">
        <v>592</v>
      </c>
      <c r="BJ5" s="271">
        <v>317.60000000000002</v>
      </c>
      <c r="BK5" s="273">
        <v>12.25</v>
      </c>
      <c r="BL5" s="273">
        <v>207</v>
      </c>
      <c r="BM5" s="271">
        <v>136.58000000000001</v>
      </c>
      <c r="BN5" s="273">
        <v>14</v>
      </c>
      <c r="BO5" s="273">
        <v>282</v>
      </c>
      <c r="BP5" s="271">
        <v>168.16</v>
      </c>
      <c r="BQ5" s="273">
        <v>10</v>
      </c>
      <c r="BR5" s="273">
        <v>120</v>
      </c>
      <c r="BS5" s="271">
        <v>120</v>
      </c>
      <c r="BT5" s="272">
        <f t="shared" ref="BT5:BU15" si="1">+BQ5+BN5+BK5+BH5+BE5+BB5+AY5+AV5+AS5+AP5+AM5</f>
        <v>313.166</v>
      </c>
      <c r="BU5" s="272">
        <f t="shared" si="1"/>
        <v>5878</v>
      </c>
      <c r="BV5" s="272">
        <f>AO5+AR5+AU5+AX5+BA5+BD5+BG5+BJ5+BM5+BP5+BS5</f>
        <v>3753.56</v>
      </c>
      <c r="BW5" s="273">
        <v>43</v>
      </c>
      <c r="BX5" s="273">
        <v>666</v>
      </c>
      <c r="BY5" s="271">
        <v>501.2</v>
      </c>
      <c r="BZ5" s="273"/>
      <c r="CA5" s="273"/>
      <c r="CB5" s="271"/>
      <c r="CC5" s="273">
        <v>39</v>
      </c>
      <c r="CD5" s="273">
        <v>758</v>
      </c>
      <c r="CE5" s="271">
        <v>458.39999999999992</v>
      </c>
      <c r="CF5" s="273">
        <v>21</v>
      </c>
      <c r="CG5" s="273">
        <v>366</v>
      </c>
      <c r="CH5" s="271">
        <v>256.96000000000004</v>
      </c>
      <c r="CI5" s="273">
        <v>18.25</v>
      </c>
      <c r="CJ5" s="273">
        <v>275</v>
      </c>
      <c r="CK5" s="271">
        <v>217.29999999999998</v>
      </c>
      <c r="CL5" s="273">
        <v>38</v>
      </c>
      <c r="CM5" s="273">
        <v>772</v>
      </c>
      <c r="CN5" s="271">
        <v>465.84000000000003</v>
      </c>
      <c r="CO5" s="273">
        <v>33</v>
      </c>
      <c r="CP5" s="273">
        <v>704</v>
      </c>
      <c r="CQ5" s="271">
        <v>401.2</v>
      </c>
      <c r="CR5" s="273">
        <v>31</v>
      </c>
      <c r="CS5" s="273">
        <v>686</v>
      </c>
      <c r="CT5" s="271">
        <v>370.48</v>
      </c>
      <c r="CU5" s="273"/>
      <c r="CV5" s="273"/>
      <c r="CW5" s="271"/>
      <c r="CX5" s="273"/>
      <c r="CY5" s="273"/>
      <c r="CZ5" s="271"/>
      <c r="DA5" s="273"/>
      <c r="DB5" s="271"/>
      <c r="DC5" s="271"/>
      <c r="DD5" s="272">
        <f>+DA5+CX5+CU5+CR5+CO5+CL5+CI5+CF5+CC5+BZ5+BW5+BT5</f>
        <v>536.41599999999994</v>
      </c>
      <c r="DE5" s="272">
        <f>+DB5+CY5+CV5+CS5+CP5+CM5+CJ5+CG5+CD5+CA5+BX5+BU5</f>
        <v>10105</v>
      </c>
      <c r="DF5" s="272">
        <f>BV5+BY5+CB5+CE5+CH5+CK5+CN5+CQ5+CT5+CW5+CZ5+DC5</f>
        <v>6424.9400000000005</v>
      </c>
      <c r="DK5" s="346"/>
      <c r="DL5" s="346"/>
      <c r="DM5" s="346"/>
    </row>
    <row r="6" spans="1:117" s="345" customFormat="1" ht="20.100000000000001" customHeight="1" x14ac:dyDescent="0.6">
      <c r="A6" s="343">
        <v>2</v>
      </c>
      <c r="B6" s="343" t="s">
        <v>697</v>
      </c>
      <c r="C6" s="444"/>
      <c r="D6" s="343" t="s">
        <v>698</v>
      </c>
      <c r="E6" s="343"/>
      <c r="F6" s="343">
        <v>2</v>
      </c>
      <c r="G6" s="344"/>
      <c r="H6" s="241"/>
      <c r="I6" s="271"/>
      <c r="J6" s="271"/>
      <c r="K6" s="271"/>
      <c r="L6" s="271">
        <v>18</v>
      </c>
      <c r="M6" s="271">
        <v>440</v>
      </c>
      <c r="N6" s="271">
        <v>232</v>
      </c>
      <c r="O6" s="271">
        <v>19</v>
      </c>
      <c r="P6" s="253">
        <v>438</v>
      </c>
      <c r="Q6" s="271">
        <v>220.72000000000003</v>
      </c>
      <c r="R6" s="271">
        <v>33</v>
      </c>
      <c r="S6" s="253">
        <v>566</v>
      </c>
      <c r="T6" s="271">
        <v>376.15999999999997</v>
      </c>
      <c r="U6" s="271">
        <v>33</v>
      </c>
      <c r="V6" s="271">
        <v>788</v>
      </c>
      <c r="W6" s="271">
        <v>419.2</v>
      </c>
      <c r="X6" s="271">
        <v>44</v>
      </c>
      <c r="Y6" s="253">
        <v>770</v>
      </c>
      <c r="Z6" s="271">
        <v>469.84000000000003</v>
      </c>
      <c r="AA6" s="271">
        <v>70</v>
      </c>
      <c r="AB6" s="253">
        <v>1070</v>
      </c>
      <c r="AC6" s="271">
        <v>791.52</v>
      </c>
      <c r="AD6" s="271"/>
      <c r="AE6" s="271"/>
      <c r="AF6" s="271"/>
      <c r="AG6" s="271">
        <v>43</v>
      </c>
      <c r="AH6" s="271">
        <v>768</v>
      </c>
      <c r="AI6" s="271">
        <v>514.79999999999995</v>
      </c>
      <c r="AJ6" s="271">
        <v>26</v>
      </c>
      <c r="AK6" s="271">
        <v>416</v>
      </c>
      <c r="AL6" s="271">
        <v>282.8</v>
      </c>
      <c r="AM6" s="272">
        <f t="shared" si="0"/>
        <v>286</v>
      </c>
      <c r="AN6" s="272">
        <f t="shared" si="0"/>
        <v>5256</v>
      </c>
      <c r="AO6" s="272">
        <f t="shared" ref="AO6:AO15" si="2">K6+N6+Q6+T6+W6+Z6+AC6+AF6+AI6+AL6</f>
        <v>3307.04</v>
      </c>
      <c r="AP6" s="273">
        <v>30</v>
      </c>
      <c r="AQ6" s="273">
        <v>766</v>
      </c>
      <c r="AR6" s="271">
        <v>342.72</v>
      </c>
      <c r="AS6" s="273">
        <v>27.83</v>
      </c>
      <c r="AT6" s="273">
        <v>418</v>
      </c>
      <c r="AU6" s="271">
        <v>336.4</v>
      </c>
      <c r="AV6" s="273">
        <v>47</v>
      </c>
      <c r="AW6" s="273">
        <v>1012</v>
      </c>
      <c r="AX6" s="271">
        <v>561.20000000000005</v>
      </c>
      <c r="AY6" s="273">
        <v>39</v>
      </c>
      <c r="AZ6" s="273">
        <v>602</v>
      </c>
      <c r="BA6" s="271">
        <v>406.56</v>
      </c>
      <c r="BB6" s="273"/>
      <c r="BC6" s="273"/>
      <c r="BD6" s="271"/>
      <c r="BE6" s="273">
        <v>28</v>
      </c>
      <c r="BF6" s="273">
        <v>480</v>
      </c>
      <c r="BG6" s="271">
        <v>320.72000000000003</v>
      </c>
      <c r="BH6" s="273">
        <v>31</v>
      </c>
      <c r="BI6" s="273">
        <v>704</v>
      </c>
      <c r="BJ6" s="271">
        <v>357.52</v>
      </c>
      <c r="BK6" s="273">
        <v>28</v>
      </c>
      <c r="BL6" s="273">
        <v>350</v>
      </c>
      <c r="BM6" s="271">
        <v>282.08</v>
      </c>
      <c r="BN6" s="273">
        <v>22</v>
      </c>
      <c r="BO6" s="273">
        <v>380</v>
      </c>
      <c r="BP6" s="271">
        <v>265.92</v>
      </c>
      <c r="BQ6" s="273">
        <v>35</v>
      </c>
      <c r="BR6" s="273">
        <v>654</v>
      </c>
      <c r="BS6" s="271">
        <v>396.8</v>
      </c>
      <c r="BT6" s="272">
        <f t="shared" si="1"/>
        <v>573.82999999999993</v>
      </c>
      <c r="BU6" s="272">
        <f t="shared" si="1"/>
        <v>10622</v>
      </c>
      <c r="BV6" s="272">
        <f t="shared" ref="BV6:BV15" si="3">AO6+AR6+AU6+AX6+BA6+BD6+BG6+BJ6+BM6+BP6+BS6</f>
        <v>6576.9600000000019</v>
      </c>
      <c r="BW6" s="273">
        <v>54</v>
      </c>
      <c r="BX6" s="273">
        <v>868</v>
      </c>
      <c r="BY6" s="271">
        <v>576.16</v>
      </c>
      <c r="BZ6" s="273"/>
      <c r="CA6" s="273"/>
      <c r="CB6" s="271"/>
      <c r="CC6" s="273">
        <v>37</v>
      </c>
      <c r="CD6" s="273">
        <v>584</v>
      </c>
      <c r="CE6" s="271">
        <v>415.59999999999997</v>
      </c>
      <c r="CF6" s="273">
        <v>18</v>
      </c>
      <c r="CG6" s="273">
        <v>302</v>
      </c>
      <c r="CH6" s="271">
        <v>218.96</v>
      </c>
      <c r="CI6" s="273">
        <v>16</v>
      </c>
      <c r="CJ6" s="273">
        <v>230</v>
      </c>
      <c r="CK6" s="271">
        <v>154.80000000000001</v>
      </c>
      <c r="CL6" s="273">
        <v>20</v>
      </c>
      <c r="CM6" s="273">
        <v>356</v>
      </c>
      <c r="CN6" s="271">
        <v>219.12</v>
      </c>
      <c r="CO6" s="273">
        <v>29</v>
      </c>
      <c r="CP6" s="273">
        <v>450</v>
      </c>
      <c r="CQ6" s="271">
        <v>302.64</v>
      </c>
      <c r="CR6" s="273"/>
      <c r="CS6" s="273"/>
      <c r="CT6" s="271"/>
      <c r="CU6" s="273"/>
      <c r="CV6" s="273"/>
      <c r="CW6" s="271"/>
      <c r="CX6" s="273"/>
      <c r="CY6" s="273"/>
      <c r="CZ6" s="271"/>
      <c r="DA6" s="273"/>
      <c r="DB6" s="271"/>
      <c r="DC6" s="271"/>
      <c r="DD6" s="272">
        <f t="shared" ref="DD6:DE15" si="4">+DA6+CX6+CU6+CR6+CO6+CL6+CI6+CF6+CC6+BZ6+BW6+BT6</f>
        <v>747.82999999999993</v>
      </c>
      <c r="DE6" s="272">
        <f t="shared" si="4"/>
        <v>13412</v>
      </c>
      <c r="DF6" s="272">
        <f t="shared" ref="DF6:DF15" si="5">BV6+BY6+CB6+CE6+CH6+CK6+CN6+CQ6+CT6+CW6+CZ6+DC6</f>
        <v>8464.2400000000016</v>
      </c>
      <c r="DK6" s="346"/>
      <c r="DL6" s="346"/>
      <c r="DM6" s="346"/>
    </row>
    <row r="7" spans="1:117" s="345" customFormat="1" ht="20.100000000000001" customHeight="1" x14ac:dyDescent="0.6">
      <c r="A7" s="343">
        <v>3</v>
      </c>
      <c r="B7" s="343" t="s">
        <v>699</v>
      </c>
      <c r="C7" s="444" t="s">
        <v>1075</v>
      </c>
      <c r="D7" s="343" t="s">
        <v>1076</v>
      </c>
      <c r="E7" s="343"/>
      <c r="F7" s="343">
        <v>2</v>
      </c>
      <c r="G7" s="344"/>
      <c r="H7" s="241"/>
      <c r="I7" s="271"/>
      <c r="J7" s="271"/>
      <c r="K7" s="271"/>
      <c r="L7" s="271">
        <v>47</v>
      </c>
      <c r="M7" s="271">
        <v>940</v>
      </c>
      <c r="N7" s="271">
        <v>557.59999999999991</v>
      </c>
      <c r="O7" s="271">
        <v>53</v>
      </c>
      <c r="P7" s="253">
        <v>854</v>
      </c>
      <c r="Q7" s="271">
        <v>616.56000000000006</v>
      </c>
      <c r="R7" s="271">
        <v>61</v>
      </c>
      <c r="S7" s="253">
        <v>1106</v>
      </c>
      <c r="T7" s="271">
        <v>724.80000000000007</v>
      </c>
      <c r="U7" s="271">
        <v>36</v>
      </c>
      <c r="V7" s="271">
        <v>492</v>
      </c>
      <c r="W7" s="271">
        <v>429.92</v>
      </c>
      <c r="X7" s="271">
        <v>43</v>
      </c>
      <c r="Y7" s="253">
        <v>558</v>
      </c>
      <c r="Z7" s="271">
        <v>496.72</v>
      </c>
      <c r="AA7" s="271">
        <v>43</v>
      </c>
      <c r="AB7" s="253">
        <v>712</v>
      </c>
      <c r="AC7" s="271">
        <v>517.52</v>
      </c>
      <c r="AD7" s="271"/>
      <c r="AE7" s="271"/>
      <c r="AF7" s="271"/>
      <c r="AG7" s="271">
        <v>24</v>
      </c>
      <c r="AH7" s="271">
        <v>318</v>
      </c>
      <c r="AI7" s="271">
        <v>277.36</v>
      </c>
      <c r="AJ7" s="271">
        <v>40</v>
      </c>
      <c r="AK7" s="271">
        <v>620</v>
      </c>
      <c r="AL7" s="271">
        <v>486.4</v>
      </c>
      <c r="AM7" s="272">
        <f t="shared" si="0"/>
        <v>347</v>
      </c>
      <c r="AN7" s="272">
        <f t="shared" si="0"/>
        <v>5600</v>
      </c>
      <c r="AO7" s="272">
        <f t="shared" si="2"/>
        <v>4106.88</v>
      </c>
      <c r="AP7" s="273">
        <v>46</v>
      </c>
      <c r="AQ7" s="273">
        <v>776</v>
      </c>
      <c r="AR7" s="271">
        <v>532</v>
      </c>
      <c r="AS7" s="273">
        <v>37</v>
      </c>
      <c r="AT7" s="273">
        <v>618</v>
      </c>
      <c r="AU7" s="271">
        <v>442.08</v>
      </c>
      <c r="AV7" s="273">
        <v>33</v>
      </c>
      <c r="AW7" s="273">
        <v>512</v>
      </c>
      <c r="AX7" s="271">
        <v>376.32</v>
      </c>
      <c r="AY7" s="273">
        <v>38</v>
      </c>
      <c r="AZ7" s="273">
        <v>682</v>
      </c>
      <c r="BA7" s="271">
        <v>468.96</v>
      </c>
      <c r="BB7" s="273"/>
      <c r="BC7" s="273"/>
      <c r="BD7" s="271"/>
      <c r="BE7" s="273">
        <v>53</v>
      </c>
      <c r="BF7" s="273">
        <v>860</v>
      </c>
      <c r="BG7" s="271">
        <v>638.55999999999995</v>
      </c>
      <c r="BH7" s="273">
        <v>35</v>
      </c>
      <c r="BI7" s="273">
        <v>560</v>
      </c>
      <c r="BJ7" s="271">
        <v>394</v>
      </c>
      <c r="BK7" s="273">
        <v>9</v>
      </c>
      <c r="BL7" s="273">
        <v>164</v>
      </c>
      <c r="BM7" s="271">
        <v>112</v>
      </c>
      <c r="BN7" s="273">
        <v>29</v>
      </c>
      <c r="BO7" s="273">
        <v>544</v>
      </c>
      <c r="BP7" s="271">
        <v>362</v>
      </c>
      <c r="BQ7" s="273">
        <v>38</v>
      </c>
      <c r="BR7" s="273">
        <v>556</v>
      </c>
      <c r="BS7" s="271">
        <v>437.68</v>
      </c>
      <c r="BT7" s="272">
        <f t="shared" si="1"/>
        <v>665</v>
      </c>
      <c r="BU7" s="272">
        <f t="shared" si="1"/>
        <v>10872</v>
      </c>
      <c r="BV7" s="272">
        <f t="shared" si="3"/>
        <v>7870.48</v>
      </c>
      <c r="BW7" s="273">
        <v>28</v>
      </c>
      <c r="BX7" s="273">
        <v>476</v>
      </c>
      <c r="BY7" s="271">
        <v>338.56</v>
      </c>
      <c r="BZ7" s="273"/>
      <c r="CA7" s="273"/>
      <c r="CB7" s="271"/>
      <c r="CC7" s="273">
        <v>27.5</v>
      </c>
      <c r="CD7" s="273">
        <v>472</v>
      </c>
      <c r="CE7" s="271">
        <v>317.76</v>
      </c>
      <c r="CF7" s="273">
        <v>28.833333333333332</v>
      </c>
      <c r="CG7" s="273">
        <v>494</v>
      </c>
      <c r="CH7" s="271">
        <v>343.84000000000003</v>
      </c>
      <c r="CI7" s="273">
        <v>41</v>
      </c>
      <c r="CJ7" s="273">
        <v>690</v>
      </c>
      <c r="CK7" s="271">
        <v>483.76</v>
      </c>
      <c r="CL7" s="273">
        <v>27</v>
      </c>
      <c r="CM7" s="273">
        <v>360</v>
      </c>
      <c r="CN7" s="271">
        <v>313.84000000000003</v>
      </c>
      <c r="CO7" s="273">
        <v>44</v>
      </c>
      <c r="CP7" s="273">
        <v>616</v>
      </c>
      <c r="CQ7" s="271">
        <v>468.96</v>
      </c>
      <c r="CR7" s="273">
        <v>36</v>
      </c>
      <c r="CS7" s="273">
        <v>490</v>
      </c>
      <c r="CT7" s="271">
        <v>428.16</v>
      </c>
      <c r="CU7" s="273"/>
      <c r="CV7" s="273"/>
      <c r="CW7" s="271"/>
      <c r="CX7" s="273"/>
      <c r="CY7" s="273"/>
      <c r="CZ7" s="271"/>
      <c r="DA7" s="273"/>
      <c r="DB7" s="271"/>
      <c r="DC7" s="271"/>
      <c r="DD7" s="272">
        <f t="shared" si="4"/>
        <v>897.33333333333337</v>
      </c>
      <c r="DE7" s="272">
        <f t="shared" si="4"/>
        <v>14470</v>
      </c>
      <c r="DF7" s="272">
        <f t="shared" si="5"/>
        <v>10565.359999999999</v>
      </c>
      <c r="DK7" s="346"/>
      <c r="DL7" s="346"/>
      <c r="DM7" s="346"/>
    </row>
    <row r="8" spans="1:117" s="345" customFormat="1" ht="20.100000000000001" customHeight="1" x14ac:dyDescent="0.6">
      <c r="A8" s="343">
        <v>4</v>
      </c>
      <c r="B8" s="343" t="s">
        <v>702</v>
      </c>
      <c r="C8" s="444"/>
      <c r="D8" s="343" t="s">
        <v>1077</v>
      </c>
      <c r="E8" s="343"/>
      <c r="F8" s="343">
        <v>2</v>
      </c>
      <c r="G8" s="344"/>
      <c r="H8" s="241"/>
      <c r="I8" s="271"/>
      <c r="J8" s="271"/>
      <c r="K8" s="271"/>
      <c r="L8" s="271">
        <v>40</v>
      </c>
      <c r="M8" s="271">
        <v>630</v>
      </c>
      <c r="N8" s="271">
        <v>450.8</v>
      </c>
      <c r="O8" s="271">
        <v>41</v>
      </c>
      <c r="P8" s="253">
        <v>530</v>
      </c>
      <c r="Q8" s="271">
        <v>464.40000000000003</v>
      </c>
      <c r="R8" s="271">
        <v>36</v>
      </c>
      <c r="S8" s="253">
        <v>544</v>
      </c>
      <c r="T8" s="271">
        <v>430.4</v>
      </c>
      <c r="U8" s="271">
        <v>50</v>
      </c>
      <c r="V8" s="271">
        <v>672</v>
      </c>
      <c r="W8" s="271">
        <v>530.32000000000005</v>
      </c>
      <c r="X8" s="271">
        <v>31</v>
      </c>
      <c r="Y8" s="253">
        <v>512</v>
      </c>
      <c r="Z8" s="271">
        <v>358</v>
      </c>
      <c r="AA8" s="271">
        <v>68</v>
      </c>
      <c r="AB8" s="253">
        <v>932</v>
      </c>
      <c r="AC8" s="271">
        <v>803.5200000000001</v>
      </c>
      <c r="AD8" s="271"/>
      <c r="AE8" s="271"/>
      <c r="AF8" s="271"/>
      <c r="AG8" s="271">
        <v>24</v>
      </c>
      <c r="AH8" s="271">
        <v>322</v>
      </c>
      <c r="AI8" s="271">
        <v>266.47999999999996</v>
      </c>
      <c r="AJ8" s="271">
        <v>37</v>
      </c>
      <c r="AK8" s="271">
        <v>500</v>
      </c>
      <c r="AL8" s="271">
        <v>438.4</v>
      </c>
      <c r="AM8" s="272">
        <f t="shared" si="0"/>
        <v>327</v>
      </c>
      <c r="AN8" s="272">
        <f t="shared" si="0"/>
        <v>4642</v>
      </c>
      <c r="AO8" s="272">
        <f t="shared" si="2"/>
        <v>3742.32</v>
      </c>
      <c r="AP8" s="273">
        <v>15</v>
      </c>
      <c r="AQ8" s="273">
        <v>264</v>
      </c>
      <c r="AR8" s="271">
        <v>171.6</v>
      </c>
      <c r="AS8" s="273">
        <v>26.75</v>
      </c>
      <c r="AT8" s="273">
        <v>545</v>
      </c>
      <c r="AU8" s="271">
        <v>327.39999999999998</v>
      </c>
      <c r="AV8" s="273">
        <v>36</v>
      </c>
      <c r="AW8" s="273">
        <v>536</v>
      </c>
      <c r="AX8" s="271">
        <v>407.6</v>
      </c>
      <c r="AY8" s="273">
        <v>48</v>
      </c>
      <c r="AZ8" s="273">
        <v>688</v>
      </c>
      <c r="BA8" s="271">
        <v>560</v>
      </c>
      <c r="BB8" s="273"/>
      <c r="BC8" s="273"/>
      <c r="BD8" s="271"/>
      <c r="BE8" s="273">
        <v>40</v>
      </c>
      <c r="BF8" s="273">
        <v>490</v>
      </c>
      <c r="BG8" s="271">
        <v>392.8</v>
      </c>
      <c r="BH8" s="273">
        <v>25</v>
      </c>
      <c r="BI8" s="273">
        <v>366</v>
      </c>
      <c r="BJ8" s="271">
        <v>288.8</v>
      </c>
      <c r="BK8" s="273">
        <v>22</v>
      </c>
      <c r="BL8" s="273">
        <v>488</v>
      </c>
      <c r="BM8" s="271">
        <v>270.39999999999998</v>
      </c>
      <c r="BN8" s="273">
        <v>31</v>
      </c>
      <c r="BO8" s="273">
        <v>440</v>
      </c>
      <c r="BP8" s="271">
        <v>313.2</v>
      </c>
      <c r="BQ8" s="273">
        <v>20</v>
      </c>
      <c r="BR8" s="273">
        <v>380</v>
      </c>
      <c r="BS8" s="271">
        <v>250</v>
      </c>
      <c r="BT8" s="272">
        <f t="shared" si="1"/>
        <v>590.75</v>
      </c>
      <c r="BU8" s="272">
        <f t="shared" si="1"/>
        <v>8839</v>
      </c>
      <c r="BV8" s="272">
        <f t="shared" si="3"/>
        <v>6724.12</v>
      </c>
      <c r="BW8" s="273">
        <v>31</v>
      </c>
      <c r="BX8" s="273">
        <v>512</v>
      </c>
      <c r="BY8" s="271">
        <v>382</v>
      </c>
      <c r="BZ8" s="273"/>
      <c r="CA8" s="273"/>
      <c r="CB8" s="271"/>
      <c r="CC8" s="273">
        <v>26</v>
      </c>
      <c r="CD8" s="273">
        <v>430</v>
      </c>
      <c r="CE8" s="271">
        <v>282.08000000000004</v>
      </c>
      <c r="CF8" s="273">
        <v>26</v>
      </c>
      <c r="CG8" s="273">
        <v>396</v>
      </c>
      <c r="CH8" s="271">
        <v>303.60000000000002</v>
      </c>
      <c r="CI8" s="273">
        <v>55</v>
      </c>
      <c r="CJ8" s="273">
        <v>660</v>
      </c>
      <c r="CK8" s="271">
        <v>660</v>
      </c>
      <c r="CL8" s="273">
        <v>36</v>
      </c>
      <c r="CM8" s="273">
        <v>564</v>
      </c>
      <c r="CN8" s="271">
        <v>388.00000000000006</v>
      </c>
      <c r="CO8" s="273">
        <v>39</v>
      </c>
      <c r="CP8" s="273">
        <v>698</v>
      </c>
      <c r="CQ8" s="271">
        <v>474.88</v>
      </c>
      <c r="CR8" s="273">
        <v>35</v>
      </c>
      <c r="CS8" s="273">
        <v>422</v>
      </c>
      <c r="CT8" s="271">
        <v>402.56</v>
      </c>
      <c r="CU8" s="273"/>
      <c r="CV8" s="273"/>
      <c r="CW8" s="271"/>
      <c r="CX8" s="273"/>
      <c r="CY8" s="273"/>
      <c r="CZ8" s="271"/>
      <c r="DA8" s="273"/>
      <c r="DB8" s="271"/>
      <c r="DC8" s="271"/>
      <c r="DD8" s="272">
        <f t="shared" si="4"/>
        <v>838.75</v>
      </c>
      <c r="DE8" s="272">
        <f t="shared" si="4"/>
        <v>12521</v>
      </c>
      <c r="DF8" s="272">
        <f t="shared" si="5"/>
        <v>9617.239999999998</v>
      </c>
      <c r="DK8" s="346"/>
      <c r="DL8" s="346"/>
      <c r="DM8" s="346"/>
    </row>
    <row r="9" spans="1:117" s="345" customFormat="1" ht="20.100000000000001" customHeight="1" x14ac:dyDescent="0.6">
      <c r="A9" s="343">
        <v>5</v>
      </c>
      <c r="B9" s="343" t="s">
        <v>704</v>
      </c>
      <c r="C9" s="343" t="s">
        <v>1078</v>
      </c>
      <c r="D9" s="343" t="s">
        <v>706</v>
      </c>
      <c r="E9" s="343"/>
      <c r="F9" s="343">
        <v>4</v>
      </c>
      <c r="G9" s="344"/>
      <c r="H9" s="241"/>
      <c r="I9" s="271"/>
      <c r="J9" s="271"/>
      <c r="K9" s="271"/>
      <c r="L9" s="271">
        <v>30</v>
      </c>
      <c r="M9" s="271">
        <v>360</v>
      </c>
      <c r="N9" s="271">
        <v>336</v>
      </c>
      <c r="O9" s="271">
        <v>166</v>
      </c>
      <c r="P9" s="253">
        <v>2160</v>
      </c>
      <c r="Q9" s="271">
        <v>2004</v>
      </c>
      <c r="R9" s="271"/>
      <c r="S9" s="253"/>
      <c r="T9" s="271"/>
      <c r="U9" s="271">
        <v>24</v>
      </c>
      <c r="V9" s="271">
        <v>344</v>
      </c>
      <c r="W9" s="271">
        <v>292</v>
      </c>
      <c r="X9" s="271">
        <v>48</v>
      </c>
      <c r="Y9" s="253">
        <v>754</v>
      </c>
      <c r="Z9" s="271">
        <v>548.80000000000018</v>
      </c>
      <c r="AA9" s="271">
        <v>193</v>
      </c>
      <c r="AB9" s="253">
        <v>3046</v>
      </c>
      <c r="AC9" s="271">
        <v>2408.88</v>
      </c>
      <c r="AD9" s="271"/>
      <c r="AE9" s="271"/>
      <c r="AF9" s="271"/>
      <c r="AG9" s="271"/>
      <c r="AH9" s="271"/>
      <c r="AI9" s="271"/>
      <c r="AJ9" s="271">
        <v>28</v>
      </c>
      <c r="AK9" s="271">
        <v>450</v>
      </c>
      <c r="AL9" s="271">
        <v>340.96</v>
      </c>
      <c r="AM9" s="272">
        <f t="shared" si="0"/>
        <v>489</v>
      </c>
      <c r="AN9" s="272">
        <f t="shared" si="0"/>
        <v>7114</v>
      </c>
      <c r="AO9" s="272">
        <f t="shared" si="2"/>
        <v>5930.64</v>
      </c>
      <c r="AP9" s="273"/>
      <c r="AQ9" s="273"/>
      <c r="AR9" s="271"/>
      <c r="AS9" s="273">
        <v>125</v>
      </c>
      <c r="AT9" s="273">
        <v>1556</v>
      </c>
      <c r="AU9" s="271">
        <v>1504</v>
      </c>
      <c r="AV9" s="273"/>
      <c r="AW9" s="273"/>
      <c r="AX9" s="271"/>
      <c r="AY9" s="273"/>
      <c r="AZ9" s="273"/>
      <c r="BA9" s="271"/>
      <c r="BB9" s="273"/>
      <c r="BC9" s="273"/>
      <c r="BD9" s="271"/>
      <c r="BE9" s="273">
        <v>34</v>
      </c>
      <c r="BF9" s="273">
        <v>520</v>
      </c>
      <c r="BG9" s="271">
        <v>416</v>
      </c>
      <c r="BH9" s="273">
        <v>189</v>
      </c>
      <c r="BI9" s="273">
        <v>2464</v>
      </c>
      <c r="BJ9" s="271">
        <v>2282</v>
      </c>
      <c r="BK9" s="273"/>
      <c r="BL9" s="273"/>
      <c r="BM9" s="271"/>
      <c r="BN9" s="273">
        <v>95</v>
      </c>
      <c r="BO9" s="273">
        <v>1180</v>
      </c>
      <c r="BP9" s="271">
        <v>1079.2</v>
      </c>
      <c r="BQ9" s="273"/>
      <c r="BR9" s="273"/>
      <c r="BS9" s="271"/>
      <c r="BT9" s="272">
        <f t="shared" si="1"/>
        <v>932</v>
      </c>
      <c r="BU9" s="272">
        <f t="shared" si="1"/>
        <v>12834</v>
      </c>
      <c r="BV9" s="272">
        <f t="shared" si="3"/>
        <v>11211.84</v>
      </c>
      <c r="BW9" s="273">
        <v>22</v>
      </c>
      <c r="BX9" s="273">
        <v>334</v>
      </c>
      <c r="BY9" s="271">
        <v>340</v>
      </c>
      <c r="BZ9" s="273"/>
      <c r="CA9" s="273"/>
      <c r="CB9" s="271"/>
      <c r="CC9" s="273"/>
      <c r="CD9" s="273"/>
      <c r="CE9" s="271"/>
      <c r="CF9" s="273">
        <v>18</v>
      </c>
      <c r="CG9" s="273">
        <v>566</v>
      </c>
      <c r="CH9" s="271">
        <v>242.72</v>
      </c>
      <c r="CI9" s="273">
        <v>15</v>
      </c>
      <c r="CJ9" s="273">
        <v>180</v>
      </c>
      <c r="CK9" s="271">
        <v>180</v>
      </c>
      <c r="CL9" s="273">
        <v>92</v>
      </c>
      <c r="CM9" s="273">
        <v>1216</v>
      </c>
      <c r="CN9" s="271">
        <v>1092.8</v>
      </c>
      <c r="CO9" s="273"/>
      <c r="CP9" s="273"/>
      <c r="CQ9" s="271"/>
      <c r="CR9" s="273"/>
      <c r="CS9" s="273"/>
      <c r="CT9" s="271"/>
      <c r="CU9" s="273"/>
      <c r="CV9" s="273"/>
      <c r="CW9" s="271"/>
      <c r="CX9" s="273"/>
      <c r="CY9" s="273"/>
      <c r="CZ9" s="271"/>
      <c r="DA9" s="273"/>
      <c r="DB9" s="271"/>
      <c r="DC9" s="271"/>
      <c r="DD9" s="272">
        <f t="shared" si="4"/>
        <v>1079</v>
      </c>
      <c r="DE9" s="272">
        <f t="shared" si="4"/>
        <v>15130</v>
      </c>
      <c r="DF9" s="272">
        <f t="shared" si="5"/>
        <v>13067.359999999999</v>
      </c>
      <c r="DK9" s="346"/>
      <c r="DL9" s="346"/>
      <c r="DM9" s="346"/>
    </row>
    <row r="10" spans="1:117" s="345" customFormat="1" ht="20.100000000000001" customHeight="1" x14ac:dyDescent="0.6">
      <c r="A10" s="343">
        <v>6</v>
      </c>
      <c r="B10" s="343" t="s">
        <v>707</v>
      </c>
      <c r="C10" s="343" t="s">
        <v>1075</v>
      </c>
      <c r="D10" s="347" t="s">
        <v>1079</v>
      </c>
      <c r="E10" s="343"/>
      <c r="F10" s="343">
        <v>2</v>
      </c>
      <c r="G10" s="344"/>
      <c r="H10" s="241"/>
      <c r="I10" s="271"/>
      <c r="J10" s="271"/>
      <c r="K10" s="271"/>
      <c r="L10" s="271">
        <v>53.25</v>
      </c>
      <c r="M10" s="271">
        <v>754</v>
      </c>
      <c r="N10" s="271">
        <v>646.1</v>
      </c>
      <c r="O10" s="271">
        <v>19</v>
      </c>
      <c r="P10" s="253">
        <v>344</v>
      </c>
      <c r="Q10" s="271">
        <v>226.08</v>
      </c>
      <c r="R10" s="271">
        <v>20</v>
      </c>
      <c r="S10" s="253">
        <v>399</v>
      </c>
      <c r="T10" s="271">
        <v>227.60000000000002</v>
      </c>
      <c r="U10" s="271">
        <v>17</v>
      </c>
      <c r="V10" s="271">
        <v>318</v>
      </c>
      <c r="W10" s="271">
        <v>200.56</v>
      </c>
      <c r="X10" s="271"/>
      <c r="Y10" s="253"/>
      <c r="Z10" s="271"/>
      <c r="AA10" s="271">
        <v>48.124999999999993</v>
      </c>
      <c r="AB10" s="253">
        <v>995</v>
      </c>
      <c r="AC10" s="271">
        <v>547.0100000000001</v>
      </c>
      <c r="AD10" s="271"/>
      <c r="AE10" s="271"/>
      <c r="AF10" s="271"/>
      <c r="AG10" s="271">
        <v>18.666666666666664</v>
      </c>
      <c r="AH10" s="271">
        <v>406</v>
      </c>
      <c r="AI10" s="271">
        <v>226.96000000000004</v>
      </c>
      <c r="AJ10" s="271">
        <v>53</v>
      </c>
      <c r="AK10" s="271">
        <v>736</v>
      </c>
      <c r="AL10" s="271">
        <v>484</v>
      </c>
      <c r="AM10" s="272">
        <f t="shared" si="0"/>
        <v>229.04166666666666</v>
      </c>
      <c r="AN10" s="272">
        <f t="shared" si="0"/>
        <v>3952</v>
      </c>
      <c r="AO10" s="272">
        <f t="shared" si="2"/>
        <v>2558.3100000000004</v>
      </c>
      <c r="AP10" s="273">
        <v>23.58</v>
      </c>
      <c r="AQ10" s="273">
        <v>440</v>
      </c>
      <c r="AR10" s="271">
        <v>274.66000000000003</v>
      </c>
      <c r="AS10" s="273">
        <v>27.17</v>
      </c>
      <c r="AT10" s="273">
        <v>610</v>
      </c>
      <c r="AU10" s="271">
        <v>329.72</v>
      </c>
      <c r="AV10" s="273">
        <v>13.5</v>
      </c>
      <c r="AW10" s="273">
        <v>282</v>
      </c>
      <c r="AX10" s="271">
        <v>160.36000000000001</v>
      </c>
      <c r="AY10" s="273">
        <v>22.67</v>
      </c>
      <c r="AZ10" s="273">
        <v>312</v>
      </c>
      <c r="BA10" s="271">
        <v>235.6</v>
      </c>
      <c r="BB10" s="273"/>
      <c r="BC10" s="273"/>
      <c r="BD10" s="271"/>
      <c r="BE10" s="273">
        <v>17</v>
      </c>
      <c r="BF10" s="273">
        <v>260</v>
      </c>
      <c r="BG10" s="271">
        <v>204.4</v>
      </c>
      <c r="BH10" s="273">
        <v>15.5</v>
      </c>
      <c r="BI10" s="273">
        <v>212</v>
      </c>
      <c r="BJ10" s="271">
        <v>146.47999999999999</v>
      </c>
      <c r="BK10" s="273">
        <v>23</v>
      </c>
      <c r="BL10" s="273">
        <v>426</v>
      </c>
      <c r="BM10" s="271">
        <v>270.8</v>
      </c>
      <c r="BN10" s="273">
        <v>24.17</v>
      </c>
      <c r="BO10" s="273">
        <v>388</v>
      </c>
      <c r="BP10" s="271">
        <v>274.12</v>
      </c>
      <c r="BQ10" s="273">
        <v>22</v>
      </c>
      <c r="BR10" s="273">
        <v>492</v>
      </c>
      <c r="BS10" s="271">
        <v>269.12</v>
      </c>
      <c r="BT10" s="272">
        <f t="shared" si="1"/>
        <v>417.63166666666666</v>
      </c>
      <c r="BU10" s="272">
        <f t="shared" si="1"/>
        <v>7374</v>
      </c>
      <c r="BV10" s="272">
        <f t="shared" si="3"/>
        <v>4723.5700000000006</v>
      </c>
      <c r="BW10" s="273">
        <v>22.208333333333332</v>
      </c>
      <c r="BX10" s="273">
        <v>511</v>
      </c>
      <c r="BY10" s="271">
        <v>262.95000000000005</v>
      </c>
      <c r="BZ10" s="273"/>
      <c r="CA10" s="273"/>
      <c r="CB10" s="271"/>
      <c r="CC10" s="273">
        <v>24.25</v>
      </c>
      <c r="CD10" s="273">
        <v>767</v>
      </c>
      <c r="CE10" s="271">
        <v>320.2</v>
      </c>
      <c r="CF10" s="273">
        <v>29.25</v>
      </c>
      <c r="CG10" s="273">
        <v>448</v>
      </c>
      <c r="CH10" s="271">
        <v>331.3</v>
      </c>
      <c r="CI10" s="273">
        <v>11.333333333333334</v>
      </c>
      <c r="CJ10" s="273">
        <v>194</v>
      </c>
      <c r="CK10" s="271">
        <v>135.68</v>
      </c>
      <c r="CL10" s="273">
        <v>24.5</v>
      </c>
      <c r="CM10" s="273">
        <v>392</v>
      </c>
      <c r="CN10" s="271">
        <v>254.12000000000003</v>
      </c>
      <c r="CO10" s="273">
        <v>11.5</v>
      </c>
      <c r="CP10" s="273">
        <v>144</v>
      </c>
      <c r="CQ10" s="271">
        <v>136.19999999999999</v>
      </c>
      <c r="CR10" s="273">
        <v>21.34</v>
      </c>
      <c r="CS10" s="273">
        <v>331</v>
      </c>
      <c r="CT10" s="271">
        <v>240</v>
      </c>
      <c r="CU10" s="273"/>
      <c r="CV10" s="273"/>
      <c r="CW10" s="271"/>
      <c r="CX10" s="273"/>
      <c r="CY10" s="273"/>
      <c r="CZ10" s="271"/>
      <c r="DA10" s="273"/>
      <c r="DB10" s="271"/>
      <c r="DC10" s="271"/>
      <c r="DD10" s="272">
        <f t="shared" si="4"/>
        <v>562.01333333333332</v>
      </c>
      <c r="DE10" s="272">
        <f t="shared" si="4"/>
        <v>10161</v>
      </c>
      <c r="DF10" s="272">
        <f t="shared" si="5"/>
        <v>6404.02</v>
      </c>
      <c r="DK10" s="346"/>
      <c r="DL10" s="346"/>
      <c r="DM10" s="346"/>
    </row>
    <row r="11" spans="1:117" s="345" customFormat="1" ht="20.100000000000001" customHeight="1" x14ac:dyDescent="0.6">
      <c r="A11" s="343">
        <v>7</v>
      </c>
      <c r="B11" s="343" t="s">
        <v>709</v>
      </c>
      <c r="C11" s="445" t="s">
        <v>1080</v>
      </c>
      <c r="D11" s="348" t="s">
        <v>1081</v>
      </c>
      <c r="E11" s="343"/>
      <c r="F11" s="343">
        <v>4</v>
      </c>
      <c r="G11" s="344"/>
      <c r="H11" s="241"/>
      <c r="I11" s="271"/>
      <c r="J11" s="271"/>
      <c r="K11" s="271"/>
      <c r="L11" s="271">
        <v>25.5</v>
      </c>
      <c r="M11" s="271">
        <v>362</v>
      </c>
      <c r="N11" s="271">
        <v>290.08000000000004</v>
      </c>
      <c r="O11" s="271">
        <v>25</v>
      </c>
      <c r="P11" s="253">
        <v>350</v>
      </c>
      <c r="Q11" s="271">
        <v>263.76</v>
      </c>
      <c r="R11" s="271">
        <v>29</v>
      </c>
      <c r="S11" s="253">
        <v>524</v>
      </c>
      <c r="T11" s="271">
        <v>347.84000000000003</v>
      </c>
      <c r="U11" s="271">
        <v>50</v>
      </c>
      <c r="V11" s="271">
        <v>756</v>
      </c>
      <c r="W11" s="271">
        <v>566.48</v>
      </c>
      <c r="X11" s="271"/>
      <c r="Y11" s="253"/>
      <c r="Z11" s="271"/>
      <c r="AA11" s="271">
        <v>33</v>
      </c>
      <c r="AB11" s="253">
        <v>578</v>
      </c>
      <c r="AC11" s="271">
        <v>337.3599999999999</v>
      </c>
      <c r="AD11" s="271"/>
      <c r="AE11" s="271"/>
      <c r="AF11" s="271"/>
      <c r="AG11" s="271">
        <v>45</v>
      </c>
      <c r="AH11" s="271">
        <v>568</v>
      </c>
      <c r="AI11" s="271">
        <v>491.6</v>
      </c>
      <c r="AJ11" s="271">
        <v>27</v>
      </c>
      <c r="AK11" s="271">
        <v>402</v>
      </c>
      <c r="AL11" s="271">
        <v>289.76</v>
      </c>
      <c r="AM11" s="272">
        <f t="shared" si="0"/>
        <v>234.5</v>
      </c>
      <c r="AN11" s="272">
        <f t="shared" si="0"/>
        <v>3540</v>
      </c>
      <c r="AO11" s="272">
        <f t="shared" si="2"/>
        <v>2586.88</v>
      </c>
      <c r="AP11" s="273">
        <v>48</v>
      </c>
      <c r="AQ11" s="273">
        <v>762</v>
      </c>
      <c r="AR11" s="271">
        <v>551.04</v>
      </c>
      <c r="AS11" s="273">
        <v>41</v>
      </c>
      <c r="AT11" s="273">
        <v>614</v>
      </c>
      <c r="AU11" s="271">
        <v>465.6</v>
      </c>
      <c r="AV11" s="273">
        <v>35</v>
      </c>
      <c r="AW11" s="273">
        <v>594</v>
      </c>
      <c r="AX11" s="271">
        <v>413.28</v>
      </c>
      <c r="AY11" s="273">
        <v>5</v>
      </c>
      <c r="AZ11" s="273">
        <v>60</v>
      </c>
      <c r="BA11" s="271">
        <v>48</v>
      </c>
      <c r="BB11" s="273"/>
      <c r="BC11" s="273"/>
      <c r="BD11" s="271"/>
      <c r="BE11" s="273">
        <v>40</v>
      </c>
      <c r="BF11" s="273">
        <v>546</v>
      </c>
      <c r="BG11" s="271">
        <v>452</v>
      </c>
      <c r="BH11" s="273">
        <v>13</v>
      </c>
      <c r="BI11" s="273">
        <v>190</v>
      </c>
      <c r="BJ11" s="271">
        <v>134.47999999999999</v>
      </c>
      <c r="BK11" s="273">
        <v>22</v>
      </c>
      <c r="BL11" s="273">
        <v>492</v>
      </c>
      <c r="BM11" s="271">
        <v>264.32</v>
      </c>
      <c r="BN11" s="273">
        <v>43</v>
      </c>
      <c r="BO11" s="273">
        <v>644</v>
      </c>
      <c r="BP11" s="271">
        <v>480.48</v>
      </c>
      <c r="BQ11" s="273">
        <v>17</v>
      </c>
      <c r="BR11" s="273">
        <v>262</v>
      </c>
      <c r="BS11" s="271">
        <v>185.76</v>
      </c>
      <c r="BT11" s="272">
        <f t="shared" si="1"/>
        <v>498.5</v>
      </c>
      <c r="BU11" s="272">
        <f t="shared" si="1"/>
        <v>7704</v>
      </c>
      <c r="BV11" s="272">
        <f t="shared" si="3"/>
        <v>5581.84</v>
      </c>
      <c r="BW11" s="273">
        <v>29</v>
      </c>
      <c r="BX11" s="273">
        <v>388</v>
      </c>
      <c r="BY11" s="271">
        <v>313.76</v>
      </c>
      <c r="BZ11" s="273"/>
      <c r="CA11" s="273"/>
      <c r="CB11" s="271"/>
      <c r="CC11" s="273">
        <v>66</v>
      </c>
      <c r="CD11" s="273">
        <v>876</v>
      </c>
      <c r="CE11" s="271">
        <v>759.6</v>
      </c>
      <c r="CF11" s="273">
        <v>42</v>
      </c>
      <c r="CG11" s="273">
        <v>736</v>
      </c>
      <c r="CH11" s="271">
        <v>459.84</v>
      </c>
      <c r="CI11" s="273">
        <v>21</v>
      </c>
      <c r="CJ11" s="273">
        <v>412</v>
      </c>
      <c r="CK11" s="271">
        <v>222.00000000000006</v>
      </c>
      <c r="CL11" s="273">
        <v>56</v>
      </c>
      <c r="CM11" s="273">
        <v>828</v>
      </c>
      <c r="CN11" s="271">
        <v>657.68</v>
      </c>
      <c r="CO11" s="273">
        <v>75</v>
      </c>
      <c r="CP11" s="273">
        <v>1242</v>
      </c>
      <c r="CQ11" s="271">
        <v>836.88</v>
      </c>
      <c r="CR11" s="273">
        <v>14</v>
      </c>
      <c r="CS11" s="273">
        <v>274</v>
      </c>
      <c r="CT11" s="271">
        <v>196.8</v>
      </c>
      <c r="CU11" s="273"/>
      <c r="CV11" s="273"/>
      <c r="CW11" s="271"/>
      <c r="CX11" s="273"/>
      <c r="CY11" s="273"/>
      <c r="CZ11" s="271"/>
      <c r="DA11" s="273"/>
      <c r="DB11" s="271"/>
      <c r="DC11" s="271"/>
      <c r="DD11" s="272">
        <f t="shared" si="4"/>
        <v>801.5</v>
      </c>
      <c r="DE11" s="272">
        <f t="shared" si="4"/>
        <v>12460</v>
      </c>
      <c r="DF11" s="272">
        <f t="shared" si="5"/>
        <v>9028.4</v>
      </c>
      <c r="DK11" s="346"/>
      <c r="DL11" s="346"/>
      <c r="DM11" s="346"/>
    </row>
    <row r="12" spans="1:117" s="345" customFormat="1" ht="20.100000000000001" customHeight="1" x14ac:dyDescent="0.6">
      <c r="A12" s="343">
        <v>8</v>
      </c>
      <c r="B12" s="343" t="s">
        <v>710</v>
      </c>
      <c r="C12" s="446"/>
      <c r="D12" s="348" t="s">
        <v>1082</v>
      </c>
      <c r="E12" s="343"/>
      <c r="F12" s="343">
        <v>2</v>
      </c>
      <c r="G12" s="344"/>
      <c r="H12" s="241"/>
      <c r="I12" s="271"/>
      <c r="J12" s="271"/>
      <c r="K12" s="271"/>
      <c r="L12" s="271"/>
      <c r="M12" s="271"/>
      <c r="N12" s="271"/>
      <c r="O12" s="271">
        <v>84</v>
      </c>
      <c r="P12" s="253">
        <v>1102</v>
      </c>
      <c r="Q12" s="271">
        <v>909.68000000000006</v>
      </c>
      <c r="R12" s="271">
        <v>40</v>
      </c>
      <c r="S12" s="253">
        <v>494</v>
      </c>
      <c r="T12" s="271">
        <v>458.72</v>
      </c>
      <c r="U12" s="271">
        <v>36</v>
      </c>
      <c r="V12" s="271">
        <v>464</v>
      </c>
      <c r="W12" s="271">
        <v>403.52</v>
      </c>
      <c r="X12" s="271">
        <v>35</v>
      </c>
      <c r="Y12" s="253">
        <v>510</v>
      </c>
      <c r="Z12" s="271">
        <v>372.32</v>
      </c>
      <c r="AA12" s="271">
        <v>83</v>
      </c>
      <c r="AB12" s="253">
        <v>1202</v>
      </c>
      <c r="AC12" s="271">
        <v>933.43999999999983</v>
      </c>
      <c r="AD12" s="271"/>
      <c r="AE12" s="271"/>
      <c r="AF12" s="271"/>
      <c r="AG12" s="271">
        <v>29.5</v>
      </c>
      <c r="AH12" s="271">
        <v>389</v>
      </c>
      <c r="AI12" s="271">
        <v>348.12000000000006</v>
      </c>
      <c r="AJ12" s="271">
        <v>91</v>
      </c>
      <c r="AK12" s="271">
        <v>1218</v>
      </c>
      <c r="AL12" s="271">
        <v>1034.1600000000001</v>
      </c>
      <c r="AM12" s="272">
        <f t="shared" si="0"/>
        <v>398.5</v>
      </c>
      <c r="AN12" s="272">
        <f t="shared" si="0"/>
        <v>5379</v>
      </c>
      <c r="AO12" s="272">
        <f t="shared" si="2"/>
        <v>4459.96</v>
      </c>
      <c r="AP12" s="273">
        <v>33.5</v>
      </c>
      <c r="AQ12" s="273">
        <v>484</v>
      </c>
      <c r="AR12" s="271">
        <v>343.8</v>
      </c>
      <c r="AS12" s="273">
        <v>50</v>
      </c>
      <c r="AT12" s="273">
        <v>770</v>
      </c>
      <c r="AU12" s="271">
        <v>564.4</v>
      </c>
      <c r="AV12" s="273">
        <v>22.58</v>
      </c>
      <c r="AW12" s="273">
        <v>324</v>
      </c>
      <c r="AX12" s="271">
        <v>278.98</v>
      </c>
      <c r="AY12" s="273">
        <v>39</v>
      </c>
      <c r="AZ12" s="273">
        <v>514</v>
      </c>
      <c r="BA12" s="271">
        <v>409.54</v>
      </c>
      <c r="BB12" s="273"/>
      <c r="BC12" s="273"/>
      <c r="BD12" s="271"/>
      <c r="BE12" s="273">
        <v>15</v>
      </c>
      <c r="BF12" s="273">
        <v>320</v>
      </c>
      <c r="BG12" s="271">
        <v>185.2</v>
      </c>
      <c r="BH12" s="273">
        <v>55.25</v>
      </c>
      <c r="BI12" s="273">
        <v>758</v>
      </c>
      <c r="BJ12" s="271">
        <v>616.9</v>
      </c>
      <c r="BK12" s="273">
        <v>67</v>
      </c>
      <c r="BL12" s="273">
        <v>892</v>
      </c>
      <c r="BM12" s="271">
        <v>750.96</v>
      </c>
      <c r="BN12" s="273">
        <v>51.25</v>
      </c>
      <c r="BO12" s="273">
        <v>710</v>
      </c>
      <c r="BP12" s="271">
        <v>636.17999999999995</v>
      </c>
      <c r="BQ12" s="273">
        <v>21</v>
      </c>
      <c r="BR12" s="273">
        <v>252</v>
      </c>
      <c r="BS12" s="271">
        <v>252</v>
      </c>
      <c r="BT12" s="272">
        <f t="shared" si="1"/>
        <v>753.07999999999993</v>
      </c>
      <c r="BU12" s="272">
        <f t="shared" si="1"/>
        <v>10403</v>
      </c>
      <c r="BV12" s="272">
        <f t="shared" si="3"/>
        <v>8497.9199999999983</v>
      </c>
      <c r="BW12" s="273">
        <v>10.375000000000002</v>
      </c>
      <c r="BX12" s="273">
        <v>172</v>
      </c>
      <c r="BY12" s="271">
        <v>109.30999999999999</v>
      </c>
      <c r="BZ12" s="273"/>
      <c r="CA12" s="273"/>
      <c r="CB12" s="271"/>
      <c r="CC12" s="273">
        <v>31</v>
      </c>
      <c r="CD12" s="273">
        <v>386</v>
      </c>
      <c r="CE12" s="271">
        <v>350.72</v>
      </c>
      <c r="CF12" s="273">
        <v>40.5</v>
      </c>
      <c r="CG12" s="273">
        <v>554</v>
      </c>
      <c r="CH12" s="271">
        <v>434.5200000000001</v>
      </c>
      <c r="CI12" s="273">
        <v>35</v>
      </c>
      <c r="CJ12" s="273">
        <v>450</v>
      </c>
      <c r="CK12" s="271">
        <v>363.6</v>
      </c>
      <c r="CL12" s="273">
        <v>53</v>
      </c>
      <c r="CM12" s="273">
        <v>952</v>
      </c>
      <c r="CN12" s="271">
        <v>666</v>
      </c>
      <c r="CO12" s="273">
        <v>15.25</v>
      </c>
      <c r="CP12" s="273">
        <v>220</v>
      </c>
      <c r="CQ12" s="271">
        <v>174.98</v>
      </c>
      <c r="CR12" s="273">
        <v>39</v>
      </c>
      <c r="CS12" s="273">
        <v>648</v>
      </c>
      <c r="CT12" s="271">
        <v>417.2</v>
      </c>
      <c r="CU12" s="273"/>
      <c r="CV12" s="273"/>
      <c r="CW12" s="271"/>
      <c r="CX12" s="273"/>
      <c r="CY12" s="273"/>
      <c r="CZ12" s="271"/>
      <c r="DA12" s="273"/>
      <c r="DB12" s="271"/>
      <c r="DC12" s="271"/>
      <c r="DD12" s="272">
        <f t="shared" si="4"/>
        <v>977.20499999999993</v>
      </c>
      <c r="DE12" s="272">
        <f t="shared" si="4"/>
        <v>13785</v>
      </c>
      <c r="DF12" s="272">
        <f t="shared" si="5"/>
        <v>11014.249999999998</v>
      </c>
      <c r="DK12" s="346"/>
      <c r="DL12" s="346"/>
      <c r="DM12" s="346"/>
    </row>
    <row r="13" spans="1:117" s="345" customFormat="1" ht="20.100000000000001" customHeight="1" x14ac:dyDescent="0.6">
      <c r="A13" s="343">
        <v>9</v>
      </c>
      <c r="B13" s="343" t="s">
        <v>712</v>
      </c>
      <c r="C13" s="343" t="s">
        <v>1083</v>
      </c>
      <c r="D13" s="347" t="s">
        <v>714</v>
      </c>
      <c r="E13" s="343"/>
      <c r="F13" s="343">
        <v>4</v>
      </c>
      <c r="G13" s="344"/>
      <c r="H13" s="241"/>
      <c r="I13" s="271"/>
      <c r="J13" s="271"/>
      <c r="K13" s="271"/>
      <c r="L13" s="271">
        <v>3</v>
      </c>
      <c r="M13" s="271">
        <v>64</v>
      </c>
      <c r="N13" s="271">
        <v>28.4</v>
      </c>
      <c r="O13" s="271">
        <v>2</v>
      </c>
      <c r="P13" s="253">
        <v>24</v>
      </c>
      <c r="Q13" s="271">
        <v>24</v>
      </c>
      <c r="R13" s="271">
        <v>80</v>
      </c>
      <c r="S13" s="253">
        <v>1060</v>
      </c>
      <c r="T13" s="271">
        <v>808</v>
      </c>
      <c r="U13" s="271"/>
      <c r="V13" s="271"/>
      <c r="W13" s="271"/>
      <c r="X13" s="271">
        <v>92</v>
      </c>
      <c r="Y13" s="253">
        <v>1142</v>
      </c>
      <c r="Z13" s="271">
        <v>960</v>
      </c>
      <c r="AA13" s="271"/>
      <c r="AB13" s="253"/>
      <c r="AC13" s="271"/>
      <c r="AD13" s="271"/>
      <c r="AE13" s="271"/>
      <c r="AF13" s="271"/>
      <c r="AG13" s="271">
        <v>78</v>
      </c>
      <c r="AH13" s="271">
        <v>1002</v>
      </c>
      <c r="AI13" s="271">
        <v>888.8</v>
      </c>
      <c r="AJ13" s="271">
        <v>2</v>
      </c>
      <c r="AK13" s="271">
        <v>52</v>
      </c>
      <c r="AL13" s="271">
        <v>21.2</v>
      </c>
      <c r="AM13" s="272">
        <f t="shared" si="0"/>
        <v>257</v>
      </c>
      <c r="AN13" s="272">
        <f t="shared" si="0"/>
        <v>3344</v>
      </c>
      <c r="AO13" s="272">
        <f t="shared" si="2"/>
        <v>2730.3999999999996</v>
      </c>
      <c r="AP13" s="273">
        <v>134</v>
      </c>
      <c r="AQ13" s="273">
        <v>1802</v>
      </c>
      <c r="AR13" s="271">
        <v>1538.48</v>
      </c>
      <c r="AS13" s="273">
        <v>4</v>
      </c>
      <c r="AT13" s="273">
        <v>48</v>
      </c>
      <c r="AU13" s="271">
        <v>48</v>
      </c>
      <c r="AV13" s="273">
        <v>76</v>
      </c>
      <c r="AW13" s="273">
        <v>912</v>
      </c>
      <c r="AX13" s="271">
        <v>908.4</v>
      </c>
      <c r="AY13" s="273"/>
      <c r="AZ13" s="273"/>
      <c r="BA13" s="271"/>
      <c r="BB13" s="273"/>
      <c r="BC13" s="273"/>
      <c r="BD13" s="271"/>
      <c r="BE13" s="273">
        <v>4</v>
      </c>
      <c r="BF13" s="273">
        <v>48</v>
      </c>
      <c r="BG13" s="271">
        <v>28.8</v>
      </c>
      <c r="BH13" s="273">
        <v>5</v>
      </c>
      <c r="BI13" s="273">
        <v>88</v>
      </c>
      <c r="BJ13" s="271">
        <v>52.4</v>
      </c>
      <c r="BK13" s="273">
        <v>89</v>
      </c>
      <c r="BL13" s="273">
        <v>1268</v>
      </c>
      <c r="BM13" s="271">
        <v>986.8</v>
      </c>
      <c r="BN13" s="273"/>
      <c r="BO13" s="273"/>
      <c r="BP13" s="271"/>
      <c r="BQ13" s="273">
        <v>64.08</v>
      </c>
      <c r="BR13" s="273">
        <v>789</v>
      </c>
      <c r="BS13" s="271">
        <v>702.3</v>
      </c>
      <c r="BT13" s="272">
        <f t="shared" si="1"/>
        <v>633.07999999999993</v>
      </c>
      <c r="BU13" s="272">
        <f t="shared" si="1"/>
        <v>8299</v>
      </c>
      <c r="BV13" s="272">
        <f t="shared" si="3"/>
        <v>6995.579999999999</v>
      </c>
      <c r="BW13" s="273"/>
      <c r="BX13" s="273"/>
      <c r="BY13" s="271"/>
      <c r="BZ13" s="273"/>
      <c r="CA13" s="273"/>
      <c r="CB13" s="271"/>
      <c r="CC13" s="273">
        <v>84</v>
      </c>
      <c r="CD13" s="273">
        <v>1428</v>
      </c>
      <c r="CE13" s="271">
        <v>1038</v>
      </c>
      <c r="CF13" s="273">
        <v>3</v>
      </c>
      <c r="CG13" s="273">
        <v>36</v>
      </c>
      <c r="CH13" s="271">
        <v>36</v>
      </c>
      <c r="CI13" s="273">
        <v>86</v>
      </c>
      <c r="CJ13" s="273">
        <v>1168</v>
      </c>
      <c r="CK13" s="271">
        <v>806.4</v>
      </c>
      <c r="CL13" s="273"/>
      <c r="CM13" s="273"/>
      <c r="CN13" s="271"/>
      <c r="CO13" s="273">
        <v>180</v>
      </c>
      <c r="CP13" s="273">
        <v>2210</v>
      </c>
      <c r="CQ13" s="271">
        <v>1976</v>
      </c>
      <c r="CR13" s="273">
        <v>43</v>
      </c>
      <c r="CS13" s="273">
        <v>556</v>
      </c>
      <c r="CT13" s="271">
        <v>383.2</v>
      </c>
      <c r="CU13" s="273"/>
      <c r="CV13" s="273"/>
      <c r="CW13" s="271"/>
      <c r="CX13" s="273"/>
      <c r="CY13" s="273"/>
      <c r="CZ13" s="271"/>
      <c r="DA13" s="273"/>
      <c r="DB13" s="271"/>
      <c r="DC13" s="271"/>
      <c r="DD13" s="272">
        <f t="shared" si="4"/>
        <v>1029.08</v>
      </c>
      <c r="DE13" s="272">
        <f t="shared" si="4"/>
        <v>13697</v>
      </c>
      <c r="DF13" s="272">
        <f t="shared" si="5"/>
        <v>11235.18</v>
      </c>
      <c r="DK13" s="346"/>
      <c r="DL13" s="346"/>
      <c r="DM13" s="346"/>
    </row>
    <row r="14" spans="1:117" s="345" customFormat="1" ht="20.100000000000001" customHeight="1" x14ac:dyDescent="0.6">
      <c r="A14" s="343"/>
      <c r="B14" s="343"/>
      <c r="C14" s="343"/>
      <c r="D14" s="349"/>
      <c r="E14" s="350">
        <f>SUM(E5:E13)</f>
        <v>0</v>
      </c>
      <c r="F14" s="349"/>
      <c r="G14" s="350"/>
      <c r="H14" s="349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2">
        <f t="shared" si="0"/>
        <v>0</v>
      </c>
      <c r="AN14" s="272">
        <f t="shared" si="0"/>
        <v>0</v>
      </c>
      <c r="AO14" s="272">
        <f t="shared" si="2"/>
        <v>0</v>
      </c>
      <c r="AP14" s="273"/>
      <c r="AQ14" s="273"/>
      <c r="AR14" s="271"/>
      <c r="AS14" s="273"/>
      <c r="AT14" s="273"/>
      <c r="AU14" s="271"/>
      <c r="AV14" s="273"/>
      <c r="AW14" s="273"/>
      <c r="AX14" s="271"/>
      <c r="AY14" s="273"/>
      <c r="AZ14" s="273"/>
      <c r="BA14" s="271"/>
      <c r="BB14" s="273"/>
      <c r="BC14" s="273"/>
      <c r="BD14" s="271"/>
      <c r="BE14" s="273"/>
      <c r="BF14" s="273"/>
      <c r="BG14" s="271"/>
      <c r="BH14" s="273"/>
      <c r="BI14" s="273"/>
      <c r="BJ14" s="271"/>
      <c r="BK14" s="273"/>
      <c r="BL14" s="273"/>
      <c r="BM14" s="271"/>
      <c r="BN14" s="273"/>
      <c r="BO14" s="273"/>
      <c r="BP14" s="271"/>
      <c r="BQ14" s="273"/>
      <c r="BR14" s="273"/>
      <c r="BS14" s="271"/>
      <c r="BT14" s="272">
        <f t="shared" si="1"/>
        <v>0</v>
      </c>
      <c r="BU14" s="272">
        <f t="shared" si="1"/>
        <v>0</v>
      </c>
      <c r="BV14" s="272">
        <f t="shared" si="3"/>
        <v>0</v>
      </c>
      <c r="BW14" s="273"/>
      <c r="BX14" s="273"/>
      <c r="BY14" s="271"/>
      <c r="BZ14" s="273"/>
      <c r="CA14" s="273"/>
      <c r="CB14" s="271"/>
      <c r="CC14" s="273"/>
      <c r="CD14" s="273"/>
      <c r="CE14" s="271"/>
      <c r="CF14" s="273"/>
      <c r="CG14" s="273"/>
      <c r="CH14" s="271"/>
      <c r="CI14" s="273"/>
      <c r="CJ14" s="273"/>
      <c r="CK14" s="271"/>
      <c r="CL14" s="273"/>
      <c r="CM14" s="273"/>
      <c r="CN14" s="271"/>
      <c r="CO14" s="273"/>
      <c r="CP14" s="273"/>
      <c r="CQ14" s="271"/>
      <c r="CR14" s="273"/>
      <c r="CS14" s="273"/>
      <c r="CT14" s="271"/>
      <c r="CU14" s="273"/>
      <c r="CV14" s="273"/>
      <c r="CW14" s="271"/>
      <c r="CX14" s="273"/>
      <c r="CY14" s="273"/>
      <c r="CZ14" s="271"/>
      <c r="DA14" s="273"/>
      <c r="DB14" s="271"/>
      <c r="DC14" s="271"/>
      <c r="DD14" s="272">
        <f t="shared" si="4"/>
        <v>0</v>
      </c>
      <c r="DE14" s="272">
        <f t="shared" si="4"/>
        <v>0</v>
      </c>
      <c r="DF14" s="272">
        <f t="shared" si="5"/>
        <v>0</v>
      </c>
      <c r="DK14" s="351"/>
      <c r="DL14" s="351"/>
      <c r="DM14" s="351"/>
    </row>
    <row r="15" spans="1:117" s="345" customFormat="1" ht="20.100000000000001" customHeight="1" x14ac:dyDescent="0.6">
      <c r="A15" s="349"/>
      <c r="B15" s="349"/>
      <c r="C15" s="349"/>
      <c r="D15" s="349"/>
      <c r="E15" s="349"/>
      <c r="F15" s="349"/>
      <c r="G15" s="349"/>
      <c r="H15" s="349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2">
        <f t="shared" si="0"/>
        <v>0</v>
      </c>
      <c r="AN15" s="272">
        <f t="shared" si="0"/>
        <v>0</v>
      </c>
      <c r="AO15" s="272">
        <f t="shared" si="2"/>
        <v>0</v>
      </c>
      <c r="AP15" s="273"/>
      <c r="AQ15" s="273"/>
      <c r="AR15" s="271"/>
      <c r="AS15" s="273"/>
      <c r="AT15" s="273"/>
      <c r="AU15" s="271"/>
      <c r="AV15" s="273"/>
      <c r="AW15" s="273"/>
      <c r="AX15" s="271"/>
      <c r="AY15" s="273"/>
      <c r="AZ15" s="273"/>
      <c r="BA15" s="271"/>
      <c r="BB15" s="273"/>
      <c r="BC15" s="273"/>
      <c r="BD15" s="271"/>
      <c r="BE15" s="273"/>
      <c r="BF15" s="273"/>
      <c r="BG15" s="271"/>
      <c r="BH15" s="273"/>
      <c r="BI15" s="273"/>
      <c r="BJ15" s="271"/>
      <c r="BK15" s="273"/>
      <c r="BL15" s="273"/>
      <c r="BM15" s="271"/>
      <c r="BN15" s="273"/>
      <c r="BO15" s="273"/>
      <c r="BP15" s="271"/>
      <c r="BQ15" s="273"/>
      <c r="BR15" s="273"/>
      <c r="BS15" s="271"/>
      <c r="BT15" s="272">
        <f t="shared" si="1"/>
        <v>0</v>
      </c>
      <c r="BU15" s="272">
        <f t="shared" si="1"/>
        <v>0</v>
      </c>
      <c r="BV15" s="272">
        <f t="shared" si="3"/>
        <v>0</v>
      </c>
      <c r="BW15" s="273"/>
      <c r="BX15" s="273"/>
      <c r="BY15" s="271"/>
      <c r="BZ15" s="273"/>
      <c r="CA15" s="273"/>
      <c r="CB15" s="271"/>
      <c r="CC15" s="273"/>
      <c r="CD15" s="273"/>
      <c r="CE15" s="271"/>
      <c r="CF15" s="273"/>
      <c r="CG15" s="273"/>
      <c r="CH15" s="271"/>
      <c r="CI15" s="273"/>
      <c r="CJ15" s="273"/>
      <c r="CK15" s="271"/>
      <c r="CL15" s="273"/>
      <c r="CM15" s="273"/>
      <c r="CN15" s="271"/>
      <c r="CO15" s="273"/>
      <c r="CP15" s="273"/>
      <c r="CQ15" s="271"/>
      <c r="CR15" s="273"/>
      <c r="CS15" s="273"/>
      <c r="CT15" s="271"/>
      <c r="CU15" s="273"/>
      <c r="CV15" s="273"/>
      <c r="CW15" s="271"/>
      <c r="CX15" s="273"/>
      <c r="CY15" s="273"/>
      <c r="CZ15" s="271"/>
      <c r="DA15" s="273"/>
      <c r="DB15" s="271"/>
      <c r="DC15" s="271"/>
      <c r="DD15" s="272">
        <f t="shared" si="4"/>
        <v>0</v>
      </c>
      <c r="DE15" s="272">
        <f t="shared" si="4"/>
        <v>0</v>
      </c>
      <c r="DF15" s="272">
        <f t="shared" si="5"/>
        <v>0</v>
      </c>
      <c r="DK15" s="351"/>
      <c r="DL15" s="351"/>
      <c r="DM15" s="351"/>
    </row>
    <row r="16" spans="1:117" s="345" customFormat="1" ht="20.100000000000001" customHeight="1" x14ac:dyDescent="0.6">
      <c r="A16" s="335"/>
      <c r="B16" s="335" t="s">
        <v>715</v>
      </c>
      <c r="C16" s="335"/>
      <c r="D16" s="335"/>
      <c r="E16" s="335"/>
      <c r="F16" s="335"/>
      <c r="G16" s="336">
        <f>SUM(G5:G15)</f>
        <v>0</v>
      </c>
      <c r="H16" s="336">
        <f>SUM(H5:H15)</f>
        <v>0</v>
      </c>
      <c r="I16" s="272">
        <f t="shared" ref="I16:BT16" si="6">SUM(I5:I13)</f>
        <v>0</v>
      </c>
      <c r="J16" s="272">
        <f t="shared" si="6"/>
        <v>0</v>
      </c>
      <c r="K16" s="272">
        <f t="shared" si="6"/>
        <v>0</v>
      </c>
      <c r="L16" s="272">
        <f t="shared" si="6"/>
        <v>221.75</v>
      </c>
      <c r="M16" s="272">
        <f t="shared" si="6"/>
        <v>3678</v>
      </c>
      <c r="N16" s="272">
        <f t="shared" si="6"/>
        <v>2601.38</v>
      </c>
      <c r="O16" s="272">
        <f t="shared" si="6"/>
        <v>418</v>
      </c>
      <c r="P16" s="272">
        <f t="shared" si="6"/>
        <v>5998</v>
      </c>
      <c r="Q16" s="272">
        <f t="shared" si="6"/>
        <v>4837.1200000000008</v>
      </c>
      <c r="R16" s="272">
        <f t="shared" si="6"/>
        <v>327</v>
      </c>
      <c r="S16" s="272">
        <f t="shared" si="6"/>
        <v>5089</v>
      </c>
      <c r="T16" s="272">
        <f>SUM(T5:T13)</f>
        <v>3690.4000000000005</v>
      </c>
      <c r="U16" s="272">
        <f t="shared" si="6"/>
        <v>267</v>
      </c>
      <c r="V16" s="272">
        <f t="shared" si="6"/>
        <v>4174</v>
      </c>
      <c r="W16" s="272">
        <f>SUM(W5:W13)</f>
        <v>3093.92</v>
      </c>
      <c r="X16" s="272">
        <f t="shared" si="6"/>
        <v>316</v>
      </c>
      <c r="Y16" s="272">
        <f t="shared" si="6"/>
        <v>4696</v>
      </c>
      <c r="Z16" s="272">
        <f>SUM(Z5:Z13)</f>
        <v>3484.5600000000004</v>
      </c>
      <c r="AA16" s="272">
        <f t="shared" si="6"/>
        <v>554.375</v>
      </c>
      <c r="AB16" s="272">
        <f t="shared" si="6"/>
        <v>8876</v>
      </c>
      <c r="AC16" s="272">
        <f>SUM(AC5:AC13)</f>
        <v>6519.83</v>
      </c>
      <c r="AD16" s="272">
        <f t="shared" si="6"/>
        <v>0</v>
      </c>
      <c r="AE16" s="272">
        <f t="shared" si="6"/>
        <v>0</v>
      </c>
      <c r="AF16" s="272">
        <f>SUM(AF5:AF13)</f>
        <v>0</v>
      </c>
      <c r="AG16" s="272">
        <f t="shared" si="6"/>
        <v>277.16666666666663</v>
      </c>
      <c r="AH16" s="272">
        <f t="shared" si="6"/>
        <v>4233</v>
      </c>
      <c r="AI16" s="272">
        <f>SUM(AI5:AI13)</f>
        <v>3214.12</v>
      </c>
      <c r="AJ16" s="272">
        <f t="shared" si="6"/>
        <v>319.666</v>
      </c>
      <c r="AK16" s="272">
        <f t="shared" si="6"/>
        <v>4638</v>
      </c>
      <c r="AL16" s="272">
        <f t="shared" si="6"/>
        <v>3567.12</v>
      </c>
      <c r="AM16" s="272">
        <f t="shared" si="6"/>
        <v>2700.9576666666667</v>
      </c>
      <c r="AN16" s="272">
        <f t="shared" si="6"/>
        <v>41382</v>
      </c>
      <c r="AO16" s="272">
        <f>SUM(AO5:AO13)</f>
        <v>31008.449999999997</v>
      </c>
      <c r="AP16" s="272">
        <f t="shared" si="6"/>
        <v>349.08</v>
      </c>
      <c r="AQ16" s="272">
        <f t="shared" si="6"/>
        <v>5556</v>
      </c>
      <c r="AR16" s="272">
        <f>SUM(AR5:AR13)</f>
        <v>3975.18</v>
      </c>
      <c r="AS16" s="272">
        <f t="shared" si="6"/>
        <v>359.75</v>
      </c>
      <c r="AT16" s="272">
        <f t="shared" si="6"/>
        <v>5627</v>
      </c>
      <c r="AU16" s="272">
        <f>SUM(AU5:AU13)</f>
        <v>4283.6000000000004</v>
      </c>
      <c r="AV16" s="272">
        <f t="shared" si="6"/>
        <v>285.08</v>
      </c>
      <c r="AW16" s="272">
        <f t="shared" si="6"/>
        <v>4464</v>
      </c>
      <c r="AX16" s="272">
        <f>SUM(AX5:AX13)</f>
        <v>3362.54</v>
      </c>
      <c r="AY16" s="272">
        <f t="shared" si="6"/>
        <v>217.67000000000002</v>
      </c>
      <c r="AZ16" s="272">
        <f t="shared" si="6"/>
        <v>3422</v>
      </c>
      <c r="BA16" s="272">
        <f>SUM(BA5:BA13)</f>
        <v>2450.98</v>
      </c>
      <c r="BB16" s="272">
        <f t="shared" si="6"/>
        <v>0</v>
      </c>
      <c r="BC16" s="272">
        <f t="shared" si="6"/>
        <v>0</v>
      </c>
      <c r="BD16" s="272">
        <f>SUM(BD5:BD13)</f>
        <v>0</v>
      </c>
      <c r="BE16" s="272">
        <f t="shared" si="6"/>
        <v>261</v>
      </c>
      <c r="BF16" s="272">
        <f t="shared" si="6"/>
        <v>4080</v>
      </c>
      <c r="BG16" s="272">
        <f>SUM(BG5:BG13)</f>
        <v>2998.0800000000004</v>
      </c>
      <c r="BH16" s="272">
        <f t="shared" si="6"/>
        <v>394.75</v>
      </c>
      <c r="BI16" s="272">
        <f t="shared" si="6"/>
        <v>5934</v>
      </c>
      <c r="BJ16" s="272">
        <f>SUM(BJ5:BJ13)</f>
        <v>4590.1799999999994</v>
      </c>
      <c r="BK16" s="272">
        <f t="shared" si="6"/>
        <v>272.25</v>
      </c>
      <c r="BL16" s="272">
        <f t="shared" si="6"/>
        <v>4287</v>
      </c>
      <c r="BM16" s="272">
        <f>SUM(BM5:BM13)</f>
        <v>3073.9399999999996</v>
      </c>
      <c r="BN16" s="272">
        <f t="shared" si="6"/>
        <v>309.42</v>
      </c>
      <c r="BO16" s="272">
        <f t="shared" si="6"/>
        <v>4568</v>
      </c>
      <c r="BP16" s="272">
        <f>SUM(BP5:BP13)</f>
        <v>3579.2599999999998</v>
      </c>
      <c r="BQ16" s="272">
        <f t="shared" si="6"/>
        <v>227.07999999999998</v>
      </c>
      <c r="BR16" s="272">
        <f t="shared" si="6"/>
        <v>3505</v>
      </c>
      <c r="BS16" s="272">
        <f>SUM(BS5:BS13)</f>
        <v>2613.66</v>
      </c>
      <c r="BT16" s="272">
        <f t="shared" si="6"/>
        <v>5377.0376666666671</v>
      </c>
      <c r="BU16" s="272">
        <f>SUM(BU5:BU13)</f>
        <v>82825</v>
      </c>
      <c r="BV16" s="272">
        <f>SUM(BV5:BV13)</f>
        <v>61935.869999999995</v>
      </c>
      <c r="BW16" s="272">
        <f t="shared" ref="BW16:DE16" si="7">SUM(BW5:BW13)</f>
        <v>239.58333333333334</v>
      </c>
      <c r="BX16" s="272">
        <f t="shared" si="7"/>
        <v>3927</v>
      </c>
      <c r="BY16" s="272">
        <f>SUM(BY5:BY13)</f>
        <v>2823.94</v>
      </c>
      <c r="BZ16" s="272">
        <f t="shared" si="7"/>
        <v>0</v>
      </c>
      <c r="CA16" s="272">
        <f t="shared" si="7"/>
        <v>0</v>
      </c>
      <c r="CB16" s="272">
        <f t="shared" si="7"/>
        <v>0</v>
      </c>
      <c r="CC16" s="272">
        <f t="shared" si="7"/>
        <v>334.75</v>
      </c>
      <c r="CD16" s="272">
        <f t="shared" si="7"/>
        <v>5701</v>
      </c>
      <c r="CE16" s="272">
        <f t="shared" si="7"/>
        <v>3942.3599999999997</v>
      </c>
      <c r="CF16" s="272">
        <f t="shared" si="7"/>
        <v>226.58333333333331</v>
      </c>
      <c r="CG16" s="272">
        <f t="shared" si="7"/>
        <v>3898</v>
      </c>
      <c r="CH16" s="272">
        <f t="shared" si="7"/>
        <v>2627.7400000000002</v>
      </c>
      <c r="CI16" s="272">
        <f t="shared" si="7"/>
        <v>298.58333333333337</v>
      </c>
      <c r="CJ16" s="272">
        <f t="shared" si="7"/>
        <v>4259</v>
      </c>
      <c r="CK16" s="272">
        <f t="shared" si="7"/>
        <v>3223.5400000000004</v>
      </c>
      <c r="CL16" s="272">
        <f t="shared" si="7"/>
        <v>346.5</v>
      </c>
      <c r="CM16" s="272">
        <f t="shared" si="7"/>
        <v>5440</v>
      </c>
      <c r="CN16" s="272">
        <f t="shared" si="7"/>
        <v>4057.4</v>
      </c>
      <c r="CO16" s="272">
        <f t="shared" si="7"/>
        <v>426.75</v>
      </c>
      <c r="CP16" s="272">
        <f t="shared" si="7"/>
        <v>6284</v>
      </c>
      <c r="CQ16" s="272">
        <f t="shared" si="7"/>
        <v>4771.74</v>
      </c>
      <c r="CR16" s="272">
        <f t="shared" si="7"/>
        <v>219.34</v>
      </c>
      <c r="CS16" s="272">
        <f t="shared" si="7"/>
        <v>3407</v>
      </c>
      <c r="CT16" s="272">
        <f t="shared" si="7"/>
        <v>2438.3999999999996</v>
      </c>
      <c r="CU16" s="272">
        <f t="shared" si="7"/>
        <v>0</v>
      </c>
      <c r="CV16" s="272">
        <f t="shared" si="7"/>
        <v>0</v>
      </c>
      <c r="CW16" s="272">
        <f t="shared" si="7"/>
        <v>0</v>
      </c>
      <c r="CX16" s="272">
        <f t="shared" si="7"/>
        <v>0</v>
      </c>
      <c r="CY16" s="272">
        <f t="shared" si="7"/>
        <v>0</v>
      </c>
      <c r="CZ16" s="272">
        <f t="shared" si="7"/>
        <v>0</v>
      </c>
      <c r="DA16" s="272">
        <f t="shared" si="7"/>
        <v>0</v>
      </c>
      <c r="DB16" s="272">
        <f t="shared" si="7"/>
        <v>0</v>
      </c>
      <c r="DC16" s="272">
        <f t="shared" si="7"/>
        <v>0</v>
      </c>
      <c r="DD16" s="272">
        <f>SUM(DD5:DD13)</f>
        <v>7469.1276666666663</v>
      </c>
      <c r="DE16" s="272">
        <f t="shared" si="7"/>
        <v>115741</v>
      </c>
      <c r="DF16" s="272">
        <f>SUM(DF5:DF13)</f>
        <v>85820.989999999991</v>
      </c>
      <c r="DK16" s="346"/>
      <c r="DL16" s="346"/>
      <c r="DM16" s="346"/>
    </row>
    <row r="17" spans="1:117" x14ac:dyDescent="0.6">
      <c r="A17" s="352"/>
      <c r="B17" s="352"/>
      <c r="C17" s="352"/>
      <c r="D17" s="352"/>
      <c r="E17" s="352"/>
      <c r="F17" s="352"/>
      <c r="G17" s="352"/>
      <c r="H17" s="352"/>
      <c r="DD17" s="243"/>
      <c r="DK17" s="229"/>
      <c r="DL17" s="229"/>
      <c r="DM17" s="229"/>
    </row>
    <row r="18" spans="1:117" x14ac:dyDescent="0.6">
      <c r="BW18" s="243"/>
      <c r="BX18" s="243"/>
      <c r="BY18" s="243"/>
      <c r="BZ18" s="243"/>
      <c r="CA18" s="243"/>
      <c r="CB18" s="243"/>
      <c r="CC18" s="243"/>
      <c r="CD18" s="243"/>
      <c r="CE18" s="243"/>
      <c r="CF18" s="243"/>
      <c r="CG18" s="243"/>
      <c r="CH18" s="243"/>
      <c r="CI18" s="243"/>
      <c r="CJ18" s="243"/>
      <c r="CK18" s="243"/>
      <c r="CL18" s="243"/>
      <c r="CM18" s="243"/>
      <c r="CN18" s="243"/>
      <c r="CO18" s="243"/>
      <c r="CP18" s="243"/>
      <c r="CQ18" s="243"/>
      <c r="CR18" s="243"/>
      <c r="CS18" s="243"/>
      <c r="CT18" s="243"/>
      <c r="CU18" s="243"/>
      <c r="CV18" s="243"/>
      <c r="CW18" s="243"/>
      <c r="CX18" s="243"/>
      <c r="CY18" s="243"/>
      <c r="CZ18" s="243"/>
      <c r="DA18" s="243"/>
      <c r="DB18" s="243"/>
      <c r="DC18" s="243"/>
      <c r="DD18" s="228"/>
      <c r="DE18" s="228"/>
      <c r="DF18" s="228"/>
      <c r="DK18" s="229"/>
      <c r="DL18" s="229"/>
      <c r="DM18" s="229"/>
    </row>
  </sheetData>
  <mergeCells count="38">
    <mergeCell ref="C7:C8"/>
    <mergeCell ref="C11:C12"/>
    <mergeCell ref="CR3:CT3"/>
    <mergeCell ref="CU3:CW3"/>
    <mergeCell ref="CX3:CZ3"/>
    <mergeCell ref="AS3:AU3"/>
    <mergeCell ref="AV3:AX3"/>
    <mergeCell ref="AY3:BA3"/>
    <mergeCell ref="BB3:BD3"/>
    <mergeCell ref="BE3:BG3"/>
    <mergeCell ref="X3:Z3"/>
    <mergeCell ref="AA3:AC3"/>
    <mergeCell ref="AD3:AF3"/>
    <mergeCell ref="AG3:AI3"/>
    <mergeCell ref="AJ3:AL3"/>
    <mergeCell ref="AM3:AO3"/>
    <mergeCell ref="DA3:DC3"/>
    <mergeCell ref="DD3:DF3"/>
    <mergeCell ref="C5:C6"/>
    <mergeCell ref="BZ3:CB3"/>
    <mergeCell ref="CC3:CE3"/>
    <mergeCell ref="CF3:CH3"/>
    <mergeCell ref="CI3:CK3"/>
    <mergeCell ref="CL3:CN3"/>
    <mergeCell ref="CO3:CQ3"/>
    <mergeCell ref="BH3:BJ3"/>
    <mergeCell ref="BK3:BM3"/>
    <mergeCell ref="BN3:BP3"/>
    <mergeCell ref="BQ3:BS3"/>
    <mergeCell ref="BT3:BV3"/>
    <mergeCell ref="BW3:BY3"/>
    <mergeCell ref="AP3:AR3"/>
    <mergeCell ref="U3:W3"/>
    <mergeCell ref="B1:D1"/>
    <mergeCell ref="I3:K3"/>
    <mergeCell ref="L3:N3"/>
    <mergeCell ref="O3:Q3"/>
    <mergeCell ref="R3:T3"/>
  </mergeCells>
  <conditionalFormatting sqref="B15:C15 B5:C5 B6:B14">
    <cfRule type="duplicateValues" dxfId="9" priority="4"/>
  </conditionalFormatting>
  <conditionalFormatting sqref="B15:C16 B5:C5 B6:B14">
    <cfRule type="duplicateValues" dxfId="8" priority="5"/>
  </conditionalFormatting>
  <conditionalFormatting sqref="B16:C16">
    <cfRule type="duplicateValues" dxfId="7" priority="3"/>
  </conditionalFormatting>
  <conditionalFormatting sqref="D5">
    <cfRule type="duplicateValues" dxfId="6" priority="1"/>
    <cfRule type="duplicateValues" dxfId="5" priority="2"/>
  </conditionalFormatting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1B20-5E80-4A96-AF54-1848FCAE556B}">
  <dimension ref="A1:DM18"/>
  <sheetViews>
    <sheetView topLeftCell="BK1" workbookViewId="0">
      <selection activeCell="DL18" sqref="DL18"/>
    </sheetView>
  </sheetViews>
  <sheetFormatPr defaultColWidth="10.28515625" defaultRowHeight="21" x14ac:dyDescent="0.6"/>
  <cols>
    <col min="1" max="2" width="10.28515625" style="227"/>
    <col min="3" max="3" width="28.5703125" style="227" customWidth="1"/>
    <col min="4" max="4" width="31.140625" style="227" customWidth="1"/>
    <col min="5" max="5" width="11.42578125" style="227" hidden="1" customWidth="1"/>
    <col min="6" max="6" width="9" style="227" customWidth="1"/>
    <col min="7" max="7" width="7.85546875" style="227" hidden="1" customWidth="1"/>
    <col min="8" max="8" width="8" style="227" hidden="1" customWidth="1"/>
    <col min="9" max="9" width="5" style="227" customWidth="1"/>
    <col min="10" max="11" width="6.28515625" style="227" customWidth="1"/>
    <col min="12" max="12" width="5" style="227" customWidth="1"/>
    <col min="13" max="14" width="6.28515625" style="227" customWidth="1"/>
    <col min="15" max="15" width="5" style="227" customWidth="1"/>
    <col min="16" max="17" width="6.28515625" style="227" customWidth="1"/>
    <col min="18" max="18" width="5" style="227" customWidth="1"/>
    <col min="19" max="20" width="6.28515625" style="227" customWidth="1"/>
    <col min="21" max="21" width="5" style="227" customWidth="1"/>
    <col min="22" max="22" width="7.5703125" style="227" customWidth="1"/>
    <col min="23" max="23" width="6.28515625" style="227" customWidth="1"/>
    <col min="24" max="24" width="7" style="227" customWidth="1"/>
    <col min="25" max="25" width="7.140625" style="227" customWidth="1"/>
    <col min="26" max="26" width="7.28515625" style="227" customWidth="1"/>
    <col min="27" max="27" width="6" style="227" customWidth="1"/>
    <col min="28" max="28" width="8.42578125" style="227" customWidth="1"/>
    <col min="29" max="29" width="6.28515625" style="227" customWidth="1"/>
    <col min="30" max="30" width="5" style="227" customWidth="1"/>
    <col min="31" max="31" width="8" style="227" customWidth="1"/>
    <col min="32" max="32" width="7.5703125" style="227" customWidth="1"/>
    <col min="33" max="33" width="5" style="227" customWidth="1"/>
    <col min="34" max="34" width="8.42578125" style="227" customWidth="1"/>
    <col min="35" max="35" width="6.28515625" style="227" customWidth="1"/>
    <col min="36" max="36" width="5" style="227" customWidth="1"/>
    <col min="37" max="38" width="6.28515625" style="227" customWidth="1"/>
    <col min="39" max="41" width="9.85546875" style="227" customWidth="1"/>
    <col min="42" max="42" width="7" style="227" customWidth="1"/>
    <col min="43" max="74" width="10.28515625" style="227" customWidth="1"/>
    <col min="75" max="107" width="10.28515625" style="227" hidden="1" customWidth="1"/>
    <col min="108" max="108" width="8.7109375" style="227" customWidth="1"/>
    <col min="109" max="109" width="10.28515625" style="227" customWidth="1"/>
    <col min="110" max="110" width="10.7109375" style="227" customWidth="1"/>
    <col min="111" max="16384" width="10.28515625" style="227"/>
  </cols>
  <sheetData>
    <row r="1" spans="1:117" ht="30" customHeight="1" x14ac:dyDescent="0.6">
      <c r="A1" s="337"/>
      <c r="B1" s="447" t="s">
        <v>1073</v>
      </c>
      <c r="C1" s="447"/>
      <c r="D1" s="447"/>
      <c r="E1" s="337"/>
      <c r="F1" s="337"/>
      <c r="G1" s="337"/>
      <c r="H1" s="337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  <c r="AK1" s="338"/>
      <c r="AL1" s="338"/>
      <c r="AM1" s="338"/>
      <c r="AN1" s="338"/>
      <c r="AO1" s="338"/>
      <c r="AP1" s="339"/>
      <c r="AQ1" s="339"/>
      <c r="AR1" s="338"/>
      <c r="AS1" s="339"/>
      <c r="AT1" s="339"/>
      <c r="AU1" s="338"/>
      <c r="AV1" s="339"/>
      <c r="AW1" s="339"/>
      <c r="AX1" s="338"/>
      <c r="AY1" s="339"/>
      <c r="AZ1" s="339"/>
      <c r="BA1" s="338"/>
      <c r="BB1" s="339"/>
      <c r="BC1" s="339"/>
      <c r="BD1" s="338"/>
      <c r="BE1" s="339"/>
      <c r="BF1" s="339"/>
      <c r="BG1" s="338"/>
      <c r="BH1" s="339"/>
      <c r="BI1" s="339"/>
      <c r="BJ1" s="338"/>
      <c r="BK1" s="339"/>
      <c r="BL1" s="339"/>
      <c r="BM1" s="338"/>
      <c r="BN1" s="339"/>
      <c r="BO1" s="339"/>
      <c r="BP1" s="338"/>
      <c r="BQ1" s="339"/>
      <c r="BR1" s="339"/>
      <c r="BS1" s="338"/>
      <c r="BT1" s="338"/>
      <c r="BU1" s="338"/>
      <c r="BV1" s="338"/>
      <c r="BW1" s="339"/>
      <c r="BX1" s="339"/>
      <c r="BY1" s="338"/>
      <c r="BZ1" s="339"/>
      <c r="CA1" s="339"/>
      <c r="CB1" s="338"/>
      <c r="CC1" s="339"/>
      <c r="CD1" s="339"/>
      <c r="CE1" s="338"/>
      <c r="CF1" s="339"/>
      <c r="CG1" s="339"/>
      <c r="CH1" s="338"/>
      <c r="CI1" s="339"/>
      <c r="CJ1" s="339"/>
      <c r="CK1" s="338"/>
      <c r="CL1" s="339"/>
      <c r="CM1" s="339"/>
      <c r="CN1" s="338"/>
      <c r="CO1" s="339"/>
      <c r="CP1" s="339"/>
      <c r="CQ1" s="338"/>
      <c r="CR1" s="339"/>
      <c r="CS1" s="339"/>
      <c r="CT1" s="338"/>
      <c r="CU1" s="339"/>
      <c r="CV1" s="339"/>
      <c r="CW1" s="338"/>
      <c r="CX1" s="339"/>
      <c r="CY1" s="339"/>
      <c r="CZ1" s="338"/>
      <c r="DA1" s="339"/>
      <c r="DB1" s="338"/>
      <c r="DC1" s="338"/>
      <c r="DD1" s="338"/>
      <c r="DE1" s="338"/>
      <c r="DF1" s="338"/>
    </row>
    <row r="2" spans="1:117" ht="30" customHeight="1" x14ac:dyDescent="0.6">
      <c r="A2" s="337"/>
      <c r="B2" s="337"/>
      <c r="C2" s="337"/>
      <c r="D2" s="337"/>
      <c r="E2" s="337"/>
      <c r="F2" s="337"/>
      <c r="G2" s="337"/>
      <c r="H2" s="337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8"/>
      <c r="AJ2" s="338"/>
      <c r="AK2" s="338"/>
      <c r="AL2" s="338"/>
      <c r="AM2" s="338"/>
      <c r="AN2" s="338"/>
      <c r="AO2" s="338"/>
      <c r="AP2" s="339"/>
      <c r="AQ2" s="339"/>
      <c r="AR2" s="338"/>
      <c r="AS2" s="339"/>
      <c r="AT2" s="339"/>
      <c r="AU2" s="338"/>
      <c r="AV2" s="339"/>
      <c r="AW2" s="339"/>
      <c r="AX2" s="338"/>
      <c r="AY2" s="339"/>
      <c r="AZ2" s="339"/>
      <c r="BA2" s="338"/>
      <c r="BB2" s="339"/>
      <c r="BC2" s="339"/>
      <c r="BD2" s="338"/>
      <c r="BE2" s="339"/>
      <c r="BF2" s="339"/>
      <c r="BG2" s="338"/>
      <c r="BH2" s="339"/>
      <c r="BI2" s="339"/>
      <c r="BJ2" s="338"/>
      <c r="BK2" s="339"/>
      <c r="BL2" s="339"/>
      <c r="BM2" s="338"/>
      <c r="BN2" s="339"/>
      <c r="BO2" s="339"/>
      <c r="BP2" s="338"/>
      <c r="BQ2" s="339"/>
      <c r="BR2" s="339"/>
      <c r="BS2" s="338"/>
      <c r="BT2" s="338"/>
      <c r="BU2" s="338"/>
      <c r="BV2" s="338"/>
      <c r="BW2" s="339"/>
      <c r="BX2" s="339"/>
      <c r="BY2" s="338"/>
      <c r="BZ2" s="339"/>
      <c r="CA2" s="339"/>
      <c r="CB2" s="338"/>
      <c r="CC2" s="339"/>
      <c r="CD2" s="339"/>
      <c r="CE2" s="338"/>
      <c r="CF2" s="339"/>
      <c r="CG2" s="339"/>
      <c r="CH2" s="338"/>
      <c r="CI2" s="339"/>
      <c r="CJ2" s="339"/>
      <c r="CK2" s="338"/>
      <c r="CL2" s="339"/>
      <c r="CM2" s="339"/>
      <c r="CN2" s="338"/>
      <c r="CO2" s="339"/>
      <c r="CP2" s="339"/>
      <c r="CQ2" s="338"/>
      <c r="CR2" s="339"/>
      <c r="CS2" s="339"/>
      <c r="CT2" s="338"/>
      <c r="CU2" s="339"/>
      <c r="CV2" s="339"/>
      <c r="CW2" s="338"/>
      <c r="CX2" s="339"/>
      <c r="CY2" s="339"/>
      <c r="CZ2" s="338"/>
      <c r="DA2" s="339"/>
      <c r="DB2" s="338"/>
      <c r="DC2" s="338"/>
      <c r="DD2" s="338"/>
      <c r="DE2" s="338"/>
      <c r="DF2" s="338"/>
    </row>
    <row r="3" spans="1:117" ht="39" customHeight="1" x14ac:dyDescent="0.6">
      <c r="A3" s="318" t="s">
        <v>43</v>
      </c>
      <c r="B3" s="318" t="s">
        <v>689</v>
      </c>
      <c r="C3" s="318" t="s">
        <v>690</v>
      </c>
      <c r="D3" s="318" t="s">
        <v>691</v>
      </c>
      <c r="E3" s="340" t="s">
        <v>692</v>
      </c>
      <c r="F3" s="340" t="s">
        <v>693</v>
      </c>
      <c r="G3" s="341" t="s">
        <v>943</v>
      </c>
      <c r="H3" s="342"/>
      <c r="I3" s="409">
        <v>8827</v>
      </c>
      <c r="J3" s="409"/>
      <c r="K3" s="410"/>
      <c r="L3" s="409">
        <v>45718</v>
      </c>
      <c r="M3" s="409"/>
      <c r="N3" s="410"/>
      <c r="O3" s="409">
        <v>45719</v>
      </c>
      <c r="P3" s="409"/>
      <c r="Q3" s="410"/>
      <c r="R3" s="409">
        <v>45720</v>
      </c>
      <c r="S3" s="409"/>
      <c r="T3" s="410"/>
      <c r="U3" s="409">
        <v>45721</v>
      </c>
      <c r="V3" s="409"/>
      <c r="W3" s="410"/>
      <c r="X3" s="409">
        <v>45722</v>
      </c>
      <c r="Y3" s="409"/>
      <c r="Z3" s="410"/>
      <c r="AA3" s="409">
        <v>45723</v>
      </c>
      <c r="AB3" s="409"/>
      <c r="AC3" s="410"/>
      <c r="AD3" s="409">
        <v>45724</v>
      </c>
      <c r="AE3" s="409"/>
      <c r="AF3" s="410"/>
      <c r="AG3" s="409">
        <v>45725</v>
      </c>
      <c r="AH3" s="409"/>
      <c r="AI3" s="410"/>
      <c r="AJ3" s="409">
        <v>45726</v>
      </c>
      <c r="AK3" s="409"/>
      <c r="AL3" s="410"/>
      <c r="AM3" s="435" t="s">
        <v>717</v>
      </c>
      <c r="AN3" s="436"/>
      <c r="AO3" s="437"/>
      <c r="AP3" s="409">
        <v>46092</v>
      </c>
      <c r="AQ3" s="409"/>
      <c r="AR3" s="410"/>
      <c r="AS3" s="409">
        <v>46093</v>
      </c>
      <c r="AT3" s="409"/>
      <c r="AU3" s="410"/>
      <c r="AV3" s="409">
        <v>46094</v>
      </c>
      <c r="AW3" s="409"/>
      <c r="AX3" s="410"/>
      <c r="AY3" s="409">
        <v>46095</v>
      </c>
      <c r="AZ3" s="409"/>
      <c r="BA3" s="410"/>
      <c r="BB3" s="409">
        <v>46096</v>
      </c>
      <c r="BC3" s="409"/>
      <c r="BD3" s="410"/>
      <c r="BE3" s="409">
        <v>46097</v>
      </c>
      <c r="BF3" s="409"/>
      <c r="BG3" s="410"/>
      <c r="BH3" s="409">
        <v>46098</v>
      </c>
      <c r="BI3" s="409"/>
      <c r="BJ3" s="410"/>
      <c r="BK3" s="409">
        <v>46099</v>
      </c>
      <c r="BL3" s="409"/>
      <c r="BM3" s="410"/>
      <c r="BN3" s="409">
        <v>46100</v>
      </c>
      <c r="BO3" s="409"/>
      <c r="BP3" s="410"/>
      <c r="BQ3" s="409">
        <v>46101</v>
      </c>
      <c r="BR3" s="409"/>
      <c r="BS3" s="410"/>
      <c r="BT3" s="435" t="s">
        <v>718</v>
      </c>
      <c r="BU3" s="436"/>
      <c r="BV3" s="437"/>
      <c r="BW3" s="409">
        <v>46074</v>
      </c>
      <c r="BX3" s="409"/>
      <c r="BY3" s="410"/>
      <c r="BZ3" s="409">
        <v>46075</v>
      </c>
      <c r="CA3" s="409"/>
      <c r="CB3" s="410"/>
      <c r="CC3" s="409">
        <v>46076</v>
      </c>
      <c r="CD3" s="409"/>
      <c r="CE3" s="410"/>
      <c r="CF3" s="409">
        <v>46077</v>
      </c>
      <c r="CG3" s="409"/>
      <c r="CH3" s="410"/>
      <c r="CI3" s="409">
        <v>46078</v>
      </c>
      <c r="CJ3" s="409"/>
      <c r="CK3" s="410"/>
      <c r="CL3" s="409">
        <v>46079</v>
      </c>
      <c r="CM3" s="409"/>
      <c r="CN3" s="410"/>
      <c r="CO3" s="409">
        <v>46080</v>
      </c>
      <c r="CP3" s="409"/>
      <c r="CQ3" s="410"/>
      <c r="CR3" s="409">
        <v>46081</v>
      </c>
      <c r="CS3" s="409"/>
      <c r="CT3" s="410"/>
      <c r="CU3" s="409">
        <v>46051</v>
      </c>
      <c r="CV3" s="409"/>
      <c r="CW3" s="410"/>
      <c r="CX3" s="409">
        <v>46052</v>
      </c>
      <c r="CY3" s="409"/>
      <c r="CZ3" s="410"/>
      <c r="DA3" s="409">
        <v>46053</v>
      </c>
      <c r="DB3" s="409"/>
      <c r="DC3" s="410"/>
      <c r="DD3" s="435" t="s">
        <v>719</v>
      </c>
      <c r="DE3" s="436"/>
      <c r="DF3" s="437"/>
    </row>
    <row r="4" spans="1:117" ht="30" customHeight="1" x14ac:dyDescent="0.6">
      <c r="A4" s="318"/>
      <c r="B4" s="318"/>
      <c r="C4" s="318"/>
      <c r="D4" s="318"/>
      <c r="E4" s="318"/>
      <c r="F4" s="318"/>
      <c r="G4" s="318" t="s">
        <v>720</v>
      </c>
      <c r="H4" s="318" t="s">
        <v>721</v>
      </c>
      <c r="I4" s="233" t="s">
        <v>720</v>
      </c>
      <c r="J4" s="230" t="s">
        <v>721</v>
      </c>
      <c r="K4" s="230" t="s">
        <v>722</v>
      </c>
      <c r="L4" s="233" t="s">
        <v>720</v>
      </c>
      <c r="M4" s="230" t="s">
        <v>721</v>
      </c>
      <c r="N4" s="230" t="s">
        <v>722</v>
      </c>
      <c r="O4" s="233" t="s">
        <v>720</v>
      </c>
      <c r="P4" s="230" t="s">
        <v>721</v>
      </c>
      <c r="Q4" s="230" t="s">
        <v>722</v>
      </c>
      <c r="R4" s="233" t="s">
        <v>720</v>
      </c>
      <c r="S4" s="230" t="s">
        <v>721</v>
      </c>
      <c r="T4" s="230" t="s">
        <v>722</v>
      </c>
      <c r="U4" s="233" t="s">
        <v>720</v>
      </c>
      <c r="V4" s="230" t="s">
        <v>721</v>
      </c>
      <c r="W4" s="230" t="s">
        <v>722</v>
      </c>
      <c r="X4" s="233" t="s">
        <v>720</v>
      </c>
      <c r="Y4" s="230" t="s">
        <v>721</v>
      </c>
      <c r="Z4" s="230" t="s">
        <v>722</v>
      </c>
      <c r="AA4" s="233" t="s">
        <v>720</v>
      </c>
      <c r="AB4" s="230" t="s">
        <v>721</v>
      </c>
      <c r="AC4" s="230" t="s">
        <v>722</v>
      </c>
      <c r="AD4" s="233" t="s">
        <v>720</v>
      </c>
      <c r="AE4" s="230" t="s">
        <v>721</v>
      </c>
      <c r="AF4" s="230" t="s">
        <v>722</v>
      </c>
      <c r="AG4" s="233" t="s">
        <v>720</v>
      </c>
      <c r="AH4" s="230" t="s">
        <v>721</v>
      </c>
      <c r="AI4" s="230" t="s">
        <v>722</v>
      </c>
      <c r="AJ4" s="233" t="s">
        <v>720</v>
      </c>
      <c r="AK4" s="230" t="s">
        <v>721</v>
      </c>
      <c r="AL4" s="230" t="s">
        <v>722</v>
      </c>
      <c r="AM4" s="320" t="s">
        <v>720</v>
      </c>
      <c r="AN4" s="321" t="s">
        <v>721</v>
      </c>
      <c r="AO4" s="321" t="s">
        <v>722</v>
      </c>
      <c r="AP4" s="233" t="s">
        <v>720</v>
      </c>
      <c r="AQ4" s="230" t="s">
        <v>721</v>
      </c>
      <c r="AR4" s="230" t="s">
        <v>722</v>
      </c>
      <c r="AS4" s="233" t="s">
        <v>720</v>
      </c>
      <c r="AT4" s="230" t="s">
        <v>721</v>
      </c>
      <c r="AU4" s="230" t="s">
        <v>722</v>
      </c>
      <c r="AV4" s="233" t="s">
        <v>720</v>
      </c>
      <c r="AW4" s="230" t="s">
        <v>721</v>
      </c>
      <c r="AX4" s="230" t="s">
        <v>722</v>
      </c>
      <c r="AY4" s="233" t="s">
        <v>720</v>
      </c>
      <c r="AZ4" s="230" t="s">
        <v>721</v>
      </c>
      <c r="BA4" s="230" t="s">
        <v>722</v>
      </c>
      <c r="BB4" s="233" t="s">
        <v>720</v>
      </c>
      <c r="BC4" s="230" t="s">
        <v>721</v>
      </c>
      <c r="BD4" s="230" t="s">
        <v>722</v>
      </c>
      <c r="BE4" s="233" t="s">
        <v>720</v>
      </c>
      <c r="BF4" s="230" t="s">
        <v>721</v>
      </c>
      <c r="BG4" s="230" t="s">
        <v>722</v>
      </c>
      <c r="BH4" s="233" t="s">
        <v>720</v>
      </c>
      <c r="BI4" s="230" t="s">
        <v>721</v>
      </c>
      <c r="BJ4" s="230" t="s">
        <v>722</v>
      </c>
      <c r="BK4" s="233" t="s">
        <v>720</v>
      </c>
      <c r="BL4" s="230" t="s">
        <v>721</v>
      </c>
      <c r="BM4" s="230" t="s">
        <v>722</v>
      </c>
      <c r="BN4" s="233" t="s">
        <v>720</v>
      </c>
      <c r="BO4" s="230" t="s">
        <v>721</v>
      </c>
      <c r="BP4" s="230" t="s">
        <v>722</v>
      </c>
      <c r="BQ4" s="233" t="s">
        <v>720</v>
      </c>
      <c r="BR4" s="230" t="s">
        <v>721</v>
      </c>
      <c r="BS4" s="230" t="s">
        <v>722</v>
      </c>
      <c r="BT4" s="320" t="s">
        <v>720</v>
      </c>
      <c r="BU4" s="321" t="s">
        <v>721</v>
      </c>
      <c r="BV4" s="321" t="s">
        <v>722</v>
      </c>
      <c r="BW4" s="233" t="s">
        <v>720</v>
      </c>
      <c r="BX4" s="230" t="s">
        <v>721</v>
      </c>
      <c r="BY4" s="230" t="s">
        <v>723</v>
      </c>
      <c r="BZ4" s="233" t="s">
        <v>720</v>
      </c>
      <c r="CA4" s="230" t="s">
        <v>721</v>
      </c>
      <c r="CB4" s="230" t="s">
        <v>723</v>
      </c>
      <c r="CC4" s="233" t="s">
        <v>720</v>
      </c>
      <c r="CD4" s="230" t="s">
        <v>721</v>
      </c>
      <c r="CE4" s="230" t="s">
        <v>723</v>
      </c>
      <c r="CF4" s="233" t="s">
        <v>720</v>
      </c>
      <c r="CG4" s="230" t="s">
        <v>721</v>
      </c>
      <c r="CH4" s="230" t="s">
        <v>723</v>
      </c>
      <c r="CI4" s="233" t="s">
        <v>720</v>
      </c>
      <c r="CJ4" s="230" t="s">
        <v>721</v>
      </c>
      <c r="CK4" s="230" t="s">
        <v>723</v>
      </c>
      <c r="CL4" s="233" t="s">
        <v>720</v>
      </c>
      <c r="CM4" s="230" t="s">
        <v>721</v>
      </c>
      <c r="CN4" s="230" t="s">
        <v>723</v>
      </c>
      <c r="CO4" s="233" t="s">
        <v>720</v>
      </c>
      <c r="CP4" s="230" t="s">
        <v>721</v>
      </c>
      <c r="CQ4" s="230" t="s">
        <v>723</v>
      </c>
      <c r="CR4" s="233" t="s">
        <v>720</v>
      </c>
      <c r="CS4" s="230" t="s">
        <v>721</v>
      </c>
      <c r="CT4" s="230" t="s">
        <v>723</v>
      </c>
      <c r="CU4" s="233" t="s">
        <v>720</v>
      </c>
      <c r="CV4" s="230" t="s">
        <v>721</v>
      </c>
      <c r="CW4" s="230" t="s">
        <v>723</v>
      </c>
      <c r="CX4" s="233" t="s">
        <v>720</v>
      </c>
      <c r="CY4" s="230" t="s">
        <v>721</v>
      </c>
      <c r="CZ4" s="230" t="s">
        <v>723</v>
      </c>
      <c r="DA4" s="233" t="s">
        <v>720</v>
      </c>
      <c r="DB4" s="230" t="s">
        <v>721</v>
      </c>
      <c r="DC4" s="230" t="s">
        <v>723</v>
      </c>
      <c r="DD4" s="320" t="s">
        <v>720</v>
      </c>
      <c r="DE4" s="321" t="s">
        <v>721</v>
      </c>
      <c r="DF4" s="321" t="s">
        <v>722</v>
      </c>
      <c r="DK4" s="229"/>
      <c r="DL4" s="229"/>
      <c r="DM4" s="229"/>
    </row>
    <row r="5" spans="1:117" s="345" customFormat="1" ht="20.100000000000001" customHeight="1" x14ac:dyDescent="0.6">
      <c r="A5" s="343">
        <v>1</v>
      </c>
      <c r="B5" s="343" t="s">
        <v>694</v>
      </c>
      <c r="C5" s="444" t="s">
        <v>1074</v>
      </c>
      <c r="D5" s="343" t="s">
        <v>696</v>
      </c>
      <c r="E5" s="343"/>
      <c r="F5" s="343">
        <v>2</v>
      </c>
      <c r="G5" s="344"/>
      <c r="H5" s="241"/>
      <c r="I5" s="271"/>
      <c r="J5" s="271"/>
      <c r="K5" s="271"/>
      <c r="L5" s="271"/>
      <c r="M5" s="271"/>
      <c r="N5" s="271"/>
      <c r="O5" s="271">
        <v>37</v>
      </c>
      <c r="P5" s="253">
        <v>840</v>
      </c>
      <c r="Q5" s="271">
        <v>465.92</v>
      </c>
      <c r="R5" s="271">
        <v>6</v>
      </c>
      <c r="S5" s="253">
        <v>72</v>
      </c>
      <c r="T5" s="271">
        <v>72</v>
      </c>
      <c r="U5" s="271"/>
      <c r="V5" s="271"/>
      <c r="W5" s="271"/>
      <c r="X5" s="271">
        <v>13</v>
      </c>
      <c r="Y5" s="253">
        <v>212</v>
      </c>
      <c r="Z5" s="271">
        <v>160</v>
      </c>
      <c r="AA5" s="271">
        <v>10</v>
      </c>
      <c r="AB5" s="253">
        <v>120</v>
      </c>
      <c r="AC5" s="271">
        <v>120</v>
      </c>
      <c r="AD5" s="271"/>
      <c r="AE5" s="271"/>
      <c r="AF5" s="271"/>
      <c r="AG5" s="271"/>
      <c r="AH5" s="271"/>
      <c r="AI5" s="271"/>
      <c r="AJ5" s="271">
        <v>22</v>
      </c>
      <c r="AK5" s="271">
        <v>294</v>
      </c>
      <c r="AL5" s="271">
        <v>262.95999999999998</v>
      </c>
      <c r="AM5" s="272">
        <f t="shared" ref="AM5:AN15" si="0">+AJ5+AG5+AD5+AA5+X5+U5+R5+O5+L5+I5</f>
        <v>88</v>
      </c>
      <c r="AN5" s="272">
        <f t="shared" si="0"/>
        <v>1538</v>
      </c>
      <c r="AO5" s="272">
        <f>K5+N5+Q5+T5+W5+Z5+AC5+AF5+AI5+AL5</f>
        <v>1080.8800000000001</v>
      </c>
      <c r="AP5" s="273">
        <v>10</v>
      </c>
      <c r="AQ5" s="273">
        <v>260</v>
      </c>
      <c r="AR5" s="271">
        <v>106</v>
      </c>
      <c r="AS5" s="273">
        <v>21</v>
      </c>
      <c r="AT5" s="273">
        <v>394</v>
      </c>
      <c r="AU5" s="271">
        <v>239.76000000000002</v>
      </c>
      <c r="AV5" s="273">
        <v>15</v>
      </c>
      <c r="AW5" s="273">
        <v>180</v>
      </c>
      <c r="AX5" s="271">
        <v>180</v>
      </c>
      <c r="AY5" s="273">
        <v>4</v>
      </c>
      <c r="AZ5" s="273">
        <v>104</v>
      </c>
      <c r="BA5" s="271">
        <v>52</v>
      </c>
      <c r="BB5" s="273"/>
      <c r="BC5" s="273"/>
      <c r="BD5" s="271"/>
      <c r="BE5" s="273">
        <v>17</v>
      </c>
      <c r="BF5" s="273">
        <v>208</v>
      </c>
      <c r="BG5" s="271">
        <v>197.92000000000002</v>
      </c>
      <c r="BH5" s="273">
        <v>34</v>
      </c>
      <c r="BI5" s="273">
        <v>800</v>
      </c>
      <c r="BJ5" s="271">
        <v>436</v>
      </c>
      <c r="BK5" s="273">
        <v>55</v>
      </c>
      <c r="BL5" s="273">
        <v>828</v>
      </c>
      <c r="BM5" s="271">
        <v>643.20000000000005</v>
      </c>
      <c r="BN5" s="273">
        <v>74</v>
      </c>
      <c r="BO5" s="273">
        <v>1178</v>
      </c>
      <c r="BP5" s="271">
        <v>868.8</v>
      </c>
      <c r="BQ5" s="273">
        <v>77</v>
      </c>
      <c r="BR5" s="273">
        <v>1344</v>
      </c>
      <c r="BS5" s="271">
        <v>954</v>
      </c>
      <c r="BT5" s="272">
        <f t="shared" ref="BT5:BU15" si="1">+BQ5+BN5+BK5+BH5+BE5+BB5+AY5+AV5+AS5+AP5+AM5</f>
        <v>395</v>
      </c>
      <c r="BU5" s="272">
        <f t="shared" si="1"/>
        <v>6834</v>
      </c>
      <c r="BV5" s="272">
        <f>AO5+AR5+AU5+AX5+BA5+BD5+BG5+BJ5+BM5+BP5+BS5</f>
        <v>4758.5600000000004</v>
      </c>
      <c r="BW5" s="273"/>
      <c r="BX5" s="273"/>
      <c r="BY5" s="271"/>
      <c r="BZ5" s="273"/>
      <c r="CA5" s="273"/>
      <c r="CB5" s="271"/>
      <c r="CC5" s="273"/>
      <c r="CD5" s="273"/>
      <c r="CE5" s="271"/>
      <c r="CF5" s="273"/>
      <c r="CG5" s="273"/>
      <c r="CH5" s="271"/>
      <c r="CI5" s="273"/>
      <c r="CJ5" s="273"/>
      <c r="CK5" s="271"/>
      <c r="CL5" s="273"/>
      <c r="CM5" s="273"/>
      <c r="CN5" s="271"/>
      <c r="CO5" s="273"/>
      <c r="CP5" s="273"/>
      <c r="CQ5" s="271"/>
      <c r="CR5" s="273"/>
      <c r="CS5" s="273"/>
      <c r="CT5" s="271"/>
      <c r="CU5" s="273"/>
      <c r="CV5" s="273"/>
      <c r="CW5" s="271"/>
      <c r="CX5" s="273"/>
      <c r="CY5" s="273"/>
      <c r="CZ5" s="271"/>
      <c r="DA5" s="273"/>
      <c r="DB5" s="271"/>
      <c r="DC5" s="271"/>
      <c r="DD5" s="272">
        <f>+DA5+CX5+CU5+CR5+CO5+CL5+CI5+CF5+CC5+BZ5+BW5+BT5</f>
        <v>395</v>
      </c>
      <c r="DE5" s="272">
        <f>+DB5+CY5+CV5+CS5+CP5+CM5+CJ5+CG5+CD5+CA5+BX5+BU5</f>
        <v>6834</v>
      </c>
      <c r="DF5" s="272">
        <f>BV5+BY5+CB5+CE5+CH5+CK5+CN5+CQ5+CT5+CW5+CZ5+DC5</f>
        <v>4758.5600000000004</v>
      </c>
      <c r="DK5" s="346"/>
      <c r="DL5" s="346"/>
      <c r="DM5" s="346"/>
    </row>
    <row r="6" spans="1:117" s="345" customFormat="1" ht="20.100000000000001" customHeight="1" x14ac:dyDescent="0.6">
      <c r="A6" s="343">
        <v>2</v>
      </c>
      <c r="B6" s="343" t="s">
        <v>697</v>
      </c>
      <c r="C6" s="444"/>
      <c r="D6" s="343" t="s">
        <v>698</v>
      </c>
      <c r="E6" s="343"/>
      <c r="F6" s="343">
        <v>2</v>
      </c>
      <c r="G6" s="344"/>
      <c r="H6" s="241"/>
      <c r="I6" s="271"/>
      <c r="J6" s="271"/>
      <c r="K6" s="271"/>
      <c r="L6" s="271"/>
      <c r="M6" s="271"/>
      <c r="N6" s="271"/>
      <c r="O6" s="271">
        <v>30</v>
      </c>
      <c r="P6" s="253">
        <v>532</v>
      </c>
      <c r="Q6" s="271">
        <v>365.92</v>
      </c>
      <c r="R6" s="271">
        <v>22</v>
      </c>
      <c r="S6" s="253">
        <v>282</v>
      </c>
      <c r="T6" s="271">
        <v>217.44</v>
      </c>
      <c r="U6" s="271">
        <v>7</v>
      </c>
      <c r="V6" s="271">
        <v>140</v>
      </c>
      <c r="W6" s="271">
        <v>64</v>
      </c>
      <c r="X6" s="271">
        <v>33</v>
      </c>
      <c r="Y6" s="253">
        <v>446</v>
      </c>
      <c r="Z6" s="271">
        <v>354.96</v>
      </c>
      <c r="AA6" s="271">
        <v>30</v>
      </c>
      <c r="AB6" s="253">
        <v>406</v>
      </c>
      <c r="AC6" s="271">
        <v>331.04</v>
      </c>
      <c r="AD6" s="271"/>
      <c r="AE6" s="271"/>
      <c r="AF6" s="271"/>
      <c r="AG6" s="271">
        <v>31</v>
      </c>
      <c r="AH6" s="271">
        <v>546</v>
      </c>
      <c r="AI6" s="271">
        <v>374.88</v>
      </c>
      <c r="AJ6" s="271">
        <v>48</v>
      </c>
      <c r="AK6" s="271">
        <v>756</v>
      </c>
      <c r="AL6" s="271">
        <v>555.36</v>
      </c>
      <c r="AM6" s="272">
        <f t="shared" si="0"/>
        <v>201</v>
      </c>
      <c r="AN6" s="272">
        <f t="shared" si="0"/>
        <v>3108</v>
      </c>
      <c r="AO6" s="272">
        <f t="shared" ref="AO6:AO15" si="2">K6+N6+Q6+T6+W6+Z6+AC6+AF6+AI6+AL6</f>
        <v>2263.6</v>
      </c>
      <c r="AP6" s="273">
        <v>22</v>
      </c>
      <c r="AQ6" s="273">
        <v>390</v>
      </c>
      <c r="AR6" s="271">
        <v>245.92000000000002</v>
      </c>
      <c r="AS6" s="273">
        <v>50</v>
      </c>
      <c r="AT6" s="273">
        <v>974</v>
      </c>
      <c r="AU6" s="271">
        <v>610.80000000000007</v>
      </c>
      <c r="AV6" s="273">
        <v>32</v>
      </c>
      <c r="AW6" s="273">
        <v>730</v>
      </c>
      <c r="AX6" s="271">
        <v>383.20000000000005</v>
      </c>
      <c r="AY6" s="273">
        <v>45</v>
      </c>
      <c r="AZ6" s="273">
        <v>658</v>
      </c>
      <c r="BA6" s="271">
        <v>481.12</v>
      </c>
      <c r="BB6" s="273"/>
      <c r="BC6" s="273"/>
      <c r="BD6" s="271"/>
      <c r="BE6" s="273"/>
      <c r="BF6" s="273"/>
      <c r="BG6" s="271"/>
      <c r="BH6" s="273">
        <v>7</v>
      </c>
      <c r="BI6" s="273">
        <v>112</v>
      </c>
      <c r="BJ6" s="271">
        <v>66.8</v>
      </c>
      <c r="BK6" s="273">
        <v>16</v>
      </c>
      <c r="BL6" s="273">
        <v>360</v>
      </c>
      <c r="BM6" s="271">
        <v>189.6</v>
      </c>
      <c r="BN6" s="273">
        <v>25</v>
      </c>
      <c r="BO6" s="273">
        <v>450</v>
      </c>
      <c r="BP6" s="271">
        <v>294.8</v>
      </c>
      <c r="BQ6" s="273">
        <v>86</v>
      </c>
      <c r="BR6" s="273">
        <v>1568</v>
      </c>
      <c r="BS6" s="271">
        <v>1004.96</v>
      </c>
      <c r="BT6" s="272">
        <f t="shared" si="1"/>
        <v>484</v>
      </c>
      <c r="BU6" s="272">
        <f t="shared" si="1"/>
        <v>8350</v>
      </c>
      <c r="BV6" s="272">
        <f t="shared" ref="BV6:BV15" si="3">AO6+AR6+AU6+AX6+BA6+BD6+BG6+BJ6+BM6+BP6+BS6</f>
        <v>5540.8000000000011</v>
      </c>
      <c r="BW6" s="273"/>
      <c r="BX6" s="273"/>
      <c r="BY6" s="271"/>
      <c r="BZ6" s="273"/>
      <c r="CA6" s="273"/>
      <c r="CB6" s="271"/>
      <c r="CC6" s="273"/>
      <c r="CD6" s="273"/>
      <c r="CE6" s="271"/>
      <c r="CF6" s="273"/>
      <c r="CG6" s="273"/>
      <c r="CH6" s="271"/>
      <c r="CI6" s="273"/>
      <c r="CJ6" s="273"/>
      <c r="CK6" s="271"/>
      <c r="CL6" s="273"/>
      <c r="CM6" s="273"/>
      <c r="CN6" s="271"/>
      <c r="CO6" s="273"/>
      <c r="CP6" s="273"/>
      <c r="CQ6" s="271"/>
      <c r="CR6" s="273"/>
      <c r="CS6" s="273"/>
      <c r="CT6" s="271"/>
      <c r="CU6" s="273"/>
      <c r="CV6" s="273"/>
      <c r="CW6" s="271"/>
      <c r="CX6" s="273"/>
      <c r="CY6" s="273"/>
      <c r="CZ6" s="271"/>
      <c r="DA6" s="273"/>
      <c r="DB6" s="271"/>
      <c r="DC6" s="271"/>
      <c r="DD6" s="272">
        <f t="shared" ref="DD6:DE15" si="4">+DA6+CX6+CU6+CR6+CO6+CL6+CI6+CF6+CC6+BZ6+BW6+BT6</f>
        <v>484</v>
      </c>
      <c r="DE6" s="272">
        <f t="shared" si="4"/>
        <v>8350</v>
      </c>
      <c r="DF6" s="272">
        <f t="shared" ref="DF6:DF15" si="5">BV6+BY6+CB6+CE6+CH6+CK6+CN6+CQ6+CT6+CW6+CZ6+DC6</f>
        <v>5540.8000000000011</v>
      </c>
      <c r="DK6" s="346"/>
      <c r="DL6" s="346"/>
      <c r="DM6" s="346"/>
    </row>
    <row r="7" spans="1:117" s="345" customFormat="1" ht="20.100000000000001" customHeight="1" x14ac:dyDescent="0.6">
      <c r="A7" s="343">
        <v>3</v>
      </c>
      <c r="B7" s="343" t="s">
        <v>699</v>
      </c>
      <c r="C7" s="444" t="s">
        <v>1075</v>
      </c>
      <c r="D7" s="343" t="s">
        <v>1076</v>
      </c>
      <c r="E7" s="343"/>
      <c r="F7" s="343">
        <v>2</v>
      </c>
      <c r="G7" s="344"/>
      <c r="H7" s="241"/>
      <c r="I7" s="271"/>
      <c r="J7" s="271"/>
      <c r="K7" s="271"/>
      <c r="L7" s="271"/>
      <c r="M7" s="271"/>
      <c r="N7" s="271"/>
      <c r="O7" s="271">
        <v>56</v>
      </c>
      <c r="P7" s="362">
        <v>1046</v>
      </c>
      <c r="Q7" s="271">
        <v>669.6</v>
      </c>
      <c r="R7" s="271">
        <v>17</v>
      </c>
      <c r="S7" s="253">
        <v>204</v>
      </c>
      <c r="T7" s="271">
        <v>192</v>
      </c>
      <c r="U7" s="271">
        <v>55.5</v>
      </c>
      <c r="V7" s="271">
        <v>1062</v>
      </c>
      <c r="W7" s="271">
        <v>687.92</v>
      </c>
      <c r="X7" s="271">
        <v>66</v>
      </c>
      <c r="Y7" s="253">
        <v>892</v>
      </c>
      <c r="Z7" s="271">
        <v>773.68</v>
      </c>
      <c r="AA7" s="271">
        <v>38.5</v>
      </c>
      <c r="AB7" s="253">
        <v>566</v>
      </c>
      <c r="AC7" s="271">
        <v>437.6</v>
      </c>
      <c r="AD7" s="271"/>
      <c r="AE7" s="271"/>
      <c r="AF7" s="271"/>
      <c r="AG7" s="271">
        <v>35</v>
      </c>
      <c r="AH7" s="271">
        <v>504</v>
      </c>
      <c r="AI7" s="271">
        <v>411.6</v>
      </c>
      <c r="AJ7" s="271">
        <v>74</v>
      </c>
      <c r="AK7" s="271">
        <v>1280</v>
      </c>
      <c r="AL7" s="271">
        <v>902.8</v>
      </c>
      <c r="AM7" s="272">
        <f t="shared" si="0"/>
        <v>342</v>
      </c>
      <c r="AN7" s="272">
        <f t="shared" si="0"/>
        <v>5554</v>
      </c>
      <c r="AO7" s="272">
        <f t="shared" si="2"/>
        <v>4075.2</v>
      </c>
      <c r="AP7" s="273">
        <v>48</v>
      </c>
      <c r="AQ7" s="273">
        <v>634</v>
      </c>
      <c r="AR7" s="271">
        <v>548.16</v>
      </c>
      <c r="AS7" s="273">
        <v>25</v>
      </c>
      <c r="AT7" s="273">
        <v>412</v>
      </c>
      <c r="AU7" s="271">
        <v>298.39999999999998</v>
      </c>
      <c r="AV7" s="273">
        <v>1</v>
      </c>
      <c r="AW7" s="273">
        <v>40</v>
      </c>
      <c r="AX7" s="271">
        <v>14</v>
      </c>
      <c r="AY7" s="273">
        <v>21</v>
      </c>
      <c r="AZ7" s="273">
        <v>308</v>
      </c>
      <c r="BA7" s="271">
        <v>256</v>
      </c>
      <c r="BB7" s="273"/>
      <c r="BC7" s="273"/>
      <c r="BD7" s="271"/>
      <c r="BE7" s="273"/>
      <c r="BF7" s="273"/>
      <c r="BG7" s="271"/>
      <c r="BH7" s="273">
        <v>122</v>
      </c>
      <c r="BI7" s="273">
        <v>2276</v>
      </c>
      <c r="BJ7" s="271">
        <v>1488.4799999999998</v>
      </c>
      <c r="BK7" s="273">
        <v>106</v>
      </c>
      <c r="BL7" s="273">
        <v>1744</v>
      </c>
      <c r="BM7" s="271">
        <v>1178.3999999999999</v>
      </c>
      <c r="BN7" s="273">
        <v>117</v>
      </c>
      <c r="BO7" s="273">
        <v>1588</v>
      </c>
      <c r="BP7" s="271">
        <v>1353.28</v>
      </c>
      <c r="BQ7" s="273">
        <v>104</v>
      </c>
      <c r="BR7" s="273">
        <v>1618</v>
      </c>
      <c r="BS7" s="271">
        <v>1246.8800000000001</v>
      </c>
      <c r="BT7" s="272">
        <f t="shared" si="1"/>
        <v>886</v>
      </c>
      <c r="BU7" s="272">
        <f t="shared" si="1"/>
        <v>14174</v>
      </c>
      <c r="BV7" s="272">
        <f t="shared" si="3"/>
        <v>10458.799999999999</v>
      </c>
      <c r="BW7" s="273"/>
      <c r="BX7" s="273"/>
      <c r="BY7" s="271"/>
      <c r="BZ7" s="273"/>
      <c r="CA7" s="273"/>
      <c r="CB7" s="271"/>
      <c r="CC7" s="273"/>
      <c r="CD7" s="273"/>
      <c r="CE7" s="271"/>
      <c r="CF7" s="273"/>
      <c r="CG7" s="273"/>
      <c r="CH7" s="271"/>
      <c r="CI7" s="273"/>
      <c r="CJ7" s="273"/>
      <c r="CK7" s="271"/>
      <c r="CL7" s="273"/>
      <c r="CM7" s="273"/>
      <c r="CN7" s="271"/>
      <c r="CO7" s="273"/>
      <c r="CP7" s="273"/>
      <c r="CQ7" s="271"/>
      <c r="CR7" s="273"/>
      <c r="CS7" s="273"/>
      <c r="CT7" s="271"/>
      <c r="CU7" s="273"/>
      <c r="CV7" s="273"/>
      <c r="CW7" s="271"/>
      <c r="CX7" s="273"/>
      <c r="CY7" s="273"/>
      <c r="CZ7" s="271"/>
      <c r="DA7" s="273"/>
      <c r="DB7" s="271"/>
      <c r="DC7" s="271"/>
      <c r="DD7" s="272">
        <f t="shared" si="4"/>
        <v>886</v>
      </c>
      <c r="DE7" s="272">
        <f t="shared" si="4"/>
        <v>14174</v>
      </c>
      <c r="DF7" s="272">
        <f t="shared" si="5"/>
        <v>10458.799999999999</v>
      </c>
      <c r="DK7" s="346"/>
      <c r="DL7" s="346"/>
      <c r="DM7" s="346"/>
    </row>
    <row r="8" spans="1:117" s="345" customFormat="1" ht="20.100000000000001" customHeight="1" x14ac:dyDescent="0.6">
      <c r="A8" s="343">
        <v>4</v>
      </c>
      <c r="B8" s="343" t="s">
        <v>702</v>
      </c>
      <c r="C8" s="444"/>
      <c r="D8" s="343" t="s">
        <v>1077</v>
      </c>
      <c r="E8" s="343"/>
      <c r="F8" s="343">
        <v>2</v>
      </c>
      <c r="G8" s="344"/>
      <c r="H8" s="241"/>
      <c r="I8" s="271"/>
      <c r="J8" s="271"/>
      <c r="K8" s="271"/>
      <c r="L8" s="271"/>
      <c r="M8" s="271"/>
      <c r="N8" s="271"/>
      <c r="O8" s="271">
        <v>20</v>
      </c>
      <c r="P8" s="253">
        <v>324</v>
      </c>
      <c r="Q8" s="271">
        <v>231.6</v>
      </c>
      <c r="R8" s="271">
        <v>17</v>
      </c>
      <c r="S8" s="253">
        <v>260</v>
      </c>
      <c r="T8" s="271">
        <v>198.4</v>
      </c>
      <c r="U8" s="271"/>
      <c r="V8" s="271"/>
      <c r="W8" s="271"/>
      <c r="X8" s="271">
        <v>3</v>
      </c>
      <c r="Y8" s="253">
        <v>120</v>
      </c>
      <c r="Z8" s="271">
        <v>42</v>
      </c>
      <c r="AA8" s="271">
        <v>81</v>
      </c>
      <c r="AB8" s="362">
        <v>1240</v>
      </c>
      <c r="AC8" s="271">
        <v>876.56</v>
      </c>
      <c r="AD8" s="271"/>
      <c r="AE8" s="271"/>
      <c r="AF8" s="271"/>
      <c r="AG8" s="271">
        <v>28</v>
      </c>
      <c r="AH8" s="271">
        <v>336</v>
      </c>
      <c r="AI8" s="271">
        <v>332.4</v>
      </c>
      <c r="AJ8" s="271">
        <v>33</v>
      </c>
      <c r="AK8" s="271">
        <v>482</v>
      </c>
      <c r="AL8" s="271">
        <v>389.36</v>
      </c>
      <c r="AM8" s="272">
        <f t="shared" si="0"/>
        <v>182</v>
      </c>
      <c r="AN8" s="272">
        <f t="shared" si="0"/>
        <v>2762</v>
      </c>
      <c r="AO8" s="272">
        <f t="shared" si="2"/>
        <v>2070.3200000000002</v>
      </c>
      <c r="AP8" s="273">
        <v>64</v>
      </c>
      <c r="AQ8" s="273">
        <v>964</v>
      </c>
      <c r="AR8" s="271">
        <v>767.6</v>
      </c>
      <c r="AS8" s="273">
        <v>65</v>
      </c>
      <c r="AT8" s="273">
        <v>1032</v>
      </c>
      <c r="AU8" s="271">
        <v>798</v>
      </c>
      <c r="AV8" s="273">
        <v>91</v>
      </c>
      <c r="AW8" s="273">
        <v>1234</v>
      </c>
      <c r="AX8" s="271">
        <v>1044.8</v>
      </c>
      <c r="AY8" s="273">
        <v>22</v>
      </c>
      <c r="AZ8" s="273">
        <v>264</v>
      </c>
      <c r="BA8" s="271">
        <v>264</v>
      </c>
      <c r="BB8" s="273"/>
      <c r="BC8" s="273"/>
      <c r="BD8" s="271"/>
      <c r="BE8" s="273"/>
      <c r="BF8" s="273"/>
      <c r="BG8" s="271"/>
      <c r="BH8" s="273">
        <v>47</v>
      </c>
      <c r="BI8" s="273">
        <v>760</v>
      </c>
      <c r="BJ8" s="271">
        <v>554</v>
      </c>
      <c r="BK8" s="273">
        <v>229</v>
      </c>
      <c r="BL8" s="273">
        <v>2870</v>
      </c>
      <c r="BM8" s="271">
        <v>2562.56</v>
      </c>
      <c r="BN8" s="273">
        <v>57</v>
      </c>
      <c r="BO8" s="273">
        <v>1020</v>
      </c>
      <c r="BP8" s="271">
        <v>698.4</v>
      </c>
      <c r="BQ8" s="273"/>
      <c r="BR8" s="273"/>
      <c r="BS8" s="271"/>
      <c r="BT8" s="272">
        <f t="shared" si="1"/>
        <v>757</v>
      </c>
      <c r="BU8" s="272">
        <f t="shared" si="1"/>
        <v>10906</v>
      </c>
      <c r="BV8" s="272">
        <f t="shared" si="3"/>
        <v>8759.68</v>
      </c>
      <c r="BW8" s="273"/>
      <c r="BX8" s="273"/>
      <c r="BY8" s="271"/>
      <c r="BZ8" s="273"/>
      <c r="CA8" s="273"/>
      <c r="CB8" s="271"/>
      <c r="CC8" s="273"/>
      <c r="CD8" s="273"/>
      <c r="CE8" s="271"/>
      <c r="CF8" s="273"/>
      <c r="CG8" s="273"/>
      <c r="CH8" s="271"/>
      <c r="CI8" s="273"/>
      <c r="CJ8" s="273"/>
      <c r="CK8" s="271"/>
      <c r="CL8" s="273"/>
      <c r="CM8" s="273"/>
      <c r="CN8" s="271"/>
      <c r="CO8" s="273"/>
      <c r="CP8" s="273"/>
      <c r="CQ8" s="271"/>
      <c r="CR8" s="273"/>
      <c r="CS8" s="273"/>
      <c r="CT8" s="271"/>
      <c r="CU8" s="273"/>
      <c r="CV8" s="273"/>
      <c r="CW8" s="271"/>
      <c r="CX8" s="273"/>
      <c r="CY8" s="273"/>
      <c r="CZ8" s="271"/>
      <c r="DA8" s="273"/>
      <c r="DB8" s="271"/>
      <c r="DC8" s="271"/>
      <c r="DD8" s="272">
        <f t="shared" si="4"/>
        <v>757</v>
      </c>
      <c r="DE8" s="272">
        <f t="shared" si="4"/>
        <v>10906</v>
      </c>
      <c r="DF8" s="272">
        <f t="shared" si="5"/>
        <v>8759.68</v>
      </c>
      <c r="DK8" s="346"/>
      <c r="DL8" s="346"/>
      <c r="DM8" s="346"/>
    </row>
    <row r="9" spans="1:117" s="345" customFormat="1" ht="20.100000000000001" customHeight="1" x14ac:dyDescent="0.6">
      <c r="A9" s="343">
        <v>5</v>
      </c>
      <c r="B9" s="343" t="s">
        <v>704</v>
      </c>
      <c r="C9" s="343" t="s">
        <v>1078</v>
      </c>
      <c r="D9" s="343" t="s">
        <v>706</v>
      </c>
      <c r="E9" s="343"/>
      <c r="F9" s="343">
        <v>4</v>
      </c>
      <c r="G9" s="344"/>
      <c r="H9" s="241"/>
      <c r="I9" s="271"/>
      <c r="J9" s="271"/>
      <c r="K9" s="271"/>
      <c r="L9" s="271"/>
      <c r="M9" s="271"/>
      <c r="N9" s="271"/>
      <c r="O9" s="271"/>
      <c r="P9" s="253"/>
      <c r="Q9" s="271"/>
      <c r="R9" s="271">
        <v>171</v>
      </c>
      <c r="S9" s="362">
        <v>2332</v>
      </c>
      <c r="T9" s="271">
        <v>2072</v>
      </c>
      <c r="U9" s="271">
        <v>71</v>
      </c>
      <c r="V9" s="271">
        <v>894</v>
      </c>
      <c r="W9" s="271">
        <v>788.16</v>
      </c>
      <c r="X9" s="271"/>
      <c r="Y9" s="253"/>
      <c r="Z9" s="271"/>
      <c r="AA9" s="271">
        <v>92</v>
      </c>
      <c r="AB9" s="362">
        <v>1524</v>
      </c>
      <c r="AC9" s="271">
        <v>1134</v>
      </c>
      <c r="AD9" s="271"/>
      <c r="AE9" s="271"/>
      <c r="AF9" s="271"/>
      <c r="AG9" s="271">
        <v>100</v>
      </c>
      <c r="AH9" s="271">
        <v>1340</v>
      </c>
      <c r="AI9" s="271">
        <v>1289.5999999999999</v>
      </c>
      <c r="AJ9" s="271">
        <v>176</v>
      </c>
      <c r="AK9" s="271">
        <v>2176</v>
      </c>
      <c r="AL9" s="271">
        <v>2103.84</v>
      </c>
      <c r="AM9" s="272">
        <f t="shared" si="0"/>
        <v>610</v>
      </c>
      <c r="AN9" s="272">
        <f t="shared" si="0"/>
        <v>8266</v>
      </c>
      <c r="AO9" s="272">
        <f t="shared" si="2"/>
        <v>7387.6</v>
      </c>
      <c r="AP9" s="273"/>
      <c r="AQ9" s="273"/>
      <c r="AR9" s="271"/>
      <c r="AS9" s="273">
        <v>61</v>
      </c>
      <c r="AT9" s="273">
        <v>1068</v>
      </c>
      <c r="AU9" s="271">
        <v>748.8</v>
      </c>
      <c r="AV9" s="273"/>
      <c r="AW9" s="273"/>
      <c r="AX9" s="271"/>
      <c r="AY9" s="273">
        <v>63</v>
      </c>
      <c r="AZ9" s="273">
        <v>980</v>
      </c>
      <c r="BA9" s="271">
        <v>772</v>
      </c>
      <c r="BB9" s="273"/>
      <c r="BC9" s="273"/>
      <c r="BD9" s="271"/>
      <c r="BE9" s="273">
        <v>125</v>
      </c>
      <c r="BF9" s="273">
        <v>1880</v>
      </c>
      <c r="BG9" s="271">
        <v>1145.1999999999998</v>
      </c>
      <c r="BH9" s="273">
        <v>212</v>
      </c>
      <c r="BI9" s="273">
        <v>3664</v>
      </c>
      <c r="BJ9" s="271">
        <v>2624</v>
      </c>
      <c r="BK9" s="273"/>
      <c r="BL9" s="273"/>
      <c r="BM9" s="271"/>
      <c r="BN9" s="273">
        <v>56</v>
      </c>
      <c r="BO9" s="273">
        <v>700</v>
      </c>
      <c r="BP9" s="271">
        <v>674</v>
      </c>
      <c r="BQ9" s="273"/>
      <c r="BR9" s="273"/>
      <c r="BS9" s="271"/>
      <c r="BT9" s="272">
        <f t="shared" si="1"/>
        <v>1127</v>
      </c>
      <c r="BU9" s="272">
        <f t="shared" si="1"/>
        <v>16558</v>
      </c>
      <c r="BV9" s="272">
        <f t="shared" si="3"/>
        <v>13351.600000000002</v>
      </c>
      <c r="BW9" s="273"/>
      <c r="BX9" s="273"/>
      <c r="BY9" s="271"/>
      <c r="BZ9" s="273"/>
      <c r="CA9" s="273"/>
      <c r="CB9" s="271"/>
      <c r="CC9" s="273"/>
      <c r="CD9" s="273"/>
      <c r="CE9" s="271"/>
      <c r="CF9" s="273"/>
      <c r="CG9" s="273"/>
      <c r="CH9" s="271"/>
      <c r="CI9" s="273"/>
      <c r="CJ9" s="273"/>
      <c r="CK9" s="271"/>
      <c r="CL9" s="273"/>
      <c r="CM9" s="273"/>
      <c r="CN9" s="271"/>
      <c r="CO9" s="273"/>
      <c r="CP9" s="273"/>
      <c r="CQ9" s="271"/>
      <c r="CR9" s="273"/>
      <c r="CS9" s="273"/>
      <c r="CT9" s="271"/>
      <c r="CU9" s="273"/>
      <c r="CV9" s="273"/>
      <c r="CW9" s="271"/>
      <c r="CX9" s="273"/>
      <c r="CY9" s="273"/>
      <c r="CZ9" s="271"/>
      <c r="DA9" s="273"/>
      <c r="DB9" s="271"/>
      <c r="DC9" s="271"/>
      <c r="DD9" s="272">
        <f t="shared" si="4"/>
        <v>1127</v>
      </c>
      <c r="DE9" s="272">
        <f t="shared" si="4"/>
        <v>16558</v>
      </c>
      <c r="DF9" s="272">
        <f t="shared" si="5"/>
        <v>13351.600000000002</v>
      </c>
      <c r="DK9" s="346"/>
      <c r="DL9" s="346"/>
      <c r="DM9" s="346"/>
    </row>
    <row r="10" spans="1:117" s="345" customFormat="1" ht="20.100000000000001" customHeight="1" x14ac:dyDescent="0.6">
      <c r="A10" s="343">
        <v>6</v>
      </c>
      <c r="B10" s="343" t="s">
        <v>707</v>
      </c>
      <c r="C10" s="343" t="s">
        <v>1075</v>
      </c>
      <c r="D10" s="347" t="s">
        <v>1079</v>
      </c>
      <c r="E10" s="343"/>
      <c r="F10" s="343">
        <v>2</v>
      </c>
      <c r="G10" s="344"/>
      <c r="H10" s="241"/>
      <c r="I10" s="271"/>
      <c r="J10" s="271"/>
      <c r="K10" s="271"/>
      <c r="L10" s="271"/>
      <c r="M10" s="271"/>
      <c r="N10" s="271"/>
      <c r="O10" s="271">
        <v>17</v>
      </c>
      <c r="P10" s="253">
        <v>294</v>
      </c>
      <c r="Q10" s="271">
        <v>196.08</v>
      </c>
      <c r="R10" s="271">
        <v>13.75</v>
      </c>
      <c r="S10" s="253">
        <v>255</v>
      </c>
      <c r="T10" s="271">
        <v>168.3</v>
      </c>
      <c r="U10" s="271">
        <v>12</v>
      </c>
      <c r="V10" s="271">
        <v>184</v>
      </c>
      <c r="W10" s="271">
        <v>127.76</v>
      </c>
      <c r="X10" s="271">
        <v>30</v>
      </c>
      <c r="Y10" s="253">
        <v>400</v>
      </c>
      <c r="Z10" s="271">
        <v>329.36</v>
      </c>
      <c r="AA10" s="271">
        <v>18.170000000000002</v>
      </c>
      <c r="AB10" s="253">
        <v>444</v>
      </c>
      <c r="AC10" s="271">
        <v>212.96</v>
      </c>
      <c r="AD10" s="271"/>
      <c r="AE10" s="271"/>
      <c r="AF10" s="271"/>
      <c r="AG10" s="271"/>
      <c r="AH10" s="271"/>
      <c r="AI10" s="271"/>
      <c r="AJ10" s="271">
        <v>45</v>
      </c>
      <c r="AK10" s="271">
        <v>726</v>
      </c>
      <c r="AL10" s="271">
        <v>470.48</v>
      </c>
      <c r="AM10" s="272">
        <f t="shared" si="0"/>
        <v>135.92000000000002</v>
      </c>
      <c r="AN10" s="272">
        <f t="shared" si="0"/>
        <v>2303</v>
      </c>
      <c r="AO10" s="272">
        <f t="shared" si="2"/>
        <v>1504.94</v>
      </c>
      <c r="AP10" s="273">
        <v>15</v>
      </c>
      <c r="AQ10" s="273">
        <v>600</v>
      </c>
      <c r="AR10" s="271">
        <v>210</v>
      </c>
      <c r="AS10" s="273"/>
      <c r="AT10" s="273"/>
      <c r="AU10" s="271"/>
      <c r="AV10" s="273">
        <v>24</v>
      </c>
      <c r="AW10" s="273">
        <v>400</v>
      </c>
      <c r="AX10" s="271">
        <v>296</v>
      </c>
      <c r="AY10" s="273"/>
      <c r="AZ10" s="273"/>
      <c r="BA10" s="271"/>
      <c r="BB10" s="273"/>
      <c r="BC10" s="273"/>
      <c r="BD10" s="271"/>
      <c r="BE10" s="273">
        <v>17</v>
      </c>
      <c r="BF10" s="273">
        <v>288</v>
      </c>
      <c r="BG10" s="271">
        <v>206.4</v>
      </c>
      <c r="BH10" s="273">
        <v>53</v>
      </c>
      <c r="BI10" s="273">
        <v>792</v>
      </c>
      <c r="BJ10" s="271">
        <v>488.00000000000011</v>
      </c>
      <c r="BK10" s="273">
        <v>82</v>
      </c>
      <c r="BL10" s="273">
        <v>1238</v>
      </c>
      <c r="BM10" s="271">
        <v>974.96</v>
      </c>
      <c r="BN10" s="273">
        <v>56</v>
      </c>
      <c r="BO10" s="273">
        <v>772</v>
      </c>
      <c r="BP10" s="271">
        <v>520</v>
      </c>
      <c r="BQ10" s="273"/>
      <c r="BR10" s="273"/>
      <c r="BS10" s="271"/>
      <c r="BT10" s="272">
        <f t="shared" si="1"/>
        <v>382.92</v>
      </c>
      <c r="BU10" s="272">
        <f t="shared" si="1"/>
        <v>6393</v>
      </c>
      <c r="BV10" s="272">
        <f t="shared" si="3"/>
        <v>4200.3</v>
      </c>
      <c r="BW10" s="273"/>
      <c r="BX10" s="273"/>
      <c r="BY10" s="271"/>
      <c r="BZ10" s="273"/>
      <c r="CA10" s="273"/>
      <c r="CB10" s="271"/>
      <c r="CC10" s="273"/>
      <c r="CD10" s="273"/>
      <c r="CE10" s="271"/>
      <c r="CF10" s="273"/>
      <c r="CG10" s="273"/>
      <c r="CH10" s="271"/>
      <c r="CI10" s="273"/>
      <c r="CJ10" s="273"/>
      <c r="CK10" s="271"/>
      <c r="CL10" s="273"/>
      <c r="CM10" s="273"/>
      <c r="CN10" s="271"/>
      <c r="CO10" s="273"/>
      <c r="CP10" s="273"/>
      <c r="CQ10" s="271"/>
      <c r="CR10" s="273"/>
      <c r="CS10" s="273"/>
      <c r="CT10" s="271"/>
      <c r="CU10" s="273"/>
      <c r="CV10" s="273"/>
      <c r="CW10" s="271"/>
      <c r="CX10" s="273"/>
      <c r="CY10" s="273"/>
      <c r="CZ10" s="271"/>
      <c r="DA10" s="273"/>
      <c r="DB10" s="271"/>
      <c r="DC10" s="271"/>
      <c r="DD10" s="272">
        <f t="shared" si="4"/>
        <v>382.92</v>
      </c>
      <c r="DE10" s="272">
        <f t="shared" si="4"/>
        <v>6393</v>
      </c>
      <c r="DF10" s="272">
        <f t="shared" si="5"/>
        <v>4200.3</v>
      </c>
      <c r="DK10" s="346"/>
      <c r="DL10" s="346"/>
      <c r="DM10" s="346"/>
    </row>
    <row r="11" spans="1:117" s="345" customFormat="1" ht="20.100000000000001" customHeight="1" x14ac:dyDescent="0.6">
      <c r="A11" s="343">
        <v>7</v>
      </c>
      <c r="B11" s="343" t="s">
        <v>709</v>
      </c>
      <c r="C11" s="445" t="s">
        <v>1080</v>
      </c>
      <c r="D11" s="348" t="s">
        <v>1081</v>
      </c>
      <c r="E11" s="343"/>
      <c r="F11" s="343">
        <v>4</v>
      </c>
      <c r="G11" s="344"/>
      <c r="H11" s="241"/>
      <c r="I11" s="271"/>
      <c r="J11" s="271"/>
      <c r="K11" s="271"/>
      <c r="L11" s="271"/>
      <c r="M11" s="271"/>
      <c r="N11" s="271"/>
      <c r="O11" s="271">
        <v>36</v>
      </c>
      <c r="P11" s="253">
        <v>504</v>
      </c>
      <c r="Q11" s="271">
        <v>382.88</v>
      </c>
      <c r="R11" s="271">
        <v>27</v>
      </c>
      <c r="S11" s="253">
        <v>454</v>
      </c>
      <c r="T11" s="271">
        <v>299.83999999999997</v>
      </c>
      <c r="U11" s="271">
        <v>58</v>
      </c>
      <c r="V11" s="271">
        <v>874</v>
      </c>
      <c r="W11" s="271">
        <v>673.6</v>
      </c>
      <c r="X11" s="271">
        <v>32</v>
      </c>
      <c r="Y11" s="253">
        <v>502</v>
      </c>
      <c r="Z11" s="271">
        <v>373.28</v>
      </c>
      <c r="AA11" s="271">
        <v>9</v>
      </c>
      <c r="AB11" s="253">
        <v>108</v>
      </c>
      <c r="AC11" s="271">
        <v>103.2</v>
      </c>
      <c r="AD11" s="271"/>
      <c r="AE11" s="271"/>
      <c r="AF11" s="271"/>
      <c r="AG11" s="271">
        <v>42</v>
      </c>
      <c r="AH11" s="271">
        <v>566</v>
      </c>
      <c r="AI11" s="271">
        <v>498.88</v>
      </c>
      <c r="AJ11" s="271">
        <v>21</v>
      </c>
      <c r="AK11" s="271">
        <v>292</v>
      </c>
      <c r="AL11" s="271">
        <v>216.56</v>
      </c>
      <c r="AM11" s="272">
        <f t="shared" si="0"/>
        <v>225</v>
      </c>
      <c r="AN11" s="272">
        <f t="shared" si="0"/>
        <v>3300</v>
      </c>
      <c r="AO11" s="272">
        <f t="shared" si="2"/>
        <v>2548.2400000000002</v>
      </c>
      <c r="AP11" s="273">
        <v>22</v>
      </c>
      <c r="AQ11" s="273">
        <v>326</v>
      </c>
      <c r="AR11" s="271">
        <v>248.08000000000004</v>
      </c>
      <c r="AS11" s="273">
        <v>38</v>
      </c>
      <c r="AT11" s="273">
        <v>604</v>
      </c>
      <c r="AU11" s="271">
        <v>425.03999999999996</v>
      </c>
      <c r="AV11" s="273"/>
      <c r="AW11" s="273"/>
      <c r="AX11" s="271"/>
      <c r="AY11" s="273"/>
      <c r="AZ11" s="273"/>
      <c r="BA11" s="271"/>
      <c r="BB11" s="273"/>
      <c r="BC11" s="273"/>
      <c r="BD11" s="271"/>
      <c r="BE11" s="273">
        <v>75</v>
      </c>
      <c r="BF11" s="273">
        <v>1162</v>
      </c>
      <c r="BG11" s="271">
        <v>839.19999999999993</v>
      </c>
      <c r="BH11" s="273">
        <v>15</v>
      </c>
      <c r="BI11" s="273">
        <v>244</v>
      </c>
      <c r="BJ11" s="271">
        <v>167.04</v>
      </c>
      <c r="BK11" s="273">
        <v>33</v>
      </c>
      <c r="BL11" s="273">
        <v>570</v>
      </c>
      <c r="BM11" s="271">
        <v>374.88</v>
      </c>
      <c r="BN11" s="273">
        <v>60</v>
      </c>
      <c r="BO11" s="273">
        <v>1110</v>
      </c>
      <c r="BP11" s="271">
        <v>616.48</v>
      </c>
      <c r="BQ11" s="273">
        <v>44</v>
      </c>
      <c r="BR11" s="273">
        <v>816</v>
      </c>
      <c r="BS11" s="271">
        <v>526.24</v>
      </c>
      <c r="BT11" s="272">
        <f t="shared" si="1"/>
        <v>512</v>
      </c>
      <c r="BU11" s="272">
        <f t="shared" si="1"/>
        <v>8132</v>
      </c>
      <c r="BV11" s="272">
        <f t="shared" si="3"/>
        <v>5745.2000000000007</v>
      </c>
      <c r="BW11" s="273"/>
      <c r="BX11" s="273"/>
      <c r="BY11" s="271"/>
      <c r="BZ11" s="273"/>
      <c r="CA11" s="273"/>
      <c r="CB11" s="271"/>
      <c r="CC11" s="273"/>
      <c r="CD11" s="273"/>
      <c r="CE11" s="271"/>
      <c r="CF11" s="273"/>
      <c r="CG11" s="273"/>
      <c r="CH11" s="271"/>
      <c r="CI11" s="273"/>
      <c r="CJ11" s="273"/>
      <c r="CK11" s="271"/>
      <c r="CL11" s="273"/>
      <c r="CM11" s="273"/>
      <c r="CN11" s="271"/>
      <c r="CO11" s="273"/>
      <c r="CP11" s="273"/>
      <c r="CQ11" s="271"/>
      <c r="CR11" s="273"/>
      <c r="CS11" s="273"/>
      <c r="CT11" s="271"/>
      <c r="CU11" s="273"/>
      <c r="CV11" s="273"/>
      <c r="CW11" s="271"/>
      <c r="CX11" s="273"/>
      <c r="CY11" s="273"/>
      <c r="CZ11" s="271"/>
      <c r="DA11" s="273"/>
      <c r="DB11" s="271"/>
      <c r="DC11" s="271"/>
      <c r="DD11" s="272">
        <f t="shared" si="4"/>
        <v>512</v>
      </c>
      <c r="DE11" s="272">
        <f t="shared" si="4"/>
        <v>8132</v>
      </c>
      <c r="DF11" s="272">
        <f t="shared" si="5"/>
        <v>5745.2000000000007</v>
      </c>
      <c r="DK11" s="346"/>
      <c r="DL11" s="346"/>
      <c r="DM11" s="346"/>
    </row>
    <row r="12" spans="1:117" s="345" customFormat="1" ht="20.100000000000001" customHeight="1" x14ac:dyDescent="0.6">
      <c r="A12" s="343">
        <v>8</v>
      </c>
      <c r="B12" s="343" t="s">
        <v>710</v>
      </c>
      <c r="C12" s="446"/>
      <c r="D12" s="348" t="s">
        <v>1082</v>
      </c>
      <c r="E12" s="343"/>
      <c r="F12" s="343">
        <v>2</v>
      </c>
      <c r="G12" s="344"/>
      <c r="H12" s="241"/>
      <c r="I12" s="271"/>
      <c r="J12" s="271"/>
      <c r="K12" s="271"/>
      <c r="L12" s="271"/>
      <c r="M12" s="271"/>
      <c r="N12" s="271"/>
      <c r="O12" s="271">
        <v>72</v>
      </c>
      <c r="P12" s="253">
        <v>988</v>
      </c>
      <c r="Q12" s="271">
        <v>809.2</v>
      </c>
      <c r="R12" s="271">
        <v>25.42</v>
      </c>
      <c r="S12" s="253">
        <v>418</v>
      </c>
      <c r="T12" s="271">
        <v>265.18</v>
      </c>
      <c r="U12" s="271">
        <v>101</v>
      </c>
      <c r="V12" s="271">
        <v>1408</v>
      </c>
      <c r="W12" s="271">
        <v>1157.04</v>
      </c>
      <c r="X12" s="271">
        <v>22</v>
      </c>
      <c r="Y12" s="253">
        <v>274</v>
      </c>
      <c r="Z12" s="271">
        <v>248.8</v>
      </c>
      <c r="AA12" s="271">
        <v>84.71</v>
      </c>
      <c r="AB12" s="362">
        <v>1165</v>
      </c>
      <c r="AC12" s="271">
        <v>890.27</v>
      </c>
      <c r="AD12" s="271"/>
      <c r="AE12" s="271"/>
      <c r="AF12" s="271"/>
      <c r="AG12" s="271">
        <v>73</v>
      </c>
      <c r="AH12" s="271">
        <v>1038</v>
      </c>
      <c r="AI12" s="271">
        <v>808</v>
      </c>
      <c r="AJ12" s="271">
        <v>179</v>
      </c>
      <c r="AK12" s="271">
        <v>2162</v>
      </c>
      <c r="AL12" s="271">
        <v>1755.92</v>
      </c>
      <c r="AM12" s="272">
        <f t="shared" si="0"/>
        <v>557.13</v>
      </c>
      <c r="AN12" s="272">
        <f t="shared" si="0"/>
        <v>7453</v>
      </c>
      <c r="AO12" s="272">
        <f t="shared" si="2"/>
        <v>5934.41</v>
      </c>
      <c r="AP12" s="273">
        <v>2</v>
      </c>
      <c r="AQ12" s="273">
        <v>28</v>
      </c>
      <c r="AR12" s="271">
        <v>17.920000000000002</v>
      </c>
      <c r="AS12" s="273">
        <v>13</v>
      </c>
      <c r="AT12" s="273">
        <v>184</v>
      </c>
      <c r="AU12" s="271">
        <v>150.80000000000001</v>
      </c>
      <c r="AV12" s="273"/>
      <c r="AW12" s="273"/>
      <c r="AX12" s="271"/>
      <c r="AY12" s="273"/>
      <c r="AZ12" s="273"/>
      <c r="BA12" s="271"/>
      <c r="BB12" s="273"/>
      <c r="BC12" s="273"/>
      <c r="BD12" s="271"/>
      <c r="BE12" s="273">
        <v>44</v>
      </c>
      <c r="BF12" s="273">
        <v>814</v>
      </c>
      <c r="BG12" s="271">
        <v>538.88</v>
      </c>
      <c r="BH12" s="273">
        <v>150</v>
      </c>
      <c r="BI12" s="273">
        <v>1994</v>
      </c>
      <c r="BJ12" s="271">
        <v>1683.3599999999997</v>
      </c>
      <c r="BK12" s="273">
        <v>79</v>
      </c>
      <c r="BL12" s="273">
        <v>1034</v>
      </c>
      <c r="BM12" s="271">
        <v>899.19999999999993</v>
      </c>
      <c r="BN12" s="273">
        <v>94</v>
      </c>
      <c r="BO12" s="273">
        <v>1376</v>
      </c>
      <c r="BP12" s="271">
        <v>1135.1200000000001</v>
      </c>
      <c r="BQ12" s="273">
        <v>31</v>
      </c>
      <c r="BR12" s="273">
        <v>420</v>
      </c>
      <c r="BS12" s="271">
        <v>343.6</v>
      </c>
      <c r="BT12" s="272">
        <f t="shared" si="1"/>
        <v>970.13</v>
      </c>
      <c r="BU12" s="272">
        <f t="shared" si="1"/>
        <v>13303</v>
      </c>
      <c r="BV12" s="272">
        <f t="shared" si="3"/>
        <v>10703.29</v>
      </c>
      <c r="BW12" s="273"/>
      <c r="BX12" s="273"/>
      <c r="BY12" s="271"/>
      <c r="BZ12" s="273"/>
      <c r="CA12" s="273"/>
      <c r="CB12" s="271"/>
      <c r="CC12" s="273"/>
      <c r="CD12" s="273"/>
      <c r="CE12" s="271"/>
      <c r="CF12" s="273"/>
      <c r="CG12" s="273"/>
      <c r="CH12" s="271"/>
      <c r="CI12" s="273"/>
      <c r="CJ12" s="273"/>
      <c r="CK12" s="271"/>
      <c r="CL12" s="273"/>
      <c r="CM12" s="273"/>
      <c r="CN12" s="271"/>
      <c r="CO12" s="273"/>
      <c r="CP12" s="273"/>
      <c r="CQ12" s="271"/>
      <c r="CR12" s="273"/>
      <c r="CS12" s="273"/>
      <c r="CT12" s="271"/>
      <c r="CU12" s="273"/>
      <c r="CV12" s="273"/>
      <c r="CW12" s="271"/>
      <c r="CX12" s="273"/>
      <c r="CY12" s="273"/>
      <c r="CZ12" s="271"/>
      <c r="DA12" s="273"/>
      <c r="DB12" s="271"/>
      <c r="DC12" s="271"/>
      <c r="DD12" s="272">
        <f t="shared" si="4"/>
        <v>970.13</v>
      </c>
      <c r="DE12" s="272">
        <f t="shared" si="4"/>
        <v>13303</v>
      </c>
      <c r="DF12" s="272">
        <f t="shared" si="5"/>
        <v>10703.29</v>
      </c>
      <c r="DK12" s="346"/>
      <c r="DL12" s="346"/>
      <c r="DM12" s="346"/>
    </row>
    <row r="13" spans="1:117" s="345" customFormat="1" ht="20.100000000000001" customHeight="1" x14ac:dyDescent="0.6">
      <c r="A13" s="343">
        <v>9</v>
      </c>
      <c r="B13" s="343" t="s">
        <v>712</v>
      </c>
      <c r="C13" s="343" t="s">
        <v>1083</v>
      </c>
      <c r="D13" s="347" t="s">
        <v>714</v>
      </c>
      <c r="E13" s="343"/>
      <c r="F13" s="343">
        <v>4</v>
      </c>
      <c r="G13" s="344"/>
      <c r="H13" s="241"/>
      <c r="I13" s="271"/>
      <c r="J13" s="271"/>
      <c r="K13" s="271"/>
      <c r="L13" s="271"/>
      <c r="M13" s="271"/>
      <c r="N13" s="271"/>
      <c r="O13" s="271">
        <v>192</v>
      </c>
      <c r="P13" s="362">
        <v>3208</v>
      </c>
      <c r="Q13" s="271">
        <v>2158.4</v>
      </c>
      <c r="R13" s="271">
        <v>4</v>
      </c>
      <c r="S13" s="253">
        <v>48</v>
      </c>
      <c r="T13" s="271">
        <v>48</v>
      </c>
      <c r="U13" s="271">
        <v>216</v>
      </c>
      <c r="V13" s="271">
        <v>2692</v>
      </c>
      <c r="W13" s="271">
        <v>2317.6</v>
      </c>
      <c r="X13" s="271"/>
      <c r="Y13" s="253"/>
      <c r="Z13" s="271"/>
      <c r="AA13" s="271"/>
      <c r="AB13" s="253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2">
        <f t="shared" si="0"/>
        <v>412</v>
      </c>
      <c r="AN13" s="272">
        <f t="shared" si="0"/>
        <v>5948</v>
      </c>
      <c r="AO13" s="272">
        <f t="shared" si="2"/>
        <v>4524</v>
      </c>
      <c r="AP13" s="273">
        <v>411</v>
      </c>
      <c r="AQ13" s="273">
        <v>5390</v>
      </c>
      <c r="AR13" s="271">
        <v>4402.24</v>
      </c>
      <c r="AS13" s="273">
        <v>2</v>
      </c>
      <c r="AT13" s="273">
        <v>52</v>
      </c>
      <c r="AU13" s="271">
        <v>21.2</v>
      </c>
      <c r="AV13" s="273">
        <v>309</v>
      </c>
      <c r="AW13" s="273">
        <v>4056</v>
      </c>
      <c r="AX13" s="271">
        <v>3624.6400000000003</v>
      </c>
      <c r="AY13" s="273">
        <v>83</v>
      </c>
      <c r="AZ13" s="273">
        <v>2494</v>
      </c>
      <c r="BA13" s="271">
        <v>1097.28</v>
      </c>
      <c r="BB13" s="273"/>
      <c r="BC13" s="273"/>
      <c r="BD13" s="271"/>
      <c r="BE13" s="273"/>
      <c r="BF13" s="273"/>
      <c r="BG13" s="271"/>
      <c r="BH13" s="273">
        <v>2</v>
      </c>
      <c r="BI13" s="273">
        <v>24</v>
      </c>
      <c r="BJ13" s="271">
        <v>24</v>
      </c>
      <c r="BK13" s="273">
        <v>103</v>
      </c>
      <c r="BL13" s="273">
        <v>1304</v>
      </c>
      <c r="BM13" s="271">
        <v>1138.8</v>
      </c>
      <c r="BN13" s="273">
        <v>137</v>
      </c>
      <c r="BO13" s="273">
        <v>2514</v>
      </c>
      <c r="BP13" s="271">
        <v>1607.9999999999998</v>
      </c>
      <c r="BQ13" s="273">
        <v>184</v>
      </c>
      <c r="BR13" s="273">
        <v>2408</v>
      </c>
      <c r="BS13" s="271">
        <v>2001.68</v>
      </c>
      <c r="BT13" s="272">
        <f t="shared" si="1"/>
        <v>1643</v>
      </c>
      <c r="BU13" s="272">
        <f t="shared" si="1"/>
        <v>24190</v>
      </c>
      <c r="BV13" s="272">
        <f t="shared" si="3"/>
        <v>18441.84</v>
      </c>
      <c r="BW13" s="273"/>
      <c r="BX13" s="273"/>
      <c r="BY13" s="271"/>
      <c r="BZ13" s="273"/>
      <c r="CA13" s="273"/>
      <c r="CB13" s="271"/>
      <c r="CC13" s="273"/>
      <c r="CD13" s="273"/>
      <c r="CE13" s="271"/>
      <c r="CF13" s="273"/>
      <c r="CG13" s="273"/>
      <c r="CH13" s="271"/>
      <c r="CI13" s="273"/>
      <c r="CJ13" s="273"/>
      <c r="CK13" s="271"/>
      <c r="CL13" s="273"/>
      <c r="CM13" s="273"/>
      <c r="CN13" s="271"/>
      <c r="CO13" s="273"/>
      <c r="CP13" s="273"/>
      <c r="CQ13" s="271"/>
      <c r="CR13" s="273"/>
      <c r="CS13" s="273"/>
      <c r="CT13" s="271"/>
      <c r="CU13" s="273"/>
      <c r="CV13" s="273"/>
      <c r="CW13" s="271"/>
      <c r="CX13" s="273"/>
      <c r="CY13" s="273"/>
      <c r="CZ13" s="271"/>
      <c r="DA13" s="273"/>
      <c r="DB13" s="271"/>
      <c r="DC13" s="271"/>
      <c r="DD13" s="272">
        <f t="shared" si="4"/>
        <v>1643</v>
      </c>
      <c r="DE13" s="272">
        <f t="shared" si="4"/>
        <v>24190</v>
      </c>
      <c r="DF13" s="272">
        <f t="shared" si="5"/>
        <v>18441.84</v>
      </c>
      <c r="DK13" s="346"/>
      <c r="DL13" s="346"/>
      <c r="DM13" s="346"/>
    </row>
    <row r="14" spans="1:117" s="345" customFormat="1" ht="20.100000000000001" customHeight="1" x14ac:dyDescent="0.6">
      <c r="A14" s="343"/>
      <c r="B14" s="343"/>
      <c r="C14" s="343"/>
      <c r="D14" s="349"/>
      <c r="E14" s="350">
        <f>SUM(E5:E13)</f>
        <v>0</v>
      </c>
      <c r="F14" s="349"/>
      <c r="G14" s="350"/>
      <c r="H14" s="349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2">
        <f t="shared" si="0"/>
        <v>0</v>
      </c>
      <c r="AN14" s="272">
        <f t="shared" si="0"/>
        <v>0</v>
      </c>
      <c r="AO14" s="272">
        <f t="shared" si="2"/>
        <v>0</v>
      </c>
      <c r="AP14" s="273"/>
      <c r="AQ14" s="273"/>
      <c r="AR14" s="271"/>
      <c r="AS14" s="273"/>
      <c r="AT14" s="273"/>
      <c r="AU14" s="271"/>
      <c r="AV14" s="273"/>
      <c r="AW14" s="273"/>
      <c r="AX14" s="271"/>
      <c r="AY14" s="273"/>
      <c r="AZ14" s="273"/>
      <c r="BA14" s="271"/>
      <c r="BB14" s="273"/>
      <c r="BC14" s="273"/>
      <c r="BD14" s="271"/>
      <c r="BE14" s="273"/>
      <c r="BF14" s="273"/>
      <c r="BG14" s="271"/>
      <c r="BH14" s="273"/>
      <c r="BI14" s="273"/>
      <c r="BJ14" s="271"/>
      <c r="BK14" s="273"/>
      <c r="BL14" s="273"/>
      <c r="BM14" s="271"/>
      <c r="BN14" s="273"/>
      <c r="BO14" s="273"/>
      <c r="BP14" s="271"/>
      <c r="BQ14" s="273"/>
      <c r="BR14" s="273"/>
      <c r="BS14" s="271"/>
      <c r="BT14" s="272">
        <f t="shared" si="1"/>
        <v>0</v>
      </c>
      <c r="BU14" s="272">
        <f t="shared" si="1"/>
        <v>0</v>
      </c>
      <c r="BV14" s="272">
        <f t="shared" si="3"/>
        <v>0</v>
      </c>
      <c r="BW14" s="273"/>
      <c r="BX14" s="273"/>
      <c r="BY14" s="271"/>
      <c r="BZ14" s="273"/>
      <c r="CA14" s="273"/>
      <c r="CB14" s="271"/>
      <c r="CC14" s="273"/>
      <c r="CD14" s="273"/>
      <c r="CE14" s="271"/>
      <c r="CF14" s="273"/>
      <c r="CG14" s="273"/>
      <c r="CH14" s="271"/>
      <c r="CI14" s="273"/>
      <c r="CJ14" s="273"/>
      <c r="CK14" s="271"/>
      <c r="CL14" s="273"/>
      <c r="CM14" s="273"/>
      <c r="CN14" s="271"/>
      <c r="CO14" s="273"/>
      <c r="CP14" s="273"/>
      <c r="CQ14" s="271"/>
      <c r="CR14" s="273"/>
      <c r="CS14" s="273"/>
      <c r="CT14" s="271"/>
      <c r="CU14" s="273"/>
      <c r="CV14" s="273"/>
      <c r="CW14" s="271"/>
      <c r="CX14" s="273"/>
      <c r="CY14" s="273"/>
      <c r="CZ14" s="271"/>
      <c r="DA14" s="273"/>
      <c r="DB14" s="271"/>
      <c r="DC14" s="271"/>
      <c r="DD14" s="272">
        <f t="shared" si="4"/>
        <v>0</v>
      </c>
      <c r="DE14" s="272">
        <f t="shared" si="4"/>
        <v>0</v>
      </c>
      <c r="DF14" s="272">
        <f t="shared" si="5"/>
        <v>0</v>
      </c>
      <c r="DK14" s="351"/>
      <c r="DL14" s="351"/>
      <c r="DM14" s="351"/>
    </row>
    <row r="15" spans="1:117" s="345" customFormat="1" ht="20.100000000000001" customHeight="1" x14ac:dyDescent="0.6">
      <c r="A15" s="349"/>
      <c r="B15" s="349"/>
      <c r="C15" s="349"/>
      <c r="D15" s="349"/>
      <c r="E15" s="349"/>
      <c r="F15" s="349"/>
      <c r="G15" s="349"/>
      <c r="H15" s="349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2">
        <f t="shared" si="0"/>
        <v>0</v>
      </c>
      <c r="AN15" s="272">
        <f t="shared" si="0"/>
        <v>0</v>
      </c>
      <c r="AO15" s="272">
        <f t="shared" si="2"/>
        <v>0</v>
      </c>
      <c r="AP15" s="273"/>
      <c r="AQ15" s="273"/>
      <c r="AR15" s="271"/>
      <c r="AS15" s="273"/>
      <c r="AT15" s="273"/>
      <c r="AU15" s="271"/>
      <c r="AV15" s="273"/>
      <c r="AW15" s="273"/>
      <c r="AX15" s="271"/>
      <c r="AY15" s="273"/>
      <c r="AZ15" s="273"/>
      <c r="BA15" s="271"/>
      <c r="BB15" s="273"/>
      <c r="BC15" s="273"/>
      <c r="BD15" s="271"/>
      <c r="BE15" s="273"/>
      <c r="BF15" s="273"/>
      <c r="BG15" s="271"/>
      <c r="BH15" s="273"/>
      <c r="BI15" s="273"/>
      <c r="BJ15" s="271"/>
      <c r="BK15" s="273"/>
      <c r="BL15" s="273"/>
      <c r="BM15" s="271"/>
      <c r="BN15" s="273"/>
      <c r="BO15" s="273"/>
      <c r="BP15" s="271"/>
      <c r="BQ15" s="273"/>
      <c r="BR15" s="273"/>
      <c r="BS15" s="271"/>
      <c r="BT15" s="272">
        <f t="shared" si="1"/>
        <v>0</v>
      </c>
      <c r="BU15" s="272">
        <f t="shared" si="1"/>
        <v>0</v>
      </c>
      <c r="BV15" s="272">
        <f t="shared" si="3"/>
        <v>0</v>
      </c>
      <c r="BW15" s="273"/>
      <c r="BX15" s="273"/>
      <c r="BY15" s="271"/>
      <c r="BZ15" s="273"/>
      <c r="CA15" s="273"/>
      <c r="CB15" s="271"/>
      <c r="CC15" s="273"/>
      <c r="CD15" s="273"/>
      <c r="CE15" s="271"/>
      <c r="CF15" s="273"/>
      <c r="CG15" s="273"/>
      <c r="CH15" s="271"/>
      <c r="CI15" s="273"/>
      <c r="CJ15" s="273"/>
      <c r="CK15" s="271"/>
      <c r="CL15" s="273"/>
      <c r="CM15" s="273"/>
      <c r="CN15" s="271"/>
      <c r="CO15" s="273"/>
      <c r="CP15" s="273"/>
      <c r="CQ15" s="271"/>
      <c r="CR15" s="273"/>
      <c r="CS15" s="273"/>
      <c r="CT15" s="271"/>
      <c r="CU15" s="273"/>
      <c r="CV15" s="273"/>
      <c r="CW15" s="271"/>
      <c r="CX15" s="273"/>
      <c r="CY15" s="273"/>
      <c r="CZ15" s="271"/>
      <c r="DA15" s="273"/>
      <c r="DB15" s="271"/>
      <c r="DC15" s="271"/>
      <c r="DD15" s="272">
        <f t="shared" si="4"/>
        <v>0</v>
      </c>
      <c r="DE15" s="272">
        <f t="shared" si="4"/>
        <v>0</v>
      </c>
      <c r="DF15" s="272">
        <f t="shared" si="5"/>
        <v>0</v>
      </c>
      <c r="DK15" s="351"/>
      <c r="DL15" s="351"/>
      <c r="DM15" s="351"/>
    </row>
    <row r="16" spans="1:117" s="345" customFormat="1" ht="20.100000000000001" customHeight="1" x14ac:dyDescent="0.6">
      <c r="A16" s="335"/>
      <c r="B16" s="335" t="s">
        <v>715</v>
      </c>
      <c r="C16" s="335"/>
      <c r="D16" s="335"/>
      <c r="E16" s="335"/>
      <c r="F16" s="335"/>
      <c r="G16" s="336">
        <f>SUM(G5:G15)</f>
        <v>0</v>
      </c>
      <c r="H16" s="336">
        <f>SUM(H5:H15)</f>
        <v>0</v>
      </c>
      <c r="I16" s="272">
        <f t="shared" ref="I16:BT16" si="6">SUM(I5:I13)</f>
        <v>0</v>
      </c>
      <c r="J16" s="272">
        <f t="shared" si="6"/>
        <v>0</v>
      </c>
      <c r="K16" s="272">
        <f t="shared" si="6"/>
        <v>0</v>
      </c>
      <c r="L16" s="272">
        <f t="shared" si="6"/>
        <v>0</v>
      </c>
      <c r="M16" s="272">
        <f t="shared" si="6"/>
        <v>0</v>
      </c>
      <c r="N16" s="272">
        <f t="shared" si="6"/>
        <v>0</v>
      </c>
      <c r="O16" s="272">
        <f t="shared" si="6"/>
        <v>460</v>
      </c>
      <c r="P16" s="272">
        <f t="shared" si="6"/>
        <v>7736</v>
      </c>
      <c r="Q16" s="272">
        <f t="shared" si="6"/>
        <v>5279.6</v>
      </c>
      <c r="R16" s="272">
        <f t="shared" si="6"/>
        <v>303.17</v>
      </c>
      <c r="S16" s="272">
        <f t="shared" si="6"/>
        <v>4325</v>
      </c>
      <c r="T16" s="272">
        <f>SUM(T5:T13)</f>
        <v>3533.1600000000003</v>
      </c>
      <c r="U16" s="272">
        <f t="shared" si="6"/>
        <v>520.5</v>
      </c>
      <c r="V16" s="272">
        <f t="shared" si="6"/>
        <v>7254</v>
      </c>
      <c r="W16" s="272">
        <f>SUM(W5:W13)</f>
        <v>5816.08</v>
      </c>
      <c r="X16" s="272">
        <f t="shared" si="6"/>
        <v>199</v>
      </c>
      <c r="Y16" s="272">
        <f t="shared" si="6"/>
        <v>2846</v>
      </c>
      <c r="Z16" s="272">
        <f>SUM(Z5:Z13)</f>
        <v>2282.08</v>
      </c>
      <c r="AA16" s="272">
        <f t="shared" si="6"/>
        <v>363.38</v>
      </c>
      <c r="AB16" s="272">
        <f t="shared" si="6"/>
        <v>5573</v>
      </c>
      <c r="AC16" s="272">
        <f>SUM(AC5:AC13)</f>
        <v>4105.6299999999992</v>
      </c>
      <c r="AD16" s="272">
        <f t="shared" si="6"/>
        <v>0</v>
      </c>
      <c r="AE16" s="272">
        <f t="shared" si="6"/>
        <v>0</v>
      </c>
      <c r="AF16" s="272">
        <f>SUM(AF5:AF13)</f>
        <v>0</v>
      </c>
      <c r="AG16" s="272">
        <f t="shared" si="6"/>
        <v>309</v>
      </c>
      <c r="AH16" s="272">
        <f t="shared" si="6"/>
        <v>4330</v>
      </c>
      <c r="AI16" s="272">
        <f>SUM(AI5:AI13)</f>
        <v>3715.36</v>
      </c>
      <c r="AJ16" s="272">
        <f t="shared" si="6"/>
        <v>598</v>
      </c>
      <c r="AK16" s="272">
        <f t="shared" si="6"/>
        <v>8168</v>
      </c>
      <c r="AL16" s="272">
        <f t="shared" si="6"/>
        <v>6657.28</v>
      </c>
      <c r="AM16" s="272">
        <f t="shared" si="6"/>
        <v>2753.05</v>
      </c>
      <c r="AN16" s="272">
        <f t="shared" si="6"/>
        <v>40232</v>
      </c>
      <c r="AO16" s="272">
        <f>SUM(AO5:AO13)</f>
        <v>31389.19</v>
      </c>
      <c r="AP16" s="272">
        <f t="shared" si="6"/>
        <v>594</v>
      </c>
      <c r="AQ16" s="272">
        <f t="shared" si="6"/>
        <v>8592</v>
      </c>
      <c r="AR16" s="272">
        <f>SUM(AR5:AR13)</f>
        <v>6545.92</v>
      </c>
      <c r="AS16" s="272">
        <f t="shared" si="6"/>
        <v>275</v>
      </c>
      <c r="AT16" s="272">
        <f t="shared" si="6"/>
        <v>4720</v>
      </c>
      <c r="AU16" s="272">
        <f>SUM(AU5:AU13)</f>
        <v>3292.8</v>
      </c>
      <c r="AV16" s="272">
        <f t="shared" si="6"/>
        <v>472</v>
      </c>
      <c r="AW16" s="272">
        <f t="shared" si="6"/>
        <v>6640</v>
      </c>
      <c r="AX16" s="272">
        <f>SUM(AX5:AX13)</f>
        <v>5542.64</v>
      </c>
      <c r="AY16" s="272">
        <f t="shared" si="6"/>
        <v>238</v>
      </c>
      <c r="AZ16" s="272">
        <f t="shared" si="6"/>
        <v>4808</v>
      </c>
      <c r="BA16" s="272">
        <f>SUM(BA5:BA13)</f>
        <v>2922.3999999999996</v>
      </c>
      <c r="BB16" s="272">
        <f t="shared" si="6"/>
        <v>0</v>
      </c>
      <c r="BC16" s="272">
        <f t="shared" si="6"/>
        <v>0</v>
      </c>
      <c r="BD16" s="272">
        <f>SUM(BD5:BD13)</f>
        <v>0</v>
      </c>
      <c r="BE16" s="272">
        <f t="shared" si="6"/>
        <v>278</v>
      </c>
      <c r="BF16" s="272">
        <f t="shared" si="6"/>
        <v>4352</v>
      </c>
      <c r="BG16" s="272">
        <f>SUM(BG5:BG13)</f>
        <v>2927.6</v>
      </c>
      <c r="BH16" s="272">
        <f t="shared" si="6"/>
        <v>642</v>
      </c>
      <c r="BI16" s="272">
        <f t="shared" si="6"/>
        <v>10666</v>
      </c>
      <c r="BJ16" s="272">
        <f>SUM(BJ5:BJ13)</f>
        <v>7531.6799999999994</v>
      </c>
      <c r="BK16" s="272">
        <f t="shared" si="6"/>
        <v>703</v>
      </c>
      <c r="BL16" s="272">
        <f t="shared" si="6"/>
        <v>9948</v>
      </c>
      <c r="BM16" s="272">
        <f>SUM(BM5:BM13)</f>
        <v>7961.6</v>
      </c>
      <c r="BN16" s="272">
        <f t="shared" si="6"/>
        <v>676</v>
      </c>
      <c r="BO16" s="272">
        <f t="shared" si="6"/>
        <v>10708</v>
      </c>
      <c r="BP16" s="272">
        <f>SUM(BP5:BP13)</f>
        <v>7768.88</v>
      </c>
      <c r="BQ16" s="272">
        <f t="shared" si="6"/>
        <v>526</v>
      </c>
      <c r="BR16" s="272">
        <f t="shared" si="6"/>
        <v>8174</v>
      </c>
      <c r="BS16" s="272">
        <f>SUM(BS5:BS13)</f>
        <v>6077.36</v>
      </c>
      <c r="BT16" s="272">
        <f t="shared" si="6"/>
        <v>7157.05</v>
      </c>
      <c r="BU16" s="272">
        <f>SUM(BU5:BU13)</f>
        <v>108840</v>
      </c>
      <c r="BV16" s="272">
        <f>SUM(BV5:BV13)</f>
        <v>81960.070000000007</v>
      </c>
      <c r="BW16" s="272">
        <f t="shared" ref="BW16:DE16" si="7">SUM(BW5:BW13)</f>
        <v>0</v>
      </c>
      <c r="BX16" s="272">
        <f t="shared" si="7"/>
        <v>0</v>
      </c>
      <c r="BY16" s="272">
        <f>SUM(BY5:BY13)</f>
        <v>0</v>
      </c>
      <c r="BZ16" s="272">
        <f t="shared" si="7"/>
        <v>0</v>
      </c>
      <c r="CA16" s="272">
        <f t="shared" si="7"/>
        <v>0</v>
      </c>
      <c r="CB16" s="272">
        <f t="shared" si="7"/>
        <v>0</v>
      </c>
      <c r="CC16" s="272">
        <f t="shared" si="7"/>
        <v>0</v>
      </c>
      <c r="CD16" s="272">
        <f t="shared" si="7"/>
        <v>0</v>
      </c>
      <c r="CE16" s="272">
        <f t="shared" si="7"/>
        <v>0</v>
      </c>
      <c r="CF16" s="272">
        <f t="shared" si="7"/>
        <v>0</v>
      </c>
      <c r="CG16" s="272">
        <f t="shared" si="7"/>
        <v>0</v>
      </c>
      <c r="CH16" s="272">
        <f t="shared" si="7"/>
        <v>0</v>
      </c>
      <c r="CI16" s="272">
        <f t="shared" si="7"/>
        <v>0</v>
      </c>
      <c r="CJ16" s="272">
        <f t="shared" si="7"/>
        <v>0</v>
      </c>
      <c r="CK16" s="272">
        <f t="shared" si="7"/>
        <v>0</v>
      </c>
      <c r="CL16" s="272">
        <f t="shared" si="7"/>
        <v>0</v>
      </c>
      <c r="CM16" s="272">
        <f t="shared" si="7"/>
        <v>0</v>
      </c>
      <c r="CN16" s="272">
        <f t="shared" si="7"/>
        <v>0</v>
      </c>
      <c r="CO16" s="272">
        <f t="shared" si="7"/>
        <v>0</v>
      </c>
      <c r="CP16" s="272">
        <f t="shared" si="7"/>
        <v>0</v>
      </c>
      <c r="CQ16" s="272">
        <f t="shared" si="7"/>
        <v>0</v>
      </c>
      <c r="CR16" s="272">
        <f t="shared" si="7"/>
        <v>0</v>
      </c>
      <c r="CS16" s="272">
        <f t="shared" si="7"/>
        <v>0</v>
      </c>
      <c r="CT16" s="272">
        <f t="shared" si="7"/>
        <v>0</v>
      </c>
      <c r="CU16" s="272">
        <f t="shared" si="7"/>
        <v>0</v>
      </c>
      <c r="CV16" s="272">
        <f t="shared" si="7"/>
        <v>0</v>
      </c>
      <c r="CW16" s="272">
        <f t="shared" si="7"/>
        <v>0</v>
      </c>
      <c r="CX16" s="272">
        <f t="shared" si="7"/>
        <v>0</v>
      </c>
      <c r="CY16" s="272">
        <f t="shared" si="7"/>
        <v>0</v>
      </c>
      <c r="CZ16" s="272">
        <f t="shared" si="7"/>
        <v>0</v>
      </c>
      <c r="DA16" s="272">
        <f t="shared" si="7"/>
        <v>0</v>
      </c>
      <c r="DB16" s="272">
        <f t="shared" si="7"/>
        <v>0</v>
      </c>
      <c r="DC16" s="272">
        <f t="shared" si="7"/>
        <v>0</v>
      </c>
      <c r="DD16" s="272">
        <f>SUM(DD5:DD13)</f>
        <v>7157.05</v>
      </c>
      <c r="DE16" s="272">
        <f t="shared" si="7"/>
        <v>108840</v>
      </c>
      <c r="DF16" s="272">
        <f>SUM(DF5:DF13)</f>
        <v>81960.070000000007</v>
      </c>
      <c r="DK16" s="346"/>
      <c r="DL16" s="346"/>
      <c r="DM16" s="346"/>
    </row>
    <row r="17" spans="1:117" x14ac:dyDescent="0.6">
      <c r="A17" s="352"/>
      <c r="B17" s="352"/>
      <c r="C17" s="352"/>
      <c r="D17" s="352"/>
      <c r="E17" s="352"/>
      <c r="F17" s="352"/>
      <c r="G17" s="352"/>
      <c r="H17" s="352"/>
      <c r="AM17" s="361"/>
      <c r="AN17" s="361"/>
      <c r="AO17" s="361"/>
      <c r="DD17" s="243"/>
      <c r="DK17" s="229"/>
      <c r="DL17" s="229"/>
      <c r="DM17" s="229"/>
    </row>
    <row r="18" spans="1:117" x14ac:dyDescent="0.6">
      <c r="BW18" s="243"/>
      <c r="BX18" s="243"/>
      <c r="BY18" s="243"/>
      <c r="BZ18" s="243"/>
      <c r="CA18" s="243"/>
      <c r="CB18" s="243"/>
      <c r="CC18" s="243"/>
      <c r="CD18" s="243"/>
      <c r="CE18" s="243"/>
      <c r="CF18" s="243"/>
      <c r="CG18" s="243"/>
      <c r="CH18" s="243"/>
      <c r="CI18" s="243"/>
      <c r="CJ18" s="243"/>
      <c r="CK18" s="243"/>
      <c r="CL18" s="243"/>
      <c r="CM18" s="243"/>
      <c r="CN18" s="243"/>
      <c r="CO18" s="243"/>
      <c r="CP18" s="243"/>
      <c r="CQ18" s="243"/>
      <c r="CR18" s="243"/>
      <c r="CS18" s="243"/>
      <c r="CT18" s="243"/>
      <c r="CU18" s="243"/>
      <c r="CV18" s="243"/>
      <c r="CW18" s="243"/>
      <c r="CX18" s="243"/>
      <c r="CY18" s="243"/>
      <c r="CZ18" s="243"/>
      <c r="DA18" s="243"/>
      <c r="DB18" s="243"/>
      <c r="DC18" s="243"/>
      <c r="DD18" s="228"/>
      <c r="DE18" s="228"/>
      <c r="DF18" s="228"/>
      <c r="DK18" s="229"/>
      <c r="DL18" s="229"/>
      <c r="DM18" s="229"/>
    </row>
  </sheetData>
  <mergeCells count="38">
    <mergeCell ref="U3:W3"/>
    <mergeCell ref="B1:D1"/>
    <mergeCell ref="I3:K3"/>
    <mergeCell ref="L3:N3"/>
    <mergeCell ref="O3:Q3"/>
    <mergeCell ref="R3:T3"/>
    <mergeCell ref="DA3:DC3"/>
    <mergeCell ref="DD3:DF3"/>
    <mergeCell ref="C5:C6"/>
    <mergeCell ref="BZ3:CB3"/>
    <mergeCell ref="CC3:CE3"/>
    <mergeCell ref="CF3:CH3"/>
    <mergeCell ref="CI3:CK3"/>
    <mergeCell ref="CL3:CN3"/>
    <mergeCell ref="CO3:CQ3"/>
    <mergeCell ref="BH3:BJ3"/>
    <mergeCell ref="BK3:BM3"/>
    <mergeCell ref="BN3:BP3"/>
    <mergeCell ref="BQ3:BS3"/>
    <mergeCell ref="BT3:BV3"/>
    <mergeCell ref="BW3:BY3"/>
    <mergeCell ref="AP3:AR3"/>
    <mergeCell ref="C7:C8"/>
    <mergeCell ref="C11:C12"/>
    <mergeCell ref="CR3:CT3"/>
    <mergeCell ref="CU3:CW3"/>
    <mergeCell ref="CX3:CZ3"/>
    <mergeCell ref="AS3:AU3"/>
    <mergeCell ref="AV3:AX3"/>
    <mergeCell ref="AY3:BA3"/>
    <mergeCell ref="BB3:BD3"/>
    <mergeCell ref="BE3:BG3"/>
    <mergeCell ref="X3:Z3"/>
    <mergeCell ref="AA3:AC3"/>
    <mergeCell ref="AD3:AF3"/>
    <mergeCell ref="AG3:AI3"/>
    <mergeCell ref="AJ3:AL3"/>
    <mergeCell ref="AM3:AO3"/>
  </mergeCells>
  <conditionalFormatting sqref="B15:C15 B5:C5 B6:B14">
    <cfRule type="duplicateValues" dxfId="4" priority="4"/>
  </conditionalFormatting>
  <conditionalFormatting sqref="B15:C16 B5:C5 B6:B14">
    <cfRule type="duplicateValues" dxfId="3" priority="5"/>
  </conditionalFormatting>
  <conditionalFormatting sqref="B16:C16">
    <cfRule type="duplicateValues" dxfId="2" priority="3"/>
  </conditionalFormatting>
  <conditionalFormatting sqref="D5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1-YGN</vt:lpstr>
      <vt:lpstr>WS Jan</vt:lpstr>
      <vt:lpstr>WS Feb</vt:lpstr>
      <vt:lpstr>SWS- Jan</vt:lpstr>
      <vt:lpstr>WS March</vt:lpstr>
      <vt:lpstr>SWS- Feb</vt:lpstr>
      <vt:lpstr>Mini- Jan</vt:lpstr>
      <vt:lpstr>SWS- March</vt:lpstr>
      <vt:lpstr>Mini- Feb</vt:lpstr>
      <vt:lpstr>Van Jan</vt:lpstr>
      <vt:lpstr>Mini- March</vt:lpstr>
      <vt:lpstr>Van Feb</vt:lpstr>
      <vt:lpstr>Van 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Hp</cp:lastModifiedBy>
  <cp:lastPrinted>2026-01-21T03:51:12Z</cp:lastPrinted>
  <dcterms:created xsi:type="dcterms:W3CDTF">2026-01-13T03:38:01Z</dcterms:created>
  <dcterms:modified xsi:type="dcterms:W3CDTF">2026-03-21T04:59:38Z</dcterms:modified>
</cp:coreProperties>
</file>