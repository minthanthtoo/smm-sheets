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O\"/>
    </mc:Choice>
  </mc:AlternateContent>
  <xr:revisionPtr revIDLastSave="0" documentId="13_ncr:1_{ADF9F494-646F-4001-A3AE-ED33B42A1C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- Individual Sales " sheetId="6" r:id="rId1"/>
  </sheets>
  <externalReferences>
    <externalReference r:id="rId2"/>
    <externalReference r:id="rId3"/>
  </externalReferences>
  <definedNames>
    <definedName name="aa">#REF!</definedName>
    <definedName name="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r">#REF!</definedName>
    <definedName name="crs">#REF!</definedName>
    <definedName name="Data">#REF!</definedName>
    <definedName name="dd">#REF!</definedName>
    <definedName name="ddd">#REF!</definedName>
    <definedName name="dr">#REF!</definedName>
    <definedName name="drs">#REF!</definedName>
    <definedName name="End_Bal">#REF!</definedName>
    <definedName name="Extra_Pay">#REF!</definedName>
    <definedName name="fgf">#REF!</definedName>
    <definedName name="fgjhj">#REF!</definedName>
    <definedName name="Full_Print">#REF!</definedName>
    <definedName name="Header_Row">ROW(#REF!)</definedName>
    <definedName name="hjj">#REF!</definedName>
    <definedName name="hjkjk">#REF!</definedName>
    <definedName name="hmjhj">#REF!</definedName>
    <definedName name="Int">#REF!</definedName>
    <definedName name="Interest_Rate">#REF!</definedName>
    <definedName name="jbkjkl">#REF!</definedName>
    <definedName name="kdt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mms">#REF!</definedName>
    <definedName name="neew">#REF!</definedName>
    <definedName name="New">#REF!</definedName>
    <definedName name="Num_Pmt_Per_Year">#REF!</definedName>
    <definedName name="Number_of_Payments">MATCH(0.01,End_Bal,-1)+1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'[2]1.2.22'!$AV$7:$AV$8</definedName>
    <definedName name="TYPE2">'[2]19.2.22'!$AV$7:$AV$9</definedName>
    <definedName name="TYPE3">'[2]20.2.22'!$AV$7:$AV$9</definedName>
    <definedName name="TYPE4">'[2]19.2.22'!$AV$7:$AV$9</definedName>
    <definedName name="Values_Entered">IF(Loan_Amount*Interest_Rate*Loan_Years*Loan_Start&gt;0,1,0)</definedName>
    <definedName name="vkhfkgf">#REF!</definedName>
    <definedName name="yhhg123">IF(Values_Entered,Header_Row+Number_of_Payments,Header_Row)</definedName>
  </definedNames>
  <calcPr calcId="191029"/>
</workbook>
</file>

<file path=xl/calcChain.xml><?xml version="1.0" encoding="utf-8"?>
<calcChain xmlns="http://schemas.openxmlformats.org/spreadsheetml/2006/main">
  <c r="BZ52" i="6" l="1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BT52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BT51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BT46" i="6"/>
  <c r="BU30" i="6"/>
  <c r="BU52" i="6" s="1"/>
  <c r="BV30" i="6"/>
  <c r="BV52" i="6" s="1"/>
  <c r="BW30" i="6"/>
  <c r="BW52" i="6" s="1"/>
  <c r="BX30" i="6"/>
  <c r="BX52" i="6" s="1"/>
  <c r="BY30" i="6"/>
  <c r="BY52" i="6" s="1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BT30" i="6"/>
  <c r="DD5" i="6" l="1"/>
  <c r="DE5" i="6"/>
  <c r="DF5" i="6"/>
  <c r="DD6" i="6"/>
  <c r="DE6" i="6"/>
  <c r="DF6" i="6"/>
  <c r="DD7" i="6"/>
  <c r="DE7" i="6"/>
  <c r="DF7" i="6"/>
  <c r="DD8" i="6"/>
  <c r="DE8" i="6"/>
  <c r="DF8" i="6"/>
  <c r="DD9" i="6"/>
  <c r="DE9" i="6"/>
  <c r="DF9" i="6"/>
  <c r="DD10" i="6"/>
  <c r="DE10" i="6"/>
  <c r="DF10" i="6"/>
  <c r="DD11" i="6"/>
  <c r="DE11" i="6"/>
  <c r="DF11" i="6"/>
  <c r="DD12" i="6"/>
  <c r="DE12" i="6"/>
  <c r="DF12" i="6"/>
  <c r="DD13" i="6"/>
  <c r="DE13" i="6"/>
  <c r="DF13" i="6"/>
  <c r="DD14" i="6"/>
  <c r="DE14" i="6"/>
  <c r="DF14" i="6"/>
  <c r="DD15" i="6"/>
  <c r="DE15" i="6"/>
  <c r="DF15" i="6"/>
  <c r="DD16" i="6"/>
  <c r="DE16" i="6"/>
  <c r="DF16" i="6"/>
  <c r="DD17" i="6"/>
  <c r="DE17" i="6"/>
  <c r="DF17" i="6"/>
  <c r="DD18" i="6"/>
  <c r="DE18" i="6"/>
  <c r="DF18" i="6"/>
  <c r="DD19" i="6"/>
  <c r="DE19" i="6"/>
  <c r="DF19" i="6"/>
  <c r="DD20" i="6"/>
  <c r="DE20" i="6"/>
  <c r="DF20" i="6"/>
  <c r="DD21" i="6"/>
  <c r="DE21" i="6"/>
  <c r="DF21" i="6"/>
  <c r="DD22" i="6"/>
  <c r="DE22" i="6"/>
  <c r="DF22" i="6"/>
  <c r="DD23" i="6"/>
  <c r="DE23" i="6"/>
  <c r="DF23" i="6"/>
  <c r="DD24" i="6"/>
  <c r="DE24" i="6"/>
  <c r="DF24" i="6"/>
  <c r="DD25" i="6"/>
  <c r="DE25" i="6"/>
  <c r="DF25" i="6"/>
  <c r="DD26" i="6"/>
  <c r="DE26" i="6"/>
  <c r="DF26" i="6"/>
  <c r="DD27" i="6"/>
  <c r="DE27" i="6"/>
  <c r="DF27" i="6"/>
  <c r="DD28" i="6"/>
  <c r="DE28" i="6"/>
  <c r="DF28" i="6"/>
  <c r="DD29" i="6"/>
  <c r="DE29" i="6"/>
  <c r="DF29" i="6"/>
  <c r="DD31" i="6"/>
  <c r="DE31" i="6"/>
  <c r="DF31" i="6"/>
  <c r="DD32" i="6"/>
  <c r="DE32" i="6"/>
  <c r="DF32" i="6"/>
  <c r="DD33" i="6"/>
  <c r="DE33" i="6"/>
  <c r="DF33" i="6"/>
  <c r="DD34" i="6"/>
  <c r="DE34" i="6"/>
  <c r="DF34" i="6"/>
  <c r="DD35" i="6"/>
  <c r="DE35" i="6"/>
  <c r="DF35" i="6"/>
  <c r="DD36" i="6"/>
  <c r="DE36" i="6"/>
  <c r="DF36" i="6"/>
  <c r="DD37" i="6"/>
  <c r="DE37" i="6"/>
  <c r="DF37" i="6"/>
  <c r="DD38" i="6"/>
  <c r="DE38" i="6"/>
  <c r="DF38" i="6"/>
  <c r="DD39" i="6"/>
  <c r="DE39" i="6"/>
  <c r="DF39" i="6"/>
  <c r="DD40" i="6"/>
  <c r="DE40" i="6"/>
  <c r="DF40" i="6"/>
  <c r="DD41" i="6"/>
  <c r="DE41" i="6"/>
  <c r="DF41" i="6"/>
  <c r="DD42" i="6"/>
  <c r="DE42" i="6"/>
  <c r="DF42" i="6"/>
  <c r="DD43" i="6"/>
  <c r="DE43" i="6"/>
  <c r="DF43" i="6"/>
  <c r="DD44" i="6"/>
  <c r="DE44" i="6"/>
  <c r="DF44" i="6"/>
  <c r="DD45" i="6"/>
  <c r="DE45" i="6"/>
  <c r="DF45" i="6"/>
  <c r="DD47" i="6"/>
  <c r="DE47" i="6"/>
  <c r="DF47" i="6"/>
  <c r="DD48" i="6"/>
  <c r="DE48" i="6"/>
  <c r="DF48" i="6"/>
  <c r="DD49" i="6"/>
  <c r="DD51" i="6" s="1"/>
  <c r="DE49" i="6"/>
  <c r="DE51" i="6" s="1"/>
  <c r="DF49" i="6"/>
  <c r="DD50" i="6"/>
  <c r="DE50" i="6"/>
  <c r="DF50" i="6"/>
  <c r="DF4" i="6"/>
  <c r="DE4" i="6"/>
  <c r="DD4" i="6"/>
  <c r="BQ5" i="6"/>
  <c r="BR5" i="6"/>
  <c r="BS5" i="6"/>
  <c r="BQ6" i="6"/>
  <c r="BR6" i="6"/>
  <c r="BS6" i="6"/>
  <c r="BQ7" i="6"/>
  <c r="BR7" i="6"/>
  <c r="BS7" i="6"/>
  <c r="BQ8" i="6"/>
  <c r="BR8" i="6"/>
  <c r="BS8" i="6"/>
  <c r="BQ9" i="6"/>
  <c r="BR9" i="6"/>
  <c r="BS9" i="6"/>
  <c r="BQ10" i="6"/>
  <c r="BR10" i="6"/>
  <c r="BS10" i="6"/>
  <c r="BQ11" i="6"/>
  <c r="BR11" i="6"/>
  <c r="BS11" i="6"/>
  <c r="BQ12" i="6"/>
  <c r="BR12" i="6"/>
  <c r="BS12" i="6"/>
  <c r="BQ13" i="6"/>
  <c r="BR13" i="6"/>
  <c r="BS13" i="6"/>
  <c r="BQ14" i="6"/>
  <c r="BR14" i="6"/>
  <c r="BS14" i="6"/>
  <c r="BQ15" i="6"/>
  <c r="BR15" i="6"/>
  <c r="BS15" i="6"/>
  <c r="BQ16" i="6"/>
  <c r="BR16" i="6"/>
  <c r="BS16" i="6"/>
  <c r="BQ17" i="6"/>
  <c r="BR17" i="6"/>
  <c r="BS17" i="6"/>
  <c r="BQ18" i="6"/>
  <c r="BR18" i="6"/>
  <c r="BS18" i="6"/>
  <c r="BQ19" i="6"/>
  <c r="BR19" i="6"/>
  <c r="BS19" i="6"/>
  <c r="BQ20" i="6"/>
  <c r="BR20" i="6"/>
  <c r="BS20" i="6"/>
  <c r="BQ21" i="6"/>
  <c r="BR21" i="6"/>
  <c r="BS21" i="6"/>
  <c r="BQ22" i="6"/>
  <c r="BR22" i="6"/>
  <c r="BS22" i="6"/>
  <c r="BQ23" i="6"/>
  <c r="BR23" i="6"/>
  <c r="BS23" i="6"/>
  <c r="BQ24" i="6"/>
  <c r="BR24" i="6"/>
  <c r="BS24" i="6"/>
  <c r="BQ25" i="6"/>
  <c r="BR25" i="6"/>
  <c r="BS25" i="6"/>
  <c r="BQ26" i="6"/>
  <c r="BR26" i="6"/>
  <c r="BS26" i="6"/>
  <c r="BQ27" i="6"/>
  <c r="BR27" i="6"/>
  <c r="BS27" i="6"/>
  <c r="BQ28" i="6"/>
  <c r="BR28" i="6"/>
  <c r="BS28" i="6"/>
  <c r="BQ29" i="6"/>
  <c r="BR29" i="6"/>
  <c r="BS29" i="6"/>
  <c r="BQ31" i="6"/>
  <c r="BR31" i="6"/>
  <c r="BS31" i="6"/>
  <c r="BQ32" i="6"/>
  <c r="BR32" i="6"/>
  <c r="BS32" i="6"/>
  <c r="BQ33" i="6"/>
  <c r="BR33" i="6"/>
  <c r="BS33" i="6"/>
  <c r="BQ34" i="6"/>
  <c r="BR34" i="6"/>
  <c r="BS34" i="6"/>
  <c r="BQ35" i="6"/>
  <c r="BR35" i="6"/>
  <c r="BS35" i="6"/>
  <c r="BQ36" i="6"/>
  <c r="BR36" i="6"/>
  <c r="BS36" i="6"/>
  <c r="BQ37" i="6"/>
  <c r="BR37" i="6"/>
  <c r="BS37" i="6"/>
  <c r="BQ38" i="6"/>
  <c r="BR38" i="6"/>
  <c r="BS38" i="6"/>
  <c r="BQ39" i="6"/>
  <c r="BR39" i="6"/>
  <c r="BS39" i="6"/>
  <c r="BQ40" i="6"/>
  <c r="BR40" i="6"/>
  <c r="BS40" i="6"/>
  <c r="BQ41" i="6"/>
  <c r="BR41" i="6"/>
  <c r="BS41" i="6"/>
  <c r="BQ42" i="6"/>
  <c r="BR42" i="6"/>
  <c r="BS42" i="6"/>
  <c r="BQ43" i="6"/>
  <c r="BR43" i="6"/>
  <c r="BS43" i="6"/>
  <c r="BQ44" i="6"/>
  <c r="BR44" i="6"/>
  <c r="BS44" i="6"/>
  <c r="BQ45" i="6"/>
  <c r="BR45" i="6"/>
  <c r="BS45" i="6"/>
  <c r="BQ47" i="6"/>
  <c r="BR47" i="6"/>
  <c r="BS47" i="6"/>
  <c r="BQ48" i="6"/>
  <c r="BR48" i="6"/>
  <c r="BS48" i="6"/>
  <c r="BQ49" i="6"/>
  <c r="BR49" i="6"/>
  <c r="BS49" i="6"/>
  <c r="BQ50" i="6"/>
  <c r="BR50" i="6"/>
  <c r="BS50" i="6"/>
  <c r="BS4" i="6"/>
  <c r="BR4" i="6"/>
  <c r="AE5" i="6"/>
  <c r="AF5" i="6"/>
  <c r="AE6" i="6"/>
  <c r="AF6" i="6"/>
  <c r="AE7" i="6"/>
  <c r="AF7" i="6"/>
  <c r="AE8" i="6"/>
  <c r="AF8" i="6"/>
  <c r="AE9" i="6"/>
  <c r="AF9" i="6"/>
  <c r="AE10" i="6"/>
  <c r="AF10" i="6"/>
  <c r="AE11" i="6"/>
  <c r="AF11" i="6"/>
  <c r="AE12" i="6"/>
  <c r="AF12" i="6"/>
  <c r="AE13" i="6"/>
  <c r="AF13" i="6"/>
  <c r="AE14" i="6"/>
  <c r="AF14" i="6"/>
  <c r="AE15" i="6"/>
  <c r="AF15" i="6"/>
  <c r="AE16" i="6"/>
  <c r="AF16" i="6"/>
  <c r="AE17" i="6"/>
  <c r="AF17" i="6"/>
  <c r="AE18" i="6"/>
  <c r="AF18" i="6"/>
  <c r="AE19" i="6"/>
  <c r="AF19" i="6"/>
  <c r="AE20" i="6"/>
  <c r="AF20" i="6"/>
  <c r="AE21" i="6"/>
  <c r="AF21" i="6"/>
  <c r="AE22" i="6"/>
  <c r="AF22" i="6"/>
  <c r="AE23" i="6"/>
  <c r="AF23" i="6"/>
  <c r="AE24" i="6"/>
  <c r="AF24" i="6"/>
  <c r="AE25" i="6"/>
  <c r="AF25" i="6"/>
  <c r="AE26" i="6"/>
  <c r="AF26" i="6"/>
  <c r="AE27" i="6"/>
  <c r="AF27" i="6"/>
  <c r="AE28" i="6"/>
  <c r="AF28" i="6"/>
  <c r="AE29" i="6"/>
  <c r="AF29" i="6"/>
  <c r="AE31" i="6"/>
  <c r="AF31" i="6"/>
  <c r="AE32" i="6"/>
  <c r="AF32" i="6"/>
  <c r="AE33" i="6"/>
  <c r="AF33" i="6"/>
  <c r="AE34" i="6"/>
  <c r="AF34" i="6"/>
  <c r="AE35" i="6"/>
  <c r="AF35" i="6"/>
  <c r="AE36" i="6"/>
  <c r="AF36" i="6"/>
  <c r="AE37" i="6"/>
  <c r="AF37" i="6"/>
  <c r="AE38" i="6"/>
  <c r="AF38" i="6"/>
  <c r="AE39" i="6"/>
  <c r="AF39" i="6"/>
  <c r="AE40" i="6"/>
  <c r="AF40" i="6"/>
  <c r="AE41" i="6"/>
  <c r="AF41" i="6"/>
  <c r="AE42" i="6"/>
  <c r="AF42" i="6"/>
  <c r="AE43" i="6"/>
  <c r="AF43" i="6"/>
  <c r="AE44" i="6"/>
  <c r="AF44" i="6"/>
  <c r="AE45" i="6"/>
  <c r="AF45" i="6"/>
  <c r="AE47" i="6"/>
  <c r="AF47" i="6"/>
  <c r="AE48" i="6"/>
  <c r="AF48" i="6"/>
  <c r="AE49" i="6"/>
  <c r="AF49" i="6"/>
  <c r="AE50" i="6"/>
  <c r="AF50" i="6"/>
  <c r="AE4" i="6"/>
  <c r="AK52" i="6"/>
  <c r="G52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U52" i="6" s="1"/>
  <c r="V51" i="6"/>
  <c r="W51" i="6"/>
  <c r="X51" i="6"/>
  <c r="Y51" i="6"/>
  <c r="Z51" i="6"/>
  <c r="AA51" i="6"/>
  <c r="AB51" i="6"/>
  <c r="AC51" i="6"/>
  <c r="AD51" i="6"/>
  <c r="AG51" i="6"/>
  <c r="AH51" i="6"/>
  <c r="AI51" i="6"/>
  <c r="AJ51" i="6"/>
  <c r="AK51" i="6"/>
  <c r="AL51" i="6"/>
  <c r="AM51" i="6"/>
  <c r="BQ51" i="6" s="1"/>
  <c r="AN51" i="6"/>
  <c r="BR51" i="6" s="1"/>
  <c r="AO51" i="6"/>
  <c r="BS51" i="6" s="1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G51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G46" i="6"/>
  <c r="AH46" i="6"/>
  <c r="AI46" i="6"/>
  <c r="AJ46" i="6"/>
  <c r="AK46" i="6"/>
  <c r="AL46" i="6"/>
  <c r="AM46" i="6"/>
  <c r="AN46" i="6"/>
  <c r="AO46" i="6"/>
  <c r="AP46" i="6"/>
  <c r="BQ46" i="6" s="1"/>
  <c r="AQ46" i="6"/>
  <c r="BR46" i="6" s="1"/>
  <c r="AR46" i="6"/>
  <c r="BS46" i="6" s="1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G46" i="6"/>
  <c r="H30" i="6"/>
  <c r="I30" i="6"/>
  <c r="J30" i="6"/>
  <c r="K30" i="6"/>
  <c r="L30" i="6"/>
  <c r="M30" i="6"/>
  <c r="M52" i="6" s="1"/>
  <c r="N30" i="6"/>
  <c r="N52" i="6" s="1"/>
  <c r="O30" i="6"/>
  <c r="O52" i="6" s="1"/>
  <c r="P30" i="6"/>
  <c r="P52" i="6" s="1"/>
  <c r="Q30" i="6"/>
  <c r="Q52" i="6" s="1"/>
  <c r="R30" i="6"/>
  <c r="S30" i="6"/>
  <c r="S52" i="6" s="1"/>
  <c r="T30" i="6"/>
  <c r="T52" i="6" s="1"/>
  <c r="U30" i="6"/>
  <c r="V30" i="6"/>
  <c r="W30" i="6"/>
  <c r="X30" i="6"/>
  <c r="Y30" i="6"/>
  <c r="Z30" i="6"/>
  <c r="AA30" i="6"/>
  <c r="AB30" i="6"/>
  <c r="AC30" i="6"/>
  <c r="AC52" i="6" s="1"/>
  <c r="AD30" i="6"/>
  <c r="AD52" i="6" s="1"/>
  <c r="AG30" i="6"/>
  <c r="AG52" i="6" s="1"/>
  <c r="AH30" i="6"/>
  <c r="AH52" i="6" s="1"/>
  <c r="AI30" i="6"/>
  <c r="AI52" i="6" s="1"/>
  <c r="AJ30" i="6"/>
  <c r="AJ52" i="6" s="1"/>
  <c r="AK30" i="6"/>
  <c r="AL30" i="6"/>
  <c r="AL52" i="6" s="1"/>
  <c r="AM30" i="6"/>
  <c r="AN30" i="6"/>
  <c r="AO30" i="6"/>
  <c r="AP30" i="6"/>
  <c r="AQ30" i="6"/>
  <c r="AR30" i="6"/>
  <c r="AS30" i="6"/>
  <c r="AT30" i="6"/>
  <c r="AU30" i="6"/>
  <c r="AU52" i="6" s="1"/>
  <c r="AV30" i="6"/>
  <c r="AV52" i="6" s="1"/>
  <c r="AW30" i="6"/>
  <c r="AW52" i="6" s="1"/>
  <c r="AX30" i="6"/>
  <c r="AX52" i="6" s="1"/>
  <c r="AY30" i="6"/>
  <c r="AY52" i="6" s="1"/>
  <c r="AZ30" i="6"/>
  <c r="AZ52" i="6" s="1"/>
  <c r="BA30" i="6"/>
  <c r="BA52" i="6" s="1"/>
  <c r="BB30" i="6"/>
  <c r="BB52" i="6" s="1"/>
  <c r="BC30" i="6"/>
  <c r="BD30" i="6"/>
  <c r="BE30" i="6"/>
  <c r="BF30" i="6"/>
  <c r="BG30" i="6"/>
  <c r="BH30" i="6"/>
  <c r="BI30" i="6"/>
  <c r="BJ30" i="6"/>
  <c r="BK30" i="6"/>
  <c r="BK52" i="6" s="1"/>
  <c r="BL30" i="6"/>
  <c r="BL52" i="6" s="1"/>
  <c r="BM30" i="6"/>
  <c r="BM52" i="6" s="1"/>
  <c r="BN30" i="6"/>
  <c r="BN52" i="6" s="1"/>
  <c r="BO30" i="6"/>
  <c r="BO52" i="6" s="1"/>
  <c r="BP30" i="6"/>
  <c r="BP52" i="6" s="1"/>
  <c r="G30" i="6"/>
  <c r="BQ4" i="6"/>
  <c r="AF4" i="6"/>
  <c r="DF51" i="6" l="1"/>
  <c r="DE46" i="6"/>
  <c r="DF46" i="6"/>
  <c r="DD46" i="6"/>
  <c r="DD30" i="6"/>
  <c r="DF30" i="6"/>
  <c r="DF52" i="6" s="1"/>
  <c r="DE30" i="6"/>
  <c r="DE52" i="6" s="1"/>
  <c r="AF51" i="6"/>
  <c r="V52" i="6"/>
  <c r="BR30" i="6"/>
  <c r="AT52" i="6"/>
  <c r="L52" i="6"/>
  <c r="AS52" i="6"/>
  <c r="K52" i="6"/>
  <c r="AE52" i="6" s="1"/>
  <c r="BH52" i="6"/>
  <c r="AR52" i="6"/>
  <c r="Z52" i="6"/>
  <c r="AF30" i="6"/>
  <c r="BG52" i="6"/>
  <c r="AQ52" i="6"/>
  <c r="Y52" i="6"/>
  <c r="I52" i="6"/>
  <c r="BS30" i="6"/>
  <c r="BJ52" i="6"/>
  <c r="AB52" i="6"/>
  <c r="AF46" i="6"/>
  <c r="BQ30" i="6"/>
  <c r="BI52" i="6"/>
  <c r="AA52" i="6"/>
  <c r="AE51" i="6"/>
  <c r="AP52" i="6"/>
  <c r="H52" i="6"/>
  <c r="BE52" i="6"/>
  <c r="W52" i="6"/>
  <c r="BD52" i="6"/>
  <c r="AN52" i="6"/>
  <c r="BR52" i="6" s="1"/>
  <c r="R52" i="6"/>
  <c r="BF52" i="6"/>
  <c r="X52" i="6"/>
  <c r="AO52" i="6"/>
  <c r="AE46" i="6"/>
  <c r="BC52" i="6"/>
  <c r="AM52" i="6"/>
  <c r="BQ52" i="6" s="1"/>
  <c r="AE30" i="6"/>
  <c r="J52" i="6"/>
  <c r="DD52" i="6" l="1"/>
  <c r="AF52" i="6"/>
  <c r="BS52" i="6"/>
</calcChain>
</file>

<file path=xl/sharedStrings.xml><?xml version="1.0" encoding="utf-8"?>
<sst xmlns="http://schemas.openxmlformats.org/spreadsheetml/2006/main" count="335" uniqueCount="131">
  <si>
    <t xml:space="preserve">Total Mini+Van Sales Follow Up </t>
  </si>
  <si>
    <t>F1&amp;F2</t>
  </si>
  <si>
    <t>Lit</t>
  </si>
  <si>
    <t>BOT</t>
  </si>
  <si>
    <t>PKT</t>
  </si>
  <si>
    <t xml:space="preserve">Frequancy </t>
  </si>
  <si>
    <t xml:space="preserve">Total Outlet </t>
  </si>
  <si>
    <t>Area</t>
  </si>
  <si>
    <t>ASM</t>
  </si>
  <si>
    <t xml:space="preserve">Van </t>
  </si>
  <si>
    <t>Sr .No</t>
  </si>
  <si>
    <t>Mini+Van Sales Follow Up - (Region)</t>
  </si>
  <si>
    <t>Total Wholesales</t>
  </si>
  <si>
    <t>Bagan</t>
  </si>
  <si>
    <t>ပုဂံ</t>
  </si>
  <si>
    <t>Meikhtila</t>
  </si>
  <si>
    <t>မိတ္ထီလာ</t>
  </si>
  <si>
    <t>Kaung Thant</t>
  </si>
  <si>
    <t>ကောင်းသန့်</t>
  </si>
  <si>
    <t>Golden Lion</t>
  </si>
  <si>
    <t>ရွှေခြင်္သေ့</t>
  </si>
  <si>
    <t>Yadana</t>
  </si>
  <si>
    <t>ရတနာ</t>
  </si>
  <si>
    <t>Pakokku</t>
  </si>
  <si>
    <t>ပခုက္ကူ</t>
  </si>
  <si>
    <t>U Tin Maung</t>
  </si>
  <si>
    <t>ဦးတင်မောင်</t>
  </si>
  <si>
    <t>Taungtha</t>
  </si>
  <si>
    <t>တောင်သာ</t>
  </si>
  <si>
    <t>MyoMa</t>
  </si>
  <si>
    <t>မြို့မ</t>
  </si>
  <si>
    <t>Kyaukpadaung</t>
  </si>
  <si>
    <t>ကျောက်ပန်းတောင်း</t>
  </si>
  <si>
    <t>Kaung Su Wai</t>
  </si>
  <si>
    <t>ကောင်းဆုဝေ</t>
  </si>
  <si>
    <t>ကောင်းထက်သူ</t>
  </si>
  <si>
    <t>U Thein Soe</t>
  </si>
  <si>
    <t>ဦးသိန်းစိုး</t>
  </si>
  <si>
    <t>Daw Khin San Myint</t>
  </si>
  <si>
    <t>ဒေါ်ခင်စန်းမြင့်</t>
  </si>
  <si>
    <t>U Soe Win</t>
  </si>
  <si>
    <t>ဦးစိုးဝင်း</t>
  </si>
  <si>
    <t>Lwin</t>
  </si>
  <si>
    <t>လွင်</t>
  </si>
  <si>
    <t>Pyawbwe</t>
  </si>
  <si>
    <t>ပျော်ဘွယ်</t>
  </si>
  <si>
    <t>U Ye Myint</t>
  </si>
  <si>
    <t>ဦးရဲမြင့်</t>
  </si>
  <si>
    <t>Yamethin</t>
  </si>
  <si>
    <t>ရမည်းသင်း</t>
  </si>
  <si>
    <t>စံချိန်</t>
  </si>
  <si>
    <t>U Aung Moe</t>
  </si>
  <si>
    <t>ဦးအောင်မိုး</t>
  </si>
  <si>
    <t>Mahlaing</t>
  </si>
  <si>
    <t>မလှိုင်</t>
  </si>
  <si>
    <t>Ma Yin Yin Aye</t>
  </si>
  <si>
    <t>မယဉ်ယဉ်အေး</t>
  </si>
  <si>
    <t>Kyaw Kyar</t>
  </si>
  <si>
    <t>ကျော်ကြား</t>
  </si>
  <si>
    <t>Wundwin</t>
  </si>
  <si>
    <t>လျှော်ပင်</t>
  </si>
  <si>
    <t>U Win Naing</t>
  </si>
  <si>
    <t>ဦးဝင်းနိုင်</t>
  </si>
  <si>
    <t>U Win Aung Kyawe</t>
  </si>
  <si>
    <t>ဦးဝင်းအောင်ကြွယ်</t>
  </si>
  <si>
    <t>Tharzi</t>
  </si>
  <si>
    <t>သာစည်</t>
  </si>
  <si>
    <t>U Kyaw Hla</t>
  </si>
  <si>
    <t>ဦးကျော်လှ</t>
  </si>
  <si>
    <t>U Aye Khin Maung</t>
  </si>
  <si>
    <t>ဦးအေးခင်မောင်</t>
  </si>
  <si>
    <t>Summer-2</t>
  </si>
  <si>
    <t>Summer-1</t>
  </si>
  <si>
    <t>Golden Horse</t>
  </si>
  <si>
    <t>ရွှေမြင်း</t>
  </si>
  <si>
    <t>Outlet Type</t>
  </si>
  <si>
    <t>Customer Name</t>
  </si>
  <si>
    <t>Sr.No</t>
  </si>
  <si>
    <t>ရွှေကမ္ဘာ</t>
  </si>
  <si>
    <t>ဦးမောင်ငယ်</t>
  </si>
  <si>
    <t>ကိုလှဌေးအောင်</t>
  </si>
  <si>
    <t>ဝတိံယံ</t>
  </si>
  <si>
    <t>ပျားနက်</t>
  </si>
  <si>
    <t>ကောင်းဟိန်း</t>
  </si>
  <si>
    <t>ရွှေရောင်စင်</t>
  </si>
  <si>
    <t>Golden World</t>
  </si>
  <si>
    <t>U Mg Ngwe</t>
  </si>
  <si>
    <t>Pyae Phyo Kywe</t>
  </si>
  <si>
    <t>Wattainyan</t>
  </si>
  <si>
    <t>Black Bee</t>
  </si>
  <si>
    <t>Kaung Hein</t>
  </si>
  <si>
    <t>Shwe Yaung Sin</t>
  </si>
  <si>
    <t>မြင်းခြံ</t>
  </si>
  <si>
    <t xml:space="preserve">Total SemiWholesales </t>
  </si>
  <si>
    <t>ဟိန်းမြန်မာ</t>
  </si>
  <si>
    <t>A1</t>
  </si>
  <si>
    <t>Shwe Khit</t>
  </si>
  <si>
    <t>Hein Myanmar</t>
  </si>
  <si>
    <t>Contract</t>
  </si>
  <si>
    <t>မိုးယံ</t>
  </si>
  <si>
    <t>Moe Yan</t>
  </si>
  <si>
    <t>Wholesale</t>
  </si>
  <si>
    <t>2024-Total</t>
  </si>
  <si>
    <t>2025-Total</t>
  </si>
  <si>
    <t>Wholesales</t>
  </si>
  <si>
    <t>Sanchin</t>
  </si>
  <si>
    <t xml:space="preserve">Kaung Htet Thu </t>
  </si>
  <si>
    <t>ရွှေတောင်</t>
  </si>
  <si>
    <t>Shwe Taung</t>
  </si>
  <si>
    <t>SemiWS</t>
  </si>
  <si>
    <t>ကိုချစ်ကို</t>
  </si>
  <si>
    <t>Ko Chit Ko</t>
  </si>
  <si>
    <t>ပြည်ချစ်</t>
  </si>
  <si>
    <t>Pyi Chit</t>
  </si>
  <si>
    <t>ကိုဧရာ</t>
  </si>
  <si>
    <t>Ko Ayar</t>
  </si>
  <si>
    <t>Ko Hla Htay Aung</t>
  </si>
  <si>
    <t>Myingyan</t>
  </si>
  <si>
    <t>ပြည့်ဖြိုးကြွယ်</t>
  </si>
  <si>
    <t>ဇင်ယော်မေ</t>
  </si>
  <si>
    <t>Zin Yaw May</t>
  </si>
  <si>
    <t>ဟိန်းသူ</t>
  </si>
  <si>
    <t>Hein Thu</t>
  </si>
  <si>
    <t>ရွှေခေတ်</t>
  </si>
  <si>
    <t>Van 1</t>
  </si>
  <si>
    <t xml:space="preserve">Ko Kyaw Po Po Win </t>
  </si>
  <si>
    <t>YMT,PB,KPT,BG,PKKU,MG</t>
  </si>
  <si>
    <t>Van 2</t>
  </si>
  <si>
    <t>MTL,MH,TZ,WD</t>
  </si>
  <si>
    <t>Total-2026</t>
  </si>
  <si>
    <t xml:space="preserve">Master File Meikhtila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</si>
</sst>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b/>
      <sz val="11"/>
      <color rgb="FFFF0000"/>
      <name val="Pyidaungsu"/>
      <family val="2"/>
    </font>
    <font>
      <b/>
      <sz val="12"/>
      <color theme="1"/>
      <name val="Pyidaungsu"/>
      <family val="2"/>
    </font>
    <font>
      <b/>
      <sz val="11"/>
      <name val="Pyidaungsu"/>
      <family val="2"/>
    </font>
    <font>
      <sz val="12"/>
      <color theme="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color rgb="FFFF0000"/>
      <name val="Pyidaungsu"/>
      <family val="2"/>
    </font>
    <font>
      <b/>
      <sz val="10"/>
      <color rgb="FFFF0000"/>
      <name val="Pyidaungsu"/>
      <family val="2"/>
    </font>
    <font>
      <u/>
      <sz val="10"/>
      <color theme="1"/>
      <name val="Pyidaungsu"/>
      <family val="2"/>
    </font>
    <font>
      <b/>
      <sz val="10"/>
      <name val="Pyidaungsu"/>
      <family val="2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2" fillId="2" borderId="0" applyNumberFormat="0" applyBorder="0" applyAlignment="0" applyProtection="0"/>
    <xf numFmtId="0" fontId="1" fillId="0" borderId="0"/>
  </cellStyleXfs>
  <cellXfs count="34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8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9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164" fontId="14" fillId="7" borderId="1" xfId="0" applyNumberFormat="1" applyFont="1" applyFill="1" applyBorder="1" applyAlignment="1">
      <alignment horizontal="center" vertical="center"/>
    </xf>
    <xf numFmtId="164" fontId="14" fillId="7" borderId="1" xfId="1" applyNumberFormat="1" applyFont="1" applyFill="1" applyBorder="1" applyAlignment="1">
      <alignment horizontal="center" vertical="center"/>
    </xf>
    <xf numFmtId="17" fontId="4" fillId="4" borderId="1" xfId="0" applyNumberFormat="1" applyFont="1" applyFill="1" applyBorder="1" applyAlignment="1">
      <alignment horizontal="center" vertical="center"/>
    </xf>
    <xf numFmtId="17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</cellXfs>
  <cellStyles count="5">
    <cellStyle name="40% - Accent4 2" xfId="2" xr:uid="{00000000-0005-0000-0000-000000000000}"/>
    <cellStyle name="Bad 2" xfId="3" xr:uid="{00000000-0005-0000-0000-000001000000}"/>
    <cellStyle name="Comma" xfId="1" builtinId="3"/>
    <cellStyle name="Normal" xfId="0" builtinId="0"/>
    <cellStyle name="Normal 2" xfId="4" xr:uid="{37E30C87-77E8-4026-A524-519E6D4044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BB21-A39E-4BFD-85DB-509F3B88DE61}">
  <sheetPr>
    <tabColor theme="9" tint="0.59999389629810485"/>
  </sheetPr>
  <dimension ref="A2:DF52"/>
  <sheetViews>
    <sheetView tabSelected="1" zoomScale="110" zoomScaleNormal="110" workbookViewId="0">
      <pane xSplit="5" ySplit="3" topLeftCell="AE4" activePane="bottomRight" state="frozen"/>
      <selection pane="topRight" activeCell="F1" sqref="F1"/>
      <selection pane="bottomLeft" activeCell="A4" sqref="A4"/>
      <selection pane="bottomRight" activeCell="CA12" sqref="CA12"/>
    </sheetView>
  </sheetViews>
  <sheetFormatPr defaultRowHeight="19.5" x14ac:dyDescent="0.25"/>
  <cols>
    <col min="1" max="1" width="6" style="2" customWidth="1"/>
    <col min="2" max="2" width="23" style="2" customWidth="1"/>
    <col min="3" max="3" width="27.7109375" style="2" hidden="1" customWidth="1"/>
    <col min="4" max="4" width="23.7109375" style="2" customWidth="1"/>
    <col min="5" max="5" width="18.85546875" style="2" hidden="1" customWidth="1"/>
    <col min="6" max="6" width="18" style="2" customWidth="1"/>
    <col min="7" max="7" width="9.42578125" style="2" hidden="1" customWidth="1"/>
    <col min="8" max="8" width="10.28515625" style="2" hidden="1" customWidth="1"/>
    <col min="9" max="9" width="9.42578125" style="2" hidden="1" customWidth="1"/>
    <col min="10" max="10" width="10.28515625" style="2" hidden="1" customWidth="1"/>
    <col min="11" max="11" width="9.42578125" style="2" hidden="1" customWidth="1"/>
    <col min="12" max="12" width="10.28515625" style="2" hidden="1" customWidth="1"/>
    <col min="13" max="13" width="9.42578125" style="2" hidden="1" customWidth="1"/>
    <col min="14" max="14" width="10.28515625" style="2" hidden="1" customWidth="1"/>
    <col min="15" max="15" width="9.42578125" style="2" hidden="1" customWidth="1"/>
    <col min="16" max="16" width="10.28515625" style="2" hidden="1" customWidth="1"/>
    <col min="17" max="17" width="9.42578125" style="2" hidden="1" customWidth="1"/>
    <col min="18" max="18" width="10.28515625" style="2" hidden="1" customWidth="1"/>
    <col min="19" max="19" width="9.42578125" style="2" hidden="1" customWidth="1"/>
    <col min="20" max="20" width="10.28515625" style="2" hidden="1" customWidth="1"/>
    <col min="21" max="21" width="9.42578125" style="2" hidden="1" customWidth="1"/>
    <col min="22" max="22" width="10.28515625" style="2" hidden="1" customWidth="1"/>
    <col min="23" max="23" width="9.42578125" style="2" hidden="1" customWidth="1"/>
    <col min="24" max="24" width="10.28515625" style="2" hidden="1" customWidth="1"/>
    <col min="25" max="25" width="9.42578125" style="2" hidden="1" customWidth="1"/>
    <col min="26" max="26" width="10.28515625" style="2" hidden="1" customWidth="1"/>
    <col min="27" max="27" width="9.42578125" style="2" hidden="1" customWidth="1"/>
    <col min="28" max="28" width="10.28515625" style="2" hidden="1" customWidth="1"/>
    <col min="29" max="29" width="9.42578125" style="2" hidden="1" customWidth="1"/>
    <col min="30" max="30" width="10.5703125" style="2" hidden="1" customWidth="1"/>
    <col min="31" max="31" width="10.28515625" style="2" bestFit="1" customWidth="1"/>
    <col min="32" max="32" width="12" style="2" bestFit="1" customWidth="1"/>
    <col min="33" max="33" width="9.42578125" style="2" hidden="1" customWidth="1"/>
    <col min="34" max="35" width="10.28515625" style="2" hidden="1" customWidth="1"/>
    <col min="36" max="36" width="9.42578125" style="2" hidden="1" customWidth="1"/>
    <col min="37" max="37" width="10.28515625" style="2" hidden="1" customWidth="1"/>
    <col min="38" max="38" width="10" style="2" hidden="1" customWidth="1"/>
    <col min="39" max="39" width="9.42578125" style="2" hidden="1" customWidth="1"/>
    <col min="40" max="40" width="10.5703125" style="2" hidden="1" customWidth="1"/>
    <col min="41" max="41" width="10.28515625" style="2" hidden="1" customWidth="1"/>
    <col min="42" max="42" width="9.42578125" style="2" hidden="1" customWidth="1"/>
    <col min="43" max="44" width="10.28515625" style="2" hidden="1" customWidth="1"/>
    <col min="45" max="45" width="9.42578125" style="2" hidden="1" customWidth="1"/>
    <col min="46" max="47" width="10.28515625" style="2" hidden="1" customWidth="1"/>
    <col min="48" max="48" width="9.42578125" style="2" hidden="1" customWidth="1"/>
    <col min="49" max="50" width="10.28515625" style="2" hidden="1" customWidth="1"/>
    <col min="51" max="51" width="9.42578125" style="2" hidden="1" customWidth="1"/>
    <col min="52" max="53" width="10.28515625" style="2" hidden="1" customWidth="1"/>
    <col min="54" max="54" width="9.42578125" style="2" hidden="1" customWidth="1"/>
    <col min="55" max="55" width="10.28515625" style="2" hidden="1" customWidth="1"/>
    <col min="56" max="56" width="10" style="2" hidden="1" customWidth="1"/>
    <col min="57" max="57" width="9.42578125" style="2" hidden="1" customWidth="1"/>
    <col min="58" max="59" width="10.28515625" style="2" hidden="1" customWidth="1"/>
    <col min="60" max="60" width="9.42578125" style="2" hidden="1" customWidth="1"/>
    <col min="61" max="62" width="10.28515625" style="2" hidden="1" customWidth="1"/>
    <col min="63" max="63" width="9.42578125" style="2" hidden="1" customWidth="1"/>
    <col min="64" max="65" width="10.28515625" style="2" hidden="1" customWidth="1"/>
    <col min="66" max="66" width="9.42578125" style="2" hidden="1" customWidth="1"/>
    <col min="67" max="68" width="10.28515625" style="2" hidden="1" customWidth="1"/>
    <col min="69" max="69" width="10.5703125" style="2" customWidth="1"/>
    <col min="70" max="70" width="11.28515625" style="2" customWidth="1"/>
    <col min="71" max="71" width="10.5703125" style="2" customWidth="1"/>
    <col min="72" max="74" width="8.7109375" style="2" customWidth="1"/>
    <col min="75" max="77" width="8.5703125" style="2" customWidth="1"/>
    <col min="78" max="80" width="10.140625" style="2" customWidth="1"/>
    <col min="81" max="107" width="10.140625" style="2" hidden="1" customWidth="1"/>
    <col min="108" max="110" width="9.85546875" style="2" customWidth="1"/>
    <col min="111" max="16384" width="9.140625" style="2"/>
  </cols>
  <sheetData>
    <row r="2" spans="1:110" s="6" customFormat="1" ht="29.25" customHeight="1" x14ac:dyDescent="0.25">
      <c r="A2" s="32" t="s">
        <v>130</v>
      </c>
      <c r="B2" s="32"/>
      <c r="C2" s="32"/>
      <c r="D2" s="32"/>
      <c r="E2" s="32"/>
      <c r="F2" s="32"/>
      <c r="G2" s="26">
        <v>45292</v>
      </c>
      <c r="H2" s="27"/>
      <c r="I2" s="26">
        <v>45323</v>
      </c>
      <c r="J2" s="26"/>
      <c r="K2" s="26">
        <v>45352</v>
      </c>
      <c r="L2" s="27"/>
      <c r="M2" s="26">
        <v>45383</v>
      </c>
      <c r="N2" s="26"/>
      <c r="O2" s="26">
        <v>45413</v>
      </c>
      <c r="P2" s="27"/>
      <c r="Q2" s="26">
        <v>45444</v>
      </c>
      <c r="R2" s="26"/>
      <c r="S2" s="26">
        <v>45474</v>
      </c>
      <c r="T2" s="27"/>
      <c r="U2" s="26">
        <v>45505</v>
      </c>
      <c r="V2" s="26"/>
      <c r="W2" s="26">
        <v>45536</v>
      </c>
      <c r="X2" s="27"/>
      <c r="Y2" s="26">
        <v>45566</v>
      </c>
      <c r="Z2" s="26"/>
      <c r="AA2" s="26">
        <v>45597</v>
      </c>
      <c r="AB2" s="27"/>
      <c r="AC2" s="26">
        <v>45627</v>
      </c>
      <c r="AD2" s="26"/>
      <c r="AE2" s="25" t="s">
        <v>102</v>
      </c>
      <c r="AF2" s="25"/>
      <c r="AG2" s="23">
        <v>45658</v>
      </c>
      <c r="AH2" s="24"/>
      <c r="AI2" s="24"/>
      <c r="AJ2" s="23">
        <v>45689</v>
      </c>
      <c r="AK2" s="24"/>
      <c r="AL2" s="24"/>
      <c r="AM2" s="23">
        <v>45717</v>
      </c>
      <c r="AN2" s="24"/>
      <c r="AO2" s="24"/>
      <c r="AP2" s="23">
        <v>45748</v>
      </c>
      <c r="AQ2" s="24"/>
      <c r="AR2" s="24"/>
      <c r="AS2" s="23">
        <v>45778</v>
      </c>
      <c r="AT2" s="24"/>
      <c r="AU2" s="24"/>
      <c r="AV2" s="23">
        <v>45809</v>
      </c>
      <c r="AW2" s="24"/>
      <c r="AX2" s="24"/>
      <c r="AY2" s="23">
        <v>45839</v>
      </c>
      <c r="AZ2" s="24"/>
      <c r="BA2" s="24"/>
      <c r="BB2" s="23">
        <v>45870</v>
      </c>
      <c r="BC2" s="24"/>
      <c r="BD2" s="24"/>
      <c r="BE2" s="23">
        <v>45901</v>
      </c>
      <c r="BF2" s="24"/>
      <c r="BG2" s="24"/>
      <c r="BH2" s="23">
        <v>45931</v>
      </c>
      <c r="BI2" s="24"/>
      <c r="BJ2" s="24"/>
      <c r="BK2" s="23">
        <v>45962</v>
      </c>
      <c r="BL2" s="24"/>
      <c r="BM2" s="24"/>
      <c r="BN2" s="23">
        <v>45992</v>
      </c>
      <c r="BO2" s="24"/>
      <c r="BP2" s="24"/>
      <c r="BQ2" s="25" t="s">
        <v>103</v>
      </c>
      <c r="BR2" s="25"/>
      <c r="BS2" s="25"/>
      <c r="BT2" s="22">
        <v>46023</v>
      </c>
      <c r="BU2" s="22"/>
      <c r="BV2" s="22"/>
      <c r="BW2" s="22">
        <v>46054</v>
      </c>
      <c r="BX2" s="22"/>
      <c r="BY2" s="22"/>
      <c r="BZ2" s="22">
        <v>46082</v>
      </c>
      <c r="CA2" s="22"/>
      <c r="CB2" s="22"/>
      <c r="CC2" s="22">
        <v>46113</v>
      </c>
      <c r="CD2" s="22"/>
      <c r="CE2" s="22"/>
      <c r="CF2" s="22">
        <v>46143</v>
      </c>
      <c r="CG2" s="22"/>
      <c r="CH2" s="22"/>
      <c r="CI2" s="22">
        <v>46174</v>
      </c>
      <c r="CJ2" s="22"/>
      <c r="CK2" s="22"/>
      <c r="CL2" s="22">
        <v>46204</v>
      </c>
      <c r="CM2" s="22"/>
      <c r="CN2" s="22"/>
      <c r="CO2" s="22">
        <v>46235</v>
      </c>
      <c r="CP2" s="22"/>
      <c r="CQ2" s="22"/>
      <c r="CR2" s="22">
        <v>46266</v>
      </c>
      <c r="CS2" s="22"/>
      <c r="CT2" s="22"/>
      <c r="CU2" s="22">
        <v>46296</v>
      </c>
      <c r="CV2" s="22"/>
      <c r="CW2" s="22"/>
      <c r="CX2" s="22">
        <v>46327</v>
      </c>
      <c r="CY2" s="22"/>
      <c r="CZ2" s="22"/>
      <c r="DA2" s="22">
        <v>46357</v>
      </c>
      <c r="DB2" s="22"/>
      <c r="DC2" s="22"/>
      <c r="DD2" s="22" t="s">
        <v>129</v>
      </c>
      <c r="DE2" s="22"/>
      <c r="DF2" s="22"/>
    </row>
    <row r="3" spans="1:110" s="6" customFormat="1" ht="20.25" x14ac:dyDescent="0.25">
      <c r="A3" s="7" t="s">
        <v>77</v>
      </c>
      <c r="B3" s="28" t="s">
        <v>76</v>
      </c>
      <c r="C3" s="28"/>
      <c r="D3" s="28" t="s">
        <v>7</v>
      </c>
      <c r="E3" s="28"/>
      <c r="F3" s="7" t="s">
        <v>75</v>
      </c>
      <c r="G3" s="8" t="s">
        <v>4</v>
      </c>
      <c r="H3" s="8" t="s">
        <v>3</v>
      </c>
      <c r="I3" s="8" t="s">
        <v>4</v>
      </c>
      <c r="J3" s="8" t="s">
        <v>3</v>
      </c>
      <c r="K3" s="8" t="s">
        <v>4</v>
      </c>
      <c r="L3" s="8" t="s">
        <v>3</v>
      </c>
      <c r="M3" s="8" t="s">
        <v>4</v>
      </c>
      <c r="N3" s="8" t="s">
        <v>3</v>
      </c>
      <c r="O3" s="8" t="s">
        <v>4</v>
      </c>
      <c r="P3" s="8" t="s">
        <v>3</v>
      </c>
      <c r="Q3" s="8" t="s">
        <v>4</v>
      </c>
      <c r="R3" s="8" t="s">
        <v>3</v>
      </c>
      <c r="S3" s="8" t="s">
        <v>4</v>
      </c>
      <c r="T3" s="8" t="s">
        <v>3</v>
      </c>
      <c r="U3" s="8" t="s">
        <v>4</v>
      </c>
      <c r="V3" s="8" t="s">
        <v>3</v>
      </c>
      <c r="W3" s="8" t="s">
        <v>4</v>
      </c>
      <c r="X3" s="8" t="s">
        <v>3</v>
      </c>
      <c r="Y3" s="8" t="s">
        <v>4</v>
      </c>
      <c r="Z3" s="8" t="s">
        <v>3</v>
      </c>
      <c r="AA3" s="8" t="s">
        <v>4</v>
      </c>
      <c r="AB3" s="8" t="s">
        <v>3</v>
      </c>
      <c r="AC3" s="8" t="s">
        <v>4</v>
      </c>
      <c r="AD3" s="8" t="s">
        <v>3</v>
      </c>
      <c r="AE3" s="1" t="s">
        <v>4</v>
      </c>
      <c r="AF3" s="1" t="s">
        <v>3</v>
      </c>
      <c r="AG3" s="1" t="s">
        <v>4</v>
      </c>
      <c r="AH3" s="1" t="s">
        <v>3</v>
      </c>
      <c r="AI3" s="1" t="s">
        <v>2</v>
      </c>
      <c r="AJ3" s="1" t="s">
        <v>4</v>
      </c>
      <c r="AK3" s="1" t="s">
        <v>3</v>
      </c>
      <c r="AL3" s="1" t="s">
        <v>2</v>
      </c>
      <c r="AM3" s="1" t="s">
        <v>4</v>
      </c>
      <c r="AN3" s="1" t="s">
        <v>3</v>
      </c>
      <c r="AO3" s="1" t="s">
        <v>2</v>
      </c>
      <c r="AP3" s="1" t="s">
        <v>4</v>
      </c>
      <c r="AQ3" s="1" t="s">
        <v>3</v>
      </c>
      <c r="AR3" s="1" t="s">
        <v>2</v>
      </c>
      <c r="AS3" s="1" t="s">
        <v>4</v>
      </c>
      <c r="AT3" s="1" t="s">
        <v>3</v>
      </c>
      <c r="AU3" s="1" t="s">
        <v>2</v>
      </c>
      <c r="AV3" s="1" t="s">
        <v>4</v>
      </c>
      <c r="AW3" s="1" t="s">
        <v>3</v>
      </c>
      <c r="AX3" s="1" t="s">
        <v>2</v>
      </c>
      <c r="AY3" s="1" t="s">
        <v>4</v>
      </c>
      <c r="AZ3" s="1" t="s">
        <v>3</v>
      </c>
      <c r="BA3" s="1" t="s">
        <v>2</v>
      </c>
      <c r="BB3" s="1" t="s">
        <v>4</v>
      </c>
      <c r="BC3" s="1" t="s">
        <v>3</v>
      </c>
      <c r="BD3" s="1" t="s">
        <v>2</v>
      </c>
      <c r="BE3" s="1" t="s">
        <v>4</v>
      </c>
      <c r="BF3" s="1" t="s">
        <v>3</v>
      </c>
      <c r="BG3" s="1" t="s">
        <v>2</v>
      </c>
      <c r="BH3" s="1" t="s">
        <v>4</v>
      </c>
      <c r="BI3" s="1" t="s">
        <v>3</v>
      </c>
      <c r="BJ3" s="1" t="s">
        <v>2</v>
      </c>
      <c r="BK3" s="1" t="s">
        <v>4</v>
      </c>
      <c r="BL3" s="1" t="s">
        <v>3</v>
      </c>
      <c r="BM3" s="1" t="s">
        <v>2</v>
      </c>
      <c r="BN3" s="1" t="s">
        <v>4</v>
      </c>
      <c r="BO3" s="1" t="s">
        <v>3</v>
      </c>
      <c r="BP3" s="1" t="s">
        <v>2</v>
      </c>
      <c r="BQ3" s="1" t="s">
        <v>4</v>
      </c>
      <c r="BR3" s="1" t="s">
        <v>3</v>
      </c>
      <c r="BS3" s="1" t="s">
        <v>2</v>
      </c>
      <c r="BT3" s="1" t="s">
        <v>4</v>
      </c>
      <c r="BU3" s="1" t="s">
        <v>3</v>
      </c>
      <c r="BV3" s="1" t="s">
        <v>2</v>
      </c>
      <c r="BW3" s="1" t="s">
        <v>4</v>
      </c>
      <c r="BX3" s="1" t="s">
        <v>3</v>
      </c>
      <c r="BY3" s="1" t="s">
        <v>2</v>
      </c>
      <c r="BZ3" s="1" t="s">
        <v>4</v>
      </c>
      <c r="CA3" s="1" t="s">
        <v>3</v>
      </c>
      <c r="CB3" s="1" t="s">
        <v>2</v>
      </c>
      <c r="CC3" s="1" t="s">
        <v>4</v>
      </c>
      <c r="CD3" s="1" t="s">
        <v>3</v>
      </c>
      <c r="CE3" s="1" t="s">
        <v>2</v>
      </c>
      <c r="CF3" s="1" t="s">
        <v>4</v>
      </c>
      <c r="CG3" s="1" t="s">
        <v>3</v>
      </c>
      <c r="CH3" s="1" t="s">
        <v>2</v>
      </c>
      <c r="CI3" s="1" t="s">
        <v>4</v>
      </c>
      <c r="CJ3" s="1" t="s">
        <v>3</v>
      </c>
      <c r="CK3" s="1" t="s">
        <v>2</v>
      </c>
      <c r="CL3" s="1" t="s">
        <v>4</v>
      </c>
      <c r="CM3" s="1" t="s">
        <v>3</v>
      </c>
      <c r="CN3" s="1" t="s">
        <v>2</v>
      </c>
      <c r="CO3" s="1" t="s">
        <v>4</v>
      </c>
      <c r="CP3" s="1" t="s">
        <v>3</v>
      </c>
      <c r="CQ3" s="1" t="s">
        <v>2</v>
      </c>
      <c r="CR3" s="1" t="s">
        <v>4</v>
      </c>
      <c r="CS3" s="1" t="s">
        <v>3</v>
      </c>
      <c r="CT3" s="1" t="s">
        <v>2</v>
      </c>
      <c r="CU3" s="1" t="s">
        <v>4</v>
      </c>
      <c r="CV3" s="1" t="s">
        <v>3</v>
      </c>
      <c r="CW3" s="1" t="s">
        <v>2</v>
      </c>
      <c r="CX3" s="1" t="s">
        <v>4</v>
      </c>
      <c r="CY3" s="1" t="s">
        <v>3</v>
      </c>
      <c r="CZ3" s="1" t="s">
        <v>2</v>
      </c>
      <c r="DA3" s="1" t="s">
        <v>4</v>
      </c>
      <c r="DB3" s="1" t="s">
        <v>3</v>
      </c>
      <c r="DC3" s="1" t="s">
        <v>2</v>
      </c>
      <c r="DD3" s="5" t="s">
        <v>4</v>
      </c>
      <c r="DE3" s="5" t="s">
        <v>3</v>
      </c>
      <c r="DF3" s="5" t="s">
        <v>2</v>
      </c>
    </row>
    <row r="4" spans="1:110" x14ac:dyDescent="0.25">
      <c r="A4" s="9">
        <v>1</v>
      </c>
      <c r="B4" s="9" t="s">
        <v>74</v>
      </c>
      <c r="C4" s="9" t="s">
        <v>73</v>
      </c>
      <c r="D4" s="9" t="s">
        <v>16</v>
      </c>
      <c r="E4" s="9" t="s">
        <v>15</v>
      </c>
      <c r="F4" s="9" t="s">
        <v>101</v>
      </c>
      <c r="G4" s="10">
        <v>12031</v>
      </c>
      <c r="H4" s="10">
        <v>198014</v>
      </c>
      <c r="I4" s="10">
        <v>11110</v>
      </c>
      <c r="J4" s="10">
        <v>182120</v>
      </c>
      <c r="K4" s="10">
        <v>12250</v>
      </c>
      <c r="L4" s="10">
        <v>199906</v>
      </c>
      <c r="M4" s="10">
        <v>10615</v>
      </c>
      <c r="N4" s="10">
        <v>175860</v>
      </c>
      <c r="O4" s="10">
        <v>10324</v>
      </c>
      <c r="P4" s="10">
        <v>169560</v>
      </c>
      <c r="Q4" s="10">
        <v>11201</v>
      </c>
      <c r="R4" s="10">
        <v>185414</v>
      </c>
      <c r="S4" s="10">
        <v>12184</v>
      </c>
      <c r="T4" s="10">
        <v>198826</v>
      </c>
      <c r="U4" s="10">
        <v>9687</v>
      </c>
      <c r="V4" s="10">
        <v>163388</v>
      </c>
      <c r="W4" s="10">
        <v>13358</v>
      </c>
      <c r="X4" s="10">
        <v>216802</v>
      </c>
      <c r="Y4" s="10">
        <v>11203</v>
      </c>
      <c r="Z4" s="10">
        <v>183792</v>
      </c>
      <c r="AA4" s="10">
        <v>10964</v>
      </c>
      <c r="AB4" s="10">
        <v>179636</v>
      </c>
      <c r="AC4" s="10">
        <v>13115</v>
      </c>
      <c r="AD4" s="10">
        <v>214850</v>
      </c>
      <c r="AE4" s="11">
        <f>G4+I4+K4+M4+O4+Q4+S4+U4+W4+Y4+AA4+AC4</f>
        <v>138042</v>
      </c>
      <c r="AF4" s="11">
        <f>H4+J4+L4+N4+P4+R4+T4+V4+X4+Z4+AB4+AD4</f>
        <v>2268168</v>
      </c>
      <c r="AG4" s="12">
        <v>12414</v>
      </c>
      <c r="AH4" s="12">
        <v>202626</v>
      </c>
      <c r="AI4" s="12">
        <v>133364.63999999998</v>
      </c>
      <c r="AJ4" s="12">
        <v>8906</v>
      </c>
      <c r="AK4" s="12">
        <v>152794</v>
      </c>
      <c r="AL4" s="12">
        <v>99067.359999999986</v>
      </c>
      <c r="AM4" s="12">
        <v>12246</v>
      </c>
      <c r="AN4" s="12">
        <v>205094</v>
      </c>
      <c r="AO4" s="12">
        <v>134008.15999999997</v>
      </c>
      <c r="AP4" s="12">
        <v>10332</v>
      </c>
      <c r="AQ4" s="12">
        <v>171198</v>
      </c>
      <c r="AR4" s="12">
        <v>113284.8</v>
      </c>
      <c r="AS4" s="12">
        <v>11079</v>
      </c>
      <c r="AT4" s="12">
        <v>181346</v>
      </c>
      <c r="AU4" s="12">
        <v>119599.03999999999</v>
      </c>
      <c r="AV4" s="12">
        <v>10685</v>
      </c>
      <c r="AW4" s="12">
        <v>178630</v>
      </c>
      <c r="AX4" s="12">
        <v>117920.79999999999</v>
      </c>
      <c r="AY4" s="12">
        <v>12128</v>
      </c>
      <c r="AZ4" s="12">
        <v>201622</v>
      </c>
      <c r="BA4" s="12">
        <v>133010.07999999996</v>
      </c>
      <c r="BB4" s="12">
        <v>8978</v>
      </c>
      <c r="BC4" s="12">
        <v>149522</v>
      </c>
      <c r="BD4" s="12">
        <v>99457.279999999999</v>
      </c>
      <c r="BE4" s="12">
        <v>9559</v>
      </c>
      <c r="BF4" s="13">
        <v>158076</v>
      </c>
      <c r="BG4" s="12">
        <v>105366.24000000003</v>
      </c>
      <c r="BH4" s="12">
        <v>9461</v>
      </c>
      <c r="BI4" s="12">
        <v>161164</v>
      </c>
      <c r="BJ4" s="12">
        <v>106548.15999999999</v>
      </c>
      <c r="BK4" s="12">
        <v>9441</v>
      </c>
      <c r="BL4" s="12">
        <v>156534</v>
      </c>
      <c r="BM4" s="12">
        <v>104300.16000000002</v>
      </c>
      <c r="BN4" s="12">
        <v>9331</v>
      </c>
      <c r="BO4" s="12">
        <v>157064</v>
      </c>
      <c r="BP4" s="12">
        <v>103484.95999999998</v>
      </c>
      <c r="BQ4" s="14">
        <f>AG4+AJ4+AM4+AP4+AS4+AV4+AY4+BB4+BE4+BH4+BK4+BN4</f>
        <v>124560</v>
      </c>
      <c r="BR4" s="14">
        <f>AH4+AK4+AN4+AQ4+AT4+AW4+AZ4+BC4+BF4+BI4+BL4+BO4</f>
        <v>2075670</v>
      </c>
      <c r="BS4" s="14">
        <f>AI4+AL4+AO4+AR4+AU4+AX4+BA4+BD4+BG4+BJ4+BM4+BP4</f>
        <v>1369411.6799999997</v>
      </c>
      <c r="BT4" s="12">
        <v>8693</v>
      </c>
      <c r="BU4" s="9">
        <v>143492</v>
      </c>
      <c r="BV4" s="9">
        <v>96349.28</v>
      </c>
      <c r="BW4" s="9">
        <v>7634</v>
      </c>
      <c r="BX4" s="9">
        <v>129856</v>
      </c>
      <c r="BY4" s="9">
        <v>85707.040000000008</v>
      </c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15">
        <f>BT4+BW4+BZ4+CC4+CF4+CI4+CL4+CO4+CR4+CU4+CX4+DA4</f>
        <v>16327</v>
      </c>
      <c r="DE4" s="15">
        <f>BU4+BX4+CA4+CD4+CG4+CJ4+CM4+CP4+CS4+CV4+CY4+DB4</f>
        <v>273348</v>
      </c>
      <c r="DF4" s="15">
        <f>BV4+BY4+CB4+CE4+CH4+CK4+CN4+CQ4+CT4+CW4+CZ4+DC4</f>
        <v>182056.32000000001</v>
      </c>
    </row>
    <row r="5" spans="1:110" x14ac:dyDescent="0.25">
      <c r="A5" s="9">
        <v>2</v>
      </c>
      <c r="B5" s="9" t="s">
        <v>20</v>
      </c>
      <c r="C5" s="9" t="s">
        <v>19</v>
      </c>
      <c r="D5" s="9" t="s">
        <v>16</v>
      </c>
      <c r="E5" s="9" t="s">
        <v>15</v>
      </c>
      <c r="F5" s="16" t="s">
        <v>98</v>
      </c>
      <c r="G5" s="10">
        <v>2950</v>
      </c>
      <c r="H5" s="10">
        <v>49660</v>
      </c>
      <c r="I5" s="10">
        <v>2150</v>
      </c>
      <c r="J5" s="10">
        <v>36830</v>
      </c>
      <c r="K5" s="10">
        <v>1885</v>
      </c>
      <c r="L5" s="10">
        <v>31170</v>
      </c>
      <c r="M5" s="10">
        <v>1878</v>
      </c>
      <c r="N5" s="10">
        <v>31422</v>
      </c>
      <c r="O5" s="10">
        <v>2150</v>
      </c>
      <c r="P5" s="10">
        <v>36130</v>
      </c>
      <c r="Q5" s="10">
        <v>2250</v>
      </c>
      <c r="R5" s="10">
        <v>37630</v>
      </c>
      <c r="S5" s="10">
        <v>2175</v>
      </c>
      <c r="T5" s="10">
        <v>36160</v>
      </c>
      <c r="U5" s="10">
        <v>2480</v>
      </c>
      <c r="V5" s="10">
        <v>41320</v>
      </c>
      <c r="W5" s="10">
        <v>2885</v>
      </c>
      <c r="X5" s="10">
        <v>48950</v>
      </c>
      <c r="Y5" s="10">
        <v>2900</v>
      </c>
      <c r="Z5" s="10">
        <v>49280</v>
      </c>
      <c r="AA5" s="10">
        <v>3068</v>
      </c>
      <c r="AB5" s="10">
        <v>52092</v>
      </c>
      <c r="AC5" s="10">
        <v>3248</v>
      </c>
      <c r="AD5" s="10">
        <v>55362</v>
      </c>
      <c r="AE5" s="11">
        <f t="shared" ref="AE5:AE52" si="0">G5+I5+K5+M5+O5+Q5+S5+U5+W5+Y5+AA5+AC5</f>
        <v>30019</v>
      </c>
      <c r="AF5" s="11">
        <f t="shared" ref="AF5:AF52" si="1">H5+J5+L5+N5+P5+R5+T5+V5+X5+Z5+AB5+AD5</f>
        <v>506006</v>
      </c>
      <c r="AG5" s="12">
        <v>3225</v>
      </c>
      <c r="AH5" s="12">
        <v>54850</v>
      </c>
      <c r="AI5" s="12">
        <v>35948.800000000003</v>
      </c>
      <c r="AJ5" s="12">
        <v>2372</v>
      </c>
      <c r="AK5" s="12">
        <v>39478</v>
      </c>
      <c r="AL5" s="12">
        <v>25892.800000000003</v>
      </c>
      <c r="AM5" s="12">
        <v>2215</v>
      </c>
      <c r="AN5" s="12">
        <v>37270</v>
      </c>
      <c r="AO5" s="12">
        <v>24332.799999999999</v>
      </c>
      <c r="AP5" s="12">
        <v>2550</v>
      </c>
      <c r="AQ5" s="12">
        <v>42490</v>
      </c>
      <c r="AR5" s="12">
        <v>27844</v>
      </c>
      <c r="AS5" s="12">
        <v>2679</v>
      </c>
      <c r="AT5" s="12">
        <v>44398</v>
      </c>
      <c r="AU5" s="12">
        <v>29276.799999999999</v>
      </c>
      <c r="AV5" s="12">
        <v>3040</v>
      </c>
      <c r="AW5" s="12">
        <v>48810</v>
      </c>
      <c r="AX5" s="12">
        <v>32527.200000000001</v>
      </c>
      <c r="AY5" s="12">
        <v>3060</v>
      </c>
      <c r="AZ5" s="12">
        <v>49500</v>
      </c>
      <c r="BA5" s="12">
        <v>32798.400000000001</v>
      </c>
      <c r="BB5" s="12">
        <v>3280</v>
      </c>
      <c r="BC5" s="12">
        <v>52670</v>
      </c>
      <c r="BD5" s="12">
        <v>35290.400000000009</v>
      </c>
      <c r="BE5" s="12">
        <v>3185</v>
      </c>
      <c r="BF5" s="13">
        <v>51190</v>
      </c>
      <c r="BG5" s="12">
        <v>34604.800000000003</v>
      </c>
      <c r="BH5" s="12">
        <v>3398</v>
      </c>
      <c r="BI5" s="12">
        <v>56462</v>
      </c>
      <c r="BJ5" s="12">
        <v>37911.68</v>
      </c>
      <c r="BK5" s="12">
        <v>2955</v>
      </c>
      <c r="BL5" s="12">
        <v>49160</v>
      </c>
      <c r="BM5" s="12">
        <v>31961.599999999995</v>
      </c>
      <c r="BN5" s="12">
        <v>2963</v>
      </c>
      <c r="BO5" s="12">
        <v>49122</v>
      </c>
      <c r="BP5" s="12">
        <v>32577.599999999995</v>
      </c>
      <c r="BQ5" s="14">
        <f t="shared" ref="BQ5:BQ52" si="2">AG5+AJ5+AM5+AP5+AS5+AV5+AY5+BB5+BE5+BH5+BK5+BN5</f>
        <v>34922</v>
      </c>
      <c r="BR5" s="14">
        <f t="shared" ref="BR5:BR52" si="3">AH5+AK5+AN5+AQ5+AT5+AW5+AZ5+BC5+BF5+BI5+BL5+BO5</f>
        <v>575400</v>
      </c>
      <c r="BS5" s="14">
        <f t="shared" ref="BS5:BS52" si="4">AI5+AL5+AO5+AR5+AU5+AX5+BA5+BD5+BG5+BJ5+BM5+BP5</f>
        <v>380966.87999999995</v>
      </c>
      <c r="BT5" s="12">
        <v>2800</v>
      </c>
      <c r="BU5" s="9">
        <v>45020</v>
      </c>
      <c r="BV5" s="9">
        <v>30365.599999999999</v>
      </c>
      <c r="BW5" s="9">
        <v>2390</v>
      </c>
      <c r="BX5" s="9">
        <v>38530</v>
      </c>
      <c r="BY5" s="9">
        <v>25568.799999999999</v>
      </c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15">
        <f t="shared" ref="DD5:DD50" si="5">BT5+BW5+BZ5+CC5+CF5+CI5+CL5+CO5+CR5+CU5+CX5+DA5</f>
        <v>5190</v>
      </c>
      <c r="DE5" s="15">
        <f t="shared" ref="DE5:DE50" si="6">BU5+BX5+CA5+CD5+CG5+CJ5+CM5+CP5+CS5+CV5+CY5+DB5</f>
        <v>83550</v>
      </c>
      <c r="DF5" s="15">
        <f t="shared" ref="DF5:DF50" si="7">BV5+BY5+CB5+CE5+CH5+CK5+CN5+CQ5+CT5+CW5+CZ5+DC5</f>
        <v>55934.399999999994</v>
      </c>
    </row>
    <row r="6" spans="1:110" x14ac:dyDescent="0.25">
      <c r="A6" s="9">
        <v>3</v>
      </c>
      <c r="B6" s="9" t="s">
        <v>18</v>
      </c>
      <c r="C6" s="9" t="s">
        <v>17</v>
      </c>
      <c r="D6" s="9" t="s">
        <v>16</v>
      </c>
      <c r="E6" s="9" t="s">
        <v>15</v>
      </c>
      <c r="F6" s="16" t="s">
        <v>98</v>
      </c>
      <c r="G6" s="10">
        <v>3754</v>
      </c>
      <c r="H6" s="10">
        <v>63800</v>
      </c>
      <c r="I6" s="10">
        <v>3426</v>
      </c>
      <c r="J6" s="10">
        <v>58904</v>
      </c>
      <c r="K6" s="10">
        <v>3325</v>
      </c>
      <c r="L6" s="10">
        <v>57704</v>
      </c>
      <c r="M6" s="10">
        <v>3180</v>
      </c>
      <c r="N6" s="10">
        <v>54500</v>
      </c>
      <c r="O6" s="10">
        <v>3377</v>
      </c>
      <c r="P6" s="10">
        <v>58318</v>
      </c>
      <c r="Q6" s="10">
        <v>3520</v>
      </c>
      <c r="R6" s="10">
        <v>60710</v>
      </c>
      <c r="S6" s="10">
        <v>3769</v>
      </c>
      <c r="T6" s="10">
        <v>66456</v>
      </c>
      <c r="U6" s="10">
        <v>3916</v>
      </c>
      <c r="V6" s="10">
        <v>68544</v>
      </c>
      <c r="W6" s="10">
        <v>4658</v>
      </c>
      <c r="X6" s="10">
        <v>81094</v>
      </c>
      <c r="Y6" s="10">
        <v>5139</v>
      </c>
      <c r="Z6" s="10">
        <v>88700</v>
      </c>
      <c r="AA6" s="10">
        <v>5418</v>
      </c>
      <c r="AB6" s="10">
        <v>93086</v>
      </c>
      <c r="AC6" s="10">
        <v>5214</v>
      </c>
      <c r="AD6" s="10">
        <v>88286</v>
      </c>
      <c r="AE6" s="11">
        <f t="shared" si="0"/>
        <v>48696</v>
      </c>
      <c r="AF6" s="11">
        <f t="shared" si="1"/>
        <v>840102</v>
      </c>
      <c r="AG6" s="12">
        <v>5069</v>
      </c>
      <c r="AH6" s="12">
        <v>85934</v>
      </c>
      <c r="AI6" s="12">
        <v>55016.480000000003</v>
      </c>
      <c r="AJ6" s="12">
        <v>3821</v>
      </c>
      <c r="AK6" s="12">
        <v>63502</v>
      </c>
      <c r="AL6" s="12">
        <v>40723.12000000001</v>
      </c>
      <c r="AM6" s="12">
        <v>3664</v>
      </c>
      <c r="AN6" s="12">
        <v>62062</v>
      </c>
      <c r="AO6" s="12">
        <v>39750.339999999997</v>
      </c>
      <c r="AP6" s="12">
        <v>3919</v>
      </c>
      <c r="AQ6" s="12">
        <v>67896</v>
      </c>
      <c r="AR6" s="12">
        <v>43478.64</v>
      </c>
      <c r="AS6" s="12">
        <v>3704</v>
      </c>
      <c r="AT6" s="12">
        <v>64032</v>
      </c>
      <c r="AU6" s="12">
        <v>41090.639999999985</v>
      </c>
      <c r="AV6" s="12">
        <v>4014</v>
      </c>
      <c r="AW6" s="12">
        <v>69856</v>
      </c>
      <c r="AX6" s="12">
        <v>44728.24</v>
      </c>
      <c r="AY6" s="12">
        <v>4348</v>
      </c>
      <c r="AZ6" s="12">
        <v>75022</v>
      </c>
      <c r="BA6" s="12">
        <v>48017.68</v>
      </c>
      <c r="BB6" s="12">
        <v>4276</v>
      </c>
      <c r="BC6" s="12">
        <v>72644</v>
      </c>
      <c r="BD6" s="12">
        <v>46499.360000000008</v>
      </c>
      <c r="BE6" s="12">
        <v>4856</v>
      </c>
      <c r="BF6" s="13">
        <v>79724</v>
      </c>
      <c r="BG6" s="12">
        <v>51030.559999999998</v>
      </c>
      <c r="BH6" s="12">
        <v>4452</v>
      </c>
      <c r="BI6" s="12">
        <v>73562</v>
      </c>
      <c r="BJ6" s="12">
        <v>47081.840000000004</v>
      </c>
      <c r="BK6" s="12">
        <v>4147</v>
      </c>
      <c r="BL6" s="12">
        <v>68168</v>
      </c>
      <c r="BM6" s="12">
        <v>43627.520000000011</v>
      </c>
      <c r="BN6" s="12">
        <v>4457</v>
      </c>
      <c r="BO6" s="12">
        <v>72950</v>
      </c>
      <c r="BP6" s="12">
        <v>46698.080000000002</v>
      </c>
      <c r="BQ6" s="14">
        <f t="shared" si="2"/>
        <v>50727</v>
      </c>
      <c r="BR6" s="14">
        <f t="shared" si="3"/>
        <v>855352</v>
      </c>
      <c r="BS6" s="14">
        <f t="shared" si="4"/>
        <v>547742.5</v>
      </c>
      <c r="BT6" s="12">
        <v>4462</v>
      </c>
      <c r="BU6" s="9">
        <v>72248</v>
      </c>
      <c r="BV6" s="9">
        <v>46245.919999999998</v>
      </c>
      <c r="BW6" s="9">
        <v>3154</v>
      </c>
      <c r="BX6" s="9">
        <v>52316</v>
      </c>
      <c r="BY6" s="9">
        <v>33485.840000000004</v>
      </c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15">
        <f t="shared" si="5"/>
        <v>7616</v>
      </c>
      <c r="DE6" s="15">
        <f t="shared" si="6"/>
        <v>124564</v>
      </c>
      <c r="DF6" s="15">
        <f t="shared" si="7"/>
        <v>79731.760000000009</v>
      </c>
    </row>
    <row r="7" spans="1:110" x14ac:dyDescent="0.25">
      <c r="A7" s="9">
        <v>4</v>
      </c>
      <c r="B7" s="9" t="s">
        <v>62</v>
      </c>
      <c r="C7" s="9" t="s">
        <v>61</v>
      </c>
      <c r="D7" s="9" t="s">
        <v>60</v>
      </c>
      <c r="E7" s="9" t="s">
        <v>59</v>
      </c>
      <c r="F7" s="16" t="s">
        <v>98</v>
      </c>
      <c r="G7" s="10">
        <v>6516</v>
      </c>
      <c r="H7" s="10">
        <v>98691</v>
      </c>
      <c r="I7" s="10">
        <v>5647</v>
      </c>
      <c r="J7" s="10">
        <v>85230</v>
      </c>
      <c r="K7" s="10">
        <v>5710</v>
      </c>
      <c r="L7" s="10">
        <v>88118</v>
      </c>
      <c r="M7" s="10">
        <v>5365</v>
      </c>
      <c r="N7" s="10">
        <v>72126</v>
      </c>
      <c r="O7" s="10">
        <v>6023</v>
      </c>
      <c r="P7" s="10">
        <v>91184</v>
      </c>
      <c r="Q7" s="10">
        <v>4894</v>
      </c>
      <c r="R7" s="10">
        <v>74732</v>
      </c>
      <c r="S7" s="10">
        <v>6323</v>
      </c>
      <c r="T7" s="10">
        <v>96882</v>
      </c>
      <c r="U7" s="10">
        <v>5935</v>
      </c>
      <c r="V7" s="10">
        <v>91352</v>
      </c>
      <c r="W7" s="10">
        <v>5317</v>
      </c>
      <c r="X7" s="10">
        <v>82814</v>
      </c>
      <c r="Y7" s="10">
        <v>7035</v>
      </c>
      <c r="Z7" s="10">
        <v>107706</v>
      </c>
      <c r="AA7" s="10">
        <v>6748</v>
      </c>
      <c r="AB7" s="10">
        <v>103760</v>
      </c>
      <c r="AC7" s="10">
        <v>6983</v>
      </c>
      <c r="AD7" s="10">
        <v>110426</v>
      </c>
      <c r="AE7" s="11">
        <f t="shared" si="0"/>
        <v>72496</v>
      </c>
      <c r="AF7" s="11">
        <f t="shared" si="1"/>
        <v>1103021</v>
      </c>
      <c r="AG7" s="12">
        <v>5679</v>
      </c>
      <c r="AH7" s="12">
        <v>91044</v>
      </c>
      <c r="AI7" s="12">
        <v>59232.719999999994</v>
      </c>
      <c r="AJ7" s="12">
        <v>5524</v>
      </c>
      <c r="AK7" s="12">
        <v>85900</v>
      </c>
      <c r="AL7" s="12">
        <v>56079.760000000009</v>
      </c>
      <c r="AM7" s="12">
        <v>9718.6428571428569</v>
      </c>
      <c r="AN7" s="12">
        <v>150353</v>
      </c>
      <c r="AO7" s="12">
        <v>97036.88</v>
      </c>
      <c r="AP7" s="12">
        <v>5446</v>
      </c>
      <c r="AQ7" s="12">
        <v>86797</v>
      </c>
      <c r="AR7" s="12">
        <v>56531.499999999993</v>
      </c>
      <c r="AS7" s="12">
        <v>6013.25</v>
      </c>
      <c r="AT7" s="12">
        <v>95492</v>
      </c>
      <c r="AU7" s="12">
        <v>61728.5</v>
      </c>
      <c r="AV7" s="12">
        <v>5801</v>
      </c>
      <c r="AW7" s="12">
        <v>91868</v>
      </c>
      <c r="AX7" s="12">
        <v>59636.479999999996</v>
      </c>
      <c r="AY7" s="12">
        <v>5860</v>
      </c>
      <c r="AZ7" s="12">
        <v>92652</v>
      </c>
      <c r="BA7" s="12">
        <v>60025.680000000022</v>
      </c>
      <c r="BB7" s="12">
        <v>6328</v>
      </c>
      <c r="BC7" s="12">
        <v>99700</v>
      </c>
      <c r="BD7" s="12">
        <v>64743.520000000004</v>
      </c>
      <c r="BE7" s="12">
        <v>5447</v>
      </c>
      <c r="BF7" s="13">
        <v>86272</v>
      </c>
      <c r="BG7" s="12">
        <v>56440.240000000005</v>
      </c>
      <c r="BH7" s="12">
        <v>6337</v>
      </c>
      <c r="BI7" s="12">
        <v>99162</v>
      </c>
      <c r="BJ7" s="12">
        <v>65068.319999999992</v>
      </c>
      <c r="BK7" s="12">
        <v>5405</v>
      </c>
      <c r="BL7" s="12">
        <v>84154</v>
      </c>
      <c r="BM7" s="12">
        <v>55391.200000000012</v>
      </c>
      <c r="BN7" s="12">
        <v>6894</v>
      </c>
      <c r="BO7" s="12">
        <v>108108</v>
      </c>
      <c r="BP7" s="12">
        <v>71232.960000000006</v>
      </c>
      <c r="BQ7" s="14">
        <f t="shared" si="2"/>
        <v>74452.892857142855</v>
      </c>
      <c r="BR7" s="14">
        <f t="shared" si="3"/>
        <v>1171502</v>
      </c>
      <c r="BS7" s="14">
        <f t="shared" si="4"/>
        <v>763147.76</v>
      </c>
      <c r="BT7" s="12">
        <v>5545</v>
      </c>
      <c r="BU7" s="9">
        <v>86376</v>
      </c>
      <c r="BV7" s="9">
        <v>58025.280000000006</v>
      </c>
      <c r="BW7" s="9">
        <v>6036</v>
      </c>
      <c r="BX7" s="9">
        <v>95264</v>
      </c>
      <c r="BY7" s="9">
        <v>62258.720000000008</v>
      </c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15">
        <f t="shared" si="5"/>
        <v>11581</v>
      </c>
      <c r="DE7" s="15">
        <f t="shared" si="6"/>
        <v>181640</v>
      </c>
      <c r="DF7" s="15">
        <f t="shared" si="7"/>
        <v>120284.00000000001</v>
      </c>
    </row>
    <row r="8" spans="1:110" x14ac:dyDescent="0.25">
      <c r="A8" s="9">
        <v>5</v>
      </c>
      <c r="B8" s="9" t="s">
        <v>58</v>
      </c>
      <c r="C8" s="9" t="s">
        <v>57</v>
      </c>
      <c r="D8" s="9" t="s">
        <v>54</v>
      </c>
      <c r="E8" s="9" t="s">
        <v>53</v>
      </c>
      <c r="F8" s="16" t="s">
        <v>98</v>
      </c>
      <c r="G8" s="10">
        <v>2190</v>
      </c>
      <c r="H8" s="10">
        <v>36320</v>
      </c>
      <c r="I8" s="10">
        <v>1835</v>
      </c>
      <c r="J8" s="10">
        <v>30600</v>
      </c>
      <c r="K8" s="10">
        <v>1680</v>
      </c>
      <c r="L8" s="10">
        <v>27970</v>
      </c>
      <c r="M8" s="10">
        <v>1220</v>
      </c>
      <c r="N8" s="10">
        <v>21340</v>
      </c>
      <c r="O8" s="10">
        <v>1935</v>
      </c>
      <c r="P8" s="10">
        <v>32790</v>
      </c>
      <c r="Q8" s="10">
        <v>1670</v>
      </c>
      <c r="R8" s="10">
        <v>27630</v>
      </c>
      <c r="S8" s="10">
        <v>1850</v>
      </c>
      <c r="T8" s="10">
        <v>31070</v>
      </c>
      <c r="U8" s="10">
        <v>1745</v>
      </c>
      <c r="V8" s="10">
        <v>28830</v>
      </c>
      <c r="W8" s="10">
        <v>1530</v>
      </c>
      <c r="X8" s="10">
        <v>26620</v>
      </c>
      <c r="Y8" s="10">
        <v>2110</v>
      </c>
      <c r="Z8" s="10">
        <v>34710</v>
      </c>
      <c r="AA8" s="10">
        <v>1680</v>
      </c>
      <c r="AB8" s="10">
        <v>28690</v>
      </c>
      <c r="AC8" s="10">
        <v>2085</v>
      </c>
      <c r="AD8" s="10">
        <v>33990</v>
      </c>
      <c r="AE8" s="11">
        <f t="shared" si="0"/>
        <v>21530</v>
      </c>
      <c r="AF8" s="11">
        <f t="shared" si="1"/>
        <v>360560</v>
      </c>
      <c r="AG8" s="12">
        <v>2081</v>
      </c>
      <c r="AH8" s="12">
        <v>35334</v>
      </c>
      <c r="AI8" s="12">
        <v>22613.760000000002</v>
      </c>
      <c r="AJ8" s="12">
        <v>1760</v>
      </c>
      <c r="AK8" s="12">
        <v>29590</v>
      </c>
      <c r="AL8" s="12">
        <v>18937.600000000002</v>
      </c>
      <c r="AM8" s="12">
        <v>2085</v>
      </c>
      <c r="AN8" s="12">
        <v>35120</v>
      </c>
      <c r="AO8" s="12">
        <v>22754</v>
      </c>
      <c r="AP8" s="12">
        <v>1620</v>
      </c>
      <c r="AQ8" s="12">
        <v>27840</v>
      </c>
      <c r="AR8" s="12">
        <v>17904</v>
      </c>
      <c r="AS8" s="12">
        <v>1309</v>
      </c>
      <c r="AT8" s="12">
        <v>22476</v>
      </c>
      <c r="AU8" s="12">
        <v>14492.64</v>
      </c>
      <c r="AV8" s="12">
        <v>2830</v>
      </c>
      <c r="AW8" s="12">
        <v>46070</v>
      </c>
      <c r="AX8" s="12">
        <v>30024.799999999999</v>
      </c>
      <c r="AY8" s="12">
        <v>880</v>
      </c>
      <c r="AZ8" s="12">
        <v>15060</v>
      </c>
      <c r="BA8" s="12">
        <v>9656.4</v>
      </c>
      <c r="BB8" s="12">
        <v>1515</v>
      </c>
      <c r="BC8" s="12">
        <v>26220</v>
      </c>
      <c r="BD8" s="12">
        <v>16795.2</v>
      </c>
      <c r="BE8" s="12">
        <v>1320</v>
      </c>
      <c r="BF8" s="13">
        <v>22680</v>
      </c>
      <c r="BG8" s="12">
        <v>14515.2</v>
      </c>
      <c r="BH8" s="12">
        <v>1704</v>
      </c>
      <c r="BI8" s="12">
        <v>28436</v>
      </c>
      <c r="BJ8" s="12">
        <v>18458.240000000002</v>
      </c>
      <c r="BK8" s="12">
        <v>1800</v>
      </c>
      <c r="BL8" s="12">
        <v>29370</v>
      </c>
      <c r="BM8" s="12">
        <v>18807.600000000002</v>
      </c>
      <c r="BN8" s="12">
        <v>1900</v>
      </c>
      <c r="BO8" s="12">
        <v>31750</v>
      </c>
      <c r="BP8" s="12">
        <v>20535.999999999996</v>
      </c>
      <c r="BQ8" s="14">
        <f t="shared" si="2"/>
        <v>20804</v>
      </c>
      <c r="BR8" s="14">
        <f t="shared" si="3"/>
        <v>349946</v>
      </c>
      <c r="BS8" s="14">
        <f t="shared" si="4"/>
        <v>225495.44000000003</v>
      </c>
      <c r="BT8" s="12">
        <v>1895</v>
      </c>
      <c r="BU8" s="9">
        <v>30990</v>
      </c>
      <c r="BV8" s="9">
        <v>20280</v>
      </c>
      <c r="BW8" s="9">
        <v>1665</v>
      </c>
      <c r="BX8" s="9">
        <v>27540</v>
      </c>
      <c r="BY8" s="9">
        <v>17884.8</v>
      </c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15">
        <f t="shared" si="5"/>
        <v>3560</v>
      </c>
      <c r="DE8" s="15">
        <f t="shared" si="6"/>
        <v>58530</v>
      </c>
      <c r="DF8" s="15">
        <f t="shared" si="7"/>
        <v>38164.800000000003</v>
      </c>
    </row>
    <row r="9" spans="1:110" x14ac:dyDescent="0.25">
      <c r="A9" s="9">
        <v>6</v>
      </c>
      <c r="B9" s="9" t="s">
        <v>56</v>
      </c>
      <c r="C9" s="9" t="s">
        <v>55</v>
      </c>
      <c r="D9" s="9" t="s">
        <v>54</v>
      </c>
      <c r="E9" s="9" t="s">
        <v>53</v>
      </c>
      <c r="F9" s="16" t="s">
        <v>98</v>
      </c>
      <c r="G9" s="10">
        <v>2195</v>
      </c>
      <c r="H9" s="10">
        <v>33730</v>
      </c>
      <c r="I9" s="10">
        <v>2065</v>
      </c>
      <c r="J9" s="10">
        <v>34150</v>
      </c>
      <c r="K9" s="10">
        <v>1725</v>
      </c>
      <c r="L9" s="10">
        <v>28650</v>
      </c>
      <c r="M9" s="10">
        <v>1340</v>
      </c>
      <c r="N9" s="10">
        <v>22500</v>
      </c>
      <c r="O9" s="10">
        <v>2230</v>
      </c>
      <c r="P9" s="10">
        <v>37610</v>
      </c>
      <c r="Q9" s="10">
        <v>2305</v>
      </c>
      <c r="R9" s="10">
        <v>37710</v>
      </c>
      <c r="S9" s="10">
        <v>1291</v>
      </c>
      <c r="T9" s="10">
        <v>20784</v>
      </c>
      <c r="U9" s="10">
        <v>2127</v>
      </c>
      <c r="V9" s="10">
        <v>34938</v>
      </c>
      <c r="W9" s="10">
        <v>1646</v>
      </c>
      <c r="X9" s="10">
        <v>27484</v>
      </c>
      <c r="Y9" s="10">
        <v>1615</v>
      </c>
      <c r="Z9" s="10">
        <v>26810</v>
      </c>
      <c r="AA9" s="10">
        <v>2040</v>
      </c>
      <c r="AB9" s="10">
        <v>32860</v>
      </c>
      <c r="AC9" s="10">
        <v>2000</v>
      </c>
      <c r="AD9" s="10">
        <v>32200</v>
      </c>
      <c r="AE9" s="11">
        <f t="shared" si="0"/>
        <v>22579</v>
      </c>
      <c r="AF9" s="11">
        <f t="shared" si="1"/>
        <v>369426</v>
      </c>
      <c r="AG9" s="12">
        <v>1590</v>
      </c>
      <c r="AH9" s="12">
        <v>26100</v>
      </c>
      <c r="AI9" s="12">
        <v>16725.599999999999</v>
      </c>
      <c r="AJ9" s="12">
        <v>2015</v>
      </c>
      <c r="AK9" s="12">
        <v>33510</v>
      </c>
      <c r="AL9" s="12">
        <v>21446.400000000001</v>
      </c>
      <c r="AM9" s="12">
        <v>1905</v>
      </c>
      <c r="AN9" s="12">
        <v>32040</v>
      </c>
      <c r="AO9" s="12">
        <v>20570.400000000001</v>
      </c>
      <c r="AP9" s="12">
        <v>2120</v>
      </c>
      <c r="AQ9" s="12">
        <v>34440</v>
      </c>
      <c r="AR9" s="12">
        <v>22128</v>
      </c>
      <c r="AS9" s="12">
        <v>1100</v>
      </c>
      <c r="AT9" s="12">
        <v>18700</v>
      </c>
      <c r="AU9" s="12">
        <v>11968</v>
      </c>
      <c r="AV9" s="12">
        <v>1315</v>
      </c>
      <c r="AW9" s="12">
        <v>20900</v>
      </c>
      <c r="AX9" s="12">
        <v>13505.6</v>
      </c>
      <c r="AY9" s="12">
        <v>1435</v>
      </c>
      <c r="AZ9" s="12">
        <v>24620</v>
      </c>
      <c r="BA9" s="12">
        <v>15836.000000000002</v>
      </c>
      <c r="BB9" s="12">
        <v>1250</v>
      </c>
      <c r="BC9" s="12">
        <v>21200</v>
      </c>
      <c r="BD9" s="12">
        <v>13568</v>
      </c>
      <c r="BE9" s="12">
        <v>1450</v>
      </c>
      <c r="BF9" s="13">
        <v>24340</v>
      </c>
      <c r="BG9" s="12">
        <v>15995.199999999999</v>
      </c>
      <c r="BH9" s="12">
        <v>1145</v>
      </c>
      <c r="BI9" s="12">
        <v>19530</v>
      </c>
      <c r="BJ9" s="12">
        <v>12499.199999999999</v>
      </c>
      <c r="BK9" s="12">
        <v>1910</v>
      </c>
      <c r="BL9" s="12">
        <v>31340</v>
      </c>
      <c r="BM9" s="12">
        <v>20057.599999999999</v>
      </c>
      <c r="BN9" s="12">
        <v>1080</v>
      </c>
      <c r="BO9" s="12">
        <v>17820</v>
      </c>
      <c r="BP9" s="12">
        <v>11404.8</v>
      </c>
      <c r="BQ9" s="14">
        <f t="shared" si="2"/>
        <v>18315</v>
      </c>
      <c r="BR9" s="14">
        <f t="shared" si="3"/>
        <v>304540</v>
      </c>
      <c r="BS9" s="14">
        <f t="shared" si="4"/>
        <v>195704.80000000002</v>
      </c>
      <c r="BT9" s="12">
        <v>1670</v>
      </c>
      <c r="BU9" s="9">
        <v>27080</v>
      </c>
      <c r="BV9" s="9">
        <v>17331.199999999997</v>
      </c>
      <c r="BW9" s="9">
        <v>2140</v>
      </c>
      <c r="BX9" s="9">
        <v>34160</v>
      </c>
      <c r="BY9" s="9">
        <v>22078.400000000001</v>
      </c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15">
        <f t="shared" si="5"/>
        <v>3810</v>
      </c>
      <c r="DE9" s="15">
        <f t="shared" si="6"/>
        <v>61240</v>
      </c>
      <c r="DF9" s="15">
        <f t="shared" si="7"/>
        <v>39409.599999999999</v>
      </c>
    </row>
    <row r="10" spans="1:110" x14ac:dyDescent="0.25">
      <c r="A10" s="9">
        <v>7</v>
      </c>
      <c r="B10" s="9" t="s">
        <v>50</v>
      </c>
      <c r="C10" s="9" t="s">
        <v>105</v>
      </c>
      <c r="D10" s="9" t="s">
        <v>49</v>
      </c>
      <c r="E10" s="9" t="s">
        <v>48</v>
      </c>
      <c r="F10" s="16" t="s">
        <v>98</v>
      </c>
      <c r="G10" s="10">
        <v>930</v>
      </c>
      <c r="H10" s="10">
        <v>13320</v>
      </c>
      <c r="I10" s="10">
        <v>400</v>
      </c>
      <c r="J10" s="10">
        <v>5600</v>
      </c>
      <c r="K10" s="10">
        <v>730</v>
      </c>
      <c r="L10" s="10">
        <v>10520</v>
      </c>
      <c r="M10" s="10">
        <v>730</v>
      </c>
      <c r="N10" s="10">
        <v>10520</v>
      </c>
      <c r="O10" s="10">
        <v>700</v>
      </c>
      <c r="P10" s="10">
        <v>9800</v>
      </c>
      <c r="Q10" s="10">
        <v>750</v>
      </c>
      <c r="R10" s="10">
        <v>10900</v>
      </c>
      <c r="S10" s="10">
        <v>960</v>
      </c>
      <c r="T10" s="10">
        <v>13840</v>
      </c>
      <c r="U10" s="10">
        <v>775</v>
      </c>
      <c r="V10" s="10">
        <v>11100</v>
      </c>
      <c r="W10" s="10">
        <v>230</v>
      </c>
      <c r="X10" s="10">
        <v>3520</v>
      </c>
      <c r="Y10" s="10">
        <v>1024</v>
      </c>
      <c r="Z10" s="10">
        <v>15436</v>
      </c>
      <c r="AA10" s="10">
        <v>700</v>
      </c>
      <c r="AB10" s="10">
        <v>10300</v>
      </c>
      <c r="AC10" s="10">
        <v>700</v>
      </c>
      <c r="AD10" s="10">
        <v>10800</v>
      </c>
      <c r="AE10" s="11">
        <f t="shared" si="0"/>
        <v>8629</v>
      </c>
      <c r="AF10" s="11">
        <f t="shared" si="1"/>
        <v>125656</v>
      </c>
      <c r="AG10" s="12">
        <v>850</v>
      </c>
      <c r="AH10" s="12">
        <v>12400</v>
      </c>
      <c r="AI10" s="12">
        <v>7888</v>
      </c>
      <c r="AJ10" s="12">
        <v>700</v>
      </c>
      <c r="AK10" s="12">
        <v>10800</v>
      </c>
      <c r="AL10" s="12">
        <v>6816</v>
      </c>
      <c r="AM10" s="12">
        <v>1000</v>
      </c>
      <c r="AN10" s="12">
        <v>16000</v>
      </c>
      <c r="AO10" s="12">
        <v>11968</v>
      </c>
      <c r="AP10" s="12">
        <v>450</v>
      </c>
      <c r="AQ10" s="12">
        <v>6800</v>
      </c>
      <c r="AR10" s="12">
        <v>4304</v>
      </c>
      <c r="AS10" s="12">
        <v>550</v>
      </c>
      <c r="AT10" s="12">
        <v>9200</v>
      </c>
      <c r="AU10" s="12">
        <v>5744</v>
      </c>
      <c r="AV10" s="12">
        <v>350</v>
      </c>
      <c r="AW10" s="12">
        <v>5400</v>
      </c>
      <c r="AX10" s="12">
        <v>3408</v>
      </c>
      <c r="AY10" s="12">
        <v>800</v>
      </c>
      <c r="AZ10" s="12">
        <v>12700</v>
      </c>
      <c r="BA10" s="12">
        <v>7984</v>
      </c>
      <c r="BB10" s="12">
        <v>470</v>
      </c>
      <c r="BC10" s="12">
        <v>6780</v>
      </c>
      <c r="BD10" s="12">
        <v>4334.3999999999996</v>
      </c>
      <c r="BE10" s="12">
        <v>800</v>
      </c>
      <c r="BF10" s="13">
        <v>12700</v>
      </c>
      <c r="BG10" s="12">
        <v>7984</v>
      </c>
      <c r="BH10" s="12">
        <v>800</v>
      </c>
      <c r="BI10" s="12">
        <v>12900</v>
      </c>
      <c r="BJ10" s="12">
        <v>8121.6</v>
      </c>
      <c r="BK10" s="12">
        <v>550</v>
      </c>
      <c r="BL10" s="12">
        <v>8200</v>
      </c>
      <c r="BM10" s="12">
        <v>5200</v>
      </c>
      <c r="BN10" s="12">
        <v>750</v>
      </c>
      <c r="BO10" s="12">
        <v>11000</v>
      </c>
      <c r="BP10" s="12">
        <v>6992</v>
      </c>
      <c r="BQ10" s="14">
        <f t="shared" si="2"/>
        <v>8070</v>
      </c>
      <c r="BR10" s="14">
        <f t="shared" si="3"/>
        <v>124880</v>
      </c>
      <c r="BS10" s="14">
        <f t="shared" si="4"/>
        <v>80744</v>
      </c>
      <c r="BT10" s="12">
        <v>700</v>
      </c>
      <c r="BU10" s="9">
        <v>10800</v>
      </c>
      <c r="BV10" s="9">
        <v>6816</v>
      </c>
      <c r="BW10" s="9">
        <v>600</v>
      </c>
      <c r="BX10" s="9">
        <v>8400</v>
      </c>
      <c r="BY10" s="9">
        <v>5376</v>
      </c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15">
        <f t="shared" si="5"/>
        <v>1300</v>
      </c>
      <c r="DE10" s="15">
        <f t="shared" si="6"/>
        <v>19200</v>
      </c>
      <c r="DF10" s="15">
        <f t="shared" si="7"/>
        <v>12192</v>
      </c>
    </row>
    <row r="11" spans="1:110" x14ac:dyDescent="0.25">
      <c r="A11" s="9">
        <v>8</v>
      </c>
      <c r="B11" s="9" t="s">
        <v>47</v>
      </c>
      <c r="C11" s="9" t="s">
        <v>46</v>
      </c>
      <c r="D11" s="9" t="s">
        <v>45</v>
      </c>
      <c r="E11" s="9" t="s">
        <v>44</v>
      </c>
      <c r="F11" s="16" t="s">
        <v>98</v>
      </c>
      <c r="G11" s="10">
        <v>10135</v>
      </c>
      <c r="H11" s="10">
        <v>144090</v>
      </c>
      <c r="I11" s="10">
        <v>4020</v>
      </c>
      <c r="J11" s="10">
        <v>58580</v>
      </c>
      <c r="K11" s="10">
        <v>2940</v>
      </c>
      <c r="L11" s="10">
        <v>43560</v>
      </c>
      <c r="M11" s="10">
        <v>3315</v>
      </c>
      <c r="N11" s="10">
        <v>49110</v>
      </c>
      <c r="O11" s="10">
        <v>5095</v>
      </c>
      <c r="P11" s="10">
        <v>74930</v>
      </c>
      <c r="Q11" s="10">
        <v>4712</v>
      </c>
      <c r="R11" s="10">
        <v>68226</v>
      </c>
      <c r="S11" s="10">
        <v>4261</v>
      </c>
      <c r="T11" s="10">
        <v>62212</v>
      </c>
      <c r="U11" s="10">
        <v>4865</v>
      </c>
      <c r="V11" s="10">
        <v>70410</v>
      </c>
      <c r="W11" s="10">
        <v>6505</v>
      </c>
      <c r="X11" s="10">
        <v>93370</v>
      </c>
      <c r="Y11" s="10">
        <v>4340</v>
      </c>
      <c r="Z11" s="10">
        <v>63810</v>
      </c>
      <c r="AA11" s="10">
        <v>5230</v>
      </c>
      <c r="AB11" s="10">
        <v>91520</v>
      </c>
      <c r="AC11" s="10">
        <v>5835</v>
      </c>
      <c r="AD11" s="10">
        <v>85990</v>
      </c>
      <c r="AE11" s="11">
        <f t="shared" si="0"/>
        <v>61253</v>
      </c>
      <c r="AF11" s="11">
        <f t="shared" si="1"/>
        <v>905808</v>
      </c>
      <c r="AG11" s="12">
        <v>5550</v>
      </c>
      <c r="AH11" s="12">
        <v>81900</v>
      </c>
      <c r="AI11" s="12">
        <v>52488.000000000007</v>
      </c>
      <c r="AJ11" s="12">
        <v>5550</v>
      </c>
      <c r="AK11" s="12">
        <v>80910</v>
      </c>
      <c r="AL11" s="12">
        <v>51892.800000000003</v>
      </c>
      <c r="AM11" s="12">
        <v>5550</v>
      </c>
      <c r="AN11" s="12">
        <v>85100</v>
      </c>
      <c r="AO11" s="12">
        <v>57300.800000000003</v>
      </c>
      <c r="AP11" s="12">
        <v>4305</v>
      </c>
      <c r="AQ11" s="12">
        <v>63220</v>
      </c>
      <c r="AR11" s="12">
        <v>40928.800000000003</v>
      </c>
      <c r="AS11" s="12">
        <v>6520</v>
      </c>
      <c r="AT11" s="12">
        <v>95580</v>
      </c>
      <c r="AU11" s="12">
        <v>61207.200000000012</v>
      </c>
      <c r="AV11" s="12">
        <v>5825</v>
      </c>
      <c r="AW11" s="12">
        <v>87000</v>
      </c>
      <c r="AX11" s="12">
        <v>55824.000000000007</v>
      </c>
      <c r="AY11" s="12">
        <v>4150</v>
      </c>
      <c r="AZ11" s="12">
        <v>61500</v>
      </c>
      <c r="BA11" s="12">
        <v>39395.999999999993</v>
      </c>
      <c r="BB11" s="12">
        <v>5395</v>
      </c>
      <c r="BC11" s="12">
        <v>78630</v>
      </c>
      <c r="BD11" s="12">
        <v>50395.199999999997</v>
      </c>
      <c r="BE11" s="12">
        <v>4715</v>
      </c>
      <c r="BF11" s="13">
        <v>69310</v>
      </c>
      <c r="BG11" s="12">
        <v>44358.400000000009</v>
      </c>
      <c r="BH11" s="12">
        <v>6470</v>
      </c>
      <c r="BI11" s="12">
        <v>94780</v>
      </c>
      <c r="BJ11" s="12">
        <v>60731.200000000004</v>
      </c>
      <c r="BK11" s="12">
        <v>6715</v>
      </c>
      <c r="BL11" s="12">
        <v>98860</v>
      </c>
      <c r="BM11" s="12">
        <v>63306.400000000001</v>
      </c>
      <c r="BN11" s="12">
        <v>6600</v>
      </c>
      <c r="BO11" s="12">
        <v>99440</v>
      </c>
      <c r="BP11" s="12">
        <v>63699.199999999997</v>
      </c>
      <c r="BQ11" s="14">
        <f t="shared" si="2"/>
        <v>67345</v>
      </c>
      <c r="BR11" s="14">
        <f t="shared" si="3"/>
        <v>996230</v>
      </c>
      <c r="BS11" s="14">
        <f t="shared" si="4"/>
        <v>641528</v>
      </c>
      <c r="BT11" s="12">
        <v>5550</v>
      </c>
      <c r="BU11" s="9">
        <v>83900</v>
      </c>
      <c r="BV11" s="9">
        <v>53732</v>
      </c>
      <c r="BW11" s="9">
        <v>4605</v>
      </c>
      <c r="BX11" s="9">
        <v>69770</v>
      </c>
      <c r="BY11" s="9">
        <v>44688.800000000003</v>
      </c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15">
        <f t="shared" si="5"/>
        <v>10155</v>
      </c>
      <c r="DE11" s="15">
        <f t="shared" si="6"/>
        <v>153670</v>
      </c>
      <c r="DF11" s="15">
        <f t="shared" si="7"/>
        <v>98420.800000000003</v>
      </c>
    </row>
    <row r="12" spans="1:110" x14ac:dyDescent="0.25">
      <c r="A12" s="9">
        <v>9</v>
      </c>
      <c r="B12" s="9" t="s">
        <v>43</v>
      </c>
      <c r="C12" s="9" t="s">
        <v>42</v>
      </c>
      <c r="D12" s="9" t="s">
        <v>32</v>
      </c>
      <c r="E12" s="9" t="s">
        <v>31</v>
      </c>
      <c r="F12" s="16" t="s">
        <v>98</v>
      </c>
      <c r="G12" s="10">
        <v>1900</v>
      </c>
      <c r="H12" s="10">
        <v>26500</v>
      </c>
      <c r="I12" s="10">
        <v>1320</v>
      </c>
      <c r="J12" s="10">
        <v>18670</v>
      </c>
      <c r="K12" s="10">
        <v>1405</v>
      </c>
      <c r="L12" s="10">
        <v>19570</v>
      </c>
      <c r="M12" s="10">
        <v>1325</v>
      </c>
      <c r="N12" s="10">
        <v>18550</v>
      </c>
      <c r="O12" s="10">
        <v>1899</v>
      </c>
      <c r="P12" s="10">
        <v>28474</v>
      </c>
      <c r="Q12" s="10">
        <v>2200</v>
      </c>
      <c r="R12" s="10">
        <v>30760</v>
      </c>
      <c r="S12" s="10">
        <v>1920</v>
      </c>
      <c r="T12" s="10">
        <v>28700</v>
      </c>
      <c r="U12" s="10">
        <v>1905</v>
      </c>
      <c r="V12" s="10">
        <v>28150</v>
      </c>
      <c r="W12" s="10">
        <v>2425</v>
      </c>
      <c r="X12" s="10">
        <v>35860</v>
      </c>
      <c r="Y12" s="10">
        <v>2490</v>
      </c>
      <c r="Z12" s="10">
        <v>36740</v>
      </c>
      <c r="AA12" s="10">
        <v>2900</v>
      </c>
      <c r="AB12" s="10">
        <v>43640</v>
      </c>
      <c r="AC12" s="10">
        <v>2758</v>
      </c>
      <c r="AD12" s="10">
        <v>41692</v>
      </c>
      <c r="AE12" s="11">
        <f t="shared" si="0"/>
        <v>24447</v>
      </c>
      <c r="AF12" s="11">
        <f t="shared" si="1"/>
        <v>357306</v>
      </c>
      <c r="AG12" s="12">
        <v>2720</v>
      </c>
      <c r="AH12" s="12">
        <v>42860</v>
      </c>
      <c r="AI12" s="12">
        <v>27137.599999999999</v>
      </c>
      <c r="AJ12" s="12">
        <v>2080</v>
      </c>
      <c r="AK12" s="12">
        <v>31420</v>
      </c>
      <c r="AL12" s="12">
        <v>19916.8</v>
      </c>
      <c r="AM12" s="12">
        <v>2548</v>
      </c>
      <c r="AN12" s="12">
        <v>38072</v>
      </c>
      <c r="AO12" s="12">
        <v>24246.080000000002</v>
      </c>
      <c r="AP12" s="12">
        <v>2760</v>
      </c>
      <c r="AQ12" s="12">
        <v>42680</v>
      </c>
      <c r="AR12" s="12">
        <v>27108.799999999999</v>
      </c>
      <c r="AS12" s="12">
        <v>2703</v>
      </c>
      <c r="AT12" s="12">
        <v>40712</v>
      </c>
      <c r="AU12" s="12">
        <v>26277.200000000001</v>
      </c>
      <c r="AV12" s="12">
        <v>2982</v>
      </c>
      <c r="AW12" s="12">
        <v>45668</v>
      </c>
      <c r="AX12" s="12">
        <v>29085.200000000001</v>
      </c>
      <c r="AY12" s="12">
        <v>2720</v>
      </c>
      <c r="AZ12" s="12">
        <v>40890</v>
      </c>
      <c r="BA12" s="12">
        <v>26629.199999999997</v>
      </c>
      <c r="BB12" s="12">
        <v>2949</v>
      </c>
      <c r="BC12" s="12">
        <v>44396</v>
      </c>
      <c r="BD12" s="12">
        <v>28811.840000000004</v>
      </c>
      <c r="BE12" s="12">
        <v>3354</v>
      </c>
      <c r="BF12" s="13">
        <v>50696</v>
      </c>
      <c r="BG12" s="12">
        <v>32971.040000000001</v>
      </c>
      <c r="BH12" s="12">
        <v>3205</v>
      </c>
      <c r="BI12" s="12">
        <v>47960</v>
      </c>
      <c r="BJ12" s="12">
        <v>31518.800000000003</v>
      </c>
      <c r="BK12" s="12">
        <v>3345</v>
      </c>
      <c r="BL12" s="12">
        <v>50810</v>
      </c>
      <c r="BM12" s="12">
        <v>33755.599999999999</v>
      </c>
      <c r="BN12" s="12">
        <v>3725</v>
      </c>
      <c r="BO12" s="12">
        <v>57280</v>
      </c>
      <c r="BP12" s="12">
        <v>37017.999999999993</v>
      </c>
      <c r="BQ12" s="14">
        <f t="shared" si="2"/>
        <v>35091</v>
      </c>
      <c r="BR12" s="14">
        <f t="shared" si="3"/>
        <v>533444</v>
      </c>
      <c r="BS12" s="14">
        <f t="shared" si="4"/>
        <v>344476.15999999997</v>
      </c>
      <c r="BT12" s="12">
        <v>3105</v>
      </c>
      <c r="BU12" s="9">
        <v>45700</v>
      </c>
      <c r="BV12" s="9">
        <v>29945.199999999997</v>
      </c>
      <c r="BW12" s="9">
        <v>2380</v>
      </c>
      <c r="BX12" s="9">
        <v>36340</v>
      </c>
      <c r="BY12" s="9">
        <v>24061.599999999999</v>
      </c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15">
        <f t="shared" si="5"/>
        <v>5485</v>
      </c>
      <c r="DE12" s="15">
        <f t="shared" si="6"/>
        <v>82040</v>
      </c>
      <c r="DF12" s="15">
        <f t="shared" si="7"/>
        <v>54006.799999999996</v>
      </c>
    </row>
    <row r="13" spans="1:110" x14ac:dyDescent="0.25">
      <c r="A13" s="9">
        <v>10</v>
      </c>
      <c r="B13" s="9" t="s">
        <v>41</v>
      </c>
      <c r="C13" s="9" t="s">
        <v>40</v>
      </c>
      <c r="D13" s="9" t="s">
        <v>32</v>
      </c>
      <c r="E13" s="9" t="s">
        <v>31</v>
      </c>
      <c r="F13" s="16" t="s">
        <v>98</v>
      </c>
      <c r="G13" s="10">
        <v>920</v>
      </c>
      <c r="H13" s="10">
        <v>12680</v>
      </c>
      <c r="I13" s="10">
        <v>1180</v>
      </c>
      <c r="J13" s="10">
        <v>16820</v>
      </c>
      <c r="K13" s="10">
        <v>1600</v>
      </c>
      <c r="L13" s="10">
        <v>22400</v>
      </c>
      <c r="M13" s="10">
        <v>1400</v>
      </c>
      <c r="N13" s="10">
        <v>19300</v>
      </c>
      <c r="O13" s="10">
        <v>1850</v>
      </c>
      <c r="P13" s="10">
        <v>26900</v>
      </c>
      <c r="Q13" s="10">
        <v>1830</v>
      </c>
      <c r="R13" s="10">
        <v>25720</v>
      </c>
      <c r="S13" s="10">
        <v>1630</v>
      </c>
      <c r="T13" s="10">
        <v>22460</v>
      </c>
      <c r="U13" s="10">
        <v>1940</v>
      </c>
      <c r="V13" s="10">
        <v>27060</v>
      </c>
      <c r="W13" s="10">
        <v>770</v>
      </c>
      <c r="X13" s="10">
        <v>11380</v>
      </c>
      <c r="Y13" s="10">
        <v>2013</v>
      </c>
      <c r="Z13" s="10">
        <v>27718</v>
      </c>
      <c r="AA13" s="10">
        <v>1269</v>
      </c>
      <c r="AB13" s="10">
        <v>19478</v>
      </c>
      <c r="AC13" s="10">
        <v>2030</v>
      </c>
      <c r="AD13" s="10">
        <v>27420</v>
      </c>
      <c r="AE13" s="11">
        <f t="shared" si="0"/>
        <v>18432</v>
      </c>
      <c r="AF13" s="11">
        <f t="shared" si="1"/>
        <v>259336</v>
      </c>
      <c r="AG13" s="12">
        <v>1861</v>
      </c>
      <c r="AH13" s="12">
        <v>27924</v>
      </c>
      <c r="AI13" s="12">
        <v>18806.400000000001</v>
      </c>
      <c r="AJ13" s="12">
        <v>1730</v>
      </c>
      <c r="AK13" s="12">
        <v>24520</v>
      </c>
      <c r="AL13" s="12">
        <v>15692.8</v>
      </c>
      <c r="AM13" s="12">
        <v>1215</v>
      </c>
      <c r="AN13" s="12">
        <v>17560</v>
      </c>
      <c r="AO13" s="12">
        <v>13398.4</v>
      </c>
      <c r="AP13" s="12">
        <v>1500</v>
      </c>
      <c r="AQ13" s="12">
        <v>23000</v>
      </c>
      <c r="AR13" s="12">
        <v>15176</v>
      </c>
      <c r="AS13" s="12">
        <v>2650</v>
      </c>
      <c r="AT13" s="12">
        <v>38800</v>
      </c>
      <c r="AU13" s="12">
        <v>26320</v>
      </c>
      <c r="AV13" s="12">
        <v>2238.5</v>
      </c>
      <c r="AW13" s="12">
        <v>33512</v>
      </c>
      <c r="AX13" s="12">
        <v>22238.6</v>
      </c>
      <c r="AY13" s="12">
        <v>1400</v>
      </c>
      <c r="AZ13" s="12">
        <v>19900</v>
      </c>
      <c r="BA13" s="12">
        <v>14152</v>
      </c>
      <c r="BB13" s="12">
        <v>2160</v>
      </c>
      <c r="BC13" s="12">
        <v>33840</v>
      </c>
      <c r="BD13" s="12">
        <v>22353.599999999999</v>
      </c>
      <c r="BE13" s="12">
        <v>2515</v>
      </c>
      <c r="BF13" s="13">
        <v>33360</v>
      </c>
      <c r="BG13" s="12">
        <v>25670.400000000001</v>
      </c>
      <c r="BH13" s="12">
        <v>1765</v>
      </c>
      <c r="BI13" s="12">
        <v>28760</v>
      </c>
      <c r="BJ13" s="12">
        <v>18238.400000000001</v>
      </c>
      <c r="BK13" s="12">
        <v>3915</v>
      </c>
      <c r="BL13" s="12">
        <v>60560</v>
      </c>
      <c r="BM13" s="12">
        <v>39046.400000000001</v>
      </c>
      <c r="BN13" s="12">
        <v>2060</v>
      </c>
      <c r="BO13" s="12">
        <v>34440</v>
      </c>
      <c r="BP13" s="12">
        <v>23625.599999999999</v>
      </c>
      <c r="BQ13" s="14">
        <f t="shared" si="2"/>
        <v>25009.5</v>
      </c>
      <c r="BR13" s="14">
        <f t="shared" si="3"/>
        <v>376176</v>
      </c>
      <c r="BS13" s="14">
        <f t="shared" si="4"/>
        <v>254718.6</v>
      </c>
      <c r="BT13" s="12">
        <v>880</v>
      </c>
      <c r="BU13" s="9">
        <v>12620</v>
      </c>
      <c r="BV13" s="9">
        <v>8076.8</v>
      </c>
      <c r="BW13" s="9">
        <v>510</v>
      </c>
      <c r="BX13" s="9">
        <v>7740</v>
      </c>
      <c r="BY13" s="9">
        <v>4953.6000000000004</v>
      </c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15">
        <f t="shared" si="5"/>
        <v>1390</v>
      </c>
      <c r="DE13" s="15">
        <f t="shared" si="6"/>
        <v>20360</v>
      </c>
      <c r="DF13" s="15">
        <f t="shared" si="7"/>
        <v>13030.400000000001</v>
      </c>
    </row>
    <row r="14" spans="1:110" x14ac:dyDescent="0.25">
      <c r="A14" s="9">
        <v>11</v>
      </c>
      <c r="B14" s="9" t="s">
        <v>37</v>
      </c>
      <c r="C14" s="9" t="s">
        <v>36</v>
      </c>
      <c r="D14" s="9" t="s">
        <v>32</v>
      </c>
      <c r="E14" s="9" t="s">
        <v>31</v>
      </c>
      <c r="F14" s="16" t="s">
        <v>98</v>
      </c>
      <c r="G14" s="10">
        <v>1470</v>
      </c>
      <c r="H14" s="10">
        <v>21680</v>
      </c>
      <c r="I14" s="10">
        <v>610</v>
      </c>
      <c r="J14" s="10">
        <v>9660</v>
      </c>
      <c r="K14" s="10">
        <v>700</v>
      </c>
      <c r="L14" s="10">
        <v>9800</v>
      </c>
      <c r="M14" s="10">
        <v>1450</v>
      </c>
      <c r="N14" s="10">
        <v>20200</v>
      </c>
      <c r="O14" s="10">
        <v>742</v>
      </c>
      <c r="P14" s="10">
        <v>14216</v>
      </c>
      <c r="Q14" s="10">
        <v>1540</v>
      </c>
      <c r="R14" s="10">
        <v>22060</v>
      </c>
      <c r="S14" s="10">
        <v>1010</v>
      </c>
      <c r="T14" s="10">
        <v>16740</v>
      </c>
      <c r="U14" s="10">
        <v>1098</v>
      </c>
      <c r="V14" s="10">
        <v>17980</v>
      </c>
      <c r="W14" s="10">
        <v>960</v>
      </c>
      <c r="X14" s="10">
        <v>16050</v>
      </c>
      <c r="Y14" s="10">
        <v>1820</v>
      </c>
      <c r="Z14" s="10">
        <v>30672</v>
      </c>
      <c r="AA14" s="10">
        <v>1084</v>
      </c>
      <c r="AB14" s="10">
        <v>15542</v>
      </c>
      <c r="AC14" s="10">
        <v>1423</v>
      </c>
      <c r="AD14" s="10">
        <v>22122</v>
      </c>
      <c r="AE14" s="11">
        <f t="shared" si="0"/>
        <v>13907</v>
      </c>
      <c r="AF14" s="11">
        <f t="shared" si="1"/>
        <v>216722</v>
      </c>
      <c r="AG14" s="12">
        <v>1225</v>
      </c>
      <c r="AH14" s="12">
        <v>17820</v>
      </c>
      <c r="AI14" s="12">
        <v>11811.6</v>
      </c>
      <c r="AJ14" s="12">
        <v>990</v>
      </c>
      <c r="AK14" s="12">
        <v>17260</v>
      </c>
      <c r="AL14" s="12">
        <v>10806.400000000001</v>
      </c>
      <c r="AM14" s="12">
        <v>1114</v>
      </c>
      <c r="AN14" s="12">
        <v>15796</v>
      </c>
      <c r="AO14" s="12">
        <v>10748.8</v>
      </c>
      <c r="AP14" s="12">
        <v>1350</v>
      </c>
      <c r="AQ14" s="12">
        <v>22700</v>
      </c>
      <c r="AR14" s="12">
        <v>14456</v>
      </c>
      <c r="AS14" s="12">
        <v>1386</v>
      </c>
      <c r="AT14" s="12">
        <v>20116</v>
      </c>
      <c r="AU14" s="12">
        <v>13031.199999999999</v>
      </c>
      <c r="AV14" s="12">
        <v>1339.5</v>
      </c>
      <c r="AW14" s="12">
        <v>20912</v>
      </c>
      <c r="AX14" s="12">
        <v>13580.6</v>
      </c>
      <c r="AY14" s="12">
        <v>820</v>
      </c>
      <c r="AZ14" s="12">
        <v>13060</v>
      </c>
      <c r="BA14" s="12">
        <v>8152</v>
      </c>
      <c r="BB14" s="12">
        <v>1395</v>
      </c>
      <c r="BC14" s="12">
        <v>20980</v>
      </c>
      <c r="BD14" s="12">
        <v>13345.6</v>
      </c>
      <c r="BE14" s="12">
        <v>1000</v>
      </c>
      <c r="BF14" s="13">
        <v>16300</v>
      </c>
      <c r="BG14" s="12">
        <v>10240</v>
      </c>
      <c r="BH14" s="12">
        <v>1000</v>
      </c>
      <c r="BI14" s="12">
        <v>14600</v>
      </c>
      <c r="BJ14" s="12">
        <v>10112</v>
      </c>
      <c r="BK14" s="12">
        <v>1360</v>
      </c>
      <c r="BL14" s="12">
        <v>21140</v>
      </c>
      <c r="BM14" s="12">
        <v>13356.8</v>
      </c>
      <c r="BN14" s="12">
        <v>1280</v>
      </c>
      <c r="BO14" s="12">
        <v>22220</v>
      </c>
      <c r="BP14" s="12">
        <v>13836.8</v>
      </c>
      <c r="BQ14" s="14">
        <f t="shared" si="2"/>
        <v>14259.5</v>
      </c>
      <c r="BR14" s="14">
        <f t="shared" si="3"/>
        <v>222904</v>
      </c>
      <c r="BS14" s="14">
        <f t="shared" si="4"/>
        <v>143477.80000000002</v>
      </c>
      <c r="BT14" s="12">
        <v>1135</v>
      </c>
      <c r="BU14" s="9">
        <v>17790</v>
      </c>
      <c r="BV14" s="9">
        <v>11673.6</v>
      </c>
      <c r="BW14" s="9">
        <v>930</v>
      </c>
      <c r="BX14" s="9">
        <v>13120</v>
      </c>
      <c r="BY14" s="9">
        <v>8828.7999999999993</v>
      </c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15">
        <f t="shared" si="5"/>
        <v>2065</v>
      </c>
      <c r="DE14" s="15">
        <f t="shared" si="6"/>
        <v>30910</v>
      </c>
      <c r="DF14" s="15">
        <f t="shared" si="7"/>
        <v>20502.400000000001</v>
      </c>
    </row>
    <row r="15" spans="1:110" x14ac:dyDescent="0.25">
      <c r="A15" s="9">
        <v>12</v>
      </c>
      <c r="B15" s="9" t="s">
        <v>35</v>
      </c>
      <c r="C15" s="9" t="s">
        <v>106</v>
      </c>
      <c r="D15" s="9" t="s">
        <v>32</v>
      </c>
      <c r="E15" s="9" t="s">
        <v>31</v>
      </c>
      <c r="F15" s="16" t="s">
        <v>98</v>
      </c>
      <c r="G15" s="10">
        <v>700</v>
      </c>
      <c r="H15" s="10">
        <v>9800</v>
      </c>
      <c r="I15" s="10">
        <v>1130</v>
      </c>
      <c r="J15" s="10">
        <v>16120</v>
      </c>
      <c r="K15" s="10">
        <v>1150</v>
      </c>
      <c r="L15" s="10">
        <v>16100</v>
      </c>
      <c r="M15" s="10">
        <v>950</v>
      </c>
      <c r="N15" s="10">
        <v>13800</v>
      </c>
      <c r="O15" s="10">
        <v>1054</v>
      </c>
      <c r="P15" s="10">
        <v>15236</v>
      </c>
      <c r="Q15" s="10">
        <v>872</v>
      </c>
      <c r="R15" s="10">
        <v>12916</v>
      </c>
      <c r="S15" s="10">
        <v>1174</v>
      </c>
      <c r="T15" s="10">
        <v>17426</v>
      </c>
      <c r="U15" s="10">
        <v>1322</v>
      </c>
      <c r="V15" s="10">
        <v>19476</v>
      </c>
      <c r="W15" s="10">
        <v>1570</v>
      </c>
      <c r="X15" s="10">
        <v>23980</v>
      </c>
      <c r="Y15" s="10">
        <v>1355</v>
      </c>
      <c r="Z15" s="10">
        <v>20478</v>
      </c>
      <c r="AA15" s="10">
        <v>1225</v>
      </c>
      <c r="AB15" s="10">
        <v>18780</v>
      </c>
      <c r="AC15" s="10">
        <v>1237</v>
      </c>
      <c r="AD15" s="10">
        <v>18298</v>
      </c>
      <c r="AE15" s="11">
        <f t="shared" si="0"/>
        <v>13739</v>
      </c>
      <c r="AF15" s="11">
        <f t="shared" si="1"/>
        <v>202410</v>
      </c>
      <c r="AG15" s="12">
        <v>1100</v>
      </c>
      <c r="AH15" s="12">
        <v>15900</v>
      </c>
      <c r="AI15" s="12">
        <v>10128</v>
      </c>
      <c r="AJ15" s="12">
        <v>970</v>
      </c>
      <c r="AK15" s="12">
        <v>14180</v>
      </c>
      <c r="AL15" s="12">
        <v>9046.4</v>
      </c>
      <c r="AM15" s="12">
        <v>590</v>
      </c>
      <c r="AN15" s="12">
        <v>8660</v>
      </c>
      <c r="AO15" s="12">
        <v>5523.2</v>
      </c>
      <c r="AP15" s="12">
        <v>1060</v>
      </c>
      <c r="AQ15" s="12">
        <v>15940</v>
      </c>
      <c r="AR15" s="12">
        <v>10153.6</v>
      </c>
      <c r="AS15" s="12">
        <v>1110.5</v>
      </c>
      <c r="AT15" s="12">
        <v>16344</v>
      </c>
      <c r="AU15" s="12">
        <v>10408.200000000001</v>
      </c>
      <c r="AV15" s="12">
        <v>1792.5</v>
      </c>
      <c r="AW15" s="12">
        <v>25424</v>
      </c>
      <c r="AX15" s="12">
        <v>16149.800000000001</v>
      </c>
      <c r="AY15" s="12">
        <v>550</v>
      </c>
      <c r="AZ15" s="12">
        <v>7700</v>
      </c>
      <c r="BA15" s="12">
        <v>4928</v>
      </c>
      <c r="BB15" s="12">
        <v>1115</v>
      </c>
      <c r="BC15" s="12">
        <v>16020</v>
      </c>
      <c r="BD15" s="12">
        <v>10320</v>
      </c>
      <c r="BE15" s="12">
        <v>868</v>
      </c>
      <c r="BF15" s="13">
        <v>12612</v>
      </c>
      <c r="BG15" s="12">
        <v>8110.08</v>
      </c>
      <c r="BH15" s="12">
        <v>1200</v>
      </c>
      <c r="BI15" s="12">
        <v>17320</v>
      </c>
      <c r="BJ15" s="12">
        <v>11209.6</v>
      </c>
      <c r="BK15" s="12">
        <v>885</v>
      </c>
      <c r="BL15" s="12">
        <v>12480</v>
      </c>
      <c r="BM15" s="12">
        <v>8116.7999999999993</v>
      </c>
      <c r="BN15" s="12">
        <v>1500</v>
      </c>
      <c r="BO15" s="12">
        <v>21520</v>
      </c>
      <c r="BP15" s="12">
        <v>13897.6</v>
      </c>
      <c r="BQ15" s="14">
        <f t="shared" si="2"/>
        <v>12741</v>
      </c>
      <c r="BR15" s="14">
        <f t="shared" si="3"/>
        <v>184100</v>
      </c>
      <c r="BS15" s="14">
        <f t="shared" si="4"/>
        <v>117991.28000000003</v>
      </c>
      <c r="BT15" s="12">
        <v>790</v>
      </c>
      <c r="BU15" s="9">
        <v>12220</v>
      </c>
      <c r="BV15" s="9">
        <v>7811.2</v>
      </c>
      <c r="BW15" s="9">
        <v>1060</v>
      </c>
      <c r="BX15" s="9">
        <v>15460</v>
      </c>
      <c r="BY15" s="9">
        <v>10019.200000000001</v>
      </c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15">
        <f t="shared" si="5"/>
        <v>1850</v>
      </c>
      <c r="DE15" s="15">
        <f t="shared" si="6"/>
        <v>27680</v>
      </c>
      <c r="DF15" s="15">
        <f t="shared" si="7"/>
        <v>17830.400000000001</v>
      </c>
    </row>
    <row r="16" spans="1:110" x14ac:dyDescent="0.25">
      <c r="A16" s="9">
        <v>13</v>
      </c>
      <c r="B16" s="9" t="s">
        <v>34</v>
      </c>
      <c r="C16" s="9" t="s">
        <v>33</v>
      </c>
      <c r="D16" s="9" t="s">
        <v>32</v>
      </c>
      <c r="E16" s="9" t="s">
        <v>31</v>
      </c>
      <c r="F16" s="16" t="s">
        <v>98</v>
      </c>
      <c r="G16" s="10">
        <v>675</v>
      </c>
      <c r="H16" s="10">
        <v>9450</v>
      </c>
      <c r="I16" s="10">
        <v>450</v>
      </c>
      <c r="J16" s="10">
        <v>6300</v>
      </c>
      <c r="K16" s="10">
        <v>650</v>
      </c>
      <c r="L16" s="10">
        <v>9100</v>
      </c>
      <c r="M16" s="10">
        <v>600</v>
      </c>
      <c r="N16" s="10">
        <v>8400</v>
      </c>
      <c r="O16" s="10">
        <v>752</v>
      </c>
      <c r="P16" s="10">
        <v>10536</v>
      </c>
      <c r="Q16" s="10">
        <v>955</v>
      </c>
      <c r="R16" s="10">
        <v>13420</v>
      </c>
      <c r="S16" s="10">
        <v>650</v>
      </c>
      <c r="T16" s="10">
        <v>9100</v>
      </c>
      <c r="U16" s="10">
        <v>602</v>
      </c>
      <c r="V16" s="10">
        <v>8436</v>
      </c>
      <c r="W16" s="10">
        <v>702</v>
      </c>
      <c r="X16" s="10">
        <v>9824</v>
      </c>
      <c r="Y16" s="10">
        <v>503</v>
      </c>
      <c r="Z16" s="10">
        <v>7068</v>
      </c>
      <c r="AA16" s="10">
        <v>983</v>
      </c>
      <c r="AB16" s="10">
        <v>13918</v>
      </c>
      <c r="AC16" s="10">
        <v>800</v>
      </c>
      <c r="AD16" s="10">
        <v>11200</v>
      </c>
      <c r="AE16" s="11">
        <f t="shared" si="0"/>
        <v>8322</v>
      </c>
      <c r="AF16" s="11">
        <f t="shared" si="1"/>
        <v>116752</v>
      </c>
      <c r="AG16" s="12">
        <v>1050</v>
      </c>
      <c r="AH16" s="12">
        <v>15200</v>
      </c>
      <c r="AI16" s="12">
        <v>9680</v>
      </c>
      <c r="AJ16" s="12">
        <v>1050</v>
      </c>
      <c r="AK16" s="12">
        <v>14700</v>
      </c>
      <c r="AL16" s="12">
        <v>9408</v>
      </c>
      <c r="AM16" s="12">
        <v>800</v>
      </c>
      <c r="AN16" s="12">
        <v>11200</v>
      </c>
      <c r="AO16" s="12">
        <v>7168</v>
      </c>
      <c r="AP16" s="12">
        <v>720</v>
      </c>
      <c r="AQ16" s="12">
        <v>10040</v>
      </c>
      <c r="AR16" s="12">
        <v>6512</v>
      </c>
      <c r="AS16" s="12">
        <v>782</v>
      </c>
      <c r="AT16" s="12">
        <v>10756</v>
      </c>
      <c r="AU16" s="12">
        <v>7309.6</v>
      </c>
      <c r="AV16" s="12">
        <v>606</v>
      </c>
      <c r="AW16" s="12">
        <v>8532</v>
      </c>
      <c r="AX16" s="12">
        <v>5426.4000000000005</v>
      </c>
      <c r="AY16" s="12">
        <v>1375</v>
      </c>
      <c r="AZ16" s="12">
        <v>19250</v>
      </c>
      <c r="BA16" s="12">
        <v>12320</v>
      </c>
      <c r="BB16" s="12">
        <v>880</v>
      </c>
      <c r="BC16" s="12">
        <v>12320</v>
      </c>
      <c r="BD16" s="12">
        <v>7884.8</v>
      </c>
      <c r="BE16" s="12">
        <v>1300</v>
      </c>
      <c r="BF16" s="13">
        <v>18200</v>
      </c>
      <c r="BG16" s="12">
        <v>11648</v>
      </c>
      <c r="BH16" s="12">
        <v>1025</v>
      </c>
      <c r="BI16" s="12">
        <v>14250</v>
      </c>
      <c r="BJ16" s="12">
        <v>9336</v>
      </c>
      <c r="BK16" s="12">
        <v>1400</v>
      </c>
      <c r="BL16" s="12">
        <v>19600</v>
      </c>
      <c r="BM16" s="12">
        <v>12544</v>
      </c>
      <c r="BN16" s="12">
        <v>800</v>
      </c>
      <c r="BO16" s="12">
        <v>11200</v>
      </c>
      <c r="BP16" s="12">
        <v>7168</v>
      </c>
      <c r="BQ16" s="14">
        <f t="shared" si="2"/>
        <v>11788</v>
      </c>
      <c r="BR16" s="14">
        <f t="shared" si="3"/>
        <v>165248</v>
      </c>
      <c r="BS16" s="14">
        <f t="shared" si="4"/>
        <v>106404.8</v>
      </c>
      <c r="BT16" s="12">
        <v>1550</v>
      </c>
      <c r="BU16" s="9">
        <v>21700</v>
      </c>
      <c r="BV16" s="9">
        <v>13888</v>
      </c>
      <c r="BW16" s="9">
        <v>700</v>
      </c>
      <c r="BX16" s="9">
        <v>9750</v>
      </c>
      <c r="BY16" s="9">
        <v>6348</v>
      </c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15">
        <f t="shared" si="5"/>
        <v>2250</v>
      </c>
      <c r="DE16" s="15">
        <f t="shared" si="6"/>
        <v>31450</v>
      </c>
      <c r="DF16" s="15">
        <f t="shared" si="7"/>
        <v>20236</v>
      </c>
    </row>
    <row r="17" spans="1:110" x14ac:dyDescent="0.25">
      <c r="A17" s="9">
        <v>14</v>
      </c>
      <c r="B17" s="9" t="s">
        <v>30</v>
      </c>
      <c r="C17" s="9" t="s">
        <v>29</v>
      </c>
      <c r="D17" s="9" t="s">
        <v>28</v>
      </c>
      <c r="E17" s="9" t="s">
        <v>27</v>
      </c>
      <c r="F17" s="16" t="s">
        <v>98</v>
      </c>
      <c r="G17" s="10">
        <v>700</v>
      </c>
      <c r="H17" s="10">
        <v>9800</v>
      </c>
      <c r="I17" s="10">
        <v>900</v>
      </c>
      <c r="J17" s="10">
        <v>12600</v>
      </c>
      <c r="K17" s="10">
        <v>600</v>
      </c>
      <c r="L17" s="10">
        <v>8400</v>
      </c>
      <c r="M17" s="10">
        <v>800</v>
      </c>
      <c r="N17" s="10">
        <v>11200</v>
      </c>
      <c r="O17" s="10">
        <v>850</v>
      </c>
      <c r="P17" s="10">
        <v>11900</v>
      </c>
      <c r="Q17" s="10">
        <v>750</v>
      </c>
      <c r="R17" s="10">
        <v>11000</v>
      </c>
      <c r="S17" s="10">
        <v>850</v>
      </c>
      <c r="T17" s="10">
        <v>12650</v>
      </c>
      <c r="U17" s="10">
        <v>800</v>
      </c>
      <c r="V17" s="10">
        <v>11450</v>
      </c>
      <c r="W17" s="10">
        <v>945</v>
      </c>
      <c r="X17" s="10">
        <v>13190</v>
      </c>
      <c r="Y17" s="10">
        <v>1248</v>
      </c>
      <c r="Z17" s="10">
        <v>18392</v>
      </c>
      <c r="AA17" s="10">
        <v>900</v>
      </c>
      <c r="AB17" s="10">
        <v>13100</v>
      </c>
      <c r="AC17" s="10">
        <v>1400</v>
      </c>
      <c r="AD17" s="10">
        <v>20000</v>
      </c>
      <c r="AE17" s="11">
        <f t="shared" si="0"/>
        <v>10743</v>
      </c>
      <c r="AF17" s="11">
        <f t="shared" si="1"/>
        <v>153682</v>
      </c>
      <c r="AG17" s="12">
        <v>1460</v>
      </c>
      <c r="AH17" s="12">
        <v>20980</v>
      </c>
      <c r="AI17" s="12">
        <v>13960</v>
      </c>
      <c r="AJ17" s="12">
        <v>1320</v>
      </c>
      <c r="AK17" s="12">
        <v>18740</v>
      </c>
      <c r="AL17" s="12">
        <v>12512</v>
      </c>
      <c r="AM17" s="12">
        <v>950</v>
      </c>
      <c r="AN17" s="12">
        <v>13300</v>
      </c>
      <c r="AO17" s="12">
        <v>8512</v>
      </c>
      <c r="AP17" s="12">
        <v>900</v>
      </c>
      <c r="AQ17" s="12">
        <v>12900</v>
      </c>
      <c r="AR17" s="12">
        <v>8256</v>
      </c>
      <c r="AS17" s="12">
        <v>980</v>
      </c>
      <c r="AT17" s="12">
        <v>14170</v>
      </c>
      <c r="AU17" s="12">
        <v>9157.6</v>
      </c>
      <c r="AV17" s="12">
        <v>1110</v>
      </c>
      <c r="AW17" s="12">
        <v>16140</v>
      </c>
      <c r="AX17" s="12">
        <v>10329.6</v>
      </c>
      <c r="AY17" s="12">
        <v>450</v>
      </c>
      <c r="AZ17" s="12">
        <v>6300</v>
      </c>
      <c r="BA17" s="12">
        <v>4032</v>
      </c>
      <c r="BB17" s="12">
        <v>1170</v>
      </c>
      <c r="BC17" s="12">
        <v>16340</v>
      </c>
      <c r="BD17" s="12">
        <v>10544</v>
      </c>
      <c r="BE17" s="12">
        <v>290</v>
      </c>
      <c r="BF17" s="13">
        <v>4240</v>
      </c>
      <c r="BG17" s="12">
        <v>2972.8</v>
      </c>
      <c r="BH17" s="12">
        <v>1277</v>
      </c>
      <c r="BI17" s="12">
        <v>17338</v>
      </c>
      <c r="BJ17" s="12">
        <v>12910.720000000001</v>
      </c>
      <c r="BK17" s="12">
        <v>980</v>
      </c>
      <c r="BL17" s="12">
        <v>13960</v>
      </c>
      <c r="BM17" s="12">
        <v>9064</v>
      </c>
      <c r="BN17" s="12">
        <v>2480</v>
      </c>
      <c r="BO17" s="12">
        <v>34960</v>
      </c>
      <c r="BP17" s="12">
        <v>22916.799999999999</v>
      </c>
      <c r="BQ17" s="14">
        <f t="shared" si="2"/>
        <v>13367</v>
      </c>
      <c r="BR17" s="14">
        <f t="shared" si="3"/>
        <v>189368</v>
      </c>
      <c r="BS17" s="14">
        <f t="shared" si="4"/>
        <v>125167.52</v>
      </c>
      <c r="BT17" s="12">
        <v>100</v>
      </c>
      <c r="BU17" s="9">
        <v>1200</v>
      </c>
      <c r="BV17" s="9">
        <v>1200</v>
      </c>
      <c r="BW17" s="9">
        <v>450</v>
      </c>
      <c r="BX17" s="9">
        <v>5900</v>
      </c>
      <c r="BY17" s="9">
        <v>4640</v>
      </c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15">
        <f t="shared" si="5"/>
        <v>550</v>
      </c>
      <c r="DE17" s="15">
        <f t="shared" si="6"/>
        <v>7100</v>
      </c>
      <c r="DF17" s="15">
        <f t="shared" si="7"/>
        <v>5840</v>
      </c>
    </row>
    <row r="18" spans="1:110" x14ac:dyDescent="0.25">
      <c r="A18" s="9">
        <v>15</v>
      </c>
      <c r="B18" s="9" t="s">
        <v>99</v>
      </c>
      <c r="C18" s="9" t="s">
        <v>100</v>
      </c>
      <c r="D18" s="9" t="s">
        <v>49</v>
      </c>
      <c r="E18" s="9" t="s">
        <v>48</v>
      </c>
      <c r="F18" s="16" t="s">
        <v>98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11">
        <f t="shared" si="0"/>
        <v>0</v>
      </c>
      <c r="AF18" s="11">
        <f t="shared" si="1"/>
        <v>0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14">
        <f t="shared" si="2"/>
        <v>0</v>
      </c>
      <c r="BR18" s="14">
        <f t="shared" si="3"/>
        <v>0</v>
      </c>
      <c r="BS18" s="14">
        <f t="shared" si="4"/>
        <v>0</v>
      </c>
      <c r="BT18" s="9">
        <v>312</v>
      </c>
      <c r="BU18" s="9">
        <v>4248</v>
      </c>
      <c r="BV18" s="9">
        <v>3131.52</v>
      </c>
      <c r="BW18" s="9">
        <v>350</v>
      </c>
      <c r="BX18" s="9">
        <v>5000</v>
      </c>
      <c r="BY18" s="9">
        <v>3603.2</v>
      </c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15">
        <f t="shared" si="5"/>
        <v>662</v>
      </c>
      <c r="DE18" s="15">
        <f t="shared" si="6"/>
        <v>9248</v>
      </c>
      <c r="DF18" s="15">
        <f t="shared" si="7"/>
        <v>6734.7199999999993</v>
      </c>
    </row>
    <row r="19" spans="1:110" x14ac:dyDescent="0.25">
      <c r="A19" s="9">
        <v>16</v>
      </c>
      <c r="B19" s="9" t="s">
        <v>83</v>
      </c>
      <c r="C19" s="9" t="s">
        <v>90</v>
      </c>
      <c r="D19" s="9" t="s">
        <v>24</v>
      </c>
      <c r="E19" s="9" t="s">
        <v>23</v>
      </c>
      <c r="F19" s="16" t="s">
        <v>98</v>
      </c>
      <c r="G19" s="10">
        <v>500</v>
      </c>
      <c r="H19" s="10">
        <v>7000</v>
      </c>
      <c r="I19" s="10"/>
      <c r="J19" s="10"/>
      <c r="K19" s="10">
        <v>300</v>
      </c>
      <c r="L19" s="10">
        <v>4200</v>
      </c>
      <c r="M19" s="10">
        <v>400</v>
      </c>
      <c r="N19" s="10">
        <v>5600</v>
      </c>
      <c r="O19" s="10"/>
      <c r="P19" s="10"/>
      <c r="Q19" s="10">
        <v>400</v>
      </c>
      <c r="R19" s="10">
        <v>5600</v>
      </c>
      <c r="S19" s="10">
        <v>400</v>
      </c>
      <c r="T19" s="10">
        <v>5600</v>
      </c>
      <c r="U19" s="10">
        <v>300</v>
      </c>
      <c r="V19" s="10">
        <v>4200</v>
      </c>
      <c r="W19" s="10">
        <v>100</v>
      </c>
      <c r="X19" s="10">
        <v>1400</v>
      </c>
      <c r="Y19" s="10">
        <v>317</v>
      </c>
      <c r="Z19" s="10">
        <v>4438</v>
      </c>
      <c r="AA19" s="10">
        <v>650</v>
      </c>
      <c r="AB19" s="10">
        <v>9100</v>
      </c>
      <c r="AC19" s="10">
        <v>200</v>
      </c>
      <c r="AD19" s="10">
        <v>2800</v>
      </c>
      <c r="AE19" s="11">
        <f t="shared" si="0"/>
        <v>3567</v>
      </c>
      <c r="AF19" s="11">
        <f t="shared" si="1"/>
        <v>49938</v>
      </c>
      <c r="AG19" s="12"/>
      <c r="AH19" s="12"/>
      <c r="AI19" s="12"/>
      <c r="AJ19" s="12"/>
      <c r="AK19" s="12"/>
      <c r="AL19" s="12"/>
      <c r="AM19" s="12">
        <v>1060</v>
      </c>
      <c r="AN19" s="12">
        <v>14320</v>
      </c>
      <c r="AO19" s="12">
        <v>10288</v>
      </c>
      <c r="AP19" s="12">
        <v>500</v>
      </c>
      <c r="AQ19" s="12">
        <v>6400</v>
      </c>
      <c r="AR19" s="12">
        <v>5392</v>
      </c>
      <c r="AS19" s="12">
        <v>469</v>
      </c>
      <c r="AT19" s="12">
        <v>6368</v>
      </c>
      <c r="AU19" s="12">
        <v>4503.2</v>
      </c>
      <c r="AV19" s="12">
        <v>450</v>
      </c>
      <c r="AW19" s="12">
        <v>5900</v>
      </c>
      <c r="AX19" s="12">
        <v>3680</v>
      </c>
      <c r="AY19" s="12">
        <v>750</v>
      </c>
      <c r="AZ19" s="12">
        <v>9900</v>
      </c>
      <c r="BA19" s="12">
        <v>7632</v>
      </c>
      <c r="BB19" s="12">
        <v>550</v>
      </c>
      <c r="BC19" s="12">
        <v>7760</v>
      </c>
      <c r="BD19" s="12">
        <v>5388.8</v>
      </c>
      <c r="BE19" s="12">
        <v>1300</v>
      </c>
      <c r="BF19" s="13">
        <v>15800</v>
      </c>
      <c r="BG19" s="12">
        <v>15296</v>
      </c>
      <c r="BH19" s="12">
        <v>300</v>
      </c>
      <c r="BI19" s="12">
        <v>3800</v>
      </c>
      <c r="BJ19" s="12">
        <v>3296</v>
      </c>
      <c r="BK19" s="12">
        <v>1430</v>
      </c>
      <c r="BL19" s="12">
        <v>17960</v>
      </c>
      <c r="BM19" s="12">
        <v>15944</v>
      </c>
      <c r="BN19" s="12">
        <v>600</v>
      </c>
      <c r="BO19" s="12">
        <v>8000</v>
      </c>
      <c r="BP19" s="12">
        <v>5984</v>
      </c>
      <c r="BQ19" s="14">
        <f t="shared" si="2"/>
        <v>7409</v>
      </c>
      <c r="BR19" s="14">
        <f t="shared" si="3"/>
        <v>96208</v>
      </c>
      <c r="BS19" s="14">
        <f t="shared" si="4"/>
        <v>77404</v>
      </c>
      <c r="BT19" s="12">
        <v>250</v>
      </c>
      <c r="BU19" s="9">
        <v>3400</v>
      </c>
      <c r="BV19" s="9">
        <v>2392</v>
      </c>
      <c r="BW19" s="9">
        <v>0</v>
      </c>
      <c r="BX19" s="9">
        <v>0</v>
      </c>
      <c r="BY19" s="9">
        <v>0</v>
      </c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15">
        <f t="shared" si="5"/>
        <v>250</v>
      </c>
      <c r="DE19" s="15">
        <f t="shared" si="6"/>
        <v>3400</v>
      </c>
      <c r="DF19" s="15">
        <f t="shared" si="7"/>
        <v>2392</v>
      </c>
    </row>
    <row r="20" spans="1:110" x14ac:dyDescent="0.25">
      <c r="A20" s="9">
        <v>17</v>
      </c>
      <c r="B20" s="9" t="s">
        <v>72</v>
      </c>
      <c r="C20" s="9" t="s">
        <v>72</v>
      </c>
      <c r="D20" s="9" t="s">
        <v>16</v>
      </c>
      <c r="E20" s="9" t="s">
        <v>15</v>
      </c>
      <c r="F20" s="9" t="s">
        <v>101</v>
      </c>
      <c r="G20" s="10">
        <v>1984</v>
      </c>
      <c r="H20" s="10">
        <v>33356</v>
      </c>
      <c r="I20" s="10">
        <v>699</v>
      </c>
      <c r="J20" s="10">
        <v>13206</v>
      </c>
      <c r="K20" s="10">
        <v>1415</v>
      </c>
      <c r="L20" s="10">
        <v>23520</v>
      </c>
      <c r="M20" s="10">
        <v>930</v>
      </c>
      <c r="N20" s="10">
        <v>15920</v>
      </c>
      <c r="O20" s="10">
        <v>2040</v>
      </c>
      <c r="P20" s="10">
        <v>35040</v>
      </c>
      <c r="Q20" s="10">
        <v>665</v>
      </c>
      <c r="R20" s="10">
        <v>9660</v>
      </c>
      <c r="S20" s="10">
        <v>1290</v>
      </c>
      <c r="T20" s="10">
        <v>22820</v>
      </c>
      <c r="U20" s="10">
        <v>923</v>
      </c>
      <c r="V20" s="10">
        <v>14922</v>
      </c>
      <c r="W20" s="10">
        <v>865</v>
      </c>
      <c r="X20" s="10">
        <v>15610</v>
      </c>
      <c r="Y20" s="10">
        <v>1517</v>
      </c>
      <c r="Z20" s="10">
        <v>24138</v>
      </c>
      <c r="AA20" s="10">
        <v>1180</v>
      </c>
      <c r="AB20" s="10">
        <v>22420</v>
      </c>
      <c r="AC20" s="10">
        <v>1993</v>
      </c>
      <c r="AD20" s="10">
        <v>31182</v>
      </c>
      <c r="AE20" s="11">
        <f t="shared" si="0"/>
        <v>15501</v>
      </c>
      <c r="AF20" s="11">
        <f t="shared" si="1"/>
        <v>261794</v>
      </c>
      <c r="AG20" s="12">
        <v>1030</v>
      </c>
      <c r="AH20" s="12">
        <v>16720</v>
      </c>
      <c r="AI20" s="12">
        <v>10700.8</v>
      </c>
      <c r="AJ20" s="12">
        <v>1110</v>
      </c>
      <c r="AK20" s="12">
        <v>18230</v>
      </c>
      <c r="AL20" s="12">
        <v>11670.800000000001</v>
      </c>
      <c r="AM20" s="12">
        <v>2180</v>
      </c>
      <c r="AN20" s="12">
        <v>37340</v>
      </c>
      <c r="AO20" s="12">
        <v>23962.400000000001</v>
      </c>
      <c r="AP20" s="12">
        <v>485</v>
      </c>
      <c r="AQ20" s="12">
        <v>6840</v>
      </c>
      <c r="AR20" s="12">
        <v>4377.6000000000004</v>
      </c>
      <c r="AS20" s="12">
        <v>973</v>
      </c>
      <c r="AT20" s="12">
        <v>14622</v>
      </c>
      <c r="AU20" s="12">
        <v>9358.08</v>
      </c>
      <c r="AV20" s="12">
        <v>1035</v>
      </c>
      <c r="AW20" s="12">
        <v>14960</v>
      </c>
      <c r="AX20" s="12">
        <v>9771.2000000000007</v>
      </c>
      <c r="AY20" s="12">
        <v>1785</v>
      </c>
      <c r="AZ20" s="12">
        <v>29580</v>
      </c>
      <c r="BA20" s="12">
        <v>18916.8</v>
      </c>
      <c r="BB20" s="12">
        <v>790</v>
      </c>
      <c r="BC20" s="12">
        <v>15260</v>
      </c>
      <c r="BD20" s="12">
        <v>9766.4</v>
      </c>
      <c r="BE20" s="12">
        <v>2170</v>
      </c>
      <c r="BF20" s="13">
        <v>38140</v>
      </c>
      <c r="BG20" s="12">
        <v>24496</v>
      </c>
      <c r="BH20" s="12">
        <v>1920</v>
      </c>
      <c r="BI20" s="12">
        <v>33880</v>
      </c>
      <c r="BJ20" s="12">
        <v>21683.199999999997</v>
      </c>
      <c r="BK20" s="12">
        <v>1990</v>
      </c>
      <c r="BL20" s="12">
        <v>35660</v>
      </c>
      <c r="BM20" s="12">
        <v>22822.400000000001</v>
      </c>
      <c r="BN20" s="12">
        <v>2130</v>
      </c>
      <c r="BO20" s="12">
        <v>37840</v>
      </c>
      <c r="BP20" s="12">
        <v>24390.399999999998</v>
      </c>
      <c r="BQ20" s="14">
        <f t="shared" si="2"/>
        <v>17598</v>
      </c>
      <c r="BR20" s="14">
        <f t="shared" si="3"/>
        <v>299072</v>
      </c>
      <c r="BS20" s="14">
        <f t="shared" si="4"/>
        <v>191916.08</v>
      </c>
      <c r="BT20" s="12">
        <v>2180</v>
      </c>
      <c r="BU20" s="9">
        <v>39280</v>
      </c>
      <c r="BV20" s="9">
        <v>25225.599999999999</v>
      </c>
      <c r="BW20" s="9">
        <v>2010</v>
      </c>
      <c r="BX20" s="9">
        <v>34040</v>
      </c>
      <c r="BY20" s="9">
        <v>22217.599999999999</v>
      </c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15">
        <f t="shared" si="5"/>
        <v>4190</v>
      </c>
      <c r="DE20" s="15">
        <f t="shared" si="6"/>
        <v>73320</v>
      </c>
      <c r="DF20" s="15">
        <f t="shared" si="7"/>
        <v>47443.199999999997</v>
      </c>
    </row>
    <row r="21" spans="1:110" x14ac:dyDescent="0.25">
      <c r="A21" s="9">
        <v>18</v>
      </c>
      <c r="B21" s="9" t="s">
        <v>71</v>
      </c>
      <c r="C21" s="9" t="s">
        <v>71</v>
      </c>
      <c r="D21" s="9" t="s">
        <v>16</v>
      </c>
      <c r="E21" s="9" t="s">
        <v>15</v>
      </c>
      <c r="F21" s="9" t="s">
        <v>101</v>
      </c>
      <c r="G21" s="10">
        <v>1805</v>
      </c>
      <c r="H21" s="10">
        <v>31720</v>
      </c>
      <c r="I21" s="10">
        <v>1590</v>
      </c>
      <c r="J21" s="10">
        <v>28010</v>
      </c>
      <c r="K21" s="10">
        <v>1280</v>
      </c>
      <c r="L21" s="10">
        <v>22500</v>
      </c>
      <c r="M21" s="10">
        <v>1555</v>
      </c>
      <c r="N21" s="10">
        <v>26940</v>
      </c>
      <c r="O21" s="10">
        <v>1365</v>
      </c>
      <c r="P21" s="10">
        <v>23600</v>
      </c>
      <c r="Q21" s="10">
        <v>1295</v>
      </c>
      <c r="R21" s="10">
        <v>22900</v>
      </c>
      <c r="S21" s="10">
        <v>1395</v>
      </c>
      <c r="T21" s="10">
        <v>24420</v>
      </c>
      <c r="U21" s="10">
        <v>1360</v>
      </c>
      <c r="V21" s="10">
        <v>25120</v>
      </c>
      <c r="W21" s="10">
        <v>1435</v>
      </c>
      <c r="X21" s="10">
        <v>25200</v>
      </c>
      <c r="Y21" s="10">
        <v>1495</v>
      </c>
      <c r="Z21" s="10">
        <v>26440</v>
      </c>
      <c r="AA21" s="10">
        <v>1530</v>
      </c>
      <c r="AB21" s="10">
        <v>26680</v>
      </c>
      <c r="AC21" s="10">
        <v>1665</v>
      </c>
      <c r="AD21" s="10">
        <v>29220</v>
      </c>
      <c r="AE21" s="11">
        <f t="shared" si="0"/>
        <v>17770</v>
      </c>
      <c r="AF21" s="11">
        <f t="shared" si="1"/>
        <v>312750</v>
      </c>
      <c r="AG21" s="12">
        <v>1375</v>
      </c>
      <c r="AH21" s="12">
        <v>24100</v>
      </c>
      <c r="AI21" s="12">
        <v>16072</v>
      </c>
      <c r="AJ21" s="12">
        <v>1230</v>
      </c>
      <c r="AK21" s="12">
        <v>21740</v>
      </c>
      <c r="AL21" s="12">
        <v>14302.400000000003</v>
      </c>
      <c r="AM21" s="12">
        <v>1485</v>
      </c>
      <c r="AN21" s="12">
        <v>26340</v>
      </c>
      <c r="AO21" s="12">
        <v>17505.600000000002</v>
      </c>
      <c r="AP21" s="12">
        <v>1303</v>
      </c>
      <c r="AQ21" s="12">
        <v>23132</v>
      </c>
      <c r="AR21" s="12">
        <v>15106.880000000001</v>
      </c>
      <c r="AS21" s="12">
        <v>1355</v>
      </c>
      <c r="AT21" s="12">
        <v>23920</v>
      </c>
      <c r="AU21" s="12">
        <v>15956.800000000003</v>
      </c>
      <c r="AV21" s="12">
        <v>905</v>
      </c>
      <c r="AW21" s="12">
        <v>16520</v>
      </c>
      <c r="AX21" s="12">
        <v>11004.800000000003</v>
      </c>
      <c r="AY21" s="12">
        <v>1205</v>
      </c>
      <c r="AZ21" s="12">
        <v>20760</v>
      </c>
      <c r="BA21" s="12">
        <v>13632.000000000002</v>
      </c>
      <c r="BB21" s="12">
        <v>1250</v>
      </c>
      <c r="BC21" s="12">
        <v>21640</v>
      </c>
      <c r="BD21" s="12">
        <v>14411.200000000003</v>
      </c>
      <c r="BE21" s="12">
        <v>1740</v>
      </c>
      <c r="BF21" s="13">
        <v>29880</v>
      </c>
      <c r="BG21" s="12">
        <v>20160.000000000004</v>
      </c>
      <c r="BH21" s="12">
        <v>1695</v>
      </c>
      <c r="BI21" s="12">
        <v>28260</v>
      </c>
      <c r="BJ21" s="12">
        <v>19641.600000000006</v>
      </c>
      <c r="BK21" s="12">
        <v>1686</v>
      </c>
      <c r="BL21" s="12">
        <v>29152</v>
      </c>
      <c r="BM21" s="12">
        <v>19417.600000000006</v>
      </c>
      <c r="BN21" s="12">
        <v>1910</v>
      </c>
      <c r="BO21" s="12">
        <v>32560</v>
      </c>
      <c r="BP21" s="12">
        <v>22091.200000000004</v>
      </c>
      <c r="BQ21" s="14">
        <f t="shared" si="2"/>
        <v>17139</v>
      </c>
      <c r="BR21" s="14">
        <f t="shared" si="3"/>
        <v>298004</v>
      </c>
      <c r="BS21" s="14">
        <f t="shared" si="4"/>
        <v>199302.08000000005</v>
      </c>
      <c r="BT21" s="12">
        <v>1622</v>
      </c>
      <c r="BU21" s="9">
        <v>27388</v>
      </c>
      <c r="BV21" s="9">
        <v>18910.72</v>
      </c>
      <c r="BW21" s="9">
        <v>1410</v>
      </c>
      <c r="BX21" s="9">
        <v>24860</v>
      </c>
      <c r="BY21" s="9">
        <v>16731.2</v>
      </c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15">
        <f t="shared" si="5"/>
        <v>3032</v>
      </c>
      <c r="DE21" s="15">
        <f t="shared" si="6"/>
        <v>52248</v>
      </c>
      <c r="DF21" s="15">
        <f t="shared" si="7"/>
        <v>35641.919999999998</v>
      </c>
    </row>
    <row r="22" spans="1:110" x14ac:dyDescent="0.25">
      <c r="A22" s="9">
        <v>19</v>
      </c>
      <c r="B22" s="9" t="s">
        <v>70</v>
      </c>
      <c r="C22" s="9" t="s">
        <v>69</v>
      </c>
      <c r="D22" s="9" t="s">
        <v>16</v>
      </c>
      <c r="E22" s="9" t="s">
        <v>15</v>
      </c>
      <c r="F22" s="9" t="s">
        <v>101</v>
      </c>
      <c r="G22" s="10">
        <v>680</v>
      </c>
      <c r="H22" s="10">
        <v>11720</v>
      </c>
      <c r="I22" s="10">
        <v>550</v>
      </c>
      <c r="J22" s="10">
        <v>9700</v>
      </c>
      <c r="K22" s="10">
        <v>655</v>
      </c>
      <c r="L22" s="10">
        <v>10920</v>
      </c>
      <c r="M22" s="10">
        <v>500</v>
      </c>
      <c r="N22" s="10">
        <v>8250</v>
      </c>
      <c r="O22" s="10">
        <v>375</v>
      </c>
      <c r="P22" s="10">
        <v>6850</v>
      </c>
      <c r="Q22" s="10">
        <v>595</v>
      </c>
      <c r="R22" s="10">
        <v>10030</v>
      </c>
      <c r="S22" s="10">
        <v>635</v>
      </c>
      <c r="T22" s="10">
        <v>10690</v>
      </c>
      <c r="U22" s="10">
        <v>690</v>
      </c>
      <c r="V22" s="10">
        <v>11360</v>
      </c>
      <c r="W22" s="10">
        <v>530</v>
      </c>
      <c r="X22" s="10">
        <v>9050</v>
      </c>
      <c r="Y22" s="10">
        <v>610</v>
      </c>
      <c r="Z22" s="10">
        <v>10340</v>
      </c>
      <c r="AA22" s="10">
        <v>565</v>
      </c>
      <c r="AB22" s="10">
        <v>9660</v>
      </c>
      <c r="AC22" s="10">
        <v>655</v>
      </c>
      <c r="AD22" s="10">
        <v>11220</v>
      </c>
      <c r="AE22" s="11">
        <f t="shared" si="0"/>
        <v>7040</v>
      </c>
      <c r="AF22" s="11">
        <f t="shared" si="1"/>
        <v>119790</v>
      </c>
      <c r="AG22" s="12">
        <v>515</v>
      </c>
      <c r="AH22" s="12">
        <v>8860</v>
      </c>
      <c r="AI22" s="12">
        <v>5670.4</v>
      </c>
      <c r="AJ22" s="12">
        <v>670</v>
      </c>
      <c r="AK22" s="12">
        <v>11080</v>
      </c>
      <c r="AL22" s="12">
        <v>7091.1999999999989</v>
      </c>
      <c r="AM22" s="12">
        <v>495</v>
      </c>
      <c r="AN22" s="12">
        <v>8630</v>
      </c>
      <c r="AO22" s="12">
        <v>5523.2000000000007</v>
      </c>
      <c r="AP22" s="12">
        <v>410</v>
      </c>
      <c r="AQ22" s="12">
        <v>7390</v>
      </c>
      <c r="AR22" s="12">
        <v>4729.6000000000004</v>
      </c>
      <c r="AS22" s="12">
        <v>605</v>
      </c>
      <c r="AT22" s="12">
        <v>10970</v>
      </c>
      <c r="AU22" s="12">
        <v>7280</v>
      </c>
      <c r="AV22" s="12">
        <v>480</v>
      </c>
      <c r="AW22" s="12">
        <v>8420</v>
      </c>
      <c r="AX22" s="12">
        <v>5388.8</v>
      </c>
      <c r="AY22" s="12">
        <v>595</v>
      </c>
      <c r="AZ22" s="12">
        <v>10480</v>
      </c>
      <c r="BA22" s="12">
        <v>6707.2000000000007</v>
      </c>
      <c r="BB22" s="12">
        <v>445</v>
      </c>
      <c r="BC22" s="12">
        <v>7930</v>
      </c>
      <c r="BD22" s="12">
        <v>5075.2000000000007</v>
      </c>
      <c r="BE22" s="12">
        <v>470</v>
      </c>
      <c r="BF22" s="13">
        <v>8230</v>
      </c>
      <c r="BG22" s="12">
        <v>5267.2</v>
      </c>
      <c r="BH22" s="12">
        <v>500</v>
      </c>
      <c r="BI22" s="12">
        <v>9000</v>
      </c>
      <c r="BJ22" s="12">
        <v>5760</v>
      </c>
      <c r="BK22" s="12">
        <v>615</v>
      </c>
      <c r="BL22" s="12">
        <v>10460</v>
      </c>
      <c r="BM22" s="12">
        <v>6694.4000000000005</v>
      </c>
      <c r="BN22" s="12">
        <v>410</v>
      </c>
      <c r="BO22" s="12">
        <v>7340</v>
      </c>
      <c r="BP22" s="12">
        <v>4697.6000000000004</v>
      </c>
      <c r="BQ22" s="14">
        <f t="shared" si="2"/>
        <v>6210</v>
      </c>
      <c r="BR22" s="14">
        <f t="shared" si="3"/>
        <v>108790</v>
      </c>
      <c r="BS22" s="14">
        <f t="shared" si="4"/>
        <v>69884.800000000003</v>
      </c>
      <c r="BT22" s="12">
        <v>510</v>
      </c>
      <c r="BU22" s="9">
        <v>9140</v>
      </c>
      <c r="BV22" s="9">
        <v>5849.6</v>
      </c>
      <c r="BW22" s="9">
        <v>420</v>
      </c>
      <c r="BX22" s="9">
        <v>7580</v>
      </c>
      <c r="BY22" s="9">
        <v>4851.2</v>
      </c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15">
        <f t="shared" si="5"/>
        <v>930</v>
      </c>
      <c r="DE22" s="15">
        <f t="shared" si="6"/>
        <v>16720</v>
      </c>
      <c r="DF22" s="15">
        <f t="shared" si="7"/>
        <v>10700.8</v>
      </c>
    </row>
    <row r="23" spans="1:110" x14ac:dyDescent="0.25">
      <c r="A23" s="9">
        <v>20</v>
      </c>
      <c r="B23" s="9" t="s">
        <v>68</v>
      </c>
      <c r="C23" s="9" t="s">
        <v>67</v>
      </c>
      <c r="D23" s="9" t="s">
        <v>66</v>
      </c>
      <c r="E23" s="9" t="s">
        <v>65</v>
      </c>
      <c r="F23" s="9" t="s">
        <v>101</v>
      </c>
      <c r="G23" s="10">
        <v>820</v>
      </c>
      <c r="H23" s="10">
        <v>12240</v>
      </c>
      <c r="I23" s="10">
        <v>1091</v>
      </c>
      <c r="J23" s="10">
        <v>15944</v>
      </c>
      <c r="K23" s="10">
        <v>1010</v>
      </c>
      <c r="L23" s="10">
        <v>14850</v>
      </c>
      <c r="M23" s="10">
        <v>1210</v>
      </c>
      <c r="N23" s="10">
        <v>17820</v>
      </c>
      <c r="O23" s="10">
        <v>1050</v>
      </c>
      <c r="P23" s="10">
        <v>15550</v>
      </c>
      <c r="Q23" s="10">
        <v>830</v>
      </c>
      <c r="R23" s="10">
        <v>12290</v>
      </c>
      <c r="S23" s="10">
        <v>1315</v>
      </c>
      <c r="T23" s="10">
        <v>19480</v>
      </c>
      <c r="U23" s="10">
        <v>1150</v>
      </c>
      <c r="V23" s="10">
        <v>17060</v>
      </c>
      <c r="W23" s="10">
        <v>1185</v>
      </c>
      <c r="X23" s="10">
        <v>17750</v>
      </c>
      <c r="Y23" s="10">
        <v>1055</v>
      </c>
      <c r="Z23" s="10">
        <v>15730</v>
      </c>
      <c r="AA23" s="10">
        <v>880</v>
      </c>
      <c r="AB23" s="10">
        <v>13380</v>
      </c>
      <c r="AC23" s="10">
        <v>695</v>
      </c>
      <c r="AD23" s="10">
        <v>10370</v>
      </c>
      <c r="AE23" s="11">
        <f t="shared" si="0"/>
        <v>12291</v>
      </c>
      <c r="AF23" s="11">
        <f t="shared" si="1"/>
        <v>182464</v>
      </c>
      <c r="AG23" s="12">
        <v>820</v>
      </c>
      <c r="AH23" s="12">
        <v>12290</v>
      </c>
      <c r="AI23" s="12">
        <v>7898</v>
      </c>
      <c r="AJ23" s="12">
        <v>525</v>
      </c>
      <c r="AK23" s="12">
        <v>8050</v>
      </c>
      <c r="AL23" s="12">
        <v>5170</v>
      </c>
      <c r="AM23" s="12">
        <v>790</v>
      </c>
      <c r="AN23" s="12">
        <v>12280</v>
      </c>
      <c r="AO23" s="12">
        <v>7870</v>
      </c>
      <c r="AP23" s="12">
        <v>668</v>
      </c>
      <c r="AQ23" s="12">
        <v>10932</v>
      </c>
      <c r="AR23" s="12">
        <v>7003.68</v>
      </c>
      <c r="AS23" s="12">
        <v>660</v>
      </c>
      <c r="AT23" s="12">
        <v>10920</v>
      </c>
      <c r="AU23" s="12">
        <v>7014.0000000000009</v>
      </c>
      <c r="AV23" s="12">
        <v>510</v>
      </c>
      <c r="AW23" s="12">
        <v>7630</v>
      </c>
      <c r="AX23" s="12">
        <v>4886.8</v>
      </c>
      <c r="AY23" s="12">
        <v>595</v>
      </c>
      <c r="AZ23" s="12">
        <v>8560</v>
      </c>
      <c r="BA23" s="12">
        <v>5467.6</v>
      </c>
      <c r="BB23" s="12">
        <v>575</v>
      </c>
      <c r="BC23" s="12">
        <v>8500</v>
      </c>
      <c r="BD23" s="12">
        <v>5440</v>
      </c>
      <c r="BE23" s="12">
        <v>530</v>
      </c>
      <c r="BF23" s="13">
        <v>7860</v>
      </c>
      <c r="BG23" s="12">
        <v>5034</v>
      </c>
      <c r="BH23" s="12">
        <v>695</v>
      </c>
      <c r="BI23" s="12">
        <v>10220</v>
      </c>
      <c r="BJ23" s="12">
        <v>6544.4</v>
      </c>
      <c r="BK23" s="12">
        <v>535</v>
      </c>
      <c r="BL23" s="12">
        <v>8090</v>
      </c>
      <c r="BM23" s="12">
        <v>5177.6000000000004</v>
      </c>
      <c r="BN23" s="12">
        <v>445</v>
      </c>
      <c r="BO23" s="12">
        <v>6820</v>
      </c>
      <c r="BP23" s="12">
        <v>4368.3999999999996</v>
      </c>
      <c r="BQ23" s="14">
        <f t="shared" si="2"/>
        <v>7348</v>
      </c>
      <c r="BR23" s="14">
        <f t="shared" si="3"/>
        <v>112152</v>
      </c>
      <c r="BS23" s="14">
        <f t="shared" si="4"/>
        <v>71874.48</v>
      </c>
      <c r="BT23" s="12">
        <v>435</v>
      </c>
      <c r="BU23" s="9">
        <v>6740</v>
      </c>
      <c r="BV23" s="9">
        <v>4313.6000000000004</v>
      </c>
      <c r="BW23" s="9">
        <v>375</v>
      </c>
      <c r="BX23" s="9">
        <v>5850</v>
      </c>
      <c r="BY23" s="9">
        <v>3744.0000000000005</v>
      </c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15">
        <f t="shared" si="5"/>
        <v>810</v>
      </c>
      <c r="DE23" s="15">
        <f t="shared" si="6"/>
        <v>12590</v>
      </c>
      <c r="DF23" s="15">
        <f t="shared" si="7"/>
        <v>8057.6</v>
      </c>
    </row>
    <row r="24" spans="1:110" x14ac:dyDescent="0.25">
      <c r="A24" s="9">
        <v>21</v>
      </c>
      <c r="B24" s="9" t="s">
        <v>64</v>
      </c>
      <c r="C24" s="9" t="s">
        <v>63</v>
      </c>
      <c r="D24" s="9" t="s">
        <v>45</v>
      </c>
      <c r="E24" s="9" t="s">
        <v>44</v>
      </c>
      <c r="F24" s="9" t="s">
        <v>101</v>
      </c>
      <c r="G24" s="10">
        <v>600</v>
      </c>
      <c r="H24" s="10">
        <v>8000</v>
      </c>
      <c r="I24" s="10">
        <v>420</v>
      </c>
      <c r="J24" s="10">
        <v>6120</v>
      </c>
      <c r="K24" s="10">
        <v>710</v>
      </c>
      <c r="L24" s="10">
        <v>10520</v>
      </c>
      <c r="M24" s="10">
        <v>530</v>
      </c>
      <c r="N24" s="10">
        <v>7560</v>
      </c>
      <c r="O24" s="10">
        <v>350</v>
      </c>
      <c r="P24" s="10">
        <v>5300</v>
      </c>
      <c r="Q24" s="10">
        <v>410</v>
      </c>
      <c r="R24" s="10">
        <v>5580</v>
      </c>
      <c r="S24" s="10">
        <v>600</v>
      </c>
      <c r="T24" s="10">
        <v>8580</v>
      </c>
      <c r="U24" s="10">
        <v>580</v>
      </c>
      <c r="V24" s="10">
        <v>8380</v>
      </c>
      <c r="W24" s="10">
        <v>590</v>
      </c>
      <c r="X24" s="10">
        <v>8060</v>
      </c>
      <c r="Y24" s="10">
        <v>540</v>
      </c>
      <c r="Z24" s="10">
        <v>7680</v>
      </c>
      <c r="AA24" s="10">
        <v>630</v>
      </c>
      <c r="AB24" s="10">
        <v>8920</v>
      </c>
      <c r="AC24" s="10">
        <v>580</v>
      </c>
      <c r="AD24" s="10">
        <v>8480</v>
      </c>
      <c r="AE24" s="11">
        <f t="shared" si="0"/>
        <v>6540</v>
      </c>
      <c r="AF24" s="11">
        <f t="shared" si="1"/>
        <v>93180</v>
      </c>
      <c r="AG24" s="12">
        <v>710</v>
      </c>
      <c r="AH24" s="12">
        <v>10540</v>
      </c>
      <c r="AI24" s="12">
        <v>6817.6</v>
      </c>
      <c r="AJ24" s="12">
        <v>410</v>
      </c>
      <c r="AK24" s="12">
        <v>5580</v>
      </c>
      <c r="AL24" s="12">
        <v>3664.8</v>
      </c>
      <c r="AM24" s="12">
        <v>680</v>
      </c>
      <c r="AN24" s="12">
        <v>9720</v>
      </c>
      <c r="AO24" s="12">
        <v>6328.8</v>
      </c>
      <c r="AP24" s="12">
        <v>490</v>
      </c>
      <c r="AQ24" s="12">
        <v>7160</v>
      </c>
      <c r="AR24" s="12">
        <v>4582.3999999999996</v>
      </c>
      <c r="AS24" s="12">
        <v>200</v>
      </c>
      <c r="AT24" s="12">
        <v>2900</v>
      </c>
      <c r="AU24" s="12">
        <v>1892</v>
      </c>
      <c r="AV24" s="12">
        <v>250</v>
      </c>
      <c r="AW24" s="12">
        <v>3400</v>
      </c>
      <c r="AX24" s="12">
        <v>2212</v>
      </c>
      <c r="AY24" s="12">
        <v>250</v>
      </c>
      <c r="AZ24" s="12">
        <v>3300</v>
      </c>
      <c r="BA24" s="12">
        <v>2184</v>
      </c>
      <c r="BB24" s="12">
        <v>270</v>
      </c>
      <c r="BC24" s="12">
        <v>3980</v>
      </c>
      <c r="BD24" s="12">
        <v>2547.1999999999998</v>
      </c>
      <c r="BE24" s="12">
        <v>200</v>
      </c>
      <c r="BF24" s="13">
        <v>2700</v>
      </c>
      <c r="BG24" s="12">
        <v>1764</v>
      </c>
      <c r="BH24" s="12">
        <v>540</v>
      </c>
      <c r="BI24" s="12">
        <v>7510</v>
      </c>
      <c r="BJ24" s="12">
        <v>4896.3999999999996</v>
      </c>
      <c r="BK24" s="12">
        <v>570</v>
      </c>
      <c r="BL24" s="12">
        <v>8080</v>
      </c>
      <c r="BM24" s="12">
        <v>5207.2</v>
      </c>
      <c r="BN24" s="12">
        <v>350</v>
      </c>
      <c r="BO24" s="12">
        <v>4800</v>
      </c>
      <c r="BP24" s="12">
        <v>3108</v>
      </c>
      <c r="BQ24" s="14">
        <f t="shared" si="2"/>
        <v>4920</v>
      </c>
      <c r="BR24" s="14">
        <f t="shared" si="3"/>
        <v>69670</v>
      </c>
      <c r="BS24" s="14">
        <f t="shared" si="4"/>
        <v>45204.399999999994</v>
      </c>
      <c r="BT24" s="12">
        <v>370</v>
      </c>
      <c r="BU24" s="9">
        <v>5080</v>
      </c>
      <c r="BV24" s="9">
        <v>3287.2</v>
      </c>
      <c r="BW24" s="9">
        <v>550</v>
      </c>
      <c r="BX24" s="9">
        <v>7660</v>
      </c>
      <c r="BY24" s="9">
        <v>4988.7999999999993</v>
      </c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15">
        <f t="shared" si="5"/>
        <v>920</v>
      </c>
      <c r="DE24" s="15">
        <f t="shared" si="6"/>
        <v>12740</v>
      </c>
      <c r="DF24" s="15">
        <f t="shared" si="7"/>
        <v>8276</v>
      </c>
    </row>
    <row r="25" spans="1:110" x14ac:dyDescent="0.25">
      <c r="A25" s="9">
        <v>22</v>
      </c>
      <c r="B25" s="9" t="s">
        <v>52</v>
      </c>
      <c r="C25" s="9" t="s">
        <v>51</v>
      </c>
      <c r="D25" s="9" t="s">
        <v>49</v>
      </c>
      <c r="E25" s="9" t="s">
        <v>48</v>
      </c>
      <c r="F25" s="9" t="s">
        <v>101</v>
      </c>
      <c r="G25" s="10">
        <v>600</v>
      </c>
      <c r="H25" s="10">
        <v>8200</v>
      </c>
      <c r="I25" s="10">
        <v>400</v>
      </c>
      <c r="J25" s="10">
        <v>5600</v>
      </c>
      <c r="K25" s="10">
        <v>900</v>
      </c>
      <c r="L25" s="10">
        <v>12600</v>
      </c>
      <c r="M25" s="10">
        <v>300</v>
      </c>
      <c r="N25" s="10">
        <v>5600</v>
      </c>
      <c r="O25" s="10">
        <v>400</v>
      </c>
      <c r="P25" s="10">
        <v>5600</v>
      </c>
      <c r="Q25" s="10">
        <v>400</v>
      </c>
      <c r="R25" s="10">
        <v>5600</v>
      </c>
      <c r="S25" s="10">
        <v>200</v>
      </c>
      <c r="T25" s="10">
        <v>2800</v>
      </c>
      <c r="U25" s="10">
        <v>300</v>
      </c>
      <c r="V25" s="10">
        <v>4200</v>
      </c>
      <c r="W25" s="10">
        <v>300</v>
      </c>
      <c r="X25" s="10">
        <v>4200</v>
      </c>
      <c r="Y25" s="10">
        <v>400</v>
      </c>
      <c r="Z25" s="10">
        <v>5600</v>
      </c>
      <c r="AA25" s="10">
        <v>300</v>
      </c>
      <c r="AB25" s="10">
        <v>4200</v>
      </c>
      <c r="AC25" s="10">
        <v>500</v>
      </c>
      <c r="AD25" s="10">
        <v>8000</v>
      </c>
      <c r="AE25" s="11">
        <f t="shared" si="0"/>
        <v>5000</v>
      </c>
      <c r="AF25" s="11">
        <f t="shared" si="1"/>
        <v>72200</v>
      </c>
      <c r="AG25" s="12">
        <v>200</v>
      </c>
      <c r="AH25" s="12">
        <v>2800</v>
      </c>
      <c r="AI25" s="12">
        <v>1792</v>
      </c>
      <c r="AJ25" s="12">
        <v>550</v>
      </c>
      <c r="AK25" s="12">
        <v>8700</v>
      </c>
      <c r="AL25" s="12">
        <v>5472</v>
      </c>
      <c r="AM25" s="12">
        <v>300</v>
      </c>
      <c r="AN25" s="12">
        <v>4200</v>
      </c>
      <c r="AO25" s="12">
        <v>2688</v>
      </c>
      <c r="AP25" s="12">
        <v>100</v>
      </c>
      <c r="AQ25" s="12">
        <v>2400</v>
      </c>
      <c r="AR25" s="12">
        <v>1440</v>
      </c>
      <c r="AS25" s="12">
        <v>270</v>
      </c>
      <c r="AT25" s="12">
        <v>4740</v>
      </c>
      <c r="AU25" s="12">
        <v>2947.2</v>
      </c>
      <c r="AV25" s="12">
        <v>200</v>
      </c>
      <c r="AW25" s="12">
        <v>2700</v>
      </c>
      <c r="AX25" s="12">
        <v>1944</v>
      </c>
      <c r="AY25" s="12">
        <v>400</v>
      </c>
      <c r="AZ25" s="12">
        <v>6600</v>
      </c>
      <c r="BA25" s="12">
        <v>4128</v>
      </c>
      <c r="BB25" s="12">
        <v>280</v>
      </c>
      <c r="BC25" s="12">
        <v>4920</v>
      </c>
      <c r="BD25" s="12">
        <v>3052.8</v>
      </c>
      <c r="BE25" s="12">
        <v>330</v>
      </c>
      <c r="BF25" s="13">
        <v>5060</v>
      </c>
      <c r="BG25" s="12">
        <v>3204.8</v>
      </c>
      <c r="BH25" s="12">
        <v>250</v>
      </c>
      <c r="BI25" s="12">
        <v>4000</v>
      </c>
      <c r="BJ25" s="12">
        <v>2512</v>
      </c>
      <c r="BK25" s="12">
        <v>330</v>
      </c>
      <c r="BL25" s="12">
        <v>6620</v>
      </c>
      <c r="BM25" s="12">
        <v>4044.8</v>
      </c>
      <c r="BN25" s="12">
        <v>200</v>
      </c>
      <c r="BO25" s="12">
        <v>2800</v>
      </c>
      <c r="BP25" s="12">
        <v>1792</v>
      </c>
      <c r="BQ25" s="14">
        <f t="shared" si="2"/>
        <v>3410</v>
      </c>
      <c r="BR25" s="14">
        <f t="shared" si="3"/>
        <v>55540</v>
      </c>
      <c r="BS25" s="14">
        <f t="shared" si="4"/>
        <v>35017.599999999999</v>
      </c>
      <c r="BT25" s="12">
        <v>500</v>
      </c>
      <c r="BU25" s="9">
        <v>7800</v>
      </c>
      <c r="BV25" s="9">
        <v>5328</v>
      </c>
      <c r="BW25" s="9">
        <v>450</v>
      </c>
      <c r="BX25" s="9">
        <v>8300</v>
      </c>
      <c r="BY25" s="9">
        <v>5120</v>
      </c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15">
        <f t="shared" si="5"/>
        <v>950</v>
      </c>
      <c r="DE25" s="15">
        <f t="shared" si="6"/>
        <v>16100</v>
      </c>
      <c r="DF25" s="15">
        <f t="shared" si="7"/>
        <v>10448</v>
      </c>
    </row>
    <row r="26" spans="1:110" x14ac:dyDescent="0.25">
      <c r="A26" s="9">
        <v>23</v>
      </c>
      <c r="B26" s="9" t="s">
        <v>39</v>
      </c>
      <c r="C26" s="9" t="s">
        <v>38</v>
      </c>
      <c r="D26" s="9" t="s">
        <v>32</v>
      </c>
      <c r="E26" s="9" t="s">
        <v>31</v>
      </c>
      <c r="F26" s="9" t="s">
        <v>101</v>
      </c>
      <c r="G26" s="10">
        <v>500</v>
      </c>
      <c r="H26" s="10">
        <v>7000</v>
      </c>
      <c r="I26" s="10">
        <v>500</v>
      </c>
      <c r="J26" s="10">
        <v>7000</v>
      </c>
      <c r="K26" s="10">
        <v>500</v>
      </c>
      <c r="L26" s="10">
        <v>7000</v>
      </c>
      <c r="M26" s="10">
        <v>500</v>
      </c>
      <c r="N26" s="10">
        <v>7000</v>
      </c>
      <c r="O26" s="10">
        <v>652</v>
      </c>
      <c r="P26" s="10">
        <v>9136</v>
      </c>
      <c r="Q26" s="10">
        <v>499</v>
      </c>
      <c r="R26" s="10">
        <v>7116</v>
      </c>
      <c r="S26" s="10">
        <v>400</v>
      </c>
      <c r="T26" s="10">
        <v>5900</v>
      </c>
      <c r="U26" s="10">
        <v>750</v>
      </c>
      <c r="V26" s="10">
        <v>10500</v>
      </c>
      <c r="W26" s="10">
        <v>360</v>
      </c>
      <c r="X26" s="10">
        <v>5540</v>
      </c>
      <c r="Y26" s="10">
        <v>660</v>
      </c>
      <c r="Z26" s="10">
        <v>9780</v>
      </c>
      <c r="AA26" s="10">
        <v>311</v>
      </c>
      <c r="AB26" s="10">
        <v>4406</v>
      </c>
      <c r="AC26" s="10">
        <v>400</v>
      </c>
      <c r="AD26" s="10">
        <v>5600</v>
      </c>
      <c r="AE26" s="11">
        <f t="shared" si="0"/>
        <v>6032</v>
      </c>
      <c r="AF26" s="11">
        <f t="shared" si="1"/>
        <v>85978</v>
      </c>
      <c r="AG26" s="12">
        <v>600</v>
      </c>
      <c r="AH26" s="12">
        <v>8400</v>
      </c>
      <c r="AI26" s="12">
        <v>5376</v>
      </c>
      <c r="AJ26" s="12">
        <v>250</v>
      </c>
      <c r="AK26" s="12">
        <v>3500</v>
      </c>
      <c r="AL26" s="12">
        <v>2240</v>
      </c>
      <c r="AM26" s="12">
        <v>600</v>
      </c>
      <c r="AN26" s="12">
        <v>8400</v>
      </c>
      <c r="AO26" s="12">
        <v>5376</v>
      </c>
      <c r="AP26" s="12">
        <v>650</v>
      </c>
      <c r="AQ26" s="12">
        <v>9100</v>
      </c>
      <c r="AR26" s="12">
        <v>5824</v>
      </c>
      <c r="AS26" s="12">
        <v>301.45833333333331</v>
      </c>
      <c r="AT26" s="12">
        <v>4229</v>
      </c>
      <c r="AU26" s="12">
        <v>2700.25</v>
      </c>
      <c r="AV26" s="12">
        <v>500</v>
      </c>
      <c r="AW26" s="12">
        <v>7000</v>
      </c>
      <c r="AX26" s="12">
        <v>4480</v>
      </c>
      <c r="AY26" s="12">
        <v>550</v>
      </c>
      <c r="AZ26" s="12">
        <v>7700</v>
      </c>
      <c r="BA26" s="12">
        <v>4928</v>
      </c>
      <c r="BB26" s="12">
        <v>300</v>
      </c>
      <c r="BC26" s="12">
        <v>4200</v>
      </c>
      <c r="BD26" s="12">
        <v>2688</v>
      </c>
      <c r="BE26" s="12">
        <v>530</v>
      </c>
      <c r="BF26" s="13">
        <v>7720</v>
      </c>
      <c r="BG26" s="12">
        <v>4912</v>
      </c>
      <c r="BH26" s="12">
        <v>300</v>
      </c>
      <c r="BI26" s="12">
        <v>4200</v>
      </c>
      <c r="BJ26" s="12">
        <v>2688</v>
      </c>
      <c r="BK26" s="12">
        <v>550</v>
      </c>
      <c r="BL26" s="12">
        <v>7700</v>
      </c>
      <c r="BM26" s="12">
        <v>4928</v>
      </c>
      <c r="BN26" s="12">
        <v>280</v>
      </c>
      <c r="BO26" s="12">
        <v>4220</v>
      </c>
      <c r="BP26" s="12">
        <v>2672</v>
      </c>
      <c r="BQ26" s="14">
        <f t="shared" si="2"/>
        <v>5411.4583333333339</v>
      </c>
      <c r="BR26" s="14">
        <f t="shared" si="3"/>
        <v>76369</v>
      </c>
      <c r="BS26" s="14">
        <f t="shared" si="4"/>
        <v>48812.25</v>
      </c>
      <c r="BT26" s="12">
        <v>510</v>
      </c>
      <c r="BU26" s="9">
        <v>7440</v>
      </c>
      <c r="BV26" s="9">
        <v>4732.8</v>
      </c>
      <c r="BW26" s="9">
        <v>280</v>
      </c>
      <c r="BX26" s="9">
        <v>4220</v>
      </c>
      <c r="BY26" s="9">
        <v>2672</v>
      </c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15">
        <f t="shared" si="5"/>
        <v>790</v>
      </c>
      <c r="DE26" s="15">
        <f t="shared" si="6"/>
        <v>11660</v>
      </c>
      <c r="DF26" s="15">
        <f t="shared" si="7"/>
        <v>7404.8</v>
      </c>
    </row>
    <row r="27" spans="1:110" x14ac:dyDescent="0.25">
      <c r="A27" s="9">
        <v>24</v>
      </c>
      <c r="B27" s="9" t="s">
        <v>22</v>
      </c>
      <c r="C27" s="9" t="s">
        <v>21</v>
      </c>
      <c r="D27" s="9" t="s">
        <v>14</v>
      </c>
      <c r="E27" s="9" t="s">
        <v>13</v>
      </c>
      <c r="F27" s="9" t="s">
        <v>101</v>
      </c>
      <c r="G27" s="10">
        <v>100</v>
      </c>
      <c r="H27" s="10">
        <v>1400</v>
      </c>
      <c r="I27" s="10">
        <v>250</v>
      </c>
      <c r="J27" s="10">
        <v>3300</v>
      </c>
      <c r="K27" s="10">
        <v>300</v>
      </c>
      <c r="L27" s="10">
        <v>4100</v>
      </c>
      <c r="M27" s="10">
        <v>1000</v>
      </c>
      <c r="N27" s="10">
        <v>13000</v>
      </c>
      <c r="O27" s="10">
        <v>525</v>
      </c>
      <c r="P27" s="10">
        <v>7600</v>
      </c>
      <c r="Q27" s="10">
        <v>300</v>
      </c>
      <c r="R27" s="10">
        <v>5200</v>
      </c>
      <c r="S27" s="10">
        <v>600</v>
      </c>
      <c r="T27" s="10">
        <v>8000</v>
      </c>
      <c r="U27" s="10">
        <v>650</v>
      </c>
      <c r="V27" s="10">
        <v>9200</v>
      </c>
      <c r="W27" s="10">
        <v>600</v>
      </c>
      <c r="X27" s="10">
        <v>8400</v>
      </c>
      <c r="Y27" s="10">
        <v>600</v>
      </c>
      <c r="Z27" s="10">
        <v>8040</v>
      </c>
      <c r="AA27" s="10">
        <v>300</v>
      </c>
      <c r="AB27" s="10">
        <v>4800</v>
      </c>
      <c r="AC27" s="10">
        <v>250</v>
      </c>
      <c r="AD27" s="10">
        <v>3760</v>
      </c>
      <c r="AE27" s="11">
        <f t="shared" si="0"/>
        <v>5475</v>
      </c>
      <c r="AF27" s="11">
        <f t="shared" si="1"/>
        <v>76800</v>
      </c>
      <c r="AG27" s="12">
        <v>0</v>
      </c>
      <c r="AH27" s="12">
        <v>0</v>
      </c>
      <c r="AI27" s="12">
        <v>0</v>
      </c>
      <c r="AJ27" s="12">
        <v>90</v>
      </c>
      <c r="AK27" s="12">
        <v>1080</v>
      </c>
      <c r="AL27" s="12">
        <v>1080</v>
      </c>
      <c r="AM27" s="12">
        <v>2100</v>
      </c>
      <c r="AN27" s="12">
        <v>28930</v>
      </c>
      <c r="AO27" s="12">
        <v>21690.400000000001</v>
      </c>
      <c r="AP27" s="12">
        <v>0</v>
      </c>
      <c r="AQ27" s="12">
        <v>0</v>
      </c>
      <c r="AR27" s="12">
        <v>0</v>
      </c>
      <c r="AS27" s="12">
        <v>100</v>
      </c>
      <c r="AT27" s="12">
        <v>2400</v>
      </c>
      <c r="AU27" s="12">
        <v>1536</v>
      </c>
      <c r="AV27" s="12">
        <v>114</v>
      </c>
      <c r="AW27" s="12">
        <v>1576</v>
      </c>
      <c r="AX27" s="12">
        <v>1003.8399999999999</v>
      </c>
      <c r="AY27" s="12">
        <v>597</v>
      </c>
      <c r="AZ27" s="12">
        <v>8328</v>
      </c>
      <c r="BA27" s="12">
        <v>7489.92</v>
      </c>
      <c r="BB27" s="12">
        <v>450</v>
      </c>
      <c r="BC27" s="12">
        <v>6300</v>
      </c>
      <c r="BD27" s="12">
        <v>4032</v>
      </c>
      <c r="BE27" s="12">
        <v>550</v>
      </c>
      <c r="BF27" s="13">
        <v>7100</v>
      </c>
      <c r="BG27" s="12">
        <v>5840</v>
      </c>
      <c r="BH27" s="12">
        <v>1550</v>
      </c>
      <c r="BI27" s="12">
        <v>20700</v>
      </c>
      <c r="BJ27" s="12">
        <v>17568</v>
      </c>
      <c r="BK27" s="12">
        <v>50</v>
      </c>
      <c r="BL27" s="12">
        <v>1200</v>
      </c>
      <c r="BM27" s="12">
        <v>768</v>
      </c>
      <c r="BN27" s="12">
        <v>200</v>
      </c>
      <c r="BO27" s="12">
        <v>2800</v>
      </c>
      <c r="BP27" s="12">
        <v>1792</v>
      </c>
      <c r="BQ27" s="14">
        <f t="shared" si="2"/>
        <v>5801</v>
      </c>
      <c r="BR27" s="14">
        <f t="shared" si="3"/>
        <v>80414</v>
      </c>
      <c r="BS27" s="14">
        <f t="shared" si="4"/>
        <v>62800.160000000003</v>
      </c>
      <c r="BT27" s="12">
        <v>0</v>
      </c>
      <c r="BU27" s="9">
        <v>0</v>
      </c>
      <c r="BV27" s="9">
        <v>0</v>
      </c>
      <c r="BW27" s="9">
        <v>580</v>
      </c>
      <c r="BX27" s="9">
        <v>8920</v>
      </c>
      <c r="BY27" s="9">
        <v>5708.8</v>
      </c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15">
        <f t="shared" si="5"/>
        <v>580</v>
      </c>
      <c r="DE27" s="15">
        <f t="shared" si="6"/>
        <v>8920</v>
      </c>
      <c r="DF27" s="15">
        <f t="shared" si="7"/>
        <v>5708.8</v>
      </c>
    </row>
    <row r="28" spans="1:110" x14ac:dyDescent="0.25">
      <c r="A28" s="9">
        <v>25</v>
      </c>
      <c r="B28" s="9" t="s">
        <v>26</v>
      </c>
      <c r="C28" s="9" t="s">
        <v>25</v>
      </c>
      <c r="D28" s="9" t="s">
        <v>24</v>
      </c>
      <c r="E28" s="9" t="s">
        <v>23</v>
      </c>
      <c r="F28" s="9" t="s">
        <v>101</v>
      </c>
      <c r="G28" s="10">
        <v>1100</v>
      </c>
      <c r="H28" s="10">
        <v>15400</v>
      </c>
      <c r="I28" s="10">
        <v>1000</v>
      </c>
      <c r="J28" s="10">
        <v>14000</v>
      </c>
      <c r="K28" s="10">
        <v>450</v>
      </c>
      <c r="L28" s="10">
        <v>6300</v>
      </c>
      <c r="M28" s="10">
        <v>400</v>
      </c>
      <c r="N28" s="10">
        <v>5600</v>
      </c>
      <c r="O28" s="10">
        <v>300</v>
      </c>
      <c r="P28" s="10">
        <v>4200</v>
      </c>
      <c r="Q28" s="10">
        <v>600</v>
      </c>
      <c r="R28" s="10">
        <v>8400</v>
      </c>
      <c r="S28" s="10">
        <v>300</v>
      </c>
      <c r="T28" s="10">
        <v>4200</v>
      </c>
      <c r="U28" s="10">
        <v>399</v>
      </c>
      <c r="V28" s="10">
        <v>5586</v>
      </c>
      <c r="W28" s="10">
        <v>650</v>
      </c>
      <c r="X28" s="10">
        <v>9100</v>
      </c>
      <c r="Y28" s="10">
        <v>212</v>
      </c>
      <c r="Z28" s="10">
        <v>2968</v>
      </c>
      <c r="AA28" s="10">
        <v>500</v>
      </c>
      <c r="AB28" s="10">
        <v>7000</v>
      </c>
      <c r="AC28" s="10">
        <v>850</v>
      </c>
      <c r="AD28" s="10">
        <v>11900</v>
      </c>
      <c r="AE28" s="11">
        <f t="shared" si="0"/>
        <v>6761</v>
      </c>
      <c r="AF28" s="11">
        <f t="shared" si="1"/>
        <v>94654</v>
      </c>
      <c r="AG28" s="12">
        <v>750</v>
      </c>
      <c r="AH28" s="12">
        <v>10400</v>
      </c>
      <c r="AI28" s="12">
        <v>6872</v>
      </c>
      <c r="AJ28" s="12">
        <v>765</v>
      </c>
      <c r="AK28" s="12">
        <v>11910</v>
      </c>
      <c r="AL28" s="12">
        <v>7838.4</v>
      </c>
      <c r="AM28" s="12">
        <v>500</v>
      </c>
      <c r="AN28" s="12">
        <v>7400</v>
      </c>
      <c r="AO28" s="12">
        <v>4952</v>
      </c>
      <c r="AP28" s="12">
        <v>780</v>
      </c>
      <c r="AQ28" s="12">
        <v>10920</v>
      </c>
      <c r="AR28" s="12">
        <v>6988.8</v>
      </c>
      <c r="AS28" s="12">
        <v>800</v>
      </c>
      <c r="AT28" s="12">
        <v>12000</v>
      </c>
      <c r="AU28" s="12">
        <v>8112</v>
      </c>
      <c r="AV28" s="12">
        <v>905</v>
      </c>
      <c r="AW28" s="12">
        <v>12670</v>
      </c>
      <c r="AX28" s="12">
        <v>8108.8000000000011</v>
      </c>
      <c r="AY28" s="12">
        <v>300</v>
      </c>
      <c r="AZ28" s="12">
        <v>4200</v>
      </c>
      <c r="BA28" s="12">
        <v>2688</v>
      </c>
      <c r="BB28" s="12">
        <v>380</v>
      </c>
      <c r="BC28" s="12">
        <v>5320</v>
      </c>
      <c r="BD28" s="12">
        <v>3404.8</v>
      </c>
      <c r="BE28" s="12">
        <v>300</v>
      </c>
      <c r="BF28" s="13">
        <v>4200</v>
      </c>
      <c r="BG28" s="12">
        <v>2688</v>
      </c>
      <c r="BH28" s="12">
        <v>720</v>
      </c>
      <c r="BI28" s="12">
        <v>10080</v>
      </c>
      <c r="BJ28" s="12">
        <v>6451.2</v>
      </c>
      <c r="BK28" s="12">
        <v>380</v>
      </c>
      <c r="BL28" s="12">
        <v>5320</v>
      </c>
      <c r="BM28" s="12">
        <v>3404.8</v>
      </c>
      <c r="BN28" s="12">
        <v>375</v>
      </c>
      <c r="BO28" s="12">
        <v>4850</v>
      </c>
      <c r="BP28" s="12">
        <v>3968</v>
      </c>
      <c r="BQ28" s="14">
        <f t="shared" si="2"/>
        <v>6955</v>
      </c>
      <c r="BR28" s="14">
        <f t="shared" si="3"/>
        <v>99270</v>
      </c>
      <c r="BS28" s="14">
        <f t="shared" si="4"/>
        <v>65476.800000000003</v>
      </c>
      <c r="BT28" s="12">
        <v>550</v>
      </c>
      <c r="BU28" s="9">
        <v>7700</v>
      </c>
      <c r="BV28" s="9">
        <v>4928</v>
      </c>
      <c r="BW28" s="9">
        <v>0</v>
      </c>
      <c r="BX28" s="9">
        <v>0</v>
      </c>
      <c r="BY28" s="9">
        <v>0</v>
      </c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15">
        <f t="shared" si="5"/>
        <v>550</v>
      </c>
      <c r="DE28" s="15">
        <f t="shared" si="6"/>
        <v>7700</v>
      </c>
      <c r="DF28" s="15">
        <f t="shared" si="7"/>
        <v>4928</v>
      </c>
    </row>
    <row r="29" spans="1:110" x14ac:dyDescent="0.25">
      <c r="A29" s="9">
        <v>24</v>
      </c>
      <c r="B29" s="9" t="s">
        <v>107</v>
      </c>
      <c r="C29" s="9" t="s">
        <v>108</v>
      </c>
      <c r="D29" s="9" t="s">
        <v>14</v>
      </c>
      <c r="E29" s="9" t="s">
        <v>13</v>
      </c>
      <c r="F29" s="9" t="s">
        <v>104</v>
      </c>
      <c r="G29" s="10">
        <v>305</v>
      </c>
      <c r="H29" s="10">
        <v>4160</v>
      </c>
      <c r="I29" s="10">
        <v>625</v>
      </c>
      <c r="J29" s="10">
        <v>8480</v>
      </c>
      <c r="K29" s="10">
        <v>300</v>
      </c>
      <c r="L29" s="10">
        <v>4140</v>
      </c>
      <c r="M29" s="10">
        <v>100</v>
      </c>
      <c r="N29" s="10">
        <v>2400</v>
      </c>
      <c r="O29" s="10">
        <v>300</v>
      </c>
      <c r="P29" s="10">
        <v>4200</v>
      </c>
      <c r="Q29" s="10">
        <v>300</v>
      </c>
      <c r="R29" s="10">
        <v>4100</v>
      </c>
      <c r="S29" s="10">
        <v>605</v>
      </c>
      <c r="T29" s="10">
        <v>8340</v>
      </c>
      <c r="U29" s="10">
        <v>305</v>
      </c>
      <c r="V29" s="10">
        <v>4100</v>
      </c>
      <c r="W29" s="10">
        <v>300</v>
      </c>
      <c r="X29" s="10">
        <v>4140</v>
      </c>
      <c r="Y29" s="10">
        <v>600</v>
      </c>
      <c r="Z29" s="10">
        <v>8180</v>
      </c>
      <c r="AA29" s="10">
        <v>300</v>
      </c>
      <c r="AB29" s="10">
        <v>4020</v>
      </c>
      <c r="AC29" s="10">
        <v>250</v>
      </c>
      <c r="AD29" s="10">
        <v>3760</v>
      </c>
      <c r="AE29" s="11">
        <f t="shared" si="0"/>
        <v>4290</v>
      </c>
      <c r="AF29" s="11">
        <f t="shared" si="1"/>
        <v>60020</v>
      </c>
      <c r="AG29" s="12">
        <v>575</v>
      </c>
      <c r="AH29" s="12">
        <v>8920</v>
      </c>
      <c r="AI29" s="12">
        <v>5971.6</v>
      </c>
      <c r="AJ29" s="12">
        <v>305</v>
      </c>
      <c r="AK29" s="12">
        <v>4140</v>
      </c>
      <c r="AL29" s="12">
        <v>2912.4</v>
      </c>
      <c r="AM29" s="12">
        <v>565</v>
      </c>
      <c r="AN29" s="12">
        <v>8580</v>
      </c>
      <c r="AO29" s="12">
        <v>6150</v>
      </c>
      <c r="AP29" s="12">
        <v>200</v>
      </c>
      <c r="AQ29" s="12">
        <v>3300</v>
      </c>
      <c r="AR29" s="12">
        <v>2112</v>
      </c>
      <c r="AS29" s="12">
        <v>240</v>
      </c>
      <c r="AT29" s="12">
        <v>4140</v>
      </c>
      <c r="AU29" s="12">
        <v>3088.8</v>
      </c>
      <c r="AV29" s="12">
        <v>0</v>
      </c>
      <c r="AW29" s="12">
        <v>0</v>
      </c>
      <c r="AX29" s="12">
        <v>0</v>
      </c>
      <c r="AY29" s="12">
        <v>370</v>
      </c>
      <c r="AZ29" s="12">
        <v>5290</v>
      </c>
      <c r="BA29" s="12">
        <v>4132</v>
      </c>
      <c r="BB29" s="12">
        <v>300</v>
      </c>
      <c r="BC29" s="12">
        <v>4000</v>
      </c>
      <c r="BD29" s="12">
        <v>2992</v>
      </c>
      <c r="BE29" s="12">
        <v>85</v>
      </c>
      <c r="BF29" s="13">
        <v>1680</v>
      </c>
      <c r="BG29" s="12">
        <v>1078.8</v>
      </c>
      <c r="BH29" s="12">
        <v>0</v>
      </c>
      <c r="BI29" s="12">
        <v>0</v>
      </c>
      <c r="BJ29" s="12">
        <v>0</v>
      </c>
      <c r="BK29" s="12">
        <v>135</v>
      </c>
      <c r="BL29" s="12">
        <v>2180</v>
      </c>
      <c r="BM29" s="12">
        <v>1416.8</v>
      </c>
      <c r="BN29" s="12">
        <v>250</v>
      </c>
      <c r="BO29" s="12">
        <v>3200</v>
      </c>
      <c r="BP29" s="12">
        <v>2696</v>
      </c>
      <c r="BQ29" s="14">
        <f t="shared" si="2"/>
        <v>3025</v>
      </c>
      <c r="BR29" s="14">
        <f t="shared" si="3"/>
        <v>45430</v>
      </c>
      <c r="BS29" s="14">
        <f t="shared" si="4"/>
        <v>32550.399999999998</v>
      </c>
      <c r="BT29" s="14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15">
        <f t="shared" si="5"/>
        <v>0</v>
      </c>
      <c r="DE29" s="15">
        <f t="shared" si="6"/>
        <v>0</v>
      </c>
      <c r="DF29" s="15">
        <f t="shared" si="7"/>
        <v>0</v>
      </c>
    </row>
    <row r="30" spans="1:110" s="3" customFormat="1" x14ac:dyDescent="0.25">
      <c r="A30" s="29" t="s">
        <v>12</v>
      </c>
      <c r="B30" s="29"/>
      <c r="C30" s="29"/>
      <c r="D30" s="29"/>
      <c r="E30" s="29"/>
      <c r="F30" s="29"/>
      <c r="G30" s="17">
        <f>SUM(G4:G29)</f>
        <v>56060</v>
      </c>
      <c r="H30" s="17">
        <f t="shared" ref="H30:BP30" si="8">SUM(H4:H29)</f>
        <v>867731</v>
      </c>
      <c r="I30" s="17">
        <f t="shared" si="8"/>
        <v>43368</v>
      </c>
      <c r="J30" s="17">
        <f t="shared" si="8"/>
        <v>683544</v>
      </c>
      <c r="K30" s="17">
        <f t="shared" si="8"/>
        <v>44170</v>
      </c>
      <c r="L30" s="17">
        <f t="shared" si="8"/>
        <v>693618</v>
      </c>
      <c r="M30" s="17">
        <f t="shared" si="8"/>
        <v>41593</v>
      </c>
      <c r="N30" s="17">
        <f t="shared" si="8"/>
        <v>644518</v>
      </c>
      <c r="O30" s="17">
        <f t="shared" si="8"/>
        <v>46338</v>
      </c>
      <c r="P30" s="17">
        <f t="shared" si="8"/>
        <v>734660</v>
      </c>
      <c r="Q30" s="17">
        <f t="shared" si="8"/>
        <v>45743</v>
      </c>
      <c r="R30" s="17">
        <f t="shared" si="8"/>
        <v>715304</v>
      </c>
      <c r="S30" s="17">
        <f t="shared" si="8"/>
        <v>47787</v>
      </c>
      <c r="T30" s="17">
        <f t="shared" si="8"/>
        <v>754136</v>
      </c>
      <c r="U30" s="17">
        <f t="shared" si="8"/>
        <v>46604</v>
      </c>
      <c r="V30" s="17">
        <f t="shared" si="8"/>
        <v>737062</v>
      </c>
      <c r="W30" s="17">
        <f t="shared" si="8"/>
        <v>50416</v>
      </c>
      <c r="X30" s="17">
        <f t="shared" si="8"/>
        <v>799388</v>
      </c>
      <c r="Y30" s="17">
        <f t="shared" si="8"/>
        <v>52801</v>
      </c>
      <c r="Z30" s="17">
        <f t="shared" si="8"/>
        <v>834646</v>
      </c>
      <c r="AA30" s="17">
        <f t="shared" si="8"/>
        <v>51355</v>
      </c>
      <c r="AB30" s="17">
        <f t="shared" si="8"/>
        <v>830988</v>
      </c>
      <c r="AC30" s="17">
        <f t="shared" si="8"/>
        <v>56866</v>
      </c>
      <c r="AD30" s="17">
        <f t="shared" si="8"/>
        <v>898928</v>
      </c>
      <c r="AE30" s="18">
        <f t="shared" si="0"/>
        <v>583101</v>
      </c>
      <c r="AF30" s="18">
        <f t="shared" si="1"/>
        <v>9194523</v>
      </c>
      <c r="AG30" s="17">
        <f t="shared" si="8"/>
        <v>52449</v>
      </c>
      <c r="AH30" s="17">
        <f t="shared" si="8"/>
        <v>833902</v>
      </c>
      <c r="AI30" s="17">
        <f t="shared" si="8"/>
        <v>541971.99999999988</v>
      </c>
      <c r="AJ30" s="17">
        <f t="shared" si="8"/>
        <v>44693</v>
      </c>
      <c r="AK30" s="17">
        <f t="shared" si="8"/>
        <v>711314</v>
      </c>
      <c r="AL30" s="17">
        <f t="shared" si="8"/>
        <v>459680.24000000011</v>
      </c>
      <c r="AM30" s="17">
        <f t="shared" si="8"/>
        <v>56355.642857142855</v>
      </c>
      <c r="AN30" s="17">
        <f t="shared" si="8"/>
        <v>893767</v>
      </c>
      <c r="AO30" s="17">
        <f t="shared" si="8"/>
        <v>589652.26</v>
      </c>
      <c r="AP30" s="17">
        <f t="shared" si="8"/>
        <v>44618</v>
      </c>
      <c r="AQ30" s="17">
        <f t="shared" si="8"/>
        <v>715515</v>
      </c>
      <c r="AR30" s="17">
        <f t="shared" si="8"/>
        <v>465623.09999999992</v>
      </c>
      <c r="AS30" s="17">
        <f t="shared" si="8"/>
        <v>48539.208333333336</v>
      </c>
      <c r="AT30" s="17">
        <f t="shared" si="8"/>
        <v>769331</v>
      </c>
      <c r="AU30" s="17">
        <f t="shared" si="8"/>
        <v>501998.95</v>
      </c>
      <c r="AV30" s="17">
        <f t="shared" si="8"/>
        <v>49277.5</v>
      </c>
      <c r="AW30" s="17">
        <f t="shared" si="8"/>
        <v>779498</v>
      </c>
      <c r="AX30" s="17">
        <f t="shared" si="8"/>
        <v>506865.55999999988</v>
      </c>
      <c r="AY30" s="17">
        <f t="shared" si="8"/>
        <v>47373</v>
      </c>
      <c r="AZ30" s="17">
        <f t="shared" si="8"/>
        <v>754474</v>
      </c>
      <c r="BA30" s="17">
        <f t="shared" si="8"/>
        <v>494842.95999999996</v>
      </c>
      <c r="BB30" s="17">
        <f t="shared" si="8"/>
        <v>46751</v>
      </c>
      <c r="BC30" s="17">
        <f t="shared" si="8"/>
        <v>741072</v>
      </c>
      <c r="BD30" s="17">
        <f t="shared" si="8"/>
        <v>483141.60000000003</v>
      </c>
      <c r="BE30" s="17">
        <f t="shared" si="8"/>
        <v>48864</v>
      </c>
      <c r="BF30" s="17">
        <f t="shared" si="8"/>
        <v>768070</v>
      </c>
      <c r="BG30" s="17">
        <f t="shared" si="8"/>
        <v>511647.76000000007</v>
      </c>
      <c r="BH30" s="17">
        <f t="shared" si="8"/>
        <v>51709</v>
      </c>
      <c r="BI30" s="17">
        <f t="shared" si="8"/>
        <v>817874</v>
      </c>
      <c r="BJ30" s="17">
        <f t="shared" si="8"/>
        <v>540786.56000000006</v>
      </c>
      <c r="BK30" s="17">
        <f t="shared" si="8"/>
        <v>53079</v>
      </c>
      <c r="BL30" s="17">
        <f t="shared" si="8"/>
        <v>836758</v>
      </c>
      <c r="BM30" s="17">
        <f t="shared" si="8"/>
        <v>548361.28000000014</v>
      </c>
      <c r="BN30" s="17">
        <f t="shared" si="8"/>
        <v>52970</v>
      </c>
      <c r="BO30" s="17">
        <f t="shared" si="8"/>
        <v>844104</v>
      </c>
      <c r="BP30" s="17">
        <f t="shared" si="8"/>
        <v>552647.99999999988</v>
      </c>
      <c r="BQ30" s="19">
        <f t="shared" si="2"/>
        <v>596678.35119047621</v>
      </c>
      <c r="BR30" s="19">
        <f t="shared" si="3"/>
        <v>9465679</v>
      </c>
      <c r="BS30" s="19">
        <f t="shared" si="4"/>
        <v>6197220.2700000005</v>
      </c>
      <c r="BT30" s="19">
        <f>SUM(BT4:BT29)</f>
        <v>46114</v>
      </c>
      <c r="BU30" s="19">
        <f t="shared" ref="BU30:DF30" si="9">SUM(BU4:BU29)</f>
        <v>729352</v>
      </c>
      <c r="BV30" s="19">
        <f t="shared" si="9"/>
        <v>479839.11999999988</v>
      </c>
      <c r="BW30" s="19">
        <f t="shared" si="9"/>
        <v>40679</v>
      </c>
      <c r="BX30" s="19">
        <f t="shared" si="9"/>
        <v>650576</v>
      </c>
      <c r="BY30" s="19">
        <f t="shared" si="9"/>
        <v>425536.39999999997</v>
      </c>
      <c r="BZ30" s="19">
        <f t="shared" si="9"/>
        <v>0</v>
      </c>
      <c r="CA30" s="19">
        <f t="shared" si="9"/>
        <v>0</v>
      </c>
      <c r="CB30" s="19">
        <f t="shared" si="9"/>
        <v>0</v>
      </c>
      <c r="CC30" s="19">
        <f t="shared" si="9"/>
        <v>0</v>
      </c>
      <c r="CD30" s="19">
        <f t="shared" si="9"/>
        <v>0</v>
      </c>
      <c r="CE30" s="19">
        <f t="shared" si="9"/>
        <v>0</v>
      </c>
      <c r="CF30" s="19">
        <f t="shared" si="9"/>
        <v>0</v>
      </c>
      <c r="CG30" s="19">
        <f t="shared" si="9"/>
        <v>0</v>
      </c>
      <c r="CH30" s="19">
        <f t="shared" si="9"/>
        <v>0</v>
      </c>
      <c r="CI30" s="19">
        <f t="shared" si="9"/>
        <v>0</v>
      </c>
      <c r="CJ30" s="19">
        <f t="shared" si="9"/>
        <v>0</v>
      </c>
      <c r="CK30" s="19">
        <f t="shared" si="9"/>
        <v>0</v>
      </c>
      <c r="CL30" s="19">
        <f t="shared" si="9"/>
        <v>0</v>
      </c>
      <c r="CM30" s="19">
        <f t="shared" si="9"/>
        <v>0</v>
      </c>
      <c r="CN30" s="19">
        <f t="shared" si="9"/>
        <v>0</v>
      </c>
      <c r="CO30" s="19">
        <f t="shared" si="9"/>
        <v>0</v>
      </c>
      <c r="CP30" s="19">
        <f t="shared" si="9"/>
        <v>0</v>
      </c>
      <c r="CQ30" s="19">
        <f t="shared" si="9"/>
        <v>0</v>
      </c>
      <c r="CR30" s="19">
        <f t="shared" si="9"/>
        <v>0</v>
      </c>
      <c r="CS30" s="19">
        <f t="shared" si="9"/>
        <v>0</v>
      </c>
      <c r="CT30" s="19">
        <f t="shared" si="9"/>
        <v>0</v>
      </c>
      <c r="CU30" s="19">
        <f t="shared" si="9"/>
        <v>0</v>
      </c>
      <c r="CV30" s="19">
        <f t="shared" si="9"/>
        <v>0</v>
      </c>
      <c r="CW30" s="19">
        <f t="shared" si="9"/>
        <v>0</v>
      </c>
      <c r="CX30" s="19">
        <f t="shared" si="9"/>
        <v>0</v>
      </c>
      <c r="CY30" s="19">
        <f t="shared" si="9"/>
        <v>0</v>
      </c>
      <c r="CZ30" s="19">
        <f t="shared" si="9"/>
        <v>0</v>
      </c>
      <c r="DA30" s="19">
        <f t="shared" si="9"/>
        <v>0</v>
      </c>
      <c r="DB30" s="19">
        <f t="shared" si="9"/>
        <v>0</v>
      </c>
      <c r="DC30" s="19">
        <f t="shared" si="9"/>
        <v>0</v>
      </c>
      <c r="DD30" s="19">
        <f t="shared" si="9"/>
        <v>86793</v>
      </c>
      <c r="DE30" s="19">
        <f t="shared" si="9"/>
        <v>1379928</v>
      </c>
      <c r="DF30" s="19">
        <f t="shared" si="9"/>
        <v>905375.52000000014</v>
      </c>
    </row>
    <row r="31" spans="1:110" x14ac:dyDescent="0.25">
      <c r="A31" s="9">
        <v>1</v>
      </c>
      <c r="B31" s="9" t="s">
        <v>78</v>
      </c>
      <c r="C31" s="9" t="s">
        <v>85</v>
      </c>
      <c r="D31" s="9" t="s">
        <v>16</v>
      </c>
      <c r="E31" s="9" t="s">
        <v>15</v>
      </c>
      <c r="F31" s="9" t="s">
        <v>109</v>
      </c>
      <c r="G31" s="10">
        <v>325</v>
      </c>
      <c r="H31" s="10">
        <v>5500</v>
      </c>
      <c r="I31" s="10">
        <v>45</v>
      </c>
      <c r="J31" s="10">
        <v>1080</v>
      </c>
      <c r="K31" s="10">
        <v>165</v>
      </c>
      <c r="L31" s="10">
        <v>360</v>
      </c>
      <c r="M31" s="10">
        <v>125</v>
      </c>
      <c r="N31" s="10">
        <v>2300</v>
      </c>
      <c r="O31" s="10">
        <v>65</v>
      </c>
      <c r="P31" s="10">
        <v>1160</v>
      </c>
      <c r="Q31" s="10">
        <v>130</v>
      </c>
      <c r="R31" s="10">
        <v>2320</v>
      </c>
      <c r="S31" s="10">
        <v>55</v>
      </c>
      <c r="T31" s="10">
        <v>1120</v>
      </c>
      <c r="U31" s="10">
        <v>60</v>
      </c>
      <c r="V31" s="10">
        <v>1140</v>
      </c>
      <c r="W31" s="10">
        <v>130</v>
      </c>
      <c r="X31" s="10">
        <v>2320</v>
      </c>
      <c r="Y31" s="10">
        <v>135</v>
      </c>
      <c r="Z31" s="10">
        <v>2340</v>
      </c>
      <c r="AA31" s="10">
        <v>135</v>
      </c>
      <c r="AB31" s="10">
        <v>2340</v>
      </c>
      <c r="AC31" s="10">
        <v>165</v>
      </c>
      <c r="AD31" s="10">
        <v>3160</v>
      </c>
      <c r="AE31" s="11">
        <f t="shared" si="0"/>
        <v>1535</v>
      </c>
      <c r="AF31" s="11">
        <f t="shared" si="1"/>
        <v>25140</v>
      </c>
      <c r="AG31" s="12"/>
      <c r="AH31" s="12"/>
      <c r="AI31" s="12"/>
      <c r="AJ31" s="12"/>
      <c r="AK31" s="12"/>
      <c r="AL31" s="12"/>
      <c r="AM31" s="12">
        <v>270</v>
      </c>
      <c r="AN31" s="12">
        <v>5280</v>
      </c>
      <c r="AO31" s="12">
        <v>3379.2</v>
      </c>
      <c r="AP31" s="12">
        <v>190</v>
      </c>
      <c r="AQ31" s="12">
        <v>3210</v>
      </c>
      <c r="AR31" s="12">
        <v>2054.3999999999996</v>
      </c>
      <c r="AS31" s="12">
        <v>259</v>
      </c>
      <c r="AT31" s="12">
        <v>5126</v>
      </c>
      <c r="AU31" s="12">
        <v>3280.6400000000008</v>
      </c>
      <c r="AV31" s="12">
        <v>115</v>
      </c>
      <c r="AW31" s="12">
        <v>2060</v>
      </c>
      <c r="AX31" s="12">
        <v>1318.4</v>
      </c>
      <c r="AY31" s="12">
        <v>150</v>
      </c>
      <c r="AZ31" s="12">
        <v>2700</v>
      </c>
      <c r="BA31" s="12">
        <v>1728.0000000000002</v>
      </c>
      <c r="BB31" s="12">
        <v>141</v>
      </c>
      <c r="BC31" s="12">
        <v>2684</v>
      </c>
      <c r="BD31" s="12">
        <v>1717.7600000000002</v>
      </c>
      <c r="BE31" s="12">
        <v>95</v>
      </c>
      <c r="BF31" s="12">
        <v>2130</v>
      </c>
      <c r="BG31" s="12">
        <v>1363.2</v>
      </c>
      <c r="BH31" s="12">
        <v>85</v>
      </c>
      <c r="BI31" s="12">
        <v>1640</v>
      </c>
      <c r="BJ31" s="12">
        <v>1049.6000000000001</v>
      </c>
      <c r="BK31" s="12">
        <v>150</v>
      </c>
      <c r="BL31" s="12">
        <v>3000</v>
      </c>
      <c r="BM31" s="12">
        <v>1920.0000000000002</v>
      </c>
      <c r="BN31" s="12">
        <v>130</v>
      </c>
      <c r="BO31" s="12">
        <v>2320</v>
      </c>
      <c r="BP31" s="12">
        <v>1484.8000000000002</v>
      </c>
      <c r="BQ31" s="14">
        <f t="shared" si="2"/>
        <v>1585</v>
      </c>
      <c r="BR31" s="14">
        <f t="shared" si="3"/>
        <v>30150</v>
      </c>
      <c r="BS31" s="14">
        <f t="shared" si="4"/>
        <v>19296</v>
      </c>
      <c r="BT31" s="12">
        <v>180</v>
      </c>
      <c r="BU31" s="9">
        <v>3420</v>
      </c>
      <c r="BV31" s="9">
        <v>2188.8000000000002</v>
      </c>
      <c r="BW31" s="9">
        <v>10</v>
      </c>
      <c r="BX31" s="9">
        <v>240</v>
      </c>
      <c r="BY31" s="9">
        <v>153.6</v>
      </c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15">
        <f t="shared" si="5"/>
        <v>190</v>
      </c>
      <c r="DE31" s="15">
        <f t="shared" si="6"/>
        <v>3660</v>
      </c>
      <c r="DF31" s="15">
        <f t="shared" si="7"/>
        <v>2342.4</v>
      </c>
    </row>
    <row r="32" spans="1:110" x14ac:dyDescent="0.25">
      <c r="A32" s="9">
        <v>2</v>
      </c>
      <c r="B32" s="9" t="s">
        <v>79</v>
      </c>
      <c r="C32" s="9" t="s">
        <v>86</v>
      </c>
      <c r="D32" s="9" t="s">
        <v>49</v>
      </c>
      <c r="E32" s="9" t="s">
        <v>48</v>
      </c>
      <c r="F32" s="9" t="s">
        <v>109</v>
      </c>
      <c r="G32" s="10">
        <v>200</v>
      </c>
      <c r="H32" s="10">
        <v>2800</v>
      </c>
      <c r="I32" s="10">
        <v>200</v>
      </c>
      <c r="J32" s="10">
        <v>2800</v>
      </c>
      <c r="K32" s="10">
        <v>200</v>
      </c>
      <c r="L32" s="10">
        <v>2800</v>
      </c>
      <c r="M32" s="10">
        <v>200</v>
      </c>
      <c r="N32" s="10">
        <v>2800</v>
      </c>
      <c r="O32" s="10"/>
      <c r="P32" s="10"/>
      <c r="Q32" s="10">
        <v>440</v>
      </c>
      <c r="R32" s="10">
        <v>6160</v>
      </c>
      <c r="S32" s="10">
        <v>200</v>
      </c>
      <c r="T32" s="10">
        <v>2800</v>
      </c>
      <c r="U32" s="10">
        <v>218</v>
      </c>
      <c r="V32" s="10">
        <v>3232</v>
      </c>
      <c r="W32" s="10">
        <v>200</v>
      </c>
      <c r="X32" s="10">
        <v>2800</v>
      </c>
      <c r="Y32" s="10">
        <v>200</v>
      </c>
      <c r="Z32" s="10">
        <v>2800</v>
      </c>
      <c r="AA32" s="10">
        <v>300</v>
      </c>
      <c r="AB32" s="10">
        <v>4200</v>
      </c>
      <c r="AC32" s="10">
        <v>200</v>
      </c>
      <c r="AD32" s="10">
        <v>2800</v>
      </c>
      <c r="AE32" s="11">
        <f t="shared" si="0"/>
        <v>2558</v>
      </c>
      <c r="AF32" s="11">
        <f t="shared" si="1"/>
        <v>35992</v>
      </c>
      <c r="AG32" s="12"/>
      <c r="AH32" s="12"/>
      <c r="AI32" s="12"/>
      <c r="AJ32" s="12"/>
      <c r="AK32" s="12"/>
      <c r="AL32" s="12"/>
      <c r="AM32" s="12">
        <v>200</v>
      </c>
      <c r="AN32" s="12">
        <v>2800</v>
      </c>
      <c r="AO32" s="12">
        <v>1792</v>
      </c>
      <c r="AP32" s="12">
        <v>300</v>
      </c>
      <c r="AQ32" s="12">
        <v>4200</v>
      </c>
      <c r="AR32" s="12">
        <v>2688</v>
      </c>
      <c r="AS32" s="12">
        <v>160</v>
      </c>
      <c r="AT32" s="12">
        <v>2340</v>
      </c>
      <c r="AU32" s="12">
        <v>1488</v>
      </c>
      <c r="AV32" s="12">
        <v>100</v>
      </c>
      <c r="AW32" s="12">
        <v>1400</v>
      </c>
      <c r="AX32" s="12">
        <v>896</v>
      </c>
      <c r="AY32" s="12">
        <v>100</v>
      </c>
      <c r="AZ32" s="12">
        <v>1400</v>
      </c>
      <c r="BA32" s="12">
        <v>896</v>
      </c>
      <c r="BB32" s="12">
        <v>200</v>
      </c>
      <c r="BC32" s="12">
        <v>2800</v>
      </c>
      <c r="BD32" s="12">
        <v>1792</v>
      </c>
      <c r="BE32" s="12">
        <v>100</v>
      </c>
      <c r="BF32" s="12">
        <v>1400</v>
      </c>
      <c r="BG32" s="12">
        <v>896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/>
      <c r="BO32" s="12"/>
      <c r="BP32" s="12"/>
      <c r="BQ32" s="14">
        <f t="shared" si="2"/>
        <v>1160</v>
      </c>
      <c r="BR32" s="14">
        <f t="shared" si="3"/>
        <v>16340</v>
      </c>
      <c r="BS32" s="14">
        <f t="shared" si="4"/>
        <v>10448</v>
      </c>
      <c r="BT32" s="12">
        <v>0</v>
      </c>
      <c r="BU32" s="9">
        <v>0</v>
      </c>
      <c r="BV32" s="9">
        <v>0</v>
      </c>
      <c r="BW32" s="9">
        <v>55</v>
      </c>
      <c r="BX32" s="9">
        <v>820</v>
      </c>
      <c r="BY32" s="9">
        <v>520</v>
      </c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15">
        <f t="shared" si="5"/>
        <v>55</v>
      </c>
      <c r="DE32" s="15">
        <f t="shared" si="6"/>
        <v>820</v>
      </c>
      <c r="DF32" s="15">
        <f t="shared" si="7"/>
        <v>520</v>
      </c>
    </row>
    <row r="33" spans="1:110" x14ac:dyDescent="0.25">
      <c r="A33" s="9">
        <v>3</v>
      </c>
      <c r="B33" s="9" t="s">
        <v>80</v>
      </c>
      <c r="C33" s="9" t="s">
        <v>116</v>
      </c>
      <c r="D33" s="9" t="s">
        <v>92</v>
      </c>
      <c r="E33" s="9" t="s">
        <v>117</v>
      </c>
      <c r="F33" s="9" t="s">
        <v>109</v>
      </c>
      <c r="G33" s="10">
        <v>130</v>
      </c>
      <c r="H33" s="10">
        <v>2120</v>
      </c>
      <c r="I33" s="10">
        <v>149</v>
      </c>
      <c r="J33" s="10">
        <v>2096</v>
      </c>
      <c r="K33" s="10">
        <v>280</v>
      </c>
      <c r="L33" s="10">
        <v>4220</v>
      </c>
      <c r="M33" s="10">
        <v>180</v>
      </c>
      <c r="N33" s="10">
        <v>2820</v>
      </c>
      <c r="O33" s="10">
        <v>170</v>
      </c>
      <c r="P33" s="10">
        <v>2580</v>
      </c>
      <c r="Q33" s="10">
        <v>180</v>
      </c>
      <c r="R33" s="10">
        <v>2820</v>
      </c>
      <c r="S33" s="10">
        <v>440</v>
      </c>
      <c r="T33" s="10">
        <v>7060</v>
      </c>
      <c r="U33" s="10">
        <v>310</v>
      </c>
      <c r="V33" s="10">
        <v>5440</v>
      </c>
      <c r="W33" s="10">
        <v>30</v>
      </c>
      <c r="X33" s="10">
        <v>420</v>
      </c>
      <c r="Y33" s="10">
        <v>290</v>
      </c>
      <c r="Z33" s="10">
        <v>4960</v>
      </c>
      <c r="AA33" s="10">
        <v>180</v>
      </c>
      <c r="AB33" s="10">
        <v>2820</v>
      </c>
      <c r="AC33" s="10">
        <v>210</v>
      </c>
      <c r="AD33" s="10">
        <v>3540</v>
      </c>
      <c r="AE33" s="11">
        <f t="shared" si="0"/>
        <v>2549</v>
      </c>
      <c r="AF33" s="11">
        <f t="shared" si="1"/>
        <v>40896</v>
      </c>
      <c r="AG33" s="12"/>
      <c r="AH33" s="12"/>
      <c r="AI33" s="12"/>
      <c r="AJ33" s="12"/>
      <c r="AK33" s="12"/>
      <c r="AL33" s="12"/>
      <c r="AM33" s="12">
        <v>470</v>
      </c>
      <c r="AN33" s="12">
        <v>7780</v>
      </c>
      <c r="AO33" s="12">
        <v>4979.2</v>
      </c>
      <c r="AP33" s="12">
        <v>0</v>
      </c>
      <c r="AQ33" s="12">
        <v>0</v>
      </c>
      <c r="AR33" s="12">
        <v>0</v>
      </c>
      <c r="AS33" s="12">
        <v>370</v>
      </c>
      <c r="AT33" s="12">
        <v>6280</v>
      </c>
      <c r="AU33" s="12">
        <v>4019.2000000000003</v>
      </c>
      <c r="AV33" s="12">
        <v>210</v>
      </c>
      <c r="AW33" s="12">
        <v>3540</v>
      </c>
      <c r="AX33" s="12">
        <v>2265.6</v>
      </c>
      <c r="AY33" s="12">
        <v>210</v>
      </c>
      <c r="AZ33" s="12">
        <v>3540</v>
      </c>
      <c r="BA33" s="12">
        <v>2265.6000000000004</v>
      </c>
      <c r="BB33" s="12">
        <v>100</v>
      </c>
      <c r="BC33" s="12">
        <v>1400</v>
      </c>
      <c r="BD33" s="12">
        <v>896</v>
      </c>
      <c r="BE33" s="12">
        <v>250</v>
      </c>
      <c r="BF33" s="12">
        <v>4000</v>
      </c>
      <c r="BG33" s="12">
        <v>2560.0000000000005</v>
      </c>
      <c r="BH33" s="12">
        <v>250</v>
      </c>
      <c r="BI33" s="12">
        <v>3500</v>
      </c>
      <c r="BJ33" s="12">
        <v>2240</v>
      </c>
      <c r="BK33" s="12">
        <v>0</v>
      </c>
      <c r="BL33" s="12">
        <v>0</v>
      </c>
      <c r="BM33" s="12">
        <v>0</v>
      </c>
      <c r="BN33" s="12">
        <v>209</v>
      </c>
      <c r="BO33" s="12">
        <v>3016</v>
      </c>
      <c r="BP33" s="12">
        <v>1930.24</v>
      </c>
      <c r="BQ33" s="14">
        <f t="shared" si="2"/>
        <v>2069</v>
      </c>
      <c r="BR33" s="14">
        <f t="shared" si="3"/>
        <v>33056</v>
      </c>
      <c r="BS33" s="14">
        <f t="shared" si="4"/>
        <v>21155.840000000004</v>
      </c>
      <c r="BT33" s="12">
        <v>200</v>
      </c>
      <c r="BU33" s="9">
        <v>3300</v>
      </c>
      <c r="BV33" s="9">
        <v>2112</v>
      </c>
      <c r="BW33" s="9">
        <v>130</v>
      </c>
      <c r="BX33" s="9">
        <v>2120</v>
      </c>
      <c r="BY33" s="9">
        <v>1356.8</v>
      </c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15">
        <f t="shared" si="5"/>
        <v>330</v>
      </c>
      <c r="DE33" s="15">
        <f t="shared" si="6"/>
        <v>5420</v>
      </c>
      <c r="DF33" s="15">
        <f t="shared" si="7"/>
        <v>3468.8</v>
      </c>
    </row>
    <row r="34" spans="1:110" x14ac:dyDescent="0.25">
      <c r="A34" s="9">
        <v>4</v>
      </c>
      <c r="B34" s="9" t="s">
        <v>118</v>
      </c>
      <c r="C34" s="9" t="s">
        <v>87</v>
      </c>
      <c r="D34" s="9" t="s">
        <v>92</v>
      </c>
      <c r="E34" s="9" t="s">
        <v>117</v>
      </c>
      <c r="F34" s="9" t="s">
        <v>109</v>
      </c>
      <c r="G34" s="10">
        <v>150</v>
      </c>
      <c r="H34" s="10">
        <v>2100</v>
      </c>
      <c r="I34" s="10">
        <v>460</v>
      </c>
      <c r="J34" s="10">
        <v>7040</v>
      </c>
      <c r="K34" s="10">
        <v>420</v>
      </c>
      <c r="L34" s="10">
        <v>6880</v>
      </c>
      <c r="M34" s="10">
        <v>299</v>
      </c>
      <c r="N34" s="10">
        <v>4186</v>
      </c>
      <c r="O34" s="10">
        <v>708</v>
      </c>
      <c r="P34" s="10">
        <v>10412</v>
      </c>
      <c r="Q34" s="10">
        <v>260</v>
      </c>
      <c r="R34" s="10">
        <v>4240</v>
      </c>
      <c r="S34" s="10">
        <v>410</v>
      </c>
      <c r="T34" s="10">
        <v>6240</v>
      </c>
      <c r="U34" s="10">
        <v>365</v>
      </c>
      <c r="V34" s="10">
        <v>6310</v>
      </c>
      <c r="W34" s="10">
        <v>730</v>
      </c>
      <c r="X34" s="10">
        <v>10720</v>
      </c>
      <c r="Y34" s="10">
        <v>370</v>
      </c>
      <c r="Z34" s="10">
        <v>5780</v>
      </c>
      <c r="AA34" s="10"/>
      <c r="AB34" s="10"/>
      <c r="AC34" s="10">
        <v>460</v>
      </c>
      <c r="AD34" s="10">
        <v>6840</v>
      </c>
      <c r="AE34" s="11">
        <f t="shared" si="0"/>
        <v>4632</v>
      </c>
      <c r="AF34" s="11">
        <f t="shared" si="1"/>
        <v>70748</v>
      </c>
      <c r="AG34" s="12"/>
      <c r="AH34" s="12"/>
      <c r="AI34" s="12"/>
      <c r="AJ34" s="12"/>
      <c r="AK34" s="12"/>
      <c r="AL34" s="12"/>
      <c r="AM34" s="12">
        <v>420</v>
      </c>
      <c r="AN34" s="12">
        <v>7080</v>
      </c>
      <c r="AO34" s="12">
        <v>4531.2</v>
      </c>
      <c r="AP34" s="12">
        <v>0</v>
      </c>
      <c r="AQ34" s="12">
        <v>0</v>
      </c>
      <c r="AR34" s="12">
        <v>0</v>
      </c>
      <c r="AS34" s="12">
        <v>740</v>
      </c>
      <c r="AT34" s="12">
        <v>11320</v>
      </c>
      <c r="AU34" s="12">
        <v>7331.2</v>
      </c>
      <c r="AV34" s="12">
        <v>365</v>
      </c>
      <c r="AW34" s="12">
        <v>6310</v>
      </c>
      <c r="AX34" s="12">
        <v>4038.4000000000005</v>
      </c>
      <c r="AY34" s="12">
        <v>160</v>
      </c>
      <c r="AZ34" s="12">
        <v>2840</v>
      </c>
      <c r="BA34" s="12">
        <v>1817.6</v>
      </c>
      <c r="BB34" s="12">
        <v>119</v>
      </c>
      <c r="BC34" s="12">
        <v>1646</v>
      </c>
      <c r="BD34" s="12">
        <v>1060.6399999999999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245</v>
      </c>
      <c r="BO34" s="12">
        <v>3600</v>
      </c>
      <c r="BP34" s="12">
        <v>2350.8000000000002</v>
      </c>
      <c r="BQ34" s="14">
        <f t="shared" si="2"/>
        <v>2049</v>
      </c>
      <c r="BR34" s="14">
        <f t="shared" si="3"/>
        <v>32796</v>
      </c>
      <c r="BS34" s="14">
        <f t="shared" si="4"/>
        <v>21129.839999999997</v>
      </c>
      <c r="BT34" s="12">
        <v>220</v>
      </c>
      <c r="BU34" s="9">
        <v>4280</v>
      </c>
      <c r="BV34" s="9">
        <v>2739.2</v>
      </c>
      <c r="BW34" s="9">
        <v>245</v>
      </c>
      <c r="BX34" s="9">
        <v>4580</v>
      </c>
      <c r="BY34" s="9">
        <v>2949.2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15">
        <f t="shared" si="5"/>
        <v>465</v>
      </c>
      <c r="DE34" s="15">
        <f t="shared" si="6"/>
        <v>8860</v>
      </c>
      <c r="DF34" s="15">
        <f t="shared" si="7"/>
        <v>5688.4</v>
      </c>
    </row>
    <row r="35" spans="1:110" x14ac:dyDescent="0.25">
      <c r="A35" s="9">
        <v>5</v>
      </c>
      <c r="B35" s="9" t="s">
        <v>81</v>
      </c>
      <c r="C35" s="9" t="s">
        <v>88</v>
      </c>
      <c r="D35" s="9" t="s">
        <v>24</v>
      </c>
      <c r="E35" s="9" t="s">
        <v>23</v>
      </c>
      <c r="F35" s="9" t="s">
        <v>109</v>
      </c>
      <c r="G35" s="10">
        <v>200</v>
      </c>
      <c r="H35" s="10">
        <v>2800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250</v>
      </c>
      <c r="T35" s="10">
        <v>3500</v>
      </c>
      <c r="U35" s="10">
        <v>300</v>
      </c>
      <c r="V35" s="10">
        <v>4200</v>
      </c>
      <c r="W35" s="10">
        <v>300</v>
      </c>
      <c r="X35" s="10">
        <v>4200</v>
      </c>
      <c r="Y35" s="10">
        <v>150</v>
      </c>
      <c r="Z35" s="10">
        <v>2100</v>
      </c>
      <c r="AA35" s="10">
        <v>350</v>
      </c>
      <c r="AB35" s="10">
        <v>4900</v>
      </c>
      <c r="AC35" s="10">
        <v>249</v>
      </c>
      <c r="AD35" s="10">
        <v>3486</v>
      </c>
      <c r="AE35" s="11">
        <f t="shared" si="0"/>
        <v>1799</v>
      </c>
      <c r="AF35" s="11">
        <f t="shared" si="1"/>
        <v>25186</v>
      </c>
      <c r="AG35" s="12"/>
      <c r="AH35" s="12"/>
      <c r="AI35" s="12"/>
      <c r="AJ35" s="12"/>
      <c r="AK35" s="12"/>
      <c r="AL35" s="12"/>
      <c r="AM35" s="12">
        <v>200</v>
      </c>
      <c r="AN35" s="12">
        <v>2800</v>
      </c>
      <c r="AO35" s="12">
        <v>1792</v>
      </c>
      <c r="AP35" s="12">
        <v>300</v>
      </c>
      <c r="AQ35" s="12">
        <v>4200</v>
      </c>
      <c r="AR35" s="12">
        <v>2688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300</v>
      </c>
      <c r="BC35" s="12">
        <v>4200</v>
      </c>
      <c r="BD35" s="12">
        <v>2688</v>
      </c>
      <c r="BE35" s="12">
        <v>100</v>
      </c>
      <c r="BF35" s="12">
        <v>1400</v>
      </c>
      <c r="BG35" s="12">
        <v>896</v>
      </c>
      <c r="BH35" s="12">
        <v>100</v>
      </c>
      <c r="BI35" s="12">
        <v>1400</v>
      </c>
      <c r="BJ35" s="12">
        <v>896</v>
      </c>
      <c r="BK35" s="12">
        <v>200</v>
      </c>
      <c r="BL35" s="12">
        <v>2800</v>
      </c>
      <c r="BM35" s="12">
        <v>1792</v>
      </c>
      <c r="BN35" s="12">
        <v>500</v>
      </c>
      <c r="BO35" s="12">
        <v>7000</v>
      </c>
      <c r="BP35" s="12">
        <v>4480</v>
      </c>
      <c r="BQ35" s="14">
        <f t="shared" si="2"/>
        <v>1700</v>
      </c>
      <c r="BR35" s="14">
        <f t="shared" si="3"/>
        <v>23800</v>
      </c>
      <c r="BS35" s="14">
        <f t="shared" si="4"/>
        <v>15232</v>
      </c>
      <c r="BT35" s="12">
        <v>200</v>
      </c>
      <c r="BU35" s="9">
        <v>2800</v>
      </c>
      <c r="BV35" s="9">
        <v>1792</v>
      </c>
      <c r="BW35" s="9">
        <v>0</v>
      </c>
      <c r="BX35" s="9">
        <v>0</v>
      </c>
      <c r="BY35" s="9">
        <v>0</v>
      </c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15">
        <f t="shared" si="5"/>
        <v>200</v>
      </c>
      <c r="DE35" s="15">
        <f t="shared" si="6"/>
        <v>2800</v>
      </c>
      <c r="DF35" s="15">
        <f t="shared" si="7"/>
        <v>1792</v>
      </c>
    </row>
    <row r="36" spans="1:110" x14ac:dyDescent="0.25">
      <c r="A36" s="9">
        <v>6</v>
      </c>
      <c r="B36" s="9" t="s">
        <v>82</v>
      </c>
      <c r="C36" s="9" t="s">
        <v>89</v>
      </c>
      <c r="D36" s="9" t="s">
        <v>24</v>
      </c>
      <c r="E36" s="9" t="s">
        <v>23</v>
      </c>
      <c r="F36" s="9" t="s">
        <v>109</v>
      </c>
      <c r="G36" s="10">
        <v>300</v>
      </c>
      <c r="H36" s="10">
        <v>4200</v>
      </c>
      <c r="I36" s="10">
        <v>300</v>
      </c>
      <c r="J36" s="10">
        <v>4200</v>
      </c>
      <c r="K36" s="10">
        <v>200</v>
      </c>
      <c r="L36" s="10">
        <v>2800</v>
      </c>
      <c r="M36" s="10"/>
      <c r="N36" s="10"/>
      <c r="O36" s="10"/>
      <c r="P36" s="10"/>
      <c r="Q36" s="10"/>
      <c r="R36" s="10"/>
      <c r="S36" s="10">
        <v>210</v>
      </c>
      <c r="T36" s="10">
        <v>2940</v>
      </c>
      <c r="U36" s="10">
        <v>130</v>
      </c>
      <c r="V36" s="10">
        <v>1820</v>
      </c>
      <c r="W36" s="10">
        <v>400</v>
      </c>
      <c r="X36" s="10">
        <v>5600</v>
      </c>
      <c r="Y36" s="10">
        <v>162</v>
      </c>
      <c r="Z36" s="10">
        <v>2268</v>
      </c>
      <c r="AA36" s="10">
        <v>400</v>
      </c>
      <c r="AB36" s="10">
        <v>5600</v>
      </c>
      <c r="AC36" s="10">
        <v>200</v>
      </c>
      <c r="AD36" s="10">
        <v>2800</v>
      </c>
      <c r="AE36" s="11">
        <f t="shared" si="0"/>
        <v>2302</v>
      </c>
      <c r="AF36" s="11">
        <f t="shared" si="1"/>
        <v>32228</v>
      </c>
      <c r="AG36" s="12"/>
      <c r="AH36" s="12"/>
      <c r="AI36" s="12"/>
      <c r="AJ36" s="12"/>
      <c r="AK36" s="12"/>
      <c r="AL36" s="12"/>
      <c r="AM36" s="12">
        <v>300</v>
      </c>
      <c r="AN36" s="12">
        <v>4200</v>
      </c>
      <c r="AO36" s="12">
        <v>2688</v>
      </c>
      <c r="AP36" s="12">
        <v>200</v>
      </c>
      <c r="AQ36" s="12">
        <v>2800</v>
      </c>
      <c r="AR36" s="12">
        <v>1792</v>
      </c>
      <c r="AS36" s="12">
        <v>300</v>
      </c>
      <c r="AT36" s="12">
        <v>4200</v>
      </c>
      <c r="AU36" s="12">
        <v>2688</v>
      </c>
      <c r="AV36" s="12">
        <v>200</v>
      </c>
      <c r="AW36" s="12">
        <v>2800</v>
      </c>
      <c r="AX36" s="12">
        <v>1792</v>
      </c>
      <c r="AY36" s="12">
        <v>150</v>
      </c>
      <c r="AZ36" s="12">
        <v>2100</v>
      </c>
      <c r="BA36" s="12">
        <v>1344</v>
      </c>
      <c r="BB36" s="12">
        <v>160</v>
      </c>
      <c r="BC36" s="12">
        <v>2240</v>
      </c>
      <c r="BD36" s="12">
        <v>1433.6000000000001</v>
      </c>
      <c r="BE36" s="12">
        <v>200</v>
      </c>
      <c r="BF36" s="12">
        <v>2800</v>
      </c>
      <c r="BG36" s="12">
        <v>1792</v>
      </c>
      <c r="BH36" s="12">
        <v>250</v>
      </c>
      <c r="BI36" s="12">
        <v>3500</v>
      </c>
      <c r="BJ36" s="12">
        <v>2240</v>
      </c>
      <c r="BK36" s="12">
        <v>200</v>
      </c>
      <c r="BL36" s="12">
        <v>2800</v>
      </c>
      <c r="BM36" s="12">
        <v>1792</v>
      </c>
      <c r="BN36" s="12">
        <v>199</v>
      </c>
      <c r="BO36" s="12">
        <v>2786</v>
      </c>
      <c r="BP36" s="12">
        <v>1783.04</v>
      </c>
      <c r="BQ36" s="14">
        <f t="shared" si="2"/>
        <v>2159</v>
      </c>
      <c r="BR36" s="14">
        <f t="shared" si="3"/>
        <v>30226</v>
      </c>
      <c r="BS36" s="14">
        <f t="shared" si="4"/>
        <v>19344.64</v>
      </c>
      <c r="BT36" s="12">
        <v>100</v>
      </c>
      <c r="BU36" s="9">
        <v>1400</v>
      </c>
      <c r="BV36" s="9">
        <v>896</v>
      </c>
      <c r="BW36" s="9">
        <v>0</v>
      </c>
      <c r="BX36" s="9">
        <v>0</v>
      </c>
      <c r="BY36" s="9">
        <v>0</v>
      </c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15">
        <f t="shared" si="5"/>
        <v>100</v>
      </c>
      <c r="DE36" s="15">
        <f t="shared" si="6"/>
        <v>1400</v>
      </c>
      <c r="DF36" s="15">
        <f t="shared" si="7"/>
        <v>896</v>
      </c>
    </row>
    <row r="37" spans="1:110" x14ac:dyDescent="0.25">
      <c r="A37" s="9">
        <v>7</v>
      </c>
      <c r="B37" s="9" t="s">
        <v>84</v>
      </c>
      <c r="C37" s="9" t="s">
        <v>91</v>
      </c>
      <c r="D37" s="9" t="s">
        <v>24</v>
      </c>
      <c r="E37" s="9" t="s">
        <v>23</v>
      </c>
      <c r="F37" s="9" t="s">
        <v>109</v>
      </c>
      <c r="G37" s="10"/>
      <c r="H37" s="10"/>
      <c r="I37" s="10">
        <v>200</v>
      </c>
      <c r="J37" s="10">
        <v>2800</v>
      </c>
      <c r="K37" s="10"/>
      <c r="L37" s="10"/>
      <c r="M37" s="10"/>
      <c r="N37" s="10"/>
      <c r="O37" s="10">
        <v>150</v>
      </c>
      <c r="P37" s="10">
        <v>2100</v>
      </c>
      <c r="Q37" s="10"/>
      <c r="R37" s="10"/>
      <c r="S37" s="10"/>
      <c r="T37" s="10"/>
      <c r="U37" s="10"/>
      <c r="V37" s="10"/>
      <c r="W37" s="10"/>
      <c r="X37" s="10"/>
      <c r="Y37" s="10">
        <v>50</v>
      </c>
      <c r="Z37" s="10">
        <v>700</v>
      </c>
      <c r="AA37" s="10"/>
      <c r="AB37" s="10"/>
      <c r="AC37" s="10"/>
      <c r="AD37" s="10"/>
      <c r="AE37" s="11">
        <f t="shared" si="0"/>
        <v>400</v>
      </c>
      <c r="AF37" s="11">
        <f t="shared" si="1"/>
        <v>5600</v>
      </c>
      <c r="AG37" s="12"/>
      <c r="AH37" s="12"/>
      <c r="AI37" s="12"/>
      <c r="AJ37" s="12"/>
      <c r="AK37" s="12"/>
      <c r="AL37" s="12"/>
      <c r="AM37" s="12">
        <v>0</v>
      </c>
      <c r="AN37" s="12">
        <v>0</v>
      </c>
      <c r="AO37" s="12">
        <v>0</v>
      </c>
      <c r="AP37" s="12">
        <v>30</v>
      </c>
      <c r="AQ37" s="12">
        <v>420</v>
      </c>
      <c r="AR37" s="12">
        <v>268.8</v>
      </c>
      <c r="AS37" s="12">
        <v>0</v>
      </c>
      <c r="AT37" s="12">
        <v>0</v>
      </c>
      <c r="AU37" s="12">
        <v>0</v>
      </c>
      <c r="AV37" s="12">
        <v>170</v>
      </c>
      <c r="AW37" s="12">
        <v>2380</v>
      </c>
      <c r="AX37" s="12">
        <v>1523.2</v>
      </c>
      <c r="AY37" s="12">
        <v>156</v>
      </c>
      <c r="AZ37" s="12">
        <v>2482</v>
      </c>
      <c r="BA37" s="12">
        <v>1588</v>
      </c>
      <c r="BB37" s="12">
        <v>270</v>
      </c>
      <c r="BC37" s="12">
        <v>3980</v>
      </c>
      <c r="BD37" s="12">
        <v>2547.1999999999998</v>
      </c>
      <c r="BE37" s="12">
        <v>300</v>
      </c>
      <c r="BF37" s="12">
        <v>4200</v>
      </c>
      <c r="BG37" s="12">
        <v>2688</v>
      </c>
      <c r="BH37" s="12">
        <v>100</v>
      </c>
      <c r="BI37" s="12">
        <v>1400</v>
      </c>
      <c r="BJ37" s="12">
        <v>896</v>
      </c>
      <c r="BK37" s="12">
        <v>230</v>
      </c>
      <c r="BL37" s="12">
        <v>3400</v>
      </c>
      <c r="BM37" s="12">
        <v>2171.1999999999998</v>
      </c>
      <c r="BN37" s="12">
        <v>250</v>
      </c>
      <c r="BO37" s="12">
        <v>3500</v>
      </c>
      <c r="BP37" s="12">
        <v>2240</v>
      </c>
      <c r="BQ37" s="14">
        <f t="shared" si="2"/>
        <v>1506</v>
      </c>
      <c r="BR37" s="14">
        <f t="shared" si="3"/>
        <v>21762</v>
      </c>
      <c r="BS37" s="14">
        <f t="shared" si="4"/>
        <v>13922.400000000001</v>
      </c>
      <c r="BT37" s="12">
        <v>300</v>
      </c>
      <c r="BU37" s="9">
        <v>4200</v>
      </c>
      <c r="BV37" s="9">
        <v>2688</v>
      </c>
      <c r="BW37" s="9">
        <v>280</v>
      </c>
      <c r="BX37" s="9">
        <v>3860</v>
      </c>
      <c r="BY37" s="9">
        <v>2456</v>
      </c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15">
        <f t="shared" si="5"/>
        <v>580</v>
      </c>
      <c r="DE37" s="15">
        <f t="shared" si="6"/>
        <v>8060</v>
      </c>
      <c r="DF37" s="15">
        <f t="shared" si="7"/>
        <v>5144</v>
      </c>
    </row>
    <row r="38" spans="1:110" x14ac:dyDescent="0.25">
      <c r="A38" s="9">
        <v>8</v>
      </c>
      <c r="B38" s="9" t="s">
        <v>95</v>
      </c>
      <c r="C38" s="9" t="s">
        <v>95</v>
      </c>
      <c r="D38" s="9" t="s">
        <v>14</v>
      </c>
      <c r="E38" s="9" t="s">
        <v>13</v>
      </c>
      <c r="F38" s="9" t="s">
        <v>109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1">
        <f t="shared" si="0"/>
        <v>0</v>
      </c>
      <c r="AF38" s="11">
        <f t="shared" si="1"/>
        <v>0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>
        <v>150</v>
      </c>
      <c r="AT38" s="12">
        <v>2100</v>
      </c>
      <c r="AU38" s="12">
        <v>1344</v>
      </c>
      <c r="AV38" s="12">
        <v>0</v>
      </c>
      <c r="AW38" s="12">
        <v>0</v>
      </c>
      <c r="AX38" s="12">
        <v>0</v>
      </c>
      <c r="AY38" s="12">
        <v>320</v>
      </c>
      <c r="AZ38" s="12">
        <v>4480</v>
      </c>
      <c r="BA38" s="12">
        <v>2867.2</v>
      </c>
      <c r="BB38" s="12">
        <v>200</v>
      </c>
      <c r="BC38" s="12">
        <v>2800</v>
      </c>
      <c r="BD38" s="12">
        <v>1792</v>
      </c>
      <c r="BE38" s="12">
        <v>650</v>
      </c>
      <c r="BF38" s="12">
        <v>8300</v>
      </c>
      <c r="BG38" s="12">
        <v>7040</v>
      </c>
      <c r="BH38" s="12">
        <v>200</v>
      </c>
      <c r="BI38" s="12">
        <v>2400</v>
      </c>
      <c r="BJ38" s="12">
        <v>2400</v>
      </c>
      <c r="BK38" s="12">
        <v>560</v>
      </c>
      <c r="BL38" s="12">
        <v>6940</v>
      </c>
      <c r="BM38" s="12">
        <v>6385.6</v>
      </c>
      <c r="BN38" s="12">
        <v>720</v>
      </c>
      <c r="BO38" s="12">
        <v>9120</v>
      </c>
      <c r="BP38" s="12">
        <v>7910.4</v>
      </c>
      <c r="BQ38" s="14">
        <f t="shared" si="2"/>
        <v>2800</v>
      </c>
      <c r="BR38" s="14">
        <f t="shared" si="3"/>
        <v>36140</v>
      </c>
      <c r="BS38" s="14">
        <f t="shared" si="4"/>
        <v>29739.200000000004</v>
      </c>
      <c r="BT38" s="12">
        <v>300</v>
      </c>
      <c r="BU38" s="9">
        <v>3700</v>
      </c>
      <c r="BV38" s="9">
        <v>3448</v>
      </c>
      <c r="BW38" s="9">
        <v>520</v>
      </c>
      <c r="BX38" s="9">
        <v>6580</v>
      </c>
      <c r="BY38" s="9">
        <v>5723.2000000000007</v>
      </c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15">
        <f t="shared" si="5"/>
        <v>820</v>
      </c>
      <c r="DE38" s="15">
        <f t="shared" si="6"/>
        <v>10280</v>
      </c>
      <c r="DF38" s="15">
        <f t="shared" si="7"/>
        <v>9171.2000000000007</v>
      </c>
    </row>
    <row r="39" spans="1:110" x14ac:dyDescent="0.25">
      <c r="A39" s="9">
        <v>9</v>
      </c>
      <c r="B39" s="9" t="s">
        <v>123</v>
      </c>
      <c r="C39" s="9" t="s">
        <v>96</v>
      </c>
      <c r="D39" s="9" t="s">
        <v>54</v>
      </c>
      <c r="E39" s="9" t="s">
        <v>53</v>
      </c>
      <c r="F39" s="9" t="s">
        <v>109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1">
        <f t="shared" si="0"/>
        <v>0</v>
      </c>
      <c r="AF39" s="11">
        <f t="shared" si="1"/>
        <v>0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>
        <v>150</v>
      </c>
      <c r="AT39" s="12">
        <v>2040</v>
      </c>
      <c r="AU39" s="12">
        <v>1435.2</v>
      </c>
      <c r="AV39" s="12">
        <v>447</v>
      </c>
      <c r="AW39" s="12">
        <v>5684</v>
      </c>
      <c r="AX39" s="12">
        <v>4852.3999999999996</v>
      </c>
      <c r="AY39" s="12">
        <v>225</v>
      </c>
      <c r="AZ39" s="12">
        <v>2910</v>
      </c>
      <c r="BA39" s="12">
        <v>2380.8000000000002</v>
      </c>
      <c r="BB39" s="12">
        <v>440</v>
      </c>
      <c r="BC39" s="12">
        <v>5660</v>
      </c>
      <c r="BD39" s="12">
        <v>4702.3999999999996</v>
      </c>
      <c r="BE39" s="12">
        <v>379</v>
      </c>
      <c r="BF39" s="12">
        <v>4658</v>
      </c>
      <c r="BG39" s="12">
        <v>4366.3999999999996</v>
      </c>
      <c r="BH39" s="12">
        <v>384</v>
      </c>
      <c r="BI39" s="12">
        <v>4652</v>
      </c>
      <c r="BJ39" s="12">
        <v>4533.92</v>
      </c>
      <c r="BK39" s="12">
        <v>292</v>
      </c>
      <c r="BL39" s="12">
        <v>3684</v>
      </c>
      <c r="BM39" s="12">
        <v>3223.2000000000003</v>
      </c>
      <c r="BN39" s="12">
        <v>510</v>
      </c>
      <c r="BO39" s="12">
        <v>6220</v>
      </c>
      <c r="BP39" s="12">
        <v>5968</v>
      </c>
      <c r="BQ39" s="14">
        <f t="shared" si="2"/>
        <v>2827</v>
      </c>
      <c r="BR39" s="14">
        <f t="shared" si="3"/>
        <v>35508</v>
      </c>
      <c r="BS39" s="14">
        <f t="shared" si="4"/>
        <v>31462.319999999996</v>
      </c>
      <c r="BT39" s="12">
        <v>252</v>
      </c>
      <c r="BU39" s="9">
        <v>3224</v>
      </c>
      <c r="BV39" s="9">
        <v>2712.8</v>
      </c>
      <c r="BW39" s="9">
        <v>232</v>
      </c>
      <c r="BX39" s="9">
        <v>2844</v>
      </c>
      <c r="BY39" s="9">
        <v>2685.6</v>
      </c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15">
        <f t="shared" si="5"/>
        <v>484</v>
      </c>
      <c r="DE39" s="15">
        <f t="shared" si="6"/>
        <v>6068</v>
      </c>
      <c r="DF39" s="15">
        <f t="shared" si="7"/>
        <v>5398.4</v>
      </c>
    </row>
    <row r="40" spans="1:110" x14ac:dyDescent="0.25">
      <c r="A40" s="9">
        <v>10</v>
      </c>
      <c r="B40" s="9" t="s">
        <v>94</v>
      </c>
      <c r="C40" s="9" t="s">
        <v>97</v>
      </c>
      <c r="D40" s="9" t="s">
        <v>54</v>
      </c>
      <c r="E40" s="9" t="s">
        <v>53</v>
      </c>
      <c r="F40" s="9" t="s">
        <v>109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1">
        <f t="shared" si="0"/>
        <v>0</v>
      </c>
      <c r="AF40" s="11">
        <f t="shared" si="1"/>
        <v>0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>
        <v>110</v>
      </c>
      <c r="AT40" s="12">
        <v>1590</v>
      </c>
      <c r="AU40" s="12">
        <v>1017.5999999999999</v>
      </c>
      <c r="AV40" s="12">
        <v>105</v>
      </c>
      <c r="AW40" s="12">
        <v>1470</v>
      </c>
      <c r="AX40" s="12">
        <v>940.80000000000018</v>
      </c>
      <c r="AY40" s="12">
        <v>120</v>
      </c>
      <c r="AZ40" s="12">
        <v>1680</v>
      </c>
      <c r="BA40" s="12">
        <v>1075.2</v>
      </c>
      <c r="BB40" s="12">
        <v>50</v>
      </c>
      <c r="BC40" s="12">
        <v>700</v>
      </c>
      <c r="BD40" s="12">
        <v>448.00000000000006</v>
      </c>
      <c r="BE40" s="12">
        <v>110</v>
      </c>
      <c r="BF40" s="12">
        <v>1590</v>
      </c>
      <c r="BG40" s="12">
        <v>1017.6000000000001</v>
      </c>
      <c r="BH40" s="12">
        <v>70</v>
      </c>
      <c r="BI40" s="12">
        <v>980</v>
      </c>
      <c r="BJ40" s="12">
        <v>627.19999999999993</v>
      </c>
      <c r="BK40" s="12">
        <v>175</v>
      </c>
      <c r="BL40" s="12">
        <v>2500</v>
      </c>
      <c r="BM40" s="12">
        <v>1600</v>
      </c>
      <c r="BN40" s="12">
        <v>60</v>
      </c>
      <c r="BO40" s="12">
        <v>840</v>
      </c>
      <c r="BP40" s="12">
        <v>537.6</v>
      </c>
      <c r="BQ40" s="14">
        <f t="shared" si="2"/>
        <v>800</v>
      </c>
      <c r="BR40" s="14">
        <f t="shared" si="3"/>
        <v>11350</v>
      </c>
      <c r="BS40" s="14">
        <f t="shared" si="4"/>
        <v>7264.0000000000009</v>
      </c>
      <c r="BT40" s="12">
        <v>120</v>
      </c>
      <c r="BU40" s="9">
        <v>1730</v>
      </c>
      <c r="BV40" s="9">
        <v>1107.1999999999998</v>
      </c>
      <c r="BW40" s="9">
        <v>55</v>
      </c>
      <c r="BX40" s="9">
        <v>770</v>
      </c>
      <c r="BY40" s="9">
        <v>492.8</v>
      </c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15">
        <f t="shared" si="5"/>
        <v>175</v>
      </c>
      <c r="DE40" s="15">
        <f t="shared" si="6"/>
        <v>2500</v>
      </c>
      <c r="DF40" s="15">
        <f t="shared" si="7"/>
        <v>1599.9999999999998</v>
      </c>
    </row>
    <row r="41" spans="1:110" x14ac:dyDescent="0.25">
      <c r="A41" s="9">
        <v>11</v>
      </c>
      <c r="B41" s="9" t="s">
        <v>110</v>
      </c>
      <c r="C41" s="9" t="s">
        <v>111</v>
      </c>
      <c r="D41" s="9" t="s">
        <v>66</v>
      </c>
      <c r="E41" s="9" t="s">
        <v>65</v>
      </c>
      <c r="F41" s="9" t="s">
        <v>109</v>
      </c>
      <c r="G41" s="10">
        <v>84</v>
      </c>
      <c r="H41" s="10">
        <v>1276</v>
      </c>
      <c r="I41" s="10">
        <v>55</v>
      </c>
      <c r="J41" s="10">
        <v>820</v>
      </c>
      <c r="K41" s="10">
        <v>60</v>
      </c>
      <c r="L41" s="10">
        <v>940</v>
      </c>
      <c r="M41" s="10">
        <v>35</v>
      </c>
      <c r="N41" s="10">
        <v>590</v>
      </c>
      <c r="O41" s="10">
        <v>75</v>
      </c>
      <c r="P41" s="10">
        <v>1300</v>
      </c>
      <c r="Q41" s="10">
        <v>35</v>
      </c>
      <c r="R41" s="10">
        <v>490</v>
      </c>
      <c r="S41" s="10">
        <v>95</v>
      </c>
      <c r="T41" s="10">
        <v>1580</v>
      </c>
      <c r="U41" s="10">
        <v>50</v>
      </c>
      <c r="V41" s="10">
        <v>950</v>
      </c>
      <c r="W41" s="10">
        <v>50</v>
      </c>
      <c r="X41" s="10">
        <v>700</v>
      </c>
      <c r="Y41" s="10">
        <v>30</v>
      </c>
      <c r="Z41" s="10">
        <v>720</v>
      </c>
      <c r="AA41" s="10">
        <v>30</v>
      </c>
      <c r="AB41" s="10">
        <v>420</v>
      </c>
      <c r="AC41" s="10">
        <v>80</v>
      </c>
      <c r="AD41" s="10">
        <v>1420</v>
      </c>
      <c r="AE41" s="11">
        <f t="shared" si="0"/>
        <v>679</v>
      </c>
      <c r="AF41" s="11">
        <f t="shared" si="1"/>
        <v>11206</v>
      </c>
      <c r="AG41" s="12"/>
      <c r="AH41" s="12"/>
      <c r="AI41" s="12"/>
      <c r="AJ41" s="12"/>
      <c r="AK41" s="12"/>
      <c r="AL41" s="12"/>
      <c r="AM41" s="12">
        <v>70</v>
      </c>
      <c r="AN41" s="12">
        <v>1280</v>
      </c>
      <c r="AO41" s="12">
        <v>819.2</v>
      </c>
      <c r="AP41" s="12">
        <v>0</v>
      </c>
      <c r="AQ41" s="12">
        <v>0</v>
      </c>
      <c r="AR41" s="12">
        <v>0</v>
      </c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4">
        <f t="shared" si="2"/>
        <v>70</v>
      </c>
      <c r="BR41" s="14">
        <f t="shared" si="3"/>
        <v>1280</v>
      </c>
      <c r="BS41" s="14">
        <f t="shared" si="4"/>
        <v>819.2</v>
      </c>
      <c r="BT41" s="12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15">
        <f t="shared" si="5"/>
        <v>0</v>
      </c>
      <c r="DE41" s="15">
        <f t="shared" si="6"/>
        <v>0</v>
      </c>
      <c r="DF41" s="15">
        <f t="shared" si="7"/>
        <v>0</v>
      </c>
    </row>
    <row r="42" spans="1:110" x14ac:dyDescent="0.25">
      <c r="A42" s="9">
        <v>12</v>
      </c>
      <c r="B42" s="9" t="s">
        <v>112</v>
      </c>
      <c r="C42" s="9" t="s">
        <v>113</v>
      </c>
      <c r="D42" s="9" t="s">
        <v>45</v>
      </c>
      <c r="E42" s="9" t="s">
        <v>44</v>
      </c>
      <c r="F42" s="9" t="s">
        <v>109</v>
      </c>
      <c r="G42" s="10">
        <v>245</v>
      </c>
      <c r="H42" s="10">
        <v>3830</v>
      </c>
      <c r="I42" s="10">
        <v>195</v>
      </c>
      <c r="J42" s="10">
        <v>3330</v>
      </c>
      <c r="K42" s="10">
        <v>140</v>
      </c>
      <c r="L42" s="10">
        <v>2210</v>
      </c>
      <c r="M42" s="10">
        <v>160</v>
      </c>
      <c r="N42" s="10">
        <v>2840</v>
      </c>
      <c r="O42" s="10">
        <v>204</v>
      </c>
      <c r="P42" s="10">
        <v>3156</v>
      </c>
      <c r="Q42" s="10">
        <v>140</v>
      </c>
      <c r="R42" s="10">
        <v>2260</v>
      </c>
      <c r="S42" s="10">
        <v>155</v>
      </c>
      <c r="T42" s="10">
        <v>2470</v>
      </c>
      <c r="U42" s="10">
        <v>125</v>
      </c>
      <c r="V42" s="10">
        <v>1750</v>
      </c>
      <c r="W42" s="10">
        <v>110</v>
      </c>
      <c r="X42" s="10">
        <v>2140</v>
      </c>
      <c r="Y42" s="10">
        <v>100</v>
      </c>
      <c r="Z42" s="10">
        <v>1700</v>
      </c>
      <c r="AA42" s="10">
        <v>130</v>
      </c>
      <c r="AB42" s="10">
        <v>2120</v>
      </c>
      <c r="AC42" s="10">
        <v>125</v>
      </c>
      <c r="AD42" s="10">
        <v>2050</v>
      </c>
      <c r="AE42" s="11">
        <f t="shared" si="0"/>
        <v>1829</v>
      </c>
      <c r="AF42" s="11">
        <f t="shared" si="1"/>
        <v>29856</v>
      </c>
      <c r="AG42" s="12"/>
      <c r="AH42" s="12"/>
      <c r="AI42" s="12"/>
      <c r="AJ42" s="12"/>
      <c r="AK42" s="12"/>
      <c r="AL42" s="12"/>
      <c r="AM42" s="12">
        <v>85</v>
      </c>
      <c r="AN42" s="12">
        <v>1490</v>
      </c>
      <c r="AO42" s="12">
        <v>953.60000000000014</v>
      </c>
      <c r="AP42" s="12">
        <v>155</v>
      </c>
      <c r="AQ42" s="12">
        <v>2620</v>
      </c>
      <c r="AR42" s="12">
        <v>1676.8</v>
      </c>
      <c r="AS42" s="12">
        <v>100</v>
      </c>
      <c r="AT42" s="12">
        <v>1400</v>
      </c>
      <c r="AU42" s="12">
        <v>896.00000000000011</v>
      </c>
      <c r="AV42" s="12">
        <v>50</v>
      </c>
      <c r="AW42" s="12">
        <v>700</v>
      </c>
      <c r="AX42" s="12">
        <v>448.00000000000006</v>
      </c>
      <c r="AY42" s="12">
        <v>40</v>
      </c>
      <c r="AZ42" s="12">
        <v>560</v>
      </c>
      <c r="BA42" s="12">
        <v>358.40000000000003</v>
      </c>
      <c r="BB42" s="12">
        <v>100</v>
      </c>
      <c r="BC42" s="12">
        <v>1400</v>
      </c>
      <c r="BD42" s="12">
        <v>896</v>
      </c>
      <c r="BE42" s="12">
        <v>65</v>
      </c>
      <c r="BF42" s="12">
        <v>1060</v>
      </c>
      <c r="BG42" s="12">
        <v>678.40000000000009</v>
      </c>
      <c r="BH42" s="12">
        <v>65</v>
      </c>
      <c r="BI42" s="12">
        <v>1060</v>
      </c>
      <c r="BJ42" s="12">
        <v>678.4</v>
      </c>
      <c r="BK42" s="12">
        <v>45</v>
      </c>
      <c r="BL42" s="12">
        <v>780</v>
      </c>
      <c r="BM42" s="12">
        <v>499.20000000000005</v>
      </c>
      <c r="BN42" s="12">
        <v>45</v>
      </c>
      <c r="BO42" s="12">
        <v>780</v>
      </c>
      <c r="BP42" s="12">
        <v>499.20000000000005</v>
      </c>
      <c r="BQ42" s="14">
        <f t="shared" si="2"/>
        <v>750</v>
      </c>
      <c r="BR42" s="14">
        <f t="shared" si="3"/>
        <v>11850</v>
      </c>
      <c r="BS42" s="14">
        <f t="shared" si="4"/>
        <v>7584</v>
      </c>
      <c r="BT42" s="14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15">
        <f t="shared" si="5"/>
        <v>0</v>
      </c>
      <c r="DE42" s="15">
        <f t="shared" si="6"/>
        <v>0</v>
      </c>
      <c r="DF42" s="15">
        <f t="shared" si="7"/>
        <v>0</v>
      </c>
    </row>
    <row r="43" spans="1:110" x14ac:dyDescent="0.25">
      <c r="A43" s="9">
        <v>13</v>
      </c>
      <c r="B43" s="9" t="s">
        <v>114</v>
      </c>
      <c r="C43" s="9" t="s">
        <v>115</v>
      </c>
      <c r="D43" s="9" t="s">
        <v>28</v>
      </c>
      <c r="E43" s="9" t="s">
        <v>27</v>
      </c>
      <c r="F43" s="9" t="s">
        <v>109</v>
      </c>
      <c r="G43" s="10">
        <v>230</v>
      </c>
      <c r="H43" s="10">
        <v>3220</v>
      </c>
      <c r="I43" s="10">
        <v>200</v>
      </c>
      <c r="J43" s="10">
        <v>2800</v>
      </c>
      <c r="K43" s="10">
        <v>200</v>
      </c>
      <c r="L43" s="10">
        <v>2800</v>
      </c>
      <c r="M43" s="10">
        <v>250</v>
      </c>
      <c r="N43" s="10">
        <v>3500</v>
      </c>
      <c r="O43" s="10">
        <v>50</v>
      </c>
      <c r="P43" s="10">
        <v>700</v>
      </c>
      <c r="Q43" s="10">
        <v>110</v>
      </c>
      <c r="R43" s="10">
        <v>1640</v>
      </c>
      <c r="S43" s="10"/>
      <c r="T43" s="10"/>
      <c r="U43" s="10">
        <v>26</v>
      </c>
      <c r="V43" s="10">
        <v>364</v>
      </c>
      <c r="W43" s="10">
        <v>250</v>
      </c>
      <c r="X43" s="10">
        <v>3500</v>
      </c>
      <c r="Y43" s="10">
        <v>45</v>
      </c>
      <c r="Z43" s="10">
        <v>830</v>
      </c>
      <c r="AA43" s="10"/>
      <c r="AB43" s="10"/>
      <c r="AC43" s="10">
        <v>300</v>
      </c>
      <c r="AD43" s="10">
        <v>4200</v>
      </c>
      <c r="AE43" s="11">
        <f t="shared" si="0"/>
        <v>1661</v>
      </c>
      <c r="AF43" s="11">
        <f t="shared" si="1"/>
        <v>23554</v>
      </c>
      <c r="AG43" s="12"/>
      <c r="AH43" s="12"/>
      <c r="AI43" s="12"/>
      <c r="AJ43" s="12"/>
      <c r="AK43" s="12"/>
      <c r="AL43" s="12"/>
      <c r="AM43" s="12">
        <v>100</v>
      </c>
      <c r="AN43" s="12">
        <v>1400</v>
      </c>
      <c r="AO43" s="12">
        <v>896</v>
      </c>
      <c r="AP43" s="12">
        <v>200</v>
      </c>
      <c r="AQ43" s="12">
        <v>2800</v>
      </c>
      <c r="AR43" s="12">
        <v>1792</v>
      </c>
      <c r="AS43" s="12">
        <v>80</v>
      </c>
      <c r="AT43" s="12">
        <v>1060</v>
      </c>
      <c r="AU43" s="12">
        <v>808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50</v>
      </c>
      <c r="BC43" s="12">
        <v>700</v>
      </c>
      <c r="BD43" s="12">
        <v>448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/>
      <c r="BO43" s="12"/>
      <c r="BP43" s="12"/>
      <c r="BQ43" s="14">
        <f t="shared" si="2"/>
        <v>430</v>
      </c>
      <c r="BR43" s="14">
        <f t="shared" si="3"/>
        <v>5960</v>
      </c>
      <c r="BS43" s="14">
        <f t="shared" si="4"/>
        <v>3944</v>
      </c>
      <c r="BT43" s="14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15">
        <f t="shared" si="5"/>
        <v>0</v>
      </c>
      <c r="DE43" s="15">
        <f t="shared" si="6"/>
        <v>0</v>
      </c>
      <c r="DF43" s="15">
        <f t="shared" si="7"/>
        <v>0</v>
      </c>
    </row>
    <row r="44" spans="1:110" x14ac:dyDescent="0.25">
      <c r="A44" s="9">
        <v>14</v>
      </c>
      <c r="B44" s="9" t="s">
        <v>119</v>
      </c>
      <c r="C44" s="9" t="s">
        <v>120</v>
      </c>
      <c r="D44" s="9" t="s">
        <v>14</v>
      </c>
      <c r="E44" s="9" t="s">
        <v>13</v>
      </c>
      <c r="F44" s="9" t="s">
        <v>109</v>
      </c>
      <c r="G44" s="10">
        <v>200</v>
      </c>
      <c r="H44" s="10">
        <v>2800</v>
      </c>
      <c r="I44" s="10">
        <v>250</v>
      </c>
      <c r="J44" s="10">
        <v>3500</v>
      </c>
      <c r="K44" s="10">
        <v>100</v>
      </c>
      <c r="L44" s="10">
        <v>1400</v>
      </c>
      <c r="M44" s="10"/>
      <c r="N44" s="10"/>
      <c r="O44" s="10"/>
      <c r="P44" s="10"/>
      <c r="Q44" s="10">
        <v>300</v>
      </c>
      <c r="R44" s="10">
        <v>4100</v>
      </c>
      <c r="S44" s="10">
        <v>605</v>
      </c>
      <c r="T44" s="10">
        <v>8340</v>
      </c>
      <c r="U44" s="10">
        <v>500</v>
      </c>
      <c r="V44" s="10">
        <v>7000</v>
      </c>
      <c r="W44" s="10">
        <v>175</v>
      </c>
      <c r="X44" s="10">
        <v>2450</v>
      </c>
      <c r="Y44" s="10">
        <v>300</v>
      </c>
      <c r="Z44" s="10">
        <v>4200</v>
      </c>
      <c r="AA44" s="10"/>
      <c r="AB44" s="10"/>
      <c r="AC44" s="10">
        <v>170</v>
      </c>
      <c r="AD44" s="10">
        <v>2380</v>
      </c>
      <c r="AE44" s="11">
        <f t="shared" si="0"/>
        <v>2600</v>
      </c>
      <c r="AF44" s="11">
        <f t="shared" si="1"/>
        <v>36170</v>
      </c>
      <c r="AG44" s="12"/>
      <c r="AH44" s="12"/>
      <c r="AI44" s="12"/>
      <c r="AJ44" s="12"/>
      <c r="AK44" s="12"/>
      <c r="AL44" s="12"/>
      <c r="AM44" s="12">
        <v>200</v>
      </c>
      <c r="AN44" s="12">
        <v>2800</v>
      </c>
      <c r="AO44" s="12">
        <v>1792</v>
      </c>
      <c r="AP44" s="12">
        <v>50</v>
      </c>
      <c r="AQ44" s="12">
        <v>700</v>
      </c>
      <c r="AR44" s="12">
        <v>448</v>
      </c>
      <c r="AS44" s="12">
        <v>50</v>
      </c>
      <c r="AT44" s="12">
        <v>700</v>
      </c>
      <c r="AU44" s="12">
        <v>448</v>
      </c>
      <c r="AV44" s="12">
        <v>100</v>
      </c>
      <c r="AW44" s="12">
        <v>1400</v>
      </c>
      <c r="AX44" s="12">
        <v>896</v>
      </c>
      <c r="AY44" s="12">
        <v>150</v>
      </c>
      <c r="AZ44" s="12">
        <v>2100</v>
      </c>
      <c r="BA44" s="12">
        <v>1344</v>
      </c>
      <c r="BB44" s="12">
        <v>75</v>
      </c>
      <c r="BC44" s="12">
        <v>1050</v>
      </c>
      <c r="BD44" s="12">
        <v>672</v>
      </c>
      <c r="BE44" s="12">
        <v>100</v>
      </c>
      <c r="BF44" s="12">
        <v>1400</v>
      </c>
      <c r="BG44" s="12">
        <v>896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/>
      <c r="BO44" s="12"/>
      <c r="BP44" s="12"/>
      <c r="BQ44" s="14">
        <f t="shared" si="2"/>
        <v>725</v>
      </c>
      <c r="BR44" s="14">
        <f t="shared" si="3"/>
        <v>10150</v>
      </c>
      <c r="BS44" s="14">
        <f t="shared" si="4"/>
        <v>6496</v>
      </c>
      <c r="BT44" s="14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15">
        <f t="shared" si="5"/>
        <v>0</v>
      </c>
      <c r="DE44" s="15">
        <f t="shared" si="6"/>
        <v>0</v>
      </c>
      <c r="DF44" s="15">
        <f t="shared" si="7"/>
        <v>0</v>
      </c>
    </row>
    <row r="45" spans="1:110" x14ac:dyDescent="0.25">
      <c r="A45" s="9">
        <v>15</v>
      </c>
      <c r="B45" s="9" t="s">
        <v>121</v>
      </c>
      <c r="C45" s="9" t="s">
        <v>122</v>
      </c>
      <c r="D45" s="9" t="s">
        <v>14</v>
      </c>
      <c r="E45" s="9" t="s">
        <v>13</v>
      </c>
      <c r="F45" s="9" t="s">
        <v>109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1">
        <f t="shared" si="0"/>
        <v>0</v>
      </c>
      <c r="AF45" s="11">
        <f t="shared" si="1"/>
        <v>0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4">
        <f t="shared" si="2"/>
        <v>0</v>
      </c>
      <c r="BR45" s="14">
        <f t="shared" si="3"/>
        <v>0</v>
      </c>
      <c r="BS45" s="14">
        <f t="shared" si="4"/>
        <v>0</v>
      </c>
      <c r="BT45" s="14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15">
        <f t="shared" si="5"/>
        <v>0</v>
      </c>
      <c r="DE45" s="15">
        <f t="shared" si="6"/>
        <v>0</v>
      </c>
      <c r="DF45" s="15">
        <f t="shared" si="7"/>
        <v>0</v>
      </c>
    </row>
    <row r="46" spans="1:110" s="3" customFormat="1" x14ac:dyDescent="0.25">
      <c r="A46" s="29" t="s">
        <v>93</v>
      </c>
      <c r="B46" s="29"/>
      <c r="C46" s="29"/>
      <c r="D46" s="29"/>
      <c r="E46" s="29"/>
      <c r="F46" s="29"/>
      <c r="G46" s="17">
        <f>SUM(G31:G45)</f>
        <v>2064</v>
      </c>
      <c r="H46" s="17">
        <f t="shared" ref="H46:BP46" si="10">SUM(H31:H45)</f>
        <v>30646</v>
      </c>
      <c r="I46" s="17">
        <f t="shared" si="10"/>
        <v>2054</v>
      </c>
      <c r="J46" s="17">
        <f t="shared" si="10"/>
        <v>30466</v>
      </c>
      <c r="K46" s="17">
        <f t="shared" si="10"/>
        <v>1765</v>
      </c>
      <c r="L46" s="17">
        <f t="shared" si="10"/>
        <v>24410</v>
      </c>
      <c r="M46" s="17">
        <f t="shared" si="10"/>
        <v>1249</v>
      </c>
      <c r="N46" s="17">
        <f t="shared" si="10"/>
        <v>19036</v>
      </c>
      <c r="O46" s="17">
        <f t="shared" si="10"/>
        <v>1422</v>
      </c>
      <c r="P46" s="17">
        <f t="shared" si="10"/>
        <v>21408</v>
      </c>
      <c r="Q46" s="17">
        <f t="shared" si="10"/>
        <v>1595</v>
      </c>
      <c r="R46" s="17">
        <f t="shared" si="10"/>
        <v>24030</v>
      </c>
      <c r="S46" s="17">
        <f t="shared" si="10"/>
        <v>2420</v>
      </c>
      <c r="T46" s="17">
        <f t="shared" si="10"/>
        <v>36050</v>
      </c>
      <c r="U46" s="17">
        <f t="shared" si="10"/>
        <v>2084</v>
      </c>
      <c r="V46" s="17">
        <f t="shared" si="10"/>
        <v>32206</v>
      </c>
      <c r="W46" s="17">
        <f t="shared" si="10"/>
        <v>2375</v>
      </c>
      <c r="X46" s="17">
        <f t="shared" si="10"/>
        <v>34850</v>
      </c>
      <c r="Y46" s="17">
        <f t="shared" si="10"/>
        <v>1832</v>
      </c>
      <c r="Z46" s="17">
        <f t="shared" si="10"/>
        <v>28398</v>
      </c>
      <c r="AA46" s="17">
        <f t="shared" si="10"/>
        <v>1525</v>
      </c>
      <c r="AB46" s="17">
        <f t="shared" si="10"/>
        <v>22400</v>
      </c>
      <c r="AC46" s="17">
        <f t="shared" si="10"/>
        <v>2159</v>
      </c>
      <c r="AD46" s="17">
        <f t="shared" si="10"/>
        <v>32676</v>
      </c>
      <c r="AE46" s="18">
        <f t="shared" si="0"/>
        <v>22544</v>
      </c>
      <c r="AF46" s="18">
        <f t="shared" si="1"/>
        <v>336576</v>
      </c>
      <c r="AG46" s="17">
        <f t="shared" si="10"/>
        <v>0</v>
      </c>
      <c r="AH46" s="17">
        <f t="shared" si="10"/>
        <v>0</v>
      </c>
      <c r="AI46" s="17">
        <f t="shared" si="10"/>
        <v>0</v>
      </c>
      <c r="AJ46" s="17">
        <f t="shared" si="10"/>
        <v>0</v>
      </c>
      <c r="AK46" s="17">
        <f t="shared" si="10"/>
        <v>0</v>
      </c>
      <c r="AL46" s="17">
        <f t="shared" si="10"/>
        <v>0</v>
      </c>
      <c r="AM46" s="17">
        <f t="shared" si="10"/>
        <v>2315</v>
      </c>
      <c r="AN46" s="17">
        <f t="shared" si="10"/>
        <v>36910</v>
      </c>
      <c r="AO46" s="17">
        <f t="shared" si="10"/>
        <v>23622.399999999998</v>
      </c>
      <c r="AP46" s="17">
        <f t="shared" si="10"/>
        <v>1425</v>
      </c>
      <c r="AQ46" s="17">
        <f t="shared" si="10"/>
        <v>20950</v>
      </c>
      <c r="AR46" s="17">
        <f t="shared" si="10"/>
        <v>13407.999999999998</v>
      </c>
      <c r="AS46" s="17">
        <f t="shared" si="10"/>
        <v>2469</v>
      </c>
      <c r="AT46" s="17">
        <f t="shared" si="10"/>
        <v>38156</v>
      </c>
      <c r="AU46" s="17">
        <f t="shared" si="10"/>
        <v>24755.84</v>
      </c>
      <c r="AV46" s="17">
        <f t="shared" si="10"/>
        <v>1862</v>
      </c>
      <c r="AW46" s="17">
        <f t="shared" si="10"/>
        <v>27744</v>
      </c>
      <c r="AX46" s="17">
        <f t="shared" si="10"/>
        <v>18970.8</v>
      </c>
      <c r="AY46" s="17">
        <f t="shared" si="10"/>
        <v>1781</v>
      </c>
      <c r="AZ46" s="17">
        <f t="shared" si="10"/>
        <v>26792</v>
      </c>
      <c r="BA46" s="17">
        <f t="shared" si="10"/>
        <v>17664.800000000003</v>
      </c>
      <c r="BB46" s="17">
        <f t="shared" si="10"/>
        <v>2205</v>
      </c>
      <c r="BC46" s="17">
        <f t="shared" si="10"/>
        <v>31260</v>
      </c>
      <c r="BD46" s="17">
        <f t="shared" si="10"/>
        <v>21093.599999999999</v>
      </c>
      <c r="BE46" s="17">
        <f t="shared" si="10"/>
        <v>2349</v>
      </c>
      <c r="BF46" s="17">
        <f t="shared" si="10"/>
        <v>32938</v>
      </c>
      <c r="BG46" s="17">
        <f t="shared" si="10"/>
        <v>24193.599999999999</v>
      </c>
      <c r="BH46" s="17">
        <f t="shared" si="10"/>
        <v>1504</v>
      </c>
      <c r="BI46" s="17">
        <f t="shared" si="10"/>
        <v>20532</v>
      </c>
      <c r="BJ46" s="17">
        <f t="shared" si="10"/>
        <v>15561.12</v>
      </c>
      <c r="BK46" s="17">
        <f t="shared" si="10"/>
        <v>1852</v>
      </c>
      <c r="BL46" s="17">
        <f t="shared" si="10"/>
        <v>25904</v>
      </c>
      <c r="BM46" s="17">
        <f t="shared" si="10"/>
        <v>19383.2</v>
      </c>
      <c r="BN46" s="17">
        <f t="shared" si="10"/>
        <v>2868</v>
      </c>
      <c r="BO46" s="17">
        <f t="shared" si="10"/>
        <v>39182</v>
      </c>
      <c r="BP46" s="17">
        <f t="shared" si="10"/>
        <v>29184.079999999998</v>
      </c>
      <c r="BQ46" s="19">
        <f t="shared" si="2"/>
        <v>20630</v>
      </c>
      <c r="BR46" s="19">
        <f t="shared" si="3"/>
        <v>300368</v>
      </c>
      <c r="BS46" s="19">
        <f t="shared" si="4"/>
        <v>207837.44</v>
      </c>
      <c r="BT46" s="17">
        <f>SUM(BT31:BT45)</f>
        <v>1872</v>
      </c>
      <c r="BU46" s="17">
        <f t="shared" ref="BU46:DF46" si="11">SUM(BU31:BU45)</f>
        <v>28054</v>
      </c>
      <c r="BV46" s="17">
        <f t="shared" si="11"/>
        <v>19684</v>
      </c>
      <c r="BW46" s="17">
        <f t="shared" si="11"/>
        <v>1527</v>
      </c>
      <c r="BX46" s="17">
        <f t="shared" si="11"/>
        <v>21814</v>
      </c>
      <c r="BY46" s="17">
        <f t="shared" si="11"/>
        <v>16337.2</v>
      </c>
      <c r="BZ46" s="17">
        <f t="shared" si="11"/>
        <v>0</v>
      </c>
      <c r="CA46" s="17">
        <f t="shared" si="11"/>
        <v>0</v>
      </c>
      <c r="CB46" s="17">
        <f t="shared" si="11"/>
        <v>0</v>
      </c>
      <c r="CC46" s="17">
        <f t="shared" si="11"/>
        <v>0</v>
      </c>
      <c r="CD46" s="17">
        <f t="shared" si="11"/>
        <v>0</v>
      </c>
      <c r="CE46" s="17">
        <f t="shared" si="11"/>
        <v>0</v>
      </c>
      <c r="CF46" s="17">
        <f t="shared" si="11"/>
        <v>0</v>
      </c>
      <c r="CG46" s="17">
        <f t="shared" si="11"/>
        <v>0</v>
      </c>
      <c r="CH46" s="17">
        <f t="shared" si="11"/>
        <v>0</v>
      </c>
      <c r="CI46" s="17">
        <f t="shared" si="11"/>
        <v>0</v>
      </c>
      <c r="CJ46" s="17">
        <f t="shared" si="11"/>
        <v>0</v>
      </c>
      <c r="CK46" s="17">
        <f t="shared" si="11"/>
        <v>0</v>
      </c>
      <c r="CL46" s="17">
        <f t="shared" si="11"/>
        <v>0</v>
      </c>
      <c r="CM46" s="17">
        <f t="shared" si="11"/>
        <v>0</v>
      </c>
      <c r="CN46" s="17">
        <f t="shared" si="11"/>
        <v>0</v>
      </c>
      <c r="CO46" s="17">
        <f t="shared" si="11"/>
        <v>0</v>
      </c>
      <c r="CP46" s="17">
        <f t="shared" si="11"/>
        <v>0</v>
      </c>
      <c r="CQ46" s="17">
        <f t="shared" si="11"/>
        <v>0</v>
      </c>
      <c r="CR46" s="17">
        <f t="shared" si="11"/>
        <v>0</v>
      </c>
      <c r="CS46" s="17">
        <f t="shared" si="11"/>
        <v>0</v>
      </c>
      <c r="CT46" s="17">
        <f t="shared" si="11"/>
        <v>0</v>
      </c>
      <c r="CU46" s="17">
        <f t="shared" si="11"/>
        <v>0</v>
      </c>
      <c r="CV46" s="17">
        <f t="shared" si="11"/>
        <v>0</v>
      </c>
      <c r="CW46" s="17">
        <f t="shared" si="11"/>
        <v>0</v>
      </c>
      <c r="CX46" s="17">
        <f t="shared" si="11"/>
        <v>0</v>
      </c>
      <c r="CY46" s="17">
        <f t="shared" si="11"/>
        <v>0</v>
      </c>
      <c r="CZ46" s="17">
        <f t="shared" si="11"/>
        <v>0</v>
      </c>
      <c r="DA46" s="17">
        <f t="shared" si="11"/>
        <v>0</v>
      </c>
      <c r="DB46" s="17">
        <f t="shared" si="11"/>
        <v>0</v>
      </c>
      <c r="DC46" s="17">
        <f t="shared" si="11"/>
        <v>0</v>
      </c>
      <c r="DD46" s="17">
        <f t="shared" si="11"/>
        <v>3399</v>
      </c>
      <c r="DE46" s="17">
        <f t="shared" si="11"/>
        <v>49868</v>
      </c>
      <c r="DF46" s="17">
        <f t="shared" si="11"/>
        <v>36021.199999999997</v>
      </c>
    </row>
    <row r="47" spans="1:110" x14ac:dyDescent="0.25">
      <c r="A47" s="9"/>
      <c r="B47" s="31" t="s">
        <v>11</v>
      </c>
      <c r="C47" s="31"/>
      <c r="D47" s="31"/>
      <c r="E47" s="31"/>
      <c r="F47" s="3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11">
        <f t="shared" si="0"/>
        <v>0</v>
      </c>
      <c r="AF47" s="11">
        <f t="shared" si="1"/>
        <v>0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14">
        <f t="shared" si="2"/>
        <v>0</v>
      </c>
      <c r="BR47" s="14">
        <f t="shared" si="3"/>
        <v>0</v>
      </c>
      <c r="BS47" s="14">
        <f t="shared" si="4"/>
        <v>0</v>
      </c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15">
        <f t="shared" si="5"/>
        <v>0</v>
      </c>
      <c r="DE47" s="15">
        <f t="shared" si="6"/>
        <v>0</v>
      </c>
      <c r="DF47" s="15">
        <f t="shared" si="7"/>
        <v>0</v>
      </c>
    </row>
    <row r="48" spans="1:110" x14ac:dyDescent="0.25">
      <c r="A48" s="9" t="s">
        <v>10</v>
      </c>
      <c r="B48" s="9" t="s">
        <v>9</v>
      </c>
      <c r="C48" s="9" t="s">
        <v>8</v>
      </c>
      <c r="D48" s="9" t="s">
        <v>7</v>
      </c>
      <c r="E48" s="9" t="s">
        <v>6</v>
      </c>
      <c r="F48" s="9" t="s">
        <v>5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11">
        <f t="shared" si="0"/>
        <v>0</v>
      </c>
      <c r="AF48" s="11">
        <f t="shared" si="1"/>
        <v>0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14">
        <f t="shared" si="2"/>
        <v>0</v>
      </c>
      <c r="BR48" s="14">
        <f t="shared" si="3"/>
        <v>0</v>
      </c>
      <c r="BS48" s="14">
        <f t="shared" si="4"/>
        <v>0</v>
      </c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15">
        <f t="shared" si="5"/>
        <v>0</v>
      </c>
      <c r="DE48" s="15">
        <f t="shared" si="6"/>
        <v>0</v>
      </c>
      <c r="DF48" s="15">
        <f t="shared" si="7"/>
        <v>0</v>
      </c>
    </row>
    <row r="49" spans="1:110" x14ac:dyDescent="0.25">
      <c r="A49" s="9">
        <v>1</v>
      </c>
      <c r="B49" s="9" t="s">
        <v>124</v>
      </c>
      <c r="C49" s="9" t="s">
        <v>125</v>
      </c>
      <c r="D49" s="9" t="s">
        <v>126</v>
      </c>
      <c r="E49" s="9">
        <v>304</v>
      </c>
      <c r="F49" s="9" t="s">
        <v>1</v>
      </c>
      <c r="G49" s="10">
        <v>2066</v>
      </c>
      <c r="H49" s="10">
        <v>27201</v>
      </c>
      <c r="I49" s="10">
        <v>2509</v>
      </c>
      <c r="J49" s="10">
        <v>34409</v>
      </c>
      <c r="K49" s="10">
        <v>2849</v>
      </c>
      <c r="L49" s="10">
        <v>42280</v>
      </c>
      <c r="M49" s="10">
        <v>2900</v>
      </c>
      <c r="N49" s="10">
        <v>53252</v>
      </c>
      <c r="O49" s="10">
        <v>3500</v>
      </c>
      <c r="P49" s="10">
        <v>53804</v>
      </c>
      <c r="Q49" s="10">
        <v>3082</v>
      </c>
      <c r="R49" s="10">
        <v>47968</v>
      </c>
      <c r="S49" s="10">
        <v>3008</v>
      </c>
      <c r="T49" s="10">
        <v>53175</v>
      </c>
      <c r="U49" s="10">
        <v>4067</v>
      </c>
      <c r="V49" s="10">
        <v>62780</v>
      </c>
      <c r="W49" s="10">
        <v>2901</v>
      </c>
      <c r="X49" s="10">
        <v>50290</v>
      </c>
      <c r="Y49" s="10">
        <v>3873</v>
      </c>
      <c r="Z49" s="10">
        <v>63620</v>
      </c>
      <c r="AA49" s="10">
        <v>3032</v>
      </c>
      <c r="AB49" s="10">
        <v>42415</v>
      </c>
      <c r="AC49" s="10">
        <v>3738</v>
      </c>
      <c r="AD49" s="10">
        <v>53251</v>
      </c>
      <c r="AE49" s="11">
        <f t="shared" si="0"/>
        <v>37525</v>
      </c>
      <c r="AF49" s="11">
        <f t="shared" si="1"/>
        <v>584445</v>
      </c>
      <c r="AG49" s="12">
        <v>5969.75</v>
      </c>
      <c r="AH49" s="12">
        <v>89005</v>
      </c>
      <c r="AI49" s="12">
        <v>60083.68</v>
      </c>
      <c r="AJ49" s="12">
        <v>4551.3452380952385</v>
      </c>
      <c r="AK49" s="12">
        <v>71002</v>
      </c>
      <c r="AL49" s="12">
        <v>47743.720000000008</v>
      </c>
      <c r="AM49" s="12">
        <v>3096.416666666667</v>
      </c>
      <c r="AN49" s="12">
        <v>49364</v>
      </c>
      <c r="AO49" s="12">
        <v>35167.039999999994</v>
      </c>
      <c r="AP49" s="12">
        <v>2210.708333333333</v>
      </c>
      <c r="AQ49" s="12">
        <v>36496</v>
      </c>
      <c r="AR49" s="12">
        <v>25269.760000000002</v>
      </c>
      <c r="AS49" s="12">
        <v>2997.395833333333</v>
      </c>
      <c r="AT49" s="12">
        <v>47306</v>
      </c>
      <c r="AU49" s="12">
        <v>33577.43</v>
      </c>
      <c r="AV49" s="12">
        <v>2632.4166666666665</v>
      </c>
      <c r="AW49" s="12">
        <v>42746</v>
      </c>
      <c r="AX49" s="12">
        <v>29883.779999999995</v>
      </c>
      <c r="AY49" s="12">
        <v>3261.8333333333335</v>
      </c>
      <c r="AZ49" s="12">
        <v>48692</v>
      </c>
      <c r="BA49" s="12">
        <v>35518.159999999996</v>
      </c>
      <c r="BB49" s="12">
        <v>3080.5416666666665</v>
      </c>
      <c r="BC49" s="12">
        <v>47776</v>
      </c>
      <c r="BD49" s="12">
        <v>35118.719999999994</v>
      </c>
      <c r="BE49" s="12">
        <v>2582</v>
      </c>
      <c r="BF49" s="12">
        <v>37922</v>
      </c>
      <c r="BG49" s="12">
        <v>28595.360000000008</v>
      </c>
      <c r="BH49" s="12">
        <v>3077.3452380952381</v>
      </c>
      <c r="BI49" s="12">
        <v>42806</v>
      </c>
      <c r="BJ49" s="12">
        <v>35427.079999999994</v>
      </c>
      <c r="BK49" s="12">
        <v>2961</v>
      </c>
      <c r="BL49" s="12">
        <v>44494</v>
      </c>
      <c r="BM49" s="12">
        <v>33803.199999999997</v>
      </c>
      <c r="BN49" s="12">
        <v>3577</v>
      </c>
      <c r="BO49" s="12">
        <v>51728</v>
      </c>
      <c r="BP49" s="12">
        <v>39786.55999999999</v>
      </c>
      <c r="BQ49" s="14">
        <f t="shared" si="2"/>
        <v>39997.752976190473</v>
      </c>
      <c r="BR49" s="14">
        <f t="shared" si="3"/>
        <v>609337</v>
      </c>
      <c r="BS49" s="14">
        <f t="shared" si="4"/>
        <v>439974.49</v>
      </c>
      <c r="BT49" s="12">
        <v>2811</v>
      </c>
      <c r="BU49" s="9">
        <v>40498</v>
      </c>
      <c r="BV49" s="9">
        <v>31656.160000000003</v>
      </c>
      <c r="BW49" s="33">
        <v>2490.9166666666665</v>
      </c>
      <c r="BX49" s="33">
        <v>35848</v>
      </c>
      <c r="BY49" s="33">
        <v>29065.200000000001</v>
      </c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15">
        <f t="shared" si="5"/>
        <v>5301.9166666666661</v>
      </c>
      <c r="DE49" s="15">
        <f t="shared" si="6"/>
        <v>76346</v>
      </c>
      <c r="DF49" s="15">
        <f t="shared" si="7"/>
        <v>60721.36</v>
      </c>
    </row>
    <row r="50" spans="1:110" x14ac:dyDescent="0.25">
      <c r="A50" s="9">
        <v>2</v>
      </c>
      <c r="B50" s="9" t="s">
        <v>127</v>
      </c>
      <c r="C50" s="9" t="s">
        <v>125</v>
      </c>
      <c r="D50" s="9" t="s">
        <v>128</v>
      </c>
      <c r="E50" s="9">
        <v>316</v>
      </c>
      <c r="F50" s="9" t="s">
        <v>1</v>
      </c>
      <c r="G50" s="10">
        <v>1400</v>
      </c>
      <c r="H50" s="10">
        <v>23600</v>
      </c>
      <c r="I50" s="10">
        <v>1640</v>
      </c>
      <c r="J50" s="10">
        <v>25360</v>
      </c>
      <c r="K50" s="10">
        <v>2200</v>
      </c>
      <c r="L50" s="10">
        <v>33800</v>
      </c>
      <c r="M50" s="10">
        <v>2053</v>
      </c>
      <c r="N50" s="10">
        <v>32272</v>
      </c>
      <c r="O50" s="10">
        <v>2030</v>
      </c>
      <c r="P50" s="10">
        <v>30720</v>
      </c>
      <c r="Q50" s="10">
        <v>2000</v>
      </c>
      <c r="R50" s="10">
        <v>33094</v>
      </c>
      <c r="S50" s="10">
        <v>1684</v>
      </c>
      <c r="T50" s="10">
        <v>24776</v>
      </c>
      <c r="U50" s="10">
        <v>2150</v>
      </c>
      <c r="V50" s="10">
        <v>32609</v>
      </c>
      <c r="W50" s="10">
        <v>1088</v>
      </c>
      <c r="X50" s="10">
        <v>17113</v>
      </c>
      <c r="Y50" s="10">
        <v>1198</v>
      </c>
      <c r="Z50" s="10">
        <v>19752</v>
      </c>
      <c r="AA50" s="10">
        <v>1585</v>
      </c>
      <c r="AB50" s="10">
        <v>21227</v>
      </c>
      <c r="AC50" s="10">
        <v>1899</v>
      </c>
      <c r="AD50" s="10">
        <v>28576</v>
      </c>
      <c r="AE50" s="11">
        <f t="shared" si="0"/>
        <v>20927</v>
      </c>
      <c r="AF50" s="11">
        <f t="shared" si="1"/>
        <v>322899</v>
      </c>
      <c r="AG50" s="12">
        <v>2592.7857142857142</v>
      </c>
      <c r="AH50" s="12">
        <v>42845</v>
      </c>
      <c r="AI50" s="12">
        <v>29777.200000000004</v>
      </c>
      <c r="AJ50" s="12">
        <v>2250.583333333333</v>
      </c>
      <c r="AK50" s="12">
        <v>36535</v>
      </c>
      <c r="AL50" s="12">
        <v>25404.52</v>
      </c>
      <c r="AM50" s="12">
        <v>2530.3809523809523</v>
      </c>
      <c r="AN50" s="12">
        <v>40513</v>
      </c>
      <c r="AO50" s="12">
        <v>28907.02</v>
      </c>
      <c r="AP50" s="12">
        <v>1800.3392857142858</v>
      </c>
      <c r="AQ50" s="12">
        <v>30138</v>
      </c>
      <c r="AR50" s="12">
        <v>20311.389999999996</v>
      </c>
      <c r="AS50" s="12">
        <v>2041.9940476190475</v>
      </c>
      <c r="AT50" s="12">
        <v>33947</v>
      </c>
      <c r="AU50" s="12">
        <v>22849.27</v>
      </c>
      <c r="AV50" s="12">
        <v>2272.5863095238096</v>
      </c>
      <c r="AW50" s="12">
        <v>34259</v>
      </c>
      <c r="AX50" s="12">
        <v>22892.26</v>
      </c>
      <c r="AY50" s="12">
        <v>2327.0654761904761</v>
      </c>
      <c r="AZ50" s="12">
        <v>33745</v>
      </c>
      <c r="BA50" s="12">
        <v>23232.270000000008</v>
      </c>
      <c r="BB50" s="12">
        <v>1840.7916666666667</v>
      </c>
      <c r="BC50" s="12">
        <v>28585</v>
      </c>
      <c r="BD50" s="12">
        <v>19379.919999999998</v>
      </c>
      <c r="BE50" s="12">
        <v>1822.3809523809525</v>
      </c>
      <c r="BF50" s="12">
        <v>27271</v>
      </c>
      <c r="BG50" s="12">
        <v>19403.320000000003</v>
      </c>
      <c r="BH50" s="12">
        <v>1144.5595238095239</v>
      </c>
      <c r="BI50" s="12">
        <v>17824</v>
      </c>
      <c r="BJ50" s="12">
        <v>11979.220000000001</v>
      </c>
      <c r="BK50" s="12">
        <v>1424.5833333333335</v>
      </c>
      <c r="BL50" s="12">
        <v>21525</v>
      </c>
      <c r="BM50" s="12">
        <v>15236.280000000002</v>
      </c>
      <c r="BN50" s="12">
        <v>1454.6190476190477</v>
      </c>
      <c r="BO50" s="12">
        <v>21782</v>
      </c>
      <c r="BP50" s="12">
        <v>15362.480000000001</v>
      </c>
      <c r="BQ50" s="14">
        <f t="shared" si="2"/>
        <v>23502.669642857145</v>
      </c>
      <c r="BR50" s="14">
        <f t="shared" si="3"/>
        <v>368969</v>
      </c>
      <c r="BS50" s="14">
        <f t="shared" si="4"/>
        <v>254735.15000000005</v>
      </c>
      <c r="BT50" s="12">
        <v>1661.4107142857142</v>
      </c>
      <c r="BU50" s="9">
        <v>25083</v>
      </c>
      <c r="BV50" s="9">
        <v>17968.32</v>
      </c>
      <c r="BW50" s="33">
        <v>1475.6607142857142</v>
      </c>
      <c r="BX50" s="33">
        <v>21503</v>
      </c>
      <c r="BY50" s="33">
        <v>15355.519999999999</v>
      </c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15">
        <f t="shared" si="5"/>
        <v>3137.0714285714284</v>
      </c>
      <c r="DE50" s="15">
        <f t="shared" si="6"/>
        <v>46586</v>
      </c>
      <c r="DF50" s="15">
        <f t="shared" si="7"/>
        <v>33323.839999999997</v>
      </c>
    </row>
    <row r="51" spans="1:110" s="3" customFormat="1" x14ac:dyDescent="0.25">
      <c r="A51" s="29" t="s">
        <v>0</v>
      </c>
      <c r="B51" s="29"/>
      <c r="C51" s="29"/>
      <c r="D51" s="29"/>
      <c r="E51" s="29"/>
      <c r="F51" s="29"/>
      <c r="G51" s="17">
        <f>SUM(G49:G50)</f>
        <v>3466</v>
      </c>
      <c r="H51" s="17">
        <f t="shared" ref="H51:BP51" si="12">SUM(H49:H50)</f>
        <v>50801</v>
      </c>
      <c r="I51" s="17">
        <f t="shared" si="12"/>
        <v>4149</v>
      </c>
      <c r="J51" s="17">
        <f t="shared" si="12"/>
        <v>59769</v>
      </c>
      <c r="K51" s="17">
        <f t="shared" si="12"/>
        <v>5049</v>
      </c>
      <c r="L51" s="17">
        <f t="shared" si="12"/>
        <v>76080</v>
      </c>
      <c r="M51" s="17">
        <f t="shared" si="12"/>
        <v>4953</v>
      </c>
      <c r="N51" s="17">
        <f t="shared" si="12"/>
        <v>85524</v>
      </c>
      <c r="O51" s="17">
        <f t="shared" si="12"/>
        <v>5530</v>
      </c>
      <c r="P51" s="17">
        <f t="shared" si="12"/>
        <v>84524</v>
      </c>
      <c r="Q51" s="17">
        <f t="shared" si="12"/>
        <v>5082</v>
      </c>
      <c r="R51" s="17">
        <f t="shared" si="12"/>
        <v>81062</v>
      </c>
      <c r="S51" s="17">
        <f t="shared" si="12"/>
        <v>4692</v>
      </c>
      <c r="T51" s="17">
        <f t="shared" si="12"/>
        <v>77951</v>
      </c>
      <c r="U51" s="17">
        <f t="shared" si="12"/>
        <v>6217</v>
      </c>
      <c r="V51" s="17">
        <f t="shared" si="12"/>
        <v>95389</v>
      </c>
      <c r="W51" s="17">
        <f t="shared" si="12"/>
        <v>3989</v>
      </c>
      <c r="X51" s="17">
        <f t="shared" si="12"/>
        <v>67403</v>
      </c>
      <c r="Y51" s="17">
        <f t="shared" si="12"/>
        <v>5071</v>
      </c>
      <c r="Z51" s="17">
        <f t="shared" si="12"/>
        <v>83372</v>
      </c>
      <c r="AA51" s="17">
        <f t="shared" si="12"/>
        <v>4617</v>
      </c>
      <c r="AB51" s="17">
        <f t="shared" si="12"/>
        <v>63642</v>
      </c>
      <c r="AC51" s="17">
        <f t="shared" si="12"/>
        <v>5637</v>
      </c>
      <c r="AD51" s="17">
        <f t="shared" si="12"/>
        <v>81827</v>
      </c>
      <c r="AE51" s="18">
        <f t="shared" si="0"/>
        <v>58452</v>
      </c>
      <c r="AF51" s="18">
        <f t="shared" si="1"/>
        <v>907344</v>
      </c>
      <c r="AG51" s="17">
        <f t="shared" si="12"/>
        <v>8562.5357142857138</v>
      </c>
      <c r="AH51" s="17">
        <f t="shared" si="12"/>
        <v>131850</v>
      </c>
      <c r="AI51" s="17">
        <f t="shared" si="12"/>
        <v>89860.88</v>
      </c>
      <c r="AJ51" s="17">
        <f t="shared" si="12"/>
        <v>6801.9285714285716</v>
      </c>
      <c r="AK51" s="17">
        <f t="shared" si="12"/>
        <v>107537</v>
      </c>
      <c r="AL51" s="17">
        <f t="shared" si="12"/>
        <v>73148.240000000005</v>
      </c>
      <c r="AM51" s="17">
        <f t="shared" si="12"/>
        <v>5626.7976190476193</v>
      </c>
      <c r="AN51" s="17">
        <f t="shared" si="12"/>
        <v>89877</v>
      </c>
      <c r="AO51" s="17">
        <f t="shared" si="12"/>
        <v>64074.06</v>
      </c>
      <c r="AP51" s="17">
        <f t="shared" si="12"/>
        <v>4011.0476190476188</v>
      </c>
      <c r="AQ51" s="17">
        <f t="shared" si="12"/>
        <v>66634</v>
      </c>
      <c r="AR51" s="17">
        <f t="shared" si="12"/>
        <v>45581.149999999994</v>
      </c>
      <c r="AS51" s="17">
        <f t="shared" si="12"/>
        <v>5039.3898809523807</v>
      </c>
      <c r="AT51" s="17">
        <f t="shared" si="12"/>
        <v>81253</v>
      </c>
      <c r="AU51" s="17">
        <f t="shared" si="12"/>
        <v>56426.7</v>
      </c>
      <c r="AV51" s="17">
        <f t="shared" si="12"/>
        <v>4905.0029761904761</v>
      </c>
      <c r="AW51" s="17">
        <f t="shared" si="12"/>
        <v>77005</v>
      </c>
      <c r="AX51" s="17">
        <f t="shared" si="12"/>
        <v>52776.039999999994</v>
      </c>
      <c r="AY51" s="17">
        <f t="shared" si="12"/>
        <v>5588.8988095238092</v>
      </c>
      <c r="AZ51" s="17">
        <f t="shared" si="12"/>
        <v>82437</v>
      </c>
      <c r="BA51" s="17">
        <f t="shared" si="12"/>
        <v>58750.430000000008</v>
      </c>
      <c r="BB51" s="17">
        <f t="shared" si="12"/>
        <v>4921.333333333333</v>
      </c>
      <c r="BC51" s="17">
        <f t="shared" si="12"/>
        <v>76361</v>
      </c>
      <c r="BD51" s="17">
        <f t="shared" si="12"/>
        <v>54498.639999999992</v>
      </c>
      <c r="BE51" s="17">
        <f t="shared" si="12"/>
        <v>4404.3809523809523</v>
      </c>
      <c r="BF51" s="17">
        <f t="shared" si="12"/>
        <v>65193</v>
      </c>
      <c r="BG51" s="17">
        <f t="shared" si="12"/>
        <v>47998.680000000008</v>
      </c>
      <c r="BH51" s="17">
        <f t="shared" si="12"/>
        <v>4221.9047619047615</v>
      </c>
      <c r="BI51" s="17">
        <f t="shared" si="12"/>
        <v>60630</v>
      </c>
      <c r="BJ51" s="17">
        <f t="shared" si="12"/>
        <v>47406.299999999996</v>
      </c>
      <c r="BK51" s="17">
        <f t="shared" si="12"/>
        <v>4385.5833333333339</v>
      </c>
      <c r="BL51" s="17">
        <f t="shared" si="12"/>
        <v>66019</v>
      </c>
      <c r="BM51" s="17">
        <f t="shared" si="12"/>
        <v>49039.479999999996</v>
      </c>
      <c r="BN51" s="17">
        <f t="shared" si="12"/>
        <v>5031.6190476190477</v>
      </c>
      <c r="BO51" s="17">
        <f t="shared" si="12"/>
        <v>73510</v>
      </c>
      <c r="BP51" s="17">
        <f t="shared" si="12"/>
        <v>55149.039999999994</v>
      </c>
      <c r="BQ51" s="19">
        <f t="shared" si="2"/>
        <v>63500.422619047626</v>
      </c>
      <c r="BR51" s="19">
        <f t="shared" si="3"/>
        <v>978306</v>
      </c>
      <c r="BS51" s="19">
        <f t="shared" si="4"/>
        <v>694709.64</v>
      </c>
      <c r="BT51" s="17">
        <f>SUM(BT49:BT50)</f>
        <v>4472.4107142857138</v>
      </c>
      <c r="BU51" s="17">
        <f t="shared" ref="BU51:DF51" si="13">SUM(BU49:BU50)</f>
        <v>65581</v>
      </c>
      <c r="BV51" s="17">
        <f t="shared" si="13"/>
        <v>49624.480000000003</v>
      </c>
      <c r="BW51" s="17">
        <f t="shared" si="13"/>
        <v>3966.5773809523807</v>
      </c>
      <c r="BX51" s="17">
        <f t="shared" si="13"/>
        <v>57351</v>
      </c>
      <c r="BY51" s="17">
        <f t="shared" si="13"/>
        <v>44420.72</v>
      </c>
      <c r="BZ51" s="17">
        <f t="shared" si="13"/>
        <v>0</v>
      </c>
      <c r="CA51" s="17">
        <f t="shared" si="13"/>
        <v>0</v>
      </c>
      <c r="CB51" s="17">
        <f t="shared" si="13"/>
        <v>0</v>
      </c>
      <c r="CC51" s="17">
        <f t="shared" si="13"/>
        <v>0</v>
      </c>
      <c r="CD51" s="17">
        <f t="shared" si="13"/>
        <v>0</v>
      </c>
      <c r="CE51" s="17">
        <f t="shared" si="13"/>
        <v>0</v>
      </c>
      <c r="CF51" s="17">
        <f t="shared" si="13"/>
        <v>0</v>
      </c>
      <c r="CG51" s="17">
        <f t="shared" si="13"/>
        <v>0</v>
      </c>
      <c r="CH51" s="17">
        <f t="shared" si="13"/>
        <v>0</v>
      </c>
      <c r="CI51" s="17">
        <f t="shared" si="13"/>
        <v>0</v>
      </c>
      <c r="CJ51" s="17">
        <f t="shared" si="13"/>
        <v>0</v>
      </c>
      <c r="CK51" s="17">
        <f t="shared" si="13"/>
        <v>0</v>
      </c>
      <c r="CL51" s="17">
        <f t="shared" si="13"/>
        <v>0</v>
      </c>
      <c r="CM51" s="17">
        <f t="shared" si="13"/>
        <v>0</v>
      </c>
      <c r="CN51" s="17">
        <f t="shared" si="13"/>
        <v>0</v>
      </c>
      <c r="CO51" s="17">
        <f t="shared" si="13"/>
        <v>0</v>
      </c>
      <c r="CP51" s="17">
        <f t="shared" si="13"/>
        <v>0</v>
      </c>
      <c r="CQ51" s="17">
        <f t="shared" si="13"/>
        <v>0</v>
      </c>
      <c r="CR51" s="17">
        <f t="shared" si="13"/>
        <v>0</v>
      </c>
      <c r="CS51" s="17">
        <f t="shared" si="13"/>
        <v>0</v>
      </c>
      <c r="CT51" s="17">
        <f t="shared" si="13"/>
        <v>0</v>
      </c>
      <c r="CU51" s="17">
        <f t="shared" si="13"/>
        <v>0</v>
      </c>
      <c r="CV51" s="17">
        <f t="shared" si="13"/>
        <v>0</v>
      </c>
      <c r="CW51" s="17">
        <f t="shared" si="13"/>
        <v>0</v>
      </c>
      <c r="CX51" s="17">
        <f t="shared" si="13"/>
        <v>0</v>
      </c>
      <c r="CY51" s="17">
        <f t="shared" si="13"/>
        <v>0</v>
      </c>
      <c r="CZ51" s="17">
        <f t="shared" si="13"/>
        <v>0</v>
      </c>
      <c r="DA51" s="17">
        <f t="shared" si="13"/>
        <v>0</v>
      </c>
      <c r="DB51" s="17">
        <f t="shared" si="13"/>
        <v>0</v>
      </c>
      <c r="DC51" s="17">
        <f t="shared" si="13"/>
        <v>0</v>
      </c>
      <c r="DD51" s="17">
        <f t="shared" si="13"/>
        <v>8438.9880952380954</v>
      </c>
      <c r="DE51" s="17">
        <f t="shared" si="13"/>
        <v>122932</v>
      </c>
      <c r="DF51" s="17">
        <f t="shared" si="13"/>
        <v>94045.2</v>
      </c>
    </row>
    <row r="52" spans="1:110" s="4" customFormat="1" ht="34.5" customHeight="1" x14ac:dyDescent="0.25">
      <c r="A52" s="30"/>
      <c r="B52" s="30"/>
      <c r="C52" s="30"/>
      <c r="D52" s="30"/>
      <c r="E52" s="30"/>
      <c r="F52" s="30"/>
      <c r="G52" s="20">
        <f>G30+G46+G51</f>
        <v>61590</v>
      </c>
      <c r="H52" s="20">
        <f t="shared" ref="H52:BP52" si="14">H30+H46+H51</f>
        <v>949178</v>
      </c>
      <c r="I52" s="20">
        <f t="shared" si="14"/>
        <v>49571</v>
      </c>
      <c r="J52" s="20">
        <f t="shared" si="14"/>
        <v>773779</v>
      </c>
      <c r="K52" s="20">
        <f t="shared" si="14"/>
        <v>50984</v>
      </c>
      <c r="L52" s="20">
        <f t="shared" si="14"/>
        <v>794108</v>
      </c>
      <c r="M52" s="20">
        <f t="shared" si="14"/>
        <v>47795</v>
      </c>
      <c r="N52" s="20">
        <f t="shared" si="14"/>
        <v>749078</v>
      </c>
      <c r="O52" s="20">
        <f t="shared" si="14"/>
        <v>53290</v>
      </c>
      <c r="P52" s="20">
        <f t="shared" si="14"/>
        <v>840592</v>
      </c>
      <c r="Q52" s="20">
        <f t="shared" si="14"/>
        <v>52420</v>
      </c>
      <c r="R52" s="20">
        <f t="shared" si="14"/>
        <v>820396</v>
      </c>
      <c r="S52" s="20">
        <f t="shared" si="14"/>
        <v>54899</v>
      </c>
      <c r="T52" s="20">
        <f t="shared" si="14"/>
        <v>868137</v>
      </c>
      <c r="U52" s="20">
        <f t="shared" si="14"/>
        <v>54905</v>
      </c>
      <c r="V52" s="20">
        <f t="shared" si="14"/>
        <v>864657</v>
      </c>
      <c r="W52" s="20">
        <f t="shared" si="14"/>
        <v>56780</v>
      </c>
      <c r="X52" s="20">
        <f t="shared" si="14"/>
        <v>901641</v>
      </c>
      <c r="Y52" s="20">
        <f t="shared" si="14"/>
        <v>59704</v>
      </c>
      <c r="Z52" s="20">
        <f t="shared" si="14"/>
        <v>946416</v>
      </c>
      <c r="AA52" s="20">
        <f t="shared" si="14"/>
        <v>57497</v>
      </c>
      <c r="AB52" s="20">
        <f t="shared" si="14"/>
        <v>917030</v>
      </c>
      <c r="AC52" s="20">
        <f t="shared" si="14"/>
        <v>64662</v>
      </c>
      <c r="AD52" s="20">
        <f t="shared" si="14"/>
        <v>1013431</v>
      </c>
      <c r="AE52" s="21">
        <f t="shared" si="0"/>
        <v>664097</v>
      </c>
      <c r="AF52" s="21">
        <f t="shared" si="1"/>
        <v>10438443</v>
      </c>
      <c r="AG52" s="20">
        <f t="shared" si="14"/>
        <v>61011.53571428571</v>
      </c>
      <c r="AH52" s="20">
        <f t="shared" si="14"/>
        <v>965752</v>
      </c>
      <c r="AI52" s="20">
        <f t="shared" si="14"/>
        <v>631832.87999999989</v>
      </c>
      <c r="AJ52" s="20">
        <f t="shared" si="14"/>
        <v>51494.928571428572</v>
      </c>
      <c r="AK52" s="20">
        <f t="shared" si="14"/>
        <v>818851</v>
      </c>
      <c r="AL52" s="20">
        <f t="shared" si="14"/>
        <v>532828.4800000001</v>
      </c>
      <c r="AM52" s="20">
        <f t="shared" si="14"/>
        <v>64297.440476190473</v>
      </c>
      <c r="AN52" s="20">
        <f t="shared" si="14"/>
        <v>1020554</v>
      </c>
      <c r="AO52" s="20">
        <f t="shared" si="14"/>
        <v>677348.72</v>
      </c>
      <c r="AP52" s="20">
        <f t="shared" si="14"/>
        <v>50054.047619047618</v>
      </c>
      <c r="AQ52" s="20">
        <f t="shared" si="14"/>
        <v>803099</v>
      </c>
      <c r="AR52" s="20">
        <f t="shared" si="14"/>
        <v>524612.24999999988</v>
      </c>
      <c r="AS52" s="20">
        <f t="shared" si="14"/>
        <v>56047.598214285717</v>
      </c>
      <c r="AT52" s="20">
        <f t="shared" si="14"/>
        <v>888740</v>
      </c>
      <c r="AU52" s="20">
        <f t="shared" si="14"/>
        <v>583181.49</v>
      </c>
      <c r="AV52" s="20">
        <f t="shared" si="14"/>
        <v>56044.502976190473</v>
      </c>
      <c r="AW52" s="20">
        <f t="shared" si="14"/>
        <v>884247</v>
      </c>
      <c r="AX52" s="20">
        <f t="shared" si="14"/>
        <v>578612.39999999991</v>
      </c>
      <c r="AY52" s="20">
        <f t="shared" si="14"/>
        <v>54742.898809523809</v>
      </c>
      <c r="AZ52" s="20">
        <f t="shared" si="14"/>
        <v>863703</v>
      </c>
      <c r="BA52" s="20">
        <f t="shared" si="14"/>
        <v>571258.18999999994</v>
      </c>
      <c r="BB52" s="20">
        <f t="shared" si="14"/>
        <v>53877.333333333336</v>
      </c>
      <c r="BC52" s="20">
        <f t="shared" si="14"/>
        <v>848693</v>
      </c>
      <c r="BD52" s="20">
        <f t="shared" si="14"/>
        <v>558733.84</v>
      </c>
      <c r="BE52" s="20">
        <f t="shared" si="14"/>
        <v>55617.380952380954</v>
      </c>
      <c r="BF52" s="20">
        <f t="shared" si="14"/>
        <v>866201</v>
      </c>
      <c r="BG52" s="20">
        <f t="shared" si="14"/>
        <v>583840.04000000015</v>
      </c>
      <c r="BH52" s="20">
        <f t="shared" si="14"/>
        <v>57434.904761904763</v>
      </c>
      <c r="BI52" s="20">
        <f t="shared" si="14"/>
        <v>899036</v>
      </c>
      <c r="BJ52" s="20">
        <f t="shared" si="14"/>
        <v>603753.9800000001</v>
      </c>
      <c r="BK52" s="20">
        <f t="shared" si="14"/>
        <v>59316.583333333336</v>
      </c>
      <c r="BL52" s="20">
        <f t="shared" si="14"/>
        <v>928681</v>
      </c>
      <c r="BM52" s="20">
        <f t="shared" si="14"/>
        <v>616783.96000000008</v>
      </c>
      <c r="BN52" s="20">
        <f t="shared" si="14"/>
        <v>60869.619047619046</v>
      </c>
      <c r="BO52" s="20">
        <f t="shared" si="14"/>
        <v>956796</v>
      </c>
      <c r="BP52" s="20">
        <f t="shared" si="14"/>
        <v>636981.11999999988</v>
      </c>
      <c r="BQ52" s="21">
        <f t="shared" si="2"/>
        <v>680808.77380952379</v>
      </c>
      <c r="BR52" s="21">
        <f t="shared" si="3"/>
        <v>10744353</v>
      </c>
      <c r="BS52" s="21">
        <f t="shared" si="4"/>
        <v>7099767.3499999996</v>
      </c>
      <c r="BT52" s="20">
        <f>BT30+BT46+BT51</f>
        <v>52458.41071428571</v>
      </c>
      <c r="BU52" s="20">
        <f t="shared" ref="BU52:DF52" si="15">BU30+BU46+BU51</f>
        <v>822987</v>
      </c>
      <c r="BV52" s="20">
        <f t="shared" si="15"/>
        <v>549147.59999999986</v>
      </c>
      <c r="BW52" s="20">
        <f t="shared" si="15"/>
        <v>46172.577380952382</v>
      </c>
      <c r="BX52" s="20">
        <f t="shared" si="15"/>
        <v>729741</v>
      </c>
      <c r="BY52" s="20">
        <f t="shared" si="15"/>
        <v>486294.31999999995</v>
      </c>
      <c r="BZ52" s="20">
        <f t="shared" si="15"/>
        <v>0</v>
      </c>
      <c r="CA52" s="20">
        <f t="shared" si="15"/>
        <v>0</v>
      </c>
      <c r="CB52" s="20">
        <f t="shared" si="15"/>
        <v>0</v>
      </c>
      <c r="CC52" s="20">
        <f t="shared" si="15"/>
        <v>0</v>
      </c>
      <c r="CD52" s="20">
        <f t="shared" si="15"/>
        <v>0</v>
      </c>
      <c r="CE52" s="20">
        <f t="shared" si="15"/>
        <v>0</v>
      </c>
      <c r="CF52" s="20">
        <f t="shared" si="15"/>
        <v>0</v>
      </c>
      <c r="CG52" s="20">
        <f t="shared" si="15"/>
        <v>0</v>
      </c>
      <c r="CH52" s="20">
        <f t="shared" si="15"/>
        <v>0</v>
      </c>
      <c r="CI52" s="20">
        <f t="shared" si="15"/>
        <v>0</v>
      </c>
      <c r="CJ52" s="20">
        <f t="shared" si="15"/>
        <v>0</v>
      </c>
      <c r="CK52" s="20">
        <f t="shared" si="15"/>
        <v>0</v>
      </c>
      <c r="CL52" s="20">
        <f t="shared" si="15"/>
        <v>0</v>
      </c>
      <c r="CM52" s="20">
        <f t="shared" si="15"/>
        <v>0</v>
      </c>
      <c r="CN52" s="20">
        <f t="shared" si="15"/>
        <v>0</v>
      </c>
      <c r="CO52" s="20">
        <f t="shared" si="15"/>
        <v>0</v>
      </c>
      <c r="CP52" s="20">
        <f t="shared" si="15"/>
        <v>0</v>
      </c>
      <c r="CQ52" s="20">
        <f t="shared" si="15"/>
        <v>0</v>
      </c>
      <c r="CR52" s="20">
        <f t="shared" si="15"/>
        <v>0</v>
      </c>
      <c r="CS52" s="20">
        <f t="shared" si="15"/>
        <v>0</v>
      </c>
      <c r="CT52" s="20">
        <f t="shared" si="15"/>
        <v>0</v>
      </c>
      <c r="CU52" s="20">
        <f t="shared" si="15"/>
        <v>0</v>
      </c>
      <c r="CV52" s="20">
        <f t="shared" si="15"/>
        <v>0</v>
      </c>
      <c r="CW52" s="20">
        <f t="shared" si="15"/>
        <v>0</v>
      </c>
      <c r="CX52" s="20">
        <f t="shared" si="15"/>
        <v>0</v>
      </c>
      <c r="CY52" s="20">
        <f t="shared" si="15"/>
        <v>0</v>
      </c>
      <c r="CZ52" s="20">
        <f t="shared" si="15"/>
        <v>0</v>
      </c>
      <c r="DA52" s="20">
        <f t="shared" si="15"/>
        <v>0</v>
      </c>
      <c r="DB52" s="20">
        <f t="shared" si="15"/>
        <v>0</v>
      </c>
      <c r="DC52" s="20">
        <f t="shared" si="15"/>
        <v>0</v>
      </c>
      <c r="DD52" s="20">
        <f t="shared" si="15"/>
        <v>98630.988095238092</v>
      </c>
      <c r="DE52" s="20">
        <f t="shared" si="15"/>
        <v>1552728</v>
      </c>
      <c r="DF52" s="20">
        <f t="shared" si="15"/>
        <v>1035441.92</v>
      </c>
    </row>
  </sheetData>
  <mergeCells count="47">
    <mergeCell ref="O2:P2"/>
    <mergeCell ref="Q2:R2"/>
    <mergeCell ref="S2:T2"/>
    <mergeCell ref="M2:N2"/>
    <mergeCell ref="A2:F2"/>
    <mergeCell ref="G2:H2"/>
    <mergeCell ref="I2:J2"/>
    <mergeCell ref="K2:L2"/>
    <mergeCell ref="B3:C3"/>
    <mergeCell ref="D3:E3"/>
    <mergeCell ref="A30:F30"/>
    <mergeCell ref="A51:F51"/>
    <mergeCell ref="A52:F52"/>
    <mergeCell ref="A46:F46"/>
    <mergeCell ref="B47:F47"/>
    <mergeCell ref="U2:V2"/>
    <mergeCell ref="W2:X2"/>
    <mergeCell ref="BE2:BG2"/>
    <mergeCell ref="AA2:AB2"/>
    <mergeCell ref="AC2:AD2"/>
    <mergeCell ref="AE2:AF2"/>
    <mergeCell ref="AG2:AI2"/>
    <mergeCell ref="AJ2:AL2"/>
    <mergeCell ref="AM2:AO2"/>
    <mergeCell ref="AP2:AR2"/>
    <mergeCell ref="AS2:AU2"/>
    <mergeCell ref="AV2:AX2"/>
    <mergeCell ref="AY2:BA2"/>
    <mergeCell ref="BB2:BD2"/>
    <mergeCell ref="Y2:Z2"/>
    <mergeCell ref="CI2:CK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D2:DF2"/>
    <mergeCell ref="CL2:CN2"/>
    <mergeCell ref="CO2:CQ2"/>
    <mergeCell ref="CR2:CT2"/>
    <mergeCell ref="CU2:CW2"/>
    <mergeCell ref="CX2:CZ2"/>
    <mergeCell ref="DA2:DC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 Individual Sales 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USER</cp:lastModifiedBy>
  <cp:lastPrinted>2026-02-18T01:54:47Z</cp:lastPrinted>
  <dcterms:created xsi:type="dcterms:W3CDTF">2025-02-28T10:21:02Z</dcterms:created>
  <dcterms:modified xsi:type="dcterms:W3CDTF">2026-03-03T02:27:41Z</dcterms:modified>
</cp:coreProperties>
</file>